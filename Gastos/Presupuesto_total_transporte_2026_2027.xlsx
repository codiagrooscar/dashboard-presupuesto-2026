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4820CD9B-1EED-4C61-B4FD-FC706B007C43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Resumen general" sheetId="1" r:id="rId1"/>
    <sheet name="Nacional 2026" sheetId="2" r:id="rId2"/>
    <sheet name="Nacional 2027" sheetId="3" r:id="rId3"/>
    <sheet name="Export · costes" sheetId="4" r:id="rId4"/>
    <sheet name="Export · detalle" sheetId="5" r:id="rId5"/>
    <sheet name="Export · países" sheetId="6" r:id="rId6"/>
    <sheet name="Export · base" sheetId="7" r:id="rId7"/>
    <sheet name="Export · supuestos" sheetId="8" r:id="rId8"/>
    <sheet name="Nacional · base" sheetId="9" r:id="rId9"/>
    <sheet name="Nacional · supuest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0" l="1"/>
  <c r="B13" i="10"/>
  <c r="B6" i="10"/>
  <c r="R1473" i="9"/>
  <c r="P1473" i="9"/>
  <c r="O1473" i="9"/>
  <c r="N1473" i="9"/>
  <c r="M1473" i="9"/>
  <c r="L1473" i="9"/>
  <c r="K1473" i="9"/>
  <c r="J1473" i="9"/>
  <c r="I1473" i="9"/>
  <c r="H1473" i="9"/>
  <c r="R1472" i="9"/>
  <c r="P1472" i="9"/>
  <c r="O1472" i="9"/>
  <c r="N1472" i="9"/>
  <c r="M1472" i="9"/>
  <c r="L1472" i="9"/>
  <c r="K1472" i="9"/>
  <c r="J1472" i="9"/>
  <c r="I1472" i="9"/>
  <c r="H1472" i="9"/>
  <c r="R1471" i="9"/>
  <c r="P1471" i="9"/>
  <c r="O1471" i="9"/>
  <c r="N1471" i="9"/>
  <c r="M1471" i="9"/>
  <c r="L1471" i="9"/>
  <c r="K1471" i="9"/>
  <c r="J1471" i="9"/>
  <c r="I1471" i="9"/>
  <c r="H1471" i="9"/>
  <c r="R1470" i="9"/>
  <c r="P1470" i="9"/>
  <c r="O1470" i="9"/>
  <c r="N1470" i="9"/>
  <c r="M1470" i="9"/>
  <c r="L1470" i="9"/>
  <c r="K1470" i="9"/>
  <c r="J1470" i="9"/>
  <c r="I1470" i="9"/>
  <c r="H1470" i="9"/>
  <c r="R1469" i="9"/>
  <c r="P1469" i="9"/>
  <c r="O1469" i="9"/>
  <c r="N1469" i="9"/>
  <c r="M1469" i="9"/>
  <c r="L1469" i="9"/>
  <c r="K1469" i="9"/>
  <c r="J1469" i="9"/>
  <c r="I1469" i="9"/>
  <c r="H1469" i="9"/>
  <c r="R1468" i="9"/>
  <c r="P1468" i="9"/>
  <c r="O1468" i="9"/>
  <c r="N1468" i="9"/>
  <c r="M1468" i="9"/>
  <c r="L1468" i="9"/>
  <c r="K1468" i="9"/>
  <c r="J1468" i="9"/>
  <c r="I1468" i="9"/>
  <c r="H1468" i="9"/>
  <c r="R1467" i="9"/>
  <c r="P1467" i="9"/>
  <c r="O1467" i="9"/>
  <c r="N1467" i="9"/>
  <c r="M1467" i="9"/>
  <c r="L1467" i="9"/>
  <c r="K1467" i="9"/>
  <c r="J1467" i="9"/>
  <c r="I1467" i="9"/>
  <c r="H1467" i="9"/>
  <c r="R1466" i="9"/>
  <c r="P1466" i="9"/>
  <c r="O1466" i="9"/>
  <c r="N1466" i="9"/>
  <c r="M1466" i="9"/>
  <c r="L1466" i="9"/>
  <c r="K1466" i="9"/>
  <c r="J1466" i="9"/>
  <c r="I1466" i="9"/>
  <c r="H1466" i="9"/>
  <c r="R1465" i="9"/>
  <c r="P1465" i="9"/>
  <c r="O1465" i="9"/>
  <c r="N1465" i="9"/>
  <c r="M1465" i="9"/>
  <c r="L1465" i="9"/>
  <c r="K1465" i="9"/>
  <c r="J1465" i="9"/>
  <c r="I1465" i="9"/>
  <c r="H1465" i="9"/>
  <c r="R1464" i="9"/>
  <c r="P1464" i="9"/>
  <c r="O1464" i="9"/>
  <c r="N1464" i="9"/>
  <c r="M1464" i="9"/>
  <c r="L1464" i="9"/>
  <c r="K1464" i="9"/>
  <c r="J1464" i="9"/>
  <c r="I1464" i="9"/>
  <c r="H1464" i="9"/>
  <c r="R1463" i="9"/>
  <c r="P1463" i="9"/>
  <c r="O1463" i="9"/>
  <c r="N1463" i="9"/>
  <c r="M1463" i="9"/>
  <c r="L1463" i="9"/>
  <c r="K1463" i="9"/>
  <c r="J1463" i="9"/>
  <c r="I1463" i="9"/>
  <c r="H1463" i="9"/>
  <c r="R1462" i="9"/>
  <c r="P1462" i="9"/>
  <c r="O1462" i="9"/>
  <c r="N1462" i="9"/>
  <c r="M1462" i="9"/>
  <c r="L1462" i="9"/>
  <c r="K1462" i="9"/>
  <c r="J1462" i="9"/>
  <c r="I1462" i="9"/>
  <c r="H1462" i="9"/>
  <c r="Q1461" i="9"/>
  <c r="O1461" i="9"/>
  <c r="H1461" i="9"/>
  <c r="P1461" i="9" s="1"/>
  <c r="R1460" i="9"/>
  <c r="P1460" i="9"/>
  <c r="O1460" i="9"/>
  <c r="N1460" i="9"/>
  <c r="M1460" i="9"/>
  <c r="L1460" i="9"/>
  <c r="K1460" i="9"/>
  <c r="J1460" i="9"/>
  <c r="I1460" i="9"/>
  <c r="H1460" i="9"/>
  <c r="R1459" i="9"/>
  <c r="P1459" i="9"/>
  <c r="O1459" i="9"/>
  <c r="N1459" i="9"/>
  <c r="M1459" i="9"/>
  <c r="L1459" i="9"/>
  <c r="K1459" i="9"/>
  <c r="J1459" i="9"/>
  <c r="I1459" i="9"/>
  <c r="H1459" i="9"/>
  <c r="R1458" i="9"/>
  <c r="P1458" i="9"/>
  <c r="O1458" i="9"/>
  <c r="N1458" i="9"/>
  <c r="M1458" i="9"/>
  <c r="L1458" i="9"/>
  <c r="K1458" i="9"/>
  <c r="J1458" i="9"/>
  <c r="I1458" i="9"/>
  <c r="H1458" i="9"/>
  <c r="R1457" i="9"/>
  <c r="P1457" i="9"/>
  <c r="O1457" i="9"/>
  <c r="N1457" i="9"/>
  <c r="M1457" i="9"/>
  <c r="L1457" i="9"/>
  <c r="K1457" i="9"/>
  <c r="J1457" i="9"/>
  <c r="I1457" i="9"/>
  <c r="H1457" i="9"/>
  <c r="R1456" i="9"/>
  <c r="P1456" i="9"/>
  <c r="O1456" i="9"/>
  <c r="N1456" i="9"/>
  <c r="M1456" i="9"/>
  <c r="L1456" i="9"/>
  <c r="K1456" i="9"/>
  <c r="J1456" i="9"/>
  <c r="I1456" i="9"/>
  <c r="H1456" i="9"/>
  <c r="R1455" i="9"/>
  <c r="P1455" i="9"/>
  <c r="O1455" i="9"/>
  <c r="N1455" i="9"/>
  <c r="M1455" i="9"/>
  <c r="L1455" i="9"/>
  <c r="K1455" i="9"/>
  <c r="J1455" i="9"/>
  <c r="I1455" i="9"/>
  <c r="H1455" i="9"/>
  <c r="R1454" i="9"/>
  <c r="P1454" i="9"/>
  <c r="O1454" i="9"/>
  <c r="N1454" i="9"/>
  <c r="M1454" i="9"/>
  <c r="L1454" i="9"/>
  <c r="K1454" i="9"/>
  <c r="J1454" i="9"/>
  <c r="I1454" i="9"/>
  <c r="H1454" i="9"/>
  <c r="Q1453" i="9"/>
  <c r="P1453" i="9"/>
  <c r="O1453" i="9"/>
  <c r="H1453" i="9"/>
  <c r="R1452" i="9"/>
  <c r="P1452" i="9"/>
  <c r="O1452" i="9"/>
  <c r="N1452" i="9"/>
  <c r="M1452" i="9"/>
  <c r="L1452" i="9"/>
  <c r="K1452" i="9"/>
  <c r="J1452" i="9"/>
  <c r="I1452" i="9"/>
  <c r="H1452" i="9"/>
  <c r="R1451" i="9"/>
  <c r="P1451" i="9"/>
  <c r="O1451" i="9"/>
  <c r="N1451" i="9"/>
  <c r="M1451" i="9"/>
  <c r="L1451" i="9"/>
  <c r="K1451" i="9"/>
  <c r="J1451" i="9"/>
  <c r="I1451" i="9"/>
  <c r="H1451" i="9"/>
  <c r="R1450" i="9"/>
  <c r="P1450" i="9"/>
  <c r="O1450" i="9"/>
  <c r="N1450" i="9"/>
  <c r="M1450" i="9"/>
  <c r="L1450" i="9"/>
  <c r="K1450" i="9"/>
  <c r="J1450" i="9"/>
  <c r="I1450" i="9"/>
  <c r="H1450" i="9"/>
  <c r="R1449" i="9"/>
  <c r="P1449" i="9"/>
  <c r="O1449" i="9"/>
  <c r="N1449" i="9"/>
  <c r="M1449" i="9"/>
  <c r="L1449" i="9"/>
  <c r="K1449" i="9"/>
  <c r="J1449" i="9"/>
  <c r="I1449" i="9"/>
  <c r="H1449" i="9"/>
  <c r="R1448" i="9"/>
  <c r="P1448" i="9"/>
  <c r="O1448" i="9"/>
  <c r="N1448" i="9"/>
  <c r="M1448" i="9"/>
  <c r="L1448" i="9"/>
  <c r="K1448" i="9"/>
  <c r="J1448" i="9"/>
  <c r="I1448" i="9"/>
  <c r="H1448" i="9"/>
  <c r="Q1447" i="9"/>
  <c r="O1447" i="9"/>
  <c r="H1447" i="9"/>
  <c r="P1447" i="9" s="1"/>
  <c r="R1446" i="9"/>
  <c r="P1446" i="9"/>
  <c r="O1446" i="9"/>
  <c r="N1446" i="9"/>
  <c r="M1446" i="9"/>
  <c r="L1446" i="9"/>
  <c r="K1446" i="9"/>
  <c r="J1446" i="9"/>
  <c r="I1446" i="9"/>
  <c r="H1446" i="9"/>
  <c r="R1445" i="9"/>
  <c r="P1445" i="9"/>
  <c r="O1445" i="9"/>
  <c r="N1445" i="9"/>
  <c r="M1445" i="9"/>
  <c r="L1445" i="9"/>
  <c r="K1445" i="9"/>
  <c r="J1445" i="9"/>
  <c r="I1445" i="9"/>
  <c r="H1445" i="9"/>
  <c r="R1444" i="9"/>
  <c r="P1444" i="9"/>
  <c r="O1444" i="9"/>
  <c r="N1444" i="9"/>
  <c r="M1444" i="9"/>
  <c r="L1444" i="9"/>
  <c r="K1444" i="9"/>
  <c r="J1444" i="9"/>
  <c r="I1444" i="9"/>
  <c r="H1444" i="9"/>
  <c r="R1443" i="9"/>
  <c r="P1443" i="9"/>
  <c r="O1443" i="9"/>
  <c r="N1443" i="9"/>
  <c r="M1443" i="9"/>
  <c r="L1443" i="9"/>
  <c r="K1443" i="9"/>
  <c r="J1443" i="9"/>
  <c r="I1443" i="9"/>
  <c r="H1443" i="9"/>
  <c r="Q1442" i="9"/>
  <c r="O1442" i="9"/>
  <c r="H1442" i="9"/>
  <c r="P1442" i="9" s="1"/>
  <c r="R1441" i="9"/>
  <c r="P1441" i="9"/>
  <c r="O1441" i="9"/>
  <c r="N1441" i="9"/>
  <c r="M1441" i="9"/>
  <c r="L1441" i="9"/>
  <c r="K1441" i="9"/>
  <c r="J1441" i="9"/>
  <c r="I1441" i="9"/>
  <c r="H1441" i="9"/>
  <c r="R1440" i="9"/>
  <c r="P1440" i="9"/>
  <c r="O1440" i="9"/>
  <c r="N1440" i="9"/>
  <c r="M1440" i="9"/>
  <c r="L1440" i="9"/>
  <c r="K1440" i="9"/>
  <c r="J1440" i="9"/>
  <c r="I1440" i="9"/>
  <c r="H1440" i="9"/>
  <c r="R1439" i="9"/>
  <c r="P1439" i="9"/>
  <c r="O1439" i="9"/>
  <c r="N1439" i="9"/>
  <c r="M1439" i="9"/>
  <c r="L1439" i="9"/>
  <c r="K1439" i="9"/>
  <c r="J1439" i="9"/>
  <c r="I1439" i="9"/>
  <c r="H1439" i="9"/>
  <c r="R1438" i="9"/>
  <c r="P1438" i="9"/>
  <c r="O1438" i="9"/>
  <c r="N1438" i="9"/>
  <c r="M1438" i="9"/>
  <c r="L1438" i="9"/>
  <c r="K1438" i="9"/>
  <c r="J1438" i="9"/>
  <c r="I1438" i="9"/>
  <c r="H1438" i="9"/>
  <c r="R1437" i="9"/>
  <c r="P1437" i="9"/>
  <c r="O1437" i="9"/>
  <c r="N1437" i="9"/>
  <c r="M1437" i="9"/>
  <c r="L1437" i="9"/>
  <c r="K1437" i="9"/>
  <c r="J1437" i="9"/>
  <c r="I1437" i="9"/>
  <c r="H1437" i="9"/>
  <c r="R1436" i="9"/>
  <c r="P1436" i="9"/>
  <c r="O1436" i="9"/>
  <c r="N1436" i="9"/>
  <c r="M1436" i="9"/>
  <c r="L1436" i="9"/>
  <c r="K1436" i="9"/>
  <c r="J1436" i="9"/>
  <c r="I1436" i="9"/>
  <c r="H1436" i="9"/>
  <c r="R1435" i="9"/>
  <c r="P1435" i="9"/>
  <c r="O1435" i="9"/>
  <c r="N1435" i="9"/>
  <c r="M1435" i="9"/>
  <c r="L1435" i="9"/>
  <c r="K1435" i="9"/>
  <c r="J1435" i="9"/>
  <c r="I1435" i="9"/>
  <c r="H1435" i="9"/>
  <c r="R1434" i="9"/>
  <c r="P1434" i="9"/>
  <c r="O1434" i="9"/>
  <c r="N1434" i="9"/>
  <c r="M1434" i="9"/>
  <c r="L1434" i="9"/>
  <c r="K1434" i="9"/>
  <c r="J1434" i="9"/>
  <c r="I1434" i="9"/>
  <c r="H1434" i="9"/>
  <c r="R1433" i="9"/>
  <c r="P1433" i="9"/>
  <c r="O1433" i="9"/>
  <c r="N1433" i="9"/>
  <c r="M1433" i="9"/>
  <c r="L1433" i="9"/>
  <c r="K1433" i="9"/>
  <c r="J1433" i="9"/>
  <c r="I1433" i="9"/>
  <c r="H1433" i="9"/>
  <c r="Q1432" i="9"/>
  <c r="P1432" i="9"/>
  <c r="O1432" i="9"/>
  <c r="H1432" i="9"/>
  <c r="R1431" i="9"/>
  <c r="P1431" i="9"/>
  <c r="O1431" i="9"/>
  <c r="N1431" i="9"/>
  <c r="M1431" i="9"/>
  <c r="L1431" i="9"/>
  <c r="K1431" i="9"/>
  <c r="J1431" i="9"/>
  <c r="I1431" i="9"/>
  <c r="H1431" i="9"/>
  <c r="R1430" i="9"/>
  <c r="P1430" i="9"/>
  <c r="O1430" i="9"/>
  <c r="N1430" i="9"/>
  <c r="M1430" i="9"/>
  <c r="L1430" i="9"/>
  <c r="K1430" i="9"/>
  <c r="J1430" i="9"/>
  <c r="I1430" i="9"/>
  <c r="H1430" i="9"/>
  <c r="R1429" i="9"/>
  <c r="P1429" i="9"/>
  <c r="O1429" i="9"/>
  <c r="N1429" i="9"/>
  <c r="M1429" i="9"/>
  <c r="L1429" i="9"/>
  <c r="K1429" i="9"/>
  <c r="J1429" i="9"/>
  <c r="I1429" i="9"/>
  <c r="H1429" i="9"/>
  <c r="R1428" i="9"/>
  <c r="P1428" i="9"/>
  <c r="O1428" i="9"/>
  <c r="N1428" i="9"/>
  <c r="M1428" i="9"/>
  <c r="L1428" i="9"/>
  <c r="K1428" i="9"/>
  <c r="J1428" i="9"/>
  <c r="I1428" i="9"/>
  <c r="H1428" i="9"/>
  <c r="R1427" i="9"/>
  <c r="P1427" i="9"/>
  <c r="O1427" i="9"/>
  <c r="N1427" i="9"/>
  <c r="M1427" i="9"/>
  <c r="L1427" i="9"/>
  <c r="K1427" i="9"/>
  <c r="J1427" i="9"/>
  <c r="I1427" i="9"/>
  <c r="H1427" i="9"/>
  <c r="Q1426" i="9"/>
  <c r="O1426" i="9"/>
  <c r="H1426" i="9"/>
  <c r="P1426" i="9" s="1"/>
  <c r="R1425" i="9"/>
  <c r="P1425" i="9"/>
  <c r="O1425" i="9"/>
  <c r="N1425" i="9"/>
  <c r="M1425" i="9"/>
  <c r="L1425" i="9"/>
  <c r="K1425" i="9"/>
  <c r="J1425" i="9"/>
  <c r="I1425" i="9"/>
  <c r="H1425" i="9"/>
  <c r="R1424" i="9"/>
  <c r="P1424" i="9"/>
  <c r="O1424" i="9"/>
  <c r="N1424" i="9"/>
  <c r="M1424" i="9"/>
  <c r="L1424" i="9"/>
  <c r="K1424" i="9"/>
  <c r="J1424" i="9"/>
  <c r="I1424" i="9"/>
  <c r="H1424" i="9"/>
  <c r="R1423" i="9"/>
  <c r="P1423" i="9"/>
  <c r="O1423" i="9"/>
  <c r="N1423" i="9"/>
  <c r="M1423" i="9"/>
  <c r="L1423" i="9"/>
  <c r="K1423" i="9"/>
  <c r="J1423" i="9"/>
  <c r="I1423" i="9"/>
  <c r="H1423" i="9"/>
  <c r="R1422" i="9"/>
  <c r="P1422" i="9"/>
  <c r="O1422" i="9"/>
  <c r="N1422" i="9"/>
  <c r="M1422" i="9"/>
  <c r="L1422" i="9"/>
  <c r="K1422" i="9"/>
  <c r="J1422" i="9"/>
  <c r="I1422" i="9"/>
  <c r="H1422" i="9"/>
  <c r="R1421" i="9"/>
  <c r="P1421" i="9"/>
  <c r="O1421" i="9"/>
  <c r="N1421" i="9"/>
  <c r="M1421" i="9"/>
  <c r="L1421" i="9"/>
  <c r="K1421" i="9"/>
  <c r="J1421" i="9"/>
  <c r="I1421" i="9"/>
  <c r="H1421" i="9"/>
  <c r="Q1420" i="9"/>
  <c r="P1420" i="9"/>
  <c r="O1420" i="9"/>
  <c r="H1420" i="9"/>
  <c r="R1419" i="9"/>
  <c r="P1419" i="9"/>
  <c r="O1419" i="9"/>
  <c r="N1419" i="9"/>
  <c r="M1419" i="9"/>
  <c r="L1419" i="9"/>
  <c r="K1419" i="9"/>
  <c r="J1419" i="9"/>
  <c r="I1419" i="9"/>
  <c r="H1419" i="9"/>
  <c r="R1418" i="9"/>
  <c r="P1418" i="9"/>
  <c r="O1418" i="9"/>
  <c r="N1418" i="9"/>
  <c r="M1418" i="9"/>
  <c r="L1418" i="9"/>
  <c r="K1418" i="9"/>
  <c r="J1418" i="9"/>
  <c r="I1418" i="9"/>
  <c r="H1418" i="9"/>
  <c r="R1417" i="9"/>
  <c r="P1417" i="9"/>
  <c r="O1417" i="9"/>
  <c r="N1417" i="9"/>
  <c r="M1417" i="9"/>
  <c r="L1417" i="9"/>
  <c r="K1417" i="9"/>
  <c r="J1417" i="9"/>
  <c r="I1417" i="9"/>
  <c r="H1417" i="9"/>
  <c r="R1416" i="9"/>
  <c r="P1416" i="9"/>
  <c r="O1416" i="9"/>
  <c r="N1416" i="9"/>
  <c r="M1416" i="9"/>
  <c r="L1416" i="9"/>
  <c r="K1416" i="9"/>
  <c r="J1416" i="9"/>
  <c r="I1416" i="9"/>
  <c r="H1416" i="9"/>
  <c r="R1415" i="9"/>
  <c r="P1415" i="9"/>
  <c r="O1415" i="9"/>
  <c r="N1415" i="9"/>
  <c r="M1415" i="9"/>
  <c r="L1415" i="9"/>
  <c r="K1415" i="9"/>
  <c r="J1415" i="9"/>
  <c r="I1415" i="9"/>
  <c r="H1415" i="9"/>
  <c r="R1414" i="9"/>
  <c r="P1414" i="9"/>
  <c r="O1414" i="9"/>
  <c r="N1414" i="9"/>
  <c r="M1414" i="9"/>
  <c r="L1414" i="9"/>
  <c r="K1414" i="9"/>
  <c r="J1414" i="9"/>
  <c r="I1414" i="9"/>
  <c r="H1414" i="9"/>
  <c r="R1413" i="9"/>
  <c r="P1413" i="9"/>
  <c r="O1413" i="9"/>
  <c r="N1413" i="9"/>
  <c r="M1413" i="9"/>
  <c r="L1413" i="9"/>
  <c r="K1413" i="9"/>
  <c r="J1413" i="9"/>
  <c r="I1413" i="9"/>
  <c r="H1413" i="9"/>
  <c r="R1412" i="9"/>
  <c r="P1412" i="9"/>
  <c r="O1412" i="9"/>
  <c r="N1412" i="9"/>
  <c r="M1412" i="9"/>
  <c r="L1412" i="9"/>
  <c r="K1412" i="9"/>
  <c r="J1412" i="9"/>
  <c r="I1412" i="9"/>
  <c r="H1412" i="9"/>
  <c r="R1411" i="9"/>
  <c r="P1411" i="9"/>
  <c r="O1411" i="9"/>
  <c r="N1411" i="9"/>
  <c r="M1411" i="9"/>
  <c r="L1411" i="9"/>
  <c r="K1411" i="9"/>
  <c r="J1411" i="9"/>
  <c r="I1411" i="9"/>
  <c r="H1411" i="9"/>
  <c r="R1410" i="9"/>
  <c r="P1410" i="9"/>
  <c r="O1410" i="9"/>
  <c r="N1410" i="9"/>
  <c r="M1410" i="9"/>
  <c r="L1410" i="9"/>
  <c r="K1410" i="9"/>
  <c r="J1410" i="9"/>
  <c r="I1410" i="9"/>
  <c r="H1410" i="9"/>
  <c r="R1409" i="9"/>
  <c r="P1409" i="9"/>
  <c r="O1409" i="9"/>
  <c r="N1409" i="9"/>
  <c r="M1409" i="9"/>
  <c r="L1409" i="9"/>
  <c r="K1409" i="9"/>
  <c r="J1409" i="9"/>
  <c r="I1409" i="9"/>
  <c r="H1409" i="9"/>
  <c r="Q1408" i="9"/>
  <c r="P1408" i="9"/>
  <c r="O1408" i="9"/>
  <c r="H1408" i="9"/>
  <c r="R1407" i="9"/>
  <c r="P1407" i="9"/>
  <c r="O1407" i="9"/>
  <c r="N1407" i="9"/>
  <c r="M1407" i="9"/>
  <c r="L1407" i="9"/>
  <c r="K1407" i="9"/>
  <c r="J1407" i="9"/>
  <c r="I1407" i="9"/>
  <c r="H1407" i="9"/>
  <c r="R1406" i="9"/>
  <c r="P1406" i="9"/>
  <c r="O1406" i="9"/>
  <c r="N1406" i="9"/>
  <c r="M1406" i="9"/>
  <c r="L1406" i="9"/>
  <c r="K1406" i="9"/>
  <c r="J1406" i="9"/>
  <c r="I1406" i="9"/>
  <c r="H1406" i="9"/>
  <c r="R1405" i="9"/>
  <c r="P1405" i="9"/>
  <c r="O1405" i="9"/>
  <c r="N1405" i="9"/>
  <c r="M1405" i="9"/>
  <c r="L1405" i="9"/>
  <c r="K1405" i="9"/>
  <c r="J1405" i="9"/>
  <c r="I1405" i="9"/>
  <c r="H1405" i="9"/>
  <c r="R1404" i="9"/>
  <c r="P1404" i="9"/>
  <c r="O1404" i="9"/>
  <c r="N1404" i="9"/>
  <c r="M1404" i="9"/>
  <c r="L1404" i="9"/>
  <c r="K1404" i="9"/>
  <c r="J1404" i="9"/>
  <c r="I1404" i="9"/>
  <c r="H1404" i="9"/>
  <c r="R1403" i="9"/>
  <c r="P1403" i="9"/>
  <c r="O1403" i="9"/>
  <c r="N1403" i="9"/>
  <c r="M1403" i="9"/>
  <c r="L1403" i="9"/>
  <c r="K1403" i="9"/>
  <c r="J1403" i="9"/>
  <c r="I1403" i="9"/>
  <c r="H1403" i="9"/>
  <c r="R1402" i="9"/>
  <c r="P1402" i="9"/>
  <c r="O1402" i="9"/>
  <c r="N1402" i="9"/>
  <c r="M1402" i="9"/>
  <c r="L1402" i="9"/>
  <c r="K1402" i="9"/>
  <c r="J1402" i="9"/>
  <c r="I1402" i="9"/>
  <c r="H1402" i="9"/>
  <c r="Q1401" i="9"/>
  <c r="O1401" i="9"/>
  <c r="H1401" i="9"/>
  <c r="P1401" i="9" s="1"/>
  <c r="R1400" i="9"/>
  <c r="P1400" i="9"/>
  <c r="O1400" i="9"/>
  <c r="N1400" i="9"/>
  <c r="M1400" i="9"/>
  <c r="L1400" i="9"/>
  <c r="K1400" i="9"/>
  <c r="J1400" i="9"/>
  <c r="I1400" i="9"/>
  <c r="H1400" i="9"/>
  <c r="R1399" i="9"/>
  <c r="P1399" i="9"/>
  <c r="O1399" i="9"/>
  <c r="N1399" i="9"/>
  <c r="M1399" i="9"/>
  <c r="L1399" i="9"/>
  <c r="K1399" i="9"/>
  <c r="J1399" i="9"/>
  <c r="I1399" i="9"/>
  <c r="H1399" i="9"/>
  <c r="R1398" i="9"/>
  <c r="P1398" i="9"/>
  <c r="O1398" i="9"/>
  <c r="N1398" i="9"/>
  <c r="M1398" i="9"/>
  <c r="L1398" i="9"/>
  <c r="K1398" i="9"/>
  <c r="J1398" i="9"/>
  <c r="I1398" i="9"/>
  <c r="H1398" i="9"/>
  <c r="R1397" i="9"/>
  <c r="P1397" i="9"/>
  <c r="O1397" i="9"/>
  <c r="N1397" i="9"/>
  <c r="M1397" i="9"/>
  <c r="L1397" i="9"/>
  <c r="K1397" i="9"/>
  <c r="J1397" i="9"/>
  <c r="I1397" i="9"/>
  <c r="H1397" i="9"/>
  <c r="R1396" i="9"/>
  <c r="P1396" i="9"/>
  <c r="O1396" i="9"/>
  <c r="N1396" i="9"/>
  <c r="M1396" i="9"/>
  <c r="L1396" i="9"/>
  <c r="K1396" i="9"/>
  <c r="J1396" i="9"/>
  <c r="I1396" i="9"/>
  <c r="H1396" i="9"/>
  <c r="R1395" i="9"/>
  <c r="P1395" i="9"/>
  <c r="O1395" i="9"/>
  <c r="N1395" i="9"/>
  <c r="M1395" i="9"/>
  <c r="L1395" i="9"/>
  <c r="K1395" i="9"/>
  <c r="J1395" i="9"/>
  <c r="I1395" i="9"/>
  <c r="H1395" i="9"/>
  <c r="R1394" i="9"/>
  <c r="P1394" i="9"/>
  <c r="O1394" i="9"/>
  <c r="N1394" i="9"/>
  <c r="M1394" i="9"/>
  <c r="L1394" i="9"/>
  <c r="K1394" i="9"/>
  <c r="J1394" i="9"/>
  <c r="I1394" i="9"/>
  <c r="H1394" i="9"/>
  <c r="R1393" i="9"/>
  <c r="P1393" i="9"/>
  <c r="O1393" i="9"/>
  <c r="N1393" i="9"/>
  <c r="M1393" i="9"/>
  <c r="L1393" i="9"/>
  <c r="K1393" i="9"/>
  <c r="J1393" i="9"/>
  <c r="I1393" i="9"/>
  <c r="H1393" i="9"/>
  <c r="R1392" i="9"/>
  <c r="P1392" i="9"/>
  <c r="O1392" i="9"/>
  <c r="N1392" i="9"/>
  <c r="M1392" i="9"/>
  <c r="L1392" i="9"/>
  <c r="K1392" i="9"/>
  <c r="J1392" i="9"/>
  <c r="I1392" i="9"/>
  <c r="H1392" i="9"/>
  <c r="R1391" i="9"/>
  <c r="P1391" i="9"/>
  <c r="O1391" i="9"/>
  <c r="N1391" i="9"/>
  <c r="M1391" i="9"/>
  <c r="L1391" i="9"/>
  <c r="K1391" i="9"/>
  <c r="J1391" i="9"/>
  <c r="I1391" i="9"/>
  <c r="H1391" i="9"/>
  <c r="R1390" i="9"/>
  <c r="P1390" i="9"/>
  <c r="O1390" i="9"/>
  <c r="N1390" i="9"/>
  <c r="M1390" i="9"/>
  <c r="L1390" i="9"/>
  <c r="K1390" i="9"/>
  <c r="J1390" i="9"/>
  <c r="I1390" i="9"/>
  <c r="H1390" i="9"/>
  <c r="R1389" i="9"/>
  <c r="P1389" i="9"/>
  <c r="O1389" i="9"/>
  <c r="N1389" i="9"/>
  <c r="M1389" i="9"/>
  <c r="L1389" i="9"/>
  <c r="K1389" i="9"/>
  <c r="J1389" i="9"/>
  <c r="I1389" i="9"/>
  <c r="H1389" i="9"/>
  <c r="R1388" i="9"/>
  <c r="P1388" i="9"/>
  <c r="O1388" i="9"/>
  <c r="N1388" i="9"/>
  <c r="M1388" i="9"/>
  <c r="L1388" i="9"/>
  <c r="K1388" i="9"/>
  <c r="J1388" i="9"/>
  <c r="I1388" i="9"/>
  <c r="H1388" i="9"/>
  <c r="R1387" i="9"/>
  <c r="P1387" i="9"/>
  <c r="O1387" i="9"/>
  <c r="N1387" i="9"/>
  <c r="M1387" i="9"/>
  <c r="L1387" i="9"/>
  <c r="K1387" i="9"/>
  <c r="J1387" i="9"/>
  <c r="I1387" i="9"/>
  <c r="H1387" i="9"/>
  <c r="R1386" i="9"/>
  <c r="P1386" i="9"/>
  <c r="O1386" i="9"/>
  <c r="N1386" i="9"/>
  <c r="M1386" i="9"/>
  <c r="L1386" i="9"/>
  <c r="K1386" i="9"/>
  <c r="J1386" i="9"/>
  <c r="I1386" i="9"/>
  <c r="H1386" i="9"/>
  <c r="R1385" i="9"/>
  <c r="P1385" i="9"/>
  <c r="O1385" i="9"/>
  <c r="N1385" i="9"/>
  <c r="M1385" i="9"/>
  <c r="L1385" i="9"/>
  <c r="K1385" i="9"/>
  <c r="J1385" i="9"/>
  <c r="I1385" i="9"/>
  <c r="H1385" i="9"/>
  <c r="R1384" i="9"/>
  <c r="P1384" i="9"/>
  <c r="O1384" i="9"/>
  <c r="N1384" i="9"/>
  <c r="M1384" i="9"/>
  <c r="L1384" i="9"/>
  <c r="K1384" i="9"/>
  <c r="J1384" i="9"/>
  <c r="I1384" i="9"/>
  <c r="H1384" i="9"/>
  <c r="R1383" i="9"/>
  <c r="P1383" i="9"/>
  <c r="O1383" i="9"/>
  <c r="N1383" i="9"/>
  <c r="M1383" i="9"/>
  <c r="L1383" i="9"/>
  <c r="K1383" i="9"/>
  <c r="J1383" i="9"/>
  <c r="I1383" i="9"/>
  <c r="H1383" i="9"/>
  <c r="R1382" i="9"/>
  <c r="P1382" i="9"/>
  <c r="O1382" i="9"/>
  <c r="N1382" i="9"/>
  <c r="M1382" i="9"/>
  <c r="L1382" i="9"/>
  <c r="K1382" i="9"/>
  <c r="J1382" i="9"/>
  <c r="I1382" i="9"/>
  <c r="H1382" i="9"/>
  <c r="R1381" i="9"/>
  <c r="P1381" i="9"/>
  <c r="O1381" i="9"/>
  <c r="N1381" i="9"/>
  <c r="M1381" i="9"/>
  <c r="L1381" i="9"/>
  <c r="K1381" i="9"/>
  <c r="J1381" i="9"/>
  <c r="I1381" i="9"/>
  <c r="H1381" i="9"/>
  <c r="R1380" i="9"/>
  <c r="P1380" i="9"/>
  <c r="O1380" i="9"/>
  <c r="N1380" i="9"/>
  <c r="M1380" i="9"/>
  <c r="L1380" i="9"/>
  <c r="K1380" i="9"/>
  <c r="J1380" i="9"/>
  <c r="I1380" i="9"/>
  <c r="H1380" i="9"/>
  <c r="R1379" i="9"/>
  <c r="P1379" i="9"/>
  <c r="O1379" i="9"/>
  <c r="N1379" i="9"/>
  <c r="M1379" i="9"/>
  <c r="L1379" i="9"/>
  <c r="K1379" i="9"/>
  <c r="J1379" i="9"/>
  <c r="I1379" i="9"/>
  <c r="H1379" i="9"/>
  <c r="Q1378" i="9"/>
  <c r="P1378" i="9"/>
  <c r="O1378" i="9"/>
  <c r="H1378" i="9"/>
  <c r="R1377" i="9"/>
  <c r="P1377" i="9"/>
  <c r="O1377" i="9"/>
  <c r="N1377" i="9"/>
  <c r="M1377" i="9"/>
  <c r="L1377" i="9"/>
  <c r="K1377" i="9"/>
  <c r="J1377" i="9"/>
  <c r="I1377" i="9"/>
  <c r="H1377" i="9"/>
  <c r="R1376" i="9"/>
  <c r="P1376" i="9"/>
  <c r="O1376" i="9"/>
  <c r="N1376" i="9"/>
  <c r="M1376" i="9"/>
  <c r="L1376" i="9"/>
  <c r="K1376" i="9"/>
  <c r="J1376" i="9"/>
  <c r="I1376" i="9"/>
  <c r="H1376" i="9"/>
  <c r="R1375" i="9"/>
  <c r="P1375" i="9"/>
  <c r="O1375" i="9"/>
  <c r="N1375" i="9"/>
  <c r="M1375" i="9"/>
  <c r="L1375" i="9"/>
  <c r="K1375" i="9"/>
  <c r="J1375" i="9"/>
  <c r="I1375" i="9"/>
  <c r="H1375" i="9"/>
  <c r="R1374" i="9"/>
  <c r="P1374" i="9"/>
  <c r="O1374" i="9"/>
  <c r="N1374" i="9"/>
  <c r="M1374" i="9"/>
  <c r="L1374" i="9"/>
  <c r="K1374" i="9"/>
  <c r="J1374" i="9"/>
  <c r="I1374" i="9"/>
  <c r="H1374" i="9"/>
  <c r="R1373" i="9"/>
  <c r="P1373" i="9"/>
  <c r="O1373" i="9"/>
  <c r="N1373" i="9"/>
  <c r="M1373" i="9"/>
  <c r="L1373" i="9"/>
  <c r="K1373" i="9"/>
  <c r="J1373" i="9"/>
  <c r="I1373" i="9"/>
  <c r="H1373" i="9"/>
  <c r="Q1372" i="9"/>
  <c r="O1372" i="9"/>
  <c r="H1372" i="9"/>
  <c r="P1372" i="9" s="1"/>
  <c r="R1371" i="9"/>
  <c r="P1371" i="9"/>
  <c r="O1371" i="9"/>
  <c r="N1371" i="9"/>
  <c r="M1371" i="9"/>
  <c r="L1371" i="9"/>
  <c r="K1371" i="9"/>
  <c r="J1371" i="9"/>
  <c r="I1371" i="9"/>
  <c r="H1371" i="9"/>
  <c r="R1370" i="9"/>
  <c r="P1370" i="9"/>
  <c r="O1370" i="9"/>
  <c r="N1370" i="9"/>
  <c r="M1370" i="9"/>
  <c r="L1370" i="9"/>
  <c r="K1370" i="9"/>
  <c r="J1370" i="9"/>
  <c r="I1370" i="9"/>
  <c r="H1370" i="9"/>
  <c r="R1369" i="9"/>
  <c r="P1369" i="9"/>
  <c r="O1369" i="9"/>
  <c r="N1369" i="9"/>
  <c r="M1369" i="9"/>
  <c r="L1369" i="9"/>
  <c r="K1369" i="9"/>
  <c r="J1369" i="9"/>
  <c r="I1369" i="9"/>
  <c r="H1369" i="9"/>
  <c r="R1368" i="9"/>
  <c r="P1368" i="9"/>
  <c r="O1368" i="9"/>
  <c r="N1368" i="9"/>
  <c r="M1368" i="9"/>
  <c r="L1368" i="9"/>
  <c r="K1368" i="9"/>
  <c r="J1368" i="9"/>
  <c r="I1368" i="9"/>
  <c r="H1368" i="9"/>
  <c r="R1367" i="9"/>
  <c r="P1367" i="9"/>
  <c r="O1367" i="9"/>
  <c r="N1367" i="9"/>
  <c r="M1367" i="9"/>
  <c r="L1367" i="9"/>
  <c r="K1367" i="9"/>
  <c r="J1367" i="9"/>
  <c r="I1367" i="9"/>
  <c r="H1367" i="9"/>
  <c r="R1366" i="9"/>
  <c r="P1366" i="9"/>
  <c r="O1366" i="9"/>
  <c r="N1366" i="9"/>
  <c r="M1366" i="9"/>
  <c r="L1366" i="9"/>
  <c r="K1366" i="9"/>
  <c r="J1366" i="9"/>
  <c r="I1366" i="9"/>
  <c r="H1366" i="9"/>
  <c r="R1365" i="9"/>
  <c r="P1365" i="9"/>
  <c r="O1365" i="9"/>
  <c r="N1365" i="9"/>
  <c r="M1365" i="9"/>
  <c r="L1365" i="9"/>
  <c r="K1365" i="9"/>
  <c r="J1365" i="9"/>
  <c r="I1365" i="9"/>
  <c r="H1365" i="9"/>
  <c r="R1364" i="9"/>
  <c r="P1364" i="9"/>
  <c r="O1364" i="9"/>
  <c r="N1364" i="9"/>
  <c r="M1364" i="9"/>
  <c r="L1364" i="9"/>
  <c r="K1364" i="9"/>
  <c r="J1364" i="9"/>
  <c r="I1364" i="9"/>
  <c r="H1364" i="9"/>
  <c r="R1363" i="9"/>
  <c r="P1363" i="9"/>
  <c r="O1363" i="9"/>
  <c r="N1363" i="9"/>
  <c r="M1363" i="9"/>
  <c r="L1363" i="9"/>
  <c r="K1363" i="9"/>
  <c r="J1363" i="9"/>
  <c r="I1363" i="9"/>
  <c r="H1363" i="9"/>
  <c r="R1362" i="9"/>
  <c r="P1362" i="9"/>
  <c r="O1362" i="9"/>
  <c r="N1362" i="9"/>
  <c r="M1362" i="9"/>
  <c r="L1362" i="9"/>
  <c r="K1362" i="9"/>
  <c r="J1362" i="9"/>
  <c r="I1362" i="9"/>
  <c r="H1362" i="9"/>
  <c r="R1361" i="9"/>
  <c r="P1361" i="9"/>
  <c r="O1361" i="9"/>
  <c r="N1361" i="9"/>
  <c r="M1361" i="9"/>
  <c r="L1361" i="9"/>
  <c r="K1361" i="9"/>
  <c r="J1361" i="9"/>
  <c r="I1361" i="9"/>
  <c r="H1361" i="9"/>
  <c r="R1360" i="9"/>
  <c r="P1360" i="9"/>
  <c r="O1360" i="9"/>
  <c r="N1360" i="9"/>
  <c r="M1360" i="9"/>
  <c r="L1360" i="9"/>
  <c r="K1360" i="9"/>
  <c r="J1360" i="9"/>
  <c r="I1360" i="9"/>
  <c r="H1360" i="9"/>
  <c r="Q1359" i="9"/>
  <c r="O1359" i="9"/>
  <c r="H1359" i="9"/>
  <c r="P1359" i="9" s="1"/>
  <c r="R1358" i="9"/>
  <c r="P1358" i="9"/>
  <c r="O1358" i="9"/>
  <c r="N1358" i="9"/>
  <c r="M1358" i="9"/>
  <c r="L1358" i="9"/>
  <c r="K1358" i="9"/>
  <c r="J1358" i="9"/>
  <c r="I1358" i="9"/>
  <c r="H1358" i="9"/>
  <c r="R1357" i="9"/>
  <c r="P1357" i="9"/>
  <c r="O1357" i="9"/>
  <c r="N1357" i="9"/>
  <c r="M1357" i="9"/>
  <c r="L1357" i="9"/>
  <c r="K1357" i="9"/>
  <c r="J1357" i="9"/>
  <c r="I1357" i="9"/>
  <c r="H1357" i="9"/>
  <c r="R1356" i="9"/>
  <c r="P1356" i="9"/>
  <c r="O1356" i="9"/>
  <c r="N1356" i="9"/>
  <c r="M1356" i="9"/>
  <c r="L1356" i="9"/>
  <c r="K1356" i="9"/>
  <c r="J1356" i="9"/>
  <c r="I1356" i="9"/>
  <c r="H1356" i="9"/>
  <c r="R1355" i="9"/>
  <c r="P1355" i="9"/>
  <c r="O1355" i="9"/>
  <c r="N1355" i="9"/>
  <c r="M1355" i="9"/>
  <c r="L1355" i="9"/>
  <c r="K1355" i="9"/>
  <c r="J1355" i="9"/>
  <c r="I1355" i="9"/>
  <c r="H1355" i="9"/>
  <c r="R1354" i="9"/>
  <c r="P1354" i="9"/>
  <c r="O1354" i="9"/>
  <c r="N1354" i="9"/>
  <c r="M1354" i="9"/>
  <c r="L1354" i="9"/>
  <c r="K1354" i="9"/>
  <c r="J1354" i="9"/>
  <c r="I1354" i="9"/>
  <c r="H1354" i="9"/>
  <c r="R1353" i="9"/>
  <c r="P1353" i="9"/>
  <c r="O1353" i="9"/>
  <c r="N1353" i="9"/>
  <c r="M1353" i="9"/>
  <c r="L1353" i="9"/>
  <c r="K1353" i="9"/>
  <c r="J1353" i="9"/>
  <c r="I1353" i="9"/>
  <c r="H1353" i="9"/>
  <c r="R1352" i="9"/>
  <c r="P1352" i="9"/>
  <c r="O1352" i="9"/>
  <c r="N1352" i="9"/>
  <c r="M1352" i="9"/>
  <c r="L1352" i="9"/>
  <c r="K1352" i="9"/>
  <c r="J1352" i="9"/>
  <c r="I1352" i="9"/>
  <c r="H1352" i="9"/>
  <c r="R1351" i="9"/>
  <c r="P1351" i="9"/>
  <c r="O1351" i="9"/>
  <c r="N1351" i="9"/>
  <c r="M1351" i="9"/>
  <c r="L1351" i="9"/>
  <c r="K1351" i="9"/>
  <c r="J1351" i="9"/>
  <c r="I1351" i="9"/>
  <c r="H1351" i="9"/>
  <c r="R1350" i="9"/>
  <c r="P1350" i="9"/>
  <c r="O1350" i="9"/>
  <c r="N1350" i="9"/>
  <c r="M1350" i="9"/>
  <c r="L1350" i="9"/>
  <c r="K1350" i="9"/>
  <c r="J1350" i="9"/>
  <c r="I1350" i="9"/>
  <c r="H1350" i="9"/>
  <c r="Q1349" i="9"/>
  <c r="O1349" i="9"/>
  <c r="H1349" i="9"/>
  <c r="P1349" i="9" s="1"/>
  <c r="R1348" i="9"/>
  <c r="P1348" i="9"/>
  <c r="O1348" i="9"/>
  <c r="N1348" i="9"/>
  <c r="M1348" i="9"/>
  <c r="L1348" i="9"/>
  <c r="K1348" i="9"/>
  <c r="J1348" i="9"/>
  <c r="I1348" i="9"/>
  <c r="H1348" i="9"/>
  <c r="R1347" i="9"/>
  <c r="P1347" i="9"/>
  <c r="O1347" i="9"/>
  <c r="N1347" i="9"/>
  <c r="M1347" i="9"/>
  <c r="L1347" i="9"/>
  <c r="K1347" i="9"/>
  <c r="J1347" i="9"/>
  <c r="I1347" i="9"/>
  <c r="H1347" i="9"/>
  <c r="R1346" i="9"/>
  <c r="P1346" i="9"/>
  <c r="O1346" i="9"/>
  <c r="N1346" i="9"/>
  <c r="M1346" i="9"/>
  <c r="L1346" i="9"/>
  <c r="K1346" i="9"/>
  <c r="J1346" i="9"/>
  <c r="I1346" i="9"/>
  <c r="H1346" i="9"/>
  <c r="R1345" i="9"/>
  <c r="P1345" i="9"/>
  <c r="O1345" i="9"/>
  <c r="N1345" i="9"/>
  <c r="M1345" i="9"/>
  <c r="L1345" i="9"/>
  <c r="K1345" i="9"/>
  <c r="J1345" i="9"/>
  <c r="I1345" i="9"/>
  <c r="H1345" i="9"/>
  <c r="R1344" i="9"/>
  <c r="P1344" i="9"/>
  <c r="O1344" i="9"/>
  <c r="N1344" i="9"/>
  <c r="M1344" i="9"/>
  <c r="L1344" i="9"/>
  <c r="K1344" i="9"/>
  <c r="J1344" i="9"/>
  <c r="I1344" i="9"/>
  <c r="H1344" i="9"/>
  <c r="R1343" i="9"/>
  <c r="P1343" i="9"/>
  <c r="O1343" i="9"/>
  <c r="N1343" i="9"/>
  <c r="M1343" i="9"/>
  <c r="L1343" i="9"/>
  <c r="K1343" i="9"/>
  <c r="J1343" i="9"/>
  <c r="I1343" i="9"/>
  <c r="H1343" i="9"/>
  <c r="R1342" i="9"/>
  <c r="P1342" i="9"/>
  <c r="O1342" i="9"/>
  <c r="N1342" i="9"/>
  <c r="M1342" i="9"/>
  <c r="L1342" i="9"/>
  <c r="K1342" i="9"/>
  <c r="J1342" i="9"/>
  <c r="I1342" i="9"/>
  <c r="H1342" i="9"/>
  <c r="Q1341" i="9"/>
  <c r="P1341" i="9"/>
  <c r="O1341" i="9"/>
  <c r="H1341" i="9"/>
  <c r="R1340" i="9"/>
  <c r="P1340" i="9"/>
  <c r="O1340" i="9"/>
  <c r="N1340" i="9"/>
  <c r="M1340" i="9"/>
  <c r="L1340" i="9"/>
  <c r="K1340" i="9"/>
  <c r="J1340" i="9"/>
  <c r="I1340" i="9"/>
  <c r="H1340" i="9"/>
  <c r="R1339" i="9"/>
  <c r="P1339" i="9"/>
  <c r="O1339" i="9"/>
  <c r="N1339" i="9"/>
  <c r="M1339" i="9"/>
  <c r="L1339" i="9"/>
  <c r="K1339" i="9"/>
  <c r="J1339" i="9"/>
  <c r="I1339" i="9"/>
  <c r="H1339" i="9"/>
  <c r="R1338" i="9"/>
  <c r="P1338" i="9"/>
  <c r="O1338" i="9"/>
  <c r="N1338" i="9"/>
  <c r="M1338" i="9"/>
  <c r="L1338" i="9"/>
  <c r="K1338" i="9"/>
  <c r="J1338" i="9"/>
  <c r="I1338" i="9"/>
  <c r="H1338" i="9"/>
  <c r="R1337" i="9"/>
  <c r="P1337" i="9"/>
  <c r="O1337" i="9"/>
  <c r="N1337" i="9"/>
  <c r="M1337" i="9"/>
  <c r="L1337" i="9"/>
  <c r="K1337" i="9"/>
  <c r="J1337" i="9"/>
  <c r="I1337" i="9"/>
  <c r="H1337" i="9"/>
  <c r="R1336" i="9"/>
  <c r="P1336" i="9"/>
  <c r="O1336" i="9"/>
  <c r="N1336" i="9"/>
  <c r="M1336" i="9"/>
  <c r="L1336" i="9"/>
  <c r="K1336" i="9"/>
  <c r="J1336" i="9"/>
  <c r="I1336" i="9"/>
  <c r="H1336" i="9"/>
  <c r="R1335" i="9"/>
  <c r="P1335" i="9"/>
  <c r="O1335" i="9"/>
  <c r="N1335" i="9"/>
  <c r="M1335" i="9"/>
  <c r="L1335" i="9"/>
  <c r="K1335" i="9"/>
  <c r="J1335" i="9"/>
  <c r="I1335" i="9"/>
  <c r="H1335" i="9"/>
  <c r="R1334" i="9"/>
  <c r="P1334" i="9"/>
  <c r="O1334" i="9"/>
  <c r="N1334" i="9"/>
  <c r="M1334" i="9"/>
  <c r="L1334" i="9"/>
  <c r="K1334" i="9"/>
  <c r="J1334" i="9"/>
  <c r="I1334" i="9"/>
  <c r="H1334" i="9"/>
  <c r="R1333" i="9"/>
  <c r="P1333" i="9"/>
  <c r="O1333" i="9"/>
  <c r="N1333" i="9"/>
  <c r="M1333" i="9"/>
  <c r="L1333" i="9"/>
  <c r="K1333" i="9"/>
  <c r="J1333" i="9"/>
  <c r="I1333" i="9"/>
  <c r="H1333" i="9"/>
  <c r="R1332" i="9"/>
  <c r="P1332" i="9"/>
  <c r="O1332" i="9"/>
  <c r="N1332" i="9"/>
  <c r="M1332" i="9"/>
  <c r="L1332" i="9"/>
  <c r="K1332" i="9"/>
  <c r="J1332" i="9"/>
  <c r="I1332" i="9"/>
  <c r="H1332" i="9"/>
  <c r="R1331" i="9"/>
  <c r="P1331" i="9"/>
  <c r="O1331" i="9"/>
  <c r="N1331" i="9"/>
  <c r="M1331" i="9"/>
  <c r="L1331" i="9"/>
  <c r="K1331" i="9"/>
  <c r="J1331" i="9"/>
  <c r="I1331" i="9"/>
  <c r="H1331" i="9"/>
  <c r="R1330" i="9"/>
  <c r="P1330" i="9"/>
  <c r="O1330" i="9"/>
  <c r="N1330" i="9"/>
  <c r="M1330" i="9"/>
  <c r="L1330" i="9"/>
  <c r="K1330" i="9"/>
  <c r="J1330" i="9"/>
  <c r="I1330" i="9"/>
  <c r="H1330" i="9"/>
  <c r="R1329" i="9"/>
  <c r="P1329" i="9"/>
  <c r="O1329" i="9"/>
  <c r="N1329" i="9"/>
  <c r="M1329" i="9"/>
  <c r="L1329" i="9"/>
  <c r="K1329" i="9"/>
  <c r="J1329" i="9"/>
  <c r="I1329" i="9"/>
  <c r="H1329" i="9"/>
  <c r="R1328" i="9"/>
  <c r="P1328" i="9"/>
  <c r="O1328" i="9"/>
  <c r="N1328" i="9"/>
  <c r="M1328" i="9"/>
  <c r="L1328" i="9"/>
  <c r="K1328" i="9"/>
  <c r="J1328" i="9"/>
  <c r="I1328" i="9"/>
  <c r="H1328" i="9"/>
  <c r="R1327" i="9"/>
  <c r="P1327" i="9"/>
  <c r="O1327" i="9"/>
  <c r="N1327" i="9"/>
  <c r="M1327" i="9"/>
  <c r="L1327" i="9"/>
  <c r="K1327" i="9"/>
  <c r="J1327" i="9"/>
  <c r="I1327" i="9"/>
  <c r="H1327" i="9"/>
  <c r="R1326" i="9"/>
  <c r="P1326" i="9"/>
  <c r="O1326" i="9"/>
  <c r="N1326" i="9"/>
  <c r="M1326" i="9"/>
  <c r="L1326" i="9"/>
  <c r="K1326" i="9"/>
  <c r="J1326" i="9"/>
  <c r="I1326" i="9"/>
  <c r="H1326" i="9"/>
  <c r="R1325" i="9"/>
  <c r="P1325" i="9"/>
  <c r="O1325" i="9"/>
  <c r="N1325" i="9"/>
  <c r="M1325" i="9"/>
  <c r="L1325" i="9"/>
  <c r="K1325" i="9"/>
  <c r="J1325" i="9"/>
  <c r="I1325" i="9"/>
  <c r="H1325" i="9"/>
  <c r="R1324" i="9"/>
  <c r="P1324" i="9"/>
  <c r="O1324" i="9"/>
  <c r="N1324" i="9"/>
  <c r="M1324" i="9"/>
  <c r="L1324" i="9"/>
  <c r="K1324" i="9"/>
  <c r="J1324" i="9"/>
  <c r="I1324" i="9"/>
  <c r="H1324" i="9"/>
  <c r="R1323" i="9"/>
  <c r="P1323" i="9"/>
  <c r="O1323" i="9"/>
  <c r="N1323" i="9"/>
  <c r="M1323" i="9"/>
  <c r="L1323" i="9"/>
  <c r="K1323" i="9"/>
  <c r="J1323" i="9"/>
  <c r="I1323" i="9"/>
  <c r="H1323" i="9"/>
  <c r="R1322" i="9"/>
  <c r="P1322" i="9"/>
  <c r="O1322" i="9"/>
  <c r="N1322" i="9"/>
  <c r="M1322" i="9"/>
  <c r="L1322" i="9"/>
  <c r="K1322" i="9"/>
  <c r="J1322" i="9"/>
  <c r="I1322" i="9"/>
  <c r="H1322" i="9"/>
  <c r="R1321" i="9"/>
  <c r="P1321" i="9"/>
  <c r="O1321" i="9"/>
  <c r="N1321" i="9"/>
  <c r="M1321" i="9"/>
  <c r="L1321" i="9"/>
  <c r="K1321" i="9"/>
  <c r="J1321" i="9"/>
  <c r="I1321" i="9"/>
  <c r="H1321" i="9"/>
  <c r="R1320" i="9"/>
  <c r="P1320" i="9"/>
  <c r="O1320" i="9"/>
  <c r="N1320" i="9"/>
  <c r="M1320" i="9"/>
  <c r="L1320" i="9"/>
  <c r="K1320" i="9"/>
  <c r="J1320" i="9"/>
  <c r="I1320" i="9"/>
  <c r="H1320" i="9"/>
  <c r="R1319" i="9"/>
  <c r="P1319" i="9"/>
  <c r="O1319" i="9"/>
  <c r="N1319" i="9"/>
  <c r="M1319" i="9"/>
  <c r="L1319" i="9"/>
  <c r="K1319" i="9"/>
  <c r="J1319" i="9"/>
  <c r="I1319" i="9"/>
  <c r="H1319" i="9"/>
  <c r="R1318" i="9"/>
  <c r="P1318" i="9"/>
  <c r="O1318" i="9"/>
  <c r="N1318" i="9"/>
  <c r="M1318" i="9"/>
  <c r="L1318" i="9"/>
  <c r="K1318" i="9"/>
  <c r="J1318" i="9"/>
  <c r="I1318" i="9"/>
  <c r="H1318" i="9"/>
  <c r="Q1317" i="9"/>
  <c r="O1317" i="9"/>
  <c r="H1317" i="9"/>
  <c r="P1317" i="9" s="1"/>
  <c r="R1316" i="9"/>
  <c r="P1316" i="9"/>
  <c r="O1316" i="9"/>
  <c r="N1316" i="9"/>
  <c r="M1316" i="9"/>
  <c r="L1316" i="9"/>
  <c r="K1316" i="9"/>
  <c r="J1316" i="9"/>
  <c r="I1316" i="9"/>
  <c r="H1316" i="9"/>
  <c r="R1315" i="9"/>
  <c r="P1315" i="9"/>
  <c r="O1315" i="9"/>
  <c r="N1315" i="9"/>
  <c r="M1315" i="9"/>
  <c r="L1315" i="9"/>
  <c r="K1315" i="9"/>
  <c r="J1315" i="9"/>
  <c r="I1315" i="9"/>
  <c r="H1315" i="9"/>
  <c r="R1314" i="9"/>
  <c r="P1314" i="9"/>
  <c r="O1314" i="9"/>
  <c r="N1314" i="9"/>
  <c r="M1314" i="9"/>
  <c r="L1314" i="9"/>
  <c r="K1314" i="9"/>
  <c r="J1314" i="9"/>
  <c r="I1314" i="9"/>
  <c r="H1314" i="9"/>
  <c r="R1313" i="9"/>
  <c r="P1313" i="9"/>
  <c r="O1313" i="9"/>
  <c r="N1313" i="9"/>
  <c r="M1313" i="9"/>
  <c r="L1313" i="9"/>
  <c r="K1313" i="9"/>
  <c r="J1313" i="9"/>
  <c r="I1313" i="9"/>
  <c r="H1313" i="9"/>
  <c r="R1312" i="9"/>
  <c r="P1312" i="9"/>
  <c r="O1312" i="9"/>
  <c r="N1312" i="9"/>
  <c r="M1312" i="9"/>
  <c r="L1312" i="9"/>
  <c r="K1312" i="9"/>
  <c r="J1312" i="9"/>
  <c r="I1312" i="9"/>
  <c r="H1312" i="9"/>
  <c r="R1311" i="9"/>
  <c r="P1311" i="9"/>
  <c r="O1311" i="9"/>
  <c r="N1311" i="9"/>
  <c r="M1311" i="9"/>
  <c r="L1311" i="9"/>
  <c r="K1311" i="9"/>
  <c r="J1311" i="9"/>
  <c r="I1311" i="9"/>
  <c r="H1311" i="9"/>
  <c r="R1310" i="9"/>
  <c r="P1310" i="9"/>
  <c r="O1310" i="9"/>
  <c r="N1310" i="9"/>
  <c r="M1310" i="9"/>
  <c r="L1310" i="9"/>
  <c r="K1310" i="9"/>
  <c r="J1310" i="9"/>
  <c r="I1310" i="9"/>
  <c r="H1310" i="9"/>
  <c r="R1309" i="9"/>
  <c r="P1309" i="9"/>
  <c r="O1309" i="9"/>
  <c r="N1309" i="9"/>
  <c r="M1309" i="9"/>
  <c r="L1309" i="9"/>
  <c r="K1309" i="9"/>
  <c r="J1309" i="9"/>
  <c r="I1309" i="9"/>
  <c r="H1309" i="9"/>
  <c r="R1308" i="9"/>
  <c r="P1308" i="9"/>
  <c r="O1308" i="9"/>
  <c r="N1308" i="9"/>
  <c r="M1308" i="9"/>
  <c r="L1308" i="9"/>
  <c r="K1308" i="9"/>
  <c r="J1308" i="9"/>
  <c r="I1308" i="9"/>
  <c r="H1308" i="9"/>
  <c r="R1307" i="9"/>
  <c r="P1307" i="9"/>
  <c r="O1307" i="9"/>
  <c r="N1307" i="9"/>
  <c r="M1307" i="9"/>
  <c r="L1307" i="9"/>
  <c r="K1307" i="9"/>
  <c r="J1307" i="9"/>
  <c r="I1307" i="9"/>
  <c r="H1307" i="9"/>
  <c r="R1306" i="9"/>
  <c r="P1306" i="9"/>
  <c r="O1306" i="9"/>
  <c r="N1306" i="9"/>
  <c r="M1306" i="9"/>
  <c r="L1306" i="9"/>
  <c r="K1306" i="9"/>
  <c r="J1306" i="9"/>
  <c r="I1306" i="9"/>
  <c r="H1306" i="9"/>
  <c r="Q1305" i="9"/>
  <c r="O1305" i="9"/>
  <c r="H1305" i="9"/>
  <c r="P1305" i="9" s="1"/>
  <c r="R1304" i="9"/>
  <c r="P1304" i="9"/>
  <c r="O1304" i="9"/>
  <c r="N1304" i="9"/>
  <c r="M1304" i="9"/>
  <c r="L1304" i="9"/>
  <c r="K1304" i="9"/>
  <c r="J1304" i="9"/>
  <c r="I1304" i="9"/>
  <c r="H1304" i="9"/>
  <c r="R1303" i="9"/>
  <c r="P1303" i="9"/>
  <c r="O1303" i="9"/>
  <c r="N1303" i="9"/>
  <c r="M1303" i="9"/>
  <c r="L1303" i="9"/>
  <c r="K1303" i="9"/>
  <c r="J1303" i="9"/>
  <c r="I1303" i="9"/>
  <c r="H1303" i="9"/>
  <c r="R1302" i="9"/>
  <c r="P1302" i="9"/>
  <c r="O1302" i="9"/>
  <c r="N1302" i="9"/>
  <c r="M1302" i="9"/>
  <c r="L1302" i="9"/>
  <c r="K1302" i="9"/>
  <c r="J1302" i="9"/>
  <c r="I1302" i="9"/>
  <c r="H1302" i="9"/>
  <c r="R1301" i="9"/>
  <c r="P1301" i="9"/>
  <c r="O1301" i="9"/>
  <c r="N1301" i="9"/>
  <c r="M1301" i="9"/>
  <c r="L1301" i="9"/>
  <c r="K1301" i="9"/>
  <c r="J1301" i="9"/>
  <c r="I1301" i="9"/>
  <c r="H1301" i="9"/>
  <c r="R1300" i="9"/>
  <c r="P1300" i="9"/>
  <c r="O1300" i="9"/>
  <c r="N1300" i="9"/>
  <c r="M1300" i="9"/>
  <c r="L1300" i="9"/>
  <c r="K1300" i="9"/>
  <c r="J1300" i="9"/>
  <c r="I1300" i="9"/>
  <c r="H1300" i="9"/>
  <c r="R1299" i="9"/>
  <c r="P1299" i="9"/>
  <c r="O1299" i="9"/>
  <c r="N1299" i="9"/>
  <c r="M1299" i="9"/>
  <c r="L1299" i="9"/>
  <c r="K1299" i="9"/>
  <c r="J1299" i="9"/>
  <c r="I1299" i="9"/>
  <c r="H1299" i="9"/>
  <c r="R1298" i="9"/>
  <c r="P1298" i="9"/>
  <c r="O1298" i="9"/>
  <c r="N1298" i="9"/>
  <c r="M1298" i="9"/>
  <c r="L1298" i="9"/>
  <c r="K1298" i="9"/>
  <c r="J1298" i="9"/>
  <c r="I1298" i="9"/>
  <c r="H1298" i="9"/>
  <c r="R1297" i="9"/>
  <c r="P1297" i="9"/>
  <c r="O1297" i="9"/>
  <c r="N1297" i="9"/>
  <c r="M1297" i="9"/>
  <c r="L1297" i="9"/>
  <c r="K1297" i="9"/>
  <c r="J1297" i="9"/>
  <c r="I1297" i="9"/>
  <c r="H1297" i="9"/>
  <c r="R1296" i="9"/>
  <c r="P1296" i="9"/>
  <c r="O1296" i="9"/>
  <c r="N1296" i="9"/>
  <c r="M1296" i="9"/>
  <c r="L1296" i="9"/>
  <c r="K1296" i="9"/>
  <c r="J1296" i="9"/>
  <c r="I1296" i="9"/>
  <c r="H1296" i="9"/>
  <c r="R1295" i="9"/>
  <c r="P1295" i="9"/>
  <c r="O1295" i="9"/>
  <c r="N1295" i="9"/>
  <c r="M1295" i="9"/>
  <c r="L1295" i="9"/>
  <c r="K1295" i="9"/>
  <c r="J1295" i="9"/>
  <c r="I1295" i="9"/>
  <c r="H1295" i="9"/>
  <c r="R1294" i="9"/>
  <c r="P1294" i="9"/>
  <c r="O1294" i="9"/>
  <c r="N1294" i="9"/>
  <c r="M1294" i="9"/>
  <c r="L1294" i="9"/>
  <c r="K1294" i="9"/>
  <c r="J1294" i="9"/>
  <c r="I1294" i="9"/>
  <c r="H1294" i="9"/>
  <c r="R1293" i="9"/>
  <c r="P1293" i="9"/>
  <c r="O1293" i="9"/>
  <c r="N1293" i="9"/>
  <c r="M1293" i="9"/>
  <c r="L1293" i="9"/>
  <c r="K1293" i="9"/>
  <c r="J1293" i="9"/>
  <c r="I1293" i="9"/>
  <c r="H1293" i="9"/>
  <c r="R1292" i="9"/>
  <c r="P1292" i="9"/>
  <c r="O1292" i="9"/>
  <c r="N1292" i="9"/>
  <c r="M1292" i="9"/>
  <c r="L1292" i="9"/>
  <c r="K1292" i="9"/>
  <c r="J1292" i="9"/>
  <c r="I1292" i="9"/>
  <c r="H1292" i="9"/>
  <c r="R1291" i="9"/>
  <c r="P1291" i="9"/>
  <c r="O1291" i="9"/>
  <c r="N1291" i="9"/>
  <c r="M1291" i="9"/>
  <c r="L1291" i="9"/>
  <c r="K1291" i="9"/>
  <c r="J1291" i="9"/>
  <c r="I1291" i="9"/>
  <c r="H1291" i="9"/>
  <c r="R1290" i="9"/>
  <c r="P1290" i="9"/>
  <c r="O1290" i="9"/>
  <c r="N1290" i="9"/>
  <c r="M1290" i="9"/>
  <c r="L1290" i="9"/>
  <c r="K1290" i="9"/>
  <c r="J1290" i="9"/>
  <c r="I1290" i="9"/>
  <c r="H1290" i="9"/>
  <c r="R1289" i="9"/>
  <c r="P1289" i="9"/>
  <c r="O1289" i="9"/>
  <c r="N1289" i="9"/>
  <c r="M1289" i="9"/>
  <c r="L1289" i="9"/>
  <c r="K1289" i="9"/>
  <c r="J1289" i="9"/>
  <c r="I1289" i="9"/>
  <c r="H1289" i="9"/>
  <c r="R1288" i="9"/>
  <c r="P1288" i="9"/>
  <c r="O1288" i="9"/>
  <c r="N1288" i="9"/>
  <c r="M1288" i="9"/>
  <c r="L1288" i="9"/>
  <c r="K1288" i="9"/>
  <c r="J1288" i="9"/>
  <c r="I1288" i="9"/>
  <c r="H1288" i="9"/>
  <c r="R1287" i="9"/>
  <c r="P1287" i="9"/>
  <c r="O1287" i="9"/>
  <c r="N1287" i="9"/>
  <c r="M1287" i="9"/>
  <c r="L1287" i="9"/>
  <c r="K1287" i="9"/>
  <c r="J1287" i="9"/>
  <c r="I1287" i="9"/>
  <c r="H1287" i="9"/>
  <c r="Q1286" i="9"/>
  <c r="O1286" i="9"/>
  <c r="H1286" i="9"/>
  <c r="P1286" i="9" s="1"/>
  <c r="R1285" i="9"/>
  <c r="P1285" i="9"/>
  <c r="O1285" i="9"/>
  <c r="N1285" i="9"/>
  <c r="M1285" i="9"/>
  <c r="L1285" i="9"/>
  <c r="K1285" i="9"/>
  <c r="J1285" i="9"/>
  <c r="I1285" i="9"/>
  <c r="H1285" i="9"/>
  <c r="R1284" i="9"/>
  <c r="P1284" i="9"/>
  <c r="O1284" i="9"/>
  <c r="N1284" i="9"/>
  <c r="M1284" i="9"/>
  <c r="L1284" i="9"/>
  <c r="K1284" i="9"/>
  <c r="J1284" i="9"/>
  <c r="I1284" i="9"/>
  <c r="H1284" i="9"/>
  <c r="R1283" i="9"/>
  <c r="P1283" i="9"/>
  <c r="O1283" i="9"/>
  <c r="N1283" i="9"/>
  <c r="M1283" i="9"/>
  <c r="L1283" i="9"/>
  <c r="K1283" i="9"/>
  <c r="J1283" i="9"/>
  <c r="I1283" i="9"/>
  <c r="H1283" i="9"/>
  <c r="R1282" i="9"/>
  <c r="P1282" i="9"/>
  <c r="O1282" i="9"/>
  <c r="N1282" i="9"/>
  <c r="M1282" i="9"/>
  <c r="L1282" i="9"/>
  <c r="K1282" i="9"/>
  <c r="J1282" i="9"/>
  <c r="I1282" i="9"/>
  <c r="H1282" i="9"/>
  <c r="R1281" i="9"/>
  <c r="P1281" i="9"/>
  <c r="O1281" i="9"/>
  <c r="N1281" i="9"/>
  <c r="M1281" i="9"/>
  <c r="L1281" i="9"/>
  <c r="K1281" i="9"/>
  <c r="J1281" i="9"/>
  <c r="I1281" i="9"/>
  <c r="H1281" i="9"/>
  <c r="R1280" i="9"/>
  <c r="P1280" i="9"/>
  <c r="O1280" i="9"/>
  <c r="N1280" i="9"/>
  <c r="M1280" i="9"/>
  <c r="L1280" i="9"/>
  <c r="K1280" i="9"/>
  <c r="J1280" i="9"/>
  <c r="I1280" i="9"/>
  <c r="H1280" i="9"/>
  <c r="Q1279" i="9"/>
  <c r="O1279" i="9"/>
  <c r="H1279" i="9"/>
  <c r="P1279" i="9" s="1"/>
  <c r="R1278" i="9"/>
  <c r="P1278" i="9"/>
  <c r="O1278" i="9"/>
  <c r="N1278" i="9"/>
  <c r="M1278" i="9"/>
  <c r="L1278" i="9"/>
  <c r="K1278" i="9"/>
  <c r="J1278" i="9"/>
  <c r="I1278" i="9"/>
  <c r="H1278" i="9"/>
  <c r="R1277" i="9"/>
  <c r="P1277" i="9"/>
  <c r="O1277" i="9"/>
  <c r="N1277" i="9"/>
  <c r="M1277" i="9"/>
  <c r="L1277" i="9"/>
  <c r="K1277" i="9"/>
  <c r="J1277" i="9"/>
  <c r="I1277" i="9"/>
  <c r="H1277" i="9"/>
  <c r="R1276" i="9"/>
  <c r="P1276" i="9"/>
  <c r="O1276" i="9"/>
  <c r="N1276" i="9"/>
  <c r="M1276" i="9"/>
  <c r="L1276" i="9"/>
  <c r="K1276" i="9"/>
  <c r="J1276" i="9"/>
  <c r="I1276" i="9"/>
  <c r="H1276" i="9"/>
  <c r="R1275" i="9"/>
  <c r="P1275" i="9"/>
  <c r="O1275" i="9"/>
  <c r="N1275" i="9"/>
  <c r="M1275" i="9"/>
  <c r="L1275" i="9"/>
  <c r="K1275" i="9"/>
  <c r="J1275" i="9"/>
  <c r="I1275" i="9"/>
  <c r="H1275" i="9"/>
  <c r="R1274" i="9"/>
  <c r="P1274" i="9"/>
  <c r="O1274" i="9"/>
  <c r="N1274" i="9"/>
  <c r="M1274" i="9"/>
  <c r="L1274" i="9"/>
  <c r="K1274" i="9"/>
  <c r="J1274" i="9"/>
  <c r="I1274" i="9"/>
  <c r="H1274" i="9"/>
  <c r="R1273" i="9"/>
  <c r="P1273" i="9"/>
  <c r="O1273" i="9"/>
  <c r="N1273" i="9"/>
  <c r="M1273" i="9"/>
  <c r="L1273" i="9"/>
  <c r="K1273" i="9"/>
  <c r="J1273" i="9"/>
  <c r="I1273" i="9"/>
  <c r="H1273" i="9"/>
  <c r="R1272" i="9"/>
  <c r="P1272" i="9"/>
  <c r="O1272" i="9"/>
  <c r="N1272" i="9"/>
  <c r="M1272" i="9"/>
  <c r="L1272" i="9"/>
  <c r="K1272" i="9"/>
  <c r="J1272" i="9"/>
  <c r="I1272" i="9"/>
  <c r="H1272" i="9"/>
  <c r="R1271" i="9"/>
  <c r="P1271" i="9"/>
  <c r="O1271" i="9"/>
  <c r="N1271" i="9"/>
  <c r="M1271" i="9"/>
  <c r="L1271" i="9"/>
  <c r="K1271" i="9"/>
  <c r="J1271" i="9"/>
  <c r="I1271" i="9"/>
  <c r="H1271" i="9"/>
  <c r="R1270" i="9"/>
  <c r="P1270" i="9"/>
  <c r="O1270" i="9"/>
  <c r="N1270" i="9"/>
  <c r="M1270" i="9"/>
  <c r="L1270" i="9"/>
  <c r="K1270" i="9"/>
  <c r="J1270" i="9"/>
  <c r="I1270" i="9"/>
  <c r="H1270" i="9"/>
  <c r="Q1269" i="9"/>
  <c r="P1269" i="9"/>
  <c r="O1269" i="9"/>
  <c r="H1269" i="9"/>
  <c r="R1268" i="9"/>
  <c r="P1268" i="9"/>
  <c r="O1268" i="9"/>
  <c r="N1268" i="9"/>
  <c r="M1268" i="9"/>
  <c r="L1268" i="9"/>
  <c r="K1268" i="9"/>
  <c r="J1268" i="9"/>
  <c r="I1268" i="9"/>
  <c r="H1268" i="9"/>
  <c r="R1267" i="9"/>
  <c r="P1267" i="9"/>
  <c r="O1267" i="9"/>
  <c r="N1267" i="9"/>
  <c r="M1267" i="9"/>
  <c r="L1267" i="9"/>
  <c r="K1267" i="9"/>
  <c r="J1267" i="9"/>
  <c r="I1267" i="9"/>
  <c r="H1267" i="9"/>
  <c r="R1266" i="9"/>
  <c r="P1266" i="9"/>
  <c r="O1266" i="9"/>
  <c r="N1266" i="9"/>
  <c r="M1266" i="9"/>
  <c r="L1266" i="9"/>
  <c r="K1266" i="9"/>
  <c r="J1266" i="9"/>
  <c r="I1266" i="9"/>
  <c r="H1266" i="9"/>
  <c r="R1265" i="9"/>
  <c r="P1265" i="9"/>
  <c r="O1265" i="9"/>
  <c r="N1265" i="9"/>
  <c r="M1265" i="9"/>
  <c r="L1265" i="9"/>
  <c r="K1265" i="9"/>
  <c r="J1265" i="9"/>
  <c r="I1265" i="9"/>
  <c r="H1265" i="9"/>
  <c r="R1264" i="9"/>
  <c r="P1264" i="9"/>
  <c r="O1264" i="9"/>
  <c r="N1264" i="9"/>
  <c r="M1264" i="9"/>
  <c r="L1264" i="9"/>
  <c r="K1264" i="9"/>
  <c r="J1264" i="9"/>
  <c r="I1264" i="9"/>
  <c r="H1264" i="9"/>
  <c r="R1263" i="9"/>
  <c r="P1263" i="9"/>
  <c r="O1263" i="9"/>
  <c r="N1263" i="9"/>
  <c r="M1263" i="9"/>
  <c r="L1263" i="9"/>
  <c r="K1263" i="9"/>
  <c r="J1263" i="9"/>
  <c r="I1263" i="9"/>
  <c r="H1263" i="9"/>
  <c r="R1262" i="9"/>
  <c r="P1262" i="9"/>
  <c r="O1262" i="9"/>
  <c r="N1262" i="9"/>
  <c r="M1262" i="9"/>
  <c r="L1262" i="9"/>
  <c r="K1262" i="9"/>
  <c r="J1262" i="9"/>
  <c r="I1262" i="9"/>
  <c r="H1262" i="9"/>
  <c r="R1261" i="9"/>
  <c r="P1261" i="9"/>
  <c r="O1261" i="9"/>
  <c r="N1261" i="9"/>
  <c r="M1261" i="9"/>
  <c r="L1261" i="9"/>
  <c r="K1261" i="9"/>
  <c r="J1261" i="9"/>
  <c r="I1261" i="9"/>
  <c r="H1261" i="9"/>
  <c r="R1260" i="9"/>
  <c r="P1260" i="9"/>
  <c r="O1260" i="9"/>
  <c r="N1260" i="9"/>
  <c r="M1260" i="9"/>
  <c r="L1260" i="9"/>
  <c r="K1260" i="9"/>
  <c r="J1260" i="9"/>
  <c r="I1260" i="9"/>
  <c r="H1260" i="9"/>
  <c r="R1259" i="9"/>
  <c r="P1259" i="9"/>
  <c r="O1259" i="9"/>
  <c r="N1259" i="9"/>
  <c r="M1259" i="9"/>
  <c r="L1259" i="9"/>
  <c r="K1259" i="9"/>
  <c r="J1259" i="9"/>
  <c r="I1259" i="9"/>
  <c r="H1259" i="9"/>
  <c r="R1258" i="9"/>
  <c r="P1258" i="9"/>
  <c r="O1258" i="9"/>
  <c r="N1258" i="9"/>
  <c r="M1258" i="9"/>
  <c r="L1258" i="9"/>
  <c r="K1258" i="9"/>
  <c r="J1258" i="9"/>
  <c r="I1258" i="9"/>
  <c r="H1258" i="9"/>
  <c r="R1257" i="9"/>
  <c r="P1257" i="9"/>
  <c r="O1257" i="9"/>
  <c r="N1257" i="9"/>
  <c r="M1257" i="9"/>
  <c r="L1257" i="9"/>
  <c r="K1257" i="9"/>
  <c r="J1257" i="9"/>
  <c r="I1257" i="9"/>
  <c r="H1257" i="9"/>
  <c r="R1256" i="9"/>
  <c r="P1256" i="9"/>
  <c r="O1256" i="9"/>
  <c r="N1256" i="9"/>
  <c r="M1256" i="9"/>
  <c r="L1256" i="9"/>
  <c r="K1256" i="9"/>
  <c r="J1256" i="9"/>
  <c r="I1256" i="9"/>
  <c r="H1256" i="9"/>
  <c r="R1255" i="9"/>
  <c r="P1255" i="9"/>
  <c r="O1255" i="9"/>
  <c r="N1255" i="9"/>
  <c r="M1255" i="9"/>
  <c r="L1255" i="9"/>
  <c r="K1255" i="9"/>
  <c r="J1255" i="9"/>
  <c r="I1255" i="9"/>
  <c r="H1255" i="9"/>
  <c r="Q1254" i="9"/>
  <c r="O1254" i="9"/>
  <c r="H1254" i="9"/>
  <c r="P1254" i="9" s="1"/>
  <c r="R1253" i="9"/>
  <c r="P1253" i="9"/>
  <c r="O1253" i="9"/>
  <c r="N1253" i="9"/>
  <c r="M1253" i="9"/>
  <c r="L1253" i="9"/>
  <c r="K1253" i="9"/>
  <c r="J1253" i="9"/>
  <c r="I1253" i="9"/>
  <c r="H1253" i="9"/>
  <c r="R1252" i="9"/>
  <c r="P1252" i="9"/>
  <c r="O1252" i="9"/>
  <c r="N1252" i="9"/>
  <c r="M1252" i="9"/>
  <c r="L1252" i="9"/>
  <c r="K1252" i="9"/>
  <c r="J1252" i="9"/>
  <c r="I1252" i="9"/>
  <c r="H1252" i="9"/>
  <c r="R1251" i="9"/>
  <c r="P1251" i="9"/>
  <c r="O1251" i="9"/>
  <c r="N1251" i="9"/>
  <c r="M1251" i="9"/>
  <c r="L1251" i="9"/>
  <c r="K1251" i="9"/>
  <c r="J1251" i="9"/>
  <c r="I1251" i="9"/>
  <c r="H1251" i="9"/>
  <c r="R1250" i="9"/>
  <c r="P1250" i="9"/>
  <c r="O1250" i="9"/>
  <c r="N1250" i="9"/>
  <c r="M1250" i="9"/>
  <c r="L1250" i="9"/>
  <c r="K1250" i="9"/>
  <c r="J1250" i="9"/>
  <c r="I1250" i="9"/>
  <c r="H1250" i="9"/>
  <c r="R1249" i="9"/>
  <c r="P1249" i="9"/>
  <c r="O1249" i="9"/>
  <c r="N1249" i="9"/>
  <c r="M1249" i="9"/>
  <c r="L1249" i="9"/>
  <c r="K1249" i="9"/>
  <c r="J1249" i="9"/>
  <c r="I1249" i="9"/>
  <c r="H1249" i="9"/>
  <c r="R1248" i="9"/>
  <c r="P1248" i="9"/>
  <c r="O1248" i="9"/>
  <c r="N1248" i="9"/>
  <c r="M1248" i="9"/>
  <c r="L1248" i="9"/>
  <c r="K1248" i="9"/>
  <c r="J1248" i="9"/>
  <c r="I1248" i="9"/>
  <c r="H1248" i="9"/>
  <c r="R1247" i="9"/>
  <c r="P1247" i="9"/>
  <c r="O1247" i="9"/>
  <c r="N1247" i="9"/>
  <c r="M1247" i="9"/>
  <c r="L1247" i="9"/>
  <c r="K1247" i="9"/>
  <c r="J1247" i="9"/>
  <c r="I1247" i="9"/>
  <c r="H1247" i="9"/>
  <c r="Q1246" i="9"/>
  <c r="P1246" i="9"/>
  <c r="O1246" i="9"/>
  <c r="H1246" i="9"/>
  <c r="R1245" i="9"/>
  <c r="P1245" i="9"/>
  <c r="O1245" i="9"/>
  <c r="N1245" i="9"/>
  <c r="M1245" i="9"/>
  <c r="L1245" i="9"/>
  <c r="K1245" i="9"/>
  <c r="J1245" i="9"/>
  <c r="I1245" i="9"/>
  <c r="H1245" i="9"/>
  <c r="R1244" i="9"/>
  <c r="P1244" i="9"/>
  <c r="O1244" i="9"/>
  <c r="N1244" i="9"/>
  <c r="M1244" i="9"/>
  <c r="L1244" i="9"/>
  <c r="K1244" i="9"/>
  <c r="J1244" i="9"/>
  <c r="I1244" i="9"/>
  <c r="H1244" i="9"/>
  <c r="R1243" i="9"/>
  <c r="P1243" i="9"/>
  <c r="O1243" i="9"/>
  <c r="N1243" i="9"/>
  <c r="M1243" i="9"/>
  <c r="L1243" i="9"/>
  <c r="K1243" i="9"/>
  <c r="J1243" i="9"/>
  <c r="I1243" i="9"/>
  <c r="H1243" i="9"/>
  <c r="R1242" i="9"/>
  <c r="P1242" i="9"/>
  <c r="O1242" i="9"/>
  <c r="N1242" i="9"/>
  <c r="M1242" i="9"/>
  <c r="L1242" i="9"/>
  <c r="K1242" i="9"/>
  <c r="J1242" i="9"/>
  <c r="I1242" i="9"/>
  <c r="H1242" i="9"/>
  <c r="R1241" i="9"/>
  <c r="P1241" i="9"/>
  <c r="O1241" i="9"/>
  <c r="N1241" i="9"/>
  <c r="M1241" i="9"/>
  <c r="L1241" i="9"/>
  <c r="K1241" i="9"/>
  <c r="J1241" i="9"/>
  <c r="I1241" i="9"/>
  <c r="H1241" i="9"/>
  <c r="R1240" i="9"/>
  <c r="P1240" i="9"/>
  <c r="O1240" i="9"/>
  <c r="N1240" i="9"/>
  <c r="M1240" i="9"/>
  <c r="L1240" i="9"/>
  <c r="K1240" i="9"/>
  <c r="J1240" i="9"/>
  <c r="I1240" i="9"/>
  <c r="H1240" i="9"/>
  <c r="R1239" i="9"/>
  <c r="P1239" i="9"/>
  <c r="O1239" i="9"/>
  <c r="N1239" i="9"/>
  <c r="M1239" i="9"/>
  <c r="L1239" i="9"/>
  <c r="K1239" i="9"/>
  <c r="J1239" i="9"/>
  <c r="I1239" i="9"/>
  <c r="H1239" i="9"/>
  <c r="R1238" i="9"/>
  <c r="P1238" i="9"/>
  <c r="O1238" i="9"/>
  <c r="N1238" i="9"/>
  <c r="M1238" i="9"/>
  <c r="L1238" i="9"/>
  <c r="K1238" i="9"/>
  <c r="J1238" i="9"/>
  <c r="I1238" i="9"/>
  <c r="H1238" i="9"/>
  <c r="Q1237" i="9"/>
  <c r="P1237" i="9"/>
  <c r="O1237" i="9"/>
  <c r="H1237" i="9"/>
  <c r="R1236" i="9"/>
  <c r="P1236" i="9"/>
  <c r="O1236" i="9"/>
  <c r="N1236" i="9"/>
  <c r="M1236" i="9"/>
  <c r="L1236" i="9"/>
  <c r="K1236" i="9"/>
  <c r="J1236" i="9"/>
  <c r="I1236" i="9"/>
  <c r="H1236" i="9"/>
  <c r="R1235" i="9"/>
  <c r="P1235" i="9"/>
  <c r="O1235" i="9"/>
  <c r="N1235" i="9"/>
  <c r="M1235" i="9"/>
  <c r="L1235" i="9"/>
  <c r="K1235" i="9"/>
  <c r="J1235" i="9"/>
  <c r="I1235" i="9"/>
  <c r="H1235" i="9"/>
  <c r="R1234" i="9"/>
  <c r="P1234" i="9"/>
  <c r="O1234" i="9"/>
  <c r="N1234" i="9"/>
  <c r="M1234" i="9"/>
  <c r="L1234" i="9"/>
  <c r="K1234" i="9"/>
  <c r="J1234" i="9"/>
  <c r="I1234" i="9"/>
  <c r="H1234" i="9"/>
  <c r="R1233" i="9"/>
  <c r="P1233" i="9"/>
  <c r="O1233" i="9"/>
  <c r="N1233" i="9"/>
  <c r="M1233" i="9"/>
  <c r="L1233" i="9"/>
  <c r="K1233" i="9"/>
  <c r="J1233" i="9"/>
  <c r="I1233" i="9"/>
  <c r="H1233" i="9"/>
  <c r="R1232" i="9"/>
  <c r="P1232" i="9"/>
  <c r="O1232" i="9"/>
  <c r="N1232" i="9"/>
  <c r="M1232" i="9"/>
  <c r="L1232" i="9"/>
  <c r="K1232" i="9"/>
  <c r="J1232" i="9"/>
  <c r="I1232" i="9"/>
  <c r="H1232" i="9"/>
  <c r="R1231" i="9"/>
  <c r="P1231" i="9"/>
  <c r="O1231" i="9"/>
  <c r="N1231" i="9"/>
  <c r="M1231" i="9"/>
  <c r="L1231" i="9"/>
  <c r="K1231" i="9"/>
  <c r="J1231" i="9"/>
  <c r="I1231" i="9"/>
  <c r="H1231" i="9"/>
  <c r="R1230" i="9"/>
  <c r="P1230" i="9"/>
  <c r="O1230" i="9"/>
  <c r="N1230" i="9"/>
  <c r="M1230" i="9"/>
  <c r="L1230" i="9"/>
  <c r="K1230" i="9"/>
  <c r="J1230" i="9"/>
  <c r="I1230" i="9"/>
  <c r="H1230" i="9"/>
  <c r="R1229" i="9"/>
  <c r="P1229" i="9"/>
  <c r="O1229" i="9"/>
  <c r="N1229" i="9"/>
  <c r="M1229" i="9"/>
  <c r="L1229" i="9"/>
  <c r="K1229" i="9"/>
  <c r="J1229" i="9"/>
  <c r="I1229" i="9"/>
  <c r="H1229" i="9"/>
  <c r="R1228" i="9"/>
  <c r="P1228" i="9"/>
  <c r="O1228" i="9"/>
  <c r="N1228" i="9"/>
  <c r="M1228" i="9"/>
  <c r="L1228" i="9"/>
  <c r="K1228" i="9"/>
  <c r="J1228" i="9"/>
  <c r="I1228" i="9"/>
  <c r="H1228" i="9"/>
  <c r="R1227" i="9"/>
  <c r="P1227" i="9"/>
  <c r="O1227" i="9"/>
  <c r="N1227" i="9"/>
  <c r="M1227" i="9"/>
  <c r="L1227" i="9"/>
  <c r="K1227" i="9"/>
  <c r="J1227" i="9"/>
  <c r="I1227" i="9"/>
  <c r="H1227" i="9"/>
  <c r="R1226" i="9"/>
  <c r="P1226" i="9"/>
  <c r="O1226" i="9"/>
  <c r="N1226" i="9"/>
  <c r="M1226" i="9"/>
  <c r="L1226" i="9"/>
  <c r="K1226" i="9"/>
  <c r="J1226" i="9"/>
  <c r="I1226" i="9"/>
  <c r="H1226" i="9"/>
  <c r="R1225" i="9"/>
  <c r="P1225" i="9"/>
  <c r="O1225" i="9"/>
  <c r="N1225" i="9"/>
  <c r="M1225" i="9"/>
  <c r="L1225" i="9"/>
  <c r="K1225" i="9"/>
  <c r="J1225" i="9"/>
  <c r="I1225" i="9"/>
  <c r="H1225" i="9"/>
  <c r="R1224" i="9"/>
  <c r="P1224" i="9"/>
  <c r="O1224" i="9"/>
  <c r="N1224" i="9"/>
  <c r="M1224" i="9"/>
  <c r="L1224" i="9"/>
  <c r="K1224" i="9"/>
  <c r="J1224" i="9"/>
  <c r="I1224" i="9"/>
  <c r="H1224" i="9"/>
  <c r="R1223" i="9"/>
  <c r="P1223" i="9"/>
  <c r="O1223" i="9"/>
  <c r="N1223" i="9"/>
  <c r="M1223" i="9"/>
  <c r="L1223" i="9"/>
  <c r="K1223" i="9"/>
  <c r="J1223" i="9"/>
  <c r="I1223" i="9"/>
  <c r="H1223" i="9"/>
  <c r="R1222" i="9"/>
  <c r="P1222" i="9"/>
  <c r="O1222" i="9"/>
  <c r="N1222" i="9"/>
  <c r="M1222" i="9"/>
  <c r="L1222" i="9"/>
  <c r="K1222" i="9"/>
  <c r="J1222" i="9"/>
  <c r="I1222" i="9"/>
  <c r="H1222" i="9"/>
  <c r="R1221" i="9"/>
  <c r="P1221" i="9"/>
  <c r="O1221" i="9"/>
  <c r="N1221" i="9"/>
  <c r="M1221" i="9"/>
  <c r="L1221" i="9"/>
  <c r="K1221" i="9"/>
  <c r="J1221" i="9"/>
  <c r="I1221" i="9"/>
  <c r="H1221" i="9"/>
  <c r="Q1220" i="9"/>
  <c r="P1220" i="9"/>
  <c r="O1220" i="9"/>
  <c r="H1220" i="9"/>
  <c r="R1219" i="9"/>
  <c r="P1219" i="9"/>
  <c r="O1219" i="9"/>
  <c r="N1219" i="9"/>
  <c r="M1219" i="9"/>
  <c r="L1219" i="9"/>
  <c r="K1219" i="9"/>
  <c r="J1219" i="9"/>
  <c r="I1219" i="9"/>
  <c r="H1219" i="9"/>
  <c r="R1218" i="9"/>
  <c r="P1218" i="9"/>
  <c r="O1218" i="9"/>
  <c r="N1218" i="9"/>
  <c r="M1218" i="9"/>
  <c r="L1218" i="9"/>
  <c r="K1218" i="9"/>
  <c r="J1218" i="9"/>
  <c r="I1218" i="9"/>
  <c r="H1218" i="9"/>
  <c r="R1217" i="9"/>
  <c r="P1217" i="9"/>
  <c r="O1217" i="9"/>
  <c r="N1217" i="9"/>
  <c r="M1217" i="9"/>
  <c r="L1217" i="9"/>
  <c r="K1217" i="9"/>
  <c r="J1217" i="9"/>
  <c r="I1217" i="9"/>
  <c r="H1217" i="9"/>
  <c r="R1216" i="9"/>
  <c r="P1216" i="9"/>
  <c r="O1216" i="9"/>
  <c r="N1216" i="9"/>
  <c r="M1216" i="9"/>
  <c r="L1216" i="9"/>
  <c r="K1216" i="9"/>
  <c r="J1216" i="9"/>
  <c r="I1216" i="9"/>
  <c r="H1216" i="9"/>
  <c r="R1215" i="9"/>
  <c r="P1215" i="9"/>
  <c r="O1215" i="9"/>
  <c r="N1215" i="9"/>
  <c r="M1215" i="9"/>
  <c r="L1215" i="9"/>
  <c r="K1215" i="9"/>
  <c r="J1215" i="9"/>
  <c r="I1215" i="9"/>
  <c r="H1215" i="9"/>
  <c r="R1214" i="9"/>
  <c r="P1214" i="9"/>
  <c r="O1214" i="9"/>
  <c r="N1214" i="9"/>
  <c r="M1214" i="9"/>
  <c r="L1214" i="9"/>
  <c r="K1214" i="9"/>
  <c r="J1214" i="9"/>
  <c r="I1214" i="9"/>
  <c r="H1214" i="9"/>
  <c r="Q1213" i="9"/>
  <c r="P1213" i="9"/>
  <c r="O1213" i="9"/>
  <c r="H1213" i="9"/>
  <c r="R1212" i="9"/>
  <c r="P1212" i="9"/>
  <c r="O1212" i="9"/>
  <c r="N1212" i="9"/>
  <c r="M1212" i="9"/>
  <c r="L1212" i="9"/>
  <c r="K1212" i="9"/>
  <c r="J1212" i="9"/>
  <c r="I1212" i="9"/>
  <c r="H1212" i="9"/>
  <c r="R1211" i="9"/>
  <c r="P1211" i="9"/>
  <c r="O1211" i="9"/>
  <c r="N1211" i="9"/>
  <c r="M1211" i="9"/>
  <c r="L1211" i="9"/>
  <c r="K1211" i="9"/>
  <c r="J1211" i="9"/>
  <c r="I1211" i="9"/>
  <c r="H1211" i="9"/>
  <c r="R1210" i="9"/>
  <c r="P1210" i="9"/>
  <c r="O1210" i="9"/>
  <c r="N1210" i="9"/>
  <c r="M1210" i="9"/>
  <c r="L1210" i="9"/>
  <c r="K1210" i="9"/>
  <c r="J1210" i="9"/>
  <c r="I1210" i="9"/>
  <c r="H1210" i="9"/>
  <c r="R1209" i="9"/>
  <c r="P1209" i="9"/>
  <c r="O1209" i="9"/>
  <c r="N1209" i="9"/>
  <c r="M1209" i="9"/>
  <c r="L1209" i="9"/>
  <c r="K1209" i="9"/>
  <c r="J1209" i="9"/>
  <c r="I1209" i="9"/>
  <c r="H1209" i="9"/>
  <c r="R1208" i="9"/>
  <c r="P1208" i="9"/>
  <c r="O1208" i="9"/>
  <c r="N1208" i="9"/>
  <c r="M1208" i="9"/>
  <c r="L1208" i="9"/>
  <c r="K1208" i="9"/>
  <c r="J1208" i="9"/>
  <c r="I1208" i="9"/>
  <c r="H1208" i="9"/>
  <c r="R1207" i="9"/>
  <c r="P1207" i="9"/>
  <c r="O1207" i="9"/>
  <c r="N1207" i="9"/>
  <c r="M1207" i="9"/>
  <c r="L1207" i="9"/>
  <c r="K1207" i="9"/>
  <c r="J1207" i="9"/>
  <c r="I1207" i="9"/>
  <c r="H1207" i="9"/>
  <c r="R1206" i="9"/>
  <c r="P1206" i="9"/>
  <c r="O1206" i="9"/>
  <c r="N1206" i="9"/>
  <c r="M1206" i="9"/>
  <c r="L1206" i="9"/>
  <c r="K1206" i="9"/>
  <c r="J1206" i="9"/>
  <c r="I1206" i="9"/>
  <c r="H1206" i="9"/>
  <c r="Q1205" i="9"/>
  <c r="P1205" i="9"/>
  <c r="O1205" i="9"/>
  <c r="H1205" i="9"/>
  <c r="R1204" i="9"/>
  <c r="P1204" i="9"/>
  <c r="O1204" i="9"/>
  <c r="N1204" i="9"/>
  <c r="M1204" i="9"/>
  <c r="L1204" i="9"/>
  <c r="K1204" i="9"/>
  <c r="J1204" i="9"/>
  <c r="I1204" i="9"/>
  <c r="H1204" i="9"/>
  <c r="R1203" i="9"/>
  <c r="P1203" i="9"/>
  <c r="O1203" i="9"/>
  <c r="N1203" i="9"/>
  <c r="M1203" i="9"/>
  <c r="L1203" i="9"/>
  <c r="K1203" i="9"/>
  <c r="J1203" i="9"/>
  <c r="I1203" i="9"/>
  <c r="H1203" i="9"/>
  <c r="R1202" i="9"/>
  <c r="P1202" i="9"/>
  <c r="O1202" i="9"/>
  <c r="N1202" i="9"/>
  <c r="M1202" i="9"/>
  <c r="L1202" i="9"/>
  <c r="K1202" i="9"/>
  <c r="J1202" i="9"/>
  <c r="I1202" i="9"/>
  <c r="H1202" i="9"/>
  <c r="R1201" i="9"/>
  <c r="P1201" i="9"/>
  <c r="O1201" i="9"/>
  <c r="N1201" i="9"/>
  <c r="M1201" i="9"/>
  <c r="L1201" i="9"/>
  <c r="K1201" i="9"/>
  <c r="J1201" i="9"/>
  <c r="I1201" i="9"/>
  <c r="H1201" i="9"/>
  <c r="R1200" i="9"/>
  <c r="P1200" i="9"/>
  <c r="O1200" i="9"/>
  <c r="N1200" i="9"/>
  <c r="M1200" i="9"/>
  <c r="L1200" i="9"/>
  <c r="K1200" i="9"/>
  <c r="J1200" i="9"/>
  <c r="I1200" i="9"/>
  <c r="H1200" i="9"/>
  <c r="R1199" i="9"/>
  <c r="P1199" i="9"/>
  <c r="O1199" i="9"/>
  <c r="N1199" i="9"/>
  <c r="M1199" i="9"/>
  <c r="L1199" i="9"/>
  <c r="K1199" i="9"/>
  <c r="J1199" i="9"/>
  <c r="I1199" i="9"/>
  <c r="H1199" i="9"/>
  <c r="R1198" i="9"/>
  <c r="P1198" i="9"/>
  <c r="O1198" i="9"/>
  <c r="N1198" i="9"/>
  <c r="M1198" i="9"/>
  <c r="L1198" i="9"/>
  <c r="K1198" i="9"/>
  <c r="J1198" i="9"/>
  <c r="I1198" i="9"/>
  <c r="H1198" i="9"/>
  <c r="R1197" i="9"/>
  <c r="P1197" i="9"/>
  <c r="O1197" i="9"/>
  <c r="N1197" i="9"/>
  <c r="M1197" i="9"/>
  <c r="L1197" i="9"/>
  <c r="K1197" i="9"/>
  <c r="J1197" i="9"/>
  <c r="I1197" i="9"/>
  <c r="H1197" i="9"/>
  <c r="R1196" i="9"/>
  <c r="P1196" i="9"/>
  <c r="O1196" i="9"/>
  <c r="N1196" i="9"/>
  <c r="M1196" i="9"/>
  <c r="L1196" i="9"/>
  <c r="K1196" i="9"/>
  <c r="J1196" i="9"/>
  <c r="I1196" i="9"/>
  <c r="H1196" i="9"/>
  <c r="R1195" i="9"/>
  <c r="P1195" i="9"/>
  <c r="O1195" i="9"/>
  <c r="N1195" i="9"/>
  <c r="M1195" i="9"/>
  <c r="L1195" i="9"/>
  <c r="K1195" i="9"/>
  <c r="J1195" i="9"/>
  <c r="I1195" i="9"/>
  <c r="H1195" i="9"/>
  <c r="R1194" i="9"/>
  <c r="P1194" i="9"/>
  <c r="O1194" i="9"/>
  <c r="N1194" i="9"/>
  <c r="M1194" i="9"/>
  <c r="L1194" i="9"/>
  <c r="K1194" i="9"/>
  <c r="J1194" i="9"/>
  <c r="I1194" i="9"/>
  <c r="H1194" i="9"/>
  <c r="R1193" i="9"/>
  <c r="P1193" i="9"/>
  <c r="O1193" i="9"/>
  <c r="N1193" i="9"/>
  <c r="M1193" i="9"/>
  <c r="L1193" i="9"/>
  <c r="K1193" i="9"/>
  <c r="J1193" i="9"/>
  <c r="I1193" i="9"/>
  <c r="H1193" i="9"/>
  <c r="R1192" i="9"/>
  <c r="P1192" i="9"/>
  <c r="O1192" i="9"/>
  <c r="N1192" i="9"/>
  <c r="M1192" i="9"/>
  <c r="L1192" i="9"/>
  <c r="K1192" i="9"/>
  <c r="J1192" i="9"/>
  <c r="I1192" i="9"/>
  <c r="H1192" i="9"/>
  <c r="R1191" i="9"/>
  <c r="P1191" i="9"/>
  <c r="O1191" i="9"/>
  <c r="N1191" i="9"/>
  <c r="M1191" i="9"/>
  <c r="L1191" i="9"/>
  <c r="K1191" i="9"/>
  <c r="J1191" i="9"/>
  <c r="I1191" i="9"/>
  <c r="H1191" i="9"/>
  <c r="Q1190" i="9"/>
  <c r="P1190" i="9"/>
  <c r="O1190" i="9"/>
  <c r="H1190" i="9"/>
  <c r="R1189" i="9"/>
  <c r="P1189" i="9"/>
  <c r="O1189" i="9"/>
  <c r="N1189" i="9"/>
  <c r="M1189" i="9"/>
  <c r="L1189" i="9"/>
  <c r="K1189" i="9"/>
  <c r="J1189" i="9"/>
  <c r="I1189" i="9"/>
  <c r="H1189" i="9"/>
  <c r="R1188" i="9"/>
  <c r="P1188" i="9"/>
  <c r="O1188" i="9"/>
  <c r="N1188" i="9"/>
  <c r="M1188" i="9"/>
  <c r="L1188" i="9"/>
  <c r="K1188" i="9"/>
  <c r="J1188" i="9"/>
  <c r="I1188" i="9"/>
  <c r="H1188" i="9"/>
  <c r="R1187" i="9"/>
  <c r="P1187" i="9"/>
  <c r="O1187" i="9"/>
  <c r="N1187" i="9"/>
  <c r="M1187" i="9"/>
  <c r="L1187" i="9"/>
  <c r="K1187" i="9"/>
  <c r="J1187" i="9"/>
  <c r="I1187" i="9"/>
  <c r="H1187" i="9"/>
  <c r="R1186" i="9"/>
  <c r="P1186" i="9"/>
  <c r="O1186" i="9"/>
  <c r="N1186" i="9"/>
  <c r="M1186" i="9"/>
  <c r="L1186" i="9"/>
  <c r="K1186" i="9"/>
  <c r="J1186" i="9"/>
  <c r="I1186" i="9"/>
  <c r="H1186" i="9"/>
  <c r="R1185" i="9"/>
  <c r="P1185" i="9"/>
  <c r="O1185" i="9"/>
  <c r="N1185" i="9"/>
  <c r="M1185" i="9"/>
  <c r="L1185" i="9"/>
  <c r="K1185" i="9"/>
  <c r="J1185" i="9"/>
  <c r="I1185" i="9"/>
  <c r="H1185" i="9"/>
  <c r="R1184" i="9"/>
  <c r="P1184" i="9"/>
  <c r="O1184" i="9"/>
  <c r="N1184" i="9"/>
  <c r="M1184" i="9"/>
  <c r="L1184" i="9"/>
  <c r="K1184" i="9"/>
  <c r="J1184" i="9"/>
  <c r="I1184" i="9"/>
  <c r="H1184" i="9"/>
  <c r="R1183" i="9"/>
  <c r="P1183" i="9"/>
  <c r="O1183" i="9"/>
  <c r="N1183" i="9"/>
  <c r="M1183" i="9"/>
  <c r="L1183" i="9"/>
  <c r="K1183" i="9"/>
  <c r="J1183" i="9"/>
  <c r="I1183" i="9"/>
  <c r="H1183" i="9"/>
  <c r="R1182" i="9"/>
  <c r="P1182" i="9"/>
  <c r="O1182" i="9"/>
  <c r="N1182" i="9"/>
  <c r="M1182" i="9"/>
  <c r="L1182" i="9"/>
  <c r="K1182" i="9"/>
  <c r="J1182" i="9"/>
  <c r="I1182" i="9"/>
  <c r="H1182" i="9"/>
  <c r="Q1181" i="9"/>
  <c r="P1181" i="9"/>
  <c r="O1181" i="9"/>
  <c r="H1181" i="9"/>
  <c r="R1180" i="9"/>
  <c r="P1180" i="9"/>
  <c r="O1180" i="9"/>
  <c r="N1180" i="9"/>
  <c r="M1180" i="9"/>
  <c r="L1180" i="9"/>
  <c r="K1180" i="9"/>
  <c r="J1180" i="9"/>
  <c r="I1180" i="9"/>
  <c r="H1180" i="9"/>
  <c r="R1179" i="9"/>
  <c r="P1179" i="9"/>
  <c r="O1179" i="9"/>
  <c r="N1179" i="9"/>
  <c r="M1179" i="9"/>
  <c r="L1179" i="9"/>
  <c r="K1179" i="9"/>
  <c r="J1179" i="9"/>
  <c r="I1179" i="9"/>
  <c r="H1179" i="9"/>
  <c r="R1178" i="9"/>
  <c r="P1178" i="9"/>
  <c r="O1178" i="9"/>
  <c r="N1178" i="9"/>
  <c r="M1178" i="9"/>
  <c r="L1178" i="9"/>
  <c r="K1178" i="9"/>
  <c r="J1178" i="9"/>
  <c r="I1178" i="9"/>
  <c r="H1178" i="9"/>
  <c r="Q1177" i="9"/>
  <c r="P1177" i="9"/>
  <c r="O1177" i="9"/>
  <c r="H1177" i="9"/>
  <c r="R1176" i="9"/>
  <c r="P1176" i="9"/>
  <c r="O1176" i="9"/>
  <c r="N1176" i="9"/>
  <c r="M1176" i="9"/>
  <c r="L1176" i="9"/>
  <c r="K1176" i="9"/>
  <c r="J1176" i="9"/>
  <c r="I1176" i="9"/>
  <c r="H1176" i="9"/>
  <c r="R1175" i="9"/>
  <c r="P1175" i="9"/>
  <c r="O1175" i="9"/>
  <c r="N1175" i="9"/>
  <c r="M1175" i="9"/>
  <c r="L1175" i="9"/>
  <c r="K1175" i="9"/>
  <c r="J1175" i="9"/>
  <c r="I1175" i="9"/>
  <c r="H1175" i="9"/>
  <c r="R1174" i="9"/>
  <c r="P1174" i="9"/>
  <c r="O1174" i="9"/>
  <c r="N1174" i="9"/>
  <c r="M1174" i="9"/>
  <c r="L1174" i="9"/>
  <c r="K1174" i="9"/>
  <c r="J1174" i="9"/>
  <c r="I1174" i="9"/>
  <c r="H1174" i="9"/>
  <c r="R1173" i="9"/>
  <c r="P1173" i="9"/>
  <c r="O1173" i="9"/>
  <c r="N1173" i="9"/>
  <c r="M1173" i="9"/>
  <c r="L1173" i="9"/>
  <c r="K1173" i="9"/>
  <c r="J1173" i="9"/>
  <c r="I1173" i="9"/>
  <c r="H1173" i="9"/>
  <c r="R1172" i="9"/>
  <c r="P1172" i="9"/>
  <c r="O1172" i="9"/>
  <c r="N1172" i="9"/>
  <c r="M1172" i="9"/>
  <c r="L1172" i="9"/>
  <c r="K1172" i="9"/>
  <c r="J1172" i="9"/>
  <c r="I1172" i="9"/>
  <c r="H1172" i="9"/>
  <c r="R1171" i="9"/>
  <c r="P1171" i="9"/>
  <c r="O1171" i="9"/>
  <c r="N1171" i="9"/>
  <c r="M1171" i="9"/>
  <c r="L1171" i="9"/>
  <c r="K1171" i="9"/>
  <c r="J1171" i="9"/>
  <c r="I1171" i="9"/>
  <c r="H1171" i="9"/>
  <c r="R1170" i="9"/>
  <c r="P1170" i="9"/>
  <c r="O1170" i="9"/>
  <c r="N1170" i="9"/>
  <c r="M1170" i="9"/>
  <c r="L1170" i="9"/>
  <c r="K1170" i="9"/>
  <c r="J1170" i="9"/>
  <c r="I1170" i="9"/>
  <c r="H1170" i="9"/>
  <c r="R1169" i="9"/>
  <c r="P1169" i="9"/>
  <c r="O1169" i="9"/>
  <c r="N1169" i="9"/>
  <c r="M1169" i="9"/>
  <c r="L1169" i="9"/>
  <c r="K1169" i="9"/>
  <c r="J1169" i="9"/>
  <c r="I1169" i="9"/>
  <c r="H1169" i="9"/>
  <c r="R1168" i="9"/>
  <c r="P1168" i="9"/>
  <c r="O1168" i="9"/>
  <c r="N1168" i="9"/>
  <c r="M1168" i="9"/>
  <c r="L1168" i="9"/>
  <c r="K1168" i="9"/>
  <c r="J1168" i="9"/>
  <c r="I1168" i="9"/>
  <c r="H1168" i="9"/>
  <c r="F1168" i="9"/>
  <c r="G1168" i="9" s="1"/>
  <c r="R1167" i="9"/>
  <c r="P1167" i="9"/>
  <c r="O1167" i="9"/>
  <c r="N1167" i="9"/>
  <c r="M1167" i="9"/>
  <c r="L1167" i="9"/>
  <c r="K1167" i="9"/>
  <c r="J1167" i="9"/>
  <c r="I1167" i="9"/>
  <c r="H1167" i="9"/>
  <c r="R1166" i="9"/>
  <c r="P1166" i="9"/>
  <c r="O1166" i="9"/>
  <c r="N1166" i="9"/>
  <c r="M1166" i="9"/>
  <c r="L1166" i="9"/>
  <c r="K1166" i="9"/>
  <c r="J1166" i="9"/>
  <c r="I1166" i="9"/>
  <c r="H1166" i="9"/>
  <c r="R1165" i="9"/>
  <c r="P1165" i="9"/>
  <c r="O1165" i="9"/>
  <c r="N1165" i="9"/>
  <c r="M1165" i="9"/>
  <c r="L1165" i="9"/>
  <c r="K1165" i="9"/>
  <c r="J1165" i="9"/>
  <c r="I1165" i="9"/>
  <c r="H1165" i="9"/>
  <c r="R1164" i="9"/>
  <c r="P1164" i="9"/>
  <c r="O1164" i="9"/>
  <c r="N1164" i="9"/>
  <c r="M1164" i="9"/>
  <c r="L1164" i="9"/>
  <c r="K1164" i="9"/>
  <c r="J1164" i="9"/>
  <c r="I1164" i="9"/>
  <c r="H1164" i="9"/>
  <c r="R1163" i="9"/>
  <c r="P1163" i="9"/>
  <c r="O1163" i="9"/>
  <c r="N1163" i="9"/>
  <c r="M1163" i="9"/>
  <c r="L1163" i="9"/>
  <c r="K1163" i="9"/>
  <c r="J1163" i="9"/>
  <c r="I1163" i="9"/>
  <c r="H1163" i="9"/>
  <c r="Q1162" i="9"/>
  <c r="P1162" i="9"/>
  <c r="O1162" i="9"/>
  <c r="H1162" i="9"/>
  <c r="R1161" i="9"/>
  <c r="P1161" i="9"/>
  <c r="O1161" i="9"/>
  <c r="N1161" i="9"/>
  <c r="M1161" i="9"/>
  <c r="L1161" i="9"/>
  <c r="K1161" i="9"/>
  <c r="J1161" i="9"/>
  <c r="I1161" i="9"/>
  <c r="H1161" i="9"/>
  <c r="R1160" i="9"/>
  <c r="P1160" i="9"/>
  <c r="O1160" i="9"/>
  <c r="N1160" i="9"/>
  <c r="M1160" i="9"/>
  <c r="L1160" i="9"/>
  <c r="K1160" i="9"/>
  <c r="J1160" i="9"/>
  <c r="I1160" i="9"/>
  <c r="H1160" i="9"/>
  <c r="R1159" i="9"/>
  <c r="P1159" i="9"/>
  <c r="O1159" i="9"/>
  <c r="N1159" i="9"/>
  <c r="M1159" i="9"/>
  <c r="L1159" i="9"/>
  <c r="K1159" i="9"/>
  <c r="J1159" i="9"/>
  <c r="I1159" i="9"/>
  <c r="H1159" i="9"/>
  <c r="R1158" i="9"/>
  <c r="P1158" i="9"/>
  <c r="O1158" i="9"/>
  <c r="N1158" i="9"/>
  <c r="M1158" i="9"/>
  <c r="L1158" i="9"/>
  <c r="K1158" i="9"/>
  <c r="J1158" i="9"/>
  <c r="I1158" i="9"/>
  <c r="H1158" i="9"/>
  <c r="Q1157" i="9"/>
  <c r="P1157" i="9"/>
  <c r="O1157" i="9"/>
  <c r="H1157" i="9"/>
  <c r="R1156" i="9"/>
  <c r="P1156" i="9"/>
  <c r="O1156" i="9"/>
  <c r="N1156" i="9"/>
  <c r="M1156" i="9"/>
  <c r="L1156" i="9"/>
  <c r="K1156" i="9"/>
  <c r="J1156" i="9"/>
  <c r="I1156" i="9"/>
  <c r="H1156" i="9"/>
  <c r="R1155" i="9"/>
  <c r="P1155" i="9"/>
  <c r="O1155" i="9"/>
  <c r="N1155" i="9"/>
  <c r="M1155" i="9"/>
  <c r="L1155" i="9"/>
  <c r="K1155" i="9"/>
  <c r="J1155" i="9"/>
  <c r="I1155" i="9"/>
  <c r="H1155" i="9"/>
  <c r="R1154" i="9"/>
  <c r="P1154" i="9"/>
  <c r="O1154" i="9"/>
  <c r="N1154" i="9"/>
  <c r="M1154" i="9"/>
  <c r="L1154" i="9"/>
  <c r="K1154" i="9"/>
  <c r="J1154" i="9"/>
  <c r="I1154" i="9"/>
  <c r="H1154" i="9"/>
  <c r="Q1153" i="9"/>
  <c r="O1153" i="9"/>
  <c r="H1153" i="9"/>
  <c r="P1153" i="9" s="1"/>
  <c r="R1152" i="9"/>
  <c r="P1152" i="9"/>
  <c r="O1152" i="9"/>
  <c r="N1152" i="9"/>
  <c r="M1152" i="9"/>
  <c r="L1152" i="9"/>
  <c r="K1152" i="9"/>
  <c r="J1152" i="9"/>
  <c r="I1152" i="9"/>
  <c r="H1152" i="9"/>
  <c r="R1151" i="9"/>
  <c r="P1151" i="9"/>
  <c r="O1151" i="9"/>
  <c r="N1151" i="9"/>
  <c r="M1151" i="9"/>
  <c r="L1151" i="9"/>
  <c r="K1151" i="9"/>
  <c r="J1151" i="9"/>
  <c r="I1151" i="9"/>
  <c r="H1151" i="9"/>
  <c r="R1150" i="9"/>
  <c r="P1150" i="9"/>
  <c r="O1150" i="9"/>
  <c r="N1150" i="9"/>
  <c r="M1150" i="9"/>
  <c r="L1150" i="9"/>
  <c r="K1150" i="9"/>
  <c r="J1150" i="9"/>
  <c r="I1150" i="9"/>
  <c r="H1150" i="9"/>
  <c r="R1149" i="9"/>
  <c r="P1149" i="9"/>
  <c r="O1149" i="9"/>
  <c r="N1149" i="9"/>
  <c r="M1149" i="9"/>
  <c r="L1149" i="9"/>
  <c r="K1149" i="9"/>
  <c r="J1149" i="9"/>
  <c r="I1149" i="9"/>
  <c r="H1149" i="9"/>
  <c r="R1148" i="9"/>
  <c r="P1148" i="9"/>
  <c r="O1148" i="9"/>
  <c r="N1148" i="9"/>
  <c r="M1148" i="9"/>
  <c r="L1148" i="9"/>
  <c r="K1148" i="9"/>
  <c r="J1148" i="9"/>
  <c r="I1148" i="9"/>
  <c r="H1148" i="9"/>
  <c r="R1147" i="9"/>
  <c r="P1147" i="9"/>
  <c r="O1147" i="9"/>
  <c r="N1147" i="9"/>
  <c r="M1147" i="9"/>
  <c r="L1147" i="9"/>
  <c r="K1147" i="9"/>
  <c r="J1147" i="9"/>
  <c r="I1147" i="9"/>
  <c r="H1147" i="9"/>
  <c r="R1146" i="9"/>
  <c r="P1146" i="9"/>
  <c r="O1146" i="9"/>
  <c r="N1146" i="9"/>
  <c r="M1146" i="9"/>
  <c r="L1146" i="9"/>
  <c r="K1146" i="9"/>
  <c r="J1146" i="9"/>
  <c r="I1146" i="9"/>
  <c r="H1146" i="9"/>
  <c r="R1145" i="9"/>
  <c r="P1145" i="9"/>
  <c r="O1145" i="9"/>
  <c r="N1145" i="9"/>
  <c r="M1145" i="9"/>
  <c r="L1145" i="9"/>
  <c r="K1145" i="9"/>
  <c r="J1145" i="9"/>
  <c r="I1145" i="9"/>
  <c r="H1145" i="9"/>
  <c r="R1144" i="9"/>
  <c r="P1144" i="9"/>
  <c r="O1144" i="9"/>
  <c r="N1144" i="9"/>
  <c r="M1144" i="9"/>
  <c r="L1144" i="9"/>
  <c r="K1144" i="9"/>
  <c r="J1144" i="9"/>
  <c r="I1144" i="9"/>
  <c r="H1144" i="9"/>
  <c r="R1143" i="9"/>
  <c r="P1143" i="9"/>
  <c r="O1143" i="9"/>
  <c r="N1143" i="9"/>
  <c r="M1143" i="9"/>
  <c r="L1143" i="9"/>
  <c r="K1143" i="9"/>
  <c r="J1143" i="9"/>
  <c r="I1143" i="9"/>
  <c r="H1143" i="9"/>
  <c r="R1142" i="9"/>
  <c r="P1142" i="9"/>
  <c r="O1142" i="9"/>
  <c r="N1142" i="9"/>
  <c r="M1142" i="9"/>
  <c r="L1142" i="9"/>
  <c r="K1142" i="9"/>
  <c r="J1142" i="9"/>
  <c r="I1142" i="9"/>
  <c r="H1142" i="9"/>
  <c r="R1141" i="9"/>
  <c r="P1141" i="9"/>
  <c r="O1141" i="9"/>
  <c r="N1141" i="9"/>
  <c r="M1141" i="9"/>
  <c r="L1141" i="9"/>
  <c r="K1141" i="9"/>
  <c r="J1141" i="9"/>
  <c r="I1141" i="9"/>
  <c r="H1141" i="9"/>
  <c r="R1140" i="9"/>
  <c r="P1140" i="9"/>
  <c r="O1140" i="9"/>
  <c r="N1140" i="9"/>
  <c r="M1140" i="9"/>
  <c r="L1140" i="9"/>
  <c r="K1140" i="9"/>
  <c r="J1140" i="9"/>
  <c r="I1140" i="9"/>
  <c r="H1140" i="9"/>
  <c r="R1139" i="9"/>
  <c r="P1139" i="9"/>
  <c r="O1139" i="9"/>
  <c r="N1139" i="9"/>
  <c r="M1139" i="9"/>
  <c r="L1139" i="9"/>
  <c r="K1139" i="9"/>
  <c r="J1139" i="9"/>
  <c r="I1139" i="9"/>
  <c r="H1139" i="9"/>
  <c r="R1138" i="9"/>
  <c r="P1138" i="9"/>
  <c r="O1138" i="9"/>
  <c r="N1138" i="9"/>
  <c r="M1138" i="9"/>
  <c r="L1138" i="9"/>
  <c r="K1138" i="9"/>
  <c r="J1138" i="9"/>
  <c r="I1138" i="9"/>
  <c r="H1138" i="9"/>
  <c r="Q1137" i="9"/>
  <c r="O1137" i="9"/>
  <c r="H1137" i="9"/>
  <c r="P1137" i="9" s="1"/>
  <c r="R1136" i="9"/>
  <c r="P1136" i="9"/>
  <c r="O1136" i="9"/>
  <c r="N1136" i="9"/>
  <c r="M1136" i="9"/>
  <c r="L1136" i="9"/>
  <c r="K1136" i="9"/>
  <c r="J1136" i="9"/>
  <c r="I1136" i="9"/>
  <c r="H1136" i="9"/>
  <c r="R1135" i="9"/>
  <c r="P1135" i="9"/>
  <c r="O1135" i="9"/>
  <c r="N1135" i="9"/>
  <c r="M1135" i="9"/>
  <c r="L1135" i="9"/>
  <c r="K1135" i="9"/>
  <c r="J1135" i="9"/>
  <c r="I1135" i="9"/>
  <c r="H1135" i="9"/>
  <c r="R1134" i="9"/>
  <c r="P1134" i="9"/>
  <c r="O1134" i="9"/>
  <c r="N1134" i="9"/>
  <c r="M1134" i="9"/>
  <c r="L1134" i="9"/>
  <c r="K1134" i="9"/>
  <c r="J1134" i="9"/>
  <c r="I1134" i="9"/>
  <c r="H1134" i="9"/>
  <c r="R1133" i="9"/>
  <c r="P1133" i="9"/>
  <c r="O1133" i="9"/>
  <c r="N1133" i="9"/>
  <c r="M1133" i="9"/>
  <c r="L1133" i="9"/>
  <c r="K1133" i="9"/>
  <c r="J1133" i="9"/>
  <c r="I1133" i="9"/>
  <c r="H1133" i="9"/>
  <c r="R1132" i="9"/>
  <c r="P1132" i="9"/>
  <c r="O1132" i="9"/>
  <c r="N1132" i="9"/>
  <c r="M1132" i="9"/>
  <c r="L1132" i="9"/>
  <c r="K1132" i="9"/>
  <c r="J1132" i="9"/>
  <c r="I1132" i="9"/>
  <c r="H1132" i="9"/>
  <c r="R1131" i="9"/>
  <c r="P1131" i="9"/>
  <c r="O1131" i="9"/>
  <c r="N1131" i="9"/>
  <c r="M1131" i="9"/>
  <c r="L1131" i="9"/>
  <c r="K1131" i="9"/>
  <c r="J1131" i="9"/>
  <c r="I1131" i="9"/>
  <c r="H1131" i="9"/>
  <c r="R1130" i="9"/>
  <c r="P1130" i="9"/>
  <c r="O1130" i="9"/>
  <c r="N1130" i="9"/>
  <c r="M1130" i="9"/>
  <c r="L1130" i="9"/>
  <c r="K1130" i="9"/>
  <c r="J1130" i="9"/>
  <c r="I1130" i="9"/>
  <c r="H1130" i="9"/>
  <c r="Q1129" i="9"/>
  <c r="O1129" i="9"/>
  <c r="H1129" i="9"/>
  <c r="P1129" i="9" s="1"/>
  <c r="R1128" i="9"/>
  <c r="P1128" i="9"/>
  <c r="O1128" i="9"/>
  <c r="N1128" i="9"/>
  <c r="M1128" i="9"/>
  <c r="L1128" i="9"/>
  <c r="K1128" i="9"/>
  <c r="J1128" i="9"/>
  <c r="I1128" i="9"/>
  <c r="H1128" i="9"/>
  <c r="R1127" i="9"/>
  <c r="P1127" i="9"/>
  <c r="O1127" i="9"/>
  <c r="N1127" i="9"/>
  <c r="M1127" i="9"/>
  <c r="L1127" i="9"/>
  <c r="K1127" i="9"/>
  <c r="J1127" i="9"/>
  <c r="I1127" i="9"/>
  <c r="H1127" i="9"/>
  <c r="R1126" i="9"/>
  <c r="P1126" i="9"/>
  <c r="O1126" i="9"/>
  <c r="N1126" i="9"/>
  <c r="M1126" i="9"/>
  <c r="L1126" i="9"/>
  <c r="K1126" i="9"/>
  <c r="J1126" i="9"/>
  <c r="I1126" i="9"/>
  <c r="H1126" i="9"/>
  <c r="R1125" i="9"/>
  <c r="P1125" i="9"/>
  <c r="O1125" i="9"/>
  <c r="N1125" i="9"/>
  <c r="M1125" i="9"/>
  <c r="L1125" i="9"/>
  <c r="K1125" i="9"/>
  <c r="J1125" i="9"/>
  <c r="I1125" i="9"/>
  <c r="H1125" i="9"/>
  <c r="R1124" i="9"/>
  <c r="P1124" i="9"/>
  <c r="O1124" i="9"/>
  <c r="N1124" i="9"/>
  <c r="M1124" i="9"/>
  <c r="L1124" i="9"/>
  <c r="K1124" i="9"/>
  <c r="J1124" i="9"/>
  <c r="I1124" i="9"/>
  <c r="H1124" i="9"/>
  <c r="Q1123" i="9"/>
  <c r="P1123" i="9"/>
  <c r="O1123" i="9"/>
  <c r="H1123" i="9"/>
  <c r="R1122" i="9"/>
  <c r="P1122" i="9"/>
  <c r="O1122" i="9"/>
  <c r="N1122" i="9"/>
  <c r="M1122" i="9"/>
  <c r="L1122" i="9"/>
  <c r="K1122" i="9"/>
  <c r="J1122" i="9"/>
  <c r="I1122" i="9"/>
  <c r="H1122" i="9"/>
  <c r="R1121" i="9"/>
  <c r="P1121" i="9"/>
  <c r="O1121" i="9"/>
  <c r="N1121" i="9"/>
  <c r="M1121" i="9"/>
  <c r="L1121" i="9"/>
  <c r="K1121" i="9"/>
  <c r="J1121" i="9"/>
  <c r="I1121" i="9"/>
  <c r="H1121" i="9"/>
  <c r="R1120" i="9"/>
  <c r="P1120" i="9"/>
  <c r="O1120" i="9"/>
  <c r="N1120" i="9"/>
  <c r="M1120" i="9"/>
  <c r="L1120" i="9"/>
  <c r="K1120" i="9"/>
  <c r="J1120" i="9"/>
  <c r="I1120" i="9"/>
  <c r="H1120" i="9"/>
  <c r="R1119" i="9"/>
  <c r="P1119" i="9"/>
  <c r="O1119" i="9"/>
  <c r="N1119" i="9"/>
  <c r="M1119" i="9"/>
  <c r="L1119" i="9"/>
  <c r="K1119" i="9"/>
  <c r="J1119" i="9"/>
  <c r="I1119" i="9"/>
  <c r="H1119" i="9"/>
  <c r="Q1118" i="9"/>
  <c r="P1118" i="9"/>
  <c r="O1118" i="9"/>
  <c r="H1118" i="9"/>
  <c r="R1117" i="9"/>
  <c r="P1117" i="9"/>
  <c r="O1117" i="9"/>
  <c r="N1117" i="9"/>
  <c r="M1117" i="9"/>
  <c r="L1117" i="9"/>
  <c r="K1117" i="9"/>
  <c r="J1117" i="9"/>
  <c r="I1117" i="9"/>
  <c r="H1117" i="9"/>
  <c r="R1116" i="9"/>
  <c r="P1116" i="9"/>
  <c r="O1116" i="9"/>
  <c r="N1116" i="9"/>
  <c r="M1116" i="9"/>
  <c r="L1116" i="9"/>
  <c r="K1116" i="9"/>
  <c r="J1116" i="9"/>
  <c r="I1116" i="9"/>
  <c r="H1116" i="9"/>
  <c r="R1115" i="9"/>
  <c r="P1115" i="9"/>
  <c r="O1115" i="9"/>
  <c r="N1115" i="9"/>
  <c r="M1115" i="9"/>
  <c r="L1115" i="9"/>
  <c r="K1115" i="9"/>
  <c r="J1115" i="9"/>
  <c r="I1115" i="9"/>
  <c r="H1115" i="9"/>
  <c r="R1114" i="9"/>
  <c r="P1114" i="9"/>
  <c r="O1114" i="9"/>
  <c r="N1114" i="9"/>
  <c r="M1114" i="9"/>
  <c r="L1114" i="9"/>
  <c r="K1114" i="9"/>
  <c r="J1114" i="9"/>
  <c r="I1114" i="9"/>
  <c r="H1114" i="9"/>
  <c r="R1113" i="9"/>
  <c r="P1113" i="9"/>
  <c r="O1113" i="9"/>
  <c r="N1113" i="9"/>
  <c r="M1113" i="9"/>
  <c r="L1113" i="9"/>
  <c r="K1113" i="9"/>
  <c r="J1113" i="9"/>
  <c r="I1113" i="9"/>
  <c r="H1113" i="9"/>
  <c r="R1112" i="9"/>
  <c r="P1112" i="9"/>
  <c r="O1112" i="9"/>
  <c r="N1112" i="9"/>
  <c r="M1112" i="9"/>
  <c r="L1112" i="9"/>
  <c r="K1112" i="9"/>
  <c r="J1112" i="9"/>
  <c r="I1112" i="9"/>
  <c r="H1112" i="9"/>
  <c r="R1111" i="9"/>
  <c r="P1111" i="9"/>
  <c r="O1111" i="9"/>
  <c r="N1111" i="9"/>
  <c r="M1111" i="9"/>
  <c r="L1111" i="9"/>
  <c r="K1111" i="9"/>
  <c r="J1111" i="9"/>
  <c r="I1111" i="9"/>
  <c r="H1111" i="9"/>
  <c r="R1110" i="9"/>
  <c r="P1110" i="9"/>
  <c r="O1110" i="9"/>
  <c r="N1110" i="9"/>
  <c r="M1110" i="9"/>
  <c r="L1110" i="9"/>
  <c r="K1110" i="9"/>
  <c r="J1110" i="9"/>
  <c r="I1110" i="9"/>
  <c r="H1110" i="9"/>
  <c r="R1109" i="9"/>
  <c r="P1109" i="9"/>
  <c r="O1109" i="9"/>
  <c r="N1109" i="9"/>
  <c r="M1109" i="9"/>
  <c r="L1109" i="9"/>
  <c r="K1109" i="9"/>
  <c r="J1109" i="9"/>
  <c r="I1109" i="9"/>
  <c r="H1109" i="9"/>
  <c r="Q1108" i="9"/>
  <c r="P1108" i="9"/>
  <c r="O1108" i="9"/>
  <c r="H1108" i="9"/>
  <c r="R1107" i="9"/>
  <c r="P1107" i="9"/>
  <c r="O1107" i="9"/>
  <c r="N1107" i="9"/>
  <c r="M1107" i="9"/>
  <c r="L1107" i="9"/>
  <c r="K1107" i="9"/>
  <c r="J1107" i="9"/>
  <c r="I1107" i="9"/>
  <c r="H1107" i="9"/>
  <c r="R1106" i="9"/>
  <c r="P1106" i="9"/>
  <c r="O1106" i="9"/>
  <c r="N1106" i="9"/>
  <c r="M1106" i="9"/>
  <c r="L1106" i="9"/>
  <c r="K1106" i="9"/>
  <c r="J1106" i="9"/>
  <c r="I1106" i="9"/>
  <c r="H1106" i="9"/>
  <c r="R1105" i="9"/>
  <c r="P1105" i="9"/>
  <c r="O1105" i="9"/>
  <c r="N1105" i="9"/>
  <c r="M1105" i="9"/>
  <c r="L1105" i="9"/>
  <c r="K1105" i="9"/>
  <c r="J1105" i="9"/>
  <c r="I1105" i="9"/>
  <c r="H1105" i="9"/>
  <c r="R1104" i="9"/>
  <c r="P1104" i="9"/>
  <c r="O1104" i="9"/>
  <c r="N1104" i="9"/>
  <c r="M1104" i="9"/>
  <c r="L1104" i="9"/>
  <c r="K1104" i="9"/>
  <c r="J1104" i="9"/>
  <c r="I1104" i="9"/>
  <c r="H1104" i="9"/>
  <c r="R1103" i="9"/>
  <c r="P1103" i="9"/>
  <c r="O1103" i="9"/>
  <c r="N1103" i="9"/>
  <c r="M1103" i="9"/>
  <c r="L1103" i="9"/>
  <c r="K1103" i="9"/>
  <c r="J1103" i="9"/>
  <c r="I1103" i="9"/>
  <c r="H1103" i="9"/>
  <c r="Q1102" i="9"/>
  <c r="O1102" i="9"/>
  <c r="H1102" i="9"/>
  <c r="P1102" i="9" s="1"/>
  <c r="R1101" i="9"/>
  <c r="P1101" i="9"/>
  <c r="O1101" i="9"/>
  <c r="N1101" i="9"/>
  <c r="M1101" i="9"/>
  <c r="L1101" i="9"/>
  <c r="K1101" i="9"/>
  <c r="J1101" i="9"/>
  <c r="I1101" i="9"/>
  <c r="H1101" i="9"/>
  <c r="R1100" i="9"/>
  <c r="P1100" i="9"/>
  <c r="O1100" i="9"/>
  <c r="N1100" i="9"/>
  <c r="M1100" i="9"/>
  <c r="L1100" i="9"/>
  <c r="K1100" i="9"/>
  <c r="J1100" i="9"/>
  <c r="I1100" i="9"/>
  <c r="H1100" i="9"/>
  <c r="R1099" i="9"/>
  <c r="P1099" i="9"/>
  <c r="O1099" i="9"/>
  <c r="N1099" i="9"/>
  <c r="M1099" i="9"/>
  <c r="L1099" i="9"/>
  <c r="K1099" i="9"/>
  <c r="J1099" i="9"/>
  <c r="I1099" i="9"/>
  <c r="H1099" i="9"/>
  <c r="R1098" i="9"/>
  <c r="P1098" i="9"/>
  <c r="O1098" i="9"/>
  <c r="N1098" i="9"/>
  <c r="M1098" i="9"/>
  <c r="L1098" i="9"/>
  <c r="K1098" i="9"/>
  <c r="J1098" i="9"/>
  <c r="I1098" i="9"/>
  <c r="H1098" i="9"/>
  <c r="R1097" i="9"/>
  <c r="P1097" i="9"/>
  <c r="O1097" i="9"/>
  <c r="N1097" i="9"/>
  <c r="M1097" i="9"/>
  <c r="L1097" i="9"/>
  <c r="K1097" i="9"/>
  <c r="J1097" i="9"/>
  <c r="I1097" i="9"/>
  <c r="H1097" i="9"/>
  <c r="Q1096" i="9"/>
  <c r="P1096" i="9"/>
  <c r="O1096" i="9"/>
  <c r="H1096" i="9"/>
  <c r="R1095" i="9"/>
  <c r="P1095" i="9"/>
  <c r="O1095" i="9"/>
  <c r="N1095" i="9"/>
  <c r="M1095" i="9"/>
  <c r="L1095" i="9"/>
  <c r="K1095" i="9"/>
  <c r="J1095" i="9"/>
  <c r="I1095" i="9"/>
  <c r="H1095" i="9"/>
  <c r="R1094" i="9"/>
  <c r="P1094" i="9"/>
  <c r="O1094" i="9"/>
  <c r="N1094" i="9"/>
  <c r="M1094" i="9"/>
  <c r="L1094" i="9"/>
  <c r="K1094" i="9"/>
  <c r="J1094" i="9"/>
  <c r="I1094" i="9"/>
  <c r="H1094" i="9"/>
  <c r="R1093" i="9"/>
  <c r="P1093" i="9"/>
  <c r="O1093" i="9"/>
  <c r="N1093" i="9"/>
  <c r="M1093" i="9"/>
  <c r="L1093" i="9"/>
  <c r="K1093" i="9"/>
  <c r="J1093" i="9"/>
  <c r="I1093" i="9"/>
  <c r="H1093" i="9"/>
  <c r="R1092" i="9"/>
  <c r="P1092" i="9"/>
  <c r="O1092" i="9"/>
  <c r="N1092" i="9"/>
  <c r="M1092" i="9"/>
  <c r="L1092" i="9"/>
  <c r="K1092" i="9"/>
  <c r="J1092" i="9"/>
  <c r="I1092" i="9"/>
  <c r="H1092" i="9"/>
  <c r="R1091" i="9"/>
  <c r="P1091" i="9"/>
  <c r="O1091" i="9"/>
  <c r="N1091" i="9"/>
  <c r="M1091" i="9"/>
  <c r="L1091" i="9"/>
  <c r="K1091" i="9"/>
  <c r="J1091" i="9"/>
  <c r="I1091" i="9"/>
  <c r="H1091" i="9"/>
  <c r="R1090" i="9"/>
  <c r="P1090" i="9"/>
  <c r="O1090" i="9"/>
  <c r="N1090" i="9"/>
  <c r="M1090" i="9"/>
  <c r="L1090" i="9"/>
  <c r="K1090" i="9"/>
  <c r="J1090" i="9"/>
  <c r="I1090" i="9"/>
  <c r="H1090" i="9"/>
  <c r="R1089" i="9"/>
  <c r="P1089" i="9"/>
  <c r="O1089" i="9"/>
  <c r="N1089" i="9"/>
  <c r="M1089" i="9"/>
  <c r="L1089" i="9"/>
  <c r="K1089" i="9"/>
  <c r="J1089" i="9"/>
  <c r="I1089" i="9"/>
  <c r="H1089" i="9"/>
  <c r="R1088" i="9"/>
  <c r="P1088" i="9"/>
  <c r="O1088" i="9"/>
  <c r="N1088" i="9"/>
  <c r="M1088" i="9"/>
  <c r="L1088" i="9"/>
  <c r="K1088" i="9"/>
  <c r="J1088" i="9"/>
  <c r="I1088" i="9"/>
  <c r="H1088" i="9"/>
  <c r="R1087" i="9"/>
  <c r="P1087" i="9"/>
  <c r="O1087" i="9"/>
  <c r="N1087" i="9"/>
  <c r="M1087" i="9"/>
  <c r="L1087" i="9"/>
  <c r="K1087" i="9"/>
  <c r="J1087" i="9"/>
  <c r="I1087" i="9"/>
  <c r="H1087" i="9"/>
  <c r="R1086" i="9"/>
  <c r="P1086" i="9"/>
  <c r="O1086" i="9"/>
  <c r="N1086" i="9"/>
  <c r="M1086" i="9"/>
  <c r="L1086" i="9"/>
  <c r="K1086" i="9"/>
  <c r="J1086" i="9"/>
  <c r="I1086" i="9"/>
  <c r="H1086" i="9"/>
  <c r="R1085" i="9"/>
  <c r="P1085" i="9"/>
  <c r="O1085" i="9"/>
  <c r="N1085" i="9"/>
  <c r="M1085" i="9"/>
  <c r="L1085" i="9"/>
  <c r="K1085" i="9"/>
  <c r="J1085" i="9"/>
  <c r="I1085" i="9"/>
  <c r="H1085" i="9"/>
  <c r="Q1084" i="9"/>
  <c r="P1084" i="9"/>
  <c r="O1084" i="9"/>
  <c r="H1084" i="9"/>
  <c r="R1083" i="9"/>
  <c r="P1083" i="9"/>
  <c r="O1083" i="9"/>
  <c r="N1083" i="9"/>
  <c r="M1083" i="9"/>
  <c r="L1083" i="9"/>
  <c r="K1083" i="9"/>
  <c r="J1083" i="9"/>
  <c r="I1083" i="9"/>
  <c r="H1083" i="9"/>
  <c r="R1082" i="9"/>
  <c r="P1082" i="9"/>
  <c r="O1082" i="9"/>
  <c r="N1082" i="9"/>
  <c r="M1082" i="9"/>
  <c r="L1082" i="9"/>
  <c r="K1082" i="9"/>
  <c r="J1082" i="9"/>
  <c r="I1082" i="9"/>
  <c r="H1082" i="9"/>
  <c r="R1081" i="9"/>
  <c r="P1081" i="9"/>
  <c r="O1081" i="9"/>
  <c r="N1081" i="9"/>
  <c r="M1081" i="9"/>
  <c r="L1081" i="9"/>
  <c r="K1081" i="9"/>
  <c r="J1081" i="9"/>
  <c r="I1081" i="9"/>
  <c r="H1081" i="9"/>
  <c r="R1080" i="9"/>
  <c r="P1080" i="9"/>
  <c r="O1080" i="9"/>
  <c r="N1080" i="9"/>
  <c r="M1080" i="9"/>
  <c r="L1080" i="9"/>
  <c r="K1080" i="9"/>
  <c r="J1080" i="9"/>
  <c r="I1080" i="9"/>
  <c r="H1080" i="9"/>
  <c r="R1079" i="9"/>
  <c r="P1079" i="9"/>
  <c r="O1079" i="9"/>
  <c r="N1079" i="9"/>
  <c r="M1079" i="9"/>
  <c r="L1079" i="9"/>
  <c r="K1079" i="9"/>
  <c r="J1079" i="9"/>
  <c r="I1079" i="9"/>
  <c r="H1079" i="9"/>
  <c r="R1078" i="9"/>
  <c r="P1078" i="9"/>
  <c r="O1078" i="9"/>
  <c r="N1078" i="9"/>
  <c r="M1078" i="9"/>
  <c r="L1078" i="9"/>
  <c r="K1078" i="9"/>
  <c r="J1078" i="9"/>
  <c r="I1078" i="9"/>
  <c r="H1078" i="9"/>
  <c r="Q1077" i="9"/>
  <c r="O1077" i="9"/>
  <c r="H1077" i="9"/>
  <c r="P1077" i="9" s="1"/>
  <c r="R1076" i="9"/>
  <c r="P1076" i="9"/>
  <c r="O1076" i="9"/>
  <c r="N1076" i="9"/>
  <c r="M1076" i="9"/>
  <c r="L1076" i="9"/>
  <c r="K1076" i="9"/>
  <c r="J1076" i="9"/>
  <c r="I1076" i="9"/>
  <c r="H1076" i="9"/>
  <c r="R1075" i="9"/>
  <c r="P1075" i="9"/>
  <c r="O1075" i="9"/>
  <c r="N1075" i="9"/>
  <c r="M1075" i="9"/>
  <c r="L1075" i="9"/>
  <c r="K1075" i="9"/>
  <c r="J1075" i="9"/>
  <c r="I1075" i="9"/>
  <c r="H1075" i="9"/>
  <c r="R1074" i="9"/>
  <c r="P1074" i="9"/>
  <c r="O1074" i="9"/>
  <c r="N1074" i="9"/>
  <c r="M1074" i="9"/>
  <c r="L1074" i="9"/>
  <c r="K1074" i="9"/>
  <c r="J1074" i="9"/>
  <c r="I1074" i="9"/>
  <c r="H1074" i="9"/>
  <c r="J1068" i="9"/>
  <c r="E1473" i="9" s="1"/>
  <c r="Q1473" i="9" s="1"/>
  <c r="S1473" i="9" s="1"/>
  <c r="I1068" i="9"/>
  <c r="K1068" i="9" s="1"/>
  <c r="F1473" i="9" s="1"/>
  <c r="G1473" i="9" s="1"/>
  <c r="J1067" i="9"/>
  <c r="I1067" i="9"/>
  <c r="K1067" i="9" s="1"/>
  <c r="K1066" i="9"/>
  <c r="F1472" i="9" s="1"/>
  <c r="G1472" i="9" s="1"/>
  <c r="J1066" i="9"/>
  <c r="E1472" i="9" s="1"/>
  <c r="Q1472" i="9" s="1"/>
  <c r="S1472" i="9" s="1"/>
  <c r="I1066" i="9"/>
  <c r="K1065" i="9"/>
  <c r="J1065" i="9"/>
  <c r="I1065" i="9"/>
  <c r="J1064" i="9"/>
  <c r="I1064" i="9"/>
  <c r="K1064" i="9" s="1"/>
  <c r="K1063" i="9"/>
  <c r="J1063" i="9"/>
  <c r="I1063" i="9"/>
  <c r="J1062" i="9"/>
  <c r="I1062" i="9"/>
  <c r="K1062" i="9" s="1"/>
  <c r="F1471" i="9" s="1"/>
  <c r="G1471" i="9" s="1"/>
  <c r="J1061" i="9"/>
  <c r="I1061" i="9"/>
  <c r="K1061" i="9" s="1"/>
  <c r="K1060" i="9"/>
  <c r="J1060" i="9"/>
  <c r="E1470" i="9" s="1"/>
  <c r="Q1470" i="9" s="1"/>
  <c r="S1470" i="9" s="1"/>
  <c r="I1060" i="9"/>
  <c r="J1059" i="9"/>
  <c r="E1469" i="9" s="1"/>
  <c r="Q1469" i="9" s="1"/>
  <c r="S1469" i="9" s="1"/>
  <c r="I1059" i="9"/>
  <c r="K1059" i="9" s="1"/>
  <c r="F1469" i="9" s="1"/>
  <c r="G1469" i="9" s="1"/>
  <c r="J1058" i="9"/>
  <c r="I1058" i="9"/>
  <c r="K1058" i="9" s="1"/>
  <c r="J1057" i="9"/>
  <c r="I1057" i="9"/>
  <c r="K1057" i="9" s="1"/>
  <c r="J1056" i="9"/>
  <c r="I1056" i="9"/>
  <c r="K1056" i="9" s="1"/>
  <c r="J1055" i="9"/>
  <c r="I1055" i="9"/>
  <c r="K1055" i="9" s="1"/>
  <c r="J1054" i="9"/>
  <c r="E1467" i="9" s="1"/>
  <c r="Q1467" i="9" s="1"/>
  <c r="S1467" i="9" s="1"/>
  <c r="I1054" i="9"/>
  <c r="K1054" i="9" s="1"/>
  <c r="F1467" i="9" s="1"/>
  <c r="G1467" i="9" s="1"/>
  <c r="K1053" i="9"/>
  <c r="J1053" i="9"/>
  <c r="I1053" i="9"/>
  <c r="K1052" i="9"/>
  <c r="J1052" i="9"/>
  <c r="I1052" i="9"/>
  <c r="K1051" i="9"/>
  <c r="J1051" i="9"/>
  <c r="I1051" i="9"/>
  <c r="K1050" i="9"/>
  <c r="J1050" i="9"/>
  <c r="I1050" i="9"/>
  <c r="K1049" i="9"/>
  <c r="J1049" i="9"/>
  <c r="I1049" i="9"/>
  <c r="K1048" i="9"/>
  <c r="J1048" i="9"/>
  <c r="I1048" i="9"/>
  <c r="J1047" i="9"/>
  <c r="I1047" i="9"/>
  <c r="K1047" i="9" s="1"/>
  <c r="K1046" i="9"/>
  <c r="J1046" i="9"/>
  <c r="I1046" i="9"/>
  <c r="J1045" i="9"/>
  <c r="I1045" i="9"/>
  <c r="K1045" i="9" s="1"/>
  <c r="K1044" i="9"/>
  <c r="F1465" i="9" s="1"/>
  <c r="G1465" i="9" s="1"/>
  <c r="J1044" i="9"/>
  <c r="E1465" i="9" s="1"/>
  <c r="Q1465" i="9" s="1"/>
  <c r="S1465" i="9" s="1"/>
  <c r="I1044" i="9"/>
  <c r="J1043" i="9"/>
  <c r="I1043" i="9"/>
  <c r="K1043" i="9" s="1"/>
  <c r="J1042" i="9"/>
  <c r="E1464" i="9" s="1"/>
  <c r="Q1464" i="9" s="1"/>
  <c r="S1464" i="9" s="1"/>
  <c r="I1042" i="9"/>
  <c r="K1042" i="9" s="1"/>
  <c r="J1041" i="9"/>
  <c r="I1041" i="9"/>
  <c r="K1041" i="9" s="1"/>
  <c r="J1040" i="9"/>
  <c r="E1463" i="9" s="1"/>
  <c r="Q1463" i="9" s="1"/>
  <c r="S1463" i="9" s="1"/>
  <c r="I1040" i="9"/>
  <c r="K1040" i="9" s="1"/>
  <c r="F1463" i="9" s="1"/>
  <c r="G1463" i="9" s="1"/>
  <c r="K1039" i="9"/>
  <c r="F1462" i="9" s="1"/>
  <c r="G1462" i="9" s="1"/>
  <c r="J1039" i="9"/>
  <c r="E1462" i="9" s="1"/>
  <c r="Q1462" i="9" s="1"/>
  <c r="S1462" i="9" s="1"/>
  <c r="I1039" i="9"/>
  <c r="K1038" i="9"/>
  <c r="J1038" i="9"/>
  <c r="I1038" i="9"/>
  <c r="K1037" i="9"/>
  <c r="J1037" i="9"/>
  <c r="I1037" i="9"/>
  <c r="K1036" i="9"/>
  <c r="F1460" i="9" s="1"/>
  <c r="G1460" i="9" s="1"/>
  <c r="J1036" i="9"/>
  <c r="E1460" i="9" s="1"/>
  <c r="Q1460" i="9" s="1"/>
  <c r="S1460" i="9" s="1"/>
  <c r="I1036" i="9"/>
  <c r="J1035" i="9"/>
  <c r="E1459" i="9" s="1"/>
  <c r="Q1459" i="9" s="1"/>
  <c r="S1459" i="9" s="1"/>
  <c r="I1035" i="9"/>
  <c r="K1035" i="9" s="1"/>
  <c r="F1459" i="9" s="1"/>
  <c r="G1459" i="9" s="1"/>
  <c r="J1034" i="9"/>
  <c r="E1458" i="9" s="1"/>
  <c r="Q1458" i="9" s="1"/>
  <c r="S1458" i="9" s="1"/>
  <c r="I1034" i="9"/>
  <c r="K1034" i="9" s="1"/>
  <c r="F1458" i="9" s="1"/>
  <c r="G1458" i="9" s="1"/>
  <c r="K1033" i="9"/>
  <c r="F1457" i="9" s="1"/>
  <c r="G1457" i="9" s="1"/>
  <c r="J1033" i="9"/>
  <c r="E1457" i="9" s="1"/>
  <c r="Q1457" i="9" s="1"/>
  <c r="S1457" i="9" s="1"/>
  <c r="I1033" i="9"/>
  <c r="K1032" i="9"/>
  <c r="J1032" i="9"/>
  <c r="I1032" i="9"/>
  <c r="J1031" i="9"/>
  <c r="I1031" i="9"/>
  <c r="K1031" i="9" s="1"/>
  <c r="J1030" i="9"/>
  <c r="I1030" i="9"/>
  <c r="K1030" i="9" s="1"/>
  <c r="J1029" i="9"/>
  <c r="I1029" i="9"/>
  <c r="K1029" i="9" s="1"/>
  <c r="J1028" i="9"/>
  <c r="E1456" i="9" s="1"/>
  <c r="Q1456" i="9" s="1"/>
  <c r="S1456" i="9" s="1"/>
  <c r="I1028" i="9"/>
  <c r="K1028" i="9" s="1"/>
  <c r="J1027" i="9"/>
  <c r="I1027" i="9"/>
  <c r="K1027" i="9" s="1"/>
  <c r="J1026" i="9"/>
  <c r="I1026" i="9"/>
  <c r="K1026" i="9" s="1"/>
  <c r="K1025" i="9"/>
  <c r="J1025" i="9"/>
  <c r="I1025" i="9"/>
  <c r="K1024" i="9"/>
  <c r="J1024" i="9"/>
  <c r="E1455" i="9" s="1"/>
  <c r="Q1455" i="9" s="1"/>
  <c r="S1455" i="9" s="1"/>
  <c r="I1024" i="9"/>
  <c r="K1023" i="9"/>
  <c r="F1454" i="9" s="1"/>
  <c r="G1454" i="9" s="1"/>
  <c r="J1023" i="9"/>
  <c r="E1454" i="9" s="1"/>
  <c r="Q1454" i="9" s="1"/>
  <c r="S1454" i="9" s="1"/>
  <c r="I1023" i="9"/>
  <c r="K1022" i="9"/>
  <c r="J1022" i="9"/>
  <c r="I1022" i="9"/>
  <c r="K1021" i="9"/>
  <c r="J1021" i="9"/>
  <c r="I1021" i="9"/>
  <c r="K1020" i="9"/>
  <c r="J1020" i="9"/>
  <c r="I1020" i="9"/>
  <c r="K1019" i="9"/>
  <c r="J1019" i="9"/>
  <c r="I1019" i="9"/>
  <c r="K1018" i="9"/>
  <c r="J1018" i="9"/>
  <c r="I1018" i="9"/>
  <c r="J1017" i="9"/>
  <c r="I1017" i="9"/>
  <c r="K1017" i="9" s="1"/>
  <c r="K1016" i="9"/>
  <c r="J1016" i="9"/>
  <c r="E1452" i="9" s="1"/>
  <c r="Q1452" i="9" s="1"/>
  <c r="S1452" i="9" s="1"/>
  <c r="I1016" i="9"/>
  <c r="J1015" i="9"/>
  <c r="I1015" i="9"/>
  <c r="K1015" i="9" s="1"/>
  <c r="J1014" i="9"/>
  <c r="I1014" i="9"/>
  <c r="K1014" i="9" s="1"/>
  <c r="J1013" i="9"/>
  <c r="I1013" i="9"/>
  <c r="K1013" i="9" s="1"/>
  <c r="J1012" i="9"/>
  <c r="E1451" i="9" s="1"/>
  <c r="Q1451" i="9" s="1"/>
  <c r="S1451" i="9" s="1"/>
  <c r="I1012" i="9"/>
  <c r="K1012" i="9" s="1"/>
  <c r="F1451" i="9" s="1"/>
  <c r="G1451" i="9" s="1"/>
  <c r="K1011" i="9"/>
  <c r="J1011" i="9"/>
  <c r="I1011" i="9"/>
  <c r="K1010" i="9"/>
  <c r="J1010" i="9"/>
  <c r="I1010" i="9"/>
  <c r="K1009" i="9"/>
  <c r="J1009" i="9"/>
  <c r="I1009" i="9"/>
  <c r="K1008" i="9"/>
  <c r="F1450" i="9" s="1"/>
  <c r="G1450" i="9" s="1"/>
  <c r="J1008" i="9"/>
  <c r="I1008" i="9"/>
  <c r="K1007" i="9"/>
  <c r="J1007" i="9"/>
  <c r="I1007" i="9"/>
  <c r="J1006" i="9"/>
  <c r="I1006" i="9"/>
  <c r="K1006" i="9" s="1"/>
  <c r="K1005" i="9"/>
  <c r="J1005" i="9"/>
  <c r="I1005" i="9"/>
  <c r="J1004" i="9"/>
  <c r="I1004" i="9"/>
  <c r="K1004" i="9" s="1"/>
  <c r="K1003" i="9"/>
  <c r="J1003" i="9"/>
  <c r="I1003" i="9"/>
  <c r="K1002" i="9"/>
  <c r="J1002" i="9"/>
  <c r="I1002" i="9"/>
  <c r="J1001" i="9"/>
  <c r="I1001" i="9"/>
  <c r="K1001" i="9" s="1"/>
  <c r="J1000" i="9"/>
  <c r="I1000" i="9"/>
  <c r="K1000" i="9" s="1"/>
  <c r="J999" i="9"/>
  <c r="I999" i="9"/>
  <c r="K999" i="9" s="1"/>
  <c r="J998" i="9"/>
  <c r="I998" i="9"/>
  <c r="K998" i="9" s="1"/>
  <c r="K997" i="9"/>
  <c r="F1447" i="9" s="1"/>
  <c r="G1447" i="9" s="1"/>
  <c r="J997" i="9"/>
  <c r="E1447" i="9" s="1"/>
  <c r="I997" i="9"/>
  <c r="K996" i="9"/>
  <c r="F1446" i="9" s="1"/>
  <c r="G1446" i="9" s="1"/>
  <c r="J996" i="9"/>
  <c r="E1446" i="9" s="1"/>
  <c r="Q1446" i="9" s="1"/>
  <c r="S1446" i="9" s="1"/>
  <c r="I996" i="9"/>
  <c r="K995" i="9"/>
  <c r="F1445" i="9" s="1"/>
  <c r="G1445" i="9" s="1"/>
  <c r="J995" i="9"/>
  <c r="E1445" i="9" s="1"/>
  <c r="Q1445" i="9" s="1"/>
  <c r="S1445" i="9" s="1"/>
  <c r="I995" i="9"/>
  <c r="K994" i="9"/>
  <c r="F1444" i="9" s="1"/>
  <c r="G1444" i="9" s="1"/>
  <c r="J994" i="9"/>
  <c r="E1444" i="9" s="1"/>
  <c r="Q1444" i="9" s="1"/>
  <c r="S1444" i="9" s="1"/>
  <c r="I994" i="9"/>
  <c r="J993" i="9"/>
  <c r="I993" i="9"/>
  <c r="K993" i="9" s="1"/>
  <c r="J992" i="9"/>
  <c r="I992" i="9"/>
  <c r="K992" i="9" s="1"/>
  <c r="J991" i="9"/>
  <c r="I991" i="9"/>
  <c r="K991" i="9" s="1"/>
  <c r="F1443" i="9" s="1"/>
  <c r="G1443" i="9" s="1"/>
  <c r="K990" i="9"/>
  <c r="J990" i="9"/>
  <c r="I990" i="9"/>
  <c r="K989" i="9"/>
  <c r="J989" i="9"/>
  <c r="I989" i="9"/>
  <c r="K988" i="9"/>
  <c r="J988" i="9"/>
  <c r="I988" i="9"/>
  <c r="J987" i="9"/>
  <c r="I987" i="9"/>
  <c r="K987" i="9" s="1"/>
  <c r="J986" i="9"/>
  <c r="I986" i="9"/>
  <c r="K986" i="9" s="1"/>
  <c r="J985" i="9"/>
  <c r="I985" i="9"/>
  <c r="K985" i="9" s="1"/>
  <c r="J984" i="9"/>
  <c r="I984" i="9"/>
  <c r="K984" i="9" s="1"/>
  <c r="K983" i="9"/>
  <c r="J983" i="9"/>
  <c r="I983" i="9"/>
  <c r="K982" i="9"/>
  <c r="F1440" i="9" s="1"/>
  <c r="G1440" i="9" s="1"/>
  <c r="J982" i="9"/>
  <c r="E1440" i="9" s="1"/>
  <c r="Q1440" i="9" s="1"/>
  <c r="S1440" i="9" s="1"/>
  <c r="I982" i="9"/>
  <c r="K981" i="9"/>
  <c r="F1439" i="9" s="1"/>
  <c r="G1439" i="9" s="1"/>
  <c r="J981" i="9"/>
  <c r="E1439" i="9" s="1"/>
  <c r="Q1439" i="9" s="1"/>
  <c r="S1439" i="9" s="1"/>
  <c r="I981" i="9"/>
  <c r="K980" i="9"/>
  <c r="F1438" i="9" s="1"/>
  <c r="G1438" i="9" s="1"/>
  <c r="J980" i="9"/>
  <c r="E1438" i="9" s="1"/>
  <c r="Q1438" i="9" s="1"/>
  <c r="S1438" i="9" s="1"/>
  <c r="I980" i="9"/>
  <c r="J979" i="9"/>
  <c r="I979" i="9"/>
  <c r="K979" i="9" s="1"/>
  <c r="J978" i="9"/>
  <c r="I978" i="9"/>
  <c r="K978" i="9" s="1"/>
  <c r="J977" i="9"/>
  <c r="I977" i="9"/>
  <c r="K977" i="9" s="1"/>
  <c r="K976" i="9"/>
  <c r="J976" i="9"/>
  <c r="I976" i="9"/>
  <c r="K975" i="9"/>
  <c r="F1436" i="9" s="1"/>
  <c r="G1436" i="9" s="1"/>
  <c r="J975" i="9"/>
  <c r="E1436" i="9" s="1"/>
  <c r="Q1436" i="9" s="1"/>
  <c r="S1436" i="9" s="1"/>
  <c r="I975" i="9"/>
  <c r="J974" i="9"/>
  <c r="I974" i="9"/>
  <c r="K974" i="9" s="1"/>
  <c r="J973" i="9"/>
  <c r="I973" i="9"/>
  <c r="K973" i="9" s="1"/>
  <c r="J972" i="9"/>
  <c r="E1435" i="9" s="1"/>
  <c r="Q1435" i="9" s="1"/>
  <c r="S1435" i="9" s="1"/>
  <c r="I972" i="9"/>
  <c r="K972" i="9" s="1"/>
  <c r="J971" i="9"/>
  <c r="I971" i="9"/>
  <c r="K971" i="9" s="1"/>
  <c r="J970" i="9"/>
  <c r="I970" i="9"/>
  <c r="K970" i="9" s="1"/>
  <c r="K969" i="9"/>
  <c r="J969" i="9"/>
  <c r="I969" i="9"/>
  <c r="K968" i="9"/>
  <c r="F1433" i="9" s="1"/>
  <c r="G1433" i="9" s="1"/>
  <c r="J968" i="9"/>
  <c r="E1433" i="9" s="1"/>
  <c r="Q1433" i="9" s="1"/>
  <c r="S1433" i="9" s="1"/>
  <c r="I968" i="9"/>
  <c r="K967" i="9"/>
  <c r="J967" i="9"/>
  <c r="I967" i="9"/>
  <c r="K966" i="9"/>
  <c r="J966" i="9"/>
  <c r="I966" i="9"/>
  <c r="J965" i="9"/>
  <c r="I965" i="9"/>
  <c r="K965" i="9" s="1"/>
  <c r="F1432" i="9" s="1"/>
  <c r="G1432" i="9" s="1"/>
  <c r="K964" i="9"/>
  <c r="J964" i="9"/>
  <c r="I964" i="9"/>
  <c r="K963" i="9"/>
  <c r="J963" i="9"/>
  <c r="I963" i="9"/>
  <c r="K962" i="9"/>
  <c r="F1431" i="9" s="1"/>
  <c r="G1431" i="9" s="1"/>
  <c r="J962" i="9"/>
  <c r="I962" i="9"/>
  <c r="K961" i="9"/>
  <c r="J961" i="9"/>
  <c r="I961" i="9"/>
  <c r="J960" i="9"/>
  <c r="E1430" i="9" s="1"/>
  <c r="Q1430" i="9" s="1"/>
  <c r="S1430" i="9" s="1"/>
  <c r="I960" i="9"/>
  <c r="K960" i="9" s="1"/>
  <c r="F1430" i="9" s="1"/>
  <c r="G1430" i="9" s="1"/>
  <c r="J959" i="9"/>
  <c r="I959" i="9"/>
  <c r="K959" i="9" s="1"/>
  <c r="J958" i="9"/>
  <c r="I958" i="9"/>
  <c r="K958" i="9" s="1"/>
  <c r="J957" i="9"/>
  <c r="I957" i="9"/>
  <c r="K957" i="9" s="1"/>
  <c r="J956" i="9"/>
  <c r="E1429" i="9" s="1"/>
  <c r="Q1429" i="9" s="1"/>
  <c r="S1429" i="9" s="1"/>
  <c r="I956" i="9"/>
  <c r="K956" i="9" s="1"/>
  <c r="K955" i="9"/>
  <c r="J955" i="9"/>
  <c r="I955" i="9"/>
  <c r="K954" i="9"/>
  <c r="J954" i="9"/>
  <c r="I954" i="9"/>
  <c r="K953" i="9"/>
  <c r="J953" i="9"/>
  <c r="I953" i="9"/>
  <c r="K952" i="9"/>
  <c r="J952" i="9"/>
  <c r="I952" i="9"/>
  <c r="K951" i="9"/>
  <c r="J951" i="9"/>
  <c r="I951" i="9"/>
  <c r="K950" i="9"/>
  <c r="J950" i="9"/>
  <c r="I950" i="9"/>
  <c r="K949" i="9"/>
  <c r="J949" i="9"/>
  <c r="I949" i="9"/>
  <c r="J948" i="9"/>
  <c r="I948" i="9"/>
  <c r="K948" i="9" s="1"/>
  <c r="J947" i="9"/>
  <c r="I947" i="9"/>
  <c r="K947" i="9" s="1"/>
  <c r="J946" i="9"/>
  <c r="I946" i="9"/>
  <c r="K946" i="9" s="1"/>
  <c r="J945" i="9"/>
  <c r="I945" i="9"/>
  <c r="K945" i="9" s="1"/>
  <c r="J944" i="9"/>
  <c r="I944" i="9"/>
  <c r="K944" i="9" s="1"/>
  <c r="J943" i="9"/>
  <c r="I943" i="9"/>
  <c r="K943" i="9" s="1"/>
  <c r="J942" i="9"/>
  <c r="I942" i="9"/>
  <c r="K942" i="9" s="1"/>
  <c r="K941" i="9"/>
  <c r="J941" i="9"/>
  <c r="E1424" i="9" s="1"/>
  <c r="Q1424" i="9" s="1"/>
  <c r="S1424" i="9" s="1"/>
  <c r="I941" i="9"/>
  <c r="K940" i="9"/>
  <c r="F1423" i="9" s="1"/>
  <c r="G1423" i="9" s="1"/>
  <c r="J940" i="9"/>
  <c r="E1423" i="9" s="1"/>
  <c r="Q1423" i="9" s="1"/>
  <c r="S1423" i="9" s="1"/>
  <c r="I940" i="9"/>
  <c r="K939" i="9"/>
  <c r="F1422" i="9" s="1"/>
  <c r="G1422" i="9" s="1"/>
  <c r="J939" i="9"/>
  <c r="E1422" i="9" s="1"/>
  <c r="Q1422" i="9" s="1"/>
  <c r="S1422" i="9" s="1"/>
  <c r="I939" i="9"/>
  <c r="K938" i="9"/>
  <c r="J938" i="9"/>
  <c r="I938" i="9"/>
  <c r="K937" i="9"/>
  <c r="J937" i="9"/>
  <c r="I937" i="9"/>
  <c r="K936" i="9"/>
  <c r="J936" i="9"/>
  <c r="I936" i="9"/>
  <c r="K935" i="9"/>
  <c r="F1421" i="9" s="1"/>
  <c r="G1421" i="9" s="1"/>
  <c r="J935" i="9"/>
  <c r="I935" i="9"/>
  <c r="J934" i="9"/>
  <c r="I934" i="9"/>
  <c r="K934" i="9" s="1"/>
  <c r="J933" i="9"/>
  <c r="I933" i="9"/>
  <c r="K933" i="9" s="1"/>
  <c r="J932" i="9"/>
  <c r="I932" i="9"/>
  <c r="K932" i="9" s="1"/>
  <c r="J931" i="9"/>
  <c r="I931" i="9"/>
  <c r="K931" i="9" s="1"/>
  <c r="J930" i="9"/>
  <c r="I930" i="9"/>
  <c r="K930" i="9" s="1"/>
  <c r="J929" i="9"/>
  <c r="I929" i="9"/>
  <c r="K929" i="9" s="1"/>
  <c r="J928" i="9"/>
  <c r="E1419" i="9" s="1"/>
  <c r="Q1419" i="9" s="1"/>
  <c r="S1419" i="9" s="1"/>
  <c r="I928" i="9"/>
  <c r="K928" i="9" s="1"/>
  <c r="F1419" i="9" s="1"/>
  <c r="G1419" i="9" s="1"/>
  <c r="K927" i="9"/>
  <c r="F1418" i="9" s="1"/>
  <c r="G1418" i="9" s="1"/>
  <c r="J927" i="9"/>
  <c r="E1418" i="9" s="1"/>
  <c r="Q1418" i="9" s="1"/>
  <c r="S1418" i="9" s="1"/>
  <c r="I927" i="9"/>
  <c r="K926" i="9"/>
  <c r="F1417" i="9" s="1"/>
  <c r="G1417" i="9" s="1"/>
  <c r="J926" i="9"/>
  <c r="E1417" i="9" s="1"/>
  <c r="Q1417" i="9" s="1"/>
  <c r="S1417" i="9" s="1"/>
  <c r="I926" i="9"/>
  <c r="K925" i="9"/>
  <c r="J925" i="9"/>
  <c r="I925" i="9"/>
  <c r="K924" i="9"/>
  <c r="J924" i="9"/>
  <c r="I924" i="9"/>
  <c r="K923" i="9"/>
  <c r="F1416" i="9" s="1"/>
  <c r="G1416" i="9" s="1"/>
  <c r="J923" i="9"/>
  <c r="I923" i="9"/>
  <c r="J922" i="9"/>
  <c r="I922" i="9"/>
  <c r="K922" i="9" s="1"/>
  <c r="J921" i="9"/>
  <c r="E1415" i="9" s="1"/>
  <c r="Q1415" i="9" s="1"/>
  <c r="S1415" i="9" s="1"/>
  <c r="I921" i="9"/>
  <c r="K921" i="9" s="1"/>
  <c r="F1415" i="9" s="1"/>
  <c r="G1415" i="9" s="1"/>
  <c r="J920" i="9"/>
  <c r="I920" i="9"/>
  <c r="K920" i="9" s="1"/>
  <c r="J919" i="9"/>
  <c r="I919" i="9"/>
  <c r="K919" i="9" s="1"/>
  <c r="K918" i="9"/>
  <c r="J918" i="9"/>
  <c r="I918" i="9"/>
  <c r="J917" i="9"/>
  <c r="I917" i="9"/>
  <c r="K917" i="9" s="1"/>
  <c r="J916" i="9"/>
  <c r="I916" i="9"/>
  <c r="K916" i="9" s="1"/>
  <c r="J915" i="9"/>
  <c r="I915" i="9"/>
  <c r="K915" i="9" s="1"/>
  <c r="J914" i="9"/>
  <c r="E1413" i="9" s="1"/>
  <c r="Q1413" i="9" s="1"/>
  <c r="S1413" i="9" s="1"/>
  <c r="I914" i="9"/>
  <c r="K914" i="9" s="1"/>
  <c r="F1413" i="9" s="1"/>
  <c r="G1413" i="9" s="1"/>
  <c r="K913" i="9"/>
  <c r="J913" i="9"/>
  <c r="I913" i="9"/>
  <c r="K912" i="9"/>
  <c r="J912" i="9"/>
  <c r="I912" i="9"/>
  <c r="K911" i="9"/>
  <c r="J911" i="9"/>
  <c r="E1412" i="9" s="1"/>
  <c r="Q1412" i="9" s="1"/>
  <c r="S1412" i="9" s="1"/>
  <c r="I911" i="9"/>
  <c r="K910" i="9"/>
  <c r="J910" i="9"/>
  <c r="I910" i="9"/>
  <c r="K909" i="9"/>
  <c r="J909" i="9"/>
  <c r="I909" i="9"/>
  <c r="J908" i="9"/>
  <c r="I908" i="9"/>
  <c r="K908" i="9" s="1"/>
  <c r="J907" i="9"/>
  <c r="I907" i="9"/>
  <c r="K907" i="9" s="1"/>
  <c r="F1411" i="9" s="1"/>
  <c r="G1411" i="9" s="1"/>
  <c r="J906" i="9"/>
  <c r="I906" i="9"/>
  <c r="K906" i="9" s="1"/>
  <c r="J905" i="9"/>
  <c r="E1410" i="9" s="1"/>
  <c r="Q1410" i="9" s="1"/>
  <c r="S1410" i="9" s="1"/>
  <c r="I905" i="9"/>
  <c r="K905" i="9" s="1"/>
  <c r="K904" i="9"/>
  <c r="J904" i="9"/>
  <c r="I904" i="9"/>
  <c r="J903" i="9"/>
  <c r="I903" i="9"/>
  <c r="K903" i="9" s="1"/>
  <c r="J902" i="9"/>
  <c r="I902" i="9"/>
  <c r="K902" i="9" s="1"/>
  <c r="J901" i="9"/>
  <c r="I901" i="9"/>
  <c r="K901" i="9" s="1"/>
  <c r="J900" i="9"/>
  <c r="I900" i="9"/>
  <c r="K900" i="9" s="1"/>
  <c r="F1409" i="9" s="1"/>
  <c r="G1409" i="9" s="1"/>
  <c r="K899" i="9"/>
  <c r="F1408" i="9" s="1"/>
  <c r="G1408" i="9" s="1"/>
  <c r="J899" i="9"/>
  <c r="E1408" i="9" s="1"/>
  <c r="I899" i="9"/>
  <c r="K898" i="9"/>
  <c r="J898" i="9"/>
  <c r="I898" i="9"/>
  <c r="K897" i="9"/>
  <c r="F1407" i="9" s="1"/>
  <c r="G1407" i="9" s="1"/>
  <c r="J897" i="9"/>
  <c r="I897" i="9"/>
  <c r="K896" i="9"/>
  <c r="J896" i="9"/>
  <c r="I896" i="9"/>
  <c r="J895" i="9"/>
  <c r="E1406" i="9" s="1"/>
  <c r="Q1406" i="9" s="1"/>
  <c r="S1406" i="9" s="1"/>
  <c r="I895" i="9"/>
  <c r="K895" i="9" s="1"/>
  <c r="F1406" i="9" s="1"/>
  <c r="G1406" i="9" s="1"/>
  <c r="J894" i="9"/>
  <c r="E1405" i="9" s="1"/>
  <c r="Q1405" i="9" s="1"/>
  <c r="S1405" i="9" s="1"/>
  <c r="I894" i="9"/>
  <c r="K894" i="9" s="1"/>
  <c r="F1405" i="9" s="1"/>
  <c r="G1405" i="9" s="1"/>
  <c r="J893" i="9"/>
  <c r="I893" i="9"/>
  <c r="K893" i="9" s="1"/>
  <c r="K892" i="9"/>
  <c r="J892" i="9"/>
  <c r="I892" i="9"/>
  <c r="K891" i="9"/>
  <c r="F1403" i="9" s="1"/>
  <c r="G1403" i="9" s="1"/>
  <c r="J891" i="9"/>
  <c r="E1403" i="9" s="1"/>
  <c r="Q1403" i="9" s="1"/>
  <c r="S1403" i="9" s="1"/>
  <c r="I891" i="9"/>
  <c r="K890" i="9"/>
  <c r="F1402" i="9" s="1"/>
  <c r="G1402" i="9" s="1"/>
  <c r="J890" i="9"/>
  <c r="E1402" i="9" s="1"/>
  <c r="Q1402" i="9" s="1"/>
  <c r="S1402" i="9" s="1"/>
  <c r="I890" i="9"/>
  <c r="J889" i="9"/>
  <c r="I889" i="9"/>
  <c r="K889" i="9" s="1"/>
  <c r="J888" i="9"/>
  <c r="I888" i="9"/>
  <c r="K888" i="9" s="1"/>
  <c r="J887" i="9"/>
  <c r="I887" i="9"/>
  <c r="K887" i="9" s="1"/>
  <c r="J886" i="9"/>
  <c r="I886" i="9"/>
  <c r="K886" i="9" s="1"/>
  <c r="K885" i="9"/>
  <c r="J885" i="9"/>
  <c r="I885" i="9"/>
  <c r="K884" i="9"/>
  <c r="F1400" i="9" s="1"/>
  <c r="G1400" i="9" s="1"/>
  <c r="J884" i="9"/>
  <c r="E1400" i="9" s="1"/>
  <c r="Q1400" i="9" s="1"/>
  <c r="S1400" i="9" s="1"/>
  <c r="I884" i="9"/>
  <c r="K883" i="9"/>
  <c r="F1399" i="9" s="1"/>
  <c r="G1399" i="9" s="1"/>
  <c r="J883" i="9"/>
  <c r="E1399" i="9" s="1"/>
  <c r="Q1399" i="9" s="1"/>
  <c r="S1399" i="9" s="1"/>
  <c r="I883" i="9"/>
  <c r="K882" i="9"/>
  <c r="F1398" i="9" s="1"/>
  <c r="G1398" i="9" s="1"/>
  <c r="J882" i="9"/>
  <c r="E1398" i="9" s="1"/>
  <c r="Q1398" i="9" s="1"/>
  <c r="S1398" i="9" s="1"/>
  <c r="I882" i="9"/>
  <c r="J881" i="9"/>
  <c r="I881" i="9"/>
  <c r="K881" i="9" s="1"/>
  <c r="J880" i="9"/>
  <c r="I880" i="9"/>
  <c r="K880" i="9" s="1"/>
  <c r="J879" i="9"/>
  <c r="I879" i="9"/>
  <c r="K879" i="9" s="1"/>
  <c r="F1397" i="9" s="1"/>
  <c r="G1397" i="9" s="1"/>
  <c r="K878" i="9"/>
  <c r="F1396" i="9" s="1"/>
  <c r="G1396" i="9" s="1"/>
  <c r="J878" i="9"/>
  <c r="E1396" i="9" s="1"/>
  <c r="Q1396" i="9" s="1"/>
  <c r="S1396" i="9" s="1"/>
  <c r="I878" i="9"/>
  <c r="K877" i="9"/>
  <c r="F1395" i="9" s="1"/>
  <c r="G1395" i="9" s="1"/>
  <c r="J877" i="9"/>
  <c r="E1395" i="9" s="1"/>
  <c r="Q1395" i="9" s="1"/>
  <c r="S1395" i="9" s="1"/>
  <c r="I877" i="9"/>
  <c r="J876" i="9"/>
  <c r="I876" i="9"/>
  <c r="K876" i="9" s="1"/>
  <c r="J875" i="9"/>
  <c r="I875" i="9"/>
  <c r="K875" i="9" s="1"/>
  <c r="J874" i="9"/>
  <c r="E1394" i="9" s="1"/>
  <c r="Q1394" i="9" s="1"/>
  <c r="S1394" i="9" s="1"/>
  <c r="I874" i="9"/>
  <c r="K874" i="9" s="1"/>
  <c r="J873" i="9"/>
  <c r="E1393" i="9" s="1"/>
  <c r="Q1393" i="9" s="1"/>
  <c r="S1393" i="9" s="1"/>
  <c r="I873" i="9"/>
  <c r="K873" i="9" s="1"/>
  <c r="F1393" i="9" s="1"/>
  <c r="G1393" i="9" s="1"/>
  <c r="J872" i="9"/>
  <c r="I872" i="9"/>
  <c r="K872" i="9" s="1"/>
  <c r="K871" i="9"/>
  <c r="F1392" i="9" s="1"/>
  <c r="G1392" i="9" s="1"/>
  <c r="J871" i="9"/>
  <c r="E1392" i="9" s="1"/>
  <c r="Q1392" i="9" s="1"/>
  <c r="S1392" i="9" s="1"/>
  <c r="I871" i="9"/>
  <c r="J870" i="9"/>
  <c r="I870" i="9"/>
  <c r="K870" i="9" s="1"/>
  <c r="K869" i="9"/>
  <c r="J869" i="9"/>
  <c r="E1391" i="9" s="1"/>
  <c r="Q1391" i="9" s="1"/>
  <c r="S1391" i="9" s="1"/>
  <c r="I869" i="9"/>
  <c r="K868" i="9"/>
  <c r="J868" i="9"/>
  <c r="I868" i="9"/>
  <c r="J867" i="9"/>
  <c r="I867" i="9"/>
  <c r="K867" i="9" s="1"/>
  <c r="K866" i="9"/>
  <c r="J866" i="9"/>
  <c r="I866" i="9"/>
  <c r="K865" i="9"/>
  <c r="J865" i="9"/>
  <c r="I865" i="9"/>
  <c r="K864" i="9"/>
  <c r="J864" i="9"/>
  <c r="I864" i="9"/>
  <c r="K863" i="9"/>
  <c r="J863" i="9"/>
  <c r="I863" i="9"/>
  <c r="J862" i="9"/>
  <c r="I862" i="9"/>
  <c r="K862" i="9" s="1"/>
  <c r="J861" i="9"/>
  <c r="I861" i="9"/>
  <c r="K861" i="9" s="1"/>
  <c r="K860" i="9"/>
  <c r="J860" i="9"/>
  <c r="I860" i="9"/>
  <c r="J859" i="9"/>
  <c r="I859" i="9"/>
  <c r="K859" i="9" s="1"/>
  <c r="J858" i="9"/>
  <c r="I858" i="9"/>
  <c r="K858" i="9" s="1"/>
  <c r="K857" i="9"/>
  <c r="J857" i="9"/>
  <c r="I857" i="9"/>
  <c r="K856" i="9"/>
  <c r="J856" i="9"/>
  <c r="I856" i="9"/>
  <c r="K855" i="9"/>
  <c r="J855" i="9"/>
  <c r="I855" i="9"/>
  <c r="K854" i="9"/>
  <c r="J854" i="9"/>
  <c r="E1386" i="9" s="1"/>
  <c r="Q1386" i="9" s="1"/>
  <c r="S1386" i="9" s="1"/>
  <c r="I854" i="9"/>
  <c r="J853" i="9"/>
  <c r="I853" i="9"/>
  <c r="K853" i="9" s="1"/>
  <c r="J852" i="9"/>
  <c r="I852" i="9"/>
  <c r="K852" i="9" s="1"/>
  <c r="K851" i="9"/>
  <c r="J851" i="9"/>
  <c r="I851" i="9"/>
  <c r="K850" i="9"/>
  <c r="J850" i="9"/>
  <c r="I850" i="9"/>
  <c r="K849" i="9"/>
  <c r="J849" i="9"/>
  <c r="I849" i="9"/>
  <c r="K848" i="9"/>
  <c r="J848" i="9"/>
  <c r="I848" i="9"/>
  <c r="J847" i="9"/>
  <c r="I847" i="9"/>
  <c r="K847" i="9" s="1"/>
  <c r="K846" i="9"/>
  <c r="F1383" i="9" s="1"/>
  <c r="G1383" i="9" s="1"/>
  <c r="J846" i="9"/>
  <c r="E1383" i="9" s="1"/>
  <c r="Q1383" i="9" s="1"/>
  <c r="S1383" i="9" s="1"/>
  <c r="I846" i="9"/>
  <c r="J845" i="9"/>
  <c r="I845" i="9"/>
  <c r="K845" i="9" s="1"/>
  <c r="J844" i="9"/>
  <c r="I844" i="9"/>
  <c r="K844" i="9" s="1"/>
  <c r="K843" i="9"/>
  <c r="J843" i="9"/>
  <c r="I843" i="9"/>
  <c r="K842" i="9"/>
  <c r="J842" i="9"/>
  <c r="I842" i="9"/>
  <c r="K841" i="9"/>
  <c r="J841" i="9"/>
  <c r="E1382" i="9" s="1"/>
  <c r="Q1382" i="9" s="1"/>
  <c r="S1382" i="9" s="1"/>
  <c r="I841" i="9"/>
  <c r="K840" i="9"/>
  <c r="F1381" i="9" s="1"/>
  <c r="G1381" i="9" s="1"/>
  <c r="J840" i="9"/>
  <c r="E1381" i="9" s="1"/>
  <c r="Q1381" i="9" s="1"/>
  <c r="S1381" i="9" s="1"/>
  <c r="I840" i="9"/>
  <c r="J839" i="9"/>
  <c r="E1380" i="9" s="1"/>
  <c r="Q1380" i="9" s="1"/>
  <c r="S1380" i="9" s="1"/>
  <c r="I839" i="9"/>
  <c r="K839" i="9" s="1"/>
  <c r="F1380" i="9" s="1"/>
  <c r="G1380" i="9" s="1"/>
  <c r="J838" i="9"/>
  <c r="I838" i="9"/>
  <c r="K838" i="9" s="1"/>
  <c r="J837" i="9"/>
  <c r="I837" i="9"/>
  <c r="K837" i="9" s="1"/>
  <c r="K836" i="9"/>
  <c r="J836" i="9"/>
  <c r="I836" i="9"/>
  <c r="K835" i="9"/>
  <c r="J835" i="9"/>
  <c r="I835" i="9"/>
  <c r="K834" i="9"/>
  <c r="J834" i="9"/>
  <c r="I834" i="9"/>
  <c r="J833" i="9"/>
  <c r="I833" i="9"/>
  <c r="K833" i="9" s="1"/>
  <c r="J832" i="9"/>
  <c r="I832" i="9"/>
  <c r="K832" i="9" s="1"/>
  <c r="J831" i="9"/>
  <c r="I831" i="9"/>
  <c r="K831" i="9" s="1"/>
  <c r="J830" i="9"/>
  <c r="I830" i="9"/>
  <c r="K830" i="9" s="1"/>
  <c r="K829" i="9"/>
  <c r="J829" i="9"/>
  <c r="I829" i="9"/>
  <c r="K828" i="9"/>
  <c r="J828" i="9"/>
  <c r="I828" i="9"/>
  <c r="K827" i="9"/>
  <c r="J827" i="9"/>
  <c r="I827" i="9"/>
  <c r="K826" i="9"/>
  <c r="J826" i="9"/>
  <c r="I826" i="9"/>
  <c r="K825" i="9"/>
  <c r="J825" i="9"/>
  <c r="I825" i="9"/>
  <c r="J824" i="9"/>
  <c r="I824" i="9"/>
  <c r="K824" i="9" s="1"/>
  <c r="J823" i="9"/>
  <c r="E1376" i="9" s="1"/>
  <c r="Q1376" i="9" s="1"/>
  <c r="S1376" i="9" s="1"/>
  <c r="I823" i="9"/>
  <c r="K823" i="9" s="1"/>
  <c r="J822" i="9"/>
  <c r="E1375" i="9" s="1"/>
  <c r="Q1375" i="9" s="1"/>
  <c r="S1375" i="9" s="1"/>
  <c r="I822" i="9"/>
  <c r="K822" i="9" s="1"/>
  <c r="F1375" i="9" s="1"/>
  <c r="G1375" i="9" s="1"/>
  <c r="K821" i="9"/>
  <c r="J821" i="9"/>
  <c r="I821" i="9"/>
  <c r="K820" i="9"/>
  <c r="J820" i="9"/>
  <c r="I820" i="9"/>
  <c r="J819" i="9"/>
  <c r="E1374" i="9" s="1"/>
  <c r="Q1374" i="9" s="1"/>
  <c r="S1374" i="9" s="1"/>
  <c r="I819" i="9"/>
  <c r="K819" i="9" s="1"/>
  <c r="F1374" i="9" s="1"/>
  <c r="G1374" i="9" s="1"/>
  <c r="J818" i="9"/>
  <c r="E1373" i="9" s="1"/>
  <c r="Q1373" i="9" s="1"/>
  <c r="S1373" i="9" s="1"/>
  <c r="I818" i="9"/>
  <c r="K818" i="9" s="1"/>
  <c r="F1373" i="9" s="1"/>
  <c r="G1373" i="9" s="1"/>
  <c r="J817" i="9"/>
  <c r="I817" i="9"/>
  <c r="K817" i="9" s="1"/>
  <c r="J816" i="9"/>
  <c r="I816" i="9"/>
  <c r="K816" i="9" s="1"/>
  <c r="K815" i="9"/>
  <c r="J815" i="9"/>
  <c r="I815" i="9"/>
  <c r="J814" i="9"/>
  <c r="I814" i="9"/>
  <c r="K814" i="9" s="1"/>
  <c r="K813" i="9"/>
  <c r="J813" i="9"/>
  <c r="I813" i="9"/>
  <c r="K812" i="9"/>
  <c r="F1372" i="9" s="1"/>
  <c r="G1372" i="9" s="1"/>
  <c r="J812" i="9"/>
  <c r="I812" i="9"/>
  <c r="K811" i="9"/>
  <c r="J811" i="9"/>
  <c r="I811" i="9"/>
  <c r="K810" i="9"/>
  <c r="J810" i="9"/>
  <c r="I810" i="9"/>
  <c r="J809" i="9"/>
  <c r="E1370" i="9" s="1"/>
  <c r="Q1370" i="9" s="1"/>
  <c r="S1370" i="9" s="1"/>
  <c r="I809" i="9"/>
  <c r="K809" i="9" s="1"/>
  <c r="F1370" i="9" s="1"/>
  <c r="G1370" i="9" s="1"/>
  <c r="J808" i="9"/>
  <c r="I808" i="9"/>
  <c r="K808" i="9" s="1"/>
  <c r="J807" i="9"/>
  <c r="I807" i="9"/>
  <c r="K807" i="9" s="1"/>
  <c r="K806" i="9"/>
  <c r="J806" i="9"/>
  <c r="I806" i="9"/>
  <c r="J805" i="9"/>
  <c r="I805" i="9"/>
  <c r="K805" i="9" s="1"/>
  <c r="J804" i="9"/>
  <c r="E1369" i="9" s="1"/>
  <c r="Q1369" i="9" s="1"/>
  <c r="S1369" i="9" s="1"/>
  <c r="I804" i="9"/>
  <c r="K804" i="9" s="1"/>
  <c r="J803" i="9"/>
  <c r="E1368" i="9" s="1"/>
  <c r="Q1368" i="9" s="1"/>
  <c r="S1368" i="9" s="1"/>
  <c r="I803" i="9"/>
  <c r="K803" i="9" s="1"/>
  <c r="F1368" i="9" s="1"/>
  <c r="G1368" i="9" s="1"/>
  <c r="J802" i="9"/>
  <c r="I802" i="9"/>
  <c r="K802" i="9" s="1"/>
  <c r="K801" i="9"/>
  <c r="J801" i="9"/>
  <c r="E1367" i="9" s="1"/>
  <c r="Q1367" i="9" s="1"/>
  <c r="S1367" i="9" s="1"/>
  <c r="I801" i="9"/>
  <c r="J800" i="9"/>
  <c r="I800" i="9"/>
  <c r="K800" i="9" s="1"/>
  <c r="K799" i="9"/>
  <c r="J799" i="9"/>
  <c r="I799" i="9"/>
  <c r="K798" i="9"/>
  <c r="J798" i="9"/>
  <c r="I798" i="9"/>
  <c r="K797" i="9"/>
  <c r="J797" i="9"/>
  <c r="I797" i="9"/>
  <c r="K796" i="9"/>
  <c r="J796" i="9"/>
  <c r="I796" i="9"/>
  <c r="K795" i="9"/>
  <c r="F1365" i="9" s="1"/>
  <c r="G1365" i="9" s="1"/>
  <c r="J795" i="9"/>
  <c r="E1365" i="9" s="1"/>
  <c r="Q1365" i="9" s="1"/>
  <c r="S1365" i="9" s="1"/>
  <c r="I795" i="9"/>
  <c r="J794" i="9"/>
  <c r="E1364" i="9" s="1"/>
  <c r="Q1364" i="9" s="1"/>
  <c r="S1364" i="9" s="1"/>
  <c r="I794" i="9"/>
  <c r="K794" i="9" s="1"/>
  <c r="F1364" i="9" s="1"/>
  <c r="G1364" i="9" s="1"/>
  <c r="J793" i="9"/>
  <c r="I793" i="9"/>
  <c r="K793" i="9" s="1"/>
  <c r="J792" i="9"/>
  <c r="I792" i="9"/>
  <c r="K792" i="9" s="1"/>
  <c r="J791" i="9"/>
  <c r="E1363" i="9" s="1"/>
  <c r="Q1363" i="9" s="1"/>
  <c r="S1363" i="9" s="1"/>
  <c r="I791" i="9"/>
  <c r="K791" i="9" s="1"/>
  <c r="K790" i="9"/>
  <c r="J790" i="9"/>
  <c r="I790" i="9"/>
  <c r="J789" i="9"/>
  <c r="I789" i="9"/>
  <c r="K789" i="9" s="1"/>
  <c r="J788" i="9"/>
  <c r="I788" i="9"/>
  <c r="K788" i="9" s="1"/>
  <c r="K787" i="9"/>
  <c r="J787" i="9"/>
  <c r="E1362" i="9" s="1"/>
  <c r="Q1362" i="9" s="1"/>
  <c r="S1362" i="9" s="1"/>
  <c r="I787" i="9"/>
  <c r="J786" i="9"/>
  <c r="I786" i="9"/>
  <c r="K786" i="9" s="1"/>
  <c r="K785" i="9"/>
  <c r="J785" i="9"/>
  <c r="I785" i="9"/>
  <c r="K784" i="9"/>
  <c r="J784" i="9"/>
  <c r="I784" i="9"/>
  <c r="K783" i="9"/>
  <c r="J783" i="9"/>
  <c r="I783" i="9"/>
  <c r="K782" i="9"/>
  <c r="J782" i="9"/>
  <c r="I782" i="9"/>
  <c r="K781" i="9"/>
  <c r="F1359" i="9" s="1"/>
  <c r="G1359" i="9" s="1"/>
  <c r="J781" i="9"/>
  <c r="E1359" i="9" s="1"/>
  <c r="I781" i="9"/>
  <c r="K780" i="9"/>
  <c r="J780" i="9"/>
  <c r="I780" i="9"/>
  <c r="J779" i="9"/>
  <c r="I779" i="9"/>
  <c r="K779" i="9" s="1"/>
  <c r="J778" i="9"/>
  <c r="I778" i="9"/>
  <c r="K778" i="9" s="1"/>
  <c r="J777" i="9"/>
  <c r="I777" i="9"/>
  <c r="K777" i="9" s="1"/>
  <c r="K776" i="9"/>
  <c r="J776" i="9"/>
  <c r="I776" i="9"/>
  <c r="J775" i="9"/>
  <c r="E1357" i="9" s="1"/>
  <c r="Q1357" i="9" s="1"/>
  <c r="S1357" i="9" s="1"/>
  <c r="I775" i="9"/>
  <c r="K775" i="9" s="1"/>
  <c r="F1357" i="9" s="1"/>
  <c r="G1357" i="9" s="1"/>
  <c r="J774" i="9"/>
  <c r="I774" i="9"/>
  <c r="K774" i="9" s="1"/>
  <c r="K773" i="9"/>
  <c r="J773" i="9"/>
  <c r="I773" i="9"/>
  <c r="K772" i="9"/>
  <c r="J772" i="9"/>
  <c r="I772" i="9"/>
  <c r="K771" i="9"/>
  <c r="J771" i="9"/>
  <c r="I771" i="9"/>
  <c r="K770" i="9"/>
  <c r="J770" i="9"/>
  <c r="I770" i="9"/>
  <c r="J769" i="9"/>
  <c r="I769" i="9"/>
  <c r="K769" i="9" s="1"/>
  <c r="F1355" i="9" s="1"/>
  <c r="G1355" i="9" s="1"/>
  <c r="J768" i="9"/>
  <c r="I768" i="9"/>
  <c r="K768" i="9" s="1"/>
  <c r="K767" i="9"/>
  <c r="F1354" i="9" s="1"/>
  <c r="G1354" i="9" s="1"/>
  <c r="J767" i="9"/>
  <c r="E1354" i="9" s="1"/>
  <c r="Q1354" i="9" s="1"/>
  <c r="S1354" i="9" s="1"/>
  <c r="I767" i="9"/>
  <c r="K766" i="9"/>
  <c r="J766" i="9"/>
  <c r="I766" i="9"/>
  <c r="K765" i="9"/>
  <c r="J765" i="9"/>
  <c r="I765" i="9"/>
  <c r="J764" i="9"/>
  <c r="I764" i="9"/>
  <c r="K764" i="9" s="1"/>
  <c r="J763" i="9"/>
  <c r="I763" i="9"/>
  <c r="K763" i="9" s="1"/>
  <c r="K762" i="9"/>
  <c r="J762" i="9"/>
  <c r="I762" i="9"/>
  <c r="J761" i="9"/>
  <c r="E1353" i="9" s="1"/>
  <c r="Q1353" i="9" s="1"/>
  <c r="S1353" i="9" s="1"/>
  <c r="I761" i="9"/>
  <c r="K761" i="9" s="1"/>
  <c r="J760" i="9"/>
  <c r="I760" i="9"/>
  <c r="K760" i="9" s="1"/>
  <c r="K759" i="9"/>
  <c r="J759" i="9"/>
  <c r="I759" i="9"/>
  <c r="K758" i="9"/>
  <c r="F1352" i="9" s="1"/>
  <c r="G1352" i="9" s="1"/>
  <c r="J758" i="9"/>
  <c r="E1352" i="9" s="1"/>
  <c r="Q1352" i="9" s="1"/>
  <c r="S1352" i="9" s="1"/>
  <c r="I758" i="9"/>
  <c r="K757" i="9"/>
  <c r="J757" i="9"/>
  <c r="I757" i="9"/>
  <c r="J756" i="9"/>
  <c r="I756" i="9"/>
  <c r="K756" i="9" s="1"/>
  <c r="J755" i="9"/>
  <c r="I755" i="9"/>
  <c r="K755" i="9" s="1"/>
  <c r="J754" i="9"/>
  <c r="I754" i="9"/>
  <c r="K754" i="9" s="1"/>
  <c r="K753" i="9"/>
  <c r="J753" i="9"/>
  <c r="I753" i="9"/>
  <c r="K752" i="9"/>
  <c r="J752" i="9"/>
  <c r="I752" i="9"/>
  <c r="K751" i="9"/>
  <c r="J751" i="9"/>
  <c r="I751" i="9"/>
  <c r="K750" i="9"/>
  <c r="J750" i="9"/>
  <c r="I750" i="9"/>
  <c r="J749" i="9"/>
  <c r="I749" i="9"/>
  <c r="K749" i="9" s="1"/>
  <c r="J748" i="9"/>
  <c r="I748" i="9"/>
  <c r="K748" i="9" s="1"/>
  <c r="J747" i="9"/>
  <c r="I747" i="9"/>
  <c r="K747" i="9" s="1"/>
  <c r="K746" i="9"/>
  <c r="F1348" i="9" s="1"/>
  <c r="G1348" i="9" s="1"/>
  <c r="J746" i="9"/>
  <c r="E1348" i="9" s="1"/>
  <c r="Q1348" i="9" s="1"/>
  <c r="S1348" i="9" s="1"/>
  <c r="I746" i="9"/>
  <c r="K745" i="9"/>
  <c r="J745" i="9"/>
  <c r="I745" i="9"/>
  <c r="J744" i="9"/>
  <c r="I744" i="9"/>
  <c r="K744" i="9" s="1"/>
  <c r="K743" i="9"/>
  <c r="J743" i="9"/>
  <c r="I743" i="9"/>
  <c r="J742" i="9"/>
  <c r="E1346" i="9" s="1"/>
  <c r="Q1346" i="9" s="1"/>
  <c r="S1346" i="9" s="1"/>
  <c r="I742" i="9"/>
  <c r="K742" i="9" s="1"/>
  <c r="F1346" i="9" s="1"/>
  <c r="G1346" i="9" s="1"/>
  <c r="K741" i="9"/>
  <c r="J741" i="9"/>
  <c r="I741" i="9"/>
  <c r="K740" i="9"/>
  <c r="J740" i="9"/>
  <c r="I740" i="9"/>
  <c r="K739" i="9"/>
  <c r="F1345" i="9" s="1"/>
  <c r="G1345" i="9" s="1"/>
  <c r="J739" i="9"/>
  <c r="E1345" i="9" s="1"/>
  <c r="Q1345" i="9" s="1"/>
  <c r="S1345" i="9" s="1"/>
  <c r="I739" i="9"/>
  <c r="K738" i="9"/>
  <c r="J738" i="9"/>
  <c r="I738" i="9"/>
  <c r="J737" i="9"/>
  <c r="E1344" i="9" s="1"/>
  <c r="Q1344" i="9" s="1"/>
  <c r="S1344" i="9" s="1"/>
  <c r="I737" i="9"/>
  <c r="K737" i="9" s="1"/>
  <c r="J736" i="9"/>
  <c r="I736" i="9"/>
  <c r="K736" i="9" s="1"/>
  <c r="J735" i="9"/>
  <c r="I735" i="9"/>
  <c r="K735" i="9" s="1"/>
  <c r="K734" i="9"/>
  <c r="F1343" i="9" s="1"/>
  <c r="G1343" i="9" s="1"/>
  <c r="J734" i="9"/>
  <c r="E1343" i="9" s="1"/>
  <c r="Q1343" i="9" s="1"/>
  <c r="S1343" i="9" s="1"/>
  <c r="I734" i="9"/>
  <c r="J733" i="9"/>
  <c r="E1342" i="9" s="1"/>
  <c r="Q1342" i="9" s="1"/>
  <c r="S1342" i="9" s="1"/>
  <c r="I733" i="9"/>
  <c r="K733" i="9" s="1"/>
  <c r="F1342" i="9" s="1"/>
  <c r="G1342" i="9" s="1"/>
  <c r="J732" i="9"/>
  <c r="I732" i="9"/>
  <c r="K732" i="9" s="1"/>
  <c r="J731" i="9"/>
  <c r="I731" i="9"/>
  <c r="K731" i="9" s="1"/>
  <c r="J730" i="9"/>
  <c r="I730" i="9"/>
  <c r="K730" i="9" s="1"/>
  <c r="F1341" i="9" s="1"/>
  <c r="G1341" i="9" s="1"/>
  <c r="J729" i="9"/>
  <c r="E1340" i="9" s="1"/>
  <c r="Q1340" i="9" s="1"/>
  <c r="S1340" i="9" s="1"/>
  <c r="I729" i="9"/>
  <c r="K729" i="9" s="1"/>
  <c r="F1340" i="9" s="1"/>
  <c r="G1340" i="9" s="1"/>
  <c r="K728" i="9"/>
  <c r="J728" i="9"/>
  <c r="I728" i="9"/>
  <c r="K727" i="9"/>
  <c r="J727" i="9"/>
  <c r="I727" i="9"/>
  <c r="K726" i="9"/>
  <c r="J726" i="9"/>
  <c r="I726" i="9"/>
  <c r="J725" i="9"/>
  <c r="I725" i="9"/>
  <c r="K725" i="9" s="1"/>
  <c r="J724" i="9"/>
  <c r="E1339" i="9" s="1"/>
  <c r="Q1339" i="9" s="1"/>
  <c r="S1339" i="9" s="1"/>
  <c r="I724" i="9"/>
  <c r="K724" i="9" s="1"/>
  <c r="K723" i="9"/>
  <c r="J723" i="9"/>
  <c r="I723" i="9"/>
  <c r="K722" i="9"/>
  <c r="J722" i="9"/>
  <c r="I722" i="9"/>
  <c r="K721" i="9"/>
  <c r="J721" i="9"/>
  <c r="I721" i="9"/>
  <c r="J720" i="9"/>
  <c r="I720" i="9"/>
  <c r="K720" i="9" s="1"/>
  <c r="J719" i="9"/>
  <c r="I719" i="9"/>
  <c r="K719" i="9" s="1"/>
  <c r="J718" i="9"/>
  <c r="I718" i="9"/>
  <c r="K718" i="9" s="1"/>
  <c r="J717" i="9"/>
  <c r="I717" i="9"/>
  <c r="K717" i="9" s="1"/>
  <c r="J716" i="9"/>
  <c r="I716" i="9"/>
  <c r="K716" i="9" s="1"/>
  <c r="K715" i="9"/>
  <c r="J715" i="9"/>
  <c r="I715" i="9"/>
  <c r="K714" i="9"/>
  <c r="J714" i="9"/>
  <c r="E1336" i="9" s="1"/>
  <c r="Q1336" i="9" s="1"/>
  <c r="S1336" i="9" s="1"/>
  <c r="I714" i="9"/>
  <c r="K713" i="9"/>
  <c r="J713" i="9"/>
  <c r="I713" i="9"/>
  <c r="K712" i="9"/>
  <c r="J712" i="9"/>
  <c r="I712" i="9"/>
  <c r="J711" i="9"/>
  <c r="E1334" i="9" s="1"/>
  <c r="Q1334" i="9" s="1"/>
  <c r="S1334" i="9" s="1"/>
  <c r="I711" i="9"/>
  <c r="K711" i="9" s="1"/>
  <c r="F1334" i="9" s="1"/>
  <c r="G1334" i="9" s="1"/>
  <c r="K710" i="9"/>
  <c r="J710" i="9"/>
  <c r="I710" i="9"/>
  <c r="J709" i="9"/>
  <c r="I709" i="9"/>
  <c r="K709" i="9" s="1"/>
  <c r="K708" i="9"/>
  <c r="J708" i="9"/>
  <c r="I708" i="9"/>
  <c r="K707" i="9"/>
  <c r="J707" i="9"/>
  <c r="I707" i="9"/>
  <c r="J706" i="9"/>
  <c r="E1333" i="9" s="1"/>
  <c r="Q1333" i="9" s="1"/>
  <c r="S1333" i="9" s="1"/>
  <c r="I706" i="9"/>
  <c r="K706" i="9" s="1"/>
  <c r="F1333" i="9" s="1"/>
  <c r="G1333" i="9" s="1"/>
  <c r="J705" i="9"/>
  <c r="E1332" i="9" s="1"/>
  <c r="Q1332" i="9" s="1"/>
  <c r="S1332" i="9" s="1"/>
  <c r="I705" i="9"/>
  <c r="K705" i="9" s="1"/>
  <c r="F1332" i="9" s="1"/>
  <c r="G1332" i="9" s="1"/>
  <c r="J704" i="9"/>
  <c r="I704" i="9"/>
  <c r="K704" i="9" s="1"/>
  <c r="J703" i="9"/>
  <c r="I703" i="9"/>
  <c r="K703" i="9" s="1"/>
  <c r="J702" i="9"/>
  <c r="I702" i="9"/>
  <c r="K702" i="9" s="1"/>
  <c r="K701" i="9"/>
  <c r="J701" i="9"/>
  <c r="I701" i="9"/>
  <c r="K700" i="9"/>
  <c r="J700" i="9"/>
  <c r="E1331" i="9" s="1"/>
  <c r="Q1331" i="9" s="1"/>
  <c r="S1331" i="9" s="1"/>
  <c r="I700" i="9"/>
  <c r="K699" i="9"/>
  <c r="J699" i="9"/>
  <c r="I699" i="9"/>
  <c r="K698" i="9"/>
  <c r="J698" i="9"/>
  <c r="I698" i="9"/>
  <c r="J697" i="9"/>
  <c r="E1329" i="9" s="1"/>
  <c r="Q1329" i="9" s="1"/>
  <c r="S1329" i="9" s="1"/>
  <c r="I697" i="9"/>
  <c r="K697" i="9" s="1"/>
  <c r="F1329" i="9" s="1"/>
  <c r="G1329" i="9" s="1"/>
  <c r="K696" i="9"/>
  <c r="J696" i="9"/>
  <c r="I696" i="9"/>
  <c r="K695" i="9"/>
  <c r="F1328" i="9" s="1"/>
  <c r="G1328" i="9" s="1"/>
  <c r="J695" i="9"/>
  <c r="I695" i="9"/>
  <c r="K694" i="9"/>
  <c r="J694" i="9"/>
  <c r="I694" i="9"/>
  <c r="K693" i="9"/>
  <c r="J693" i="9"/>
  <c r="I693" i="9"/>
  <c r="J692" i="9"/>
  <c r="E1327" i="9" s="1"/>
  <c r="Q1327" i="9" s="1"/>
  <c r="S1327" i="9" s="1"/>
  <c r="I692" i="9"/>
  <c r="K692" i="9" s="1"/>
  <c r="F1327" i="9" s="1"/>
  <c r="G1327" i="9" s="1"/>
  <c r="J691" i="9"/>
  <c r="I691" i="9"/>
  <c r="K691" i="9" s="1"/>
  <c r="J690" i="9"/>
  <c r="I690" i="9"/>
  <c r="K690" i="9" s="1"/>
  <c r="J689" i="9"/>
  <c r="I689" i="9"/>
  <c r="K689" i="9" s="1"/>
  <c r="J688" i="9"/>
  <c r="I688" i="9"/>
  <c r="K688" i="9" s="1"/>
  <c r="K687" i="9"/>
  <c r="J687" i="9"/>
  <c r="I687" i="9"/>
  <c r="K686" i="9"/>
  <c r="J686" i="9"/>
  <c r="I686" i="9"/>
  <c r="K685" i="9"/>
  <c r="J685" i="9"/>
  <c r="I685" i="9"/>
  <c r="K684" i="9"/>
  <c r="J684" i="9"/>
  <c r="I684" i="9"/>
  <c r="J683" i="9"/>
  <c r="I683" i="9"/>
  <c r="K683" i="9" s="1"/>
  <c r="K682" i="9"/>
  <c r="J682" i="9"/>
  <c r="I682" i="9"/>
  <c r="K681" i="9"/>
  <c r="J681" i="9"/>
  <c r="I681" i="9"/>
  <c r="K680" i="9"/>
  <c r="F1323" i="9" s="1"/>
  <c r="G1323" i="9" s="1"/>
  <c r="J680" i="9"/>
  <c r="E1323" i="9" s="1"/>
  <c r="Q1323" i="9" s="1"/>
  <c r="S1323" i="9" s="1"/>
  <c r="I680" i="9"/>
  <c r="K679" i="9"/>
  <c r="J679" i="9"/>
  <c r="I679" i="9"/>
  <c r="J678" i="9"/>
  <c r="I678" i="9"/>
  <c r="K678" i="9" s="1"/>
  <c r="K677" i="9"/>
  <c r="J677" i="9"/>
  <c r="I677" i="9"/>
  <c r="J676" i="9"/>
  <c r="I676" i="9"/>
  <c r="K676" i="9" s="1"/>
  <c r="J675" i="9"/>
  <c r="I675" i="9"/>
  <c r="K675" i="9" s="1"/>
  <c r="J674" i="9"/>
  <c r="I674" i="9"/>
  <c r="K674" i="9" s="1"/>
  <c r="J673" i="9"/>
  <c r="I673" i="9"/>
  <c r="K673" i="9" s="1"/>
  <c r="K672" i="9"/>
  <c r="F1321" i="9" s="1"/>
  <c r="G1321" i="9" s="1"/>
  <c r="J672" i="9"/>
  <c r="E1321" i="9" s="1"/>
  <c r="Q1321" i="9" s="1"/>
  <c r="S1321" i="9" s="1"/>
  <c r="I672" i="9"/>
  <c r="K671" i="9"/>
  <c r="J671" i="9"/>
  <c r="I671" i="9"/>
  <c r="K670" i="9"/>
  <c r="J670" i="9"/>
  <c r="I670" i="9"/>
  <c r="J669" i="9"/>
  <c r="I669" i="9"/>
  <c r="K669" i="9" s="1"/>
  <c r="J668" i="9"/>
  <c r="I668" i="9"/>
  <c r="K668" i="9" s="1"/>
  <c r="J667" i="9"/>
  <c r="I667" i="9"/>
  <c r="K667" i="9" s="1"/>
  <c r="K666" i="9"/>
  <c r="J666" i="9"/>
  <c r="I666" i="9"/>
  <c r="K665" i="9"/>
  <c r="F1319" i="9" s="1"/>
  <c r="G1319" i="9" s="1"/>
  <c r="J665" i="9"/>
  <c r="E1319" i="9" s="1"/>
  <c r="Q1319" i="9" s="1"/>
  <c r="S1319" i="9" s="1"/>
  <c r="I665" i="9"/>
  <c r="K664" i="9"/>
  <c r="J664" i="9"/>
  <c r="I664" i="9"/>
  <c r="J663" i="9"/>
  <c r="I663" i="9"/>
  <c r="K663" i="9" s="1"/>
  <c r="J662" i="9"/>
  <c r="I662" i="9"/>
  <c r="K662" i="9" s="1"/>
  <c r="J661" i="9"/>
  <c r="I661" i="9"/>
  <c r="K661" i="9" s="1"/>
  <c r="J660" i="9"/>
  <c r="I660" i="9"/>
  <c r="K660" i="9" s="1"/>
  <c r="J659" i="9"/>
  <c r="I659" i="9"/>
  <c r="K659" i="9" s="1"/>
  <c r="K658" i="9"/>
  <c r="J658" i="9"/>
  <c r="I658" i="9"/>
  <c r="K657" i="9"/>
  <c r="J657" i="9"/>
  <c r="I657" i="9"/>
  <c r="K656" i="9"/>
  <c r="J656" i="9"/>
  <c r="I656" i="9"/>
  <c r="J655" i="9"/>
  <c r="I655" i="9"/>
  <c r="K655" i="9" s="1"/>
  <c r="J654" i="9"/>
  <c r="I654" i="9"/>
  <c r="K654" i="9" s="1"/>
  <c r="J653" i="9"/>
  <c r="I653" i="9"/>
  <c r="K653" i="9" s="1"/>
  <c r="K652" i="9"/>
  <c r="F1314" i="9" s="1"/>
  <c r="G1314" i="9" s="1"/>
  <c r="J652" i="9"/>
  <c r="E1314" i="9" s="1"/>
  <c r="Q1314" i="9" s="1"/>
  <c r="S1314" i="9" s="1"/>
  <c r="I652" i="9"/>
  <c r="K651" i="9"/>
  <c r="J651" i="9"/>
  <c r="I651" i="9"/>
  <c r="K650" i="9"/>
  <c r="J650" i="9"/>
  <c r="I650" i="9"/>
  <c r="K649" i="9"/>
  <c r="J649" i="9"/>
  <c r="E1313" i="9" s="1"/>
  <c r="Q1313" i="9" s="1"/>
  <c r="S1313" i="9" s="1"/>
  <c r="I649" i="9"/>
  <c r="J648" i="9"/>
  <c r="I648" i="9"/>
  <c r="K648" i="9" s="1"/>
  <c r="J647" i="9"/>
  <c r="I647" i="9"/>
  <c r="K647" i="9" s="1"/>
  <c r="F1312" i="9" s="1"/>
  <c r="G1312" i="9" s="1"/>
  <c r="J646" i="9"/>
  <c r="I646" i="9"/>
  <c r="K646" i="9" s="1"/>
  <c r="J645" i="9"/>
  <c r="I645" i="9"/>
  <c r="K645" i="9" s="1"/>
  <c r="K644" i="9"/>
  <c r="J644" i="9"/>
  <c r="I644" i="9"/>
  <c r="K643" i="9"/>
  <c r="J643" i="9"/>
  <c r="I643" i="9"/>
  <c r="K642" i="9"/>
  <c r="J642" i="9"/>
  <c r="I642" i="9"/>
  <c r="J641" i="9"/>
  <c r="I641" i="9"/>
  <c r="K641" i="9" s="1"/>
  <c r="J640" i="9"/>
  <c r="I640" i="9"/>
  <c r="K640" i="9" s="1"/>
  <c r="F1310" i="9" s="1"/>
  <c r="G1310" i="9" s="1"/>
  <c r="J639" i="9"/>
  <c r="E1309" i="9" s="1"/>
  <c r="Q1309" i="9" s="1"/>
  <c r="S1309" i="9" s="1"/>
  <c r="I639" i="9"/>
  <c r="K639" i="9" s="1"/>
  <c r="F1309" i="9" s="1"/>
  <c r="G1309" i="9" s="1"/>
  <c r="K638" i="9"/>
  <c r="J638" i="9"/>
  <c r="I638" i="9"/>
  <c r="K637" i="9"/>
  <c r="J637" i="9"/>
  <c r="I637" i="9"/>
  <c r="K636" i="9"/>
  <c r="F1308" i="9" s="1"/>
  <c r="G1308" i="9" s="1"/>
  <c r="J636" i="9"/>
  <c r="E1308" i="9" s="1"/>
  <c r="Q1308" i="9" s="1"/>
  <c r="S1308" i="9" s="1"/>
  <c r="I636" i="9"/>
  <c r="K635" i="9"/>
  <c r="J635" i="9"/>
  <c r="I635" i="9"/>
  <c r="J634" i="9"/>
  <c r="I634" i="9"/>
  <c r="K634" i="9" s="1"/>
  <c r="J633" i="9"/>
  <c r="I633" i="9"/>
  <c r="K633" i="9" s="1"/>
  <c r="J632" i="9"/>
  <c r="I632" i="9"/>
  <c r="K632" i="9" s="1"/>
  <c r="K631" i="9"/>
  <c r="F1306" i="9" s="1"/>
  <c r="G1306" i="9" s="1"/>
  <c r="J631" i="9"/>
  <c r="E1306" i="9" s="1"/>
  <c r="Q1306" i="9" s="1"/>
  <c r="S1306" i="9" s="1"/>
  <c r="I631" i="9"/>
  <c r="J630" i="9"/>
  <c r="I630" i="9"/>
  <c r="K630" i="9" s="1"/>
  <c r="K629" i="9"/>
  <c r="J629" i="9"/>
  <c r="I629" i="9"/>
  <c r="K628" i="9"/>
  <c r="J628" i="9"/>
  <c r="I628" i="9"/>
  <c r="J627" i="9"/>
  <c r="I627" i="9"/>
  <c r="K627" i="9" s="1"/>
  <c r="K626" i="9"/>
  <c r="F1305" i="9" s="1"/>
  <c r="G1305" i="9" s="1"/>
  <c r="J626" i="9"/>
  <c r="E1305" i="9" s="1"/>
  <c r="I626" i="9"/>
  <c r="J625" i="9"/>
  <c r="I625" i="9"/>
  <c r="K625" i="9" s="1"/>
  <c r="J624" i="9"/>
  <c r="I624" i="9"/>
  <c r="K624" i="9" s="1"/>
  <c r="K623" i="9"/>
  <c r="J623" i="9"/>
  <c r="I623" i="9"/>
  <c r="J622" i="9"/>
  <c r="I622" i="9"/>
  <c r="K622" i="9" s="1"/>
  <c r="K621" i="9"/>
  <c r="F1303" i="9" s="1"/>
  <c r="G1303" i="9" s="1"/>
  <c r="J621" i="9"/>
  <c r="E1303" i="9" s="1"/>
  <c r="Q1303" i="9" s="1"/>
  <c r="S1303" i="9" s="1"/>
  <c r="I621" i="9"/>
  <c r="K620" i="9"/>
  <c r="J620" i="9"/>
  <c r="I620" i="9"/>
  <c r="J619" i="9"/>
  <c r="I619" i="9"/>
  <c r="K619" i="9" s="1"/>
  <c r="J618" i="9"/>
  <c r="I618" i="9"/>
  <c r="K618" i="9" s="1"/>
  <c r="J617" i="9"/>
  <c r="I617" i="9"/>
  <c r="K617" i="9" s="1"/>
  <c r="J616" i="9"/>
  <c r="I616" i="9"/>
  <c r="K616" i="9" s="1"/>
  <c r="K615" i="9"/>
  <c r="J615" i="9"/>
  <c r="I615" i="9"/>
  <c r="K614" i="9"/>
  <c r="J614" i="9"/>
  <c r="I614" i="9"/>
  <c r="J613" i="9"/>
  <c r="I613" i="9"/>
  <c r="K613" i="9" s="1"/>
  <c r="J612" i="9"/>
  <c r="I612" i="9"/>
  <c r="K612" i="9" s="1"/>
  <c r="F1301" i="9" s="1"/>
  <c r="G1301" i="9" s="1"/>
  <c r="J611" i="9"/>
  <c r="I611" i="9"/>
  <c r="K611" i="9" s="1"/>
  <c r="J610" i="9"/>
  <c r="I610" i="9"/>
  <c r="K610" i="9" s="1"/>
  <c r="K609" i="9"/>
  <c r="J609" i="9"/>
  <c r="I609" i="9"/>
  <c r="K608" i="9"/>
  <c r="J608" i="9"/>
  <c r="I608" i="9"/>
  <c r="J607" i="9"/>
  <c r="I607" i="9"/>
  <c r="K607" i="9" s="1"/>
  <c r="K606" i="9"/>
  <c r="J606" i="9"/>
  <c r="I606" i="9"/>
  <c r="J605" i="9"/>
  <c r="I605" i="9"/>
  <c r="K605" i="9" s="1"/>
  <c r="J604" i="9"/>
  <c r="I604" i="9"/>
  <c r="K604" i="9" s="1"/>
  <c r="K603" i="9"/>
  <c r="F1298" i="9" s="1"/>
  <c r="G1298" i="9" s="1"/>
  <c r="J603" i="9"/>
  <c r="E1298" i="9" s="1"/>
  <c r="Q1298" i="9" s="1"/>
  <c r="S1298" i="9" s="1"/>
  <c r="I603" i="9"/>
  <c r="J602" i="9"/>
  <c r="E1297" i="9" s="1"/>
  <c r="Q1297" i="9" s="1"/>
  <c r="S1297" i="9" s="1"/>
  <c r="I602" i="9"/>
  <c r="K602" i="9" s="1"/>
  <c r="F1297" i="9" s="1"/>
  <c r="G1297" i="9" s="1"/>
  <c r="K601" i="9"/>
  <c r="J601" i="9"/>
  <c r="I601" i="9"/>
  <c r="K600" i="9"/>
  <c r="J600" i="9"/>
  <c r="I600" i="9"/>
  <c r="J599" i="9"/>
  <c r="I599" i="9"/>
  <c r="K599" i="9" s="1"/>
  <c r="K598" i="9"/>
  <c r="J598" i="9"/>
  <c r="I598" i="9"/>
  <c r="J597" i="9"/>
  <c r="E1295" i="9" s="1"/>
  <c r="Q1295" i="9" s="1"/>
  <c r="S1295" i="9" s="1"/>
  <c r="I597" i="9"/>
  <c r="K597" i="9" s="1"/>
  <c r="F1295" i="9" s="1"/>
  <c r="G1295" i="9" s="1"/>
  <c r="K596" i="9"/>
  <c r="J596" i="9"/>
  <c r="I596" i="9"/>
  <c r="K595" i="9"/>
  <c r="J595" i="9"/>
  <c r="I595" i="9"/>
  <c r="J594" i="9"/>
  <c r="I594" i="9"/>
  <c r="K594" i="9" s="1"/>
  <c r="K593" i="9"/>
  <c r="J593" i="9"/>
  <c r="E1293" i="9" s="1"/>
  <c r="Q1293" i="9" s="1"/>
  <c r="S1293" i="9" s="1"/>
  <c r="I593" i="9"/>
  <c r="J592" i="9"/>
  <c r="E1292" i="9" s="1"/>
  <c r="Q1292" i="9" s="1"/>
  <c r="S1292" i="9" s="1"/>
  <c r="I592" i="9"/>
  <c r="K592" i="9" s="1"/>
  <c r="F1292" i="9" s="1"/>
  <c r="G1292" i="9" s="1"/>
  <c r="J591" i="9"/>
  <c r="E1291" i="9" s="1"/>
  <c r="Q1291" i="9" s="1"/>
  <c r="S1291" i="9" s="1"/>
  <c r="I591" i="9"/>
  <c r="K591" i="9" s="1"/>
  <c r="F1291" i="9" s="1"/>
  <c r="G1291" i="9" s="1"/>
  <c r="J590" i="9"/>
  <c r="I590" i="9"/>
  <c r="K590" i="9" s="1"/>
  <c r="K589" i="9"/>
  <c r="J589" i="9"/>
  <c r="I589" i="9"/>
  <c r="K588" i="9"/>
  <c r="J588" i="9"/>
  <c r="E1290" i="9" s="1"/>
  <c r="Q1290" i="9" s="1"/>
  <c r="S1290" i="9" s="1"/>
  <c r="I588" i="9"/>
  <c r="K587" i="9"/>
  <c r="F1289" i="9" s="1"/>
  <c r="G1289" i="9" s="1"/>
  <c r="J587" i="9"/>
  <c r="E1289" i="9" s="1"/>
  <c r="Q1289" i="9" s="1"/>
  <c r="S1289" i="9" s="1"/>
  <c r="I587" i="9"/>
  <c r="K586" i="9"/>
  <c r="J586" i="9"/>
  <c r="I586" i="9"/>
  <c r="J585" i="9"/>
  <c r="I585" i="9"/>
  <c r="K585" i="9" s="1"/>
  <c r="K584" i="9"/>
  <c r="J584" i="9"/>
  <c r="I584" i="9"/>
  <c r="K583" i="9"/>
  <c r="J583" i="9"/>
  <c r="I583" i="9"/>
  <c r="J582" i="9"/>
  <c r="I582" i="9"/>
  <c r="K582" i="9" s="1"/>
  <c r="F1288" i="9" s="1"/>
  <c r="G1288" i="9" s="1"/>
  <c r="K581" i="9"/>
  <c r="J581" i="9"/>
  <c r="I581" i="9"/>
  <c r="J580" i="9"/>
  <c r="I580" i="9"/>
  <c r="K580" i="9" s="1"/>
  <c r="J579" i="9"/>
  <c r="I579" i="9"/>
  <c r="K579" i="9" s="1"/>
  <c r="F1287" i="9" s="1"/>
  <c r="G1287" i="9" s="1"/>
  <c r="K578" i="9"/>
  <c r="J578" i="9"/>
  <c r="I578" i="9"/>
  <c r="J577" i="9"/>
  <c r="I577" i="9"/>
  <c r="K577" i="9" s="1"/>
  <c r="J576" i="9"/>
  <c r="I576" i="9"/>
  <c r="K576" i="9" s="1"/>
  <c r="J575" i="9"/>
  <c r="I575" i="9"/>
  <c r="K575" i="9" s="1"/>
  <c r="J574" i="9"/>
  <c r="I574" i="9"/>
  <c r="K574" i="9" s="1"/>
  <c r="K573" i="9"/>
  <c r="J573" i="9"/>
  <c r="I573" i="9"/>
  <c r="K572" i="9"/>
  <c r="J572" i="9"/>
  <c r="I572" i="9"/>
  <c r="J571" i="9"/>
  <c r="I571" i="9"/>
  <c r="K571" i="9" s="1"/>
  <c r="J570" i="9"/>
  <c r="I570" i="9"/>
  <c r="K570" i="9" s="1"/>
  <c r="J569" i="9"/>
  <c r="I569" i="9"/>
  <c r="K569" i="9" s="1"/>
  <c r="K568" i="9"/>
  <c r="J568" i="9"/>
  <c r="I568" i="9"/>
  <c r="K567" i="9"/>
  <c r="J567" i="9"/>
  <c r="I567" i="9"/>
  <c r="K566" i="9"/>
  <c r="J566" i="9"/>
  <c r="E1285" i="9" s="1"/>
  <c r="Q1285" i="9" s="1"/>
  <c r="S1285" i="9" s="1"/>
  <c r="I566" i="9"/>
  <c r="K565" i="9"/>
  <c r="F1284" i="9" s="1"/>
  <c r="G1284" i="9" s="1"/>
  <c r="J565" i="9"/>
  <c r="E1284" i="9" s="1"/>
  <c r="Q1284" i="9" s="1"/>
  <c r="S1284" i="9" s="1"/>
  <c r="I565" i="9"/>
  <c r="J564" i="9"/>
  <c r="I564" i="9"/>
  <c r="K564" i="9" s="1"/>
  <c r="J563" i="9"/>
  <c r="I563" i="9"/>
  <c r="K563" i="9" s="1"/>
  <c r="J562" i="9"/>
  <c r="I562" i="9"/>
  <c r="K562" i="9" s="1"/>
  <c r="K561" i="9"/>
  <c r="J561" i="9"/>
  <c r="I561" i="9"/>
  <c r="K560" i="9"/>
  <c r="J560" i="9"/>
  <c r="I560" i="9"/>
  <c r="J559" i="9"/>
  <c r="I559" i="9"/>
  <c r="K559" i="9" s="1"/>
  <c r="K558" i="9"/>
  <c r="J558" i="9"/>
  <c r="I558" i="9"/>
  <c r="J557" i="9"/>
  <c r="I557" i="9"/>
  <c r="K557" i="9" s="1"/>
  <c r="K556" i="9"/>
  <c r="J556" i="9"/>
  <c r="I556" i="9"/>
  <c r="K555" i="9"/>
  <c r="J555" i="9"/>
  <c r="I555" i="9"/>
  <c r="J554" i="9"/>
  <c r="I554" i="9"/>
  <c r="K554" i="9" s="1"/>
  <c r="K553" i="9"/>
  <c r="J553" i="9"/>
  <c r="I553" i="9"/>
  <c r="J552" i="9"/>
  <c r="I552" i="9"/>
  <c r="K552" i="9" s="1"/>
  <c r="K551" i="9"/>
  <c r="J551" i="9"/>
  <c r="I551" i="9"/>
  <c r="K550" i="9"/>
  <c r="J550" i="9"/>
  <c r="I550" i="9"/>
  <c r="K549" i="9"/>
  <c r="J549" i="9"/>
  <c r="I549" i="9"/>
  <c r="J548" i="9"/>
  <c r="I548" i="9"/>
  <c r="K548" i="9" s="1"/>
  <c r="J547" i="9"/>
  <c r="E1280" i="9" s="1"/>
  <c r="Q1280" i="9" s="1"/>
  <c r="S1280" i="9" s="1"/>
  <c r="I547" i="9"/>
  <c r="K547" i="9" s="1"/>
  <c r="F1280" i="9" s="1"/>
  <c r="G1280" i="9" s="1"/>
  <c r="K546" i="9"/>
  <c r="J546" i="9"/>
  <c r="I546" i="9"/>
  <c r="K545" i="9"/>
  <c r="J545" i="9"/>
  <c r="I545" i="9"/>
  <c r="K544" i="9"/>
  <c r="J544" i="9"/>
  <c r="I544" i="9"/>
  <c r="J543" i="9"/>
  <c r="I543" i="9"/>
  <c r="K543" i="9" s="1"/>
  <c r="J542" i="9"/>
  <c r="E1278" i="9" s="1"/>
  <c r="Q1278" i="9" s="1"/>
  <c r="S1278" i="9" s="1"/>
  <c r="I542" i="9"/>
  <c r="K542" i="9" s="1"/>
  <c r="F1278" i="9" s="1"/>
  <c r="G1278" i="9" s="1"/>
  <c r="K541" i="9"/>
  <c r="F1277" i="9" s="1"/>
  <c r="G1277" i="9" s="1"/>
  <c r="J541" i="9"/>
  <c r="E1277" i="9" s="1"/>
  <c r="Q1277" i="9" s="1"/>
  <c r="S1277" i="9" s="1"/>
  <c r="I541" i="9"/>
  <c r="K540" i="9"/>
  <c r="J540" i="9"/>
  <c r="I540" i="9"/>
  <c r="K539" i="9"/>
  <c r="F1276" i="9" s="1"/>
  <c r="G1276" i="9" s="1"/>
  <c r="J539" i="9"/>
  <c r="I539" i="9"/>
  <c r="J538" i="9"/>
  <c r="I538" i="9"/>
  <c r="K538" i="9" s="1"/>
  <c r="K537" i="9"/>
  <c r="J537" i="9"/>
  <c r="I537" i="9"/>
  <c r="J536" i="9"/>
  <c r="I536" i="9"/>
  <c r="K536" i="9" s="1"/>
  <c r="J535" i="9"/>
  <c r="I535" i="9"/>
  <c r="K535" i="9" s="1"/>
  <c r="J534" i="9"/>
  <c r="I534" i="9"/>
  <c r="K534" i="9" s="1"/>
  <c r="J533" i="9"/>
  <c r="E1274" i="9" s="1"/>
  <c r="Q1274" i="9" s="1"/>
  <c r="S1274" i="9" s="1"/>
  <c r="I533" i="9"/>
  <c r="K533" i="9" s="1"/>
  <c r="F1274" i="9" s="1"/>
  <c r="G1274" i="9" s="1"/>
  <c r="J532" i="9"/>
  <c r="E1273" i="9" s="1"/>
  <c r="Q1273" i="9" s="1"/>
  <c r="S1273" i="9" s="1"/>
  <c r="I532" i="9"/>
  <c r="K532" i="9" s="1"/>
  <c r="F1273" i="9" s="1"/>
  <c r="G1273" i="9" s="1"/>
  <c r="J531" i="9"/>
  <c r="I531" i="9"/>
  <c r="K531" i="9" s="1"/>
  <c r="K530" i="9"/>
  <c r="J530" i="9"/>
  <c r="I530" i="9"/>
  <c r="J529" i="9"/>
  <c r="I529" i="9"/>
  <c r="K529" i="9" s="1"/>
  <c r="J528" i="9"/>
  <c r="I528" i="9"/>
  <c r="K528" i="9" s="1"/>
  <c r="J527" i="9"/>
  <c r="E1272" i="9" s="1"/>
  <c r="Q1272" i="9" s="1"/>
  <c r="S1272" i="9" s="1"/>
  <c r="I527" i="9"/>
  <c r="K527" i="9" s="1"/>
  <c r="F1272" i="9" s="1"/>
  <c r="G1272" i="9" s="1"/>
  <c r="J526" i="9"/>
  <c r="I526" i="9"/>
  <c r="K526" i="9" s="1"/>
  <c r="K525" i="9"/>
  <c r="J525" i="9"/>
  <c r="I525" i="9"/>
  <c r="K524" i="9"/>
  <c r="J524" i="9"/>
  <c r="I524" i="9"/>
  <c r="J523" i="9"/>
  <c r="I523" i="9"/>
  <c r="K523" i="9" s="1"/>
  <c r="K522" i="9"/>
  <c r="J522" i="9"/>
  <c r="I522" i="9"/>
  <c r="K521" i="9"/>
  <c r="J521" i="9"/>
  <c r="I521" i="9"/>
  <c r="J520" i="9"/>
  <c r="I520" i="9"/>
  <c r="K520" i="9" s="1"/>
  <c r="K519" i="9"/>
  <c r="J519" i="9"/>
  <c r="I519" i="9"/>
  <c r="J518" i="9"/>
  <c r="E1269" i="9" s="1"/>
  <c r="I518" i="9"/>
  <c r="K518" i="9" s="1"/>
  <c r="F1269" i="9" s="1"/>
  <c r="G1269" i="9" s="1"/>
  <c r="K517" i="9"/>
  <c r="J517" i="9"/>
  <c r="I517" i="9"/>
  <c r="K516" i="9"/>
  <c r="J516" i="9"/>
  <c r="I516" i="9"/>
  <c r="J515" i="9"/>
  <c r="I515" i="9"/>
  <c r="K515" i="9" s="1"/>
  <c r="K514" i="9"/>
  <c r="J514" i="9"/>
  <c r="I514" i="9"/>
  <c r="J513" i="9"/>
  <c r="I513" i="9"/>
  <c r="K513" i="9" s="1"/>
  <c r="K512" i="9"/>
  <c r="J512" i="9"/>
  <c r="I512" i="9"/>
  <c r="K511" i="9"/>
  <c r="J511" i="9"/>
  <c r="I511" i="9"/>
  <c r="J510" i="9"/>
  <c r="E1266" i="9" s="1"/>
  <c r="Q1266" i="9" s="1"/>
  <c r="S1266" i="9" s="1"/>
  <c r="I510" i="9"/>
  <c r="K510" i="9" s="1"/>
  <c r="F1266" i="9" s="1"/>
  <c r="G1266" i="9" s="1"/>
  <c r="J509" i="9"/>
  <c r="E1265" i="9" s="1"/>
  <c r="Q1265" i="9" s="1"/>
  <c r="S1265" i="9" s="1"/>
  <c r="I509" i="9"/>
  <c r="K509" i="9" s="1"/>
  <c r="F1265" i="9" s="1"/>
  <c r="G1265" i="9" s="1"/>
  <c r="J508" i="9"/>
  <c r="I508" i="9"/>
  <c r="K508" i="9" s="1"/>
  <c r="K507" i="9"/>
  <c r="J507" i="9"/>
  <c r="I507" i="9"/>
  <c r="J506" i="9"/>
  <c r="I506" i="9"/>
  <c r="K506" i="9" s="1"/>
  <c r="J505" i="9"/>
  <c r="I505" i="9"/>
  <c r="K505" i="9" s="1"/>
  <c r="F1264" i="9" s="1"/>
  <c r="G1264" i="9" s="1"/>
  <c r="J504" i="9"/>
  <c r="E1263" i="9" s="1"/>
  <c r="Q1263" i="9" s="1"/>
  <c r="S1263" i="9" s="1"/>
  <c r="I504" i="9"/>
  <c r="K504" i="9" s="1"/>
  <c r="F1263" i="9" s="1"/>
  <c r="G1263" i="9" s="1"/>
  <c r="J503" i="9"/>
  <c r="I503" i="9"/>
  <c r="K503" i="9" s="1"/>
  <c r="K502" i="9"/>
  <c r="J502" i="9"/>
  <c r="I502" i="9"/>
  <c r="J501" i="9"/>
  <c r="E1261" i="9" s="1"/>
  <c r="Q1261" i="9" s="1"/>
  <c r="S1261" i="9" s="1"/>
  <c r="I501" i="9"/>
  <c r="K501" i="9" s="1"/>
  <c r="F1261" i="9" s="1"/>
  <c r="G1261" i="9" s="1"/>
  <c r="J500" i="9"/>
  <c r="I500" i="9"/>
  <c r="K500" i="9" s="1"/>
  <c r="J499" i="9"/>
  <c r="I499" i="9"/>
  <c r="K499" i="9" s="1"/>
  <c r="J498" i="9"/>
  <c r="E1260" i="9" s="1"/>
  <c r="Q1260" i="9" s="1"/>
  <c r="S1260" i="9" s="1"/>
  <c r="I498" i="9"/>
  <c r="K498" i="9" s="1"/>
  <c r="F1260" i="9" s="1"/>
  <c r="G1260" i="9" s="1"/>
  <c r="K497" i="9"/>
  <c r="J497" i="9"/>
  <c r="I497" i="9"/>
  <c r="K496" i="9"/>
  <c r="J496" i="9"/>
  <c r="E1259" i="9" s="1"/>
  <c r="Q1259" i="9" s="1"/>
  <c r="S1259" i="9" s="1"/>
  <c r="I496" i="9"/>
  <c r="K495" i="9"/>
  <c r="F1258" i="9" s="1"/>
  <c r="G1258" i="9" s="1"/>
  <c r="J495" i="9"/>
  <c r="E1258" i="9" s="1"/>
  <c r="Q1258" i="9" s="1"/>
  <c r="S1258" i="9" s="1"/>
  <c r="I495" i="9"/>
  <c r="J494" i="9"/>
  <c r="E1257" i="9" s="1"/>
  <c r="Q1257" i="9" s="1"/>
  <c r="S1257" i="9" s="1"/>
  <c r="I494" i="9"/>
  <c r="K494" i="9" s="1"/>
  <c r="F1257" i="9" s="1"/>
  <c r="G1257" i="9" s="1"/>
  <c r="J493" i="9"/>
  <c r="I493" i="9"/>
  <c r="K493" i="9" s="1"/>
  <c r="J492" i="9"/>
  <c r="I492" i="9"/>
  <c r="K492" i="9" s="1"/>
  <c r="K491" i="9"/>
  <c r="J491" i="9"/>
  <c r="I491" i="9"/>
  <c r="K490" i="9"/>
  <c r="J490" i="9"/>
  <c r="I490" i="9"/>
  <c r="J489" i="9"/>
  <c r="I489" i="9"/>
  <c r="K489" i="9" s="1"/>
  <c r="F1255" i="9" s="1"/>
  <c r="G1255" i="9" s="1"/>
  <c r="K488" i="9"/>
  <c r="J488" i="9"/>
  <c r="I488" i="9"/>
  <c r="J487" i="9"/>
  <c r="I487" i="9"/>
  <c r="K487" i="9" s="1"/>
  <c r="K486" i="9"/>
  <c r="J486" i="9"/>
  <c r="I486" i="9"/>
  <c r="K485" i="9"/>
  <c r="J485" i="9"/>
  <c r="I485" i="9"/>
  <c r="J484" i="9"/>
  <c r="I484" i="9"/>
  <c r="K484" i="9" s="1"/>
  <c r="K483" i="9"/>
  <c r="J483" i="9"/>
  <c r="I483" i="9"/>
  <c r="J482" i="9"/>
  <c r="I482" i="9"/>
  <c r="K482" i="9" s="1"/>
  <c r="J481" i="9"/>
  <c r="I481" i="9"/>
  <c r="K481" i="9" s="1"/>
  <c r="K480" i="9"/>
  <c r="J480" i="9"/>
  <c r="I480" i="9"/>
  <c r="J479" i="9"/>
  <c r="I479" i="9"/>
  <c r="K479" i="9" s="1"/>
  <c r="J478" i="9"/>
  <c r="I478" i="9"/>
  <c r="K478" i="9" s="1"/>
  <c r="J477" i="9"/>
  <c r="E1252" i="9" s="1"/>
  <c r="Q1252" i="9" s="1"/>
  <c r="S1252" i="9" s="1"/>
  <c r="I477" i="9"/>
  <c r="K477" i="9" s="1"/>
  <c r="J476" i="9"/>
  <c r="I476" i="9"/>
  <c r="K476" i="9" s="1"/>
  <c r="K475" i="9"/>
  <c r="J475" i="9"/>
  <c r="I475" i="9"/>
  <c r="K474" i="9"/>
  <c r="J474" i="9"/>
  <c r="E1251" i="9" s="1"/>
  <c r="Q1251" i="9" s="1"/>
  <c r="S1251" i="9" s="1"/>
  <c r="I474" i="9"/>
  <c r="J473" i="9"/>
  <c r="I473" i="9"/>
  <c r="K473" i="9" s="1"/>
  <c r="J472" i="9"/>
  <c r="I472" i="9"/>
  <c r="K472" i="9" s="1"/>
  <c r="J471" i="9"/>
  <c r="I471" i="9"/>
  <c r="K471" i="9" s="1"/>
  <c r="K470" i="9"/>
  <c r="J470" i="9"/>
  <c r="I470" i="9"/>
  <c r="K469" i="9"/>
  <c r="J469" i="9"/>
  <c r="I469" i="9"/>
  <c r="K468" i="9"/>
  <c r="J468" i="9"/>
  <c r="I468" i="9"/>
  <c r="K467" i="9"/>
  <c r="J467" i="9"/>
  <c r="I467" i="9"/>
  <c r="J466" i="9"/>
  <c r="I466" i="9"/>
  <c r="K466" i="9" s="1"/>
  <c r="J465" i="9"/>
  <c r="I465" i="9"/>
  <c r="K465" i="9" s="1"/>
  <c r="J464" i="9"/>
  <c r="I464" i="9"/>
  <c r="K464" i="9" s="1"/>
  <c r="K463" i="9"/>
  <c r="J463" i="9"/>
  <c r="I463" i="9"/>
  <c r="K462" i="9"/>
  <c r="J462" i="9"/>
  <c r="I462" i="9"/>
  <c r="J461" i="9"/>
  <c r="I461" i="9"/>
  <c r="K461" i="9" s="1"/>
  <c r="K460" i="9"/>
  <c r="J460" i="9"/>
  <c r="I460" i="9"/>
  <c r="J459" i="9"/>
  <c r="I459" i="9"/>
  <c r="K459" i="9" s="1"/>
  <c r="K458" i="9"/>
  <c r="J458" i="9"/>
  <c r="I458" i="9"/>
  <c r="K457" i="9"/>
  <c r="J457" i="9"/>
  <c r="I457" i="9"/>
  <c r="J456" i="9"/>
  <c r="I456" i="9"/>
  <c r="K456" i="9" s="1"/>
  <c r="K455" i="9"/>
  <c r="J455" i="9"/>
  <c r="I455" i="9"/>
  <c r="J454" i="9"/>
  <c r="E1246" i="9" s="1"/>
  <c r="I454" i="9"/>
  <c r="K454" i="9" s="1"/>
  <c r="F1246" i="9" s="1"/>
  <c r="G1246" i="9" s="1"/>
  <c r="K453" i="9"/>
  <c r="J453" i="9"/>
  <c r="I453" i="9"/>
  <c r="K452" i="9"/>
  <c r="J452" i="9"/>
  <c r="E1245" i="9" s="1"/>
  <c r="Q1245" i="9" s="1"/>
  <c r="S1245" i="9" s="1"/>
  <c r="I452" i="9"/>
  <c r="K451" i="9"/>
  <c r="J451" i="9"/>
  <c r="I451" i="9"/>
  <c r="J450" i="9"/>
  <c r="I450" i="9"/>
  <c r="K450" i="9" s="1"/>
  <c r="J449" i="9"/>
  <c r="I449" i="9"/>
  <c r="K449" i="9" s="1"/>
  <c r="K448" i="9"/>
  <c r="F1244" i="9" s="1"/>
  <c r="G1244" i="9" s="1"/>
  <c r="J448" i="9"/>
  <c r="I448" i="9"/>
  <c r="K447" i="9"/>
  <c r="J447" i="9"/>
  <c r="I447" i="9"/>
  <c r="K446" i="9"/>
  <c r="J446" i="9"/>
  <c r="I446" i="9"/>
  <c r="J445" i="9"/>
  <c r="I445" i="9"/>
  <c r="K445" i="9" s="1"/>
  <c r="J444" i="9"/>
  <c r="E1242" i="9" s="1"/>
  <c r="Q1242" i="9" s="1"/>
  <c r="S1242" i="9" s="1"/>
  <c r="I444" i="9"/>
  <c r="K444" i="9" s="1"/>
  <c r="F1242" i="9" s="1"/>
  <c r="G1242" i="9" s="1"/>
  <c r="J443" i="9"/>
  <c r="I443" i="9"/>
  <c r="K443" i="9" s="1"/>
  <c r="K442" i="9"/>
  <c r="J442" i="9"/>
  <c r="E1241" i="9" s="1"/>
  <c r="Q1241" i="9" s="1"/>
  <c r="S1241" i="9" s="1"/>
  <c r="I442" i="9"/>
  <c r="K441" i="9"/>
  <c r="J441" i="9"/>
  <c r="I441" i="9"/>
  <c r="J440" i="9"/>
  <c r="I440" i="9"/>
  <c r="K440" i="9" s="1"/>
  <c r="J439" i="9"/>
  <c r="I439" i="9"/>
  <c r="K439" i="9" s="1"/>
  <c r="J438" i="9"/>
  <c r="I438" i="9"/>
  <c r="K438" i="9" s="1"/>
  <c r="J437" i="9"/>
  <c r="I437" i="9"/>
  <c r="K437" i="9" s="1"/>
  <c r="J436" i="9"/>
  <c r="I436" i="9"/>
  <c r="K436" i="9" s="1"/>
  <c r="J435" i="9"/>
  <c r="I435" i="9"/>
  <c r="K435" i="9" s="1"/>
  <c r="K434" i="9"/>
  <c r="F1239" i="9" s="1"/>
  <c r="G1239" i="9" s="1"/>
  <c r="J434" i="9"/>
  <c r="E1239" i="9" s="1"/>
  <c r="Q1239" i="9" s="1"/>
  <c r="S1239" i="9" s="1"/>
  <c r="I434" i="9"/>
  <c r="J433" i="9"/>
  <c r="I433" i="9"/>
  <c r="K433" i="9" s="1"/>
  <c r="K432" i="9"/>
  <c r="J432" i="9"/>
  <c r="I432" i="9"/>
  <c r="J431" i="9"/>
  <c r="E1238" i="9" s="1"/>
  <c r="Q1238" i="9" s="1"/>
  <c r="S1238" i="9" s="1"/>
  <c r="I431" i="9"/>
  <c r="K431" i="9" s="1"/>
  <c r="J430" i="9"/>
  <c r="I430" i="9"/>
  <c r="K430" i="9" s="1"/>
  <c r="J429" i="9"/>
  <c r="I429" i="9"/>
  <c r="K429" i="9" s="1"/>
  <c r="J428" i="9"/>
  <c r="I428" i="9"/>
  <c r="K428" i="9" s="1"/>
  <c r="K427" i="9"/>
  <c r="J427" i="9"/>
  <c r="I427" i="9"/>
  <c r="K426" i="9"/>
  <c r="J426" i="9"/>
  <c r="I426" i="9"/>
  <c r="J425" i="9"/>
  <c r="I425" i="9"/>
  <c r="K425" i="9" s="1"/>
  <c r="K424" i="9"/>
  <c r="J424" i="9"/>
  <c r="I424" i="9"/>
  <c r="K423" i="9"/>
  <c r="J423" i="9"/>
  <c r="I423" i="9"/>
  <c r="J422" i="9"/>
  <c r="I422" i="9"/>
  <c r="K422" i="9" s="1"/>
  <c r="K421" i="9"/>
  <c r="J421" i="9"/>
  <c r="I421" i="9"/>
  <c r="J420" i="9"/>
  <c r="I420" i="9"/>
  <c r="K420" i="9" s="1"/>
  <c r="K419" i="9"/>
  <c r="F1235" i="9" s="1"/>
  <c r="G1235" i="9" s="1"/>
  <c r="J419" i="9"/>
  <c r="E1235" i="9" s="1"/>
  <c r="Q1235" i="9" s="1"/>
  <c r="S1235" i="9" s="1"/>
  <c r="I419" i="9"/>
  <c r="K418" i="9"/>
  <c r="J418" i="9"/>
  <c r="I418" i="9"/>
  <c r="J417" i="9"/>
  <c r="I417" i="9"/>
  <c r="K417" i="9" s="1"/>
  <c r="K416" i="9"/>
  <c r="J416" i="9"/>
  <c r="I416" i="9"/>
  <c r="J415" i="9"/>
  <c r="I415" i="9"/>
  <c r="K415" i="9" s="1"/>
  <c r="F1234" i="9" s="1"/>
  <c r="G1234" i="9" s="1"/>
  <c r="K414" i="9"/>
  <c r="F1233" i="9" s="1"/>
  <c r="G1233" i="9" s="1"/>
  <c r="J414" i="9"/>
  <c r="E1233" i="9" s="1"/>
  <c r="Q1233" i="9" s="1"/>
  <c r="S1233" i="9" s="1"/>
  <c r="I414" i="9"/>
  <c r="K413" i="9"/>
  <c r="F1232" i="9" s="1"/>
  <c r="G1232" i="9" s="1"/>
  <c r="J413" i="9"/>
  <c r="E1232" i="9" s="1"/>
  <c r="Q1232" i="9" s="1"/>
  <c r="S1232" i="9" s="1"/>
  <c r="I413" i="9"/>
  <c r="J412" i="9"/>
  <c r="E1231" i="9" s="1"/>
  <c r="Q1231" i="9" s="1"/>
  <c r="S1231" i="9" s="1"/>
  <c r="I412" i="9"/>
  <c r="K412" i="9" s="1"/>
  <c r="F1231" i="9" s="1"/>
  <c r="G1231" i="9" s="1"/>
  <c r="J411" i="9"/>
  <c r="E1230" i="9" s="1"/>
  <c r="Q1230" i="9" s="1"/>
  <c r="S1230" i="9" s="1"/>
  <c r="I411" i="9"/>
  <c r="K411" i="9" s="1"/>
  <c r="F1230" i="9" s="1"/>
  <c r="G1230" i="9" s="1"/>
  <c r="J410" i="9"/>
  <c r="E1229" i="9" s="1"/>
  <c r="Q1229" i="9" s="1"/>
  <c r="S1229" i="9" s="1"/>
  <c r="I410" i="9"/>
  <c r="K410" i="9" s="1"/>
  <c r="F1229" i="9" s="1"/>
  <c r="G1229" i="9" s="1"/>
  <c r="K409" i="9"/>
  <c r="J409" i="9"/>
  <c r="I409" i="9"/>
  <c r="J408" i="9"/>
  <c r="I408" i="9"/>
  <c r="K408" i="9" s="1"/>
  <c r="J407" i="9"/>
  <c r="I407" i="9"/>
  <c r="K407" i="9" s="1"/>
  <c r="J406" i="9"/>
  <c r="I406" i="9"/>
  <c r="K406" i="9" s="1"/>
  <c r="J405" i="9"/>
  <c r="I405" i="9"/>
  <c r="K405" i="9" s="1"/>
  <c r="K404" i="9"/>
  <c r="F1227" i="9" s="1"/>
  <c r="G1227" i="9" s="1"/>
  <c r="J404" i="9"/>
  <c r="E1227" i="9" s="1"/>
  <c r="Q1227" i="9" s="1"/>
  <c r="S1227" i="9" s="1"/>
  <c r="I404" i="9"/>
  <c r="J403" i="9"/>
  <c r="E1226" i="9" s="1"/>
  <c r="Q1226" i="9" s="1"/>
  <c r="S1226" i="9" s="1"/>
  <c r="I403" i="9"/>
  <c r="K403" i="9" s="1"/>
  <c r="F1226" i="9" s="1"/>
  <c r="G1226" i="9" s="1"/>
  <c r="J402" i="9"/>
  <c r="I402" i="9"/>
  <c r="K402" i="9" s="1"/>
  <c r="J401" i="9"/>
  <c r="I401" i="9"/>
  <c r="K401" i="9" s="1"/>
  <c r="J400" i="9"/>
  <c r="I400" i="9"/>
  <c r="K400" i="9" s="1"/>
  <c r="K399" i="9"/>
  <c r="J399" i="9"/>
  <c r="I399" i="9"/>
  <c r="K398" i="9"/>
  <c r="F1224" i="9" s="1"/>
  <c r="G1224" i="9" s="1"/>
  <c r="J398" i="9"/>
  <c r="I398" i="9"/>
  <c r="K397" i="9"/>
  <c r="J397" i="9"/>
  <c r="I397" i="9"/>
  <c r="J396" i="9"/>
  <c r="I396" i="9"/>
  <c r="K396" i="9" s="1"/>
  <c r="J395" i="9"/>
  <c r="I395" i="9"/>
  <c r="K395" i="9" s="1"/>
  <c r="J394" i="9"/>
  <c r="I394" i="9"/>
  <c r="K394" i="9" s="1"/>
  <c r="K393" i="9"/>
  <c r="J393" i="9"/>
  <c r="I393" i="9"/>
  <c r="K392" i="9"/>
  <c r="J392" i="9"/>
  <c r="I392" i="9"/>
  <c r="J391" i="9"/>
  <c r="I391" i="9"/>
  <c r="K391" i="9" s="1"/>
  <c r="K390" i="9"/>
  <c r="F1221" i="9" s="1"/>
  <c r="G1221" i="9" s="1"/>
  <c r="J390" i="9"/>
  <c r="I390" i="9"/>
  <c r="J389" i="9"/>
  <c r="I389" i="9"/>
  <c r="K389" i="9" s="1"/>
  <c r="K388" i="9"/>
  <c r="J388" i="9"/>
  <c r="I388" i="9"/>
  <c r="K387" i="9"/>
  <c r="J387" i="9"/>
  <c r="I387" i="9"/>
  <c r="J386" i="9"/>
  <c r="I386" i="9"/>
  <c r="K386" i="9" s="1"/>
  <c r="K385" i="9"/>
  <c r="J385" i="9"/>
  <c r="I385" i="9"/>
  <c r="J384" i="9"/>
  <c r="I384" i="9"/>
  <c r="K384" i="9" s="1"/>
  <c r="J383" i="9"/>
  <c r="I383" i="9"/>
  <c r="K383" i="9" s="1"/>
  <c r="K382" i="9"/>
  <c r="J382" i="9"/>
  <c r="I382" i="9"/>
  <c r="J381" i="9"/>
  <c r="I381" i="9"/>
  <c r="K381" i="9" s="1"/>
  <c r="J380" i="9"/>
  <c r="I380" i="9"/>
  <c r="K380" i="9" s="1"/>
  <c r="J379" i="9"/>
  <c r="I379" i="9"/>
  <c r="K379" i="9" s="1"/>
  <c r="J378" i="9"/>
  <c r="I378" i="9"/>
  <c r="K378" i="9" s="1"/>
  <c r="K377" i="9"/>
  <c r="J377" i="9"/>
  <c r="I377" i="9"/>
  <c r="K376" i="9"/>
  <c r="J376" i="9"/>
  <c r="I376" i="9"/>
  <c r="J375" i="9"/>
  <c r="E1218" i="9" s="1"/>
  <c r="Q1218" i="9" s="1"/>
  <c r="S1218" i="9" s="1"/>
  <c r="I375" i="9"/>
  <c r="K375" i="9" s="1"/>
  <c r="F1218" i="9" s="1"/>
  <c r="G1218" i="9" s="1"/>
  <c r="J374" i="9"/>
  <c r="I374" i="9"/>
  <c r="K374" i="9" s="1"/>
  <c r="J373" i="9"/>
  <c r="I373" i="9"/>
  <c r="K373" i="9" s="1"/>
  <c r="K372" i="9"/>
  <c r="J372" i="9"/>
  <c r="I372" i="9"/>
  <c r="K371" i="9"/>
  <c r="J371" i="9"/>
  <c r="I371" i="9"/>
  <c r="K370" i="9"/>
  <c r="J370" i="9"/>
  <c r="I370" i="9"/>
  <c r="K369" i="9"/>
  <c r="J369" i="9"/>
  <c r="I369" i="9"/>
  <c r="J368" i="9"/>
  <c r="I368" i="9"/>
  <c r="K368" i="9" s="1"/>
  <c r="J367" i="9"/>
  <c r="I367" i="9"/>
  <c r="K367" i="9" s="1"/>
  <c r="J366" i="9"/>
  <c r="I366" i="9"/>
  <c r="K366" i="9" s="1"/>
  <c r="K365" i="9"/>
  <c r="J365" i="9"/>
  <c r="I365" i="9"/>
  <c r="K364" i="9"/>
  <c r="J364" i="9"/>
  <c r="I364" i="9"/>
  <c r="J363" i="9"/>
  <c r="E1215" i="9" s="1"/>
  <c r="Q1215" i="9" s="1"/>
  <c r="S1215" i="9" s="1"/>
  <c r="I363" i="9"/>
  <c r="K363" i="9" s="1"/>
  <c r="F1215" i="9" s="1"/>
  <c r="G1215" i="9" s="1"/>
  <c r="K362" i="9"/>
  <c r="J362" i="9"/>
  <c r="I362" i="9"/>
  <c r="J361" i="9"/>
  <c r="I361" i="9"/>
  <c r="K361" i="9" s="1"/>
  <c r="K360" i="9"/>
  <c r="J360" i="9"/>
  <c r="I360" i="9"/>
  <c r="K359" i="9"/>
  <c r="J359" i="9"/>
  <c r="I359" i="9"/>
  <c r="J358" i="9"/>
  <c r="E1214" i="9" s="1"/>
  <c r="Q1214" i="9" s="1"/>
  <c r="S1214" i="9" s="1"/>
  <c r="I358" i="9"/>
  <c r="K358" i="9" s="1"/>
  <c r="F1214" i="9" s="1"/>
  <c r="G1214" i="9" s="1"/>
  <c r="K357" i="9"/>
  <c r="J357" i="9"/>
  <c r="I357" i="9"/>
  <c r="J356" i="9"/>
  <c r="I356" i="9"/>
  <c r="K356" i="9" s="1"/>
  <c r="K355" i="9"/>
  <c r="J355" i="9"/>
  <c r="I355" i="9"/>
  <c r="K354" i="9"/>
  <c r="J354" i="9"/>
  <c r="I354" i="9"/>
  <c r="K353" i="9"/>
  <c r="J353" i="9"/>
  <c r="I353" i="9"/>
  <c r="J352" i="9"/>
  <c r="I352" i="9"/>
  <c r="K352" i="9" s="1"/>
  <c r="J351" i="9"/>
  <c r="I351" i="9"/>
  <c r="K351" i="9" s="1"/>
  <c r="J350" i="9"/>
  <c r="I350" i="9"/>
  <c r="K350" i="9" s="1"/>
  <c r="F1211" i="9" s="1"/>
  <c r="G1211" i="9" s="1"/>
  <c r="K349" i="9"/>
  <c r="F1210" i="9" s="1"/>
  <c r="G1210" i="9" s="1"/>
  <c r="J349" i="9"/>
  <c r="E1210" i="9" s="1"/>
  <c r="Q1210" i="9" s="1"/>
  <c r="S1210" i="9" s="1"/>
  <c r="I349" i="9"/>
  <c r="K348" i="9"/>
  <c r="J348" i="9"/>
  <c r="I348" i="9"/>
  <c r="J347" i="9"/>
  <c r="I347" i="9"/>
  <c r="K347" i="9" s="1"/>
  <c r="J346" i="9"/>
  <c r="I346" i="9"/>
  <c r="K346" i="9" s="1"/>
  <c r="J345" i="9"/>
  <c r="I345" i="9"/>
  <c r="K345" i="9" s="1"/>
  <c r="F1208" i="9" s="1"/>
  <c r="G1208" i="9" s="1"/>
  <c r="K344" i="9"/>
  <c r="F1207" i="9" s="1"/>
  <c r="G1207" i="9" s="1"/>
  <c r="J344" i="9"/>
  <c r="E1207" i="9" s="1"/>
  <c r="Q1207" i="9" s="1"/>
  <c r="S1207" i="9" s="1"/>
  <c r="I344" i="9"/>
  <c r="K343" i="9"/>
  <c r="F1206" i="9" s="1"/>
  <c r="G1206" i="9" s="1"/>
  <c r="J343" i="9"/>
  <c r="E1206" i="9" s="1"/>
  <c r="Q1206" i="9" s="1"/>
  <c r="S1206" i="9" s="1"/>
  <c r="I343" i="9"/>
  <c r="J342" i="9"/>
  <c r="I342" i="9"/>
  <c r="K342" i="9" s="1"/>
  <c r="J341" i="9"/>
  <c r="I341" i="9"/>
  <c r="K341" i="9" s="1"/>
  <c r="J340" i="9"/>
  <c r="I340" i="9"/>
  <c r="K340" i="9" s="1"/>
  <c r="J339" i="9"/>
  <c r="I339" i="9"/>
  <c r="K339" i="9" s="1"/>
  <c r="J338" i="9"/>
  <c r="I338" i="9"/>
  <c r="K338" i="9" s="1"/>
  <c r="J337" i="9"/>
  <c r="I337" i="9"/>
  <c r="K337" i="9" s="1"/>
  <c r="J336" i="9"/>
  <c r="E1204" i="9" s="1"/>
  <c r="Q1204" i="9" s="1"/>
  <c r="S1204" i="9" s="1"/>
  <c r="I336" i="9"/>
  <c r="K336" i="9" s="1"/>
  <c r="F1204" i="9" s="1"/>
  <c r="G1204" i="9" s="1"/>
  <c r="J335" i="9"/>
  <c r="E1203" i="9" s="1"/>
  <c r="Q1203" i="9" s="1"/>
  <c r="S1203" i="9" s="1"/>
  <c r="I335" i="9"/>
  <c r="K335" i="9" s="1"/>
  <c r="F1203" i="9" s="1"/>
  <c r="G1203" i="9" s="1"/>
  <c r="K334" i="9"/>
  <c r="F1202" i="9" s="1"/>
  <c r="G1202" i="9" s="1"/>
  <c r="J334" i="9"/>
  <c r="E1202" i="9" s="1"/>
  <c r="Q1202" i="9" s="1"/>
  <c r="S1202" i="9" s="1"/>
  <c r="I334" i="9"/>
  <c r="J333" i="9"/>
  <c r="I333" i="9"/>
  <c r="K333" i="9" s="1"/>
  <c r="J332" i="9"/>
  <c r="I332" i="9"/>
  <c r="K332" i="9" s="1"/>
  <c r="F1201" i="9" s="1"/>
  <c r="G1201" i="9" s="1"/>
  <c r="J331" i="9"/>
  <c r="I331" i="9"/>
  <c r="K331" i="9" s="1"/>
  <c r="J330" i="9"/>
  <c r="E1200" i="9" s="1"/>
  <c r="Q1200" i="9" s="1"/>
  <c r="S1200" i="9" s="1"/>
  <c r="I330" i="9"/>
  <c r="K330" i="9" s="1"/>
  <c r="F1200" i="9" s="1"/>
  <c r="G1200" i="9" s="1"/>
  <c r="K329" i="9"/>
  <c r="F1199" i="9" s="1"/>
  <c r="G1199" i="9" s="1"/>
  <c r="J329" i="9"/>
  <c r="E1199" i="9" s="1"/>
  <c r="Q1199" i="9" s="1"/>
  <c r="S1199" i="9" s="1"/>
  <c r="I329" i="9"/>
  <c r="K328" i="9"/>
  <c r="F1198" i="9" s="1"/>
  <c r="G1198" i="9" s="1"/>
  <c r="J328" i="9"/>
  <c r="E1198" i="9" s="1"/>
  <c r="Q1198" i="9" s="1"/>
  <c r="S1198" i="9" s="1"/>
  <c r="I328" i="9"/>
  <c r="J327" i="9"/>
  <c r="I327" i="9"/>
  <c r="K327" i="9" s="1"/>
  <c r="K326" i="9"/>
  <c r="J326" i="9"/>
  <c r="I326" i="9"/>
  <c r="K325" i="9"/>
  <c r="F1197" i="9" s="1"/>
  <c r="G1197" i="9" s="1"/>
  <c r="J325" i="9"/>
  <c r="E1197" i="9" s="1"/>
  <c r="Q1197" i="9" s="1"/>
  <c r="S1197" i="9" s="1"/>
  <c r="I325" i="9"/>
  <c r="J324" i="9"/>
  <c r="I324" i="9"/>
  <c r="K324" i="9" s="1"/>
  <c r="K323" i="9"/>
  <c r="J323" i="9"/>
  <c r="I323" i="9"/>
  <c r="J322" i="9"/>
  <c r="E1196" i="9" s="1"/>
  <c r="Q1196" i="9" s="1"/>
  <c r="S1196" i="9" s="1"/>
  <c r="I322" i="9"/>
  <c r="K322" i="9" s="1"/>
  <c r="K321" i="9"/>
  <c r="F1195" i="9" s="1"/>
  <c r="G1195" i="9" s="1"/>
  <c r="J321" i="9"/>
  <c r="E1195" i="9" s="1"/>
  <c r="Q1195" i="9" s="1"/>
  <c r="S1195" i="9" s="1"/>
  <c r="I321" i="9"/>
  <c r="K320" i="9"/>
  <c r="F1194" i="9" s="1"/>
  <c r="G1194" i="9" s="1"/>
  <c r="J320" i="9"/>
  <c r="E1194" i="9" s="1"/>
  <c r="Q1194" i="9" s="1"/>
  <c r="S1194" i="9" s="1"/>
  <c r="I320" i="9"/>
  <c r="J319" i="9"/>
  <c r="E1193" i="9" s="1"/>
  <c r="Q1193" i="9" s="1"/>
  <c r="S1193" i="9" s="1"/>
  <c r="I319" i="9"/>
  <c r="K319" i="9" s="1"/>
  <c r="F1193" i="9" s="1"/>
  <c r="G1193" i="9" s="1"/>
  <c r="K318" i="9"/>
  <c r="J318" i="9"/>
  <c r="I318" i="9"/>
  <c r="J317" i="9"/>
  <c r="I317" i="9"/>
  <c r="K317" i="9" s="1"/>
  <c r="K316" i="9"/>
  <c r="J316" i="9"/>
  <c r="I316" i="9"/>
  <c r="K315" i="9"/>
  <c r="J315" i="9"/>
  <c r="I315" i="9"/>
  <c r="J314" i="9"/>
  <c r="E1192" i="9" s="1"/>
  <c r="Q1192" i="9" s="1"/>
  <c r="S1192" i="9" s="1"/>
  <c r="I314" i="9"/>
  <c r="K314" i="9" s="1"/>
  <c r="F1192" i="9" s="1"/>
  <c r="G1192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K306" i="9"/>
  <c r="J306" i="9"/>
  <c r="I306" i="9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K301" i="9"/>
  <c r="J301" i="9"/>
  <c r="I301" i="9"/>
  <c r="K300" i="9"/>
  <c r="J300" i="9"/>
  <c r="I300" i="9"/>
  <c r="K299" i="9"/>
  <c r="J299" i="9"/>
  <c r="I299" i="9"/>
  <c r="J298" i="9"/>
  <c r="I298" i="9"/>
  <c r="K298" i="9" s="1"/>
  <c r="J297" i="9"/>
  <c r="E1188" i="9" s="1"/>
  <c r="Q1188" i="9" s="1"/>
  <c r="S1188" i="9" s="1"/>
  <c r="I297" i="9"/>
  <c r="K297" i="9" s="1"/>
  <c r="F1188" i="9" s="1"/>
  <c r="G1188" i="9" s="1"/>
  <c r="J296" i="9"/>
  <c r="I296" i="9"/>
  <c r="K296" i="9" s="1"/>
  <c r="K295" i="9"/>
  <c r="J295" i="9"/>
  <c r="E1187" i="9" s="1"/>
  <c r="Q1187" i="9" s="1"/>
  <c r="S1187" i="9" s="1"/>
  <c r="I295" i="9"/>
  <c r="K294" i="9"/>
  <c r="J294" i="9"/>
  <c r="I294" i="9"/>
  <c r="J293" i="9"/>
  <c r="I293" i="9"/>
  <c r="K293" i="9" s="1"/>
  <c r="K292" i="9"/>
  <c r="J292" i="9"/>
  <c r="I292" i="9"/>
  <c r="J291" i="9"/>
  <c r="I291" i="9"/>
  <c r="K291" i="9" s="1"/>
  <c r="K290" i="9"/>
  <c r="F1186" i="9" s="1"/>
  <c r="G1186" i="9" s="1"/>
  <c r="J290" i="9"/>
  <c r="E1186" i="9" s="1"/>
  <c r="Q1186" i="9" s="1"/>
  <c r="S1186" i="9" s="1"/>
  <c r="I290" i="9"/>
  <c r="K289" i="9"/>
  <c r="F1185" i="9" s="1"/>
  <c r="G1185" i="9" s="1"/>
  <c r="J289" i="9"/>
  <c r="E1185" i="9" s="1"/>
  <c r="Q1185" i="9" s="1"/>
  <c r="S1185" i="9" s="1"/>
  <c r="I289" i="9"/>
  <c r="J288" i="9"/>
  <c r="I288" i="9"/>
  <c r="K288" i="9" s="1"/>
  <c r="K287" i="9"/>
  <c r="J287" i="9"/>
  <c r="I287" i="9"/>
  <c r="J286" i="9"/>
  <c r="I286" i="9"/>
  <c r="K286" i="9" s="1"/>
  <c r="K285" i="9"/>
  <c r="J285" i="9"/>
  <c r="I285" i="9"/>
  <c r="K284" i="9"/>
  <c r="J284" i="9"/>
  <c r="I284" i="9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F1183" i="9" s="1"/>
  <c r="G1183" i="9" s="1"/>
  <c r="K279" i="9"/>
  <c r="J279" i="9"/>
  <c r="I279" i="9"/>
  <c r="K278" i="9"/>
  <c r="J278" i="9"/>
  <c r="I278" i="9"/>
  <c r="J277" i="9"/>
  <c r="I277" i="9"/>
  <c r="K277" i="9" s="1"/>
  <c r="J276" i="9"/>
  <c r="I276" i="9"/>
  <c r="K276" i="9" s="1"/>
  <c r="J275" i="9"/>
  <c r="I275" i="9"/>
  <c r="K275" i="9" s="1"/>
  <c r="K274" i="9"/>
  <c r="J274" i="9"/>
  <c r="I274" i="9"/>
  <c r="K273" i="9"/>
  <c r="J273" i="9"/>
  <c r="I273" i="9"/>
  <c r="K272" i="9"/>
  <c r="J272" i="9"/>
  <c r="E1181" i="9" s="1"/>
  <c r="I272" i="9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K267" i="9"/>
  <c r="F1178" i="9" s="1"/>
  <c r="G1178" i="9" s="1"/>
  <c r="J267" i="9"/>
  <c r="E1178" i="9" s="1"/>
  <c r="Q1178" i="9" s="1"/>
  <c r="S1178" i="9" s="1"/>
  <c r="I267" i="9"/>
  <c r="K266" i="9"/>
  <c r="J266" i="9"/>
  <c r="I266" i="9"/>
  <c r="J265" i="9"/>
  <c r="I265" i="9"/>
  <c r="K265" i="9" s="1"/>
  <c r="K264" i="9"/>
  <c r="J264" i="9"/>
  <c r="I264" i="9"/>
  <c r="J263" i="9"/>
  <c r="I263" i="9"/>
  <c r="K263" i="9" s="1"/>
  <c r="F1177" i="9" s="1"/>
  <c r="G1177" i="9" s="1"/>
  <c r="K262" i="9"/>
  <c r="J262" i="9"/>
  <c r="I262" i="9"/>
  <c r="J261" i="9"/>
  <c r="I261" i="9"/>
  <c r="K261" i="9" s="1"/>
  <c r="F1176" i="9" s="1"/>
  <c r="G1176" i="9" s="1"/>
  <c r="J260" i="9"/>
  <c r="E1175" i="9" s="1"/>
  <c r="Q1175" i="9" s="1"/>
  <c r="S1175" i="9" s="1"/>
  <c r="I260" i="9"/>
  <c r="K260" i="9" s="1"/>
  <c r="F1175" i="9" s="1"/>
  <c r="G1175" i="9" s="1"/>
  <c r="K259" i="9"/>
  <c r="J259" i="9"/>
  <c r="I259" i="9"/>
  <c r="J258" i="9"/>
  <c r="E1174" i="9" s="1"/>
  <c r="Q1174" i="9" s="1"/>
  <c r="S1174" i="9" s="1"/>
  <c r="I258" i="9"/>
  <c r="K258" i="9" s="1"/>
  <c r="F1174" i="9" s="1"/>
  <c r="G1174" i="9" s="1"/>
  <c r="J257" i="9"/>
  <c r="I257" i="9"/>
  <c r="K257" i="9" s="1"/>
  <c r="K256" i="9"/>
  <c r="J256" i="9"/>
  <c r="E1173" i="9" s="1"/>
  <c r="Q1173" i="9" s="1"/>
  <c r="S1173" i="9" s="1"/>
  <c r="I256" i="9"/>
  <c r="K255" i="9"/>
  <c r="J255" i="9"/>
  <c r="I255" i="9"/>
  <c r="J254" i="9"/>
  <c r="I254" i="9"/>
  <c r="K254" i="9" s="1"/>
  <c r="J253" i="9"/>
  <c r="I253" i="9"/>
  <c r="K253" i="9" s="1"/>
  <c r="J252" i="9"/>
  <c r="I252" i="9"/>
  <c r="K252" i="9" s="1"/>
  <c r="K251" i="9"/>
  <c r="J251" i="9"/>
  <c r="I251" i="9"/>
  <c r="K250" i="9"/>
  <c r="J250" i="9"/>
  <c r="I250" i="9"/>
  <c r="J249" i="9"/>
  <c r="E1170" i="9" s="1"/>
  <c r="Q1170" i="9" s="1"/>
  <c r="S1170" i="9" s="1"/>
  <c r="I249" i="9"/>
  <c r="K249" i="9" s="1"/>
  <c r="F1170" i="9" s="1"/>
  <c r="G1170" i="9" s="1"/>
  <c r="J248" i="9"/>
  <c r="I248" i="9"/>
  <c r="K248" i="9" s="1"/>
  <c r="K247" i="9"/>
  <c r="J247" i="9"/>
  <c r="I247" i="9"/>
  <c r="K246" i="9"/>
  <c r="F1169" i="9" s="1"/>
  <c r="G1169" i="9" s="1"/>
  <c r="J246" i="9"/>
  <c r="E1169" i="9" s="1"/>
  <c r="Q1169" i="9" s="1"/>
  <c r="S1169" i="9" s="1"/>
  <c r="I246" i="9"/>
  <c r="K245" i="9"/>
  <c r="J245" i="9"/>
  <c r="E1168" i="9" s="1"/>
  <c r="Q1168" i="9" s="1"/>
  <c r="S1168" i="9" s="1"/>
  <c r="I245" i="9"/>
  <c r="J244" i="9"/>
  <c r="I244" i="9"/>
  <c r="K244" i="9" s="1"/>
  <c r="J243" i="9"/>
  <c r="E1167" i="9" s="1"/>
  <c r="Q1167" i="9" s="1"/>
  <c r="S1167" i="9" s="1"/>
  <c r="I243" i="9"/>
  <c r="K243" i="9" s="1"/>
  <c r="F1167" i="9" s="1"/>
  <c r="G1167" i="9" s="1"/>
  <c r="J242" i="9"/>
  <c r="E1166" i="9" s="1"/>
  <c r="Q1166" i="9" s="1"/>
  <c r="S1166" i="9" s="1"/>
  <c r="I242" i="9"/>
  <c r="K242" i="9" s="1"/>
  <c r="F1166" i="9" s="1"/>
  <c r="G1166" i="9" s="1"/>
  <c r="J241" i="9"/>
  <c r="E1165" i="9" s="1"/>
  <c r="Q1165" i="9" s="1"/>
  <c r="S1165" i="9" s="1"/>
  <c r="I241" i="9"/>
  <c r="K241" i="9" s="1"/>
  <c r="F1165" i="9" s="1"/>
  <c r="G1165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K236" i="9"/>
  <c r="F1164" i="9" s="1"/>
  <c r="G1164" i="9" s="1"/>
  <c r="J236" i="9"/>
  <c r="I236" i="9"/>
  <c r="J235" i="9"/>
  <c r="I235" i="9"/>
  <c r="K235" i="9" s="1"/>
  <c r="J234" i="9"/>
  <c r="I234" i="9"/>
  <c r="K234" i="9" s="1"/>
  <c r="F1163" i="9" s="1"/>
  <c r="G1163" i="9" s="1"/>
  <c r="K233" i="9"/>
  <c r="J233" i="9"/>
  <c r="I233" i="9"/>
  <c r="J232" i="9"/>
  <c r="I232" i="9"/>
  <c r="K232" i="9" s="1"/>
  <c r="K231" i="9"/>
  <c r="J231" i="9"/>
  <c r="I231" i="9"/>
  <c r="K230" i="9"/>
  <c r="J230" i="9"/>
  <c r="I230" i="9"/>
  <c r="K229" i="9"/>
  <c r="J229" i="9"/>
  <c r="I229" i="9"/>
  <c r="K228" i="9"/>
  <c r="J228" i="9"/>
  <c r="I228" i="9"/>
  <c r="K227" i="9"/>
  <c r="J227" i="9"/>
  <c r="I227" i="9"/>
  <c r="J226" i="9"/>
  <c r="I226" i="9"/>
  <c r="K226" i="9" s="1"/>
  <c r="K225" i="9"/>
  <c r="F1161" i="9" s="1"/>
  <c r="G1161" i="9" s="1"/>
  <c r="J225" i="9"/>
  <c r="I225" i="9"/>
  <c r="K224" i="9"/>
  <c r="J224" i="9"/>
  <c r="I224" i="9"/>
  <c r="K223" i="9"/>
  <c r="J223" i="9"/>
  <c r="I223" i="9"/>
  <c r="K222" i="9"/>
  <c r="J222" i="9"/>
  <c r="E1160" i="9" s="1"/>
  <c r="Q1160" i="9" s="1"/>
  <c r="S1160" i="9" s="1"/>
  <c r="I222" i="9"/>
  <c r="J221" i="9"/>
  <c r="I221" i="9"/>
  <c r="K221" i="9" s="1"/>
  <c r="K220" i="9"/>
  <c r="J220" i="9"/>
  <c r="I220" i="9"/>
  <c r="K219" i="9"/>
  <c r="J219" i="9"/>
  <c r="I219" i="9"/>
  <c r="K218" i="9"/>
  <c r="J218" i="9"/>
  <c r="E1159" i="9" s="1"/>
  <c r="Q1159" i="9" s="1"/>
  <c r="S1159" i="9" s="1"/>
  <c r="I218" i="9"/>
  <c r="K217" i="9"/>
  <c r="J217" i="9"/>
  <c r="I217" i="9"/>
  <c r="J216" i="9"/>
  <c r="I216" i="9"/>
  <c r="K216" i="9" s="1"/>
  <c r="J215" i="9"/>
  <c r="I215" i="9"/>
  <c r="K215" i="9" s="1"/>
  <c r="J214" i="9"/>
  <c r="E1158" i="9" s="1"/>
  <c r="Q1158" i="9" s="1"/>
  <c r="S1158" i="9" s="1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K208" i="9"/>
  <c r="J208" i="9"/>
  <c r="I208" i="9"/>
  <c r="J207" i="9"/>
  <c r="I207" i="9"/>
  <c r="K207" i="9" s="1"/>
  <c r="J206" i="9"/>
  <c r="I206" i="9"/>
  <c r="K206" i="9" s="1"/>
  <c r="J205" i="9"/>
  <c r="I205" i="9"/>
  <c r="K205" i="9" s="1"/>
  <c r="J204" i="9"/>
  <c r="E1154" i="9" s="1"/>
  <c r="Q1154" i="9" s="1"/>
  <c r="S1154" i="9" s="1"/>
  <c r="I204" i="9"/>
  <c r="K204" i="9" s="1"/>
  <c r="F1154" i="9" s="1"/>
  <c r="G1154" i="9" s="1"/>
  <c r="K203" i="9"/>
  <c r="J203" i="9"/>
  <c r="I203" i="9"/>
  <c r="K202" i="9"/>
  <c r="J202" i="9"/>
  <c r="I202" i="9"/>
  <c r="K201" i="9"/>
  <c r="J201" i="9"/>
  <c r="I201" i="9"/>
  <c r="J200" i="9"/>
  <c r="I200" i="9"/>
  <c r="K200" i="9" s="1"/>
  <c r="K199" i="9"/>
  <c r="J199" i="9"/>
  <c r="I199" i="9"/>
  <c r="J198" i="9"/>
  <c r="I198" i="9"/>
  <c r="K198" i="9" s="1"/>
  <c r="F1153" i="9" s="1"/>
  <c r="G1153" i="9" s="1"/>
  <c r="K197" i="9"/>
  <c r="J197" i="9"/>
  <c r="I197" i="9"/>
  <c r="K196" i="9"/>
  <c r="J196" i="9"/>
  <c r="I196" i="9"/>
  <c r="J195" i="9"/>
  <c r="E1151" i="9" s="1"/>
  <c r="Q1151" i="9" s="1"/>
  <c r="S1151" i="9" s="1"/>
  <c r="I195" i="9"/>
  <c r="K195" i="9" s="1"/>
  <c r="F1151" i="9" s="1"/>
  <c r="G1151" i="9" s="1"/>
  <c r="K194" i="9"/>
  <c r="F1150" i="9" s="1"/>
  <c r="G1150" i="9" s="1"/>
  <c r="J194" i="9"/>
  <c r="E1150" i="9" s="1"/>
  <c r="Q1150" i="9" s="1"/>
  <c r="S1150" i="9" s="1"/>
  <c r="I194" i="9"/>
  <c r="J193" i="9"/>
  <c r="E1149" i="9" s="1"/>
  <c r="Q1149" i="9" s="1"/>
  <c r="S1149" i="9" s="1"/>
  <c r="I193" i="9"/>
  <c r="K193" i="9" s="1"/>
  <c r="F1149" i="9" s="1"/>
  <c r="G1149" i="9" s="1"/>
  <c r="K192" i="9"/>
  <c r="J192" i="9"/>
  <c r="I192" i="9"/>
  <c r="K191" i="9"/>
  <c r="F1148" i="9" s="1"/>
  <c r="G1148" i="9" s="1"/>
  <c r="J191" i="9"/>
  <c r="I191" i="9"/>
  <c r="J190" i="9"/>
  <c r="I190" i="9"/>
  <c r="K190" i="9" s="1"/>
  <c r="K189" i="9"/>
  <c r="J189" i="9"/>
  <c r="I189" i="9"/>
  <c r="J188" i="9"/>
  <c r="I188" i="9"/>
  <c r="K188" i="9" s="1"/>
  <c r="J187" i="9"/>
  <c r="I187" i="9"/>
  <c r="K187" i="9" s="1"/>
  <c r="F1147" i="9" s="1"/>
  <c r="G1147" i="9" s="1"/>
  <c r="K186" i="9"/>
  <c r="J186" i="9"/>
  <c r="I186" i="9"/>
  <c r="J185" i="9"/>
  <c r="E1146" i="9" s="1"/>
  <c r="Q1146" i="9" s="1"/>
  <c r="S1146" i="9" s="1"/>
  <c r="I185" i="9"/>
  <c r="K185" i="9" s="1"/>
  <c r="F1146" i="9" s="1"/>
  <c r="G1146" i="9" s="1"/>
  <c r="J184" i="9"/>
  <c r="E1145" i="9" s="1"/>
  <c r="Q1145" i="9" s="1"/>
  <c r="S1145" i="9" s="1"/>
  <c r="I184" i="9"/>
  <c r="K184" i="9" s="1"/>
  <c r="F1145" i="9" s="1"/>
  <c r="G1145" i="9" s="1"/>
  <c r="J183" i="9"/>
  <c r="I183" i="9"/>
  <c r="K183" i="9" s="1"/>
  <c r="J182" i="9"/>
  <c r="I182" i="9"/>
  <c r="K182" i="9" s="1"/>
  <c r="K181" i="9"/>
  <c r="J181" i="9"/>
  <c r="I181" i="9"/>
  <c r="K180" i="9"/>
  <c r="F1144" i="9" s="1"/>
  <c r="G1144" i="9" s="1"/>
  <c r="J180" i="9"/>
  <c r="I180" i="9"/>
  <c r="J179" i="9"/>
  <c r="E1143" i="9" s="1"/>
  <c r="Q1143" i="9" s="1"/>
  <c r="S1143" i="9" s="1"/>
  <c r="I179" i="9"/>
  <c r="K179" i="9" s="1"/>
  <c r="F1143" i="9" s="1"/>
  <c r="G1143" i="9" s="1"/>
  <c r="J178" i="9"/>
  <c r="I178" i="9"/>
  <c r="K178" i="9" s="1"/>
  <c r="J177" i="9"/>
  <c r="I177" i="9"/>
  <c r="K177" i="9" s="1"/>
  <c r="K176" i="9"/>
  <c r="J176" i="9"/>
  <c r="I176" i="9"/>
  <c r="K175" i="9"/>
  <c r="F1142" i="9" s="1"/>
  <c r="G1142" i="9" s="1"/>
  <c r="J175" i="9"/>
  <c r="I175" i="9"/>
  <c r="K174" i="9"/>
  <c r="J174" i="9"/>
  <c r="I174" i="9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K169" i="9"/>
  <c r="J169" i="9"/>
  <c r="I169" i="9"/>
  <c r="K168" i="9"/>
  <c r="J168" i="9"/>
  <c r="I168" i="9"/>
  <c r="J167" i="9"/>
  <c r="I167" i="9"/>
  <c r="K167" i="9" s="1"/>
  <c r="F1140" i="9" s="1"/>
  <c r="G1140" i="9" s="1"/>
  <c r="J166" i="9"/>
  <c r="I166" i="9"/>
  <c r="K166" i="9" s="1"/>
  <c r="J165" i="9"/>
  <c r="E1139" i="9" s="1"/>
  <c r="Q1139" i="9" s="1"/>
  <c r="S1139" i="9" s="1"/>
  <c r="I165" i="9"/>
  <c r="K165" i="9" s="1"/>
  <c r="F1139" i="9" s="1"/>
  <c r="G1139" i="9" s="1"/>
  <c r="K164" i="9"/>
  <c r="F1138" i="9" s="1"/>
  <c r="G1138" i="9" s="1"/>
  <c r="J164" i="9"/>
  <c r="E1138" i="9" s="1"/>
  <c r="Q1138" i="9" s="1"/>
  <c r="S1138" i="9" s="1"/>
  <c r="I164" i="9"/>
  <c r="J163" i="9"/>
  <c r="I163" i="9"/>
  <c r="K163" i="9" s="1"/>
  <c r="J162" i="9"/>
  <c r="E1137" i="9" s="1"/>
  <c r="I162" i="9"/>
  <c r="K162" i="9" s="1"/>
  <c r="K161" i="9"/>
  <c r="F1136" i="9" s="1"/>
  <c r="G1136" i="9" s="1"/>
  <c r="J161" i="9"/>
  <c r="E1136" i="9" s="1"/>
  <c r="Q1136" i="9" s="1"/>
  <c r="S1136" i="9" s="1"/>
  <c r="I161" i="9"/>
  <c r="J160" i="9"/>
  <c r="E1135" i="9" s="1"/>
  <c r="Q1135" i="9" s="1"/>
  <c r="S1135" i="9" s="1"/>
  <c r="I160" i="9"/>
  <c r="K160" i="9" s="1"/>
  <c r="F1135" i="9" s="1"/>
  <c r="G1135" i="9" s="1"/>
  <c r="J159" i="9"/>
  <c r="E1134" i="9" s="1"/>
  <c r="Q1134" i="9" s="1"/>
  <c r="S1134" i="9" s="1"/>
  <c r="I159" i="9"/>
  <c r="K159" i="9" s="1"/>
  <c r="F1134" i="9" s="1"/>
  <c r="G1134" i="9" s="1"/>
  <c r="K158" i="9"/>
  <c r="F1133" i="9" s="1"/>
  <c r="G1133" i="9" s="1"/>
  <c r="J158" i="9"/>
  <c r="E1133" i="9" s="1"/>
  <c r="Q1133" i="9" s="1"/>
  <c r="S1133" i="9" s="1"/>
  <c r="I158" i="9"/>
  <c r="K157" i="9"/>
  <c r="J157" i="9"/>
  <c r="I157" i="9"/>
  <c r="J156" i="9"/>
  <c r="I156" i="9"/>
  <c r="K156" i="9" s="1"/>
  <c r="J155" i="9"/>
  <c r="I155" i="9"/>
  <c r="K155" i="9" s="1"/>
  <c r="J154" i="9"/>
  <c r="I154" i="9"/>
  <c r="K154" i="9" s="1"/>
  <c r="K153" i="9"/>
  <c r="J153" i="9"/>
  <c r="I153" i="9"/>
  <c r="K152" i="9"/>
  <c r="J152" i="9"/>
  <c r="I152" i="9"/>
  <c r="J151" i="9"/>
  <c r="I151" i="9"/>
  <c r="K151" i="9" s="1"/>
  <c r="J150" i="9"/>
  <c r="I150" i="9"/>
  <c r="K150" i="9" s="1"/>
  <c r="J149" i="9"/>
  <c r="E1131" i="9" s="1"/>
  <c r="Q1131" i="9" s="1"/>
  <c r="S1131" i="9" s="1"/>
  <c r="I149" i="9"/>
  <c r="K149" i="9" s="1"/>
  <c r="K148" i="9"/>
  <c r="F1130" i="9" s="1"/>
  <c r="G1130" i="9" s="1"/>
  <c r="J148" i="9"/>
  <c r="E1130" i="9" s="1"/>
  <c r="Q1130" i="9" s="1"/>
  <c r="S1130" i="9" s="1"/>
  <c r="I148" i="9"/>
  <c r="K147" i="9"/>
  <c r="J147" i="9"/>
  <c r="I147" i="9"/>
  <c r="J146" i="9"/>
  <c r="I146" i="9"/>
  <c r="K146" i="9" s="1"/>
  <c r="K145" i="9"/>
  <c r="J145" i="9"/>
  <c r="E1129" i="9" s="1"/>
  <c r="I145" i="9"/>
  <c r="J144" i="9"/>
  <c r="I144" i="9"/>
  <c r="K144" i="9" s="1"/>
  <c r="J143" i="9"/>
  <c r="I143" i="9"/>
  <c r="K143" i="9" s="1"/>
  <c r="J142" i="9"/>
  <c r="I142" i="9"/>
  <c r="K142" i="9" s="1"/>
  <c r="K141" i="9"/>
  <c r="J141" i="9"/>
  <c r="I141" i="9"/>
  <c r="J140" i="9"/>
  <c r="I140" i="9"/>
  <c r="K140" i="9" s="1"/>
  <c r="K139" i="9"/>
  <c r="J139" i="9"/>
  <c r="I139" i="9"/>
  <c r="K138" i="9"/>
  <c r="J138" i="9"/>
  <c r="I138" i="9"/>
  <c r="J137" i="9"/>
  <c r="I137" i="9"/>
  <c r="K137" i="9" s="1"/>
  <c r="K136" i="9"/>
  <c r="J136" i="9"/>
  <c r="I136" i="9"/>
  <c r="J135" i="9"/>
  <c r="I135" i="9"/>
  <c r="K135" i="9" s="1"/>
  <c r="K134" i="9"/>
  <c r="J134" i="9"/>
  <c r="I134" i="9"/>
  <c r="K133" i="9"/>
  <c r="J133" i="9"/>
  <c r="I133" i="9"/>
  <c r="J132" i="9"/>
  <c r="I132" i="9"/>
  <c r="K132" i="9" s="1"/>
  <c r="K131" i="9"/>
  <c r="F1125" i="9" s="1"/>
  <c r="G1125" i="9" s="1"/>
  <c r="J131" i="9"/>
  <c r="E1125" i="9" s="1"/>
  <c r="Q1125" i="9" s="1"/>
  <c r="S1125" i="9" s="1"/>
  <c r="I131" i="9"/>
  <c r="J130" i="9"/>
  <c r="I130" i="9"/>
  <c r="K130" i="9" s="1"/>
  <c r="J129" i="9"/>
  <c r="I129" i="9"/>
  <c r="K129" i="9" s="1"/>
  <c r="K128" i="9"/>
  <c r="J128" i="9"/>
  <c r="I128" i="9"/>
  <c r="J127" i="9"/>
  <c r="I127" i="9"/>
  <c r="K127" i="9" s="1"/>
  <c r="K126" i="9"/>
  <c r="J126" i="9"/>
  <c r="I126" i="9"/>
  <c r="J125" i="9"/>
  <c r="I125" i="9"/>
  <c r="K125" i="9" s="1"/>
  <c r="J124" i="9"/>
  <c r="I124" i="9"/>
  <c r="K124" i="9" s="1"/>
  <c r="J123" i="9"/>
  <c r="I123" i="9"/>
  <c r="K123" i="9" s="1"/>
  <c r="K122" i="9"/>
  <c r="F1123" i="9" s="1"/>
  <c r="G1123" i="9" s="1"/>
  <c r="D25" i="2" s="1"/>
  <c r="J122" i="9"/>
  <c r="I122" i="9"/>
  <c r="K121" i="9"/>
  <c r="F1122" i="9" s="1"/>
  <c r="G1122" i="9" s="1"/>
  <c r="J121" i="9"/>
  <c r="E1122" i="9" s="1"/>
  <c r="Q1122" i="9" s="1"/>
  <c r="S1122" i="9" s="1"/>
  <c r="I121" i="9"/>
  <c r="K120" i="9"/>
  <c r="F1121" i="9" s="1"/>
  <c r="G1121" i="9" s="1"/>
  <c r="J120" i="9"/>
  <c r="E1121" i="9" s="1"/>
  <c r="Q1121" i="9" s="1"/>
  <c r="S1121" i="9" s="1"/>
  <c r="I120" i="9"/>
  <c r="K119" i="9"/>
  <c r="F1120" i="9" s="1"/>
  <c r="G1120" i="9" s="1"/>
  <c r="J119" i="9"/>
  <c r="E1120" i="9" s="1"/>
  <c r="Q1120" i="9" s="1"/>
  <c r="S1120" i="9" s="1"/>
  <c r="I119" i="9"/>
  <c r="J118" i="9"/>
  <c r="I118" i="9"/>
  <c r="K118" i="9" s="1"/>
  <c r="K117" i="9"/>
  <c r="J117" i="9"/>
  <c r="I117" i="9"/>
  <c r="K116" i="9"/>
  <c r="J116" i="9"/>
  <c r="I116" i="9"/>
  <c r="K115" i="9"/>
  <c r="J115" i="9"/>
  <c r="I115" i="9"/>
  <c r="K114" i="9"/>
  <c r="J114" i="9"/>
  <c r="I114" i="9"/>
  <c r="J113" i="9"/>
  <c r="I113" i="9"/>
  <c r="K113" i="9" s="1"/>
  <c r="K112" i="9"/>
  <c r="J112" i="9"/>
  <c r="I112" i="9"/>
  <c r="J111" i="9"/>
  <c r="E1118" i="9" s="1"/>
  <c r="I111" i="9"/>
  <c r="K111" i="9" s="1"/>
  <c r="J110" i="9"/>
  <c r="I110" i="9"/>
  <c r="K110" i="9" s="1"/>
  <c r="J109" i="9"/>
  <c r="I109" i="9"/>
  <c r="K109" i="9" s="1"/>
  <c r="J108" i="9"/>
  <c r="E1117" i="9" s="1"/>
  <c r="Q1117" i="9" s="1"/>
  <c r="S1117" i="9" s="1"/>
  <c r="I108" i="9"/>
  <c r="K108" i="9" s="1"/>
  <c r="F1117" i="9" s="1"/>
  <c r="G1117" i="9" s="1"/>
  <c r="J107" i="9"/>
  <c r="E1116" i="9" s="1"/>
  <c r="Q1116" i="9" s="1"/>
  <c r="S1116" i="9" s="1"/>
  <c r="I107" i="9"/>
  <c r="K107" i="9" s="1"/>
  <c r="F1116" i="9" s="1"/>
  <c r="G1116" i="9" s="1"/>
  <c r="J106" i="9"/>
  <c r="E1115" i="9" s="1"/>
  <c r="Q1115" i="9" s="1"/>
  <c r="S1115" i="9" s="1"/>
  <c r="I106" i="9"/>
  <c r="K106" i="9" s="1"/>
  <c r="F1115" i="9" s="1"/>
  <c r="G1115" i="9" s="1"/>
  <c r="K105" i="9"/>
  <c r="F1114" i="9" s="1"/>
  <c r="G1114" i="9" s="1"/>
  <c r="J105" i="9"/>
  <c r="E1114" i="9" s="1"/>
  <c r="Q1114" i="9" s="1"/>
  <c r="S1114" i="9" s="1"/>
  <c r="I105" i="9"/>
  <c r="K104" i="9"/>
  <c r="J104" i="9"/>
  <c r="I104" i="9"/>
  <c r="J103" i="9"/>
  <c r="I103" i="9"/>
  <c r="K103" i="9" s="1"/>
  <c r="K102" i="9"/>
  <c r="J102" i="9"/>
  <c r="I102" i="9"/>
  <c r="J101" i="9"/>
  <c r="I101" i="9"/>
  <c r="K101" i="9" s="1"/>
  <c r="F1113" i="9" s="1"/>
  <c r="G1113" i="9" s="1"/>
  <c r="K100" i="9"/>
  <c r="F1112" i="9" s="1"/>
  <c r="G1112" i="9" s="1"/>
  <c r="J100" i="9"/>
  <c r="E1112" i="9" s="1"/>
  <c r="Q1112" i="9" s="1"/>
  <c r="S1112" i="9" s="1"/>
  <c r="I100" i="9"/>
  <c r="J99" i="9"/>
  <c r="I99" i="9"/>
  <c r="K99" i="9" s="1"/>
  <c r="J98" i="9"/>
  <c r="I98" i="9"/>
  <c r="K98" i="9" s="1"/>
  <c r="J97" i="9"/>
  <c r="I97" i="9"/>
  <c r="K97" i="9" s="1"/>
  <c r="F1111" i="9" s="1"/>
  <c r="G1111" i="9" s="1"/>
  <c r="J96" i="9"/>
  <c r="I96" i="9"/>
  <c r="K96" i="9" s="1"/>
  <c r="J95" i="9"/>
  <c r="I95" i="9"/>
  <c r="K95" i="9" s="1"/>
  <c r="J94" i="9"/>
  <c r="I94" i="9"/>
  <c r="K94" i="9" s="1"/>
  <c r="J93" i="9"/>
  <c r="E1109" i="9" s="1"/>
  <c r="Q1109" i="9" s="1"/>
  <c r="S1109" i="9" s="1"/>
  <c r="I93" i="9"/>
  <c r="K93" i="9" s="1"/>
  <c r="F1109" i="9" s="1"/>
  <c r="G1109" i="9" s="1"/>
  <c r="J92" i="9"/>
  <c r="I92" i="9"/>
  <c r="K92" i="9" s="1"/>
  <c r="K91" i="9"/>
  <c r="J91" i="9"/>
  <c r="I91" i="9"/>
  <c r="K90" i="9"/>
  <c r="J90" i="9"/>
  <c r="E1108" i="9" s="1"/>
  <c r="I90" i="9"/>
  <c r="J89" i="9"/>
  <c r="I89" i="9"/>
  <c r="K89" i="9" s="1"/>
  <c r="J88" i="9"/>
  <c r="I88" i="9"/>
  <c r="K88" i="9" s="1"/>
  <c r="J87" i="9"/>
  <c r="E1107" i="9" s="1"/>
  <c r="Q1107" i="9" s="1"/>
  <c r="S1107" i="9" s="1"/>
  <c r="I87" i="9"/>
  <c r="K87" i="9" s="1"/>
  <c r="K86" i="9"/>
  <c r="J86" i="9"/>
  <c r="I86" i="9"/>
  <c r="K85" i="9"/>
  <c r="J85" i="9"/>
  <c r="E1106" i="9" s="1"/>
  <c r="Q1106" i="9" s="1"/>
  <c r="S1106" i="9" s="1"/>
  <c r="I85" i="9"/>
  <c r="J84" i="9"/>
  <c r="I84" i="9"/>
  <c r="K84" i="9" s="1"/>
  <c r="K83" i="9"/>
  <c r="J83" i="9"/>
  <c r="I83" i="9"/>
  <c r="K82" i="9"/>
  <c r="J82" i="9"/>
  <c r="I82" i="9"/>
  <c r="J81" i="9"/>
  <c r="E1105" i="9" s="1"/>
  <c r="Q1105" i="9" s="1"/>
  <c r="S1105" i="9" s="1"/>
  <c r="I81" i="9"/>
  <c r="K81" i="9" s="1"/>
  <c r="K80" i="9"/>
  <c r="J80" i="9"/>
  <c r="I80" i="9"/>
  <c r="J79" i="9"/>
  <c r="I79" i="9"/>
  <c r="K79" i="9" s="1"/>
  <c r="K78" i="9"/>
  <c r="J78" i="9"/>
  <c r="E1104" i="9" s="1"/>
  <c r="Q1104" i="9" s="1"/>
  <c r="S1104" i="9" s="1"/>
  <c r="I78" i="9"/>
  <c r="K77" i="9"/>
  <c r="J77" i="9"/>
  <c r="I77" i="9"/>
  <c r="K76" i="9"/>
  <c r="J76" i="9"/>
  <c r="I76" i="9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K71" i="9"/>
  <c r="J71" i="9"/>
  <c r="I71" i="9"/>
  <c r="J70" i="9"/>
  <c r="E1102" i="9" s="1"/>
  <c r="I70" i="9"/>
  <c r="K70" i="9" s="1"/>
  <c r="J69" i="9"/>
  <c r="I69" i="9"/>
  <c r="K69" i="9" s="1"/>
  <c r="J68" i="9"/>
  <c r="I68" i="9"/>
  <c r="K68" i="9" s="1"/>
  <c r="F1101" i="9" s="1"/>
  <c r="G1101" i="9" s="1"/>
  <c r="J67" i="9"/>
  <c r="I67" i="9"/>
  <c r="K67" i="9" s="1"/>
  <c r="K66" i="9"/>
  <c r="J66" i="9"/>
  <c r="E1100" i="9" s="1"/>
  <c r="Q1100" i="9" s="1"/>
  <c r="S1100" i="9" s="1"/>
  <c r="I66" i="9"/>
  <c r="J65" i="9"/>
  <c r="E1099" i="9" s="1"/>
  <c r="Q1099" i="9" s="1"/>
  <c r="S1099" i="9" s="1"/>
  <c r="I65" i="9"/>
  <c r="K65" i="9" s="1"/>
  <c r="F1099" i="9" s="1"/>
  <c r="G1099" i="9" s="1"/>
  <c r="K64" i="9"/>
  <c r="F1098" i="9" s="1"/>
  <c r="G1098" i="9" s="1"/>
  <c r="J64" i="9"/>
  <c r="E1098" i="9" s="1"/>
  <c r="Q1098" i="9" s="1"/>
  <c r="S1098" i="9" s="1"/>
  <c r="I64" i="9"/>
  <c r="K63" i="9"/>
  <c r="J63" i="9"/>
  <c r="I63" i="9"/>
  <c r="K62" i="9"/>
  <c r="J62" i="9"/>
  <c r="I62" i="9"/>
  <c r="K61" i="9"/>
  <c r="J61" i="9"/>
  <c r="I61" i="9"/>
  <c r="J60" i="9"/>
  <c r="I60" i="9"/>
  <c r="K60" i="9" s="1"/>
  <c r="K59" i="9"/>
  <c r="J59" i="9"/>
  <c r="I59" i="9"/>
  <c r="J58" i="9"/>
  <c r="I58" i="9"/>
  <c r="K58" i="9" s="1"/>
  <c r="K57" i="9"/>
  <c r="J57" i="9"/>
  <c r="I57" i="9"/>
  <c r="J56" i="9"/>
  <c r="I56" i="9"/>
  <c r="K56" i="9" s="1"/>
  <c r="J55" i="9"/>
  <c r="I55" i="9"/>
  <c r="K55" i="9" s="1"/>
  <c r="F1096" i="9" s="1"/>
  <c r="G1096" i="9" s="1"/>
  <c r="K54" i="9"/>
  <c r="J54" i="9"/>
  <c r="I54" i="9"/>
  <c r="J53" i="9"/>
  <c r="E1095" i="9" s="1"/>
  <c r="Q1095" i="9" s="1"/>
  <c r="S1095" i="9" s="1"/>
  <c r="I53" i="9"/>
  <c r="K53" i="9" s="1"/>
  <c r="J52" i="9"/>
  <c r="E1094" i="9" s="1"/>
  <c r="Q1094" i="9" s="1"/>
  <c r="S1094" i="9" s="1"/>
  <c r="I52" i="9"/>
  <c r="K52" i="9" s="1"/>
  <c r="F1094" i="9" s="1"/>
  <c r="G1094" i="9" s="1"/>
  <c r="J51" i="9"/>
  <c r="E1093" i="9" s="1"/>
  <c r="Q1093" i="9" s="1"/>
  <c r="S1093" i="9" s="1"/>
  <c r="I51" i="9"/>
  <c r="K51" i="9" s="1"/>
  <c r="F1093" i="9" s="1"/>
  <c r="G1093" i="9" s="1"/>
  <c r="K50" i="9"/>
  <c r="J50" i="9"/>
  <c r="I50" i="9"/>
  <c r="K49" i="9"/>
  <c r="J49" i="9"/>
  <c r="I49" i="9"/>
  <c r="K48" i="9"/>
  <c r="J48" i="9"/>
  <c r="E1092" i="9" s="1"/>
  <c r="Q1092" i="9" s="1"/>
  <c r="S1092" i="9" s="1"/>
  <c r="I48" i="9"/>
  <c r="K47" i="9"/>
  <c r="J47" i="9"/>
  <c r="I47" i="9"/>
  <c r="J46" i="9"/>
  <c r="I46" i="9"/>
  <c r="K46" i="9" s="1"/>
  <c r="F1091" i="9" s="1"/>
  <c r="G1091" i="9" s="1"/>
  <c r="K45" i="9"/>
  <c r="J45" i="9"/>
  <c r="I45" i="9"/>
  <c r="J44" i="9"/>
  <c r="I44" i="9"/>
  <c r="K44" i="9" s="1"/>
  <c r="J43" i="9"/>
  <c r="I43" i="9"/>
  <c r="K43" i="9" s="1"/>
  <c r="K42" i="9"/>
  <c r="J42" i="9"/>
  <c r="I42" i="9"/>
  <c r="J41" i="9"/>
  <c r="I41" i="9"/>
  <c r="K41" i="9" s="1"/>
  <c r="F1090" i="9" s="1"/>
  <c r="G1090" i="9" s="1"/>
  <c r="K40" i="9"/>
  <c r="J40" i="9"/>
  <c r="I40" i="9"/>
  <c r="K39" i="9"/>
  <c r="J39" i="9"/>
  <c r="E1089" i="9" s="1"/>
  <c r="Q1089" i="9" s="1"/>
  <c r="S1089" i="9" s="1"/>
  <c r="I39" i="9"/>
  <c r="K38" i="9"/>
  <c r="J38" i="9"/>
  <c r="I38" i="9"/>
  <c r="J37" i="9"/>
  <c r="I37" i="9"/>
  <c r="K37" i="9" s="1"/>
  <c r="J36" i="9"/>
  <c r="E1088" i="9" s="1"/>
  <c r="Q1088" i="9" s="1"/>
  <c r="S1088" i="9" s="1"/>
  <c r="I36" i="9"/>
  <c r="K36" i="9" s="1"/>
  <c r="F1088" i="9" s="1"/>
  <c r="G1088" i="9" s="1"/>
  <c r="K35" i="9"/>
  <c r="J35" i="9"/>
  <c r="I35" i="9"/>
  <c r="K34" i="9"/>
  <c r="J34" i="9"/>
  <c r="I34" i="9"/>
  <c r="K33" i="9"/>
  <c r="J33" i="9"/>
  <c r="I33" i="9"/>
  <c r="J32" i="9"/>
  <c r="E1087" i="9" s="1"/>
  <c r="Q1087" i="9" s="1"/>
  <c r="S1087" i="9" s="1"/>
  <c r="I32" i="9"/>
  <c r="K32" i="9" s="1"/>
  <c r="J31" i="9"/>
  <c r="I31" i="9"/>
  <c r="K31" i="9" s="1"/>
  <c r="J30" i="9"/>
  <c r="E1086" i="9" s="1"/>
  <c r="Q1086" i="9" s="1"/>
  <c r="S1086" i="9" s="1"/>
  <c r="I30" i="9"/>
  <c r="K30" i="9" s="1"/>
  <c r="J29" i="9"/>
  <c r="I29" i="9"/>
  <c r="K29" i="9" s="1"/>
  <c r="K28" i="9"/>
  <c r="J28" i="9"/>
  <c r="I28" i="9"/>
  <c r="J27" i="9"/>
  <c r="I27" i="9"/>
  <c r="K27" i="9" s="1"/>
  <c r="K26" i="9"/>
  <c r="J26" i="9"/>
  <c r="I26" i="9"/>
  <c r="K25" i="9"/>
  <c r="J25" i="9"/>
  <c r="I25" i="9"/>
  <c r="K24" i="9"/>
  <c r="F1084" i="9" s="1"/>
  <c r="G1084" i="9" s="1"/>
  <c r="J24" i="9"/>
  <c r="E1084" i="9" s="1"/>
  <c r="I24" i="9"/>
  <c r="J23" i="9"/>
  <c r="I23" i="9"/>
  <c r="K23" i="9" s="1"/>
  <c r="J22" i="9"/>
  <c r="E1083" i="9" s="1"/>
  <c r="Q1083" i="9" s="1"/>
  <c r="S1083" i="9" s="1"/>
  <c r="I22" i="9"/>
  <c r="K22" i="9" s="1"/>
  <c r="F1083" i="9" s="1"/>
  <c r="G1083" i="9" s="1"/>
  <c r="J21" i="9"/>
  <c r="I21" i="9"/>
  <c r="K21" i="9" s="1"/>
  <c r="K20" i="9"/>
  <c r="J20" i="9"/>
  <c r="E1082" i="9" s="1"/>
  <c r="Q1082" i="9" s="1"/>
  <c r="S1082" i="9" s="1"/>
  <c r="I20" i="9"/>
  <c r="K19" i="9"/>
  <c r="F1081" i="9" s="1"/>
  <c r="G1081" i="9" s="1"/>
  <c r="J19" i="9"/>
  <c r="E1081" i="9" s="1"/>
  <c r="Q1081" i="9" s="1"/>
  <c r="S1081" i="9" s="1"/>
  <c r="I19" i="9"/>
  <c r="J18" i="9"/>
  <c r="I18" i="9"/>
  <c r="K18" i="9" s="1"/>
  <c r="J17" i="9"/>
  <c r="E1080" i="9" s="1"/>
  <c r="Q1080" i="9" s="1"/>
  <c r="S1080" i="9" s="1"/>
  <c r="I17" i="9"/>
  <c r="K17" i="9" s="1"/>
  <c r="F1080" i="9" s="1"/>
  <c r="G1080" i="9" s="1"/>
  <c r="J16" i="9"/>
  <c r="E1079" i="9" s="1"/>
  <c r="Q1079" i="9" s="1"/>
  <c r="S1079" i="9" s="1"/>
  <c r="I16" i="9"/>
  <c r="K16" i="9" s="1"/>
  <c r="F1079" i="9" s="1"/>
  <c r="G1079" i="9" s="1"/>
  <c r="K15" i="9"/>
  <c r="F1078" i="9" s="1"/>
  <c r="G1078" i="9" s="1"/>
  <c r="J15" i="9"/>
  <c r="E1078" i="9" s="1"/>
  <c r="Q1078" i="9" s="1"/>
  <c r="S1078" i="9" s="1"/>
  <c r="I15" i="9"/>
  <c r="K14" i="9"/>
  <c r="J14" i="9"/>
  <c r="I14" i="9"/>
  <c r="J13" i="9"/>
  <c r="E1077" i="9" s="1"/>
  <c r="I13" i="9"/>
  <c r="K13" i="9" s="1"/>
  <c r="F1077" i="9" s="1"/>
  <c r="G1077" i="9" s="1"/>
  <c r="K12" i="9"/>
  <c r="J12" i="9"/>
  <c r="I12" i="9"/>
  <c r="K11" i="9"/>
  <c r="J11" i="9"/>
  <c r="I11" i="9"/>
  <c r="K10" i="9"/>
  <c r="J10" i="9"/>
  <c r="I10" i="9"/>
  <c r="J9" i="9"/>
  <c r="I9" i="9"/>
  <c r="K9" i="9" s="1"/>
  <c r="J8" i="9"/>
  <c r="E1075" i="9" s="1"/>
  <c r="Q1075" i="9" s="1"/>
  <c r="S1075" i="9" s="1"/>
  <c r="I8" i="9"/>
  <c r="K8" i="9" s="1"/>
  <c r="F1075" i="9" s="1"/>
  <c r="G1075" i="9" s="1"/>
  <c r="J7" i="9"/>
  <c r="E1074" i="9" s="1"/>
  <c r="Q1074" i="9" s="1"/>
  <c r="S1074" i="9" s="1"/>
  <c r="I7" i="9"/>
  <c r="K7" i="9" s="1"/>
  <c r="F1074" i="9" s="1"/>
  <c r="G1074" i="9" s="1"/>
  <c r="H408" i="7"/>
  <c r="G408" i="7"/>
  <c r="H407" i="7"/>
  <c r="M49" i="5" s="1"/>
  <c r="G407" i="7"/>
  <c r="H406" i="7"/>
  <c r="G406" i="7"/>
  <c r="G405" i="7"/>
  <c r="H405" i="7" s="1"/>
  <c r="H404" i="7"/>
  <c r="G404" i="7"/>
  <c r="G403" i="7"/>
  <c r="H403" i="7" s="1"/>
  <c r="G402" i="7"/>
  <c r="H402" i="7" s="1"/>
  <c r="H401" i="7"/>
  <c r="M44" i="5" s="1"/>
  <c r="D205" i="4" s="1"/>
  <c r="G401" i="7"/>
  <c r="H400" i="7"/>
  <c r="G400" i="7"/>
  <c r="H399" i="7"/>
  <c r="G399" i="7"/>
  <c r="H398" i="7"/>
  <c r="G398" i="7"/>
  <c r="G397" i="7"/>
  <c r="H397" i="7" s="1"/>
  <c r="M43" i="5" s="1"/>
  <c r="G396" i="7"/>
  <c r="H396" i="7" s="1"/>
  <c r="G395" i="7"/>
  <c r="H395" i="7" s="1"/>
  <c r="G394" i="7"/>
  <c r="H394" i="7" s="1"/>
  <c r="M42" i="5" s="1"/>
  <c r="G393" i="7"/>
  <c r="H393" i="7" s="1"/>
  <c r="M41" i="5" s="1"/>
  <c r="D203" i="4" s="1"/>
  <c r="H392" i="7"/>
  <c r="G392" i="7"/>
  <c r="H391" i="7"/>
  <c r="M40" i="5" s="1"/>
  <c r="G391" i="7"/>
  <c r="G390" i="7"/>
  <c r="H390" i="7" s="1"/>
  <c r="H389" i="7"/>
  <c r="G389" i="7"/>
  <c r="G388" i="7"/>
  <c r="H388" i="7" s="1"/>
  <c r="H387" i="7"/>
  <c r="G387" i="7"/>
  <c r="G386" i="7"/>
  <c r="H386" i="7" s="1"/>
  <c r="M39" i="5" s="1"/>
  <c r="H385" i="7"/>
  <c r="G385" i="7"/>
  <c r="H384" i="7"/>
  <c r="G384" i="7"/>
  <c r="H383" i="7"/>
  <c r="G383" i="7"/>
  <c r="G382" i="7"/>
  <c r="H382" i="7" s="1"/>
  <c r="M35" i="5" s="1"/>
  <c r="D199" i="4" s="1"/>
  <c r="G381" i="7"/>
  <c r="H381" i="7" s="1"/>
  <c r="G380" i="7"/>
  <c r="H380" i="7" s="1"/>
  <c r="G379" i="7"/>
  <c r="H379" i="7" s="1"/>
  <c r="H378" i="7"/>
  <c r="M33" i="5" s="1"/>
  <c r="G378" i="7"/>
  <c r="G377" i="7"/>
  <c r="H377" i="7" s="1"/>
  <c r="H376" i="7"/>
  <c r="G376" i="7"/>
  <c r="G375" i="7"/>
  <c r="H375" i="7" s="1"/>
  <c r="G374" i="7"/>
  <c r="H374" i="7" s="1"/>
  <c r="G373" i="7"/>
  <c r="H373" i="7" s="1"/>
  <c r="H372" i="7"/>
  <c r="G372" i="7"/>
  <c r="H371" i="7"/>
  <c r="L47" i="5" s="1"/>
  <c r="G371" i="7"/>
  <c r="H370" i="7"/>
  <c r="G370" i="7"/>
  <c r="H369" i="7"/>
  <c r="G369" i="7"/>
  <c r="H368" i="7"/>
  <c r="G368" i="7"/>
  <c r="G367" i="7"/>
  <c r="H367" i="7" s="1"/>
  <c r="H366" i="7"/>
  <c r="G366" i="7"/>
  <c r="G365" i="7"/>
  <c r="H365" i="7" s="1"/>
  <c r="H364" i="7"/>
  <c r="G364" i="7"/>
  <c r="H363" i="7"/>
  <c r="G363" i="7"/>
  <c r="G362" i="7"/>
  <c r="H362" i="7" s="1"/>
  <c r="H361" i="7"/>
  <c r="G361" i="7"/>
  <c r="G360" i="7"/>
  <c r="H360" i="7" s="1"/>
  <c r="G359" i="7"/>
  <c r="H359" i="7" s="1"/>
  <c r="G358" i="7"/>
  <c r="H358" i="7" s="1"/>
  <c r="L44" i="5" s="1"/>
  <c r="H357" i="7"/>
  <c r="G357" i="7"/>
  <c r="H356" i="7"/>
  <c r="G356" i="7"/>
  <c r="H355" i="7"/>
  <c r="G355" i="7"/>
  <c r="H354" i="7"/>
  <c r="L38" i="5" s="1"/>
  <c r="D191" i="4" s="1"/>
  <c r="G354" i="7"/>
  <c r="G353" i="7"/>
  <c r="H353" i="7" s="1"/>
  <c r="G352" i="7"/>
  <c r="H352" i="7" s="1"/>
  <c r="H351" i="7"/>
  <c r="G351" i="7"/>
  <c r="H350" i="7"/>
  <c r="G350" i="7"/>
  <c r="G349" i="7"/>
  <c r="H349" i="7" s="1"/>
  <c r="H348" i="7"/>
  <c r="L36" i="5" s="1"/>
  <c r="D189" i="4" s="1"/>
  <c r="G348" i="7"/>
  <c r="G347" i="7"/>
  <c r="H347" i="7" s="1"/>
  <c r="G346" i="7"/>
  <c r="H346" i="7" s="1"/>
  <c r="L35" i="5" s="1"/>
  <c r="D188" i="4" s="1"/>
  <c r="H345" i="7"/>
  <c r="G345" i="7"/>
  <c r="G344" i="7"/>
  <c r="H344" i="7" s="1"/>
  <c r="H343" i="7"/>
  <c r="G343" i="7"/>
  <c r="H342" i="7"/>
  <c r="G342" i="7"/>
  <c r="G341" i="7"/>
  <c r="H341" i="7" s="1"/>
  <c r="H340" i="7"/>
  <c r="G340" i="7"/>
  <c r="G339" i="7"/>
  <c r="H339" i="7" s="1"/>
  <c r="H338" i="7"/>
  <c r="G338" i="7"/>
  <c r="G337" i="7"/>
  <c r="H337" i="7" s="1"/>
  <c r="L34" i="5" s="1"/>
  <c r="H336" i="7"/>
  <c r="G336" i="7"/>
  <c r="G335" i="7"/>
  <c r="H335" i="7" s="1"/>
  <c r="G334" i="7"/>
  <c r="H334" i="7" s="1"/>
  <c r="K44" i="5" s="1"/>
  <c r="H333" i="7"/>
  <c r="G333" i="7"/>
  <c r="G332" i="7"/>
  <c r="H332" i="7" s="1"/>
  <c r="H331" i="7"/>
  <c r="G331" i="7"/>
  <c r="H330" i="7"/>
  <c r="G330" i="7"/>
  <c r="H329" i="7"/>
  <c r="G329" i="7"/>
  <c r="G328" i="7"/>
  <c r="H328" i="7" s="1"/>
  <c r="K41" i="5" s="1"/>
  <c r="D181" i="4" s="1"/>
  <c r="H327" i="7"/>
  <c r="G327" i="7"/>
  <c r="G326" i="7"/>
  <c r="H326" i="7" s="1"/>
  <c r="G325" i="7"/>
  <c r="H325" i="7" s="1"/>
  <c r="G324" i="7"/>
  <c r="H324" i="7" s="1"/>
  <c r="H323" i="7"/>
  <c r="G323" i="7"/>
  <c r="H322" i="7"/>
  <c r="G322" i="7"/>
  <c r="H321" i="7"/>
  <c r="G321" i="7"/>
  <c r="G320" i="7"/>
  <c r="H320" i="7" s="1"/>
  <c r="G319" i="7"/>
  <c r="H319" i="7" s="1"/>
  <c r="G318" i="7"/>
  <c r="H318" i="7" s="1"/>
  <c r="K35" i="5" s="1"/>
  <c r="D177" i="4" s="1"/>
  <c r="H317" i="7"/>
  <c r="G317" i="7"/>
  <c r="G316" i="7"/>
  <c r="H316" i="7" s="1"/>
  <c r="J49" i="5" s="1"/>
  <c r="D174" i="4" s="1"/>
  <c r="H315" i="7"/>
  <c r="G315" i="7"/>
  <c r="G314" i="7"/>
  <c r="H314" i="7" s="1"/>
  <c r="G313" i="7"/>
  <c r="H313" i="7" s="1"/>
  <c r="H312" i="7"/>
  <c r="G312" i="7"/>
  <c r="G311" i="7"/>
  <c r="H311" i="7" s="1"/>
  <c r="J38" i="5" s="1"/>
  <c r="G310" i="7"/>
  <c r="H310" i="7" s="1"/>
  <c r="J35" i="5" s="1"/>
  <c r="D166" i="4" s="1"/>
  <c r="G309" i="7"/>
  <c r="H309" i="7" s="1"/>
  <c r="I44" i="5" s="1"/>
  <c r="D161" i="4" s="1"/>
  <c r="H308" i="7"/>
  <c r="G308" i="7"/>
  <c r="G307" i="7"/>
  <c r="H307" i="7" s="1"/>
  <c r="H306" i="7"/>
  <c r="G306" i="7"/>
  <c r="G305" i="7"/>
  <c r="H305" i="7" s="1"/>
  <c r="G304" i="7"/>
  <c r="H304" i="7" s="1"/>
  <c r="G303" i="7"/>
  <c r="H303" i="7" s="1"/>
  <c r="H302" i="7"/>
  <c r="G302" i="7"/>
  <c r="H301" i="7"/>
  <c r="I38" i="5" s="1"/>
  <c r="D158" i="4" s="1"/>
  <c r="G301" i="7"/>
  <c r="H300" i="7"/>
  <c r="G300" i="7"/>
  <c r="G299" i="7"/>
  <c r="H299" i="7" s="1"/>
  <c r="G298" i="7"/>
  <c r="H298" i="7" s="1"/>
  <c r="G297" i="7"/>
  <c r="H297" i="7" s="1"/>
  <c r="G296" i="7"/>
  <c r="H296" i="7" s="1"/>
  <c r="G295" i="7"/>
  <c r="H295" i="7" s="1"/>
  <c r="I34" i="5" s="1"/>
  <c r="H294" i="7"/>
  <c r="G294" i="7"/>
  <c r="H293" i="7"/>
  <c r="G293" i="7"/>
  <c r="G292" i="7"/>
  <c r="H292" i="7" s="1"/>
  <c r="H49" i="5" s="1"/>
  <c r="D152" i="4" s="1"/>
  <c r="H291" i="7"/>
  <c r="G291" i="7"/>
  <c r="G290" i="7"/>
  <c r="H290" i="7" s="1"/>
  <c r="H289" i="7"/>
  <c r="G289" i="7"/>
  <c r="H288" i="7"/>
  <c r="G288" i="7"/>
  <c r="H287" i="7"/>
  <c r="G287" i="7"/>
  <c r="G286" i="7"/>
  <c r="H286" i="7" s="1"/>
  <c r="H47" i="5" s="1"/>
  <c r="H285" i="7"/>
  <c r="G285" i="7"/>
  <c r="G284" i="7"/>
  <c r="H284" i="7" s="1"/>
  <c r="G283" i="7"/>
  <c r="H283" i="7" s="1"/>
  <c r="G282" i="7"/>
  <c r="H282" i="7" s="1"/>
  <c r="H43" i="5" s="1"/>
  <c r="G281" i="7"/>
  <c r="H281" i="7" s="1"/>
  <c r="H280" i="7"/>
  <c r="G280" i="7"/>
  <c r="G279" i="7"/>
  <c r="H279" i="7" s="1"/>
  <c r="H278" i="7"/>
  <c r="G278" i="7"/>
  <c r="G277" i="7"/>
  <c r="H277" i="7" s="1"/>
  <c r="G276" i="7"/>
  <c r="H276" i="7" s="1"/>
  <c r="G275" i="7"/>
  <c r="H275" i="7" s="1"/>
  <c r="H274" i="7"/>
  <c r="G274" i="7"/>
  <c r="H273" i="7"/>
  <c r="G273" i="7"/>
  <c r="H272" i="7"/>
  <c r="G272" i="7"/>
  <c r="G271" i="7"/>
  <c r="H271" i="7" s="1"/>
  <c r="H270" i="7"/>
  <c r="G270" i="7"/>
  <c r="G269" i="7"/>
  <c r="H269" i="7" s="1"/>
  <c r="H268" i="7"/>
  <c r="G268" i="7"/>
  <c r="G267" i="7"/>
  <c r="H267" i="7" s="1"/>
  <c r="H266" i="7"/>
  <c r="G266" i="7"/>
  <c r="G265" i="7"/>
  <c r="H265" i="7" s="1"/>
  <c r="G44" i="5" s="1"/>
  <c r="D139" i="4" s="1"/>
  <c r="G264" i="7"/>
  <c r="H264" i="7" s="1"/>
  <c r="G43" i="5" s="1"/>
  <c r="H263" i="7"/>
  <c r="G263" i="7"/>
  <c r="G262" i="7"/>
  <c r="H262" i="7" s="1"/>
  <c r="G261" i="7"/>
  <c r="H261" i="7" s="1"/>
  <c r="G41" i="5" s="1"/>
  <c r="G260" i="7"/>
  <c r="H260" i="7" s="1"/>
  <c r="H259" i="7"/>
  <c r="G259" i="7"/>
  <c r="G258" i="7"/>
  <c r="H258" i="7" s="1"/>
  <c r="G38" i="5" s="1"/>
  <c r="H257" i="7"/>
  <c r="G257" i="7"/>
  <c r="G256" i="7"/>
  <c r="H256" i="7" s="1"/>
  <c r="G37" i="5" s="1"/>
  <c r="D135" i="4" s="1"/>
  <c r="G255" i="7"/>
  <c r="H255" i="7" s="1"/>
  <c r="G254" i="7"/>
  <c r="H254" i="7" s="1"/>
  <c r="H253" i="7"/>
  <c r="G253" i="7"/>
  <c r="H252" i="7"/>
  <c r="G252" i="7"/>
  <c r="G251" i="7"/>
  <c r="H251" i="7" s="1"/>
  <c r="H250" i="7"/>
  <c r="G250" i="7"/>
  <c r="G249" i="7"/>
  <c r="H249" i="7" s="1"/>
  <c r="G35" i="5" s="1"/>
  <c r="G248" i="7"/>
  <c r="H248" i="7" s="1"/>
  <c r="H247" i="7"/>
  <c r="G247" i="7"/>
  <c r="G246" i="7"/>
  <c r="H246" i="7" s="1"/>
  <c r="G32" i="5" s="1"/>
  <c r="D132" i="4" s="1"/>
  <c r="H245" i="7"/>
  <c r="G245" i="7"/>
  <c r="H244" i="7"/>
  <c r="G244" i="7"/>
  <c r="H243" i="7"/>
  <c r="G243" i="7"/>
  <c r="H242" i="7"/>
  <c r="G242" i="7"/>
  <c r="G241" i="7"/>
  <c r="H241" i="7" s="1"/>
  <c r="F49" i="5" s="1"/>
  <c r="H240" i="7"/>
  <c r="G240" i="7"/>
  <c r="G239" i="7"/>
  <c r="H239" i="7" s="1"/>
  <c r="H238" i="7"/>
  <c r="F48" i="5" s="1"/>
  <c r="G238" i="7"/>
  <c r="G237" i="7"/>
  <c r="H237" i="7" s="1"/>
  <c r="G236" i="7"/>
  <c r="H236" i="7" s="1"/>
  <c r="G235" i="7"/>
  <c r="H235" i="7" s="1"/>
  <c r="G234" i="7"/>
  <c r="H234" i="7" s="1"/>
  <c r="H233" i="7"/>
  <c r="G233" i="7"/>
  <c r="H232" i="7"/>
  <c r="G232" i="7"/>
  <c r="H231" i="7"/>
  <c r="G231" i="7"/>
  <c r="G230" i="7"/>
  <c r="H230" i="7" s="1"/>
  <c r="H229" i="7"/>
  <c r="G229" i="7"/>
  <c r="H228" i="7"/>
  <c r="F43" i="5" s="1"/>
  <c r="G228" i="7"/>
  <c r="G227" i="7"/>
  <c r="H227" i="7" s="1"/>
  <c r="G226" i="7"/>
  <c r="H226" i="7" s="1"/>
  <c r="H225" i="7"/>
  <c r="F40" i="5" s="1"/>
  <c r="G225" i="7"/>
  <c r="H224" i="7"/>
  <c r="G224" i="7"/>
  <c r="H223" i="7"/>
  <c r="G223" i="7"/>
  <c r="G222" i="7"/>
  <c r="H222" i="7" s="1"/>
  <c r="G221" i="7"/>
  <c r="H221" i="7" s="1"/>
  <c r="G220" i="7"/>
  <c r="H220" i="7" s="1"/>
  <c r="H219" i="7"/>
  <c r="F38" i="5" s="1"/>
  <c r="D125" i="4" s="1"/>
  <c r="G219" i="7"/>
  <c r="H218" i="7"/>
  <c r="G218" i="7"/>
  <c r="H217" i="7"/>
  <c r="G217" i="7"/>
  <c r="G216" i="7"/>
  <c r="H216" i="7" s="1"/>
  <c r="G215" i="7"/>
  <c r="H215" i="7" s="1"/>
  <c r="H214" i="7"/>
  <c r="G214" i="7"/>
  <c r="G213" i="7"/>
  <c r="H213" i="7" s="1"/>
  <c r="H212" i="7"/>
  <c r="G212" i="7"/>
  <c r="G211" i="7"/>
  <c r="H211" i="7" s="1"/>
  <c r="H210" i="7"/>
  <c r="G210" i="7"/>
  <c r="G209" i="7"/>
  <c r="H209" i="7" s="1"/>
  <c r="H208" i="7"/>
  <c r="G208" i="7"/>
  <c r="G207" i="7"/>
  <c r="H207" i="7" s="1"/>
  <c r="F33" i="5" s="1"/>
  <c r="G206" i="7"/>
  <c r="H206" i="7" s="1"/>
  <c r="G205" i="7"/>
  <c r="H205" i="7" s="1"/>
  <c r="F32" i="5" s="1"/>
  <c r="D121" i="4" s="1"/>
  <c r="G204" i="7"/>
  <c r="H204" i="7" s="1"/>
  <c r="H203" i="7"/>
  <c r="G203" i="7"/>
  <c r="G202" i="7"/>
  <c r="H202" i="7" s="1"/>
  <c r="H201" i="7"/>
  <c r="G201" i="7"/>
  <c r="G200" i="7"/>
  <c r="H200" i="7" s="1"/>
  <c r="G199" i="7"/>
  <c r="H199" i="7" s="1"/>
  <c r="G198" i="7"/>
  <c r="H198" i="7" s="1"/>
  <c r="G197" i="7"/>
  <c r="H197" i="7" s="1"/>
  <c r="H196" i="7"/>
  <c r="G196" i="7"/>
  <c r="G195" i="7"/>
  <c r="H195" i="7" s="1"/>
  <c r="E33" i="5" s="1"/>
  <c r="H194" i="7"/>
  <c r="G194" i="7"/>
  <c r="G193" i="7"/>
  <c r="H193" i="7" s="1"/>
  <c r="G192" i="7"/>
  <c r="H192" i="7" s="1"/>
  <c r="G191" i="7"/>
  <c r="H191" i="7" s="1"/>
  <c r="G190" i="7"/>
  <c r="H190" i="7" s="1"/>
  <c r="H189" i="7"/>
  <c r="G189" i="7"/>
  <c r="G188" i="7"/>
  <c r="H188" i="7" s="1"/>
  <c r="H187" i="7"/>
  <c r="G7" i="6" s="1"/>
  <c r="G187" i="7"/>
  <c r="G186" i="7"/>
  <c r="H186" i="7" s="1"/>
  <c r="G185" i="7"/>
  <c r="H185" i="7" s="1"/>
  <c r="G184" i="7"/>
  <c r="H184" i="7" s="1"/>
  <c r="G183" i="7"/>
  <c r="H183" i="7" s="1"/>
  <c r="H182" i="7"/>
  <c r="G182" i="7"/>
  <c r="G181" i="7"/>
  <c r="H181" i="7" s="1"/>
  <c r="H180" i="7"/>
  <c r="D47" i="5" s="1"/>
  <c r="G180" i="7"/>
  <c r="G179" i="7"/>
  <c r="H179" i="7" s="1"/>
  <c r="D46" i="5" s="1"/>
  <c r="G178" i="7"/>
  <c r="H178" i="7" s="1"/>
  <c r="H177" i="7"/>
  <c r="G177" i="7"/>
  <c r="G176" i="7"/>
  <c r="H176" i="7" s="1"/>
  <c r="H175" i="7"/>
  <c r="G175" i="7"/>
  <c r="G174" i="7"/>
  <c r="H174" i="7" s="1"/>
  <c r="H173" i="7"/>
  <c r="G173" i="7"/>
  <c r="G172" i="7"/>
  <c r="H172" i="7" s="1"/>
  <c r="D41" i="5" s="1"/>
  <c r="D104" i="4" s="1"/>
  <c r="G171" i="7"/>
  <c r="H171" i="7" s="1"/>
  <c r="H170" i="7"/>
  <c r="G170" i="7"/>
  <c r="G169" i="7"/>
  <c r="H169" i="7" s="1"/>
  <c r="H168" i="7"/>
  <c r="G168" i="7"/>
  <c r="G167" i="7"/>
  <c r="H167" i="7" s="1"/>
  <c r="H166" i="7"/>
  <c r="G166" i="7"/>
  <c r="G165" i="7"/>
  <c r="H165" i="7" s="1"/>
  <c r="G164" i="7"/>
  <c r="H164" i="7" s="1"/>
  <c r="H163" i="7"/>
  <c r="G163" i="7"/>
  <c r="G162" i="7"/>
  <c r="H162" i="7" s="1"/>
  <c r="H161" i="7"/>
  <c r="D35" i="5" s="1"/>
  <c r="D100" i="4" s="1"/>
  <c r="G161" i="7"/>
  <c r="G160" i="7"/>
  <c r="H160" i="7" s="1"/>
  <c r="H159" i="7"/>
  <c r="G159" i="7"/>
  <c r="G158" i="7"/>
  <c r="H158" i="7" s="1"/>
  <c r="G157" i="7"/>
  <c r="H157" i="7" s="1"/>
  <c r="G156" i="7"/>
  <c r="H156" i="7" s="1"/>
  <c r="G155" i="7"/>
  <c r="H155" i="7" s="1"/>
  <c r="H154" i="7"/>
  <c r="C47" i="5" s="1"/>
  <c r="G154" i="7"/>
  <c r="G153" i="7"/>
  <c r="H153" i="7" s="1"/>
  <c r="H152" i="7"/>
  <c r="G152" i="7"/>
  <c r="G151" i="7"/>
  <c r="H151" i="7" s="1"/>
  <c r="G150" i="7"/>
  <c r="H150" i="7" s="1"/>
  <c r="G149" i="7"/>
  <c r="H149" i="7" s="1"/>
  <c r="G148" i="7"/>
  <c r="H148" i="7" s="1"/>
  <c r="H147" i="7"/>
  <c r="G147" i="7"/>
  <c r="G146" i="7"/>
  <c r="H146" i="7" s="1"/>
  <c r="H145" i="7"/>
  <c r="G145" i="7"/>
  <c r="G144" i="7"/>
  <c r="H144" i="7" s="1"/>
  <c r="G143" i="7"/>
  <c r="H143" i="7" s="1"/>
  <c r="G142" i="7"/>
  <c r="H142" i="7" s="1"/>
  <c r="G141" i="7"/>
  <c r="H141" i="7" s="1"/>
  <c r="H140" i="7"/>
  <c r="G140" i="7"/>
  <c r="G139" i="7"/>
  <c r="H139" i="7" s="1"/>
  <c r="H138" i="7"/>
  <c r="G138" i="7"/>
  <c r="G137" i="7"/>
  <c r="H137" i="7" s="1"/>
  <c r="G136" i="7"/>
  <c r="H136" i="7" s="1"/>
  <c r="G135" i="7"/>
  <c r="H135" i="7" s="1"/>
  <c r="C39" i="5" s="1"/>
  <c r="G134" i="7"/>
  <c r="H134" i="7" s="1"/>
  <c r="H133" i="7"/>
  <c r="G133" i="7"/>
  <c r="G132" i="7"/>
  <c r="H132" i="7" s="1"/>
  <c r="H131" i="7"/>
  <c r="G131" i="7"/>
  <c r="G130" i="7"/>
  <c r="H130" i="7" s="1"/>
  <c r="G129" i="7"/>
  <c r="H129" i="7" s="1"/>
  <c r="H128" i="7"/>
  <c r="C38" i="5" s="1"/>
  <c r="D92" i="4" s="1"/>
  <c r="G128" i="7"/>
  <c r="G127" i="7"/>
  <c r="H127" i="7" s="1"/>
  <c r="H126" i="7"/>
  <c r="G126" i="7"/>
  <c r="G125" i="7"/>
  <c r="H125" i="7" s="1"/>
  <c r="H124" i="7"/>
  <c r="G124" i="7"/>
  <c r="G123" i="7"/>
  <c r="H123" i="7" s="1"/>
  <c r="G122" i="7"/>
  <c r="H122" i="7" s="1"/>
  <c r="H121" i="7"/>
  <c r="G121" i="7"/>
  <c r="G120" i="7"/>
  <c r="H120" i="7" s="1"/>
  <c r="H119" i="7"/>
  <c r="G119" i="7"/>
  <c r="G118" i="7"/>
  <c r="H118" i="7" s="1"/>
  <c r="H117" i="7"/>
  <c r="G117" i="7"/>
  <c r="G116" i="7"/>
  <c r="H116" i="7" s="1"/>
  <c r="G115" i="7"/>
  <c r="H115" i="7" s="1"/>
  <c r="H114" i="7"/>
  <c r="G114" i="7"/>
  <c r="G113" i="7"/>
  <c r="H113" i="7" s="1"/>
  <c r="B43" i="5" s="1"/>
  <c r="H112" i="7"/>
  <c r="B38" i="5" s="1"/>
  <c r="G112" i="7"/>
  <c r="G111" i="7"/>
  <c r="H111" i="7" s="1"/>
  <c r="G14" i="6" s="1"/>
  <c r="H110" i="7"/>
  <c r="G110" i="7"/>
  <c r="G109" i="7"/>
  <c r="H109" i="7" s="1"/>
  <c r="G108" i="7"/>
  <c r="H108" i="7" s="1"/>
  <c r="G107" i="7"/>
  <c r="H107" i="7" s="1"/>
  <c r="G106" i="7"/>
  <c r="H106" i="7" s="1"/>
  <c r="H105" i="7"/>
  <c r="G105" i="7"/>
  <c r="G104" i="7"/>
  <c r="H104" i="7" s="1"/>
  <c r="H103" i="7"/>
  <c r="G103" i="7"/>
  <c r="G102" i="7"/>
  <c r="H102" i="7" s="1"/>
  <c r="G101" i="7"/>
  <c r="H101" i="7" s="1"/>
  <c r="G100" i="7"/>
  <c r="H100" i="7" s="1"/>
  <c r="G99" i="7"/>
  <c r="H99" i="7" s="1"/>
  <c r="H98" i="7"/>
  <c r="G98" i="7"/>
  <c r="G97" i="7"/>
  <c r="H97" i="7" s="1"/>
  <c r="H96" i="7"/>
  <c r="G96" i="7"/>
  <c r="G95" i="7"/>
  <c r="H95" i="7" s="1"/>
  <c r="G94" i="7"/>
  <c r="H94" i="7" s="1"/>
  <c r="G93" i="7"/>
  <c r="H93" i="7" s="1"/>
  <c r="G92" i="7"/>
  <c r="H92" i="7" s="1"/>
  <c r="B24" i="6" s="1"/>
  <c r="H91" i="7"/>
  <c r="G91" i="7"/>
  <c r="G90" i="7"/>
  <c r="H90" i="7" s="1"/>
  <c r="H89" i="7"/>
  <c r="G89" i="7"/>
  <c r="G88" i="7"/>
  <c r="H88" i="7" s="1"/>
  <c r="G87" i="7"/>
  <c r="H87" i="7" s="1"/>
  <c r="G86" i="7"/>
  <c r="H86" i="7" s="1"/>
  <c r="D18" i="5" s="1"/>
  <c r="D72" i="4" s="1"/>
  <c r="G85" i="7"/>
  <c r="H85" i="7" s="1"/>
  <c r="H84" i="7"/>
  <c r="G84" i="7"/>
  <c r="G83" i="7"/>
  <c r="H83" i="7" s="1"/>
  <c r="D17" i="5" s="1"/>
  <c r="D71" i="4" s="1"/>
  <c r="H82" i="7"/>
  <c r="G82" i="7"/>
  <c r="G81" i="7"/>
  <c r="H81" i="7" s="1"/>
  <c r="B16" i="6" s="1"/>
  <c r="G80" i="7"/>
  <c r="H80" i="7" s="1"/>
  <c r="H79" i="7"/>
  <c r="G79" i="7"/>
  <c r="G78" i="7"/>
  <c r="H78" i="7" s="1"/>
  <c r="H77" i="7"/>
  <c r="G77" i="7"/>
  <c r="G76" i="7"/>
  <c r="H76" i="7" s="1"/>
  <c r="H75" i="7"/>
  <c r="G75" i="7"/>
  <c r="G74" i="7"/>
  <c r="H74" i="7" s="1"/>
  <c r="G73" i="7"/>
  <c r="H73" i="7" s="1"/>
  <c r="D14" i="5" s="1"/>
  <c r="H72" i="7"/>
  <c r="D11" i="5" s="1"/>
  <c r="D67" i="4" s="1"/>
  <c r="G72" i="7"/>
  <c r="G71" i="7"/>
  <c r="H71" i="7" s="1"/>
  <c r="H70" i="7"/>
  <c r="G70" i="7"/>
  <c r="G69" i="7"/>
  <c r="H69" i="7" s="1"/>
  <c r="H68" i="7"/>
  <c r="B9" i="6" s="1"/>
  <c r="G68" i="7"/>
  <c r="G67" i="7"/>
  <c r="H67" i="7" s="1"/>
  <c r="G66" i="7"/>
  <c r="H66" i="7" s="1"/>
  <c r="H65" i="7"/>
  <c r="G65" i="7"/>
  <c r="G64" i="7"/>
  <c r="H64" i="7" s="1"/>
  <c r="H63" i="7"/>
  <c r="G63" i="7"/>
  <c r="G62" i="7"/>
  <c r="H62" i="7" s="1"/>
  <c r="H61" i="7"/>
  <c r="G61" i="7"/>
  <c r="G60" i="7"/>
  <c r="H60" i="7" s="1"/>
  <c r="G59" i="7"/>
  <c r="H59" i="7" s="1"/>
  <c r="G58" i="7"/>
  <c r="H58" i="7" s="1"/>
  <c r="C23" i="5" s="1"/>
  <c r="G57" i="7"/>
  <c r="H57" i="7" s="1"/>
  <c r="H56" i="7"/>
  <c r="G56" i="7"/>
  <c r="G55" i="7"/>
  <c r="H55" i="7" s="1"/>
  <c r="H54" i="7"/>
  <c r="G54" i="7"/>
  <c r="G53" i="7"/>
  <c r="H53" i="7" s="1"/>
  <c r="G52" i="7"/>
  <c r="H52" i="7" s="1"/>
  <c r="G51" i="7"/>
  <c r="H51" i="7" s="1"/>
  <c r="G50" i="7"/>
  <c r="H50" i="7" s="1"/>
  <c r="H49" i="7"/>
  <c r="G49" i="7"/>
  <c r="G48" i="7"/>
  <c r="H48" i="7" s="1"/>
  <c r="H47" i="7"/>
  <c r="G47" i="7"/>
  <c r="G46" i="7"/>
  <c r="H46" i="7" s="1"/>
  <c r="G45" i="7"/>
  <c r="H45" i="7" s="1"/>
  <c r="G44" i="7"/>
  <c r="H44" i="7" s="1"/>
  <c r="G43" i="7"/>
  <c r="H43" i="7" s="1"/>
  <c r="C14" i="5" s="1"/>
  <c r="D59" i="4" s="1"/>
  <c r="H42" i="7"/>
  <c r="G42" i="7"/>
  <c r="G41" i="7"/>
  <c r="H41" i="7" s="1"/>
  <c r="H40" i="7"/>
  <c r="G40" i="7"/>
  <c r="G39" i="7"/>
  <c r="H39" i="7" s="1"/>
  <c r="G38" i="7"/>
  <c r="H38" i="7" s="1"/>
  <c r="B12" i="6" s="1"/>
  <c r="G37" i="7"/>
  <c r="H37" i="7" s="1"/>
  <c r="G36" i="7"/>
  <c r="H36" i="7" s="1"/>
  <c r="H35" i="7"/>
  <c r="G35" i="7"/>
  <c r="G34" i="7"/>
  <c r="H34" i="7" s="1"/>
  <c r="H33" i="7"/>
  <c r="G33" i="7"/>
  <c r="G32" i="7"/>
  <c r="H32" i="7" s="1"/>
  <c r="G31" i="7"/>
  <c r="H31" i="7" s="1"/>
  <c r="H30" i="7"/>
  <c r="G30" i="7"/>
  <c r="G29" i="7"/>
  <c r="H29" i="7" s="1"/>
  <c r="H28" i="7"/>
  <c r="G28" i="7"/>
  <c r="G27" i="7"/>
  <c r="H27" i="7" s="1"/>
  <c r="C10" i="5" s="1"/>
  <c r="H26" i="7"/>
  <c r="G26" i="7"/>
  <c r="G25" i="7"/>
  <c r="H25" i="7" s="1"/>
  <c r="G24" i="7"/>
  <c r="H24" i="7" s="1"/>
  <c r="H23" i="7"/>
  <c r="G23" i="7"/>
  <c r="G22" i="7"/>
  <c r="H22" i="7" s="1"/>
  <c r="H21" i="7"/>
  <c r="G21" i="7"/>
  <c r="G20" i="7"/>
  <c r="H20" i="7" s="1"/>
  <c r="H19" i="7"/>
  <c r="G19" i="7"/>
  <c r="G18" i="7"/>
  <c r="H18" i="7" s="1"/>
  <c r="G17" i="7"/>
  <c r="H17" i="7" s="1"/>
  <c r="H16" i="7"/>
  <c r="G16" i="7"/>
  <c r="G15" i="7"/>
  <c r="H15" i="7" s="1"/>
  <c r="H14" i="7"/>
  <c r="B13" i="5" s="1"/>
  <c r="G14" i="7"/>
  <c r="G13" i="7"/>
  <c r="H13" i="7" s="1"/>
  <c r="B13" i="6" s="1"/>
  <c r="H12" i="7"/>
  <c r="G12" i="7"/>
  <c r="G11" i="7"/>
  <c r="H11" i="7" s="1"/>
  <c r="G10" i="7"/>
  <c r="H10" i="7" s="1"/>
  <c r="G9" i="7"/>
  <c r="H9" i="7" s="1"/>
  <c r="B11" i="5" s="1"/>
  <c r="G8" i="7"/>
  <c r="H8" i="7" s="1"/>
  <c r="H7" i="7"/>
  <c r="G7" i="7"/>
  <c r="I25" i="6"/>
  <c r="F25" i="6"/>
  <c r="E25" i="6"/>
  <c r="I24" i="6"/>
  <c r="I23" i="6"/>
  <c r="I22" i="6"/>
  <c r="B22" i="6"/>
  <c r="I21" i="6"/>
  <c r="F21" i="6"/>
  <c r="E21" i="6"/>
  <c r="I20" i="6"/>
  <c r="D20" i="6"/>
  <c r="I19" i="6"/>
  <c r="I18" i="6"/>
  <c r="G18" i="6"/>
  <c r="I17" i="6"/>
  <c r="I16" i="6"/>
  <c r="I15" i="6"/>
  <c r="J14" i="6"/>
  <c r="I14" i="6"/>
  <c r="I13" i="6"/>
  <c r="E13" i="6"/>
  <c r="I12" i="6"/>
  <c r="C12" i="6"/>
  <c r="F12" i="6" s="1"/>
  <c r="I11" i="6"/>
  <c r="I10" i="6"/>
  <c r="I9" i="6"/>
  <c r="E8" i="6"/>
  <c r="D8" i="6"/>
  <c r="I8" i="6" s="1"/>
  <c r="I7" i="6"/>
  <c r="B7" i="6"/>
  <c r="L49" i="5"/>
  <c r="K49" i="5"/>
  <c r="I49" i="5"/>
  <c r="G49" i="5"/>
  <c r="D49" i="5"/>
  <c r="B49" i="5"/>
  <c r="M48" i="5"/>
  <c r="L48" i="5"/>
  <c r="K48" i="5"/>
  <c r="J48" i="5"/>
  <c r="I48" i="5"/>
  <c r="H48" i="5"/>
  <c r="G48" i="5"/>
  <c r="E48" i="5"/>
  <c r="D48" i="5"/>
  <c r="C48" i="5"/>
  <c r="B48" i="5"/>
  <c r="M47" i="5"/>
  <c r="K47" i="5"/>
  <c r="J47" i="5"/>
  <c r="I47" i="5"/>
  <c r="E47" i="5"/>
  <c r="M46" i="5"/>
  <c r="L46" i="5"/>
  <c r="K46" i="5"/>
  <c r="J46" i="5"/>
  <c r="I46" i="5"/>
  <c r="H46" i="5"/>
  <c r="G46" i="5"/>
  <c r="F46" i="5"/>
  <c r="B46" i="5"/>
  <c r="M45" i="5"/>
  <c r="K45" i="5"/>
  <c r="J45" i="5"/>
  <c r="I45" i="5"/>
  <c r="H45" i="5"/>
  <c r="G45" i="5"/>
  <c r="F45" i="5"/>
  <c r="E45" i="5"/>
  <c r="D45" i="5"/>
  <c r="B45" i="5"/>
  <c r="J44" i="5"/>
  <c r="H44" i="5"/>
  <c r="D150" i="4" s="1"/>
  <c r="F44" i="5"/>
  <c r="E44" i="5"/>
  <c r="D44" i="5"/>
  <c r="C44" i="5"/>
  <c r="L43" i="5"/>
  <c r="J43" i="5"/>
  <c r="E43" i="5"/>
  <c r="D43" i="5"/>
  <c r="C43" i="5"/>
  <c r="L42" i="5"/>
  <c r="K42" i="5"/>
  <c r="J42" i="5"/>
  <c r="I42" i="5"/>
  <c r="G42" i="5"/>
  <c r="D138" i="4" s="1"/>
  <c r="F42" i="5"/>
  <c r="E42" i="5"/>
  <c r="D42" i="5"/>
  <c r="C42" i="5"/>
  <c r="B42" i="5"/>
  <c r="L41" i="5"/>
  <c r="J41" i="5"/>
  <c r="I41" i="5"/>
  <c r="H41" i="5"/>
  <c r="F41" i="5"/>
  <c r="E41" i="5"/>
  <c r="B41" i="5"/>
  <c r="L40" i="5"/>
  <c r="K40" i="5"/>
  <c r="J40" i="5"/>
  <c r="I40" i="5"/>
  <c r="H40" i="5"/>
  <c r="G40" i="5"/>
  <c r="E40" i="5"/>
  <c r="D40" i="5"/>
  <c r="B40" i="5"/>
  <c r="L39" i="5"/>
  <c r="K39" i="5"/>
  <c r="J39" i="5"/>
  <c r="I39" i="5"/>
  <c r="H39" i="5"/>
  <c r="G39" i="5"/>
  <c r="F39" i="5"/>
  <c r="E39" i="5"/>
  <c r="D39" i="5"/>
  <c r="B39" i="5"/>
  <c r="M38" i="5"/>
  <c r="H38" i="5"/>
  <c r="M37" i="5"/>
  <c r="L37" i="5"/>
  <c r="D190" i="4" s="1"/>
  <c r="K37" i="5"/>
  <c r="D179" i="4" s="1"/>
  <c r="J37" i="5"/>
  <c r="I37" i="5"/>
  <c r="H37" i="5"/>
  <c r="F37" i="5"/>
  <c r="E37" i="5"/>
  <c r="C37" i="5"/>
  <c r="B37" i="5"/>
  <c r="M36" i="5"/>
  <c r="K36" i="5"/>
  <c r="J36" i="5"/>
  <c r="D167" i="4" s="1"/>
  <c r="I36" i="5"/>
  <c r="D156" i="4" s="1"/>
  <c r="H36" i="5"/>
  <c r="G36" i="5"/>
  <c r="F36" i="5"/>
  <c r="E36" i="5"/>
  <c r="D36" i="5"/>
  <c r="B36" i="5"/>
  <c r="I35" i="5"/>
  <c r="H35" i="5"/>
  <c r="D144" i="4" s="1"/>
  <c r="F35" i="5"/>
  <c r="E35" i="5"/>
  <c r="D111" i="4" s="1"/>
  <c r="C35" i="5"/>
  <c r="M34" i="5"/>
  <c r="K34" i="5"/>
  <c r="J34" i="5"/>
  <c r="H34" i="5"/>
  <c r="G34" i="5"/>
  <c r="E34" i="5"/>
  <c r="D34" i="5"/>
  <c r="C34" i="5"/>
  <c r="B34" i="5"/>
  <c r="L33" i="5"/>
  <c r="K33" i="5"/>
  <c r="J33" i="5"/>
  <c r="I33" i="5"/>
  <c r="H33" i="5"/>
  <c r="G33" i="5"/>
  <c r="D33" i="5"/>
  <c r="C33" i="5"/>
  <c r="B33" i="5"/>
  <c r="L32" i="5"/>
  <c r="K32" i="5"/>
  <c r="J32" i="5"/>
  <c r="I32" i="5"/>
  <c r="H32" i="5"/>
  <c r="D143" i="4" s="1"/>
  <c r="D32" i="5"/>
  <c r="C32" i="5"/>
  <c r="M31" i="5"/>
  <c r="L31" i="5"/>
  <c r="K31" i="5"/>
  <c r="J31" i="5"/>
  <c r="I31" i="5"/>
  <c r="H31" i="5"/>
  <c r="G31" i="5"/>
  <c r="F31" i="5"/>
  <c r="E31" i="5"/>
  <c r="D31" i="5"/>
  <c r="C31" i="5"/>
  <c r="B31" i="5"/>
  <c r="D25" i="5"/>
  <c r="C25" i="5"/>
  <c r="B25" i="5"/>
  <c r="E25" i="5" s="1"/>
  <c r="C25" i="6" s="1"/>
  <c r="D24" i="5"/>
  <c r="E24" i="5" s="1"/>
  <c r="C24" i="6" s="1"/>
  <c r="C24" i="5"/>
  <c r="B24" i="5"/>
  <c r="D23" i="5"/>
  <c r="B23" i="5"/>
  <c r="D22" i="5"/>
  <c r="C22" i="5"/>
  <c r="B22" i="5"/>
  <c r="E22" i="5" s="1"/>
  <c r="C22" i="6" s="1"/>
  <c r="D21" i="5"/>
  <c r="B21" i="5"/>
  <c r="D20" i="5"/>
  <c r="D19" i="5"/>
  <c r="C19" i="5"/>
  <c r="C18" i="5"/>
  <c r="B18" i="5"/>
  <c r="C17" i="5"/>
  <c r="D60" i="4" s="1"/>
  <c r="B17" i="5"/>
  <c r="E16" i="5"/>
  <c r="C16" i="6" s="1"/>
  <c r="D16" i="5"/>
  <c r="C16" i="5"/>
  <c r="B16" i="5"/>
  <c r="E15" i="5"/>
  <c r="C15" i="6" s="1"/>
  <c r="D15" i="5"/>
  <c r="C15" i="5"/>
  <c r="B15" i="5"/>
  <c r="D13" i="5"/>
  <c r="D69" i="4" s="1"/>
  <c r="C13" i="5"/>
  <c r="D58" i="4" s="1"/>
  <c r="D12" i="5"/>
  <c r="D68" i="4" s="1"/>
  <c r="C12" i="5"/>
  <c r="D57" i="4" s="1"/>
  <c r="B12" i="5"/>
  <c r="E12" i="5" s="1"/>
  <c r="D10" i="5"/>
  <c r="B10" i="5"/>
  <c r="D9" i="5"/>
  <c r="E9" i="5" s="1"/>
  <c r="C9" i="6" s="1"/>
  <c r="C9" i="5"/>
  <c r="B9" i="5"/>
  <c r="C8" i="5"/>
  <c r="B8" i="5"/>
  <c r="D7" i="5"/>
  <c r="C7" i="5"/>
  <c r="D54" i="4" s="1"/>
  <c r="B7" i="5"/>
  <c r="D43" i="4" s="1"/>
  <c r="D207" i="4"/>
  <c r="D206" i="4"/>
  <c r="D204" i="4"/>
  <c r="D202" i="4"/>
  <c r="D201" i="4"/>
  <c r="D200" i="4"/>
  <c r="D197" i="4"/>
  <c r="D196" i="4"/>
  <c r="D194" i="4"/>
  <c r="D193" i="4"/>
  <c r="D192" i="4"/>
  <c r="D187" i="4"/>
  <c r="D185" i="4"/>
  <c r="D184" i="4"/>
  <c r="D183" i="4"/>
  <c r="D182" i="4"/>
  <c r="D178" i="4"/>
  <c r="D176" i="4"/>
  <c r="D175" i="4"/>
  <c r="D173" i="4"/>
  <c r="D172" i="4"/>
  <c r="D171" i="4"/>
  <c r="D170" i="4"/>
  <c r="D169" i="4"/>
  <c r="D168" i="4"/>
  <c r="D164" i="4"/>
  <c r="D163" i="4"/>
  <c r="D162" i="4"/>
  <c r="D160" i="4"/>
  <c r="D159" i="4"/>
  <c r="D157" i="4"/>
  <c r="D155" i="4"/>
  <c r="D154" i="4"/>
  <c r="D151" i="4"/>
  <c r="D148" i="4"/>
  <c r="D147" i="4"/>
  <c r="D146" i="4"/>
  <c r="D145" i="4"/>
  <c r="D141" i="4"/>
  <c r="D140" i="4"/>
  <c r="D137" i="4"/>
  <c r="D136" i="4"/>
  <c r="D134" i="4"/>
  <c r="D133" i="4"/>
  <c r="D130" i="4"/>
  <c r="D129" i="4"/>
  <c r="D128" i="4"/>
  <c r="D127" i="4"/>
  <c r="D126" i="4"/>
  <c r="D124" i="4"/>
  <c r="D123" i="4"/>
  <c r="D122" i="4"/>
  <c r="D120" i="4"/>
  <c r="D118" i="4"/>
  <c r="D117" i="4"/>
  <c r="D116" i="4"/>
  <c r="D115" i="4"/>
  <c r="D113" i="4"/>
  <c r="D112" i="4"/>
  <c r="D109" i="4"/>
  <c r="D108" i="4"/>
  <c r="D107" i="4"/>
  <c r="D106" i="4"/>
  <c r="D105" i="4"/>
  <c r="D101" i="4"/>
  <c r="D99" i="4"/>
  <c r="D98" i="4"/>
  <c r="D95" i="4"/>
  <c r="D94" i="4"/>
  <c r="D91" i="4"/>
  <c r="D89" i="4"/>
  <c r="D88" i="4"/>
  <c r="D87" i="4"/>
  <c r="D86" i="4"/>
  <c r="D85" i="4"/>
  <c r="D83" i="4"/>
  <c r="D82" i="4"/>
  <c r="D80" i="4"/>
  <c r="D79" i="4"/>
  <c r="D76" i="4"/>
  <c r="D75" i="4"/>
  <c r="D74" i="4"/>
  <c r="D73" i="4"/>
  <c r="D70" i="4"/>
  <c r="D65" i="4"/>
  <c r="D64" i="4"/>
  <c r="D61" i="4"/>
  <c r="D55" i="4"/>
  <c r="D47" i="4"/>
  <c r="D44" i="4"/>
  <c r="D42" i="4"/>
  <c r="D41" i="4"/>
  <c r="D40" i="4"/>
  <c r="D39" i="4"/>
  <c r="D38" i="4"/>
  <c r="D37" i="4"/>
  <c r="D36" i="4"/>
  <c r="D35" i="4"/>
  <c r="D34" i="4"/>
  <c r="D33" i="4"/>
  <c r="D32" i="4"/>
  <c r="E60" i="3"/>
  <c r="D60" i="3"/>
  <c r="C60" i="3"/>
  <c r="E59" i="3"/>
  <c r="D59" i="3"/>
  <c r="C59" i="3"/>
  <c r="D57" i="3"/>
  <c r="C57" i="3"/>
  <c r="D53" i="3"/>
  <c r="D51" i="3"/>
  <c r="C51" i="3"/>
  <c r="E50" i="3"/>
  <c r="D50" i="3"/>
  <c r="C50" i="3"/>
  <c r="E47" i="3"/>
  <c r="D47" i="3"/>
  <c r="C47" i="3"/>
  <c r="D46" i="3"/>
  <c r="D44" i="3"/>
  <c r="C44" i="3"/>
  <c r="D43" i="3"/>
  <c r="E41" i="3"/>
  <c r="D41" i="3"/>
  <c r="C41" i="3"/>
  <c r="D40" i="3"/>
  <c r="C40" i="3"/>
  <c r="D37" i="3"/>
  <c r="C37" i="3"/>
  <c r="D36" i="3"/>
  <c r="C36" i="3"/>
  <c r="C30" i="3"/>
  <c r="D28" i="3"/>
  <c r="D25" i="3"/>
  <c r="E28" i="2"/>
  <c r="D28" i="2"/>
  <c r="C28" i="2"/>
  <c r="E27" i="2"/>
  <c r="D27" i="2"/>
  <c r="C27" i="2"/>
  <c r="C26" i="2"/>
  <c r="C24" i="2"/>
  <c r="C23" i="2"/>
  <c r="C22" i="2"/>
  <c r="C21" i="2"/>
  <c r="D19" i="2"/>
  <c r="C19" i="2"/>
  <c r="E18" i="2"/>
  <c r="D18" i="2"/>
  <c r="C18" i="2"/>
  <c r="D17" i="2"/>
  <c r="C17" i="2"/>
  <c r="E10" i="2"/>
  <c r="F7" i="2"/>
  <c r="E7" i="2"/>
  <c r="E46" i="4" l="1"/>
  <c r="E68" i="4"/>
  <c r="E35" i="4"/>
  <c r="F35" i="4" s="1"/>
  <c r="E57" i="4"/>
  <c r="F42" i="4"/>
  <c r="D49" i="4"/>
  <c r="E17" i="5"/>
  <c r="C17" i="6" s="1"/>
  <c r="F17" i="6" s="1"/>
  <c r="E64" i="4"/>
  <c r="E53" i="4"/>
  <c r="G22" i="6"/>
  <c r="C46" i="5"/>
  <c r="N46" i="5" s="1"/>
  <c r="H22" i="6" s="1"/>
  <c r="K22" i="6" s="1"/>
  <c r="E10" i="5"/>
  <c r="C10" i="6" s="1"/>
  <c r="E10" i="6" s="1"/>
  <c r="N31" i="5"/>
  <c r="B32" i="5"/>
  <c r="G23" i="6"/>
  <c r="G17" i="6"/>
  <c r="C41" i="5"/>
  <c r="D93" i="4" s="1"/>
  <c r="E42" i="4"/>
  <c r="E75" i="4"/>
  <c r="F57" i="4"/>
  <c r="D81" i="4"/>
  <c r="F68" i="4"/>
  <c r="D45" i="4"/>
  <c r="D20" i="2"/>
  <c r="F64" i="4"/>
  <c r="B21" i="6"/>
  <c r="C21" i="5"/>
  <c r="D63" i="4" s="1"/>
  <c r="H50" i="5"/>
  <c r="D142" i="4"/>
  <c r="C49" i="5"/>
  <c r="G25" i="6"/>
  <c r="D26" i="5"/>
  <c r="B8" i="6"/>
  <c r="D8" i="5"/>
  <c r="N39" i="5"/>
  <c r="H15" i="6" s="1"/>
  <c r="K15" i="6" s="1"/>
  <c r="G16" i="6"/>
  <c r="C40" i="5"/>
  <c r="N40" i="5" s="1"/>
  <c r="H16" i="6" s="1"/>
  <c r="K16" i="6" s="1"/>
  <c r="E21" i="5"/>
  <c r="C21" i="6" s="1"/>
  <c r="G47" i="5"/>
  <c r="G50" i="5" s="1"/>
  <c r="B19" i="6"/>
  <c r="B19" i="5"/>
  <c r="E19" i="5" s="1"/>
  <c r="C19" i="6" s="1"/>
  <c r="B23" i="6"/>
  <c r="F75" i="4"/>
  <c r="D131" i="4"/>
  <c r="D52" i="4"/>
  <c r="J50" i="5"/>
  <c r="E13" i="5"/>
  <c r="C13" i="6" s="1"/>
  <c r="B20" i="6"/>
  <c r="B20" i="5"/>
  <c r="C11" i="5"/>
  <c r="D56" i="4" s="1"/>
  <c r="E32" i="5"/>
  <c r="D110" i="4" s="1"/>
  <c r="N43" i="5"/>
  <c r="H19" i="6" s="1"/>
  <c r="K19" i="6" s="1"/>
  <c r="B14" i="6"/>
  <c r="C36" i="5"/>
  <c r="G12" i="6"/>
  <c r="B14" i="5"/>
  <c r="B26" i="5" s="1"/>
  <c r="B18" i="6"/>
  <c r="G11" i="6"/>
  <c r="B35" i="5"/>
  <c r="E49" i="5"/>
  <c r="D119" i="4" s="1"/>
  <c r="M32" i="5"/>
  <c r="M1305" i="9"/>
  <c r="K1305" i="9"/>
  <c r="I1305" i="9"/>
  <c r="N1305" i="9"/>
  <c r="L1305" i="9"/>
  <c r="J1305" i="9"/>
  <c r="N48" i="5"/>
  <c r="H24" i="6" s="1"/>
  <c r="K24" i="6" s="1"/>
  <c r="G8" i="6"/>
  <c r="G26" i="6" s="1"/>
  <c r="B10" i="6"/>
  <c r="B15" i="6"/>
  <c r="G15" i="6"/>
  <c r="F1141" i="9"/>
  <c r="G1141" i="9" s="1"/>
  <c r="C10" i="2" s="1"/>
  <c r="E18" i="5"/>
  <c r="C18" i="6" s="1"/>
  <c r="N33" i="5"/>
  <c r="H9" i="6" s="1"/>
  <c r="K9" i="6" s="1"/>
  <c r="B11" i="6"/>
  <c r="B26" i="6" s="1"/>
  <c r="B17" i="6"/>
  <c r="B25" i="6"/>
  <c r="D37" i="5"/>
  <c r="D102" i="4" s="1"/>
  <c r="F1103" i="9"/>
  <c r="G1103" i="9" s="1"/>
  <c r="D53" i="4"/>
  <c r="F53" i="4" s="1"/>
  <c r="E7" i="5"/>
  <c r="C20" i="5"/>
  <c r="D62" i="4" s="1"/>
  <c r="C45" i="5"/>
  <c r="D96" i="4" s="1"/>
  <c r="G21" i="6"/>
  <c r="K43" i="5"/>
  <c r="F1085" i="9"/>
  <c r="G1085" i="9" s="1"/>
  <c r="F1245" i="9"/>
  <c r="G1245" i="9" s="1"/>
  <c r="D165" i="4"/>
  <c r="N41" i="5"/>
  <c r="H17" i="6" s="1"/>
  <c r="K17" i="6" s="1"/>
  <c r="I43" i="5"/>
  <c r="I50" i="5" s="1"/>
  <c r="F1082" i="9"/>
  <c r="G1082" i="9" s="1"/>
  <c r="F1132" i="9"/>
  <c r="G1132" i="9" s="1"/>
  <c r="F1179" i="9"/>
  <c r="G1179" i="9" s="1"/>
  <c r="E23" i="5"/>
  <c r="C23" i="6" s="1"/>
  <c r="G13" i="6"/>
  <c r="G20" i="6"/>
  <c r="B44" i="5"/>
  <c r="E38" i="5"/>
  <c r="D114" i="4" s="1"/>
  <c r="F47" i="5"/>
  <c r="H42" i="5"/>
  <c r="D149" i="4" s="1"/>
  <c r="F1087" i="9"/>
  <c r="G1087" i="9" s="1"/>
  <c r="D50" i="4"/>
  <c r="G9" i="6"/>
  <c r="K38" i="5"/>
  <c r="D180" i="4" s="1"/>
  <c r="F1223" i="9"/>
  <c r="G1223" i="9" s="1"/>
  <c r="D153" i="4"/>
  <c r="D50" i="5"/>
  <c r="G19" i="6"/>
  <c r="B47" i="5"/>
  <c r="N47" i="5" s="1"/>
  <c r="H23" i="6" s="1"/>
  <c r="K23" i="6" s="1"/>
  <c r="D38" i="5"/>
  <c r="D103" i="4" s="1"/>
  <c r="L45" i="5"/>
  <c r="D195" i="4" s="1"/>
  <c r="F1237" i="9"/>
  <c r="G1237" i="9" s="1"/>
  <c r="D46" i="4"/>
  <c r="F46" i="4" s="1"/>
  <c r="D186" i="4"/>
  <c r="E1126" i="9"/>
  <c r="Q1126" i="9" s="1"/>
  <c r="S1126" i="9" s="1"/>
  <c r="F1158" i="9"/>
  <c r="G1158" i="9" s="1"/>
  <c r="F1162" i="9"/>
  <c r="G1162" i="9" s="1"/>
  <c r="D26" i="3" s="1"/>
  <c r="E46" i="5"/>
  <c r="E50" i="5" s="1"/>
  <c r="F34" i="5"/>
  <c r="F50" i="5" s="1"/>
  <c r="G10" i="6"/>
  <c r="F1097" i="9"/>
  <c r="G1097" i="9" s="1"/>
  <c r="F1126" i="9"/>
  <c r="G1126" i="9" s="1"/>
  <c r="E1148" i="9"/>
  <c r="Q1148" i="9" s="1"/>
  <c r="S1148" i="9" s="1"/>
  <c r="F1152" i="9"/>
  <c r="G1152" i="9" s="1"/>
  <c r="E1090" i="9"/>
  <c r="Q1090" i="9" s="1"/>
  <c r="S1090" i="9" s="1"/>
  <c r="E1091" i="9"/>
  <c r="Q1091" i="9" s="1"/>
  <c r="S1091" i="9" s="1"/>
  <c r="F1100" i="9"/>
  <c r="G1100" i="9" s="1"/>
  <c r="F1107" i="9"/>
  <c r="G1107" i="9" s="1"/>
  <c r="F1131" i="9"/>
  <c r="G1131" i="9" s="1"/>
  <c r="F1156" i="9"/>
  <c r="G1156" i="9" s="1"/>
  <c r="F1187" i="9"/>
  <c r="G1187" i="9" s="1"/>
  <c r="F1236" i="9"/>
  <c r="G1236" i="9" s="1"/>
  <c r="F1240" i="9"/>
  <c r="G1240" i="9" s="1"/>
  <c r="F1241" i="9"/>
  <c r="G1241" i="9" s="1"/>
  <c r="F1249" i="9"/>
  <c r="G1249" i="9" s="1"/>
  <c r="F1410" i="9"/>
  <c r="G1410" i="9" s="1"/>
  <c r="N1129" i="9"/>
  <c r="M1129" i="9"/>
  <c r="L1129" i="9"/>
  <c r="K1129" i="9"/>
  <c r="J1129" i="9"/>
  <c r="I1129" i="9"/>
  <c r="F1157" i="9"/>
  <c r="G1157" i="9" s="1"/>
  <c r="F1180" i="9"/>
  <c r="G1180" i="9" s="1"/>
  <c r="N1246" i="9"/>
  <c r="M1246" i="9"/>
  <c r="L1246" i="9"/>
  <c r="J1246" i="9"/>
  <c r="R1246" i="9" s="1"/>
  <c r="I1246" i="9"/>
  <c r="K1246" i="9"/>
  <c r="F1285" i="9"/>
  <c r="G1285" i="9" s="1"/>
  <c r="F1095" i="9"/>
  <c r="G1095" i="9" s="1"/>
  <c r="C8" i="2" s="1"/>
  <c r="E1101" i="9"/>
  <c r="Q1101" i="9" s="1"/>
  <c r="S1101" i="9" s="1"/>
  <c r="F1104" i="9"/>
  <c r="G1104" i="9" s="1"/>
  <c r="F1129" i="9"/>
  <c r="G1129" i="9" s="1"/>
  <c r="D24" i="2" s="1"/>
  <c r="E1180" i="9"/>
  <c r="Q1180" i="9" s="1"/>
  <c r="S1180" i="9" s="1"/>
  <c r="F1191" i="9"/>
  <c r="G1191" i="9" s="1"/>
  <c r="F1250" i="9"/>
  <c r="G1250" i="9" s="1"/>
  <c r="F1252" i="9"/>
  <c r="G1252" i="9" s="1"/>
  <c r="F1110" i="9"/>
  <c r="G1110" i="9" s="1"/>
  <c r="E1191" i="9"/>
  <c r="Q1191" i="9" s="1"/>
  <c r="S1191" i="9" s="1"/>
  <c r="F1271" i="9"/>
  <c r="G1271" i="9" s="1"/>
  <c r="M1077" i="9"/>
  <c r="L1077" i="9"/>
  <c r="K1077" i="9"/>
  <c r="J1077" i="9"/>
  <c r="R1077" i="9" s="1"/>
  <c r="N1077" i="9"/>
  <c r="I1077" i="9"/>
  <c r="F1092" i="9"/>
  <c r="G1092" i="9" s="1"/>
  <c r="E1103" i="9"/>
  <c r="Q1103" i="9" s="1"/>
  <c r="S1103" i="9" s="1"/>
  <c r="E1140" i="9"/>
  <c r="F1155" i="9"/>
  <c r="G1155" i="9" s="1"/>
  <c r="F1160" i="9"/>
  <c r="G1160" i="9" s="1"/>
  <c r="F1182" i="9"/>
  <c r="G1182" i="9" s="1"/>
  <c r="F1189" i="9"/>
  <c r="G1189" i="9" s="1"/>
  <c r="F1213" i="9"/>
  <c r="G1213" i="9" s="1"/>
  <c r="D33" i="3" s="1"/>
  <c r="E1216" i="9"/>
  <c r="Q1216" i="9" s="1"/>
  <c r="S1216" i="9" s="1"/>
  <c r="F1222" i="9"/>
  <c r="G1222" i="9" s="1"/>
  <c r="F1228" i="9"/>
  <c r="G1228" i="9" s="1"/>
  <c r="F1283" i="9"/>
  <c r="G1283" i="9" s="1"/>
  <c r="F1300" i="9"/>
  <c r="G1300" i="9" s="1"/>
  <c r="G24" i="6"/>
  <c r="E1124" i="9"/>
  <c r="Q1124" i="9" s="1"/>
  <c r="S1124" i="9" s="1"/>
  <c r="E1128" i="9"/>
  <c r="Q1128" i="9" s="1"/>
  <c r="S1128" i="9" s="1"/>
  <c r="F1137" i="9"/>
  <c r="G1137" i="9" s="1"/>
  <c r="E1182" i="9"/>
  <c r="Q1182" i="9" s="1"/>
  <c r="S1182" i="9" s="1"/>
  <c r="F1216" i="9"/>
  <c r="G1216" i="9" s="1"/>
  <c r="E1228" i="9"/>
  <c r="Q1228" i="9" s="1"/>
  <c r="S1228" i="9" s="1"/>
  <c r="F1281" i="9"/>
  <c r="G1281" i="9" s="1"/>
  <c r="F1076" i="9"/>
  <c r="G1076" i="9" s="1"/>
  <c r="C7" i="2" s="1"/>
  <c r="K1084" i="9"/>
  <c r="J1084" i="9"/>
  <c r="I1084" i="9"/>
  <c r="N1084" i="9"/>
  <c r="L1084" i="9"/>
  <c r="M1084" i="9"/>
  <c r="F1102" i="9"/>
  <c r="G1102" i="9" s="1"/>
  <c r="D22" i="2" s="1"/>
  <c r="N1108" i="9"/>
  <c r="M1108" i="9"/>
  <c r="L1108" i="9"/>
  <c r="K1108" i="9"/>
  <c r="I1108" i="9"/>
  <c r="J1108" i="9" s="1"/>
  <c r="R1108" i="9" s="1"/>
  <c r="F1118" i="9"/>
  <c r="G1118" i="9" s="1"/>
  <c r="F1124" i="9"/>
  <c r="G1124" i="9" s="1"/>
  <c r="F1128" i="9"/>
  <c r="G1128" i="9" s="1"/>
  <c r="N1137" i="9"/>
  <c r="M1137" i="9"/>
  <c r="L1137" i="9"/>
  <c r="K1137" i="9"/>
  <c r="J1137" i="9"/>
  <c r="I1137" i="9"/>
  <c r="E1171" i="9"/>
  <c r="Q1171" i="9" s="1"/>
  <c r="S1171" i="9" s="1"/>
  <c r="F1196" i="9"/>
  <c r="G1196" i="9" s="1"/>
  <c r="F1205" i="9"/>
  <c r="G1205" i="9" s="1"/>
  <c r="F1253" i="9"/>
  <c r="G1253" i="9" s="1"/>
  <c r="F1275" i="9"/>
  <c r="G1275" i="9" s="1"/>
  <c r="F1339" i="9"/>
  <c r="G1339" i="9" s="1"/>
  <c r="F1089" i="9"/>
  <c r="G1089" i="9" s="1"/>
  <c r="N1102" i="9"/>
  <c r="M1102" i="9"/>
  <c r="L1102" i="9"/>
  <c r="K1102" i="9"/>
  <c r="I1102" i="9"/>
  <c r="J1102" i="9" s="1"/>
  <c r="R1102" i="9" s="1"/>
  <c r="F1108" i="9"/>
  <c r="G1108" i="9" s="1"/>
  <c r="D21" i="2" s="1"/>
  <c r="N1118" i="9"/>
  <c r="M1118" i="9"/>
  <c r="L1118" i="9"/>
  <c r="K1118" i="9"/>
  <c r="I1118" i="9"/>
  <c r="J1118" i="9" s="1"/>
  <c r="R1118" i="9" s="1"/>
  <c r="F1119" i="9"/>
  <c r="G1119" i="9" s="1"/>
  <c r="C9" i="2" s="1"/>
  <c r="F1127" i="9"/>
  <c r="G1127" i="9" s="1"/>
  <c r="F1159" i="9"/>
  <c r="G1159" i="9" s="1"/>
  <c r="F1171" i="9"/>
  <c r="G1171" i="9" s="1"/>
  <c r="E1176" i="9"/>
  <c r="Q1176" i="9" s="1"/>
  <c r="S1176" i="9" s="1"/>
  <c r="I1181" i="9"/>
  <c r="J1181" i="9" s="1"/>
  <c r="R1181" i="9" s="1"/>
  <c r="L1181" i="9"/>
  <c r="K1181" i="9"/>
  <c r="N1181" i="9"/>
  <c r="M1181" i="9"/>
  <c r="F1184" i="9"/>
  <c r="G1184" i="9" s="1"/>
  <c r="F1219" i="9"/>
  <c r="G1219" i="9" s="1"/>
  <c r="F1220" i="9"/>
  <c r="G1220" i="9" s="1"/>
  <c r="D32" i="3" s="1"/>
  <c r="E1096" i="9"/>
  <c r="E1097" i="9"/>
  <c r="F1106" i="9"/>
  <c r="G1106" i="9" s="1"/>
  <c r="E1113" i="9"/>
  <c r="Q1113" i="9" s="1"/>
  <c r="S1113" i="9" s="1"/>
  <c r="F1181" i="9"/>
  <c r="G1181" i="9" s="1"/>
  <c r="E1190" i="9"/>
  <c r="E1220" i="9"/>
  <c r="F1315" i="9"/>
  <c r="G1315" i="9" s="1"/>
  <c r="E1085" i="9"/>
  <c r="Q1085" i="9" s="1"/>
  <c r="S1085" i="9" s="1"/>
  <c r="F1086" i="9"/>
  <c r="G1086" i="9" s="1"/>
  <c r="F1105" i="9"/>
  <c r="G1105" i="9" s="1"/>
  <c r="E1123" i="9"/>
  <c r="E1141" i="9"/>
  <c r="Q1141" i="9" s="1"/>
  <c r="S1141" i="9" s="1"/>
  <c r="E1152" i="9"/>
  <c r="E1163" i="9"/>
  <c r="Q1163" i="9" s="1"/>
  <c r="S1163" i="9" s="1"/>
  <c r="F1173" i="9"/>
  <c r="G1173" i="9" s="1"/>
  <c r="F1217" i="9"/>
  <c r="G1217" i="9" s="1"/>
  <c r="E1221" i="9"/>
  <c r="Q1221" i="9" s="1"/>
  <c r="S1221" i="9" s="1"/>
  <c r="F1225" i="9"/>
  <c r="G1225" i="9" s="1"/>
  <c r="F1247" i="9"/>
  <c r="G1247" i="9" s="1"/>
  <c r="F1262" i="9"/>
  <c r="G1262" i="9" s="1"/>
  <c r="E1144" i="9"/>
  <c r="Q1144" i="9" s="1"/>
  <c r="S1144" i="9" s="1"/>
  <c r="E1162" i="9"/>
  <c r="E1177" i="9"/>
  <c r="E1184" i="9"/>
  <c r="Q1184" i="9" s="1"/>
  <c r="S1184" i="9" s="1"/>
  <c r="E1234" i="9"/>
  <c r="E1236" i="9"/>
  <c r="Q1236" i="9" s="1"/>
  <c r="S1236" i="9" s="1"/>
  <c r="E1237" i="9"/>
  <c r="E1253" i="9"/>
  <c r="Q1253" i="9" s="1"/>
  <c r="S1253" i="9" s="1"/>
  <c r="N1269" i="9"/>
  <c r="M1269" i="9"/>
  <c r="L1269" i="9"/>
  <c r="K1269" i="9"/>
  <c r="I1269" i="9"/>
  <c r="J1269" i="9" s="1"/>
  <c r="R1269" i="9" s="1"/>
  <c r="E1271" i="9"/>
  <c r="Q1271" i="9" s="1"/>
  <c r="S1271" i="9" s="1"/>
  <c r="E1300" i="9"/>
  <c r="Q1300" i="9" s="1"/>
  <c r="S1300" i="9" s="1"/>
  <c r="F1420" i="9"/>
  <c r="G1420" i="9" s="1"/>
  <c r="F1172" i="9"/>
  <c r="G1172" i="9" s="1"/>
  <c r="E1189" i="9"/>
  <c r="Q1189" i="9" s="1"/>
  <c r="S1189" i="9" s="1"/>
  <c r="E1201" i="9"/>
  <c r="F1209" i="9"/>
  <c r="G1209" i="9" s="1"/>
  <c r="C9" i="3" s="1"/>
  <c r="F1212" i="9"/>
  <c r="G1212" i="9" s="1"/>
  <c r="E1223" i="9"/>
  <c r="Q1223" i="9" s="1"/>
  <c r="S1223" i="9" s="1"/>
  <c r="F1243" i="9"/>
  <c r="G1243" i="9" s="1"/>
  <c r="F1251" i="9"/>
  <c r="G1251" i="9" s="1"/>
  <c r="E1255" i="9"/>
  <c r="Q1255" i="9" s="1"/>
  <c r="S1255" i="9" s="1"/>
  <c r="F1279" i="9"/>
  <c r="G1279" i="9" s="1"/>
  <c r="E1301" i="9"/>
  <c r="F1326" i="9"/>
  <c r="G1326" i="9" s="1"/>
  <c r="F1336" i="9"/>
  <c r="G1336" i="9" s="1"/>
  <c r="F1366" i="9"/>
  <c r="G1366" i="9" s="1"/>
  <c r="F1382" i="9"/>
  <c r="G1382" i="9" s="1"/>
  <c r="F1384" i="9"/>
  <c r="G1384" i="9" s="1"/>
  <c r="E1420" i="9"/>
  <c r="E1076" i="9"/>
  <c r="E1110" i="9"/>
  <c r="Q1110" i="9" s="1"/>
  <c r="S1110" i="9" s="1"/>
  <c r="E1127" i="9"/>
  <c r="Q1127" i="9" s="1"/>
  <c r="S1127" i="9" s="1"/>
  <c r="E1155" i="9"/>
  <c r="Q1155" i="9" s="1"/>
  <c r="S1155" i="9" s="1"/>
  <c r="E1157" i="9"/>
  <c r="E1209" i="9"/>
  <c r="Q1209" i="9" s="1"/>
  <c r="S1209" i="9" s="1"/>
  <c r="E1225" i="9"/>
  <c r="Q1225" i="9" s="1"/>
  <c r="S1225" i="9" s="1"/>
  <c r="E1243" i="9"/>
  <c r="Q1243" i="9" s="1"/>
  <c r="S1243" i="9" s="1"/>
  <c r="E1279" i="9"/>
  <c r="F1307" i="9"/>
  <c r="G1307" i="9" s="1"/>
  <c r="E1317" i="9"/>
  <c r="F1344" i="9"/>
  <c r="G1344" i="9" s="1"/>
  <c r="F1389" i="9"/>
  <c r="G1389" i="9" s="1"/>
  <c r="E1161" i="9"/>
  <c r="Q1161" i="9" s="1"/>
  <c r="S1161" i="9" s="1"/>
  <c r="E1217" i="9"/>
  <c r="Q1217" i="9" s="1"/>
  <c r="S1217" i="9" s="1"/>
  <c r="E1219" i="9"/>
  <c r="Q1219" i="9" s="1"/>
  <c r="S1219" i="9" s="1"/>
  <c r="F1238" i="9"/>
  <c r="G1238" i="9" s="1"/>
  <c r="F1282" i="9"/>
  <c r="G1282" i="9" s="1"/>
  <c r="E1286" i="9"/>
  <c r="E1311" i="9"/>
  <c r="Q1311" i="9" s="1"/>
  <c r="S1311" i="9" s="1"/>
  <c r="F1317" i="9"/>
  <c r="G1317" i="9" s="1"/>
  <c r="F1387" i="9"/>
  <c r="G1387" i="9" s="1"/>
  <c r="F1286" i="9"/>
  <c r="G1286" i="9" s="1"/>
  <c r="D38" i="3" s="1"/>
  <c r="F1293" i="9"/>
  <c r="G1293" i="9" s="1"/>
  <c r="E1296" i="9"/>
  <c r="Q1296" i="9" s="1"/>
  <c r="S1296" i="9" s="1"/>
  <c r="F1311" i="9"/>
  <c r="G1311" i="9" s="1"/>
  <c r="J1359" i="9"/>
  <c r="N1359" i="9"/>
  <c r="M1359" i="9"/>
  <c r="K1359" i="9"/>
  <c r="L1359" i="9"/>
  <c r="I1359" i="9"/>
  <c r="E1250" i="9"/>
  <c r="Q1250" i="9" s="1"/>
  <c r="S1250" i="9" s="1"/>
  <c r="E1264" i="9"/>
  <c r="Q1264" i="9" s="1"/>
  <c r="S1264" i="9" s="1"/>
  <c r="F1268" i="9"/>
  <c r="G1268" i="9" s="1"/>
  <c r="F1290" i="9"/>
  <c r="G1290" i="9" s="1"/>
  <c r="F1296" i="9"/>
  <c r="G1296" i="9" s="1"/>
  <c r="F1313" i="9"/>
  <c r="G1313" i="9" s="1"/>
  <c r="F1331" i="9"/>
  <c r="G1331" i="9" s="1"/>
  <c r="F1337" i="9"/>
  <c r="G1337" i="9" s="1"/>
  <c r="E1347" i="9"/>
  <c r="Q1347" i="9" s="1"/>
  <c r="S1347" i="9" s="1"/>
  <c r="F1351" i="9"/>
  <c r="G1351" i="9" s="1"/>
  <c r="F1437" i="9"/>
  <c r="G1437" i="9" s="1"/>
  <c r="E1132" i="9"/>
  <c r="Q1132" i="9" s="1"/>
  <c r="S1132" i="9" s="1"/>
  <c r="E1147" i="9"/>
  <c r="Q1147" i="9" s="1"/>
  <c r="S1147" i="9" s="1"/>
  <c r="E1164" i="9"/>
  <c r="Q1164" i="9" s="1"/>
  <c r="S1164" i="9" s="1"/>
  <c r="E1183" i="9"/>
  <c r="Q1183" i="9" s="1"/>
  <c r="S1183" i="9" s="1"/>
  <c r="E1205" i="9"/>
  <c r="E1240" i="9"/>
  <c r="Q1240" i="9" s="1"/>
  <c r="S1240" i="9" s="1"/>
  <c r="E1268" i="9"/>
  <c r="Q1268" i="9" s="1"/>
  <c r="S1268" i="9" s="1"/>
  <c r="E1287" i="9"/>
  <c r="Q1287" i="9" s="1"/>
  <c r="S1287" i="9" s="1"/>
  <c r="E1358" i="9"/>
  <c r="Q1358" i="9" s="1"/>
  <c r="S1358" i="9" s="1"/>
  <c r="F1369" i="9"/>
  <c r="G1369" i="9" s="1"/>
  <c r="F1190" i="9"/>
  <c r="G1190" i="9" s="1"/>
  <c r="D29" i="3" s="1"/>
  <c r="E1213" i="9"/>
  <c r="E1222" i="9"/>
  <c r="Q1222" i="9" s="1"/>
  <c r="S1222" i="9" s="1"/>
  <c r="E1224" i="9"/>
  <c r="Q1224" i="9" s="1"/>
  <c r="S1224" i="9" s="1"/>
  <c r="E1254" i="9"/>
  <c r="E1256" i="9"/>
  <c r="Q1256" i="9" s="1"/>
  <c r="S1256" i="9" s="1"/>
  <c r="F1322" i="9"/>
  <c r="G1322" i="9" s="1"/>
  <c r="E1356" i="9"/>
  <c r="Q1356" i="9" s="1"/>
  <c r="S1356" i="9" s="1"/>
  <c r="F1358" i="9"/>
  <c r="G1358" i="9" s="1"/>
  <c r="F1470" i="9"/>
  <c r="G1470" i="9" s="1"/>
  <c r="E1247" i="9"/>
  <c r="Q1247" i="9" s="1"/>
  <c r="S1247" i="9" s="1"/>
  <c r="E1248" i="9"/>
  <c r="Q1248" i="9" s="1"/>
  <c r="S1248" i="9" s="1"/>
  <c r="F1254" i="9"/>
  <c r="G1254" i="9" s="1"/>
  <c r="D35" i="3" s="1"/>
  <c r="F1256" i="9"/>
  <c r="G1256" i="9" s="1"/>
  <c r="F1259" i="9"/>
  <c r="G1259" i="9" s="1"/>
  <c r="E1270" i="9"/>
  <c r="Q1270" i="9" s="1"/>
  <c r="S1270" i="9" s="1"/>
  <c r="F1299" i="9"/>
  <c r="G1299" i="9" s="1"/>
  <c r="E1322" i="9"/>
  <c r="Q1322" i="9" s="1"/>
  <c r="S1322" i="9" s="1"/>
  <c r="E1325" i="9"/>
  <c r="Q1325" i="9" s="1"/>
  <c r="S1325" i="9" s="1"/>
  <c r="F1338" i="9"/>
  <c r="G1338" i="9" s="1"/>
  <c r="F1353" i="9"/>
  <c r="G1353" i="9" s="1"/>
  <c r="F1360" i="9"/>
  <c r="G1360" i="9" s="1"/>
  <c r="F1362" i="9"/>
  <c r="G1362" i="9" s="1"/>
  <c r="F1377" i="9"/>
  <c r="G1377" i="9" s="1"/>
  <c r="F1414" i="9"/>
  <c r="G1414" i="9" s="1"/>
  <c r="F1248" i="9"/>
  <c r="G1248" i="9" s="1"/>
  <c r="F1267" i="9"/>
  <c r="G1267" i="9" s="1"/>
  <c r="F1270" i="9"/>
  <c r="G1270" i="9" s="1"/>
  <c r="E1275" i="9"/>
  <c r="Q1275" i="9" s="1"/>
  <c r="S1275" i="9" s="1"/>
  <c r="E1299" i="9"/>
  <c r="Q1299" i="9" s="1"/>
  <c r="S1299" i="9" s="1"/>
  <c r="E1302" i="9"/>
  <c r="Q1302" i="9" s="1"/>
  <c r="S1302" i="9" s="1"/>
  <c r="E1310" i="9"/>
  <c r="Q1310" i="9" s="1"/>
  <c r="S1310" i="9" s="1"/>
  <c r="F1318" i="9"/>
  <c r="G1318" i="9" s="1"/>
  <c r="F1324" i="9"/>
  <c r="G1324" i="9" s="1"/>
  <c r="F1325" i="9"/>
  <c r="G1325" i="9" s="1"/>
  <c r="F1449" i="9"/>
  <c r="G1449" i="9" s="1"/>
  <c r="F1468" i="9"/>
  <c r="G1468" i="9" s="1"/>
  <c r="E1111" i="9"/>
  <c r="Q1111" i="9" s="1"/>
  <c r="S1111" i="9" s="1"/>
  <c r="E1119" i="9"/>
  <c r="E1156" i="9"/>
  <c r="Q1156" i="9" s="1"/>
  <c r="S1156" i="9" s="1"/>
  <c r="E1208" i="9"/>
  <c r="Q1208" i="9" s="1"/>
  <c r="S1208" i="9" s="1"/>
  <c r="E1211" i="9"/>
  <c r="Q1211" i="9" s="1"/>
  <c r="S1211" i="9" s="1"/>
  <c r="E1244" i="9"/>
  <c r="Q1244" i="9" s="1"/>
  <c r="S1244" i="9" s="1"/>
  <c r="E1262" i="9"/>
  <c r="Q1262" i="9" s="1"/>
  <c r="S1262" i="9" s="1"/>
  <c r="E1281" i="9"/>
  <c r="Q1281" i="9" s="1"/>
  <c r="S1281" i="9" s="1"/>
  <c r="F1294" i="9"/>
  <c r="G1294" i="9" s="1"/>
  <c r="F1302" i="9"/>
  <c r="G1302" i="9" s="1"/>
  <c r="F1320" i="9"/>
  <c r="G1320" i="9" s="1"/>
  <c r="F1376" i="9"/>
  <c r="G1376" i="9" s="1"/>
  <c r="F1347" i="9"/>
  <c r="G1347" i="9" s="1"/>
  <c r="E1387" i="9"/>
  <c r="Q1387" i="9" s="1"/>
  <c r="S1387" i="9" s="1"/>
  <c r="F1394" i="9"/>
  <c r="G1394" i="9" s="1"/>
  <c r="M1408" i="9"/>
  <c r="K1408" i="9"/>
  <c r="J1408" i="9"/>
  <c r="R1408" i="9" s="1"/>
  <c r="I1408" i="9"/>
  <c r="N1408" i="9"/>
  <c r="L1408" i="9"/>
  <c r="F1429" i="9"/>
  <c r="G1429" i="9" s="1"/>
  <c r="F1435" i="9"/>
  <c r="G1435" i="9" s="1"/>
  <c r="N1447" i="9"/>
  <c r="M1447" i="9"/>
  <c r="L1447" i="9"/>
  <c r="K1447" i="9"/>
  <c r="J1447" i="9"/>
  <c r="I1447" i="9"/>
  <c r="E1153" i="9"/>
  <c r="E1172" i="9"/>
  <c r="E1179" i="9"/>
  <c r="Q1179" i="9" s="1"/>
  <c r="S1179" i="9" s="1"/>
  <c r="E1212" i="9"/>
  <c r="Q1212" i="9" s="1"/>
  <c r="S1212" i="9" s="1"/>
  <c r="E1249" i="9"/>
  <c r="Q1249" i="9" s="1"/>
  <c r="S1249" i="9" s="1"/>
  <c r="E1283" i="9"/>
  <c r="Q1283" i="9" s="1"/>
  <c r="S1283" i="9" s="1"/>
  <c r="E1337" i="9"/>
  <c r="Q1337" i="9" s="1"/>
  <c r="S1337" i="9" s="1"/>
  <c r="E1341" i="9"/>
  <c r="E1355" i="9"/>
  <c r="Q1355" i="9" s="1"/>
  <c r="S1355" i="9" s="1"/>
  <c r="F1386" i="9"/>
  <c r="G1386" i="9" s="1"/>
  <c r="F1391" i="9"/>
  <c r="G1391" i="9" s="1"/>
  <c r="E1409" i="9"/>
  <c r="Q1409" i="9" s="1"/>
  <c r="S1409" i="9" s="1"/>
  <c r="E1414" i="9"/>
  <c r="Q1414" i="9" s="1"/>
  <c r="S1414" i="9" s="1"/>
  <c r="F1424" i="9"/>
  <c r="G1424" i="9" s="1"/>
  <c r="F1455" i="9"/>
  <c r="G1455" i="9" s="1"/>
  <c r="E1142" i="9"/>
  <c r="Q1142" i="9" s="1"/>
  <c r="S1142" i="9" s="1"/>
  <c r="E1267" i="9"/>
  <c r="E1276" i="9"/>
  <c r="Q1276" i="9" s="1"/>
  <c r="S1276" i="9" s="1"/>
  <c r="E1282" i="9"/>
  <c r="Q1282" i="9" s="1"/>
  <c r="S1282" i="9" s="1"/>
  <c r="E1294" i="9"/>
  <c r="Q1294" i="9" s="1"/>
  <c r="S1294" i="9" s="1"/>
  <c r="E1304" i="9"/>
  <c r="Q1304" i="9" s="1"/>
  <c r="S1304" i="9" s="1"/>
  <c r="E1441" i="9"/>
  <c r="F1304" i="9"/>
  <c r="G1304" i="9" s="1"/>
  <c r="E1316" i="9"/>
  <c r="Q1316" i="9" s="1"/>
  <c r="S1316" i="9" s="1"/>
  <c r="E1330" i="9"/>
  <c r="Q1330" i="9" s="1"/>
  <c r="S1330" i="9" s="1"/>
  <c r="E1335" i="9"/>
  <c r="Q1335" i="9" s="1"/>
  <c r="S1335" i="9" s="1"/>
  <c r="E1350" i="9"/>
  <c r="Q1350" i="9" s="1"/>
  <c r="S1350" i="9" s="1"/>
  <c r="F1378" i="9"/>
  <c r="G1378" i="9" s="1"/>
  <c r="F1379" i="9"/>
  <c r="G1379" i="9" s="1"/>
  <c r="F1412" i="9"/>
  <c r="G1412" i="9" s="1"/>
  <c r="F1441" i="9"/>
  <c r="G1441" i="9" s="1"/>
  <c r="F1453" i="9"/>
  <c r="G1453" i="9" s="1"/>
  <c r="D56" i="3" s="1"/>
  <c r="E1307" i="9"/>
  <c r="Q1307" i="9" s="1"/>
  <c r="S1307" i="9" s="1"/>
  <c r="E1312" i="9"/>
  <c r="Q1312" i="9" s="1"/>
  <c r="S1312" i="9" s="1"/>
  <c r="F1316" i="9"/>
  <c r="G1316" i="9" s="1"/>
  <c r="E1318" i="9"/>
  <c r="Q1318" i="9" s="1"/>
  <c r="S1318" i="9" s="1"/>
  <c r="E1326" i="9"/>
  <c r="Q1326" i="9" s="1"/>
  <c r="S1326" i="9" s="1"/>
  <c r="F1330" i="9"/>
  <c r="G1330" i="9" s="1"/>
  <c r="F1335" i="9"/>
  <c r="G1335" i="9" s="1"/>
  <c r="F1350" i="9"/>
  <c r="G1350" i="9" s="1"/>
  <c r="E1361" i="9"/>
  <c r="Q1361" i="9" s="1"/>
  <c r="S1361" i="9" s="1"/>
  <c r="F1371" i="9"/>
  <c r="G1371" i="9" s="1"/>
  <c r="E1378" i="9"/>
  <c r="F1388" i="9"/>
  <c r="G1388" i="9" s="1"/>
  <c r="F1425" i="9"/>
  <c r="G1425" i="9" s="1"/>
  <c r="E1428" i="9"/>
  <c r="Q1428" i="9" s="1"/>
  <c r="S1428" i="9" s="1"/>
  <c r="F1464" i="9"/>
  <c r="G1464" i="9" s="1"/>
  <c r="E1288" i="9"/>
  <c r="Q1288" i="9" s="1"/>
  <c r="S1288" i="9" s="1"/>
  <c r="E1320" i="9"/>
  <c r="Q1320" i="9" s="1"/>
  <c r="S1320" i="9" s="1"/>
  <c r="E1338" i="9"/>
  <c r="F1361" i="9"/>
  <c r="G1361" i="9" s="1"/>
  <c r="F1363" i="9"/>
  <c r="G1363" i="9" s="1"/>
  <c r="E1385" i="9"/>
  <c r="Q1385" i="9" s="1"/>
  <c r="S1385" i="9" s="1"/>
  <c r="E1388" i="9"/>
  <c r="Q1388" i="9" s="1"/>
  <c r="S1388" i="9" s="1"/>
  <c r="E1390" i="9"/>
  <c r="Q1390" i="9" s="1"/>
  <c r="S1390" i="9" s="1"/>
  <c r="E1425" i="9"/>
  <c r="Q1425" i="9" s="1"/>
  <c r="S1425" i="9" s="1"/>
  <c r="F1428" i="9"/>
  <c r="G1428" i="9" s="1"/>
  <c r="F1385" i="9"/>
  <c r="G1385" i="9" s="1"/>
  <c r="F1390" i="9"/>
  <c r="G1390" i="9" s="1"/>
  <c r="F1404" i="9"/>
  <c r="G1404" i="9" s="1"/>
  <c r="C15" i="3" s="1"/>
  <c r="E1407" i="9"/>
  <c r="Q1407" i="9" s="1"/>
  <c r="S1407" i="9" s="1"/>
  <c r="E1416" i="9"/>
  <c r="Q1416" i="9" s="1"/>
  <c r="S1416" i="9" s="1"/>
  <c r="E1434" i="9"/>
  <c r="Q1434" i="9" s="1"/>
  <c r="S1434" i="9" s="1"/>
  <c r="F1448" i="9"/>
  <c r="G1448" i="9" s="1"/>
  <c r="F1452" i="9"/>
  <c r="G1452" i="9" s="1"/>
  <c r="E1461" i="9"/>
  <c r="F1427" i="9"/>
  <c r="G1427" i="9" s="1"/>
  <c r="F1434" i="9"/>
  <c r="G1434" i="9" s="1"/>
  <c r="E1448" i="9"/>
  <c r="Q1448" i="9" s="1"/>
  <c r="S1448" i="9" s="1"/>
  <c r="F1461" i="9"/>
  <c r="G1461" i="9" s="1"/>
  <c r="E1315" i="9"/>
  <c r="Q1315" i="9" s="1"/>
  <c r="S1315" i="9" s="1"/>
  <c r="E1324" i="9"/>
  <c r="Q1324" i="9" s="1"/>
  <c r="S1324" i="9" s="1"/>
  <c r="E1328" i="9"/>
  <c r="Q1328" i="9" s="1"/>
  <c r="S1328" i="9" s="1"/>
  <c r="F1349" i="9"/>
  <c r="G1349" i="9" s="1"/>
  <c r="F1356" i="9"/>
  <c r="G1356" i="9" s="1"/>
  <c r="F1367" i="9"/>
  <c r="G1367" i="9" s="1"/>
  <c r="E1384" i="9"/>
  <c r="Q1384" i="9" s="1"/>
  <c r="S1384" i="9" s="1"/>
  <c r="F1401" i="9"/>
  <c r="G1401" i="9" s="1"/>
  <c r="F1426" i="9"/>
  <c r="G1426" i="9" s="1"/>
  <c r="D54" i="3" s="1"/>
  <c r="E1432" i="9"/>
  <c r="F1442" i="9"/>
  <c r="G1442" i="9" s="1"/>
  <c r="E1349" i="9"/>
  <c r="E1372" i="9"/>
  <c r="E1377" i="9"/>
  <c r="Q1377" i="9" s="1"/>
  <c r="S1377" i="9" s="1"/>
  <c r="E1401" i="9"/>
  <c r="E1426" i="9"/>
  <c r="E1442" i="9"/>
  <c r="F1456" i="9"/>
  <c r="G1456" i="9" s="1"/>
  <c r="E1397" i="9"/>
  <c r="Q1397" i="9" s="1"/>
  <c r="S1397" i="9" s="1"/>
  <c r="E1411" i="9"/>
  <c r="Q1411" i="9" s="1"/>
  <c r="S1411" i="9" s="1"/>
  <c r="E1421" i="9"/>
  <c r="E1427" i="9"/>
  <c r="Q1427" i="9" s="1"/>
  <c r="S1427" i="9" s="1"/>
  <c r="E1443" i="9"/>
  <c r="Q1443" i="9" s="1"/>
  <c r="S1443" i="9" s="1"/>
  <c r="E1351" i="9"/>
  <c r="Q1351" i="9" s="1"/>
  <c r="S1351" i="9" s="1"/>
  <c r="E1360" i="9"/>
  <c r="Q1360" i="9" s="1"/>
  <c r="S1360" i="9" s="1"/>
  <c r="E1366" i="9"/>
  <c r="Q1366" i="9" s="1"/>
  <c r="S1366" i="9" s="1"/>
  <c r="E1371" i="9"/>
  <c r="E1449" i="9"/>
  <c r="Q1449" i="9" s="1"/>
  <c r="S1449" i="9" s="1"/>
  <c r="E1453" i="9"/>
  <c r="E1471" i="9"/>
  <c r="Q1471" i="9" s="1"/>
  <c r="S1471" i="9" s="1"/>
  <c r="E1379" i="9"/>
  <c r="Q1379" i="9" s="1"/>
  <c r="S1379" i="9" s="1"/>
  <c r="E1389" i="9"/>
  <c r="Q1389" i="9" s="1"/>
  <c r="S1389" i="9" s="1"/>
  <c r="E1450" i="9"/>
  <c r="Q1450" i="9" s="1"/>
  <c r="S1450" i="9" s="1"/>
  <c r="E1466" i="9"/>
  <c r="F1466" i="9"/>
  <c r="G1466" i="9" s="1"/>
  <c r="E1468" i="9"/>
  <c r="Q1468" i="9" s="1"/>
  <c r="S1468" i="9" s="1"/>
  <c r="E1404" i="9"/>
  <c r="E1431" i="9"/>
  <c r="Q1431" i="9" s="1"/>
  <c r="S1431" i="9" s="1"/>
  <c r="E1437" i="9"/>
  <c r="Q1437" i="9" s="1"/>
  <c r="S1437" i="9" s="1"/>
  <c r="S1181" i="9" l="1"/>
  <c r="E30" i="3"/>
  <c r="E22" i="2"/>
  <c r="S1102" i="9"/>
  <c r="E37" i="3"/>
  <c r="S1269" i="9"/>
  <c r="E23" i="2"/>
  <c r="S1118" i="9"/>
  <c r="E21" i="2"/>
  <c r="S1108" i="9"/>
  <c r="I1286" i="9"/>
  <c r="J1286" i="9" s="1"/>
  <c r="R1286" i="9" s="1"/>
  <c r="N1286" i="9"/>
  <c r="M1286" i="9"/>
  <c r="L1286" i="9"/>
  <c r="K1286" i="9"/>
  <c r="C38" i="3"/>
  <c r="S1077" i="9"/>
  <c r="E17" i="2"/>
  <c r="D34" i="3"/>
  <c r="F10" i="3"/>
  <c r="N1157" i="9"/>
  <c r="M1157" i="9"/>
  <c r="K1157" i="9"/>
  <c r="L1157" i="9"/>
  <c r="J1157" i="9"/>
  <c r="I1157" i="9"/>
  <c r="C27" i="3"/>
  <c r="C7" i="3"/>
  <c r="F52" i="4"/>
  <c r="C18" i="3"/>
  <c r="N1341" i="9"/>
  <c r="J1341" i="9"/>
  <c r="M1341" i="9"/>
  <c r="L1341" i="9"/>
  <c r="K1341" i="9"/>
  <c r="I1341" i="9"/>
  <c r="C43" i="3"/>
  <c r="E13" i="3"/>
  <c r="C13" i="3"/>
  <c r="Q1097" i="9"/>
  <c r="B8" i="2"/>
  <c r="R1084" i="9"/>
  <c r="L50" i="5"/>
  <c r="D45" i="3"/>
  <c r="F13" i="3"/>
  <c r="C12" i="3"/>
  <c r="N1254" i="9"/>
  <c r="M1254" i="9"/>
  <c r="L1254" i="9"/>
  <c r="K1254" i="9"/>
  <c r="I1254" i="9"/>
  <c r="J1254" i="9" s="1"/>
  <c r="R1254" i="9" s="1"/>
  <c r="C35" i="3"/>
  <c r="M1096" i="9"/>
  <c r="L1096" i="9"/>
  <c r="K1096" i="9"/>
  <c r="I1096" i="9"/>
  <c r="J1096" i="9" s="1"/>
  <c r="R1096" i="9" s="1"/>
  <c r="N1096" i="9"/>
  <c r="E8" i="2"/>
  <c r="E11" i="2" s="1"/>
  <c r="C20" i="2"/>
  <c r="E18" i="6"/>
  <c r="F18" i="6" s="1"/>
  <c r="N38" i="5"/>
  <c r="H14" i="6" s="1"/>
  <c r="K14" i="6" s="1"/>
  <c r="N32" i="5"/>
  <c r="H8" i="6" s="1"/>
  <c r="K8" i="6" s="1"/>
  <c r="D77" i="4"/>
  <c r="K50" i="5"/>
  <c r="Q1421" i="9"/>
  <c r="B16" i="3"/>
  <c r="M50" i="5"/>
  <c r="D198" i="4"/>
  <c r="M1426" i="9"/>
  <c r="L1426" i="9"/>
  <c r="J1426" i="9"/>
  <c r="R1426" i="9" s="1"/>
  <c r="I1426" i="9"/>
  <c r="N1426" i="9"/>
  <c r="K1426" i="9"/>
  <c r="C54" i="3"/>
  <c r="M1420" i="9"/>
  <c r="L1420" i="9"/>
  <c r="K1420" i="9"/>
  <c r="I1420" i="9"/>
  <c r="J1420" i="9" s="1"/>
  <c r="R1420" i="9" s="1"/>
  <c r="N1420" i="9"/>
  <c r="E16" i="3"/>
  <c r="C52" i="3"/>
  <c r="Q1201" i="9"/>
  <c r="B9" i="3"/>
  <c r="D51" i="4"/>
  <c r="E20" i="5"/>
  <c r="C20" i="6" s="1"/>
  <c r="F20" i="6" s="1"/>
  <c r="F63" i="4"/>
  <c r="Q1152" i="9"/>
  <c r="B7" i="3"/>
  <c r="H7" i="6"/>
  <c r="Q1267" i="9"/>
  <c r="B11" i="3"/>
  <c r="N1401" i="9"/>
  <c r="M1401" i="9"/>
  <c r="K1401" i="9"/>
  <c r="L1401" i="9"/>
  <c r="I1401" i="9"/>
  <c r="J1401" i="9" s="1"/>
  <c r="R1401" i="9" s="1"/>
  <c r="E15" i="3"/>
  <c r="C49" i="3"/>
  <c r="M1378" i="9"/>
  <c r="L1378" i="9"/>
  <c r="K1378" i="9"/>
  <c r="I1378" i="9"/>
  <c r="J1378" i="9" s="1"/>
  <c r="R1378" i="9" s="1"/>
  <c r="N1378" i="9"/>
  <c r="C48" i="3"/>
  <c r="N1213" i="9"/>
  <c r="M1213" i="9"/>
  <c r="K1213" i="9"/>
  <c r="L1213" i="9"/>
  <c r="I1213" i="9"/>
  <c r="J1213" i="9" s="1"/>
  <c r="R1213" i="9" s="1"/>
  <c r="C33" i="3"/>
  <c r="R1359" i="9"/>
  <c r="Q1234" i="9"/>
  <c r="B10" i="3"/>
  <c r="N1123" i="9"/>
  <c r="M1123" i="9"/>
  <c r="L1123" i="9"/>
  <c r="K1123" i="9"/>
  <c r="J1123" i="9"/>
  <c r="I1123" i="9"/>
  <c r="C25" i="2"/>
  <c r="E9" i="2"/>
  <c r="C10" i="3"/>
  <c r="D78" i="4"/>
  <c r="N35" i="5"/>
  <c r="H11" i="6" s="1"/>
  <c r="K11" i="6" s="1"/>
  <c r="F8" i="2"/>
  <c r="Q1441" i="9"/>
  <c r="B17" i="3"/>
  <c r="H17" i="3" s="1"/>
  <c r="I1237" i="9"/>
  <c r="J1237" i="9" s="1"/>
  <c r="R1237" i="9" s="1"/>
  <c r="N1237" i="9"/>
  <c r="L1237" i="9"/>
  <c r="K1237" i="9"/>
  <c r="M1237" i="9"/>
  <c r="C34" i="3"/>
  <c r="E10" i="3"/>
  <c r="N44" i="5"/>
  <c r="H20" i="6" s="1"/>
  <c r="K20" i="6" s="1"/>
  <c r="D84" i="4"/>
  <c r="Q1371" i="9"/>
  <c r="B14" i="3"/>
  <c r="D58" i="3"/>
  <c r="F18" i="3"/>
  <c r="C14" i="3"/>
  <c r="C8" i="3"/>
  <c r="F9" i="3"/>
  <c r="D31" i="3"/>
  <c r="B50" i="5"/>
  <c r="C7" i="6"/>
  <c r="E69" i="4"/>
  <c r="F69" i="4" s="1"/>
  <c r="E36" i="4"/>
  <c r="F36" i="4" s="1"/>
  <c r="E58" i="4"/>
  <c r="F58" i="4" s="1"/>
  <c r="E47" i="4"/>
  <c r="F47" i="4" s="1"/>
  <c r="N34" i="5"/>
  <c r="H10" i="6" s="1"/>
  <c r="K10" i="6" s="1"/>
  <c r="K1442" i="9"/>
  <c r="J1442" i="9"/>
  <c r="R1442" i="9" s="1"/>
  <c r="I1442" i="9"/>
  <c r="N1442" i="9"/>
  <c r="L1442" i="9"/>
  <c r="M1442" i="9"/>
  <c r="E17" i="3"/>
  <c r="C55" i="3"/>
  <c r="Q1076" i="9"/>
  <c r="B7" i="2"/>
  <c r="F9" i="2"/>
  <c r="D23" i="2"/>
  <c r="S1246" i="9"/>
  <c r="E36" i="3"/>
  <c r="C17" i="3"/>
  <c r="Q1466" i="9"/>
  <c r="B18" i="3"/>
  <c r="K1372" i="9"/>
  <c r="N1372" i="9"/>
  <c r="L1372" i="9"/>
  <c r="M1372" i="9"/>
  <c r="I1372" i="9"/>
  <c r="J1372" i="9" s="1"/>
  <c r="R1372" i="9" s="1"/>
  <c r="E14" i="3"/>
  <c r="C46" i="3"/>
  <c r="D48" i="3"/>
  <c r="F14" i="3"/>
  <c r="Q1172" i="9"/>
  <c r="B8" i="3"/>
  <c r="H8" i="3" s="1"/>
  <c r="J1317" i="9"/>
  <c r="R1317" i="9" s="1"/>
  <c r="M1317" i="9"/>
  <c r="K1317" i="9"/>
  <c r="N1317" i="9"/>
  <c r="L1317" i="9"/>
  <c r="I1317" i="9"/>
  <c r="C42" i="3"/>
  <c r="E12" i="3"/>
  <c r="F16" i="3"/>
  <c r="D52" i="3"/>
  <c r="M1177" i="9"/>
  <c r="I1177" i="9"/>
  <c r="N1177" i="9"/>
  <c r="L1177" i="9"/>
  <c r="K1177" i="9"/>
  <c r="J1177" i="9"/>
  <c r="C28" i="3"/>
  <c r="E8" i="3"/>
  <c r="N37" i="5"/>
  <c r="H13" i="6" s="1"/>
  <c r="K13" i="6" s="1"/>
  <c r="N1349" i="9"/>
  <c r="M1349" i="9"/>
  <c r="L1349" i="9"/>
  <c r="K1349" i="9"/>
  <c r="I1349" i="9"/>
  <c r="J1349" i="9"/>
  <c r="C45" i="3"/>
  <c r="I1153" i="9"/>
  <c r="J1153" i="9" s="1"/>
  <c r="R1153" i="9" s="1"/>
  <c r="N1153" i="9"/>
  <c r="M1153" i="9"/>
  <c r="L1153" i="9"/>
  <c r="K1153" i="9"/>
  <c r="C25" i="3"/>
  <c r="E7" i="3"/>
  <c r="S1408" i="9"/>
  <c r="E51" i="3"/>
  <c r="C11" i="3"/>
  <c r="I1162" i="9"/>
  <c r="N1162" i="9"/>
  <c r="M1162" i="9"/>
  <c r="L1162" i="9"/>
  <c r="K1162" i="9"/>
  <c r="J1162" i="9"/>
  <c r="C26" i="3"/>
  <c r="D26" i="2"/>
  <c r="F10" i="2"/>
  <c r="Q1140" i="9"/>
  <c r="B10" i="2"/>
  <c r="H10" i="2" s="1"/>
  <c r="F7" i="3"/>
  <c r="D27" i="3"/>
  <c r="D97" i="4"/>
  <c r="N49" i="5"/>
  <c r="H25" i="6" s="1"/>
  <c r="K25" i="6" s="1"/>
  <c r="E11" i="5"/>
  <c r="C11" i="6" s="1"/>
  <c r="F11" i="6" s="1"/>
  <c r="C11" i="2"/>
  <c r="C16" i="3"/>
  <c r="N1279" i="9"/>
  <c r="M1279" i="9"/>
  <c r="K1279" i="9"/>
  <c r="I1279" i="9"/>
  <c r="J1279" i="9" s="1"/>
  <c r="R1279" i="9" s="1"/>
  <c r="L1279" i="9"/>
  <c r="E11" i="3"/>
  <c r="C39" i="3"/>
  <c r="N45" i="5"/>
  <c r="H21" i="6" s="1"/>
  <c r="K21" i="6" s="1"/>
  <c r="E14" i="5"/>
  <c r="C14" i="6" s="1"/>
  <c r="D48" i="4"/>
  <c r="D55" i="3"/>
  <c r="F17" i="3"/>
  <c r="N1432" i="9"/>
  <c r="M1432" i="9"/>
  <c r="L1432" i="9"/>
  <c r="K1432" i="9"/>
  <c r="I1432" i="9"/>
  <c r="J1432" i="9" s="1"/>
  <c r="R1432" i="9" s="1"/>
  <c r="C53" i="3"/>
  <c r="N1461" i="9"/>
  <c r="M1461" i="9"/>
  <c r="L1461" i="9"/>
  <c r="K1461" i="9"/>
  <c r="I1461" i="9"/>
  <c r="J1461" i="9" s="1"/>
  <c r="R1461" i="9" s="1"/>
  <c r="C58" i="3"/>
  <c r="E18" i="3"/>
  <c r="Q1119" i="9"/>
  <c r="B9" i="2"/>
  <c r="H9" i="2" s="1"/>
  <c r="Q1301" i="9"/>
  <c r="B12" i="3"/>
  <c r="H12" i="3" s="1"/>
  <c r="L1220" i="9"/>
  <c r="J1220" i="9"/>
  <c r="N1220" i="9"/>
  <c r="M1220" i="9"/>
  <c r="K1220" i="9"/>
  <c r="I1220" i="9"/>
  <c r="C32" i="3"/>
  <c r="R1137" i="9"/>
  <c r="R1129" i="9"/>
  <c r="N42" i="5"/>
  <c r="H18" i="6" s="1"/>
  <c r="K18" i="6" s="1"/>
  <c r="Q1404" i="9"/>
  <c r="B15" i="3"/>
  <c r="H15" i="3" s="1"/>
  <c r="D42" i="3"/>
  <c r="F12" i="3"/>
  <c r="D39" i="3"/>
  <c r="F11" i="3"/>
  <c r="N1190" i="9"/>
  <c r="J1190" i="9"/>
  <c r="R1190" i="9" s="1"/>
  <c r="I1190" i="9"/>
  <c r="M1190" i="9"/>
  <c r="L1190" i="9"/>
  <c r="K1190" i="9"/>
  <c r="C29" i="3"/>
  <c r="C50" i="5"/>
  <c r="R1305" i="9"/>
  <c r="N36" i="5"/>
  <c r="H12" i="6" s="1"/>
  <c r="K12" i="6" s="1"/>
  <c r="D90" i="4"/>
  <c r="E8" i="5"/>
  <c r="C8" i="6" s="1"/>
  <c r="F8" i="6" s="1"/>
  <c r="D66" i="4"/>
  <c r="F93" i="4"/>
  <c r="N1453" i="9"/>
  <c r="M1453" i="9"/>
  <c r="L1453" i="9"/>
  <c r="K1453" i="9"/>
  <c r="I1453" i="9"/>
  <c r="J1453" i="9" s="1"/>
  <c r="R1453" i="9" s="1"/>
  <c r="C56" i="3"/>
  <c r="E60" i="4"/>
  <c r="F60" i="4" s="1"/>
  <c r="E49" i="4"/>
  <c r="F49" i="4" s="1"/>
  <c r="E71" i="4"/>
  <c r="F71" i="4" s="1"/>
  <c r="E38" i="4"/>
  <c r="F38" i="4" s="1"/>
  <c r="F15" i="3"/>
  <c r="D49" i="3"/>
  <c r="Q1338" i="9"/>
  <c r="B13" i="3"/>
  <c r="H13" i="3" s="1"/>
  <c r="R1447" i="9"/>
  <c r="M1205" i="9"/>
  <c r="K1205" i="9"/>
  <c r="I1205" i="9"/>
  <c r="J1205" i="9" s="1"/>
  <c r="R1205" i="9" s="1"/>
  <c r="N1205" i="9"/>
  <c r="L1205" i="9"/>
  <c r="E9" i="3"/>
  <c r="C31" i="3"/>
  <c r="F8" i="3"/>
  <c r="D30" i="3"/>
  <c r="E181" i="4"/>
  <c r="F181" i="4" s="1"/>
  <c r="E148" i="4"/>
  <c r="F148" i="4" s="1"/>
  <c r="E115" i="4"/>
  <c r="F115" i="4" s="1"/>
  <c r="E82" i="4"/>
  <c r="F82" i="4" s="1"/>
  <c r="E104" i="4"/>
  <c r="F104" i="4" s="1"/>
  <c r="E170" i="4"/>
  <c r="F170" i="4" s="1"/>
  <c r="E137" i="4"/>
  <c r="F137" i="4" s="1"/>
  <c r="E203" i="4"/>
  <c r="F203" i="4" s="1"/>
  <c r="E192" i="4"/>
  <c r="F192" i="4" s="1"/>
  <c r="E159" i="4"/>
  <c r="F159" i="4" s="1"/>
  <c r="E126" i="4"/>
  <c r="F126" i="4" s="1"/>
  <c r="E93" i="4"/>
  <c r="C26" i="5"/>
  <c r="E74" i="4"/>
  <c r="F74" i="4" s="1"/>
  <c r="E41" i="4"/>
  <c r="F41" i="4" s="1"/>
  <c r="E63" i="4"/>
  <c r="E52" i="4"/>
  <c r="E20" i="2" l="1"/>
  <c r="G8" i="2"/>
  <c r="C13" i="1" s="1"/>
  <c r="S1096" i="9"/>
  <c r="S1153" i="9"/>
  <c r="E25" i="3"/>
  <c r="S1279" i="9"/>
  <c r="E39" i="3"/>
  <c r="G11" i="3"/>
  <c r="C25" i="1" s="1"/>
  <c r="G16" i="3"/>
  <c r="C30" i="1" s="1"/>
  <c r="E52" i="3"/>
  <c r="S1420" i="9"/>
  <c r="E33" i="3"/>
  <c r="S1213" i="9"/>
  <c r="E48" i="3"/>
  <c r="S1378" i="9"/>
  <c r="E58" i="3"/>
  <c r="G18" i="3"/>
  <c r="C32" i="1" s="1"/>
  <c r="S1461" i="9"/>
  <c r="S1432" i="9"/>
  <c r="E53" i="3"/>
  <c r="E35" i="3"/>
  <c r="S1254" i="9"/>
  <c r="G14" i="3"/>
  <c r="C28" i="1" s="1"/>
  <c r="E46" i="3"/>
  <c r="S1372" i="9"/>
  <c r="S1237" i="9"/>
  <c r="E34" i="3"/>
  <c r="G10" i="3"/>
  <c r="C24" i="1" s="1"/>
  <c r="E38" i="3"/>
  <c r="S1286" i="9"/>
  <c r="E31" i="3"/>
  <c r="S1205" i="9"/>
  <c r="S1401" i="9"/>
  <c r="G15" i="3"/>
  <c r="C29" i="1" s="1"/>
  <c r="E49" i="3"/>
  <c r="S1453" i="9"/>
  <c r="E56" i="3"/>
  <c r="E50" i="4"/>
  <c r="F50" i="4" s="1"/>
  <c r="E72" i="4"/>
  <c r="F72" i="4" s="1"/>
  <c r="E39" i="4"/>
  <c r="F39" i="4" s="1"/>
  <c r="E61" i="4"/>
  <c r="F61" i="4" s="1"/>
  <c r="S1172" i="9"/>
  <c r="D8" i="3"/>
  <c r="S1441" i="9"/>
  <c r="D17" i="3"/>
  <c r="H10" i="3"/>
  <c r="H26" i="6"/>
  <c r="K7" i="6"/>
  <c r="H16" i="3"/>
  <c r="E26" i="2"/>
  <c r="G10" i="2"/>
  <c r="C15" i="1" s="1"/>
  <c r="S1137" i="9"/>
  <c r="N50" i="5"/>
  <c r="F48" i="4"/>
  <c r="E45" i="4"/>
  <c r="F45" i="4" s="1"/>
  <c r="E34" i="4"/>
  <c r="F34" i="4" s="1"/>
  <c r="E67" i="4"/>
  <c r="F67" i="4" s="1"/>
  <c r="E56" i="4"/>
  <c r="F56" i="4" s="1"/>
  <c r="H14" i="3"/>
  <c r="F11" i="2"/>
  <c r="S1234" i="9"/>
  <c r="D10" i="3"/>
  <c r="H7" i="3"/>
  <c r="B19" i="3"/>
  <c r="S1421" i="9"/>
  <c r="D16" i="3"/>
  <c r="R1341" i="9"/>
  <c r="E59" i="4"/>
  <c r="F59" i="4" s="1"/>
  <c r="E48" i="4"/>
  <c r="E14" i="6"/>
  <c r="E26" i="6" s="1"/>
  <c r="E70" i="4"/>
  <c r="F70" i="4" s="1"/>
  <c r="E37" i="4"/>
  <c r="F37" i="4" s="1"/>
  <c r="E196" i="4"/>
  <c r="F196" i="4" s="1"/>
  <c r="E130" i="4"/>
  <c r="F130" i="4" s="1"/>
  <c r="E97" i="4"/>
  <c r="F97" i="4" s="1"/>
  <c r="E185" i="4"/>
  <c r="F185" i="4" s="1"/>
  <c r="E152" i="4"/>
  <c r="F152" i="4" s="1"/>
  <c r="E119" i="4"/>
  <c r="F119" i="4" s="1"/>
  <c r="E174" i="4"/>
  <c r="F174" i="4" s="1"/>
  <c r="E86" i="4"/>
  <c r="F86" i="4" s="1"/>
  <c r="E141" i="4"/>
  <c r="F141" i="4" s="1"/>
  <c r="E108" i="4"/>
  <c r="F108" i="4" s="1"/>
  <c r="E207" i="4"/>
  <c r="F207" i="4" s="1"/>
  <c r="E163" i="4"/>
  <c r="F163" i="4" s="1"/>
  <c r="R1349" i="9"/>
  <c r="E57" i="3"/>
  <c r="S1447" i="9"/>
  <c r="E206" i="4"/>
  <c r="F206" i="4" s="1"/>
  <c r="E195" i="4"/>
  <c r="F195" i="4" s="1"/>
  <c r="E162" i="4"/>
  <c r="F162" i="4" s="1"/>
  <c r="E129" i="4"/>
  <c r="F129" i="4" s="1"/>
  <c r="E96" i="4"/>
  <c r="F96" i="4" s="1"/>
  <c r="E118" i="4"/>
  <c r="F118" i="4" s="1"/>
  <c r="E184" i="4"/>
  <c r="F184" i="4" s="1"/>
  <c r="E151" i="4"/>
  <c r="F151" i="4" s="1"/>
  <c r="E85" i="4"/>
  <c r="F85" i="4" s="1"/>
  <c r="E173" i="4"/>
  <c r="F173" i="4" s="1"/>
  <c r="E107" i="4"/>
  <c r="F107" i="4" s="1"/>
  <c r="E140" i="4"/>
  <c r="F140" i="4" s="1"/>
  <c r="S1371" i="9"/>
  <c r="D14" i="3"/>
  <c r="E144" i="4"/>
  <c r="F144" i="4" s="1"/>
  <c r="E111" i="4"/>
  <c r="F111" i="4" s="1"/>
  <c r="E78" i="4"/>
  <c r="E166" i="4"/>
  <c r="F166" i="4" s="1"/>
  <c r="E199" i="4"/>
  <c r="F199" i="4" s="1"/>
  <c r="E133" i="4"/>
  <c r="F133" i="4" s="1"/>
  <c r="E188" i="4"/>
  <c r="F188" i="4" s="1"/>
  <c r="E100" i="4"/>
  <c r="F100" i="4" s="1"/>
  <c r="E155" i="4"/>
  <c r="F155" i="4" s="1"/>
  <c r="E122" i="4"/>
  <c r="F122" i="4" s="1"/>
  <c r="E177" i="4"/>
  <c r="F177" i="4" s="1"/>
  <c r="E89" i="4"/>
  <c r="F89" i="4" s="1"/>
  <c r="S1359" i="9"/>
  <c r="E44" i="3"/>
  <c r="S1152" i="9"/>
  <c r="D7" i="3"/>
  <c r="F84" i="4"/>
  <c r="F78" i="4"/>
  <c r="S1466" i="9"/>
  <c r="D18" i="3"/>
  <c r="S1267" i="9"/>
  <c r="D11" i="3"/>
  <c r="H7" i="2"/>
  <c r="B11" i="2"/>
  <c r="E172" i="4"/>
  <c r="F172" i="4" s="1"/>
  <c r="E139" i="4"/>
  <c r="F139" i="4" s="1"/>
  <c r="E106" i="4"/>
  <c r="F106" i="4" s="1"/>
  <c r="E205" i="4"/>
  <c r="F205" i="4" s="1"/>
  <c r="E194" i="4"/>
  <c r="F194" i="4" s="1"/>
  <c r="E161" i="4"/>
  <c r="F161" i="4" s="1"/>
  <c r="E128" i="4"/>
  <c r="F128" i="4" s="1"/>
  <c r="E95" i="4"/>
  <c r="F95" i="4" s="1"/>
  <c r="E183" i="4"/>
  <c r="F183" i="4" s="1"/>
  <c r="E150" i="4"/>
  <c r="F150" i="4" s="1"/>
  <c r="E117" i="4"/>
  <c r="F117" i="4" s="1"/>
  <c r="E84" i="4"/>
  <c r="E88" i="4"/>
  <c r="F88" i="4" s="1"/>
  <c r="E176" i="4"/>
  <c r="F176" i="4" s="1"/>
  <c r="E143" i="4"/>
  <c r="F143" i="4" s="1"/>
  <c r="E110" i="4"/>
  <c r="F110" i="4" s="1"/>
  <c r="E77" i="4"/>
  <c r="F77" i="4" s="1"/>
  <c r="E198" i="4"/>
  <c r="F198" i="4" s="1"/>
  <c r="E132" i="4"/>
  <c r="F132" i="4" s="1"/>
  <c r="E165" i="4"/>
  <c r="F165" i="4" s="1"/>
  <c r="E99" i="4"/>
  <c r="F99" i="4" s="1"/>
  <c r="E187" i="4"/>
  <c r="F187" i="4" s="1"/>
  <c r="E121" i="4"/>
  <c r="F121" i="4" s="1"/>
  <c r="E154" i="4"/>
  <c r="F154" i="4" s="1"/>
  <c r="F19" i="3"/>
  <c r="S1076" i="9"/>
  <c r="D7" i="2"/>
  <c r="E26" i="5"/>
  <c r="E73" i="4"/>
  <c r="F73" i="4" s="1"/>
  <c r="E40" i="4"/>
  <c r="F40" i="4" s="1"/>
  <c r="E62" i="4"/>
  <c r="F62" i="4" s="1"/>
  <c r="E51" i="4"/>
  <c r="E191" i="4"/>
  <c r="F191" i="4" s="1"/>
  <c r="E158" i="4"/>
  <c r="F158" i="4" s="1"/>
  <c r="E125" i="4"/>
  <c r="F125" i="4" s="1"/>
  <c r="E92" i="4"/>
  <c r="F92" i="4" s="1"/>
  <c r="E180" i="4"/>
  <c r="F180" i="4" s="1"/>
  <c r="E147" i="4"/>
  <c r="F147" i="4" s="1"/>
  <c r="E114" i="4"/>
  <c r="F114" i="4" s="1"/>
  <c r="E81" i="4"/>
  <c r="F81" i="4" s="1"/>
  <c r="E169" i="4"/>
  <c r="F169" i="4" s="1"/>
  <c r="E136" i="4"/>
  <c r="F136" i="4" s="1"/>
  <c r="E202" i="4"/>
  <c r="F202" i="4" s="1"/>
  <c r="E103" i="4"/>
  <c r="F103" i="4" s="1"/>
  <c r="S1084" i="9"/>
  <c r="E19" i="2"/>
  <c r="G7" i="2"/>
  <c r="E19" i="3"/>
  <c r="C26" i="6"/>
  <c r="F7" i="6"/>
  <c r="F51" i="4"/>
  <c r="H8" i="2"/>
  <c r="C19" i="3"/>
  <c r="S1338" i="9"/>
  <c r="D13" i="3"/>
  <c r="E55" i="4"/>
  <c r="F55" i="4" s="1"/>
  <c r="E44" i="4"/>
  <c r="F44" i="4" s="1"/>
  <c r="E66" i="4"/>
  <c r="F66" i="4" s="1"/>
  <c r="E33" i="4"/>
  <c r="F33" i="4" s="1"/>
  <c r="S1097" i="9"/>
  <c r="D8" i="2"/>
  <c r="S1129" i="9"/>
  <c r="E24" i="2"/>
  <c r="S1317" i="9"/>
  <c r="E42" i="3"/>
  <c r="R1220" i="9"/>
  <c r="G9" i="3" s="1"/>
  <c r="C23" i="1" s="1"/>
  <c r="S1140" i="9"/>
  <c r="D10" i="2"/>
  <c r="F90" i="4"/>
  <c r="S1301" i="9"/>
  <c r="D12" i="3"/>
  <c r="E201" i="4"/>
  <c r="F201" i="4" s="1"/>
  <c r="E102" i="4"/>
  <c r="F102" i="4" s="1"/>
  <c r="E190" i="4"/>
  <c r="F190" i="4" s="1"/>
  <c r="E157" i="4"/>
  <c r="F157" i="4" s="1"/>
  <c r="E124" i="4"/>
  <c r="F124" i="4" s="1"/>
  <c r="E91" i="4"/>
  <c r="F91" i="4" s="1"/>
  <c r="E146" i="4"/>
  <c r="F146" i="4" s="1"/>
  <c r="E179" i="4"/>
  <c r="F179" i="4" s="1"/>
  <c r="E113" i="4"/>
  <c r="F113" i="4" s="1"/>
  <c r="E80" i="4"/>
  <c r="F80" i="4" s="1"/>
  <c r="E168" i="4"/>
  <c r="F168" i="4" s="1"/>
  <c r="E135" i="4"/>
  <c r="F135" i="4" s="1"/>
  <c r="R1123" i="9"/>
  <c r="H9" i="3"/>
  <c r="E54" i="3"/>
  <c r="S1426" i="9"/>
  <c r="R1157" i="9"/>
  <c r="E200" i="4"/>
  <c r="F200" i="4" s="1"/>
  <c r="E167" i="4"/>
  <c r="F167" i="4" s="1"/>
  <c r="E134" i="4"/>
  <c r="F134" i="4" s="1"/>
  <c r="E101" i="4"/>
  <c r="F101" i="4" s="1"/>
  <c r="E189" i="4"/>
  <c r="F189" i="4" s="1"/>
  <c r="E90" i="4"/>
  <c r="E156" i="4"/>
  <c r="F156" i="4" s="1"/>
  <c r="E123" i="4"/>
  <c r="F123" i="4" s="1"/>
  <c r="E178" i="4"/>
  <c r="F178" i="4" s="1"/>
  <c r="E145" i="4"/>
  <c r="F145" i="4" s="1"/>
  <c r="E79" i="4"/>
  <c r="F79" i="4" s="1"/>
  <c r="E112" i="4"/>
  <c r="F112" i="4" s="1"/>
  <c r="S1305" i="9"/>
  <c r="G12" i="3"/>
  <c r="C26" i="1" s="1"/>
  <c r="E40" i="3"/>
  <c r="S1404" i="9"/>
  <c r="D15" i="3"/>
  <c r="S1119" i="9"/>
  <c r="D9" i="2"/>
  <c r="S1201" i="9"/>
  <c r="D9" i="3"/>
  <c r="G17" i="3"/>
  <c r="C31" i="1" s="1"/>
  <c r="E55" i="3"/>
  <c r="S1442" i="9"/>
  <c r="S1190" i="9"/>
  <c r="E29" i="3"/>
  <c r="E116" i="4"/>
  <c r="F116" i="4" s="1"/>
  <c r="E83" i="4"/>
  <c r="F83" i="4" s="1"/>
  <c r="E171" i="4"/>
  <c r="F171" i="4" s="1"/>
  <c r="E138" i="4"/>
  <c r="F138" i="4" s="1"/>
  <c r="E204" i="4"/>
  <c r="F204" i="4" s="1"/>
  <c r="E105" i="4"/>
  <c r="F105" i="4" s="1"/>
  <c r="E160" i="4"/>
  <c r="F160" i="4" s="1"/>
  <c r="E193" i="4"/>
  <c r="F193" i="4" s="1"/>
  <c r="E127" i="4"/>
  <c r="F127" i="4" s="1"/>
  <c r="E94" i="4"/>
  <c r="F94" i="4" s="1"/>
  <c r="E149" i="4"/>
  <c r="F149" i="4" s="1"/>
  <c r="E182" i="4"/>
  <c r="F182" i="4" s="1"/>
  <c r="R1162" i="9"/>
  <c r="R1177" i="9"/>
  <c r="H18" i="3"/>
  <c r="H11" i="3"/>
  <c r="B14" i="1" l="1"/>
  <c r="B29" i="1"/>
  <c r="I15" i="3"/>
  <c r="B30" i="1"/>
  <c r="I16" i="3"/>
  <c r="I8" i="2"/>
  <c r="B13" i="1"/>
  <c r="H19" i="3"/>
  <c r="E43" i="3"/>
  <c r="G13" i="3"/>
  <c r="C27" i="1" s="1"/>
  <c r="S1341" i="9"/>
  <c r="F26" i="6"/>
  <c r="E32" i="4"/>
  <c r="F32" i="4" s="1"/>
  <c r="C7" i="4" s="1"/>
  <c r="E54" i="4"/>
  <c r="F54" i="4" s="1"/>
  <c r="C9" i="4" s="1"/>
  <c r="D14" i="1" s="1"/>
  <c r="E43" i="4"/>
  <c r="F43" i="4" s="1"/>
  <c r="C8" i="4" s="1"/>
  <c r="D13" i="1" s="1"/>
  <c r="E65" i="4"/>
  <c r="F65" i="4" s="1"/>
  <c r="C10" i="4" s="1"/>
  <c r="D15" i="1" s="1"/>
  <c r="S1157" i="9"/>
  <c r="E27" i="3"/>
  <c r="B26" i="1"/>
  <c r="I12" i="3"/>
  <c r="I17" i="3"/>
  <c r="B31" i="1"/>
  <c r="I10" i="3"/>
  <c r="B24" i="1"/>
  <c r="E28" i="3"/>
  <c r="G8" i="3"/>
  <c r="C22" i="1" s="1"/>
  <c r="S1177" i="9"/>
  <c r="I14" i="3"/>
  <c r="B28" i="1"/>
  <c r="E26" i="3"/>
  <c r="S1162" i="9"/>
  <c r="S1123" i="9"/>
  <c r="E25" i="2"/>
  <c r="G9" i="2"/>
  <c r="C14" i="1" s="1"/>
  <c r="G7" i="3"/>
  <c r="B32" i="1"/>
  <c r="I18" i="3"/>
  <c r="I13" i="3"/>
  <c r="B27" i="1"/>
  <c r="E27" i="1" s="1"/>
  <c r="E45" i="3"/>
  <c r="S1349" i="9"/>
  <c r="B22" i="1"/>
  <c r="B15" i="1"/>
  <c r="E15" i="1" s="1"/>
  <c r="I10" i="2"/>
  <c r="B12" i="1"/>
  <c r="D11" i="2"/>
  <c r="B6" i="1" s="1"/>
  <c r="I7" i="2"/>
  <c r="H11" i="2"/>
  <c r="I7" i="3"/>
  <c r="B21" i="1"/>
  <c r="D19" i="3"/>
  <c r="B7" i="1" s="1"/>
  <c r="K26" i="6"/>
  <c r="E186" i="4"/>
  <c r="F186" i="4" s="1"/>
  <c r="C25" i="4" s="1"/>
  <c r="D31" i="1" s="1"/>
  <c r="E153" i="4"/>
  <c r="F153" i="4" s="1"/>
  <c r="C22" i="4" s="1"/>
  <c r="D28" i="1" s="1"/>
  <c r="E120" i="4"/>
  <c r="F120" i="4" s="1"/>
  <c r="C19" i="4" s="1"/>
  <c r="D25" i="1" s="1"/>
  <c r="E87" i="4"/>
  <c r="F87" i="4" s="1"/>
  <c r="C16" i="4" s="1"/>
  <c r="D22" i="1" s="1"/>
  <c r="E175" i="4"/>
  <c r="F175" i="4" s="1"/>
  <c r="C24" i="4" s="1"/>
  <c r="D30" i="1" s="1"/>
  <c r="E142" i="4"/>
  <c r="F142" i="4" s="1"/>
  <c r="C21" i="4" s="1"/>
  <c r="D27" i="1" s="1"/>
  <c r="E76" i="4"/>
  <c r="F76" i="4" s="1"/>
  <c r="C15" i="4" s="1"/>
  <c r="E109" i="4"/>
  <c r="F109" i="4" s="1"/>
  <c r="C18" i="4" s="1"/>
  <c r="D24" i="1" s="1"/>
  <c r="E164" i="4"/>
  <c r="F164" i="4" s="1"/>
  <c r="C23" i="4" s="1"/>
  <c r="D29" i="1" s="1"/>
  <c r="E197" i="4"/>
  <c r="F197" i="4" s="1"/>
  <c r="C26" i="4" s="1"/>
  <c r="D32" i="1" s="1"/>
  <c r="E131" i="4"/>
  <c r="F131" i="4" s="1"/>
  <c r="C20" i="4" s="1"/>
  <c r="D26" i="1" s="1"/>
  <c r="E98" i="4"/>
  <c r="F98" i="4" s="1"/>
  <c r="C17" i="4" s="1"/>
  <c r="D23" i="1" s="1"/>
  <c r="B25" i="1"/>
  <c r="E25" i="1" s="1"/>
  <c r="I11" i="3"/>
  <c r="G11" i="2"/>
  <c r="C6" i="1" s="1"/>
  <c r="C12" i="1"/>
  <c r="C16" i="1" s="1"/>
  <c r="B23" i="1"/>
  <c r="I9" i="3"/>
  <c r="S1220" i="9"/>
  <c r="E32" i="3"/>
  <c r="C11" i="4" l="1"/>
  <c r="D6" i="1" s="1"/>
  <c r="D12" i="1"/>
  <c r="D16" i="1" s="1"/>
  <c r="G19" i="3"/>
  <c r="C7" i="1" s="1"/>
  <c r="C21" i="1"/>
  <c r="C33" i="1" s="1"/>
  <c r="E13" i="1"/>
  <c r="E26" i="1"/>
  <c r="C27" i="4"/>
  <c r="D7" i="1" s="1"/>
  <c r="D21" i="1"/>
  <c r="D33" i="1" s="1"/>
  <c r="B16" i="1"/>
  <c r="E12" i="1"/>
  <c r="E16" i="1" s="1"/>
  <c r="E30" i="1"/>
  <c r="I19" i="3"/>
  <c r="E31" i="1"/>
  <c r="E6" i="1"/>
  <c r="I8" i="3"/>
  <c r="E28" i="1"/>
  <c r="E29" i="1"/>
  <c r="E23" i="1"/>
  <c r="E22" i="1"/>
  <c r="E14" i="1"/>
  <c r="E7" i="1"/>
  <c r="E24" i="1"/>
  <c r="B33" i="1"/>
  <c r="E21" i="1"/>
  <c r="E32" i="1"/>
  <c r="I9" i="2"/>
  <c r="I11" i="2" s="1"/>
  <c r="E33" i="1" l="1"/>
</calcChain>
</file>

<file path=xl/sharedStrings.xml><?xml version="1.0" encoding="utf-8"?>
<sst xmlns="http://schemas.openxmlformats.org/spreadsheetml/2006/main" count="5666" uniqueCount="292">
  <si>
    <t>Presupuesto de transporte · Codiagro</t>
  </si>
  <si>
    <t>Cuatrimestre septiembre–diciembre 2026 y ejercicio completo 2027 · nacional, Canarias y exportación.</t>
  </si>
  <si>
    <t>Período</t>
  </si>
  <si>
    <t>Resto nacional (€)</t>
  </si>
  <si>
    <t>Canarias (€)</t>
  </si>
  <si>
    <t>Exportación (€)</t>
  </si>
  <si>
    <t>Total (€)</t>
  </si>
  <si>
    <t>2026 · sep-dic</t>
  </si>
  <si>
    <t>2027 · ene-dic</t>
  </si>
  <si>
    <t>2026 · septiembre a diciembre</t>
  </si>
  <si>
    <t>Mes</t>
  </si>
  <si>
    <t>Sep</t>
  </si>
  <si>
    <t>Oct</t>
  </si>
  <si>
    <t>Nov</t>
  </si>
  <si>
    <t>Dic</t>
  </si>
  <si>
    <t>TOTAL 2026</t>
  </si>
  <si>
    <t>2027 · enero a diciembre</t>
  </si>
  <si>
    <t>Ene</t>
  </si>
  <si>
    <t>Feb</t>
  </si>
  <si>
    <t>Mar</t>
  </si>
  <si>
    <t>Abr</t>
  </si>
  <si>
    <t>May</t>
  </si>
  <si>
    <t>Jun</t>
  </si>
  <si>
    <t>Jul</t>
  </si>
  <si>
    <t>Ago</t>
  </si>
  <si>
    <t>TOTAL 2027</t>
  </si>
  <si>
    <t>Base del resumen: 2026 incluye septiembre estimado en exportación; 2027 nacional/Canarias aplica +10 % y exportación usa el importe del archivo adjunto.</t>
  </si>
  <si>
    <t>La oferta de Canarias no fija T-3 embarque ni gastos de destino; los importes mostrados no los incluyen.</t>
  </si>
  <si>
    <t>Presupuesto transporte nacional 2026</t>
  </si>
  <si>
    <t>Septiembre a diciembre · Campillo y Canarias separados · importe sin T-3 ni gastos de destino</t>
  </si>
  <si>
    <t>Resto kg</t>
  </si>
  <si>
    <t>Resto palets</t>
  </si>
  <si>
    <t>Campillo (€)</t>
  </si>
  <si>
    <t>Canarias kg</t>
  </si>
  <si>
    <t>Canarias palets</t>
  </si>
  <si>
    <t>Sealine (€)</t>
  </si>
  <si>
    <t>Total kg</t>
  </si>
  <si>
    <t>TOTAL</t>
  </si>
  <si>
    <t>Canarias · coste por cliente y mes</t>
  </si>
  <si>
    <t>Cliente / destino</t>
  </si>
  <si>
    <t>Kilos</t>
  </si>
  <si>
    <t>Palets</t>
  </si>
  <si>
    <t>AGROQUIMICAS DRAGO S.L. · La Montañeta, El Calero</t>
  </si>
  <si>
    <t>FITOSANITARIOS DRAGO S.L.U · Santa Cruz de Tenerife</t>
  </si>
  <si>
    <t>CABRERA MORALES FRANCISCO · Santa Cruz de La Palma</t>
  </si>
  <si>
    <t>Presupuesto transporte nacional 2027</t>
  </si>
  <si>
    <t>Enero a diciembre · tarifas 2026 + 10 % (4,5 % IPC y 5,5 % combustible) · sin T-3 ni destino</t>
  </si>
  <si>
    <t>Costes mensuales de exportación</t>
  </si>
  <si>
    <t>Septiembre de 2026 añadido desde previsión de ventas; el resto se distribuye según coste anual por país del archivo adjunto.</t>
  </si>
  <si>
    <t>La documentación fija de 54 € de Arabia Saudí se asigna a octubre para reconciliar el total 2026 del origen.</t>
  </si>
  <si>
    <t>Año</t>
  </si>
  <si>
    <t>Coste (€)</t>
  </si>
  <si>
    <t>País</t>
  </si>
  <si>
    <t>Envíos</t>
  </si>
  <si>
    <t>Coste/envío (€)</t>
  </si>
  <si>
    <t>ARABIA SAUDÍ</t>
  </si>
  <si>
    <t>AZERBAIYÁN</t>
  </si>
  <si>
    <t>COSTA RICA</t>
  </si>
  <si>
    <t>DOMINICANA, REPÚBLICA</t>
  </si>
  <si>
    <t>ECUADOR (incluidas las Islas Galápagos)</t>
  </si>
  <si>
    <t>EGIPTO</t>
  </si>
  <si>
    <t>ITALIA</t>
  </si>
  <si>
    <t>LÍBANO</t>
  </si>
  <si>
    <t>NETHERLANS</t>
  </si>
  <si>
    <t>PANAMÁ</t>
  </si>
  <si>
    <t>TURQUÍA</t>
  </si>
  <si>
    <t>Envíos previstos de exportación</t>
  </si>
  <si>
    <t>Por país y mes · máximo 21 palets por envío · España excluida</t>
  </si>
  <si>
    <t>2026 · octubre a diciembre</t>
  </si>
  <si>
    <t>Total 2026</t>
  </si>
  <si>
    <t>CHILE</t>
  </si>
  <si>
    <t>COLOMBIA</t>
  </si>
  <si>
    <t>GEORGIA</t>
  </si>
  <si>
    <t>GRECIA</t>
  </si>
  <si>
    <t>MARRUECOS</t>
  </si>
  <si>
    <t>PERÚ</t>
  </si>
  <si>
    <t>RUMANÍA</t>
  </si>
  <si>
    <t>SERBIA</t>
  </si>
  <si>
    <t>Total 2027</t>
  </si>
  <si>
    <t>Resumen de envíos por país</t>
  </si>
  <si>
    <t>2026: solo octubre–diciembre · 2027: año completo · palets equivalentes antes de redondear</t>
  </si>
  <si>
    <t>Palets 2026</t>
  </si>
  <si>
    <t>Envíos 2026</t>
  </si>
  <si>
    <t>Coste Transporte</t>
  </si>
  <si>
    <t>Documentacion</t>
  </si>
  <si>
    <t>Total coste 2026</t>
  </si>
  <si>
    <t>Palets 2027</t>
  </si>
  <si>
    <t>Envíos 2027</t>
  </si>
  <si>
    <t>Total coste</t>
  </si>
  <si>
    <t>EXW</t>
  </si>
  <si>
    <t>Base de unidades y cálculo de palets</t>
  </si>
  <si>
    <t>Agregado por año, mes, país y formato; unidades tomadas del archivo de previsión.</t>
  </si>
  <si>
    <t>Mes n.º</t>
  </si>
  <si>
    <t>Formato</t>
  </si>
  <si>
    <t>Unidades</t>
  </si>
  <si>
    <t>Líneas origen</t>
  </si>
  <si>
    <t>Capacidad/palet</t>
  </si>
  <si>
    <t>Palets equiv.</t>
  </si>
  <si>
    <t>L1000</t>
  </si>
  <si>
    <t>L5</t>
  </si>
  <si>
    <t>kg1</t>
  </si>
  <si>
    <t>kg20</t>
  </si>
  <si>
    <t>kg5</t>
  </si>
  <si>
    <t>L1</t>
  </si>
  <si>
    <t>L20</t>
  </si>
  <si>
    <t>L200</t>
  </si>
  <si>
    <t>kg1000</t>
  </si>
  <si>
    <t>Supuestos de paletización y envíos</t>
  </si>
  <si>
    <t>Ámbito</t>
  </si>
  <si>
    <t>Exportación (todos los países salvo España)</t>
  </si>
  <si>
    <t>Palets máximos por envío</t>
  </si>
  <si>
    <t>Período 2026</t>
  </si>
  <si>
    <t>Octubre a diciembre</t>
  </si>
  <si>
    <t>Período 2027</t>
  </si>
  <si>
    <t>Enero a diciembre</t>
  </si>
  <si>
    <t>Capacidad</t>
  </si>
  <si>
    <t>Unidad</t>
  </si>
  <si>
    <t>Base del supuesto</t>
  </si>
  <si>
    <t>L/palet</t>
  </si>
  <si>
    <t>Exportación, envase de 1 L</t>
  </si>
  <si>
    <t>Exportación, envase de 5 L</t>
  </si>
  <si>
    <t>Exportación, envase de 20 L</t>
  </si>
  <si>
    <t>Capacidad de la tabla fotografiada</t>
  </si>
  <si>
    <t>Un contenedor de 1.000 L por palet</t>
  </si>
  <si>
    <t>kg/palet</t>
  </si>
  <si>
    <t>Nacional y exportación, envase sólido de 1 kg</t>
  </si>
  <si>
    <t>Exportación, envase sólido de 5 kg</t>
  </si>
  <si>
    <t>Exportación, envase sólido de 20 kg</t>
  </si>
  <si>
    <t>Un envase de 1.000 kg por palet</t>
  </si>
  <si>
    <t>Reglas de cálculo</t>
  </si>
  <si>
    <t>1. Conversión</t>
  </si>
  <si>
    <t>Las unidades de cada formato se dividen por su capacidad de palet.</t>
  </si>
  <si>
    <t>2. Consolidación</t>
  </si>
  <si>
    <t>Se suman palets equivalentes de productos distintos por país y mes.</t>
  </si>
  <si>
    <t>3. Envíos</t>
  </si>
  <si>
    <t>Se redondea hacia arriba palets equivalentes / 21 en cada país y mes.</t>
  </si>
  <si>
    <t>4. Resumen anual</t>
  </si>
  <si>
    <t>Suma de envíos mensuales. Nunca se redondea el agregado anual.</t>
  </si>
  <si>
    <t>5. Clasificación</t>
  </si>
  <si>
    <t>Litros o kilos según descripción y código del artículo del Excel.</t>
  </si>
  <si>
    <t>6. Formatos especiales</t>
  </si>
  <si>
    <t>Las nuevas capacidades de 5 y 20 kg se aplican también a FLOW y BR-59.</t>
  </si>
  <si>
    <t>7. Coste</t>
  </si>
  <si>
    <t>Sin tarifa por país ni escala de precios: se calculan envíos, no euros.</t>
  </si>
  <si>
    <t>Coste transporte en 2026 el recibido o cargado este año</t>
  </si>
  <si>
    <t>Coste transporte en 2027 , es un 10% sobre el del 2026, por inflacion y incremento del combustible.</t>
  </si>
  <si>
    <t>Coste documentacion: 54 euros certificado de origen + 50 euros envio medio documentacion courier, por envio que lo soliciten</t>
  </si>
  <si>
    <t>Coste por envio de documentos por la aplicación XCARGO - 75€ (Solo egipto)</t>
  </si>
  <si>
    <t>Coste envio a LEKKERBIO es una media 50%/50% del coste del envio a MEXICO y LOS ANGELES.</t>
  </si>
  <si>
    <t>Fuente de unidades</t>
  </si>
  <si>
    <t>Copia de Presupuesto_Prevision_2026_2027_V6_DEFINITIVO (002).xlsx</t>
  </si>
  <si>
    <t>Hoja de origen: Detalle Líneas Clasificadas; solo unidades no nulas de exportación.</t>
  </si>
  <si>
    <t>Bases del cálculo</t>
  </si>
  <si>
    <t>Arriba: unidades por cliente y formato; abajo: coste por cliente y mes. Valores originales de la previsión.</t>
  </si>
  <si>
    <t>Cliente</t>
  </si>
  <si>
    <t>Ruta</t>
  </si>
  <si>
    <t>Venta (€)</t>
  </si>
  <si>
    <t>Líneas</t>
  </si>
  <si>
    <t>Cap./palet</t>
  </si>
  <si>
    <t>ACTIV. PRODUC. Y COMERC. LA VEGUILLA, SL</t>
  </si>
  <si>
    <t>Resto nacional</t>
  </si>
  <si>
    <t>AGROGIMEDEL, S.L.U.</t>
  </si>
  <si>
    <t>AGRONEW FITO, S.L.</t>
  </si>
  <si>
    <t>AGROQUIMICAS DRAGO S.L.</t>
  </si>
  <si>
    <t>Canarias</t>
  </si>
  <si>
    <t>AGROREBOLLO, S.L.</t>
  </si>
  <si>
    <t>AGROSER BERNARDINO, S.L.</t>
  </si>
  <si>
    <t>AGROTRAPICHE, S.L.U</t>
  </si>
  <si>
    <t>AGROVEYCA,S.L</t>
  </si>
  <si>
    <t>AGRUPACION DE LABRADORES DEL POZUELO, SA</t>
  </si>
  <si>
    <t>ASESORAMIENTO TECNICO DE CULTIVOS, S.L.</t>
  </si>
  <si>
    <t>CABRERA MORALES FRANCISCO</t>
  </si>
  <si>
    <t>CAMPOEJIDO S.C.A.</t>
  </si>
  <si>
    <t>CODIMED EXPORT, S.L.</t>
  </si>
  <si>
    <t>COMERCIAL TÉCNICA FITOCARTHAGO, S.L.</t>
  </si>
  <si>
    <t>COOP.AGRIC. SAN ISIDRO S.C.A.</t>
  </si>
  <si>
    <t>FITOXENT S.C.L.V.</t>
  </si>
  <si>
    <t>kg5-FLOW</t>
  </si>
  <si>
    <t>GUIVARTO AGRICOLA, S.L.</t>
  </si>
  <si>
    <t>INIESTA DEL PINO DISTRIBUCIONES S.L.U</t>
  </si>
  <si>
    <t>SERVIAGRI´ 97, S.L.</t>
  </si>
  <si>
    <t>TRATAMIENTOS AGRICOLAS BRENES, S.L.</t>
  </si>
  <si>
    <t>FITOMURCIA S.L.</t>
  </si>
  <si>
    <t>FITOSANITARIOS DRAGO S.L.U</t>
  </si>
  <si>
    <t>ROMAROC PONIENTE, S.L.</t>
  </si>
  <si>
    <t>SUCA, S.C.A.</t>
  </si>
  <si>
    <t>VILLALTA SATIVUM, S.L.</t>
  </si>
  <si>
    <t>UNICOM SERVICIOS Y GESTION S.L.</t>
  </si>
  <si>
    <t>ECO-PONIENTE, S.L.U.</t>
  </si>
  <si>
    <t>HORTOFRUTICOLA COSTA DE ALMERÍA, S.L.</t>
  </si>
  <si>
    <t>AGROCAMP CANET S.L.</t>
  </si>
  <si>
    <t>AGROTÉCNICA DEL NORTE, S.L</t>
  </si>
  <si>
    <t>HORTOCAMPO, S.A.</t>
  </si>
  <si>
    <t>MUNDOHUERTO-CARMEN SOLAZ BLANCO</t>
  </si>
  <si>
    <t>AGRICOLA DEL JUCAR DE CUENCA, S.L.</t>
  </si>
  <si>
    <t>AGRITEC MEDINA, S.L.U.</t>
  </si>
  <si>
    <t>CAMP-ALT S.L.</t>
  </si>
  <si>
    <t>kg5-BR59</t>
  </si>
  <si>
    <t>COMERCIAL NANCLARES, S.L.</t>
  </si>
  <si>
    <t>PLANTALDIA SLU</t>
  </si>
  <si>
    <t>TRANSPORTES CAMPILLO, S.A.</t>
  </si>
  <si>
    <t>ASOC. HORTICULTORES DE VILLA DEL PRADO</t>
  </si>
  <si>
    <t>BOSCO ABASCAL, S.L.</t>
  </si>
  <si>
    <t>CITAL, S.L.</t>
  </si>
  <si>
    <t>FRUITURE ADVISORS, S.L.</t>
  </si>
  <si>
    <t>MAJ AGROQUIMICOS S.L.</t>
  </si>
  <si>
    <t>MARTINEZ S.C.</t>
  </si>
  <si>
    <t>ANGEL FERRER, S.L.</t>
  </si>
  <si>
    <t>CARDONA Y CELMA, S.L.</t>
  </si>
  <si>
    <t>T.J AGRICULTURA S.L.</t>
  </si>
  <si>
    <t>BARRIOS LÓPEZ, JUSTO</t>
  </si>
  <si>
    <t>BELLO ALIAGA ERNESTO</t>
  </si>
  <si>
    <t>HORTICOLAS Y PATATAS HNOS. MORAN, S.A.T.</t>
  </si>
  <si>
    <t>SAFIAGRO, S.A.</t>
  </si>
  <si>
    <t>AGRÍCOLA DE GOZÓN S.L</t>
  </si>
  <si>
    <t>BARAHONA HERNAEZ, DAVID</t>
  </si>
  <si>
    <t>BARDENAS COMERCIAL, S.L.</t>
  </si>
  <si>
    <t>COMERCIAL NORTE AGROCAMPO, S.L.</t>
  </si>
  <si>
    <t>EL PINAR BERRIES, S.L.</t>
  </si>
  <si>
    <t>FRUCTUL, SRL</t>
  </si>
  <si>
    <t>SERVICIOS AGRÍCOLAS CAMPO RIO, S.L.</t>
  </si>
  <si>
    <t>Palets eq.</t>
  </si>
  <si>
    <t>Palets enteros</t>
  </si>
  <si>
    <t>Valor (€)</t>
  </si>
  <si>
    <t>Flete €/kg</t>
  </si>
  <si>
    <t>Flete (€)</t>
  </si>
  <si>
    <t>Recogida (€)</t>
  </si>
  <si>
    <t>IMO (€)</t>
  </si>
  <si>
    <t>GRI (€)</t>
  </si>
  <si>
    <t>Fuel (€)</t>
  </si>
  <si>
    <t>DUA (€)</t>
  </si>
  <si>
    <t>Seguro (€)</t>
  </si>
  <si>
    <t>Supuestos de transporte nacional y Canarias</t>
  </si>
  <si>
    <t>Entradas editables en amarillo · 2027 utiliza la previsión de volúmenes y un incremento de tarifa del 10 %.</t>
  </si>
  <si>
    <t>Densidad de líquidos (kg/L)</t>
  </si>
  <si>
    <t>Ámbito 2026</t>
  </si>
  <si>
    <t>Septiembre a diciembre</t>
  </si>
  <si>
    <t>Incremento de costes 2027</t>
  </si>
  <si>
    <t>IPC presupuestado</t>
  </si>
  <si>
    <t>Incremento por combustible</t>
  </si>
  <si>
    <t>Coste base Campillo 2026 (€)</t>
  </si>
  <si>
    <t>Kilos de referencia Campillo 2026</t>
  </si>
  <si>
    <t>Coste Campillo por kg (€)</t>
  </si>
  <si>
    <t>Unidades de palet 2026</t>
  </si>
  <si>
    <t>Coste Campillo por palet (€)</t>
  </si>
  <si>
    <t>Criterio nacional</t>
  </si>
  <si>
    <t>Tabla nacional: envase 1 L</t>
  </si>
  <si>
    <t>Tabla nacional: envase 5 L</t>
  </si>
  <si>
    <t>Tabla nacional: envase 20 L</t>
  </si>
  <si>
    <t>Tabla nacional: bidón 200 L</t>
  </si>
  <si>
    <t>Envase sólido de 1 kg, nacional y exportación</t>
  </si>
  <si>
    <t>Tabla nacional: envase 5 kg</t>
  </si>
  <si>
    <t>Tabla nacional: envase 20 kg</t>
  </si>
  <si>
    <t>FLOW / Fitokontrol, 5 kg</t>
  </si>
  <si>
    <t>kg20-FLOW</t>
  </si>
  <si>
    <t>FLOW, 20 kg</t>
  </si>
  <si>
    <t>BR-59, 5 kg</t>
  </si>
  <si>
    <t>kg20-BR59</t>
  </si>
  <si>
    <t>BR-59, 20 kg; capacidad especial aplicada</t>
  </si>
  <si>
    <t>Tramo de kg por expedición</t>
  </si>
  <si>
    <t>Drago €/kg</t>
  </si>
  <si>
    <t>Cabrera €/kg</t>
  </si>
  <si>
    <t>Hasta 2.000</t>
  </si>
  <si>
    <t>2.000 a 5.000</t>
  </si>
  <si>
    <t>Más de 5.000</t>
  </si>
  <si>
    <t>Flete mínimo por expedición</t>
  </si>
  <si>
    <t>Recogida €/kg</t>
  </si>
  <si>
    <t>Recogida mínima por expedición (€)</t>
  </si>
  <si>
    <t>Recargo IMO €/kg</t>
  </si>
  <si>
    <t>GRI €/kg</t>
  </si>
  <si>
    <t>Emergency Fuel €/kg</t>
  </si>
  <si>
    <t>DUA origen €/expedición (€)</t>
  </si>
  <si>
    <t>Seguro sobre valor de venta</t>
  </si>
  <si>
    <t>Seguro mínimo por expedición (€)</t>
  </si>
  <si>
    <t>Relación de volumen (kg/m³)</t>
  </si>
  <si>
    <t>Criterios y alcance</t>
  </si>
  <si>
    <t>Rutas</t>
  </si>
  <si>
    <t>Resto nacional por Campillo; los tres clientes Drago/Cabrera por Sealine.</t>
  </si>
  <si>
    <t>Los sólidos conservan kg; líquidos × 1,18 kg/L.</t>
  </si>
  <si>
    <t>Se suman formatos por cliente y mes; el total se redondea hacia arriba.</t>
  </si>
  <si>
    <t>Costes 2026</t>
  </si>
  <si>
    <t>Campillo: coste medio base por kg. Sealine: una expedición por cliente y mes.</t>
  </si>
  <si>
    <t>Costes 2027</t>
  </si>
  <si>
    <t>Tarifa base 2026 aplicada al volumen 2027, después × (1 + IPC + combustible).</t>
  </si>
  <si>
    <t>Seguro</t>
  </si>
  <si>
    <t>0,45 % del valor previsto de venta como aproximación al valor asegurado.</t>
  </si>
  <si>
    <t>Conceptos excluidos</t>
  </si>
  <si>
    <t>T-3 embarque sin importe; gastos de destino, volumen facturable y otros extras no disponibles.</t>
  </si>
  <si>
    <t>Validez</t>
  </si>
  <si>
    <t>Tarifas de Campillo y Sealine aportadas válidas hasta 31/12/2026.</t>
  </si>
  <si>
    <t>Origen</t>
  </si>
  <si>
    <t>Previsión de ventas 2026–2027; tarifa Palletways 2026; oferta Sealine CANLCL00612.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</si>
</sst>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\ &quot;€&quot;"/>
    <numFmt numFmtId="166" formatCode="0.0%"/>
  </numFmts>
  <fonts count="4">
    <font>
      <sz val="11"/>
      <name val="Carlito"/>
    </font>
    <font>
      <b/>
      <sz val="10"/>
      <color rgb="FFFFFFFF"/>
      <name val="Arial"/>
    </font>
    <font>
      <b/>
      <sz val="10"/>
      <color rgb="FF18354F"/>
      <name val="Arial"/>
    </font>
    <font>
      <b/>
      <sz val="14"/>
      <color rgb="FF18354F"/>
      <name val="Arial"/>
    </font>
  </fonts>
  <fills count="5">
    <fill>
      <patternFill patternType="none"/>
    </fill>
    <fill>
      <patternFill patternType="gray125"/>
    </fill>
    <fill>
      <patternFill patternType="solid">
        <fgColor rgb="FF18354F"/>
      </patternFill>
    </fill>
    <fill>
      <patternFill patternType="solid">
        <fgColor rgb="FFE8F0F5"/>
      </patternFill>
    </fill>
    <fill>
      <patternFill patternType="solid">
        <fgColor rgb="FFFFF1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64" fontId="0" fillId="0" borderId="0" xfId="0" applyNumberFormat="1"/>
    <xf numFmtId="164" fontId="2" fillId="3" borderId="0" xfId="0" applyNumberFormat="1" applyFont="1" applyFill="1"/>
    <xf numFmtId="165" fontId="0" fillId="0" borderId="0" xfId="0" applyNumberFormat="1"/>
    <xf numFmtId="165" fontId="2" fillId="3" borderId="0" xfId="0" applyNumberFormat="1" applyFont="1" applyFill="1"/>
    <xf numFmtId="4" fontId="0" fillId="0" borderId="0" xfId="0" applyNumberFormat="1"/>
    <xf numFmtId="4" fontId="2" fillId="3" borderId="0" xfId="0" applyNumberFormat="1" applyFont="1" applyFill="1"/>
    <xf numFmtId="0" fontId="0" fillId="4" borderId="0" xfId="0" applyFill="1"/>
    <xf numFmtId="166" fontId="0" fillId="0" borderId="0" xfId="0" applyNumberFormat="1"/>
    <xf numFmtId="166" fontId="0" fillId="4" borderId="0" xfId="0" applyNumberFormat="1" applyFill="1"/>
    <xf numFmtId="10" fontId="0" fillId="4" borderId="0" xfId="0" applyNumberForma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7"/>
  <sheetViews>
    <sheetView tabSelected="1" workbookViewId="0">
      <pane ySplit="5" topLeftCell="A6" activePane="bottomLeft" state="frozen"/>
      <selection pane="bottomLeft"/>
    </sheetView>
  </sheetViews>
  <sheetFormatPr baseColWidth="10" defaultColWidth="8.6640625" defaultRowHeight="14"/>
  <cols>
    <col min="1" max="1" width="28" customWidth="1"/>
    <col min="2" max="5" width="22" customWidth="1"/>
  </cols>
  <sheetData>
    <row r="2" spans="1:5" ht="18">
      <c r="A2" s="3" t="s">
        <v>0</v>
      </c>
    </row>
    <row r="3" spans="1:5">
      <c r="A3" t="s">
        <v>1</v>
      </c>
    </row>
    <row r="5" spans="1: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>
      <c r="A6" t="s">
        <v>7</v>
      </c>
      <c r="B6" s="6">
        <f>'Nacional 2026'!D11</f>
        <v>31199.837166248271</v>
      </c>
      <c r="C6" s="6">
        <f>'Nacional 2026'!G11</f>
        <v>22275.214812778599</v>
      </c>
      <c r="D6" s="6">
        <f>'Export · costes'!C11</f>
        <v>97236</v>
      </c>
      <c r="E6" s="6">
        <f>SUM(B6:D6)</f>
        <v>150711.05197902687</v>
      </c>
    </row>
    <row r="7" spans="1:5">
      <c r="A7" t="s">
        <v>8</v>
      </c>
      <c r="B7" s="6">
        <f>'Nacional 2027'!D19</f>
        <v>166472.15003389833</v>
      </c>
      <c r="C7" s="6">
        <f>'Nacional 2027'!G19</f>
        <v>79198.29134717604</v>
      </c>
      <c r="D7" s="6">
        <f>'Export · costes'!C27</f>
        <v>305223.3</v>
      </c>
      <c r="E7" s="6">
        <f>SUM(B7:D7)</f>
        <v>550893.7413810743</v>
      </c>
    </row>
    <row r="8" spans="1:5">
      <c r="B8" s="6"/>
      <c r="C8" s="6"/>
      <c r="D8" s="6"/>
      <c r="E8" s="6"/>
    </row>
    <row r="9" spans="1:5">
      <c r="B9" s="6"/>
      <c r="C9" s="6"/>
      <c r="D9" s="6"/>
      <c r="E9" s="6"/>
    </row>
    <row r="10" spans="1:5">
      <c r="A10" s="2" t="s">
        <v>9</v>
      </c>
      <c r="B10" s="7"/>
      <c r="C10" s="7"/>
      <c r="D10" s="7"/>
      <c r="E10" s="7"/>
    </row>
    <row r="11" spans="1:5">
      <c r="A11" s="1" t="s">
        <v>10</v>
      </c>
      <c r="B11" s="14" t="s">
        <v>3</v>
      </c>
      <c r="C11" s="14" t="s">
        <v>4</v>
      </c>
      <c r="D11" s="14" t="s">
        <v>5</v>
      </c>
      <c r="E11" s="14" t="s">
        <v>6</v>
      </c>
    </row>
    <row r="12" spans="1:5">
      <c r="A12" t="s">
        <v>11</v>
      </c>
      <c r="B12" s="6">
        <f>'Nacional 2026'!D7</f>
        <v>6434.5324159130714</v>
      </c>
      <c r="C12" s="6">
        <f>'Nacional 2026'!G7</f>
        <v>2450.1089804277444</v>
      </c>
      <c r="D12" s="6">
        <f>'Export · costes'!C7</f>
        <v>16253</v>
      </c>
      <c r="E12" s="6">
        <f>SUM(B12:D12)</f>
        <v>25137.641396340816</v>
      </c>
    </row>
    <row r="13" spans="1:5">
      <c r="A13" t="s">
        <v>12</v>
      </c>
      <c r="B13" s="6">
        <f>'Nacional 2026'!D8</f>
        <v>10499.025071054903</v>
      </c>
      <c r="C13" s="6">
        <f>'Nacional 2026'!G8</f>
        <v>7990.5909922922383</v>
      </c>
      <c r="D13" s="6">
        <f>'Export · costes'!C8</f>
        <v>21379</v>
      </c>
      <c r="E13" s="6">
        <f>SUM(B13:D13)</f>
        <v>39868.616063347145</v>
      </c>
    </row>
    <row r="14" spans="1:5">
      <c r="A14" t="s">
        <v>13</v>
      </c>
      <c r="B14" s="6">
        <f>'Nacional 2026'!D9</f>
        <v>10212.344907729352</v>
      </c>
      <c r="C14" s="6">
        <f>'Nacional 2026'!G9</f>
        <v>11300.379109751939</v>
      </c>
      <c r="D14" s="6">
        <f>'Export · costes'!C9</f>
        <v>32454</v>
      </c>
      <c r="E14" s="6">
        <f>SUM(B14:D14)</f>
        <v>53966.724017481291</v>
      </c>
    </row>
    <row r="15" spans="1:5">
      <c r="A15" t="s">
        <v>14</v>
      </c>
      <c r="B15" s="6">
        <f>'Nacional 2026'!D10</f>
        <v>4053.934771550948</v>
      </c>
      <c r="C15" s="6">
        <f>'Nacional 2026'!G10</f>
        <v>534.13573030667476</v>
      </c>
      <c r="D15" s="6">
        <f>'Export · costes'!C10</f>
        <v>27150</v>
      </c>
      <c r="E15" s="6">
        <f>SUM(B15:D15)</f>
        <v>31738.070501857623</v>
      </c>
    </row>
    <row r="16" spans="1:5">
      <c r="A16" s="2" t="s">
        <v>15</v>
      </c>
      <c r="B16" s="7">
        <f>SUM(B12:B15)</f>
        <v>31199.837166248271</v>
      </c>
      <c r="C16" s="7">
        <f>SUM(C12:C15)</f>
        <v>22275.214812778599</v>
      </c>
      <c r="D16" s="7">
        <f>SUM(D12:D15)</f>
        <v>97236</v>
      </c>
      <c r="E16" s="7">
        <f>SUM(E12:E15)</f>
        <v>150711.05197902687</v>
      </c>
    </row>
    <row r="17" spans="1:5">
      <c r="B17" s="6"/>
      <c r="C17" s="6"/>
      <c r="D17" s="6"/>
      <c r="E17" s="6"/>
    </row>
    <row r="18" spans="1:5">
      <c r="B18" s="6"/>
      <c r="C18" s="6"/>
      <c r="D18" s="6"/>
      <c r="E18" s="6"/>
    </row>
    <row r="19" spans="1:5">
      <c r="A19" s="2" t="s">
        <v>16</v>
      </c>
      <c r="B19" s="7"/>
      <c r="C19" s="7"/>
      <c r="D19" s="7"/>
      <c r="E19" s="7"/>
    </row>
    <row r="20" spans="1:5">
      <c r="A20" s="1" t="s">
        <v>10</v>
      </c>
      <c r="B20" s="14" t="s">
        <v>3</v>
      </c>
      <c r="C20" s="14" t="s">
        <v>4</v>
      </c>
      <c r="D20" s="14" t="s">
        <v>5</v>
      </c>
      <c r="E20" s="14" t="s">
        <v>6</v>
      </c>
    </row>
    <row r="21" spans="1:5">
      <c r="A21" t="s">
        <v>17</v>
      </c>
      <c r="B21" s="6">
        <f>'Nacional 2027'!D7</f>
        <v>7016.8541849298881</v>
      </c>
      <c r="C21" s="6">
        <f>'Nacional 2027'!G7</f>
        <v>6088.1812852027751</v>
      </c>
      <c r="D21" s="6">
        <f>'Export · costes'!C15</f>
        <v>29809.200000000001</v>
      </c>
      <c r="E21" s="6">
        <f t="shared" ref="E21:E32" si="0">SUM(B21:D21)</f>
        <v>42914.235470132662</v>
      </c>
    </row>
    <row r="22" spans="1:5">
      <c r="A22" t="s">
        <v>18</v>
      </c>
      <c r="B22" s="6">
        <f>'Nacional 2027'!D8</f>
        <v>13619.901930409331</v>
      </c>
      <c r="C22" s="6">
        <f>'Nacional 2027'!G8</f>
        <v>5367.2581122599677</v>
      </c>
      <c r="D22" s="6">
        <f>'Export · costes'!C16</f>
        <v>21246.7</v>
      </c>
      <c r="E22" s="6">
        <f t="shared" si="0"/>
        <v>40233.860042669301</v>
      </c>
    </row>
    <row r="23" spans="1:5">
      <c r="A23" t="s">
        <v>19</v>
      </c>
      <c r="B23" s="6">
        <f>'Nacional 2027'!D9</f>
        <v>18607.540834615931</v>
      </c>
      <c r="C23" s="6">
        <f>'Nacional 2027'!G9</f>
        <v>7224.7246711996613</v>
      </c>
      <c r="D23" s="6">
        <f>'Export · costes'!C17</f>
        <v>19638.300000000003</v>
      </c>
      <c r="E23" s="6">
        <f t="shared" si="0"/>
        <v>45470.565505815597</v>
      </c>
    </row>
    <row r="24" spans="1:5">
      <c r="A24" t="s">
        <v>20</v>
      </c>
      <c r="B24" s="6">
        <f>'Nacional 2027'!D10</f>
        <v>22055.438840092542</v>
      </c>
      <c r="C24" s="6">
        <f>'Nacional 2027'!G10</f>
        <v>3712.0421097107128</v>
      </c>
      <c r="D24" s="6">
        <f>'Export · costes'!C18</f>
        <v>8004.2000000000007</v>
      </c>
      <c r="E24" s="6">
        <f t="shared" si="0"/>
        <v>33771.680949803253</v>
      </c>
    </row>
    <row r="25" spans="1:5">
      <c r="A25" t="s">
        <v>21</v>
      </c>
      <c r="B25" s="6">
        <f>'Nacional 2027'!D11</f>
        <v>18645.631330532076</v>
      </c>
      <c r="C25" s="6">
        <f>'Nacional 2027'!G11</f>
        <v>14028.953678247586</v>
      </c>
      <c r="D25" s="6">
        <f>'Export · costes'!C19</f>
        <v>38718.800000000003</v>
      </c>
      <c r="E25" s="6">
        <f t="shared" si="0"/>
        <v>71393.385008779675</v>
      </c>
    </row>
    <row r="26" spans="1:5">
      <c r="A26" t="s">
        <v>22</v>
      </c>
      <c r="B26" s="6">
        <f>'Nacional 2027'!D12</f>
        <v>20396.407153911521</v>
      </c>
      <c r="C26" s="6">
        <f>'Nacional 2027'!G12</f>
        <v>2584.4400148540499</v>
      </c>
      <c r="D26" s="6">
        <f>'Export · costes'!C20</f>
        <v>33492</v>
      </c>
      <c r="E26" s="6">
        <f t="shared" si="0"/>
        <v>56472.847168765569</v>
      </c>
    </row>
    <row r="27" spans="1:5">
      <c r="A27" t="s">
        <v>23</v>
      </c>
      <c r="B27" s="6">
        <f>'Nacional 2027'!D13</f>
        <v>14747.911995939759</v>
      </c>
      <c r="C27" s="6">
        <f>'Nacional 2027'!G13</f>
        <v>4588.2982662707109</v>
      </c>
      <c r="D27" s="6">
        <f>'Export · costes'!C21</f>
        <v>13212.8</v>
      </c>
      <c r="E27" s="6">
        <f t="shared" si="0"/>
        <v>32549.010262210471</v>
      </c>
    </row>
    <row r="28" spans="1:5">
      <c r="A28" t="s">
        <v>24</v>
      </c>
      <c r="B28" s="6">
        <f>'Nacional 2027'!D14</f>
        <v>13338.448552334641</v>
      </c>
      <c r="C28" s="6">
        <f>'Nacional 2027'!G14</f>
        <v>8667.6855307925234</v>
      </c>
      <c r="D28" s="6">
        <f>'Export · costes'!C22</f>
        <v>18509.599999999999</v>
      </c>
      <c r="E28" s="6">
        <f t="shared" si="0"/>
        <v>40515.734083127165</v>
      </c>
    </row>
    <row r="29" spans="1:5">
      <c r="A29" t="s">
        <v>11</v>
      </c>
      <c r="B29" s="6">
        <f>'Nacional 2027'!D15</f>
        <v>7825.8587856097447</v>
      </c>
      <c r="C29" s="6">
        <f>'Nacional 2027'!G15</f>
        <v>2950.8534576492302</v>
      </c>
      <c r="D29" s="6">
        <f>'Export · costes'!C23</f>
        <v>24148.9</v>
      </c>
      <c r="E29" s="6">
        <f t="shared" si="0"/>
        <v>34925.612243258976</v>
      </c>
    </row>
    <row r="30" spans="1:5">
      <c r="A30" t="s">
        <v>12</v>
      </c>
      <c r="B30" s="6">
        <f>'Nacional 2027'!D16</f>
        <v>12700.115747603984</v>
      </c>
      <c r="C30" s="6">
        <f>'Nacional 2027'!G16</f>
        <v>9635.0410958124958</v>
      </c>
      <c r="D30" s="6">
        <f>'Export · costes'!C24</f>
        <v>23411.300000000003</v>
      </c>
      <c r="E30" s="6">
        <f t="shared" si="0"/>
        <v>45746.456843416483</v>
      </c>
    </row>
    <row r="31" spans="1:5">
      <c r="A31" t="s">
        <v>13</v>
      </c>
      <c r="B31" s="6">
        <f>'Nacional 2027'!D17</f>
        <v>12528.191565176337</v>
      </c>
      <c r="C31" s="6">
        <f>'Nacional 2027'!G17</f>
        <v>13725.161683125349</v>
      </c>
      <c r="D31" s="6">
        <f>'Export · costes'!C25</f>
        <v>40650.699999999997</v>
      </c>
      <c r="E31" s="6">
        <f t="shared" si="0"/>
        <v>66904.053248301687</v>
      </c>
    </row>
    <row r="32" spans="1:5">
      <c r="A32" t="s">
        <v>14</v>
      </c>
      <c r="B32" s="6">
        <f>'Nacional 2027'!D18</f>
        <v>4989.8491127425523</v>
      </c>
      <c r="C32" s="6">
        <f>'Nacional 2027'!G18</f>
        <v>625.65144205098409</v>
      </c>
      <c r="D32" s="6">
        <f>'Export · costes'!C26</f>
        <v>34380.800000000003</v>
      </c>
      <c r="E32" s="6">
        <f t="shared" si="0"/>
        <v>39996.300554793539</v>
      </c>
    </row>
    <row r="33" spans="1:5">
      <c r="A33" s="2" t="s">
        <v>25</v>
      </c>
      <c r="B33" s="7">
        <f>SUM(B21:B32)</f>
        <v>166472.15003389833</v>
      </c>
      <c r="C33" s="7">
        <f>SUM(C21:C32)</f>
        <v>79198.29134717604</v>
      </c>
      <c r="D33" s="7">
        <f>SUM(D21:D32)</f>
        <v>305223.3</v>
      </c>
      <c r="E33" s="7">
        <f>SUM(E21:E32)</f>
        <v>550893.7413810743</v>
      </c>
    </row>
    <row r="36" spans="1:5">
      <c r="A36" t="s">
        <v>26</v>
      </c>
    </row>
    <row r="37" spans="1:5">
      <c r="A3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8"/>
  <sheetViews>
    <sheetView showGridLines="0" workbookViewId="0"/>
  </sheetViews>
  <sheetFormatPr baseColWidth="10" defaultColWidth="8.6640625" defaultRowHeight="14"/>
  <cols>
    <col min="1" max="1" width="14" customWidth="1"/>
    <col min="2" max="2" width="48" customWidth="1"/>
    <col min="3" max="19" width="19" customWidth="1"/>
  </cols>
  <sheetData>
    <row r="2" spans="1:9" ht="18">
      <c r="A2" s="3" t="s">
        <v>28</v>
      </c>
    </row>
    <row r="3" spans="1:9">
      <c r="A3" t="s">
        <v>29</v>
      </c>
    </row>
    <row r="6" spans="1:9">
      <c r="A6" s="1" t="s">
        <v>10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6</v>
      </c>
    </row>
    <row r="7" spans="1:9">
      <c r="A7" t="s">
        <v>11</v>
      </c>
      <c r="B7" s="8">
        <f>SUMIFS('Nacional · base'!$E$1074:$E$1473,'Nacional · base'!$A$1074:$A$1473,2026,'Nacional · base'!$B$1074:$B$1473,9,'Nacional · base'!$D$1074:$D$1473,"Resto nacional")</f>
        <v>72566.525913792808</v>
      </c>
      <c r="C7">
        <f>SUMIFS('Nacional · base'!$G$1074:$G$1473,'Nacional · base'!$A$1074:$A$1473,2026,'Nacional · base'!$B$1074:$B$1473,9,'Nacional · base'!$D$1074:$D$1473,"Resto nacional")</f>
        <v>97</v>
      </c>
      <c r="D7" s="6">
        <f>SUMIFS('Nacional · base'!$Q$1074:$Q$1473,'Nacional · base'!$A$1074:$A$1473,2026,'Nacional · base'!$B$1074:$B$1473,9,'Nacional · base'!$D$1074:$D$1473,"Resto nacional")</f>
        <v>6434.5324159130714</v>
      </c>
      <c r="E7" s="8">
        <f>SUMIFS('Nacional · base'!$E$1074:$E$1473,'Nacional · base'!$A$1074:$A$1473,2026,'Nacional · base'!$B$1074:$B$1473,9,'Nacional · base'!$D$1074:$D$1473,"Canarias")</f>
        <v>9089.3869835929581</v>
      </c>
      <c r="F7">
        <f>SUMIFS('Nacional · base'!$G$1074:$G$1473,'Nacional · base'!$A$1074:$A$1473,2026,'Nacional · base'!$B$1074:$B$1473,9,'Nacional · base'!$D$1074:$D$1473,"Canarias")</f>
        <v>13</v>
      </c>
      <c r="G7" s="6">
        <f>SUMIFS('Nacional · base'!$R$1074:$R$1473,'Nacional · base'!$A$1074:$A$1473,2026,'Nacional · base'!$B$1074:$B$1473,9,'Nacional · base'!$D$1074:$D$1473,"Canarias")</f>
        <v>2450.1089804277444</v>
      </c>
      <c r="H7" s="8">
        <f>B7+E7</f>
        <v>81655.912897385773</v>
      </c>
      <c r="I7" s="6">
        <f>D7+G7</f>
        <v>8884.6413963408158</v>
      </c>
    </row>
    <row r="8" spans="1:9">
      <c r="A8" t="s">
        <v>12</v>
      </c>
      <c r="B8" s="8">
        <f>SUMIFS('Nacional · base'!$E$1074:$E$1473,'Nacional · base'!$A$1074:$A$1473,2026,'Nacional · base'!$B$1074:$B$1473,10,'Nacional · base'!$D$1074:$D$1473,"Resto nacional")</f>
        <v>118404.52819914096</v>
      </c>
      <c r="C8">
        <f>SUMIFS('Nacional · base'!$G$1074:$G$1473,'Nacional · base'!$A$1074:$A$1473,2026,'Nacional · base'!$B$1074:$B$1473,10,'Nacional · base'!$D$1074:$D$1473,"Resto nacional")</f>
        <v>151</v>
      </c>
      <c r="D8" s="6">
        <f>SUMIFS('Nacional · base'!$Q$1074:$Q$1473,'Nacional · base'!$A$1074:$A$1473,2026,'Nacional · base'!$B$1074:$B$1473,10,'Nacional · base'!$D$1074:$D$1473,"Resto nacional")</f>
        <v>10499.025071054903</v>
      </c>
      <c r="E8" s="8">
        <f>SUMIFS('Nacional · base'!$E$1074:$E$1473,'Nacional · base'!$A$1074:$A$1473,2026,'Nacional · base'!$B$1074:$B$1473,10,'Nacional · base'!$D$1074:$D$1473,"Canarias")</f>
        <v>35824.774104086129</v>
      </c>
      <c r="F8">
        <f>SUMIFS('Nacional · base'!$G$1074:$G$1473,'Nacional · base'!$A$1074:$A$1473,2026,'Nacional · base'!$B$1074:$B$1473,10,'Nacional · base'!$D$1074:$D$1473,"Canarias")</f>
        <v>41</v>
      </c>
      <c r="G8" s="6">
        <f>SUMIFS('Nacional · base'!$R$1074:$R$1473,'Nacional · base'!$A$1074:$A$1473,2026,'Nacional · base'!$B$1074:$B$1473,10,'Nacional · base'!$D$1074:$D$1473,"Canarias")</f>
        <v>7990.5909922922383</v>
      </c>
      <c r="H8" s="8">
        <f>B8+E8</f>
        <v>154229.30230322707</v>
      </c>
      <c r="I8" s="6">
        <f>D8+G8</f>
        <v>18489.616063347141</v>
      </c>
    </row>
    <row r="9" spans="1:9">
      <c r="A9" t="s">
        <v>13</v>
      </c>
      <c r="B9" s="8">
        <f>SUMIFS('Nacional · base'!$E$1074:$E$1473,'Nacional · base'!$A$1074:$A$1473,2026,'Nacional · base'!$B$1074:$B$1473,11,'Nacional · base'!$D$1074:$D$1473,"Resto nacional")</f>
        <v>115171.44424583219</v>
      </c>
      <c r="C9">
        <f>SUMIFS('Nacional · base'!$G$1074:$G$1473,'Nacional · base'!$A$1074:$A$1473,2026,'Nacional · base'!$B$1074:$B$1473,11,'Nacional · base'!$D$1074:$D$1473,"Resto nacional")</f>
        <v>139</v>
      </c>
      <c r="D9" s="6">
        <f>SUMIFS('Nacional · base'!$Q$1074:$Q$1473,'Nacional · base'!$A$1074:$A$1473,2026,'Nacional · base'!$B$1074:$B$1473,11,'Nacional · base'!$D$1074:$D$1473,"Resto nacional")</f>
        <v>10212.344907729352</v>
      </c>
      <c r="E9" s="8">
        <f>SUMIFS('Nacional · base'!$E$1074:$E$1473,'Nacional · base'!$A$1074:$A$1473,2026,'Nacional · base'!$B$1074:$B$1473,11,'Nacional · base'!$D$1074:$D$1473,"Canarias")</f>
        <v>47468.441885404667</v>
      </c>
      <c r="F9">
        <f>SUMIFS('Nacional · base'!$G$1074:$G$1473,'Nacional · base'!$A$1074:$A$1473,2026,'Nacional · base'!$B$1074:$B$1473,11,'Nacional · base'!$D$1074:$D$1473,"Canarias")</f>
        <v>57</v>
      </c>
      <c r="G9" s="6">
        <f>SUMIFS('Nacional · base'!$R$1074:$R$1473,'Nacional · base'!$A$1074:$A$1473,2026,'Nacional · base'!$B$1074:$B$1473,11,'Nacional · base'!$D$1074:$D$1473,"Canarias")</f>
        <v>11300.379109751939</v>
      </c>
      <c r="H9" s="8">
        <f>B9+E9</f>
        <v>162639.88613123685</v>
      </c>
      <c r="I9" s="6">
        <f>D9+G9</f>
        <v>21512.724017481291</v>
      </c>
    </row>
    <row r="10" spans="1:9">
      <c r="A10" t="s">
        <v>14</v>
      </c>
      <c r="B10" s="8">
        <f>SUMIFS('Nacional · base'!$E$1074:$E$1473,'Nacional · base'!$A$1074:$A$1473,2026,'Nacional · base'!$B$1074:$B$1473,12,'Nacional · base'!$D$1074:$D$1473,"Resto nacional")</f>
        <v>45718.93397025227</v>
      </c>
      <c r="C10">
        <f>SUMIFS('Nacional · base'!$G$1074:$G$1473,'Nacional · base'!$A$1074:$A$1473,2026,'Nacional · base'!$B$1074:$B$1473,12,'Nacional · base'!$D$1074:$D$1473,"Resto nacional")</f>
        <v>66</v>
      </c>
      <c r="D10" s="6">
        <f>SUMIFS('Nacional · base'!$Q$1074:$Q$1473,'Nacional · base'!$A$1074:$A$1473,2026,'Nacional · base'!$B$1074:$B$1473,12,'Nacional · base'!$D$1074:$D$1473,"Resto nacional")</f>
        <v>4053.934771550948</v>
      </c>
      <c r="E10" s="8">
        <f>SUMIFS('Nacional · base'!$E$1074:$E$1473,'Nacional · base'!$A$1074:$A$1473,2026,'Nacional · base'!$B$1074:$B$1473,12,'Nacional · base'!$D$1074:$D$1473,"Canarias")</f>
        <v>2505.7433953935024</v>
      </c>
      <c r="F10">
        <f>SUMIFS('Nacional · base'!$G$1074:$G$1473,'Nacional · base'!$A$1074:$A$1473,2026,'Nacional · base'!$B$1074:$B$1473,12,'Nacional · base'!$D$1074:$D$1473,"Canarias")</f>
        <v>3</v>
      </c>
      <c r="G10" s="6">
        <f>SUMIFS('Nacional · base'!$R$1074:$R$1473,'Nacional · base'!$A$1074:$A$1473,2026,'Nacional · base'!$B$1074:$B$1473,12,'Nacional · base'!$D$1074:$D$1473,"Canarias")</f>
        <v>534.13573030667476</v>
      </c>
      <c r="H10" s="8">
        <f>B10+E10</f>
        <v>48224.677365645774</v>
      </c>
      <c r="I10" s="6">
        <f>D10+G10</f>
        <v>4588.0705018576227</v>
      </c>
    </row>
    <row r="11" spans="1:9">
      <c r="A11" s="2" t="s">
        <v>37</v>
      </c>
      <c r="B11" s="9">
        <f t="shared" ref="B11:I11" si="0">SUM(B7:B10)</f>
        <v>351861.43232901825</v>
      </c>
      <c r="C11" s="2">
        <f t="shared" si="0"/>
        <v>453</v>
      </c>
      <c r="D11" s="7">
        <f t="shared" si="0"/>
        <v>31199.837166248271</v>
      </c>
      <c r="E11" s="9">
        <f t="shared" si="0"/>
        <v>94888.346368477258</v>
      </c>
      <c r="F11" s="2">
        <f t="shared" si="0"/>
        <v>114</v>
      </c>
      <c r="G11" s="7">
        <f t="shared" si="0"/>
        <v>22275.214812778599</v>
      </c>
      <c r="H11" s="9">
        <f t="shared" si="0"/>
        <v>446749.77869749547</v>
      </c>
      <c r="I11" s="7">
        <f t="shared" si="0"/>
        <v>53475.051979026874</v>
      </c>
    </row>
    <row r="15" spans="1:9">
      <c r="A15" t="s">
        <v>38</v>
      </c>
    </row>
    <row r="16" spans="1:9">
      <c r="A16" t="s">
        <v>10</v>
      </c>
      <c r="B16" t="s">
        <v>39</v>
      </c>
      <c r="C16" t="s">
        <v>40</v>
      </c>
      <c r="D16" t="s">
        <v>41</v>
      </c>
      <c r="E16" t="s">
        <v>35</v>
      </c>
    </row>
    <row r="17" spans="1:5">
      <c r="A17" t="s">
        <v>11</v>
      </c>
      <c r="B17" t="s">
        <v>42</v>
      </c>
      <c r="C17">
        <f>SUMIFS('Nacional · base'!$E$1074:$E$1473,'Nacional · base'!$A$1074:$A$1473,2026,'Nacional · base'!$B$1074:$B$1473,9,'Nacional · base'!$C$1074:$C$1473,"AGROQUIMICAS DRAGO S.L.")</f>
        <v>2832.6124642235873</v>
      </c>
      <c r="D17">
        <f>SUMIFS('Nacional · base'!$G$1074:$G$1473,'Nacional · base'!$A$1074:$A$1473,2026,'Nacional · base'!$B$1074:$B$1473,9,'Nacional · base'!$C$1074:$C$1473,"AGROQUIMICAS DRAGO S.L.")</f>
        <v>4</v>
      </c>
      <c r="E17">
        <f>SUMIFS('Nacional · base'!$R$1074:$R$1473,'Nacional · base'!$A$1074:$A$1473,2026,'Nacional · base'!$B$1074:$B$1473,9,'Nacional · base'!$C$1074:$C$1473,"AGROQUIMICAS DRAGO S.L.")</f>
        <v>597.13574277996577</v>
      </c>
    </row>
    <row r="18" spans="1:5">
      <c r="A18" t="s">
        <v>11</v>
      </c>
      <c r="B18" t="s">
        <v>43</v>
      </c>
      <c r="C18">
        <f>SUMIFS('Nacional · base'!$E$1074:$E$1473,'Nacional · base'!$A$1074:$A$1473,2026,'Nacional · base'!$B$1074:$B$1473,9,'Nacional · base'!$C$1074:$C$1473,"FITOSANITARIOS DRAGO S.L.U")</f>
        <v>0</v>
      </c>
      <c r="D18">
        <f>SUMIFS('Nacional · base'!$G$1074:$G$1473,'Nacional · base'!$A$1074:$A$1473,2026,'Nacional · base'!$B$1074:$B$1473,9,'Nacional · base'!$C$1074:$C$1473,"FITOSANITARIOS DRAGO S.L.U")</f>
        <v>0</v>
      </c>
      <c r="E18">
        <f>SUMIFS('Nacional · base'!$R$1074:$R$1473,'Nacional · base'!$A$1074:$A$1473,2026,'Nacional · base'!$B$1074:$B$1473,9,'Nacional · base'!$C$1074:$C$1473,"FITOSANITARIOS DRAGO S.L.U")</f>
        <v>0</v>
      </c>
    </row>
    <row r="19" spans="1:5">
      <c r="A19" t="s">
        <v>11</v>
      </c>
      <c r="B19" t="s">
        <v>44</v>
      </c>
      <c r="C19">
        <f>SUMIFS('Nacional · base'!$E$1074:$E$1473,'Nacional · base'!$A$1074:$A$1473,2026,'Nacional · base'!$B$1074:$B$1473,9,'Nacional · base'!$C$1074:$C$1473,"CABRERA MORALES FRANCISCO")</f>
        <v>6256.77451936937</v>
      </c>
      <c r="D19">
        <f>SUMIFS('Nacional · base'!$G$1074:$G$1473,'Nacional · base'!$A$1074:$A$1473,2026,'Nacional · base'!$B$1074:$B$1473,9,'Nacional · base'!$C$1074:$C$1473,"CABRERA MORALES FRANCISCO")</f>
        <v>9</v>
      </c>
      <c r="E19">
        <f>SUMIFS('Nacional · base'!$R$1074:$R$1473,'Nacional · base'!$A$1074:$A$1473,2026,'Nacional · base'!$B$1074:$B$1473,9,'Nacional · base'!$C$1074:$C$1473,"CABRERA MORALES FRANCISCO")</f>
        <v>1852.9732376477787</v>
      </c>
    </row>
    <row r="20" spans="1:5">
      <c r="A20" t="s">
        <v>12</v>
      </c>
      <c r="B20" t="s">
        <v>42</v>
      </c>
      <c r="C20">
        <f>SUMIFS('Nacional · base'!$E$1074:$E$1473,'Nacional · base'!$A$1074:$A$1473,2026,'Nacional · base'!$B$1074:$B$1473,10,'Nacional · base'!$C$1074:$C$1473,"AGROQUIMICAS DRAGO S.L.")</f>
        <v>12645.510101329073</v>
      </c>
      <c r="D20">
        <f>SUMIFS('Nacional · base'!$G$1074:$G$1473,'Nacional · base'!$A$1074:$A$1473,2026,'Nacional · base'!$B$1074:$B$1473,10,'Nacional · base'!$C$1074:$C$1473,"AGROQUIMICAS DRAGO S.L.")</f>
        <v>15</v>
      </c>
      <c r="E20">
        <f>SUMIFS('Nacional · base'!$R$1074:$R$1473,'Nacional · base'!$A$1074:$A$1473,2026,'Nacional · base'!$B$1074:$B$1473,10,'Nacional · base'!$C$1074:$C$1473,"AGROQUIMICAS DRAGO S.L.")</f>
        <v>2553.330292561981</v>
      </c>
    </row>
    <row r="21" spans="1:5">
      <c r="A21" t="s">
        <v>12</v>
      </c>
      <c r="B21" t="s">
        <v>43</v>
      </c>
      <c r="C21">
        <f>SUMIFS('Nacional · base'!$E$1074:$E$1473,'Nacional · base'!$A$1074:$A$1473,2026,'Nacional · base'!$B$1074:$B$1473,10,'Nacional · base'!$C$1074:$C$1473,"FITOSANITARIOS DRAGO S.L.U")</f>
        <v>15191.069334573109</v>
      </c>
      <c r="D21">
        <f>SUMIFS('Nacional · base'!$G$1074:$G$1473,'Nacional · base'!$A$1074:$A$1473,2026,'Nacional · base'!$B$1074:$B$1473,10,'Nacional · base'!$C$1074:$C$1473,"FITOSANITARIOS DRAGO S.L.U")</f>
        <v>15</v>
      </c>
      <c r="E21">
        <f>SUMIFS('Nacional · base'!$R$1074:$R$1473,'Nacional · base'!$A$1074:$A$1473,2026,'Nacional · base'!$B$1074:$B$1473,10,'Nacional · base'!$C$1074:$C$1473,"FITOSANITARIOS DRAGO S.L.U")</f>
        <v>3076.5290286849918</v>
      </c>
    </row>
    <row r="22" spans="1:5">
      <c r="A22" t="s">
        <v>12</v>
      </c>
      <c r="B22" t="s">
        <v>44</v>
      </c>
      <c r="C22">
        <f>SUMIFS('Nacional · base'!$E$1074:$E$1473,'Nacional · base'!$A$1074:$A$1473,2026,'Nacional · base'!$B$1074:$B$1473,10,'Nacional · base'!$C$1074:$C$1473,"CABRERA MORALES FRANCISCO")</f>
        <v>7988.1946681839463</v>
      </c>
      <c r="D22">
        <f>SUMIFS('Nacional · base'!$G$1074:$G$1473,'Nacional · base'!$A$1074:$A$1473,2026,'Nacional · base'!$B$1074:$B$1473,10,'Nacional · base'!$C$1074:$C$1473,"CABRERA MORALES FRANCISCO")</f>
        <v>11</v>
      </c>
      <c r="E22">
        <f>SUMIFS('Nacional · base'!$R$1074:$R$1473,'Nacional · base'!$A$1074:$A$1473,2026,'Nacional · base'!$B$1074:$B$1473,10,'Nacional · base'!$C$1074:$C$1473,"CABRERA MORALES FRANCISCO")</f>
        <v>2360.7316710452656</v>
      </c>
    </row>
    <row r="23" spans="1:5">
      <c r="A23" t="s">
        <v>13</v>
      </c>
      <c r="B23" t="s">
        <v>42</v>
      </c>
      <c r="C23">
        <f>SUMIFS('Nacional · base'!$E$1074:$E$1473,'Nacional · base'!$A$1074:$A$1473,2026,'Nacional · base'!$B$1074:$B$1473,11,'Nacional · base'!$C$1074:$C$1473,"AGROQUIMICAS DRAGO S.L.")</f>
        <v>14119.075300254488</v>
      </c>
      <c r="D23">
        <f>SUMIFS('Nacional · base'!$G$1074:$G$1473,'Nacional · base'!$A$1074:$A$1473,2026,'Nacional · base'!$B$1074:$B$1473,11,'Nacional · base'!$C$1074:$C$1473,"AGROQUIMICAS DRAGO S.L.")</f>
        <v>17</v>
      </c>
      <c r="E23">
        <f>SUMIFS('Nacional · base'!$R$1074:$R$1473,'Nacional · base'!$A$1074:$A$1473,2026,'Nacional · base'!$B$1074:$B$1473,11,'Nacional · base'!$C$1074:$C$1473,"AGROQUIMICAS DRAGO S.L.")</f>
        <v>2855.2046450627136</v>
      </c>
    </row>
    <row r="24" spans="1:5">
      <c r="A24" t="s">
        <v>13</v>
      </c>
      <c r="B24" t="s">
        <v>43</v>
      </c>
      <c r="C24">
        <f>SUMIFS('Nacional · base'!$E$1074:$E$1473,'Nacional · base'!$A$1074:$A$1473,2026,'Nacional · base'!$B$1074:$B$1473,11,'Nacional · base'!$C$1074:$C$1473,"FITOSANITARIOS DRAGO S.L.U")</f>
        <v>15459.541841222412</v>
      </c>
      <c r="D24">
        <f>SUMIFS('Nacional · base'!$G$1074:$G$1473,'Nacional · base'!$A$1074:$A$1473,2026,'Nacional · base'!$B$1074:$B$1473,11,'Nacional · base'!$C$1074:$C$1473,"FITOSANITARIOS DRAGO S.L.U")</f>
        <v>16</v>
      </c>
      <c r="E24">
        <f>SUMIFS('Nacional · base'!$R$1074:$R$1473,'Nacional · base'!$A$1074:$A$1473,2026,'Nacional · base'!$B$1074:$B$1473,11,'Nacional · base'!$C$1074:$C$1473,"FITOSANITARIOS DRAGO S.L.U")</f>
        <v>3130.9248736075187</v>
      </c>
    </row>
    <row r="25" spans="1:5">
      <c r="A25" t="s">
        <v>13</v>
      </c>
      <c r="B25" t="s">
        <v>44</v>
      </c>
      <c r="C25">
        <f>SUMIFS('Nacional · base'!$E$1074:$E$1473,'Nacional · base'!$A$1074:$A$1473,2026,'Nacional · base'!$B$1074:$B$1473,11,'Nacional · base'!$C$1074:$C$1473,"CABRERA MORALES FRANCISCO")</f>
        <v>17889.824743927766</v>
      </c>
      <c r="D25">
        <f>SUMIFS('Nacional · base'!$G$1074:$G$1473,'Nacional · base'!$A$1074:$A$1473,2026,'Nacional · base'!$B$1074:$B$1473,11,'Nacional · base'!$C$1074:$C$1473,"CABRERA MORALES FRANCISCO")</f>
        <v>24</v>
      </c>
      <c r="E25">
        <f>SUMIFS('Nacional · base'!$R$1074:$R$1473,'Nacional · base'!$A$1074:$A$1473,2026,'Nacional · base'!$B$1074:$B$1473,11,'Nacional · base'!$C$1074:$C$1473,"CABRERA MORALES FRANCISCO")</f>
        <v>5314.2495910817061</v>
      </c>
    </row>
    <row r="26" spans="1:5">
      <c r="A26" t="s">
        <v>14</v>
      </c>
      <c r="B26" t="s">
        <v>42</v>
      </c>
      <c r="C26">
        <f>SUMIFS('Nacional · base'!$E$1074:$E$1473,'Nacional · base'!$A$1074:$A$1473,2026,'Nacional · base'!$B$1074:$B$1473,12,'Nacional · base'!$C$1074:$C$1473,"AGROQUIMICAS DRAGO S.L.")</f>
        <v>2505.7433953935024</v>
      </c>
      <c r="D26">
        <f>SUMIFS('Nacional · base'!$G$1074:$G$1473,'Nacional · base'!$A$1074:$A$1473,2026,'Nacional · base'!$B$1074:$B$1473,12,'Nacional · base'!$C$1074:$C$1473,"AGROQUIMICAS DRAGO S.L.")</f>
        <v>3</v>
      </c>
      <c r="E26">
        <f>SUMIFS('Nacional · base'!$R$1074:$R$1473,'Nacional · base'!$A$1074:$A$1473,2026,'Nacional · base'!$B$1074:$B$1473,12,'Nacional · base'!$C$1074:$C$1473,"AGROQUIMICAS DRAGO S.L.")</f>
        <v>534.13573030667476</v>
      </c>
    </row>
    <row r="27" spans="1:5">
      <c r="A27" t="s">
        <v>14</v>
      </c>
      <c r="B27" t="s">
        <v>43</v>
      </c>
      <c r="C27">
        <f>SUMIFS('Nacional · base'!$E$1074:$E$1473,'Nacional · base'!$A$1074:$A$1473,2026,'Nacional · base'!$B$1074:$B$1473,12,'Nacional · base'!$C$1074:$C$1473,"FITOSANITARIOS DRAGO S.L.U")</f>
        <v>0</v>
      </c>
      <c r="D27">
        <f>SUMIFS('Nacional · base'!$G$1074:$G$1473,'Nacional · base'!$A$1074:$A$1473,2026,'Nacional · base'!$B$1074:$B$1473,12,'Nacional · base'!$C$1074:$C$1473,"FITOSANITARIOS DRAGO S.L.U")</f>
        <v>0</v>
      </c>
      <c r="E27">
        <f>SUMIFS('Nacional · base'!$R$1074:$R$1473,'Nacional · base'!$A$1074:$A$1473,2026,'Nacional · base'!$B$1074:$B$1473,12,'Nacional · base'!$C$1074:$C$1473,"FITOSANITARIOS DRAGO S.L.U")</f>
        <v>0</v>
      </c>
    </row>
    <row r="28" spans="1:5">
      <c r="A28" t="s">
        <v>14</v>
      </c>
      <c r="B28" t="s">
        <v>44</v>
      </c>
      <c r="C28">
        <f>SUMIFS('Nacional · base'!$E$1074:$E$1473,'Nacional · base'!$A$1074:$A$1473,2026,'Nacional · base'!$B$1074:$B$1473,12,'Nacional · base'!$C$1074:$C$1473,"CABRERA MORALES FRANCISCO")</f>
        <v>0</v>
      </c>
      <c r="D28">
        <f>SUMIFS('Nacional · base'!$G$1074:$G$1473,'Nacional · base'!$A$1074:$A$1473,2026,'Nacional · base'!$B$1074:$B$1473,12,'Nacional · base'!$C$1074:$C$1473,"CABRERA MORALES FRANCISCO")</f>
        <v>0</v>
      </c>
      <c r="E28">
        <f>SUMIFS('Nacional · base'!$R$1074:$R$1473,'Nacional · base'!$A$1074:$A$1473,2026,'Nacional · base'!$B$1074:$B$1473,12,'Nacional · base'!$C$1074:$C$1473,"CABRERA MORALES FRANCISCO")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60"/>
  <sheetViews>
    <sheetView showGridLines="0" workbookViewId="0"/>
  </sheetViews>
  <sheetFormatPr baseColWidth="10" defaultColWidth="8.6640625" defaultRowHeight="14"/>
  <cols>
    <col min="1" max="1" width="14" customWidth="1"/>
    <col min="2" max="2" width="48" customWidth="1"/>
    <col min="3" max="19" width="19" customWidth="1"/>
  </cols>
  <sheetData>
    <row r="2" spans="1:9" ht="18">
      <c r="A2" s="3" t="s">
        <v>45</v>
      </c>
    </row>
    <row r="3" spans="1:9">
      <c r="A3" t="s">
        <v>46</v>
      </c>
    </row>
    <row r="6" spans="1:9">
      <c r="A6" s="1" t="s">
        <v>10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6</v>
      </c>
    </row>
    <row r="7" spans="1:9">
      <c r="A7" t="s">
        <v>17</v>
      </c>
      <c r="B7" s="8">
        <f>SUMIFS('Nacional · base'!$E$1074:$E$1473,'Nacional · base'!$A$1074:$A$1473,2027,'Nacional · base'!$B$1074:$B$1473,1,'Nacional · base'!$D$1074:$D$1473,"Resto nacional")</f>
        <v>71939.78</v>
      </c>
      <c r="C7">
        <f>SUMIFS('Nacional · base'!$G$1074:$G$1473,'Nacional · base'!$A$1074:$A$1473,2027,'Nacional · base'!$B$1074:$B$1473,1,'Nacional · base'!$D$1074:$D$1473,"Resto nacional")</f>
        <v>103</v>
      </c>
      <c r="D7" s="6">
        <f>SUMIFS('Nacional · base'!$Q$1074:$Q$1473,'Nacional · base'!$A$1074:$A$1473,2027,'Nacional · base'!$B$1074:$B$1473,1,'Nacional · base'!$D$1074:$D$1473,"Resto nacional")</f>
        <v>7016.8541849298881</v>
      </c>
      <c r="E7" s="8">
        <f>SUMIFS('Nacional · base'!$E$1074:$E$1473,'Nacional · base'!$A$1074:$A$1473,2027,'Nacional · base'!$B$1074:$B$1473,1,'Nacional · base'!$D$1074:$D$1473,"Canarias")</f>
        <v>21809.839999999997</v>
      </c>
      <c r="F7">
        <f>SUMIFS('Nacional · base'!$G$1074:$G$1473,'Nacional · base'!$A$1074:$A$1473,2027,'Nacional · base'!$B$1074:$B$1473,1,'Nacional · base'!$D$1074:$D$1473,"Canarias")</f>
        <v>28</v>
      </c>
      <c r="G7" s="6">
        <f>SUMIFS('Nacional · base'!$R$1074:$R$1473,'Nacional · base'!$A$1074:$A$1473,2027,'Nacional · base'!$B$1074:$B$1473,1,'Nacional · base'!$D$1074:$D$1473,"Canarias")</f>
        <v>6088.1812852027751</v>
      </c>
      <c r="H7" s="8">
        <f t="shared" ref="H7:H18" si="0">B7+E7</f>
        <v>93749.62</v>
      </c>
      <c r="I7" s="6">
        <f t="shared" ref="I7:I18" si="1">D7+G7</f>
        <v>13105.035470132663</v>
      </c>
    </row>
    <row r="8" spans="1:9">
      <c r="A8" t="s">
        <v>18</v>
      </c>
      <c r="B8" s="8">
        <f>SUMIFS('Nacional · base'!$E$1074:$E$1473,'Nacional · base'!$A$1074:$A$1473,2027,'Nacional · base'!$B$1074:$B$1473,2,'Nacional · base'!$D$1074:$D$1473,"Resto nacional")</f>
        <v>139637.04</v>
      </c>
      <c r="C8">
        <f>SUMIFS('Nacional · base'!$G$1074:$G$1473,'Nacional · base'!$A$1074:$A$1473,2027,'Nacional · base'!$B$1074:$B$1473,2,'Nacional · base'!$D$1074:$D$1473,"Resto nacional")</f>
        <v>184</v>
      </c>
      <c r="D8" s="6">
        <f>SUMIFS('Nacional · base'!$Q$1074:$Q$1473,'Nacional · base'!$A$1074:$A$1473,2027,'Nacional · base'!$B$1074:$B$1473,2,'Nacional · base'!$D$1074:$D$1473,"Resto nacional")</f>
        <v>13619.901930409331</v>
      </c>
      <c r="E8" s="8">
        <f>SUMIFS('Nacional · base'!$E$1074:$E$1473,'Nacional · base'!$A$1074:$A$1473,2027,'Nacional · base'!$B$1074:$B$1473,2,'Nacional · base'!$D$1074:$D$1473,"Canarias")</f>
        <v>19473.879999999997</v>
      </c>
      <c r="F8">
        <f>SUMIFS('Nacional · base'!$G$1074:$G$1473,'Nacional · base'!$A$1074:$A$1473,2027,'Nacional · base'!$B$1074:$B$1473,2,'Nacional · base'!$D$1074:$D$1473,"Canarias")</f>
        <v>25</v>
      </c>
      <c r="G8" s="6">
        <f>SUMIFS('Nacional · base'!$R$1074:$R$1473,'Nacional · base'!$A$1074:$A$1473,2027,'Nacional · base'!$B$1074:$B$1473,2,'Nacional · base'!$D$1074:$D$1473,"Canarias")</f>
        <v>5367.2581122599677</v>
      </c>
      <c r="H8" s="8">
        <f t="shared" si="0"/>
        <v>159110.92000000001</v>
      </c>
      <c r="I8" s="6">
        <f t="shared" si="1"/>
        <v>18987.160042669297</v>
      </c>
    </row>
    <row r="9" spans="1:9">
      <c r="A9" t="s">
        <v>19</v>
      </c>
      <c r="B9" s="8">
        <f>SUMIFS('Nacional · base'!$E$1074:$E$1473,'Nacional · base'!$A$1074:$A$1473,2027,'Nacional · base'!$B$1074:$B$1473,3,'Nacional · base'!$D$1074:$D$1473,"Resto nacional")</f>
        <v>190772.44</v>
      </c>
      <c r="C9">
        <f>SUMIFS('Nacional · base'!$G$1074:$G$1473,'Nacional · base'!$A$1074:$A$1473,2027,'Nacional · base'!$B$1074:$B$1473,3,'Nacional · base'!$D$1074:$D$1473,"Resto nacional")</f>
        <v>246</v>
      </c>
      <c r="D9" s="6">
        <f>SUMIFS('Nacional · base'!$Q$1074:$Q$1473,'Nacional · base'!$A$1074:$A$1473,2027,'Nacional · base'!$B$1074:$B$1473,3,'Nacional · base'!$D$1074:$D$1473,"Resto nacional")</f>
        <v>18607.540834615931</v>
      </c>
      <c r="E9" s="8">
        <f>SUMIFS('Nacional · base'!$E$1074:$E$1473,'Nacional · base'!$A$1074:$A$1473,2027,'Nacional · base'!$B$1074:$B$1473,3,'Nacional · base'!$D$1074:$D$1473,"Canarias")</f>
        <v>27761.060000000005</v>
      </c>
      <c r="F9">
        <f>SUMIFS('Nacional · base'!$G$1074:$G$1473,'Nacional · base'!$A$1074:$A$1473,2027,'Nacional · base'!$B$1074:$B$1473,3,'Nacional · base'!$D$1074:$D$1473,"Canarias")</f>
        <v>34</v>
      </c>
      <c r="G9" s="6">
        <f>SUMIFS('Nacional · base'!$R$1074:$R$1473,'Nacional · base'!$A$1074:$A$1473,2027,'Nacional · base'!$B$1074:$B$1473,3,'Nacional · base'!$D$1074:$D$1473,"Canarias")</f>
        <v>7224.7246711996613</v>
      </c>
      <c r="H9" s="8">
        <f t="shared" si="0"/>
        <v>218533.5</v>
      </c>
      <c r="I9" s="6">
        <f t="shared" si="1"/>
        <v>25832.265505815594</v>
      </c>
    </row>
    <row r="10" spans="1:9">
      <c r="A10" t="s">
        <v>20</v>
      </c>
      <c r="B10" s="8">
        <f>SUMIFS('Nacional · base'!$E$1074:$E$1473,'Nacional · base'!$A$1074:$A$1473,2027,'Nacional · base'!$B$1074:$B$1473,4,'Nacional · base'!$D$1074:$D$1473,"Resto nacional")</f>
        <v>226121.75999999998</v>
      </c>
      <c r="C10">
        <f>SUMIFS('Nacional · base'!$G$1074:$G$1473,'Nacional · base'!$A$1074:$A$1473,2027,'Nacional · base'!$B$1074:$B$1473,4,'Nacional · base'!$D$1074:$D$1473,"Resto nacional")</f>
        <v>296</v>
      </c>
      <c r="D10" s="6">
        <f>SUMIFS('Nacional · base'!$Q$1074:$Q$1473,'Nacional · base'!$A$1074:$A$1473,2027,'Nacional · base'!$B$1074:$B$1473,4,'Nacional · base'!$D$1074:$D$1473,"Resto nacional")</f>
        <v>22055.438840092542</v>
      </c>
      <c r="E10" s="8">
        <f>SUMIFS('Nacional · base'!$E$1074:$E$1473,'Nacional · base'!$A$1074:$A$1473,2027,'Nacional · base'!$B$1074:$B$1473,4,'Nacional · base'!$D$1074:$D$1473,"Canarias")</f>
        <v>13650.64</v>
      </c>
      <c r="F10">
        <f>SUMIFS('Nacional · base'!$G$1074:$G$1473,'Nacional · base'!$A$1074:$A$1473,2027,'Nacional · base'!$B$1074:$B$1473,4,'Nacional · base'!$D$1074:$D$1473,"Canarias")</f>
        <v>18</v>
      </c>
      <c r="G10" s="6">
        <f>SUMIFS('Nacional · base'!$R$1074:$R$1473,'Nacional · base'!$A$1074:$A$1473,2027,'Nacional · base'!$B$1074:$B$1473,4,'Nacional · base'!$D$1074:$D$1473,"Canarias")</f>
        <v>3712.0421097107128</v>
      </c>
      <c r="H10" s="8">
        <f t="shared" si="0"/>
        <v>239772.39999999997</v>
      </c>
      <c r="I10" s="6">
        <f t="shared" si="1"/>
        <v>25767.480949803255</v>
      </c>
    </row>
    <row r="11" spans="1:9">
      <c r="A11" t="s">
        <v>21</v>
      </c>
      <c r="B11" s="8">
        <f>SUMIFS('Nacional · base'!$E$1074:$E$1473,'Nacional · base'!$A$1074:$A$1473,2027,'Nacional · base'!$B$1074:$B$1473,5,'Nacional · base'!$D$1074:$D$1473,"Resto nacional")</f>
        <v>191162.96</v>
      </c>
      <c r="C11">
        <f>SUMIFS('Nacional · base'!$G$1074:$G$1473,'Nacional · base'!$A$1074:$A$1473,2027,'Nacional · base'!$B$1074:$B$1473,5,'Nacional · base'!$D$1074:$D$1473,"Resto nacional")</f>
        <v>250</v>
      </c>
      <c r="D11" s="6">
        <f>SUMIFS('Nacional · base'!$Q$1074:$Q$1473,'Nacional · base'!$A$1074:$A$1473,2027,'Nacional · base'!$B$1074:$B$1473,5,'Nacional · base'!$D$1074:$D$1473,"Resto nacional")</f>
        <v>18645.631330532076</v>
      </c>
      <c r="E11" s="8">
        <f>SUMIFS('Nacional · base'!$E$1074:$E$1473,'Nacional · base'!$A$1074:$A$1473,2027,'Nacional · base'!$B$1074:$B$1473,5,'Nacional · base'!$D$1074:$D$1473,"Canarias")</f>
        <v>50703.5</v>
      </c>
      <c r="F11">
        <f>SUMIFS('Nacional · base'!$G$1074:$G$1473,'Nacional · base'!$A$1074:$A$1473,2027,'Nacional · base'!$B$1074:$B$1473,5,'Nacional · base'!$D$1074:$D$1473,"Canarias")</f>
        <v>63</v>
      </c>
      <c r="G11" s="6">
        <f>SUMIFS('Nacional · base'!$R$1074:$R$1473,'Nacional · base'!$A$1074:$A$1473,2027,'Nacional · base'!$B$1074:$B$1473,5,'Nacional · base'!$D$1074:$D$1473,"Canarias")</f>
        <v>14028.953678247586</v>
      </c>
      <c r="H11" s="8">
        <f t="shared" si="0"/>
        <v>241866.46</v>
      </c>
      <c r="I11" s="6">
        <f t="shared" si="1"/>
        <v>32674.585008779664</v>
      </c>
    </row>
    <row r="12" spans="1:9">
      <c r="A12" t="s">
        <v>22</v>
      </c>
      <c r="B12" s="8">
        <f>SUMIFS('Nacional · base'!$E$1074:$E$1473,'Nacional · base'!$A$1074:$A$1473,2027,'Nacional · base'!$B$1074:$B$1473,6,'Nacional · base'!$D$1074:$D$1473,"Resto nacional")</f>
        <v>209112.65999999997</v>
      </c>
      <c r="C12">
        <f>SUMIFS('Nacional · base'!$G$1074:$G$1473,'Nacional · base'!$A$1074:$A$1473,2027,'Nacional · base'!$B$1074:$B$1473,6,'Nacional · base'!$D$1074:$D$1473,"Resto nacional")</f>
        <v>270</v>
      </c>
      <c r="D12" s="6">
        <f>SUMIFS('Nacional · base'!$Q$1074:$Q$1473,'Nacional · base'!$A$1074:$A$1473,2027,'Nacional · base'!$B$1074:$B$1473,6,'Nacional · base'!$D$1074:$D$1473,"Resto nacional")</f>
        <v>20396.407153911521</v>
      </c>
      <c r="E12" s="8">
        <f>SUMIFS('Nacional · base'!$E$1074:$E$1473,'Nacional · base'!$A$1074:$A$1473,2027,'Nacional · base'!$B$1074:$B$1473,6,'Nacional · base'!$D$1074:$D$1473,"Canarias")</f>
        <v>8591.18</v>
      </c>
      <c r="F12">
        <f>SUMIFS('Nacional · base'!$G$1074:$G$1473,'Nacional · base'!$A$1074:$A$1473,2027,'Nacional · base'!$B$1074:$B$1473,6,'Nacional · base'!$D$1074:$D$1473,"Canarias")</f>
        <v>13</v>
      </c>
      <c r="G12" s="6">
        <f>SUMIFS('Nacional · base'!$R$1074:$R$1473,'Nacional · base'!$A$1074:$A$1473,2027,'Nacional · base'!$B$1074:$B$1473,6,'Nacional · base'!$D$1074:$D$1473,"Canarias")</f>
        <v>2584.4400148540499</v>
      </c>
      <c r="H12" s="8">
        <f t="shared" si="0"/>
        <v>217703.83999999997</v>
      </c>
      <c r="I12" s="6">
        <f t="shared" si="1"/>
        <v>22980.847168765569</v>
      </c>
    </row>
    <row r="13" spans="1:9">
      <c r="A13" t="s">
        <v>23</v>
      </c>
      <c r="B13" s="8">
        <f>SUMIFS('Nacional · base'!$E$1074:$E$1473,'Nacional · base'!$A$1074:$A$1473,2027,'Nacional · base'!$B$1074:$B$1473,7,'Nacional · base'!$D$1074:$D$1473,"Resto nacional")</f>
        <v>151201.88</v>
      </c>
      <c r="C13">
        <f>SUMIFS('Nacional · base'!$G$1074:$G$1473,'Nacional · base'!$A$1074:$A$1473,2027,'Nacional · base'!$B$1074:$B$1473,7,'Nacional · base'!$D$1074:$D$1473,"Resto nacional")</f>
        <v>199</v>
      </c>
      <c r="D13" s="6">
        <f>SUMIFS('Nacional · base'!$Q$1074:$Q$1473,'Nacional · base'!$A$1074:$A$1473,2027,'Nacional · base'!$B$1074:$B$1473,7,'Nacional · base'!$D$1074:$D$1473,"Resto nacional")</f>
        <v>14747.911995939759</v>
      </c>
      <c r="E13" s="8">
        <f>SUMIFS('Nacional · base'!$E$1074:$E$1473,'Nacional · base'!$A$1074:$A$1473,2027,'Nacional · base'!$B$1074:$B$1473,7,'Nacional · base'!$D$1074:$D$1473,"Canarias")</f>
        <v>16143.099999999999</v>
      </c>
      <c r="F13">
        <f>SUMIFS('Nacional · base'!$G$1074:$G$1473,'Nacional · base'!$A$1074:$A$1473,2027,'Nacional · base'!$B$1074:$B$1473,7,'Nacional · base'!$D$1074:$D$1473,"Canarias")</f>
        <v>23</v>
      </c>
      <c r="G13" s="6">
        <f>SUMIFS('Nacional · base'!$R$1074:$R$1473,'Nacional · base'!$A$1074:$A$1473,2027,'Nacional · base'!$B$1074:$B$1473,7,'Nacional · base'!$D$1074:$D$1473,"Canarias")</f>
        <v>4588.2982662707109</v>
      </c>
      <c r="H13" s="8">
        <f t="shared" si="0"/>
        <v>167344.98000000001</v>
      </c>
      <c r="I13" s="6">
        <f t="shared" si="1"/>
        <v>19336.210262210472</v>
      </c>
    </row>
    <row r="14" spans="1:9">
      <c r="A14" t="s">
        <v>24</v>
      </c>
      <c r="B14" s="8">
        <f>SUMIFS('Nacional · base'!$E$1074:$E$1473,'Nacional · base'!$A$1074:$A$1473,2027,'Nacional · base'!$B$1074:$B$1473,8,'Nacional · base'!$D$1074:$D$1473,"Resto nacional")</f>
        <v>136751.46000000002</v>
      </c>
      <c r="C14">
        <f>SUMIFS('Nacional · base'!$G$1074:$G$1473,'Nacional · base'!$A$1074:$A$1473,2027,'Nacional · base'!$B$1074:$B$1473,8,'Nacional · base'!$D$1074:$D$1473,"Resto nacional")</f>
        <v>167</v>
      </c>
      <c r="D14" s="6">
        <f>SUMIFS('Nacional · base'!$Q$1074:$Q$1473,'Nacional · base'!$A$1074:$A$1473,2027,'Nacional · base'!$B$1074:$B$1473,8,'Nacional · base'!$D$1074:$D$1473,"Resto nacional")</f>
        <v>13338.448552334641</v>
      </c>
      <c r="E14" s="8">
        <f>SUMIFS('Nacional · base'!$E$1074:$E$1473,'Nacional · base'!$A$1074:$A$1473,2027,'Nacional · base'!$B$1074:$B$1473,8,'Nacional · base'!$D$1074:$D$1473,"Canarias")</f>
        <v>27209.98</v>
      </c>
      <c r="F14">
        <f>SUMIFS('Nacional · base'!$G$1074:$G$1473,'Nacional · base'!$A$1074:$A$1473,2027,'Nacional · base'!$B$1074:$B$1473,8,'Nacional · base'!$D$1074:$D$1473,"Canarias")</f>
        <v>37</v>
      </c>
      <c r="G14" s="6">
        <f>SUMIFS('Nacional · base'!$R$1074:$R$1473,'Nacional · base'!$A$1074:$A$1473,2027,'Nacional · base'!$B$1074:$B$1473,8,'Nacional · base'!$D$1074:$D$1473,"Canarias")</f>
        <v>8667.6855307925234</v>
      </c>
      <c r="H14" s="8">
        <f t="shared" si="0"/>
        <v>163961.44000000003</v>
      </c>
      <c r="I14" s="6">
        <f t="shared" si="1"/>
        <v>22006.134083127166</v>
      </c>
    </row>
    <row r="15" spans="1:9">
      <c r="A15" t="s">
        <v>11</v>
      </c>
      <c r="B15" s="8">
        <f>SUMIFS('Nacional · base'!$E$1074:$E$1473,'Nacional · base'!$A$1074:$A$1473,2027,'Nacional · base'!$B$1074:$B$1473,9,'Nacional · base'!$D$1074:$D$1473,"Resto nacional")</f>
        <v>80234.039999999979</v>
      </c>
      <c r="C15">
        <f>SUMIFS('Nacional · base'!$G$1074:$G$1473,'Nacional · base'!$A$1074:$A$1473,2027,'Nacional · base'!$B$1074:$B$1473,9,'Nacional · base'!$D$1074:$D$1473,"Resto nacional")</f>
        <v>102</v>
      </c>
      <c r="D15" s="6">
        <f>SUMIFS('Nacional · base'!$Q$1074:$Q$1473,'Nacional · base'!$A$1074:$A$1473,2027,'Nacional · base'!$B$1074:$B$1473,9,'Nacional · base'!$D$1074:$D$1473,"Resto nacional")</f>
        <v>7825.8587856097447</v>
      </c>
      <c r="E15" s="8">
        <f>SUMIFS('Nacional · base'!$E$1074:$E$1473,'Nacional · base'!$A$1074:$A$1473,2027,'Nacional · base'!$B$1074:$B$1473,9,'Nacional · base'!$D$1074:$D$1473,"Canarias")</f>
        <v>9928</v>
      </c>
      <c r="F15">
        <f>SUMIFS('Nacional · base'!$G$1074:$G$1473,'Nacional · base'!$A$1074:$A$1473,2027,'Nacional · base'!$B$1074:$B$1473,9,'Nacional · base'!$D$1074:$D$1473,"Canarias")</f>
        <v>14</v>
      </c>
      <c r="G15" s="6">
        <f>SUMIFS('Nacional · base'!$R$1074:$R$1473,'Nacional · base'!$A$1074:$A$1473,2027,'Nacional · base'!$B$1074:$B$1473,9,'Nacional · base'!$D$1074:$D$1473,"Canarias")</f>
        <v>2950.8534576492302</v>
      </c>
      <c r="H15" s="8">
        <f t="shared" si="0"/>
        <v>90162.039999999979</v>
      </c>
      <c r="I15" s="6">
        <f t="shared" si="1"/>
        <v>10776.712243258975</v>
      </c>
    </row>
    <row r="16" spans="1:9">
      <c r="A16" t="s">
        <v>12</v>
      </c>
      <c r="B16" s="8">
        <f>SUMIFS('Nacional · base'!$E$1074:$E$1473,'Nacional · base'!$A$1074:$A$1473,2027,'Nacional · base'!$B$1074:$B$1473,10,'Nacional · base'!$D$1074:$D$1473,"Resto nacional")</f>
        <v>130207</v>
      </c>
      <c r="C16">
        <f>SUMIFS('Nacional · base'!$G$1074:$G$1473,'Nacional · base'!$A$1074:$A$1473,2027,'Nacional · base'!$B$1074:$B$1473,10,'Nacional · base'!$D$1074:$D$1473,"Resto nacional")</f>
        <v>165</v>
      </c>
      <c r="D16" s="6">
        <f>SUMIFS('Nacional · base'!$Q$1074:$Q$1473,'Nacional · base'!$A$1074:$A$1473,2027,'Nacional · base'!$B$1074:$B$1473,10,'Nacional · base'!$D$1074:$D$1473,"Resto nacional")</f>
        <v>12700.115747603984</v>
      </c>
      <c r="E16" s="8">
        <f>SUMIFS('Nacional · base'!$E$1074:$E$1473,'Nacional · base'!$A$1074:$A$1473,2027,'Nacional · base'!$B$1074:$B$1473,10,'Nacional · base'!$D$1074:$D$1473,"Canarias")</f>
        <v>39003.199999999997</v>
      </c>
      <c r="F16">
        <f>SUMIFS('Nacional · base'!$G$1074:$G$1473,'Nacional · base'!$A$1074:$A$1473,2027,'Nacional · base'!$B$1074:$B$1473,10,'Nacional · base'!$D$1074:$D$1473,"Canarias")</f>
        <v>45</v>
      </c>
      <c r="G16" s="6">
        <f>SUMIFS('Nacional · base'!$R$1074:$R$1473,'Nacional · base'!$A$1074:$A$1473,2027,'Nacional · base'!$B$1074:$B$1473,10,'Nacional · base'!$D$1074:$D$1473,"Canarias")</f>
        <v>9635.0410958124958</v>
      </c>
      <c r="H16" s="8">
        <f t="shared" si="0"/>
        <v>169210.2</v>
      </c>
      <c r="I16" s="6">
        <f t="shared" si="1"/>
        <v>22335.15684341648</v>
      </c>
    </row>
    <row r="17" spans="1:9">
      <c r="A17" t="s">
        <v>13</v>
      </c>
      <c r="B17" s="8">
        <f>SUMIFS('Nacional · base'!$E$1074:$E$1473,'Nacional · base'!$A$1074:$A$1473,2027,'Nacional · base'!$B$1074:$B$1473,11,'Nacional · base'!$D$1074:$D$1473,"Resto nacional")</f>
        <v>128444.36</v>
      </c>
      <c r="C17">
        <f>SUMIFS('Nacional · base'!$G$1074:$G$1473,'Nacional · base'!$A$1074:$A$1473,2027,'Nacional · base'!$B$1074:$B$1473,11,'Nacional · base'!$D$1074:$D$1473,"Resto nacional")</f>
        <v>155</v>
      </c>
      <c r="D17" s="6">
        <f>SUMIFS('Nacional · base'!$Q$1074:$Q$1473,'Nacional · base'!$A$1074:$A$1473,2027,'Nacional · base'!$B$1074:$B$1473,11,'Nacional · base'!$D$1074:$D$1473,"Resto nacional")</f>
        <v>12528.191565176337</v>
      </c>
      <c r="E17" s="8">
        <f>SUMIFS('Nacional · base'!$E$1074:$E$1473,'Nacional · base'!$A$1074:$A$1473,2027,'Nacional · base'!$B$1074:$B$1473,11,'Nacional · base'!$D$1074:$D$1473,"Canarias")</f>
        <v>52107.9</v>
      </c>
      <c r="F17">
        <f>SUMIFS('Nacional · base'!$G$1074:$G$1473,'Nacional · base'!$A$1074:$A$1473,2027,'Nacional · base'!$B$1074:$B$1473,11,'Nacional · base'!$D$1074:$D$1473,"Canarias")</f>
        <v>62</v>
      </c>
      <c r="G17" s="6">
        <f>SUMIFS('Nacional · base'!$R$1074:$R$1473,'Nacional · base'!$A$1074:$A$1473,2027,'Nacional · base'!$B$1074:$B$1473,11,'Nacional · base'!$D$1074:$D$1473,"Canarias")</f>
        <v>13725.161683125349</v>
      </c>
      <c r="H17" s="8">
        <f t="shared" si="0"/>
        <v>180552.26</v>
      </c>
      <c r="I17" s="6">
        <f t="shared" si="1"/>
        <v>26253.353248301686</v>
      </c>
    </row>
    <row r="18" spans="1:9">
      <c r="A18" t="s">
        <v>14</v>
      </c>
      <c r="B18" s="8">
        <f>SUMIFS('Nacional · base'!$E$1074:$E$1473,'Nacional · base'!$A$1074:$A$1473,2027,'Nacional · base'!$B$1074:$B$1473,12,'Nacional · base'!$D$1074:$D$1473,"Resto nacional")</f>
        <v>51158.05999999999</v>
      </c>
      <c r="C18">
        <f>SUMIFS('Nacional · base'!$G$1074:$G$1473,'Nacional · base'!$A$1074:$A$1473,2027,'Nacional · base'!$B$1074:$B$1473,12,'Nacional · base'!$D$1074:$D$1473,"Resto nacional")</f>
        <v>74</v>
      </c>
      <c r="D18" s="6">
        <f>SUMIFS('Nacional · base'!$Q$1074:$Q$1473,'Nacional · base'!$A$1074:$A$1473,2027,'Nacional · base'!$B$1074:$B$1473,12,'Nacional · base'!$D$1074:$D$1473,"Resto nacional")</f>
        <v>4989.8491127425523</v>
      </c>
      <c r="E18" s="8">
        <f>SUMIFS('Nacional · base'!$E$1074:$E$1473,'Nacional · base'!$A$1074:$A$1473,2027,'Nacional · base'!$B$1074:$B$1473,12,'Nacional · base'!$D$1074:$D$1473,"Canarias")</f>
        <v>2666.8</v>
      </c>
      <c r="F18">
        <f>SUMIFS('Nacional · base'!$G$1074:$G$1473,'Nacional · base'!$A$1074:$A$1473,2027,'Nacional · base'!$B$1074:$B$1473,12,'Nacional · base'!$D$1074:$D$1473,"Canarias")</f>
        <v>4</v>
      </c>
      <c r="G18" s="6">
        <f>SUMIFS('Nacional · base'!$R$1074:$R$1473,'Nacional · base'!$A$1074:$A$1473,2027,'Nacional · base'!$B$1074:$B$1473,12,'Nacional · base'!$D$1074:$D$1473,"Canarias")</f>
        <v>625.65144205098409</v>
      </c>
      <c r="H18" s="8">
        <f t="shared" si="0"/>
        <v>53824.859999999993</v>
      </c>
      <c r="I18" s="6">
        <f t="shared" si="1"/>
        <v>5615.5005547935361</v>
      </c>
    </row>
    <row r="19" spans="1:9">
      <c r="A19" s="2" t="s">
        <v>37</v>
      </c>
      <c r="B19" s="9">
        <f t="shared" ref="B19:I19" si="2">SUM(B7:B18)</f>
        <v>1706743.4400000002</v>
      </c>
      <c r="C19" s="2">
        <f t="shared" si="2"/>
        <v>2211</v>
      </c>
      <c r="D19" s="7">
        <f t="shared" si="2"/>
        <v>166472.15003389833</v>
      </c>
      <c r="E19" s="9">
        <f t="shared" si="2"/>
        <v>289049.08</v>
      </c>
      <c r="F19" s="2">
        <f t="shared" si="2"/>
        <v>366</v>
      </c>
      <c r="G19" s="7">
        <f t="shared" si="2"/>
        <v>79198.29134717604</v>
      </c>
      <c r="H19" s="9">
        <f t="shared" si="2"/>
        <v>1995792.5199999998</v>
      </c>
      <c r="I19" s="7">
        <f t="shared" si="2"/>
        <v>245670.44138107434</v>
      </c>
    </row>
    <row r="23" spans="1:9">
      <c r="A23" t="s">
        <v>38</v>
      </c>
    </row>
    <row r="24" spans="1:9">
      <c r="A24" t="s">
        <v>10</v>
      </c>
      <c r="B24" t="s">
        <v>39</v>
      </c>
      <c r="C24" t="s">
        <v>40</v>
      </c>
      <c r="D24" t="s">
        <v>41</v>
      </c>
      <c r="E24" t="s">
        <v>35</v>
      </c>
    </row>
    <row r="25" spans="1:9">
      <c r="A25" t="s">
        <v>17</v>
      </c>
      <c r="B25" t="s">
        <v>42</v>
      </c>
      <c r="C25">
        <f>SUMIFS('Nacional · base'!$E$1074:$E$1473,'Nacional · base'!$A$1074:$A$1473,2027,'Nacional · base'!$B$1074:$B$1473,1,'Nacional · base'!$C$1074:$C$1473,"AGROQUIMICAS DRAGO S.L.")</f>
        <v>8598.06</v>
      </c>
      <c r="D25">
        <f>SUMIFS('Nacional · base'!$G$1074:$G$1473,'Nacional · base'!$A$1074:$A$1473,2027,'Nacional · base'!$B$1074:$B$1473,1,'Nacional · base'!$C$1074:$C$1473,"AGROQUIMICAS DRAGO S.L.")</f>
        <v>10</v>
      </c>
      <c r="E25">
        <f>SUMIFS('Nacional · base'!$R$1074:$R$1473,'Nacional · base'!$A$1074:$A$1473,2027,'Nacional · base'!$B$1074:$B$1473,1,'Nacional · base'!$C$1074:$C$1473,"AGROQUIMICAS DRAGO S.L.")</f>
        <v>1934.4507373924034</v>
      </c>
    </row>
    <row r="26" spans="1:9">
      <c r="A26" t="s">
        <v>17</v>
      </c>
      <c r="B26" t="s">
        <v>43</v>
      </c>
      <c r="C26">
        <f>SUMIFS('Nacional · base'!$E$1074:$E$1473,'Nacional · base'!$A$1074:$A$1473,2027,'Nacional · base'!$B$1074:$B$1473,1,'Nacional · base'!$C$1074:$C$1473,"FITOSANITARIOS DRAGO S.L.U")</f>
        <v>1959.7399999999998</v>
      </c>
      <c r="D26">
        <f>SUMIFS('Nacional · base'!$G$1074:$G$1473,'Nacional · base'!$A$1074:$A$1473,2027,'Nacional · base'!$B$1074:$B$1473,1,'Nacional · base'!$C$1074:$C$1473,"FITOSANITARIOS DRAGO S.L.U")</f>
        <v>3</v>
      </c>
      <c r="E26">
        <f>SUMIFS('Nacional · base'!$R$1074:$R$1473,'Nacional · base'!$A$1074:$A$1473,2027,'Nacional · base'!$B$1074:$B$1473,1,'Nacional · base'!$C$1074:$C$1473,"FITOSANITARIOS DRAGO S.L.U")</f>
        <v>479.17654913470273</v>
      </c>
    </row>
    <row r="27" spans="1:9">
      <c r="A27" t="s">
        <v>17</v>
      </c>
      <c r="B27" t="s">
        <v>44</v>
      </c>
      <c r="C27">
        <f>SUMIFS('Nacional · base'!$E$1074:$E$1473,'Nacional · base'!$A$1074:$A$1473,2027,'Nacional · base'!$B$1074:$B$1473,1,'Nacional · base'!$C$1074:$C$1473,"CABRERA MORALES FRANCISCO")</f>
        <v>11252.04</v>
      </c>
      <c r="D27">
        <f>SUMIFS('Nacional · base'!$G$1074:$G$1473,'Nacional · base'!$A$1074:$A$1473,2027,'Nacional · base'!$B$1074:$B$1473,1,'Nacional · base'!$C$1074:$C$1473,"CABRERA MORALES FRANCISCO")</f>
        <v>15</v>
      </c>
      <c r="E27">
        <f>SUMIFS('Nacional · base'!$R$1074:$R$1473,'Nacional · base'!$A$1074:$A$1473,2027,'Nacional · base'!$B$1074:$B$1473,1,'Nacional · base'!$C$1074:$C$1473,"CABRERA MORALES FRANCISCO")</f>
        <v>3674.5539986756689</v>
      </c>
    </row>
    <row r="28" spans="1:9">
      <c r="A28" t="s">
        <v>18</v>
      </c>
      <c r="B28" t="s">
        <v>42</v>
      </c>
      <c r="C28">
        <f>SUMIFS('Nacional · base'!$E$1074:$E$1473,'Nacional · base'!$A$1074:$A$1473,2027,'Nacional · base'!$B$1074:$B$1473,2,'Nacional · base'!$C$1074:$C$1473,"AGROQUIMICAS DRAGO S.L.")</f>
        <v>4192.5399999999991</v>
      </c>
      <c r="D28">
        <f>SUMIFS('Nacional · base'!$G$1074:$G$1473,'Nacional · base'!$A$1074:$A$1473,2027,'Nacional · base'!$B$1074:$B$1473,2,'Nacional · base'!$C$1074:$C$1473,"AGROQUIMICAS DRAGO S.L.")</f>
        <v>6</v>
      </c>
      <c r="E28">
        <f>SUMIFS('Nacional · base'!$R$1074:$R$1473,'Nacional · base'!$A$1074:$A$1473,2027,'Nacional · base'!$B$1074:$B$1473,2,'Nacional · base'!$C$1074:$C$1473,"AGROQUIMICAS DRAGO S.L.")</f>
        <v>970.08255135030083</v>
      </c>
    </row>
    <row r="29" spans="1:9">
      <c r="A29" t="s">
        <v>18</v>
      </c>
      <c r="B29" t="s">
        <v>43</v>
      </c>
      <c r="C29">
        <f>SUMIFS('Nacional · base'!$E$1074:$E$1473,'Nacional · base'!$A$1074:$A$1473,2027,'Nacional · base'!$B$1074:$B$1473,2,'Nacional · base'!$C$1074:$C$1473,"FITOSANITARIOS DRAGO S.L.U")</f>
        <v>5785.54</v>
      </c>
      <c r="D29">
        <f>SUMIFS('Nacional · base'!$G$1074:$G$1473,'Nacional · base'!$A$1074:$A$1473,2027,'Nacional · base'!$B$1074:$B$1473,2,'Nacional · base'!$C$1074:$C$1473,"FITOSANITARIOS DRAGO S.L.U")</f>
        <v>6</v>
      </c>
      <c r="E29">
        <f>SUMIFS('Nacional · base'!$R$1074:$R$1473,'Nacional · base'!$A$1074:$A$1473,2027,'Nacional · base'!$B$1074:$B$1473,2,'Nacional · base'!$C$1074:$C$1473,"FITOSANITARIOS DRAGO S.L.U")</f>
        <v>1278.6531735730771</v>
      </c>
    </row>
    <row r="30" spans="1:9">
      <c r="A30" t="s">
        <v>18</v>
      </c>
      <c r="B30" t="s">
        <v>44</v>
      </c>
      <c r="C30">
        <f>SUMIFS('Nacional · base'!$E$1074:$E$1473,'Nacional · base'!$A$1074:$A$1473,2027,'Nacional · base'!$B$1074:$B$1473,2,'Nacional · base'!$C$1074:$C$1473,"CABRERA MORALES FRANCISCO")</f>
        <v>9495.7999999999993</v>
      </c>
      <c r="D30">
        <f>SUMIFS('Nacional · base'!$G$1074:$G$1473,'Nacional · base'!$A$1074:$A$1473,2027,'Nacional · base'!$B$1074:$B$1473,2,'Nacional · base'!$C$1074:$C$1473,"CABRERA MORALES FRANCISCO")</f>
        <v>13</v>
      </c>
      <c r="E30">
        <f>SUMIFS('Nacional · base'!$R$1074:$R$1473,'Nacional · base'!$A$1074:$A$1473,2027,'Nacional · base'!$B$1074:$B$1473,2,'Nacional · base'!$C$1074:$C$1473,"CABRERA MORALES FRANCISCO")</f>
        <v>3118.5223873365899</v>
      </c>
    </row>
    <row r="31" spans="1:9">
      <c r="A31" t="s">
        <v>19</v>
      </c>
      <c r="B31" t="s">
        <v>42</v>
      </c>
      <c r="C31">
        <f>SUMIFS('Nacional · base'!$E$1074:$E$1473,'Nacional · base'!$A$1074:$A$1473,2027,'Nacional · base'!$B$1074:$B$1473,3,'Nacional · base'!$C$1074:$C$1473,"AGROQUIMICAS DRAGO S.L.")</f>
        <v>11280.2</v>
      </c>
      <c r="D31">
        <f>SUMIFS('Nacional · base'!$G$1074:$G$1473,'Nacional · base'!$A$1074:$A$1473,2027,'Nacional · base'!$B$1074:$B$1473,3,'Nacional · base'!$C$1074:$C$1473,"AGROQUIMICAS DRAGO S.L.")</f>
        <v>14</v>
      </c>
      <c r="E31">
        <f>SUMIFS('Nacional · base'!$R$1074:$R$1473,'Nacional · base'!$A$1074:$A$1473,2027,'Nacional · base'!$B$1074:$B$1473,3,'Nacional · base'!$C$1074:$C$1473,"AGROQUIMICAS DRAGO S.L.")</f>
        <v>2537.6171483601897</v>
      </c>
    </row>
    <row r="32" spans="1:9">
      <c r="A32" t="s">
        <v>19</v>
      </c>
      <c r="B32" t="s">
        <v>43</v>
      </c>
      <c r="C32">
        <f>SUMIFS('Nacional · base'!$E$1074:$E$1473,'Nacional · base'!$A$1074:$A$1473,2027,'Nacional · base'!$B$1074:$B$1473,3,'Nacional · base'!$C$1074:$C$1473,"FITOSANITARIOS DRAGO S.L.U")</f>
        <v>6819.4400000000005</v>
      </c>
      <c r="D32">
        <f>SUMIFS('Nacional · base'!$G$1074:$G$1473,'Nacional · base'!$A$1074:$A$1473,2027,'Nacional · base'!$B$1074:$B$1473,3,'Nacional · base'!$C$1074:$C$1473,"FITOSANITARIOS DRAGO S.L.U")</f>
        <v>7</v>
      </c>
      <c r="E32">
        <f>SUMIFS('Nacional · base'!$R$1074:$R$1473,'Nacional · base'!$A$1074:$A$1473,2027,'Nacional · base'!$B$1074:$B$1473,3,'Nacional · base'!$C$1074:$C$1473,"FITOSANITARIOS DRAGO S.L.U")</f>
        <v>1541.2202565104076</v>
      </c>
    </row>
    <row r="33" spans="1:5">
      <c r="A33" t="s">
        <v>19</v>
      </c>
      <c r="B33" t="s">
        <v>44</v>
      </c>
      <c r="C33">
        <f>SUMIFS('Nacional · base'!$E$1074:$E$1473,'Nacional · base'!$A$1074:$A$1473,2027,'Nacional · base'!$B$1074:$B$1473,3,'Nacional · base'!$C$1074:$C$1473,"CABRERA MORALES FRANCISCO")</f>
        <v>9661.42</v>
      </c>
      <c r="D33">
        <f>SUMIFS('Nacional · base'!$G$1074:$G$1473,'Nacional · base'!$A$1074:$A$1473,2027,'Nacional · base'!$B$1074:$B$1473,3,'Nacional · base'!$C$1074:$C$1473,"CABRERA MORALES FRANCISCO")</f>
        <v>13</v>
      </c>
      <c r="E33">
        <f>SUMIFS('Nacional · base'!$R$1074:$R$1473,'Nacional · base'!$A$1074:$A$1473,2027,'Nacional · base'!$B$1074:$B$1473,3,'Nacional · base'!$C$1074:$C$1473,"CABRERA MORALES FRANCISCO")</f>
        <v>3145.8872663290636</v>
      </c>
    </row>
    <row r="34" spans="1:5">
      <c r="A34" t="s">
        <v>20</v>
      </c>
      <c r="B34" t="s">
        <v>42</v>
      </c>
      <c r="C34">
        <f>SUMIFS('Nacional · base'!$E$1074:$E$1473,'Nacional · base'!$A$1074:$A$1473,2027,'Nacional · base'!$B$1074:$B$1473,4,'Nacional · base'!$C$1074:$C$1473,"AGROQUIMICAS DRAGO S.L.")</f>
        <v>4948.84</v>
      </c>
      <c r="D34">
        <f>SUMIFS('Nacional · base'!$G$1074:$G$1473,'Nacional · base'!$A$1074:$A$1473,2027,'Nacional · base'!$B$1074:$B$1473,4,'Nacional · base'!$C$1074:$C$1473,"AGROQUIMICAS DRAGO S.L.")</f>
        <v>7</v>
      </c>
      <c r="E34">
        <f>SUMIFS('Nacional · base'!$R$1074:$R$1473,'Nacional · base'!$A$1074:$A$1473,2027,'Nacional · base'!$B$1074:$B$1473,4,'Nacional · base'!$C$1074:$C$1473,"AGROQUIMICAS DRAGO S.L.")</f>
        <v>1142.1143401023946</v>
      </c>
    </row>
    <row r="35" spans="1:5">
      <c r="A35" t="s">
        <v>20</v>
      </c>
      <c r="B35" t="s">
        <v>43</v>
      </c>
      <c r="C35">
        <f>SUMIFS('Nacional · base'!$E$1074:$E$1473,'Nacional · base'!$A$1074:$A$1473,2027,'Nacional · base'!$B$1074:$B$1473,4,'Nacional · base'!$C$1074:$C$1473,"FITOSANITARIOS DRAGO S.L.U")</f>
        <v>3009</v>
      </c>
      <c r="D35">
        <f>SUMIFS('Nacional · base'!$G$1074:$G$1473,'Nacional · base'!$A$1074:$A$1473,2027,'Nacional · base'!$B$1074:$B$1473,4,'Nacional · base'!$C$1074:$C$1473,"FITOSANITARIOS DRAGO S.L.U")</f>
        <v>3</v>
      </c>
      <c r="E35">
        <f>SUMIFS('Nacional · base'!$R$1074:$R$1473,'Nacional · base'!$A$1074:$A$1473,2027,'Nacional · base'!$B$1074:$B$1473,4,'Nacional · base'!$C$1074:$C$1473,"FITOSANITARIOS DRAGO S.L.U")</f>
        <v>702.69258199736146</v>
      </c>
    </row>
    <row r="36" spans="1:5">
      <c r="A36" t="s">
        <v>20</v>
      </c>
      <c r="B36" t="s">
        <v>44</v>
      </c>
      <c r="C36">
        <f>SUMIFS('Nacional · base'!$E$1074:$E$1473,'Nacional · base'!$A$1074:$A$1473,2027,'Nacional · base'!$B$1074:$B$1473,4,'Nacional · base'!$C$1074:$C$1473,"CABRERA MORALES FRANCISCO")</f>
        <v>5692.8</v>
      </c>
      <c r="D36">
        <f>SUMIFS('Nacional · base'!$G$1074:$G$1473,'Nacional · base'!$A$1074:$A$1473,2027,'Nacional · base'!$B$1074:$B$1473,4,'Nacional · base'!$C$1074:$C$1473,"CABRERA MORALES FRANCISCO")</f>
        <v>8</v>
      </c>
      <c r="E36">
        <f>SUMIFS('Nacional · base'!$R$1074:$R$1473,'Nacional · base'!$A$1074:$A$1473,2027,'Nacional · base'!$B$1074:$B$1473,4,'Nacional · base'!$C$1074:$C$1473,"CABRERA MORALES FRANCISCO")</f>
        <v>1867.2351876109572</v>
      </c>
    </row>
    <row r="37" spans="1:5">
      <c r="A37" t="s">
        <v>21</v>
      </c>
      <c r="B37" t="s">
        <v>42</v>
      </c>
      <c r="C37">
        <f>SUMIFS('Nacional · base'!$E$1074:$E$1473,'Nacional · base'!$A$1074:$A$1473,2027,'Nacional · base'!$B$1074:$B$1473,5,'Nacional · base'!$C$1074:$C$1473,"AGROQUIMICAS DRAGO S.L.")</f>
        <v>4124.0999999999995</v>
      </c>
      <c r="D37">
        <f>SUMIFS('Nacional · base'!$G$1074:$G$1473,'Nacional · base'!$A$1074:$A$1473,2027,'Nacional · base'!$B$1074:$B$1473,5,'Nacional · base'!$C$1074:$C$1473,"AGROQUIMICAS DRAGO S.L.")</f>
        <v>6</v>
      </c>
      <c r="E37">
        <f>SUMIFS('Nacional · base'!$R$1074:$R$1473,'Nacional · base'!$A$1074:$A$1473,2027,'Nacional · base'!$B$1074:$B$1473,5,'Nacional · base'!$C$1074:$C$1473,"AGROQUIMICAS DRAGO S.L.")</f>
        <v>956.64324757227064</v>
      </c>
    </row>
    <row r="38" spans="1:5">
      <c r="A38" t="s">
        <v>21</v>
      </c>
      <c r="B38" t="s">
        <v>43</v>
      </c>
      <c r="C38">
        <f>SUMIFS('Nacional · base'!$E$1074:$E$1473,'Nacional · base'!$A$1074:$A$1473,2027,'Nacional · base'!$B$1074:$B$1473,5,'Nacional · base'!$C$1074:$C$1473,"FITOSANITARIOS DRAGO S.L.U")</f>
        <v>20681.5</v>
      </c>
      <c r="D38">
        <f>SUMIFS('Nacional · base'!$G$1074:$G$1473,'Nacional · base'!$A$1074:$A$1473,2027,'Nacional · base'!$B$1074:$B$1473,5,'Nacional · base'!$C$1074:$C$1473,"FITOSANITARIOS DRAGO S.L.U")</f>
        <v>22</v>
      </c>
      <c r="E38">
        <f>SUMIFS('Nacional · base'!$R$1074:$R$1473,'Nacional · base'!$A$1074:$A$1473,2027,'Nacional · base'!$B$1074:$B$1473,5,'Nacional · base'!$C$1074:$C$1473,"FITOSANITARIOS DRAGO S.L.U")</f>
        <v>4621.9335018497768</v>
      </c>
    </row>
    <row r="39" spans="1:5">
      <c r="A39" t="s">
        <v>21</v>
      </c>
      <c r="B39" t="s">
        <v>44</v>
      </c>
      <c r="C39">
        <f>SUMIFS('Nacional · base'!$E$1074:$E$1473,'Nacional · base'!$A$1074:$A$1473,2027,'Nacional · base'!$B$1074:$B$1473,5,'Nacional · base'!$C$1074:$C$1473,"CABRERA MORALES FRANCISCO")</f>
        <v>25897.9</v>
      </c>
      <c r="D39">
        <f>SUMIFS('Nacional · base'!$G$1074:$G$1473,'Nacional · base'!$A$1074:$A$1473,2027,'Nacional · base'!$B$1074:$B$1473,5,'Nacional · base'!$C$1074:$C$1473,"CABRERA MORALES FRANCISCO")</f>
        <v>35</v>
      </c>
      <c r="E39">
        <f>SUMIFS('Nacional · base'!$R$1074:$R$1473,'Nacional · base'!$A$1074:$A$1473,2027,'Nacional · base'!$B$1074:$B$1473,5,'Nacional · base'!$C$1074:$C$1473,"CABRERA MORALES FRANCISCO")</f>
        <v>8450.3769288255389</v>
      </c>
    </row>
    <row r="40" spans="1:5">
      <c r="A40" t="s">
        <v>22</v>
      </c>
      <c r="B40" t="s">
        <v>42</v>
      </c>
      <c r="C40">
        <f>SUMIFS('Nacional · base'!$E$1074:$E$1473,'Nacional · base'!$A$1074:$A$1473,2027,'Nacional · base'!$B$1074:$B$1473,6,'Nacional · base'!$C$1074:$C$1473,"AGROQUIMICAS DRAGO S.L.")</f>
        <v>2573.2799999999997</v>
      </c>
      <c r="D40">
        <f>SUMIFS('Nacional · base'!$G$1074:$G$1473,'Nacional · base'!$A$1074:$A$1473,2027,'Nacional · base'!$B$1074:$B$1473,6,'Nacional · base'!$C$1074:$C$1473,"AGROQUIMICAS DRAGO S.L.")</f>
        <v>4</v>
      </c>
      <c r="E40">
        <f>SUMIFS('Nacional · base'!$R$1074:$R$1473,'Nacional · base'!$A$1074:$A$1473,2027,'Nacional · base'!$B$1074:$B$1473,6,'Nacional · base'!$C$1074:$C$1473,"AGROQUIMICAS DRAGO S.L.")</f>
        <v>602.49977409214648</v>
      </c>
    </row>
    <row r="41" spans="1:5">
      <c r="A41" t="s">
        <v>22</v>
      </c>
      <c r="B41" t="s">
        <v>43</v>
      </c>
      <c r="C41">
        <f>SUMIFS('Nacional · base'!$E$1074:$E$1473,'Nacional · base'!$A$1074:$A$1473,2027,'Nacional · base'!$B$1074:$B$1473,6,'Nacional · base'!$C$1074:$C$1473,"FITOSANITARIOS DRAGO S.L.U")</f>
        <v>0</v>
      </c>
      <c r="D41">
        <f>SUMIFS('Nacional · base'!$G$1074:$G$1473,'Nacional · base'!$A$1074:$A$1473,2027,'Nacional · base'!$B$1074:$B$1473,6,'Nacional · base'!$C$1074:$C$1473,"FITOSANITARIOS DRAGO S.L.U")</f>
        <v>0</v>
      </c>
      <c r="E41">
        <f>SUMIFS('Nacional · base'!$R$1074:$R$1473,'Nacional · base'!$A$1074:$A$1473,2027,'Nacional · base'!$B$1074:$B$1473,6,'Nacional · base'!$C$1074:$C$1473,"FITOSANITARIOS DRAGO S.L.U")</f>
        <v>0</v>
      </c>
    </row>
    <row r="42" spans="1:5">
      <c r="A42" t="s">
        <v>22</v>
      </c>
      <c r="B42" t="s">
        <v>44</v>
      </c>
      <c r="C42">
        <f>SUMIFS('Nacional · base'!$E$1074:$E$1473,'Nacional · base'!$A$1074:$A$1473,2027,'Nacional · base'!$B$1074:$B$1473,6,'Nacional · base'!$C$1074:$C$1473,"CABRERA MORALES FRANCISCO")</f>
        <v>6017.9</v>
      </c>
      <c r="D42">
        <f>SUMIFS('Nacional · base'!$G$1074:$G$1473,'Nacional · base'!$A$1074:$A$1473,2027,'Nacional · base'!$B$1074:$B$1473,6,'Nacional · base'!$C$1074:$C$1473,"CABRERA MORALES FRANCISCO")</f>
        <v>9</v>
      </c>
      <c r="E42">
        <f>SUMIFS('Nacional · base'!$R$1074:$R$1473,'Nacional · base'!$A$1074:$A$1473,2027,'Nacional · base'!$B$1074:$B$1473,6,'Nacional · base'!$C$1074:$C$1473,"CABRERA MORALES FRANCISCO")</f>
        <v>1981.9402407619034</v>
      </c>
    </row>
    <row r="43" spans="1:5">
      <c r="A43" t="s">
        <v>23</v>
      </c>
      <c r="B43" t="s">
        <v>42</v>
      </c>
      <c r="C43">
        <f>SUMIFS('Nacional · base'!$E$1074:$E$1473,'Nacional · base'!$A$1074:$A$1473,2027,'Nacional · base'!$B$1074:$B$1473,7,'Nacional · base'!$C$1074:$C$1473,"AGROQUIMICAS DRAGO S.L.")</f>
        <v>4913.1000000000004</v>
      </c>
      <c r="D43">
        <f>SUMIFS('Nacional · base'!$G$1074:$G$1473,'Nacional · base'!$A$1074:$A$1473,2027,'Nacional · base'!$B$1074:$B$1473,7,'Nacional · base'!$C$1074:$C$1473,"AGROQUIMICAS DRAGO S.L.")</f>
        <v>7</v>
      </c>
      <c r="E43">
        <f>SUMIFS('Nacional · base'!$R$1074:$R$1473,'Nacional · base'!$A$1074:$A$1473,2027,'Nacional · base'!$B$1074:$B$1473,7,'Nacional · base'!$C$1074:$C$1473,"AGROQUIMICAS DRAGO S.L.")</f>
        <v>1139.6776424376962</v>
      </c>
    </row>
    <row r="44" spans="1:5">
      <c r="A44" t="s">
        <v>23</v>
      </c>
      <c r="B44" t="s">
        <v>43</v>
      </c>
      <c r="C44">
        <f>SUMIFS('Nacional · base'!$E$1074:$E$1473,'Nacional · base'!$A$1074:$A$1473,2027,'Nacional · base'!$B$1074:$B$1473,7,'Nacional · base'!$C$1074:$C$1473,"FITOSANITARIOS DRAGO S.L.U")</f>
        <v>2407.1999999999998</v>
      </c>
      <c r="D44">
        <f>SUMIFS('Nacional · base'!$G$1074:$G$1473,'Nacional · base'!$A$1074:$A$1473,2027,'Nacional · base'!$B$1074:$B$1473,7,'Nacional · base'!$C$1074:$C$1473,"FITOSANITARIOS DRAGO S.L.U")</f>
        <v>4</v>
      </c>
      <c r="E44">
        <f>SUMIFS('Nacional · base'!$R$1074:$R$1473,'Nacional · base'!$A$1074:$A$1473,2027,'Nacional · base'!$B$1074:$B$1473,7,'Nacional · base'!$C$1074:$C$1473,"FITOSANITARIOS DRAGO S.L.U")</f>
        <v>563.70180810580337</v>
      </c>
    </row>
    <row r="45" spans="1:5">
      <c r="A45" t="s">
        <v>23</v>
      </c>
      <c r="B45" t="s">
        <v>44</v>
      </c>
      <c r="C45">
        <f>SUMIFS('Nacional · base'!$E$1074:$E$1473,'Nacional · base'!$A$1074:$A$1473,2027,'Nacional · base'!$B$1074:$B$1473,7,'Nacional · base'!$C$1074:$C$1473,"CABRERA MORALES FRANCISCO")</f>
        <v>8822.7999999999993</v>
      </c>
      <c r="D45">
        <f>SUMIFS('Nacional · base'!$G$1074:$G$1473,'Nacional · base'!$A$1074:$A$1473,2027,'Nacional · base'!$B$1074:$B$1473,7,'Nacional · base'!$C$1074:$C$1473,"CABRERA MORALES FRANCISCO")</f>
        <v>12</v>
      </c>
      <c r="E45">
        <f>SUMIFS('Nacional · base'!$R$1074:$R$1473,'Nacional · base'!$A$1074:$A$1473,2027,'Nacional · base'!$B$1074:$B$1473,7,'Nacional · base'!$C$1074:$C$1473,"CABRERA MORALES FRANCISCO")</f>
        <v>2884.918815727211</v>
      </c>
    </row>
    <row r="46" spans="1:5">
      <c r="A46" t="s">
        <v>24</v>
      </c>
      <c r="B46" t="s">
        <v>42</v>
      </c>
      <c r="C46">
        <f>SUMIFS('Nacional · base'!$E$1074:$E$1473,'Nacional · base'!$A$1074:$A$1473,2027,'Nacional · base'!$B$1074:$B$1473,8,'Nacional · base'!$C$1074:$C$1473,"AGROQUIMICAS DRAGO S.L.")</f>
        <v>3001.9599999999996</v>
      </c>
      <c r="D46">
        <f>SUMIFS('Nacional · base'!$G$1074:$G$1473,'Nacional · base'!$A$1074:$A$1473,2027,'Nacional · base'!$B$1074:$B$1473,8,'Nacional · base'!$C$1074:$C$1473,"AGROQUIMICAS DRAGO S.L.")</f>
        <v>4</v>
      </c>
      <c r="E46">
        <f>SUMIFS('Nacional · base'!$R$1074:$R$1473,'Nacional · base'!$A$1074:$A$1473,2027,'Nacional · base'!$B$1074:$B$1473,8,'Nacional · base'!$C$1074:$C$1473,"AGROQUIMICAS DRAGO S.L.")</f>
        <v>697.07145184135084</v>
      </c>
    </row>
    <row r="47" spans="1:5">
      <c r="A47" t="s">
        <v>24</v>
      </c>
      <c r="B47" t="s">
        <v>43</v>
      </c>
      <c r="C47">
        <f>SUMIFS('Nacional · base'!$E$1074:$E$1473,'Nacional · base'!$A$1074:$A$1473,2027,'Nacional · base'!$B$1074:$B$1473,8,'Nacional · base'!$C$1074:$C$1473,"FITOSANITARIOS DRAGO S.L.U")</f>
        <v>0</v>
      </c>
      <c r="D47">
        <f>SUMIFS('Nacional · base'!$G$1074:$G$1473,'Nacional · base'!$A$1074:$A$1473,2027,'Nacional · base'!$B$1074:$B$1473,8,'Nacional · base'!$C$1074:$C$1473,"FITOSANITARIOS DRAGO S.L.U")</f>
        <v>0</v>
      </c>
      <c r="E47">
        <f>SUMIFS('Nacional · base'!$R$1074:$R$1473,'Nacional · base'!$A$1074:$A$1473,2027,'Nacional · base'!$B$1074:$B$1473,8,'Nacional · base'!$C$1074:$C$1473,"FITOSANITARIOS DRAGO S.L.U")</f>
        <v>0</v>
      </c>
    </row>
    <row r="48" spans="1:5">
      <c r="A48" t="s">
        <v>24</v>
      </c>
      <c r="B48" t="s">
        <v>44</v>
      </c>
      <c r="C48">
        <f>SUMIFS('Nacional · base'!$E$1074:$E$1473,'Nacional · base'!$A$1074:$A$1473,2027,'Nacional · base'!$B$1074:$B$1473,8,'Nacional · base'!$C$1074:$C$1473,"CABRERA MORALES FRANCISCO")</f>
        <v>24208.02</v>
      </c>
      <c r="D48">
        <f>SUMIFS('Nacional · base'!$G$1074:$G$1473,'Nacional · base'!$A$1074:$A$1473,2027,'Nacional · base'!$B$1074:$B$1473,8,'Nacional · base'!$C$1074:$C$1473,"CABRERA MORALES FRANCISCO")</f>
        <v>33</v>
      </c>
      <c r="E48">
        <f>SUMIFS('Nacional · base'!$R$1074:$R$1473,'Nacional · base'!$A$1074:$A$1473,2027,'Nacional · base'!$B$1074:$B$1473,8,'Nacional · base'!$C$1074:$C$1473,"CABRERA MORALES FRANCISCO")</f>
        <v>7970.6140789511728</v>
      </c>
    </row>
    <row r="49" spans="1:5">
      <c r="A49" t="s">
        <v>11</v>
      </c>
      <c r="B49" t="s">
        <v>42</v>
      </c>
      <c r="C49">
        <f>SUMIFS('Nacional · base'!$E$1074:$E$1473,'Nacional · base'!$A$1074:$A$1473,2027,'Nacional · base'!$B$1074:$B$1473,9,'Nacional · base'!$C$1074:$C$1473,"AGROQUIMICAS DRAGO S.L.")</f>
        <v>3028</v>
      </c>
      <c r="D49">
        <f>SUMIFS('Nacional · base'!$G$1074:$G$1473,'Nacional · base'!$A$1074:$A$1473,2027,'Nacional · base'!$B$1074:$B$1473,9,'Nacional · base'!$C$1074:$C$1473,"AGROQUIMICAS DRAGO S.L.")</f>
        <v>4</v>
      </c>
      <c r="E49">
        <f>SUMIFS('Nacional · base'!$R$1074:$R$1473,'Nacional · base'!$A$1074:$A$1473,2027,'Nacional · base'!$B$1074:$B$1473,9,'Nacional · base'!$C$1074:$C$1473,"AGROQUIMICAS DRAGO S.L.")</f>
        <v>702.24038893859358</v>
      </c>
    </row>
    <row r="50" spans="1:5">
      <c r="A50" t="s">
        <v>11</v>
      </c>
      <c r="B50" t="s">
        <v>43</v>
      </c>
      <c r="C50">
        <f>SUMIFS('Nacional · base'!$E$1074:$E$1473,'Nacional · base'!$A$1074:$A$1473,2027,'Nacional · base'!$B$1074:$B$1473,9,'Nacional · base'!$C$1074:$C$1473,"FITOSANITARIOS DRAGO S.L.U")</f>
        <v>0</v>
      </c>
      <c r="D50">
        <f>SUMIFS('Nacional · base'!$G$1074:$G$1473,'Nacional · base'!$A$1074:$A$1473,2027,'Nacional · base'!$B$1074:$B$1473,9,'Nacional · base'!$C$1074:$C$1473,"FITOSANITARIOS DRAGO S.L.U")</f>
        <v>0</v>
      </c>
      <c r="E50">
        <f>SUMIFS('Nacional · base'!$R$1074:$R$1473,'Nacional · base'!$A$1074:$A$1473,2027,'Nacional · base'!$B$1074:$B$1473,9,'Nacional · base'!$C$1074:$C$1473,"FITOSANITARIOS DRAGO S.L.U")</f>
        <v>0</v>
      </c>
    </row>
    <row r="51" spans="1:5">
      <c r="A51" t="s">
        <v>11</v>
      </c>
      <c r="B51" t="s">
        <v>44</v>
      </c>
      <c r="C51">
        <f>SUMIFS('Nacional · base'!$E$1074:$E$1473,'Nacional · base'!$A$1074:$A$1473,2027,'Nacional · base'!$B$1074:$B$1473,9,'Nacional · base'!$C$1074:$C$1473,"CABRERA MORALES FRANCISCO")</f>
        <v>6900</v>
      </c>
      <c r="D51">
        <f>SUMIFS('Nacional · base'!$G$1074:$G$1473,'Nacional · base'!$A$1074:$A$1473,2027,'Nacional · base'!$B$1074:$B$1473,9,'Nacional · base'!$C$1074:$C$1473,"CABRERA MORALES FRANCISCO")</f>
        <v>10</v>
      </c>
      <c r="E51">
        <f>SUMIFS('Nacional · base'!$R$1074:$R$1473,'Nacional · base'!$A$1074:$A$1473,2027,'Nacional · base'!$B$1074:$B$1473,9,'Nacional · base'!$C$1074:$C$1473,"CABRERA MORALES FRANCISCO")</f>
        <v>2248.6130687106365</v>
      </c>
    </row>
    <row r="52" spans="1:5">
      <c r="A52" t="s">
        <v>12</v>
      </c>
      <c r="B52" t="s">
        <v>42</v>
      </c>
      <c r="C52">
        <f>SUMIFS('Nacional · base'!$E$1074:$E$1473,'Nacional · base'!$A$1074:$A$1473,2027,'Nacional · base'!$B$1074:$B$1473,10,'Nacional · base'!$C$1074:$C$1473,"AGROQUIMICAS DRAGO S.L.")</f>
        <v>13704.699999999999</v>
      </c>
      <c r="D52">
        <f>SUMIFS('Nacional · base'!$G$1074:$G$1473,'Nacional · base'!$A$1074:$A$1473,2027,'Nacional · base'!$B$1074:$B$1473,10,'Nacional · base'!$C$1074:$C$1473,"AGROQUIMICAS DRAGO S.L.")</f>
        <v>16</v>
      </c>
      <c r="E52">
        <f>SUMIFS('Nacional · base'!$R$1074:$R$1473,'Nacional · base'!$A$1074:$A$1473,2027,'Nacional · base'!$B$1074:$B$1473,10,'Nacional · base'!$C$1074:$C$1473,"AGROQUIMICAS DRAGO S.L.")</f>
        <v>3048.199896426192</v>
      </c>
    </row>
    <row r="53" spans="1:5">
      <c r="A53" t="s">
        <v>12</v>
      </c>
      <c r="B53" t="s">
        <v>43</v>
      </c>
      <c r="C53">
        <f>SUMIFS('Nacional · base'!$E$1074:$E$1473,'Nacional · base'!$A$1074:$A$1473,2027,'Nacional · base'!$B$1074:$B$1473,10,'Nacional · base'!$C$1074:$C$1473,"FITOSANITARIOS DRAGO S.L.U")</f>
        <v>16071.6</v>
      </c>
      <c r="D53">
        <f>SUMIFS('Nacional · base'!$G$1074:$G$1473,'Nacional · base'!$A$1074:$A$1473,2027,'Nacional · base'!$B$1074:$B$1473,10,'Nacional · base'!$C$1074:$C$1473,"FITOSANITARIOS DRAGO S.L.U")</f>
        <v>16</v>
      </c>
      <c r="E53">
        <f>SUMIFS('Nacional · base'!$R$1074:$R$1473,'Nacional · base'!$A$1074:$A$1473,2027,'Nacional · base'!$B$1074:$B$1473,10,'Nacional · base'!$C$1074:$C$1473,"FITOSANITARIOS DRAGO S.L.U")</f>
        <v>3586.5743447675104</v>
      </c>
    </row>
    <row r="54" spans="1:5">
      <c r="A54" t="s">
        <v>12</v>
      </c>
      <c r="B54" t="s">
        <v>44</v>
      </c>
      <c r="C54">
        <f>SUMIFS('Nacional · base'!$E$1074:$E$1473,'Nacional · base'!$A$1074:$A$1473,2027,'Nacional · base'!$B$1074:$B$1473,10,'Nacional · base'!$C$1074:$C$1473,"CABRERA MORALES FRANCISCO")</f>
        <v>9226.9</v>
      </c>
      <c r="D54">
        <f>SUMIFS('Nacional · base'!$G$1074:$G$1473,'Nacional · base'!$A$1074:$A$1473,2027,'Nacional · base'!$B$1074:$B$1473,10,'Nacional · base'!$C$1074:$C$1473,"CABRERA MORALES FRANCISCO")</f>
        <v>13</v>
      </c>
      <c r="E54">
        <f>SUMIFS('Nacional · base'!$R$1074:$R$1473,'Nacional · base'!$A$1074:$A$1473,2027,'Nacional · base'!$B$1074:$B$1473,10,'Nacional · base'!$C$1074:$C$1473,"CABRERA MORALES FRANCISCO")</f>
        <v>3000.2668546187942</v>
      </c>
    </row>
    <row r="55" spans="1:5">
      <c r="A55" t="s">
        <v>13</v>
      </c>
      <c r="B55" t="s">
        <v>42</v>
      </c>
      <c r="C55">
        <f>SUMIFS('Nacional · base'!$E$1074:$E$1473,'Nacional · base'!$A$1074:$A$1473,2027,'Nacional · base'!$B$1074:$B$1473,11,'Nacional · base'!$C$1074:$C$1473,"AGROQUIMICAS DRAGO S.L.")</f>
        <v>15252.199999999999</v>
      </c>
      <c r="D55">
        <f>SUMIFS('Nacional · base'!$G$1074:$G$1473,'Nacional · base'!$A$1074:$A$1473,2027,'Nacional · base'!$B$1074:$B$1473,11,'Nacional · base'!$C$1074:$C$1473,"AGROQUIMICAS DRAGO S.L.")</f>
        <v>18</v>
      </c>
      <c r="E55">
        <f>SUMIFS('Nacional · base'!$R$1074:$R$1473,'Nacional · base'!$A$1074:$A$1473,2027,'Nacional · base'!$B$1074:$B$1473,11,'Nacional · base'!$C$1074:$C$1473,"AGROQUIMICAS DRAGO S.L.")</f>
        <v>3398.1947784422568</v>
      </c>
    </row>
    <row r="56" spans="1:5">
      <c r="A56" t="s">
        <v>13</v>
      </c>
      <c r="B56" t="s">
        <v>43</v>
      </c>
      <c r="C56">
        <f>SUMIFS('Nacional · base'!$E$1074:$E$1473,'Nacional · base'!$A$1074:$A$1473,2027,'Nacional · base'!$B$1074:$B$1473,11,'Nacional · base'!$C$1074:$C$1473,"FITOSANITARIOS DRAGO S.L.U")</f>
        <v>16638</v>
      </c>
      <c r="D56">
        <f>SUMIFS('Nacional · base'!$G$1074:$G$1473,'Nacional · base'!$A$1074:$A$1473,2027,'Nacional · base'!$B$1074:$B$1473,11,'Nacional · base'!$C$1074:$C$1473,"FITOSANITARIOS DRAGO S.L.U")</f>
        <v>17</v>
      </c>
      <c r="E56">
        <f>SUMIFS('Nacional · base'!$R$1074:$R$1473,'Nacional · base'!$A$1074:$A$1473,2027,'Nacional · base'!$B$1074:$B$1473,11,'Nacional · base'!$C$1074:$C$1473,"FITOSANITARIOS DRAGO S.L.U")</f>
        <v>3713.143375976822</v>
      </c>
    </row>
    <row r="57" spans="1:5">
      <c r="A57" t="s">
        <v>13</v>
      </c>
      <c r="B57" t="s">
        <v>44</v>
      </c>
      <c r="C57">
        <f>SUMIFS('Nacional · base'!$E$1074:$E$1473,'Nacional · base'!$A$1074:$A$1473,2027,'Nacional · base'!$B$1074:$B$1473,11,'Nacional · base'!$C$1074:$C$1473,"CABRERA MORALES FRANCISCO")</f>
        <v>20217.7</v>
      </c>
      <c r="D57">
        <f>SUMIFS('Nacional · base'!$G$1074:$G$1473,'Nacional · base'!$A$1074:$A$1473,2027,'Nacional · base'!$B$1074:$B$1473,11,'Nacional · base'!$C$1074:$C$1473,"CABRERA MORALES FRANCISCO")</f>
        <v>27</v>
      </c>
      <c r="E57">
        <f>SUMIFS('Nacional · base'!$R$1074:$R$1473,'Nacional · base'!$A$1074:$A$1473,2027,'Nacional · base'!$B$1074:$B$1473,11,'Nacional · base'!$C$1074:$C$1473,"CABRERA MORALES FRANCISCO")</f>
        <v>6613.8235287062698</v>
      </c>
    </row>
    <row r="58" spans="1:5">
      <c r="A58" t="s">
        <v>14</v>
      </c>
      <c r="B58" t="s">
        <v>42</v>
      </c>
      <c r="C58">
        <f>SUMIFS('Nacional · base'!$E$1074:$E$1473,'Nacional · base'!$A$1074:$A$1473,2027,'Nacional · base'!$B$1074:$B$1473,12,'Nacional · base'!$C$1074:$C$1473,"AGROQUIMICAS DRAGO S.L.")</f>
        <v>2666.8</v>
      </c>
      <c r="D58">
        <f>SUMIFS('Nacional · base'!$G$1074:$G$1473,'Nacional · base'!$A$1074:$A$1473,2027,'Nacional · base'!$B$1074:$B$1473,12,'Nacional · base'!$C$1074:$C$1473,"AGROQUIMICAS DRAGO S.L.")</f>
        <v>4</v>
      </c>
      <c r="E58">
        <f>SUMIFS('Nacional · base'!$R$1074:$R$1473,'Nacional · base'!$A$1074:$A$1473,2027,'Nacional · base'!$B$1074:$B$1473,12,'Nacional · base'!$C$1074:$C$1473,"AGROQUIMICAS DRAGO S.L.")</f>
        <v>625.65144205098409</v>
      </c>
    </row>
    <row r="59" spans="1:5">
      <c r="A59" t="s">
        <v>14</v>
      </c>
      <c r="B59" t="s">
        <v>43</v>
      </c>
      <c r="C59">
        <f>SUMIFS('Nacional · base'!$E$1074:$E$1473,'Nacional · base'!$A$1074:$A$1473,2027,'Nacional · base'!$B$1074:$B$1473,12,'Nacional · base'!$C$1074:$C$1473,"FITOSANITARIOS DRAGO S.L.U")</f>
        <v>0</v>
      </c>
      <c r="D59">
        <f>SUMIFS('Nacional · base'!$G$1074:$G$1473,'Nacional · base'!$A$1074:$A$1473,2027,'Nacional · base'!$B$1074:$B$1473,12,'Nacional · base'!$C$1074:$C$1473,"FITOSANITARIOS DRAGO S.L.U")</f>
        <v>0</v>
      </c>
      <c r="E59">
        <f>SUMIFS('Nacional · base'!$R$1074:$R$1473,'Nacional · base'!$A$1074:$A$1473,2027,'Nacional · base'!$B$1074:$B$1473,12,'Nacional · base'!$C$1074:$C$1473,"FITOSANITARIOS DRAGO S.L.U")</f>
        <v>0</v>
      </c>
    </row>
    <row r="60" spans="1:5">
      <c r="A60" t="s">
        <v>14</v>
      </c>
      <c r="B60" t="s">
        <v>44</v>
      </c>
      <c r="C60">
        <f>SUMIFS('Nacional · base'!$E$1074:$E$1473,'Nacional · base'!$A$1074:$A$1473,2027,'Nacional · base'!$B$1074:$B$1473,12,'Nacional · base'!$C$1074:$C$1473,"CABRERA MORALES FRANCISCO")</f>
        <v>0</v>
      </c>
      <c r="D60">
        <f>SUMIFS('Nacional · base'!$G$1074:$G$1473,'Nacional · base'!$A$1074:$A$1473,2027,'Nacional · base'!$B$1074:$B$1473,12,'Nacional · base'!$C$1074:$C$1473,"CABRERA MORALES FRANCISCO")</f>
        <v>0</v>
      </c>
      <c r="E60">
        <f>SUMIFS('Nacional · base'!$R$1074:$R$1473,'Nacional · base'!$A$1074:$A$1473,2027,'Nacional · base'!$B$1074:$B$1473,12,'Nacional · base'!$C$1074:$C$1473,"CABRERA MORALES FRANCISCO")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07"/>
  <sheetViews>
    <sheetView workbookViewId="0"/>
  </sheetViews>
  <sheetFormatPr baseColWidth="10" defaultColWidth="8.6640625" defaultRowHeight="14"/>
  <cols>
    <col min="1" max="1" width="17" customWidth="1"/>
    <col min="2" max="2" width="13" customWidth="1"/>
    <col min="3" max="3" width="45" customWidth="1"/>
    <col min="4" max="4" width="14" customWidth="1"/>
    <col min="5" max="6" width="19" customWidth="1"/>
  </cols>
  <sheetData>
    <row r="2" spans="1:3" ht="18">
      <c r="A2" s="3" t="s">
        <v>47</v>
      </c>
    </row>
    <row r="3" spans="1:3">
      <c r="A3" t="s">
        <v>48</v>
      </c>
    </row>
    <row r="4" spans="1:3">
      <c r="A4" t="s">
        <v>49</v>
      </c>
    </row>
    <row r="6" spans="1:3">
      <c r="A6" s="1" t="s">
        <v>50</v>
      </c>
      <c r="B6" s="1" t="s">
        <v>10</v>
      </c>
      <c r="C6" s="1" t="s">
        <v>51</v>
      </c>
    </row>
    <row r="7" spans="1:3">
      <c r="A7">
        <v>2026</v>
      </c>
      <c r="B7" t="s">
        <v>11</v>
      </c>
      <c r="C7" s="6">
        <f>SUMIFS($F$32:$F$207,$A$32:$A$207,2026,$B$32:$B$207,"Sep")</f>
        <v>16253</v>
      </c>
    </row>
    <row r="8" spans="1:3">
      <c r="A8">
        <v>2026</v>
      </c>
      <c r="B8" t="s">
        <v>12</v>
      </c>
      <c r="C8" s="6">
        <f>SUMIFS($F$32:$F$207,$A$32:$A$207,2026,$B$32:$B$207,"Oct")+'Export · países'!F7</f>
        <v>21379</v>
      </c>
    </row>
    <row r="9" spans="1:3">
      <c r="A9">
        <v>2026</v>
      </c>
      <c r="B9" t="s">
        <v>13</v>
      </c>
      <c r="C9" s="6">
        <f>SUMIFS($F$32:$F$207,$A$32:$A$207,2026,$B$32:$B$207,"Nov")</f>
        <v>32454</v>
      </c>
    </row>
    <row r="10" spans="1:3">
      <c r="A10">
        <v>2026</v>
      </c>
      <c r="B10" t="s">
        <v>14</v>
      </c>
      <c r="C10" s="6">
        <f>SUMIFS($F$32:$F$207,$A$32:$A$207,2026,$B$32:$B$207,"Dic")</f>
        <v>27150</v>
      </c>
    </row>
    <row r="11" spans="1:3">
      <c r="A11" s="2" t="s">
        <v>15</v>
      </c>
      <c r="B11" s="2"/>
      <c r="C11" s="7">
        <f>SUM(C7:C10)</f>
        <v>97236</v>
      </c>
    </row>
    <row r="12" spans="1:3">
      <c r="C12" s="6"/>
    </row>
    <row r="13" spans="1:3">
      <c r="C13" s="6"/>
    </row>
    <row r="14" spans="1:3">
      <c r="A14" s="1" t="s">
        <v>50</v>
      </c>
      <c r="B14" s="1" t="s">
        <v>10</v>
      </c>
      <c r="C14" s="14" t="s">
        <v>51</v>
      </c>
    </row>
    <row r="15" spans="1:3">
      <c r="A15">
        <v>2027</v>
      </c>
      <c r="B15" t="s">
        <v>17</v>
      </c>
      <c r="C15" s="6">
        <f>SUMIFS($F$32:$F$207,$A$32:$A$207,2027,$B$32:$B$207,"Ene")</f>
        <v>29809.200000000001</v>
      </c>
    </row>
    <row r="16" spans="1:3">
      <c r="A16">
        <v>2027</v>
      </c>
      <c r="B16" t="s">
        <v>18</v>
      </c>
      <c r="C16" s="6">
        <f>SUMIFS($F$32:$F$207,$A$32:$A$207,2027,$B$32:$B$207,"Feb")</f>
        <v>21246.7</v>
      </c>
    </row>
    <row r="17" spans="1:6">
      <c r="A17">
        <v>2027</v>
      </c>
      <c r="B17" t="s">
        <v>19</v>
      </c>
      <c r="C17" s="6">
        <f>SUMIFS($F$32:$F$207,$A$32:$A$207,2027,$B$32:$B$207,"Mar")</f>
        <v>19638.300000000003</v>
      </c>
    </row>
    <row r="18" spans="1:6">
      <c r="A18">
        <v>2027</v>
      </c>
      <c r="B18" t="s">
        <v>20</v>
      </c>
      <c r="C18" s="6">
        <f>SUMIFS($F$32:$F$207,$A$32:$A$207,2027,$B$32:$B$207,"Abr")</f>
        <v>8004.2000000000007</v>
      </c>
    </row>
    <row r="19" spans="1:6">
      <c r="A19">
        <v>2027</v>
      </c>
      <c r="B19" t="s">
        <v>21</v>
      </c>
      <c r="C19" s="6">
        <f>SUMIFS($F$32:$F$207,$A$32:$A$207,2027,$B$32:$B$207,"May")</f>
        <v>38718.800000000003</v>
      </c>
    </row>
    <row r="20" spans="1:6">
      <c r="A20">
        <v>2027</v>
      </c>
      <c r="B20" t="s">
        <v>22</v>
      </c>
      <c r="C20" s="6">
        <f>SUMIFS($F$32:$F$207,$A$32:$A$207,2027,$B$32:$B$207,"Jun")</f>
        <v>33492</v>
      </c>
    </row>
    <row r="21" spans="1:6">
      <c r="A21">
        <v>2027</v>
      </c>
      <c r="B21" t="s">
        <v>23</v>
      </c>
      <c r="C21" s="6">
        <f>SUMIFS($F$32:$F$207,$A$32:$A$207,2027,$B$32:$B$207,"Jul")</f>
        <v>13212.8</v>
      </c>
    </row>
    <row r="22" spans="1:6">
      <c r="A22">
        <v>2027</v>
      </c>
      <c r="B22" t="s">
        <v>24</v>
      </c>
      <c r="C22" s="6">
        <f>SUMIFS($F$32:$F$207,$A$32:$A$207,2027,$B$32:$B$207,"Ago")</f>
        <v>18509.599999999999</v>
      </c>
    </row>
    <row r="23" spans="1:6">
      <c r="A23">
        <v>2027</v>
      </c>
      <c r="B23" t="s">
        <v>11</v>
      </c>
      <c r="C23" s="6">
        <f>SUMIFS($F$32:$F$207,$A$32:$A$207,2027,$B$32:$B$207,"Sep")</f>
        <v>24148.9</v>
      </c>
    </row>
    <row r="24" spans="1:6">
      <c r="A24">
        <v>2027</v>
      </c>
      <c r="B24" t="s">
        <v>12</v>
      </c>
      <c r="C24" s="6">
        <f>SUMIFS($F$32:$F$207,$A$32:$A$207,2027,$B$32:$B$207,"Oct")</f>
        <v>23411.300000000003</v>
      </c>
    </row>
    <row r="25" spans="1:6">
      <c r="A25">
        <v>2027</v>
      </c>
      <c r="B25" t="s">
        <v>13</v>
      </c>
      <c r="C25" s="6">
        <f>SUMIFS($F$32:$F$207,$A$32:$A$207,2027,$B$32:$B$207,"Nov")</f>
        <v>40650.699999999997</v>
      </c>
    </row>
    <row r="26" spans="1:6">
      <c r="A26">
        <v>2027</v>
      </c>
      <c r="B26" t="s">
        <v>14</v>
      </c>
      <c r="C26" s="6">
        <f>SUMIFS($F$32:$F$207,$A$32:$A$207,2027,$B$32:$B$207,"Dic")</f>
        <v>34380.800000000003</v>
      </c>
    </row>
    <row r="27" spans="1:6">
      <c r="A27" s="2" t="s">
        <v>25</v>
      </c>
      <c r="B27" s="2"/>
      <c r="C27" s="7">
        <f>SUM(C15:C26)</f>
        <v>305223.3</v>
      </c>
    </row>
    <row r="31" spans="1:6">
      <c r="A31" s="1" t="s">
        <v>50</v>
      </c>
      <c r="B31" s="1" t="s">
        <v>10</v>
      </c>
      <c r="C31" s="1" t="s">
        <v>52</v>
      </c>
      <c r="D31" s="1" t="s">
        <v>53</v>
      </c>
      <c r="E31" s="1" t="s">
        <v>54</v>
      </c>
      <c r="F31" s="1" t="s">
        <v>51</v>
      </c>
    </row>
    <row r="32" spans="1:6">
      <c r="A32">
        <v>2026</v>
      </c>
      <c r="B32" t="s">
        <v>11</v>
      </c>
      <c r="C32" t="s">
        <v>55</v>
      </c>
      <c r="D32">
        <f>0</f>
        <v>0</v>
      </c>
      <c r="E32" s="6">
        <f>IFERROR('Export · países'!F7/'Export · países'!C7,0)</f>
        <v>0</v>
      </c>
      <c r="F32" s="6">
        <f t="shared" ref="F32:F63" si="0">D32*E32</f>
        <v>0</v>
      </c>
    </row>
    <row r="33" spans="1:6">
      <c r="A33">
        <v>2026</v>
      </c>
      <c r="B33" t="s">
        <v>11</v>
      </c>
      <c r="C33" t="s">
        <v>56</v>
      </c>
      <c r="D33">
        <f>0</f>
        <v>0</v>
      </c>
      <c r="E33" s="6">
        <f>IFERROR('Export · países'!F8/'Export · países'!C8,0)</f>
        <v>1701</v>
      </c>
      <c r="F33" s="6">
        <f t="shared" si="0"/>
        <v>0</v>
      </c>
    </row>
    <row r="34" spans="1:6">
      <c r="A34">
        <v>2026</v>
      </c>
      <c r="B34" t="s">
        <v>11</v>
      </c>
      <c r="C34" t="s">
        <v>57</v>
      </c>
      <c r="D34">
        <f>1</f>
        <v>1</v>
      </c>
      <c r="E34" s="6">
        <f>IFERROR('Export · países'!F11/'Export · países'!C11,0)</f>
        <v>3850</v>
      </c>
      <c r="F34" s="6">
        <f t="shared" si="0"/>
        <v>3850</v>
      </c>
    </row>
    <row r="35" spans="1:6">
      <c r="A35">
        <v>2026</v>
      </c>
      <c r="B35" t="s">
        <v>11</v>
      </c>
      <c r="C35" t="s">
        <v>58</v>
      </c>
      <c r="D35">
        <f>0</f>
        <v>0</v>
      </c>
      <c r="E35" s="6">
        <f>IFERROR('Export · países'!F12/'Export · países'!C12,0)</f>
        <v>3675</v>
      </c>
      <c r="F35" s="6">
        <f t="shared" si="0"/>
        <v>0</v>
      </c>
    </row>
    <row r="36" spans="1:6">
      <c r="A36">
        <v>2026</v>
      </c>
      <c r="B36" t="s">
        <v>11</v>
      </c>
      <c r="C36" t="s">
        <v>59</v>
      </c>
      <c r="D36">
        <f>0</f>
        <v>0</v>
      </c>
      <c r="E36" s="6">
        <f>IFERROR('Export · países'!F13/'Export · países'!C13,0)</f>
        <v>104</v>
      </c>
      <c r="F36" s="6">
        <f t="shared" si="0"/>
        <v>0</v>
      </c>
    </row>
    <row r="37" spans="1:6">
      <c r="A37">
        <v>2026</v>
      </c>
      <c r="B37" t="s">
        <v>11</v>
      </c>
      <c r="C37" t="s">
        <v>60</v>
      </c>
      <c r="D37">
        <f>1</f>
        <v>1</v>
      </c>
      <c r="E37" s="6">
        <f>IFERROR('Export · países'!F14/'Export · países'!C14,0)</f>
        <v>179</v>
      </c>
      <c r="F37" s="6">
        <f t="shared" si="0"/>
        <v>179</v>
      </c>
    </row>
    <row r="38" spans="1:6">
      <c r="A38">
        <v>2026</v>
      </c>
      <c r="B38" t="s">
        <v>11</v>
      </c>
      <c r="C38" t="s">
        <v>61</v>
      </c>
      <c r="D38">
        <f>0</f>
        <v>0</v>
      </c>
      <c r="E38" s="6">
        <f>IFERROR('Export · países'!F17/'Export · países'!C17,0)</f>
        <v>487</v>
      </c>
      <c r="F38" s="6">
        <f t="shared" si="0"/>
        <v>0</v>
      </c>
    </row>
    <row r="39" spans="1:6">
      <c r="A39">
        <v>2026</v>
      </c>
      <c r="B39" t="s">
        <v>11</v>
      </c>
      <c r="C39" t="s">
        <v>62</v>
      </c>
      <c r="D39">
        <f>0</f>
        <v>0</v>
      </c>
      <c r="E39" s="6">
        <f>IFERROR('Export · países'!F18/'Export · países'!C18,0)</f>
        <v>1579</v>
      </c>
      <c r="F39" s="6">
        <f t="shared" si="0"/>
        <v>0</v>
      </c>
    </row>
    <row r="40" spans="1:6">
      <c r="A40">
        <v>2026</v>
      </c>
      <c r="B40" t="s">
        <v>11</v>
      </c>
      <c r="C40" t="s">
        <v>63</v>
      </c>
      <c r="D40">
        <f>2</f>
        <v>2</v>
      </c>
      <c r="E40" s="6">
        <f>IFERROR('Export · países'!F20/'Export · países'!C20,0)</f>
        <v>4413</v>
      </c>
      <c r="F40" s="6">
        <f t="shared" si="0"/>
        <v>8826</v>
      </c>
    </row>
    <row r="41" spans="1:6">
      <c r="A41">
        <v>2026</v>
      </c>
      <c r="B41" t="s">
        <v>11</v>
      </c>
      <c r="C41" t="s">
        <v>64</v>
      </c>
      <c r="D41">
        <f>0</f>
        <v>0</v>
      </c>
      <c r="E41" s="6">
        <f>IFERROR('Export · países'!F21/'Export · países'!C21,0)</f>
        <v>3449</v>
      </c>
      <c r="F41" s="6">
        <f t="shared" si="0"/>
        <v>0</v>
      </c>
    </row>
    <row r="42" spans="1:6">
      <c r="A42">
        <v>2026</v>
      </c>
      <c r="B42" t="s">
        <v>11</v>
      </c>
      <c r="C42" t="s">
        <v>65</v>
      </c>
      <c r="D42">
        <f>2</f>
        <v>2</v>
      </c>
      <c r="E42" s="6">
        <f>IFERROR('Export · países'!F25/'Export · países'!C25,0)</f>
        <v>1699</v>
      </c>
      <c r="F42" s="6">
        <f t="shared" si="0"/>
        <v>3398</v>
      </c>
    </row>
    <row r="43" spans="1:6">
      <c r="A43">
        <v>2026</v>
      </c>
      <c r="B43" t="s">
        <v>12</v>
      </c>
      <c r="C43" t="s">
        <v>55</v>
      </c>
      <c r="D43">
        <f>'Export · detalle'!B7</f>
        <v>0</v>
      </c>
      <c r="E43" s="6">
        <f>IFERROR('Export · países'!F7/'Export · países'!C7,0)</f>
        <v>0</v>
      </c>
      <c r="F43" s="6">
        <f t="shared" si="0"/>
        <v>0</v>
      </c>
    </row>
    <row r="44" spans="1:6">
      <c r="A44">
        <v>2026</v>
      </c>
      <c r="B44" t="s">
        <v>12</v>
      </c>
      <c r="C44" t="s">
        <v>56</v>
      </c>
      <c r="D44">
        <f>'Export · detalle'!B8</f>
        <v>0</v>
      </c>
      <c r="E44" s="6">
        <f>IFERROR('Export · países'!F8/'Export · países'!C8,0)</f>
        <v>1701</v>
      </c>
      <c r="F44" s="6">
        <f t="shared" si="0"/>
        <v>0</v>
      </c>
    </row>
    <row r="45" spans="1:6">
      <c r="A45">
        <v>2026</v>
      </c>
      <c r="B45" t="s">
        <v>12</v>
      </c>
      <c r="C45" t="s">
        <v>57</v>
      </c>
      <c r="D45">
        <f>'Export · detalle'!B11</f>
        <v>3</v>
      </c>
      <c r="E45" s="6">
        <f>IFERROR('Export · países'!F11/'Export · países'!C11,0)</f>
        <v>3850</v>
      </c>
      <c r="F45" s="6">
        <f t="shared" si="0"/>
        <v>11550</v>
      </c>
    </row>
    <row r="46" spans="1:6">
      <c r="A46">
        <v>2026</v>
      </c>
      <c r="B46" t="s">
        <v>12</v>
      </c>
      <c r="C46" t="s">
        <v>58</v>
      </c>
      <c r="D46">
        <f>'Export · detalle'!B12</f>
        <v>0</v>
      </c>
      <c r="E46" s="6">
        <f>IFERROR('Export · países'!F12/'Export · países'!C12,0)</f>
        <v>3675</v>
      </c>
      <c r="F46" s="6">
        <f t="shared" si="0"/>
        <v>0</v>
      </c>
    </row>
    <row r="47" spans="1:6">
      <c r="A47">
        <v>2026</v>
      </c>
      <c r="B47" t="s">
        <v>12</v>
      </c>
      <c r="C47" t="s">
        <v>59</v>
      </c>
      <c r="D47">
        <f>'Export · detalle'!B13</f>
        <v>1</v>
      </c>
      <c r="E47" s="6">
        <f>IFERROR('Export · países'!F13/'Export · países'!C13,0)</f>
        <v>104</v>
      </c>
      <c r="F47" s="6">
        <f t="shared" si="0"/>
        <v>104</v>
      </c>
    </row>
    <row r="48" spans="1:6">
      <c r="A48">
        <v>2026</v>
      </c>
      <c r="B48" t="s">
        <v>12</v>
      </c>
      <c r="C48" t="s">
        <v>60</v>
      </c>
      <c r="D48">
        <f>'Export · detalle'!B14</f>
        <v>2</v>
      </c>
      <c r="E48" s="6">
        <f>IFERROR('Export · países'!F14/'Export · países'!C14,0)</f>
        <v>179</v>
      </c>
      <c r="F48" s="6">
        <f t="shared" si="0"/>
        <v>358</v>
      </c>
    </row>
    <row r="49" spans="1:6">
      <c r="A49">
        <v>2026</v>
      </c>
      <c r="B49" t="s">
        <v>12</v>
      </c>
      <c r="C49" t="s">
        <v>61</v>
      </c>
      <c r="D49">
        <f>'Export · detalle'!B17</f>
        <v>1</v>
      </c>
      <c r="E49" s="6">
        <f>IFERROR('Export · países'!F17/'Export · países'!C17,0)</f>
        <v>487</v>
      </c>
      <c r="F49" s="6">
        <f t="shared" si="0"/>
        <v>487</v>
      </c>
    </row>
    <row r="50" spans="1:6">
      <c r="A50">
        <v>2026</v>
      </c>
      <c r="B50" t="s">
        <v>12</v>
      </c>
      <c r="C50" t="s">
        <v>62</v>
      </c>
      <c r="D50">
        <f>'Export · detalle'!B18</f>
        <v>0</v>
      </c>
      <c r="E50" s="6">
        <f>IFERROR('Export · países'!F18/'Export · países'!C18,0)</f>
        <v>1579</v>
      </c>
      <c r="F50" s="6">
        <f t="shared" si="0"/>
        <v>0</v>
      </c>
    </row>
    <row r="51" spans="1:6">
      <c r="A51">
        <v>2026</v>
      </c>
      <c r="B51" t="s">
        <v>12</v>
      </c>
      <c r="C51" t="s">
        <v>63</v>
      </c>
      <c r="D51">
        <f>'Export · detalle'!B20</f>
        <v>2</v>
      </c>
      <c r="E51" s="6">
        <f>IFERROR('Export · países'!F20/'Export · países'!C20,0)</f>
        <v>4413</v>
      </c>
      <c r="F51" s="6">
        <f t="shared" si="0"/>
        <v>8826</v>
      </c>
    </row>
    <row r="52" spans="1:6">
      <c r="A52">
        <v>2026</v>
      </c>
      <c r="B52" t="s">
        <v>12</v>
      </c>
      <c r="C52" t="s">
        <v>64</v>
      </c>
      <c r="D52">
        <f>'Export · detalle'!B21</f>
        <v>0</v>
      </c>
      <c r="E52" s="6">
        <f>IFERROR('Export · países'!F21/'Export · países'!C21,0)</f>
        <v>3449</v>
      </c>
      <c r="F52" s="6">
        <f t="shared" si="0"/>
        <v>0</v>
      </c>
    </row>
    <row r="53" spans="1:6">
      <c r="A53">
        <v>2026</v>
      </c>
      <c r="B53" t="s">
        <v>12</v>
      </c>
      <c r="C53" t="s">
        <v>65</v>
      </c>
      <c r="D53">
        <f>'Export · detalle'!B25</f>
        <v>0</v>
      </c>
      <c r="E53" s="6">
        <f>IFERROR('Export · países'!F25/'Export · países'!C25,0)</f>
        <v>1699</v>
      </c>
      <c r="F53" s="6">
        <f t="shared" si="0"/>
        <v>0</v>
      </c>
    </row>
    <row r="54" spans="1:6">
      <c r="A54">
        <v>2026</v>
      </c>
      <c r="B54" t="s">
        <v>13</v>
      </c>
      <c r="C54" t="s">
        <v>55</v>
      </c>
      <c r="D54">
        <f>'Export · detalle'!C7</f>
        <v>0</v>
      </c>
      <c r="E54" s="6">
        <f>IFERROR('Export · países'!F7/'Export · países'!C7,0)</f>
        <v>0</v>
      </c>
      <c r="F54" s="6">
        <f t="shared" si="0"/>
        <v>0</v>
      </c>
    </row>
    <row r="55" spans="1:6">
      <c r="A55">
        <v>2026</v>
      </c>
      <c r="B55" t="s">
        <v>13</v>
      </c>
      <c r="C55" t="s">
        <v>56</v>
      </c>
      <c r="D55">
        <f>'Export · detalle'!C8</f>
        <v>0</v>
      </c>
      <c r="E55" s="6">
        <f>IFERROR('Export · países'!F8/'Export · países'!C8,0)</f>
        <v>1701</v>
      </c>
      <c r="F55" s="6">
        <f t="shared" si="0"/>
        <v>0</v>
      </c>
    </row>
    <row r="56" spans="1:6">
      <c r="A56">
        <v>2026</v>
      </c>
      <c r="B56" t="s">
        <v>13</v>
      </c>
      <c r="C56" t="s">
        <v>57</v>
      </c>
      <c r="D56">
        <f>'Export · detalle'!C11</f>
        <v>2</v>
      </c>
      <c r="E56" s="6">
        <f>IFERROR('Export · países'!F11/'Export · países'!C11,0)</f>
        <v>3850</v>
      </c>
      <c r="F56" s="6">
        <f t="shared" si="0"/>
        <v>7700</v>
      </c>
    </row>
    <row r="57" spans="1:6">
      <c r="A57">
        <v>2026</v>
      </c>
      <c r="B57" t="s">
        <v>13</v>
      </c>
      <c r="C57" t="s">
        <v>58</v>
      </c>
      <c r="D57">
        <f>'Export · detalle'!C12</f>
        <v>2</v>
      </c>
      <c r="E57" s="6">
        <f>IFERROR('Export · países'!F12/'Export · países'!C12,0)</f>
        <v>3675</v>
      </c>
      <c r="F57" s="6">
        <f t="shared" si="0"/>
        <v>7350</v>
      </c>
    </row>
    <row r="58" spans="1:6">
      <c r="A58">
        <v>2026</v>
      </c>
      <c r="B58" t="s">
        <v>13</v>
      </c>
      <c r="C58" t="s">
        <v>59</v>
      </c>
      <c r="D58">
        <f>'Export · detalle'!C13</f>
        <v>0</v>
      </c>
      <c r="E58" s="6">
        <f>IFERROR('Export · países'!F13/'Export · países'!C13,0)</f>
        <v>104</v>
      </c>
      <c r="F58" s="6">
        <f t="shared" si="0"/>
        <v>0</v>
      </c>
    </row>
    <row r="59" spans="1:6">
      <c r="A59">
        <v>2026</v>
      </c>
      <c r="B59" t="s">
        <v>13</v>
      </c>
      <c r="C59" t="s">
        <v>60</v>
      </c>
      <c r="D59">
        <f>'Export · detalle'!C14</f>
        <v>4</v>
      </c>
      <c r="E59" s="6">
        <f>IFERROR('Export · países'!F14/'Export · países'!C14,0)</f>
        <v>179</v>
      </c>
      <c r="F59" s="6">
        <f t="shared" si="0"/>
        <v>716</v>
      </c>
    </row>
    <row r="60" spans="1:6">
      <c r="A60">
        <v>2026</v>
      </c>
      <c r="B60" t="s">
        <v>13</v>
      </c>
      <c r="C60" t="s">
        <v>61</v>
      </c>
      <c r="D60">
        <f>'Export · detalle'!C17</f>
        <v>0</v>
      </c>
      <c r="E60" s="6">
        <f>IFERROR('Export · países'!F17/'Export · países'!C17,0)</f>
        <v>487</v>
      </c>
      <c r="F60" s="6">
        <f t="shared" si="0"/>
        <v>0</v>
      </c>
    </row>
    <row r="61" spans="1:6">
      <c r="A61">
        <v>2026</v>
      </c>
      <c r="B61" t="s">
        <v>13</v>
      </c>
      <c r="C61" t="s">
        <v>62</v>
      </c>
      <c r="D61">
        <f>'Export · detalle'!C18</f>
        <v>0</v>
      </c>
      <c r="E61" s="6">
        <f>IFERROR('Export · países'!F18/'Export · países'!C18,0)</f>
        <v>1579</v>
      </c>
      <c r="F61" s="6">
        <f t="shared" si="0"/>
        <v>0</v>
      </c>
    </row>
    <row r="62" spans="1:6">
      <c r="A62">
        <v>2026</v>
      </c>
      <c r="B62" t="s">
        <v>13</v>
      </c>
      <c r="C62" t="s">
        <v>63</v>
      </c>
      <c r="D62">
        <f>'Export · detalle'!C20</f>
        <v>3</v>
      </c>
      <c r="E62" s="6">
        <f>IFERROR('Export · países'!F20/'Export · países'!C20,0)</f>
        <v>4413</v>
      </c>
      <c r="F62" s="6">
        <f t="shared" si="0"/>
        <v>13239</v>
      </c>
    </row>
    <row r="63" spans="1:6">
      <c r="A63">
        <v>2026</v>
      </c>
      <c r="B63" t="s">
        <v>13</v>
      </c>
      <c r="C63" t="s">
        <v>64</v>
      </c>
      <c r="D63">
        <f>'Export · detalle'!C21</f>
        <v>1</v>
      </c>
      <c r="E63" s="6">
        <f>IFERROR('Export · países'!F21/'Export · países'!C21,0)</f>
        <v>3449</v>
      </c>
      <c r="F63" s="6">
        <f t="shared" si="0"/>
        <v>3449</v>
      </c>
    </row>
    <row r="64" spans="1:6">
      <c r="A64">
        <v>2026</v>
      </c>
      <c r="B64" t="s">
        <v>13</v>
      </c>
      <c r="C64" t="s">
        <v>65</v>
      </c>
      <c r="D64">
        <f>'Export · detalle'!C25</f>
        <v>0</v>
      </c>
      <c r="E64" s="6">
        <f>IFERROR('Export · países'!F25/'Export · países'!C25,0)</f>
        <v>1699</v>
      </c>
      <c r="F64" s="6">
        <f t="shared" ref="F64:F95" si="1">D64*E64</f>
        <v>0</v>
      </c>
    </row>
    <row r="65" spans="1:6">
      <c r="A65">
        <v>2026</v>
      </c>
      <c r="B65" t="s">
        <v>14</v>
      </c>
      <c r="C65" t="s">
        <v>55</v>
      </c>
      <c r="D65">
        <f>'Export · detalle'!D7</f>
        <v>0</v>
      </c>
      <c r="E65" s="6">
        <f>IFERROR('Export · países'!F7/'Export · países'!C7,0)</f>
        <v>0</v>
      </c>
      <c r="F65" s="6">
        <f t="shared" si="1"/>
        <v>0</v>
      </c>
    </row>
    <row r="66" spans="1:6">
      <c r="A66">
        <v>2026</v>
      </c>
      <c r="B66" t="s">
        <v>14</v>
      </c>
      <c r="C66" t="s">
        <v>56</v>
      </c>
      <c r="D66">
        <f>'Export · detalle'!D8</f>
        <v>2</v>
      </c>
      <c r="E66" s="6">
        <f>IFERROR('Export · países'!F8/'Export · países'!C8,0)</f>
        <v>1701</v>
      </c>
      <c r="F66" s="6">
        <f t="shared" si="1"/>
        <v>3402</v>
      </c>
    </row>
    <row r="67" spans="1:6">
      <c r="A67">
        <v>2026</v>
      </c>
      <c r="B67" t="s">
        <v>14</v>
      </c>
      <c r="C67" t="s">
        <v>57</v>
      </c>
      <c r="D67">
        <f>'Export · detalle'!D11</f>
        <v>2</v>
      </c>
      <c r="E67" s="6">
        <f>IFERROR('Export · países'!F11/'Export · países'!C11,0)</f>
        <v>3850</v>
      </c>
      <c r="F67" s="6">
        <f t="shared" si="1"/>
        <v>7700</v>
      </c>
    </row>
    <row r="68" spans="1:6">
      <c r="A68">
        <v>2026</v>
      </c>
      <c r="B68" t="s">
        <v>14</v>
      </c>
      <c r="C68" t="s">
        <v>58</v>
      </c>
      <c r="D68">
        <f>'Export · detalle'!D12</f>
        <v>0</v>
      </c>
      <c r="E68" s="6">
        <f>IFERROR('Export · países'!F12/'Export · países'!C12,0)</f>
        <v>3675</v>
      </c>
      <c r="F68" s="6">
        <f t="shared" si="1"/>
        <v>0</v>
      </c>
    </row>
    <row r="69" spans="1:6">
      <c r="A69">
        <v>2026</v>
      </c>
      <c r="B69" t="s">
        <v>14</v>
      </c>
      <c r="C69" t="s">
        <v>59</v>
      </c>
      <c r="D69">
        <f>'Export · detalle'!D13</f>
        <v>0</v>
      </c>
      <c r="E69" s="6">
        <f>IFERROR('Export · países'!F13/'Export · países'!C13,0)</f>
        <v>104</v>
      </c>
      <c r="F69" s="6">
        <f t="shared" si="1"/>
        <v>0</v>
      </c>
    </row>
    <row r="70" spans="1:6">
      <c r="A70">
        <v>2026</v>
      </c>
      <c r="B70" t="s">
        <v>14</v>
      </c>
      <c r="C70" t="s">
        <v>60</v>
      </c>
      <c r="D70">
        <f>'Export · detalle'!D14</f>
        <v>1</v>
      </c>
      <c r="E70" s="6">
        <f>IFERROR('Export · países'!F14/'Export · países'!C14,0)</f>
        <v>179</v>
      </c>
      <c r="F70" s="6">
        <f t="shared" si="1"/>
        <v>179</v>
      </c>
    </row>
    <row r="71" spans="1:6">
      <c r="A71">
        <v>2026</v>
      </c>
      <c r="B71" t="s">
        <v>14</v>
      </c>
      <c r="C71" t="s">
        <v>61</v>
      </c>
      <c r="D71">
        <f>'Export · detalle'!D17</f>
        <v>1</v>
      </c>
      <c r="E71" s="6">
        <f>IFERROR('Export · países'!F17/'Export · países'!C17,0)</f>
        <v>487</v>
      </c>
      <c r="F71" s="6">
        <f t="shared" si="1"/>
        <v>487</v>
      </c>
    </row>
    <row r="72" spans="1:6">
      <c r="A72">
        <v>2026</v>
      </c>
      <c r="B72" t="s">
        <v>14</v>
      </c>
      <c r="C72" t="s">
        <v>62</v>
      </c>
      <c r="D72">
        <f>'Export · detalle'!D18</f>
        <v>2</v>
      </c>
      <c r="E72" s="6">
        <f>IFERROR('Export · países'!F18/'Export · países'!C18,0)</f>
        <v>1579</v>
      </c>
      <c r="F72" s="6">
        <f t="shared" si="1"/>
        <v>3158</v>
      </c>
    </row>
    <row r="73" spans="1:6">
      <c r="A73">
        <v>2026</v>
      </c>
      <c r="B73" t="s">
        <v>14</v>
      </c>
      <c r="C73" t="s">
        <v>63</v>
      </c>
      <c r="D73">
        <f>'Export · detalle'!D20</f>
        <v>2</v>
      </c>
      <c r="E73" s="6">
        <f>IFERROR('Export · países'!F20/'Export · países'!C20,0)</f>
        <v>4413</v>
      </c>
      <c r="F73" s="6">
        <f t="shared" si="1"/>
        <v>8826</v>
      </c>
    </row>
    <row r="74" spans="1:6">
      <c r="A74">
        <v>2026</v>
      </c>
      <c r="B74" t="s">
        <v>14</v>
      </c>
      <c r="C74" t="s">
        <v>64</v>
      </c>
      <c r="D74">
        <f>'Export · detalle'!D21</f>
        <v>0</v>
      </c>
      <c r="E74" s="6">
        <f>IFERROR('Export · países'!F21/'Export · países'!C21,0)</f>
        <v>3449</v>
      </c>
      <c r="F74" s="6">
        <f t="shared" si="1"/>
        <v>0</v>
      </c>
    </row>
    <row r="75" spans="1:6">
      <c r="A75">
        <v>2026</v>
      </c>
      <c r="B75" t="s">
        <v>14</v>
      </c>
      <c r="C75" t="s">
        <v>65</v>
      </c>
      <c r="D75">
        <f>'Export · detalle'!D25</f>
        <v>2</v>
      </c>
      <c r="E75" s="6">
        <f>IFERROR('Export · países'!F25/'Export · países'!C25,0)</f>
        <v>1699</v>
      </c>
      <c r="F75" s="6">
        <f t="shared" si="1"/>
        <v>3398</v>
      </c>
    </row>
    <row r="76" spans="1:6">
      <c r="A76">
        <v>2027</v>
      </c>
      <c r="B76" t="s">
        <v>17</v>
      </c>
      <c r="C76" t="s">
        <v>55</v>
      </c>
      <c r="D76">
        <f>'Export · detalle'!B31</f>
        <v>0</v>
      </c>
      <c r="E76" s="6">
        <f>IFERROR('Export · países'!K7/'Export · países'!H7,0)</f>
        <v>54</v>
      </c>
      <c r="F76" s="6">
        <f t="shared" si="1"/>
        <v>0</v>
      </c>
    </row>
    <row r="77" spans="1:6">
      <c r="A77">
        <v>2027</v>
      </c>
      <c r="B77" t="s">
        <v>17</v>
      </c>
      <c r="C77" t="s">
        <v>56</v>
      </c>
      <c r="D77">
        <f>'Export · detalle'!B32</f>
        <v>3</v>
      </c>
      <c r="E77" s="6">
        <f>IFERROR('Export · países'!K8/'Export · países'!H8,0)</f>
        <v>1866.1000000000001</v>
      </c>
      <c r="F77" s="6">
        <f t="shared" si="1"/>
        <v>5598.3</v>
      </c>
    </row>
    <row r="78" spans="1:6">
      <c r="A78">
        <v>2027</v>
      </c>
      <c r="B78" t="s">
        <v>17</v>
      </c>
      <c r="C78" t="s">
        <v>57</v>
      </c>
      <c r="D78">
        <f>'Export · detalle'!B35</f>
        <v>2</v>
      </c>
      <c r="E78" s="6">
        <f>IFERROR('Export · países'!K11/'Export · países'!H11,0)</f>
        <v>4235</v>
      </c>
      <c r="F78" s="6">
        <f t="shared" si="1"/>
        <v>8470</v>
      </c>
    </row>
    <row r="79" spans="1:6">
      <c r="A79">
        <v>2027</v>
      </c>
      <c r="B79" t="s">
        <v>17</v>
      </c>
      <c r="C79" t="s">
        <v>58</v>
      </c>
      <c r="D79">
        <f>'Export · detalle'!B36</f>
        <v>0</v>
      </c>
      <c r="E79" s="6">
        <f>IFERROR('Export · países'!K12/'Export · países'!H12,0)</f>
        <v>4042.5000000000005</v>
      </c>
      <c r="F79" s="6">
        <f t="shared" si="1"/>
        <v>0</v>
      </c>
    </row>
    <row r="80" spans="1:6">
      <c r="A80">
        <v>2027</v>
      </c>
      <c r="B80" t="s">
        <v>17</v>
      </c>
      <c r="C80" t="s">
        <v>59</v>
      </c>
      <c r="D80">
        <f>'Export · detalle'!B37</f>
        <v>1</v>
      </c>
      <c r="E80" s="6">
        <f>IFERROR('Export · países'!K13/'Export · países'!H13,0)</f>
        <v>104</v>
      </c>
      <c r="F80" s="6">
        <f t="shared" si="1"/>
        <v>104</v>
      </c>
    </row>
    <row r="81" spans="1:6">
      <c r="A81">
        <v>2027</v>
      </c>
      <c r="B81" t="s">
        <v>17</v>
      </c>
      <c r="C81" t="s">
        <v>60</v>
      </c>
      <c r="D81">
        <f>'Export · detalle'!B38</f>
        <v>6</v>
      </c>
      <c r="E81" s="6">
        <f>IFERROR('Export · países'!K14/'Export · países'!H14,0)</f>
        <v>179</v>
      </c>
      <c r="F81" s="6">
        <f t="shared" si="1"/>
        <v>1074</v>
      </c>
    </row>
    <row r="82" spans="1:6">
      <c r="A82">
        <v>2027</v>
      </c>
      <c r="B82" t="s">
        <v>17</v>
      </c>
      <c r="C82" t="s">
        <v>61</v>
      </c>
      <c r="D82">
        <f>'Export · detalle'!B41</f>
        <v>0</v>
      </c>
      <c r="E82" s="6">
        <f>IFERROR('Export · países'!K17/'Export · países'!H17,0)</f>
        <v>535.70000000000005</v>
      </c>
      <c r="F82" s="6">
        <f t="shared" si="1"/>
        <v>0</v>
      </c>
    </row>
    <row r="83" spans="1:6">
      <c r="A83">
        <v>2027</v>
      </c>
      <c r="B83" t="s">
        <v>17</v>
      </c>
      <c r="C83" t="s">
        <v>62</v>
      </c>
      <c r="D83">
        <f>'Export · detalle'!B42</f>
        <v>0</v>
      </c>
      <c r="E83" s="6">
        <f>IFERROR('Export · países'!K18/'Export · países'!H18,0)</f>
        <v>1726.5000000000002</v>
      </c>
      <c r="F83" s="6">
        <f t="shared" si="1"/>
        <v>0</v>
      </c>
    </row>
    <row r="84" spans="1:6">
      <c r="A84">
        <v>2027</v>
      </c>
      <c r="B84" t="s">
        <v>17</v>
      </c>
      <c r="C84" t="s">
        <v>63</v>
      </c>
      <c r="D84">
        <f>'Export · detalle'!B44</f>
        <v>3</v>
      </c>
      <c r="E84" s="6">
        <f>IFERROR('Export · países'!K20/'Export · países'!H20,0)</f>
        <v>4854.3</v>
      </c>
      <c r="F84" s="6">
        <f t="shared" si="1"/>
        <v>14562.900000000001</v>
      </c>
    </row>
    <row r="85" spans="1:6">
      <c r="A85">
        <v>2027</v>
      </c>
      <c r="B85" t="s">
        <v>17</v>
      </c>
      <c r="C85" t="s">
        <v>64</v>
      </c>
      <c r="D85">
        <f>'Export · detalle'!B45</f>
        <v>0</v>
      </c>
      <c r="E85" s="6">
        <f>IFERROR('Export · países'!K21/'Export · países'!H21,0)</f>
        <v>3783.5000000000005</v>
      </c>
      <c r="F85" s="6">
        <f t="shared" si="1"/>
        <v>0</v>
      </c>
    </row>
    <row r="86" spans="1:6">
      <c r="A86">
        <v>2027</v>
      </c>
      <c r="B86" t="s">
        <v>17</v>
      </c>
      <c r="C86" t="s">
        <v>65</v>
      </c>
      <c r="D86">
        <f>'Export · detalle'!B49</f>
        <v>0</v>
      </c>
      <c r="E86" s="6">
        <f>IFERROR('Export · países'!K25/'Export · países'!H25,0)</f>
        <v>1724</v>
      </c>
      <c r="F86" s="6">
        <f t="shared" si="1"/>
        <v>0</v>
      </c>
    </row>
    <row r="87" spans="1:6">
      <c r="A87">
        <v>2027</v>
      </c>
      <c r="B87" t="s">
        <v>18</v>
      </c>
      <c r="C87" t="s">
        <v>55</v>
      </c>
      <c r="D87">
        <f>'Export · detalle'!C31</f>
        <v>0</v>
      </c>
      <c r="E87" s="6">
        <f>IFERROR('Export · países'!K7/'Export · países'!H7,0)</f>
        <v>54</v>
      </c>
      <c r="F87" s="6">
        <f t="shared" si="1"/>
        <v>0</v>
      </c>
    </row>
    <row r="88" spans="1:6">
      <c r="A88">
        <v>2027</v>
      </c>
      <c r="B88" t="s">
        <v>18</v>
      </c>
      <c r="C88" t="s">
        <v>56</v>
      </c>
      <c r="D88">
        <f>'Export · detalle'!C32</f>
        <v>0</v>
      </c>
      <c r="E88" s="6">
        <f>IFERROR('Export · países'!K8/'Export · países'!H8,0)</f>
        <v>1866.1000000000001</v>
      </c>
      <c r="F88" s="6">
        <f t="shared" si="1"/>
        <v>0</v>
      </c>
    </row>
    <row r="89" spans="1:6">
      <c r="A89">
        <v>2027</v>
      </c>
      <c r="B89" t="s">
        <v>18</v>
      </c>
      <c r="C89" t="s">
        <v>57</v>
      </c>
      <c r="D89">
        <f>'Export · detalle'!C35</f>
        <v>0</v>
      </c>
      <c r="E89" s="6">
        <f>IFERROR('Export · países'!K11/'Export · países'!H11,0)</f>
        <v>4235</v>
      </c>
      <c r="F89" s="6">
        <f t="shared" si="1"/>
        <v>0</v>
      </c>
    </row>
    <row r="90" spans="1:6">
      <c r="A90">
        <v>2027</v>
      </c>
      <c r="B90" t="s">
        <v>18</v>
      </c>
      <c r="C90" t="s">
        <v>58</v>
      </c>
      <c r="D90">
        <f>'Export · detalle'!C36</f>
        <v>2</v>
      </c>
      <c r="E90" s="6">
        <f>IFERROR('Export · países'!K12/'Export · países'!H12,0)</f>
        <v>4042.5000000000005</v>
      </c>
      <c r="F90" s="6">
        <f t="shared" si="1"/>
        <v>8085.0000000000009</v>
      </c>
    </row>
    <row r="91" spans="1:6">
      <c r="A91">
        <v>2027</v>
      </c>
      <c r="B91" t="s">
        <v>18</v>
      </c>
      <c r="C91" t="s">
        <v>59</v>
      </c>
      <c r="D91">
        <f>'Export · detalle'!C37</f>
        <v>0</v>
      </c>
      <c r="E91" s="6">
        <f>IFERROR('Export · países'!K13/'Export · países'!H13,0)</f>
        <v>104</v>
      </c>
      <c r="F91" s="6">
        <f t="shared" si="1"/>
        <v>0</v>
      </c>
    </row>
    <row r="92" spans="1:6">
      <c r="A92">
        <v>2027</v>
      </c>
      <c r="B92" t="s">
        <v>18</v>
      </c>
      <c r="C92" t="s">
        <v>60</v>
      </c>
      <c r="D92">
        <f>'Export · detalle'!C38</f>
        <v>9</v>
      </c>
      <c r="E92" s="6">
        <f>IFERROR('Export · países'!K14/'Export · países'!H14,0)</f>
        <v>179</v>
      </c>
      <c r="F92" s="6">
        <f t="shared" si="1"/>
        <v>1611</v>
      </c>
    </row>
    <row r="93" spans="1:6">
      <c r="A93">
        <v>2027</v>
      </c>
      <c r="B93" t="s">
        <v>18</v>
      </c>
      <c r="C93" t="s">
        <v>61</v>
      </c>
      <c r="D93">
        <f>'Export · detalle'!C41</f>
        <v>1</v>
      </c>
      <c r="E93" s="6">
        <f>IFERROR('Export · países'!K17/'Export · países'!H17,0)</f>
        <v>535.70000000000005</v>
      </c>
      <c r="F93" s="6">
        <f t="shared" si="1"/>
        <v>535.70000000000005</v>
      </c>
    </row>
    <row r="94" spans="1:6">
      <c r="A94">
        <v>2027</v>
      </c>
      <c r="B94" t="s">
        <v>18</v>
      </c>
      <c r="C94" t="s">
        <v>62</v>
      </c>
      <c r="D94">
        <f>'Export · detalle'!C42</f>
        <v>0</v>
      </c>
      <c r="E94" s="6">
        <f>IFERROR('Export · países'!K18/'Export · países'!H18,0)</f>
        <v>1726.5000000000002</v>
      </c>
      <c r="F94" s="6">
        <f t="shared" si="1"/>
        <v>0</v>
      </c>
    </row>
    <row r="95" spans="1:6">
      <c r="A95">
        <v>2027</v>
      </c>
      <c r="B95" t="s">
        <v>18</v>
      </c>
      <c r="C95" t="s">
        <v>63</v>
      </c>
      <c r="D95">
        <f>'Export · detalle'!C44</f>
        <v>0</v>
      </c>
      <c r="E95" s="6">
        <f>IFERROR('Export · países'!K20/'Export · países'!H20,0)</f>
        <v>4854.3</v>
      </c>
      <c r="F95" s="6">
        <f t="shared" si="1"/>
        <v>0</v>
      </c>
    </row>
    <row r="96" spans="1:6">
      <c r="A96">
        <v>2027</v>
      </c>
      <c r="B96" t="s">
        <v>18</v>
      </c>
      <c r="C96" t="s">
        <v>64</v>
      </c>
      <c r="D96">
        <f>'Export · detalle'!C45</f>
        <v>2</v>
      </c>
      <c r="E96" s="6">
        <f>IFERROR('Export · países'!K21/'Export · países'!H21,0)</f>
        <v>3783.5000000000005</v>
      </c>
      <c r="F96" s="6">
        <f t="shared" ref="F96:F127" si="2">D96*E96</f>
        <v>7567.0000000000009</v>
      </c>
    </row>
    <row r="97" spans="1:6">
      <c r="A97">
        <v>2027</v>
      </c>
      <c r="B97" t="s">
        <v>18</v>
      </c>
      <c r="C97" t="s">
        <v>65</v>
      </c>
      <c r="D97">
        <f>'Export · detalle'!C49</f>
        <v>2</v>
      </c>
      <c r="E97" s="6">
        <f>IFERROR('Export · países'!K25/'Export · países'!H25,0)</f>
        <v>1724</v>
      </c>
      <c r="F97" s="6">
        <f t="shared" si="2"/>
        <v>3448</v>
      </c>
    </row>
    <row r="98" spans="1:6">
      <c r="A98">
        <v>2027</v>
      </c>
      <c r="B98" t="s">
        <v>19</v>
      </c>
      <c r="C98" t="s">
        <v>55</v>
      </c>
      <c r="D98">
        <f>'Export · detalle'!D31</f>
        <v>0</v>
      </c>
      <c r="E98" s="6">
        <f>IFERROR('Export · países'!K7/'Export · países'!H7,0)</f>
        <v>54</v>
      </c>
      <c r="F98" s="6">
        <f t="shared" si="2"/>
        <v>0</v>
      </c>
    </row>
    <row r="99" spans="1:6">
      <c r="A99">
        <v>2027</v>
      </c>
      <c r="B99" t="s">
        <v>19</v>
      </c>
      <c r="C99" t="s">
        <v>56</v>
      </c>
      <c r="D99">
        <f>'Export · detalle'!D32</f>
        <v>0</v>
      </c>
      <c r="E99" s="6">
        <f>IFERROR('Export · países'!K8/'Export · países'!H8,0)</f>
        <v>1866.1000000000001</v>
      </c>
      <c r="F99" s="6">
        <f t="shared" si="2"/>
        <v>0</v>
      </c>
    </row>
    <row r="100" spans="1:6">
      <c r="A100">
        <v>2027</v>
      </c>
      <c r="B100" t="s">
        <v>19</v>
      </c>
      <c r="C100" t="s">
        <v>57</v>
      </c>
      <c r="D100">
        <f>'Export · detalle'!D35</f>
        <v>2</v>
      </c>
      <c r="E100" s="6">
        <f>IFERROR('Export · países'!K11/'Export · países'!H11,0)</f>
        <v>4235</v>
      </c>
      <c r="F100" s="6">
        <f t="shared" si="2"/>
        <v>8470</v>
      </c>
    </row>
    <row r="101" spans="1:6">
      <c r="A101">
        <v>2027</v>
      </c>
      <c r="B101" t="s">
        <v>19</v>
      </c>
      <c r="C101" t="s">
        <v>58</v>
      </c>
      <c r="D101">
        <f>'Export · detalle'!D36</f>
        <v>0</v>
      </c>
      <c r="E101" s="6">
        <f>IFERROR('Export · países'!K12/'Export · países'!H12,0)</f>
        <v>4042.5000000000005</v>
      </c>
      <c r="F101" s="6">
        <f t="shared" si="2"/>
        <v>0</v>
      </c>
    </row>
    <row r="102" spans="1:6">
      <c r="A102">
        <v>2027</v>
      </c>
      <c r="B102" t="s">
        <v>19</v>
      </c>
      <c r="C102" t="s">
        <v>59</v>
      </c>
      <c r="D102">
        <f>'Export · detalle'!D37</f>
        <v>2</v>
      </c>
      <c r="E102" s="6">
        <f>IFERROR('Export · países'!K13/'Export · países'!H13,0)</f>
        <v>104</v>
      </c>
      <c r="F102" s="6">
        <f t="shared" si="2"/>
        <v>208</v>
      </c>
    </row>
    <row r="103" spans="1:6">
      <c r="A103">
        <v>2027</v>
      </c>
      <c r="B103" t="s">
        <v>19</v>
      </c>
      <c r="C103" t="s">
        <v>60</v>
      </c>
      <c r="D103">
        <f>'Export · detalle'!D38</f>
        <v>4</v>
      </c>
      <c r="E103" s="6">
        <f>IFERROR('Export · países'!K14/'Export · países'!H14,0)</f>
        <v>179</v>
      </c>
      <c r="F103" s="6">
        <f t="shared" si="2"/>
        <v>716</v>
      </c>
    </row>
    <row r="104" spans="1:6">
      <c r="A104">
        <v>2027</v>
      </c>
      <c r="B104" t="s">
        <v>19</v>
      </c>
      <c r="C104" t="s">
        <v>61</v>
      </c>
      <c r="D104">
        <f>'Export · detalle'!D41</f>
        <v>1</v>
      </c>
      <c r="E104" s="6">
        <f>IFERROR('Export · países'!K17/'Export · países'!H17,0)</f>
        <v>535.70000000000005</v>
      </c>
      <c r="F104" s="6">
        <f t="shared" si="2"/>
        <v>535.70000000000005</v>
      </c>
    </row>
    <row r="105" spans="1:6">
      <c r="A105">
        <v>2027</v>
      </c>
      <c r="B105" t="s">
        <v>19</v>
      </c>
      <c r="C105" t="s">
        <v>62</v>
      </c>
      <c r="D105">
        <f>'Export · detalle'!D42</f>
        <v>0</v>
      </c>
      <c r="E105" s="6">
        <f>IFERROR('Export · países'!K18/'Export · países'!H18,0)</f>
        <v>1726.5000000000002</v>
      </c>
      <c r="F105" s="6">
        <f t="shared" si="2"/>
        <v>0</v>
      </c>
    </row>
    <row r="106" spans="1:6">
      <c r="A106">
        <v>2027</v>
      </c>
      <c r="B106" t="s">
        <v>19</v>
      </c>
      <c r="C106" t="s">
        <v>63</v>
      </c>
      <c r="D106">
        <f>'Export · detalle'!D44</f>
        <v>2</v>
      </c>
      <c r="E106" s="6">
        <f>IFERROR('Export · países'!K20/'Export · países'!H20,0)</f>
        <v>4854.3</v>
      </c>
      <c r="F106" s="6">
        <f t="shared" si="2"/>
        <v>9708.6</v>
      </c>
    </row>
    <row r="107" spans="1:6">
      <c r="A107">
        <v>2027</v>
      </c>
      <c r="B107" t="s">
        <v>19</v>
      </c>
      <c r="C107" t="s">
        <v>64</v>
      </c>
      <c r="D107">
        <f>'Export · detalle'!D45</f>
        <v>0</v>
      </c>
      <c r="E107" s="6">
        <f>IFERROR('Export · países'!K21/'Export · países'!H21,0)</f>
        <v>3783.5000000000005</v>
      </c>
      <c r="F107" s="6">
        <f t="shared" si="2"/>
        <v>0</v>
      </c>
    </row>
    <row r="108" spans="1:6">
      <c r="A108">
        <v>2027</v>
      </c>
      <c r="B108" t="s">
        <v>19</v>
      </c>
      <c r="C108" t="s">
        <v>65</v>
      </c>
      <c r="D108">
        <f>'Export · detalle'!D49</f>
        <v>0</v>
      </c>
      <c r="E108" s="6">
        <f>IFERROR('Export · países'!K25/'Export · países'!H25,0)</f>
        <v>1724</v>
      </c>
      <c r="F108" s="6">
        <f t="shared" si="2"/>
        <v>0</v>
      </c>
    </row>
    <row r="109" spans="1:6">
      <c r="A109">
        <v>2027</v>
      </c>
      <c r="B109" t="s">
        <v>20</v>
      </c>
      <c r="C109" t="s">
        <v>55</v>
      </c>
      <c r="D109">
        <f>'Export · detalle'!E31</f>
        <v>2</v>
      </c>
      <c r="E109" s="6">
        <f>IFERROR('Export · países'!K7/'Export · países'!H7,0)</f>
        <v>54</v>
      </c>
      <c r="F109" s="6">
        <f t="shared" si="2"/>
        <v>108</v>
      </c>
    </row>
    <row r="110" spans="1:6">
      <c r="A110">
        <v>2027</v>
      </c>
      <c r="B110" t="s">
        <v>20</v>
      </c>
      <c r="C110" t="s">
        <v>56</v>
      </c>
      <c r="D110">
        <f>'Export · detalle'!E32</f>
        <v>2</v>
      </c>
      <c r="E110" s="6">
        <f>IFERROR('Export · países'!K8/'Export · países'!H8,0)</f>
        <v>1866.1000000000001</v>
      </c>
      <c r="F110" s="6">
        <f t="shared" si="2"/>
        <v>3732.2000000000003</v>
      </c>
    </row>
    <row r="111" spans="1:6">
      <c r="A111">
        <v>2027</v>
      </c>
      <c r="B111" t="s">
        <v>20</v>
      </c>
      <c r="C111" t="s">
        <v>57</v>
      </c>
      <c r="D111">
        <f>'Export · detalle'!E35</f>
        <v>0</v>
      </c>
      <c r="E111" s="6">
        <f>IFERROR('Export · países'!K11/'Export · países'!H11,0)</f>
        <v>4235</v>
      </c>
      <c r="F111" s="6">
        <f t="shared" si="2"/>
        <v>0</v>
      </c>
    </row>
    <row r="112" spans="1:6">
      <c r="A112">
        <v>2027</v>
      </c>
      <c r="B112" t="s">
        <v>20</v>
      </c>
      <c r="C112" t="s">
        <v>58</v>
      </c>
      <c r="D112">
        <f>'Export · detalle'!E36</f>
        <v>0</v>
      </c>
      <c r="E112" s="6">
        <f>IFERROR('Export · países'!K12/'Export · países'!H12,0)</f>
        <v>4042.5000000000005</v>
      </c>
      <c r="F112" s="6">
        <f t="shared" si="2"/>
        <v>0</v>
      </c>
    </row>
    <row r="113" spans="1:6">
      <c r="A113">
        <v>2027</v>
      </c>
      <c r="B113" t="s">
        <v>20</v>
      </c>
      <c r="C113" t="s">
        <v>59</v>
      </c>
      <c r="D113">
        <f>'Export · detalle'!E37</f>
        <v>0</v>
      </c>
      <c r="E113" s="6">
        <f>IFERROR('Export · países'!K13/'Export · países'!H13,0)</f>
        <v>104</v>
      </c>
      <c r="F113" s="6">
        <f t="shared" si="2"/>
        <v>0</v>
      </c>
    </row>
    <row r="114" spans="1:6">
      <c r="A114">
        <v>2027</v>
      </c>
      <c r="B114" t="s">
        <v>20</v>
      </c>
      <c r="C114" t="s">
        <v>60</v>
      </c>
      <c r="D114">
        <f>'Export · detalle'!E38</f>
        <v>4</v>
      </c>
      <c r="E114" s="6">
        <f>IFERROR('Export · países'!K14/'Export · países'!H14,0)</f>
        <v>179</v>
      </c>
      <c r="F114" s="6">
        <f t="shared" si="2"/>
        <v>716</v>
      </c>
    </row>
    <row r="115" spans="1:6">
      <c r="A115">
        <v>2027</v>
      </c>
      <c r="B115" t="s">
        <v>20</v>
      </c>
      <c r="C115" t="s">
        <v>61</v>
      </c>
      <c r="D115">
        <f>'Export · detalle'!E41</f>
        <v>0</v>
      </c>
      <c r="E115" s="6">
        <f>IFERROR('Export · países'!K17/'Export · países'!H17,0)</f>
        <v>535.70000000000005</v>
      </c>
      <c r="F115" s="6">
        <f t="shared" si="2"/>
        <v>0</v>
      </c>
    </row>
    <row r="116" spans="1:6">
      <c r="A116">
        <v>2027</v>
      </c>
      <c r="B116" t="s">
        <v>20</v>
      </c>
      <c r="C116" t="s">
        <v>62</v>
      </c>
      <c r="D116">
        <f>'Export · detalle'!E42</f>
        <v>0</v>
      </c>
      <c r="E116" s="6">
        <f>IFERROR('Export · países'!K18/'Export · países'!H18,0)</f>
        <v>1726.5000000000002</v>
      </c>
      <c r="F116" s="6">
        <f t="shared" si="2"/>
        <v>0</v>
      </c>
    </row>
    <row r="117" spans="1:6">
      <c r="A117">
        <v>2027</v>
      </c>
      <c r="B117" t="s">
        <v>20</v>
      </c>
      <c r="C117" t="s">
        <v>63</v>
      </c>
      <c r="D117">
        <f>'Export · detalle'!E44</f>
        <v>0</v>
      </c>
      <c r="E117" s="6">
        <f>IFERROR('Export · países'!K20/'Export · países'!H20,0)</f>
        <v>4854.3</v>
      </c>
      <c r="F117" s="6">
        <f t="shared" si="2"/>
        <v>0</v>
      </c>
    </row>
    <row r="118" spans="1:6">
      <c r="A118">
        <v>2027</v>
      </c>
      <c r="B118" t="s">
        <v>20</v>
      </c>
      <c r="C118" t="s">
        <v>64</v>
      </c>
      <c r="D118">
        <f>'Export · detalle'!E45</f>
        <v>0</v>
      </c>
      <c r="E118" s="6">
        <f>IFERROR('Export · países'!K21/'Export · países'!H21,0)</f>
        <v>3783.5000000000005</v>
      </c>
      <c r="F118" s="6">
        <f t="shared" si="2"/>
        <v>0</v>
      </c>
    </row>
    <row r="119" spans="1:6">
      <c r="A119">
        <v>2027</v>
      </c>
      <c r="B119" t="s">
        <v>20</v>
      </c>
      <c r="C119" t="s">
        <v>65</v>
      </c>
      <c r="D119">
        <f>'Export · detalle'!E49</f>
        <v>2</v>
      </c>
      <c r="E119" s="6">
        <f>IFERROR('Export · países'!K25/'Export · países'!H25,0)</f>
        <v>1724</v>
      </c>
      <c r="F119" s="6">
        <f t="shared" si="2"/>
        <v>3448</v>
      </c>
    </row>
    <row r="120" spans="1:6">
      <c r="A120">
        <v>2027</v>
      </c>
      <c r="B120" t="s">
        <v>21</v>
      </c>
      <c r="C120" t="s">
        <v>55</v>
      </c>
      <c r="D120">
        <f>'Export · detalle'!F31</f>
        <v>0</v>
      </c>
      <c r="E120" s="6">
        <f>IFERROR('Export · países'!K7/'Export · países'!H7,0)</f>
        <v>54</v>
      </c>
      <c r="F120" s="6">
        <f t="shared" si="2"/>
        <v>0</v>
      </c>
    </row>
    <row r="121" spans="1:6">
      <c r="A121">
        <v>2027</v>
      </c>
      <c r="B121" t="s">
        <v>21</v>
      </c>
      <c r="C121" t="s">
        <v>56</v>
      </c>
      <c r="D121">
        <f>'Export · detalle'!F32</f>
        <v>2</v>
      </c>
      <c r="E121" s="6">
        <f>IFERROR('Export · países'!K8/'Export · países'!H8,0)</f>
        <v>1866.1000000000001</v>
      </c>
      <c r="F121" s="6">
        <f t="shared" si="2"/>
        <v>3732.2000000000003</v>
      </c>
    </row>
    <row r="122" spans="1:6">
      <c r="A122">
        <v>2027</v>
      </c>
      <c r="B122" t="s">
        <v>21</v>
      </c>
      <c r="C122" t="s">
        <v>57</v>
      </c>
      <c r="D122">
        <f>'Export · detalle'!F35</f>
        <v>2</v>
      </c>
      <c r="E122" s="6">
        <f>IFERROR('Export · países'!K11/'Export · países'!H11,0)</f>
        <v>4235</v>
      </c>
      <c r="F122" s="6">
        <f t="shared" si="2"/>
        <v>8470</v>
      </c>
    </row>
    <row r="123" spans="1:6">
      <c r="A123">
        <v>2027</v>
      </c>
      <c r="B123" t="s">
        <v>21</v>
      </c>
      <c r="C123" t="s">
        <v>58</v>
      </c>
      <c r="D123">
        <f>'Export · detalle'!F36</f>
        <v>0</v>
      </c>
      <c r="E123" s="6">
        <f>IFERROR('Export · países'!K12/'Export · países'!H12,0)</f>
        <v>4042.5000000000005</v>
      </c>
      <c r="F123" s="6">
        <f t="shared" si="2"/>
        <v>0</v>
      </c>
    </row>
    <row r="124" spans="1:6">
      <c r="A124">
        <v>2027</v>
      </c>
      <c r="B124" t="s">
        <v>21</v>
      </c>
      <c r="C124" t="s">
        <v>59</v>
      </c>
      <c r="D124">
        <f>'Export · detalle'!F37</f>
        <v>0</v>
      </c>
      <c r="E124" s="6">
        <f>IFERROR('Export · países'!K13/'Export · países'!H13,0)</f>
        <v>104</v>
      </c>
      <c r="F124" s="6">
        <f t="shared" si="2"/>
        <v>0</v>
      </c>
    </row>
    <row r="125" spans="1:6">
      <c r="A125">
        <v>2027</v>
      </c>
      <c r="B125" t="s">
        <v>21</v>
      </c>
      <c r="C125" t="s">
        <v>60</v>
      </c>
      <c r="D125">
        <f>'Export · detalle'!F38</f>
        <v>6</v>
      </c>
      <c r="E125" s="6">
        <f>IFERROR('Export · países'!K14/'Export · países'!H14,0)</f>
        <v>179</v>
      </c>
      <c r="F125" s="6">
        <f t="shared" si="2"/>
        <v>1074</v>
      </c>
    </row>
    <row r="126" spans="1:6">
      <c r="A126">
        <v>2027</v>
      </c>
      <c r="B126" t="s">
        <v>21</v>
      </c>
      <c r="C126" t="s">
        <v>61</v>
      </c>
      <c r="D126">
        <f>'Export · detalle'!F41</f>
        <v>1</v>
      </c>
      <c r="E126" s="6">
        <f>IFERROR('Export · países'!K17/'Export · países'!H17,0)</f>
        <v>535.70000000000005</v>
      </c>
      <c r="F126" s="6">
        <f t="shared" si="2"/>
        <v>535.70000000000005</v>
      </c>
    </row>
    <row r="127" spans="1:6">
      <c r="A127">
        <v>2027</v>
      </c>
      <c r="B127" t="s">
        <v>21</v>
      </c>
      <c r="C127" t="s">
        <v>62</v>
      </c>
      <c r="D127">
        <f>'Export · detalle'!F42</f>
        <v>0</v>
      </c>
      <c r="E127" s="6">
        <f>IFERROR('Export · países'!K18/'Export · países'!H18,0)</f>
        <v>1726.5000000000002</v>
      </c>
      <c r="F127" s="6">
        <f t="shared" si="2"/>
        <v>0</v>
      </c>
    </row>
    <row r="128" spans="1:6">
      <c r="A128">
        <v>2027</v>
      </c>
      <c r="B128" t="s">
        <v>21</v>
      </c>
      <c r="C128" t="s">
        <v>63</v>
      </c>
      <c r="D128">
        <f>'Export · detalle'!F44</f>
        <v>3</v>
      </c>
      <c r="E128" s="6">
        <f>IFERROR('Export · países'!K20/'Export · países'!H20,0)</f>
        <v>4854.3</v>
      </c>
      <c r="F128" s="6">
        <f t="shared" ref="F128:F159" si="3">D128*E128</f>
        <v>14562.900000000001</v>
      </c>
    </row>
    <row r="129" spans="1:6">
      <c r="A129">
        <v>2027</v>
      </c>
      <c r="B129" t="s">
        <v>21</v>
      </c>
      <c r="C129" t="s">
        <v>64</v>
      </c>
      <c r="D129">
        <f>'Export · detalle'!F45</f>
        <v>0</v>
      </c>
      <c r="E129" s="6">
        <f>IFERROR('Export · países'!K21/'Export · países'!H21,0)</f>
        <v>3783.5000000000005</v>
      </c>
      <c r="F129" s="6">
        <f t="shared" si="3"/>
        <v>0</v>
      </c>
    </row>
    <row r="130" spans="1:6">
      <c r="A130">
        <v>2027</v>
      </c>
      <c r="B130" t="s">
        <v>21</v>
      </c>
      <c r="C130" t="s">
        <v>65</v>
      </c>
      <c r="D130">
        <f>'Export · detalle'!F49</f>
        <v>6</v>
      </c>
      <c r="E130" s="6">
        <f>IFERROR('Export · países'!K25/'Export · países'!H25,0)</f>
        <v>1724</v>
      </c>
      <c r="F130" s="6">
        <f t="shared" si="3"/>
        <v>10344</v>
      </c>
    </row>
    <row r="131" spans="1:6">
      <c r="A131">
        <v>2027</v>
      </c>
      <c r="B131" t="s">
        <v>22</v>
      </c>
      <c r="C131" t="s">
        <v>55</v>
      </c>
      <c r="D131">
        <f>'Export · detalle'!G31</f>
        <v>0</v>
      </c>
      <c r="E131" s="6">
        <f>IFERROR('Export · países'!K7/'Export · países'!H7,0)</f>
        <v>54</v>
      </c>
      <c r="F131" s="6">
        <f t="shared" si="3"/>
        <v>0</v>
      </c>
    </row>
    <row r="132" spans="1:6">
      <c r="A132">
        <v>2027</v>
      </c>
      <c r="B132" t="s">
        <v>22</v>
      </c>
      <c r="C132" t="s">
        <v>56</v>
      </c>
      <c r="D132">
        <f>'Export · detalle'!G32</f>
        <v>7</v>
      </c>
      <c r="E132" s="6">
        <f>IFERROR('Export · países'!K8/'Export · países'!H8,0)</f>
        <v>1866.1000000000001</v>
      </c>
      <c r="F132" s="6">
        <f t="shared" si="3"/>
        <v>13062.7</v>
      </c>
    </row>
    <row r="133" spans="1:6">
      <c r="A133">
        <v>2027</v>
      </c>
      <c r="B133" t="s">
        <v>22</v>
      </c>
      <c r="C133" t="s">
        <v>57</v>
      </c>
      <c r="D133">
        <f>'Export · detalle'!G35</f>
        <v>2</v>
      </c>
      <c r="E133" s="6">
        <f>IFERROR('Export · países'!K11/'Export · países'!H11,0)</f>
        <v>4235</v>
      </c>
      <c r="F133" s="6">
        <f t="shared" si="3"/>
        <v>8470</v>
      </c>
    </row>
    <row r="134" spans="1:6">
      <c r="A134">
        <v>2027</v>
      </c>
      <c r="B134" t="s">
        <v>22</v>
      </c>
      <c r="C134" t="s">
        <v>58</v>
      </c>
      <c r="D134">
        <f>'Export · detalle'!G36</f>
        <v>0</v>
      </c>
      <c r="E134" s="6">
        <f>IFERROR('Export · países'!K12/'Export · países'!H12,0)</f>
        <v>4042.5000000000005</v>
      </c>
      <c r="F134" s="6">
        <f t="shared" si="3"/>
        <v>0</v>
      </c>
    </row>
    <row r="135" spans="1:6">
      <c r="A135">
        <v>2027</v>
      </c>
      <c r="B135" t="s">
        <v>22</v>
      </c>
      <c r="C135" t="s">
        <v>59</v>
      </c>
      <c r="D135">
        <f>'Export · detalle'!G37</f>
        <v>1</v>
      </c>
      <c r="E135" s="6">
        <f>IFERROR('Export · países'!K13/'Export · países'!H13,0)</f>
        <v>104</v>
      </c>
      <c r="F135" s="6">
        <f t="shared" si="3"/>
        <v>104</v>
      </c>
    </row>
    <row r="136" spans="1:6">
      <c r="A136">
        <v>2027</v>
      </c>
      <c r="B136" t="s">
        <v>22</v>
      </c>
      <c r="C136" t="s">
        <v>60</v>
      </c>
      <c r="D136">
        <f>'Export · detalle'!G38</f>
        <v>9</v>
      </c>
      <c r="E136" s="6">
        <f>IFERROR('Export · países'!K14/'Export · países'!H14,0)</f>
        <v>179</v>
      </c>
      <c r="F136" s="6">
        <f t="shared" si="3"/>
        <v>1611</v>
      </c>
    </row>
    <row r="137" spans="1:6">
      <c r="A137">
        <v>2027</v>
      </c>
      <c r="B137" t="s">
        <v>22</v>
      </c>
      <c r="C137" t="s">
        <v>61</v>
      </c>
      <c r="D137">
        <f>'Export · detalle'!G41</f>
        <v>1</v>
      </c>
      <c r="E137" s="6">
        <f>IFERROR('Export · países'!K17/'Export · países'!H17,0)</f>
        <v>535.70000000000005</v>
      </c>
      <c r="F137" s="6">
        <f t="shared" si="3"/>
        <v>535.70000000000005</v>
      </c>
    </row>
    <row r="138" spans="1:6">
      <c r="A138">
        <v>2027</v>
      </c>
      <c r="B138" t="s">
        <v>22</v>
      </c>
      <c r="C138" t="s">
        <v>62</v>
      </c>
      <c r="D138">
        <f>'Export · detalle'!G42</f>
        <v>0</v>
      </c>
      <c r="E138" s="6">
        <f>IFERROR('Export · países'!K18/'Export · países'!H18,0)</f>
        <v>1726.5000000000002</v>
      </c>
      <c r="F138" s="6">
        <f t="shared" si="3"/>
        <v>0</v>
      </c>
    </row>
    <row r="139" spans="1:6">
      <c r="A139">
        <v>2027</v>
      </c>
      <c r="B139" t="s">
        <v>22</v>
      </c>
      <c r="C139" t="s">
        <v>63</v>
      </c>
      <c r="D139">
        <f>'Export · detalle'!G44</f>
        <v>2</v>
      </c>
      <c r="E139" s="6">
        <f>IFERROR('Export · países'!K20/'Export · países'!H20,0)</f>
        <v>4854.3</v>
      </c>
      <c r="F139" s="6">
        <f t="shared" si="3"/>
        <v>9708.6</v>
      </c>
    </row>
    <row r="140" spans="1:6">
      <c r="A140">
        <v>2027</v>
      </c>
      <c r="B140" t="s">
        <v>22</v>
      </c>
      <c r="C140" t="s">
        <v>64</v>
      </c>
      <c r="D140">
        <f>'Export · detalle'!G45</f>
        <v>0</v>
      </c>
      <c r="E140" s="6">
        <f>IFERROR('Export · países'!K21/'Export · países'!H21,0)</f>
        <v>3783.5000000000005</v>
      </c>
      <c r="F140" s="6">
        <f t="shared" si="3"/>
        <v>0</v>
      </c>
    </row>
    <row r="141" spans="1:6">
      <c r="A141">
        <v>2027</v>
      </c>
      <c r="B141" t="s">
        <v>22</v>
      </c>
      <c r="C141" t="s">
        <v>65</v>
      </c>
      <c r="D141">
        <f>'Export · detalle'!G49</f>
        <v>0</v>
      </c>
      <c r="E141" s="6">
        <f>IFERROR('Export · países'!K25/'Export · países'!H25,0)</f>
        <v>1724</v>
      </c>
      <c r="F141" s="6">
        <f t="shared" si="3"/>
        <v>0</v>
      </c>
    </row>
    <row r="142" spans="1:6">
      <c r="A142">
        <v>2027</v>
      </c>
      <c r="B142" t="s">
        <v>23</v>
      </c>
      <c r="C142" t="s">
        <v>55</v>
      </c>
      <c r="D142">
        <f>'Export · detalle'!H31</f>
        <v>0</v>
      </c>
      <c r="E142" s="6">
        <f>IFERROR('Export · países'!K7/'Export · países'!H7,0)</f>
        <v>54</v>
      </c>
      <c r="F142" s="6">
        <f t="shared" si="3"/>
        <v>0</v>
      </c>
    </row>
    <row r="143" spans="1:6">
      <c r="A143">
        <v>2027</v>
      </c>
      <c r="B143" t="s">
        <v>23</v>
      </c>
      <c r="C143" t="s">
        <v>56</v>
      </c>
      <c r="D143">
        <f>'Export · detalle'!H32</f>
        <v>3</v>
      </c>
      <c r="E143" s="6">
        <f>IFERROR('Export · países'!K8/'Export · países'!H8,0)</f>
        <v>1866.1000000000001</v>
      </c>
      <c r="F143" s="6">
        <f t="shared" si="3"/>
        <v>5598.3</v>
      </c>
    </row>
    <row r="144" spans="1:6">
      <c r="A144">
        <v>2027</v>
      </c>
      <c r="B144" t="s">
        <v>23</v>
      </c>
      <c r="C144" t="s">
        <v>57</v>
      </c>
      <c r="D144">
        <f>'Export · detalle'!H35</f>
        <v>0</v>
      </c>
      <c r="E144" s="6">
        <f>IFERROR('Export · países'!K11/'Export · países'!H11,0)</f>
        <v>4235</v>
      </c>
      <c r="F144" s="6">
        <f t="shared" si="3"/>
        <v>0</v>
      </c>
    </row>
    <row r="145" spans="1:6">
      <c r="A145">
        <v>2027</v>
      </c>
      <c r="B145" t="s">
        <v>23</v>
      </c>
      <c r="C145" t="s">
        <v>58</v>
      </c>
      <c r="D145">
        <f>'Export · detalle'!H36</f>
        <v>0</v>
      </c>
      <c r="E145" s="6">
        <f>IFERROR('Export · países'!K12/'Export · países'!H12,0)</f>
        <v>4042.5000000000005</v>
      </c>
      <c r="F145" s="6">
        <f t="shared" si="3"/>
        <v>0</v>
      </c>
    </row>
    <row r="146" spans="1:6">
      <c r="A146">
        <v>2027</v>
      </c>
      <c r="B146" t="s">
        <v>23</v>
      </c>
      <c r="C146" t="s">
        <v>59</v>
      </c>
      <c r="D146">
        <f>'Export · detalle'!H37</f>
        <v>0</v>
      </c>
      <c r="E146" s="6">
        <f>IFERROR('Export · países'!K13/'Export · países'!H13,0)</f>
        <v>104</v>
      </c>
      <c r="F146" s="6">
        <f t="shared" si="3"/>
        <v>0</v>
      </c>
    </row>
    <row r="147" spans="1:6">
      <c r="A147">
        <v>2027</v>
      </c>
      <c r="B147" t="s">
        <v>23</v>
      </c>
      <c r="C147" t="s">
        <v>60</v>
      </c>
      <c r="D147">
        <f>'Export · detalle'!H38</f>
        <v>4</v>
      </c>
      <c r="E147" s="6">
        <f>IFERROR('Export · países'!K14/'Export · países'!H14,0)</f>
        <v>179</v>
      </c>
      <c r="F147" s="6">
        <f t="shared" si="3"/>
        <v>716</v>
      </c>
    </row>
    <row r="148" spans="1:6">
      <c r="A148">
        <v>2027</v>
      </c>
      <c r="B148" t="s">
        <v>23</v>
      </c>
      <c r="C148" t="s">
        <v>61</v>
      </c>
      <c r="D148">
        <f>'Export · detalle'!H41</f>
        <v>0</v>
      </c>
      <c r="E148" s="6">
        <f>IFERROR('Export · países'!K17/'Export · países'!H17,0)</f>
        <v>535.70000000000005</v>
      </c>
      <c r="F148" s="6">
        <f t="shared" si="3"/>
        <v>0</v>
      </c>
    </row>
    <row r="149" spans="1:6">
      <c r="A149">
        <v>2027</v>
      </c>
      <c r="B149" t="s">
        <v>23</v>
      </c>
      <c r="C149" t="s">
        <v>62</v>
      </c>
      <c r="D149">
        <f>'Export · detalle'!H42</f>
        <v>1</v>
      </c>
      <c r="E149" s="6">
        <f>IFERROR('Export · países'!K18/'Export · países'!H18,0)</f>
        <v>1726.5000000000002</v>
      </c>
      <c r="F149" s="6">
        <f t="shared" si="3"/>
        <v>1726.5000000000002</v>
      </c>
    </row>
    <row r="150" spans="1:6">
      <c r="A150">
        <v>2027</v>
      </c>
      <c r="B150" t="s">
        <v>23</v>
      </c>
      <c r="C150" t="s">
        <v>63</v>
      </c>
      <c r="D150">
        <f>'Export · detalle'!H44</f>
        <v>0</v>
      </c>
      <c r="E150" s="6">
        <f>IFERROR('Export · países'!K20/'Export · países'!H20,0)</f>
        <v>4854.3</v>
      </c>
      <c r="F150" s="6">
        <f t="shared" si="3"/>
        <v>0</v>
      </c>
    </row>
    <row r="151" spans="1:6">
      <c r="A151">
        <v>2027</v>
      </c>
      <c r="B151" t="s">
        <v>23</v>
      </c>
      <c r="C151" t="s">
        <v>64</v>
      </c>
      <c r="D151">
        <f>'Export · detalle'!H45</f>
        <v>0</v>
      </c>
      <c r="E151" s="6">
        <f>IFERROR('Export · países'!K21/'Export · países'!H21,0)</f>
        <v>3783.5000000000005</v>
      </c>
      <c r="F151" s="6">
        <f t="shared" si="3"/>
        <v>0</v>
      </c>
    </row>
    <row r="152" spans="1:6">
      <c r="A152">
        <v>2027</v>
      </c>
      <c r="B152" t="s">
        <v>23</v>
      </c>
      <c r="C152" t="s">
        <v>65</v>
      </c>
      <c r="D152">
        <f>'Export · detalle'!H49</f>
        <v>3</v>
      </c>
      <c r="E152" s="6">
        <f>IFERROR('Export · países'!K25/'Export · países'!H25,0)</f>
        <v>1724</v>
      </c>
      <c r="F152" s="6">
        <f t="shared" si="3"/>
        <v>5172</v>
      </c>
    </row>
    <row r="153" spans="1:6">
      <c r="A153">
        <v>2027</v>
      </c>
      <c r="B153" t="s">
        <v>24</v>
      </c>
      <c r="C153" t="s">
        <v>55</v>
      </c>
      <c r="D153">
        <f>'Export · detalle'!I31</f>
        <v>0</v>
      </c>
      <c r="E153" s="6">
        <f>IFERROR('Export · países'!K7/'Export · países'!H7,0)</f>
        <v>54</v>
      </c>
      <c r="F153" s="6">
        <f t="shared" si="3"/>
        <v>0</v>
      </c>
    </row>
    <row r="154" spans="1:6">
      <c r="A154">
        <v>2027</v>
      </c>
      <c r="B154" t="s">
        <v>24</v>
      </c>
      <c r="C154" t="s">
        <v>56</v>
      </c>
      <c r="D154">
        <f>'Export · detalle'!I32</f>
        <v>0</v>
      </c>
      <c r="E154" s="6">
        <f>IFERROR('Export · países'!K8/'Export · países'!H8,0)</f>
        <v>1866.1000000000001</v>
      </c>
      <c r="F154" s="6">
        <f t="shared" si="3"/>
        <v>0</v>
      </c>
    </row>
    <row r="155" spans="1:6">
      <c r="A155">
        <v>2027</v>
      </c>
      <c r="B155" t="s">
        <v>24</v>
      </c>
      <c r="C155" t="s">
        <v>57</v>
      </c>
      <c r="D155">
        <f>'Export · detalle'!I35</f>
        <v>0</v>
      </c>
      <c r="E155" s="6">
        <f>IFERROR('Export · países'!K11/'Export · países'!H11,0)</f>
        <v>4235</v>
      </c>
      <c r="F155" s="6">
        <f t="shared" si="3"/>
        <v>0</v>
      </c>
    </row>
    <row r="156" spans="1:6">
      <c r="A156">
        <v>2027</v>
      </c>
      <c r="B156" t="s">
        <v>24</v>
      </c>
      <c r="C156" t="s">
        <v>58</v>
      </c>
      <c r="D156">
        <f>'Export · detalle'!I36</f>
        <v>2</v>
      </c>
      <c r="E156" s="6">
        <f>IFERROR('Export · países'!K12/'Export · países'!H12,0)</f>
        <v>4042.5000000000005</v>
      </c>
      <c r="F156" s="6">
        <f t="shared" si="3"/>
        <v>8085.0000000000009</v>
      </c>
    </row>
    <row r="157" spans="1:6">
      <c r="A157">
        <v>2027</v>
      </c>
      <c r="B157" t="s">
        <v>24</v>
      </c>
      <c r="C157" t="s">
        <v>59</v>
      </c>
      <c r="D157">
        <f>'Export · detalle'!I37</f>
        <v>0</v>
      </c>
      <c r="E157" s="6">
        <f>IFERROR('Export · países'!K13/'Export · países'!H13,0)</f>
        <v>104</v>
      </c>
      <c r="F157" s="6">
        <f t="shared" si="3"/>
        <v>0</v>
      </c>
    </row>
    <row r="158" spans="1:6">
      <c r="A158">
        <v>2027</v>
      </c>
      <c r="B158" t="s">
        <v>24</v>
      </c>
      <c r="C158" t="s">
        <v>60</v>
      </c>
      <c r="D158">
        <f>'Export · detalle'!I38</f>
        <v>4</v>
      </c>
      <c r="E158" s="6">
        <f>IFERROR('Export · países'!K14/'Export · países'!H14,0)</f>
        <v>179</v>
      </c>
      <c r="F158" s="6">
        <f t="shared" si="3"/>
        <v>716</v>
      </c>
    </row>
    <row r="159" spans="1:6">
      <c r="A159">
        <v>2027</v>
      </c>
      <c r="B159" t="s">
        <v>24</v>
      </c>
      <c r="C159" t="s">
        <v>61</v>
      </c>
      <c r="D159">
        <f>'Export · detalle'!I41</f>
        <v>0</v>
      </c>
      <c r="E159" s="6">
        <f>IFERROR('Export · países'!K17/'Export · países'!H17,0)</f>
        <v>535.70000000000005</v>
      </c>
      <c r="F159" s="6">
        <f t="shared" si="3"/>
        <v>0</v>
      </c>
    </row>
    <row r="160" spans="1:6">
      <c r="A160">
        <v>2027</v>
      </c>
      <c r="B160" t="s">
        <v>24</v>
      </c>
      <c r="C160" t="s">
        <v>62</v>
      </c>
      <c r="D160">
        <f>'Export · detalle'!I42</f>
        <v>0</v>
      </c>
      <c r="E160" s="6">
        <f>IFERROR('Export · países'!K18/'Export · países'!H18,0)</f>
        <v>1726.5000000000002</v>
      </c>
      <c r="F160" s="6">
        <f t="shared" ref="F160:F191" si="4">D160*E160</f>
        <v>0</v>
      </c>
    </row>
    <row r="161" spans="1:6">
      <c r="A161">
        <v>2027</v>
      </c>
      <c r="B161" t="s">
        <v>24</v>
      </c>
      <c r="C161" t="s">
        <v>63</v>
      </c>
      <c r="D161">
        <f>'Export · detalle'!I44</f>
        <v>2</v>
      </c>
      <c r="E161" s="6">
        <f>IFERROR('Export · países'!K20/'Export · países'!H20,0)</f>
        <v>4854.3</v>
      </c>
      <c r="F161" s="6">
        <f t="shared" si="4"/>
        <v>9708.6</v>
      </c>
    </row>
    <row r="162" spans="1:6">
      <c r="A162">
        <v>2027</v>
      </c>
      <c r="B162" t="s">
        <v>24</v>
      </c>
      <c r="C162" t="s">
        <v>64</v>
      </c>
      <c r="D162">
        <f>'Export · detalle'!I45</f>
        <v>0</v>
      </c>
      <c r="E162" s="6">
        <f>IFERROR('Export · países'!K21/'Export · países'!H21,0)</f>
        <v>3783.5000000000005</v>
      </c>
      <c r="F162" s="6">
        <f t="shared" si="4"/>
        <v>0</v>
      </c>
    </row>
    <row r="163" spans="1:6">
      <c r="A163">
        <v>2027</v>
      </c>
      <c r="B163" t="s">
        <v>24</v>
      </c>
      <c r="C163" t="s">
        <v>65</v>
      </c>
      <c r="D163">
        <f>'Export · detalle'!I49</f>
        <v>0</v>
      </c>
      <c r="E163" s="6">
        <f>IFERROR('Export · países'!K25/'Export · países'!H25,0)</f>
        <v>1724</v>
      </c>
      <c r="F163" s="6">
        <f t="shared" si="4"/>
        <v>0</v>
      </c>
    </row>
    <row r="164" spans="1:6">
      <c r="A164">
        <v>2027</v>
      </c>
      <c r="B164" t="s">
        <v>11</v>
      </c>
      <c r="C164" t="s">
        <v>55</v>
      </c>
      <c r="D164">
        <f>'Export · detalle'!J31</f>
        <v>0</v>
      </c>
      <c r="E164" s="6">
        <f>IFERROR('Export · países'!K7/'Export · países'!H7,0)</f>
        <v>54</v>
      </c>
      <c r="F164" s="6">
        <f t="shared" si="4"/>
        <v>0</v>
      </c>
    </row>
    <row r="165" spans="1:6">
      <c r="A165">
        <v>2027</v>
      </c>
      <c r="B165" t="s">
        <v>11</v>
      </c>
      <c r="C165" t="s">
        <v>56</v>
      </c>
      <c r="D165">
        <f>'Export · detalle'!J32</f>
        <v>0</v>
      </c>
      <c r="E165" s="6">
        <f>IFERROR('Export · países'!K8/'Export · países'!H8,0)</f>
        <v>1866.1000000000001</v>
      </c>
      <c r="F165" s="6">
        <f t="shared" si="4"/>
        <v>0</v>
      </c>
    </row>
    <row r="166" spans="1:6">
      <c r="A166">
        <v>2027</v>
      </c>
      <c r="B166" t="s">
        <v>11</v>
      </c>
      <c r="C166" t="s">
        <v>57</v>
      </c>
      <c r="D166">
        <f>'Export · detalle'!J35</f>
        <v>1</v>
      </c>
      <c r="E166" s="6">
        <f>IFERROR('Export · países'!K11/'Export · países'!H11,0)</f>
        <v>4235</v>
      </c>
      <c r="F166" s="6">
        <f t="shared" si="4"/>
        <v>4235</v>
      </c>
    </row>
    <row r="167" spans="1:6">
      <c r="A167">
        <v>2027</v>
      </c>
      <c r="B167" t="s">
        <v>11</v>
      </c>
      <c r="C167" t="s">
        <v>58</v>
      </c>
      <c r="D167">
        <f>'Export · detalle'!J36</f>
        <v>0</v>
      </c>
      <c r="E167" s="6">
        <f>IFERROR('Export · países'!K12/'Export · países'!H12,0)</f>
        <v>4042.5000000000005</v>
      </c>
      <c r="F167" s="6">
        <f t="shared" si="4"/>
        <v>0</v>
      </c>
    </row>
    <row r="168" spans="1:6">
      <c r="A168">
        <v>2027</v>
      </c>
      <c r="B168" t="s">
        <v>11</v>
      </c>
      <c r="C168" t="s">
        <v>59</v>
      </c>
      <c r="D168">
        <f>'Export · detalle'!J37</f>
        <v>0</v>
      </c>
      <c r="E168" s="6">
        <f>IFERROR('Export · países'!K13/'Export · países'!H13,0)</f>
        <v>104</v>
      </c>
      <c r="F168" s="6">
        <f t="shared" si="4"/>
        <v>0</v>
      </c>
    </row>
    <row r="169" spans="1:6">
      <c r="A169">
        <v>2027</v>
      </c>
      <c r="B169" t="s">
        <v>11</v>
      </c>
      <c r="C169" t="s">
        <v>60</v>
      </c>
      <c r="D169">
        <f>'Export · detalle'!J38</f>
        <v>1</v>
      </c>
      <c r="E169" s="6">
        <f>IFERROR('Export · países'!K14/'Export · países'!H14,0)</f>
        <v>179</v>
      </c>
      <c r="F169" s="6">
        <f t="shared" si="4"/>
        <v>179</v>
      </c>
    </row>
    <row r="170" spans="1:6">
      <c r="A170">
        <v>2027</v>
      </c>
      <c r="B170" t="s">
        <v>11</v>
      </c>
      <c r="C170" t="s">
        <v>61</v>
      </c>
      <c r="D170">
        <f>'Export · detalle'!J41</f>
        <v>0</v>
      </c>
      <c r="E170" s="6">
        <f>IFERROR('Export · países'!K17/'Export · países'!H17,0)</f>
        <v>535.70000000000005</v>
      </c>
      <c r="F170" s="6">
        <f t="shared" si="4"/>
        <v>0</v>
      </c>
    </row>
    <row r="171" spans="1:6">
      <c r="A171">
        <v>2027</v>
      </c>
      <c r="B171" t="s">
        <v>11</v>
      </c>
      <c r="C171" t="s">
        <v>62</v>
      </c>
      <c r="D171">
        <f>'Export · detalle'!J42</f>
        <v>0</v>
      </c>
      <c r="E171" s="6">
        <f>IFERROR('Export · países'!K18/'Export · países'!H18,0)</f>
        <v>1726.5000000000002</v>
      </c>
      <c r="F171" s="6">
        <f t="shared" si="4"/>
        <v>0</v>
      </c>
    </row>
    <row r="172" spans="1:6">
      <c r="A172">
        <v>2027</v>
      </c>
      <c r="B172" t="s">
        <v>11</v>
      </c>
      <c r="C172" t="s">
        <v>63</v>
      </c>
      <c r="D172">
        <f>'Export · detalle'!J44</f>
        <v>3</v>
      </c>
      <c r="E172" s="6">
        <f>IFERROR('Export · países'!K20/'Export · países'!H20,0)</f>
        <v>4854.3</v>
      </c>
      <c r="F172" s="6">
        <f t="shared" si="4"/>
        <v>14562.900000000001</v>
      </c>
    </row>
    <row r="173" spans="1:6">
      <c r="A173">
        <v>2027</v>
      </c>
      <c r="B173" t="s">
        <v>11</v>
      </c>
      <c r="C173" t="s">
        <v>64</v>
      </c>
      <c r="D173">
        <f>'Export · detalle'!J45</f>
        <v>0</v>
      </c>
      <c r="E173" s="6">
        <f>IFERROR('Export · países'!K21/'Export · países'!H21,0)</f>
        <v>3783.5000000000005</v>
      </c>
      <c r="F173" s="6">
        <f t="shared" si="4"/>
        <v>0</v>
      </c>
    </row>
    <row r="174" spans="1:6">
      <c r="A174">
        <v>2027</v>
      </c>
      <c r="B174" t="s">
        <v>11</v>
      </c>
      <c r="C174" t="s">
        <v>65</v>
      </c>
      <c r="D174">
        <f>'Export · detalle'!J49</f>
        <v>3</v>
      </c>
      <c r="E174" s="6">
        <f>IFERROR('Export · países'!K25/'Export · países'!H25,0)</f>
        <v>1724</v>
      </c>
      <c r="F174" s="6">
        <f t="shared" si="4"/>
        <v>5172</v>
      </c>
    </row>
    <row r="175" spans="1:6">
      <c r="A175">
        <v>2027</v>
      </c>
      <c r="B175" t="s">
        <v>12</v>
      </c>
      <c r="C175" t="s">
        <v>55</v>
      </c>
      <c r="D175">
        <f>'Export · detalle'!K31</f>
        <v>0</v>
      </c>
      <c r="E175" s="6">
        <f>IFERROR('Export · países'!K7/'Export · países'!H7,0)</f>
        <v>54</v>
      </c>
      <c r="F175" s="6">
        <f t="shared" si="4"/>
        <v>0</v>
      </c>
    </row>
    <row r="176" spans="1:6">
      <c r="A176">
        <v>2027</v>
      </c>
      <c r="B176" t="s">
        <v>12</v>
      </c>
      <c r="C176" t="s">
        <v>56</v>
      </c>
      <c r="D176">
        <f>'Export · detalle'!K32</f>
        <v>0</v>
      </c>
      <c r="E176" s="6">
        <f>IFERROR('Export · países'!K8/'Export · países'!H8,0)</f>
        <v>1866.1000000000001</v>
      </c>
      <c r="F176" s="6">
        <f t="shared" si="4"/>
        <v>0</v>
      </c>
    </row>
    <row r="177" spans="1:6">
      <c r="A177">
        <v>2027</v>
      </c>
      <c r="B177" t="s">
        <v>12</v>
      </c>
      <c r="C177" t="s">
        <v>57</v>
      </c>
      <c r="D177">
        <f>'Export · detalle'!K35</f>
        <v>3</v>
      </c>
      <c r="E177" s="6">
        <f>IFERROR('Export · países'!K11/'Export · países'!H11,0)</f>
        <v>4235</v>
      </c>
      <c r="F177" s="6">
        <f t="shared" si="4"/>
        <v>12705</v>
      </c>
    </row>
    <row r="178" spans="1:6">
      <c r="A178">
        <v>2027</v>
      </c>
      <c r="B178" t="s">
        <v>12</v>
      </c>
      <c r="C178" t="s">
        <v>58</v>
      </c>
      <c r="D178">
        <f>'Export · detalle'!K36</f>
        <v>0</v>
      </c>
      <c r="E178" s="6">
        <f>IFERROR('Export · países'!K12/'Export · países'!H12,0)</f>
        <v>4042.5000000000005</v>
      </c>
      <c r="F178" s="6">
        <f t="shared" si="4"/>
        <v>0</v>
      </c>
    </row>
    <row r="179" spans="1:6">
      <c r="A179">
        <v>2027</v>
      </c>
      <c r="B179" t="s">
        <v>12</v>
      </c>
      <c r="C179" t="s">
        <v>59</v>
      </c>
      <c r="D179">
        <f>'Export · detalle'!K37</f>
        <v>1</v>
      </c>
      <c r="E179" s="6">
        <f>IFERROR('Export · países'!K13/'Export · países'!H13,0)</f>
        <v>104</v>
      </c>
      <c r="F179" s="6">
        <f t="shared" si="4"/>
        <v>104</v>
      </c>
    </row>
    <row r="180" spans="1:6">
      <c r="A180">
        <v>2027</v>
      </c>
      <c r="B180" t="s">
        <v>12</v>
      </c>
      <c r="C180" t="s">
        <v>60</v>
      </c>
      <c r="D180">
        <f>'Export · detalle'!K38</f>
        <v>2</v>
      </c>
      <c r="E180" s="6">
        <f>IFERROR('Export · países'!K14/'Export · países'!H14,0)</f>
        <v>179</v>
      </c>
      <c r="F180" s="6">
        <f t="shared" si="4"/>
        <v>358</v>
      </c>
    </row>
    <row r="181" spans="1:6">
      <c r="A181">
        <v>2027</v>
      </c>
      <c r="B181" t="s">
        <v>12</v>
      </c>
      <c r="C181" t="s">
        <v>61</v>
      </c>
      <c r="D181">
        <f>'Export · detalle'!K41</f>
        <v>1</v>
      </c>
      <c r="E181" s="6">
        <f>IFERROR('Export · países'!K17/'Export · países'!H17,0)</f>
        <v>535.70000000000005</v>
      </c>
      <c r="F181" s="6">
        <f t="shared" si="4"/>
        <v>535.70000000000005</v>
      </c>
    </row>
    <row r="182" spans="1:6">
      <c r="A182">
        <v>2027</v>
      </c>
      <c r="B182" t="s">
        <v>12</v>
      </c>
      <c r="C182" t="s">
        <v>62</v>
      </c>
      <c r="D182">
        <f>'Export · detalle'!K42</f>
        <v>0</v>
      </c>
      <c r="E182" s="6">
        <f>IFERROR('Export · países'!K18/'Export · países'!H18,0)</f>
        <v>1726.5000000000002</v>
      </c>
      <c r="F182" s="6">
        <f t="shared" si="4"/>
        <v>0</v>
      </c>
    </row>
    <row r="183" spans="1:6">
      <c r="A183">
        <v>2027</v>
      </c>
      <c r="B183" t="s">
        <v>12</v>
      </c>
      <c r="C183" t="s">
        <v>63</v>
      </c>
      <c r="D183">
        <f>'Export · detalle'!K44</f>
        <v>2</v>
      </c>
      <c r="E183" s="6">
        <f>IFERROR('Export · países'!K20/'Export · países'!H20,0)</f>
        <v>4854.3</v>
      </c>
      <c r="F183" s="6">
        <f t="shared" si="4"/>
        <v>9708.6</v>
      </c>
    </row>
    <row r="184" spans="1:6">
      <c r="A184">
        <v>2027</v>
      </c>
      <c r="B184" t="s">
        <v>12</v>
      </c>
      <c r="C184" t="s">
        <v>64</v>
      </c>
      <c r="D184">
        <f>'Export · detalle'!K45</f>
        <v>0</v>
      </c>
      <c r="E184" s="6">
        <f>IFERROR('Export · países'!K21/'Export · países'!H21,0)</f>
        <v>3783.5000000000005</v>
      </c>
      <c r="F184" s="6">
        <f t="shared" si="4"/>
        <v>0</v>
      </c>
    </row>
    <row r="185" spans="1:6">
      <c r="A185">
        <v>2027</v>
      </c>
      <c r="B185" t="s">
        <v>12</v>
      </c>
      <c r="C185" t="s">
        <v>65</v>
      </c>
      <c r="D185">
        <f>'Export · detalle'!K49</f>
        <v>0</v>
      </c>
      <c r="E185" s="6">
        <f>IFERROR('Export · países'!K25/'Export · países'!H25,0)</f>
        <v>1724</v>
      </c>
      <c r="F185" s="6">
        <f t="shared" si="4"/>
        <v>0</v>
      </c>
    </row>
    <row r="186" spans="1:6">
      <c r="A186">
        <v>2027</v>
      </c>
      <c r="B186" t="s">
        <v>13</v>
      </c>
      <c r="C186" t="s">
        <v>55</v>
      </c>
      <c r="D186">
        <f>'Export · detalle'!L31</f>
        <v>0</v>
      </c>
      <c r="E186" s="6">
        <f>IFERROR('Export · países'!K7/'Export · países'!H7,0)</f>
        <v>54</v>
      </c>
      <c r="F186" s="6">
        <f t="shared" si="4"/>
        <v>0</v>
      </c>
    </row>
    <row r="187" spans="1:6">
      <c r="A187">
        <v>2027</v>
      </c>
      <c r="B187" t="s">
        <v>13</v>
      </c>
      <c r="C187" t="s">
        <v>56</v>
      </c>
      <c r="D187">
        <f>'Export · detalle'!L32</f>
        <v>0</v>
      </c>
      <c r="E187" s="6">
        <f>IFERROR('Export · países'!K8/'Export · países'!H8,0)</f>
        <v>1866.1000000000001</v>
      </c>
      <c r="F187" s="6">
        <f t="shared" si="4"/>
        <v>0</v>
      </c>
    </row>
    <row r="188" spans="1:6">
      <c r="A188">
        <v>2027</v>
      </c>
      <c r="B188" t="s">
        <v>13</v>
      </c>
      <c r="C188" t="s">
        <v>57</v>
      </c>
      <c r="D188">
        <f>'Export · detalle'!L35</f>
        <v>2</v>
      </c>
      <c r="E188" s="6">
        <f>IFERROR('Export · países'!K11/'Export · países'!H11,0)</f>
        <v>4235</v>
      </c>
      <c r="F188" s="6">
        <f t="shared" si="4"/>
        <v>8470</v>
      </c>
    </row>
    <row r="189" spans="1:6">
      <c r="A189">
        <v>2027</v>
      </c>
      <c r="B189" t="s">
        <v>13</v>
      </c>
      <c r="C189" t="s">
        <v>58</v>
      </c>
      <c r="D189">
        <f>'Export · detalle'!L36</f>
        <v>2</v>
      </c>
      <c r="E189" s="6">
        <f>IFERROR('Export · países'!K12/'Export · países'!H12,0)</f>
        <v>4042.5000000000005</v>
      </c>
      <c r="F189" s="6">
        <f t="shared" si="4"/>
        <v>8085.0000000000009</v>
      </c>
    </row>
    <row r="190" spans="1:6">
      <c r="A190">
        <v>2027</v>
      </c>
      <c r="B190" t="s">
        <v>13</v>
      </c>
      <c r="C190" t="s">
        <v>59</v>
      </c>
      <c r="D190">
        <f>'Export · detalle'!L37</f>
        <v>0</v>
      </c>
      <c r="E190" s="6">
        <f>IFERROR('Export · países'!K13/'Export · países'!H13,0)</f>
        <v>104</v>
      </c>
      <c r="F190" s="6">
        <f t="shared" si="4"/>
        <v>0</v>
      </c>
    </row>
    <row r="191" spans="1:6">
      <c r="A191">
        <v>2027</v>
      </c>
      <c r="B191" t="s">
        <v>13</v>
      </c>
      <c r="C191" t="s">
        <v>60</v>
      </c>
      <c r="D191">
        <f>'Export · detalle'!L38</f>
        <v>5</v>
      </c>
      <c r="E191" s="6">
        <f>IFERROR('Export · países'!K14/'Export · países'!H14,0)</f>
        <v>179</v>
      </c>
      <c r="F191" s="6">
        <f t="shared" si="4"/>
        <v>895</v>
      </c>
    </row>
    <row r="192" spans="1:6">
      <c r="A192">
        <v>2027</v>
      </c>
      <c r="B192" t="s">
        <v>13</v>
      </c>
      <c r="C192" t="s">
        <v>61</v>
      </c>
      <c r="D192">
        <f>'Export · detalle'!L41</f>
        <v>0</v>
      </c>
      <c r="E192" s="6">
        <f>IFERROR('Export · países'!K17/'Export · países'!H17,0)</f>
        <v>535.70000000000005</v>
      </c>
      <c r="F192" s="6">
        <f t="shared" ref="F192:F223" si="5">D192*E192</f>
        <v>0</v>
      </c>
    </row>
    <row r="193" spans="1:6">
      <c r="A193">
        <v>2027</v>
      </c>
      <c r="B193" t="s">
        <v>13</v>
      </c>
      <c r="C193" t="s">
        <v>62</v>
      </c>
      <c r="D193">
        <f>'Export · detalle'!L42</f>
        <v>0</v>
      </c>
      <c r="E193" s="6">
        <f>IFERROR('Export · países'!K18/'Export · países'!H18,0)</f>
        <v>1726.5000000000002</v>
      </c>
      <c r="F193" s="6">
        <f t="shared" si="5"/>
        <v>0</v>
      </c>
    </row>
    <row r="194" spans="1:6">
      <c r="A194">
        <v>2027</v>
      </c>
      <c r="B194" t="s">
        <v>13</v>
      </c>
      <c r="C194" t="s">
        <v>63</v>
      </c>
      <c r="D194">
        <f>'Export · detalle'!L44</f>
        <v>4</v>
      </c>
      <c r="E194" s="6">
        <f>IFERROR('Export · países'!K20/'Export · países'!H20,0)</f>
        <v>4854.3</v>
      </c>
      <c r="F194" s="6">
        <f t="shared" si="5"/>
        <v>19417.2</v>
      </c>
    </row>
    <row r="195" spans="1:6">
      <c r="A195">
        <v>2027</v>
      </c>
      <c r="B195" t="s">
        <v>13</v>
      </c>
      <c r="C195" t="s">
        <v>64</v>
      </c>
      <c r="D195">
        <f>'Export · detalle'!L45</f>
        <v>1</v>
      </c>
      <c r="E195" s="6">
        <f>IFERROR('Export · países'!K21/'Export · países'!H21,0)</f>
        <v>3783.5000000000005</v>
      </c>
      <c r="F195" s="6">
        <f t="shared" si="5"/>
        <v>3783.5000000000005</v>
      </c>
    </row>
    <row r="196" spans="1:6">
      <c r="A196">
        <v>2027</v>
      </c>
      <c r="B196" t="s">
        <v>13</v>
      </c>
      <c r="C196" t="s">
        <v>65</v>
      </c>
      <c r="D196">
        <f>'Export · detalle'!L49</f>
        <v>0</v>
      </c>
      <c r="E196" s="6">
        <f>IFERROR('Export · países'!K25/'Export · países'!H25,0)</f>
        <v>1724</v>
      </c>
      <c r="F196" s="6">
        <f t="shared" si="5"/>
        <v>0</v>
      </c>
    </row>
    <row r="197" spans="1:6">
      <c r="A197">
        <v>2027</v>
      </c>
      <c r="B197" t="s">
        <v>14</v>
      </c>
      <c r="C197" t="s">
        <v>55</v>
      </c>
      <c r="D197">
        <f>'Export · detalle'!M31</f>
        <v>0</v>
      </c>
      <c r="E197" s="6">
        <f>IFERROR('Export · países'!K7/'Export · países'!H7,0)</f>
        <v>54</v>
      </c>
      <c r="F197" s="6">
        <f t="shared" si="5"/>
        <v>0</v>
      </c>
    </row>
    <row r="198" spans="1:6">
      <c r="A198">
        <v>2027</v>
      </c>
      <c r="B198" t="s">
        <v>14</v>
      </c>
      <c r="C198" t="s">
        <v>56</v>
      </c>
      <c r="D198">
        <f>'Export · detalle'!M32</f>
        <v>2</v>
      </c>
      <c r="E198" s="6">
        <f>IFERROR('Export · países'!K8/'Export · países'!H8,0)</f>
        <v>1866.1000000000001</v>
      </c>
      <c r="F198" s="6">
        <f t="shared" si="5"/>
        <v>3732.2000000000003</v>
      </c>
    </row>
    <row r="199" spans="1:6">
      <c r="A199">
        <v>2027</v>
      </c>
      <c r="B199" t="s">
        <v>14</v>
      </c>
      <c r="C199" t="s">
        <v>57</v>
      </c>
      <c r="D199">
        <f>'Export · detalle'!M35</f>
        <v>2</v>
      </c>
      <c r="E199" s="6">
        <f>IFERROR('Export · países'!K11/'Export · países'!H11,0)</f>
        <v>4235</v>
      </c>
      <c r="F199" s="6">
        <f t="shared" si="5"/>
        <v>8470</v>
      </c>
    </row>
    <row r="200" spans="1:6">
      <c r="A200">
        <v>2027</v>
      </c>
      <c r="B200" t="s">
        <v>14</v>
      </c>
      <c r="C200" t="s">
        <v>58</v>
      </c>
      <c r="D200">
        <f>'Export · detalle'!M36</f>
        <v>0</v>
      </c>
      <c r="E200" s="6">
        <f>IFERROR('Export · países'!K12/'Export · países'!H12,0)</f>
        <v>4042.5000000000005</v>
      </c>
      <c r="F200" s="6">
        <f t="shared" si="5"/>
        <v>0</v>
      </c>
    </row>
    <row r="201" spans="1:6">
      <c r="A201">
        <v>2027</v>
      </c>
      <c r="B201" t="s">
        <v>14</v>
      </c>
      <c r="C201" t="s">
        <v>59</v>
      </c>
      <c r="D201">
        <f>'Export · detalle'!M37</f>
        <v>0</v>
      </c>
      <c r="E201" s="6">
        <f>IFERROR('Export · países'!K13/'Export · países'!H13,0)</f>
        <v>104</v>
      </c>
      <c r="F201" s="6">
        <f t="shared" si="5"/>
        <v>0</v>
      </c>
    </row>
    <row r="202" spans="1:6">
      <c r="A202">
        <v>2027</v>
      </c>
      <c r="B202" t="s">
        <v>14</v>
      </c>
      <c r="C202" t="s">
        <v>60</v>
      </c>
      <c r="D202">
        <f>'Export · detalle'!M38</f>
        <v>1</v>
      </c>
      <c r="E202" s="6">
        <f>IFERROR('Export · países'!K14/'Export · países'!H14,0)</f>
        <v>179</v>
      </c>
      <c r="F202" s="6">
        <f t="shared" si="5"/>
        <v>179</v>
      </c>
    </row>
    <row r="203" spans="1:6">
      <c r="A203">
        <v>2027</v>
      </c>
      <c r="B203" t="s">
        <v>14</v>
      </c>
      <c r="C203" t="s">
        <v>61</v>
      </c>
      <c r="D203">
        <f>'Export · detalle'!M41</f>
        <v>1</v>
      </c>
      <c r="E203" s="6">
        <f>IFERROR('Export · países'!K17/'Export · países'!H17,0)</f>
        <v>535.70000000000005</v>
      </c>
      <c r="F203" s="6">
        <f t="shared" si="5"/>
        <v>535.70000000000005</v>
      </c>
    </row>
    <row r="204" spans="1:6">
      <c r="A204">
        <v>2027</v>
      </c>
      <c r="B204" t="s">
        <v>14</v>
      </c>
      <c r="C204" t="s">
        <v>62</v>
      </c>
      <c r="D204">
        <f>'Export · detalle'!M42</f>
        <v>2</v>
      </c>
      <c r="E204" s="6">
        <f>IFERROR('Export · países'!K18/'Export · países'!H18,0)</f>
        <v>1726.5000000000002</v>
      </c>
      <c r="F204" s="6">
        <f t="shared" si="5"/>
        <v>3453.0000000000005</v>
      </c>
    </row>
    <row r="205" spans="1:6">
      <c r="A205">
        <v>2027</v>
      </c>
      <c r="B205" t="s">
        <v>14</v>
      </c>
      <c r="C205" t="s">
        <v>63</v>
      </c>
      <c r="D205">
        <f>'Export · detalle'!M44</f>
        <v>3</v>
      </c>
      <c r="E205" s="6">
        <f>IFERROR('Export · países'!K20/'Export · países'!H20,0)</f>
        <v>4854.3</v>
      </c>
      <c r="F205" s="6">
        <f t="shared" si="5"/>
        <v>14562.900000000001</v>
      </c>
    </row>
    <row r="206" spans="1:6">
      <c r="A206">
        <v>2027</v>
      </c>
      <c r="B206" t="s">
        <v>14</v>
      </c>
      <c r="C206" t="s">
        <v>64</v>
      </c>
      <c r="D206">
        <f>'Export · detalle'!M45</f>
        <v>0</v>
      </c>
      <c r="E206" s="6">
        <f>IFERROR('Export · países'!K21/'Export · países'!H21,0)</f>
        <v>3783.5000000000005</v>
      </c>
      <c r="F206" s="6">
        <f t="shared" si="5"/>
        <v>0</v>
      </c>
    </row>
    <row r="207" spans="1:6">
      <c r="A207">
        <v>2027</v>
      </c>
      <c r="B207" t="s">
        <v>14</v>
      </c>
      <c r="C207" t="s">
        <v>65</v>
      </c>
      <c r="D207">
        <f>'Export · detalle'!M49</f>
        <v>2</v>
      </c>
      <c r="E207" s="6">
        <f>IFERROR('Export · países'!K25/'Export · países'!H25,0)</f>
        <v>1724</v>
      </c>
      <c r="F207" s="6">
        <f t="shared" si="5"/>
        <v>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50"/>
  <sheetViews>
    <sheetView showGridLines="0" workbookViewId="0"/>
  </sheetViews>
  <sheetFormatPr baseColWidth="10" defaultColWidth="8.6640625" defaultRowHeight="14"/>
  <cols>
    <col min="1" max="1" width="45" customWidth="1"/>
    <col min="2" max="19" width="15" customWidth="1"/>
  </cols>
  <sheetData>
    <row r="2" spans="1:5" ht="18">
      <c r="A2" s="3" t="s">
        <v>66</v>
      </c>
    </row>
    <row r="3" spans="1:5">
      <c r="A3" t="s">
        <v>67</v>
      </c>
    </row>
    <row r="5" spans="1:5">
      <c r="A5" t="s">
        <v>68</v>
      </c>
    </row>
    <row r="6" spans="1:5">
      <c r="A6" s="1" t="s">
        <v>52</v>
      </c>
      <c r="B6" s="1" t="s">
        <v>12</v>
      </c>
      <c r="C6" s="1" t="s">
        <v>13</v>
      </c>
      <c r="D6" s="1" t="s">
        <v>14</v>
      </c>
      <c r="E6" s="1" t="s">
        <v>69</v>
      </c>
    </row>
    <row r="7" spans="1:5">
      <c r="A7" t="s">
        <v>55</v>
      </c>
      <c r="B7">
        <f>ROUNDUP(SUMIFS('Export · base'!$H$7:$H$408,'Export · base'!$A$7:$A$408,2026,'Export · base'!$B$7:$B$408,10,'Export · base'!$C$7:$C$408,$A7)/'Export · supuestos'!$B$5,0)</f>
        <v>0</v>
      </c>
      <c r="C7">
        <f>ROUNDUP(SUMIFS('Export · base'!$H$7:$H$408,'Export · base'!$A$7:$A$408,2026,'Export · base'!$B$7:$B$408,11,'Export · base'!$C$7:$C$408,$A7)/'Export · supuestos'!$B$5,0)</f>
        <v>0</v>
      </c>
      <c r="D7">
        <f>ROUNDUP(SUMIFS('Export · base'!$H$7:$H$408,'Export · base'!$A$7:$A$408,2026,'Export · base'!$B$7:$B$408,12,'Export · base'!$C$7:$C$408,$A7)/'Export · supuestos'!$B$5,0)</f>
        <v>0</v>
      </c>
      <c r="E7">
        <f t="shared" ref="E7:E25" si="0">SUM(B7:D7)</f>
        <v>0</v>
      </c>
    </row>
    <row r="8" spans="1:5">
      <c r="A8" t="s">
        <v>56</v>
      </c>
      <c r="B8">
        <f>ROUNDUP(SUMIFS('Export · base'!$H$7:$H$408,'Export · base'!$A$7:$A$408,2026,'Export · base'!$B$7:$B$408,10,'Export · base'!$C$7:$C$408,$A8)/'Export · supuestos'!$B$5,0)</f>
        <v>0</v>
      </c>
      <c r="C8">
        <f>ROUNDUP(SUMIFS('Export · base'!$H$7:$H$408,'Export · base'!$A$7:$A$408,2026,'Export · base'!$B$7:$B$408,11,'Export · base'!$C$7:$C$408,$A8)/'Export · supuestos'!$B$5,0)</f>
        <v>0</v>
      </c>
      <c r="D8">
        <f>ROUNDUP(SUMIFS('Export · base'!$H$7:$H$408,'Export · base'!$A$7:$A$408,2026,'Export · base'!$B$7:$B$408,12,'Export · base'!$C$7:$C$408,$A8)/'Export · supuestos'!$B$5,0)</f>
        <v>2</v>
      </c>
      <c r="E8">
        <f t="shared" si="0"/>
        <v>2</v>
      </c>
    </row>
    <row r="9" spans="1:5">
      <c r="A9" t="s">
        <v>70</v>
      </c>
      <c r="B9">
        <f>ROUNDUP(SUMIFS('Export · base'!$H$7:$H$408,'Export · base'!$A$7:$A$408,2026,'Export · base'!$B$7:$B$408,10,'Export · base'!$C$7:$C$408,$A9)/'Export · supuestos'!$B$5,0)</f>
        <v>0</v>
      </c>
      <c r="C9">
        <f>ROUNDUP(SUMIFS('Export · base'!$H$7:$H$408,'Export · base'!$A$7:$A$408,2026,'Export · base'!$B$7:$B$408,11,'Export · base'!$C$7:$C$408,$A9)/'Export · supuestos'!$B$5,0)</f>
        <v>0</v>
      </c>
      <c r="D9">
        <f>ROUNDUP(SUMIFS('Export · base'!$H$7:$H$408,'Export · base'!$A$7:$A$408,2026,'Export · base'!$B$7:$B$408,12,'Export · base'!$C$7:$C$408,$A9)/'Export · supuestos'!$B$5,0)</f>
        <v>10</v>
      </c>
      <c r="E9">
        <f t="shared" si="0"/>
        <v>10</v>
      </c>
    </row>
    <row r="10" spans="1:5">
      <c r="A10" t="s">
        <v>71</v>
      </c>
      <c r="B10">
        <f>ROUNDUP(SUMIFS('Export · base'!$H$7:$H$408,'Export · base'!$A$7:$A$408,2026,'Export · base'!$B$7:$B$408,10,'Export · base'!$C$7:$C$408,$A10)/'Export · supuestos'!$B$5,0)</f>
        <v>0</v>
      </c>
      <c r="C10">
        <f>ROUNDUP(SUMIFS('Export · base'!$H$7:$H$408,'Export · base'!$A$7:$A$408,2026,'Export · base'!$B$7:$B$408,11,'Export · base'!$C$7:$C$408,$A10)/'Export · supuestos'!$B$5,0)</f>
        <v>2</v>
      </c>
      <c r="D10">
        <f>ROUNDUP(SUMIFS('Export · base'!$H$7:$H$408,'Export · base'!$A$7:$A$408,2026,'Export · base'!$B$7:$B$408,12,'Export · base'!$C$7:$C$408,$A10)/'Export · supuestos'!$B$5,0)</f>
        <v>0</v>
      </c>
      <c r="E10">
        <f t="shared" si="0"/>
        <v>2</v>
      </c>
    </row>
    <row r="11" spans="1:5">
      <c r="A11" t="s">
        <v>57</v>
      </c>
      <c r="B11">
        <f>ROUNDUP(SUMIFS('Export · base'!$H$7:$H$408,'Export · base'!$A$7:$A$408,2026,'Export · base'!$B$7:$B$408,10,'Export · base'!$C$7:$C$408,$A11)/'Export · supuestos'!$B$5,0)</f>
        <v>3</v>
      </c>
      <c r="C11">
        <f>ROUNDUP(SUMIFS('Export · base'!$H$7:$H$408,'Export · base'!$A$7:$A$408,2026,'Export · base'!$B$7:$B$408,11,'Export · base'!$C$7:$C$408,$A11)/'Export · supuestos'!$B$5,0)</f>
        <v>2</v>
      </c>
      <c r="D11">
        <f>ROUNDUP(SUMIFS('Export · base'!$H$7:$H$408,'Export · base'!$A$7:$A$408,2026,'Export · base'!$B$7:$B$408,12,'Export · base'!$C$7:$C$408,$A11)/'Export · supuestos'!$B$5,0)</f>
        <v>2</v>
      </c>
      <c r="E11">
        <f t="shared" si="0"/>
        <v>7</v>
      </c>
    </row>
    <row r="12" spans="1:5">
      <c r="A12" t="s">
        <v>58</v>
      </c>
      <c r="B12">
        <f>ROUNDUP(SUMIFS('Export · base'!$H$7:$H$408,'Export · base'!$A$7:$A$408,2026,'Export · base'!$B$7:$B$408,10,'Export · base'!$C$7:$C$408,$A12)/'Export · supuestos'!$B$5,0)</f>
        <v>0</v>
      </c>
      <c r="C12">
        <f>ROUNDUP(SUMIFS('Export · base'!$H$7:$H$408,'Export · base'!$A$7:$A$408,2026,'Export · base'!$B$7:$B$408,11,'Export · base'!$C$7:$C$408,$A12)/'Export · supuestos'!$B$5,0)</f>
        <v>2</v>
      </c>
      <c r="D12">
        <f>ROUNDUP(SUMIFS('Export · base'!$H$7:$H$408,'Export · base'!$A$7:$A$408,2026,'Export · base'!$B$7:$B$408,12,'Export · base'!$C$7:$C$408,$A12)/'Export · supuestos'!$B$5,0)</f>
        <v>0</v>
      </c>
      <c r="E12">
        <f t="shared" si="0"/>
        <v>2</v>
      </c>
    </row>
    <row r="13" spans="1:5">
      <c r="A13" t="s">
        <v>59</v>
      </c>
      <c r="B13">
        <f>ROUNDUP(SUMIFS('Export · base'!$H$7:$H$408,'Export · base'!$A$7:$A$408,2026,'Export · base'!$B$7:$B$408,10,'Export · base'!$C$7:$C$408,$A13)/'Export · supuestos'!$B$5,0)</f>
        <v>1</v>
      </c>
      <c r="C13">
        <f>ROUNDUP(SUMIFS('Export · base'!$H$7:$H$408,'Export · base'!$A$7:$A$408,2026,'Export · base'!$B$7:$B$408,11,'Export · base'!$C$7:$C$408,$A13)/'Export · supuestos'!$B$5,0)</f>
        <v>0</v>
      </c>
      <c r="D13">
        <f>ROUNDUP(SUMIFS('Export · base'!$H$7:$H$408,'Export · base'!$A$7:$A$408,2026,'Export · base'!$B$7:$B$408,12,'Export · base'!$C$7:$C$408,$A13)/'Export · supuestos'!$B$5,0)</f>
        <v>0</v>
      </c>
      <c r="E13">
        <f t="shared" si="0"/>
        <v>1</v>
      </c>
    </row>
    <row r="14" spans="1:5">
      <c r="A14" t="s">
        <v>60</v>
      </c>
      <c r="B14">
        <f>ROUNDUP(SUMIFS('Export · base'!$H$7:$H$408,'Export · base'!$A$7:$A$408,2026,'Export · base'!$B$7:$B$408,10,'Export · base'!$C$7:$C$408,$A14)/'Export · supuestos'!$B$5,0)</f>
        <v>2</v>
      </c>
      <c r="C14">
        <f>ROUNDUP(SUMIFS('Export · base'!$H$7:$H$408,'Export · base'!$A$7:$A$408,2026,'Export · base'!$B$7:$B$408,11,'Export · base'!$C$7:$C$408,$A14)/'Export · supuestos'!$B$5,0)</f>
        <v>4</v>
      </c>
      <c r="D14">
        <f>ROUNDUP(SUMIFS('Export · base'!$H$7:$H$408,'Export · base'!$A$7:$A$408,2026,'Export · base'!$B$7:$B$408,12,'Export · base'!$C$7:$C$408,$A14)/'Export · supuestos'!$B$5,0)</f>
        <v>1</v>
      </c>
      <c r="E14">
        <f t="shared" si="0"/>
        <v>7</v>
      </c>
    </row>
    <row r="15" spans="1:5">
      <c r="A15" t="s">
        <v>72</v>
      </c>
      <c r="B15">
        <f>ROUNDUP(SUMIFS('Export · base'!$H$7:$H$408,'Export · base'!$A$7:$A$408,2026,'Export · base'!$B$7:$B$408,10,'Export · base'!$C$7:$C$408,$A15)/'Export · supuestos'!$B$5,0)</f>
        <v>0</v>
      </c>
      <c r="C15">
        <f>ROUNDUP(SUMIFS('Export · base'!$H$7:$H$408,'Export · base'!$A$7:$A$408,2026,'Export · base'!$B$7:$B$408,11,'Export · base'!$C$7:$C$408,$A15)/'Export · supuestos'!$B$5,0)</f>
        <v>0</v>
      </c>
      <c r="D15">
        <f>ROUNDUP(SUMIFS('Export · base'!$H$7:$H$408,'Export · base'!$A$7:$A$408,2026,'Export · base'!$B$7:$B$408,12,'Export · base'!$C$7:$C$408,$A15)/'Export · supuestos'!$B$5,0)</f>
        <v>3</v>
      </c>
      <c r="E15">
        <f t="shared" si="0"/>
        <v>3</v>
      </c>
    </row>
    <row r="16" spans="1:5">
      <c r="A16" t="s">
        <v>73</v>
      </c>
      <c r="B16">
        <f>ROUNDUP(SUMIFS('Export · base'!$H$7:$H$408,'Export · base'!$A$7:$A$408,2026,'Export · base'!$B$7:$B$408,10,'Export · base'!$C$7:$C$408,$A16)/'Export · supuestos'!$B$5,0)</f>
        <v>0</v>
      </c>
      <c r="C16">
        <f>ROUNDUP(SUMIFS('Export · base'!$H$7:$H$408,'Export · base'!$A$7:$A$408,2026,'Export · base'!$B$7:$B$408,11,'Export · base'!$C$7:$C$408,$A16)/'Export · supuestos'!$B$5,0)</f>
        <v>0</v>
      </c>
      <c r="D16">
        <f>ROUNDUP(SUMIFS('Export · base'!$H$7:$H$408,'Export · base'!$A$7:$A$408,2026,'Export · base'!$B$7:$B$408,12,'Export · base'!$C$7:$C$408,$A16)/'Export · supuestos'!$B$5,0)</f>
        <v>2</v>
      </c>
      <c r="E16">
        <f t="shared" si="0"/>
        <v>2</v>
      </c>
    </row>
    <row r="17" spans="1:14">
      <c r="A17" t="s">
        <v>61</v>
      </c>
      <c r="B17">
        <f>ROUNDUP(SUMIFS('Export · base'!$H$7:$H$408,'Export · base'!$A$7:$A$408,2026,'Export · base'!$B$7:$B$408,10,'Export · base'!$C$7:$C$408,$A17)/'Export · supuestos'!$B$5,0)</f>
        <v>1</v>
      </c>
      <c r="C17">
        <f>ROUNDUP(SUMIFS('Export · base'!$H$7:$H$408,'Export · base'!$A$7:$A$408,2026,'Export · base'!$B$7:$B$408,11,'Export · base'!$C$7:$C$408,$A17)/'Export · supuestos'!$B$5,0)</f>
        <v>0</v>
      </c>
      <c r="D17">
        <f>ROUNDUP(SUMIFS('Export · base'!$H$7:$H$408,'Export · base'!$A$7:$A$408,2026,'Export · base'!$B$7:$B$408,12,'Export · base'!$C$7:$C$408,$A17)/'Export · supuestos'!$B$5,0)</f>
        <v>1</v>
      </c>
      <c r="E17">
        <f t="shared" si="0"/>
        <v>2</v>
      </c>
    </row>
    <row r="18" spans="1:14">
      <c r="A18" t="s">
        <v>62</v>
      </c>
      <c r="B18">
        <f>ROUNDUP(SUMIFS('Export · base'!$H$7:$H$408,'Export · base'!$A$7:$A$408,2026,'Export · base'!$B$7:$B$408,10,'Export · base'!$C$7:$C$408,$A18)/'Export · supuestos'!$B$5,0)</f>
        <v>0</v>
      </c>
      <c r="C18">
        <f>ROUNDUP(SUMIFS('Export · base'!$H$7:$H$408,'Export · base'!$A$7:$A$408,2026,'Export · base'!$B$7:$B$408,11,'Export · base'!$C$7:$C$408,$A18)/'Export · supuestos'!$B$5,0)</f>
        <v>0</v>
      </c>
      <c r="D18">
        <f>ROUNDUP(SUMIFS('Export · base'!$H$7:$H$408,'Export · base'!$A$7:$A$408,2026,'Export · base'!$B$7:$B$408,12,'Export · base'!$C$7:$C$408,$A18)/'Export · supuestos'!$B$5,0)</f>
        <v>2</v>
      </c>
      <c r="E18">
        <f t="shared" si="0"/>
        <v>2</v>
      </c>
    </row>
    <row r="19" spans="1:14">
      <c r="A19" t="s">
        <v>74</v>
      </c>
      <c r="B19">
        <f>ROUNDUP(SUMIFS('Export · base'!$H$7:$H$408,'Export · base'!$A$7:$A$408,2026,'Export · base'!$B$7:$B$408,10,'Export · base'!$C$7:$C$408,$A19)/'Export · supuestos'!$B$5,0)</f>
        <v>1</v>
      </c>
      <c r="C19">
        <f>ROUNDUP(SUMIFS('Export · base'!$H$7:$H$408,'Export · base'!$A$7:$A$408,2026,'Export · base'!$B$7:$B$408,11,'Export · base'!$C$7:$C$408,$A19)/'Export · supuestos'!$B$5,0)</f>
        <v>1</v>
      </c>
      <c r="D19">
        <f>ROUNDUP(SUMIFS('Export · base'!$H$7:$H$408,'Export · base'!$A$7:$A$408,2026,'Export · base'!$B$7:$B$408,12,'Export · base'!$C$7:$C$408,$A19)/'Export · supuestos'!$B$5,0)</f>
        <v>2</v>
      </c>
      <c r="E19">
        <f t="shared" si="0"/>
        <v>4</v>
      </c>
    </row>
    <row r="20" spans="1:14">
      <c r="A20" t="s">
        <v>63</v>
      </c>
      <c r="B20">
        <f>ROUNDUP(SUMIFS('Export · base'!$H$7:$H$408,'Export · base'!$A$7:$A$408,2026,'Export · base'!$B$7:$B$408,10,'Export · base'!$C$7:$C$408,$A20)/'Export · supuestos'!$B$5,0)</f>
        <v>2</v>
      </c>
      <c r="C20">
        <f>ROUNDUP(SUMIFS('Export · base'!$H$7:$H$408,'Export · base'!$A$7:$A$408,2026,'Export · base'!$B$7:$B$408,11,'Export · base'!$C$7:$C$408,$A20)/'Export · supuestos'!$B$5,0)</f>
        <v>3</v>
      </c>
      <c r="D20">
        <f>ROUNDUP(SUMIFS('Export · base'!$H$7:$H$408,'Export · base'!$A$7:$A$408,2026,'Export · base'!$B$7:$B$408,12,'Export · base'!$C$7:$C$408,$A20)/'Export · supuestos'!$B$5,0)</f>
        <v>2</v>
      </c>
      <c r="E20">
        <f t="shared" si="0"/>
        <v>7</v>
      </c>
    </row>
    <row r="21" spans="1:14">
      <c r="A21" t="s">
        <v>64</v>
      </c>
      <c r="B21">
        <f>ROUNDUP(SUMIFS('Export · base'!$H$7:$H$408,'Export · base'!$A$7:$A$408,2026,'Export · base'!$B$7:$B$408,10,'Export · base'!$C$7:$C$408,$A21)/'Export · supuestos'!$B$5,0)</f>
        <v>0</v>
      </c>
      <c r="C21">
        <f>ROUNDUP(SUMIFS('Export · base'!$H$7:$H$408,'Export · base'!$A$7:$A$408,2026,'Export · base'!$B$7:$B$408,11,'Export · base'!$C$7:$C$408,$A21)/'Export · supuestos'!$B$5,0)</f>
        <v>1</v>
      </c>
      <c r="D21">
        <f>ROUNDUP(SUMIFS('Export · base'!$H$7:$H$408,'Export · base'!$A$7:$A$408,2026,'Export · base'!$B$7:$B$408,12,'Export · base'!$C$7:$C$408,$A21)/'Export · supuestos'!$B$5,0)</f>
        <v>0</v>
      </c>
      <c r="E21">
        <f t="shared" si="0"/>
        <v>1</v>
      </c>
    </row>
    <row r="22" spans="1:14">
      <c r="A22" t="s">
        <v>75</v>
      </c>
      <c r="B22">
        <f>ROUNDUP(SUMIFS('Export · base'!$H$7:$H$408,'Export · base'!$A$7:$A$408,2026,'Export · base'!$B$7:$B$408,10,'Export · base'!$C$7:$C$408,$A22)/'Export · supuestos'!$B$5,0)</f>
        <v>0</v>
      </c>
      <c r="C22">
        <f>ROUNDUP(SUMIFS('Export · base'!$H$7:$H$408,'Export · base'!$A$7:$A$408,2026,'Export · base'!$B$7:$B$408,11,'Export · base'!$C$7:$C$408,$A22)/'Export · supuestos'!$B$5,0)</f>
        <v>0</v>
      </c>
      <c r="D22">
        <f>ROUNDUP(SUMIFS('Export · base'!$H$7:$H$408,'Export · base'!$A$7:$A$408,2026,'Export · base'!$B$7:$B$408,12,'Export · base'!$C$7:$C$408,$A22)/'Export · supuestos'!$B$5,0)</f>
        <v>0</v>
      </c>
      <c r="E22">
        <f t="shared" si="0"/>
        <v>0</v>
      </c>
    </row>
    <row r="23" spans="1:14">
      <c r="A23" t="s">
        <v>76</v>
      </c>
      <c r="B23">
        <f>ROUNDUP(SUMIFS('Export · base'!$H$7:$H$408,'Export · base'!$A$7:$A$408,2026,'Export · base'!$B$7:$B$408,10,'Export · base'!$C$7:$C$408,$A23)/'Export · supuestos'!$B$5,0)</f>
        <v>0</v>
      </c>
      <c r="C23">
        <f>ROUNDUP(SUMIFS('Export · base'!$H$7:$H$408,'Export · base'!$A$7:$A$408,2026,'Export · base'!$B$7:$B$408,11,'Export · base'!$C$7:$C$408,$A23)/'Export · supuestos'!$B$5,0)</f>
        <v>1</v>
      </c>
      <c r="D23">
        <f>ROUNDUP(SUMIFS('Export · base'!$H$7:$H$408,'Export · base'!$A$7:$A$408,2026,'Export · base'!$B$7:$B$408,12,'Export · base'!$C$7:$C$408,$A23)/'Export · supuestos'!$B$5,0)</f>
        <v>0</v>
      </c>
      <c r="E23">
        <f t="shared" si="0"/>
        <v>1</v>
      </c>
    </row>
    <row r="24" spans="1:14">
      <c r="A24" t="s">
        <v>77</v>
      </c>
      <c r="B24">
        <f>ROUNDUP(SUMIFS('Export · base'!$H$7:$H$408,'Export · base'!$A$7:$A$408,2026,'Export · base'!$B$7:$B$408,10,'Export · base'!$C$7:$C$408,$A24)/'Export · supuestos'!$B$5,0)</f>
        <v>0</v>
      </c>
      <c r="C24">
        <f>ROUNDUP(SUMIFS('Export · base'!$H$7:$H$408,'Export · base'!$A$7:$A$408,2026,'Export · base'!$B$7:$B$408,11,'Export · base'!$C$7:$C$408,$A24)/'Export · supuestos'!$B$5,0)</f>
        <v>0</v>
      </c>
      <c r="D24">
        <f>ROUNDUP(SUMIFS('Export · base'!$H$7:$H$408,'Export · base'!$A$7:$A$408,2026,'Export · base'!$B$7:$B$408,12,'Export · base'!$C$7:$C$408,$A24)/'Export · supuestos'!$B$5,0)</f>
        <v>1</v>
      </c>
      <c r="E24">
        <f t="shared" si="0"/>
        <v>1</v>
      </c>
    </row>
    <row r="25" spans="1:14">
      <c r="A25" t="s">
        <v>65</v>
      </c>
      <c r="B25">
        <f>ROUNDUP(SUMIFS('Export · base'!$H$7:$H$408,'Export · base'!$A$7:$A$408,2026,'Export · base'!$B$7:$B$408,10,'Export · base'!$C$7:$C$408,$A25)/'Export · supuestos'!$B$5,0)</f>
        <v>0</v>
      </c>
      <c r="C25">
        <f>ROUNDUP(SUMIFS('Export · base'!$H$7:$H$408,'Export · base'!$A$7:$A$408,2026,'Export · base'!$B$7:$B$408,11,'Export · base'!$C$7:$C$408,$A25)/'Export · supuestos'!$B$5,0)</f>
        <v>0</v>
      </c>
      <c r="D25">
        <f>ROUNDUP(SUMIFS('Export · base'!$H$7:$H$408,'Export · base'!$A$7:$A$408,2026,'Export · base'!$B$7:$B$408,12,'Export · base'!$C$7:$C$408,$A25)/'Export · supuestos'!$B$5,0)</f>
        <v>2</v>
      </c>
      <c r="E25">
        <f t="shared" si="0"/>
        <v>2</v>
      </c>
    </row>
    <row r="26" spans="1:14">
      <c r="A26" s="2" t="s">
        <v>37</v>
      </c>
      <c r="B26" s="2">
        <f>SUM(B7:B25)</f>
        <v>10</v>
      </c>
      <c r="C26" s="2">
        <f>SUM(C7:C25)</f>
        <v>16</v>
      </c>
      <c r="D26" s="2">
        <f>SUM(D7:D25)</f>
        <v>30</v>
      </c>
      <c r="E26" s="2">
        <f>SUM(E7:E25)</f>
        <v>56</v>
      </c>
    </row>
    <row r="29" spans="1:14">
      <c r="A29" t="s">
        <v>16</v>
      </c>
    </row>
    <row r="30" spans="1:14">
      <c r="A30" s="1" t="s">
        <v>52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22</v>
      </c>
      <c r="H30" s="1" t="s">
        <v>23</v>
      </c>
      <c r="I30" s="1" t="s">
        <v>24</v>
      </c>
      <c r="J30" s="1" t="s">
        <v>11</v>
      </c>
      <c r="K30" s="1" t="s">
        <v>12</v>
      </c>
      <c r="L30" s="1" t="s">
        <v>13</v>
      </c>
      <c r="M30" s="1" t="s">
        <v>14</v>
      </c>
      <c r="N30" s="1" t="s">
        <v>78</v>
      </c>
    </row>
    <row r="31" spans="1:14">
      <c r="A31" t="s">
        <v>55</v>
      </c>
      <c r="B31">
        <f>ROUNDUP(SUMIFS('Export · base'!$H$7:$H$408,'Export · base'!$A$7:$A$408,2027,'Export · base'!$B$7:$B$408,1,'Export · base'!$C$7:$C$408,$A31)/'Export · supuestos'!$B$5,0)</f>
        <v>0</v>
      </c>
      <c r="C31">
        <f>ROUNDUP(SUMIFS('Export · base'!$H$7:$H$408,'Export · base'!$A$7:$A$408,2027,'Export · base'!$B$7:$B$408,2,'Export · base'!$C$7:$C$408,$A31)/'Export · supuestos'!$B$5,0)</f>
        <v>0</v>
      </c>
      <c r="D31">
        <f>ROUNDUP(SUMIFS('Export · base'!$H$7:$H$408,'Export · base'!$A$7:$A$408,2027,'Export · base'!$B$7:$B$408,3,'Export · base'!$C$7:$C$408,$A31)/'Export · supuestos'!$B$5,0)</f>
        <v>0</v>
      </c>
      <c r="E31">
        <f>ROUNDUP(SUMIFS('Export · base'!$H$7:$H$408,'Export · base'!$A$7:$A$408,2027,'Export · base'!$B$7:$B$408,4,'Export · base'!$C$7:$C$408,$A31)/'Export · supuestos'!$B$5,0)</f>
        <v>2</v>
      </c>
      <c r="F31">
        <f>ROUNDUP(SUMIFS('Export · base'!$H$7:$H$408,'Export · base'!$A$7:$A$408,2027,'Export · base'!$B$7:$B$408,5,'Export · base'!$C$7:$C$408,$A31)/'Export · supuestos'!$B$5,0)</f>
        <v>0</v>
      </c>
      <c r="G31">
        <f>ROUNDUP(SUMIFS('Export · base'!$H$7:$H$408,'Export · base'!$A$7:$A$408,2027,'Export · base'!$B$7:$B$408,6,'Export · base'!$C$7:$C$408,$A31)/'Export · supuestos'!$B$5,0)</f>
        <v>0</v>
      </c>
      <c r="H31">
        <f>ROUNDUP(SUMIFS('Export · base'!$H$7:$H$408,'Export · base'!$A$7:$A$408,2027,'Export · base'!$B$7:$B$408,7,'Export · base'!$C$7:$C$408,$A31)/'Export · supuestos'!$B$5,0)</f>
        <v>0</v>
      </c>
      <c r="I31">
        <f>ROUNDUP(SUMIFS('Export · base'!$H$7:$H$408,'Export · base'!$A$7:$A$408,2027,'Export · base'!$B$7:$B$408,8,'Export · base'!$C$7:$C$408,$A31)/'Export · supuestos'!$B$5,0)</f>
        <v>0</v>
      </c>
      <c r="J31">
        <f>ROUNDUP(SUMIFS('Export · base'!$H$7:$H$408,'Export · base'!$A$7:$A$408,2027,'Export · base'!$B$7:$B$408,9,'Export · base'!$C$7:$C$408,$A31)/'Export · supuestos'!$B$5,0)</f>
        <v>0</v>
      </c>
      <c r="K31">
        <f>ROUNDUP(SUMIFS('Export · base'!$H$7:$H$408,'Export · base'!$A$7:$A$408,2027,'Export · base'!$B$7:$B$408,10,'Export · base'!$C$7:$C$408,$A31)/'Export · supuestos'!$B$5,0)</f>
        <v>0</v>
      </c>
      <c r="L31">
        <f>ROUNDUP(SUMIFS('Export · base'!$H$7:$H$408,'Export · base'!$A$7:$A$408,2027,'Export · base'!$B$7:$B$408,11,'Export · base'!$C$7:$C$408,$A31)/'Export · supuestos'!$B$5,0)</f>
        <v>0</v>
      </c>
      <c r="M31">
        <f>ROUNDUP(SUMIFS('Export · base'!$H$7:$H$408,'Export · base'!$A$7:$A$408,2027,'Export · base'!$B$7:$B$408,12,'Export · base'!$C$7:$C$408,$A31)/'Export · supuestos'!$B$5,0)</f>
        <v>0</v>
      </c>
      <c r="N31">
        <f t="shared" ref="N31:N49" si="1">SUM(B31:M31)</f>
        <v>2</v>
      </c>
    </row>
    <row r="32" spans="1:14">
      <c r="A32" t="s">
        <v>56</v>
      </c>
      <c r="B32">
        <f>ROUNDUP(SUMIFS('Export · base'!$H$7:$H$408,'Export · base'!$A$7:$A$408,2027,'Export · base'!$B$7:$B$408,1,'Export · base'!$C$7:$C$408,$A32)/'Export · supuestos'!$B$5,0)</f>
        <v>3</v>
      </c>
      <c r="C32">
        <f>ROUNDUP(SUMIFS('Export · base'!$H$7:$H$408,'Export · base'!$A$7:$A$408,2027,'Export · base'!$B$7:$B$408,2,'Export · base'!$C$7:$C$408,$A32)/'Export · supuestos'!$B$5,0)</f>
        <v>0</v>
      </c>
      <c r="D32">
        <f>ROUNDUP(SUMIFS('Export · base'!$H$7:$H$408,'Export · base'!$A$7:$A$408,2027,'Export · base'!$B$7:$B$408,3,'Export · base'!$C$7:$C$408,$A32)/'Export · supuestos'!$B$5,0)</f>
        <v>0</v>
      </c>
      <c r="E32">
        <f>ROUNDUP(SUMIFS('Export · base'!$H$7:$H$408,'Export · base'!$A$7:$A$408,2027,'Export · base'!$B$7:$B$408,4,'Export · base'!$C$7:$C$408,$A32)/'Export · supuestos'!$B$5,0)</f>
        <v>2</v>
      </c>
      <c r="F32">
        <f>ROUNDUP(SUMIFS('Export · base'!$H$7:$H$408,'Export · base'!$A$7:$A$408,2027,'Export · base'!$B$7:$B$408,5,'Export · base'!$C$7:$C$408,$A32)/'Export · supuestos'!$B$5,0)</f>
        <v>2</v>
      </c>
      <c r="G32">
        <f>ROUNDUP(SUMIFS('Export · base'!$H$7:$H$408,'Export · base'!$A$7:$A$408,2027,'Export · base'!$B$7:$B$408,6,'Export · base'!$C$7:$C$408,$A32)/'Export · supuestos'!$B$5,0)</f>
        <v>7</v>
      </c>
      <c r="H32">
        <f>ROUNDUP(SUMIFS('Export · base'!$H$7:$H$408,'Export · base'!$A$7:$A$408,2027,'Export · base'!$B$7:$B$408,7,'Export · base'!$C$7:$C$408,$A32)/'Export · supuestos'!$B$5,0)</f>
        <v>3</v>
      </c>
      <c r="I32">
        <f>ROUNDUP(SUMIFS('Export · base'!$H$7:$H$408,'Export · base'!$A$7:$A$408,2027,'Export · base'!$B$7:$B$408,8,'Export · base'!$C$7:$C$408,$A32)/'Export · supuestos'!$B$5,0)</f>
        <v>0</v>
      </c>
      <c r="J32">
        <f>ROUNDUP(SUMIFS('Export · base'!$H$7:$H$408,'Export · base'!$A$7:$A$408,2027,'Export · base'!$B$7:$B$408,9,'Export · base'!$C$7:$C$408,$A32)/'Export · supuestos'!$B$5,0)</f>
        <v>0</v>
      </c>
      <c r="K32">
        <f>ROUNDUP(SUMIFS('Export · base'!$H$7:$H$408,'Export · base'!$A$7:$A$408,2027,'Export · base'!$B$7:$B$408,10,'Export · base'!$C$7:$C$408,$A32)/'Export · supuestos'!$B$5,0)</f>
        <v>0</v>
      </c>
      <c r="L32">
        <f>ROUNDUP(SUMIFS('Export · base'!$H$7:$H$408,'Export · base'!$A$7:$A$408,2027,'Export · base'!$B$7:$B$408,11,'Export · base'!$C$7:$C$408,$A32)/'Export · supuestos'!$B$5,0)</f>
        <v>0</v>
      </c>
      <c r="M32">
        <f>ROUNDUP(SUMIFS('Export · base'!$H$7:$H$408,'Export · base'!$A$7:$A$408,2027,'Export · base'!$B$7:$B$408,12,'Export · base'!$C$7:$C$408,$A32)/'Export · supuestos'!$B$5,0)</f>
        <v>2</v>
      </c>
      <c r="N32">
        <f t="shared" si="1"/>
        <v>19</v>
      </c>
    </row>
    <row r="33" spans="1:14">
      <c r="A33" t="s">
        <v>70</v>
      </c>
      <c r="B33">
        <f>ROUNDUP(SUMIFS('Export · base'!$H$7:$H$408,'Export · base'!$A$7:$A$408,2027,'Export · base'!$B$7:$B$408,1,'Export · base'!$C$7:$C$408,$A33)/'Export · supuestos'!$B$5,0)</f>
        <v>0</v>
      </c>
      <c r="C33">
        <f>ROUNDUP(SUMIFS('Export · base'!$H$7:$H$408,'Export · base'!$A$7:$A$408,2027,'Export · base'!$B$7:$B$408,2,'Export · base'!$C$7:$C$408,$A33)/'Export · supuestos'!$B$5,0)</f>
        <v>0</v>
      </c>
      <c r="D33">
        <f>ROUNDUP(SUMIFS('Export · base'!$H$7:$H$408,'Export · base'!$A$7:$A$408,2027,'Export · base'!$B$7:$B$408,3,'Export · base'!$C$7:$C$408,$A33)/'Export · supuestos'!$B$5,0)</f>
        <v>21</v>
      </c>
      <c r="E33">
        <f>ROUNDUP(SUMIFS('Export · base'!$H$7:$H$408,'Export · base'!$A$7:$A$408,2027,'Export · base'!$B$7:$B$408,4,'Export · base'!$C$7:$C$408,$A33)/'Export · supuestos'!$B$5,0)</f>
        <v>10</v>
      </c>
      <c r="F33">
        <f>ROUNDUP(SUMIFS('Export · base'!$H$7:$H$408,'Export · base'!$A$7:$A$408,2027,'Export · base'!$B$7:$B$408,5,'Export · base'!$C$7:$C$408,$A33)/'Export · supuestos'!$B$5,0)</f>
        <v>16</v>
      </c>
      <c r="G33">
        <f>ROUNDUP(SUMIFS('Export · base'!$H$7:$H$408,'Export · base'!$A$7:$A$408,2027,'Export · base'!$B$7:$B$408,6,'Export · base'!$C$7:$C$408,$A33)/'Export · supuestos'!$B$5,0)</f>
        <v>14</v>
      </c>
      <c r="H33">
        <f>ROUNDUP(SUMIFS('Export · base'!$H$7:$H$408,'Export · base'!$A$7:$A$408,2027,'Export · base'!$B$7:$B$408,7,'Export · base'!$C$7:$C$408,$A33)/'Export · supuestos'!$B$5,0)</f>
        <v>10</v>
      </c>
      <c r="I33">
        <f>ROUNDUP(SUMIFS('Export · base'!$H$7:$H$408,'Export · base'!$A$7:$A$408,2027,'Export · base'!$B$7:$B$408,8,'Export · base'!$C$7:$C$408,$A33)/'Export · supuestos'!$B$5,0)</f>
        <v>0</v>
      </c>
      <c r="J33">
        <f>ROUNDUP(SUMIFS('Export · base'!$H$7:$H$408,'Export · base'!$A$7:$A$408,2027,'Export · base'!$B$7:$B$408,9,'Export · base'!$C$7:$C$408,$A33)/'Export · supuestos'!$B$5,0)</f>
        <v>0</v>
      </c>
      <c r="K33">
        <f>ROUNDUP(SUMIFS('Export · base'!$H$7:$H$408,'Export · base'!$A$7:$A$408,2027,'Export · base'!$B$7:$B$408,10,'Export · base'!$C$7:$C$408,$A33)/'Export · supuestos'!$B$5,0)</f>
        <v>0</v>
      </c>
      <c r="L33">
        <f>ROUNDUP(SUMIFS('Export · base'!$H$7:$H$408,'Export · base'!$A$7:$A$408,2027,'Export · base'!$B$7:$B$408,11,'Export · base'!$C$7:$C$408,$A33)/'Export · supuestos'!$B$5,0)</f>
        <v>0</v>
      </c>
      <c r="M33">
        <f>ROUNDUP(SUMIFS('Export · base'!$H$7:$H$408,'Export · base'!$A$7:$A$408,2027,'Export · base'!$B$7:$B$408,12,'Export · base'!$C$7:$C$408,$A33)/'Export · supuestos'!$B$5,0)</f>
        <v>12</v>
      </c>
      <c r="N33">
        <f t="shared" si="1"/>
        <v>83</v>
      </c>
    </row>
    <row r="34" spans="1:14">
      <c r="A34" t="s">
        <v>71</v>
      </c>
      <c r="B34">
        <f>ROUNDUP(SUMIFS('Export · base'!$H$7:$H$408,'Export · base'!$A$7:$A$408,2027,'Export · base'!$B$7:$B$408,1,'Export · base'!$C$7:$C$408,$A34)/'Export · supuestos'!$B$5,0)</f>
        <v>0</v>
      </c>
      <c r="C34">
        <f>ROUNDUP(SUMIFS('Export · base'!$H$7:$H$408,'Export · base'!$A$7:$A$408,2027,'Export · base'!$B$7:$B$408,2,'Export · base'!$C$7:$C$408,$A34)/'Export · supuestos'!$B$5,0)</f>
        <v>0</v>
      </c>
      <c r="D34">
        <f>ROUNDUP(SUMIFS('Export · base'!$H$7:$H$408,'Export · base'!$A$7:$A$408,2027,'Export · base'!$B$7:$B$408,3,'Export · base'!$C$7:$C$408,$A34)/'Export · supuestos'!$B$5,0)</f>
        <v>0</v>
      </c>
      <c r="E34">
        <f>ROUNDUP(SUMIFS('Export · base'!$H$7:$H$408,'Export · base'!$A$7:$A$408,2027,'Export · base'!$B$7:$B$408,4,'Export · base'!$C$7:$C$408,$A34)/'Export · supuestos'!$B$5,0)</f>
        <v>0</v>
      </c>
      <c r="F34">
        <f>ROUNDUP(SUMIFS('Export · base'!$H$7:$H$408,'Export · base'!$A$7:$A$408,2027,'Export · base'!$B$7:$B$408,5,'Export · base'!$C$7:$C$408,$A34)/'Export · supuestos'!$B$5,0)</f>
        <v>2</v>
      </c>
      <c r="G34">
        <f>ROUNDUP(SUMIFS('Export · base'!$H$7:$H$408,'Export · base'!$A$7:$A$408,2027,'Export · base'!$B$7:$B$408,6,'Export · base'!$C$7:$C$408,$A34)/'Export · supuestos'!$B$5,0)</f>
        <v>0</v>
      </c>
      <c r="H34">
        <f>ROUNDUP(SUMIFS('Export · base'!$H$7:$H$408,'Export · base'!$A$7:$A$408,2027,'Export · base'!$B$7:$B$408,7,'Export · base'!$C$7:$C$408,$A34)/'Export · supuestos'!$B$5,0)</f>
        <v>0</v>
      </c>
      <c r="I34">
        <f>ROUNDUP(SUMIFS('Export · base'!$H$7:$H$408,'Export · base'!$A$7:$A$408,2027,'Export · base'!$B$7:$B$408,8,'Export · base'!$C$7:$C$408,$A34)/'Export · supuestos'!$B$5,0)</f>
        <v>2</v>
      </c>
      <c r="J34">
        <f>ROUNDUP(SUMIFS('Export · base'!$H$7:$H$408,'Export · base'!$A$7:$A$408,2027,'Export · base'!$B$7:$B$408,9,'Export · base'!$C$7:$C$408,$A34)/'Export · supuestos'!$B$5,0)</f>
        <v>0</v>
      </c>
      <c r="K34">
        <f>ROUNDUP(SUMIFS('Export · base'!$H$7:$H$408,'Export · base'!$A$7:$A$408,2027,'Export · base'!$B$7:$B$408,10,'Export · base'!$C$7:$C$408,$A34)/'Export · supuestos'!$B$5,0)</f>
        <v>0</v>
      </c>
      <c r="L34">
        <f>ROUNDUP(SUMIFS('Export · base'!$H$7:$H$408,'Export · base'!$A$7:$A$408,2027,'Export · base'!$B$7:$B$408,11,'Export · base'!$C$7:$C$408,$A34)/'Export · supuestos'!$B$5,0)</f>
        <v>2</v>
      </c>
      <c r="M34">
        <f>ROUNDUP(SUMIFS('Export · base'!$H$7:$H$408,'Export · base'!$A$7:$A$408,2027,'Export · base'!$B$7:$B$408,12,'Export · base'!$C$7:$C$408,$A34)/'Export · supuestos'!$B$5,0)</f>
        <v>0</v>
      </c>
      <c r="N34">
        <f t="shared" si="1"/>
        <v>6</v>
      </c>
    </row>
    <row r="35" spans="1:14">
      <c r="A35" t="s">
        <v>57</v>
      </c>
      <c r="B35">
        <f>ROUNDUP(SUMIFS('Export · base'!$H$7:$H$408,'Export · base'!$A$7:$A$408,2027,'Export · base'!$B$7:$B$408,1,'Export · base'!$C$7:$C$408,$A35)/'Export · supuestos'!$B$5,0)</f>
        <v>2</v>
      </c>
      <c r="C35">
        <f>ROUNDUP(SUMIFS('Export · base'!$H$7:$H$408,'Export · base'!$A$7:$A$408,2027,'Export · base'!$B$7:$B$408,2,'Export · base'!$C$7:$C$408,$A35)/'Export · supuestos'!$B$5,0)</f>
        <v>0</v>
      </c>
      <c r="D35">
        <f>ROUNDUP(SUMIFS('Export · base'!$H$7:$H$408,'Export · base'!$A$7:$A$408,2027,'Export · base'!$B$7:$B$408,3,'Export · base'!$C$7:$C$408,$A35)/'Export · supuestos'!$B$5,0)</f>
        <v>2</v>
      </c>
      <c r="E35">
        <f>ROUNDUP(SUMIFS('Export · base'!$H$7:$H$408,'Export · base'!$A$7:$A$408,2027,'Export · base'!$B$7:$B$408,4,'Export · base'!$C$7:$C$408,$A35)/'Export · supuestos'!$B$5,0)</f>
        <v>0</v>
      </c>
      <c r="F35">
        <f>ROUNDUP(SUMIFS('Export · base'!$H$7:$H$408,'Export · base'!$A$7:$A$408,2027,'Export · base'!$B$7:$B$408,5,'Export · base'!$C$7:$C$408,$A35)/'Export · supuestos'!$B$5,0)</f>
        <v>2</v>
      </c>
      <c r="G35">
        <f>ROUNDUP(SUMIFS('Export · base'!$H$7:$H$408,'Export · base'!$A$7:$A$408,2027,'Export · base'!$B$7:$B$408,6,'Export · base'!$C$7:$C$408,$A35)/'Export · supuestos'!$B$5,0)</f>
        <v>2</v>
      </c>
      <c r="H35">
        <f>ROUNDUP(SUMIFS('Export · base'!$H$7:$H$408,'Export · base'!$A$7:$A$408,2027,'Export · base'!$B$7:$B$408,7,'Export · base'!$C$7:$C$408,$A35)/'Export · supuestos'!$B$5,0)</f>
        <v>0</v>
      </c>
      <c r="I35">
        <f>ROUNDUP(SUMIFS('Export · base'!$H$7:$H$408,'Export · base'!$A$7:$A$408,2027,'Export · base'!$B$7:$B$408,8,'Export · base'!$C$7:$C$408,$A35)/'Export · supuestos'!$B$5,0)</f>
        <v>0</v>
      </c>
      <c r="J35">
        <f>ROUNDUP(SUMIFS('Export · base'!$H$7:$H$408,'Export · base'!$A$7:$A$408,2027,'Export · base'!$B$7:$B$408,9,'Export · base'!$C$7:$C$408,$A35)/'Export · supuestos'!$B$5,0)</f>
        <v>1</v>
      </c>
      <c r="K35">
        <f>ROUNDUP(SUMIFS('Export · base'!$H$7:$H$408,'Export · base'!$A$7:$A$408,2027,'Export · base'!$B$7:$B$408,10,'Export · base'!$C$7:$C$408,$A35)/'Export · supuestos'!$B$5,0)</f>
        <v>3</v>
      </c>
      <c r="L35">
        <f>ROUNDUP(SUMIFS('Export · base'!$H$7:$H$408,'Export · base'!$A$7:$A$408,2027,'Export · base'!$B$7:$B$408,11,'Export · base'!$C$7:$C$408,$A35)/'Export · supuestos'!$B$5,0)</f>
        <v>2</v>
      </c>
      <c r="M35">
        <f>ROUNDUP(SUMIFS('Export · base'!$H$7:$H$408,'Export · base'!$A$7:$A$408,2027,'Export · base'!$B$7:$B$408,12,'Export · base'!$C$7:$C$408,$A35)/'Export · supuestos'!$B$5,0)</f>
        <v>2</v>
      </c>
      <c r="N35">
        <f t="shared" si="1"/>
        <v>16</v>
      </c>
    </row>
    <row r="36" spans="1:14">
      <c r="A36" t="s">
        <v>58</v>
      </c>
      <c r="B36">
        <f>ROUNDUP(SUMIFS('Export · base'!$H$7:$H$408,'Export · base'!$A$7:$A$408,2027,'Export · base'!$B$7:$B$408,1,'Export · base'!$C$7:$C$408,$A36)/'Export · supuestos'!$B$5,0)</f>
        <v>0</v>
      </c>
      <c r="C36">
        <f>ROUNDUP(SUMIFS('Export · base'!$H$7:$H$408,'Export · base'!$A$7:$A$408,2027,'Export · base'!$B$7:$B$408,2,'Export · base'!$C$7:$C$408,$A36)/'Export · supuestos'!$B$5,0)</f>
        <v>2</v>
      </c>
      <c r="D36">
        <f>ROUNDUP(SUMIFS('Export · base'!$H$7:$H$408,'Export · base'!$A$7:$A$408,2027,'Export · base'!$B$7:$B$408,3,'Export · base'!$C$7:$C$408,$A36)/'Export · supuestos'!$B$5,0)</f>
        <v>0</v>
      </c>
      <c r="E36">
        <f>ROUNDUP(SUMIFS('Export · base'!$H$7:$H$408,'Export · base'!$A$7:$A$408,2027,'Export · base'!$B$7:$B$408,4,'Export · base'!$C$7:$C$408,$A36)/'Export · supuestos'!$B$5,0)</f>
        <v>0</v>
      </c>
      <c r="F36">
        <f>ROUNDUP(SUMIFS('Export · base'!$H$7:$H$408,'Export · base'!$A$7:$A$408,2027,'Export · base'!$B$7:$B$408,5,'Export · base'!$C$7:$C$408,$A36)/'Export · supuestos'!$B$5,0)</f>
        <v>0</v>
      </c>
      <c r="G36">
        <f>ROUNDUP(SUMIFS('Export · base'!$H$7:$H$408,'Export · base'!$A$7:$A$408,2027,'Export · base'!$B$7:$B$408,6,'Export · base'!$C$7:$C$408,$A36)/'Export · supuestos'!$B$5,0)</f>
        <v>0</v>
      </c>
      <c r="H36">
        <f>ROUNDUP(SUMIFS('Export · base'!$H$7:$H$408,'Export · base'!$A$7:$A$408,2027,'Export · base'!$B$7:$B$408,7,'Export · base'!$C$7:$C$408,$A36)/'Export · supuestos'!$B$5,0)</f>
        <v>0</v>
      </c>
      <c r="I36">
        <f>ROUNDUP(SUMIFS('Export · base'!$H$7:$H$408,'Export · base'!$A$7:$A$408,2027,'Export · base'!$B$7:$B$408,8,'Export · base'!$C$7:$C$408,$A36)/'Export · supuestos'!$B$5,0)</f>
        <v>2</v>
      </c>
      <c r="J36">
        <f>ROUNDUP(SUMIFS('Export · base'!$H$7:$H$408,'Export · base'!$A$7:$A$408,2027,'Export · base'!$B$7:$B$408,9,'Export · base'!$C$7:$C$408,$A36)/'Export · supuestos'!$B$5,0)</f>
        <v>0</v>
      </c>
      <c r="K36">
        <f>ROUNDUP(SUMIFS('Export · base'!$H$7:$H$408,'Export · base'!$A$7:$A$408,2027,'Export · base'!$B$7:$B$408,10,'Export · base'!$C$7:$C$408,$A36)/'Export · supuestos'!$B$5,0)</f>
        <v>0</v>
      </c>
      <c r="L36">
        <f>ROUNDUP(SUMIFS('Export · base'!$H$7:$H$408,'Export · base'!$A$7:$A$408,2027,'Export · base'!$B$7:$B$408,11,'Export · base'!$C$7:$C$408,$A36)/'Export · supuestos'!$B$5,0)</f>
        <v>2</v>
      </c>
      <c r="M36">
        <f>ROUNDUP(SUMIFS('Export · base'!$H$7:$H$408,'Export · base'!$A$7:$A$408,2027,'Export · base'!$B$7:$B$408,12,'Export · base'!$C$7:$C$408,$A36)/'Export · supuestos'!$B$5,0)</f>
        <v>0</v>
      </c>
      <c r="N36">
        <f t="shared" si="1"/>
        <v>6</v>
      </c>
    </row>
    <row r="37" spans="1:14">
      <c r="A37" t="s">
        <v>59</v>
      </c>
      <c r="B37">
        <f>ROUNDUP(SUMIFS('Export · base'!$H$7:$H$408,'Export · base'!$A$7:$A$408,2027,'Export · base'!$B$7:$B$408,1,'Export · base'!$C$7:$C$408,$A37)/'Export · supuestos'!$B$5,0)</f>
        <v>1</v>
      </c>
      <c r="C37">
        <f>ROUNDUP(SUMIFS('Export · base'!$H$7:$H$408,'Export · base'!$A$7:$A$408,2027,'Export · base'!$B$7:$B$408,2,'Export · base'!$C$7:$C$408,$A37)/'Export · supuestos'!$B$5,0)</f>
        <v>0</v>
      </c>
      <c r="D37">
        <f>ROUNDUP(SUMIFS('Export · base'!$H$7:$H$408,'Export · base'!$A$7:$A$408,2027,'Export · base'!$B$7:$B$408,3,'Export · base'!$C$7:$C$408,$A37)/'Export · supuestos'!$B$5,0)</f>
        <v>2</v>
      </c>
      <c r="E37">
        <f>ROUNDUP(SUMIFS('Export · base'!$H$7:$H$408,'Export · base'!$A$7:$A$408,2027,'Export · base'!$B$7:$B$408,4,'Export · base'!$C$7:$C$408,$A37)/'Export · supuestos'!$B$5,0)</f>
        <v>0</v>
      </c>
      <c r="F37">
        <f>ROUNDUP(SUMIFS('Export · base'!$H$7:$H$408,'Export · base'!$A$7:$A$408,2027,'Export · base'!$B$7:$B$408,5,'Export · base'!$C$7:$C$408,$A37)/'Export · supuestos'!$B$5,0)</f>
        <v>0</v>
      </c>
      <c r="G37">
        <f>ROUNDUP(SUMIFS('Export · base'!$H$7:$H$408,'Export · base'!$A$7:$A$408,2027,'Export · base'!$B$7:$B$408,6,'Export · base'!$C$7:$C$408,$A37)/'Export · supuestos'!$B$5,0)</f>
        <v>1</v>
      </c>
      <c r="H37">
        <f>ROUNDUP(SUMIFS('Export · base'!$H$7:$H$408,'Export · base'!$A$7:$A$408,2027,'Export · base'!$B$7:$B$408,7,'Export · base'!$C$7:$C$408,$A37)/'Export · supuestos'!$B$5,0)</f>
        <v>0</v>
      </c>
      <c r="I37">
        <f>ROUNDUP(SUMIFS('Export · base'!$H$7:$H$408,'Export · base'!$A$7:$A$408,2027,'Export · base'!$B$7:$B$408,8,'Export · base'!$C$7:$C$408,$A37)/'Export · supuestos'!$B$5,0)</f>
        <v>0</v>
      </c>
      <c r="J37">
        <f>ROUNDUP(SUMIFS('Export · base'!$H$7:$H$408,'Export · base'!$A$7:$A$408,2027,'Export · base'!$B$7:$B$408,9,'Export · base'!$C$7:$C$408,$A37)/'Export · supuestos'!$B$5,0)</f>
        <v>0</v>
      </c>
      <c r="K37">
        <f>ROUNDUP(SUMIFS('Export · base'!$H$7:$H$408,'Export · base'!$A$7:$A$408,2027,'Export · base'!$B$7:$B$408,10,'Export · base'!$C$7:$C$408,$A37)/'Export · supuestos'!$B$5,0)</f>
        <v>1</v>
      </c>
      <c r="L37">
        <f>ROUNDUP(SUMIFS('Export · base'!$H$7:$H$408,'Export · base'!$A$7:$A$408,2027,'Export · base'!$B$7:$B$408,11,'Export · base'!$C$7:$C$408,$A37)/'Export · supuestos'!$B$5,0)</f>
        <v>0</v>
      </c>
      <c r="M37">
        <f>ROUNDUP(SUMIFS('Export · base'!$H$7:$H$408,'Export · base'!$A$7:$A$408,2027,'Export · base'!$B$7:$B$408,12,'Export · base'!$C$7:$C$408,$A37)/'Export · supuestos'!$B$5,0)</f>
        <v>0</v>
      </c>
      <c r="N37">
        <f t="shared" si="1"/>
        <v>5</v>
      </c>
    </row>
    <row r="38" spans="1:14">
      <c r="A38" t="s">
        <v>60</v>
      </c>
      <c r="B38">
        <f>ROUNDUP(SUMIFS('Export · base'!$H$7:$H$408,'Export · base'!$A$7:$A$408,2027,'Export · base'!$B$7:$B$408,1,'Export · base'!$C$7:$C$408,$A38)/'Export · supuestos'!$B$5,0)</f>
        <v>6</v>
      </c>
      <c r="C38">
        <f>ROUNDUP(SUMIFS('Export · base'!$H$7:$H$408,'Export · base'!$A$7:$A$408,2027,'Export · base'!$B$7:$B$408,2,'Export · base'!$C$7:$C$408,$A38)/'Export · supuestos'!$B$5,0)</f>
        <v>9</v>
      </c>
      <c r="D38">
        <f>ROUNDUP(SUMIFS('Export · base'!$H$7:$H$408,'Export · base'!$A$7:$A$408,2027,'Export · base'!$B$7:$B$408,3,'Export · base'!$C$7:$C$408,$A38)/'Export · supuestos'!$B$5,0)</f>
        <v>4</v>
      </c>
      <c r="E38">
        <f>ROUNDUP(SUMIFS('Export · base'!$H$7:$H$408,'Export · base'!$A$7:$A$408,2027,'Export · base'!$B$7:$B$408,4,'Export · base'!$C$7:$C$408,$A38)/'Export · supuestos'!$B$5,0)</f>
        <v>4</v>
      </c>
      <c r="F38">
        <f>ROUNDUP(SUMIFS('Export · base'!$H$7:$H$408,'Export · base'!$A$7:$A$408,2027,'Export · base'!$B$7:$B$408,5,'Export · base'!$C$7:$C$408,$A38)/'Export · supuestos'!$B$5,0)</f>
        <v>6</v>
      </c>
      <c r="G38">
        <f>ROUNDUP(SUMIFS('Export · base'!$H$7:$H$408,'Export · base'!$A$7:$A$408,2027,'Export · base'!$B$7:$B$408,6,'Export · base'!$C$7:$C$408,$A38)/'Export · supuestos'!$B$5,0)</f>
        <v>9</v>
      </c>
      <c r="H38">
        <f>ROUNDUP(SUMIFS('Export · base'!$H$7:$H$408,'Export · base'!$A$7:$A$408,2027,'Export · base'!$B$7:$B$408,7,'Export · base'!$C$7:$C$408,$A38)/'Export · supuestos'!$B$5,0)</f>
        <v>4</v>
      </c>
      <c r="I38">
        <f>ROUNDUP(SUMIFS('Export · base'!$H$7:$H$408,'Export · base'!$A$7:$A$408,2027,'Export · base'!$B$7:$B$408,8,'Export · base'!$C$7:$C$408,$A38)/'Export · supuestos'!$B$5,0)</f>
        <v>4</v>
      </c>
      <c r="J38">
        <f>ROUNDUP(SUMIFS('Export · base'!$H$7:$H$408,'Export · base'!$A$7:$A$408,2027,'Export · base'!$B$7:$B$408,9,'Export · base'!$C$7:$C$408,$A38)/'Export · supuestos'!$B$5,0)</f>
        <v>1</v>
      </c>
      <c r="K38">
        <f>ROUNDUP(SUMIFS('Export · base'!$H$7:$H$408,'Export · base'!$A$7:$A$408,2027,'Export · base'!$B$7:$B$408,10,'Export · base'!$C$7:$C$408,$A38)/'Export · supuestos'!$B$5,0)</f>
        <v>2</v>
      </c>
      <c r="L38">
        <f>ROUNDUP(SUMIFS('Export · base'!$H$7:$H$408,'Export · base'!$A$7:$A$408,2027,'Export · base'!$B$7:$B$408,11,'Export · base'!$C$7:$C$408,$A38)/'Export · supuestos'!$B$5,0)</f>
        <v>5</v>
      </c>
      <c r="M38">
        <f>ROUNDUP(SUMIFS('Export · base'!$H$7:$H$408,'Export · base'!$A$7:$A$408,2027,'Export · base'!$B$7:$B$408,12,'Export · base'!$C$7:$C$408,$A38)/'Export · supuestos'!$B$5,0)</f>
        <v>1</v>
      </c>
      <c r="N38">
        <f t="shared" si="1"/>
        <v>55</v>
      </c>
    </row>
    <row r="39" spans="1:14">
      <c r="A39" t="s">
        <v>72</v>
      </c>
      <c r="B39">
        <f>ROUNDUP(SUMIFS('Export · base'!$H$7:$H$408,'Export · base'!$A$7:$A$408,2027,'Export · base'!$B$7:$B$408,1,'Export · base'!$C$7:$C$408,$A39)/'Export · supuestos'!$B$5,0)</f>
        <v>0</v>
      </c>
      <c r="C39">
        <f>ROUNDUP(SUMIFS('Export · base'!$H$7:$H$408,'Export · base'!$A$7:$A$408,2027,'Export · base'!$B$7:$B$408,2,'Export · base'!$C$7:$C$408,$A39)/'Export · supuestos'!$B$5,0)</f>
        <v>3</v>
      </c>
      <c r="D39">
        <f>ROUNDUP(SUMIFS('Export · base'!$H$7:$H$408,'Export · base'!$A$7:$A$408,2027,'Export · base'!$B$7:$B$408,3,'Export · base'!$C$7:$C$408,$A39)/'Export · supuestos'!$B$5,0)</f>
        <v>0</v>
      </c>
      <c r="E39">
        <f>ROUNDUP(SUMIFS('Export · base'!$H$7:$H$408,'Export · base'!$A$7:$A$408,2027,'Export · base'!$B$7:$B$408,4,'Export · base'!$C$7:$C$408,$A39)/'Export · supuestos'!$B$5,0)</f>
        <v>0</v>
      </c>
      <c r="F39">
        <f>ROUNDUP(SUMIFS('Export · base'!$H$7:$H$408,'Export · base'!$A$7:$A$408,2027,'Export · base'!$B$7:$B$408,5,'Export · base'!$C$7:$C$408,$A39)/'Export · supuestos'!$B$5,0)</f>
        <v>0</v>
      </c>
      <c r="G39">
        <f>ROUNDUP(SUMIFS('Export · base'!$H$7:$H$408,'Export · base'!$A$7:$A$408,2027,'Export · base'!$B$7:$B$408,6,'Export · base'!$C$7:$C$408,$A39)/'Export · supuestos'!$B$5,0)</f>
        <v>0</v>
      </c>
      <c r="H39">
        <f>ROUNDUP(SUMIFS('Export · base'!$H$7:$H$408,'Export · base'!$A$7:$A$408,2027,'Export · base'!$B$7:$B$408,7,'Export · base'!$C$7:$C$408,$A39)/'Export · supuestos'!$B$5,0)</f>
        <v>0</v>
      </c>
      <c r="I39">
        <f>ROUNDUP(SUMIFS('Export · base'!$H$7:$H$408,'Export · base'!$A$7:$A$408,2027,'Export · base'!$B$7:$B$408,8,'Export · base'!$C$7:$C$408,$A39)/'Export · supuestos'!$B$5,0)</f>
        <v>0</v>
      </c>
      <c r="J39">
        <f>ROUNDUP(SUMIFS('Export · base'!$H$7:$H$408,'Export · base'!$A$7:$A$408,2027,'Export · base'!$B$7:$B$408,9,'Export · base'!$C$7:$C$408,$A39)/'Export · supuestos'!$B$5,0)</f>
        <v>0</v>
      </c>
      <c r="K39">
        <f>ROUNDUP(SUMIFS('Export · base'!$H$7:$H$408,'Export · base'!$A$7:$A$408,2027,'Export · base'!$B$7:$B$408,10,'Export · base'!$C$7:$C$408,$A39)/'Export · supuestos'!$B$5,0)</f>
        <v>0</v>
      </c>
      <c r="L39">
        <f>ROUNDUP(SUMIFS('Export · base'!$H$7:$H$408,'Export · base'!$A$7:$A$408,2027,'Export · base'!$B$7:$B$408,11,'Export · base'!$C$7:$C$408,$A39)/'Export · supuestos'!$B$5,0)</f>
        <v>0</v>
      </c>
      <c r="M39">
        <f>ROUNDUP(SUMIFS('Export · base'!$H$7:$H$408,'Export · base'!$A$7:$A$408,2027,'Export · base'!$B$7:$B$408,12,'Export · base'!$C$7:$C$408,$A39)/'Export · supuestos'!$B$5,0)</f>
        <v>3</v>
      </c>
      <c r="N39">
        <f t="shared" si="1"/>
        <v>6</v>
      </c>
    </row>
    <row r="40" spans="1:14">
      <c r="A40" t="s">
        <v>73</v>
      </c>
      <c r="B40">
        <f>ROUNDUP(SUMIFS('Export · base'!$H$7:$H$408,'Export · base'!$A$7:$A$408,2027,'Export · base'!$B$7:$B$408,1,'Export · base'!$C$7:$C$408,$A40)/'Export · supuestos'!$B$5,0)</f>
        <v>0</v>
      </c>
      <c r="C40">
        <f>ROUNDUP(SUMIFS('Export · base'!$H$7:$H$408,'Export · base'!$A$7:$A$408,2027,'Export · base'!$B$7:$B$408,2,'Export · base'!$C$7:$C$408,$A40)/'Export · supuestos'!$B$5,0)</f>
        <v>2</v>
      </c>
      <c r="D40">
        <f>ROUNDUP(SUMIFS('Export · base'!$H$7:$H$408,'Export · base'!$A$7:$A$408,2027,'Export · base'!$B$7:$B$408,3,'Export · base'!$C$7:$C$408,$A40)/'Export · supuestos'!$B$5,0)</f>
        <v>0</v>
      </c>
      <c r="E40">
        <f>ROUNDUP(SUMIFS('Export · base'!$H$7:$H$408,'Export · base'!$A$7:$A$408,2027,'Export · base'!$B$7:$B$408,4,'Export · base'!$C$7:$C$408,$A40)/'Export · supuestos'!$B$5,0)</f>
        <v>0</v>
      </c>
      <c r="F40">
        <f>ROUNDUP(SUMIFS('Export · base'!$H$7:$H$408,'Export · base'!$A$7:$A$408,2027,'Export · base'!$B$7:$B$408,5,'Export · base'!$C$7:$C$408,$A40)/'Export · supuestos'!$B$5,0)</f>
        <v>1</v>
      </c>
      <c r="G40">
        <f>ROUNDUP(SUMIFS('Export · base'!$H$7:$H$408,'Export · base'!$A$7:$A$408,2027,'Export · base'!$B$7:$B$408,6,'Export · base'!$C$7:$C$408,$A40)/'Export · supuestos'!$B$5,0)</f>
        <v>0</v>
      </c>
      <c r="H40">
        <f>ROUNDUP(SUMIFS('Export · base'!$H$7:$H$408,'Export · base'!$A$7:$A$408,2027,'Export · base'!$B$7:$B$408,7,'Export · base'!$C$7:$C$408,$A40)/'Export · supuestos'!$B$5,0)</f>
        <v>0</v>
      </c>
      <c r="I40">
        <f>ROUNDUP(SUMIFS('Export · base'!$H$7:$H$408,'Export · base'!$A$7:$A$408,2027,'Export · base'!$B$7:$B$408,8,'Export · base'!$C$7:$C$408,$A40)/'Export · supuestos'!$B$5,0)</f>
        <v>0</v>
      </c>
      <c r="J40">
        <f>ROUNDUP(SUMIFS('Export · base'!$H$7:$H$408,'Export · base'!$A$7:$A$408,2027,'Export · base'!$B$7:$B$408,9,'Export · base'!$C$7:$C$408,$A40)/'Export · supuestos'!$B$5,0)</f>
        <v>0</v>
      </c>
      <c r="K40">
        <f>ROUNDUP(SUMIFS('Export · base'!$H$7:$H$408,'Export · base'!$A$7:$A$408,2027,'Export · base'!$B$7:$B$408,10,'Export · base'!$C$7:$C$408,$A40)/'Export · supuestos'!$B$5,0)</f>
        <v>0</v>
      </c>
      <c r="L40">
        <f>ROUNDUP(SUMIFS('Export · base'!$H$7:$H$408,'Export · base'!$A$7:$A$408,2027,'Export · base'!$B$7:$B$408,11,'Export · base'!$C$7:$C$408,$A40)/'Export · supuestos'!$B$5,0)</f>
        <v>0</v>
      </c>
      <c r="M40">
        <f>ROUNDUP(SUMIFS('Export · base'!$H$7:$H$408,'Export · base'!$A$7:$A$408,2027,'Export · base'!$B$7:$B$408,12,'Export · base'!$C$7:$C$408,$A40)/'Export · supuestos'!$B$5,0)</f>
        <v>3</v>
      </c>
      <c r="N40">
        <f t="shared" si="1"/>
        <v>6</v>
      </c>
    </row>
    <row r="41" spans="1:14">
      <c r="A41" t="s">
        <v>61</v>
      </c>
      <c r="B41">
        <f>ROUNDUP(SUMIFS('Export · base'!$H$7:$H$408,'Export · base'!$A$7:$A$408,2027,'Export · base'!$B$7:$B$408,1,'Export · base'!$C$7:$C$408,$A41)/'Export · supuestos'!$B$5,0)</f>
        <v>0</v>
      </c>
      <c r="C41">
        <f>ROUNDUP(SUMIFS('Export · base'!$H$7:$H$408,'Export · base'!$A$7:$A$408,2027,'Export · base'!$B$7:$B$408,2,'Export · base'!$C$7:$C$408,$A41)/'Export · supuestos'!$B$5,0)</f>
        <v>1</v>
      </c>
      <c r="D41">
        <f>ROUNDUP(SUMIFS('Export · base'!$H$7:$H$408,'Export · base'!$A$7:$A$408,2027,'Export · base'!$B$7:$B$408,3,'Export · base'!$C$7:$C$408,$A41)/'Export · supuestos'!$B$5,0)</f>
        <v>1</v>
      </c>
      <c r="E41">
        <f>ROUNDUP(SUMIFS('Export · base'!$H$7:$H$408,'Export · base'!$A$7:$A$408,2027,'Export · base'!$B$7:$B$408,4,'Export · base'!$C$7:$C$408,$A41)/'Export · supuestos'!$B$5,0)</f>
        <v>0</v>
      </c>
      <c r="F41">
        <f>ROUNDUP(SUMIFS('Export · base'!$H$7:$H$408,'Export · base'!$A$7:$A$408,2027,'Export · base'!$B$7:$B$408,5,'Export · base'!$C$7:$C$408,$A41)/'Export · supuestos'!$B$5,0)</f>
        <v>1</v>
      </c>
      <c r="G41">
        <f>ROUNDUP(SUMIFS('Export · base'!$H$7:$H$408,'Export · base'!$A$7:$A$408,2027,'Export · base'!$B$7:$B$408,6,'Export · base'!$C$7:$C$408,$A41)/'Export · supuestos'!$B$5,0)</f>
        <v>1</v>
      </c>
      <c r="H41">
        <f>ROUNDUP(SUMIFS('Export · base'!$H$7:$H$408,'Export · base'!$A$7:$A$408,2027,'Export · base'!$B$7:$B$408,7,'Export · base'!$C$7:$C$408,$A41)/'Export · supuestos'!$B$5,0)</f>
        <v>0</v>
      </c>
      <c r="I41">
        <f>ROUNDUP(SUMIFS('Export · base'!$H$7:$H$408,'Export · base'!$A$7:$A$408,2027,'Export · base'!$B$7:$B$408,8,'Export · base'!$C$7:$C$408,$A41)/'Export · supuestos'!$B$5,0)</f>
        <v>0</v>
      </c>
      <c r="J41">
        <f>ROUNDUP(SUMIFS('Export · base'!$H$7:$H$408,'Export · base'!$A$7:$A$408,2027,'Export · base'!$B$7:$B$408,9,'Export · base'!$C$7:$C$408,$A41)/'Export · supuestos'!$B$5,0)</f>
        <v>0</v>
      </c>
      <c r="K41">
        <f>ROUNDUP(SUMIFS('Export · base'!$H$7:$H$408,'Export · base'!$A$7:$A$408,2027,'Export · base'!$B$7:$B$408,10,'Export · base'!$C$7:$C$408,$A41)/'Export · supuestos'!$B$5,0)</f>
        <v>1</v>
      </c>
      <c r="L41">
        <f>ROUNDUP(SUMIFS('Export · base'!$H$7:$H$408,'Export · base'!$A$7:$A$408,2027,'Export · base'!$B$7:$B$408,11,'Export · base'!$C$7:$C$408,$A41)/'Export · supuestos'!$B$5,0)</f>
        <v>0</v>
      </c>
      <c r="M41">
        <f>ROUNDUP(SUMIFS('Export · base'!$H$7:$H$408,'Export · base'!$A$7:$A$408,2027,'Export · base'!$B$7:$B$408,12,'Export · base'!$C$7:$C$408,$A41)/'Export · supuestos'!$B$5,0)</f>
        <v>1</v>
      </c>
      <c r="N41">
        <f t="shared" si="1"/>
        <v>6</v>
      </c>
    </row>
    <row r="42" spans="1:14">
      <c r="A42" t="s">
        <v>62</v>
      </c>
      <c r="B42">
        <f>ROUNDUP(SUMIFS('Export · base'!$H$7:$H$408,'Export · base'!$A$7:$A$408,2027,'Export · base'!$B$7:$B$408,1,'Export · base'!$C$7:$C$408,$A42)/'Export · supuestos'!$B$5,0)</f>
        <v>0</v>
      </c>
      <c r="C42">
        <f>ROUNDUP(SUMIFS('Export · base'!$H$7:$H$408,'Export · base'!$A$7:$A$408,2027,'Export · base'!$B$7:$B$408,2,'Export · base'!$C$7:$C$408,$A42)/'Export · supuestos'!$B$5,0)</f>
        <v>0</v>
      </c>
      <c r="D42">
        <f>ROUNDUP(SUMIFS('Export · base'!$H$7:$H$408,'Export · base'!$A$7:$A$408,2027,'Export · base'!$B$7:$B$408,3,'Export · base'!$C$7:$C$408,$A42)/'Export · supuestos'!$B$5,0)</f>
        <v>0</v>
      </c>
      <c r="E42">
        <f>ROUNDUP(SUMIFS('Export · base'!$H$7:$H$408,'Export · base'!$A$7:$A$408,2027,'Export · base'!$B$7:$B$408,4,'Export · base'!$C$7:$C$408,$A42)/'Export · supuestos'!$B$5,0)</f>
        <v>0</v>
      </c>
      <c r="F42">
        <f>ROUNDUP(SUMIFS('Export · base'!$H$7:$H$408,'Export · base'!$A$7:$A$408,2027,'Export · base'!$B$7:$B$408,5,'Export · base'!$C$7:$C$408,$A42)/'Export · supuestos'!$B$5,0)</f>
        <v>0</v>
      </c>
      <c r="G42">
        <f>ROUNDUP(SUMIFS('Export · base'!$H$7:$H$408,'Export · base'!$A$7:$A$408,2027,'Export · base'!$B$7:$B$408,6,'Export · base'!$C$7:$C$408,$A42)/'Export · supuestos'!$B$5,0)</f>
        <v>0</v>
      </c>
      <c r="H42">
        <f>ROUNDUP(SUMIFS('Export · base'!$H$7:$H$408,'Export · base'!$A$7:$A$408,2027,'Export · base'!$B$7:$B$408,7,'Export · base'!$C$7:$C$408,$A42)/'Export · supuestos'!$B$5,0)</f>
        <v>1</v>
      </c>
      <c r="I42">
        <f>ROUNDUP(SUMIFS('Export · base'!$H$7:$H$408,'Export · base'!$A$7:$A$408,2027,'Export · base'!$B$7:$B$408,8,'Export · base'!$C$7:$C$408,$A42)/'Export · supuestos'!$B$5,0)</f>
        <v>0</v>
      </c>
      <c r="J42">
        <f>ROUNDUP(SUMIFS('Export · base'!$H$7:$H$408,'Export · base'!$A$7:$A$408,2027,'Export · base'!$B$7:$B$408,9,'Export · base'!$C$7:$C$408,$A42)/'Export · supuestos'!$B$5,0)</f>
        <v>0</v>
      </c>
      <c r="K42">
        <f>ROUNDUP(SUMIFS('Export · base'!$H$7:$H$408,'Export · base'!$A$7:$A$408,2027,'Export · base'!$B$7:$B$408,10,'Export · base'!$C$7:$C$408,$A42)/'Export · supuestos'!$B$5,0)</f>
        <v>0</v>
      </c>
      <c r="L42">
        <f>ROUNDUP(SUMIFS('Export · base'!$H$7:$H$408,'Export · base'!$A$7:$A$408,2027,'Export · base'!$B$7:$B$408,11,'Export · base'!$C$7:$C$408,$A42)/'Export · supuestos'!$B$5,0)</f>
        <v>0</v>
      </c>
      <c r="M42">
        <f>ROUNDUP(SUMIFS('Export · base'!$H$7:$H$408,'Export · base'!$A$7:$A$408,2027,'Export · base'!$B$7:$B$408,12,'Export · base'!$C$7:$C$408,$A42)/'Export · supuestos'!$B$5,0)</f>
        <v>2</v>
      </c>
      <c r="N42">
        <f t="shared" si="1"/>
        <v>3</v>
      </c>
    </row>
    <row r="43" spans="1:14">
      <c r="A43" t="s">
        <v>74</v>
      </c>
      <c r="B43">
        <f>ROUNDUP(SUMIFS('Export · base'!$H$7:$H$408,'Export · base'!$A$7:$A$408,2027,'Export · base'!$B$7:$B$408,1,'Export · base'!$C$7:$C$408,$A43)/'Export · supuestos'!$B$5,0)</f>
        <v>2</v>
      </c>
      <c r="C43">
        <f>ROUNDUP(SUMIFS('Export · base'!$H$7:$H$408,'Export · base'!$A$7:$A$408,2027,'Export · base'!$B$7:$B$408,2,'Export · base'!$C$7:$C$408,$A43)/'Export · supuestos'!$B$5,0)</f>
        <v>2</v>
      </c>
      <c r="D43">
        <f>ROUNDUP(SUMIFS('Export · base'!$H$7:$H$408,'Export · base'!$A$7:$A$408,2027,'Export · base'!$B$7:$B$408,3,'Export · base'!$C$7:$C$408,$A43)/'Export · supuestos'!$B$5,0)</f>
        <v>2</v>
      </c>
      <c r="E43">
        <f>ROUNDUP(SUMIFS('Export · base'!$H$7:$H$408,'Export · base'!$A$7:$A$408,2027,'Export · base'!$B$7:$B$408,4,'Export · base'!$C$7:$C$408,$A43)/'Export · supuestos'!$B$5,0)</f>
        <v>0</v>
      </c>
      <c r="F43">
        <f>ROUNDUP(SUMIFS('Export · base'!$H$7:$H$408,'Export · base'!$A$7:$A$408,2027,'Export · base'!$B$7:$B$408,5,'Export · base'!$C$7:$C$408,$A43)/'Export · supuestos'!$B$5,0)</f>
        <v>2</v>
      </c>
      <c r="G43">
        <f>ROUNDUP(SUMIFS('Export · base'!$H$7:$H$408,'Export · base'!$A$7:$A$408,2027,'Export · base'!$B$7:$B$408,6,'Export · base'!$C$7:$C$408,$A43)/'Export · supuestos'!$B$5,0)</f>
        <v>2</v>
      </c>
      <c r="H43">
        <f>ROUNDUP(SUMIFS('Export · base'!$H$7:$H$408,'Export · base'!$A$7:$A$408,2027,'Export · base'!$B$7:$B$408,7,'Export · base'!$C$7:$C$408,$A43)/'Export · supuestos'!$B$5,0)</f>
        <v>2</v>
      </c>
      <c r="I43">
        <f>ROUNDUP(SUMIFS('Export · base'!$H$7:$H$408,'Export · base'!$A$7:$A$408,2027,'Export · base'!$B$7:$B$408,8,'Export · base'!$C$7:$C$408,$A43)/'Export · supuestos'!$B$5,0)</f>
        <v>2</v>
      </c>
      <c r="J43">
        <f>ROUNDUP(SUMIFS('Export · base'!$H$7:$H$408,'Export · base'!$A$7:$A$408,2027,'Export · base'!$B$7:$B$408,9,'Export · base'!$C$7:$C$408,$A43)/'Export · supuestos'!$B$5,0)</f>
        <v>0</v>
      </c>
      <c r="K43">
        <f>ROUNDUP(SUMIFS('Export · base'!$H$7:$H$408,'Export · base'!$A$7:$A$408,2027,'Export · base'!$B$7:$B$408,10,'Export · base'!$C$7:$C$408,$A43)/'Export · supuestos'!$B$5,0)</f>
        <v>2</v>
      </c>
      <c r="L43">
        <f>ROUNDUP(SUMIFS('Export · base'!$H$7:$H$408,'Export · base'!$A$7:$A$408,2027,'Export · base'!$B$7:$B$408,11,'Export · base'!$C$7:$C$408,$A43)/'Export · supuestos'!$B$5,0)</f>
        <v>1</v>
      </c>
      <c r="M43">
        <f>ROUNDUP(SUMIFS('Export · base'!$H$7:$H$408,'Export · base'!$A$7:$A$408,2027,'Export · base'!$B$7:$B$408,12,'Export · base'!$C$7:$C$408,$A43)/'Export · supuestos'!$B$5,0)</f>
        <v>2</v>
      </c>
      <c r="N43">
        <f t="shared" si="1"/>
        <v>19</v>
      </c>
    </row>
    <row r="44" spans="1:14">
      <c r="A44" t="s">
        <v>63</v>
      </c>
      <c r="B44">
        <f>ROUNDUP(SUMIFS('Export · base'!$H$7:$H$408,'Export · base'!$A$7:$A$408,2027,'Export · base'!$B$7:$B$408,1,'Export · base'!$C$7:$C$408,$A44)/'Export · supuestos'!$B$5,0)</f>
        <v>3</v>
      </c>
      <c r="C44">
        <f>ROUNDUP(SUMIFS('Export · base'!$H$7:$H$408,'Export · base'!$A$7:$A$408,2027,'Export · base'!$B$7:$B$408,2,'Export · base'!$C$7:$C$408,$A44)/'Export · supuestos'!$B$5,0)</f>
        <v>0</v>
      </c>
      <c r="D44">
        <f>ROUNDUP(SUMIFS('Export · base'!$H$7:$H$408,'Export · base'!$A$7:$A$408,2027,'Export · base'!$B$7:$B$408,3,'Export · base'!$C$7:$C$408,$A44)/'Export · supuestos'!$B$5,0)</f>
        <v>2</v>
      </c>
      <c r="E44">
        <f>ROUNDUP(SUMIFS('Export · base'!$H$7:$H$408,'Export · base'!$A$7:$A$408,2027,'Export · base'!$B$7:$B$408,4,'Export · base'!$C$7:$C$408,$A44)/'Export · supuestos'!$B$5,0)</f>
        <v>0</v>
      </c>
      <c r="F44">
        <f>ROUNDUP(SUMIFS('Export · base'!$H$7:$H$408,'Export · base'!$A$7:$A$408,2027,'Export · base'!$B$7:$B$408,5,'Export · base'!$C$7:$C$408,$A44)/'Export · supuestos'!$B$5,0)</f>
        <v>3</v>
      </c>
      <c r="G44">
        <f>ROUNDUP(SUMIFS('Export · base'!$H$7:$H$408,'Export · base'!$A$7:$A$408,2027,'Export · base'!$B$7:$B$408,6,'Export · base'!$C$7:$C$408,$A44)/'Export · supuestos'!$B$5,0)</f>
        <v>2</v>
      </c>
      <c r="H44">
        <f>ROUNDUP(SUMIFS('Export · base'!$H$7:$H$408,'Export · base'!$A$7:$A$408,2027,'Export · base'!$B$7:$B$408,7,'Export · base'!$C$7:$C$408,$A44)/'Export · supuestos'!$B$5,0)</f>
        <v>0</v>
      </c>
      <c r="I44">
        <f>ROUNDUP(SUMIFS('Export · base'!$H$7:$H$408,'Export · base'!$A$7:$A$408,2027,'Export · base'!$B$7:$B$408,8,'Export · base'!$C$7:$C$408,$A44)/'Export · supuestos'!$B$5,0)</f>
        <v>2</v>
      </c>
      <c r="J44">
        <f>ROUNDUP(SUMIFS('Export · base'!$H$7:$H$408,'Export · base'!$A$7:$A$408,2027,'Export · base'!$B$7:$B$408,9,'Export · base'!$C$7:$C$408,$A44)/'Export · supuestos'!$B$5,0)</f>
        <v>3</v>
      </c>
      <c r="K44">
        <f>ROUNDUP(SUMIFS('Export · base'!$H$7:$H$408,'Export · base'!$A$7:$A$408,2027,'Export · base'!$B$7:$B$408,10,'Export · base'!$C$7:$C$408,$A44)/'Export · supuestos'!$B$5,0)</f>
        <v>2</v>
      </c>
      <c r="L44">
        <f>ROUNDUP(SUMIFS('Export · base'!$H$7:$H$408,'Export · base'!$A$7:$A$408,2027,'Export · base'!$B$7:$B$408,11,'Export · base'!$C$7:$C$408,$A44)/'Export · supuestos'!$B$5,0)</f>
        <v>4</v>
      </c>
      <c r="M44">
        <f>ROUNDUP(SUMIFS('Export · base'!$H$7:$H$408,'Export · base'!$A$7:$A$408,2027,'Export · base'!$B$7:$B$408,12,'Export · base'!$C$7:$C$408,$A44)/'Export · supuestos'!$B$5,0)</f>
        <v>3</v>
      </c>
      <c r="N44">
        <f t="shared" si="1"/>
        <v>24</v>
      </c>
    </row>
    <row r="45" spans="1:14">
      <c r="A45" t="s">
        <v>64</v>
      </c>
      <c r="B45">
        <f>ROUNDUP(SUMIFS('Export · base'!$H$7:$H$408,'Export · base'!$A$7:$A$408,2027,'Export · base'!$B$7:$B$408,1,'Export · base'!$C$7:$C$408,$A45)/'Export · supuestos'!$B$5,0)</f>
        <v>0</v>
      </c>
      <c r="C45">
        <f>ROUNDUP(SUMIFS('Export · base'!$H$7:$H$408,'Export · base'!$A$7:$A$408,2027,'Export · base'!$B$7:$B$408,2,'Export · base'!$C$7:$C$408,$A45)/'Export · supuestos'!$B$5,0)</f>
        <v>2</v>
      </c>
      <c r="D45">
        <f>ROUNDUP(SUMIFS('Export · base'!$H$7:$H$408,'Export · base'!$A$7:$A$408,2027,'Export · base'!$B$7:$B$408,3,'Export · base'!$C$7:$C$408,$A45)/'Export · supuestos'!$B$5,0)</f>
        <v>0</v>
      </c>
      <c r="E45">
        <f>ROUNDUP(SUMIFS('Export · base'!$H$7:$H$408,'Export · base'!$A$7:$A$408,2027,'Export · base'!$B$7:$B$408,4,'Export · base'!$C$7:$C$408,$A45)/'Export · supuestos'!$B$5,0)</f>
        <v>0</v>
      </c>
      <c r="F45">
        <f>ROUNDUP(SUMIFS('Export · base'!$H$7:$H$408,'Export · base'!$A$7:$A$408,2027,'Export · base'!$B$7:$B$408,5,'Export · base'!$C$7:$C$408,$A45)/'Export · supuestos'!$B$5,0)</f>
        <v>0</v>
      </c>
      <c r="G45">
        <f>ROUNDUP(SUMIFS('Export · base'!$H$7:$H$408,'Export · base'!$A$7:$A$408,2027,'Export · base'!$B$7:$B$408,6,'Export · base'!$C$7:$C$408,$A45)/'Export · supuestos'!$B$5,0)</f>
        <v>0</v>
      </c>
      <c r="H45">
        <f>ROUNDUP(SUMIFS('Export · base'!$H$7:$H$408,'Export · base'!$A$7:$A$408,2027,'Export · base'!$B$7:$B$408,7,'Export · base'!$C$7:$C$408,$A45)/'Export · supuestos'!$B$5,0)</f>
        <v>0</v>
      </c>
      <c r="I45">
        <f>ROUNDUP(SUMIFS('Export · base'!$H$7:$H$408,'Export · base'!$A$7:$A$408,2027,'Export · base'!$B$7:$B$408,8,'Export · base'!$C$7:$C$408,$A45)/'Export · supuestos'!$B$5,0)</f>
        <v>0</v>
      </c>
      <c r="J45">
        <f>ROUNDUP(SUMIFS('Export · base'!$H$7:$H$408,'Export · base'!$A$7:$A$408,2027,'Export · base'!$B$7:$B$408,9,'Export · base'!$C$7:$C$408,$A45)/'Export · supuestos'!$B$5,0)</f>
        <v>0</v>
      </c>
      <c r="K45">
        <f>ROUNDUP(SUMIFS('Export · base'!$H$7:$H$408,'Export · base'!$A$7:$A$408,2027,'Export · base'!$B$7:$B$408,10,'Export · base'!$C$7:$C$408,$A45)/'Export · supuestos'!$B$5,0)</f>
        <v>0</v>
      </c>
      <c r="L45">
        <f>ROUNDUP(SUMIFS('Export · base'!$H$7:$H$408,'Export · base'!$A$7:$A$408,2027,'Export · base'!$B$7:$B$408,11,'Export · base'!$C$7:$C$408,$A45)/'Export · supuestos'!$B$5,0)</f>
        <v>1</v>
      </c>
      <c r="M45">
        <f>ROUNDUP(SUMIFS('Export · base'!$H$7:$H$408,'Export · base'!$A$7:$A$408,2027,'Export · base'!$B$7:$B$408,12,'Export · base'!$C$7:$C$408,$A45)/'Export · supuestos'!$B$5,0)</f>
        <v>0</v>
      </c>
      <c r="N45">
        <f t="shared" si="1"/>
        <v>3</v>
      </c>
    </row>
    <row r="46" spans="1:14">
      <c r="A46" t="s">
        <v>75</v>
      </c>
      <c r="B46">
        <f>ROUNDUP(SUMIFS('Export · base'!$H$7:$H$408,'Export · base'!$A$7:$A$408,2027,'Export · base'!$B$7:$B$408,1,'Export · base'!$C$7:$C$408,$A46)/'Export · supuestos'!$B$5,0)</f>
        <v>0</v>
      </c>
      <c r="C46">
        <f>ROUNDUP(SUMIFS('Export · base'!$H$7:$H$408,'Export · base'!$A$7:$A$408,2027,'Export · base'!$B$7:$B$408,2,'Export · base'!$C$7:$C$408,$A46)/'Export · supuestos'!$B$5,0)</f>
        <v>2</v>
      </c>
      <c r="D46">
        <f>ROUNDUP(SUMIFS('Export · base'!$H$7:$H$408,'Export · base'!$A$7:$A$408,2027,'Export · base'!$B$7:$B$408,3,'Export · base'!$C$7:$C$408,$A46)/'Export · supuestos'!$B$5,0)</f>
        <v>1</v>
      </c>
      <c r="E46">
        <f>ROUNDUP(SUMIFS('Export · base'!$H$7:$H$408,'Export · base'!$A$7:$A$408,2027,'Export · base'!$B$7:$B$408,4,'Export · base'!$C$7:$C$408,$A46)/'Export · supuestos'!$B$5,0)</f>
        <v>1</v>
      </c>
      <c r="F46">
        <f>ROUNDUP(SUMIFS('Export · base'!$H$7:$H$408,'Export · base'!$A$7:$A$408,2027,'Export · base'!$B$7:$B$408,5,'Export · base'!$C$7:$C$408,$A46)/'Export · supuestos'!$B$5,0)</f>
        <v>0</v>
      </c>
      <c r="G46">
        <f>ROUNDUP(SUMIFS('Export · base'!$H$7:$H$408,'Export · base'!$A$7:$A$408,2027,'Export · base'!$B$7:$B$408,6,'Export · base'!$C$7:$C$408,$A46)/'Export · supuestos'!$B$5,0)</f>
        <v>0</v>
      </c>
      <c r="H46">
        <f>ROUNDUP(SUMIFS('Export · base'!$H$7:$H$408,'Export · base'!$A$7:$A$408,2027,'Export · base'!$B$7:$B$408,7,'Export · base'!$C$7:$C$408,$A46)/'Export · supuestos'!$B$5,0)</f>
        <v>1</v>
      </c>
      <c r="I46">
        <f>ROUNDUP(SUMIFS('Export · base'!$H$7:$H$408,'Export · base'!$A$7:$A$408,2027,'Export · base'!$B$7:$B$408,8,'Export · base'!$C$7:$C$408,$A46)/'Export · supuestos'!$B$5,0)</f>
        <v>0</v>
      </c>
      <c r="J46">
        <f>ROUNDUP(SUMIFS('Export · base'!$H$7:$H$408,'Export · base'!$A$7:$A$408,2027,'Export · base'!$B$7:$B$408,9,'Export · base'!$C$7:$C$408,$A46)/'Export · supuestos'!$B$5,0)</f>
        <v>0</v>
      </c>
      <c r="K46">
        <f>ROUNDUP(SUMIFS('Export · base'!$H$7:$H$408,'Export · base'!$A$7:$A$408,2027,'Export · base'!$B$7:$B$408,10,'Export · base'!$C$7:$C$408,$A46)/'Export · supuestos'!$B$5,0)</f>
        <v>0</v>
      </c>
      <c r="L46">
        <f>ROUNDUP(SUMIFS('Export · base'!$H$7:$H$408,'Export · base'!$A$7:$A$408,2027,'Export · base'!$B$7:$B$408,11,'Export · base'!$C$7:$C$408,$A46)/'Export · supuestos'!$B$5,0)</f>
        <v>0</v>
      </c>
      <c r="M46">
        <f>ROUNDUP(SUMIFS('Export · base'!$H$7:$H$408,'Export · base'!$A$7:$A$408,2027,'Export · base'!$B$7:$B$408,12,'Export · base'!$C$7:$C$408,$A46)/'Export · supuestos'!$B$5,0)</f>
        <v>0</v>
      </c>
      <c r="N46">
        <f t="shared" si="1"/>
        <v>5</v>
      </c>
    </row>
    <row r="47" spans="1:14">
      <c r="A47" t="s">
        <v>76</v>
      </c>
      <c r="B47">
        <f>ROUNDUP(SUMIFS('Export · base'!$H$7:$H$408,'Export · base'!$A$7:$A$408,2027,'Export · base'!$B$7:$B$408,1,'Export · base'!$C$7:$C$408,$A47)/'Export · supuestos'!$B$5,0)</f>
        <v>2</v>
      </c>
      <c r="C47">
        <f>ROUNDUP(SUMIFS('Export · base'!$H$7:$H$408,'Export · base'!$A$7:$A$408,2027,'Export · base'!$B$7:$B$408,2,'Export · base'!$C$7:$C$408,$A47)/'Export · supuestos'!$B$5,0)</f>
        <v>1</v>
      </c>
      <c r="D47">
        <f>ROUNDUP(SUMIFS('Export · base'!$H$7:$H$408,'Export · base'!$A$7:$A$408,2027,'Export · base'!$B$7:$B$408,3,'Export · base'!$C$7:$C$408,$A47)/'Export · supuestos'!$B$5,0)</f>
        <v>1</v>
      </c>
      <c r="E47">
        <f>ROUNDUP(SUMIFS('Export · base'!$H$7:$H$408,'Export · base'!$A$7:$A$408,2027,'Export · base'!$B$7:$B$408,4,'Export · base'!$C$7:$C$408,$A47)/'Export · supuestos'!$B$5,0)</f>
        <v>0</v>
      </c>
      <c r="F47">
        <f>ROUNDUP(SUMIFS('Export · base'!$H$7:$H$408,'Export · base'!$A$7:$A$408,2027,'Export · base'!$B$7:$B$408,5,'Export · base'!$C$7:$C$408,$A47)/'Export · supuestos'!$B$5,0)</f>
        <v>2</v>
      </c>
      <c r="G47">
        <f>ROUNDUP(SUMIFS('Export · base'!$H$7:$H$408,'Export · base'!$A$7:$A$408,2027,'Export · base'!$B$7:$B$408,6,'Export · base'!$C$7:$C$408,$A47)/'Export · supuestos'!$B$5,0)</f>
        <v>3</v>
      </c>
      <c r="H47">
        <f>ROUNDUP(SUMIFS('Export · base'!$H$7:$H$408,'Export · base'!$A$7:$A$408,2027,'Export · base'!$B$7:$B$408,7,'Export · base'!$C$7:$C$408,$A47)/'Export · supuestos'!$B$5,0)</f>
        <v>1</v>
      </c>
      <c r="I47">
        <f>ROUNDUP(SUMIFS('Export · base'!$H$7:$H$408,'Export · base'!$A$7:$A$408,2027,'Export · base'!$B$7:$B$408,8,'Export · base'!$C$7:$C$408,$A47)/'Export · supuestos'!$B$5,0)</f>
        <v>0</v>
      </c>
      <c r="J47">
        <f>ROUNDUP(SUMIFS('Export · base'!$H$7:$H$408,'Export · base'!$A$7:$A$408,2027,'Export · base'!$B$7:$B$408,9,'Export · base'!$C$7:$C$408,$A47)/'Export · supuestos'!$B$5,0)</f>
        <v>0</v>
      </c>
      <c r="K47">
        <f>ROUNDUP(SUMIFS('Export · base'!$H$7:$H$408,'Export · base'!$A$7:$A$408,2027,'Export · base'!$B$7:$B$408,10,'Export · base'!$C$7:$C$408,$A47)/'Export · supuestos'!$B$5,0)</f>
        <v>0</v>
      </c>
      <c r="L47">
        <f>ROUNDUP(SUMIFS('Export · base'!$H$7:$H$408,'Export · base'!$A$7:$A$408,2027,'Export · base'!$B$7:$B$408,11,'Export · base'!$C$7:$C$408,$A47)/'Export · supuestos'!$B$5,0)</f>
        <v>2</v>
      </c>
      <c r="M47">
        <f>ROUNDUP(SUMIFS('Export · base'!$H$7:$H$408,'Export · base'!$A$7:$A$408,2027,'Export · base'!$B$7:$B$408,12,'Export · base'!$C$7:$C$408,$A47)/'Export · supuestos'!$B$5,0)</f>
        <v>0</v>
      </c>
      <c r="N47">
        <f t="shared" si="1"/>
        <v>12</v>
      </c>
    </row>
    <row r="48" spans="1:14">
      <c r="A48" t="s">
        <v>77</v>
      </c>
      <c r="B48">
        <f>ROUNDUP(SUMIFS('Export · base'!$H$7:$H$408,'Export · base'!$A$7:$A$408,2027,'Export · base'!$B$7:$B$408,1,'Export · base'!$C$7:$C$408,$A48)/'Export · supuestos'!$B$5,0)</f>
        <v>0</v>
      </c>
      <c r="C48">
        <f>ROUNDUP(SUMIFS('Export · base'!$H$7:$H$408,'Export · base'!$A$7:$A$408,2027,'Export · base'!$B$7:$B$408,2,'Export · base'!$C$7:$C$408,$A48)/'Export · supuestos'!$B$5,0)</f>
        <v>0</v>
      </c>
      <c r="D48">
        <f>ROUNDUP(SUMIFS('Export · base'!$H$7:$H$408,'Export · base'!$A$7:$A$408,2027,'Export · base'!$B$7:$B$408,3,'Export · base'!$C$7:$C$408,$A48)/'Export · supuestos'!$B$5,0)</f>
        <v>0</v>
      </c>
      <c r="E48">
        <f>ROUNDUP(SUMIFS('Export · base'!$H$7:$H$408,'Export · base'!$A$7:$A$408,2027,'Export · base'!$B$7:$B$408,4,'Export · base'!$C$7:$C$408,$A48)/'Export · supuestos'!$B$5,0)</f>
        <v>0</v>
      </c>
      <c r="F48">
        <f>ROUNDUP(SUMIFS('Export · base'!$H$7:$H$408,'Export · base'!$A$7:$A$408,2027,'Export · base'!$B$7:$B$408,5,'Export · base'!$C$7:$C$408,$A48)/'Export · supuestos'!$B$5,0)</f>
        <v>1</v>
      </c>
      <c r="G48">
        <f>ROUNDUP(SUMIFS('Export · base'!$H$7:$H$408,'Export · base'!$A$7:$A$408,2027,'Export · base'!$B$7:$B$408,6,'Export · base'!$C$7:$C$408,$A48)/'Export · supuestos'!$B$5,0)</f>
        <v>0</v>
      </c>
      <c r="H48">
        <f>ROUNDUP(SUMIFS('Export · base'!$H$7:$H$408,'Export · base'!$A$7:$A$408,2027,'Export · base'!$B$7:$B$408,7,'Export · base'!$C$7:$C$408,$A48)/'Export · supuestos'!$B$5,0)</f>
        <v>0</v>
      </c>
      <c r="I48">
        <f>ROUNDUP(SUMIFS('Export · base'!$H$7:$H$408,'Export · base'!$A$7:$A$408,2027,'Export · base'!$B$7:$B$408,8,'Export · base'!$C$7:$C$408,$A48)/'Export · supuestos'!$B$5,0)</f>
        <v>0</v>
      </c>
      <c r="J48">
        <f>ROUNDUP(SUMIFS('Export · base'!$H$7:$H$408,'Export · base'!$A$7:$A$408,2027,'Export · base'!$B$7:$B$408,9,'Export · base'!$C$7:$C$408,$A48)/'Export · supuestos'!$B$5,0)</f>
        <v>0</v>
      </c>
      <c r="K48">
        <f>ROUNDUP(SUMIFS('Export · base'!$H$7:$H$408,'Export · base'!$A$7:$A$408,2027,'Export · base'!$B$7:$B$408,10,'Export · base'!$C$7:$C$408,$A48)/'Export · supuestos'!$B$5,0)</f>
        <v>0</v>
      </c>
      <c r="L48">
        <f>ROUNDUP(SUMIFS('Export · base'!$H$7:$H$408,'Export · base'!$A$7:$A$408,2027,'Export · base'!$B$7:$B$408,11,'Export · base'!$C$7:$C$408,$A48)/'Export · supuestos'!$B$5,0)</f>
        <v>0</v>
      </c>
      <c r="M48">
        <f>ROUNDUP(SUMIFS('Export · base'!$H$7:$H$408,'Export · base'!$A$7:$A$408,2027,'Export · base'!$B$7:$B$408,12,'Export · base'!$C$7:$C$408,$A48)/'Export · supuestos'!$B$5,0)</f>
        <v>1</v>
      </c>
      <c r="N48">
        <f t="shared" si="1"/>
        <v>2</v>
      </c>
    </row>
    <row r="49" spans="1:14">
      <c r="A49" t="s">
        <v>65</v>
      </c>
      <c r="B49">
        <f>ROUNDUP(SUMIFS('Export · base'!$H$7:$H$408,'Export · base'!$A$7:$A$408,2027,'Export · base'!$B$7:$B$408,1,'Export · base'!$C$7:$C$408,$A49)/'Export · supuestos'!$B$5,0)</f>
        <v>0</v>
      </c>
      <c r="C49">
        <f>ROUNDUP(SUMIFS('Export · base'!$H$7:$H$408,'Export · base'!$A$7:$A$408,2027,'Export · base'!$B$7:$B$408,2,'Export · base'!$C$7:$C$408,$A49)/'Export · supuestos'!$B$5,0)</f>
        <v>2</v>
      </c>
      <c r="D49">
        <f>ROUNDUP(SUMIFS('Export · base'!$H$7:$H$408,'Export · base'!$A$7:$A$408,2027,'Export · base'!$B$7:$B$408,3,'Export · base'!$C$7:$C$408,$A49)/'Export · supuestos'!$B$5,0)</f>
        <v>0</v>
      </c>
      <c r="E49">
        <f>ROUNDUP(SUMIFS('Export · base'!$H$7:$H$408,'Export · base'!$A$7:$A$408,2027,'Export · base'!$B$7:$B$408,4,'Export · base'!$C$7:$C$408,$A49)/'Export · supuestos'!$B$5,0)</f>
        <v>2</v>
      </c>
      <c r="F49">
        <f>ROUNDUP(SUMIFS('Export · base'!$H$7:$H$408,'Export · base'!$A$7:$A$408,2027,'Export · base'!$B$7:$B$408,5,'Export · base'!$C$7:$C$408,$A49)/'Export · supuestos'!$B$5,0)</f>
        <v>6</v>
      </c>
      <c r="G49">
        <f>ROUNDUP(SUMIFS('Export · base'!$H$7:$H$408,'Export · base'!$A$7:$A$408,2027,'Export · base'!$B$7:$B$408,6,'Export · base'!$C$7:$C$408,$A49)/'Export · supuestos'!$B$5,0)</f>
        <v>0</v>
      </c>
      <c r="H49">
        <f>ROUNDUP(SUMIFS('Export · base'!$H$7:$H$408,'Export · base'!$A$7:$A$408,2027,'Export · base'!$B$7:$B$408,7,'Export · base'!$C$7:$C$408,$A49)/'Export · supuestos'!$B$5,0)</f>
        <v>3</v>
      </c>
      <c r="I49">
        <f>ROUNDUP(SUMIFS('Export · base'!$H$7:$H$408,'Export · base'!$A$7:$A$408,2027,'Export · base'!$B$7:$B$408,8,'Export · base'!$C$7:$C$408,$A49)/'Export · supuestos'!$B$5,0)</f>
        <v>0</v>
      </c>
      <c r="J49">
        <f>ROUNDUP(SUMIFS('Export · base'!$H$7:$H$408,'Export · base'!$A$7:$A$408,2027,'Export · base'!$B$7:$B$408,9,'Export · base'!$C$7:$C$408,$A49)/'Export · supuestos'!$B$5,0)</f>
        <v>3</v>
      </c>
      <c r="K49">
        <f>ROUNDUP(SUMIFS('Export · base'!$H$7:$H$408,'Export · base'!$A$7:$A$408,2027,'Export · base'!$B$7:$B$408,10,'Export · base'!$C$7:$C$408,$A49)/'Export · supuestos'!$B$5,0)</f>
        <v>0</v>
      </c>
      <c r="L49">
        <f>ROUNDUP(SUMIFS('Export · base'!$H$7:$H$408,'Export · base'!$A$7:$A$408,2027,'Export · base'!$B$7:$B$408,11,'Export · base'!$C$7:$C$408,$A49)/'Export · supuestos'!$B$5,0)</f>
        <v>0</v>
      </c>
      <c r="M49">
        <f>ROUNDUP(SUMIFS('Export · base'!$H$7:$H$408,'Export · base'!$A$7:$A$408,2027,'Export · base'!$B$7:$B$408,12,'Export · base'!$C$7:$C$408,$A49)/'Export · supuestos'!$B$5,0)</f>
        <v>2</v>
      </c>
      <c r="N49">
        <f t="shared" si="1"/>
        <v>18</v>
      </c>
    </row>
    <row r="50" spans="1:14">
      <c r="A50" s="2" t="s">
        <v>37</v>
      </c>
      <c r="B50" s="2">
        <f t="shared" ref="B50:N50" si="2">SUM(B31:B49)</f>
        <v>19</v>
      </c>
      <c r="C50" s="2">
        <f t="shared" si="2"/>
        <v>26</v>
      </c>
      <c r="D50" s="2">
        <f t="shared" si="2"/>
        <v>36</v>
      </c>
      <c r="E50" s="2">
        <f t="shared" si="2"/>
        <v>21</v>
      </c>
      <c r="F50" s="2">
        <f t="shared" si="2"/>
        <v>44</v>
      </c>
      <c r="G50" s="2">
        <f t="shared" si="2"/>
        <v>41</v>
      </c>
      <c r="H50" s="2">
        <f t="shared" si="2"/>
        <v>25</v>
      </c>
      <c r="I50" s="2">
        <f t="shared" si="2"/>
        <v>12</v>
      </c>
      <c r="J50" s="2">
        <f t="shared" si="2"/>
        <v>8</v>
      </c>
      <c r="K50" s="2">
        <f t="shared" si="2"/>
        <v>11</v>
      </c>
      <c r="L50" s="2">
        <f t="shared" si="2"/>
        <v>19</v>
      </c>
      <c r="M50" s="2">
        <f t="shared" si="2"/>
        <v>34</v>
      </c>
      <c r="N50" s="2">
        <f t="shared" si="2"/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26"/>
  <sheetViews>
    <sheetView showGridLines="0" workbookViewId="0"/>
  </sheetViews>
  <sheetFormatPr baseColWidth="10" defaultColWidth="8.6640625" defaultRowHeight="14"/>
  <cols>
    <col min="1" max="1" width="45" customWidth="1"/>
    <col min="2" max="19" width="17" customWidth="1"/>
  </cols>
  <sheetData>
    <row r="2" spans="1:11" ht="18">
      <c r="A2" s="3" t="s">
        <v>79</v>
      </c>
    </row>
    <row r="3" spans="1:11">
      <c r="A3" t="s">
        <v>80</v>
      </c>
    </row>
    <row r="6" spans="1:11">
      <c r="A6" s="1" t="s">
        <v>52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83</v>
      </c>
      <c r="J6" s="1" t="s">
        <v>84</v>
      </c>
      <c r="K6" s="1" t="s">
        <v>88</v>
      </c>
    </row>
    <row r="7" spans="1:11">
      <c r="A7" t="s">
        <v>55</v>
      </c>
      <c r="B7" s="4">
        <f>SUMIFS('Export · base'!$H$7:$H$408,'Export · base'!$A$7:$A$408,2026,'Export · base'!$C$7:$C$408,$A7)</f>
        <v>0</v>
      </c>
      <c r="C7" s="4">
        <f>'Export · detalle'!E7</f>
        <v>0</v>
      </c>
      <c r="D7" t="s">
        <v>89</v>
      </c>
      <c r="E7">
        <v>54</v>
      </c>
      <c r="F7" s="6">
        <f>C7+E7</f>
        <v>54</v>
      </c>
      <c r="G7" s="4">
        <f>SUMIFS('Export · base'!$H$7:$H$408,'Export · base'!$A$7:$A$408,2027,'Export · base'!$C$7:$C$408,$A7)</f>
        <v>26.371830808080809</v>
      </c>
      <c r="H7" s="4">
        <f>'Export · detalle'!N31</f>
        <v>2</v>
      </c>
      <c r="I7" t="str">
        <f>D7</f>
        <v>EXW</v>
      </c>
      <c r="J7">
        <v>54</v>
      </c>
      <c r="K7" s="6">
        <f>J7*H7</f>
        <v>108</v>
      </c>
    </row>
    <row r="8" spans="1:11">
      <c r="A8" t="s">
        <v>56</v>
      </c>
      <c r="B8" s="4">
        <f>SUMIFS('Export · base'!$H$7:$H$408,'Export · base'!$A$7:$A$408,2026,'Export · base'!$C$7:$C$408,$A8)</f>
        <v>22.140258318942305</v>
      </c>
      <c r="C8" s="4">
        <f>'Export · detalle'!E8</f>
        <v>2</v>
      </c>
      <c r="D8">
        <f>(1595*0.8)+(1875*0.2)</f>
        <v>1651</v>
      </c>
      <c r="E8">
        <f>2*50</f>
        <v>100</v>
      </c>
      <c r="F8" s="6">
        <f>C8*D8+E8</f>
        <v>3402</v>
      </c>
      <c r="G8" s="4">
        <f>SUMIFS('Export · base'!$H$7:$H$408,'Export · base'!$A$7:$A$408,2027,'Export · base'!$C$7:$C$408,$A8)</f>
        <v>332.06799242424245</v>
      </c>
      <c r="H8" s="4">
        <f>'Export · detalle'!N32</f>
        <v>19</v>
      </c>
      <c r="I8">
        <f>D8*1.1</f>
        <v>1816.1000000000001</v>
      </c>
      <c r="J8">
        <v>50</v>
      </c>
      <c r="K8" s="6">
        <f>+(H8*I8)+J8*H8</f>
        <v>35455.9</v>
      </c>
    </row>
    <row r="9" spans="1:11">
      <c r="A9" t="s">
        <v>70</v>
      </c>
      <c r="B9" s="4">
        <f>SUMIFS('Export · base'!$H$7:$H$408,'Export · base'!$A$7:$A$408,2026,'Export · base'!$C$7:$C$408,$A9)</f>
        <v>208.5591506456457</v>
      </c>
      <c r="C9" s="4">
        <f>'Export · detalle'!E9</f>
        <v>10</v>
      </c>
      <c r="D9" t="s">
        <v>89</v>
      </c>
      <c r="E9">
        <v>0</v>
      </c>
      <c r="F9" s="6">
        <v>0</v>
      </c>
      <c r="G9" s="4">
        <f>SUMIFS('Export · base'!$H$7:$H$408,'Export · base'!$A$7:$A$408,2027,'Export · base'!$C$7:$C$408,$A9)</f>
        <v>1664.2466666666669</v>
      </c>
      <c r="H9" s="4">
        <f>'Export · detalle'!N33</f>
        <v>83</v>
      </c>
      <c r="I9" t="str">
        <f>D9</f>
        <v>EXW</v>
      </c>
      <c r="J9">
        <v>0</v>
      </c>
      <c r="K9" s="6">
        <f>J9*H9</f>
        <v>0</v>
      </c>
    </row>
    <row r="10" spans="1:11">
      <c r="A10" t="s">
        <v>71</v>
      </c>
      <c r="B10" s="4">
        <f>SUMIFS('Export · base'!$H$7:$H$408,'Export · base'!$A$7:$A$408,2026,'Export · base'!$C$7:$C$408,$A10)</f>
        <v>26.382541042302606</v>
      </c>
      <c r="C10" s="4">
        <f>'Export · detalle'!E10</f>
        <v>2</v>
      </c>
      <c r="D10" t="s">
        <v>89</v>
      </c>
      <c r="E10">
        <f>+C10*50</f>
        <v>100</v>
      </c>
      <c r="F10" s="6">
        <v>0</v>
      </c>
      <c r="G10" s="4">
        <f>SUMIFS('Export · base'!$H$7:$H$408,'Export · base'!$A$7:$A$408,2027,'Export · base'!$C$7:$C$408,$A10)</f>
        <v>89.234381313131308</v>
      </c>
      <c r="H10" s="4">
        <f>'Export · detalle'!N34</f>
        <v>6</v>
      </c>
      <c r="I10" t="str">
        <f>D10</f>
        <v>EXW</v>
      </c>
      <c r="J10">
        <v>0</v>
      </c>
      <c r="K10" s="6">
        <f>J10*H10</f>
        <v>0</v>
      </c>
    </row>
    <row r="11" spans="1:11">
      <c r="A11" t="s">
        <v>57</v>
      </c>
      <c r="B11" s="4">
        <f>SUMIFS('Export · base'!$H$7:$H$408,'Export · base'!$A$7:$A$408,2026,'Export · base'!$C$7:$C$408,$A11)</f>
        <v>96.193264011793332</v>
      </c>
      <c r="C11" s="4">
        <f>'Export · detalle'!E11</f>
        <v>7</v>
      </c>
      <c r="D11">
        <v>3850</v>
      </c>
      <c r="E11">
        <v>0</v>
      </c>
      <c r="F11" s="6">
        <f>C11*D11</f>
        <v>26950</v>
      </c>
      <c r="G11" s="4">
        <f>SUMIFS('Export · base'!$H$7:$H$408,'Export · base'!$A$7:$A$408,2027,'Export · base'!$C$7:$C$408,$A11)</f>
        <v>196.47896464646462</v>
      </c>
      <c r="H11" s="4">
        <f>'Export · detalle'!N35</f>
        <v>16</v>
      </c>
      <c r="I11">
        <f>D11*1.1</f>
        <v>4235</v>
      </c>
      <c r="J11">
        <v>0</v>
      </c>
      <c r="K11" s="6">
        <f>H11*I11</f>
        <v>67760</v>
      </c>
    </row>
    <row r="12" spans="1:11">
      <c r="A12" t="s">
        <v>58</v>
      </c>
      <c r="B12" s="4">
        <f>SUMIFS('Export · base'!$H$7:$H$408,'Export · base'!$A$7:$A$408,2026,'Export · base'!$C$7:$C$408,$A12)</f>
        <v>30.272317625481865</v>
      </c>
      <c r="C12" s="4">
        <f>'Export · detalle'!E12</f>
        <v>2</v>
      </c>
      <c r="D12">
        <v>3675</v>
      </c>
      <c r="E12">
        <v>0</v>
      </c>
      <c r="F12" s="6">
        <f>C12*D12</f>
        <v>7350</v>
      </c>
      <c r="G12" s="4">
        <f>SUMIFS('Export · base'!$H$7:$H$408,'Export · base'!$A$7:$A$408,2027,'Export · base'!$C$7:$C$408,$A12)</f>
        <v>101.41167929292929</v>
      </c>
      <c r="H12" s="4">
        <f>'Export · detalle'!N36</f>
        <v>6</v>
      </c>
      <c r="I12">
        <f>D12*1.1</f>
        <v>4042.5000000000005</v>
      </c>
      <c r="J12">
        <v>0</v>
      </c>
      <c r="K12" s="6">
        <f>H12*I12</f>
        <v>24255.000000000004</v>
      </c>
    </row>
    <row r="13" spans="1:11">
      <c r="A13" t="s">
        <v>59</v>
      </c>
      <c r="B13" s="4">
        <f>SUMIFS('Export · base'!$H$7:$H$408,'Export · base'!$A$7:$A$408,2026,'Export · base'!$C$7:$C$408,$A13)</f>
        <v>16.495132823791973</v>
      </c>
      <c r="C13" s="4">
        <f>'Export · detalle'!E13</f>
        <v>1</v>
      </c>
      <c r="D13" t="s">
        <v>89</v>
      </c>
      <c r="E13">
        <f>50+54</f>
        <v>104</v>
      </c>
      <c r="F13" s="6">
        <v>104</v>
      </c>
      <c r="G13" s="4">
        <f>SUMIFS('Export · base'!$H$7:$H$408,'Export · base'!$A$7:$A$408,2027,'Export · base'!$C$7:$C$408,$A13)</f>
        <v>68.390833333333347</v>
      </c>
      <c r="H13" s="4">
        <f>'Export · detalle'!N37</f>
        <v>5</v>
      </c>
      <c r="I13" t="str">
        <f>D13</f>
        <v>EXW</v>
      </c>
      <c r="J13">
        <v>104</v>
      </c>
      <c r="K13" s="6">
        <f>J13*H13</f>
        <v>520</v>
      </c>
    </row>
    <row r="14" spans="1:11">
      <c r="A14" t="s">
        <v>60</v>
      </c>
      <c r="B14" s="4">
        <f>SUMIFS('Export · base'!$H$7:$H$408,'Export · base'!$A$7:$A$408,2026,'Export · base'!$C$7:$C$408,$A14)</f>
        <v>116.73997912344937</v>
      </c>
      <c r="C14" s="4">
        <f>'Export · detalle'!E14</f>
        <v>7</v>
      </c>
      <c r="D14" t="s">
        <v>89</v>
      </c>
      <c r="E14">
        <f>(54+50+75)*C14</f>
        <v>1253</v>
      </c>
      <c r="F14" s="6">
        <v>1253</v>
      </c>
      <c r="G14" s="4">
        <f>SUMIFS('Export · base'!$H$7:$H$408,'Export · base'!$A$7:$A$408,2027,'Export · base'!$C$7:$C$408,$A14)</f>
        <v>1028.3723106060604</v>
      </c>
      <c r="H14" s="4">
        <f>'Export · detalle'!N38</f>
        <v>55</v>
      </c>
      <c r="I14" t="str">
        <f>D14</f>
        <v>EXW</v>
      </c>
      <c r="J14">
        <f>50+54+75</f>
        <v>179</v>
      </c>
      <c r="K14" s="6">
        <f>J14*H14</f>
        <v>9845</v>
      </c>
    </row>
    <row r="15" spans="1:11">
      <c r="A15" t="s">
        <v>72</v>
      </c>
      <c r="B15" s="4">
        <f>SUMIFS('Export · base'!$H$7:$H$408,'Export · base'!$A$7:$A$408,2026,'Export · base'!$C$7:$C$408,$A15)</f>
        <v>46.868354583797647</v>
      </c>
      <c r="C15" s="4">
        <f>'Export · detalle'!E15</f>
        <v>3</v>
      </c>
      <c r="D15" t="s">
        <v>89</v>
      </c>
      <c r="E15">
        <v>0</v>
      </c>
      <c r="F15" s="6">
        <v>0</v>
      </c>
      <c r="G15" s="4">
        <f>SUMIFS('Export · base'!$H$7:$H$408,'Export · base'!$A$7:$A$408,2027,'Export · base'!$C$7:$C$408,$A15)</f>
        <v>110.48560606060607</v>
      </c>
      <c r="H15" s="4">
        <f>'Export · detalle'!N39</f>
        <v>6</v>
      </c>
      <c r="I15" t="str">
        <f>D15</f>
        <v>EXW</v>
      </c>
      <c r="J15">
        <v>0</v>
      </c>
      <c r="K15" s="6">
        <f>J15*H15</f>
        <v>0</v>
      </c>
    </row>
    <row r="16" spans="1:11">
      <c r="A16" t="s">
        <v>73</v>
      </c>
      <c r="B16" s="4">
        <f>SUMIFS('Export · base'!$H$7:$H$408,'Export · base'!$A$7:$A$408,2026,'Export · base'!$C$7:$C$408,$A16)</f>
        <v>40.505289588203908</v>
      </c>
      <c r="C16" s="4">
        <f>'Export · detalle'!E16</f>
        <v>2</v>
      </c>
      <c r="D16" t="s">
        <v>89</v>
      </c>
      <c r="E16">
        <v>0</v>
      </c>
      <c r="F16" s="6">
        <v>0</v>
      </c>
      <c r="G16" s="4">
        <f>SUMIFS('Export · base'!$H$7:$H$408,'Export · base'!$A$7:$A$408,2027,'Export · base'!$C$7:$C$408,$A16)</f>
        <v>84.099873737373741</v>
      </c>
      <c r="H16" s="4">
        <f>'Export · detalle'!N40</f>
        <v>6</v>
      </c>
      <c r="I16" t="str">
        <f>D16</f>
        <v>EXW</v>
      </c>
      <c r="J16">
        <v>0</v>
      </c>
      <c r="K16" s="6">
        <f>J16*H16</f>
        <v>0</v>
      </c>
    </row>
    <row r="17" spans="1:11">
      <c r="A17" t="s">
        <v>61</v>
      </c>
      <c r="B17" s="4">
        <f>SUMIFS('Export · base'!$H$7:$H$408,'Export · base'!$A$7:$A$408,2026,'Export · base'!$C$7:$C$408,$A17)</f>
        <v>5.8775760636500136</v>
      </c>
      <c r="C17" s="4">
        <f>'Export · detalle'!E17</f>
        <v>2</v>
      </c>
      <c r="D17">
        <v>487</v>
      </c>
      <c r="E17">
        <v>0</v>
      </c>
      <c r="F17" s="6">
        <f>C17*D17</f>
        <v>974</v>
      </c>
      <c r="G17" s="4">
        <f>SUMIFS('Export · base'!$H$7:$H$408,'Export · base'!$A$7:$A$408,2027,'Export · base'!$C$7:$C$408,$A17)</f>
        <v>18.204999999999998</v>
      </c>
      <c r="H17" s="4">
        <f>'Export · detalle'!N41</f>
        <v>6</v>
      </c>
      <c r="I17">
        <f>D17*1.1</f>
        <v>535.70000000000005</v>
      </c>
      <c r="J17">
        <v>0</v>
      </c>
      <c r="K17" s="6">
        <f>H17*I17</f>
        <v>3214.2000000000003</v>
      </c>
    </row>
    <row r="18" spans="1:11">
      <c r="A18" t="s">
        <v>62</v>
      </c>
      <c r="B18" s="4">
        <f>SUMIFS('Export · base'!$H$7:$H$408,'Export · base'!$A$7:$A$408,2026,'Export · base'!$C$7:$C$408,$A18)</f>
        <v>27.404988393550937</v>
      </c>
      <c r="C18" s="4">
        <f>'Export · detalle'!E18</f>
        <v>2</v>
      </c>
      <c r="D18">
        <v>1475</v>
      </c>
      <c r="E18">
        <f>+C18*(50+54)</f>
        <v>208</v>
      </c>
      <c r="F18" s="6">
        <f>(C18*D18)+E18</f>
        <v>3158</v>
      </c>
      <c r="G18" s="4">
        <f>SUMIFS('Export · base'!$H$7:$H$408,'Export · base'!$A$7:$A$408,2027,'Export · base'!$C$7:$C$408,$A18)</f>
        <v>41.020833333333329</v>
      </c>
      <c r="H18" s="4">
        <f>'Export · detalle'!N42</f>
        <v>3</v>
      </c>
      <c r="I18">
        <f>D18*1.1</f>
        <v>1622.5000000000002</v>
      </c>
      <c r="J18">
        <v>104</v>
      </c>
      <c r="K18" s="6">
        <f>(H18*I18)+J18*H18</f>
        <v>5179.5000000000009</v>
      </c>
    </row>
    <row r="19" spans="1:11">
      <c r="A19" t="s">
        <v>74</v>
      </c>
      <c r="B19" s="4">
        <f>SUMIFS('Export · base'!$H$7:$H$408,'Export · base'!$A$7:$A$408,2026,'Export · base'!$C$7:$C$408,$A19)</f>
        <v>54.292528894401507</v>
      </c>
      <c r="C19" s="4">
        <f>'Export · detalle'!E19</f>
        <v>4</v>
      </c>
      <c r="D19" t="s">
        <v>89</v>
      </c>
      <c r="E19">
        <v>0</v>
      </c>
      <c r="F19" s="6">
        <v>0</v>
      </c>
      <c r="G19" s="4">
        <f>SUMIFS('Export · base'!$H$7:$H$408,'Export · base'!$A$7:$A$408,2027,'Export · base'!$C$7:$C$408,$A19)</f>
        <v>227.35079545454545</v>
      </c>
      <c r="H19" s="4">
        <f>'Export · detalle'!N43</f>
        <v>19</v>
      </c>
      <c r="I19" t="str">
        <f>D19</f>
        <v>EXW</v>
      </c>
      <c r="J19">
        <v>0</v>
      </c>
      <c r="K19" s="6">
        <f>J19*H19</f>
        <v>0</v>
      </c>
    </row>
    <row r="20" spans="1:11">
      <c r="A20" t="s">
        <v>63</v>
      </c>
      <c r="B20" s="4">
        <f>SUMIFS('Export · base'!$H$7:$H$408,'Export · base'!$A$7:$A$408,2026,'Export · base'!$C$7:$C$408,$A20)</f>
        <v>134.14145371072206</v>
      </c>
      <c r="C20" s="4">
        <f>'Export · detalle'!E20</f>
        <v>7</v>
      </c>
      <c r="D20">
        <f>(3600+5226)/2</f>
        <v>4413</v>
      </c>
      <c r="E20">
        <v>0</v>
      </c>
      <c r="F20" s="6">
        <f>D20*C20</f>
        <v>30891</v>
      </c>
      <c r="G20" s="4">
        <f>SUMIFS('Export · base'!$H$7:$H$408,'Export · base'!$A$7:$A$408,2027,'Export · base'!$C$7:$C$408,$A20)</f>
        <v>378.81791666666669</v>
      </c>
      <c r="H20" s="4">
        <f>'Export · detalle'!N44</f>
        <v>24</v>
      </c>
      <c r="I20">
        <f>D20*1.1</f>
        <v>4854.3</v>
      </c>
      <c r="J20">
        <v>0</v>
      </c>
      <c r="K20" s="6">
        <f>H20*I20</f>
        <v>116503.20000000001</v>
      </c>
    </row>
    <row r="21" spans="1:11">
      <c r="A21" t="s">
        <v>64</v>
      </c>
      <c r="B21" s="4">
        <f>SUMIFS('Export · base'!$H$7:$H$408,'Export · base'!$A$7:$A$408,2026,'Export · base'!$C$7:$C$408,$A21)</f>
        <v>16.273933724622353</v>
      </c>
      <c r="C21" s="4">
        <f>'Export · detalle'!E21</f>
        <v>1</v>
      </c>
      <c r="D21">
        <v>3345</v>
      </c>
      <c r="E21">
        <f>54+50</f>
        <v>104</v>
      </c>
      <c r="F21" s="6">
        <f>3345+E21</f>
        <v>3449</v>
      </c>
      <c r="G21" s="4">
        <f>SUMIFS('Export · base'!$H$7:$H$408,'Export · base'!$A$7:$A$408,2027,'Export · base'!$C$7:$C$408,$A21)</f>
        <v>43.014545454545456</v>
      </c>
      <c r="H21" s="4">
        <f>'Export · detalle'!N45</f>
        <v>3</v>
      </c>
      <c r="I21">
        <f>D21*1.1</f>
        <v>3679.5000000000005</v>
      </c>
      <c r="J21">
        <v>104</v>
      </c>
      <c r="K21" s="6">
        <f>(H21*I21)+J21*H21</f>
        <v>11350.500000000002</v>
      </c>
    </row>
    <row r="22" spans="1:11">
      <c r="A22" t="s">
        <v>75</v>
      </c>
      <c r="B22" s="4">
        <f>SUMIFS('Export · base'!$H$7:$H$408,'Export · base'!$A$7:$A$408,2026,'Export · base'!$C$7:$C$408,$A22)</f>
        <v>0</v>
      </c>
      <c r="C22" s="4">
        <f>'Export · detalle'!E22</f>
        <v>0</v>
      </c>
      <c r="D22" t="s">
        <v>89</v>
      </c>
      <c r="E22">
        <v>0</v>
      </c>
      <c r="F22" s="6">
        <v>0</v>
      </c>
      <c r="G22" s="4">
        <f>SUMIFS('Export · base'!$H$7:$H$408,'Export · base'!$A$7:$A$408,2027,'Export · base'!$C$7:$C$408,$A22)</f>
        <v>72.900000000000006</v>
      </c>
      <c r="H22" s="4">
        <f>'Export · detalle'!N46</f>
        <v>5</v>
      </c>
      <c r="I22" t="str">
        <f>D22</f>
        <v>EXW</v>
      </c>
      <c r="J22">
        <v>0</v>
      </c>
      <c r="K22" s="6">
        <f>J22*H22</f>
        <v>0</v>
      </c>
    </row>
    <row r="23" spans="1:11">
      <c r="A23" t="s">
        <v>76</v>
      </c>
      <c r="B23" s="4">
        <f>SUMIFS('Export · base'!$H$7:$H$408,'Export · base'!$A$7:$A$408,2026,'Export · base'!$C$7:$C$408,$A23)</f>
        <v>19.350253014534967</v>
      </c>
      <c r="C23" s="4">
        <f>'Export · detalle'!E23</f>
        <v>1</v>
      </c>
      <c r="D23" t="s">
        <v>89</v>
      </c>
      <c r="E23">
        <v>0</v>
      </c>
      <c r="F23" s="6">
        <v>0</v>
      </c>
      <c r="G23" s="4">
        <f>SUMIFS('Export · base'!$H$7:$H$408,'Export · base'!$A$7:$A$408,2027,'Export · base'!$C$7:$C$408,$A23)</f>
        <v>180.52857323232323</v>
      </c>
      <c r="H23" s="4">
        <f>'Export · detalle'!N47</f>
        <v>12</v>
      </c>
      <c r="I23" t="str">
        <f>D23</f>
        <v>EXW</v>
      </c>
      <c r="J23">
        <v>0</v>
      </c>
      <c r="K23" s="6">
        <f>J23*H23</f>
        <v>0</v>
      </c>
    </row>
    <row r="24" spans="1:11">
      <c r="A24" t="s">
        <v>77</v>
      </c>
      <c r="B24" s="4">
        <f>SUMIFS('Export · base'!$H$7:$H$408,'Export · base'!$A$7:$A$408,2026,'Export · base'!$C$7:$C$408,$A24)</f>
        <v>6.6714031338301805</v>
      </c>
      <c r="C24" s="4">
        <f>'Export · detalle'!E24</f>
        <v>1</v>
      </c>
      <c r="D24" t="s">
        <v>89</v>
      </c>
      <c r="E24">
        <v>0</v>
      </c>
      <c r="F24" s="6">
        <v>0</v>
      </c>
      <c r="G24" s="4">
        <f>SUMIFS('Export · base'!$H$7:$H$408,'Export · base'!$A$7:$A$408,2027,'Export · base'!$C$7:$C$408,$A24)</f>
        <v>19.047196969696969</v>
      </c>
      <c r="H24" s="4">
        <f>'Export · detalle'!N48</f>
        <v>2</v>
      </c>
      <c r="I24" t="str">
        <f>D24</f>
        <v>EXW</v>
      </c>
      <c r="J24">
        <v>0</v>
      </c>
      <c r="K24" s="6">
        <f>J24*H24</f>
        <v>0</v>
      </c>
    </row>
    <row r="25" spans="1:11">
      <c r="A25" t="s">
        <v>65</v>
      </c>
      <c r="B25" s="4">
        <f>SUMIFS('Export · base'!$H$7:$H$408,'Export · base'!$A$7:$A$408,2026,'Export · base'!$C$7:$C$408,$A25)</f>
        <v>28.439884178951679</v>
      </c>
      <c r="C25" s="4">
        <f>'Export · detalle'!E25</f>
        <v>2</v>
      </c>
      <c r="D25">
        <v>1620</v>
      </c>
      <c r="E25">
        <f>108+50</f>
        <v>158</v>
      </c>
      <c r="F25" s="6">
        <f>(C25*D25)+E25</f>
        <v>3398</v>
      </c>
      <c r="G25" s="4">
        <f>SUMIFS('Export · base'!$H$7:$H$408,'Export · base'!$A$7:$A$408,2027,'Export · base'!$C$7:$C$408,$A25)</f>
        <v>297.41372474747476</v>
      </c>
      <c r="H25" s="4">
        <f>'Export · detalle'!N49</f>
        <v>18</v>
      </c>
      <c r="I25">
        <f>D25</f>
        <v>1620</v>
      </c>
      <c r="J25">
        <v>104</v>
      </c>
      <c r="K25" s="6">
        <f>(H25*I25)+J25*H25</f>
        <v>31032</v>
      </c>
    </row>
    <row r="26" spans="1:11">
      <c r="A26" s="2" t="s">
        <v>37</v>
      </c>
      <c r="B26" s="5">
        <f>SUM(B7:B25)</f>
        <v>896.60830887767258</v>
      </c>
      <c r="C26" s="5">
        <f>SUM(C7:C25)</f>
        <v>56</v>
      </c>
      <c r="D26" s="2"/>
      <c r="E26" s="2">
        <f>SUM(E7:E25)</f>
        <v>2081</v>
      </c>
      <c r="F26" s="7">
        <f>SUM(F7:F25)</f>
        <v>80983</v>
      </c>
      <c r="G26" s="5">
        <f>SUM(G7:G25)</f>
        <v>4979.4587247474756</v>
      </c>
      <c r="H26" s="5">
        <f>SUM(H7:H25)</f>
        <v>296</v>
      </c>
      <c r="I26" s="2"/>
      <c r="J26" s="2"/>
      <c r="K26" s="7">
        <f>SUM(K7:K25)</f>
        <v>305223.30000000005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08"/>
  <sheetViews>
    <sheetView showGridLines="0" workbookViewId="0"/>
  </sheetViews>
  <sheetFormatPr baseColWidth="10" defaultColWidth="8.6640625" defaultRowHeight="14"/>
  <cols>
    <col min="1" max="1" width="43" customWidth="1"/>
    <col min="2" max="19" width="16" customWidth="1"/>
  </cols>
  <sheetData>
    <row r="2" spans="1:8" ht="18">
      <c r="A2" s="3" t="s">
        <v>90</v>
      </c>
    </row>
    <row r="4" spans="1:8">
      <c r="A4" t="s">
        <v>91</v>
      </c>
    </row>
    <row r="6" spans="1:8">
      <c r="A6" s="1" t="s">
        <v>50</v>
      </c>
      <c r="B6" s="1" t="s">
        <v>92</v>
      </c>
      <c r="C6" s="1" t="s">
        <v>52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</row>
    <row r="7" spans="1:8">
      <c r="A7">
        <v>2026</v>
      </c>
      <c r="B7">
        <v>10</v>
      </c>
      <c r="C7" t="s">
        <v>57</v>
      </c>
      <c r="D7" t="s">
        <v>98</v>
      </c>
      <c r="E7">
        <v>15167.93822877423</v>
      </c>
      <c r="F7">
        <v>6</v>
      </c>
      <c r="G7">
        <f>'Export · supuestos'!$B$14</f>
        <v>1000</v>
      </c>
      <c r="H7">
        <f t="shared" ref="H7:H70" si="0">E7/G7</f>
        <v>15.167938228774229</v>
      </c>
    </row>
    <row r="8" spans="1:8">
      <c r="A8">
        <v>2026</v>
      </c>
      <c r="B8">
        <v>10</v>
      </c>
      <c r="C8" t="s">
        <v>57</v>
      </c>
      <c r="D8" t="s">
        <v>99</v>
      </c>
      <c r="E8">
        <v>379.19845571935571</v>
      </c>
      <c r="F8">
        <v>1</v>
      </c>
      <c r="G8">
        <f>'Export · supuestos'!$B$11</f>
        <v>800</v>
      </c>
      <c r="H8">
        <f t="shared" si="0"/>
        <v>0.47399806964919461</v>
      </c>
    </row>
    <row r="9" spans="1:8">
      <c r="A9">
        <v>2026</v>
      </c>
      <c r="B9">
        <v>10</v>
      </c>
      <c r="C9" t="s">
        <v>57</v>
      </c>
      <c r="D9" t="s">
        <v>100</v>
      </c>
      <c r="E9">
        <v>1001.083923099099</v>
      </c>
      <c r="F9">
        <v>1</v>
      </c>
      <c r="G9">
        <f>'Export · supuestos'!$B$15</f>
        <v>1056</v>
      </c>
      <c r="H9">
        <f t="shared" si="0"/>
        <v>0.94799613929838922</v>
      </c>
    </row>
    <row r="10" spans="1:8">
      <c r="A10">
        <v>2026</v>
      </c>
      <c r="B10">
        <v>10</v>
      </c>
      <c r="C10" t="s">
        <v>57</v>
      </c>
      <c r="D10" t="s">
        <v>101</v>
      </c>
      <c r="E10">
        <v>13044.426876745834</v>
      </c>
      <c r="F10">
        <v>2</v>
      </c>
      <c r="G10">
        <f>'Export · supuestos'!$B$17</f>
        <v>1000</v>
      </c>
      <c r="H10">
        <f t="shared" si="0"/>
        <v>13.044426876745835</v>
      </c>
    </row>
    <row r="11" spans="1:8">
      <c r="A11">
        <v>2026</v>
      </c>
      <c r="B11">
        <v>10</v>
      </c>
      <c r="C11" t="s">
        <v>57</v>
      </c>
      <c r="D11" t="s">
        <v>102</v>
      </c>
      <c r="E11">
        <v>14788.739773054869</v>
      </c>
      <c r="F11">
        <v>6</v>
      </c>
      <c r="G11">
        <f>'Export · supuestos'!$B$16</f>
        <v>1000</v>
      </c>
      <c r="H11">
        <f t="shared" si="0"/>
        <v>14.78873977305487</v>
      </c>
    </row>
    <row r="12" spans="1:8">
      <c r="A12">
        <v>2026</v>
      </c>
      <c r="B12">
        <v>10</v>
      </c>
      <c r="C12" t="s">
        <v>59</v>
      </c>
      <c r="D12" t="s">
        <v>103</v>
      </c>
      <c r="E12">
        <v>2252.4388269729729</v>
      </c>
      <c r="F12">
        <v>1</v>
      </c>
      <c r="G12">
        <f>'Export · supuestos'!$B$10</f>
        <v>792</v>
      </c>
      <c r="H12">
        <f t="shared" si="0"/>
        <v>2.8439884178951678</v>
      </c>
    </row>
    <row r="13" spans="1:8">
      <c r="A13">
        <v>2026</v>
      </c>
      <c r="B13">
        <v>10</v>
      </c>
      <c r="C13" t="s">
        <v>59</v>
      </c>
      <c r="D13" t="s">
        <v>101</v>
      </c>
      <c r="E13">
        <v>9479.9613929838924</v>
      </c>
      <c r="F13">
        <v>1</v>
      </c>
      <c r="G13">
        <f>'Export · supuestos'!$B$17</f>
        <v>1000</v>
      </c>
      <c r="H13">
        <f t="shared" si="0"/>
        <v>9.479961392983892</v>
      </c>
    </row>
    <row r="14" spans="1:8">
      <c r="A14">
        <v>2026</v>
      </c>
      <c r="B14">
        <v>10</v>
      </c>
      <c r="C14" t="s">
        <v>59</v>
      </c>
      <c r="D14" t="s">
        <v>102</v>
      </c>
      <c r="E14">
        <v>4171.183012912913</v>
      </c>
      <c r="F14">
        <v>1</v>
      </c>
      <c r="G14">
        <f>'Export · supuestos'!$B$16</f>
        <v>1000</v>
      </c>
      <c r="H14">
        <f t="shared" si="0"/>
        <v>4.1711830129129126</v>
      </c>
    </row>
    <row r="15" spans="1:8">
      <c r="A15">
        <v>2026</v>
      </c>
      <c r="B15">
        <v>10</v>
      </c>
      <c r="C15" t="s">
        <v>60</v>
      </c>
      <c r="D15" t="s">
        <v>103</v>
      </c>
      <c r="E15">
        <v>7583.9691143871141</v>
      </c>
      <c r="F15">
        <v>2</v>
      </c>
      <c r="G15">
        <f>'Export · supuestos'!$B$10</f>
        <v>792</v>
      </c>
      <c r="H15">
        <f t="shared" si="0"/>
        <v>9.5757185787716086</v>
      </c>
    </row>
    <row r="16" spans="1:8">
      <c r="A16">
        <v>2026</v>
      </c>
      <c r="B16">
        <v>10</v>
      </c>
      <c r="C16" t="s">
        <v>60</v>
      </c>
      <c r="D16" t="s">
        <v>100</v>
      </c>
      <c r="E16">
        <v>1895.992278596779</v>
      </c>
      <c r="F16">
        <v>1</v>
      </c>
      <c r="G16">
        <f>'Export · supuestos'!$B$15</f>
        <v>1056</v>
      </c>
      <c r="H16">
        <f t="shared" si="0"/>
        <v>1.7954472335196772</v>
      </c>
    </row>
    <row r="17" spans="1:8">
      <c r="A17">
        <v>2026</v>
      </c>
      <c r="B17">
        <v>10</v>
      </c>
      <c r="C17" t="s">
        <v>60</v>
      </c>
      <c r="D17" t="s">
        <v>102</v>
      </c>
      <c r="E17">
        <v>18959.922785967781</v>
      </c>
      <c r="F17">
        <v>1</v>
      </c>
      <c r="G17">
        <f>'Export · supuestos'!$B$16</f>
        <v>1000</v>
      </c>
      <c r="H17">
        <f t="shared" si="0"/>
        <v>18.95992278596778</v>
      </c>
    </row>
    <row r="18" spans="1:8">
      <c r="A18">
        <v>2026</v>
      </c>
      <c r="B18">
        <v>10</v>
      </c>
      <c r="C18" t="s">
        <v>61</v>
      </c>
      <c r="D18" t="s">
        <v>98</v>
      </c>
      <c r="E18">
        <v>2843.9884178951679</v>
      </c>
      <c r="F18">
        <v>1</v>
      </c>
      <c r="G18">
        <f>'Export · supuestos'!$B$14</f>
        <v>1000</v>
      </c>
      <c r="H18">
        <f t="shared" si="0"/>
        <v>2.8439884178951678</v>
      </c>
    </row>
    <row r="19" spans="1:8">
      <c r="A19">
        <v>2026</v>
      </c>
      <c r="B19">
        <v>10</v>
      </c>
      <c r="C19" t="s">
        <v>61</v>
      </c>
      <c r="D19" t="s">
        <v>102</v>
      </c>
      <c r="E19">
        <v>189.59922785967791</v>
      </c>
      <c r="F19">
        <v>1</v>
      </c>
      <c r="G19">
        <f>'Export · supuestos'!$B$16</f>
        <v>1000</v>
      </c>
      <c r="H19">
        <f t="shared" si="0"/>
        <v>0.18959922785967792</v>
      </c>
    </row>
    <row r="20" spans="1:8">
      <c r="A20">
        <v>2026</v>
      </c>
      <c r="B20">
        <v>10</v>
      </c>
      <c r="C20" t="s">
        <v>74</v>
      </c>
      <c r="D20" t="s">
        <v>104</v>
      </c>
      <c r="E20">
        <v>7583.9691143871141</v>
      </c>
      <c r="F20">
        <v>2</v>
      </c>
      <c r="G20">
        <f>'Export · supuestos'!$B$12</f>
        <v>960</v>
      </c>
      <c r="H20">
        <f t="shared" si="0"/>
        <v>7.8999678274865772</v>
      </c>
    </row>
    <row r="21" spans="1:8">
      <c r="A21">
        <v>2026</v>
      </c>
      <c r="B21">
        <v>10</v>
      </c>
      <c r="C21" t="s">
        <v>74</v>
      </c>
      <c r="D21" t="s">
        <v>105</v>
      </c>
      <c r="E21">
        <v>5687.9768357903367</v>
      </c>
      <c r="F21">
        <v>2</v>
      </c>
      <c r="G21">
        <f>'Export · supuestos'!$B$13</f>
        <v>800</v>
      </c>
      <c r="H21">
        <f t="shared" si="0"/>
        <v>7.1099710447379207</v>
      </c>
    </row>
    <row r="22" spans="1:8">
      <c r="A22">
        <v>2026</v>
      </c>
      <c r="B22">
        <v>10</v>
      </c>
      <c r="C22" t="s">
        <v>74</v>
      </c>
      <c r="D22" t="s">
        <v>101</v>
      </c>
      <c r="E22">
        <v>947.99613929838938</v>
      </c>
      <c r="F22">
        <v>1</v>
      </c>
      <c r="G22">
        <f>'Export · supuestos'!$B$17</f>
        <v>1000</v>
      </c>
      <c r="H22">
        <f t="shared" si="0"/>
        <v>0.94799613929838933</v>
      </c>
    </row>
    <row r="23" spans="1:8">
      <c r="A23">
        <v>2026</v>
      </c>
      <c r="B23">
        <v>10</v>
      </c>
      <c r="C23" t="s">
        <v>74</v>
      </c>
      <c r="D23" t="s">
        <v>102</v>
      </c>
      <c r="E23">
        <v>2843.9884178951679</v>
      </c>
      <c r="F23">
        <v>1</v>
      </c>
      <c r="G23">
        <f>'Export · supuestos'!$B$16</f>
        <v>1000</v>
      </c>
      <c r="H23">
        <f t="shared" si="0"/>
        <v>2.8439884178951678</v>
      </c>
    </row>
    <row r="24" spans="1:8">
      <c r="A24">
        <v>2026</v>
      </c>
      <c r="B24">
        <v>10</v>
      </c>
      <c r="C24" t="s">
        <v>63</v>
      </c>
      <c r="D24" t="s">
        <v>104</v>
      </c>
      <c r="E24">
        <v>9100.762937264537</v>
      </c>
      <c r="F24">
        <v>1</v>
      </c>
      <c r="G24">
        <f>'Export · supuestos'!$B$12</f>
        <v>960</v>
      </c>
      <c r="H24">
        <f t="shared" si="0"/>
        <v>9.479961392983892</v>
      </c>
    </row>
    <row r="25" spans="1:8">
      <c r="A25">
        <v>2026</v>
      </c>
      <c r="B25">
        <v>10</v>
      </c>
      <c r="C25" t="s">
        <v>63</v>
      </c>
      <c r="D25" t="s">
        <v>101</v>
      </c>
      <c r="E25">
        <v>20855.91506456456</v>
      </c>
      <c r="F25">
        <v>1</v>
      </c>
      <c r="G25">
        <f>'Export · supuestos'!$B$17</f>
        <v>1000</v>
      </c>
      <c r="H25">
        <f t="shared" si="0"/>
        <v>20.855915064564559</v>
      </c>
    </row>
    <row r="26" spans="1:8">
      <c r="A26">
        <v>2026</v>
      </c>
      <c r="B26">
        <v>11</v>
      </c>
      <c r="C26" t="s">
        <v>71</v>
      </c>
      <c r="D26" t="s">
        <v>103</v>
      </c>
      <c r="E26">
        <v>1213.4350583019382</v>
      </c>
      <c r="F26">
        <v>4</v>
      </c>
      <c r="G26">
        <f>'Export · supuestos'!$B$10</f>
        <v>792</v>
      </c>
      <c r="H26">
        <f t="shared" si="0"/>
        <v>1.5321149726034573</v>
      </c>
    </row>
    <row r="27" spans="1:8">
      <c r="A27">
        <v>2026</v>
      </c>
      <c r="B27">
        <v>11</v>
      </c>
      <c r="C27" t="s">
        <v>71</v>
      </c>
      <c r="D27" t="s">
        <v>104</v>
      </c>
      <c r="E27">
        <v>758.39691143871141</v>
      </c>
      <c r="F27">
        <v>1</v>
      </c>
      <c r="G27">
        <f>'Export · supuestos'!$B$12</f>
        <v>960</v>
      </c>
      <c r="H27">
        <f t="shared" si="0"/>
        <v>0.7899967827486577</v>
      </c>
    </row>
    <row r="28" spans="1:8">
      <c r="A28">
        <v>2026</v>
      </c>
      <c r="B28">
        <v>11</v>
      </c>
      <c r="C28" t="s">
        <v>71</v>
      </c>
      <c r="D28" t="s">
        <v>99</v>
      </c>
      <c r="E28">
        <v>1554.7136684493587</v>
      </c>
      <c r="F28">
        <v>4</v>
      </c>
      <c r="G28">
        <f>'Export · supuestos'!$B$11</f>
        <v>800</v>
      </c>
      <c r="H28">
        <f t="shared" si="0"/>
        <v>1.9433920855616984</v>
      </c>
    </row>
    <row r="29" spans="1:8">
      <c r="A29">
        <v>2026</v>
      </c>
      <c r="B29">
        <v>11</v>
      </c>
      <c r="C29" t="s">
        <v>71</v>
      </c>
      <c r="D29" t="s">
        <v>100</v>
      </c>
      <c r="E29">
        <v>530.87783800709803</v>
      </c>
      <c r="F29">
        <v>2</v>
      </c>
      <c r="G29">
        <f>'Export · supuestos'!$B$15</f>
        <v>1056</v>
      </c>
      <c r="H29">
        <f t="shared" si="0"/>
        <v>0.50272522538550946</v>
      </c>
    </row>
    <row r="30" spans="1:8">
      <c r="A30">
        <v>2026</v>
      </c>
      <c r="B30">
        <v>11</v>
      </c>
      <c r="C30" t="s">
        <v>71</v>
      </c>
      <c r="D30" t="s">
        <v>101</v>
      </c>
      <c r="E30">
        <v>6635.9729750887254</v>
      </c>
      <c r="F30">
        <v>1</v>
      </c>
      <c r="G30">
        <f>'Export · supuestos'!$B$17</f>
        <v>1000</v>
      </c>
      <c r="H30">
        <f t="shared" si="0"/>
        <v>6.6359729750887251</v>
      </c>
    </row>
    <row r="31" spans="1:8">
      <c r="A31">
        <v>2026</v>
      </c>
      <c r="B31">
        <v>11</v>
      </c>
      <c r="C31" t="s">
        <v>71</v>
      </c>
      <c r="D31" t="s">
        <v>102</v>
      </c>
      <c r="E31">
        <v>14978.339000914555</v>
      </c>
      <c r="F31">
        <v>3</v>
      </c>
      <c r="G31">
        <f>'Export · supuestos'!$B$16</f>
        <v>1000</v>
      </c>
      <c r="H31">
        <f t="shared" si="0"/>
        <v>14.978339000914556</v>
      </c>
    </row>
    <row r="32" spans="1:8">
      <c r="A32">
        <v>2026</v>
      </c>
      <c r="B32">
        <v>11</v>
      </c>
      <c r="C32" t="s">
        <v>57</v>
      </c>
      <c r="D32" t="s">
        <v>103</v>
      </c>
      <c r="E32">
        <v>473.99806964919469</v>
      </c>
      <c r="F32">
        <v>1</v>
      </c>
      <c r="G32">
        <f>'Export · supuestos'!$B$10</f>
        <v>792</v>
      </c>
      <c r="H32">
        <f t="shared" si="0"/>
        <v>0.59848241117322565</v>
      </c>
    </row>
    <row r="33" spans="1:8">
      <c r="A33">
        <v>2026</v>
      </c>
      <c r="B33">
        <v>11</v>
      </c>
      <c r="C33" t="s">
        <v>57</v>
      </c>
      <c r="D33" t="s">
        <v>98</v>
      </c>
      <c r="E33">
        <v>10427.957532282284</v>
      </c>
      <c r="F33">
        <v>5</v>
      </c>
      <c r="G33">
        <f>'Export · supuestos'!$B$14</f>
        <v>1000</v>
      </c>
      <c r="H33">
        <f t="shared" si="0"/>
        <v>10.427957532282283</v>
      </c>
    </row>
    <row r="34" spans="1:8">
      <c r="A34">
        <v>2026</v>
      </c>
      <c r="B34">
        <v>11</v>
      </c>
      <c r="C34" t="s">
        <v>57</v>
      </c>
      <c r="D34" t="s">
        <v>99</v>
      </c>
      <c r="E34">
        <v>379.19845571935571</v>
      </c>
      <c r="F34">
        <v>1</v>
      </c>
      <c r="G34">
        <f>'Export · supuestos'!$B$11</f>
        <v>800</v>
      </c>
      <c r="H34">
        <f t="shared" si="0"/>
        <v>0.47399806964919461</v>
      </c>
    </row>
    <row r="35" spans="1:8">
      <c r="A35">
        <v>2026</v>
      </c>
      <c r="B35">
        <v>11</v>
      </c>
      <c r="C35" t="s">
        <v>57</v>
      </c>
      <c r="D35" t="s">
        <v>100</v>
      </c>
      <c r="E35">
        <v>1001.083923099099</v>
      </c>
      <c r="F35">
        <v>1</v>
      </c>
      <c r="G35">
        <f>'Export · supuestos'!$B$15</f>
        <v>1056</v>
      </c>
      <c r="H35">
        <f t="shared" si="0"/>
        <v>0.94799613929838922</v>
      </c>
    </row>
    <row r="36" spans="1:8">
      <c r="A36">
        <v>2026</v>
      </c>
      <c r="B36">
        <v>11</v>
      </c>
      <c r="C36" t="s">
        <v>57</v>
      </c>
      <c r="D36" t="s">
        <v>101</v>
      </c>
      <c r="E36">
        <v>16305.5335959323</v>
      </c>
      <c r="F36">
        <v>3</v>
      </c>
      <c r="G36">
        <f>'Export · supuestos'!$B$17</f>
        <v>1000</v>
      </c>
      <c r="H36">
        <f t="shared" si="0"/>
        <v>16.3055335959323</v>
      </c>
    </row>
    <row r="37" spans="1:8">
      <c r="A37">
        <v>2026</v>
      </c>
      <c r="B37">
        <v>11</v>
      </c>
      <c r="C37" t="s">
        <v>57</v>
      </c>
      <c r="D37" t="s">
        <v>102</v>
      </c>
      <c r="E37">
        <v>1990.7918925266174</v>
      </c>
      <c r="F37">
        <v>2</v>
      </c>
      <c r="G37">
        <f>'Export · supuestos'!$B$16</f>
        <v>1000</v>
      </c>
      <c r="H37">
        <f t="shared" si="0"/>
        <v>1.9907918925266175</v>
      </c>
    </row>
    <row r="38" spans="1:8">
      <c r="A38">
        <v>2026</v>
      </c>
      <c r="B38">
        <v>11</v>
      </c>
      <c r="C38" t="s">
        <v>58</v>
      </c>
      <c r="D38" t="s">
        <v>103</v>
      </c>
      <c r="E38">
        <v>12024.383030860772</v>
      </c>
      <c r="F38">
        <v>12</v>
      </c>
      <c r="G38">
        <f>'Export · supuestos'!$B$10</f>
        <v>792</v>
      </c>
      <c r="H38">
        <f t="shared" si="0"/>
        <v>15.182301806642389</v>
      </c>
    </row>
    <row r="39" spans="1:8">
      <c r="A39">
        <v>2026</v>
      </c>
      <c r="B39">
        <v>11</v>
      </c>
      <c r="C39" t="s">
        <v>58</v>
      </c>
      <c r="D39" t="s">
        <v>104</v>
      </c>
      <c r="E39">
        <v>2369.9903482459731</v>
      </c>
      <c r="F39">
        <v>1</v>
      </c>
      <c r="G39">
        <f>'Export · supuestos'!$B$12</f>
        <v>960</v>
      </c>
      <c r="H39">
        <f t="shared" si="0"/>
        <v>2.4687399460895554</v>
      </c>
    </row>
    <row r="40" spans="1:8">
      <c r="A40">
        <v>2026</v>
      </c>
      <c r="B40">
        <v>11</v>
      </c>
      <c r="C40" t="s">
        <v>58</v>
      </c>
      <c r="D40" t="s">
        <v>99</v>
      </c>
      <c r="E40">
        <v>6560.1332839448542</v>
      </c>
      <c r="F40">
        <v>5</v>
      </c>
      <c r="G40">
        <f>'Export · supuestos'!$B$11</f>
        <v>800</v>
      </c>
      <c r="H40">
        <f t="shared" si="0"/>
        <v>8.2001666049310682</v>
      </c>
    </row>
    <row r="41" spans="1:8">
      <c r="A41">
        <v>2026</v>
      </c>
      <c r="B41">
        <v>11</v>
      </c>
      <c r="C41" t="s">
        <v>58</v>
      </c>
      <c r="D41" t="s">
        <v>100</v>
      </c>
      <c r="E41">
        <v>1365.1144405896807</v>
      </c>
      <c r="F41">
        <v>2</v>
      </c>
      <c r="G41">
        <f>'Export · supuestos'!$B$15</f>
        <v>1056</v>
      </c>
      <c r="H41">
        <f t="shared" si="0"/>
        <v>1.2927220081341673</v>
      </c>
    </row>
    <row r="42" spans="1:8">
      <c r="A42">
        <v>2026</v>
      </c>
      <c r="B42">
        <v>11</v>
      </c>
      <c r="C42" t="s">
        <v>58</v>
      </c>
      <c r="D42" t="s">
        <v>102</v>
      </c>
      <c r="E42">
        <v>3128.387259684685</v>
      </c>
      <c r="F42">
        <v>1</v>
      </c>
      <c r="G42">
        <f>'Export · supuestos'!$B$16</f>
        <v>1000</v>
      </c>
      <c r="H42">
        <f t="shared" si="0"/>
        <v>3.1283872596846849</v>
      </c>
    </row>
    <row r="43" spans="1:8">
      <c r="A43">
        <v>2026</v>
      </c>
      <c r="B43">
        <v>11</v>
      </c>
      <c r="C43" t="s">
        <v>60</v>
      </c>
      <c r="D43" t="s">
        <v>103</v>
      </c>
      <c r="E43">
        <v>16988.090816227137</v>
      </c>
      <c r="F43">
        <v>2</v>
      </c>
      <c r="G43">
        <f>'Export · supuestos'!$B$10</f>
        <v>792</v>
      </c>
      <c r="H43">
        <f t="shared" si="0"/>
        <v>21.449609616448406</v>
      </c>
    </row>
    <row r="44" spans="1:8">
      <c r="A44">
        <v>2026</v>
      </c>
      <c r="B44">
        <v>11</v>
      </c>
      <c r="C44" t="s">
        <v>60</v>
      </c>
      <c r="D44" t="s">
        <v>106</v>
      </c>
      <c r="E44">
        <v>18959.922785967781</v>
      </c>
      <c r="F44">
        <v>1</v>
      </c>
      <c r="G44">
        <f>'Export · supuestos'!$B$18</f>
        <v>1000</v>
      </c>
      <c r="H44">
        <f t="shared" si="0"/>
        <v>18.95992278596778</v>
      </c>
    </row>
    <row r="45" spans="1:8">
      <c r="A45">
        <v>2026</v>
      </c>
      <c r="B45">
        <v>11</v>
      </c>
      <c r="C45" t="s">
        <v>60</v>
      </c>
      <c r="D45" t="s">
        <v>101</v>
      </c>
      <c r="E45">
        <v>9479.9613929838924</v>
      </c>
      <c r="F45">
        <v>1</v>
      </c>
      <c r="G45">
        <f>'Export · supuestos'!$B$17</f>
        <v>1000</v>
      </c>
      <c r="H45">
        <f t="shared" si="0"/>
        <v>9.479961392983892</v>
      </c>
    </row>
    <row r="46" spans="1:8">
      <c r="A46">
        <v>2026</v>
      </c>
      <c r="B46">
        <v>11</v>
      </c>
      <c r="C46" t="s">
        <v>60</v>
      </c>
      <c r="D46" t="s">
        <v>102</v>
      </c>
      <c r="E46">
        <v>28439.884178951681</v>
      </c>
      <c r="F46">
        <v>1</v>
      </c>
      <c r="G46">
        <f>'Export · supuestos'!$B$16</f>
        <v>1000</v>
      </c>
      <c r="H46">
        <f t="shared" si="0"/>
        <v>28.439884178951679</v>
      </c>
    </row>
    <row r="47" spans="1:8">
      <c r="A47">
        <v>2026</v>
      </c>
      <c r="B47">
        <v>11</v>
      </c>
      <c r="C47" t="s">
        <v>74</v>
      </c>
      <c r="D47" t="s">
        <v>104</v>
      </c>
      <c r="E47">
        <v>947.99613929838938</v>
      </c>
      <c r="F47">
        <v>1</v>
      </c>
      <c r="G47">
        <f>'Export · supuestos'!$B$12</f>
        <v>960</v>
      </c>
      <c r="H47">
        <f t="shared" si="0"/>
        <v>0.98749597843582226</v>
      </c>
    </row>
    <row r="48" spans="1:8">
      <c r="A48">
        <v>2026</v>
      </c>
      <c r="B48">
        <v>11</v>
      </c>
      <c r="C48" t="s">
        <v>63</v>
      </c>
      <c r="D48" t="s">
        <v>104</v>
      </c>
      <c r="E48">
        <v>15926.335140212939</v>
      </c>
      <c r="F48">
        <v>1</v>
      </c>
      <c r="G48">
        <f>'Export · supuestos'!$B$12</f>
        <v>960</v>
      </c>
      <c r="H48">
        <f t="shared" si="0"/>
        <v>16.58993243772181</v>
      </c>
    </row>
    <row r="49" spans="1:8">
      <c r="A49">
        <v>2026</v>
      </c>
      <c r="B49">
        <v>11</v>
      </c>
      <c r="C49" t="s">
        <v>63</v>
      </c>
      <c r="D49" t="s">
        <v>101</v>
      </c>
      <c r="E49">
        <v>41711.830129129121</v>
      </c>
      <c r="F49">
        <v>2</v>
      </c>
      <c r="G49">
        <f>'Export · supuestos'!$B$17</f>
        <v>1000</v>
      </c>
      <c r="H49">
        <f t="shared" si="0"/>
        <v>41.711830129129119</v>
      </c>
    </row>
    <row r="50" spans="1:8">
      <c r="A50">
        <v>2026</v>
      </c>
      <c r="B50">
        <v>11</v>
      </c>
      <c r="C50" t="s">
        <v>63</v>
      </c>
      <c r="D50" t="s">
        <v>102</v>
      </c>
      <c r="E50">
        <v>3791.984557193558</v>
      </c>
      <c r="F50">
        <v>2</v>
      </c>
      <c r="G50">
        <f>'Export · supuestos'!$B$16</f>
        <v>1000</v>
      </c>
      <c r="H50">
        <f t="shared" si="0"/>
        <v>3.7919845571935578</v>
      </c>
    </row>
    <row r="51" spans="1:8">
      <c r="A51">
        <v>2026</v>
      </c>
      <c r="B51">
        <v>11</v>
      </c>
      <c r="C51" t="s">
        <v>64</v>
      </c>
      <c r="D51" t="s">
        <v>103</v>
      </c>
      <c r="E51">
        <v>5756.2325578198206</v>
      </c>
      <c r="F51">
        <v>5</v>
      </c>
      <c r="G51">
        <f>'Export · supuestos'!$B$10</f>
        <v>792</v>
      </c>
      <c r="H51">
        <f t="shared" si="0"/>
        <v>7.267970401287652</v>
      </c>
    </row>
    <row r="52" spans="1:8">
      <c r="A52">
        <v>2026</v>
      </c>
      <c r="B52">
        <v>11</v>
      </c>
      <c r="C52" t="s">
        <v>64</v>
      </c>
      <c r="D52" t="s">
        <v>99</v>
      </c>
      <c r="E52">
        <v>2275.1907343161342</v>
      </c>
      <c r="F52">
        <v>4</v>
      </c>
      <c r="G52">
        <f>'Export · supuestos'!$B$11</f>
        <v>800</v>
      </c>
      <c r="H52">
        <f t="shared" si="0"/>
        <v>2.8439884178951678</v>
      </c>
    </row>
    <row r="53" spans="1:8">
      <c r="A53">
        <v>2026</v>
      </c>
      <c r="B53">
        <v>11</v>
      </c>
      <c r="C53" t="s">
        <v>64</v>
      </c>
      <c r="D53" t="s">
        <v>100</v>
      </c>
      <c r="E53">
        <v>500.54196154954963</v>
      </c>
      <c r="F53">
        <v>1</v>
      </c>
      <c r="G53">
        <f>'Export · supuestos'!$B$15</f>
        <v>1056</v>
      </c>
      <c r="H53">
        <f t="shared" si="0"/>
        <v>0.47399806964919472</v>
      </c>
    </row>
    <row r="54" spans="1:8">
      <c r="A54">
        <v>2026</v>
      </c>
      <c r="B54">
        <v>11</v>
      </c>
      <c r="C54" t="s">
        <v>64</v>
      </c>
      <c r="D54" t="s">
        <v>102</v>
      </c>
      <c r="E54">
        <v>5687.9768357903358</v>
      </c>
      <c r="F54">
        <v>1</v>
      </c>
      <c r="G54">
        <f>'Export · supuestos'!$B$16</f>
        <v>1000</v>
      </c>
      <c r="H54">
        <f t="shared" si="0"/>
        <v>5.6879768357903355</v>
      </c>
    </row>
    <row r="55" spans="1:8">
      <c r="A55">
        <v>2026</v>
      </c>
      <c r="B55">
        <v>11</v>
      </c>
      <c r="C55" t="s">
        <v>76</v>
      </c>
      <c r="D55" t="s">
        <v>103</v>
      </c>
      <c r="E55">
        <v>5176.0589205692058</v>
      </c>
      <c r="F55">
        <v>9</v>
      </c>
      <c r="G55">
        <f>'Export · supuestos'!$B$10</f>
        <v>792</v>
      </c>
      <c r="H55">
        <f t="shared" si="0"/>
        <v>6.5354279300116236</v>
      </c>
    </row>
    <row r="56" spans="1:8">
      <c r="A56">
        <v>2026</v>
      </c>
      <c r="B56">
        <v>11</v>
      </c>
      <c r="C56" t="s">
        <v>76</v>
      </c>
      <c r="D56" t="s">
        <v>98</v>
      </c>
      <c r="E56">
        <v>2843.9884178951684</v>
      </c>
      <c r="F56">
        <v>2</v>
      </c>
      <c r="G56">
        <f>'Export · supuestos'!$B$14</f>
        <v>1000</v>
      </c>
      <c r="H56">
        <f t="shared" si="0"/>
        <v>2.8439884178951682</v>
      </c>
    </row>
    <row r="57" spans="1:8">
      <c r="A57">
        <v>2026</v>
      </c>
      <c r="B57">
        <v>11</v>
      </c>
      <c r="C57" t="s">
        <v>76</v>
      </c>
      <c r="D57" t="s">
        <v>104</v>
      </c>
      <c r="E57">
        <v>3317.9864875443627</v>
      </c>
      <c r="F57">
        <v>6</v>
      </c>
      <c r="G57">
        <f>'Export · supuestos'!$B$12</f>
        <v>960</v>
      </c>
      <c r="H57">
        <f t="shared" si="0"/>
        <v>3.456235924525378</v>
      </c>
    </row>
    <row r="58" spans="1:8">
      <c r="A58">
        <v>2026</v>
      </c>
      <c r="B58">
        <v>11</v>
      </c>
      <c r="C58" t="s">
        <v>76</v>
      </c>
      <c r="D58" t="s">
        <v>105</v>
      </c>
      <c r="E58">
        <v>1137.5953671580671</v>
      </c>
      <c r="F58">
        <v>3</v>
      </c>
      <c r="G58">
        <f>'Export · supuestos'!$B$13</f>
        <v>800</v>
      </c>
      <c r="H58">
        <f t="shared" si="0"/>
        <v>1.4219942089475839</v>
      </c>
    </row>
    <row r="59" spans="1:8">
      <c r="A59">
        <v>2026</v>
      </c>
      <c r="B59">
        <v>11</v>
      </c>
      <c r="C59" t="s">
        <v>76</v>
      </c>
      <c r="D59" t="s">
        <v>99</v>
      </c>
      <c r="E59">
        <v>284.39884178951678</v>
      </c>
      <c r="F59">
        <v>1</v>
      </c>
      <c r="G59">
        <f>'Export · supuestos'!$B$11</f>
        <v>800</v>
      </c>
      <c r="H59">
        <f t="shared" si="0"/>
        <v>0.35549855223689597</v>
      </c>
    </row>
    <row r="60" spans="1:8">
      <c r="A60">
        <v>2026</v>
      </c>
      <c r="B60">
        <v>11</v>
      </c>
      <c r="C60" t="s">
        <v>76</v>
      </c>
      <c r="D60" t="s">
        <v>100</v>
      </c>
      <c r="E60">
        <v>2699.8930047218128</v>
      </c>
      <c r="F60">
        <v>4</v>
      </c>
      <c r="G60">
        <f>'Export · supuestos'!$B$15</f>
        <v>1056</v>
      </c>
      <c r="H60">
        <f t="shared" si="0"/>
        <v>2.5567168605320196</v>
      </c>
    </row>
    <row r="61" spans="1:8">
      <c r="A61">
        <v>2026</v>
      </c>
      <c r="B61">
        <v>11</v>
      </c>
      <c r="C61" t="s">
        <v>76</v>
      </c>
      <c r="D61" t="s">
        <v>101</v>
      </c>
      <c r="E61">
        <v>1611.5934368072617</v>
      </c>
      <c r="F61">
        <v>2</v>
      </c>
      <c r="G61">
        <f>'Export · supuestos'!$B$17</f>
        <v>1000</v>
      </c>
      <c r="H61">
        <f t="shared" si="0"/>
        <v>1.6115934368072617</v>
      </c>
    </row>
    <row r="62" spans="1:8">
      <c r="A62">
        <v>2026</v>
      </c>
      <c r="B62">
        <v>11</v>
      </c>
      <c r="C62" t="s">
        <v>76</v>
      </c>
      <c r="D62" t="s">
        <v>102</v>
      </c>
      <c r="E62">
        <v>568.79768357903356</v>
      </c>
      <c r="F62">
        <v>1</v>
      </c>
      <c r="G62">
        <f>'Export · supuestos'!$B$16</f>
        <v>1000</v>
      </c>
      <c r="H62">
        <f t="shared" si="0"/>
        <v>0.5687976835790336</v>
      </c>
    </row>
    <row r="63" spans="1:8">
      <c r="A63">
        <v>2026</v>
      </c>
      <c r="B63">
        <v>12</v>
      </c>
      <c r="C63" t="s">
        <v>56</v>
      </c>
      <c r="D63" t="s">
        <v>103</v>
      </c>
      <c r="E63">
        <v>3716.1448660496862</v>
      </c>
      <c r="F63">
        <v>2</v>
      </c>
      <c r="G63">
        <f>'Export · supuestos'!$B$10</f>
        <v>792</v>
      </c>
      <c r="H63">
        <f t="shared" si="0"/>
        <v>4.6921021035980885</v>
      </c>
    </row>
    <row r="64" spans="1:8">
      <c r="A64">
        <v>2026</v>
      </c>
      <c r="B64">
        <v>12</v>
      </c>
      <c r="C64" t="s">
        <v>56</v>
      </c>
      <c r="D64" t="s">
        <v>104</v>
      </c>
      <c r="E64">
        <v>4739.9806964919471</v>
      </c>
      <c r="F64">
        <v>2</v>
      </c>
      <c r="G64">
        <f>'Export · supuestos'!$B$12</f>
        <v>960</v>
      </c>
      <c r="H64">
        <f t="shared" si="0"/>
        <v>4.9374798921791117</v>
      </c>
    </row>
    <row r="65" spans="1:8">
      <c r="A65">
        <v>2026</v>
      </c>
      <c r="B65">
        <v>12</v>
      </c>
      <c r="C65" t="s">
        <v>56</v>
      </c>
      <c r="D65" t="s">
        <v>99</v>
      </c>
      <c r="E65">
        <v>8531.9652536855028</v>
      </c>
      <c r="F65">
        <v>3</v>
      </c>
      <c r="G65">
        <f>'Export · supuestos'!$B$11</f>
        <v>800</v>
      </c>
      <c r="H65">
        <f t="shared" si="0"/>
        <v>10.664956567106879</v>
      </c>
    </row>
    <row r="66" spans="1:8">
      <c r="A66">
        <v>2026</v>
      </c>
      <c r="B66">
        <v>12</v>
      </c>
      <c r="C66" t="s">
        <v>56</v>
      </c>
      <c r="D66" t="s">
        <v>100</v>
      </c>
      <c r="E66">
        <v>947.99613929838938</v>
      </c>
      <c r="F66">
        <v>1</v>
      </c>
      <c r="G66">
        <f>'Export · supuestos'!$B$15</f>
        <v>1056</v>
      </c>
      <c r="H66">
        <f t="shared" si="0"/>
        <v>0.89772361675983847</v>
      </c>
    </row>
    <row r="67" spans="1:8">
      <c r="A67">
        <v>2026</v>
      </c>
      <c r="B67">
        <v>12</v>
      </c>
      <c r="C67" t="s">
        <v>56</v>
      </c>
      <c r="D67" t="s">
        <v>102</v>
      </c>
      <c r="E67">
        <v>947.99613929838938</v>
      </c>
      <c r="F67">
        <v>1</v>
      </c>
      <c r="G67">
        <f>'Export · supuestos'!$B$16</f>
        <v>1000</v>
      </c>
      <c r="H67">
        <f t="shared" si="0"/>
        <v>0.94799613929838933</v>
      </c>
    </row>
    <row r="68" spans="1:8">
      <c r="A68">
        <v>2026</v>
      </c>
      <c r="B68">
        <v>12</v>
      </c>
      <c r="C68" t="s">
        <v>70</v>
      </c>
      <c r="D68" t="s">
        <v>101</v>
      </c>
      <c r="E68">
        <v>208559.15064564571</v>
      </c>
      <c r="F68">
        <v>1</v>
      </c>
      <c r="G68">
        <f>'Export · supuestos'!$B$17</f>
        <v>1000</v>
      </c>
      <c r="H68">
        <f t="shared" si="0"/>
        <v>208.5591506456457</v>
      </c>
    </row>
    <row r="69" spans="1:8">
      <c r="A69">
        <v>2026</v>
      </c>
      <c r="B69">
        <v>12</v>
      </c>
      <c r="C69" t="s">
        <v>57</v>
      </c>
      <c r="D69" t="s">
        <v>98</v>
      </c>
      <c r="E69">
        <v>10901.955601931479</v>
      </c>
      <c r="F69">
        <v>6</v>
      </c>
      <c r="G69">
        <f>'Export · supuestos'!$B$14</f>
        <v>1000</v>
      </c>
      <c r="H69">
        <f t="shared" si="0"/>
        <v>10.901955601931478</v>
      </c>
    </row>
    <row r="70" spans="1:8">
      <c r="A70">
        <v>2026</v>
      </c>
      <c r="B70">
        <v>12</v>
      </c>
      <c r="C70" t="s">
        <v>57</v>
      </c>
      <c r="D70" t="s">
        <v>100</v>
      </c>
      <c r="E70">
        <v>379.19845571935571</v>
      </c>
      <c r="F70">
        <v>1</v>
      </c>
      <c r="G70">
        <f>'Export · supuestos'!$B$15</f>
        <v>1056</v>
      </c>
      <c r="H70">
        <f t="shared" si="0"/>
        <v>0.35908944670393533</v>
      </c>
    </row>
    <row r="71" spans="1:8">
      <c r="A71">
        <v>2026</v>
      </c>
      <c r="B71">
        <v>12</v>
      </c>
      <c r="C71" t="s">
        <v>57</v>
      </c>
      <c r="D71" t="s">
        <v>101</v>
      </c>
      <c r="E71">
        <v>758.39691143871141</v>
      </c>
      <c r="F71">
        <v>1</v>
      </c>
      <c r="G71">
        <f>'Export · supuestos'!$B$17</f>
        <v>1000</v>
      </c>
      <c r="H71">
        <f t="shared" ref="H71:H134" si="1">E71/G71</f>
        <v>0.75839691143871146</v>
      </c>
    </row>
    <row r="72" spans="1:8">
      <c r="A72">
        <v>2026</v>
      </c>
      <c r="B72">
        <v>12</v>
      </c>
      <c r="C72" t="s">
        <v>57</v>
      </c>
      <c r="D72" t="s">
        <v>102</v>
      </c>
      <c r="E72">
        <v>9005.9633233346995</v>
      </c>
      <c r="F72">
        <v>5</v>
      </c>
      <c r="G72">
        <f>'Export · supuestos'!$B$16</f>
        <v>1000</v>
      </c>
      <c r="H72">
        <f t="shared" si="1"/>
        <v>9.005963323334699</v>
      </c>
    </row>
    <row r="73" spans="1:8">
      <c r="A73">
        <v>2026</v>
      </c>
      <c r="B73">
        <v>12</v>
      </c>
      <c r="C73" t="s">
        <v>60</v>
      </c>
      <c r="D73" t="s">
        <v>103</v>
      </c>
      <c r="E73">
        <v>2843.9884178951679</v>
      </c>
      <c r="F73">
        <v>1</v>
      </c>
      <c r="G73">
        <f>'Export · supuestos'!$B$10</f>
        <v>792</v>
      </c>
      <c r="H73">
        <f t="shared" si="1"/>
        <v>3.5908944670393534</v>
      </c>
    </row>
    <row r="74" spans="1:8">
      <c r="A74">
        <v>2026</v>
      </c>
      <c r="B74">
        <v>12</v>
      </c>
      <c r="C74" t="s">
        <v>60</v>
      </c>
      <c r="D74" t="s">
        <v>100</v>
      </c>
      <c r="E74">
        <v>4739.9806964919462</v>
      </c>
      <c r="F74">
        <v>1</v>
      </c>
      <c r="G74">
        <f>'Export · supuestos'!$B$15</f>
        <v>1056</v>
      </c>
      <c r="H74">
        <f t="shared" si="1"/>
        <v>4.4886180837991914</v>
      </c>
    </row>
    <row r="75" spans="1:8">
      <c r="A75">
        <v>2026</v>
      </c>
      <c r="B75">
        <v>12</v>
      </c>
      <c r="C75" t="s">
        <v>72</v>
      </c>
      <c r="D75" t="s">
        <v>103</v>
      </c>
      <c r="E75">
        <v>1820.1525874529075</v>
      </c>
      <c r="F75">
        <v>2</v>
      </c>
      <c r="G75">
        <f>'Export · supuestos'!$B$10</f>
        <v>792</v>
      </c>
      <c r="H75">
        <f t="shared" si="1"/>
        <v>2.2981724589051864</v>
      </c>
    </row>
    <row r="76" spans="1:8">
      <c r="A76">
        <v>2026</v>
      </c>
      <c r="B76">
        <v>12</v>
      </c>
      <c r="C76" t="s">
        <v>72</v>
      </c>
      <c r="D76" t="s">
        <v>104</v>
      </c>
      <c r="E76">
        <v>28439.884178951681</v>
      </c>
      <c r="F76">
        <v>1</v>
      </c>
      <c r="G76">
        <f>'Export · supuestos'!$B$12</f>
        <v>960</v>
      </c>
      <c r="H76">
        <f t="shared" si="1"/>
        <v>29.624879353074668</v>
      </c>
    </row>
    <row r="77" spans="1:8">
      <c r="A77">
        <v>2026</v>
      </c>
      <c r="B77">
        <v>12</v>
      </c>
      <c r="C77" t="s">
        <v>72</v>
      </c>
      <c r="D77" t="s">
        <v>99</v>
      </c>
      <c r="E77">
        <v>3791.9845571935575</v>
      </c>
      <c r="F77">
        <v>4</v>
      </c>
      <c r="G77">
        <f>'Export · supuestos'!$B$11</f>
        <v>800</v>
      </c>
      <c r="H77">
        <f t="shared" si="1"/>
        <v>4.7399806964919469</v>
      </c>
    </row>
    <row r="78" spans="1:8">
      <c r="A78">
        <v>2026</v>
      </c>
      <c r="B78">
        <v>12</v>
      </c>
      <c r="C78" t="s">
        <v>72</v>
      </c>
      <c r="D78" t="s">
        <v>100</v>
      </c>
      <c r="E78">
        <v>2768.1487267512966</v>
      </c>
      <c r="F78">
        <v>2</v>
      </c>
      <c r="G78">
        <f>'Export · supuestos'!$B$15</f>
        <v>1056</v>
      </c>
      <c r="H78">
        <f t="shared" si="1"/>
        <v>2.621352960938728</v>
      </c>
    </row>
    <row r="79" spans="1:8">
      <c r="A79">
        <v>2026</v>
      </c>
      <c r="B79">
        <v>12</v>
      </c>
      <c r="C79" t="s">
        <v>72</v>
      </c>
      <c r="D79" t="s">
        <v>101</v>
      </c>
      <c r="E79">
        <v>5687.9768357903358</v>
      </c>
      <c r="F79">
        <v>1</v>
      </c>
      <c r="G79">
        <f>'Export · supuestos'!$B$17</f>
        <v>1000</v>
      </c>
      <c r="H79">
        <f t="shared" si="1"/>
        <v>5.6879768357903355</v>
      </c>
    </row>
    <row r="80" spans="1:8">
      <c r="A80">
        <v>2026</v>
      </c>
      <c r="B80">
        <v>12</v>
      </c>
      <c r="C80" t="s">
        <v>72</v>
      </c>
      <c r="D80" t="s">
        <v>102</v>
      </c>
      <c r="E80">
        <v>1895.9922785967788</v>
      </c>
      <c r="F80">
        <v>2</v>
      </c>
      <c r="G80">
        <f>'Export · supuestos'!$B$16</f>
        <v>1000</v>
      </c>
      <c r="H80">
        <f t="shared" si="1"/>
        <v>1.8959922785967787</v>
      </c>
    </row>
    <row r="81" spans="1:8">
      <c r="A81">
        <v>2026</v>
      </c>
      <c r="B81">
        <v>12</v>
      </c>
      <c r="C81" t="s">
        <v>73</v>
      </c>
      <c r="D81" t="s">
        <v>103</v>
      </c>
      <c r="E81">
        <v>17063.930507371009</v>
      </c>
      <c r="F81">
        <v>3</v>
      </c>
      <c r="G81">
        <f>'Export · supuestos'!$B$10</f>
        <v>792</v>
      </c>
      <c r="H81">
        <f t="shared" si="1"/>
        <v>21.545366802236124</v>
      </c>
    </row>
    <row r="82" spans="1:8">
      <c r="A82">
        <v>2026</v>
      </c>
      <c r="B82">
        <v>12</v>
      </c>
      <c r="C82" t="s">
        <v>73</v>
      </c>
      <c r="D82" t="s">
        <v>99</v>
      </c>
      <c r="E82">
        <v>15167.93822877423</v>
      </c>
      <c r="F82">
        <v>3</v>
      </c>
      <c r="G82">
        <f>'Export · supuestos'!$B$11</f>
        <v>800</v>
      </c>
      <c r="H82">
        <f t="shared" si="1"/>
        <v>18.959922785967787</v>
      </c>
    </row>
    <row r="83" spans="1:8">
      <c r="A83">
        <v>2026</v>
      </c>
      <c r="B83">
        <v>12</v>
      </c>
      <c r="C83" t="s">
        <v>61</v>
      </c>
      <c r="D83" t="s">
        <v>98</v>
      </c>
      <c r="E83">
        <v>2843.9884178951679</v>
      </c>
      <c r="F83">
        <v>1</v>
      </c>
      <c r="G83">
        <f>'Export · supuestos'!$B$14</f>
        <v>1000</v>
      </c>
      <c r="H83">
        <f t="shared" si="1"/>
        <v>2.8439884178951678</v>
      </c>
    </row>
    <row r="84" spans="1:8">
      <c r="A84">
        <v>2026</v>
      </c>
      <c r="B84">
        <v>12</v>
      </c>
      <c r="C84" t="s">
        <v>62</v>
      </c>
      <c r="D84" t="s">
        <v>104</v>
      </c>
      <c r="E84">
        <v>4739.9806964919462</v>
      </c>
      <c r="F84">
        <v>1</v>
      </c>
      <c r="G84">
        <f>'Export · supuestos'!$B$12</f>
        <v>960</v>
      </c>
      <c r="H84">
        <f t="shared" si="1"/>
        <v>4.9374798921791108</v>
      </c>
    </row>
    <row r="85" spans="1:8">
      <c r="A85">
        <v>2026</v>
      </c>
      <c r="B85">
        <v>12</v>
      </c>
      <c r="C85" t="s">
        <v>62</v>
      </c>
      <c r="D85" t="s">
        <v>101</v>
      </c>
      <c r="E85">
        <v>7299.570272597598</v>
      </c>
      <c r="F85">
        <v>1</v>
      </c>
      <c r="G85">
        <f>'Export · supuestos'!$B$17</f>
        <v>1000</v>
      </c>
      <c r="H85">
        <f t="shared" si="1"/>
        <v>7.2995702725975979</v>
      </c>
    </row>
    <row r="86" spans="1:8">
      <c r="A86">
        <v>2026</v>
      </c>
      <c r="B86">
        <v>12</v>
      </c>
      <c r="C86" t="s">
        <v>62</v>
      </c>
      <c r="D86" t="s">
        <v>102</v>
      </c>
      <c r="E86">
        <v>15167.938228774228</v>
      </c>
      <c r="F86">
        <v>3</v>
      </c>
      <c r="G86">
        <f>'Export · supuestos'!$B$16</f>
        <v>1000</v>
      </c>
      <c r="H86">
        <f t="shared" si="1"/>
        <v>15.167938228774227</v>
      </c>
    </row>
    <row r="87" spans="1:8">
      <c r="A87">
        <v>2026</v>
      </c>
      <c r="B87">
        <v>12</v>
      </c>
      <c r="C87" t="s">
        <v>74</v>
      </c>
      <c r="D87" t="s">
        <v>104</v>
      </c>
      <c r="E87">
        <v>18106.726260599236</v>
      </c>
      <c r="F87">
        <v>6</v>
      </c>
      <c r="G87">
        <f>'Export · supuestos'!$B$12</f>
        <v>960</v>
      </c>
      <c r="H87">
        <f t="shared" si="1"/>
        <v>18.861173188124205</v>
      </c>
    </row>
    <row r="88" spans="1:8">
      <c r="A88">
        <v>2026</v>
      </c>
      <c r="B88">
        <v>12</v>
      </c>
      <c r="C88" t="s">
        <v>74</v>
      </c>
      <c r="D88" t="s">
        <v>105</v>
      </c>
      <c r="E88">
        <v>5687.9768357903367</v>
      </c>
      <c r="F88">
        <v>2</v>
      </c>
      <c r="G88">
        <f>'Export · supuestos'!$B$13</f>
        <v>800</v>
      </c>
      <c r="H88">
        <f t="shared" si="1"/>
        <v>7.1099710447379207</v>
      </c>
    </row>
    <row r="89" spans="1:8">
      <c r="A89">
        <v>2026</v>
      </c>
      <c r="B89">
        <v>12</v>
      </c>
      <c r="C89" t="s">
        <v>74</v>
      </c>
      <c r="D89" t="s">
        <v>99</v>
      </c>
      <c r="E89">
        <v>3791.9845571935575</v>
      </c>
      <c r="F89">
        <v>2</v>
      </c>
      <c r="G89">
        <f>'Export · supuestos'!$B$11</f>
        <v>800</v>
      </c>
      <c r="H89">
        <f t="shared" si="1"/>
        <v>4.7399806964919469</v>
      </c>
    </row>
    <row r="90" spans="1:8">
      <c r="A90">
        <v>2026</v>
      </c>
      <c r="B90">
        <v>12</v>
      </c>
      <c r="C90" t="s">
        <v>74</v>
      </c>
      <c r="D90" t="s">
        <v>102</v>
      </c>
      <c r="E90">
        <v>3791.9845571935575</v>
      </c>
      <c r="F90">
        <v>3</v>
      </c>
      <c r="G90">
        <f>'Export · supuestos'!$B$16</f>
        <v>1000</v>
      </c>
      <c r="H90">
        <f t="shared" si="1"/>
        <v>3.7919845571935573</v>
      </c>
    </row>
    <row r="91" spans="1:8">
      <c r="A91">
        <v>2026</v>
      </c>
      <c r="B91">
        <v>12</v>
      </c>
      <c r="C91" t="s">
        <v>63</v>
      </c>
      <c r="D91" t="s">
        <v>101</v>
      </c>
      <c r="E91">
        <v>41711.830129129121</v>
      </c>
      <c r="F91">
        <v>2</v>
      </c>
      <c r="G91">
        <f>'Export · supuestos'!$B$17</f>
        <v>1000</v>
      </c>
      <c r="H91">
        <f t="shared" si="1"/>
        <v>41.711830129129119</v>
      </c>
    </row>
    <row r="92" spans="1:8">
      <c r="A92">
        <v>2026</v>
      </c>
      <c r="B92">
        <v>12</v>
      </c>
      <c r="C92" t="s">
        <v>77</v>
      </c>
      <c r="D92" t="s">
        <v>103</v>
      </c>
      <c r="E92">
        <v>1384.0743633756483</v>
      </c>
      <c r="F92">
        <v>2</v>
      </c>
      <c r="G92">
        <f>'Export · supuestos'!$B$10</f>
        <v>792</v>
      </c>
      <c r="H92">
        <f t="shared" si="1"/>
        <v>1.7475686406258186</v>
      </c>
    </row>
    <row r="93" spans="1:8">
      <c r="A93">
        <v>2026</v>
      </c>
      <c r="B93">
        <v>12</v>
      </c>
      <c r="C93" t="s">
        <v>77</v>
      </c>
      <c r="D93" t="s">
        <v>100</v>
      </c>
      <c r="E93">
        <v>1895.992278596779</v>
      </c>
      <c r="F93">
        <v>1</v>
      </c>
      <c r="G93">
        <f>'Export · supuestos'!$B$15</f>
        <v>1056</v>
      </c>
      <c r="H93">
        <f t="shared" si="1"/>
        <v>1.7954472335196772</v>
      </c>
    </row>
    <row r="94" spans="1:8">
      <c r="A94">
        <v>2026</v>
      </c>
      <c r="B94">
        <v>12</v>
      </c>
      <c r="C94" t="s">
        <v>77</v>
      </c>
      <c r="D94" t="s">
        <v>101</v>
      </c>
      <c r="E94">
        <v>2085.591506456457</v>
      </c>
      <c r="F94">
        <v>1</v>
      </c>
      <c r="G94">
        <f>'Export · supuestos'!$B$17</f>
        <v>1000</v>
      </c>
      <c r="H94">
        <f t="shared" si="1"/>
        <v>2.0855915064564567</v>
      </c>
    </row>
    <row r="95" spans="1:8">
      <c r="A95">
        <v>2026</v>
      </c>
      <c r="B95">
        <v>12</v>
      </c>
      <c r="C95" t="s">
        <v>77</v>
      </c>
      <c r="D95" t="s">
        <v>102</v>
      </c>
      <c r="E95">
        <v>1042.795753228228</v>
      </c>
      <c r="F95">
        <v>1</v>
      </c>
      <c r="G95">
        <f>'Export · supuestos'!$B$16</f>
        <v>1000</v>
      </c>
      <c r="H95">
        <f t="shared" si="1"/>
        <v>1.0427957532282279</v>
      </c>
    </row>
    <row r="96" spans="1:8">
      <c r="A96">
        <v>2026</v>
      </c>
      <c r="B96">
        <v>12</v>
      </c>
      <c r="C96" t="s">
        <v>65</v>
      </c>
      <c r="D96" t="s">
        <v>98</v>
      </c>
      <c r="E96">
        <v>947.99613929838938</v>
      </c>
      <c r="F96">
        <v>1</v>
      </c>
      <c r="G96">
        <f>'Export · supuestos'!$B$14</f>
        <v>1000</v>
      </c>
      <c r="H96">
        <f t="shared" si="1"/>
        <v>0.94799613929838933</v>
      </c>
    </row>
    <row r="97" spans="1:8">
      <c r="A97">
        <v>2026</v>
      </c>
      <c r="B97">
        <v>12</v>
      </c>
      <c r="C97" t="s">
        <v>65</v>
      </c>
      <c r="D97" t="s">
        <v>106</v>
      </c>
      <c r="E97">
        <v>3791.984557193558</v>
      </c>
      <c r="F97">
        <v>2</v>
      </c>
      <c r="G97">
        <f>'Export · supuestos'!$B$18</f>
        <v>1000</v>
      </c>
      <c r="H97">
        <f t="shared" si="1"/>
        <v>3.7919845571935578</v>
      </c>
    </row>
    <row r="98" spans="1:8">
      <c r="A98">
        <v>2026</v>
      </c>
      <c r="B98">
        <v>12</v>
      </c>
      <c r="C98" t="s">
        <v>65</v>
      </c>
      <c r="D98" t="s">
        <v>102</v>
      </c>
      <c r="E98">
        <v>23699.903482459733</v>
      </c>
      <c r="F98">
        <v>2</v>
      </c>
      <c r="G98">
        <f>'Export · supuestos'!$B$16</f>
        <v>1000</v>
      </c>
      <c r="H98">
        <f t="shared" si="1"/>
        <v>23.699903482459732</v>
      </c>
    </row>
    <row r="99" spans="1:8">
      <c r="A99">
        <v>2027</v>
      </c>
      <c r="B99">
        <v>1</v>
      </c>
      <c r="C99" t="s">
        <v>56</v>
      </c>
      <c r="D99" t="s">
        <v>103</v>
      </c>
      <c r="E99">
        <v>2393</v>
      </c>
      <c r="F99">
        <v>1</v>
      </c>
      <c r="G99">
        <f>'Export · supuestos'!$B$10</f>
        <v>792</v>
      </c>
      <c r="H99">
        <f t="shared" si="1"/>
        <v>3.0214646464646466</v>
      </c>
    </row>
    <row r="100" spans="1:8">
      <c r="A100">
        <v>2027</v>
      </c>
      <c r="B100">
        <v>1</v>
      </c>
      <c r="C100" t="s">
        <v>56</v>
      </c>
      <c r="D100" t="s">
        <v>104</v>
      </c>
      <c r="E100">
        <v>26580</v>
      </c>
      <c r="F100">
        <v>3</v>
      </c>
      <c r="G100">
        <f>'Export · supuestos'!$B$12</f>
        <v>960</v>
      </c>
      <c r="H100">
        <f t="shared" si="1"/>
        <v>27.6875</v>
      </c>
    </row>
    <row r="101" spans="1:8">
      <c r="A101">
        <v>2027</v>
      </c>
      <c r="B101">
        <v>1</v>
      </c>
      <c r="C101" t="s">
        <v>56</v>
      </c>
      <c r="D101" t="s">
        <v>99</v>
      </c>
      <c r="E101">
        <v>6855</v>
      </c>
      <c r="F101">
        <v>1</v>
      </c>
      <c r="G101">
        <f>'Export · supuestos'!$B$11</f>
        <v>800</v>
      </c>
      <c r="H101">
        <f t="shared" si="1"/>
        <v>8.5687499999999996</v>
      </c>
    </row>
    <row r="102" spans="1:8">
      <c r="A102">
        <v>2027</v>
      </c>
      <c r="B102">
        <v>1</v>
      </c>
      <c r="C102" t="s">
        <v>56</v>
      </c>
      <c r="D102" t="s">
        <v>101</v>
      </c>
      <c r="E102">
        <v>7780</v>
      </c>
      <c r="F102">
        <v>1</v>
      </c>
      <c r="G102">
        <f>'Export · supuestos'!$B$17</f>
        <v>1000</v>
      </c>
      <c r="H102">
        <f t="shared" si="1"/>
        <v>7.78</v>
      </c>
    </row>
    <row r="103" spans="1:8">
      <c r="A103">
        <v>2027</v>
      </c>
      <c r="B103">
        <v>1</v>
      </c>
      <c r="C103" t="s">
        <v>56</v>
      </c>
      <c r="D103" t="s">
        <v>102</v>
      </c>
      <c r="E103">
        <v>4365</v>
      </c>
      <c r="F103">
        <v>1</v>
      </c>
      <c r="G103">
        <f>'Export · supuestos'!$B$16</f>
        <v>1000</v>
      </c>
      <c r="H103">
        <f t="shared" si="1"/>
        <v>4.3650000000000002</v>
      </c>
    </row>
    <row r="104" spans="1:8">
      <c r="A104">
        <v>2027</v>
      </c>
      <c r="B104">
        <v>1</v>
      </c>
      <c r="C104" t="s">
        <v>57</v>
      </c>
      <c r="D104" t="s">
        <v>103</v>
      </c>
      <c r="E104">
        <v>864</v>
      </c>
      <c r="F104">
        <v>1</v>
      </c>
      <c r="G104">
        <f>'Export · supuestos'!$B$10</f>
        <v>792</v>
      </c>
      <c r="H104">
        <f t="shared" si="1"/>
        <v>1.0909090909090908</v>
      </c>
    </row>
    <row r="105" spans="1:8">
      <c r="A105">
        <v>2027</v>
      </c>
      <c r="B105">
        <v>1</v>
      </c>
      <c r="C105" t="s">
        <v>57</v>
      </c>
      <c r="D105" t="s">
        <v>98</v>
      </c>
      <c r="E105">
        <v>4000</v>
      </c>
      <c r="F105">
        <v>2</v>
      </c>
      <c r="G105">
        <f>'Export · supuestos'!$B$14</f>
        <v>1000</v>
      </c>
      <c r="H105">
        <f t="shared" si="1"/>
        <v>4</v>
      </c>
    </row>
    <row r="106" spans="1:8">
      <c r="A106">
        <v>2027</v>
      </c>
      <c r="B106">
        <v>1</v>
      </c>
      <c r="C106" t="s">
        <v>57</v>
      </c>
      <c r="D106" t="s">
        <v>99</v>
      </c>
      <c r="E106">
        <v>1200</v>
      </c>
      <c r="F106">
        <v>1</v>
      </c>
      <c r="G106">
        <f>'Export · supuestos'!$B$11</f>
        <v>800</v>
      </c>
      <c r="H106">
        <f t="shared" si="1"/>
        <v>1.5</v>
      </c>
    </row>
    <row r="107" spans="1:8">
      <c r="A107">
        <v>2027</v>
      </c>
      <c r="B107">
        <v>1</v>
      </c>
      <c r="C107" t="s">
        <v>57</v>
      </c>
      <c r="D107" t="s">
        <v>101</v>
      </c>
      <c r="E107">
        <v>16680</v>
      </c>
      <c r="F107">
        <v>2</v>
      </c>
      <c r="G107">
        <f>'Export · supuestos'!$B$17</f>
        <v>1000</v>
      </c>
      <c r="H107">
        <f t="shared" si="1"/>
        <v>16.68</v>
      </c>
    </row>
    <row r="108" spans="1:8">
      <c r="A108">
        <v>2027</v>
      </c>
      <c r="B108">
        <v>1</v>
      </c>
      <c r="C108" t="s">
        <v>59</v>
      </c>
      <c r="D108" t="s">
        <v>101</v>
      </c>
      <c r="E108">
        <v>10060</v>
      </c>
      <c r="F108">
        <v>1</v>
      </c>
      <c r="G108">
        <f>'Export · supuestos'!$B$17</f>
        <v>1000</v>
      </c>
      <c r="H108">
        <f t="shared" si="1"/>
        <v>10.06</v>
      </c>
    </row>
    <row r="109" spans="1:8">
      <c r="A109">
        <v>2027</v>
      </c>
      <c r="B109">
        <v>1</v>
      </c>
      <c r="C109" t="s">
        <v>59</v>
      </c>
      <c r="D109" t="s">
        <v>102</v>
      </c>
      <c r="E109">
        <v>2515</v>
      </c>
      <c r="F109">
        <v>1</v>
      </c>
      <c r="G109">
        <f>'Export · supuestos'!$B$16</f>
        <v>1000</v>
      </c>
      <c r="H109">
        <f t="shared" si="1"/>
        <v>2.5150000000000001</v>
      </c>
    </row>
    <row r="110" spans="1:8">
      <c r="A110">
        <v>2027</v>
      </c>
      <c r="B110">
        <v>1</v>
      </c>
      <c r="C110" t="s">
        <v>60</v>
      </c>
      <c r="D110" t="s">
        <v>99</v>
      </c>
      <c r="E110">
        <v>23555</v>
      </c>
      <c r="F110">
        <v>2</v>
      </c>
      <c r="G110">
        <f>'Export · supuestos'!$B$11</f>
        <v>800</v>
      </c>
      <c r="H110">
        <f t="shared" si="1"/>
        <v>29.443750000000001</v>
      </c>
    </row>
    <row r="111" spans="1:8">
      <c r="A111">
        <v>2027</v>
      </c>
      <c r="B111">
        <v>1</v>
      </c>
      <c r="C111" t="s">
        <v>60</v>
      </c>
      <c r="D111" t="s">
        <v>101</v>
      </c>
      <c r="E111">
        <v>16360</v>
      </c>
      <c r="F111">
        <v>1</v>
      </c>
      <c r="G111">
        <f>'Export · supuestos'!$B$17</f>
        <v>1000</v>
      </c>
      <c r="H111">
        <f t="shared" si="1"/>
        <v>16.36</v>
      </c>
    </row>
    <row r="112" spans="1:8">
      <c r="A112">
        <v>2027</v>
      </c>
      <c r="B112">
        <v>1</v>
      </c>
      <c r="C112" t="s">
        <v>60</v>
      </c>
      <c r="D112" t="s">
        <v>102</v>
      </c>
      <c r="E112">
        <v>68685</v>
      </c>
      <c r="F112">
        <v>2</v>
      </c>
      <c r="G112">
        <f>'Export · supuestos'!$B$16</f>
        <v>1000</v>
      </c>
      <c r="H112">
        <f t="shared" si="1"/>
        <v>68.685000000000002</v>
      </c>
    </row>
    <row r="113" spans="1:8">
      <c r="A113">
        <v>2027</v>
      </c>
      <c r="B113">
        <v>1</v>
      </c>
      <c r="C113" t="s">
        <v>74</v>
      </c>
      <c r="D113" t="s">
        <v>104</v>
      </c>
      <c r="E113">
        <v>6540</v>
      </c>
      <c r="F113">
        <v>1</v>
      </c>
      <c r="G113">
        <f>'Export · supuestos'!$B$12</f>
        <v>960</v>
      </c>
      <c r="H113">
        <f t="shared" si="1"/>
        <v>6.8125</v>
      </c>
    </row>
    <row r="114" spans="1:8">
      <c r="A114">
        <v>2027</v>
      </c>
      <c r="B114">
        <v>1</v>
      </c>
      <c r="C114" t="s">
        <v>74</v>
      </c>
      <c r="D114" t="s">
        <v>105</v>
      </c>
      <c r="E114">
        <v>5200</v>
      </c>
      <c r="F114">
        <v>1</v>
      </c>
      <c r="G114">
        <f>'Export · supuestos'!$B$13</f>
        <v>800</v>
      </c>
      <c r="H114">
        <f t="shared" si="1"/>
        <v>6.5</v>
      </c>
    </row>
    <row r="115" spans="1:8">
      <c r="A115">
        <v>2027</v>
      </c>
      <c r="B115">
        <v>1</v>
      </c>
      <c r="C115" t="s">
        <v>74</v>
      </c>
      <c r="D115" t="s">
        <v>99</v>
      </c>
      <c r="E115">
        <v>3435</v>
      </c>
      <c r="F115">
        <v>2</v>
      </c>
      <c r="G115">
        <f>'Export · supuestos'!$B$11</f>
        <v>800</v>
      </c>
      <c r="H115">
        <f t="shared" si="1"/>
        <v>4.2937500000000002</v>
      </c>
    </row>
    <row r="116" spans="1:8">
      <c r="A116">
        <v>2027</v>
      </c>
      <c r="B116">
        <v>1</v>
      </c>
      <c r="C116" t="s">
        <v>74</v>
      </c>
      <c r="D116" t="s">
        <v>101</v>
      </c>
      <c r="E116">
        <v>2380</v>
      </c>
      <c r="F116">
        <v>1</v>
      </c>
      <c r="G116">
        <f>'Export · supuestos'!$B$17</f>
        <v>1000</v>
      </c>
      <c r="H116">
        <f t="shared" si="1"/>
        <v>2.38</v>
      </c>
    </row>
    <row r="117" spans="1:8">
      <c r="A117">
        <v>2027</v>
      </c>
      <c r="B117">
        <v>1</v>
      </c>
      <c r="C117" t="s">
        <v>74</v>
      </c>
      <c r="D117" t="s">
        <v>102</v>
      </c>
      <c r="E117">
        <v>2150</v>
      </c>
      <c r="F117">
        <v>1</v>
      </c>
      <c r="G117">
        <f>'Export · supuestos'!$B$16</f>
        <v>1000</v>
      </c>
      <c r="H117">
        <f t="shared" si="1"/>
        <v>2.15</v>
      </c>
    </row>
    <row r="118" spans="1:8">
      <c r="A118">
        <v>2027</v>
      </c>
      <c r="B118">
        <v>1</v>
      </c>
      <c r="C118" t="s">
        <v>63</v>
      </c>
      <c r="D118" t="s">
        <v>101</v>
      </c>
      <c r="E118">
        <v>50260</v>
      </c>
      <c r="F118">
        <v>1</v>
      </c>
      <c r="G118">
        <f>'Export · supuestos'!$B$17</f>
        <v>1000</v>
      </c>
      <c r="H118">
        <f t="shared" si="1"/>
        <v>50.26</v>
      </c>
    </row>
    <row r="119" spans="1:8">
      <c r="A119">
        <v>2027</v>
      </c>
      <c r="B119">
        <v>1</v>
      </c>
      <c r="C119" t="s">
        <v>76</v>
      </c>
      <c r="D119" t="s">
        <v>103</v>
      </c>
      <c r="E119">
        <v>7874</v>
      </c>
      <c r="F119">
        <v>7</v>
      </c>
      <c r="G119">
        <f>'Export · supuestos'!$B$10</f>
        <v>792</v>
      </c>
      <c r="H119">
        <f t="shared" si="1"/>
        <v>9.941919191919192</v>
      </c>
    </row>
    <row r="120" spans="1:8">
      <c r="A120">
        <v>2027</v>
      </c>
      <c r="B120">
        <v>1</v>
      </c>
      <c r="C120" t="s">
        <v>76</v>
      </c>
      <c r="D120" t="s">
        <v>104</v>
      </c>
      <c r="E120">
        <v>1400</v>
      </c>
      <c r="F120">
        <v>1</v>
      </c>
      <c r="G120">
        <f>'Export · supuestos'!$B$12</f>
        <v>960</v>
      </c>
      <c r="H120">
        <f t="shared" si="1"/>
        <v>1.4583333333333333</v>
      </c>
    </row>
    <row r="121" spans="1:8">
      <c r="A121">
        <v>2027</v>
      </c>
      <c r="B121">
        <v>1</v>
      </c>
      <c r="C121" t="s">
        <v>76</v>
      </c>
      <c r="D121" t="s">
        <v>100</v>
      </c>
      <c r="E121">
        <v>3825</v>
      </c>
      <c r="F121">
        <v>2</v>
      </c>
      <c r="G121">
        <f>'Export · supuestos'!$B$15</f>
        <v>1056</v>
      </c>
      <c r="H121">
        <f t="shared" si="1"/>
        <v>3.6221590909090908</v>
      </c>
    </row>
    <row r="122" spans="1:8">
      <c r="A122">
        <v>2027</v>
      </c>
      <c r="B122">
        <v>1</v>
      </c>
      <c r="C122" t="s">
        <v>76</v>
      </c>
      <c r="D122" t="s">
        <v>101</v>
      </c>
      <c r="E122">
        <v>7040</v>
      </c>
      <c r="F122">
        <v>2</v>
      </c>
      <c r="G122">
        <f>'Export · supuestos'!$B$17</f>
        <v>1000</v>
      </c>
      <c r="H122">
        <f t="shared" si="1"/>
        <v>7.04</v>
      </c>
    </row>
    <row r="123" spans="1:8">
      <c r="A123">
        <v>2027</v>
      </c>
      <c r="B123">
        <v>2</v>
      </c>
      <c r="C123" t="s">
        <v>58</v>
      </c>
      <c r="D123" t="s">
        <v>103</v>
      </c>
      <c r="E123">
        <v>20757</v>
      </c>
      <c r="F123">
        <v>13</v>
      </c>
      <c r="G123">
        <f>'Export · supuestos'!$B$10</f>
        <v>792</v>
      </c>
      <c r="H123">
        <f t="shared" si="1"/>
        <v>26.208333333333332</v>
      </c>
    </row>
    <row r="124" spans="1:8">
      <c r="A124">
        <v>2027</v>
      </c>
      <c r="B124">
        <v>2</v>
      </c>
      <c r="C124" t="s">
        <v>58</v>
      </c>
      <c r="D124" t="s">
        <v>104</v>
      </c>
      <c r="E124">
        <v>1200</v>
      </c>
      <c r="F124">
        <v>1</v>
      </c>
      <c r="G124">
        <f>'Export · supuestos'!$B$12</f>
        <v>960</v>
      </c>
      <c r="H124">
        <f t="shared" si="1"/>
        <v>1.25</v>
      </c>
    </row>
    <row r="125" spans="1:8">
      <c r="A125">
        <v>2027</v>
      </c>
      <c r="B125">
        <v>2</v>
      </c>
      <c r="C125" t="s">
        <v>58</v>
      </c>
      <c r="D125" t="s">
        <v>99</v>
      </c>
      <c r="E125">
        <v>2600</v>
      </c>
      <c r="F125">
        <v>2</v>
      </c>
      <c r="G125">
        <f>'Export · supuestos'!$B$11</f>
        <v>800</v>
      </c>
      <c r="H125">
        <f t="shared" si="1"/>
        <v>3.25</v>
      </c>
    </row>
    <row r="126" spans="1:8">
      <c r="A126">
        <v>2027</v>
      </c>
      <c r="B126">
        <v>2</v>
      </c>
      <c r="C126" t="s">
        <v>58</v>
      </c>
      <c r="D126" t="s">
        <v>100</v>
      </c>
      <c r="E126">
        <v>2163</v>
      </c>
      <c r="F126">
        <v>2</v>
      </c>
      <c r="G126">
        <f>'Export · supuestos'!$B$15</f>
        <v>1056</v>
      </c>
      <c r="H126">
        <f t="shared" si="1"/>
        <v>2.0482954545454546</v>
      </c>
    </row>
    <row r="127" spans="1:8">
      <c r="A127">
        <v>2027</v>
      </c>
      <c r="B127">
        <v>2</v>
      </c>
      <c r="C127" t="s">
        <v>58</v>
      </c>
      <c r="D127" t="s">
        <v>102</v>
      </c>
      <c r="E127">
        <v>525</v>
      </c>
      <c r="F127">
        <v>1</v>
      </c>
      <c r="G127">
        <f>'Export · supuestos'!$B$16</f>
        <v>1000</v>
      </c>
      <c r="H127">
        <f t="shared" si="1"/>
        <v>0.52500000000000002</v>
      </c>
    </row>
    <row r="128" spans="1:8">
      <c r="A128">
        <v>2027</v>
      </c>
      <c r="B128">
        <v>2</v>
      </c>
      <c r="C128" t="s">
        <v>60</v>
      </c>
      <c r="D128" t="s">
        <v>103</v>
      </c>
      <c r="E128">
        <v>10363</v>
      </c>
      <c r="F128">
        <v>1</v>
      </c>
      <c r="G128">
        <f>'Export · supuestos'!$B$10</f>
        <v>792</v>
      </c>
      <c r="H128">
        <f t="shared" si="1"/>
        <v>13.08459595959596</v>
      </c>
    </row>
    <row r="129" spans="1:8">
      <c r="A129">
        <v>2027</v>
      </c>
      <c r="B129">
        <v>2</v>
      </c>
      <c r="C129" t="s">
        <v>60</v>
      </c>
      <c r="D129" t="s">
        <v>98</v>
      </c>
      <c r="E129">
        <v>48000</v>
      </c>
      <c r="F129">
        <v>1</v>
      </c>
      <c r="G129">
        <f>'Export · supuestos'!$B$14</f>
        <v>1000</v>
      </c>
      <c r="H129">
        <f t="shared" si="1"/>
        <v>48</v>
      </c>
    </row>
    <row r="130" spans="1:8">
      <c r="A130">
        <v>2027</v>
      </c>
      <c r="B130">
        <v>2</v>
      </c>
      <c r="C130" t="s">
        <v>60</v>
      </c>
      <c r="D130" t="s">
        <v>99</v>
      </c>
      <c r="E130">
        <v>36640</v>
      </c>
      <c r="F130">
        <v>2</v>
      </c>
      <c r="G130">
        <f>'Export · supuestos'!$B$11</f>
        <v>800</v>
      </c>
      <c r="H130">
        <f t="shared" si="1"/>
        <v>45.8</v>
      </c>
    </row>
    <row r="131" spans="1:8">
      <c r="A131">
        <v>2027</v>
      </c>
      <c r="B131">
        <v>2</v>
      </c>
      <c r="C131" t="s">
        <v>60</v>
      </c>
      <c r="D131" t="s">
        <v>100</v>
      </c>
      <c r="E131">
        <v>6032</v>
      </c>
      <c r="F131">
        <v>1</v>
      </c>
      <c r="G131">
        <f>'Export · supuestos'!$B$15</f>
        <v>1056</v>
      </c>
      <c r="H131">
        <f t="shared" si="1"/>
        <v>5.7121212121212119</v>
      </c>
    </row>
    <row r="132" spans="1:8">
      <c r="A132">
        <v>2027</v>
      </c>
      <c r="B132">
        <v>2</v>
      </c>
      <c r="C132" t="s">
        <v>60</v>
      </c>
      <c r="D132" t="s">
        <v>101</v>
      </c>
      <c r="E132">
        <v>12000</v>
      </c>
      <c r="F132">
        <v>1</v>
      </c>
      <c r="G132">
        <f>'Export · supuestos'!$B$17</f>
        <v>1000</v>
      </c>
      <c r="H132">
        <f t="shared" si="1"/>
        <v>12</v>
      </c>
    </row>
    <row r="133" spans="1:8">
      <c r="A133">
        <v>2027</v>
      </c>
      <c r="B133">
        <v>2</v>
      </c>
      <c r="C133" t="s">
        <v>60</v>
      </c>
      <c r="D133" t="s">
        <v>102</v>
      </c>
      <c r="E133">
        <v>61060</v>
      </c>
      <c r="F133">
        <v>3</v>
      </c>
      <c r="G133">
        <f>'Export · supuestos'!$B$16</f>
        <v>1000</v>
      </c>
      <c r="H133">
        <f t="shared" si="1"/>
        <v>61.06</v>
      </c>
    </row>
    <row r="134" spans="1:8">
      <c r="A134">
        <v>2027</v>
      </c>
      <c r="B134">
        <v>2</v>
      </c>
      <c r="C134" t="s">
        <v>72</v>
      </c>
      <c r="D134" t="s">
        <v>103</v>
      </c>
      <c r="E134">
        <v>3406</v>
      </c>
      <c r="F134">
        <v>3</v>
      </c>
      <c r="G134">
        <f>'Export · supuestos'!$B$10</f>
        <v>792</v>
      </c>
      <c r="H134">
        <f t="shared" si="1"/>
        <v>4.3005050505050502</v>
      </c>
    </row>
    <row r="135" spans="1:8">
      <c r="A135">
        <v>2027</v>
      </c>
      <c r="B135">
        <v>2</v>
      </c>
      <c r="C135" t="s">
        <v>72</v>
      </c>
      <c r="D135" t="s">
        <v>104</v>
      </c>
      <c r="E135">
        <v>21280</v>
      </c>
      <c r="F135">
        <v>2</v>
      </c>
      <c r="G135">
        <f>'Export · supuestos'!$B$12</f>
        <v>960</v>
      </c>
      <c r="H135">
        <f t="shared" ref="H135:H198" si="2">E135/G135</f>
        <v>22.166666666666668</v>
      </c>
    </row>
    <row r="136" spans="1:8">
      <c r="A136">
        <v>2027</v>
      </c>
      <c r="B136">
        <v>2</v>
      </c>
      <c r="C136" t="s">
        <v>72</v>
      </c>
      <c r="D136" t="s">
        <v>99</v>
      </c>
      <c r="E136">
        <v>7240</v>
      </c>
      <c r="F136">
        <v>3</v>
      </c>
      <c r="G136">
        <f>'Export · supuestos'!$B$11</f>
        <v>800</v>
      </c>
      <c r="H136">
        <f t="shared" si="2"/>
        <v>9.0500000000000007</v>
      </c>
    </row>
    <row r="137" spans="1:8">
      <c r="A137">
        <v>2027</v>
      </c>
      <c r="B137">
        <v>2</v>
      </c>
      <c r="C137" t="s">
        <v>72</v>
      </c>
      <c r="D137" t="s">
        <v>100</v>
      </c>
      <c r="E137">
        <v>2162</v>
      </c>
      <c r="F137">
        <v>1</v>
      </c>
      <c r="G137">
        <f>'Export · supuestos'!$B$15</f>
        <v>1056</v>
      </c>
      <c r="H137">
        <f t="shared" si="2"/>
        <v>2.0473484848484849</v>
      </c>
    </row>
    <row r="138" spans="1:8">
      <c r="A138">
        <v>2027</v>
      </c>
      <c r="B138">
        <v>2</v>
      </c>
      <c r="C138" t="s">
        <v>72</v>
      </c>
      <c r="D138" t="s">
        <v>101</v>
      </c>
      <c r="E138">
        <v>12560</v>
      </c>
      <c r="F138">
        <v>1</v>
      </c>
      <c r="G138">
        <f>'Export · supuestos'!$B$17</f>
        <v>1000</v>
      </c>
      <c r="H138">
        <f t="shared" si="2"/>
        <v>12.56</v>
      </c>
    </row>
    <row r="139" spans="1:8">
      <c r="A139">
        <v>2027</v>
      </c>
      <c r="B139">
        <v>2</v>
      </c>
      <c r="C139" t="s">
        <v>72</v>
      </c>
      <c r="D139" t="s">
        <v>102</v>
      </c>
      <c r="E139">
        <v>1145</v>
      </c>
      <c r="F139">
        <v>1</v>
      </c>
      <c r="G139">
        <f>'Export · supuestos'!$B$16</f>
        <v>1000</v>
      </c>
      <c r="H139">
        <f t="shared" si="2"/>
        <v>1.145</v>
      </c>
    </row>
    <row r="140" spans="1:8">
      <c r="A140">
        <v>2027</v>
      </c>
      <c r="B140">
        <v>2</v>
      </c>
      <c r="C140" t="s">
        <v>73</v>
      </c>
      <c r="D140" t="s">
        <v>103</v>
      </c>
      <c r="E140">
        <v>15321</v>
      </c>
      <c r="F140">
        <v>6</v>
      </c>
      <c r="G140">
        <f>'Export · supuestos'!$B$10</f>
        <v>792</v>
      </c>
      <c r="H140">
        <f t="shared" si="2"/>
        <v>19.344696969696969</v>
      </c>
    </row>
    <row r="141" spans="1:8">
      <c r="A141">
        <v>2027</v>
      </c>
      <c r="B141">
        <v>2</v>
      </c>
      <c r="C141" t="s">
        <v>73</v>
      </c>
      <c r="D141" t="s">
        <v>99</v>
      </c>
      <c r="E141">
        <v>7930</v>
      </c>
      <c r="F141">
        <v>6</v>
      </c>
      <c r="G141">
        <f>'Export · supuestos'!$B$11</f>
        <v>800</v>
      </c>
      <c r="H141">
        <f t="shared" si="2"/>
        <v>9.9124999999999996</v>
      </c>
    </row>
    <row r="142" spans="1:8">
      <c r="A142">
        <v>2027</v>
      </c>
      <c r="B142">
        <v>2</v>
      </c>
      <c r="C142" t="s">
        <v>61</v>
      </c>
      <c r="D142" t="s">
        <v>98</v>
      </c>
      <c r="E142">
        <v>3000</v>
      </c>
      <c r="F142">
        <v>1</v>
      </c>
      <c r="G142">
        <f>'Export · supuestos'!$B$14</f>
        <v>1000</v>
      </c>
      <c r="H142">
        <f t="shared" si="2"/>
        <v>3</v>
      </c>
    </row>
    <row r="143" spans="1:8">
      <c r="A143">
        <v>2027</v>
      </c>
      <c r="B143">
        <v>2</v>
      </c>
      <c r="C143" t="s">
        <v>74</v>
      </c>
      <c r="D143" t="s">
        <v>99</v>
      </c>
      <c r="E143">
        <v>7305</v>
      </c>
      <c r="F143">
        <v>2</v>
      </c>
      <c r="G143">
        <f>'Export · supuestos'!$B$11</f>
        <v>800</v>
      </c>
      <c r="H143">
        <f t="shared" si="2"/>
        <v>9.1312499999999996</v>
      </c>
    </row>
    <row r="144" spans="1:8">
      <c r="A144">
        <v>2027</v>
      </c>
      <c r="B144">
        <v>2</v>
      </c>
      <c r="C144" t="s">
        <v>74</v>
      </c>
      <c r="D144" t="s">
        <v>101</v>
      </c>
      <c r="E144">
        <v>4360</v>
      </c>
      <c r="F144">
        <v>1</v>
      </c>
      <c r="G144">
        <f>'Export · supuestos'!$B$17</f>
        <v>1000</v>
      </c>
      <c r="H144">
        <f t="shared" si="2"/>
        <v>4.3600000000000003</v>
      </c>
    </row>
    <row r="145" spans="1:8">
      <c r="A145">
        <v>2027</v>
      </c>
      <c r="B145">
        <v>2</v>
      </c>
      <c r="C145" t="s">
        <v>74</v>
      </c>
      <c r="D145" t="s">
        <v>102</v>
      </c>
      <c r="E145">
        <v>10905</v>
      </c>
      <c r="F145">
        <v>1</v>
      </c>
      <c r="G145">
        <f>'Export · supuestos'!$B$16</f>
        <v>1000</v>
      </c>
      <c r="H145">
        <f t="shared" si="2"/>
        <v>10.904999999999999</v>
      </c>
    </row>
    <row r="146" spans="1:8">
      <c r="A146">
        <v>2027</v>
      </c>
      <c r="B146">
        <v>2</v>
      </c>
      <c r="C146" t="s">
        <v>64</v>
      </c>
      <c r="D146" t="s">
        <v>103</v>
      </c>
      <c r="E146">
        <v>5252</v>
      </c>
      <c r="F146">
        <v>4</v>
      </c>
      <c r="G146">
        <f>'Export · supuestos'!$B$10</f>
        <v>792</v>
      </c>
      <c r="H146">
        <f t="shared" si="2"/>
        <v>6.6313131313131315</v>
      </c>
    </row>
    <row r="147" spans="1:8">
      <c r="A147">
        <v>2027</v>
      </c>
      <c r="B147">
        <v>2</v>
      </c>
      <c r="C147" t="s">
        <v>64</v>
      </c>
      <c r="D147" t="s">
        <v>104</v>
      </c>
      <c r="E147">
        <v>1200</v>
      </c>
      <c r="F147">
        <v>1</v>
      </c>
      <c r="G147">
        <f>'Export · supuestos'!$B$12</f>
        <v>960</v>
      </c>
      <c r="H147">
        <f t="shared" si="2"/>
        <v>1.25</v>
      </c>
    </row>
    <row r="148" spans="1:8">
      <c r="A148">
        <v>2027</v>
      </c>
      <c r="B148">
        <v>2</v>
      </c>
      <c r="C148" t="s">
        <v>64</v>
      </c>
      <c r="D148" t="s">
        <v>99</v>
      </c>
      <c r="E148">
        <v>2735</v>
      </c>
      <c r="F148">
        <v>3</v>
      </c>
      <c r="G148">
        <f>'Export · supuestos'!$B$11</f>
        <v>800</v>
      </c>
      <c r="H148">
        <f t="shared" si="2"/>
        <v>3.4187500000000002</v>
      </c>
    </row>
    <row r="149" spans="1:8">
      <c r="A149">
        <v>2027</v>
      </c>
      <c r="B149">
        <v>2</v>
      </c>
      <c r="C149" t="s">
        <v>64</v>
      </c>
      <c r="D149" t="s">
        <v>100</v>
      </c>
      <c r="E149">
        <v>2104</v>
      </c>
      <c r="F149">
        <v>2</v>
      </c>
      <c r="G149">
        <f>'Export · supuestos'!$B$15</f>
        <v>1056</v>
      </c>
      <c r="H149">
        <f t="shared" si="2"/>
        <v>1.9924242424242424</v>
      </c>
    </row>
    <row r="150" spans="1:8">
      <c r="A150">
        <v>2027</v>
      </c>
      <c r="B150">
        <v>2</v>
      </c>
      <c r="C150" t="s">
        <v>64</v>
      </c>
      <c r="D150" t="s">
        <v>102</v>
      </c>
      <c r="E150">
        <v>11515</v>
      </c>
      <c r="F150">
        <v>1</v>
      </c>
      <c r="G150">
        <f>'Export · supuestos'!$B$16</f>
        <v>1000</v>
      </c>
      <c r="H150">
        <f t="shared" si="2"/>
        <v>11.515000000000001</v>
      </c>
    </row>
    <row r="151" spans="1:8">
      <c r="A151">
        <v>2027</v>
      </c>
      <c r="B151">
        <v>2</v>
      </c>
      <c r="C151" t="s">
        <v>75</v>
      </c>
      <c r="D151" t="s">
        <v>98</v>
      </c>
      <c r="E151">
        <v>35000</v>
      </c>
      <c r="F151">
        <v>1</v>
      </c>
      <c r="G151">
        <f>'Export · supuestos'!$B$14</f>
        <v>1000</v>
      </c>
      <c r="H151">
        <f t="shared" si="2"/>
        <v>35</v>
      </c>
    </row>
    <row r="152" spans="1:8">
      <c r="A152">
        <v>2027</v>
      </c>
      <c r="B152">
        <v>2</v>
      </c>
      <c r="C152" t="s">
        <v>76</v>
      </c>
      <c r="D152" t="s">
        <v>103</v>
      </c>
      <c r="E152">
        <v>7761</v>
      </c>
      <c r="F152">
        <v>7</v>
      </c>
      <c r="G152">
        <f>'Export · supuestos'!$B$10</f>
        <v>792</v>
      </c>
      <c r="H152">
        <f t="shared" si="2"/>
        <v>9.7992424242424239</v>
      </c>
    </row>
    <row r="153" spans="1:8">
      <c r="A153">
        <v>2027</v>
      </c>
      <c r="B153">
        <v>2</v>
      </c>
      <c r="C153" t="s">
        <v>76</v>
      </c>
      <c r="D153" t="s">
        <v>104</v>
      </c>
      <c r="E153">
        <v>7420</v>
      </c>
      <c r="F153">
        <v>7</v>
      </c>
      <c r="G153">
        <f>'Export · supuestos'!$B$12</f>
        <v>960</v>
      </c>
      <c r="H153">
        <f t="shared" si="2"/>
        <v>7.729166666666667</v>
      </c>
    </row>
    <row r="154" spans="1:8">
      <c r="A154">
        <v>2027</v>
      </c>
      <c r="B154">
        <v>2</v>
      </c>
      <c r="C154" t="s">
        <v>76</v>
      </c>
      <c r="D154" t="s">
        <v>99</v>
      </c>
      <c r="E154">
        <v>1730</v>
      </c>
      <c r="F154">
        <v>3</v>
      </c>
      <c r="G154">
        <f>'Export · supuestos'!$B$11</f>
        <v>800</v>
      </c>
      <c r="H154">
        <f t="shared" si="2"/>
        <v>2.1625000000000001</v>
      </c>
    </row>
    <row r="155" spans="1:8">
      <c r="A155">
        <v>2027</v>
      </c>
      <c r="B155">
        <v>2</v>
      </c>
      <c r="C155" t="s">
        <v>76</v>
      </c>
      <c r="D155" t="s">
        <v>101</v>
      </c>
      <c r="E155">
        <v>1080</v>
      </c>
      <c r="F155">
        <v>1</v>
      </c>
      <c r="G155">
        <f>'Export · supuestos'!$B$17</f>
        <v>1000</v>
      </c>
      <c r="H155">
        <f t="shared" si="2"/>
        <v>1.08</v>
      </c>
    </row>
    <row r="156" spans="1:8">
      <c r="A156">
        <v>2027</v>
      </c>
      <c r="B156">
        <v>2</v>
      </c>
      <c r="C156" t="s">
        <v>65</v>
      </c>
      <c r="D156" t="s">
        <v>98</v>
      </c>
      <c r="E156">
        <v>2000</v>
      </c>
      <c r="F156">
        <v>1</v>
      </c>
      <c r="G156">
        <f>'Export · supuestos'!$B$14</f>
        <v>1000</v>
      </c>
      <c r="H156">
        <f t="shared" si="2"/>
        <v>2</v>
      </c>
    </row>
    <row r="157" spans="1:8">
      <c r="A157">
        <v>2027</v>
      </c>
      <c r="B157">
        <v>2</v>
      </c>
      <c r="C157" t="s">
        <v>65</v>
      </c>
      <c r="D157" t="s">
        <v>102</v>
      </c>
      <c r="E157">
        <v>21585</v>
      </c>
      <c r="F157">
        <v>1</v>
      </c>
      <c r="G157">
        <f>'Export · supuestos'!$B$16</f>
        <v>1000</v>
      </c>
      <c r="H157">
        <f t="shared" si="2"/>
        <v>21.585000000000001</v>
      </c>
    </row>
    <row r="158" spans="1:8">
      <c r="A158">
        <v>2027</v>
      </c>
      <c r="B158">
        <v>3</v>
      </c>
      <c r="C158" t="s">
        <v>70</v>
      </c>
      <c r="D158" t="s">
        <v>104</v>
      </c>
      <c r="E158">
        <v>128400</v>
      </c>
      <c r="F158">
        <v>1</v>
      </c>
      <c r="G158">
        <f>'Export · supuestos'!$B$12</f>
        <v>960</v>
      </c>
      <c r="H158">
        <f t="shared" si="2"/>
        <v>133.75</v>
      </c>
    </row>
    <row r="159" spans="1:8">
      <c r="A159">
        <v>2027</v>
      </c>
      <c r="B159">
        <v>3</v>
      </c>
      <c r="C159" t="s">
        <v>70</v>
      </c>
      <c r="D159" t="s">
        <v>101</v>
      </c>
      <c r="E159">
        <v>302240</v>
      </c>
      <c r="F159">
        <v>1</v>
      </c>
      <c r="G159">
        <f>'Export · supuestos'!$B$17</f>
        <v>1000</v>
      </c>
      <c r="H159">
        <f t="shared" si="2"/>
        <v>302.24</v>
      </c>
    </row>
    <row r="160" spans="1:8">
      <c r="A160">
        <v>2027</v>
      </c>
      <c r="B160">
        <v>3</v>
      </c>
      <c r="C160" t="s">
        <v>57</v>
      </c>
      <c r="D160" t="s">
        <v>98</v>
      </c>
      <c r="E160">
        <v>8000</v>
      </c>
      <c r="F160">
        <v>4</v>
      </c>
      <c r="G160">
        <f>'Export · supuestos'!$B$14</f>
        <v>1000</v>
      </c>
      <c r="H160">
        <f t="shared" si="2"/>
        <v>8</v>
      </c>
    </row>
    <row r="161" spans="1:8">
      <c r="A161">
        <v>2027</v>
      </c>
      <c r="B161">
        <v>3</v>
      </c>
      <c r="C161" t="s">
        <v>57</v>
      </c>
      <c r="D161" t="s">
        <v>104</v>
      </c>
      <c r="E161">
        <v>340</v>
      </c>
      <c r="F161">
        <v>1</v>
      </c>
      <c r="G161">
        <f>'Export · supuestos'!$B$12</f>
        <v>960</v>
      </c>
      <c r="H161">
        <f t="shared" si="2"/>
        <v>0.35416666666666669</v>
      </c>
    </row>
    <row r="162" spans="1:8">
      <c r="A162">
        <v>2027</v>
      </c>
      <c r="B162">
        <v>3</v>
      </c>
      <c r="C162" t="s">
        <v>57</v>
      </c>
      <c r="D162" t="s">
        <v>99</v>
      </c>
      <c r="E162">
        <v>430</v>
      </c>
      <c r="F162">
        <v>1</v>
      </c>
      <c r="G162">
        <f>'Export · supuestos'!$B$11</f>
        <v>800</v>
      </c>
      <c r="H162">
        <f t="shared" si="2"/>
        <v>0.53749999999999998</v>
      </c>
    </row>
    <row r="163" spans="1:8">
      <c r="A163">
        <v>2027</v>
      </c>
      <c r="B163">
        <v>3</v>
      </c>
      <c r="C163" t="s">
        <v>57</v>
      </c>
      <c r="D163" t="s">
        <v>101</v>
      </c>
      <c r="E163">
        <v>6860</v>
      </c>
      <c r="F163">
        <v>2</v>
      </c>
      <c r="G163">
        <f>'Export · supuestos'!$B$17</f>
        <v>1000</v>
      </c>
      <c r="H163">
        <f t="shared" si="2"/>
        <v>6.86</v>
      </c>
    </row>
    <row r="164" spans="1:8">
      <c r="A164">
        <v>2027</v>
      </c>
      <c r="B164">
        <v>3</v>
      </c>
      <c r="C164" t="s">
        <v>57</v>
      </c>
      <c r="D164" t="s">
        <v>102</v>
      </c>
      <c r="E164">
        <v>6000</v>
      </c>
      <c r="F164">
        <v>1</v>
      </c>
      <c r="G164">
        <f>'Export · supuestos'!$B$16</f>
        <v>1000</v>
      </c>
      <c r="H164">
        <f t="shared" si="2"/>
        <v>6</v>
      </c>
    </row>
    <row r="165" spans="1:8">
      <c r="A165">
        <v>2027</v>
      </c>
      <c r="B165">
        <v>3</v>
      </c>
      <c r="C165" t="s">
        <v>59</v>
      </c>
      <c r="D165" t="s">
        <v>103</v>
      </c>
      <c r="E165">
        <v>4394</v>
      </c>
      <c r="F165">
        <v>1</v>
      </c>
      <c r="G165">
        <f>'Export · supuestos'!$B$10</f>
        <v>792</v>
      </c>
      <c r="H165">
        <f t="shared" si="2"/>
        <v>5.5479797979797976</v>
      </c>
    </row>
    <row r="166" spans="1:8">
      <c r="A166">
        <v>2027</v>
      </c>
      <c r="B166">
        <v>3</v>
      </c>
      <c r="C166" t="s">
        <v>59</v>
      </c>
      <c r="D166" t="s">
        <v>101</v>
      </c>
      <c r="E166">
        <v>13820</v>
      </c>
      <c r="F166">
        <v>1</v>
      </c>
      <c r="G166">
        <f>'Export · supuestos'!$B$17</f>
        <v>1000</v>
      </c>
      <c r="H166">
        <f t="shared" si="2"/>
        <v>13.82</v>
      </c>
    </row>
    <row r="167" spans="1:8">
      <c r="A167">
        <v>2027</v>
      </c>
      <c r="B167">
        <v>3</v>
      </c>
      <c r="C167" t="s">
        <v>59</v>
      </c>
      <c r="D167" t="s">
        <v>102</v>
      </c>
      <c r="E167">
        <v>5025</v>
      </c>
      <c r="F167">
        <v>1</v>
      </c>
      <c r="G167">
        <f>'Export · supuestos'!$B$16</f>
        <v>1000</v>
      </c>
      <c r="H167">
        <f t="shared" si="2"/>
        <v>5.0250000000000004</v>
      </c>
    </row>
    <row r="168" spans="1:8">
      <c r="A168">
        <v>2027</v>
      </c>
      <c r="B168">
        <v>3</v>
      </c>
      <c r="C168" t="s">
        <v>60</v>
      </c>
      <c r="D168" t="s">
        <v>103</v>
      </c>
      <c r="E168">
        <v>15448</v>
      </c>
      <c r="F168">
        <v>2</v>
      </c>
      <c r="G168">
        <f>'Export · supuestos'!$B$10</f>
        <v>792</v>
      </c>
      <c r="H168">
        <f t="shared" si="2"/>
        <v>19.505050505050505</v>
      </c>
    </row>
    <row r="169" spans="1:8">
      <c r="A169">
        <v>2027</v>
      </c>
      <c r="B169">
        <v>3</v>
      </c>
      <c r="C169" t="s">
        <v>60</v>
      </c>
      <c r="D169" t="s">
        <v>98</v>
      </c>
      <c r="E169">
        <v>24000</v>
      </c>
      <c r="F169">
        <v>1</v>
      </c>
      <c r="G169">
        <f>'Export · supuestos'!$B$14</f>
        <v>1000</v>
      </c>
      <c r="H169">
        <f t="shared" si="2"/>
        <v>24</v>
      </c>
    </row>
    <row r="170" spans="1:8">
      <c r="A170">
        <v>2027</v>
      </c>
      <c r="B170">
        <v>3</v>
      </c>
      <c r="C170" t="s">
        <v>60</v>
      </c>
      <c r="D170" t="s">
        <v>101</v>
      </c>
      <c r="E170">
        <v>12000</v>
      </c>
      <c r="F170">
        <v>1</v>
      </c>
      <c r="G170">
        <f>'Export · supuestos'!$B$17</f>
        <v>1000</v>
      </c>
      <c r="H170">
        <f t="shared" si="2"/>
        <v>12</v>
      </c>
    </row>
    <row r="171" spans="1:8">
      <c r="A171">
        <v>2027</v>
      </c>
      <c r="B171">
        <v>3</v>
      </c>
      <c r="C171" t="s">
        <v>60</v>
      </c>
      <c r="D171" t="s">
        <v>102</v>
      </c>
      <c r="E171">
        <v>14175</v>
      </c>
      <c r="F171">
        <v>2</v>
      </c>
      <c r="G171">
        <f>'Export · supuestos'!$B$16</f>
        <v>1000</v>
      </c>
      <c r="H171">
        <f t="shared" si="2"/>
        <v>14.175000000000001</v>
      </c>
    </row>
    <row r="172" spans="1:8">
      <c r="A172">
        <v>2027</v>
      </c>
      <c r="B172">
        <v>3</v>
      </c>
      <c r="C172" t="s">
        <v>61</v>
      </c>
      <c r="D172" t="s">
        <v>98</v>
      </c>
      <c r="E172">
        <v>3000</v>
      </c>
      <c r="F172">
        <v>1</v>
      </c>
      <c r="G172">
        <f>'Export · supuestos'!$B$14</f>
        <v>1000</v>
      </c>
      <c r="H172">
        <f t="shared" si="2"/>
        <v>3</v>
      </c>
    </row>
    <row r="173" spans="1:8">
      <c r="A173">
        <v>2027</v>
      </c>
      <c r="B173">
        <v>3</v>
      </c>
      <c r="C173" t="s">
        <v>74</v>
      </c>
      <c r="D173" t="s">
        <v>104</v>
      </c>
      <c r="E173">
        <v>14040</v>
      </c>
      <c r="F173">
        <v>3</v>
      </c>
      <c r="G173">
        <f>'Export · supuestos'!$B$12</f>
        <v>960</v>
      </c>
      <c r="H173">
        <f t="shared" si="2"/>
        <v>14.625</v>
      </c>
    </row>
    <row r="174" spans="1:8">
      <c r="A174">
        <v>2027</v>
      </c>
      <c r="B174">
        <v>3</v>
      </c>
      <c r="C174" t="s">
        <v>74</v>
      </c>
      <c r="D174" t="s">
        <v>99</v>
      </c>
      <c r="E174">
        <v>1695</v>
      </c>
      <c r="F174">
        <v>2</v>
      </c>
      <c r="G174">
        <f>'Export · supuestos'!$B$11</f>
        <v>800</v>
      </c>
      <c r="H174">
        <f t="shared" si="2"/>
        <v>2.1187499999999999</v>
      </c>
    </row>
    <row r="175" spans="1:8">
      <c r="A175">
        <v>2027</v>
      </c>
      <c r="B175">
        <v>3</v>
      </c>
      <c r="C175" t="s">
        <v>74</v>
      </c>
      <c r="D175" t="s">
        <v>101</v>
      </c>
      <c r="E175">
        <v>6520</v>
      </c>
      <c r="F175">
        <v>2</v>
      </c>
      <c r="G175">
        <f>'Export · supuestos'!$B$17</f>
        <v>1000</v>
      </c>
      <c r="H175">
        <f t="shared" si="2"/>
        <v>6.52</v>
      </c>
    </row>
    <row r="176" spans="1:8">
      <c r="A176">
        <v>2027</v>
      </c>
      <c r="B176">
        <v>3</v>
      </c>
      <c r="C176" t="s">
        <v>63</v>
      </c>
      <c r="D176" t="s">
        <v>104</v>
      </c>
      <c r="E176">
        <v>15940</v>
      </c>
      <c r="F176">
        <v>2</v>
      </c>
      <c r="G176">
        <f>'Export · supuestos'!$B$12</f>
        <v>960</v>
      </c>
      <c r="H176">
        <f t="shared" si="2"/>
        <v>16.604166666666668</v>
      </c>
    </row>
    <row r="177" spans="1:8">
      <c r="A177">
        <v>2027</v>
      </c>
      <c r="B177">
        <v>3</v>
      </c>
      <c r="C177" t="s">
        <v>63</v>
      </c>
      <c r="D177" t="s">
        <v>99</v>
      </c>
      <c r="E177">
        <v>915</v>
      </c>
      <c r="F177">
        <v>1</v>
      </c>
      <c r="G177">
        <f>'Export · supuestos'!$B$11</f>
        <v>800</v>
      </c>
      <c r="H177">
        <f t="shared" si="2"/>
        <v>1.14375</v>
      </c>
    </row>
    <row r="178" spans="1:8">
      <c r="A178">
        <v>2027</v>
      </c>
      <c r="B178">
        <v>3</v>
      </c>
      <c r="C178" t="s">
        <v>63</v>
      </c>
      <c r="D178" t="s">
        <v>102</v>
      </c>
      <c r="E178">
        <v>4505</v>
      </c>
      <c r="F178">
        <v>1</v>
      </c>
      <c r="G178">
        <f>'Export · supuestos'!$B$16</f>
        <v>1000</v>
      </c>
      <c r="H178">
        <f t="shared" si="2"/>
        <v>4.5049999999999999</v>
      </c>
    </row>
    <row r="179" spans="1:8">
      <c r="A179">
        <v>2027</v>
      </c>
      <c r="B179">
        <v>3</v>
      </c>
      <c r="C179" t="s">
        <v>75</v>
      </c>
      <c r="D179" t="s">
        <v>98</v>
      </c>
      <c r="E179">
        <v>18000</v>
      </c>
      <c r="F179">
        <v>1</v>
      </c>
      <c r="G179">
        <f>'Export · supuestos'!$B$14</f>
        <v>1000</v>
      </c>
      <c r="H179">
        <f t="shared" si="2"/>
        <v>18</v>
      </c>
    </row>
    <row r="180" spans="1:8">
      <c r="A180">
        <v>2027</v>
      </c>
      <c r="B180">
        <v>3</v>
      </c>
      <c r="C180" t="s">
        <v>76</v>
      </c>
      <c r="D180" t="s">
        <v>103</v>
      </c>
      <c r="E180">
        <v>925</v>
      </c>
      <c r="F180">
        <v>2</v>
      </c>
      <c r="G180">
        <f>'Export · supuestos'!$B$10</f>
        <v>792</v>
      </c>
      <c r="H180">
        <f t="shared" si="2"/>
        <v>1.167929292929293</v>
      </c>
    </row>
    <row r="181" spans="1:8">
      <c r="A181">
        <v>2027</v>
      </c>
      <c r="B181">
        <v>3</v>
      </c>
      <c r="C181" t="s">
        <v>76</v>
      </c>
      <c r="D181" t="s">
        <v>98</v>
      </c>
      <c r="E181">
        <v>1000</v>
      </c>
      <c r="F181">
        <v>1</v>
      </c>
      <c r="G181">
        <f>'Export · supuestos'!$B$14</f>
        <v>1000</v>
      </c>
      <c r="H181">
        <f t="shared" si="2"/>
        <v>1</v>
      </c>
    </row>
    <row r="182" spans="1:8">
      <c r="A182">
        <v>2027</v>
      </c>
      <c r="B182">
        <v>3</v>
      </c>
      <c r="C182" t="s">
        <v>76</v>
      </c>
      <c r="D182" t="s">
        <v>104</v>
      </c>
      <c r="E182">
        <v>4260</v>
      </c>
      <c r="F182">
        <v>4</v>
      </c>
      <c r="G182">
        <f>'Export · supuestos'!$B$12</f>
        <v>960</v>
      </c>
      <c r="H182">
        <f t="shared" si="2"/>
        <v>4.4375</v>
      </c>
    </row>
    <row r="183" spans="1:8">
      <c r="A183">
        <v>2027</v>
      </c>
      <c r="B183">
        <v>3</v>
      </c>
      <c r="C183" t="s">
        <v>76</v>
      </c>
      <c r="D183" t="s">
        <v>105</v>
      </c>
      <c r="E183">
        <v>200</v>
      </c>
      <c r="F183">
        <v>1</v>
      </c>
      <c r="G183">
        <f>'Export · supuestos'!$B$13</f>
        <v>800</v>
      </c>
      <c r="H183">
        <f t="shared" si="2"/>
        <v>0.25</v>
      </c>
    </row>
    <row r="184" spans="1:8">
      <c r="A184">
        <v>2027</v>
      </c>
      <c r="B184">
        <v>3</v>
      </c>
      <c r="C184" t="s">
        <v>76</v>
      </c>
      <c r="D184" t="s">
        <v>99</v>
      </c>
      <c r="E184">
        <v>650</v>
      </c>
      <c r="F184">
        <v>2</v>
      </c>
      <c r="G184">
        <f>'Export · supuestos'!$B$11</f>
        <v>800</v>
      </c>
      <c r="H184">
        <f t="shared" si="2"/>
        <v>0.8125</v>
      </c>
    </row>
    <row r="185" spans="1:8">
      <c r="A185">
        <v>2027</v>
      </c>
      <c r="B185">
        <v>3</v>
      </c>
      <c r="C185" t="s">
        <v>76</v>
      </c>
      <c r="D185" t="s">
        <v>100</v>
      </c>
      <c r="E185">
        <v>960</v>
      </c>
      <c r="F185">
        <v>1</v>
      </c>
      <c r="G185">
        <f>'Export · supuestos'!$B$15</f>
        <v>1056</v>
      </c>
      <c r="H185">
        <f t="shared" si="2"/>
        <v>0.90909090909090906</v>
      </c>
    </row>
    <row r="186" spans="1:8">
      <c r="A186">
        <v>2027</v>
      </c>
      <c r="B186">
        <v>3</v>
      </c>
      <c r="C186" t="s">
        <v>76</v>
      </c>
      <c r="D186" t="s">
        <v>101</v>
      </c>
      <c r="E186">
        <v>1200</v>
      </c>
      <c r="F186">
        <v>1</v>
      </c>
      <c r="G186">
        <f>'Export · supuestos'!$B$17</f>
        <v>1000</v>
      </c>
      <c r="H186">
        <f t="shared" si="2"/>
        <v>1.2</v>
      </c>
    </row>
    <row r="187" spans="1:8">
      <c r="A187">
        <v>2027</v>
      </c>
      <c r="B187">
        <v>4</v>
      </c>
      <c r="C187" t="s">
        <v>55</v>
      </c>
      <c r="D187" t="s">
        <v>103</v>
      </c>
      <c r="E187">
        <v>541</v>
      </c>
      <c r="F187">
        <v>1</v>
      </c>
      <c r="G187">
        <f>'Export · supuestos'!$B$10</f>
        <v>792</v>
      </c>
      <c r="H187">
        <f t="shared" si="2"/>
        <v>0.68308080808080807</v>
      </c>
    </row>
    <row r="188" spans="1:8">
      <c r="A188">
        <v>2027</v>
      </c>
      <c r="B188">
        <v>4</v>
      </c>
      <c r="C188" t="s">
        <v>55</v>
      </c>
      <c r="D188" t="s">
        <v>99</v>
      </c>
      <c r="E188">
        <v>1115</v>
      </c>
      <c r="F188">
        <v>2</v>
      </c>
      <c r="G188">
        <f>'Export · supuestos'!$B$11</f>
        <v>800</v>
      </c>
      <c r="H188">
        <f t="shared" si="2"/>
        <v>1.39375</v>
      </c>
    </row>
    <row r="189" spans="1:8">
      <c r="A189">
        <v>2027</v>
      </c>
      <c r="B189">
        <v>4</v>
      </c>
      <c r="C189" t="s">
        <v>55</v>
      </c>
      <c r="D189" t="s">
        <v>102</v>
      </c>
      <c r="E189">
        <v>24295</v>
      </c>
      <c r="F189">
        <v>1</v>
      </c>
      <c r="G189">
        <f>'Export · supuestos'!$B$16</f>
        <v>1000</v>
      </c>
      <c r="H189">
        <f t="shared" si="2"/>
        <v>24.295000000000002</v>
      </c>
    </row>
    <row r="190" spans="1:8">
      <c r="A190">
        <v>2027</v>
      </c>
      <c r="B190">
        <v>4</v>
      </c>
      <c r="C190" t="s">
        <v>56</v>
      </c>
      <c r="D190" t="s">
        <v>103</v>
      </c>
      <c r="E190">
        <v>987</v>
      </c>
      <c r="F190">
        <v>1</v>
      </c>
      <c r="G190">
        <f>'Export · supuestos'!$B$10</f>
        <v>792</v>
      </c>
      <c r="H190">
        <f t="shared" si="2"/>
        <v>1.2462121212121211</v>
      </c>
    </row>
    <row r="191" spans="1:8">
      <c r="A191">
        <v>2027</v>
      </c>
      <c r="B191">
        <v>4</v>
      </c>
      <c r="C191" t="s">
        <v>56</v>
      </c>
      <c r="D191" t="s">
        <v>104</v>
      </c>
      <c r="E191">
        <v>30460</v>
      </c>
      <c r="F191">
        <v>3</v>
      </c>
      <c r="G191">
        <f>'Export · supuestos'!$B$12</f>
        <v>960</v>
      </c>
      <c r="H191">
        <f t="shared" si="2"/>
        <v>31.729166666666668</v>
      </c>
    </row>
    <row r="192" spans="1:8">
      <c r="A192">
        <v>2027</v>
      </c>
      <c r="B192">
        <v>4</v>
      </c>
      <c r="C192" t="s">
        <v>56</v>
      </c>
      <c r="D192" t="s">
        <v>99</v>
      </c>
      <c r="E192">
        <v>850</v>
      </c>
      <c r="F192">
        <v>1</v>
      </c>
      <c r="G192">
        <f>'Export · supuestos'!$B$11</f>
        <v>800</v>
      </c>
      <c r="H192">
        <f t="shared" si="2"/>
        <v>1.0625</v>
      </c>
    </row>
    <row r="193" spans="1:8">
      <c r="A193">
        <v>2027</v>
      </c>
      <c r="B193">
        <v>4</v>
      </c>
      <c r="C193" t="s">
        <v>56</v>
      </c>
      <c r="D193" t="s">
        <v>101</v>
      </c>
      <c r="E193">
        <v>6000</v>
      </c>
      <c r="F193">
        <v>1</v>
      </c>
      <c r="G193">
        <f>'Export · supuestos'!$B$17</f>
        <v>1000</v>
      </c>
      <c r="H193">
        <f t="shared" si="2"/>
        <v>6</v>
      </c>
    </row>
    <row r="194" spans="1:8">
      <c r="A194">
        <v>2027</v>
      </c>
      <c r="B194">
        <v>4</v>
      </c>
      <c r="C194" t="s">
        <v>70</v>
      </c>
      <c r="D194" t="s">
        <v>104</v>
      </c>
      <c r="E194">
        <v>85580</v>
      </c>
      <c r="F194">
        <v>1</v>
      </c>
      <c r="G194">
        <f>'Export · supuestos'!$B$12</f>
        <v>960</v>
      </c>
      <c r="H194">
        <f t="shared" si="2"/>
        <v>89.145833333333329</v>
      </c>
    </row>
    <row r="195" spans="1:8">
      <c r="A195">
        <v>2027</v>
      </c>
      <c r="B195">
        <v>4</v>
      </c>
      <c r="C195" t="s">
        <v>70</v>
      </c>
      <c r="D195" t="s">
        <v>101</v>
      </c>
      <c r="E195">
        <v>100740</v>
      </c>
      <c r="F195">
        <v>1</v>
      </c>
      <c r="G195">
        <f>'Export · supuestos'!$B$17</f>
        <v>1000</v>
      </c>
      <c r="H195">
        <f t="shared" si="2"/>
        <v>100.74</v>
      </c>
    </row>
    <row r="196" spans="1:8">
      <c r="A196">
        <v>2027</v>
      </c>
      <c r="B196">
        <v>4</v>
      </c>
      <c r="C196" t="s">
        <v>60</v>
      </c>
      <c r="D196" t="s">
        <v>106</v>
      </c>
      <c r="E196">
        <v>24000</v>
      </c>
      <c r="F196">
        <v>1</v>
      </c>
      <c r="G196">
        <f>'Export · supuestos'!$B$18</f>
        <v>1000</v>
      </c>
      <c r="H196">
        <f t="shared" si="2"/>
        <v>24</v>
      </c>
    </row>
    <row r="197" spans="1:8">
      <c r="A197">
        <v>2027</v>
      </c>
      <c r="B197">
        <v>4</v>
      </c>
      <c r="C197" t="s">
        <v>60</v>
      </c>
      <c r="D197" t="s">
        <v>101</v>
      </c>
      <c r="E197">
        <v>10900</v>
      </c>
      <c r="F197">
        <v>1</v>
      </c>
      <c r="G197">
        <f>'Export · supuestos'!$B$17</f>
        <v>1000</v>
      </c>
      <c r="H197">
        <f t="shared" si="2"/>
        <v>10.9</v>
      </c>
    </row>
    <row r="198" spans="1:8">
      <c r="A198">
        <v>2027</v>
      </c>
      <c r="B198">
        <v>4</v>
      </c>
      <c r="C198" t="s">
        <v>60</v>
      </c>
      <c r="D198" t="s">
        <v>102</v>
      </c>
      <c r="E198">
        <v>34890</v>
      </c>
      <c r="F198">
        <v>2</v>
      </c>
      <c r="G198">
        <f>'Export · supuestos'!$B$16</f>
        <v>1000</v>
      </c>
      <c r="H198">
        <f t="shared" si="2"/>
        <v>34.89</v>
      </c>
    </row>
    <row r="199" spans="1:8">
      <c r="A199">
        <v>2027</v>
      </c>
      <c r="B199">
        <v>4</v>
      </c>
      <c r="C199" t="s">
        <v>75</v>
      </c>
      <c r="D199" t="s">
        <v>98</v>
      </c>
      <c r="E199">
        <v>18000</v>
      </c>
      <c r="F199">
        <v>1</v>
      </c>
      <c r="G199">
        <f>'Export · supuestos'!$B$14</f>
        <v>1000</v>
      </c>
      <c r="H199">
        <f t="shared" ref="H199:H262" si="3">E199/G199</f>
        <v>18</v>
      </c>
    </row>
    <row r="200" spans="1:8">
      <c r="A200">
        <v>2027</v>
      </c>
      <c r="B200">
        <v>4</v>
      </c>
      <c r="C200" t="s">
        <v>75</v>
      </c>
      <c r="D200" t="s">
        <v>101</v>
      </c>
      <c r="E200">
        <v>720</v>
      </c>
      <c r="F200">
        <v>1</v>
      </c>
      <c r="G200">
        <f>'Export · supuestos'!$B$17</f>
        <v>1000</v>
      </c>
      <c r="H200">
        <f t="shared" si="3"/>
        <v>0.72</v>
      </c>
    </row>
    <row r="201" spans="1:8">
      <c r="A201">
        <v>2027</v>
      </c>
      <c r="B201">
        <v>4</v>
      </c>
      <c r="C201" t="s">
        <v>65</v>
      </c>
      <c r="D201" t="s">
        <v>98</v>
      </c>
      <c r="E201">
        <v>2000</v>
      </c>
      <c r="F201">
        <v>1</v>
      </c>
      <c r="G201">
        <f>'Export · supuestos'!$B$14</f>
        <v>1000</v>
      </c>
      <c r="H201">
        <f t="shared" si="3"/>
        <v>2</v>
      </c>
    </row>
    <row r="202" spans="1:8">
      <c r="A202">
        <v>2027</v>
      </c>
      <c r="B202">
        <v>4</v>
      </c>
      <c r="C202" t="s">
        <v>65</v>
      </c>
      <c r="D202" t="s">
        <v>106</v>
      </c>
      <c r="E202">
        <v>2000</v>
      </c>
      <c r="F202">
        <v>1</v>
      </c>
      <c r="G202">
        <f>'Export · supuestos'!$B$18</f>
        <v>1000</v>
      </c>
      <c r="H202">
        <f t="shared" si="3"/>
        <v>2</v>
      </c>
    </row>
    <row r="203" spans="1:8">
      <c r="A203">
        <v>2027</v>
      </c>
      <c r="B203">
        <v>4</v>
      </c>
      <c r="C203" t="s">
        <v>65</v>
      </c>
      <c r="D203" t="s">
        <v>102</v>
      </c>
      <c r="E203">
        <v>18850</v>
      </c>
      <c r="F203">
        <v>2</v>
      </c>
      <c r="G203">
        <f>'Export · supuestos'!$B$16</f>
        <v>1000</v>
      </c>
      <c r="H203">
        <f t="shared" si="3"/>
        <v>18.850000000000001</v>
      </c>
    </row>
    <row r="204" spans="1:8">
      <c r="A204">
        <v>2027</v>
      </c>
      <c r="B204">
        <v>5</v>
      </c>
      <c r="C204" t="s">
        <v>56</v>
      </c>
      <c r="D204" t="s">
        <v>104</v>
      </c>
      <c r="E204">
        <v>8340</v>
      </c>
      <c r="F204">
        <v>2</v>
      </c>
      <c r="G204">
        <f>'Export · supuestos'!$B$12</f>
        <v>960</v>
      </c>
      <c r="H204">
        <f t="shared" si="3"/>
        <v>8.6875</v>
      </c>
    </row>
    <row r="205" spans="1:8">
      <c r="A205">
        <v>2027</v>
      </c>
      <c r="B205">
        <v>5</v>
      </c>
      <c r="C205" t="s">
        <v>56</v>
      </c>
      <c r="D205" t="s">
        <v>99</v>
      </c>
      <c r="E205">
        <v>1995</v>
      </c>
      <c r="F205">
        <v>1</v>
      </c>
      <c r="G205">
        <f>'Export · supuestos'!$B$11</f>
        <v>800</v>
      </c>
      <c r="H205">
        <f t="shared" si="3"/>
        <v>2.4937499999999999</v>
      </c>
    </row>
    <row r="206" spans="1:8">
      <c r="A206">
        <v>2027</v>
      </c>
      <c r="B206">
        <v>5</v>
      </c>
      <c r="C206" t="s">
        <v>56</v>
      </c>
      <c r="D206" t="s">
        <v>101</v>
      </c>
      <c r="E206">
        <v>12000</v>
      </c>
      <c r="F206">
        <v>1</v>
      </c>
      <c r="G206">
        <f>'Export · supuestos'!$B$17</f>
        <v>1000</v>
      </c>
      <c r="H206">
        <f t="shared" si="3"/>
        <v>12</v>
      </c>
    </row>
    <row r="207" spans="1:8">
      <c r="A207">
        <v>2027</v>
      </c>
      <c r="B207">
        <v>5</v>
      </c>
      <c r="C207" t="s">
        <v>70</v>
      </c>
      <c r="D207" t="s">
        <v>104</v>
      </c>
      <c r="E207">
        <v>21380</v>
      </c>
      <c r="F207">
        <v>1</v>
      </c>
      <c r="G207">
        <f>'Export · supuestos'!$B$12</f>
        <v>960</v>
      </c>
      <c r="H207">
        <f t="shared" si="3"/>
        <v>22.270833333333332</v>
      </c>
    </row>
    <row r="208" spans="1:8">
      <c r="A208">
        <v>2027</v>
      </c>
      <c r="B208">
        <v>5</v>
      </c>
      <c r="C208" t="s">
        <v>70</v>
      </c>
      <c r="D208" t="s">
        <v>101</v>
      </c>
      <c r="E208">
        <v>302240</v>
      </c>
      <c r="F208">
        <v>1</v>
      </c>
      <c r="G208">
        <f>'Export · supuestos'!$B$17</f>
        <v>1000</v>
      </c>
      <c r="H208">
        <f t="shared" si="3"/>
        <v>302.24</v>
      </c>
    </row>
    <row r="209" spans="1:8">
      <c r="A209">
        <v>2027</v>
      </c>
      <c r="B209">
        <v>5</v>
      </c>
      <c r="C209" t="s">
        <v>71</v>
      </c>
      <c r="D209" t="s">
        <v>103</v>
      </c>
      <c r="E209">
        <v>1686</v>
      </c>
      <c r="F209">
        <v>2</v>
      </c>
      <c r="G209">
        <f>'Export · supuestos'!$B$10</f>
        <v>792</v>
      </c>
      <c r="H209">
        <f t="shared" si="3"/>
        <v>2.1287878787878789</v>
      </c>
    </row>
    <row r="210" spans="1:8">
      <c r="A210">
        <v>2027</v>
      </c>
      <c r="B210">
        <v>5</v>
      </c>
      <c r="C210" t="s">
        <v>71</v>
      </c>
      <c r="D210" t="s">
        <v>104</v>
      </c>
      <c r="E210">
        <v>2980</v>
      </c>
      <c r="F210">
        <v>3</v>
      </c>
      <c r="G210">
        <f>'Export · supuestos'!$B$12</f>
        <v>960</v>
      </c>
      <c r="H210">
        <f t="shared" si="3"/>
        <v>3.1041666666666665</v>
      </c>
    </row>
    <row r="211" spans="1:8">
      <c r="A211">
        <v>2027</v>
      </c>
      <c r="B211">
        <v>5</v>
      </c>
      <c r="C211" t="s">
        <v>71</v>
      </c>
      <c r="D211" t="s">
        <v>99</v>
      </c>
      <c r="E211">
        <v>3475</v>
      </c>
      <c r="F211">
        <v>4</v>
      </c>
      <c r="G211">
        <f>'Export · supuestos'!$B$11</f>
        <v>800</v>
      </c>
      <c r="H211">
        <f t="shared" si="3"/>
        <v>4.34375</v>
      </c>
    </row>
    <row r="212" spans="1:8">
      <c r="A212">
        <v>2027</v>
      </c>
      <c r="B212">
        <v>5</v>
      </c>
      <c r="C212" t="s">
        <v>71</v>
      </c>
      <c r="D212" t="s">
        <v>100</v>
      </c>
      <c r="E212">
        <v>295</v>
      </c>
      <c r="F212">
        <v>1</v>
      </c>
      <c r="G212">
        <f>'Export · supuestos'!$B$15</f>
        <v>1056</v>
      </c>
      <c r="H212">
        <f t="shared" si="3"/>
        <v>0.27935606060606061</v>
      </c>
    </row>
    <row r="213" spans="1:8">
      <c r="A213">
        <v>2027</v>
      </c>
      <c r="B213">
        <v>5</v>
      </c>
      <c r="C213" t="s">
        <v>71</v>
      </c>
      <c r="D213" t="s">
        <v>101</v>
      </c>
      <c r="E213">
        <v>2500</v>
      </c>
      <c r="F213">
        <v>1</v>
      </c>
      <c r="G213">
        <f>'Export · supuestos'!$B$17</f>
        <v>1000</v>
      </c>
      <c r="H213">
        <f t="shared" si="3"/>
        <v>2.5</v>
      </c>
    </row>
    <row r="214" spans="1:8">
      <c r="A214">
        <v>2027</v>
      </c>
      <c r="B214">
        <v>5</v>
      </c>
      <c r="C214" t="s">
        <v>71</v>
      </c>
      <c r="D214" t="s">
        <v>102</v>
      </c>
      <c r="E214">
        <v>16200</v>
      </c>
      <c r="F214">
        <v>1</v>
      </c>
      <c r="G214">
        <f>'Export · supuestos'!$B$16</f>
        <v>1000</v>
      </c>
      <c r="H214">
        <f t="shared" si="3"/>
        <v>16.2</v>
      </c>
    </row>
    <row r="215" spans="1:8">
      <c r="A215">
        <v>2027</v>
      </c>
      <c r="B215">
        <v>5</v>
      </c>
      <c r="C215" t="s">
        <v>57</v>
      </c>
      <c r="D215" t="s">
        <v>103</v>
      </c>
      <c r="E215">
        <v>1728</v>
      </c>
      <c r="F215">
        <v>1</v>
      </c>
      <c r="G215">
        <f>'Export · supuestos'!$B$10</f>
        <v>792</v>
      </c>
      <c r="H215">
        <f t="shared" si="3"/>
        <v>2.1818181818181817</v>
      </c>
    </row>
    <row r="216" spans="1:8">
      <c r="A216">
        <v>2027</v>
      </c>
      <c r="B216">
        <v>5</v>
      </c>
      <c r="C216" t="s">
        <v>57</v>
      </c>
      <c r="D216" t="s">
        <v>98</v>
      </c>
      <c r="E216">
        <v>5000</v>
      </c>
      <c r="F216">
        <v>3</v>
      </c>
      <c r="G216">
        <f>'Export · supuestos'!$B$14</f>
        <v>1000</v>
      </c>
      <c r="H216">
        <f t="shared" si="3"/>
        <v>5</v>
      </c>
    </row>
    <row r="217" spans="1:8">
      <c r="A217">
        <v>2027</v>
      </c>
      <c r="B217">
        <v>5</v>
      </c>
      <c r="C217" t="s">
        <v>57</v>
      </c>
      <c r="D217" t="s">
        <v>99</v>
      </c>
      <c r="E217">
        <v>1200</v>
      </c>
      <c r="F217">
        <v>1</v>
      </c>
      <c r="G217">
        <f>'Export · supuestos'!$B$11</f>
        <v>800</v>
      </c>
      <c r="H217">
        <f t="shared" si="3"/>
        <v>1.5</v>
      </c>
    </row>
    <row r="218" spans="1:8">
      <c r="A218">
        <v>2027</v>
      </c>
      <c r="B218">
        <v>5</v>
      </c>
      <c r="C218" t="s">
        <v>57</v>
      </c>
      <c r="D218" t="s">
        <v>101</v>
      </c>
      <c r="E218">
        <v>13720</v>
      </c>
      <c r="F218">
        <v>3</v>
      </c>
      <c r="G218">
        <f>'Export · supuestos'!$B$17</f>
        <v>1000</v>
      </c>
      <c r="H218">
        <f t="shared" si="3"/>
        <v>13.72</v>
      </c>
    </row>
    <row r="219" spans="1:8">
      <c r="A219">
        <v>2027</v>
      </c>
      <c r="B219">
        <v>5</v>
      </c>
      <c r="C219" t="s">
        <v>60</v>
      </c>
      <c r="D219" t="s">
        <v>103</v>
      </c>
      <c r="E219">
        <v>19864</v>
      </c>
      <c r="F219">
        <v>2</v>
      </c>
      <c r="G219">
        <f>'Export · supuestos'!$B$10</f>
        <v>792</v>
      </c>
      <c r="H219">
        <f t="shared" si="3"/>
        <v>25.08080808080808</v>
      </c>
    </row>
    <row r="220" spans="1:8">
      <c r="A220">
        <v>2027</v>
      </c>
      <c r="B220">
        <v>5</v>
      </c>
      <c r="C220" t="s">
        <v>60</v>
      </c>
      <c r="D220" t="s">
        <v>98</v>
      </c>
      <c r="E220">
        <v>24000</v>
      </c>
      <c r="F220">
        <v>1</v>
      </c>
      <c r="G220">
        <f>'Export · supuestos'!$B$14</f>
        <v>1000</v>
      </c>
      <c r="H220">
        <f t="shared" si="3"/>
        <v>24</v>
      </c>
    </row>
    <row r="221" spans="1:8">
      <c r="A221">
        <v>2027</v>
      </c>
      <c r="B221">
        <v>5</v>
      </c>
      <c r="C221" t="s">
        <v>60</v>
      </c>
      <c r="D221" t="s">
        <v>100</v>
      </c>
      <c r="E221">
        <v>13133</v>
      </c>
      <c r="F221">
        <v>3</v>
      </c>
      <c r="G221">
        <f>'Export · supuestos'!$B$15</f>
        <v>1056</v>
      </c>
      <c r="H221">
        <f t="shared" si="3"/>
        <v>12.436553030303031</v>
      </c>
    </row>
    <row r="222" spans="1:8">
      <c r="A222">
        <v>2027</v>
      </c>
      <c r="B222">
        <v>5</v>
      </c>
      <c r="C222" t="s">
        <v>60</v>
      </c>
      <c r="D222" t="s">
        <v>101</v>
      </c>
      <c r="E222">
        <v>10900</v>
      </c>
      <c r="F222">
        <v>1</v>
      </c>
      <c r="G222">
        <f>'Export · supuestos'!$B$17</f>
        <v>1000</v>
      </c>
      <c r="H222">
        <f t="shared" si="3"/>
        <v>10.9</v>
      </c>
    </row>
    <row r="223" spans="1:8">
      <c r="A223">
        <v>2027</v>
      </c>
      <c r="B223">
        <v>5</v>
      </c>
      <c r="C223" t="s">
        <v>60</v>
      </c>
      <c r="D223" t="s">
        <v>102</v>
      </c>
      <c r="E223">
        <v>43615</v>
      </c>
      <c r="F223">
        <v>2</v>
      </c>
      <c r="G223">
        <f>'Export · supuestos'!$B$16</f>
        <v>1000</v>
      </c>
      <c r="H223">
        <f t="shared" si="3"/>
        <v>43.615000000000002</v>
      </c>
    </row>
    <row r="224" spans="1:8">
      <c r="A224">
        <v>2027</v>
      </c>
      <c r="B224">
        <v>5</v>
      </c>
      <c r="C224" t="s">
        <v>73</v>
      </c>
      <c r="D224" t="s">
        <v>103</v>
      </c>
      <c r="E224">
        <v>3428</v>
      </c>
      <c r="F224">
        <v>2</v>
      </c>
      <c r="G224">
        <f>'Export · supuestos'!$B$10</f>
        <v>792</v>
      </c>
      <c r="H224">
        <f t="shared" si="3"/>
        <v>4.3282828282828278</v>
      </c>
    </row>
    <row r="225" spans="1:8">
      <c r="A225">
        <v>2027</v>
      </c>
      <c r="B225">
        <v>5</v>
      </c>
      <c r="C225" t="s">
        <v>73</v>
      </c>
      <c r="D225" t="s">
        <v>99</v>
      </c>
      <c r="E225">
        <v>3430</v>
      </c>
      <c r="F225">
        <v>2</v>
      </c>
      <c r="G225">
        <f>'Export · supuestos'!$B$11</f>
        <v>800</v>
      </c>
      <c r="H225">
        <f t="shared" si="3"/>
        <v>4.2874999999999996</v>
      </c>
    </row>
    <row r="226" spans="1:8">
      <c r="A226">
        <v>2027</v>
      </c>
      <c r="B226">
        <v>5</v>
      </c>
      <c r="C226" t="s">
        <v>61</v>
      </c>
      <c r="D226" t="s">
        <v>98</v>
      </c>
      <c r="E226">
        <v>3000</v>
      </c>
      <c r="F226">
        <v>1</v>
      </c>
      <c r="G226">
        <f>'Export · supuestos'!$B$14</f>
        <v>1000</v>
      </c>
      <c r="H226">
        <f t="shared" si="3"/>
        <v>3</v>
      </c>
    </row>
    <row r="227" spans="1:8">
      <c r="A227">
        <v>2027</v>
      </c>
      <c r="B227">
        <v>5</v>
      </c>
      <c r="C227" t="s">
        <v>74</v>
      </c>
      <c r="D227" t="s">
        <v>104</v>
      </c>
      <c r="E227">
        <v>11420</v>
      </c>
      <c r="F227">
        <v>4</v>
      </c>
      <c r="G227">
        <f>'Export · supuestos'!$B$12</f>
        <v>960</v>
      </c>
      <c r="H227">
        <f t="shared" si="3"/>
        <v>11.895833333333334</v>
      </c>
    </row>
    <row r="228" spans="1:8">
      <c r="A228">
        <v>2027</v>
      </c>
      <c r="B228">
        <v>5</v>
      </c>
      <c r="C228" t="s">
        <v>74</v>
      </c>
      <c r="D228" t="s">
        <v>105</v>
      </c>
      <c r="E228">
        <v>4400</v>
      </c>
      <c r="F228">
        <v>1</v>
      </c>
      <c r="G228">
        <f>'Export · supuestos'!$B$13</f>
        <v>800</v>
      </c>
      <c r="H228">
        <f t="shared" si="3"/>
        <v>5.5</v>
      </c>
    </row>
    <row r="229" spans="1:8">
      <c r="A229">
        <v>2027</v>
      </c>
      <c r="B229">
        <v>5</v>
      </c>
      <c r="C229" t="s">
        <v>74</v>
      </c>
      <c r="D229" t="s">
        <v>99</v>
      </c>
      <c r="E229">
        <v>3915</v>
      </c>
      <c r="F229">
        <v>2</v>
      </c>
      <c r="G229">
        <f>'Export · supuestos'!$B$11</f>
        <v>800</v>
      </c>
      <c r="H229">
        <f t="shared" si="3"/>
        <v>4.8937499999999998</v>
      </c>
    </row>
    <row r="230" spans="1:8">
      <c r="A230">
        <v>2027</v>
      </c>
      <c r="B230">
        <v>5</v>
      </c>
      <c r="C230" t="s">
        <v>63</v>
      </c>
      <c r="D230" t="s">
        <v>101</v>
      </c>
      <c r="E230">
        <v>50240</v>
      </c>
      <c r="F230">
        <v>2</v>
      </c>
      <c r="G230">
        <f>'Export · supuestos'!$B$17</f>
        <v>1000</v>
      </c>
      <c r="H230">
        <f t="shared" si="3"/>
        <v>50.24</v>
      </c>
    </row>
    <row r="231" spans="1:8">
      <c r="A231">
        <v>2027</v>
      </c>
      <c r="B231">
        <v>5</v>
      </c>
      <c r="C231" t="s">
        <v>76</v>
      </c>
      <c r="D231" t="s">
        <v>103</v>
      </c>
      <c r="E231">
        <v>9622</v>
      </c>
      <c r="F231">
        <v>8</v>
      </c>
      <c r="G231">
        <f>'Export · supuestos'!$B$10</f>
        <v>792</v>
      </c>
      <c r="H231">
        <f t="shared" si="3"/>
        <v>12.1489898989899</v>
      </c>
    </row>
    <row r="232" spans="1:8">
      <c r="A232">
        <v>2027</v>
      </c>
      <c r="B232">
        <v>5</v>
      </c>
      <c r="C232" t="s">
        <v>76</v>
      </c>
      <c r="D232" t="s">
        <v>98</v>
      </c>
      <c r="E232">
        <v>4000</v>
      </c>
      <c r="F232">
        <v>2</v>
      </c>
      <c r="G232">
        <f>'Export · supuestos'!$B$14</f>
        <v>1000</v>
      </c>
      <c r="H232">
        <f t="shared" si="3"/>
        <v>4</v>
      </c>
    </row>
    <row r="233" spans="1:8">
      <c r="A233">
        <v>2027</v>
      </c>
      <c r="B233">
        <v>5</v>
      </c>
      <c r="C233" t="s">
        <v>76</v>
      </c>
      <c r="D233" t="s">
        <v>104</v>
      </c>
      <c r="E233">
        <v>8700</v>
      </c>
      <c r="F233">
        <v>7</v>
      </c>
      <c r="G233">
        <f>'Export · supuestos'!$B$12</f>
        <v>960</v>
      </c>
      <c r="H233">
        <f t="shared" si="3"/>
        <v>9.0625</v>
      </c>
    </row>
    <row r="234" spans="1:8">
      <c r="A234">
        <v>2027</v>
      </c>
      <c r="B234">
        <v>5</v>
      </c>
      <c r="C234" t="s">
        <v>76</v>
      </c>
      <c r="D234" t="s">
        <v>99</v>
      </c>
      <c r="E234">
        <v>1280</v>
      </c>
      <c r="F234">
        <v>2</v>
      </c>
      <c r="G234">
        <f>'Export · supuestos'!$B$11</f>
        <v>800</v>
      </c>
      <c r="H234">
        <f t="shared" si="3"/>
        <v>1.6</v>
      </c>
    </row>
    <row r="235" spans="1:8">
      <c r="A235">
        <v>2027</v>
      </c>
      <c r="B235">
        <v>5</v>
      </c>
      <c r="C235" t="s">
        <v>76</v>
      </c>
      <c r="D235" t="s">
        <v>100</v>
      </c>
      <c r="E235">
        <v>1906</v>
      </c>
      <c r="F235">
        <v>2</v>
      </c>
      <c r="G235">
        <f>'Export · supuestos'!$B$15</f>
        <v>1056</v>
      </c>
      <c r="H235">
        <f t="shared" si="3"/>
        <v>1.8049242424242424</v>
      </c>
    </row>
    <row r="236" spans="1:8">
      <c r="A236">
        <v>2027</v>
      </c>
      <c r="B236">
        <v>5</v>
      </c>
      <c r="C236" t="s">
        <v>76</v>
      </c>
      <c r="D236" t="s">
        <v>101</v>
      </c>
      <c r="E236">
        <v>3560</v>
      </c>
      <c r="F236">
        <v>2</v>
      </c>
      <c r="G236">
        <f>'Export · supuestos'!$B$17</f>
        <v>1000</v>
      </c>
      <c r="H236">
        <f t="shared" si="3"/>
        <v>3.56</v>
      </c>
    </row>
    <row r="237" spans="1:8">
      <c r="A237">
        <v>2027</v>
      </c>
      <c r="B237">
        <v>5</v>
      </c>
      <c r="C237" t="s">
        <v>76</v>
      </c>
      <c r="D237" t="s">
        <v>102</v>
      </c>
      <c r="E237">
        <v>645</v>
      </c>
      <c r="F237">
        <v>1</v>
      </c>
      <c r="G237">
        <f>'Export · supuestos'!$B$16</f>
        <v>1000</v>
      </c>
      <c r="H237">
        <f t="shared" si="3"/>
        <v>0.64500000000000002</v>
      </c>
    </row>
    <row r="238" spans="1:8">
      <c r="A238">
        <v>2027</v>
      </c>
      <c r="B238">
        <v>5</v>
      </c>
      <c r="C238" t="s">
        <v>77</v>
      </c>
      <c r="D238" t="s">
        <v>103</v>
      </c>
      <c r="E238">
        <v>2500</v>
      </c>
      <c r="F238">
        <v>3</v>
      </c>
      <c r="G238">
        <f>'Export · supuestos'!$B$10</f>
        <v>792</v>
      </c>
      <c r="H238">
        <f t="shared" si="3"/>
        <v>3.1565656565656566</v>
      </c>
    </row>
    <row r="239" spans="1:8">
      <c r="A239">
        <v>2027</v>
      </c>
      <c r="B239">
        <v>5</v>
      </c>
      <c r="C239" t="s">
        <v>77</v>
      </c>
      <c r="D239" t="s">
        <v>99</v>
      </c>
      <c r="E239">
        <v>3915</v>
      </c>
      <c r="F239">
        <v>1</v>
      </c>
      <c r="G239">
        <f>'Export · supuestos'!$B$11</f>
        <v>800</v>
      </c>
      <c r="H239">
        <f t="shared" si="3"/>
        <v>4.8937499999999998</v>
      </c>
    </row>
    <row r="240" spans="1:8">
      <c r="A240">
        <v>2027</v>
      </c>
      <c r="B240">
        <v>5</v>
      </c>
      <c r="C240" t="s">
        <v>77</v>
      </c>
      <c r="D240" t="s">
        <v>100</v>
      </c>
      <c r="E240">
        <v>2612</v>
      </c>
      <c r="F240">
        <v>1</v>
      </c>
      <c r="G240">
        <f>'Export · supuestos'!$B$15</f>
        <v>1056</v>
      </c>
      <c r="H240">
        <f t="shared" si="3"/>
        <v>2.4734848484848486</v>
      </c>
    </row>
    <row r="241" spans="1:8">
      <c r="A241">
        <v>2027</v>
      </c>
      <c r="B241">
        <v>5</v>
      </c>
      <c r="C241" t="s">
        <v>65</v>
      </c>
      <c r="D241" t="s">
        <v>99</v>
      </c>
      <c r="E241">
        <v>87265</v>
      </c>
      <c r="F241">
        <v>2</v>
      </c>
      <c r="G241">
        <f>'Export · supuestos'!$B$11</f>
        <v>800</v>
      </c>
      <c r="H241">
        <f t="shared" si="3"/>
        <v>109.08125</v>
      </c>
    </row>
    <row r="242" spans="1:8">
      <c r="A242">
        <v>2027</v>
      </c>
      <c r="B242">
        <v>5</v>
      </c>
      <c r="C242" t="s">
        <v>65</v>
      </c>
      <c r="D242" t="s">
        <v>102</v>
      </c>
      <c r="E242">
        <v>9600</v>
      </c>
      <c r="F242">
        <v>1</v>
      </c>
      <c r="G242">
        <f>'Export · supuestos'!$B$16</f>
        <v>1000</v>
      </c>
      <c r="H242">
        <f t="shared" si="3"/>
        <v>9.6</v>
      </c>
    </row>
    <row r="243" spans="1:8">
      <c r="A243">
        <v>2027</v>
      </c>
      <c r="B243">
        <v>6</v>
      </c>
      <c r="C243" t="s">
        <v>56</v>
      </c>
      <c r="D243" t="s">
        <v>103</v>
      </c>
      <c r="E243">
        <v>3874</v>
      </c>
      <c r="F243">
        <v>4</v>
      </c>
      <c r="G243">
        <f>'Export · supuestos'!$B$10</f>
        <v>792</v>
      </c>
      <c r="H243">
        <f t="shared" si="3"/>
        <v>4.891414141414141</v>
      </c>
    </row>
    <row r="244" spans="1:8">
      <c r="A244">
        <v>2027</v>
      </c>
      <c r="B244">
        <v>6</v>
      </c>
      <c r="C244" t="s">
        <v>56</v>
      </c>
      <c r="D244" t="s">
        <v>104</v>
      </c>
      <c r="E244">
        <v>76060</v>
      </c>
      <c r="F244">
        <v>5</v>
      </c>
      <c r="G244">
        <f>'Export · supuestos'!$B$12</f>
        <v>960</v>
      </c>
      <c r="H244">
        <f t="shared" si="3"/>
        <v>79.229166666666671</v>
      </c>
    </row>
    <row r="245" spans="1:8">
      <c r="A245">
        <v>2027</v>
      </c>
      <c r="B245">
        <v>6</v>
      </c>
      <c r="C245" t="s">
        <v>56</v>
      </c>
      <c r="D245" t="s">
        <v>99</v>
      </c>
      <c r="E245">
        <v>12365</v>
      </c>
      <c r="F245">
        <v>5</v>
      </c>
      <c r="G245">
        <f>'Export · supuestos'!$B$11</f>
        <v>800</v>
      </c>
      <c r="H245">
        <f t="shared" si="3"/>
        <v>15.456250000000001</v>
      </c>
    </row>
    <row r="246" spans="1:8">
      <c r="A246">
        <v>2027</v>
      </c>
      <c r="B246">
        <v>6</v>
      </c>
      <c r="C246" t="s">
        <v>56</v>
      </c>
      <c r="D246" t="s">
        <v>101</v>
      </c>
      <c r="E246">
        <v>21760</v>
      </c>
      <c r="F246">
        <v>2</v>
      </c>
      <c r="G246">
        <f>'Export · supuestos'!$B$17</f>
        <v>1000</v>
      </c>
      <c r="H246">
        <f t="shared" si="3"/>
        <v>21.76</v>
      </c>
    </row>
    <row r="247" spans="1:8">
      <c r="A247">
        <v>2027</v>
      </c>
      <c r="B247">
        <v>6</v>
      </c>
      <c r="C247" t="s">
        <v>56</v>
      </c>
      <c r="D247" t="s">
        <v>102</v>
      </c>
      <c r="E247">
        <v>10905</v>
      </c>
      <c r="F247">
        <v>2</v>
      </c>
      <c r="G247">
        <f>'Export · supuestos'!$B$16</f>
        <v>1000</v>
      </c>
      <c r="H247">
        <f t="shared" si="3"/>
        <v>10.904999999999999</v>
      </c>
    </row>
    <row r="248" spans="1:8">
      <c r="A248">
        <v>2027</v>
      </c>
      <c r="B248">
        <v>6</v>
      </c>
      <c r="C248" t="s">
        <v>70</v>
      </c>
      <c r="D248" t="s">
        <v>101</v>
      </c>
      <c r="E248">
        <v>277060</v>
      </c>
      <c r="F248">
        <v>1</v>
      </c>
      <c r="G248">
        <f>'Export · supuestos'!$B$17</f>
        <v>1000</v>
      </c>
      <c r="H248">
        <f t="shared" si="3"/>
        <v>277.06</v>
      </c>
    </row>
    <row r="249" spans="1:8">
      <c r="A249">
        <v>2027</v>
      </c>
      <c r="B249">
        <v>6</v>
      </c>
      <c r="C249" t="s">
        <v>57</v>
      </c>
      <c r="D249" t="s">
        <v>103</v>
      </c>
      <c r="E249">
        <v>1119</v>
      </c>
      <c r="F249">
        <v>1</v>
      </c>
      <c r="G249">
        <f>'Export · supuestos'!$B$10</f>
        <v>792</v>
      </c>
      <c r="H249">
        <f t="shared" si="3"/>
        <v>1.4128787878787878</v>
      </c>
    </row>
    <row r="250" spans="1:8">
      <c r="A250">
        <v>2027</v>
      </c>
      <c r="B250">
        <v>6</v>
      </c>
      <c r="C250" t="s">
        <v>57</v>
      </c>
      <c r="D250" t="s">
        <v>98</v>
      </c>
      <c r="E250">
        <v>6000</v>
      </c>
      <c r="F250">
        <v>5</v>
      </c>
      <c r="G250">
        <f>'Export · supuestos'!$B$14</f>
        <v>1000</v>
      </c>
      <c r="H250">
        <f t="shared" si="3"/>
        <v>6</v>
      </c>
    </row>
    <row r="251" spans="1:8">
      <c r="A251">
        <v>2027</v>
      </c>
      <c r="B251">
        <v>6</v>
      </c>
      <c r="C251" t="s">
        <v>57</v>
      </c>
      <c r="D251" t="s">
        <v>99</v>
      </c>
      <c r="E251">
        <v>1200</v>
      </c>
      <c r="F251">
        <v>1</v>
      </c>
      <c r="G251">
        <f>'Export · supuestos'!$B$11</f>
        <v>800</v>
      </c>
      <c r="H251">
        <f t="shared" si="3"/>
        <v>1.5</v>
      </c>
    </row>
    <row r="252" spans="1:8">
      <c r="A252">
        <v>2027</v>
      </c>
      <c r="B252">
        <v>6</v>
      </c>
      <c r="C252" t="s">
        <v>57</v>
      </c>
      <c r="D252" t="s">
        <v>101</v>
      </c>
      <c r="E252">
        <v>2760</v>
      </c>
      <c r="F252">
        <v>2</v>
      </c>
      <c r="G252">
        <f>'Export · supuestos'!$B$17</f>
        <v>1000</v>
      </c>
      <c r="H252">
        <f t="shared" si="3"/>
        <v>2.76</v>
      </c>
    </row>
    <row r="253" spans="1:8">
      <c r="A253">
        <v>2027</v>
      </c>
      <c r="B253">
        <v>6</v>
      </c>
      <c r="C253" t="s">
        <v>57</v>
      </c>
      <c r="D253" t="s">
        <v>102</v>
      </c>
      <c r="E253">
        <v>10795</v>
      </c>
      <c r="F253">
        <v>1</v>
      </c>
      <c r="G253">
        <f>'Export · supuestos'!$B$16</f>
        <v>1000</v>
      </c>
      <c r="H253">
        <f t="shared" si="3"/>
        <v>10.795</v>
      </c>
    </row>
    <row r="254" spans="1:8">
      <c r="A254">
        <v>2027</v>
      </c>
      <c r="B254">
        <v>6</v>
      </c>
      <c r="C254" t="s">
        <v>59</v>
      </c>
      <c r="D254" t="s">
        <v>103</v>
      </c>
      <c r="E254">
        <v>906</v>
      </c>
      <c r="F254">
        <v>7</v>
      </c>
      <c r="G254">
        <f>'Export · supuestos'!$B$10</f>
        <v>792</v>
      </c>
      <c r="H254">
        <f t="shared" si="3"/>
        <v>1.143939393939394</v>
      </c>
    </row>
    <row r="255" spans="1:8">
      <c r="A255">
        <v>2027</v>
      </c>
      <c r="B255">
        <v>6</v>
      </c>
      <c r="C255" t="s">
        <v>59</v>
      </c>
      <c r="D255" t="s">
        <v>100</v>
      </c>
      <c r="E255">
        <v>14</v>
      </c>
      <c r="F255">
        <v>3</v>
      </c>
      <c r="G255">
        <f>'Export · supuestos'!$B$15</f>
        <v>1056</v>
      </c>
      <c r="H255">
        <f t="shared" si="3"/>
        <v>1.3257575757575758E-2</v>
      </c>
    </row>
    <row r="256" spans="1:8">
      <c r="A256">
        <v>2027</v>
      </c>
      <c r="B256">
        <v>6</v>
      </c>
      <c r="C256" t="s">
        <v>59</v>
      </c>
      <c r="D256" t="s">
        <v>101</v>
      </c>
      <c r="E256">
        <v>8800</v>
      </c>
      <c r="F256">
        <v>1</v>
      </c>
      <c r="G256">
        <f>'Export · supuestos'!$B$17</f>
        <v>1000</v>
      </c>
      <c r="H256">
        <f t="shared" si="3"/>
        <v>8.8000000000000007</v>
      </c>
    </row>
    <row r="257" spans="1:8">
      <c r="A257">
        <v>2027</v>
      </c>
      <c r="B257">
        <v>6</v>
      </c>
      <c r="C257" t="s">
        <v>59</v>
      </c>
      <c r="D257" t="s">
        <v>102</v>
      </c>
      <c r="E257">
        <v>2515</v>
      </c>
      <c r="F257">
        <v>1</v>
      </c>
      <c r="G257">
        <f>'Export · supuestos'!$B$16</f>
        <v>1000</v>
      </c>
      <c r="H257">
        <f t="shared" si="3"/>
        <v>2.5150000000000001</v>
      </c>
    </row>
    <row r="258" spans="1:8">
      <c r="A258">
        <v>2027</v>
      </c>
      <c r="B258">
        <v>6</v>
      </c>
      <c r="C258" t="s">
        <v>60</v>
      </c>
      <c r="D258" t="s">
        <v>103</v>
      </c>
      <c r="E258">
        <v>6811</v>
      </c>
      <c r="F258">
        <v>1</v>
      </c>
      <c r="G258">
        <f>'Export · supuestos'!$B$10</f>
        <v>792</v>
      </c>
      <c r="H258">
        <f t="shared" si="3"/>
        <v>8.599747474747474</v>
      </c>
    </row>
    <row r="259" spans="1:8">
      <c r="A259">
        <v>2027</v>
      </c>
      <c r="B259">
        <v>6</v>
      </c>
      <c r="C259" t="s">
        <v>60</v>
      </c>
      <c r="D259" t="s">
        <v>99</v>
      </c>
      <c r="E259">
        <v>73270</v>
      </c>
      <c r="F259">
        <v>2</v>
      </c>
      <c r="G259">
        <f>'Export · supuestos'!$B$11</f>
        <v>800</v>
      </c>
      <c r="H259">
        <f t="shared" si="3"/>
        <v>91.587500000000006</v>
      </c>
    </row>
    <row r="260" spans="1:8">
      <c r="A260">
        <v>2027</v>
      </c>
      <c r="B260">
        <v>6</v>
      </c>
      <c r="C260" t="s">
        <v>60</v>
      </c>
      <c r="D260" t="s">
        <v>102</v>
      </c>
      <c r="E260">
        <v>82860</v>
      </c>
      <c r="F260">
        <v>2</v>
      </c>
      <c r="G260">
        <f>'Export · supuestos'!$B$16</f>
        <v>1000</v>
      </c>
      <c r="H260">
        <f t="shared" si="3"/>
        <v>82.86</v>
      </c>
    </row>
    <row r="261" spans="1:8">
      <c r="A261">
        <v>2027</v>
      </c>
      <c r="B261">
        <v>6</v>
      </c>
      <c r="C261" t="s">
        <v>61</v>
      </c>
      <c r="D261" t="s">
        <v>98</v>
      </c>
      <c r="E261">
        <v>3000</v>
      </c>
      <c r="F261">
        <v>1</v>
      </c>
      <c r="G261">
        <f>'Export · supuestos'!$B$14</f>
        <v>1000</v>
      </c>
      <c r="H261">
        <f t="shared" si="3"/>
        <v>3</v>
      </c>
    </row>
    <row r="262" spans="1:8">
      <c r="A262">
        <v>2027</v>
      </c>
      <c r="B262">
        <v>6</v>
      </c>
      <c r="C262" t="s">
        <v>74</v>
      </c>
      <c r="D262" t="s">
        <v>104</v>
      </c>
      <c r="E262">
        <v>9880</v>
      </c>
      <c r="F262">
        <v>3</v>
      </c>
      <c r="G262">
        <f>'Export · supuestos'!$B$12</f>
        <v>960</v>
      </c>
      <c r="H262">
        <f t="shared" si="3"/>
        <v>10.291666666666666</v>
      </c>
    </row>
    <row r="263" spans="1:8">
      <c r="A263">
        <v>2027</v>
      </c>
      <c r="B263">
        <v>6</v>
      </c>
      <c r="C263" t="s">
        <v>74</v>
      </c>
      <c r="D263" t="s">
        <v>105</v>
      </c>
      <c r="E263">
        <v>8800</v>
      </c>
      <c r="F263">
        <v>1</v>
      </c>
      <c r="G263">
        <f>'Export · supuestos'!$B$13</f>
        <v>800</v>
      </c>
      <c r="H263">
        <f t="shared" ref="H263:H326" si="4">E263/G263</f>
        <v>11</v>
      </c>
    </row>
    <row r="264" spans="1:8">
      <c r="A264">
        <v>2027</v>
      </c>
      <c r="B264">
        <v>6</v>
      </c>
      <c r="C264" t="s">
        <v>74</v>
      </c>
      <c r="D264" t="s">
        <v>99</v>
      </c>
      <c r="E264">
        <v>1150</v>
      </c>
      <c r="F264">
        <v>2</v>
      </c>
      <c r="G264">
        <f>'Export · supuestos'!$B$11</f>
        <v>800</v>
      </c>
      <c r="H264">
        <f t="shared" si="4"/>
        <v>1.4375</v>
      </c>
    </row>
    <row r="265" spans="1:8">
      <c r="A265">
        <v>2027</v>
      </c>
      <c r="B265">
        <v>6</v>
      </c>
      <c r="C265" t="s">
        <v>63</v>
      </c>
      <c r="D265" t="s">
        <v>106</v>
      </c>
      <c r="E265">
        <v>18000</v>
      </c>
      <c r="F265">
        <v>1</v>
      </c>
      <c r="G265">
        <f>'Export · supuestos'!$B$18</f>
        <v>1000</v>
      </c>
      <c r="H265">
        <f t="shared" si="4"/>
        <v>18</v>
      </c>
    </row>
    <row r="266" spans="1:8">
      <c r="A266">
        <v>2027</v>
      </c>
      <c r="B266">
        <v>6</v>
      </c>
      <c r="C266" t="s">
        <v>63</v>
      </c>
      <c r="D266" t="s">
        <v>101</v>
      </c>
      <c r="E266">
        <v>8800</v>
      </c>
      <c r="F266">
        <v>1</v>
      </c>
      <c r="G266">
        <f>'Export · supuestos'!$B$17</f>
        <v>1000</v>
      </c>
      <c r="H266">
        <f t="shared" si="4"/>
        <v>8.8000000000000007</v>
      </c>
    </row>
    <row r="267" spans="1:8">
      <c r="A267">
        <v>2027</v>
      </c>
      <c r="B267">
        <v>6</v>
      </c>
      <c r="C267" t="s">
        <v>76</v>
      </c>
      <c r="D267" t="s">
        <v>103</v>
      </c>
      <c r="E267">
        <v>21417</v>
      </c>
      <c r="F267">
        <v>17</v>
      </c>
      <c r="G267">
        <f>'Export · supuestos'!$B$10</f>
        <v>792</v>
      </c>
      <c r="H267">
        <f t="shared" si="4"/>
        <v>27.041666666666668</v>
      </c>
    </row>
    <row r="268" spans="1:8">
      <c r="A268">
        <v>2027</v>
      </c>
      <c r="B268">
        <v>6</v>
      </c>
      <c r="C268" t="s">
        <v>76</v>
      </c>
      <c r="D268" t="s">
        <v>98</v>
      </c>
      <c r="E268">
        <v>2000</v>
      </c>
      <c r="F268">
        <v>1</v>
      </c>
      <c r="G268">
        <f>'Export · supuestos'!$B$14</f>
        <v>1000</v>
      </c>
      <c r="H268">
        <f t="shared" si="4"/>
        <v>2</v>
      </c>
    </row>
    <row r="269" spans="1:8">
      <c r="A269">
        <v>2027</v>
      </c>
      <c r="B269">
        <v>6</v>
      </c>
      <c r="C269" t="s">
        <v>76</v>
      </c>
      <c r="D269" t="s">
        <v>104</v>
      </c>
      <c r="E269">
        <v>13300</v>
      </c>
      <c r="F269">
        <v>10</v>
      </c>
      <c r="G269">
        <f>'Export · supuestos'!$B$12</f>
        <v>960</v>
      </c>
      <c r="H269">
        <f t="shared" si="4"/>
        <v>13.854166666666666</v>
      </c>
    </row>
    <row r="270" spans="1:8">
      <c r="A270">
        <v>2027</v>
      </c>
      <c r="B270">
        <v>6</v>
      </c>
      <c r="C270" t="s">
        <v>76</v>
      </c>
      <c r="D270" t="s">
        <v>105</v>
      </c>
      <c r="E270">
        <v>400</v>
      </c>
      <c r="F270">
        <v>1</v>
      </c>
      <c r="G270">
        <f>'Export · supuestos'!$B$13</f>
        <v>800</v>
      </c>
      <c r="H270">
        <f t="shared" si="4"/>
        <v>0.5</v>
      </c>
    </row>
    <row r="271" spans="1:8">
      <c r="A271">
        <v>2027</v>
      </c>
      <c r="B271">
        <v>6</v>
      </c>
      <c r="C271" t="s">
        <v>76</v>
      </c>
      <c r="D271" t="s">
        <v>99</v>
      </c>
      <c r="E271">
        <v>2330</v>
      </c>
      <c r="F271">
        <v>4</v>
      </c>
      <c r="G271">
        <f>'Export · supuestos'!$B$11</f>
        <v>800</v>
      </c>
      <c r="H271">
        <f t="shared" si="4"/>
        <v>2.9125000000000001</v>
      </c>
    </row>
    <row r="272" spans="1:8">
      <c r="A272">
        <v>2027</v>
      </c>
      <c r="B272">
        <v>6</v>
      </c>
      <c r="C272" t="s">
        <v>76</v>
      </c>
      <c r="D272" t="s">
        <v>100</v>
      </c>
      <c r="E272">
        <v>7055</v>
      </c>
      <c r="F272">
        <v>5</v>
      </c>
      <c r="G272">
        <f>'Export · supuestos'!$B$15</f>
        <v>1056</v>
      </c>
      <c r="H272">
        <f t="shared" si="4"/>
        <v>6.6808712121212119</v>
      </c>
    </row>
    <row r="273" spans="1:8">
      <c r="A273">
        <v>2027</v>
      </c>
      <c r="B273">
        <v>6</v>
      </c>
      <c r="C273" t="s">
        <v>76</v>
      </c>
      <c r="D273" t="s">
        <v>101</v>
      </c>
      <c r="E273">
        <v>9520</v>
      </c>
      <c r="F273">
        <v>4</v>
      </c>
      <c r="G273">
        <f>'Export · supuestos'!$B$17</f>
        <v>1000</v>
      </c>
      <c r="H273">
        <f t="shared" si="4"/>
        <v>9.52</v>
      </c>
    </row>
    <row r="274" spans="1:8">
      <c r="A274">
        <v>2027</v>
      </c>
      <c r="B274">
        <v>7</v>
      </c>
      <c r="C274" t="s">
        <v>56</v>
      </c>
      <c r="D274" t="s">
        <v>104</v>
      </c>
      <c r="E274">
        <v>58620</v>
      </c>
      <c r="F274">
        <v>3</v>
      </c>
      <c r="G274">
        <f>'Export · supuestos'!$B$12</f>
        <v>960</v>
      </c>
      <c r="H274">
        <f t="shared" si="4"/>
        <v>61.0625</v>
      </c>
    </row>
    <row r="275" spans="1:8">
      <c r="A275">
        <v>2027</v>
      </c>
      <c r="B275">
        <v>7</v>
      </c>
      <c r="C275" t="s">
        <v>70</v>
      </c>
      <c r="D275" t="s">
        <v>101</v>
      </c>
      <c r="E275">
        <v>201440</v>
      </c>
      <c r="F275">
        <v>8</v>
      </c>
      <c r="G275">
        <f>'Export · supuestos'!$B$17</f>
        <v>1000</v>
      </c>
      <c r="H275">
        <f t="shared" si="4"/>
        <v>201.44</v>
      </c>
    </row>
    <row r="276" spans="1:8">
      <c r="A276">
        <v>2027</v>
      </c>
      <c r="B276">
        <v>7</v>
      </c>
      <c r="C276" t="s">
        <v>60</v>
      </c>
      <c r="D276" t="s">
        <v>103</v>
      </c>
      <c r="E276">
        <v>13283</v>
      </c>
      <c r="F276">
        <v>2</v>
      </c>
      <c r="G276">
        <f>'Export · supuestos'!$B$10</f>
        <v>792</v>
      </c>
      <c r="H276">
        <f t="shared" si="4"/>
        <v>16.771464646464647</v>
      </c>
    </row>
    <row r="277" spans="1:8">
      <c r="A277">
        <v>2027</v>
      </c>
      <c r="B277">
        <v>7</v>
      </c>
      <c r="C277" t="s">
        <v>60</v>
      </c>
      <c r="D277" t="s">
        <v>102</v>
      </c>
      <c r="E277">
        <v>52335</v>
      </c>
      <c r="F277">
        <v>3</v>
      </c>
      <c r="G277">
        <f>'Export · supuestos'!$B$16</f>
        <v>1000</v>
      </c>
      <c r="H277">
        <f t="shared" si="4"/>
        <v>52.335000000000001</v>
      </c>
    </row>
    <row r="278" spans="1:8">
      <c r="A278">
        <v>2027</v>
      </c>
      <c r="B278">
        <v>7</v>
      </c>
      <c r="C278" t="s">
        <v>62</v>
      </c>
      <c r="D278" t="s">
        <v>104</v>
      </c>
      <c r="E278">
        <v>5240</v>
      </c>
      <c r="F278">
        <v>1</v>
      </c>
      <c r="G278">
        <f>'Export · supuestos'!$B$12</f>
        <v>960</v>
      </c>
      <c r="H278">
        <f t="shared" si="4"/>
        <v>5.458333333333333</v>
      </c>
    </row>
    <row r="279" spans="1:8">
      <c r="A279">
        <v>2027</v>
      </c>
      <c r="B279">
        <v>7</v>
      </c>
      <c r="C279" t="s">
        <v>62</v>
      </c>
      <c r="D279" t="s">
        <v>102</v>
      </c>
      <c r="E279">
        <v>5295</v>
      </c>
      <c r="F279">
        <v>1</v>
      </c>
      <c r="G279">
        <f>'Export · supuestos'!$B$16</f>
        <v>1000</v>
      </c>
      <c r="H279">
        <f t="shared" si="4"/>
        <v>5.2949999999999999</v>
      </c>
    </row>
    <row r="280" spans="1:8">
      <c r="A280">
        <v>2027</v>
      </c>
      <c r="B280">
        <v>7</v>
      </c>
      <c r="C280" t="s">
        <v>74</v>
      </c>
      <c r="D280" t="s">
        <v>103</v>
      </c>
      <c r="E280">
        <v>1086</v>
      </c>
      <c r="F280">
        <v>1</v>
      </c>
      <c r="G280">
        <f>'Export · supuestos'!$B$10</f>
        <v>792</v>
      </c>
      <c r="H280">
        <f t="shared" si="4"/>
        <v>1.3712121212121211</v>
      </c>
    </row>
    <row r="281" spans="1:8">
      <c r="A281">
        <v>2027</v>
      </c>
      <c r="B281">
        <v>7</v>
      </c>
      <c r="C281" t="s">
        <v>74</v>
      </c>
      <c r="D281" t="s">
        <v>105</v>
      </c>
      <c r="E281">
        <v>4400</v>
      </c>
      <c r="F281">
        <v>1</v>
      </c>
      <c r="G281">
        <f>'Export · supuestos'!$B$13</f>
        <v>800</v>
      </c>
      <c r="H281">
        <f t="shared" si="4"/>
        <v>5.5</v>
      </c>
    </row>
    <row r="282" spans="1:8">
      <c r="A282">
        <v>2027</v>
      </c>
      <c r="B282">
        <v>7</v>
      </c>
      <c r="C282" t="s">
        <v>74</v>
      </c>
      <c r="D282" t="s">
        <v>99</v>
      </c>
      <c r="E282">
        <v>5215</v>
      </c>
      <c r="F282">
        <v>5</v>
      </c>
      <c r="G282">
        <f>'Export · supuestos'!$B$11</f>
        <v>800</v>
      </c>
      <c r="H282">
        <f t="shared" si="4"/>
        <v>6.5187499999999998</v>
      </c>
    </row>
    <row r="283" spans="1:8">
      <c r="A283">
        <v>2027</v>
      </c>
      <c r="B283">
        <v>7</v>
      </c>
      <c r="C283" t="s">
        <v>74</v>
      </c>
      <c r="D283" t="s">
        <v>101</v>
      </c>
      <c r="E283">
        <v>4360</v>
      </c>
      <c r="F283">
        <v>1</v>
      </c>
      <c r="G283">
        <f>'Export · supuestos'!$B$17</f>
        <v>1000</v>
      </c>
      <c r="H283">
        <f t="shared" si="4"/>
        <v>4.3600000000000003</v>
      </c>
    </row>
    <row r="284" spans="1:8">
      <c r="A284">
        <v>2027</v>
      </c>
      <c r="B284">
        <v>7</v>
      </c>
      <c r="C284" t="s">
        <v>74</v>
      </c>
      <c r="D284" t="s">
        <v>102</v>
      </c>
      <c r="E284">
        <v>5455</v>
      </c>
      <c r="F284">
        <v>1</v>
      </c>
      <c r="G284">
        <f>'Export · supuestos'!$B$16</f>
        <v>1000</v>
      </c>
      <c r="H284">
        <f t="shared" si="4"/>
        <v>5.4550000000000001</v>
      </c>
    </row>
    <row r="285" spans="1:8">
      <c r="A285">
        <v>2027</v>
      </c>
      <c r="B285">
        <v>7</v>
      </c>
      <c r="C285" t="s">
        <v>75</v>
      </c>
      <c r="D285" t="s">
        <v>101</v>
      </c>
      <c r="E285">
        <v>1180</v>
      </c>
      <c r="F285">
        <v>1</v>
      </c>
      <c r="G285">
        <f>'Export · supuestos'!$B$17</f>
        <v>1000</v>
      </c>
      <c r="H285">
        <f t="shared" si="4"/>
        <v>1.18</v>
      </c>
    </row>
    <row r="286" spans="1:8">
      <c r="A286">
        <v>2027</v>
      </c>
      <c r="B286">
        <v>7</v>
      </c>
      <c r="C286" t="s">
        <v>76</v>
      </c>
      <c r="D286" t="s">
        <v>103</v>
      </c>
      <c r="E286">
        <v>2186</v>
      </c>
      <c r="F286">
        <v>4</v>
      </c>
      <c r="G286">
        <f>'Export · supuestos'!$B$10</f>
        <v>792</v>
      </c>
      <c r="H286">
        <f t="shared" si="4"/>
        <v>2.7601010101010099</v>
      </c>
    </row>
    <row r="287" spans="1:8">
      <c r="A287">
        <v>2027</v>
      </c>
      <c r="B287">
        <v>7</v>
      </c>
      <c r="C287" t="s">
        <v>76</v>
      </c>
      <c r="D287" t="s">
        <v>98</v>
      </c>
      <c r="E287">
        <v>1000</v>
      </c>
      <c r="F287">
        <v>1</v>
      </c>
      <c r="G287">
        <f>'Export · supuestos'!$B$14</f>
        <v>1000</v>
      </c>
      <c r="H287">
        <f t="shared" si="4"/>
        <v>1</v>
      </c>
    </row>
    <row r="288" spans="1:8">
      <c r="A288">
        <v>2027</v>
      </c>
      <c r="B288">
        <v>7</v>
      </c>
      <c r="C288" t="s">
        <v>76</v>
      </c>
      <c r="D288" t="s">
        <v>104</v>
      </c>
      <c r="E288">
        <v>2780</v>
      </c>
      <c r="F288">
        <v>4</v>
      </c>
      <c r="G288">
        <f>'Export · supuestos'!$B$12</f>
        <v>960</v>
      </c>
      <c r="H288">
        <f t="shared" si="4"/>
        <v>2.8958333333333335</v>
      </c>
    </row>
    <row r="289" spans="1:8">
      <c r="A289">
        <v>2027</v>
      </c>
      <c r="B289">
        <v>7</v>
      </c>
      <c r="C289" t="s">
        <v>76</v>
      </c>
      <c r="D289" t="s">
        <v>105</v>
      </c>
      <c r="E289">
        <v>1000</v>
      </c>
      <c r="F289">
        <v>2</v>
      </c>
      <c r="G289">
        <f>'Export · supuestos'!$B$13</f>
        <v>800</v>
      </c>
      <c r="H289">
        <f t="shared" si="4"/>
        <v>1.25</v>
      </c>
    </row>
    <row r="290" spans="1:8">
      <c r="A290">
        <v>2027</v>
      </c>
      <c r="B290">
        <v>7</v>
      </c>
      <c r="C290" t="s">
        <v>76</v>
      </c>
      <c r="D290" t="s">
        <v>100</v>
      </c>
      <c r="E290">
        <v>1135</v>
      </c>
      <c r="F290">
        <v>1</v>
      </c>
      <c r="G290">
        <f>'Export · supuestos'!$B$15</f>
        <v>1056</v>
      </c>
      <c r="H290">
        <f t="shared" si="4"/>
        <v>1.074810606060606</v>
      </c>
    </row>
    <row r="291" spans="1:8">
      <c r="A291">
        <v>2027</v>
      </c>
      <c r="B291">
        <v>7</v>
      </c>
      <c r="C291" t="s">
        <v>76</v>
      </c>
      <c r="D291" t="s">
        <v>102</v>
      </c>
      <c r="E291">
        <v>2400</v>
      </c>
      <c r="F291">
        <v>1</v>
      </c>
      <c r="G291">
        <f>'Export · supuestos'!$B$16</f>
        <v>1000</v>
      </c>
      <c r="H291">
        <f t="shared" si="4"/>
        <v>2.4</v>
      </c>
    </row>
    <row r="292" spans="1:8">
      <c r="A292">
        <v>2027</v>
      </c>
      <c r="B292">
        <v>7</v>
      </c>
      <c r="C292" t="s">
        <v>65</v>
      </c>
      <c r="D292" t="s">
        <v>106</v>
      </c>
      <c r="E292">
        <v>2000</v>
      </c>
      <c r="F292">
        <v>2</v>
      </c>
      <c r="G292">
        <f>'Export · supuestos'!$B$18</f>
        <v>1000</v>
      </c>
      <c r="H292">
        <f t="shared" si="4"/>
        <v>2</v>
      </c>
    </row>
    <row r="293" spans="1:8">
      <c r="A293">
        <v>2027</v>
      </c>
      <c r="B293">
        <v>7</v>
      </c>
      <c r="C293" t="s">
        <v>65</v>
      </c>
      <c r="D293" t="s">
        <v>102</v>
      </c>
      <c r="E293">
        <v>47970</v>
      </c>
      <c r="F293">
        <v>2</v>
      </c>
      <c r="G293">
        <f>'Export · supuestos'!$B$16</f>
        <v>1000</v>
      </c>
      <c r="H293">
        <f t="shared" si="4"/>
        <v>47.97</v>
      </c>
    </row>
    <row r="294" spans="1:8">
      <c r="A294">
        <v>2027</v>
      </c>
      <c r="B294">
        <v>8</v>
      </c>
      <c r="C294" t="s">
        <v>71</v>
      </c>
      <c r="D294" t="s">
        <v>104</v>
      </c>
      <c r="E294">
        <v>1240</v>
      </c>
      <c r="F294">
        <v>1</v>
      </c>
      <c r="G294">
        <f>'Export · supuestos'!$B$12</f>
        <v>960</v>
      </c>
      <c r="H294">
        <f t="shared" si="4"/>
        <v>1.2916666666666667</v>
      </c>
    </row>
    <row r="295" spans="1:8">
      <c r="A295">
        <v>2027</v>
      </c>
      <c r="B295">
        <v>8</v>
      </c>
      <c r="C295" t="s">
        <v>71</v>
      </c>
      <c r="D295" t="s">
        <v>101</v>
      </c>
      <c r="E295">
        <v>13720</v>
      </c>
      <c r="F295">
        <v>1</v>
      </c>
      <c r="G295">
        <f>'Export · supuestos'!$B$17</f>
        <v>1000</v>
      </c>
      <c r="H295">
        <f t="shared" si="4"/>
        <v>13.72</v>
      </c>
    </row>
    <row r="296" spans="1:8">
      <c r="A296">
        <v>2027</v>
      </c>
      <c r="B296">
        <v>8</v>
      </c>
      <c r="C296" t="s">
        <v>71</v>
      </c>
      <c r="D296" t="s">
        <v>102</v>
      </c>
      <c r="E296">
        <v>12465</v>
      </c>
      <c r="F296">
        <v>2</v>
      </c>
      <c r="G296">
        <f>'Export · supuestos'!$B$16</f>
        <v>1000</v>
      </c>
      <c r="H296">
        <f t="shared" si="4"/>
        <v>12.465</v>
      </c>
    </row>
    <row r="297" spans="1:8">
      <c r="A297">
        <v>2027</v>
      </c>
      <c r="B297">
        <v>8</v>
      </c>
      <c r="C297" t="s">
        <v>58</v>
      </c>
      <c r="D297" t="s">
        <v>103</v>
      </c>
      <c r="E297">
        <v>18136</v>
      </c>
      <c r="F297">
        <v>23</v>
      </c>
      <c r="G297">
        <f>'Export · supuestos'!$B$10</f>
        <v>792</v>
      </c>
      <c r="H297">
        <f t="shared" si="4"/>
        <v>22.8989898989899</v>
      </c>
    </row>
    <row r="298" spans="1:8">
      <c r="A298">
        <v>2027</v>
      </c>
      <c r="B298">
        <v>8</v>
      </c>
      <c r="C298" t="s">
        <v>58</v>
      </c>
      <c r="D298" t="s">
        <v>104</v>
      </c>
      <c r="E298">
        <v>700</v>
      </c>
      <c r="F298">
        <v>1</v>
      </c>
      <c r="G298">
        <f>'Export · supuestos'!$B$12</f>
        <v>960</v>
      </c>
      <c r="H298">
        <f t="shared" si="4"/>
        <v>0.72916666666666663</v>
      </c>
    </row>
    <row r="299" spans="1:8">
      <c r="A299">
        <v>2027</v>
      </c>
      <c r="B299">
        <v>8</v>
      </c>
      <c r="C299" t="s">
        <v>58</v>
      </c>
      <c r="D299" t="s">
        <v>99</v>
      </c>
      <c r="E299">
        <v>6730</v>
      </c>
      <c r="F299">
        <v>7</v>
      </c>
      <c r="G299">
        <f>'Export · supuestos'!$B$11</f>
        <v>800</v>
      </c>
      <c r="H299">
        <f t="shared" si="4"/>
        <v>8.4124999999999996</v>
      </c>
    </row>
    <row r="300" spans="1:8">
      <c r="A300">
        <v>2027</v>
      </c>
      <c r="B300">
        <v>8</v>
      </c>
      <c r="C300" t="s">
        <v>58</v>
      </c>
      <c r="D300" t="s">
        <v>100</v>
      </c>
      <c r="E300">
        <v>1735</v>
      </c>
      <c r="F300">
        <v>2</v>
      </c>
      <c r="G300">
        <f>'Export · supuestos'!$B$15</f>
        <v>1056</v>
      </c>
      <c r="H300">
        <f t="shared" si="4"/>
        <v>1.6429924242424243</v>
      </c>
    </row>
    <row r="301" spans="1:8">
      <c r="A301">
        <v>2027</v>
      </c>
      <c r="B301">
        <v>8</v>
      </c>
      <c r="C301" t="s">
        <v>60</v>
      </c>
      <c r="D301" t="s">
        <v>98</v>
      </c>
      <c r="E301">
        <v>24000</v>
      </c>
      <c r="F301">
        <v>1</v>
      </c>
      <c r="G301">
        <f>'Export · supuestos'!$B$14</f>
        <v>1000</v>
      </c>
      <c r="H301">
        <f t="shared" si="4"/>
        <v>24</v>
      </c>
    </row>
    <row r="302" spans="1:8">
      <c r="A302">
        <v>2027</v>
      </c>
      <c r="B302">
        <v>8</v>
      </c>
      <c r="C302" t="s">
        <v>60</v>
      </c>
      <c r="D302" t="s">
        <v>100</v>
      </c>
      <c r="E302">
        <v>4825</v>
      </c>
      <c r="F302">
        <v>1</v>
      </c>
      <c r="G302">
        <f>'Export · supuestos'!$B$15</f>
        <v>1056</v>
      </c>
      <c r="H302">
        <f t="shared" si="4"/>
        <v>4.5691287878787881</v>
      </c>
    </row>
    <row r="303" spans="1:8">
      <c r="A303">
        <v>2027</v>
      </c>
      <c r="B303">
        <v>8</v>
      </c>
      <c r="C303" t="s">
        <v>60</v>
      </c>
      <c r="D303" t="s">
        <v>102</v>
      </c>
      <c r="E303">
        <v>41430</v>
      </c>
      <c r="F303">
        <v>2</v>
      </c>
      <c r="G303">
        <f>'Export · supuestos'!$B$16</f>
        <v>1000</v>
      </c>
      <c r="H303">
        <f t="shared" si="4"/>
        <v>41.43</v>
      </c>
    </row>
    <row r="304" spans="1:8">
      <c r="A304">
        <v>2027</v>
      </c>
      <c r="B304">
        <v>8</v>
      </c>
      <c r="C304" t="s">
        <v>74</v>
      </c>
      <c r="D304" t="s">
        <v>104</v>
      </c>
      <c r="E304">
        <v>11340</v>
      </c>
      <c r="F304">
        <v>3</v>
      </c>
      <c r="G304">
        <f>'Export · supuestos'!$B$12</f>
        <v>960</v>
      </c>
      <c r="H304">
        <f t="shared" si="4"/>
        <v>11.8125</v>
      </c>
    </row>
    <row r="305" spans="1:8">
      <c r="A305">
        <v>2027</v>
      </c>
      <c r="B305">
        <v>8</v>
      </c>
      <c r="C305" t="s">
        <v>74</v>
      </c>
      <c r="D305" t="s">
        <v>105</v>
      </c>
      <c r="E305">
        <v>5000</v>
      </c>
      <c r="F305">
        <v>1</v>
      </c>
      <c r="G305">
        <f>'Export · supuestos'!$B$13</f>
        <v>800</v>
      </c>
      <c r="H305">
        <f t="shared" si="4"/>
        <v>6.25</v>
      </c>
    </row>
    <row r="306" spans="1:8">
      <c r="A306">
        <v>2027</v>
      </c>
      <c r="B306">
        <v>8</v>
      </c>
      <c r="C306" t="s">
        <v>74</v>
      </c>
      <c r="D306" t="s">
        <v>99</v>
      </c>
      <c r="E306">
        <v>3265</v>
      </c>
      <c r="F306">
        <v>3</v>
      </c>
      <c r="G306">
        <f>'Export · supuestos'!$B$11</f>
        <v>800</v>
      </c>
      <c r="H306">
        <f t="shared" si="4"/>
        <v>4.0812499999999998</v>
      </c>
    </row>
    <row r="307" spans="1:8">
      <c r="A307">
        <v>2027</v>
      </c>
      <c r="B307">
        <v>8</v>
      </c>
      <c r="C307" t="s">
        <v>74</v>
      </c>
      <c r="D307" t="s">
        <v>101</v>
      </c>
      <c r="E307">
        <v>1200</v>
      </c>
      <c r="F307">
        <v>1</v>
      </c>
      <c r="G307">
        <f>'Export · supuestos'!$B$17</f>
        <v>1000</v>
      </c>
      <c r="H307">
        <f t="shared" si="4"/>
        <v>1.2</v>
      </c>
    </row>
    <row r="308" spans="1:8">
      <c r="A308">
        <v>2027</v>
      </c>
      <c r="B308">
        <v>8</v>
      </c>
      <c r="C308" t="s">
        <v>74</v>
      </c>
      <c r="D308" t="s">
        <v>102</v>
      </c>
      <c r="E308">
        <v>3570</v>
      </c>
      <c r="F308">
        <v>2</v>
      </c>
      <c r="G308">
        <f>'Export · supuestos'!$B$16</f>
        <v>1000</v>
      </c>
      <c r="H308">
        <f t="shared" si="4"/>
        <v>3.57</v>
      </c>
    </row>
    <row r="309" spans="1:8">
      <c r="A309">
        <v>2027</v>
      </c>
      <c r="B309">
        <v>8</v>
      </c>
      <c r="C309" t="s">
        <v>63</v>
      </c>
      <c r="D309" t="s">
        <v>101</v>
      </c>
      <c r="E309">
        <v>26400</v>
      </c>
      <c r="F309">
        <v>2</v>
      </c>
      <c r="G309">
        <f>'Export · supuestos'!$B$17</f>
        <v>1000</v>
      </c>
      <c r="H309">
        <f t="shared" si="4"/>
        <v>26.4</v>
      </c>
    </row>
    <row r="310" spans="1:8">
      <c r="A310">
        <v>2027</v>
      </c>
      <c r="B310">
        <v>9</v>
      </c>
      <c r="C310" t="s">
        <v>57</v>
      </c>
      <c r="D310" t="s">
        <v>98</v>
      </c>
      <c r="E310">
        <v>2000</v>
      </c>
      <c r="F310">
        <v>1</v>
      </c>
      <c r="G310">
        <f>'Export · supuestos'!$B$14</f>
        <v>1000</v>
      </c>
      <c r="H310">
        <f t="shared" si="4"/>
        <v>2</v>
      </c>
    </row>
    <row r="311" spans="1:8">
      <c r="A311">
        <v>2027</v>
      </c>
      <c r="B311">
        <v>9</v>
      </c>
      <c r="C311" t="s">
        <v>60</v>
      </c>
      <c r="D311" t="s">
        <v>102</v>
      </c>
      <c r="E311">
        <v>20895</v>
      </c>
      <c r="F311">
        <v>1</v>
      </c>
      <c r="G311">
        <f>'Export · supuestos'!$B$16</f>
        <v>1000</v>
      </c>
      <c r="H311">
        <f t="shared" si="4"/>
        <v>20.895</v>
      </c>
    </row>
    <row r="312" spans="1:8">
      <c r="A312">
        <v>2027</v>
      </c>
      <c r="B312">
        <v>9</v>
      </c>
      <c r="C312" t="s">
        <v>63</v>
      </c>
      <c r="D312" t="s">
        <v>101</v>
      </c>
      <c r="E312">
        <v>48120</v>
      </c>
      <c r="F312">
        <v>2</v>
      </c>
      <c r="G312">
        <f>'Export · supuestos'!$B$17</f>
        <v>1000</v>
      </c>
      <c r="H312">
        <f t="shared" si="4"/>
        <v>48.12</v>
      </c>
    </row>
    <row r="313" spans="1:8">
      <c r="A313">
        <v>2027</v>
      </c>
      <c r="B313">
        <v>9</v>
      </c>
      <c r="C313" t="s">
        <v>65</v>
      </c>
      <c r="D313" t="s">
        <v>103</v>
      </c>
      <c r="E313">
        <v>2341</v>
      </c>
      <c r="F313">
        <v>1</v>
      </c>
      <c r="G313">
        <f>'Export · supuestos'!$B$10</f>
        <v>792</v>
      </c>
      <c r="H313">
        <f t="shared" si="4"/>
        <v>2.9558080808080809</v>
      </c>
    </row>
    <row r="314" spans="1:8">
      <c r="A314">
        <v>2027</v>
      </c>
      <c r="B314">
        <v>9</v>
      </c>
      <c r="C314" t="s">
        <v>65</v>
      </c>
      <c r="D314" t="s">
        <v>98</v>
      </c>
      <c r="E314">
        <v>15000</v>
      </c>
      <c r="F314">
        <v>2</v>
      </c>
      <c r="G314">
        <f>'Export · supuestos'!$B$14</f>
        <v>1000</v>
      </c>
      <c r="H314">
        <f t="shared" si="4"/>
        <v>15</v>
      </c>
    </row>
    <row r="315" spans="1:8">
      <c r="A315">
        <v>2027</v>
      </c>
      <c r="B315">
        <v>9</v>
      </c>
      <c r="C315" t="s">
        <v>65</v>
      </c>
      <c r="D315" t="s">
        <v>104</v>
      </c>
      <c r="E315">
        <v>12520</v>
      </c>
      <c r="F315">
        <v>1</v>
      </c>
      <c r="G315">
        <f>'Export · supuestos'!$B$12</f>
        <v>960</v>
      </c>
      <c r="H315">
        <f t="shared" si="4"/>
        <v>13.041666666666666</v>
      </c>
    </row>
    <row r="316" spans="1:8">
      <c r="A316">
        <v>2027</v>
      </c>
      <c r="B316">
        <v>9</v>
      </c>
      <c r="C316" t="s">
        <v>65</v>
      </c>
      <c r="D316" t="s">
        <v>102</v>
      </c>
      <c r="E316">
        <v>17965</v>
      </c>
      <c r="F316">
        <v>2</v>
      </c>
      <c r="G316">
        <f>'Export · supuestos'!$B$16</f>
        <v>1000</v>
      </c>
      <c r="H316">
        <f t="shared" si="4"/>
        <v>17.965</v>
      </c>
    </row>
    <row r="317" spans="1:8">
      <c r="A317">
        <v>2027</v>
      </c>
      <c r="B317">
        <v>10</v>
      </c>
      <c r="C317" t="s">
        <v>57</v>
      </c>
      <c r="D317" t="s">
        <v>98</v>
      </c>
      <c r="E317">
        <v>16000</v>
      </c>
      <c r="F317">
        <v>6</v>
      </c>
      <c r="G317">
        <f>'Export · supuestos'!$B$14</f>
        <v>1000</v>
      </c>
      <c r="H317">
        <f t="shared" si="4"/>
        <v>16</v>
      </c>
    </row>
    <row r="318" spans="1:8">
      <c r="A318">
        <v>2027</v>
      </c>
      <c r="B318">
        <v>10</v>
      </c>
      <c r="C318" t="s">
        <v>57</v>
      </c>
      <c r="D318" t="s">
        <v>99</v>
      </c>
      <c r="E318">
        <v>410</v>
      </c>
      <c r="F318">
        <v>1</v>
      </c>
      <c r="G318">
        <f>'Export · supuestos'!$B$11</f>
        <v>800</v>
      </c>
      <c r="H318">
        <f t="shared" si="4"/>
        <v>0.51249999999999996</v>
      </c>
    </row>
    <row r="319" spans="1:8">
      <c r="A319">
        <v>2027</v>
      </c>
      <c r="B319">
        <v>10</v>
      </c>
      <c r="C319" t="s">
        <v>57</v>
      </c>
      <c r="D319" t="s">
        <v>100</v>
      </c>
      <c r="E319">
        <v>1104</v>
      </c>
      <c r="F319">
        <v>1</v>
      </c>
      <c r="G319">
        <f>'Export · supuestos'!$B$15</f>
        <v>1056</v>
      </c>
      <c r="H319">
        <f t="shared" si="4"/>
        <v>1.0454545454545454</v>
      </c>
    </row>
    <row r="320" spans="1:8">
      <c r="A320">
        <v>2027</v>
      </c>
      <c r="B320">
        <v>10</v>
      </c>
      <c r="C320" t="s">
        <v>57</v>
      </c>
      <c r="D320" t="s">
        <v>101</v>
      </c>
      <c r="E320">
        <v>14340</v>
      </c>
      <c r="F320">
        <v>2</v>
      </c>
      <c r="G320">
        <f>'Export · supuestos'!$B$17</f>
        <v>1000</v>
      </c>
      <c r="H320">
        <f t="shared" si="4"/>
        <v>14.34</v>
      </c>
    </row>
    <row r="321" spans="1:8">
      <c r="A321">
        <v>2027</v>
      </c>
      <c r="B321">
        <v>10</v>
      </c>
      <c r="C321" t="s">
        <v>57</v>
      </c>
      <c r="D321" t="s">
        <v>102</v>
      </c>
      <c r="E321">
        <v>16245</v>
      </c>
      <c r="F321">
        <v>6</v>
      </c>
      <c r="G321">
        <f>'Export · supuestos'!$B$16</f>
        <v>1000</v>
      </c>
      <c r="H321">
        <f t="shared" si="4"/>
        <v>16.245000000000001</v>
      </c>
    </row>
    <row r="322" spans="1:8">
      <c r="A322">
        <v>2027</v>
      </c>
      <c r="B322">
        <v>10</v>
      </c>
      <c r="C322" t="s">
        <v>59</v>
      </c>
      <c r="D322" t="s">
        <v>103</v>
      </c>
      <c r="E322">
        <v>2527</v>
      </c>
      <c r="F322">
        <v>1</v>
      </c>
      <c r="G322">
        <f>'Export · supuestos'!$B$10</f>
        <v>792</v>
      </c>
      <c r="H322">
        <f t="shared" si="4"/>
        <v>3.1906565656565657</v>
      </c>
    </row>
    <row r="323" spans="1:8">
      <c r="A323">
        <v>2027</v>
      </c>
      <c r="B323">
        <v>10</v>
      </c>
      <c r="C323" t="s">
        <v>59</v>
      </c>
      <c r="D323" t="s">
        <v>101</v>
      </c>
      <c r="E323">
        <v>10940</v>
      </c>
      <c r="F323">
        <v>1</v>
      </c>
      <c r="G323">
        <f>'Export · supuestos'!$B$17</f>
        <v>1000</v>
      </c>
      <c r="H323">
        <f t="shared" si="4"/>
        <v>10.94</v>
      </c>
    </row>
    <row r="324" spans="1:8">
      <c r="A324">
        <v>2027</v>
      </c>
      <c r="B324">
        <v>10</v>
      </c>
      <c r="C324" t="s">
        <v>59</v>
      </c>
      <c r="D324" t="s">
        <v>102</v>
      </c>
      <c r="E324">
        <v>4820</v>
      </c>
      <c r="F324">
        <v>1</v>
      </c>
      <c r="G324">
        <f>'Export · supuestos'!$B$16</f>
        <v>1000</v>
      </c>
      <c r="H324">
        <f t="shared" si="4"/>
        <v>4.82</v>
      </c>
    </row>
    <row r="325" spans="1:8">
      <c r="A325">
        <v>2027</v>
      </c>
      <c r="B325">
        <v>10</v>
      </c>
      <c r="C325" t="s">
        <v>60</v>
      </c>
      <c r="D325" t="s">
        <v>103</v>
      </c>
      <c r="E325">
        <v>8658</v>
      </c>
      <c r="F325">
        <v>2</v>
      </c>
      <c r="G325">
        <f>'Export · supuestos'!$B$10</f>
        <v>792</v>
      </c>
      <c r="H325">
        <f t="shared" si="4"/>
        <v>10.931818181818182</v>
      </c>
    </row>
    <row r="326" spans="1:8">
      <c r="A326">
        <v>2027</v>
      </c>
      <c r="B326">
        <v>10</v>
      </c>
      <c r="C326" t="s">
        <v>60</v>
      </c>
      <c r="D326" t="s">
        <v>100</v>
      </c>
      <c r="E326">
        <v>2140</v>
      </c>
      <c r="F326">
        <v>1</v>
      </c>
      <c r="G326">
        <f>'Export · supuestos'!$B$15</f>
        <v>1056</v>
      </c>
      <c r="H326">
        <f t="shared" si="4"/>
        <v>2.0265151515151514</v>
      </c>
    </row>
    <row r="327" spans="1:8">
      <c r="A327">
        <v>2027</v>
      </c>
      <c r="B327">
        <v>10</v>
      </c>
      <c r="C327" t="s">
        <v>60</v>
      </c>
      <c r="D327" t="s">
        <v>102</v>
      </c>
      <c r="E327">
        <v>20900</v>
      </c>
      <c r="F327">
        <v>1</v>
      </c>
      <c r="G327">
        <f>'Export · supuestos'!$B$16</f>
        <v>1000</v>
      </c>
      <c r="H327">
        <f t="shared" ref="H327:H390" si="5">E327/G327</f>
        <v>20.9</v>
      </c>
    </row>
    <row r="328" spans="1:8">
      <c r="A328">
        <v>2027</v>
      </c>
      <c r="B328">
        <v>10</v>
      </c>
      <c r="C328" t="s">
        <v>61</v>
      </c>
      <c r="D328" t="s">
        <v>98</v>
      </c>
      <c r="E328">
        <v>3000</v>
      </c>
      <c r="F328">
        <v>1</v>
      </c>
      <c r="G328">
        <f>'Export · supuestos'!$B$14</f>
        <v>1000</v>
      </c>
      <c r="H328">
        <f t="shared" si="5"/>
        <v>3</v>
      </c>
    </row>
    <row r="329" spans="1:8">
      <c r="A329">
        <v>2027</v>
      </c>
      <c r="B329">
        <v>10</v>
      </c>
      <c r="C329" t="s">
        <v>61</v>
      </c>
      <c r="D329" t="s">
        <v>102</v>
      </c>
      <c r="E329">
        <v>205</v>
      </c>
      <c r="F329">
        <v>1</v>
      </c>
      <c r="G329">
        <f>'Export · supuestos'!$B$16</f>
        <v>1000</v>
      </c>
      <c r="H329">
        <f t="shared" si="5"/>
        <v>0.20499999999999999</v>
      </c>
    </row>
    <row r="330" spans="1:8">
      <c r="A330">
        <v>2027</v>
      </c>
      <c r="B330">
        <v>10</v>
      </c>
      <c r="C330" t="s">
        <v>74</v>
      </c>
      <c r="D330" t="s">
        <v>104</v>
      </c>
      <c r="E330">
        <v>8800</v>
      </c>
      <c r="F330">
        <v>2</v>
      </c>
      <c r="G330">
        <f>'Export · supuestos'!$B$12</f>
        <v>960</v>
      </c>
      <c r="H330">
        <f t="shared" si="5"/>
        <v>9.1666666666666661</v>
      </c>
    </row>
    <row r="331" spans="1:8">
      <c r="A331">
        <v>2027</v>
      </c>
      <c r="B331">
        <v>10</v>
      </c>
      <c r="C331" t="s">
        <v>74</v>
      </c>
      <c r="D331" t="s">
        <v>105</v>
      </c>
      <c r="E331">
        <v>6600</v>
      </c>
      <c r="F331">
        <v>2</v>
      </c>
      <c r="G331">
        <f>'Export · supuestos'!$B$13</f>
        <v>800</v>
      </c>
      <c r="H331">
        <f t="shared" si="5"/>
        <v>8.25</v>
      </c>
    </row>
    <row r="332" spans="1:8">
      <c r="A332">
        <v>2027</v>
      </c>
      <c r="B332">
        <v>10</v>
      </c>
      <c r="C332" t="s">
        <v>74</v>
      </c>
      <c r="D332" t="s">
        <v>101</v>
      </c>
      <c r="E332">
        <v>1140</v>
      </c>
      <c r="F332">
        <v>1</v>
      </c>
      <c r="G332">
        <f>'Export · supuestos'!$B$17</f>
        <v>1000</v>
      </c>
      <c r="H332">
        <f t="shared" si="5"/>
        <v>1.1399999999999999</v>
      </c>
    </row>
    <row r="333" spans="1:8">
      <c r="A333">
        <v>2027</v>
      </c>
      <c r="B333">
        <v>10</v>
      </c>
      <c r="C333" t="s">
        <v>74</v>
      </c>
      <c r="D333" t="s">
        <v>102</v>
      </c>
      <c r="E333">
        <v>3135</v>
      </c>
      <c r="F333">
        <v>1</v>
      </c>
      <c r="G333">
        <f>'Export · supuestos'!$B$16</f>
        <v>1000</v>
      </c>
      <c r="H333">
        <f t="shared" si="5"/>
        <v>3.1349999999999998</v>
      </c>
    </row>
    <row r="334" spans="1:8">
      <c r="A334">
        <v>2027</v>
      </c>
      <c r="B334">
        <v>10</v>
      </c>
      <c r="C334" t="s">
        <v>63</v>
      </c>
      <c r="D334" t="s">
        <v>104</v>
      </c>
      <c r="E334">
        <v>10520</v>
      </c>
      <c r="F334">
        <v>1</v>
      </c>
      <c r="G334">
        <f>'Export · supuestos'!$B$12</f>
        <v>960</v>
      </c>
      <c r="H334">
        <f t="shared" si="5"/>
        <v>10.958333333333334</v>
      </c>
    </row>
    <row r="335" spans="1:8">
      <c r="A335">
        <v>2027</v>
      </c>
      <c r="B335">
        <v>10</v>
      </c>
      <c r="C335" t="s">
        <v>63</v>
      </c>
      <c r="D335" t="s">
        <v>101</v>
      </c>
      <c r="E335">
        <v>24060</v>
      </c>
      <c r="F335">
        <v>1</v>
      </c>
      <c r="G335">
        <f>'Export · supuestos'!$B$17</f>
        <v>1000</v>
      </c>
      <c r="H335">
        <f t="shared" si="5"/>
        <v>24.06</v>
      </c>
    </row>
    <row r="336" spans="1:8">
      <c r="A336">
        <v>2027</v>
      </c>
      <c r="B336">
        <v>11</v>
      </c>
      <c r="C336" t="s">
        <v>71</v>
      </c>
      <c r="D336" t="s">
        <v>103</v>
      </c>
      <c r="E336">
        <v>1517</v>
      </c>
      <c r="F336">
        <v>4</v>
      </c>
      <c r="G336">
        <f>'Export · supuestos'!$B$10</f>
        <v>792</v>
      </c>
      <c r="H336">
        <f t="shared" si="5"/>
        <v>1.9154040404040404</v>
      </c>
    </row>
    <row r="337" spans="1:8">
      <c r="A337">
        <v>2027</v>
      </c>
      <c r="B337">
        <v>11</v>
      </c>
      <c r="C337" t="s">
        <v>71</v>
      </c>
      <c r="D337" t="s">
        <v>104</v>
      </c>
      <c r="E337">
        <v>960</v>
      </c>
      <c r="F337">
        <v>1</v>
      </c>
      <c r="G337">
        <f>'Export · supuestos'!$B$12</f>
        <v>960</v>
      </c>
      <c r="H337">
        <f t="shared" si="5"/>
        <v>1</v>
      </c>
    </row>
    <row r="338" spans="1:8">
      <c r="A338">
        <v>2027</v>
      </c>
      <c r="B338">
        <v>11</v>
      </c>
      <c r="C338" t="s">
        <v>71</v>
      </c>
      <c r="D338" t="s">
        <v>99</v>
      </c>
      <c r="E338">
        <v>1945</v>
      </c>
      <c r="F338">
        <v>4</v>
      </c>
      <c r="G338">
        <f>'Export · supuestos'!$B$11</f>
        <v>800</v>
      </c>
      <c r="H338">
        <f t="shared" si="5"/>
        <v>2.4312499999999999</v>
      </c>
    </row>
    <row r="339" spans="1:8">
      <c r="A339">
        <v>2027</v>
      </c>
      <c r="B339">
        <v>11</v>
      </c>
      <c r="C339" t="s">
        <v>71</v>
      </c>
      <c r="D339" t="s">
        <v>100</v>
      </c>
      <c r="E339">
        <v>660</v>
      </c>
      <c r="F339">
        <v>2</v>
      </c>
      <c r="G339">
        <f>'Export · supuestos'!$B$15</f>
        <v>1056</v>
      </c>
      <c r="H339">
        <f t="shared" si="5"/>
        <v>0.625</v>
      </c>
    </row>
    <row r="340" spans="1:8">
      <c r="A340">
        <v>2027</v>
      </c>
      <c r="B340">
        <v>11</v>
      </c>
      <c r="C340" t="s">
        <v>71</v>
      </c>
      <c r="D340" t="s">
        <v>101</v>
      </c>
      <c r="E340">
        <v>8360</v>
      </c>
      <c r="F340">
        <v>1</v>
      </c>
      <c r="G340">
        <f>'Export · supuestos'!$B$17</f>
        <v>1000</v>
      </c>
      <c r="H340">
        <f t="shared" si="5"/>
        <v>8.36</v>
      </c>
    </row>
    <row r="341" spans="1:8">
      <c r="A341">
        <v>2027</v>
      </c>
      <c r="B341">
        <v>11</v>
      </c>
      <c r="C341" t="s">
        <v>71</v>
      </c>
      <c r="D341" t="s">
        <v>102</v>
      </c>
      <c r="E341">
        <v>18870</v>
      </c>
      <c r="F341">
        <v>3</v>
      </c>
      <c r="G341">
        <f>'Export · supuestos'!$B$16</f>
        <v>1000</v>
      </c>
      <c r="H341">
        <f t="shared" si="5"/>
        <v>18.87</v>
      </c>
    </row>
    <row r="342" spans="1:8">
      <c r="A342">
        <v>2027</v>
      </c>
      <c r="B342">
        <v>11</v>
      </c>
      <c r="C342" t="s">
        <v>57</v>
      </c>
      <c r="D342" t="s">
        <v>103</v>
      </c>
      <c r="E342">
        <v>515</v>
      </c>
      <c r="F342">
        <v>1</v>
      </c>
      <c r="G342">
        <f>'Export · supuestos'!$B$10</f>
        <v>792</v>
      </c>
      <c r="H342">
        <f t="shared" si="5"/>
        <v>0.6502525252525253</v>
      </c>
    </row>
    <row r="343" spans="1:8">
      <c r="A343">
        <v>2027</v>
      </c>
      <c r="B343">
        <v>11</v>
      </c>
      <c r="C343" t="s">
        <v>57</v>
      </c>
      <c r="D343" t="s">
        <v>98</v>
      </c>
      <c r="E343">
        <v>11000</v>
      </c>
      <c r="F343">
        <v>5</v>
      </c>
      <c r="G343">
        <f>'Export · supuestos'!$B$14</f>
        <v>1000</v>
      </c>
      <c r="H343">
        <f t="shared" si="5"/>
        <v>11</v>
      </c>
    </row>
    <row r="344" spans="1:8">
      <c r="A344">
        <v>2027</v>
      </c>
      <c r="B344">
        <v>11</v>
      </c>
      <c r="C344" t="s">
        <v>57</v>
      </c>
      <c r="D344" t="s">
        <v>99</v>
      </c>
      <c r="E344">
        <v>410</v>
      </c>
      <c r="F344">
        <v>1</v>
      </c>
      <c r="G344">
        <f>'Export · supuestos'!$B$11</f>
        <v>800</v>
      </c>
      <c r="H344">
        <f t="shared" si="5"/>
        <v>0.51249999999999996</v>
      </c>
    </row>
    <row r="345" spans="1:8">
      <c r="A345">
        <v>2027</v>
      </c>
      <c r="B345">
        <v>11</v>
      </c>
      <c r="C345" t="s">
        <v>57</v>
      </c>
      <c r="D345" t="s">
        <v>100</v>
      </c>
      <c r="E345">
        <v>1072</v>
      </c>
      <c r="F345">
        <v>1</v>
      </c>
      <c r="G345">
        <f>'Export · supuestos'!$B$15</f>
        <v>1056</v>
      </c>
      <c r="H345">
        <f t="shared" si="5"/>
        <v>1.0151515151515151</v>
      </c>
    </row>
    <row r="346" spans="1:8">
      <c r="A346">
        <v>2027</v>
      </c>
      <c r="B346">
        <v>11</v>
      </c>
      <c r="C346" t="s">
        <v>57</v>
      </c>
      <c r="D346" t="s">
        <v>101</v>
      </c>
      <c r="E346">
        <v>17960</v>
      </c>
      <c r="F346">
        <v>3</v>
      </c>
      <c r="G346">
        <f>'Export · supuestos'!$B$17</f>
        <v>1000</v>
      </c>
      <c r="H346">
        <f t="shared" si="5"/>
        <v>17.96</v>
      </c>
    </row>
    <row r="347" spans="1:8">
      <c r="A347">
        <v>2027</v>
      </c>
      <c r="B347">
        <v>11</v>
      </c>
      <c r="C347" t="s">
        <v>57</v>
      </c>
      <c r="D347" t="s">
        <v>102</v>
      </c>
      <c r="E347">
        <v>2195</v>
      </c>
      <c r="F347">
        <v>2</v>
      </c>
      <c r="G347">
        <f>'Export · supuestos'!$B$16</f>
        <v>1000</v>
      </c>
      <c r="H347">
        <f t="shared" si="5"/>
        <v>2.1949999999999998</v>
      </c>
    </row>
    <row r="348" spans="1:8">
      <c r="A348">
        <v>2027</v>
      </c>
      <c r="B348">
        <v>11</v>
      </c>
      <c r="C348" t="s">
        <v>58</v>
      </c>
      <c r="D348" t="s">
        <v>103</v>
      </c>
      <c r="E348">
        <v>13239</v>
      </c>
      <c r="F348">
        <v>12</v>
      </c>
      <c r="G348">
        <f>'Export · supuestos'!$B$10</f>
        <v>792</v>
      </c>
      <c r="H348">
        <f t="shared" si="5"/>
        <v>16.71590909090909</v>
      </c>
    </row>
    <row r="349" spans="1:8">
      <c r="A349">
        <v>2027</v>
      </c>
      <c r="B349">
        <v>11</v>
      </c>
      <c r="C349" t="s">
        <v>58</v>
      </c>
      <c r="D349" t="s">
        <v>104</v>
      </c>
      <c r="E349">
        <v>2980</v>
      </c>
      <c r="F349">
        <v>1</v>
      </c>
      <c r="G349">
        <f>'Export · supuestos'!$B$12</f>
        <v>960</v>
      </c>
      <c r="H349">
        <f t="shared" si="5"/>
        <v>3.1041666666666665</v>
      </c>
    </row>
    <row r="350" spans="1:8">
      <c r="A350">
        <v>2027</v>
      </c>
      <c r="B350">
        <v>11</v>
      </c>
      <c r="C350" t="s">
        <v>58</v>
      </c>
      <c r="D350" t="s">
        <v>99</v>
      </c>
      <c r="E350">
        <v>7710</v>
      </c>
      <c r="F350">
        <v>5</v>
      </c>
      <c r="G350">
        <f>'Export · supuestos'!$B$11</f>
        <v>800</v>
      </c>
      <c r="H350">
        <f t="shared" si="5"/>
        <v>9.6374999999999993</v>
      </c>
    </row>
    <row r="351" spans="1:8">
      <c r="A351">
        <v>2027</v>
      </c>
      <c r="B351">
        <v>11</v>
      </c>
      <c r="C351" t="s">
        <v>58</v>
      </c>
      <c r="D351" t="s">
        <v>100</v>
      </c>
      <c r="E351">
        <v>1625</v>
      </c>
      <c r="F351">
        <v>2</v>
      </c>
      <c r="G351">
        <f>'Export · supuestos'!$B$15</f>
        <v>1056</v>
      </c>
      <c r="H351">
        <f t="shared" si="5"/>
        <v>1.5388257575757576</v>
      </c>
    </row>
    <row r="352" spans="1:8">
      <c r="A352">
        <v>2027</v>
      </c>
      <c r="B352">
        <v>11</v>
      </c>
      <c r="C352" t="s">
        <v>58</v>
      </c>
      <c r="D352" t="s">
        <v>102</v>
      </c>
      <c r="E352">
        <v>3450</v>
      </c>
      <c r="F352">
        <v>1</v>
      </c>
      <c r="G352">
        <f>'Export · supuestos'!$B$16</f>
        <v>1000</v>
      </c>
      <c r="H352">
        <f t="shared" si="5"/>
        <v>3.45</v>
      </c>
    </row>
    <row r="353" spans="1:8">
      <c r="A353">
        <v>2027</v>
      </c>
      <c r="B353">
        <v>11</v>
      </c>
      <c r="C353" t="s">
        <v>60</v>
      </c>
      <c r="D353" t="s">
        <v>103</v>
      </c>
      <c r="E353">
        <v>18608</v>
      </c>
      <c r="F353">
        <v>2</v>
      </c>
      <c r="G353">
        <f>'Export · supuestos'!$B$10</f>
        <v>792</v>
      </c>
      <c r="H353">
        <f t="shared" si="5"/>
        <v>23.494949494949495</v>
      </c>
    </row>
    <row r="354" spans="1:8">
      <c r="A354">
        <v>2027</v>
      </c>
      <c r="B354">
        <v>11</v>
      </c>
      <c r="C354" t="s">
        <v>60</v>
      </c>
      <c r="D354" t="s">
        <v>106</v>
      </c>
      <c r="E354">
        <v>21000</v>
      </c>
      <c r="F354">
        <v>1</v>
      </c>
      <c r="G354">
        <f>'Export · supuestos'!$B$18</f>
        <v>1000</v>
      </c>
      <c r="H354">
        <f t="shared" si="5"/>
        <v>21</v>
      </c>
    </row>
    <row r="355" spans="1:8">
      <c r="A355">
        <v>2027</v>
      </c>
      <c r="B355">
        <v>11</v>
      </c>
      <c r="C355" t="s">
        <v>60</v>
      </c>
      <c r="D355" t="s">
        <v>101</v>
      </c>
      <c r="E355">
        <v>10460</v>
      </c>
      <c r="F355">
        <v>1</v>
      </c>
      <c r="G355">
        <f>'Export · supuestos'!$B$17</f>
        <v>1000</v>
      </c>
      <c r="H355">
        <f t="shared" si="5"/>
        <v>10.46</v>
      </c>
    </row>
    <row r="356" spans="1:8">
      <c r="A356">
        <v>2027</v>
      </c>
      <c r="B356">
        <v>11</v>
      </c>
      <c r="C356" t="s">
        <v>60</v>
      </c>
      <c r="D356" t="s">
        <v>102</v>
      </c>
      <c r="E356">
        <v>31345</v>
      </c>
      <c r="F356">
        <v>1</v>
      </c>
      <c r="G356">
        <f>'Export · supuestos'!$B$16</f>
        <v>1000</v>
      </c>
      <c r="H356">
        <f t="shared" si="5"/>
        <v>31.344999999999999</v>
      </c>
    </row>
    <row r="357" spans="1:8">
      <c r="A357">
        <v>2027</v>
      </c>
      <c r="B357">
        <v>11</v>
      </c>
      <c r="C357" t="s">
        <v>74</v>
      </c>
      <c r="D357" t="s">
        <v>104</v>
      </c>
      <c r="E357">
        <v>1020</v>
      </c>
      <c r="F357">
        <v>1</v>
      </c>
      <c r="G357">
        <f>'Export · supuestos'!$B$12</f>
        <v>960</v>
      </c>
      <c r="H357">
        <f t="shared" si="5"/>
        <v>1.0625</v>
      </c>
    </row>
    <row r="358" spans="1:8">
      <c r="A358">
        <v>2027</v>
      </c>
      <c r="B358">
        <v>11</v>
      </c>
      <c r="C358" t="s">
        <v>63</v>
      </c>
      <c r="D358" t="s">
        <v>104</v>
      </c>
      <c r="E358">
        <v>18400</v>
      </c>
      <c r="F358">
        <v>1</v>
      </c>
      <c r="G358">
        <f>'Export · supuestos'!$B$12</f>
        <v>960</v>
      </c>
      <c r="H358">
        <f t="shared" si="5"/>
        <v>19.166666666666668</v>
      </c>
    </row>
    <row r="359" spans="1:8">
      <c r="A359">
        <v>2027</v>
      </c>
      <c r="B359">
        <v>11</v>
      </c>
      <c r="C359" t="s">
        <v>63</v>
      </c>
      <c r="D359" t="s">
        <v>101</v>
      </c>
      <c r="E359">
        <v>48120</v>
      </c>
      <c r="F359">
        <v>2</v>
      </c>
      <c r="G359">
        <f>'Export · supuestos'!$B$17</f>
        <v>1000</v>
      </c>
      <c r="H359">
        <f t="shared" si="5"/>
        <v>48.12</v>
      </c>
    </row>
    <row r="360" spans="1:8">
      <c r="A360">
        <v>2027</v>
      </c>
      <c r="B360">
        <v>11</v>
      </c>
      <c r="C360" t="s">
        <v>63</v>
      </c>
      <c r="D360" t="s">
        <v>102</v>
      </c>
      <c r="E360">
        <v>4320</v>
      </c>
      <c r="F360">
        <v>2</v>
      </c>
      <c r="G360">
        <f>'Export · supuestos'!$B$16</f>
        <v>1000</v>
      </c>
      <c r="H360">
        <f t="shared" si="5"/>
        <v>4.32</v>
      </c>
    </row>
    <row r="361" spans="1:8">
      <c r="A361">
        <v>2027</v>
      </c>
      <c r="B361">
        <v>11</v>
      </c>
      <c r="C361" t="s">
        <v>64</v>
      </c>
      <c r="D361" t="s">
        <v>103</v>
      </c>
      <c r="E361">
        <v>6481</v>
      </c>
      <c r="F361">
        <v>5</v>
      </c>
      <c r="G361">
        <f>'Export · supuestos'!$B$10</f>
        <v>792</v>
      </c>
      <c r="H361">
        <f t="shared" si="5"/>
        <v>8.183080808080808</v>
      </c>
    </row>
    <row r="362" spans="1:8">
      <c r="A362">
        <v>2027</v>
      </c>
      <c r="B362">
        <v>11</v>
      </c>
      <c r="C362" t="s">
        <v>64</v>
      </c>
      <c r="D362" t="s">
        <v>99</v>
      </c>
      <c r="E362">
        <v>2585</v>
      </c>
      <c r="F362">
        <v>4</v>
      </c>
      <c r="G362">
        <f>'Export · supuestos'!$B$11</f>
        <v>800</v>
      </c>
      <c r="H362">
        <f t="shared" si="5"/>
        <v>3.2312500000000002</v>
      </c>
    </row>
    <row r="363" spans="1:8">
      <c r="A363">
        <v>2027</v>
      </c>
      <c r="B363">
        <v>11</v>
      </c>
      <c r="C363" t="s">
        <v>64</v>
      </c>
      <c r="D363" t="s">
        <v>100</v>
      </c>
      <c r="E363">
        <v>552</v>
      </c>
      <c r="F363">
        <v>1</v>
      </c>
      <c r="G363">
        <f>'Export · supuestos'!$B$15</f>
        <v>1056</v>
      </c>
      <c r="H363">
        <f t="shared" si="5"/>
        <v>0.52272727272727271</v>
      </c>
    </row>
    <row r="364" spans="1:8">
      <c r="A364">
        <v>2027</v>
      </c>
      <c r="B364">
        <v>11</v>
      </c>
      <c r="C364" t="s">
        <v>64</v>
      </c>
      <c r="D364" t="s">
        <v>102</v>
      </c>
      <c r="E364">
        <v>6270</v>
      </c>
      <c r="F364">
        <v>1</v>
      </c>
      <c r="G364">
        <f>'Export · supuestos'!$B$16</f>
        <v>1000</v>
      </c>
      <c r="H364">
        <f t="shared" si="5"/>
        <v>6.27</v>
      </c>
    </row>
    <row r="365" spans="1:8">
      <c r="A365">
        <v>2027</v>
      </c>
      <c r="B365">
        <v>11</v>
      </c>
      <c r="C365" t="s">
        <v>76</v>
      </c>
      <c r="D365" t="s">
        <v>103</v>
      </c>
      <c r="E365">
        <v>5668</v>
      </c>
      <c r="F365">
        <v>9</v>
      </c>
      <c r="G365">
        <f>'Export · supuestos'!$B$10</f>
        <v>792</v>
      </c>
      <c r="H365">
        <f t="shared" si="5"/>
        <v>7.1565656565656566</v>
      </c>
    </row>
    <row r="366" spans="1:8">
      <c r="A366">
        <v>2027</v>
      </c>
      <c r="B366">
        <v>11</v>
      </c>
      <c r="C366" t="s">
        <v>76</v>
      </c>
      <c r="D366" t="s">
        <v>98</v>
      </c>
      <c r="E366">
        <v>3000</v>
      </c>
      <c r="F366">
        <v>2</v>
      </c>
      <c r="G366">
        <f>'Export · supuestos'!$B$14</f>
        <v>1000</v>
      </c>
      <c r="H366">
        <f t="shared" si="5"/>
        <v>3</v>
      </c>
    </row>
    <row r="367" spans="1:8">
      <c r="A367">
        <v>2027</v>
      </c>
      <c r="B367">
        <v>11</v>
      </c>
      <c r="C367" t="s">
        <v>76</v>
      </c>
      <c r="D367" t="s">
        <v>104</v>
      </c>
      <c r="E367">
        <v>3620</v>
      </c>
      <c r="F367">
        <v>6</v>
      </c>
      <c r="G367">
        <f>'Export · supuestos'!$B$12</f>
        <v>960</v>
      </c>
      <c r="H367">
        <f t="shared" si="5"/>
        <v>3.7708333333333335</v>
      </c>
    </row>
    <row r="368" spans="1:8">
      <c r="A368">
        <v>2027</v>
      </c>
      <c r="B368">
        <v>11</v>
      </c>
      <c r="C368" t="s">
        <v>76</v>
      </c>
      <c r="D368" t="s">
        <v>105</v>
      </c>
      <c r="E368">
        <v>1200</v>
      </c>
      <c r="F368">
        <v>3</v>
      </c>
      <c r="G368">
        <f>'Export · supuestos'!$B$13</f>
        <v>800</v>
      </c>
      <c r="H368">
        <f t="shared" si="5"/>
        <v>1.5</v>
      </c>
    </row>
    <row r="369" spans="1:8">
      <c r="A369">
        <v>2027</v>
      </c>
      <c r="B369">
        <v>11</v>
      </c>
      <c r="C369" t="s">
        <v>76</v>
      </c>
      <c r="D369" t="s">
        <v>99</v>
      </c>
      <c r="E369">
        <v>360</v>
      </c>
      <c r="F369">
        <v>1</v>
      </c>
      <c r="G369">
        <f>'Export · supuestos'!$B$11</f>
        <v>800</v>
      </c>
      <c r="H369">
        <f t="shared" si="5"/>
        <v>0.45</v>
      </c>
    </row>
    <row r="370" spans="1:8">
      <c r="A370">
        <v>2027</v>
      </c>
      <c r="B370">
        <v>11</v>
      </c>
      <c r="C370" t="s">
        <v>76</v>
      </c>
      <c r="D370" t="s">
        <v>100</v>
      </c>
      <c r="E370">
        <v>3046</v>
      </c>
      <c r="F370">
        <v>4</v>
      </c>
      <c r="G370">
        <f>'Export · supuestos'!$B$15</f>
        <v>1056</v>
      </c>
      <c r="H370">
        <f t="shared" si="5"/>
        <v>2.8844696969696968</v>
      </c>
    </row>
    <row r="371" spans="1:8">
      <c r="A371">
        <v>2027</v>
      </c>
      <c r="B371">
        <v>11</v>
      </c>
      <c r="C371" t="s">
        <v>76</v>
      </c>
      <c r="D371" t="s">
        <v>101</v>
      </c>
      <c r="E371">
        <v>1760</v>
      </c>
      <c r="F371">
        <v>2</v>
      </c>
      <c r="G371">
        <f>'Export · supuestos'!$B$17</f>
        <v>1000</v>
      </c>
      <c r="H371">
        <f t="shared" si="5"/>
        <v>1.76</v>
      </c>
    </row>
    <row r="372" spans="1:8">
      <c r="A372">
        <v>2027</v>
      </c>
      <c r="B372">
        <v>11</v>
      </c>
      <c r="C372" t="s">
        <v>76</v>
      </c>
      <c r="D372" t="s">
        <v>102</v>
      </c>
      <c r="E372">
        <v>685</v>
      </c>
      <c r="F372">
        <v>1</v>
      </c>
      <c r="G372">
        <f>'Export · supuestos'!$B$16</f>
        <v>1000</v>
      </c>
      <c r="H372">
        <f t="shared" si="5"/>
        <v>0.68500000000000005</v>
      </c>
    </row>
    <row r="373" spans="1:8">
      <c r="A373">
        <v>2027</v>
      </c>
      <c r="B373">
        <v>12</v>
      </c>
      <c r="C373" t="s">
        <v>56</v>
      </c>
      <c r="D373" t="s">
        <v>103</v>
      </c>
      <c r="E373">
        <v>4077</v>
      </c>
      <c r="F373">
        <v>2</v>
      </c>
      <c r="G373">
        <f>'Export · supuestos'!$B$10</f>
        <v>792</v>
      </c>
      <c r="H373">
        <f t="shared" si="5"/>
        <v>5.1477272727272725</v>
      </c>
    </row>
    <row r="374" spans="1:8">
      <c r="A374">
        <v>2027</v>
      </c>
      <c r="B374">
        <v>12</v>
      </c>
      <c r="C374" t="s">
        <v>56</v>
      </c>
      <c r="D374" t="s">
        <v>104</v>
      </c>
      <c r="E374">
        <v>5140</v>
      </c>
      <c r="F374">
        <v>2</v>
      </c>
      <c r="G374">
        <f>'Export · supuestos'!$B$12</f>
        <v>960</v>
      </c>
      <c r="H374">
        <f t="shared" si="5"/>
        <v>5.354166666666667</v>
      </c>
    </row>
    <row r="375" spans="1:8">
      <c r="A375">
        <v>2027</v>
      </c>
      <c r="B375">
        <v>12</v>
      </c>
      <c r="C375" t="s">
        <v>56</v>
      </c>
      <c r="D375" t="s">
        <v>99</v>
      </c>
      <c r="E375">
        <v>9315</v>
      </c>
      <c r="F375">
        <v>3</v>
      </c>
      <c r="G375">
        <f>'Export · supuestos'!$B$11</f>
        <v>800</v>
      </c>
      <c r="H375">
        <f t="shared" si="5"/>
        <v>11.643750000000001</v>
      </c>
    </row>
    <row r="376" spans="1:8">
      <c r="A376">
        <v>2027</v>
      </c>
      <c r="B376">
        <v>12</v>
      </c>
      <c r="C376" t="s">
        <v>56</v>
      </c>
      <c r="D376" t="s">
        <v>100</v>
      </c>
      <c r="E376">
        <v>1015</v>
      </c>
      <c r="F376">
        <v>1</v>
      </c>
      <c r="G376">
        <f>'Export · supuestos'!$B$15</f>
        <v>1056</v>
      </c>
      <c r="H376">
        <f t="shared" si="5"/>
        <v>0.96117424242424243</v>
      </c>
    </row>
    <row r="377" spans="1:8">
      <c r="A377">
        <v>2027</v>
      </c>
      <c r="B377">
        <v>12</v>
      </c>
      <c r="C377" t="s">
        <v>56</v>
      </c>
      <c r="D377" t="s">
        <v>102</v>
      </c>
      <c r="E377">
        <v>1015</v>
      </c>
      <c r="F377">
        <v>1</v>
      </c>
      <c r="G377">
        <f>'Export · supuestos'!$B$16</f>
        <v>1000</v>
      </c>
      <c r="H377">
        <f t="shared" si="5"/>
        <v>1.0149999999999999</v>
      </c>
    </row>
    <row r="378" spans="1:8">
      <c r="A378">
        <v>2027</v>
      </c>
      <c r="B378">
        <v>12</v>
      </c>
      <c r="C378" t="s">
        <v>70</v>
      </c>
      <c r="D378" t="s">
        <v>101</v>
      </c>
      <c r="E378">
        <v>235360</v>
      </c>
      <c r="F378">
        <v>1</v>
      </c>
      <c r="G378">
        <f>'Export · supuestos'!$B$17</f>
        <v>1000</v>
      </c>
      <c r="H378">
        <f t="shared" si="5"/>
        <v>235.36</v>
      </c>
    </row>
    <row r="379" spans="1:8">
      <c r="A379">
        <v>2027</v>
      </c>
      <c r="B379">
        <v>12</v>
      </c>
      <c r="C379" t="s">
        <v>57</v>
      </c>
      <c r="D379" t="s">
        <v>98</v>
      </c>
      <c r="E379">
        <v>12000</v>
      </c>
      <c r="F379">
        <v>6</v>
      </c>
      <c r="G379">
        <f>'Export · supuestos'!$B$14</f>
        <v>1000</v>
      </c>
      <c r="H379">
        <f t="shared" si="5"/>
        <v>12</v>
      </c>
    </row>
    <row r="380" spans="1:8">
      <c r="A380">
        <v>2027</v>
      </c>
      <c r="B380">
        <v>12</v>
      </c>
      <c r="C380" t="s">
        <v>57</v>
      </c>
      <c r="D380" t="s">
        <v>100</v>
      </c>
      <c r="E380">
        <v>418</v>
      </c>
      <c r="F380">
        <v>1</v>
      </c>
      <c r="G380">
        <f>'Export · supuestos'!$B$15</f>
        <v>1056</v>
      </c>
      <c r="H380">
        <f t="shared" si="5"/>
        <v>0.39583333333333331</v>
      </c>
    </row>
    <row r="381" spans="1:8">
      <c r="A381">
        <v>2027</v>
      </c>
      <c r="B381">
        <v>12</v>
      </c>
      <c r="C381" t="s">
        <v>57</v>
      </c>
      <c r="D381" t="s">
        <v>101</v>
      </c>
      <c r="E381">
        <v>820</v>
      </c>
      <c r="F381">
        <v>1</v>
      </c>
      <c r="G381">
        <f>'Export · supuestos'!$B$17</f>
        <v>1000</v>
      </c>
      <c r="H381">
        <f t="shared" si="5"/>
        <v>0.82</v>
      </c>
    </row>
    <row r="382" spans="1:8">
      <c r="A382">
        <v>2027</v>
      </c>
      <c r="B382">
        <v>12</v>
      </c>
      <c r="C382" t="s">
        <v>57</v>
      </c>
      <c r="D382" t="s">
        <v>102</v>
      </c>
      <c r="E382">
        <v>9895</v>
      </c>
      <c r="F382">
        <v>5</v>
      </c>
      <c r="G382">
        <f>'Export · supuestos'!$B$16</f>
        <v>1000</v>
      </c>
      <c r="H382">
        <f t="shared" si="5"/>
        <v>9.8949999999999996</v>
      </c>
    </row>
    <row r="383" spans="1:8">
      <c r="A383">
        <v>2027</v>
      </c>
      <c r="B383">
        <v>12</v>
      </c>
      <c r="C383" t="s">
        <v>60</v>
      </c>
      <c r="D383" t="s">
        <v>103</v>
      </c>
      <c r="E383">
        <v>3433</v>
      </c>
      <c r="F383">
        <v>1</v>
      </c>
      <c r="G383">
        <f>'Export · supuestos'!$B$10</f>
        <v>792</v>
      </c>
      <c r="H383">
        <f t="shared" si="5"/>
        <v>4.3345959595959593</v>
      </c>
    </row>
    <row r="384" spans="1:8">
      <c r="A384">
        <v>2027</v>
      </c>
      <c r="B384">
        <v>12</v>
      </c>
      <c r="C384" t="s">
        <v>60</v>
      </c>
      <c r="D384" t="s">
        <v>100</v>
      </c>
      <c r="E384">
        <v>5474</v>
      </c>
      <c r="F384">
        <v>1</v>
      </c>
      <c r="G384">
        <f>'Export · supuestos'!$B$15</f>
        <v>1056</v>
      </c>
      <c r="H384">
        <f t="shared" si="5"/>
        <v>5.1837121212121211</v>
      </c>
    </row>
    <row r="385" spans="1:8">
      <c r="A385">
        <v>2027</v>
      </c>
      <c r="B385">
        <v>12</v>
      </c>
      <c r="C385" t="s">
        <v>72</v>
      </c>
      <c r="D385" t="s">
        <v>103</v>
      </c>
      <c r="E385">
        <v>2222</v>
      </c>
      <c r="F385">
        <v>2</v>
      </c>
      <c r="G385">
        <f>'Export · supuestos'!$B$10</f>
        <v>792</v>
      </c>
      <c r="H385">
        <f t="shared" si="5"/>
        <v>2.8055555555555554</v>
      </c>
    </row>
    <row r="386" spans="1:8">
      <c r="A386">
        <v>2027</v>
      </c>
      <c r="B386">
        <v>12</v>
      </c>
      <c r="C386" t="s">
        <v>72</v>
      </c>
      <c r="D386" t="s">
        <v>104</v>
      </c>
      <c r="E386">
        <v>37520</v>
      </c>
      <c r="F386">
        <v>1</v>
      </c>
      <c r="G386">
        <f>'Export · supuestos'!$B$12</f>
        <v>960</v>
      </c>
      <c r="H386">
        <f t="shared" si="5"/>
        <v>39.083333333333336</v>
      </c>
    </row>
    <row r="387" spans="1:8">
      <c r="A387">
        <v>2027</v>
      </c>
      <c r="B387">
        <v>12</v>
      </c>
      <c r="C387" t="s">
        <v>72</v>
      </c>
      <c r="D387" t="s">
        <v>99</v>
      </c>
      <c r="E387">
        <v>4510</v>
      </c>
      <c r="F387">
        <v>4</v>
      </c>
      <c r="G387">
        <f>'Export · supuestos'!$B$11</f>
        <v>800</v>
      </c>
      <c r="H387">
        <f t="shared" si="5"/>
        <v>5.6375000000000002</v>
      </c>
    </row>
    <row r="388" spans="1:8">
      <c r="A388">
        <v>2027</v>
      </c>
      <c r="B388">
        <v>12</v>
      </c>
      <c r="C388" t="s">
        <v>72</v>
      </c>
      <c r="D388" t="s">
        <v>100</v>
      </c>
      <c r="E388">
        <v>3136</v>
      </c>
      <c r="F388">
        <v>2</v>
      </c>
      <c r="G388">
        <f>'Export · supuestos'!$B$15</f>
        <v>1056</v>
      </c>
      <c r="H388">
        <f t="shared" si="5"/>
        <v>2.9696969696969697</v>
      </c>
    </row>
    <row r="389" spans="1:8">
      <c r="A389">
        <v>2027</v>
      </c>
      <c r="B389">
        <v>12</v>
      </c>
      <c r="C389" t="s">
        <v>72</v>
      </c>
      <c r="D389" t="s">
        <v>101</v>
      </c>
      <c r="E389">
        <v>6560</v>
      </c>
      <c r="F389">
        <v>1</v>
      </c>
      <c r="G389">
        <f>'Export · supuestos'!$B$17</f>
        <v>1000</v>
      </c>
      <c r="H389">
        <f t="shared" si="5"/>
        <v>6.56</v>
      </c>
    </row>
    <row r="390" spans="1:8">
      <c r="A390">
        <v>2027</v>
      </c>
      <c r="B390">
        <v>12</v>
      </c>
      <c r="C390" t="s">
        <v>72</v>
      </c>
      <c r="D390" t="s">
        <v>102</v>
      </c>
      <c r="E390">
        <v>2160</v>
      </c>
      <c r="F390">
        <v>2</v>
      </c>
      <c r="G390">
        <f>'Export · supuestos'!$B$16</f>
        <v>1000</v>
      </c>
      <c r="H390">
        <f t="shared" si="5"/>
        <v>2.16</v>
      </c>
    </row>
    <row r="391" spans="1:8">
      <c r="A391">
        <v>2027</v>
      </c>
      <c r="B391">
        <v>12</v>
      </c>
      <c r="C391" t="s">
        <v>73</v>
      </c>
      <c r="D391" t="s">
        <v>103</v>
      </c>
      <c r="E391">
        <v>19455</v>
      </c>
      <c r="F391">
        <v>3</v>
      </c>
      <c r="G391">
        <f>'Export · supuestos'!$B$10</f>
        <v>792</v>
      </c>
      <c r="H391">
        <f t="shared" ref="H391:H454" si="6">E391/G391</f>
        <v>24.564393939393938</v>
      </c>
    </row>
    <row r="392" spans="1:8">
      <c r="A392">
        <v>2027</v>
      </c>
      <c r="B392">
        <v>12</v>
      </c>
      <c r="C392" t="s">
        <v>73</v>
      </c>
      <c r="D392" t="s">
        <v>99</v>
      </c>
      <c r="E392">
        <v>17330</v>
      </c>
      <c r="F392">
        <v>3</v>
      </c>
      <c r="G392">
        <f>'Export · supuestos'!$B$11</f>
        <v>800</v>
      </c>
      <c r="H392">
        <f t="shared" si="6"/>
        <v>21.662500000000001</v>
      </c>
    </row>
    <row r="393" spans="1:8">
      <c r="A393">
        <v>2027</v>
      </c>
      <c r="B393">
        <v>12</v>
      </c>
      <c r="C393" t="s">
        <v>61</v>
      </c>
      <c r="D393" t="s">
        <v>98</v>
      </c>
      <c r="E393">
        <v>3000</v>
      </c>
      <c r="F393">
        <v>1</v>
      </c>
      <c r="G393">
        <f>'Export · supuestos'!$B$14</f>
        <v>1000</v>
      </c>
      <c r="H393">
        <f t="shared" si="6"/>
        <v>3</v>
      </c>
    </row>
    <row r="394" spans="1:8">
      <c r="A394">
        <v>2027</v>
      </c>
      <c r="B394">
        <v>12</v>
      </c>
      <c r="C394" t="s">
        <v>62</v>
      </c>
      <c r="D394" t="s">
        <v>104</v>
      </c>
      <c r="E394">
        <v>5220</v>
      </c>
      <c r="F394">
        <v>1</v>
      </c>
      <c r="G394">
        <f>'Export · supuestos'!$B$12</f>
        <v>960</v>
      </c>
      <c r="H394">
        <f t="shared" si="6"/>
        <v>5.4375</v>
      </c>
    </row>
    <row r="395" spans="1:8">
      <c r="A395">
        <v>2027</v>
      </c>
      <c r="B395">
        <v>12</v>
      </c>
      <c r="C395" t="s">
        <v>62</v>
      </c>
      <c r="D395" t="s">
        <v>101</v>
      </c>
      <c r="E395">
        <v>8040</v>
      </c>
      <c r="F395">
        <v>1</v>
      </c>
      <c r="G395">
        <f>'Export · supuestos'!$B$17</f>
        <v>1000</v>
      </c>
      <c r="H395">
        <f t="shared" si="6"/>
        <v>8.0399999999999991</v>
      </c>
    </row>
    <row r="396" spans="1:8">
      <c r="A396">
        <v>2027</v>
      </c>
      <c r="B396">
        <v>12</v>
      </c>
      <c r="C396" t="s">
        <v>62</v>
      </c>
      <c r="D396" t="s">
        <v>102</v>
      </c>
      <c r="E396">
        <v>16790</v>
      </c>
      <c r="F396">
        <v>3</v>
      </c>
      <c r="G396">
        <f>'Export · supuestos'!$B$16</f>
        <v>1000</v>
      </c>
      <c r="H396">
        <f t="shared" si="6"/>
        <v>16.79</v>
      </c>
    </row>
    <row r="397" spans="1:8">
      <c r="A397">
        <v>2027</v>
      </c>
      <c r="B397">
        <v>12</v>
      </c>
      <c r="C397" t="s">
        <v>74</v>
      </c>
      <c r="D397" t="s">
        <v>104</v>
      </c>
      <c r="E397">
        <v>20680</v>
      </c>
      <c r="F397">
        <v>6</v>
      </c>
      <c r="G397">
        <f>'Export · supuestos'!$B$12</f>
        <v>960</v>
      </c>
      <c r="H397">
        <f t="shared" si="6"/>
        <v>21.541666666666668</v>
      </c>
    </row>
    <row r="398" spans="1:8">
      <c r="A398">
        <v>2027</v>
      </c>
      <c r="B398">
        <v>12</v>
      </c>
      <c r="C398" t="s">
        <v>74</v>
      </c>
      <c r="D398" t="s">
        <v>105</v>
      </c>
      <c r="E398">
        <v>6600</v>
      </c>
      <c r="F398">
        <v>2</v>
      </c>
      <c r="G398">
        <f>'Export · supuestos'!$B$13</f>
        <v>800</v>
      </c>
      <c r="H398">
        <f t="shared" si="6"/>
        <v>8.25</v>
      </c>
    </row>
    <row r="399" spans="1:8">
      <c r="A399">
        <v>2027</v>
      </c>
      <c r="B399">
        <v>12</v>
      </c>
      <c r="C399" t="s">
        <v>74</v>
      </c>
      <c r="D399" t="s">
        <v>99</v>
      </c>
      <c r="E399">
        <v>4205</v>
      </c>
      <c r="F399">
        <v>2</v>
      </c>
      <c r="G399">
        <f>'Export · supuestos'!$B$11</f>
        <v>800</v>
      </c>
      <c r="H399">
        <f t="shared" si="6"/>
        <v>5.2562499999999996</v>
      </c>
    </row>
    <row r="400" spans="1:8">
      <c r="A400">
        <v>2027</v>
      </c>
      <c r="B400">
        <v>12</v>
      </c>
      <c r="C400" t="s">
        <v>74</v>
      </c>
      <c r="D400" t="s">
        <v>102</v>
      </c>
      <c r="E400">
        <v>4615</v>
      </c>
      <c r="F400">
        <v>3</v>
      </c>
      <c r="G400">
        <f>'Export · supuestos'!$B$16</f>
        <v>1000</v>
      </c>
      <c r="H400">
        <f t="shared" si="6"/>
        <v>4.6150000000000002</v>
      </c>
    </row>
    <row r="401" spans="1:8">
      <c r="A401">
        <v>2027</v>
      </c>
      <c r="B401">
        <v>12</v>
      </c>
      <c r="C401" t="s">
        <v>63</v>
      </c>
      <c r="D401" t="s">
        <v>101</v>
      </c>
      <c r="E401">
        <v>48120</v>
      </c>
      <c r="F401">
        <v>2</v>
      </c>
      <c r="G401">
        <f>'Export · supuestos'!$B$17</f>
        <v>1000</v>
      </c>
      <c r="H401">
        <f t="shared" si="6"/>
        <v>48.12</v>
      </c>
    </row>
    <row r="402" spans="1:8">
      <c r="A402">
        <v>2027</v>
      </c>
      <c r="B402">
        <v>12</v>
      </c>
      <c r="C402" t="s">
        <v>77</v>
      </c>
      <c r="D402" t="s">
        <v>103</v>
      </c>
      <c r="E402">
        <v>1733</v>
      </c>
      <c r="F402">
        <v>2</v>
      </c>
      <c r="G402">
        <f>'Export · supuestos'!$B$10</f>
        <v>792</v>
      </c>
      <c r="H402">
        <f t="shared" si="6"/>
        <v>2.1881313131313131</v>
      </c>
    </row>
    <row r="403" spans="1:8">
      <c r="A403">
        <v>2027</v>
      </c>
      <c r="B403">
        <v>12</v>
      </c>
      <c r="C403" t="s">
        <v>77</v>
      </c>
      <c r="D403" t="s">
        <v>100</v>
      </c>
      <c r="E403">
        <v>2503</v>
      </c>
      <c r="F403">
        <v>1</v>
      </c>
      <c r="G403">
        <f>'Export · supuestos'!$B$15</f>
        <v>1056</v>
      </c>
      <c r="H403">
        <f t="shared" si="6"/>
        <v>2.3702651515151514</v>
      </c>
    </row>
    <row r="404" spans="1:8">
      <c r="A404">
        <v>2027</v>
      </c>
      <c r="B404">
        <v>12</v>
      </c>
      <c r="C404" t="s">
        <v>77</v>
      </c>
      <c r="D404" t="s">
        <v>101</v>
      </c>
      <c r="E404">
        <v>2760</v>
      </c>
      <c r="F404">
        <v>1</v>
      </c>
      <c r="G404">
        <f>'Export · supuestos'!$B$17</f>
        <v>1000</v>
      </c>
      <c r="H404">
        <f t="shared" si="6"/>
        <v>2.76</v>
      </c>
    </row>
    <row r="405" spans="1:8">
      <c r="A405">
        <v>2027</v>
      </c>
      <c r="B405">
        <v>12</v>
      </c>
      <c r="C405" t="s">
        <v>77</v>
      </c>
      <c r="D405" t="s">
        <v>102</v>
      </c>
      <c r="E405">
        <v>1205</v>
      </c>
      <c r="F405">
        <v>1</v>
      </c>
      <c r="G405">
        <f>'Export · supuestos'!$B$16</f>
        <v>1000</v>
      </c>
      <c r="H405">
        <f t="shared" si="6"/>
        <v>1.2050000000000001</v>
      </c>
    </row>
    <row r="406" spans="1:8">
      <c r="A406">
        <v>2027</v>
      </c>
      <c r="B406">
        <v>12</v>
      </c>
      <c r="C406" t="s">
        <v>65</v>
      </c>
      <c r="D406" t="s">
        <v>98</v>
      </c>
      <c r="E406">
        <v>1000</v>
      </c>
      <c r="F406">
        <v>1</v>
      </c>
      <c r="G406">
        <f>'Export · supuestos'!$B$14</f>
        <v>1000</v>
      </c>
      <c r="H406">
        <f t="shared" si="6"/>
        <v>1</v>
      </c>
    </row>
    <row r="407" spans="1:8">
      <c r="A407">
        <v>2027</v>
      </c>
      <c r="B407">
        <v>12</v>
      </c>
      <c r="C407" t="s">
        <v>65</v>
      </c>
      <c r="D407" t="s">
        <v>106</v>
      </c>
      <c r="E407">
        <v>4000</v>
      </c>
      <c r="F407">
        <v>2</v>
      </c>
      <c r="G407">
        <f>'Export · supuestos'!$B$18</f>
        <v>1000</v>
      </c>
      <c r="H407">
        <f t="shared" si="6"/>
        <v>4</v>
      </c>
    </row>
    <row r="408" spans="1:8">
      <c r="A408">
        <v>2027</v>
      </c>
      <c r="B408">
        <v>12</v>
      </c>
      <c r="C408" t="s">
        <v>65</v>
      </c>
      <c r="D408" t="s">
        <v>102</v>
      </c>
      <c r="E408">
        <v>28365</v>
      </c>
      <c r="F408">
        <v>2</v>
      </c>
      <c r="G408">
        <f>'Export · supuestos'!$B$16</f>
        <v>1000</v>
      </c>
      <c r="H408">
        <f t="shared" si="6"/>
        <v>28.364999999999998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36"/>
  <sheetViews>
    <sheetView showGridLines="0" workbookViewId="0"/>
  </sheetViews>
  <sheetFormatPr baseColWidth="10" defaultColWidth="8.6640625" defaultRowHeight="14"/>
  <cols>
    <col min="1" max="1" width="34" customWidth="1"/>
    <col min="2" max="19" width="26" customWidth="1"/>
  </cols>
  <sheetData>
    <row r="2" spans="1:4" ht="18">
      <c r="A2" s="3" t="s">
        <v>107</v>
      </c>
    </row>
    <row r="4" spans="1:4">
      <c r="A4" t="s">
        <v>108</v>
      </c>
      <c r="B4" t="s">
        <v>109</v>
      </c>
    </row>
    <row r="5" spans="1:4">
      <c r="A5" t="s">
        <v>110</v>
      </c>
      <c r="B5" s="10">
        <v>21</v>
      </c>
    </row>
    <row r="6" spans="1:4">
      <c r="A6" t="s">
        <v>111</v>
      </c>
      <c r="B6" t="s">
        <v>112</v>
      </c>
    </row>
    <row r="7" spans="1:4">
      <c r="A7" t="s">
        <v>113</v>
      </c>
      <c r="B7" t="s">
        <v>114</v>
      </c>
    </row>
    <row r="9" spans="1:4">
      <c r="A9" s="1" t="s">
        <v>93</v>
      </c>
      <c r="B9" s="1" t="s">
        <v>115</v>
      </c>
      <c r="C9" s="1" t="s">
        <v>116</v>
      </c>
      <c r="D9" s="1" t="s">
        <v>117</v>
      </c>
    </row>
    <row r="10" spans="1:4">
      <c r="A10" t="s">
        <v>103</v>
      </c>
      <c r="B10" s="10">
        <v>792</v>
      </c>
      <c r="C10" t="s">
        <v>118</v>
      </c>
      <c r="D10" t="s">
        <v>119</v>
      </c>
    </row>
    <row r="11" spans="1:4">
      <c r="A11" t="s">
        <v>99</v>
      </c>
      <c r="B11" s="10">
        <v>800</v>
      </c>
      <c r="C11" t="s">
        <v>118</v>
      </c>
      <c r="D11" t="s">
        <v>120</v>
      </c>
    </row>
    <row r="12" spans="1:4">
      <c r="A12" t="s">
        <v>104</v>
      </c>
      <c r="B12" s="10">
        <v>960</v>
      </c>
      <c r="C12" t="s">
        <v>118</v>
      </c>
      <c r="D12" t="s">
        <v>121</v>
      </c>
    </row>
    <row r="13" spans="1:4">
      <c r="A13" t="s">
        <v>105</v>
      </c>
      <c r="B13" s="10">
        <v>800</v>
      </c>
      <c r="C13" t="s">
        <v>118</v>
      </c>
      <c r="D13" t="s">
        <v>122</v>
      </c>
    </row>
    <row r="14" spans="1:4">
      <c r="A14" t="s">
        <v>98</v>
      </c>
      <c r="B14" s="10">
        <v>1000</v>
      </c>
      <c r="C14" t="s">
        <v>118</v>
      </c>
      <c r="D14" t="s">
        <v>123</v>
      </c>
    </row>
    <row r="15" spans="1:4">
      <c r="A15" t="s">
        <v>100</v>
      </c>
      <c r="B15" s="10">
        <v>1056</v>
      </c>
      <c r="C15" t="s">
        <v>124</v>
      </c>
      <c r="D15" t="s">
        <v>125</v>
      </c>
    </row>
    <row r="16" spans="1:4">
      <c r="A16" t="s">
        <v>102</v>
      </c>
      <c r="B16" s="10">
        <v>1000</v>
      </c>
      <c r="C16" t="s">
        <v>124</v>
      </c>
      <c r="D16" t="s">
        <v>126</v>
      </c>
    </row>
    <row r="17" spans="1:4">
      <c r="A17" t="s">
        <v>101</v>
      </c>
      <c r="B17" s="10">
        <v>1000</v>
      </c>
      <c r="C17" t="s">
        <v>124</v>
      </c>
      <c r="D17" t="s">
        <v>127</v>
      </c>
    </row>
    <row r="18" spans="1:4">
      <c r="A18" t="s">
        <v>106</v>
      </c>
      <c r="B18" s="10">
        <v>1000</v>
      </c>
      <c r="C18" t="s">
        <v>124</v>
      </c>
      <c r="D18" t="s">
        <v>128</v>
      </c>
    </row>
    <row r="21" spans="1:4">
      <c r="A21" t="s">
        <v>129</v>
      </c>
    </row>
    <row r="22" spans="1:4">
      <c r="A22" t="s">
        <v>130</v>
      </c>
      <c r="B22" t="s">
        <v>131</v>
      </c>
    </row>
    <row r="23" spans="1:4">
      <c r="A23" t="s">
        <v>132</v>
      </c>
      <c r="B23" t="s">
        <v>133</v>
      </c>
    </row>
    <row r="24" spans="1:4">
      <c r="A24" t="s">
        <v>134</v>
      </c>
      <c r="B24" t="s">
        <v>135</v>
      </c>
    </row>
    <row r="25" spans="1:4">
      <c r="A25" t="s">
        <v>136</v>
      </c>
      <c r="B25" t="s">
        <v>137</v>
      </c>
    </row>
    <row r="26" spans="1:4">
      <c r="A26" t="s">
        <v>138</v>
      </c>
      <c r="B26" t="s">
        <v>139</v>
      </c>
    </row>
    <row r="27" spans="1:4">
      <c r="A27" t="s">
        <v>140</v>
      </c>
      <c r="B27" t="s">
        <v>141</v>
      </c>
    </row>
    <row r="28" spans="1:4">
      <c r="A28" t="s">
        <v>142</v>
      </c>
      <c r="B28" t="s">
        <v>143</v>
      </c>
    </row>
    <row r="29" spans="1:4">
      <c r="B29" t="s">
        <v>144</v>
      </c>
    </row>
    <row r="30" spans="1:4">
      <c r="B30" t="s">
        <v>145</v>
      </c>
    </row>
    <row r="31" spans="1:4">
      <c r="B31" t="s">
        <v>146</v>
      </c>
    </row>
    <row r="32" spans="1:4">
      <c r="B32" t="s">
        <v>147</v>
      </c>
    </row>
    <row r="33" spans="1:2">
      <c r="B33" t="s">
        <v>148</v>
      </c>
    </row>
    <row r="34" spans="1:2">
      <c r="A34" t="s">
        <v>149</v>
      </c>
    </row>
    <row r="35" spans="1:2">
      <c r="A35" t="s">
        <v>150</v>
      </c>
    </row>
    <row r="36" spans="1:2">
      <c r="A36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473"/>
  <sheetViews>
    <sheetView showGridLines="0" workbookViewId="0"/>
  </sheetViews>
  <sheetFormatPr baseColWidth="10" defaultColWidth="8.6640625" defaultRowHeight="14"/>
  <cols>
    <col min="1" max="1" width="10" customWidth="1"/>
    <col min="2" max="19" width="16" customWidth="1"/>
  </cols>
  <sheetData>
    <row r="2" spans="1:11" ht="18">
      <c r="A2" s="3" t="s">
        <v>152</v>
      </c>
    </row>
    <row r="3" spans="1:11">
      <c r="A3" t="s">
        <v>153</v>
      </c>
    </row>
    <row r="6" spans="1:11">
      <c r="A6" s="1" t="s">
        <v>50</v>
      </c>
      <c r="B6" s="1" t="s">
        <v>10</v>
      </c>
      <c r="C6" s="1" t="s">
        <v>154</v>
      </c>
      <c r="D6" s="1" t="s">
        <v>155</v>
      </c>
      <c r="E6" s="1" t="s">
        <v>93</v>
      </c>
      <c r="F6" s="1" t="s">
        <v>94</v>
      </c>
      <c r="G6" s="1" t="s">
        <v>156</v>
      </c>
      <c r="H6" s="1" t="s">
        <v>157</v>
      </c>
      <c r="I6" s="1" t="s">
        <v>158</v>
      </c>
      <c r="J6" s="1" t="s">
        <v>40</v>
      </c>
      <c r="K6" s="1" t="s">
        <v>97</v>
      </c>
    </row>
    <row r="7" spans="1:11">
      <c r="A7">
        <v>2026</v>
      </c>
      <c r="B7">
        <v>9</v>
      </c>
      <c r="C7" t="s">
        <v>159</v>
      </c>
      <c r="D7" t="s">
        <v>160</v>
      </c>
      <c r="E7" t="s">
        <v>104</v>
      </c>
      <c r="F7">
        <v>1820.1525874529075</v>
      </c>
      <c r="G7">
        <v>4781.9523968914291</v>
      </c>
      <c r="H7">
        <v>2</v>
      </c>
      <c r="I7">
        <f>'Nacional · supuestos'!$B$21</f>
        <v>640</v>
      </c>
      <c r="J7">
        <f>F7*'Nacional · supuestos'!$B$4</f>
        <v>2147.7800531944308</v>
      </c>
      <c r="K7">
        <f t="shared" ref="K7:K70" si="0">F7/I7</f>
        <v>2.8439884178951678</v>
      </c>
    </row>
    <row r="8" spans="1:11">
      <c r="A8">
        <v>2026</v>
      </c>
      <c r="B8">
        <v>9</v>
      </c>
      <c r="C8" t="s">
        <v>161</v>
      </c>
      <c r="D8" t="s">
        <v>160</v>
      </c>
      <c r="E8" t="s">
        <v>102</v>
      </c>
      <c r="F8">
        <v>663.59729750887254</v>
      </c>
      <c r="G8">
        <v>4187.2989472809859</v>
      </c>
      <c r="H8">
        <v>1</v>
      </c>
      <c r="I8">
        <f>'Nacional · supuestos'!$B$25</f>
        <v>750</v>
      </c>
      <c r="J8">
        <f>F8</f>
        <v>663.59729750887254</v>
      </c>
      <c r="K8">
        <f t="shared" si="0"/>
        <v>0.88479639667849674</v>
      </c>
    </row>
    <row r="9" spans="1:11">
      <c r="A9">
        <v>2026</v>
      </c>
      <c r="B9">
        <v>9</v>
      </c>
      <c r="C9" t="s">
        <v>162</v>
      </c>
      <c r="D9" t="s">
        <v>160</v>
      </c>
      <c r="E9" t="s">
        <v>98</v>
      </c>
      <c r="F9">
        <v>6635.9729750887254</v>
      </c>
      <c r="G9">
        <v>11809.621735981749</v>
      </c>
      <c r="H9">
        <v>2</v>
      </c>
      <c r="I9">
        <f>'Nacional · supuestos'!$B$23</f>
        <v>1000</v>
      </c>
      <c r="J9">
        <f>F9*'Nacional · supuestos'!$B$4</f>
        <v>7830.448110604696</v>
      </c>
      <c r="K9">
        <f t="shared" si="0"/>
        <v>6.6359729750887251</v>
      </c>
    </row>
    <row r="10" spans="1:11">
      <c r="A10">
        <v>2026</v>
      </c>
      <c r="B10">
        <v>9</v>
      </c>
      <c r="C10" t="s">
        <v>162</v>
      </c>
      <c r="D10" t="s">
        <v>160</v>
      </c>
      <c r="E10" t="s">
        <v>104</v>
      </c>
      <c r="F10">
        <v>1820.152587452907</v>
      </c>
      <c r="G10">
        <v>5387.6516588606046</v>
      </c>
      <c r="H10">
        <v>1</v>
      </c>
      <c r="I10">
        <f>'Nacional · supuestos'!$B$21</f>
        <v>640</v>
      </c>
      <c r="J10">
        <f>F10*'Nacional · supuestos'!$B$4</f>
        <v>2147.7800531944304</v>
      </c>
      <c r="K10">
        <f t="shared" si="0"/>
        <v>2.8439884178951673</v>
      </c>
    </row>
    <row r="11" spans="1:11">
      <c r="A11">
        <v>2026</v>
      </c>
      <c r="B11">
        <v>9</v>
      </c>
      <c r="C11" t="s">
        <v>162</v>
      </c>
      <c r="D11" t="s">
        <v>160</v>
      </c>
      <c r="E11" t="s">
        <v>101</v>
      </c>
      <c r="F11">
        <v>2085.591506456457</v>
      </c>
      <c r="G11">
        <v>3469.9733280394462</v>
      </c>
      <c r="H11">
        <v>1</v>
      </c>
      <c r="I11">
        <f>'Nacional · supuestos'!$B$26</f>
        <v>800</v>
      </c>
      <c r="J11">
        <f>F11</f>
        <v>2085.591506456457</v>
      </c>
      <c r="K11">
        <f t="shared" si="0"/>
        <v>2.6069893830705713</v>
      </c>
    </row>
    <row r="12" spans="1:11">
      <c r="A12">
        <v>2026</v>
      </c>
      <c r="B12">
        <v>9</v>
      </c>
      <c r="C12" t="s">
        <v>162</v>
      </c>
      <c r="D12" t="s">
        <v>160</v>
      </c>
      <c r="E12" t="s">
        <v>102</v>
      </c>
      <c r="F12">
        <v>284.39884178951678</v>
      </c>
      <c r="G12">
        <v>1404.930278440213</v>
      </c>
      <c r="H12">
        <v>1</v>
      </c>
      <c r="I12">
        <f>'Nacional · supuestos'!$B$25</f>
        <v>750</v>
      </c>
      <c r="J12">
        <f>F12</f>
        <v>284.39884178951678</v>
      </c>
      <c r="K12">
        <f t="shared" si="0"/>
        <v>0.37919845571935573</v>
      </c>
    </row>
    <row r="13" spans="1:11">
      <c r="A13">
        <v>2026</v>
      </c>
      <c r="B13">
        <v>9</v>
      </c>
      <c r="C13" t="s">
        <v>163</v>
      </c>
      <c r="D13" t="s">
        <v>164</v>
      </c>
      <c r="E13" t="s">
        <v>105</v>
      </c>
      <c r="F13">
        <v>1516.7938228774231</v>
      </c>
      <c r="G13">
        <v>4397.016759874663</v>
      </c>
      <c r="H13">
        <v>1</v>
      </c>
      <c r="I13">
        <f>'Nacional · supuestos'!$B$22</f>
        <v>800</v>
      </c>
      <c r="J13">
        <f>F13*'Nacional · supuestos'!$B$4</f>
        <v>1789.816710995359</v>
      </c>
      <c r="K13">
        <f t="shared" si="0"/>
        <v>1.8959922785967789</v>
      </c>
    </row>
    <row r="14" spans="1:11">
      <c r="A14">
        <v>2026</v>
      </c>
      <c r="B14">
        <v>9</v>
      </c>
      <c r="C14" t="s">
        <v>163</v>
      </c>
      <c r="D14" t="s">
        <v>164</v>
      </c>
      <c r="E14" t="s">
        <v>101</v>
      </c>
      <c r="F14">
        <v>1042.795753228228</v>
      </c>
      <c r="G14">
        <v>1590.4720828236932</v>
      </c>
      <c r="H14">
        <v>1</v>
      </c>
      <c r="I14">
        <f>'Nacional · supuestos'!$B$26</f>
        <v>800</v>
      </c>
      <c r="J14">
        <f>F14</f>
        <v>1042.795753228228</v>
      </c>
      <c r="K14">
        <f t="shared" si="0"/>
        <v>1.303494691535285</v>
      </c>
    </row>
    <row r="15" spans="1:11">
      <c r="A15">
        <v>2026</v>
      </c>
      <c r="B15">
        <v>9</v>
      </c>
      <c r="C15" t="s">
        <v>165</v>
      </c>
      <c r="D15" t="s">
        <v>160</v>
      </c>
      <c r="E15" t="s">
        <v>102</v>
      </c>
      <c r="F15">
        <v>473.99806964919469</v>
      </c>
      <c r="G15">
        <v>3201.8569604803101</v>
      </c>
      <c r="H15">
        <v>1</v>
      </c>
      <c r="I15">
        <f>'Nacional · supuestos'!$B$25</f>
        <v>750</v>
      </c>
      <c r="J15">
        <f>F15</f>
        <v>473.99806964919469</v>
      </c>
      <c r="K15">
        <f t="shared" si="0"/>
        <v>0.63199742619892629</v>
      </c>
    </row>
    <row r="16" spans="1:11">
      <c r="A16">
        <v>2026</v>
      </c>
      <c r="B16">
        <v>9</v>
      </c>
      <c r="C16" t="s">
        <v>166</v>
      </c>
      <c r="D16" t="s">
        <v>160</v>
      </c>
      <c r="E16" t="s">
        <v>101</v>
      </c>
      <c r="F16">
        <v>1042.795753228228</v>
      </c>
      <c r="G16">
        <v>1699.7570777620115</v>
      </c>
      <c r="H16">
        <v>1</v>
      </c>
      <c r="I16">
        <f>'Nacional · supuestos'!$B$26</f>
        <v>800</v>
      </c>
      <c r="J16">
        <f>F16</f>
        <v>1042.795753228228</v>
      </c>
      <c r="K16">
        <f t="shared" si="0"/>
        <v>1.303494691535285</v>
      </c>
    </row>
    <row r="17" spans="1:11">
      <c r="A17">
        <v>2026</v>
      </c>
      <c r="B17">
        <v>9</v>
      </c>
      <c r="C17" t="s">
        <v>167</v>
      </c>
      <c r="D17" t="s">
        <v>160</v>
      </c>
      <c r="E17" t="s">
        <v>101</v>
      </c>
      <c r="F17">
        <v>189.59922785967791</v>
      </c>
      <c r="G17">
        <v>904.38831689066353</v>
      </c>
      <c r="H17">
        <v>1</v>
      </c>
      <c r="I17">
        <f>'Nacional · supuestos'!$B$26</f>
        <v>800</v>
      </c>
      <c r="J17">
        <f>F17</f>
        <v>189.59922785967791</v>
      </c>
      <c r="K17">
        <f t="shared" si="0"/>
        <v>0.23699903482459739</v>
      </c>
    </row>
    <row r="18" spans="1:11">
      <c r="A18">
        <v>2026</v>
      </c>
      <c r="B18">
        <v>9</v>
      </c>
      <c r="C18" t="s">
        <v>167</v>
      </c>
      <c r="D18" t="s">
        <v>160</v>
      </c>
      <c r="E18" t="s">
        <v>102</v>
      </c>
      <c r="F18">
        <v>284.39884178951678</v>
      </c>
      <c r="G18">
        <v>1786.1457472219056</v>
      </c>
      <c r="H18">
        <v>1</v>
      </c>
      <c r="I18">
        <f>'Nacional · supuestos'!$B$25</f>
        <v>750</v>
      </c>
      <c r="J18">
        <f>F18</f>
        <v>284.39884178951678</v>
      </c>
      <c r="K18">
        <f t="shared" si="0"/>
        <v>0.37919845571935573</v>
      </c>
    </row>
    <row r="19" spans="1:11">
      <c r="A19">
        <v>2026</v>
      </c>
      <c r="B19">
        <v>9</v>
      </c>
      <c r="C19" t="s">
        <v>168</v>
      </c>
      <c r="D19" t="s">
        <v>160</v>
      </c>
      <c r="E19" t="s">
        <v>104</v>
      </c>
      <c r="F19">
        <v>379.19845571935571</v>
      </c>
      <c r="G19">
        <v>897.35207887898207</v>
      </c>
      <c r="H19">
        <v>1</v>
      </c>
      <c r="I19">
        <f>'Nacional · supuestos'!$B$21</f>
        <v>640</v>
      </c>
      <c r="J19">
        <f>F19*'Nacional · supuestos'!$B$4</f>
        <v>447.4541777488397</v>
      </c>
      <c r="K19">
        <f t="shared" si="0"/>
        <v>0.59249758706149325</v>
      </c>
    </row>
    <row r="20" spans="1:11">
      <c r="A20">
        <v>2026</v>
      </c>
      <c r="B20">
        <v>9</v>
      </c>
      <c r="C20" t="s">
        <v>169</v>
      </c>
      <c r="D20" t="s">
        <v>160</v>
      </c>
      <c r="E20" t="s">
        <v>104</v>
      </c>
      <c r="F20">
        <v>284.39884178951684</v>
      </c>
      <c r="G20">
        <v>1299.702706978092</v>
      </c>
      <c r="H20">
        <v>2</v>
      </c>
      <c r="I20">
        <f>'Nacional · supuestos'!$B$21</f>
        <v>640</v>
      </c>
      <c r="J20">
        <f>F20*'Nacional · supuestos'!$B$4</f>
        <v>335.59063331162986</v>
      </c>
      <c r="K20">
        <f t="shared" si="0"/>
        <v>0.44437319029612005</v>
      </c>
    </row>
    <row r="21" spans="1:11">
      <c r="A21">
        <v>2026</v>
      </c>
      <c r="B21">
        <v>9</v>
      </c>
      <c r="C21" t="s">
        <v>169</v>
      </c>
      <c r="D21" t="s">
        <v>160</v>
      </c>
      <c r="E21" t="s">
        <v>99</v>
      </c>
      <c r="F21">
        <v>473.99806964919469</v>
      </c>
      <c r="G21">
        <v>2373.1835983993997</v>
      </c>
      <c r="H21">
        <v>2</v>
      </c>
      <c r="I21">
        <f>'Nacional · supuestos'!$B$20</f>
        <v>600</v>
      </c>
      <c r="J21">
        <f>F21*'Nacional · supuestos'!$B$4</f>
        <v>559.31772218604965</v>
      </c>
      <c r="K21">
        <f t="shared" si="0"/>
        <v>0.78999678274865781</v>
      </c>
    </row>
    <row r="22" spans="1:11">
      <c r="A22">
        <v>2026</v>
      </c>
      <c r="B22">
        <v>9</v>
      </c>
      <c r="C22" t="s">
        <v>170</v>
      </c>
      <c r="D22" t="s">
        <v>160</v>
      </c>
      <c r="E22" t="s">
        <v>104</v>
      </c>
      <c r="F22">
        <v>5460.4577623587211</v>
      </c>
      <c r="G22">
        <v>17279.315230219599</v>
      </c>
      <c r="H22">
        <v>4</v>
      </c>
      <c r="I22">
        <f>'Nacional · supuestos'!$B$21</f>
        <v>640</v>
      </c>
      <c r="J22">
        <f>F22*'Nacional · supuestos'!$B$4</f>
        <v>6443.3401595832902</v>
      </c>
      <c r="K22">
        <f t="shared" si="0"/>
        <v>8.5319652536855024</v>
      </c>
    </row>
    <row r="23" spans="1:11">
      <c r="A23">
        <v>2026</v>
      </c>
      <c r="B23">
        <v>9</v>
      </c>
      <c r="C23" t="s">
        <v>170</v>
      </c>
      <c r="D23" t="s">
        <v>160</v>
      </c>
      <c r="E23" t="s">
        <v>99</v>
      </c>
      <c r="F23">
        <v>284.39884178951678</v>
      </c>
      <c r="G23">
        <v>907.23230530855847</v>
      </c>
      <c r="H23">
        <v>1</v>
      </c>
      <c r="I23">
        <f>'Nacional · supuestos'!$B$20</f>
        <v>600</v>
      </c>
      <c r="J23">
        <f>F23*'Nacional · supuestos'!$B$4</f>
        <v>335.5906333116298</v>
      </c>
      <c r="K23">
        <f t="shared" si="0"/>
        <v>0.47399806964919461</v>
      </c>
    </row>
    <row r="24" spans="1:11">
      <c r="A24">
        <v>2026</v>
      </c>
      <c r="B24">
        <v>9</v>
      </c>
      <c r="C24" t="s">
        <v>171</v>
      </c>
      <c r="D24" t="s">
        <v>164</v>
      </c>
      <c r="E24" t="s">
        <v>102</v>
      </c>
      <c r="F24">
        <v>6256.77451936937</v>
      </c>
      <c r="G24">
        <v>10785.716690697507</v>
      </c>
      <c r="H24">
        <v>1</v>
      </c>
      <c r="I24">
        <f>'Nacional · supuestos'!$B$25</f>
        <v>750</v>
      </c>
      <c r="J24">
        <f>F24</f>
        <v>6256.77451936937</v>
      </c>
      <c r="K24">
        <f t="shared" si="0"/>
        <v>8.342366025825827</v>
      </c>
    </row>
    <row r="25" spans="1:11">
      <c r="A25">
        <v>2026</v>
      </c>
      <c r="B25">
        <v>9</v>
      </c>
      <c r="C25" t="s">
        <v>172</v>
      </c>
      <c r="D25" t="s">
        <v>160</v>
      </c>
      <c r="E25" t="s">
        <v>103</v>
      </c>
      <c r="F25">
        <v>45.503814686322677</v>
      </c>
      <c r="G25">
        <v>428.71093979471158</v>
      </c>
      <c r="H25">
        <v>1</v>
      </c>
      <c r="I25">
        <f>'Nacional · supuestos'!$B$19</f>
        <v>528</v>
      </c>
      <c r="J25">
        <f>F25*'Nacional · supuestos'!$B$4</f>
        <v>53.694501329860756</v>
      </c>
      <c r="K25">
        <f t="shared" si="0"/>
        <v>8.6181467208944471E-2</v>
      </c>
    </row>
    <row r="26" spans="1:11">
      <c r="A26">
        <v>2026</v>
      </c>
      <c r="B26">
        <v>9</v>
      </c>
      <c r="C26" t="s">
        <v>172</v>
      </c>
      <c r="D26" t="s">
        <v>160</v>
      </c>
      <c r="E26" t="s">
        <v>104</v>
      </c>
      <c r="F26">
        <v>8190.6866435380825</v>
      </c>
      <c r="G26">
        <v>26400.721030509078</v>
      </c>
      <c r="H26">
        <v>6</v>
      </c>
      <c r="I26">
        <f>'Nacional · supuestos'!$B$21</f>
        <v>640</v>
      </c>
      <c r="J26">
        <f>F26*'Nacional · supuestos'!$B$4</f>
        <v>9665.0102393749366</v>
      </c>
      <c r="K26">
        <f t="shared" si="0"/>
        <v>12.797947880528254</v>
      </c>
    </row>
    <row r="27" spans="1:11">
      <c r="A27">
        <v>2026</v>
      </c>
      <c r="B27">
        <v>9</v>
      </c>
      <c r="C27" t="s">
        <v>172</v>
      </c>
      <c r="D27" t="s">
        <v>160</v>
      </c>
      <c r="E27" t="s">
        <v>99</v>
      </c>
      <c r="F27">
        <v>1137.5953671580671</v>
      </c>
      <c r="G27">
        <v>7367.526697711638</v>
      </c>
      <c r="H27">
        <v>5</v>
      </c>
      <c r="I27">
        <f>'Nacional · supuestos'!$B$20</f>
        <v>600</v>
      </c>
      <c r="J27">
        <f>F27*'Nacional · supuestos'!$B$4</f>
        <v>1342.3625332465192</v>
      </c>
      <c r="K27">
        <f t="shared" si="0"/>
        <v>1.8959922785967784</v>
      </c>
    </row>
    <row r="28" spans="1:11">
      <c r="A28">
        <v>2026</v>
      </c>
      <c r="B28">
        <v>9</v>
      </c>
      <c r="C28" t="s">
        <v>172</v>
      </c>
      <c r="D28" t="s">
        <v>160</v>
      </c>
      <c r="E28" t="s">
        <v>100</v>
      </c>
      <c r="F28">
        <v>56.879768357903359</v>
      </c>
      <c r="G28">
        <v>535.90221754537947</v>
      </c>
      <c r="H28">
        <v>1</v>
      </c>
      <c r="I28">
        <f>'Nacional · supuestos'!$B$24</f>
        <v>1056</v>
      </c>
      <c r="J28">
        <f>F28</f>
        <v>56.879768357903359</v>
      </c>
      <c r="K28">
        <f t="shared" si="0"/>
        <v>5.3863417005590303E-2</v>
      </c>
    </row>
    <row r="29" spans="1:11">
      <c r="A29">
        <v>2026</v>
      </c>
      <c r="B29">
        <v>9</v>
      </c>
      <c r="C29" t="s">
        <v>172</v>
      </c>
      <c r="D29" t="s">
        <v>160</v>
      </c>
      <c r="E29" t="s">
        <v>102</v>
      </c>
      <c r="F29">
        <v>947.99613929838938</v>
      </c>
      <c r="G29">
        <v>3950.6420627871239</v>
      </c>
      <c r="H29">
        <v>2</v>
      </c>
      <c r="I29">
        <f>'Nacional · supuestos'!$B$25</f>
        <v>750</v>
      </c>
      <c r="J29">
        <f>F29</f>
        <v>947.99613929838938</v>
      </c>
      <c r="K29">
        <f t="shared" si="0"/>
        <v>1.2639948523978526</v>
      </c>
    </row>
    <row r="30" spans="1:11">
      <c r="A30">
        <v>2026</v>
      </c>
      <c r="B30">
        <v>9</v>
      </c>
      <c r="C30" t="s">
        <v>173</v>
      </c>
      <c r="D30" t="s">
        <v>160</v>
      </c>
      <c r="E30" t="s">
        <v>104</v>
      </c>
      <c r="F30">
        <v>606.7175291509692</v>
      </c>
      <c r="G30">
        <v>2323.7281366482121</v>
      </c>
      <c r="H30">
        <v>1</v>
      </c>
      <c r="I30">
        <f>'Nacional · supuestos'!$B$21</f>
        <v>640</v>
      </c>
      <c r="J30">
        <f>F30*'Nacional · supuestos'!$B$4</f>
        <v>715.92668439814361</v>
      </c>
      <c r="K30">
        <f t="shared" si="0"/>
        <v>0.94799613929838933</v>
      </c>
    </row>
    <row r="31" spans="1:11">
      <c r="A31">
        <v>2026</v>
      </c>
      <c r="B31">
        <v>9</v>
      </c>
      <c r="C31" t="s">
        <v>173</v>
      </c>
      <c r="D31" t="s">
        <v>160</v>
      </c>
      <c r="E31" t="s">
        <v>99</v>
      </c>
      <c r="F31">
        <v>189.59922785967791</v>
      </c>
      <c r="G31">
        <v>773.56484966748587</v>
      </c>
      <c r="H31">
        <v>1</v>
      </c>
      <c r="I31">
        <f>'Nacional · supuestos'!$B$20</f>
        <v>600</v>
      </c>
      <c r="J31">
        <f>F31*'Nacional · supuestos'!$B$4</f>
        <v>223.72708887441993</v>
      </c>
      <c r="K31">
        <f t="shared" si="0"/>
        <v>0.3159987130994632</v>
      </c>
    </row>
    <row r="32" spans="1:11">
      <c r="A32">
        <v>2026</v>
      </c>
      <c r="B32">
        <v>9</v>
      </c>
      <c r="C32" t="s">
        <v>174</v>
      </c>
      <c r="D32" t="s">
        <v>160</v>
      </c>
      <c r="E32" t="s">
        <v>98</v>
      </c>
      <c r="F32">
        <v>6635.9729750887254</v>
      </c>
      <c r="G32">
        <v>12073.672801511988</v>
      </c>
      <c r="H32">
        <v>2</v>
      </c>
      <c r="I32">
        <f>'Nacional · supuestos'!$B$23</f>
        <v>1000</v>
      </c>
      <c r="J32">
        <f>F32*'Nacional · supuestos'!$B$4</f>
        <v>7830.448110604696</v>
      </c>
      <c r="K32">
        <f t="shared" si="0"/>
        <v>6.6359729750887251</v>
      </c>
    </row>
    <row r="33" spans="1:11">
      <c r="A33">
        <v>2026</v>
      </c>
      <c r="B33">
        <v>9</v>
      </c>
      <c r="C33" t="s">
        <v>174</v>
      </c>
      <c r="D33" t="s">
        <v>160</v>
      </c>
      <c r="E33" t="s">
        <v>104</v>
      </c>
      <c r="F33">
        <v>1213.4350583019384</v>
      </c>
      <c r="G33">
        <v>7334.8778621412448</v>
      </c>
      <c r="H33">
        <v>2</v>
      </c>
      <c r="I33">
        <f>'Nacional · supuestos'!$B$21</f>
        <v>640</v>
      </c>
      <c r="J33">
        <f>F33*'Nacional · supuestos'!$B$4</f>
        <v>1431.8533687962872</v>
      </c>
      <c r="K33">
        <f t="shared" si="0"/>
        <v>1.8959922785967787</v>
      </c>
    </row>
    <row r="34" spans="1:11">
      <c r="A34">
        <v>2026</v>
      </c>
      <c r="B34">
        <v>9</v>
      </c>
      <c r="C34" t="s">
        <v>174</v>
      </c>
      <c r="D34" t="s">
        <v>160</v>
      </c>
      <c r="E34" t="s">
        <v>105</v>
      </c>
      <c r="F34">
        <v>758.39691143871141</v>
      </c>
      <c r="G34">
        <v>1732.9369426374556</v>
      </c>
      <c r="H34">
        <v>2</v>
      </c>
      <c r="I34">
        <f>'Nacional · supuestos'!$B$22</f>
        <v>800</v>
      </c>
      <c r="J34">
        <f>F34*'Nacional · supuestos'!$B$4</f>
        <v>894.90835549767939</v>
      </c>
      <c r="K34">
        <f t="shared" si="0"/>
        <v>0.94799613929838922</v>
      </c>
    </row>
    <row r="35" spans="1:11">
      <c r="A35">
        <v>2026</v>
      </c>
      <c r="B35">
        <v>9</v>
      </c>
      <c r="C35" t="s">
        <v>174</v>
      </c>
      <c r="D35" t="s">
        <v>160</v>
      </c>
      <c r="E35" t="s">
        <v>101</v>
      </c>
      <c r="F35">
        <v>2085.591506456457</v>
      </c>
      <c r="G35">
        <v>3291.9415409804815</v>
      </c>
      <c r="H35">
        <v>1</v>
      </c>
      <c r="I35">
        <f>'Nacional · supuestos'!$B$26</f>
        <v>800</v>
      </c>
      <c r="J35">
        <f>F35</f>
        <v>2085.591506456457</v>
      </c>
      <c r="K35">
        <f t="shared" si="0"/>
        <v>2.6069893830705713</v>
      </c>
    </row>
    <row r="36" spans="1:11">
      <c r="A36">
        <v>2026</v>
      </c>
      <c r="B36">
        <v>9</v>
      </c>
      <c r="C36" t="s">
        <v>175</v>
      </c>
      <c r="D36" t="s">
        <v>160</v>
      </c>
      <c r="E36" t="s">
        <v>104</v>
      </c>
      <c r="F36">
        <v>4853.7402332077536</v>
      </c>
      <c r="G36">
        <v>15755.240796992366</v>
      </c>
      <c r="H36">
        <v>3</v>
      </c>
      <c r="I36">
        <f>'Nacional · supuestos'!$B$21</f>
        <v>640</v>
      </c>
      <c r="J36">
        <f>F36*'Nacional · supuestos'!$B$4</f>
        <v>5727.4134751851489</v>
      </c>
      <c r="K36">
        <f t="shared" si="0"/>
        <v>7.5839691143871146</v>
      </c>
    </row>
    <row r="37" spans="1:11">
      <c r="A37">
        <v>2026</v>
      </c>
      <c r="B37">
        <v>9</v>
      </c>
      <c r="C37" t="s">
        <v>175</v>
      </c>
      <c r="D37" t="s">
        <v>160</v>
      </c>
      <c r="E37" t="s">
        <v>105</v>
      </c>
      <c r="F37">
        <v>379.19845571935571</v>
      </c>
      <c r="G37">
        <v>1221.0190274163253</v>
      </c>
      <c r="H37">
        <v>1</v>
      </c>
      <c r="I37">
        <f>'Nacional · supuestos'!$B$22</f>
        <v>800</v>
      </c>
      <c r="J37">
        <f>F37*'Nacional · supuestos'!$B$4</f>
        <v>447.4541777488397</v>
      </c>
      <c r="K37">
        <f t="shared" si="0"/>
        <v>0.47399806964919461</v>
      </c>
    </row>
    <row r="38" spans="1:11">
      <c r="A38">
        <v>2026</v>
      </c>
      <c r="B38">
        <v>9</v>
      </c>
      <c r="C38" t="s">
        <v>175</v>
      </c>
      <c r="D38" t="s">
        <v>160</v>
      </c>
      <c r="E38" t="s">
        <v>99</v>
      </c>
      <c r="F38">
        <v>1611.5934368072617</v>
      </c>
      <c r="G38">
        <v>9949.4983043305056</v>
      </c>
      <c r="H38">
        <v>3</v>
      </c>
      <c r="I38">
        <f>'Nacional · supuestos'!$B$20</f>
        <v>600</v>
      </c>
      <c r="J38">
        <f>F38*'Nacional · supuestos'!$B$4</f>
        <v>1901.6802554325686</v>
      </c>
      <c r="K38">
        <f t="shared" si="0"/>
        <v>2.685989061345436</v>
      </c>
    </row>
    <row r="39" spans="1:11">
      <c r="A39">
        <v>2026</v>
      </c>
      <c r="B39">
        <v>9</v>
      </c>
      <c r="C39" t="s">
        <v>176</v>
      </c>
      <c r="D39" t="s">
        <v>160</v>
      </c>
      <c r="E39" t="s">
        <v>104</v>
      </c>
      <c r="F39">
        <v>2426.8701166038768</v>
      </c>
      <c r="G39">
        <v>7075.582205962477</v>
      </c>
      <c r="H39">
        <v>1</v>
      </c>
      <c r="I39">
        <f>'Nacional · supuestos'!$B$21</f>
        <v>640</v>
      </c>
      <c r="J39">
        <f>F39*'Nacional · supuestos'!$B$4</f>
        <v>2863.7067375925744</v>
      </c>
      <c r="K39">
        <f t="shared" si="0"/>
        <v>3.7919845571935573</v>
      </c>
    </row>
    <row r="40" spans="1:11">
      <c r="A40">
        <v>2026</v>
      </c>
      <c r="B40">
        <v>9</v>
      </c>
      <c r="C40" t="s">
        <v>176</v>
      </c>
      <c r="D40" t="s">
        <v>160</v>
      </c>
      <c r="E40" t="s">
        <v>177</v>
      </c>
      <c r="F40">
        <v>4171.183012912913</v>
      </c>
      <c r="G40">
        <v>10203.756445338213</v>
      </c>
      <c r="H40">
        <v>1</v>
      </c>
      <c r="I40">
        <f>'Nacional · supuestos'!$B$28</f>
        <v>1100</v>
      </c>
      <c r="J40">
        <f>F40</f>
        <v>4171.183012912913</v>
      </c>
      <c r="K40">
        <f t="shared" si="0"/>
        <v>3.7919845571935573</v>
      </c>
    </row>
    <row r="41" spans="1:11">
      <c r="A41">
        <v>2026</v>
      </c>
      <c r="B41">
        <v>9</v>
      </c>
      <c r="C41" t="s">
        <v>178</v>
      </c>
      <c r="D41" t="s">
        <v>160</v>
      </c>
      <c r="E41" t="s">
        <v>103</v>
      </c>
      <c r="F41">
        <v>34.127861014742017</v>
      </c>
      <c r="G41">
        <v>554.57774148955775</v>
      </c>
      <c r="H41">
        <v>1</v>
      </c>
      <c r="I41">
        <f>'Nacional · supuestos'!$B$19</f>
        <v>528</v>
      </c>
      <c r="J41">
        <f>F41*'Nacional · supuestos'!$B$4</f>
        <v>40.270875997395578</v>
      </c>
      <c r="K41">
        <f t="shared" si="0"/>
        <v>6.4636100406708363E-2</v>
      </c>
    </row>
    <row r="42" spans="1:11">
      <c r="A42">
        <v>2026</v>
      </c>
      <c r="B42">
        <v>9</v>
      </c>
      <c r="C42" t="s">
        <v>178</v>
      </c>
      <c r="D42" t="s">
        <v>160</v>
      </c>
      <c r="E42" t="s">
        <v>104</v>
      </c>
      <c r="F42">
        <v>1858.0724330248433</v>
      </c>
      <c r="G42">
        <v>7131.2458555965377</v>
      </c>
      <c r="H42">
        <v>3</v>
      </c>
      <c r="I42">
        <f>'Nacional · supuestos'!$B$21</f>
        <v>640</v>
      </c>
      <c r="J42">
        <f>F42*'Nacional · supuestos'!$B$4</f>
        <v>2192.5254709693149</v>
      </c>
      <c r="K42">
        <f t="shared" si="0"/>
        <v>2.9032381766013176</v>
      </c>
    </row>
    <row r="43" spans="1:11">
      <c r="A43">
        <v>2026</v>
      </c>
      <c r="B43">
        <v>9</v>
      </c>
      <c r="C43" t="s">
        <v>178</v>
      </c>
      <c r="D43" t="s">
        <v>160</v>
      </c>
      <c r="E43" t="s">
        <v>99</v>
      </c>
      <c r="F43">
        <v>758.39691143871141</v>
      </c>
      <c r="G43">
        <v>4338.8205984623592</v>
      </c>
      <c r="H43">
        <v>2</v>
      </c>
      <c r="I43">
        <f>'Nacional · supuestos'!$B$20</f>
        <v>600</v>
      </c>
      <c r="J43">
        <f>F43*'Nacional · supuestos'!$B$4</f>
        <v>894.90835549767939</v>
      </c>
      <c r="K43">
        <f t="shared" si="0"/>
        <v>1.2639948523978524</v>
      </c>
    </row>
    <row r="44" spans="1:11">
      <c r="A44">
        <v>2026</v>
      </c>
      <c r="B44">
        <v>9</v>
      </c>
      <c r="C44" t="s">
        <v>178</v>
      </c>
      <c r="D44" t="s">
        <v>160</v>
      </c>
      <c r="E44" t="s">
        <v>102</v>
      </c>
      <c r="F44">
        <v>142.19942089475839</v>
      </c>
      <c r="G44">
        <v>796.948754436846</v>
      </c>
      <c r="H44">
        <v>2</v>
      </c>
      <c r="I44">
        <f>'Nacional · supuestos'!$B$25</f>
        <v>750</v>
      </c>
      <c r="J44">
        <f>F44</f>
        <v>142.19942089475839</v>
      </c>
      <c r="K44">
        <f t="shared" si="0"/>
        <v>0.18959922785967787</v>
      </c>
    </row>
    <row r="45" spans="1:11">
      <c r="A45">
        <v>2026</v>
      </c>
      <c r="B45">
        <v>9</v>
      </c>
      <c r="C45" t="s">
        <v>178</v>
      </c>
      <c r="D45" t="s">
        <v>160</v>
      </c>
      <c r="E45" t="s">
        <v>177</v>
      </c>
      <c r="F45">
        <v>758.39691143871141</v>
      </c>
      <c r="G45">
        <v>2129.1552360204937</v>
      </c>
      <c r="H45">
        <v>1</v>
      </c>
      <c r="I45">
        <f>'Nacional · supuestos'!$B$28</f>
        <v>1100</v>
      </c>
      <c r="J45">
        <f>F45</f>
        <v>758.39691143871141</v>
      </c>
      <c r="K45">
        <f t="shared" si="0"/>
        <v>0.68945173767155588</v>
      </c>
    </row>
    <row r="46" spans="1:11">
      <c r="A46">
        <v>2026</v>
      </c>
      <c r="B46">
        <v>9</v>
      </c>
      <c r="C46" t="s">
        <v>179</v>
      </c>
      <c r="D46" t="s">
        <v>160</v>
      </c>
      <c r="E46" t="s">
        <v>104</v>
      </c>
      <c r="F46">
        <v>606.7175291509692</v>
      </c>
      <c r="G46">
        <v>2093.1754755708439</v>
      </c>
      <c r="H46">
        <v>1</v>
      </c>
      <c r="I46">
        <f>'Nacional · supuestos'!$B$21</f>
        <v>640</v>
      </c>
      <c r="J46">
        <f>F46*'Nacional · supuestos'!$B$4</f>
        <v>715.92668439814361</v>
      </c>
      <c r="K46">
        <f t="shared" si="0"/>
        <v>0.94799613929838933</v>
      </c>
    </row>
    <row r="47" spans="1:11">
      <c r="A47">
        <v>2026</v>
      </c>
      <c r="B47">
        <v>9</v>
      </c>
      <c r="C47" t="s">
        <v>179</v>
      </c>
      <c r="D47" t="s">
        <v>160</v>
      </c>
      <c r="E47" t="s">
        <v>99</v>
      </c>
      <c r="F47">
        <v>56.879768357903359</v>
      </c>
      <c r="G47">
        <v>860.59089525507784</v>
      </c>
      <c r="H47">
        <v>1</v>
      </c>
      <c r="I47">
        <f>'Nacional · supuestos'!$B$20</f>
        <v>600</v>
      </c>
      <c r="J47">
        <f>F47*'Nacional · supuestos'!$B$4</f>
        <v>67.118126662325963</v>
      </c>
      <c r="K47">
        <f t="shared" si="0"/>
        <v>9.4799613929838933E-2</v>
      </c>
    </row>
    <row r="48" spans="1:11">
      <c r="A48">
        <v>2026</v>
      </c>
      <c r="B48">
        <v>9</v>
      </c>
      <c r="C48" t="s">
        <v>180</v>
      </c>
      <c r="D48" t="s">
        <v>160</v>
      </c>
      <c r="E48" t="s">
        <v>103</v>
      </c>
      <c r="F48">
        <v>11.375953671580669</v>
      </c>
      <c r="G48">
        <v>56.026571832534792</v>
      </c>
      <c r="H48">
        <v>1</v>
      </c>
      <c r="I48">
        <f>'Nacional · supuestos'!$B$19</f>
        <v>528</v>
      </c>
      <c r="J48">
        <f>F48*'Nacional · supuestos'!$B$4</f>
        <v>13.423625332465189</v>
      </c>
      <c r="K48">
        <f t="shared" si="0"/>
        <v>2.1545366802236118E-2</v>
      </c>
    </row>
    <row r="49" spans="1:11">
      <c r="A49">
        <v>2026</v>
      </c>
      <c r="B49">
        <v>9</v>
      </c>
      <c r="C49" t="s">
        <v>180</v>
      </c>
      <c r="D49" t="s">
        <v>160</v>
      </c>
      <c r="E49" t="s">
        <v>99</v>
      </c>
      <c r="F49">
        <v>663.59729750887254</v>
      </c>
      <c r="G49">
        <v>2129.2835951876755</v>
      </c>
      <c r="H49">
        <v>4</v>
      </c>
      <c r="I49">
        <f>'Nacional · supuestos'!$B$20</f>
        <v>600</v>
      </c>
      <c r="J49">
        <f>F49*'Nacional · supuestos'!$B$4</f>
        <v>783.04481106046956</v>
      </c>
      <c r="K49">
        <f t="shared" si="0"/>
        <v>1.1059954958481208</v>
      </c>
    </row>
    <row r="50" spans="1:11">
      <c r="A50">
        <v>2026</v>
      </c>
      <c r="B50">
        <v>9</v>
      </c>
      <c r="C50" t="s">
        <v>180</v>
      </c>
      <c r="D50" t="s">
        <v>160</v>
      </c>
      <c r="E50" t="s">
        <v>177</v>
      </c>
      <c r="F50">
        <v>284.39884178951678</v>
      </c>
      <c r="G50">
        <v>790.58290939392271</v>
      </c>
      <c r="H50">
        <v>1</v>
      </c>
      <c r="I50">
        <f>'Nacional · supuestos'!$B$28</f>
        <v>1100</v>
      </c>
      <c r="J50">
        <f>F50</f>
        <v>284.39884178951678</v>
      </c>
      <c r="K50">
        <f t="shared" si="0"/>
        <v>0.25854440162683345</v>
      </c>
    </row>
    <row r="51" spans="1:11">
      <c r="A51">
        <v>2026</v>
      </c>
      <c r="B51">
        <v>9</v>
      </c>
      <c r="C51" t="s">
        <v>181</v>
      </c>
      <c r="D51" t="s">
        <v>160</v>
      </c>
      <c r="E51" t="s">
        <v>101</v>
      </c>
      <c r="F51">
        <v>1042.795753228228</v>
      </c>
      <c r="G51">
        <v>1929.1721434722219</v>
      </c>
      <c r="H51">
        <v>1</v>
      </c>
      <c r="I51">
        <f>'Nacional · supuestos'!$B$26</f>
        <v>800</v>
      </c>
      <c r="J51">
        <f>F51</f>
        <v>1042.795753228228</v>
      </c>
      <c r="K51">
        <f t="shared" si="0"/>
        <v>1.303494691535285</v>
      </c>
    </row>
    <row r="52" spans="1:11">
      <c r="A52">
        <v>2026</v>
      </c>
      <c r="B52">
        <v>10</v>
      </c>
      <c r="C52" t="s">
        <v>159</v>
      </c>
      <c r="D52" t="s">
        <v>160</v>
      </c>
      <c r="E52" t="s">
        <v>104</v>
      </c>
      <c r="F52">
        <v>1782.2327418809718</v>
      </c>
      <c r="G52">
        <v>4672.0882624934657</v>
      </c>
      <c r="H52">
        <v>2</v>
      </c>
      <c r="I52">
        <f>'Nacional · supuestos'!$B$21</f>
        <v>640</v>
      </c>
      <c r="J52">
        <f>F52*'Nacional · supuestos'!$B$4</f>
        <v>2103.0346354195467</v>
      </c>
      <c r="K52">
        <f t="shared" si="0"/>
        <v>2.7847386591890184</v>
      </c>
    </row>
    <row r="53" spans="1:11">
      <c r="A53">
        <v>2026</v>
      </c>
      <c r="B53">
        <v>10</v>
      </c>
      <c r="C53" t="s">
        <v>162</v>
      </c>
      <c r="D53" t="s">
        <v>160</v>
      </c>
      <c r="E53" t="s">
        <v>98</v>
      </c>
      <c r="F53">
        <v>4739.9806964919462</v>
      </c>
      <c r="G53">
        <v>7107.5608850617382</v>
      </c>
      <c r="H53">
        <v>1</v>
      </c>
      <c r="I53">
        <f>'Nacional · supuestos'!$B$23</f>
        <v>1000</v>
      </c>
      <c r="J53">
        <f>F53*'Nacional · supuestos'!$B$4</f>
        <v>5593.1772218604965</v>
      </c>
      <c r="K53">
        <f t="shared" si="0"/>
        <v>4.739980696491946</v>
      </c>
    </row>
    <row r="54" spans="1:11">
      <c r="A54">
        <v>2026</v>
      </c>
      <c r="B54">
        <v>10</v>
      </c>
      <c r="C54" t="s">
        <v>162</v>
      </c>
      <c r="D54" t="s">
        <v>160</v>
      </c>
      <c r="E54" t="s">
        <v>101</v>
      </c>
      <c r="F54">
        <v>1042.795753228228</v>
      </c>
      <c r="G54">
        <v>1734.9866640197224</v>
      </c>
      <c r="H54">
        <v>1</v>
      </c>
      <c r="I54">
        <f>'Nacional · supuestos'!$B$26</f>
        <v>800</v>
      </c>
      <c r="J54">
        <f>F54</f>
        <v>1042.795753228228</v>
      </c>
      <c r="K54">
        <f t="shared" si="0"/>
        <v>1.303494691535285</v>
      </c>
    </row>
    <row r="55" spans="1:11">
      <c r="A55">
        <v>2026</v>
      </c>
      <c r="B55">
        <v>10</v>
      </c>
      <c r="C55" t="s">
        <v>163</v>
      </c>
      <c r="D55" t="s">
        <v>164</v>
      </c>
      <c r="E55" t="s">
        <v>98</v>
      </c>
      <c r="F55">
        <v>1895.992278596779</v>
      </c>
      <c r="G55">
        <v>3659.2650976917835</v>
      </c>
      <c r="H55">
        <v>1</v>
      </c>
      <c r="I55">
        <f>'Nacional · supuestos'!$B$23</f>
        <v>1000</v>
      </c>
      <c r="J55">
        <f>F55*'Nacional · supuestos'!$B$4</f>
        <v>2237.2708887441991</v>
      </c>
      <c r="K55">
        <f t="shared" si="0"/>
        <v>1.8959922785967789</v>
      </c>
    </row>
    <row r="56" spans="1:11">
      <c r="A56">
        <v>2026</v>
      </c>
      <c r="B56">
        <v>10</v>
      </c>
      <c r="C56" t="s">
        <v>163</v>
      </c>
      <c r="D56" t="s">
        <v>164</v>
      </c>
      <c r="E56" t="s">
        <v>104</v>
      </c>
      <c r="F56">
        <v>3924.704016695332</v>
      </c>
      <c r="G56">
        <v>9883.0596931896325</v>
      </c>
      <c r="H56">
        <v>6</v>
      </c>
      <c r="I56">
        <f>'Nacional · supuestos'!$B$21</f>
        <v>640</v>
      </c>
      <c r="J56">
        <f>F56*'Nacional · supuestos'!$B$4</f>
        <v>4631.1507397004916</v>
      </c>
      <c r="K56">
        <f t="shared" si="0"/>
        <v>6.1323500260864563</v>
      </c>
    </row>
    <row r="57" spans="1:11">
      <c r="A57">
        <v>2026</v>
      </c>
      <c r="B57">
        <v>10</v>
      </c>
      <c r="C57" t="s">
        <v>163</v>
      </c>
      <c r="D57" t="s">
        <v>164</v>
      </c>
      <c r="E57" t="s">
        <v>105</v>
      </c>
      <c r="F57">
        <v>3033.5876457548457</v>
      </c>
      <c r="G57">
        <v>7465.490663555689</v>
      </c>
      <c r="H57">
        <v>4</v>
      </c>
      <c r="I57">
        <f>'Nacional · supuestos'!$B$22</f>
        <v>800</v>
      </c>
      <c r="J57">
        <f>F57*'Nacional · supuestos'!$B$4</f>
        <v>3579.6334219907176</v>
      </c>
      <c r="K57">
        <f t="shared" si="0"/>
        <v>3.7919845571935569</v>
      </c>
    </row>
    <row r="58" spans="1:11">
      <c r="A58">
        <v>2026</v>
      </c>
      <c r="B58">
        <v>10</v>
      </c>
      <c r="C58" t="s">
        <v>163</v>
      </c>
      <c r="D58" t="s">
        <v>164</v>
      </c>
      <c r="E58" t="s">
        <v>99</v>
      </c>
      <c r="F58">
        <v>94.799613929838927</v>
      </c>
      <c r="G58">
        <v>342.87440364857241</v>
      </c>
      <c r="H58">
        <v>1</v>
      </c>
      <c r="I58">
        <f>'Nacional · supuestos'!$B$20</f>
        <v>600</v>
      </c>
      <c r="J58">
        <f>F58*'Nacional · supuestos'!$B$4</f>
        <v>111.86354443720992</v>
      </c>
      <c r="K58">
        <f t="shared" si="0"/>
        <v>0.15799935654973155</v>
      </c>
    </row>
    <row r="59" spans="1:11">
      <c r="A59">
        <v>2026</v>
      </c>
      <c r="B59">
        <v>10</v>
      </c>
      <c r="C59" t="s">
        <v>163</v>
      </c>
      <c r="D59" t="s">
        <v>164</v>
      </c>
      <c r="E59" t="s">
        <v>101</v>
      </c>
      <c r="F59">
        <v>2085.591506456457</v>
      </c>
      <c r="G59">
        <v>3180.9441656473878</v>
      </c>
      <c r="H59">
        <v>1</v>
      </c>
      <c r="I59">
        <f>'Nacional · supuestos'!$B$26</f>
        <v>800</v>
      </c>
      <c r="J59">
        <f>F59</f>
        <v>2085.591506456457</v>
      </c>
      <c r="K59">
        <f t="shared" si="0"/>
        <v>2.6069893830705713</v>
      </c>
    </row>
    <row r="60" spans="1:11">
      <c r="A60">
        <v>2026</v>
      </c>
      <c r="B60">
        <v>10</v>
      </c>
      <c r="C60" t="s">
        <v>166</v>
      </c>
      <c r="D60" t="s">
        <v>160</v>
      </c>
      <c r="E60" t="s">
        <v>98</v>
      </c>
      <c r="F60">
        <v>1895.992278596779</v>
      </c>
      <c r="G60">
        <v>3638.4091826272188</v>
      </c>
      <c r="H60">
        <v>1</v>
      </c>
      <c r="I60">
        <f>'Nacional · supuestos'!$B$23</f>
        <v>1000</v>
      </c>
      <c r="J60">
        <f>F60*'Nacional · supuestos'!$B$4</f>
        <v>2237.2708887441991</v>
      </c>
      <c r="K60">
        <f t="shared" si="0"/>
        <v>1.8959922785967789</v>
      </c>
    </row>
    <row r="61" spans="1:11">
      <c r="A61">
        <v>2026</v>
      </c>
      <c r="B61">
        <v>10</v>
      </c>
      <c r="C61" t="s">
        <v>166</v>
      </c>
      <c r="D61" t="s">
        <v>160</v>
      </c>
      <c r="E61" t="s">
        <v>104</v>
      </c>
      <c r="F61">
        <v>1820.152587452907</v>
      </c>
      <c r="G61">
        <v>4811.2700061671849</v>
      </c>
      <c r="H61">
        <v>2</v>
      </c>
      <c r="I61">
        <f>'Nacional · supuestos'!$B$21</f>
        <v>640</v>
      </c>
      <c r="J61">
        <f>F61*'Nacional · supuestos'!$B$4</f>
        <v>2147.7800531944304</v>
      </c>
      <c r="K61">
        <f t="shared" si="0"/>
        <v>2.8439884178951673</v>
      </c>
    </row>
    <row r="62" spans="1:11">
      <c r="A62">
        <v>2026</v>
      </c>
      <c r="B62">
        <v>10</v>
      </c>
      <c r="C62" t="s">
        <v>166</v>
      </c>
      <c r="D62" t="s">
        <v>160</v>
      </c>
      <c r="E62" t="s">
        <v>99</v>
      </c>
      <c r="F62">
        <v>568.79768357903356</v>
      </c>
      <c r="G62">
        <v>2235.374896465602</v>
      </c>
      <c r="H62">
        <v>1</v>
      </c>
      <c r="I62">
        <f>'Nacional · supuestos'!$B$20</f>
        <v>600</v>
      </c>
      <c r="J62">
        <f>F62*'Nacional · supuestos'!$B$4</f>
        <v>671.1812666232596</v>
      </c>
      <c r="K62">
        <f t="shared" si="0"/>
        <v>0.94799613929838922</v>
      </c>
    </row>
    <row r="63" spans="1:11">
      <c r="A63">
        <v>2026</v>
      </c>
      <c r="B63">
        <v>10</v>
      </c>
      <c r="C63" t="s">
        <v>166</v>
      </c>
      <c r="D63" t="s">
        <v>160</v>
      </c>
      <c r="E63" t="s">
        <v>101</v>
      </c>
      <c r="F63">
        <v>2085.591506456457</v>
      </c>
      <c r="G63">
        <v>3399.5141555240248</v>
      </c>
      <c r="H63">
        <v>1</v>
      </c>
      <c r="I63">
        <f>'Nacional · supuestos'!$B$26</f>
        <v>800</v>
      </c>
      <c r="J63">
        <f>F63</f>
        <v>2085.591506456457</v>
      </c>
      <c r="K63">
        <f t="shared" si="0"/>
        <v>2.6069893830705713</v>
      </c>
    </row>
    <row r="64" spans="1:11">
      <c r="A64">
        <v>2026</v>
      </c>
      <c r="B64">
        <v>10</v>
      </c>
      <c r="C64" t="s">
        <v>167</v>
      </c>
      <c r="D64" t="s">
        <v>160</v>
      </c>
      <c r="E64" t="s">
        <v>99</v>
      </c>
      <c r="F64">
        <v>94.799613929838927</v>
      </c>
      <c r="G64">
        <v>492.00999629586408</v>
      </c>
      <c r="H64">
        <v>1</v>
      </c>
      <c r="I64">
        <f>'Nacional · supuestos'!$B$20</f>
        <v>600</v>
      </c>
      <c r="J64">
        <f>F64*'Nacional · supuestos'!$B$4</f>
        <v>111.86354443720992</v>
      </c>
      <c r="K64">
        <f t="shared" si="0"/>
        <v>0.15799935654973155</v>
      </c>
    </row>
    <row r="65" spans="1:11">
      <c r="A65">
        <v>2026</v>
      </c>
      <c r="B65">
        <v>10</v>
      </c>
      <c r="C65" t="s">
        <v>168</v>
      </c>
      <c r="D65" t="s">
        <v>160</v>
      </c>
      <c r="E65" t="s">
        <v>104</v>
      </c>
      <c r="F65">
        <v>891.11637094048592</v>
      </c>
      <c r="G65">
        <v>2432.4948936970472</v>
      </c>
      <c r="H65">
        <v>2</v>
      </c>
      <c r="I65">
        <f>'Nacional · supuestos'!$B$21</f>
        <v>640</v>
      </c>
      <c r="J65">
        <f>F65*'Nacional · supuestos'!$B$4</f>
        <v>1051.5173177097734</v>
      </c>
      <c r="K65">
        <f t="shared" si="0"/>
        <v>1.3923693295945092</v>
      </c>
    </row>
    <row r="66" spans="1:11">
      <c r="A66">
        <v>2026</v>
      </c>
      <c r="B66">
        <v>10</v>
      </c>
      <c r="C66" t="s">
        <v>169</v>
      </c>
      <c r="D66" t="s">
        <v>160</v>
      </c>
      <c r="E66" t="s">
        <v>104</v>
      </c>
      <c r="F66">
        <v>284.39884178951684</v>
      </c>
      <c r="G66">
        <v>1299.702706978092</v>
      </c>
      <c r="H66">
        <v>2</v>
      </c>
      <c r="I66">
        <f>'Nacional · supuestos'!$B$21</f>
        <v>640</v>
      </c>
      <c r="J66">
        <f>F66*'Nacional · supuestos'!$B$4</f>
        <v>335.59063331162986</v>
      </c>
      <c r="K66">
        <f t="shared" si="0"/>
        <v>0.44437319029612005</v>
      </c>
    </row>
    <row r="67" spans="1:11">
      <c r="A67">
        <v>2026</v>
      </c>
      <c r="B67">
        <v>10</v>
      </c>
      <c r="C67" t="s">
        <v>169</v>
      </c>
      <c r="D67" t="s">
        <v>160</v>
      </c>
      <c r="E67" t="s">
        <v>99</v>
      </c>
      <c r="F67">
        <v>284.39884178951678</v>
      </c>
      <c r="G67">
        <v>1574.9708491101555</v>
      </c>
      <c r="H67">
        <v>1</v>
      </c>
      <c r="I67">
        <f>'Nacional · supuestos'!$B$20</f>
        <v>600</v>
      </c>
      <c r="J67">
        <f>F67*'Nacional · supuestos'!$B$4</f>
        <v>335.5906333116298</v>
      </c>
      <c r="K67">
        <f t="shared" si="0"/>
        <v>0.47399806964919461</v>
      </c>
    </row>
    <row r="68" spans="1:11">
      <c r="A68">
        <v>2026</v>
      </c>
      <c r="B68">
        <v>10</v>
      </c>
      <c r="C68" t="s">
        <v>170</v>
      </c>
      <c r="D68" t="s">
        <v>160</v>
      </c>
      <c r="E68" t="s">
        <v>104</v>
      </c>
      <c r="F68">
        <v>3640.3051749058145</v>
      </c>
      <c r="G68">
        <v>11465.44450713044</v>
      </c>
      <c r="H68">
        <v>4</v>
      </c>
      <c r="I68">
        <f>'Nacional · supuestos'!$B$21</f>
        <v>640</v>
      </c>
      <c r="J68">
        <f>F68*'Nacional · supuestos'!$B$4</f>
        <v>4295.5601063888607</v>
      </c>
      <c r="K68">
        <f t="shared" si="0"/>
        <v>5.6879768357903355</v>
      </c>
    </row>
    <row r="69" spans="1:11">
      <c r="A69">
        <v>2026</v>
      </c>
      <c r="B69">
        <v>10</v>
      </c>
      <c r="C69" t="s">
        <v>170</v>
      </c>
      <c r="D69" t="s">
        <v>160</v>
      </c>
      <c r="E69" t="s">
        <v>102</v>
      </c>
      <c r="F69">
        <v>473.99806964919469</v>
      </c>
      <c r="G69">
        <v>1985.1039156908273</v>
      </c>
      <c r="H69">
        <v>1</v>
      </c>
      <c r="I69">
        <f>'Nacional · supuestos'!$B$25</f>
        <v>750</v>
      </c>
      <c r="J69">
        <f>F69</f>
        <v>473.99806964919469</v>
      </c>
      <c r="K69">
        <f t="shared" si="0"/>
        <v>0.63199742619892629</v>
      </c>
    </row>
    <row r="70" spans="1:11">
      <c r="A70">
        <v>2026</v>
      </c>
      <c r="B70">
        <v>10</v>
      </c>
      <c r="C70" t="s">
        <v>171</v>
      </c>
      <c r="D70" t="s">
        <v>164</v>
      </c>
      <c r="E70" t="s">
        <v>104</v>
      </c>
      <c r="F70">
        <v>1213.4350583019379</v>
      </c>
      <c r="G70">
        <v>2341.9296625227403</v>
      </c>
      <c r="H70">
        <v>1</v>
      </c>
      <c r="I70">
        <f>'Nacional · supuestos'!$B$21</f>
        <v>640</v>
      </c>
      <c r="J70">
        <f>F70*'Nacional · supuestos'!$B$4</f>
        <v>1431.8533687962868</v>
      </c>
      <c r="K70">
        <f t="shared" si="0"/>
        <v>1.895992278596778</v>
      </c>
    </row>
    <row r="71" spans="1:11">
      <c r="A71">
        <v>2026</v>
      </c>
      <c r="B71">
        <v>10</v>
      </c>
      <c r="C71" t="s">
        <v>171</v>
      </c>
      <c r="D71" t="s">
        <v>164</v>
      </c>
      <c r="E71" t="s">
        <v>99</v>
      </c>
      <c r="F71">
        <v>1137.5953671580669</v>
      </c>
      <c r="G71">
        <v>2423.0781320466822</v>
      </c>
      <c r="H71">
        <v>1</v>
      </c>
      <c r="I71">
        <f>'Nacional · supuestos'!$B$20</f>
        <v>600</v>
      </c>
      <c r="J71">
        <f>F71*'Nacional · supuestos'!$B$4</f>
        <v>1342.3625332465188</v>
      </c>
      <c r="K71">
        <f t="shared" ref="K71:K134" si="1">F71/I71</f>
        <v>1.8959922785967782</v>
      </c>
    </row>
    <row r="72" spans="1:11">
      <c r="A72">
        <v>2026</v>
      </c>
      <c r="B72">
        <v>10</v>
      </c>
      <c r="C72" t="s">
        <v>171</v>
      </c>
      <c r="D72" t="s">
        <v>164</v>
      </c>
      <c r="E72" t="s">
        <v>101</v>
      </c>
      <c r="F72">
        <v>1042.795753228228</v>
      </c>
      <c r="G72">
        <v>1624.0690660004286</v>
      </c>
      <c r="H72">
        <v>1</v>
      </c>
      <c r="I72">
        <f>'Nacional · supuestos'!$B$26</f>
        <v>800</v>
      </c>
      <c r="J72">
        <f>F72</f>
        <v>1042.795753228228</v>
      </c>
      <c r="K72">
        <f t="shared" si="1"/>
        <v>1.303494691535285</v>
      </c>
    </row>
    <row r="73" spans="1:11">
      <c r="A73">
        <v>2026</v>
      </c>
      <c r="B73">
        <v>10</v>
      </c>
      <c r="C73" t="s">
        <v>171</v>
      </c>
      <c r="D73" t="s">
        <v>164</v>
      </c>
      <c r="E73" t="s">
        <v>102</v>
      </c>
      <c r="F73">
        <v>4171.183012912913</v>
      </c>
      <c r="G73">
        <v>7190.4777937983381</v>
      </c>
      <c r="H73">
        <v>1</v>
      </c>
      <c r="I73">
        <f>'Nacional · supuestos'!$B$25</f>
        <v>750</v>
      </c>
      <c r="J73">
        <f>F73</f>
        <v>4171.183012912913</v>
      </c>
      <c r="K73">
        <f t="shared" si="1"/>
        <v>5.561577350550551</v>
      </c>
    </row>
    <row r="74" spans="1:11">
      <c r="A74">
        <v>2026</v>
      </c>
      <c r="B74">
        <v>10</v>
      </c>
      <c r="C74" t="s">
        <v>172</v>
      </c>
      <c r="D74" t="s">
        <v>160</v>
      </c>
      <c r="E74" t="s">
        <v>104</v>
      </c>
      <c r="F74">
        <v>11470.753285510511</v>
      </c>
      <c r="G74">
        <v>32988.245904444782</v>
      </c>
      <c r="H74">
        <v>5</v>
      </c>
      <c r="I74">
        <f>'Nacional · supuestos'!$B$21</f>
        <v>640</v>
      </c>
      <c r="J74">
        <f>F74*'Nacional · supuestos'!$B$4</f>
        <v>13535.488876902402</v>
      </c>
      <c r="K74">
        <f t="shared" si="1"/>
        <v>17.923052008610174</v>
      </c>
    </row>
    <row r="75" spans="1:11">
      <c r="A75">
        <v>2026</v>
      </c>
      <c r="B75">
        <v>10</v>
      </c>
      <c r="C75" t="s">
        <v>172</v>
      </c>
      <c r="D75" t="s">
        <v>160</v>
      </c>
      <c r="E75" t="s">
        <v>99</v>
      </c>
      <c r="F75">
        <v>872.1564481545181</v>
      </c>
      <c r="G75">
        <v>4704.2280906248861</v>
      </c>
      <c r="H75">
        <v>6</v>
      </c>
      <c r="I75">
        <f>'Nacional · supuestos'!$B$20</f>
        <v>600</v>
      </c>
      <c r="J75">
        <f>F75*'Nacional · supuestos'!$B$4</f>
        <v>1029.1446088223313</v>
      </c>
      <c r="K75">
        <f t="shared" si="1"/>
        <v>1.4535940802575302</v>
      </c>
    </row>
    <row r="76" spans="1:11">
      <c r="A76">
        <v>2026</v>
      </c>
      <c r="B76">
        <v>10</v>
      </c>
      <c r="C76" t="s">
        <v>172</v>
      </c>
      <c r="D76" t="s">
        <v>160</v>
      </c>
      <c r="E76" t="s">
        <v>100</v>
      </c>
      <c r="F76">
        <v>113.7595367158067</v>
      </c>
      <c r="G76">
        <v>1071.8044350907589</v>
      </c>
      <c r="H76">
        <v>1</v>
      </c>
      <c r="I76">
        <f>'Nacional · supuestos'!$B$24</f>
        <v>1056</v>
      </c>
      <c r="J76">
        <f>F76</f>
        <v>113.7595367158067</v>
      </c>
      <c r="K76">
        <f t="shared" si="1"/>
        <v>0.10772683401118059</v>
      </c>
    </row>
    <row r="77" spans="1:11">
      <c r="A77">
        <v>2026</v>
      </c>
      <c r="B77">
        <v>10</v>
      </c>
      <c r="C77" t="s">
        <v>172</v>
      </c>
      <c r="D77" t="s">
        <v>160</v>
      </c>
      <c r="E77" t="s">
        <v>102</v>
      </c>
      <c r="F77">
        <v>805.79671840363096</v>
      </c>
      <c r="G77">
        <v>3192.3257855027896</v>
      </c>
      <c r="H77">
        <v>1</v>
      </c>
      <c r="I77">
        <f>'Nacional · supuestos'!$B$25</f>
        <v>750</v>
      </c>
      <c r="J77">
        <f>F77</f>
        <v>805.79671840363096</v>
      </c>
      <c r="K77">
        <f t="shared" si="1"/>
        <v>1.0743956245381747</v>
      </c>
    </row>
    <row r="78" spans="1:11">
      <c r="A78">
        <v>2026</v>
      </c>
      <c r="B78">
        <v>10</v>
      </c>
      <c r="C78" t="s">
        <v>173</v>
      </c>
      <c r="D78" t="s">
        <v>160</v>
      </c>
      <c r="E78" t="s">
        <v>98</v>
      </c>
      <c r="F78">
        <v>2843.9884178951684</v>
      </c>
      <c r="G78">
        <v>6550.6533225518715</v>
      </c>
      <c r="H78">
        <v>2</v>
      </c>
      <c r="I78">
        <f>'Nacional · supuestos'!$B$23</f>
        <v>1000</v>
      </c>
      <c r="J78">
        <f>F78*'Nacional · supuestos'!$B$4</f>
        <v>3355.9063331162984</v>
      </c>
      <c r="K78">
        <f t="shared" si="1"/>
        <v>2.8439884178951682</v>
      </c>
    </row>
    <row r="79" spans="1:11">
      <c r="A79">
        <v>2026</v>
      </c>
      <c r="B79">
        <v>10</v>
      </c>
      <c r="C79" t="s">
        <v>173</v>
      </c>
      <c r="D79" t="s">
        <v>160</v>
      </c>
      <c r="E79" t="s">
        <v>104</v>
      </c>
      <c r="F79">
        <v>1213.4350583019384</v>
      </c>
      <c r="G79">
        <v>3743.4471548614802</v>
      </c>
      <c r="H79">
        <v>2</v>
      </c>
      <c r="I79">
        <f>'Nacional · supuestos'!$B$21</f>
        <v>640</v>
      </c>
      <c r="J79">
        <f>F79*'Nacional · supuestos'!$B$4</f>
        <v>1431.8533687962872</v>
      </c>
      <c r="K79">
        <f t="shared" si="1"/>
        <v>1.8959922785967787</v>
      </c>
    </row>
    <row r="80" spans="1:11">
      <c r="A80">
        <v>2026</v>
      </c>
      <c r="B80">
        <v>10</v>
      </c>
      <c r="C80" t="s">
        <v>173</v>
      </c>
      <c r="D80" t="s">
        <v>160</v>
      </c>
      <c r="E80" t="s">
        <v>101</v>
      </c>
      <c r="F80">
        <v>1801.1926646669394</v>
      </c>
      <c r="G80">
        <v>4201.7968512014286</v>
      </c>
      <c r="H80">
        <v>2</v>
      </c>
      <c r="I80">
        <f>'Nacional · supuestos'!$B$26</f>
        <v>800</v>
      </c>
      <c r="J80">
        <f>F80</f>
        <v>1801.1926646669394</v>
      </c>
      <c r="K80">
        <f t="shared" si="1"/>
        <v>2.2514908308336743</v>
      </c>
    </row>
    <row r="81" spans="1:11">
      <c r="A81">
        <v>2026</v>
      </c>
      <c r="B81">
        <v>10</v>
      </c>
      <c r="C81" t="s">
        <v>174</v>
      </c>
      <c r="D81" t="s">
        <v>160</v>
      </c>
      <c r="E81" t="s">
        <v>98</v>
      </c>
      <c r="F81">
        <v>7583.9691143871141</v>
      </c>
      <c r="G81">
        <v>14377.303420007072</v>
      </c>
      <c r="H81">
        <v>2</v>
      </c>
      <c r="I81">
        <f>'Nacional · supuestos'!$B$23</f>
        <v>1000</v>
      </c>
      <c r="J81">
        <f>F81*'Nacional · supuestos'!$B$4</f>
        <v>8949.0835549767944</v>
      </c>
      <c r="K81">
        <f t="shared" si="1"/>
        <v>7.5839691143871137</v>
      </c>
    </row>
    <row r="82" spans="1:11">
      <c r="A82">
        <v>2026</v>
      </c>
      <c r="B82">
        <v>10</v>
      </c>
      <c r="C82" t="s">
        <v>174</v>
      </c>
      <c r="D82" t="s">
        <v>160</v>
      </c>
      <c r="E82" t="s">
        <v>104</v>
      </c>
      <c r="F82">
        <v>3317.9864875443618</v>
      </c>
      <c r="G82">
        <v>17961.198319926491</v>
      </c>
      <c r="H82">
        <v>5</v>
      </c>
      <c r="I82">
        <f>'Nacional · supuestos'!$B$21</f>
        <v>640</v>
      </c>
      <c r="J82">
        <f>F82*'Nacional · supuestos'!$B$4</f>
        <v>3915.2240553023466</v>
      </c>
      <c r="K82">
        <f t="shared" si="1"/>
        <v>5.184353886788065</v>
      </c>
    </row>
    <row r="83" spans="1:11">
      <c r="A83">
        <v>2026</v>
      </c>
      <c r="B83">
        <v>10</v>
      </c>
      <c r="C83" t="s">
        <v>174</v>
      </c>
      <c r="D83" t="s">
        <v>160</v>
      </c>
      <c r="E83" t="s">
        <v>105</v>
      </c>
      <c r="F83">
        <v>2275.1907343161347</v>
      </c>
      <c r="G83">
        <v>4899.2440478940762</v>
      </c>
      <c r="H83">
        <v>2</v>
      </c>
      <c r="I83">
        <f>'Nacional · supuestos'!$B$22</f>
        <v>800</v>
      </c>
      <c r="J83">
        <f>F83*'Nacional · supuestos'!$B$4</f>
        <v>2684.7250664930389</v>
      </c>
      <c r="K83">
        <f t="shared" si="1"/>
        <v>2.8439884178951682</v>
      </c>
    </row>
    <row r="84" spans="1:11">
      <c r="A84">
        <v>2026</v>
      </c>
      <c r="B84">
        <v>10</v>
      </c>
      <c r="C84" t="s">
        <v>174</v>
      </c>
      <c r="D84" t="s">
        <v>160</v>
      </c>
      <c r="E84" t="s">
        <v>101</v>
      </c>
      <c r="F84">
        <v>10901.955601931477</v>
      </c>
      <c r="G84">
        <v>22850.249468980139</v>
      </c>
      <c r="H84">
        <v>3</v>
      </c>
      <c r="I84">
        <f>'Nacional · supuestos'!$B$26</f>
        <v>800</v>
      </c>
      <c r="J84">
        <f>F84</f>
        <v>10901.955601931477</v>
      </c>
      <c r="K84">
        <f t="shared" si="1"/>
        <v>13.627444502414345</v>
      </c>
    </row>
    <row r="85" spans="1:11">
      <c r="A85">
        <v>2026</v>
      </c>
      <c r="B85">
        <v>10</v>
      </c>
      <c r="C85" t="s">
        <v>175</v>
      </c>
      <c r="D85" t="s">
        <v>160</v>
      </c>
      <c r="E85" t="s">
        <v>104</v>
      </c>
      <c r="F85">
        <v>7887.3278789625983</v>
      </c>
      <c r="G85">
        <v>24481.861257947137</v>
      </c>
      <c r="H85">
        <v>4</v>
      </c>
      <c r="I85">
        <f>'Nacional · supuestos'!$B$21</f>
        <v>640</v>
      </c>
      <c r="J85">
        <f>F85*'Nacional · supuestos'!$B$4</f>
        <v>9307.0468971758655</v>
      </c>
      <c r="K85">
        <f t="shared" si="1"/>
        <v>12.323949810879061</v>
      </c>
    </row>
    <row r="86" spans="1:11">
      <c r="A86">
        <v>2026</v>
      </c>
      <c r="B86">
        <v>10</v>
      </c>
      <c r="C86" t="s">
        <v>175</v>
      </c>
      <c r="D86" t="s">
        <v>160</v>
      </c>
      <c r="E86" t="s">
        <v>99</v>
      </c>
      <c r="F86">
        <v>1516.7938228774231</v>
      </c>
      <c r="G86">
        <v>9240.3971921353113</v>
      </c>
      <c r="H86">
        <v>3</v>
      </c>
      <c r="I86">
        <f>'Nacional · supuestos'!$B$20</f>
        <v>600</v>
      </c>
      <c r="J86">
        <f>F86*'Nacional · supuestos'!$B$4</f>
        <v>1789.816710995359</v>
      </c>
      <c r="K86">
        <f t="shared" si="1"/>
        <v>2.5279897047957052</v>
      </c>
    </row>
    <row r="87" spans="1:11">
      <c r="A87">
        <v>2026</v>
      </c>
      <c r="B87">
        <v>10</v>
      </c>
      <c r="C87" t="s">
        <v>182</v>
      </c>
      <c r="D87" t="s">
        <v>160</v>
      </c>
      <c r="E87" t="s">
        <v>98</v>
      </c>
      <c r="F87">
        <v>8531.9652536855046</v>
      </c>
      <c r="G87">
        <v>13076.626242757207</v>
      </c>
      <c r="H87">
        <v>1</v>
      </c>
      <c r="I87">
        <f>'Nacional · supuestos'!$B$23</f>
        <v>1000</v>
      </c>
      <c r="J87">
        <f>F87*'Nacional · supuestos'!$B$4</f>
        <v>10067.718999348896</v>
      </c>
      <c r="K87">
        <f t="shared" si="1"/>
        <v>8.5319652536855042</v>
      </c>
    </row>
    <row r="88" spans="1:11">
      <c r="A88">
        <v>2026</v>
      </c>
      <c r="B88">
        <v>10</v>
      </c>
      <c r="C88" t="s">
        <v>182</v>
      </c>
      <c r="D88" t="s">
        <v>160</v>
      </c>
      <c r="E88" t="s">
        <v>104</v>
      </c>
      <c r="F88">
        <v>4853.7402332077518</v>
      </c>
      <c r="G88">
        <v>18117.852157768801</v>
      </c>
      <c r="H88">
        <v>4</v>
      </c>
      <c r="I88">
        <f>'Nacional · supuestos'!$B$21</f>
        <v>640</v>
      </c>
      <c r="J88">
        <f>F88*'Nacional · supuestos'!$B$4</f>
        <v>5727.413475185147</v>
      </c>
      <c r="K88">
        <f t="shared" si="1"/>
        <v>7.583969114387112</v>
      </c>
    </row>
    <row r="89" spans="1:11">
      <c r="A89">
        <v>2026</v>
      </c>
      <c r="B89">
        <v>10</v>
      </c>
      <c r="C89" t="s">
        <v>182</v>
      </c>
      <c r="D89" t="s">
        <v>160</v>
      </c>
      <c r="E89" t="s">
        <v>101</v>
      </c>
      <c r="F89">
        <v>758.39691143871141</v>
      </c>
      <c r="G89">
        <v>2513.7734803381472</v>
      </c>
      <c r="H89">
        <v>1</v>
      </c>
      <c r="I89">
        <f>'Nacional · supuestos'!$B$26</f>
        <v>800</v>
      </c>
      <c r="J89">
        <f>F89</f>
        <v>758.39691143871141</v>
      </c>
      <c r="K89">
        <f t="shared" si="1"/>
        <v>0.94799613929838922</v>
      </c>
    </row>
    <row r="90" spans="1:11">
      <c r="A90">
        <v>2026</v>
      </c>
      <c r="B90">
        <v>10</v>
      </c>
      <c r="C90" t="s">
        <v>183</v>
      </c>
      <c r="D90" t="s">
        <v>164</v>
      </c>
      <c r="E90" t="s">
        <v>98</v>
      </c>
      <c r="F90">
        <v>9479.9613929838943</v>
      </c>
      <c r="G90">
        <v>22508.539718888125</v>
      </c>
      <c r="H90">
        <v>2</v>
      </c>
      <c r="I90">
        <f>'Nacional · supuestos'!$B$23</f>
        <v>1000</v>
      </c>
      <c r="J90">
        <f>F90*'Nacional · supuestos'!$B$4</f>
        <v>11186.354443720995</v>
      </c>
      <c r="K90">
        <f t="shared" si="1"/>
        <v>9.4799613929838937</v>
      </c>
    </row>
    <row r="91" spans="1:11">
      <c r="A91">
        <v>2026</v>
      </c>
      <c r="B91">
        <v>10</v>
      </c>
      <c r="C91" t="s">
        <v>183</v>
      </c>
      <c r="D91" t="s">
        <v>164</v>
      </c>
      <c r="E91" t="s">
        <v>104</v>
      </c>
      <c r="F91">
        <v>2635.4292672495212</v>
      </c>
      <c r="G91">
        <v>7535.9398379856975</v>
      </c>
      <c r="H91">
        <v>3</v>
      </c>
      <c r="I91">
        <f>'Nacional · supuestos'!$B$21</f>
        <v>640</v>
      </c>
      <c r="J91">
        <f>F91*'Nacional · supuestos'!$B$4</f>
        <v>3109.8065353544348</v>
      </c>
      <c r="K91">
        <f t="shared" si="1"/>
        <v>4.1178582300773767</v>
      </c>
    </row>
    <row r="92" spans="1:11">
      <c r="A92">
        <v>2026</v>
      </c>
      <c r="B92">
        <v>10</v>
      </c>
      <c r="C92" t="s">
        <v>183</v>
      </c>
      <c r="D92" t="s">
        <v>164</v>
      </c>
      <c r="E92" t="s">
        <v>105</v>
      </c>
      <c r="F92">
        <v>758.39691143871141</v>
      </c>
      <c r="G92">
        <v>2143.0129868939589</v>
      </c>
      <c r="H92">
        <v>1</v>
      </c>
      <c r="I92">
        <f>'Nacional · supuestos'!$B$22</f>
        <v>800</v>
      </c>
      <c r="J92">
        <f>F92*'Nacional · supuestos'!$B$4</f>
        <v>894.90835549767939</v>
      </c>
      <c r="K92">
        <f t="shared" si="1"/>
        <v>0.94799613929838922</v>
      </c>
    </row>
    <row r="93" spans="1:11">
      <c r="A93">
        <v>2026</v>
      </c>
      <c r="B93">
        <v>10</v>
      </c>
      <c r="C93" t="s">
        <v>176</v>
      </c>
      <c r="D93" t="s">
        <v>160</v>
      </c>
      <c r="E93" t="s">
        <v>104</v>
      </c>
      <c r="F93">
        <v>3033.5876457548461</v>
      </c>
      <c r="G93">
        <v>8719.1799924324532</v>
      </c>
      <c r="H93">
        <v>2</v>
      </c>
      <c r="I93">
        <f>'Nacional · supuestos'!$B$21</f>
        <v>640</v>
      </c>
      <c r="J93">
        <f>F93*'Nacional · supuestos'!$B$4</f>
        <v>3579.633421990718</v>
      </c>
      <c r="K93">
        <f t="shared" si="1"/>
        <v>4.7399806964919469</v>
      </c>
    </row>
    <row r="94" spans="1:11">
      <c r="A94">
        <v>2026</v>
      </c>
      <c r="B94">
        <v>10</v>
      </c>
      <c r="C94" t="s">
        <v>178</v>
      </c>
      <c r="D94" t="s">
        <v>160</v>
      </c>
      <c r="E94" t="s">
        <v>104</v>
      </c>
      <c r="F94">
        <v>3564.4654837619446</v>
      </c>
      <c r="G94">
        <v>12020.897960053677</v>
      </c>
      <c r="H94">
        <v>3</v>
      </c>
      <c r="I94">
        <f>'Nacional · supuestos'!$B$21</f>
        <v>640</v>
      </c>
      <c r="J94">
        <f>F94*'Nacional · supuestos'!$B$4</f>
        <v>4206.0692708390943</v>
      </c>
      <c r="K94">
        <f t="shared" si="1"/>
        <v>5.5694773183780386</v>
      </c>
    </row>
    <row r="95" spans="1:11">
      <c r="A95">
        <v>2026</v>
      </c>
      <c r="B95">
        <v>10</v>
      </c>
      <c r="C95" t="s">
        <v>178</v>
      </c>
      <c r="D95" t="s">
        <v>160</v>
      </c>
      <c r="E95" t="s">
        <v>99</v>
      </c>
      <c r="F95">
        <v>701.51714308080807</v>
      </c>
      <c r="G95">
        <v>5529.83979408704</v>
      </c>
      <c r="H95">
        <v>4</v>
      </c>
      <c r="I95">
        <f>'Nacional · supuestos'!$B$20</f>
        <v>600</v>
      </c>
      <c r="J95">
        <f>F95*'Nacional · supuestos'!$B$4</f>
        <v>827.79022883535345</v>
      </c>
      <c r="K95">
        <f t="shared" si="1"/>
        <v>1.1691952384680135</v>
      </c>
    </row>
    <row r="96" spans="1:11">
      <c r="A96">
        <v>2026</v>
      </c>
      <c r="B96">
        <v>10</v>
      </c>
      <c r="C96" t="s">
        <v>178</v>
      </c>
      <c r="D96" t="s">
        <v>160</v>
      </c>
      <c r="E96" t="s">
        <v>100</v>
      </c>
      <c r="F96">
        <v>102.383583044226</v>
      </c>
      <c r="G96">
        <v>997.21609885076123</v>
      </c>
      <c r="H96">
        <v>1</v>
      </c>
      <c r="I96">
        <f>'Nacional · supuestos'!$B$24</f>
        <v>1056</v>
      </c>
      <c r="J96">
        <f>F96</f>
        <v>102.383583044226</v>
      </c>
      <c r="K96">
        <f t="shared" si="1"/>
        <v>9.6954150610062503E-2</v>
      </c>
    </row>
    <row r="97" spans="1:11">
      <c r="A97">
        <v>2026</v>
      </c>
      <c r="B97">
        <v>10</v>
      </c>
      <c r="C97" t="s">
        <v>179</v>
      </c>
      <c r="D97" t="s">
        <v>160</v>
      </c>
      <c r="E97" t="s">
        <v>104</v>
      </c>
      <c r="F97">
        <v>1820.152587452907</v>
      </c>
      <c r="G97">
        <v>6279.5264267125294</v>
      </c>
      <c r="H97">
        <v>1</v>
      </c>
      <c r="I97">
        <f>'Nacional · supuestos'!$B$21</f>
        <v>640</v>
      </c>
      <c r="J97">
        <f>F97*'Nacional · supuestos'!$B$4</f>
        <v>2147.7800531944304</v>
      </c>
      <c r="K97">
        <f t="shared" si="1"/>
        <v>2.8439884178951673</v>
      </c>
    </row>
    <row r="98" spans="1:11">
      <c r="A98">
        <v>2026</v>
      </c>
      <c r="B98">
        <v>10</v>
      </c>
      <c r="C98" t="s">
        <v>179</v>
      </c>
      <c r="D98" t="s">
        <v>160</v>
      </c>
      <c r="E98" t="s">
        <v>99</v>
      </c>
      <c r="F98">
        <v>75.83969114387115</v>
      </c>
      <c r="G98">
        <v>1147.4545270067706</v>
      </c>
      <c r="H98">
        <v>1</v>
      </c>
      <c r="I98">
        <f>'Nacional · supuestos'!$B$20</f>
        <v>600</v>
      </c>
      <c r="J98">
        <f>F98*'Nacional · supuestos'!$B$4</f>
        <v>89.490835549767951</v>
      </c>
      <c r="K98">
        <f t="shared" si="1"/>
        <v>0.12639948523978525</v>
      </c>
    </row>
    <row r="99" spans="1:11">
      <c r="A99">
        <v>2026</v>
      </c>
      <c r="B99">
        <v>10</v>
      </c>
      <c r="C99" t="s">
        <v>179</v>
      </c>
      <c r="D99" t="s">
        <v>160</v>
      </c>
      <c r="E99" t="s">
        <v>102</v>
      </c>
      <c r="F99">
        <v>71.099710447379195</v>
      </c>
      <c r="G99">
        <v>308.66754295555558</v>
      </c>
      <c r="H99">
        <v>1</v>
      </c>
      <c r="I99">
        <f>'Nacional · supuestos'!$B$25</f>
        <v>750</v>
      </c>
      <c r="J99">
        <f>F99</f>
        <v>71.099710447379195</v>
      </c>
      <c r="K99">
        <f t="shared" si="1"/>
        <v>9.4799613929838933E-2</v>
      </c>
    </row>
    <row r="100" spans="1:11">
      <c r="A100">
        <v>2026</v>
      </c>
      <c r="B100">
        <v>10</v>
      </c>
      <c r="C100" t="s">
        <v>184</v>
      </c>
      <c r="D100" t="s">
        <v>160</v>
      </c>
      <c r="E100" t="s">
        <v>105</v>
      </c>
      <c r="F100">
        <v>758.39691143871141</v>
      </c>
      <c r="G100">
        <v>2540.6296533196833</v>
      </c>
      <c r="H100">
        <v>1</v>
      </c>
      <c r="I100">
        <f>'Nacional · supuestos'!$B$22</f>
        <v>800</v>
      </c>
      <c r="J100">
        <f>F100*'Nacional · supuestos'!$B$4</f>
        <v>894.90835549767939</v>
      </c>
      <c r="K100">
        <f t="shared" si="1"/>
        <v>0.94799613929838922</v>
      </c>
    </row>
    <row r="101" spans="1:11">
      <c r="A101">
        <v>2026</v>
      </c>
      <c r="B101">
        <v>10</v>
      </c>
      <c r="C101" t="s">
        <v>180</v>
      </c>
      <c r="D101" t="s">
        <v>160</v>
      </c>
      <c r="E101" t="s">
        <v>104</v>
      </c>
      <c r="F101">
        <v>1175.5152127300028</v>
      </c>
      <c r="G101">
        <v>3302.3724334853305</v>
      </c>
      <c r="H101">
        <v>2</v>
      </c>
      <c r="I101">
        <f>'Nacional · supuestos'!$B$21</f>
        <v>640</v>
      </c>
      <c r="J101">
        <f>F101*'Nacional · supuestos'!$B$4</f>
        <v>1387.1079510214031</v>
      </c>
      <c r="K101">
        <f t="shared" si="1"/>
        <v>1.8367425198906293</v>
      </c>
    </row>
    <row r="102" spans="1:11">
      <c r="A102">
        <v>2026</v>
      </c>
      <c r="B102">
        <v>10</v>
      </c>
      <c r="C102" t="s">
        <v>180</v>
      </c>
      <c r="D102" t="s">
        <v>160</v>
      </c>
      <c r="E102" t="s">
        <v>99</v>
      </c>
      <c r="F102">
        <v>663.59729750887254</v>
      </c>
      <c r="G102">
        <v>2129.2835951876755</v>
      </c>
      <c r="H102">
        <v>4</v>
      </c>
      <c r="I102">
        <f>'Nacional · supuestos'!$B$20</f>
        <v>600</v>
      </c>
      <c r="J102">
        <f>F102*'Nacional · supuestos'!$B$4</f>
        <v>783.04481106046956</v>
      </c>
      <c r="K102">
        <f t="shared" si="1"/>
        <v>1.1059954958481208</v>
      </c>
    </row>
    <row r="103" spans="1:11">
      <c r="A103">
        <v>2026</v>
      </c>
      <c r="B103">
        <v>10</v>
      </c>
      <c r="C103" t="s">
        <v>180</v>
      </c>
      <c r="D103" t="s">
        <v>160</v>
      </c>
      <c r="E103" t="s">
        <v>102</v>
      </c>
      <c r="F103">
        <v>189.59922785967791</v>
      </c>
      <c r="G103">
        <v>875.19003580027322</v>
      </c>
      <c r="H103">
        <v>1</v>
      </c>
      <c r="I103">
        <f>'Nacional · supuestos'!$B$25</f>
        <v>750</v>
      </c>
      <c r="J103">
        <f>F103</f>
        <v>189.59922785967791</v>
      </c>
      <c r="K103">
        <f t="shared" si="1"/>
        <v>0.25279897047957056</v>
      </c>
    </row>
    <row r="104" spans="1:11">
      <c r="A104">
        <v>2026</v>
      </c>
      <c r="B104">
        <v>10</v>
      </c>
      <c r="C104" t="s">
        <v>180</v>
      </c>
      <c r="D104" t="s">
        <v>160</v>
      </c>
      <c r="E104" t="s">
        <v>177</v>
      </c>
      <c r="F104">
        <v>284.39884178951678</v>
      </c>
      <c r="G104">
        <v>790.58290939392271</v>
      </c>
      <c r="H104">
        <v>1</v>
      </c>
      <c r="I104">
        <f>'Nacional · supuestos'!$B$28</f>
        <v>1100</v>
      </c>
      <c r="J104">
        <f>F104</f>
        <v>284.39884178951678</v>
      </c>
      <c r="K104">
        <f t="shared" si="1"/>
        <v>0.25854440162683345</v>
      </c>
    </row>
    <row r="105" spans="1:11">
      <c r="A105">
        <v>2026</v>
      </c>
      <c r="B105">
        <v>10</v>
      </c>
      <c r="C105" t="s">
        <v>185</v>
      </c>
      <c r="D105" t="s">
        <v>160</v>
      </c>
      <c r="E105" t="s">
        <v>104</v>
      </c>
      <c r="F105">
        <v>2616.469344463555</v>
      </c>
      <c r="G105">
        <v>8660.5135301743667</v>
      </c>
      <c r="H105">
        <v>1</v>
      </c>
      <c r="I105">
        <f>'Nacional · supuestos'!$B$21</f>
        <v>640</v>
      </c>
      <c r="J105">
        <f>F105*'Nacional · supuestos'!$B$4</f>
        <v>3087.4338264669946</v>
      </c>
      <c r="K105">
        <f t="shared" si="1"/>
        <v>4.0882333507243045</v>
      </c>
    </row>
    <row r="106" spans="1:11">
      <c r="A106">
        <v>2026</v>
      </c>
      <c r="B106">
        <v>10</v>
      </c>
      <c r="C106" t="s">
        <v>181</v>
      </c>
      <c r="D106" t="s">
        <v>160</v>
      </c>
      <c r="E106" t="s">
        <v>101</v>
      </c>
      <c r="F106">
        <v>1042.795753228228</v>
      </c>
      <c r="G106">
        <v>1929.1721434722219</v>
      </c>
      <c r="H106">
        <v>1</v>
      </c>
      <c r="I106">
        <f>'Nacional · supuestos'!$B$26</f>
        <v>800</v>
      </c>
      <c r="J106">
        <f>F106</f>
        <v>1042.795753228228</v>
      </c>
      <c r="K106">
        <f t="shared" si="1"/>
        <v>1.303494691535285</v>
      </c>
    </row>
    <row r="107" spans="1:11">
      <c r="A107">
        <v>2026</v>
      </c>
      <c r="B107">
        <v>10</v>
      </c>
      <c r="C107" t="s">
        <v>186</v>
      </c>
      <c r="D107" t="s">
        <v>160</v>
      </c>
      <c r="E107" t="s">
        <v>104</v>
      </c>
      <c r="F107">
        <v>891.11637094048592</v>
      </c>
      <c r="G107">
        <v>2445.6404401619848</v>
      </c>
      <c r="H107">
        <v>2</v>
      </c>
      <c r="I107">
        <f>'Nacional · supuestos'!$B$21</f>
        <v>640</v>
      </c>
      <c r="J107">
        <f>F107*'Nacional · supuestos'!$B$4</f>
        <v>1051.5173177097734</v>
      </c>
      <c r="K107">
        <f t="shared" si="1"/>
        <v>1.3923693295945092</v>
      </c>
    </row>
    <row r="108" spans="1:11">
      <c r="A108">
        <v>2026</v>
      </c>
      <c r="B108">
        <v>11</v>
      </c>
      <c r="C108" t="s">
        <v>162</v>
      </c>
      <c r="D108" t="s">
        <v>160</v>
      </c>
      <c r="E108" t="s">
        <v>98</v>
      </c>
      <c r="F108">
        <v>6635.9729750887254</v>
      </c>
      <c r="G108">
        <v>11809.621735981749</v>
      </c>
      <c r="H108">
        <v>2</v>
      </c>
      <c r="I108">
        <f>'Nacional · supuestos'!$B$23</f>
        <v>1000</v>
      </c>
      <c r="J108">
        <f>F108*'Nacional · supuestos'!$B$4</f>
        <v>7830.448110604696</v>
      </c>
      <c r="K108">
        <f t="shared" si="1"/>
        <v>6.6359729750887251</v>
      </c>
    </row>
    <row r="109" spans="1:11">
      <c r="A109">
        <v>2026</v>
      </c>
      <c r="B109">
        <v>11</v>
      </c>
      <c r="C109" t="s">
        <v>162</v>
      </c>
      <c r="D109" t="s">
        <v>160</v>
      </c>
      <c r="E109" t="s">
        <v>104</v>
      </c>
      <c r="F109">
        <v>2426.8701166038759</v>
      </c>
      <c r="G109">
        <v>7013.6546369852013</v>
      </c>
      <c r="H109">
        <v>2</v>
      </c>
      <c r="I109">
        <f>'Nacional · supuestos'!$B$21</f>
        <v>640</v>
      </c>
      <c r="J109">
        <f>F109*'Nacional · supuestos'!$B$4</f>
        <v>2863.7067375925735</v>
      </c>
      <c r="K109">
        <f t="shared" si="1"/>
        <v>3.791984557193556</v>
      </c>
    </row>
    <row r="110" spans="1:11">
      <c r="A110">
        <v>2026</v>
      </c>
      <c r="B110">
        <v>11</v>
      </c>
      <c r="C110" t="s">
        <v>162</v>
      </c>
      <c r="D110" t="s">
        <v>160</v>
      </c>
      <c r="E110" t="s">
        <v>101</v>
      </c>
      <c r="F110">
        <v>568.79768357903356</v>
      </c>
      <c r="G110">
        <v>870.26045587592137</v>
      </c>
      <c r="H110">
        <v>1</v>
      </c>
      <c r="I110">
        <f>'Nacional · supuestos'!$B$26</f>
        <v>800</v>
      </c>
      <c r="J110">
        <f>F110</f>
        <v>568.79768357903356</v>
      </c>
      <c r="K110">
        <f t="shared" si="1"/>
        <v>0.71099710447379194</v>
      </c>
    </row>
    <row r="111" spans="1:11">
      <c r="A111">
        <v>2026</v>
      </c>
      <c r="B111">
        <v>11</v>
      </c>
      <c r="C111" t="s">
        <v>163</v>
      </c>
      <c r="D111" t="s">
        <v>164</v>
      </c>
      <c r="E111" t="s">
        <v>98</v>
      </c>
      <c r="F111">
        <v>1895.992278596779</v>
      </c>
      <c r="G111">
        <v>3659.2650976917835</v>
      </c>
      <c r="H111">
        <v>1</v>
      </c>
      <c r="I111">
        <f>'Nacional · supuestos'!$B$23</f>
        <v>1000</v>
      </c>
      <c r="J111">
        <f>F111*'Nacional · supuestos'!$B$4</f>
        <v>2237.2708887441991</v>
      </c>
      <c r="K111">
        <f t="shared" si="1"/>
        <v>1.8959922785967789</v>
      </c>
    </row>
    <row r="112" spans="1:11">
      <c r="A112">
        <v>2026</v>
      </c>
      <c r="B112">
        <v>11</v>
      </c>
      <c r="C112" t="s">
        <v>163</v>
      </c>
      <c r="D112" t="s">
        <v>164</v>
      </c>
      <c r="E112" t="s">
        <v>104</v>
      </c>
      <c r="F112">
        <v>5138.1390749972697</v>
      </c>
      <c r="G112">
        <v>13146.662402211205</v>
      </c>
      <c r="H112">
        <v>7</v>
      </c>
      <c r="I112">
        <f>'Nacional · supuestos'!$B$21</f>
        <v>640</v>
      </c>
      <c r="J112">
        <f>F112*'Nacional · supuestos'!$B$4</f>
        <v>6063.0041084967779</v>
      </c>
      <c r="K112">
        <f t="shared" si="1"/>
        <v>8.0283423046832336</v>
      </c>
    </row>
    <row r="113" spans="1:11">
      <c r="A113">
        <v>2026</v>
      </c>
      <c r="B113">
        <v>11</v>
      </c>
      <c r="C113" t="s">
        <v>163</v>
      </c>
      <c r="D113" t="s">
        <v>164</v>
      </c>
      <c r="E113" t="s">
        <v>105</v>
      </c>
      <c r="F113">
        <v>3602.3853293338793</v>
      </c>
      <c r="G113">
        <v>8646.6938531214819</v>
      </c>
      <c r="H113">
        <v>4</v>
      </c>
      <c r="I113">
        <f>'Nacional · supuestos'!$B$22</f>
        <v>800</v>
      </c>
      <c r="J113">
        <f>F113*'Nacional · supuestos'!$B$4</f>
        <v>4250.8146886139775</v>
      </c>
      <c r="K113">
        <f t="shared" si="1"/>
        <v>4.5029816616673495</v>
      </c>
    </row>
    <row r="114" spans="1:11">
      <c r="A114">
        <v>2026</v>
      </c>
      <c r="B114">
        <v>11</v>
      </c>
      <c r="C114" t="s">
        <v>163</v>
      </c>
      <c r="D114" t="s">
        <v>164</v>
      </c>
      <c r="E114" t="s">
        <v>99</v>
      </c>
      <c r="F114">
        <v>284.39884178951678</v>
      </c>
      <c r="G114">
        <v>1028.6232109457171</v>
      </c>
      <c r="H114">
        <v>1</v>
      </c>
      <c r="I114">
        <f>'Nacional · supuestos'!$B$20</f>
        <v>600</v>
      </c>
      <c r="J114">
        <f>F114*'Nacional · supuestos'!$B$4</f>
        <v>335.5906333116298</v>
      </c>
      <c r="K114">
        <f t="shared" si="1"/>
        <v>0.47399806964919461</v>
      </c>
    </row>
    <row r="115" spans="1:11">
      <c r="A115">
        <v>2026</v>
      </c>
      <c r="B115">
        <v>11</v>
      </c>
      <c r="C115" t="s">
        <v>163</v>
      </c>
      <c r="D115" t="s">
        <v>164</v>
      </c>
      <c r="E115" t="s">
        <v>101</v>
      </c>
      <c r="F115">
        <v>1232.394981087906</v>
      </c>
      <c r="G115">
        <v>2261.4637502190935</v>
      </c>
      <c r="H115">
        <v>2</v>
      </c>
      <c r="I115">
        <f>'Nacional · supuestos'!$B$26</f>
        <v>800</v>
      </c>
      <c r="J115">
        <f>F115</f>
        <v>1232.394981087906</v>
      </c>
      <c r="K115">
        <f t="shared" si="1"/>
        <v>1.5404937263598826</v>
      </c>
    </row>
    <row r="116" spans="1:11">
      <c r="A116">
        <v>2026</v>
      </c>
      <c r="B116">
        <v>11</v>
      </c>
      <c r="C116" t="s">
        <v>166</v>
      </c>
      <c r="D116" t="s">
        <v>160</v>
      </c>
      <c r="E116" t="s">
        <v>98</v>
      </c>
      <c r="F116">
        <v>1895.992278596779</v>
      </c>
      <c r="G116">
        <v>3638.4091826272188</v>
      </c>
      <c r="H116">
        <v>1</v>
      </c>
      <c r="I116">
        <f>'Nacional · supuestos'!$B$23</f>
        <v>1000</v>
      </c>
      <c r="J116">
        <f>F116*'Nacional · supuestos'!$B$4</f>
        <v>2237.2708887441991</v>
      </c>
      <c r="K116">
        <f t="shared" si="1"/>
        <v>1.8959922785967789</v>
      </c>
    </row>
    <row r="117" spans="1:11">
      <c r="A117">
        <v>2026</v>
      </c>
      <c r="B117">
        <v>11</v>
      </c>
      <c r="C117" t="s">
        <v>166</v>
      </c>
      <c r="D117" t="s">
        <v>160</v>
      </c>
      <c r="E117" t="s">
        <v>104</v>
      </c>
      <c r="F117">
        <v>1403.0342861616164</v>
      </c>
      <c r="G117">
        <v>4150.706296304068</v>
      </c>
      <c r="H117">
        <v>3</v>
      </c>
      <c r="I117">
        <f>'Nacional · supuestos'!$B$21</f>
        <v>640</v>
      </c>
      <c r="J117">
        <f>F117*'Nacional · supuestos'!$B$4</f>
        <v>1655.5804576707071</v>
      </c>
      <c r="K117">
        <f t="shared" si="1"/>
        <v>2.1922410721275254</v>
      </c>
    </row>
    <row r="118" spans="1:11">
      <c r="A118">
        <v>2026</v>
      </c>
      <c r="B118">
        <v>11</v>
      </c>
      <c r="C118" t="s">
        <v>166</v>
      </c>
      <c r="D118" t="s">
        <v>160</v>
      </c>
      <c r="E118" t="s">
        <v>101</v>
      </c>
      <c r="F118">
        <v>3128.387259684685</v>
      </c>
      <c r="G118">
        <v>5099.2712332860365</v>
      </c>
      <c r="H118">
        <v>1</v>
      </c>
      <c r="I118">
        <f>'Nacional · supuestos'!$B$26</f>
        <v>800</v>
      </c>
      <c r="J118">
        <f>F118</f>
        <v>3128.387259684685</v>
      </c>
      <c r="K118">
        <f t="shared" si="1"/>
        <v>3.910484074605856</v>
      </c>
    </row>
    <row r="119" spans="1:11">
      <c r="A119">
        <v>2026</v>
      </c>
      <c r="B119">
        <v>11</v>
      </c>
      <c r="C119" t="s">
        <v>167</v>
      </c>
      <c r="D119" t="s">
        <v>160</v>
      </c>
      <c r="E119" t="s">
        <v>104</v>
      </c>
      <c r="F119">
        <v>189.59922785967791</v>
      </c>
      <c r="G119">
        <v>722.10220210557338</v>
      </c>
      <c r="H119">
        <v>1</v>
      </c>
      <c r="I119">
        <f>'Nacional · supuestos'!$B$21</f>
        <v>640</v>
      </c>
      <c r="J119">
        <f>F119*'Nacional · supuestos'!$B$4</f>
        <v>223.72708887441993</v>
      </c>
      <c r="K119">
        <f t="shared" si="1"/>
        <v>0.29624879353074673</v>
      </c>
    </row>
    <row r="120" spans="1:11">
      <c r="A120">
        <v>2026</v>
      </c>
      <c r="B120">
        <v>11</v>
      </c>
      <c r="C120" t="s">
        <v>168</v>
      </c>
      <c r="D120" t="s">
        <v>160</v>
      </c>
      <c r="E120" t="s">
        <v>104</v>
      </c>
      <c r="F120">
        <v>379.19845571935571</v>
      </c>
      <c r="G120">
        <v>897.35207887898207</v>
      </c>
      <c r="H120">
        <v>1</v>
      </c>
      <c r="I120">
        <f>'Nacional · supuestos'!$B$21</f>
        <v>640</v>
      </c>
      <c r="J120">
        <f>F120*'Nacional · supuestos'!$B$4</f>
        <v>447.4541777488397</v>
      </c>
      <c r="K120">
        <f t="shared" si="1"/>
        <v>0.59249758706149325</v>
      </c>
    </row>
    <row r="121" spans="1:11">
      <c r="A121">
        <v>2026</v>
      </c>
      <c r="B121">
        <v>11</v>
      </c>
      <c r="C121" t="s">
        <v>170</v>
      </c>
      <c r="D121" t="s">
        <v>160</v>
      </c>
      <c r="E121" t="s">
        <v>104</v>
      </c>
      <c r="F121">
        <v>3640.3051749058141</v>
      </c>
      <c r="G121">
        <v>11790.038385226206</v>
      </c>
      <c r="H121">
        <v>3</v>
      </c>
      <c r="I121">
        <f>'Nacional · supuestos'!$B$21</f>
        <v>640</v>
      </c>
      <c r="J121">
        <f>F121*'Nacional · supuestos'!$B$4</f>
        <v>4295.5601063888607</v>
      </c>
      <c r="K121">
        <f t="shared" si="1"/>
        <v>5.6879768357903346</v>
      </c>
    </row>
    <row r="122" spans="1:11">
      <c r="A122">
        <v>2026</v>
      </c>
      <c r="B122">
        <v>11</v>
      </c>
      <c r="C122" t="s">
        <v>171</v>
      </c>
      <c r="D122" t="s">
        <v>164</v>
      </c>
      <c r="E122" t="s">
        <v>104</v>
      </c>
      <c r="F122">
        <v>3640.305174905815</v>
      </c>
      <c r="G122">
        <v>9305.2267445884136</v>
      </c>
      <c r="H122">
        <v>2</v>
      </c>
      <c r="I122">
        <f>'Nacional · supuestos'!$B$21</f>
        <v>640</v>
      </c>
      <c r="J122">
        <f>F122*'Nacional · supuestos'!$B$4</f>
        <v>4295.5601063888616</v>
      </c>
      <c r="K122">
        <f t="shared" si="1"/>
        <v>5.6879768357903355</v>
      </c>
    </row>
    <row r="123" spans="1:11">
      <c r="A123">
        <v>2026</v>
      </c>
      <c r="B123">
        <v>11</v>
      </c>
      <c r="C123" t="s">
        <v>171</v>
      </c>
      <c r="D123" t="s">
        <v>164</v>
      </c>
      <c r="E123" t="s">
        <v>99</v>
      </c>
      <c r="F123">
        <v>2843.9884178951679</v>
      </c>
      <c r="G123">
        <v>7687.056923134819</v>
      </c>
      <c r="H123">
        <v>2</v>
      </c>
      <c r="I123">
        <f>'Nacional · supuestos'!$B$20</f>
        <v>600</v>
      </c>
      <c r="J123">
        <f>F123*'Nacional · supuestos'!$B$4</f>
        <v>3355.9063331162979</v>
      </c>
      <c r="K123">
        <f t="shared" si="1"/>
        <v>4.7399806964919469</v>
      </c>
    </row>
    <row r="124" spans="1:11">
      <c r="A124">
        <v>2026</v>
      </c>
      <c r="B124">
        <v>11</v>
      </c>
      <c r="C124" t="s">
        <v>171</v>
      </c>
      <c r="D124" t="s">
        <v>164</v>
      </c>
      <c r="E124" t="s">
        <v>101</v>
      </c>
      <c r="F124">
        <v>2559.5895761056508</v>
      </c>
      <c r="G124">
        <v>6872.6255009796478</v>
      </c>
      <c r="H124">
        <v>3</v>
      </c>
      <c r="I124">
        <f>'Nacional · supuestos'!$B$26</f>
        <v>800</v>
      </c>
      <c r="J124">
        <f>F124</f>
        <v>2559.5895761056508</v>
      </c>
      <c r="K124">
        <f t="shared" si="1"/>
        <v>3.1994869701320634</v>
      </c>
    </row>
    <row r="125" spans="1:11">
      <c r="A125">
        <v>2026</v>
      </c>
      <c r="B125">
        <v>11</v>
      </c>
      <c r="C125" t="s">
        <v>171</v>
      </c>
      <c r="D125" t="s">
        <v>164</v>
      </c>
      <c r="E125" t="s">
        <v>102</v>
      </c>
      <c r="F125">
        <v>7678.7687283169544</v>
      </c>
      <c r="G125">
        <v>16748.360679822694</v>
      </c>
      <c r="H125">
        <v>3</v>
      </c>
      <c r="I125">
        <f>'Nacional · supuestos'!$B$25</f>
        <v>750</v>
      </c>
      <c r="J125">
        <f>F125</f>
        <v>7678.7687283169544</v>
      </c>
      <c r="K125">
        <f t="shared" si="1"/>
        <v>10.238358304422606</v>
      </c>
    </row>
    <row r="126" spans="1:11">
      <c r="A126">
        <v>2026</v>
      </c>
      <c r="B126">
        <v>11</v>
      </c>
      <c r="C126" t="s">
        <v>172</v>
      </c>
      <c r="D126" t="s">
        <v>160</v>
      </c>
      <c r="E126" t="s">
        <v>104</v>
      </c>
      <c r="F126">
        <v>7583.9691143871132</v>
      </c>
      <c r="G126">
        <v>23348.476820732838</v>
      </c>
      <c r="H126">
        <v>5</v>
      </c>
      <c r="I126">
        <f>'Nacional · supuestos'!$B$21</f>
        <v>640</v>
      </c>
      <c r="J126">
        <f>F126*'Nacional · supuestos'!$B$4</f>
        <v>8949.0835549767926</v>
      </c>
      <c r="K126">
        <f t="shared" si="1"/>
        <v>11.849951741229864</v>
      </c>
    </row>
    <row r="127" spans="1:11">
      <c r="A127">
        <v>2026</v>
      </c>
      <c r="B127">
        <v>11</v>
      </c>
      <c r="C127" t="s">
        <v>172</v>
      </c>
      <c r="D127" t="s">
        <v>160</v>
      </c>
      <c r="E127" t="s">
        <v>99</v>
      </c>
      <c r="F127">
        <v>1421.994208947584</v>
      </c>
      <c r="G127">
        <v>7634.3528642574911</v>
      </c>
      <c r="H127">
        <v>6</v>
      </c>
      <c r="I127">
        <f>'Nacional · supuestos'!$B$20</f>
        <v>600</v>
      </c>
      <c r="J127">
        <f>F127*'Nacional · supuestos'!$B$4</f>
        <v>1677.953166558149</v>
      </c>
      <c r="K127">
        <f t="shared" si="1"/>
        <v>2.3699903482459734</v>
      </c>
    </row>
    <row r="128" spans="1:11">
      <c r="A128">
        <v>2026</v>
      </c>
      <c r="B128">
        <v>11</v>
      </c>
      <c r="C128" t="s">
        <v>172</v>
      </c>
      <c r="D128" t="s">
        <v>160</v>
      </c>
      <c r="E128" t="s">
        <v>100</v>
      </c>
      <c r="F128">
        <v>102.383583044226</v>
      </c>
      <c r="G128">
        <v>964.62399158168262</v>
      </c>
      <c r="H128">
        <v>1</v>
      </c>
      <c r="I128">
        <f>'Nacional · supuestos'!$B$24</f>
        <v>1056</v>
      </c>
      <c r="J128">
        <f>F128</f>
        <v>102.383583044226</v>
      </c>
      <c r="K128">
        <f t="shared" si="1"/>
        <v>9.6954150610062503E-2</v>
      </c>
    </row>
    <row r="129" spans="1:11">
      <c r="A129">
        <v>2026</v>
      </c>
      <c r="B129">
        <v>11</v>
      </c>
      <c r="C129" t="s">
        <v>172</v>
      </c>
      <c r="D129" t="s">
        <v>160</v>
      </c>
      <c r="E129" t="s">
        <v>102</v>
      </c>
      <c r="F129">
        <v>473.99806964919469</v>
      </c>
      <c r="G129">
        <v>1877.8386973545823</v>
      </c>
      <c r="H129">
        <v>1</v>
      </c>
      <c r="I129">
        <f>'Nacional · supuestos'!$B$25</f>
        <v>750</v>
      </c>
      <c r="J129">
        <f>F129</f>
        <v>473.99806964919469</v>
      </c>
      <c r="K129">
        <f t="shared" si="1"/>
        <v>0.63199742619892629</v>
      </c>
    </row>
    <row r="130" spans="1:11">
      <c r="A130">
        <v>2026</v>
      </c>
      <c r="B130">
        <v>11</v>
      </c>
      <c r="C130" t="s">
        <v>172</v>
      </c>
      <c r="D130" t="s">
        <v>160</v>
      </c>
      <c r="E130" t="s">
        <v>177</v>
      </c>
      <c r="F130">
        <v>284.39884178951678</v>
      </c>
      <c r="G130">
        <v>654.11733611588852</v>
      </c>
      <c r="H130">
        <v>1</v>
      </c>
      <c r="I130">
        <f>'Nacional · supuestos'!$B$28</f>
        <v>1100</v>
      </c>
      <c r="J130">
        <f>F130</f>
        <v>284.39884178951678</v>
      </c>
      <c r="K130">
        <f t="shared" si="1"/>
        <v>0.25854440162683345</v>
      </c>
    </row>
    <row r="131" spans="1:11">
      <c r="A131">
        <v>2026</v>
      </c>
      <c r="B131">
        <v>11</v>
      </c>
      <c r="C131" t="s">
        <v>173</v>
      </c>
      <c r="D131" t="s">
        <v>160</v>
      </c>
      <c r="E131" t="s">
        <v>98</v>
      </c>
      <c r="F131">
        <v>1895.992278596779</v>
      </c>
      <c r="G131">
        <v>4645.1810825621087</v>
      </c>
      <c r="H131">
        <v>1</v>
      </c>
      <c r="I131">
        <f>'Nacional · supuestos'!$B$23</f>
        <v>1000</v>
      </c>
      <c r="J131">
        <f>F131*'Nacional · supuestos'!$B$4</f>
        <v>2237.2708887441991</v>
      </c>
      <c r="K131">
        <f t="shared" si="1"/>
        <v>1.8959922785967789</v>
      </c>
    </row>
    <row r="132" spans="1:11">
      <c r="A132">
        <v>2026</v>
      </c>
      <c r="B132">
        <v>11</v>
      </c>
      <c r="C132" t="s">
        <v>173</v>
      </c>
      <c r="D132" t="s">
        <v>160</v>
      </c>
      <c r="E132" t="s">
        <v>101</v>
      </c>
      <c r="F132">
        <v>2085.591506456457</v>
      </c>
      <c r="G132">
        <v>3155.4870752469747</v>
      </c>
      <c r="H132">
        <v>1</v>
      </c>
      <c r="I132">
        <f>'Nacional · supuestos'!$B$26</f>
        <v>800</v>
      </c>
      <c r="J132">
        <f>F132</f>
        <v>2085.591506456457</v>
      </c>
      <c r="K132">
        <f t="shared" si="1"/>
        <v>2.6069893830705713</v>
      </c>
    </row>
    <row r="133" spans="1:11">
      <c r="A133">
        <v>2026</v>
      </c>
      <c r="B133">
        <v>11</v>
      </c>
      <c r="C133" t="s">
        <v>174</v>
      </c>
      <c r="D133" t="s">
        <v>160</v>
      </c>
      <c r="E133" t="s">
        <v>98</v>
      </c>
      <c r="F133">
        <v>4739.9806964919471</v>
      </c>
      <c r="G133">
        <v>8276.7598701125389</v>
      </c>
      <c r="H133">
        <v>2</v>
      </c>
      <c r="I133">
        <f>'Nacional · supuestos'!$B$23</f>
        <v>1000</v>
      </c>
      <c r="J133">
        <f>F133*'Nacional · supuestos'!$B$4</f>
        <v>5593.1772218604974</v>
      </c>
      <c r="K133">
        <f t="shared" si="1"/>
        <v>4.7399806964919469</v>
      </c>
    </row>
    <row r="134" spans="1:11">
      <c r="A134">
        <v>2026</v>
      </c>
      <c r="B134">
        <v>11</v>
      </c>
      <c r="C134" t="s">
        <v>174</v>
      </c>
      <c r="D134" t="s">
        <v>160</v>
      </c>
      <c r="E134" t="s">
        <v>104</v>
      </c>
      <c r="F134">
        <v>2199.351043172263</v>
      </c>
      <c r="G134">
        <v>6057.400397984482</v>
      </c>
      <c r="H134">
        <v>5</v>
      </c>
      <c r="I134">
        <f>'Nacional · supuestos'!$B$21</f>
        <v>640</v>
      </c>
      <c r="J134">
        <f>F134*'Nacional · supuestos'!$B$4</f>
        <v>2595.2342309432702</v>
      </c>
      <c r="K134">
        <f t="shared" si="1"/>
        <v>3.4364860049566608</v>
      </c>
    </row>
    <row r="135" spans="1:11">
      <c r="A135">
        <v>2026</v>
      </c>
      <c r="B135">
        <v>11</v>
      </c>
      <c r="C135" t="s">
        <v>174</v>
      </c>
      <c r="D135" t="s">
        <v>160</v>
      </c>
      <c r="E135" t="s">
        <v>105</v>
      </c>
      <c r="F135">
        <v>1516.7938228774231</v>
      </c>
      <c r="G135">
        <v>2866.7403252383292</v>
      </c>
      <c r="H135">
        <v>1</v>
      </c>
      <c r="I135">
        <f>'Nacional · supuestos'!$B$22</f>
        <v>800</v>
      </c>
      <c r="J135">
        <f>F135*'Nacional · supuestos'!$B$4</f>
        <v>1789.816710995359</v>
      </c>
      <c r="K135">
        <f t="shared" ref="K135:K198" si="2">F135/I135</f>
        <v>1.8959922785967789</v>
      </c>
    </row>
    <row r="136" spans="1:11">
      <c r="A136">
        <v>2026</v>
      </c>
      <c r="B136">
        <v>11</v>
      </c>
      <c r="C136" t="s">
        <v>174</v>
      </c>
      <c r="D136" t="s">
        <v>160</v>
      </c>
      <c r="E136" t="s">
        <v>101</v>
      </c>
      <c r="F136">
        <v>10522.75714621212</v>
      </c>
      <c r="G136">
        <v>21490.823005226248</v>
      </c>
      <c r="H136">
        <v>3</v>
      </c>
      <c r="I136">
        <f>'Nacional · supuestos'!$B$26</f>
        <v>800</v>
      </c>
      <c r="J136">
        <f>F136</f>
        <v>10522.75714621212</v>
      </c>
      <c r="K136">
        <f t="shared" si="2"/>
        <v>13.153446432765149</v>
      </c>
    </row>
    <row r="137" spans="1:11">
      <c r="A137">
        <v>2026</v>
      </c>
      <c r="B137">
        <v>11</v>
      </c>
      <c r="C137" t="s">
        <v>175</v>
      </c>
      <c r="D137" t="s">
        <v>160</v>
      </c>
      <c r="E137" t="s">
        <v>104</v>
      </c>
      <c r="F137">
        <v>7887.3278789625983</v>
      </c>
      <c r="G137">
        <v>24235.533941111848</v>
      </c>
      <c r="H137">
        <v>5</v>
      </c>
      <c r="I137">
        <f>'Nacional · supuestos'!$B$21</f>
        <v>640</v>
      </c>
      <c r="J137">
        <f>F137*'Nacional · supuestos'!$B$4</f>
        <v>9307.0468971758655</v>
      </c>
      <c r="K137">
        <f t="shared" si="2"/>
        <v>12.323949810879061</v>
      </c>
    </row>
    <row r="138" spans="1:11">
      <c r="A138">
        <v>2026</v>
      </c>
      <c r="B138">
        <v>11</v>
      </c>
      <c r="C138" t="s">
        <v>175</v>
      </c>
      <c r="D138" t="s">
        <v>160</v>
      </c>
      <c r="E138" t="s">
        <v>99</v>
      </c>
      <c r="F138">
        <v>284.39884178951678</v>
      </c>
      <c r="G138">
        <v>1366.8919333508652</v>
      </c>
      <c r="H138">
        <v>1</v>
      </c>
      <c r="I138">
        <f>'Nacional · supuestos'!$B$20</f>
        <v>600</v>
      </c>
      <c r="J138">
        <f>F138*'Nacional · supuestos'!$B$4</f>
        <v>335.5906333116298</v>
      </c>
      <c r="K138">
        <f t="shared" si="2"/>
        <v>0.47399806964919461</v>
      </c>
    </row>
    <row r="139" spans="1:11">
      <c r="A139">
        <v>2026</v>
      </c>
      <c r="B139">
        <v>11</v>
      </c>
      <c r="C139" t="s">
        <v>175</v>
      </c>
      <c r="D139" t="s">
        <v>160</v>
      </c>
      <c r="E139" t="s">
        <v>100</v>
      </c>
      <c r="F139">
        <v>106.1755676014196</v>
      </c>
      <c r="G139">
        <v>695.4499677892984</v>
      </c>
      <c r="H139">
        <v>1</v>
      </c>
      <c r="I139">
        <f>'Nacional · supuestos'!$B$24</f>
        <v>1056</v>
      </c>
      <c r="J139">
        <f>F139</f>
        <v>106.1755676014196</v>
      </c>
      <c r="K139">
        <f t="shared" si="2"/>
        <v>0.10054504507710189</v>
      </c>
    </row>
    <row r="140" spans="1:11">
      <c r="A140">
        <v>2026</v>
      </c>
      <c r="B140">
        <v>11</v>
      </c>
      <c r="C140" t="s">
        <v>175</v>
      </c>
      <c r="D140" t="s">
        <v>160</v>
      </c>
      <c r="E140" t="s">
        <v>102</v>
      </c>
      <c r="F140">
        <v>94.799613929838927</v>
      </c>
      <c r="G140">
        <v>413.32631673409776</v>
      </c>
      <c r="H140">
        <v>1</v>
      </c>
      <c r="I140">
        <f>'Nacional · supuestos'!$B$25</f>
        <v>750</v>
      </c>
      <c r="J140">
        <f>F140</f>
        <v>94.799613929838927</v>
      </c>
      <c r="K140">
        <f t="shared" si="2"/>
        <v>0.12639948523978523</v>
      </c>
    </row>
    <row r="141" spans="1:11">
      <c r="A141">
        <v>2026</v>
      </c>
      <c r="B141">
        <v>11</v>
      </c>
      <c r="C141" t="s">
        <v>182</v>
      </c>
      <c r="D141" t="s">
        <v>160</v>
      </c>
      <c r="E141" t="s">
        <v>98</v>
      </c>
      <c r="F141">
        <v>17063.930507371009</v>
      </c>
      <c r="G141">
        <v>33276.433179313361</v>
      </c>
      <c r="H141">
        <v>3</v>
      </c>
      <c r="I141">
        <f>'Nacional · supuestos'!$B$23</f>
        <v>1000</v>
      </c>
      <c r="J141">
        <f>F141*'Nacional · supuestos'!$B$4</f>
        <v>20135.437998697791</v>
      </c>
      <c r="K141">
        <f t="shared" si="2"/>
        <v>17.063930507371008</v>
      </c>
    </row>
    <row r="142" spans="1:11">
      <c r="A142">
        <v>2026</v>
      </c>
      <c r="B142">
        <v>11</v>
      </c>
      <c r="C142" t="s">
        <v>182</v>
      </c>
      <c r="D142" t="s">
        <v>160</v>
      </c>
      <c r="E142" t="s">
        <v>104</v>
      </c>
      <c r="F142">
        <v>9707.4804664155035</v>
      </c>
      <c r="G142">
        <v>31713.615601511523</v>
      </c>
      <c r="H142">
        <v>8</v>
      </c>
      <c r="I142">
        <f>'Nacional · supuestos'!$B$21</f>
        <v>640</v>
      </c>
      <c r="J142">
        <f>F142*'Nacional · supuestos'!$B$4</f>
        <v>11454.826950370294</v>
      </c>
      <c r="K142">
        <f t="shared" si="2"/>
        <v>15.167938228774224</v>
      </c>
    </row>
    <row r="143" spans="1:11">
      <c r="A143">
        <v>2026</v>
      </c>
      <c r="B143">
        <v>11</v>
      </c>
      <c r="C143" t="s">
        <v>182</v>
      </c>
      <c r="D143" t="s">
        <v>160</v>
      </c>
      <c r="E143" t="s">
        <v>101</v>
      </c>
      <c r="F143">
        <v>3886.7841711233964</v>
      </c>
      <c r="G143">
        <v>7256.3527019619214</v>
      </c>
      <c r="H143">
        <v>2</v>
      </c>
      <c r="I143">
        <f>'Nacional · supuestos'!$B$26</f>
        <v>800</v>
      </c>
      <c r="J143">
        <f>F143</f>
        <v>3886.7841711233964</v>
      </c>
      <c r="K143">
        <f t="shared" si="2"/>
        <v>4.8584802139042456</v>
      </c>
    </row>
    <row r="144" spans="1:11">
      <c r="A144">
        <v>2026</v>
      </c>
      <c r="B144">
        <v>11</v>
      </c>
      <c r="C144" t="s">
        <v>182</v>
      </c>
      <c r="D144" t="s">
        <v>160</v>
      </c>
      <c r="E144" t="s">
        <v>102</v>
      </c>
      <c r="F144">
        <v>473.99806964919469</v>
      </c>
      <c r="G144">
        <v>2063.9071252005924</v>
      </c>
      <c r="H144">
        <v>1</v>
      </c>
      <c r="I144">
        <f>'Nacional · supuestos'!$B$25</f>
        <v>750</v>
      </c>
      <c r="J144">
        <f>F144</f>
        <v>473.99806964919469</v>
      </c>
      <c r="K144">
        <f t="shared" si="2"/>
        <v>0.63199742619892629</v>
      </c>
    </row>
    <row r="145" spans="1:11">
      <c r="A145">
        <v>2026</v>
      </c>
      <c r="B145">
        <v>11</v>
      </c>
      <c r="C145" t="s">
        <v>183</v>
      </c>
      <c r="D145" t="s">
        <v>164</v>
      </c>
      <c r="E145" t="s">
        <v>98</v>
      </c>
      <c r="F145">
        <v>7583.969114387115</v>
      </c>
      <c r="G145">
        <v>17611.045817712755</v>
      </c>
      <c r="H145">
        <v>2</v>
      </c>
      <c r="I145">
        <f>'Nacional · supuestos'!$B$23</f>
        <v>1000</v>
      </c>
      <c r="J145">
        <f>F145*'Nacional · supuestos'!$B$4</f>
        <v>8949.0835549767944</v>
      </c>
      <c r="K145">
        <f t="shared" si="2"/>
        <v>7.5839691143871146</v>
      </c>
    </row>
    <row r="146" spans="1:11">
      <c r="A146">
        <v>2026</v>
      </c>
      <c r="B146">
        <v>11</v>
      </c>
      <c r="C146" t="s">
        <v>183</v>
      </c>
      <c r="D146" t="s">
        <v>164</v>
      </c>
      <c r="E146" t="s">
        <v>104</v>
      </c>
      <c r="F146">
        <v>3242.1467964004905</v>
      </c>
      <c r="G146">
        <v>8780.5463533422953</v>
      </c>
      <c r="H146">
        <v>3</v>
      </c>
      <c r="I146">
        <f>'Nacional · supuestos'!$B$21</f>
        <v>640</v>
      </c>
      <c r="J146">
        <f>F146*'Nacional · supuestos'!$B$4</f>
        <v>3825.7332197525784</v>
      </c>
      <c r="K146">
        <f t="shared" si="2"/>
        <v>5.0658543693757663</v>
      </c>
    </row>
    <row r="147" spans="1:11">
      <c r="A147">
        <v>2026</v>
      </c>
      <c r="B147">
        <v>11</v>
      </c>
      <c r="C147" t="s">
        <v>183</v>
      </c>
      <c r="D147" t="s">
        <v>164</v>
      </c>
      <c r="E147" t="s">
        <v>105</v>
      </c>
      <c r="F147">
        <v>2275.1907343161338</v>
      </c>
      <c r="G147">
        <v>6429.0389606818762</v>
      </c>
      <c r="H147">
        <v>1</v>
      </c>
      <c r="I147">
        <f>'Nacional · supuestos'!$B$22</f>
        <v>800</v>
      </c>
      <c r="J147">
        <f>F147*'Nacional · supuestos'!$B$4</f>
        <v>2684.7250664930375</v>
      </c>
      <c r="K147">
        <f t="shared" si="2"/>
        <v>2.8439884178951673</v>
      </c>
    </row>
    <row r="148" spans="1:11">
      <c r="A148">
        <v>2026</v>
      </c>
      <c r="B148">
        <v>11</v>
      </c>
      <c r="C148" t="s">
        <v>176</v>
      </c>
      <c r="D148" t="s">
        <v>160</v>
      </c>
      <c r="E148" t="s">
        <v>104</v>
      </c>
      <c r="F148">
        <v>1820.152587452907</v>
      </c>
      <c r="G148">
        <v>4902.5041765900951</v>
      </c>
      <c r="H148">
        <v>2</v>
      </c>
      <c r="I148">
        <f>'Nacional · supuestos'!$B$21</f>
        <v>640</v>
      </c>
      <c r="J148">
        <f>F148*'Nacional · supuestos'!$B$4</f>
        <v>2147.7800531944304</v>
      </c>
      <c r="K148">
        <f t="shared" si="2"/>
        <v>2.8439884178951673</v>
      </c>
    </row>
    <row r="149" spans="1:11">
      <c r="A149">
        <v>2026</v>
      </c>
      <c r="B149">
        <v>11</v>
      </c>
      <c r="C149" t="s">
        <v>178</v>
      </c>
      <c r="D149" t="s">
        <v>160</v>
      </c>
      <c r="E149" t="s">
        <v>98</v>
      </c>
      <c r="F149">
        <v>947.99613929838938</v>
      </c>
      <c r="G149">
        <v>2629.7412904137323</v>
      </c>
      <c r="H149">
        <v>1</v>
      </c>
      <c r="I149">
        <f>'Nacional · supuestos'!$B$23</f>
        <v>1000</v>
      </c>
      <c r="J149">
        <f>F149*'Nacional · supuestos'!$B$4</f>
        <v>1118.6354443720993</v>
      </c>
      <c r="K149">
        <f t="shared" si="2"/>
        <v>0.94799613929838933</v>
      </c>
    </row>
    <row r="150" spans="1:11">
      <c r="A150">
        <v>2026</v>
      </c>
      <c r="B150">
        <v>11</v>
      </c>
      <c r="C150" t="s">
        <v>178</v>
      </c>
      <c r="D150" t="s">
        <v>160</v>
      </c>
      <c r="E150" t="s">
        <v>104</v>
      </c>
      <c r="F150">
        <v>1175.515212730003</v>
      </c>
      <c r="G150">
        <v>3836.238794468768</v>
      </c>
      <c r="H150">
        <v>1</v>
      </c>
      <c r="I150">
        <f>'Nacional · supuestos'!$B$21</f>
        <v>640</v>
      </c>
      <c r="J150">
        <f>F150*'Nacional · supuestos'!$B$4</f>
        <v>1387.1079510214036</v>
      </c>
      <c r="K150">
        <f t="shared" si="2"/>
        <v>1.8367425198906298</v>
      </c>
    </row>
    <row r="151" spans="1:11">
      <c r="A151">
        <v>2026</v>
      </c>
      <c r="B151">
        <v>11</v>
      </c>
      <c r="C151" t="s">
        <v>178</v>
      </c>
      <c r="D151" t="s">
        <v>160</v>
      </c>
      <c r="E151" t="s">
        <v>99</v>
      </c>
      <c r="F151">
        <v>701.51714308080807</v>
      </c>
      <c r="G151">
        <v>5089.9695854525871</v>
      </c>
      <c r="H151">
        <v>4</v>
      </c>
      <c r="I151">
        <f>'Nacional · supuestos'!$B$20</f>
        <v>600</v>
      </c>
      <c r="J151">
        <f>F151*'Nacional · supuestos'!$B$4</f>
        <v>827.79022883535345</v>
      </c>
      <c r="K151">
        <f t="shared" si="2"/>
        <v>1.1691952384680135</v>
      </c>
    </row>
    <row r="152" spans="1:11">
      <c r="A152">
        <v>2026</v>
      </c>
      <c r="B152">
        <v>11</v>
      </c>
      <c r="C152" t="s">
        <v>178</v>
      </c>
      <c r="D152" t="s">
        <v>160</v>
      </c>
      <c r="E152" t="s">
        <v>102</v>
      </c>
      <c r="F152">
        <v>94.799613929838927</v>
      </c>
      <c r="G152">
        <v>493.5899898613614</v>
      </c>
      <c r="H152">
        <v>1</v>
      </c>
      <c r="I152">
        <f>'Nacional · supuestos'!$B$25</f>
        <v>750</v>
      </c>
      <c r="J152">
        <f>F152</f>
        <v>94.799613929838927</v>
      </c>
      <c r="K152">
        <f t="shared" si="2"/>
        <v>0.12639948523978523</v>
      </c>
    </row>
    <row r="153" spans="1:11">
      <c r="A153">
        <v>2026</v>
      </c>
      <c r="B153">
        <v>11</v>
      </c>
      <c r="C153" t="s">
        <v>180</v>
      </c>
      <c r="D153" t="s">
        <v>160</v>
      </c>
      <c r="E153" t="s">
        <v>103</v>
      </c>
      <c r="F153">
        <v>11.375953671580669</v>
      </c>
      <c r="G153">
        <v>56.026571832534792</v>
      </c>
      <c r="H153">
        <v>1</v>
      </c>
      <c r="I153">
        <f>'Nacional · supuestos'!$B$19</f>
        <v>528</v>
      </c>
      <c r="J153">
        <f>F153*'Nacional · supuestos'!$B$4</f>
        <v>13.423625332465189</v>
      </c>
      <c r="K153">
        <f t="shared" si="2"/>
        <v>2.1545366802236118E-2</v>
      </c>
    </row>
    <row r="154" spans="1:11">
      <c r="A154">
        <v>2026</v>
      </c>
      <c r="B154">
        <v>11</v>
      </c>
      <c r="C154" t="s">
        <v>180</v>
      </c>
      <c r="D154" t="s">
        <v>160</v>
      </c>
      <c r="E154" t="s">
        <v>104</v>
      </c>
      <c r="F154">
        <v>606.7175291509692</v>
      </c>
      <c r="G154">
        <v>1918.2980701096819</v>
      </c>
      <c r="H154">
        <v>1</v>
      </c>
      <c r="I154">
        <f>'Nacional · supuestos'!$B$21</f>
        <v>640</v>
      </c>
      <c r="J154">
        <f>F154*'Nacional · supuestos'!$B$4</f>
        <v>715.92668439814361</v>
      </c>
      <c r="K154">
        <f t="shared" si="2"/>
        <v>0.94799613929838933</v>
      </c>
    </row>
    <row r="155" spans="1:11">
      <c r="A155">
        <v>2026</v>
      </c>
      <c r="B155">
        <v>11</v>
      </c>
      <c r="C155" t="s">
        <v>180</v>
      </c>
      <c r="D155" t="s">
        <v>160</v>
      </c>
      <c r="E155" t="s">
        <v>99</v>
      </c>
      <c r="F155">
        <v>872.15644815451833</v>
      </c>
      <c r="G155">
        <v>2857.3867633305854</v>
      </c>
      <c r="H155">
        <v>5</v>
      </c>
      <c r="I155">
        <f>'Nacional · supuestos'!$B$20</f>
        <v>600</v>
      </c>
      <c r="J155">
        <f>F155*'Nacional · supuestos'!$B$4</f>
        <v>1029.1446088223315</v>
      </c>
      <c r="K155">
        <f t="shared" si="2"/>
        <v>1.4535940802575305</v>
      </c>
    </row>
    <row r="156" spans="1:11">
      <c r="A156">
        <v>2026</v>
      </c>
      <c r="B156">
        <v>11</v>
      </c>
      <c r="C156" t="s">
        <v>180</v>
      </c>
      <c r="D156" t="s">
        <v>160</v>
      </c>
      <c r="E156" t="s">
        <v>102</v>
      </c>
      <c r="F156">
        <v>47.399806964919463</v>
      </c>
      <c r="G156">
        <v>96.221608138786507</v>
      </c>
      <c r="H156">
        <v>1</v>
      </c>
      <c r="I156">
        <f>'Nacional · supuestos'!$B$25</f>
        <v>750</v>
      </c>
      <c r="J156">
        <f>F156</f>
        <v>47.399806964919463</v>
      </c>
      <c r="K156">
        <f t="shared" si="2"/>
        <v>6.3199742619892613E-2</v>
      </c>
    </row>
    <row r="157" spans="1:11">
      <c r="A157">
        <v>2026</v>
      </c>
      <c r="B157">
        <v>11</v>
      </c>
      <c r="C157" t="s">
        <v>180</v>
      </c>
      <c r="D157" t="s">
        <v>160</v>
      </c>
      <c r="E157" t="s">
        <v>177</v>
      </c>
      <c r="F157">
        <v>284.39884178951678</v>
      </c>
      <c r="G157">
        <v>790.58290939392271</v>
      </c>
      <c r="H157">
        <v>1</v>
      </c>
      <c r="I157">
        <f>'Nacional · supuestos'!$B$28</f>
        <v>1100</v>
      </c>
      <c r="J157">
        <f>F157</f>
        <v>284.39884178951678</v>
      </c>
      <c r="K157">
        <f t="shared" si="2"/>
        <v>0.25854440162683345</v>
      </c>
    </row>
    <row r="158" spans="1:11">
      <c r="A158">
        <v>2026</v>
      </c>
      <c r="B158">
        <v>11</v>
      </c>
      <c r="C158" t="s">
        <v>185</v>
      </c>
      <c r="D158" t="s">
        <v>160</v>
      </c>
      <c r="E158" t="s">
        <v>104</v>
      </c>
      <c r="F158">
        <v>1213.4350583019379</v>
      </c>
      <c r="G158">
        <v>4016.4700429794148</v>
      </c>
      <c r="H158">
        <v>1</v>
      </c>
      <c r="I158">
        <f>'Nacional · supuestos'!$B$21</f>
        <v>640</v>
      </c>
      <c r="J158">
        <f>F158*'Nacional · supuestos'!$B$4</f>
        <v>1431.8533687962868</v>
      </c>
      <c r="K158">
        <f t="shared" si="2"/>
        <v>1.895992278596778</v>
      </c>
    </row>
    <row r="159" spans="1:11">
      <c r="A159">
        <v>2026</v>
      </c>
      <c r="B159">
        <v>11</v>
      </c>
      <c r="C159" t="s">
        <v>187</v>
      </c>
      <c r="D159" t="s">
        <v>160</v>
      </c>
      <c r="E159" t="s">
        <v>104</v>
      </c>
      <c r="F159">
        <v>606.7175291509692</v>
      </c>
      <c r="G159">
        <v>2408.6685907293477</v>
      </c>
      <c r="H159">
        <v>1</v>
      </c>
      <c r="I159">
        <f>'Nacional · supuestos'!$B$21</f>
        <v>640</v>
      </c>
      <c r="J159">
        <f>F159*'Nacional · supuestos'!$B$4</f>
        <v>715.92668439814361</v>
      </c>
      <c r="K159">
        <f t="shared" si="2"/>
        <v>0.94799613929838933</v>
      </c>
    </row>
    <row r="160" spans="1:11">
      <c r="A160">
        <v>2026</v>
      </c>
      <c r="B160">
        <v>12</v>
      </c>
      <c r="C160" t="s">
        <v>159</v>
      </c>
      <c r="D160" t="s">
        <v>160</v>
      </c>
      <c r="E160" t="s">
        <v>104</v>
      </c>
      <c r="F160">
        <v>1820.1525874529075</v>
      </c>
      <c r="G160">
        <v>4781.9523968914291</v>
      </c>
      <c r="H160">
        <v>2</v>
      </c>
      <c r="I160">
        <f>'Nacional · supuestos'!$B$21</f>
        <v>640</v>
      </c>
      <c r="J160">
        <f>F160*'Nacional · supuestos'!$B$4</f>
        <v>2147.7800531944308</v>
      </c>
      <c r="K160">
        <f t="shared" si="2"/>
        <v>2.8439884178951678</v>
      </c>
    </row>
    <row r="161" spans="1:11">
      <c r="A161">
        <v>2026</v>
      </c>
      <c r="B161">
        <v>12</v>
      </c>
      <c r="C161" t="s">
        <v>161</v>
      </c>
      <c r="D161" t="s">
        <v>160</v>
      </c>
      <c r="E161" t="s">
        <v>102</v>
      </c>
      <c r="F161">
        <v>189.59922785967791</v>
      </c>
      <c r="G161">
        <v>1196.3711277945674</v>
      </c>
      <c r="H161">
        <v>1</v>
      </c>
      <c r="I161">
        <f>'Nacional · supuestos'!$B$25</f>
        <v>750</v>
      </c>
      <c r="J161">
        <f>F161</f>
        <v>189.59922785967791</v>
      </c>
      <c r="K161">
        <f t="shared" si="2"/>
        <v>0.25279897047957056</v>
      </c>
    </row>
    <row r="162" spans="1:11">
      <c r="A162">
        <v>2026</v>
      </c>
      <c r="B162">
        <v>12</v>
      </c>
      <c r="C162" t="s">
        <v>163</v>
      </c>
      <c r="D162" t="s">
        <v>164</v>
      </c>
      <c r="E162" t="s">
        <v>104</v>
      </c>
      <c r="F162">
        <v>606.7175291509692</v>
      </c>
      <c r="G162">
        <v>1827.4331978027192</v>
      </c>
      <c r="H162">
        <v>1</v>
      </c>
      <c r="I162">
        <f>'Nacional · supuestos'!$B$21</f>
        <v>640</v>
      </c>
      <c r="J162">
        <f>F162*'Nacional · supuestos'!$B$4</f>
        <v>715.92668439814361</v>
      </c>
      <c r="K162">
        <f t="shared" si="2"/>
        <v>0.94799613929838933</v>
      </c>
    </row>
    <row r="163" spans="1:11">
      <c r="A163">
        <v>2026</v>
      </c>
      <c r="B163">
        <v>12</v>
      </c>
      <c r="C163" t="s">
        <v>163</v>
      </c>
      <c r="D163" t="s">
        <v>164</v>
      </c>
      <c r="E163" t="s">
        <v>105</v>
      </c>
      <c r="F163">
        <v>1516.7938228774231</v>
      </c>
      <c r="G163">
        <v>4397.016759874663</v>
      </c>
      <c r="H163">
        <v>1</v>
      </c>
      <c r="I163">
        <f>'Nacional · supuestos'!$B$22</f>
        <v>800</v>
      </c>
      <c r="J163">
        <f>F163*'Nacional · supuestos'!$B$4</f>
        <v>1789.816710995359</v>
      </c>
      <c r="K163">
        <f t="shared" si="2"/>
        <v>1.8959922785967789</v>
      </c>
    </row>
    <row r="164" spans="1:11">
      <c r="A164">
        <v>2026</v>
      </c>
      <c r="B164">
        <v>12</v>
      </c>
      <c r="C164" t="s">
        <v>165</v>
      </c>
      <c r="D164" t="s">
        <v>160</v>
      </c>
      <c r="E164" t="s">
        <v>102</v>
      </c>
      <c r="F164">
        <v>710.99710447379198</v>
      </c>
      <c r="G164">
        <v>4802.785440720465</v>
      </c>
      <c r="H164">
        <v>1</v>
      </c>
      <c r="I164">
        <f>'Nacional · supuestos'!$B$25</f>
        <v>750</v>
      </c>
      <c r="J164">
        <f>F164</f>
        <v>710.99710447379198</v>
      </c>
      <c r="K164">
        <f t="shared" si="2"/>
        <v>0.94799613929838933</v>
      </c>
    </row>
    <row r="165" spans="1:11">
      <c r="A165">
        <v>2026</v>
      </c>
      <c r="B165">
        <v>12</v>
      </c>
      <c r="C165" t="s">
        <v>166</v>
      </c>
      <c r="D165" t="s">
        <v>160</v>
      </c>
      <c r="E165" t="s">
        <v>104</v>
      </c>
      <c r="F165">
        <v>796.31675701064705</v>
      </c>
      <c r="G165">
        <v>2215.2773783124762</v>
      </c>
      <c r="H165">
        <v>2</v>
      </c>
      <c r="I165">
        <f>'Nacional · supuestos'!$B$21</f>
        <v>640</v>
      </c>
      <c r="J165">
        <f>F165*'Nacional · supuestos'!$B$4</f>
        <v>939.65377327256351</v>
      </c>
      <c r="K165">
        <f t="shared" si="2"/>
        <v>1.2442449328291361</v>
      </c>
    </row>
    <row r="166" spans="1:11">
      <c r="A166">
        <v>2026</v>
      </c>
      <c r="B166">
        <v>12</v>
      </c>
      <c r="C166" t="s">
        <v>166</v>
      </c>
      <c r="D166" t="s">
        <v>160</v>
      </c>
      <c r="E166" t="s">
        <v>101</v>
      </c>
      <c r="F166">
        <v>1042.795753228228</v>
      </c>
      <c r="G166">
        <v>1699.7570777620115</v>
      </c>
      <c r="H166">
        <v>1</v>
      </c>
      <c r="I166">
        <f>'Nacional · supuestos'!$B$26</f>
        <v>800</v>
      </c>
      <c r="J166">
        <f>F166</f>
        <v>1042.795753228228</v>
      </c>
      <c r="K166">
        <f t="shared" si="2"/>
        <v>1.303494691535285</v>
      </c>
    </row>
    <row r="167" spans="1:11">
      <c r="A167">
        <v>2026</v>
      </c>
      <c r="B167">
        <v>12</v>
      </c>
      <c r="C167" t="s">
        <v>169</v>
      </c>
      <c r="D167" t="s">
        <v>160</v>
      </c>
      <c r="E167" t="s">
        <v>104</v>
      </c>
      <c r="F167">
        <v>284.39884178951684</v>
      </c>
      <c r="G167">
        <v>1299.702706978092</v>
      </c>
      <c r="H167">
        <v>2</v>
      </c>
      <c r="I167">
        <f>'Nacional · supuestos'!$B$21</f>
        <v>640</v>
      </c>
      <c r="J167">
        <f>F167*'Nacional · supuestos'!$B$4</f>
        <v>335.59063331162986</v>
      </c>
      <c r="K167">
        <f t="shared" si="2"/>
        <v>0.44437319029612005</v>
      </c>
    </row>
    <row r="168" spans="1:11">
      <c r="A168">
        <v>2026</v>
      </c>
      <c r="B168">
        <v>12</v>
      </c>
      <c r="C168" t="s">
        <v>169</v>
      </c>
      <c r="D168" t="s">
        <v>160</v>
      </c>
      <c r="E168" t="s">
        <v>99</v>
      </c>
      <c r="F168">
        <v>473.99806964919469</v>
      </c>
      <c r="G168">
        <v>2373.1835983993997</v>
      </c>
      <c r="H168">
        <v>2</v>
      </c>
      <c r="I168">
        <f>'Nacional · supuestos'!$B$20</f>
        <v>600</v>
      </c>
      <c r="J168">
        <f>F168*'Nacional · supuestos'!$B$4</f>
        <v>559.31772218604965</v>
      </c>
      <c r="K168">
        <f t="shared" si="2"/>
        <v>0.78999678274865781</v>
      </c>
    </row>
    <row r="169" spans="1:11">
      <c r="A169">
        <v>2026</v>
      </c>
      <c r="B169">
        <v>12</v>
      </c>
      <c r="C169" t="s">
        <v>172</v>
      </c>
      <c r="D169" t="s">
        <v>160</v>
      </c>
      <c r="E169" t="s">
        <v>103</v>
      </c>
      <c r="F169">
        <v>136.51144405896801</v>
      </c>
      <c r="G169">
        <v>1417.6563781922885</v>
      </c>
      <c r="H169">
        <v>2</v>
      </c>
      <c r="I169">
        <f>'Nacional · supuestos'!$B$19</f>
        <v>528</v>
      </c>
      <c r="J169">
        <f>F169*'Nacional · supuestos'!$B$4</f>
        <v>161.08350398958225</v>
      </c>
      <c r="K169">
        <f t="shared" si="2"/>
        <v>0.25854440162683334</v>
      </c>
    </row>
    <row r="170" spans="1:11">
      <c r="A170">
        <v>2026</v>
      </c>
      <c r="B170">
        <v>12</v>
      </c>
      <c r="C170" t="s">
        <v>172</v>
      </c>
      <c r="D170" t="s">
        <v>160</v>
      </c>
      <c r="E170" t="s">
        <v>104</v>
      </c>
      <c r="F170">
        <v>7280.6103498116299</v>
      </c>
      <c r="G170">
        <v>22948.344764084679</v>
      </c>
      <c r="H170">
        <v>5</v>
      </c>
      <c r="I170">
        <f>'Nacional · supuestos'!$B$21</f>
        <v>640</v>
      </c>
      <c r="J170">
        <f>F170*'Nacional · supuestos'!$B$4</f>
        <v>8591.1202127777233</v>
      </c>
      <c r="K170">
        <f t="shared" si="2"/>
        <v>11.375953671580671</v>
      </c>
    </row>
    <row r="171" spans="1:11">
      <c r="A171">
        <v>2026</v>
      </c>
      <c r="B171">
        <v>12</v>
      </c>
      <c r="C171" t="s">
        <v>172</v>
      </c>
      <c r="D171" t="s">
        <v>160</v>
      </c>
      <c r="E171" t="s">
        <v>99</v>
      </c>
      <c r="F171">
        <v>1706.3930507371008</v>
      </c>
      <c r="G171">
        <v>10039.590114281937</v>
      </c>
      <c r="H171">
        <v>9</v>
      </c>
      <c r="I171">
        <f>'Nacional · supuestos'!$B$20</f>
        <v>600</v>
      </c>
      <c r="J171">
        <f>F171*'Nacional · supuestos'!$B$4</f>
        <v>2013.5437998697789</v>
      </c>
      <c r="K171">
        <f t="shared" si="2"/>
        <v>2.8439884178951682</v>
      </c>
    </row>
    <row r="172" spans="1:11">
      <c r="A172">
        <v>2026</v>
      </c>
      <c r="B172">
        <v>12</v>
      </c>
      <c r="C172" t="s">
        <v>172</v>
      </c>
      <c r="D172" t="s">
        <v>160</v>
      </c>
      <c r="E172" t="s">
        <v>100</v>
      </c>
      <c r="F172">
        <v>102.383583044226</v>
      </c>
      <c r="G172">
        <v>964.62399158168262</v>
      </c>
      <c r="H172">
        <v>1</v>
      </c>
      <c r="I172">
        <f>'Nacional · supuestos'!$B$24</f>
        <v>1056</v>
      </c>
      <c r="J172">
        <f>F172</f>
        <v>102.383583044226</v>
      </c>
      <c r="K172">
        <f t="shared" si="2"/>
        <v>9.6954150610062503E-2</v>
      </c>
    </row>
    <row r="173" spans="1:11">
      <c r="A173">
        <v>2026</v>
      </c>
      <c r="B173">
        <v>12</v>
      </c>
      <c r="C173" t="s">
        <v>172</v>
      </c>
      <c r="D173" t="s">
        <v>160</v>
      </c>
      <c r="E173" t="s">
        <v>102</v>
      </c>
      <c r="F173">
        <v>1327.1945950177449</v>
      </c>
      <c r="G173">
        <v>5452.9130206707887</v>
      </c>
      <c r="H173">
        <v>2</v>
      </c>
      <c r="I173">
        <f>'Nacional · supuestos'!$B$25</f>
        <v>750</v>
      </c>
      <c r="J173">
        <f>F173</f>
        <v>1327.1945950177449</v>
      </c>
      <c r="K173">
        <f t="shared" si="2"/>
        <v>1.769592793356993</v>
      </c>
    </row>
    <row r="174" spans="1:11">
      <c r="A174">
        <v>2026</v>
      </c>
      <c r="B174">
        <v>12</v>
      </c>
      <c r="C174" t="s">
        <v>172</v>
      </c>
      <c r="D174" t="s">
        <v>160</v>
      </c>
      <c r="E174" t="s">
        <v>177</v>
      </c>
      <c r="F174">
        <v>284.39884178951678</v>
      </c>
      <c r="G174">
        <v>654.11733611588852</v>
      </c>
      <c r="H174">
        <v>1</v>
      </c>
      <c r="I174">
        <f>'Nacional · supuestos'!$B$28</f>
        <v>1100</v>
      </c>
      <c r="J174">
        <f>F174</f>
        <v>284.39884178951678</v>
      </c>
      <c r="K174">
        <f t="shared" si="2"/>
        <v>0.25854440162683345</v>
      </c>
    </row>
    <row r="175" spans="1:11">
      <c r="A175">
        <v>2026</v>
      </c>
      <c r="B175">
        <v>12</v>
      </c>
      <c r="C175" t="s">
        <v>175</v>
      </c>
      <c r="D175" t="s">
        <v>160</v>
      </c>
      <c r="E175" t="s">
        <v>103</v>
      </c>
      <c r="F175">
        <v>102.383583044226</v>
      </c>
      <c r="G175">
        <v>2917.9321167604412</v>
      </c>
      <c r="H175">
        <v>1</v>
      </c>
      <c r="I175">
        <f>'Nacional · supuestos'!$B$19</f>
        <v>528</v>
      </c>
      <c r="J175">
        <f>F175*'Nacional · supuestos'!$B$4</f>
        <v>120.81262799218668</v>
      </c>
      <c r="K175">
        <f t="shared" si="2"/>
        <v>0.19390830122012501</v>
      </c>
    </row>
    <row r="176" spans="1:11">
      <c r="A176">
        <v>2026</v>
      </c>
      <c r="B176">
        <v>12</v>
      </c>
      <c r="C176" t="s">
        <v>175</v>
      </c>
      <c r="D176" t="s">
        <v>160</v>
      </c>
      <c r="E176" t="s">
        <v>104</v>
      </c>
      <c r="F176">
        <v>9062.8430916926009</v>
      </c>
      <c r="G176">
        <v>29634.567873618289</v>
      </c>
      <c r="H176">
        <v>5</v>
      </c>
      <c r="I176">
        <f>'Nacional · supuestos'!$B$21</f>
        <v>640</v>
      </c>
      <c r="J176">
        <f>F176*'Nacional · supuestos'!$B$4</f>
        <v>10694.154848197268</v>
      </c>
      <c r="K176">
        <f t="shared" si="2"/>
        <v>14.160692330769688</v>
      </c>
    </row>
    <row r="177" spans="1:11">
      <c r="A177">
        <v>2026</v>
      </c>
      <c r="B177">
        <v>12</v>
      </c>
      <c r="C177" t="s">
        <v>175</v>
      </c>
      <c r="D177" t="s">
        <v>160</v>
      </c>
      <c r="E177" t="s">
        <v>99</v>
      </c>
      <c r="F177">
        <v>1895.9922785967785</v>
      </c>
      <c r="G177">
        <v>12133.841732150495</v>
      </c>
      <c r="H177">
        <v>5</v>
      </c>
      <c r="I177">
        <f>'Nacional · supuestos'!$B$20</f>
        <v>600</v>
      </c>
      <c r="J177">
        <f>F177*'Nacional · supuestos'!$B$4</f>
        <v>2237.2708887441986</v>
      </c>
      <c r="K177">
        <f t="shared" si="2"/>
        <v>3.1599871309946308</v>
      </c>
    </row>
    <row r="178" spans="1:11">
      <c r="A178">
        <v>2026</v>
      </c>
      <c r="B178">
        <v>12</v>
      </c>
      <c r="C178" t="s">
        <v>175</v>
      </c>
      <c r="D178" t="s">
        <v>160</v>
      </c>
      <c r="E178" t="s">
        <v>102</v>
      </c>
      <c r="F178">
        <v>379.19845571935582</v>
      </c>
      <c r="G178">
        <v>2431.6100973003695</v>
      </c>
      <c r="H178">
        <v>2</v>
      </c>
      <c r="I178">
        <f>'Nacional · supuestos'!$B$25</f>
        <v>750</v>
      </c>
      <c r="J178">
        <f>F178</f>
        <v>379.19845571935582</v>
      </c>
      <c r="K178">
        <f t="shared" si="2"/>
        <v>0.50559794095914112</v>
      </c>
    </row>
    <row r="179" spans="1:11">
      <c r="A179">
        <v>2026</v>
      </c>
      <c r="B179">
        <v>12</v>
      </c>
      <c r="C179" t="s">
        <v>188</v>
      </c>
      <c r="D179" t="s">
        <v>160</v>
      </c>
      <c r="E179" t="s">
        <v>104</v>
      </c>
      <c r="F179">
        <v>606.7175291509692</v>
      </c>
      <c r="G179">
        <v>2523.944921268032</v>
      </c>
      <c r="H179">
        <v>1</v>
      </c>
      <c r="I179">
        <f>'Nacional · supuestos'!$B$21</f>
        <v>640</v>
      </c>
      <c r="J179">
        <f>F179*'Nacional · supuestos'!$B$4</f>
        <v>715.92668439814361</v>
      </c>
      <c r="K179">
        <f t="shared" si="2"/>
        <v>0.94799613929838933</v>
      </c>
    </row>
    <row r="180" spans="1:11">
      <c r="A180">
        <v>2026</v>
      </c>
      <c r="B180">
        <v>12</v>
      </c>
      <c r="C180" t="s">
        <v>178</v>
      </c>
      <c r="D180" t="s">
        <v>160</v>
      </c>
      <c r="E180" t="s">
        <v>104</v>
      </c>
      <c r="F180">
        <v>1858.0724330248429</v>
      </c>
      <c r="G180">
        <v>6063.7322880312768</v>
      </c>
      <c r="H180">
        <v>1</v>
      </c>
      <c r="I180">
        <f>'Nacional · supuestos'!$B$21</f>
        <v>640</v>
      </c>
      <c r="J180">
        <f>F180*'Nacional · supuestos'!$B$4</f>
        <v>2192.5254709693145</v>
      </c>
      <c r="K180">
        <f t="shared" si="2"/>
        <v>2.9032381766013171</v>
      </c>
    </row>
    <row r="181" spans="1:11">
      <c r="A181">
        <v>2026</v>
      </c>
      <c r="B181">
        <v>12</v>
      </c>
      <c r="C181" t="s">
        <v>178</v>
      </c>
      <c r="D181" t="s">
        <v>160</v>
      </c>
      <c r="E181" t="s">
        <v>99</v>
      </c>
      <c r="F181">
        <v>891.11637094048592</v>
      </c>
      <c r="G181">
        <v>3728.3560779738236</v>
      </c>
      <c r="H181">
        <v>5</v>
      </c>
      <c r="I181">
        <f>'Nacional · supuestos'!$B$20</f>
        <v>600</v>
      </c>
      <c r="J181">
        <f>F181*'Nacional · supuestos'!$B$4</f>
        <v>1051.5173177097734</v>
      </c>
      <c r="K181">
        <f t="shared" si="2"/>
        <v>1.4851939515674766</v>
      </c>
    </row>
    <row r="182" spans="1:11">
      <c r="A182">
        <v>2026</v>
      </c>
      <c r="B182">
        <v>12</v>
      </c>
      <c r="C182" t="s">
        <v>178</v>
      </c>
      <c r="D182" t="s">
        <v>160</v>
      </c>
      <c r="E182" t="s">
        <v>100</v>
      </c>
      <c r="F182">
        <v>102.383583044226</v>
      </c>
      <c r="G182">
        <v>997.21609885076123</v>
      </c>
      <c r="H182">
        <v>1</v>
      </c>
      <c r="I182">
        <f>'Nacional · supuestos'!$B$24</f>
        <v>1056</v>
      </c>
      <c r="J182">
        <f>F182</f>
        <v>102.383583044226</v>
      </c>
      <c r="K182">
        <f t="shared" si="2"/>
        <v>9.6954150610062503E-2</v>
      </c>
    </row>
    <row r="183" spans="1:11">
      <c r="A183">
        <v>2026</v>
      </c>
      <c r="B183">
        <v>12</v>
      </c>
      <c r="C183" t="s">
        <v>178</v>
      </c>
      <c r="D183" t="s">
        <v>160</v>
      </c>
      <c r="E183" t="s">
        <v>177</v>
      </c>
      <c r="F183">
        <v>568.79768357903356</v>
      </c>
      <c r="G183">
        <v>1596.8664270153704</v>
      </c>
      <c r="H183">
        <v>1</v>
      </c>
      <c r="I183">
        <f>'Nacional · supuestos'!$B$28</f>
        <v>1100</v>
      </c>
      <c r="J183">
        <f>F183</f>
        <v>568.79768357903356</v>
      </c>
      <c r="K183">
        <f t="shared" si="2"/>
        <v>0.51708880325366691</v>
      </c>
    </row>
    <row r="184" spans="1:11">
      <c r="A184">
        <v>2026</v>
      </c>
      <c r="B184">
        <v>12</v>
      </c>
      <c r="C184" t="s">
        <v>189</v>
      </c>
      <c r="D184" t="s">
        <v>160</v>
      </c>
      <c r="E184" t="s">
        <v>104</v>
      </c>
      <c r="F184">
        <v>1213.4350583019379</v>
      </c>
      <c r="G184">
        <v>4186.350951141686</v>
      </c>
      <c r="H184">
        <v>1</v>
      </c>
      <c r="I184">
        <f>'Nacional · supuestos'!$B$21</f>
        <v>640</v>
      </c>
      <c r="J184">
        <f>F184*'Nacional · supuestos'!$B$4</f>
        <v>1431.8533687962868</v>
      </c>
      <c r="K184">
        <f t="shared" si="2"/>
        <v>1.895992278596778</v>
      </c>
    </row>
    <row r="185" spans="1:11">
      <c r="A185">
        <v>2026</v>
      </c>
      <c r="B185">
        <v>12</v>
      </c>
      <c r="C185" t="s">
        <v>179</v>
      </c>
      <c r="D185" t="s">
        <v>160</v>
      </c>
      <c r="E185" t="s">
        <v>99</v>
      </c>
      <c r="F185">
        <v>227.51907343161341</v>
      </c>
      <c r="G185">
        <v>3442.3635810203109</v>
      </c>
      <c r="H185">
        <v>1</v>
      </c>
      <c r="I185">
        <f>'Nacional · supuestos'!$B$20</f>
        <v>600</v>
      </c>
      <c r="J185">
        <f>F185*'Nacional · supuestos'!$B$4</f>
        <v>268.4725066493038</v>
      </c>
      <c r="K185">
        <f t="shared" si="2"/>
        <v>0.37919845571935568</v>
      </c>
    </row>
    <row r="186" spans="1:11">
      <c r="A186">
        <v>2026</v>
      </c>
      <c r="B186">
        <v>12</v>
      </c>
      <c r="C186" t="s">
        <v>179</v>
      </c>
      <c r="D186" t="s">
        <v>160</v>
      </c>
      <c r="E186" t="s">
        <v>102</v>
      </c>
      <c r="F186">
        <v>23.699903482459732</v>
      </c>
      <c r="G186">
        <v>126.08348652668577</v>
      </c>
      <c r="H186">
        <v>1</v>
      </c>
      <c r="I186">
        <f>'Nacional · supuestos'!$B$25</f>
        <v>750</v>
      </c>
      <c r="J186">
        <f>F186</f>
        <v>23.699903482459732</v>
      </c>
      <c r="K186">
        <f t="shared" si="2"/>
        <v>3.1599871309946306E-2</v>
      </c>
    </row>
    <row r="187" spans="1:11">
      <c r="A187">
        <v>2026</v>
      </c>
      <c r="B187">
        <v>12</v>
      </c>
      <c r="C187" t="s">
        <v>180</v>
      </c>
      <c r="D187" t="s">
        <v>160</v>
      </c>
      <c r="E187" t="s">
        <v>103</v>
      </c>
      <c r="F187">
        <v>11.375953671580669</v>
      </c>
      <c r="G187">
        <v>56.026571832534792</v>
      </c>
      <c r="H187">
        <v>1</v>
      </c>
      <c r="I187">
        <f>'Nacional · supuestos'!$B$19</f>
        <v>528</v>
      </c>
      <c r="J187">
        <f>F187*'Nacional · supuestos'!$B$4</f>
        <v>13.423625332465189</v>
      </c>
      <c r="K187">
        <f t="shared" si="2"/>
        <v>2.1545366802236118E-2</v>
      </c>
    </row>
    <row r="188" spans="1:11">
      <c r="A188">
        <v>2026</v>
      </c>
      <c r="B188">
        <v>12</v>
      </c>
      <c r="C188" t="s">
        <v>180</v>
      </c>
      <c r="D188" t="s">
        <v>160</v>
      </c>
      <c r="E188" t="s">
        <v>104</v>
      </c>
      <c r="F188">
        <v>1175.5152127300028</v>
      </c>
      <c r="G188">
        <v>3302.3724334853305</v>
      </c>
      <c r="H188">
        <v>2</v>
      </c>
      <c r="I188">
        <f>'Nacional · supuestos'!$B$21</f>
        <v>640</v>
      </c>
      <c r="J188">
        <f>F188*'Nacional · supuestos'!$B$4</f>
        <v>1387.1079510214031</v>
      </c>
      <c r="K188">
        <f t="shared" si="2"/>
        <v>1.8367425198906293</v>
      </c>
    </row>
    <row r="189" spans="1:11">
      <c r="A189">
        <v>2026</v>
      </c>
      <c r="B189">
        <v>12</v>
      </c>
      <c r="C189" t="s">
        <v>180</v>
      </c>
      <c r="D189" t="s">
        <v>160</v>
      </c>
      <c r="E189" t="s">
        <v>102</v>
      </c>
      <c r="F189">
        <v>2843.9884178951679</v>
      </c>
      <c r="G189">
        <v>11084.503618837696</v>
      </c>
      <c r="H189">
        <v>1</v>
      </c>
      <c r="I189">
        <f>'Nacional · supuestos'!$B$25</f>
        <v>750</v>
      </c>
      <c r="J189">
        <f>F189</f>
        <v>2843.9884178951679</v>
      </c>
      <c r="K189">
        <f t="shared" si="2"/>
        <v>3.7919845571935573</v>
      </c>
    </row>
    <row r="190" spans="1:11">
      <c r="A190">
        <v>2026</v>
      </c>
      <c r="B190">
        <v>12</v>
      </c>
      <c r="C190" t="s">
        <v>180</v>
      </c>
      <c r="D190" t="s">
        <v>160</v>
      </c>
      <c r="E190" t="s">
        <v>177</v>
      </c>
      <c r="F190">
        <v>284.39884178951678</v>
      </c>
      <c r="G190">
        <v>790.58290939392271</v>
      </c>
      <c r="H190">
        <v>1</v>
      </c>
      <c r="I190">
        <f>'Nacional · supuestos'!$B$28</f>
        <v>1100</v>
      </c>
      <c r="J190">
        <f>F190</f>
        <v>284.39884178951678</v>
      </c>
      <c r="K190">
        <f t="shared" si="2"/>
        <v>0.25854440162683345</v>
      </c>
    </row>
    <row r="191" spans="1:11">
      <c r="A191">
        <v>2026</v>
      </c>
      <c r="B191">
        <v>12</v>
      </c>
      <c r="C191" t="s">
        <v>185</v>
      </c>
      <c r="D191" t="s">
        <v>160</v>
      </c>
      <c r="E191" t="s">
        <v>104</v>
      </c>
      <c r="F191">
        <v>1403.0342861616159</v>
      </c>
      <c r="G191">
        <v>4979.6341205065783</v>
      </c>
      <c r="H191">
        <v>2</v>
      </c>
      <c r="I191">
        <f>'Nacional · supuestos'!$B$21</f>
        <v>640</v>
      </c>
      <c r="J191">
        <f>F191*'Nacional · supuestos'!$B$4</f>
        <v>1655.5804576707067</v>
      </c>
      <c r="K191">
        <f t="shared" si="2"/>
        <v>2.1922410721275249</v>
      </c>
    </row>
    <row r="192" spans="1:11">
      <c r="A192">
        <v>2026</v>
      </c>
      <c r="B192">
        <v>12</v>
      </c>
      <c r="C192" t="s">
        <v>185</v>
      </c>
      <c r="D192" t="s">
        <v>160</v>
      </c>
      <c r="E192" t="s">
        <v>105</v>
      </c>
      <c r="F192">
        <v>189.59922785967791</v>
      </c>
      <c r="G192">
        <v>549.83776079306597</v>
      </c>
      <c r="H192">
        <v>1</v>
      </c>
      <c r="I192">
        <f>'Nacional · supuestos'!$B$22</f>
        <v>800</v>
      </c>
      <c r="J192">
        <f>F192*'Nacional · supuestos'!$B$4</f>
        <v>223.72708887441993</v>
      </c>
      <c r="K192">
        <f t="shared" si="2"/>
        <v>0.23699903482459739</v>
      </c>
    </row>
    <row r="193" spans="1:11">
      <c r="A193">
        <v>2026</v>
      </c>
      <c r="B193">
        <v>12</v>
      </c>
      <c r="C193" t="s">
        <v>181</v>
      </c>
      <c r="D193" t="s">
        <v>160</v>
      </c>
      <c r="E193" t="s">
        <v>98</v>
      </c>
      <c r="F193">
        <v>947.99613929838938</v>
      </c>
      <c r="G193">
        <v>2891.3882248600876</v>
      </c>
      <c r="H193">
        <v>1</v>
      </c>
      <c r="I193">
        <f>'Nacional · supuestos'!$B$23</f>
        <v>1000</v>
      </c>
      <c r="J193">
        <f>F193*'Nacional · supuestos'!$B$4</f>
        <v>1118.6354443720993</v>
      </c>
      <c r="K193">
        <f t="shared" si="2"/>
        <v>0.94799613929838933</v>
      </c>
    </row>
    <row r="194" spans="1:11">
      <c r="A194">
        <v>2027</v>
      </c>
      <c r="B194">
        <v>1</v>
      </c>
      <c r="C194" t="s">
        <v>159</v>
      </c>
      <c r="D194" t="s">
        <v>160</v>
      </c>
      <c r="E194" t="s">
        <v>104</v>
      </c>
      <c r="F194">
        <v>1340</v>
      </c>
      <c r="G194">
        <v>3753.3930455926402</v>
      </c>
      <c r="H194">
        <v>3</v>
      </c>
      <c r="I194">
        <f>'Nacional · supuestos'!$B$21</f>
        <v>640</v>
      </c>
      <c r="J194">
        <f>F194*'Nacional · supuestos'!$B$4</f>
        <v>1581.1999999999998</v>
      </c>
      <c r="K194">
        <f t="shared" si="2"/>
        <v>2.09375</v>
      </c>
    </row>
    <row r="195" spans="1:11">
      <c r="A195">
        <v>2027</v>
      </c>
      <c r="B195">
        <v>1</v>
      </c>
      <c r="C195" t="s">
        <v>190</v>
      </c>
      <c r="D195" t="s">
        <v>160</v>
      </c>
      <c r="E195" t="s">
        <v>99</v>
      </c>
      <c r="F195">
        <v>635</v>
      </c>
      <c r="G195">
        <v>2144.5875505449612</v>
      </c>
      <c r="H195">
        <v>1</v>
      </c>
      <c r="I195">
        <f>'Nacional · supuestos'!$B$20</f>
        <v>600</v>
      </c>
      <c r="J195">
        <f>F195*'Nacional · supuestos'!$B$4</f>
        <v>749.3</v>
      </c>
      <c r="K195">
        <f t="shared" si="2"/>
        <v>1.0583333333333333</v>
      </c>
    </row>
    <row r="196" spans="1:11">
      <c r="A196">
        <v>2027</v>
      </c>
      <c r="B196">
        <v>1</v>
      </c>
      <c r="C196" t="s">
        <v>162</v>
      </c>
      <c r="D196" t="s">
        <v>160</v>
      </c>
      <c r="E196" t="s">
        <v>98</v>
      </c>
      <c r="F196">
        <v>4000</v>
      </c>
      <c r="G196">
        <v>9284.4567476931916</v>
      </c>
      <c r="H196">
        <v>2</v>
      </c>
      <c r="I196">
        <f>'Nacional · supuestos'!$B$23</f>
        <v>1000</v>
      </c>
      <c r="J196">
        <f>F196*'Nacional · supuestos'!$B$4</f>
        <v>4720</v>
      </c>
      <c r="K196">
        <f t="shared" si="2"/>
        <v>4</v>
      </c>
    </row>
    <row r="197" spans="1:11">
      <c r="A197">
        <v>2027</v>
      </c>
      <c r="B197">
        <v>1</v>
      </c>
      <c r="C197" t="s">
        <v>162</v>
      </c>
      <c r="D197" t="s">
        <v>160</v>
      </c>
      <c r="E197" t="s">
        <v>104</v>
      </c>
      <c r="F197">
        <v>1380</v>
      </c>
      <c r="G197">
        <v>3212.315712192777</v>
      </c>
      <c r="H197">
        <v>2</v>
      </c>
      <c r="I197">
        <f>'Nacional · supuestos'!$B$21</f>
        <v>640</v>
      </c>
      <c r="J197">
        <f>F197*'Nacional · supuestos'!$B$4</f>
        <v>1628.3999999999999</v>
      </c>
      <c r="K197">
        <f t="shared" si="2"/>
        <v>2.15625</v>
      </c>
    </row>
    <row r="198" spans="1:11">
      <c r="A198">
        <v>2027</v>
      </c>
      <c r="B198">
        <v>1</v>
      </c>
      <c r="C198" t="s">
        <v>163</v>
      </c>
      <c r="D198" t="s">
        <v>164</v>
      </c>
      <c r="E198" t="s">
        <v>103</v>
      </c>
      <c r="F198">
        <v>52</v>
      </c>
      <c r="G198">
        <v>284.29805022632104</v>
      </c>
      <c r="H198">
        <v>4</v>
      </c>
      <c r="I198">
        <f>'Nacional · supuestos'!$B$19</f>
        <v>528</v>
      </c>
      <c r="J198">
        <f>F198*'Nacional · supuestos'!$B$4</f>
        <v>61.36</v>
      </c>
      <c r="K198">
        <f t="shared" si="2"/>
        <v>9.8484848484848481E-2</v>
      </c>
    </row>
    <row r="199" spans="1:11">
      <c r="A199">
        <v>2027</v>
      </c>
      <c r="B199">
        <v>1</v>
      </c>
      <c r="C199" t="s">
        <v>163</v>
      </c>
      <c r="D199" t="s">
        <v>164</v>
      </c>
      <c r="E199" t="s">
        <v>98</v>
      </c>
      <c r="F199">
        <v>3000</v>
      </c>
      <c r="G199">
        <v>6754.6064584093274</v>
      </c>
      <c r="H199">
        <v>2</v>
      </c>
      <c r="I199">
        <f>'Nacional · supuestos'!$B$23</f>
        <v>1000</v>
      </c>
      <c r="J199">
        <f>F199*'Nacional · supuestos'!$B$4</f>
        <v>3540</v>
      </c>
      <c r="K199">
        <f t="shared" ref="K199:K262" si="3">F199/I199</f>
        <v>3</v>
      </c>
    </row>
    <row r="200" spans="1:11">
      <c r="A200">
        <v>2027</v>
      </c>
      <c r="B200">
        <v>1</v>
      </c>
      <c r="C200" t="s">
        <v>163</v>
      </c>
      <c r="D200" t="s">
        <v>164</v>
      </c>
      <c r="E200" t="s">
        <v>104</v>
      </c>
      <c r="F200">
        <v>2320</v>
      </c>
      <c r="G200">
        <v>5574.0930469467148</v>
      </c>
      <c r="H200">
        <v>5</v>
      </c>
      <c r="I200">
        <f>'Nacional · supuestos'!$B$21</f>
        <v>640</v>
      </c>
      <c r="J200">
        <f>F200*'Nacional · supuestos'!$B$4</f>
        <v>2737.6</v>
      </c>
      <c r="K200">
        <f t="shared" si="3"/>
        <v>3.625</v>
      </c>
    </row>
    <row r="201" spans="1:11">
      <c r="A201">
        <v>2027</v>
      </c>
      <c r="B201">
        <v>1</v>
      </c>
      <c r="C201" t="s">
        <v>163</v>
      </c>
      <c r="D201" t="s">
        <v>164</v>
      </c>
      <c r="E201" t="s">
        <v>105</v>
      </c>
      <c r="F201">
        <v>1000</v>
      </c>
      <c r="G201">
        <v>3346.0319030083247</v>
      </c>
      <c r="H201">
        <v>2</v>
      </c>
      <c r="I201">
        <f>'Nacional · supuestos'!$B$22</f>
        <v>800</v>
      </c>
      <c r="J201">
        <f>F201*'Nacional · supuestos'!$B$4</f>
        <v>1180</v>
      </c>
      <c r="K201">
        <f t="shared" si="3"/>
        <v>1.25</v>
      </c>
    </row>
    <row r="202" spans="1:11">
      <c r="A202">
        <v>2027</v>
      </c>
      <c r="B202">
        <v>1</v>
      </c>
      <c r="C202" t="s">
        <v>163</v>
      </c>
      <c r="D202" t="s">
        <v>164</v>
      </c>
      <c r="E202" t="s">
        <v>99</v>
      </c>
      <c r="F202">
        <v>745</v>
      </c>
      <c r="G202">
        <v>3899.6907333145136</v>
      </c>
      <c r="H202">
        <v>7</v>
      </c>
      <c r="I202">
        <f>'Nacional · supuestos'!$B$20</f>
        <v>600</v>
      </c>
      <c r="J202">
        <f>F202*'Nacional · supuestos'!$B$4</f>
        <v>879.09999999999991</v>
      </c>
      <c r="K202">
        <f t="shared" si="3"/>
        <v>1.2416666666666667</v>
      </c>
    </row>
    <row r="203" spans="1:11">
      <c r="A203">
        <v>2027</v>
      </c>
      <c r="B203">
        <v>1</v>
      </c>
      <c r="C203" t="s">
        <v>163</v>
      </c>
      <c r="D203" t="s">
        <v>164</v>
      </c>
      <c r="E203" t="s">
        <v>101</v>
      </c>
      <c r="F203">
        <v>200</v>
      </c>
      <c r="G203">
        <v>755.51524090356179</v>
      </c>
      <c r="H203">
        <v>2</v>
      </c>
      <c r="I203">
        <f>'Nacional · supuestos'!$B$26</f>
        <v>800</v>
      </c>
      <c r="J203">
        <f>F203</f>
        <v>200</v>
      </c>
      <c r="K203">
        <f t="shared" si="3"/>
        <v>0.25</v>
      </c>
    </row>
    <row r="204" spans="1:11">
      <c r="A204">
        <v>2027</v>
      </c>
      <c r="B204">
        <v>1</v>
      </c>
      <c r="C204" t="s">
        <v>191</v>
      </c>
      <c r="D204" t="s">
        <v>160</v>
      </c>
      <c r="E204" t="s">
        <v>99</v>
      </c>
      <c r="F204">
        <v>25</v>
      </c>
      <c r="G204">
        <v>87.820307734720032</v>
      </c>
      <c r="H204">
        <v>1</v>
      </c>
      <c r="I204">
        <f>'Nacional · supuestos'!$B$20</f>
        <v>600</v>
      </c>
      <c r="J204">
        <f>F204*'Nacional · supuestos'!$B$4</f>
        <v>29.5</v>
      </c>
      <c r="K204">
        <f t="shared" si="3"/>
        <v>4.1666666666666664E-2</v>
      </c>
    </row>
    <row r="205" spans="1:11">
      <c r="A205">
        <v>2027</v>
      </c>
      <c r="B205">
        <v>1</v>
      </c>
      <c r="C205" t="s">
        <v>168</v>
      </c>
      <c r="D205" t="s">
        <v>160</v>
      </c>
      <c r="E205" t="s">
        <v>104</v>
      </c>
      <c r="F205">
        <v>2000</v>
      </c>
      <c r="G205">
        <v>6210.9023336089713</v>
      </c>
      <c r="H205">
        <v>4</v>
      </c>
      <c r="I205">
        <f>'Nacional · supuestos'!$B$21</f>
        <v>640</v>
      </c>
      <c r="J205">
        <f>F205*'Nacional · supuestos'!$B$4</f>
        <v>2360</v>
      </c>
      <c r="K205">
        <f t="shared" si="3"/>
        <v>3.125</v>
      </c>
    </row>
    <row r="206" spans="1:11">
      <c r="A206">
        <v>2027</v>
      </c>
      <c r="B206">
        <v>1</v>
      </c>
      <c r="C206" t="s">
        <v>168</v>
      </c>
      <c r="D206" t="s">
        <v>160</v>
      </c>
      <c r="E206" t="s">
        <v>99</v>
      </c>
      <c r="F206">
        <v>125</v>
      </c>
      <c r="G206">
        <v>970.71408401137126</v>
      </c>
      <c r="H206">
        <v>1</v>
      </c>
      <c r="I206">
        <f>'Nacional · supuestos'!$B$20</f>
        <v>600</v>
      </c>
      <c r="J206">
        <f>F206*'Nacional · supuestos'!$B$4</f>
        <v>147.5</v>
      </c>
      <c r="K206">
        <f t="shared" si="3"/>
        <v>0.20833333333333334</v>
      </c>
    </row>
    <row r="207" spans="1:11">
      <c r="A207">
        <v>2027</v>
      </c>
      <c r="B207">
        <v>1</v>
      </c>
      <c r="C207" t="s">
        <v>168</v>
      </c>
      <c r="D207" t="s">
        <v>160</v>
      </c>
      <c r="E207" t="s">
        <v>101</v>
      </c>
      <c r="F207">
        <v>1100</v>
      </c>
      <c r="G207">
        <v>1903.381387817197</v>
      </c>
      <c r="H207">
        <v>1</v>
      </c>
      <c r="I207">
        <f>'Nacional · supuestos'!$B$26</f>
        <v>800</v>
      </c>
      <c r="J207">
        <f>F207</f>
        <v>1100</v>
      </c>
      <c r="K207">
        <f t="shared" si="3"/>
        <v>1.375</v>
      </c>
    </row>
    <row r="208" spans="1:11">
      <c r="A208">
        <v>2027</v>
      </c>
      <c r="B208">
        <v>1</v>
      </c>
      <c r="C208" t="s">
        <v>169</v>
      </c>
      <c r="D208" t="s">
        <v>160</v>
      </c>
      <c r="E208" t="s">
        <v>104</v>
      </c>
      <c r="F208">
        <v>240</v>
      </c>
      <c r="G208">
        <v>867.25811317848161</v>
      </c>
      <c r="H208">
        <v>3</v>
      </c>
      <c r="I208">
        <f>'Nacional · supuestos'!$B$21</f>
        <v>640</v>
      </c>
      <c r="J208">
        <f>F208*'Nacional · supuestos'!$B$4</f>
        <v>283.2</v>
      </c>
      <c r="K208">
        <f t="shared" si="3"/>
        <v>0.375</v>
      </c>
    </row>
    <row r="209" spans="1:11">
      <c r="A209">
        <v>2027</v>
      </c>
      <c r="B209">
        <v>1</v>
      </c>
      <c r="C209" t="s">
        <v>169</v>
      </c>
      <c r="D209" t="s">
        <v>160</v>
      </c>
      <c r="E209" t="s">
        <v>99</v>
      </c>
      <c r="F209">
        <v>380</v>
      </c>
      <c r="G209">
        <v>1667.5955882967969</v>
      </c>
      <c r="H209">
        <v>1</v>
      </c>
      <c r="I209">
        <f>'Nacional · supuestos'!$B$20</f>
        <v>600</v>
      </c>
      <c r="J209">
        <f>F209*'Nacional · supuestos'!$B$4</f>
        <v>448.4</v>
      </c>
      <c r="K209">
        <f t="shared" si="3"/>
        <v>0.6333333333333333</v>
      </c>
    </row>
    <row r="210" spans="1:11">
      <c r="A210">
        <v>2027</v>
      </c>
      <c r="B210">
        <v>1</v>
      </c>
      <c r="C210" t="s">
        <v>171</v>
      </c>
      <c r="D210" t="s">
        <v>164</v>
      </c>
      <c r="E210" t="s">
        <v>103</v>
      </c>
      <c r="F210">
        <v>258</v>
      </c>
      <c r="G210">
        <v>1343.2389692129648</v>
      </c>
      <c r="H210">
        <v>2</v>
      </c>
      <c r="I210">
        <f>'Nacional · supuestos'!$B$19</f>
        <v>528</v>
      </c>
      <c r="J210">
        <f>F210*'Nacional · supuestos'!$B$4</f>
        <v>304.44</v>
      </c>
      <c r="K210">
        <f t="shared" si="3"/>
        <v>0.48863636363636365</v>
      </c>
    </row>
    <row r="211" spans="1:11">
      <c r="A211">
        <v>2027</v>
      </c>
      <c r="B211">
        <v>1</v>
      </c>
      <c r="C211" t="s">
        <v>171</v>
      </c>
      <c r="D211" t="s">
        <v>164</v>
      </c>
      <c r="E211" t="s">
        <v>99</v>
      </c>
      <c r="F211">
        <v>320</v>
      </c>
      <c r="G211">
        <v>1481.0100086586381</v>
      </c>
      <c r="H211">
        <v>1</v>
      </c>
      <c r="I211">
        <f>'Nacional · supuestos'!$B$20</f>
        <v>600</v>
      </c>
      <c r="J211">
        <f>F211*'Nacional · supuestos'!$B$4</f>
        <v>377.59999999999997</v>
      </c>
      <c r="K211">
        <f t="shared" si="3"/>
        <v>0.53333333333333333</v>
      </c>
    </row>
    <row r="212" spans="1:11">
      <c r="A212">
        <v>2027</v>
      </c>
      <c r="B212">
        <v>1</v>
      </c>
      <c r="C212" t="s">
        <v>171</v>
      </c>
      <c r="D212" t="s">
        <v>164</v>
      </c>
      <c r="E212" t="s">
        <v>101</v>
      </c>
      <c r="F212">
        <v>2520</v>
      </c>
      <c r="G212">
        <v>4434.2740546409395</v>
      </c>
      <c r="H212">
        <v>2</v>
      </c>
      <c r="I212">
        <f>'Nacional · supuestos'!$B$26</f>
        <v>800</v>
      </c>
      <c r="J212">
        <f>F212</f>
        <v>2520</v>
      </c>
      <c r="K212">
        <f t="shared" si="3"/>
        <v>3.15</v>
      </c>
    </row>
    <row r="213" spans="1:11">
      <c r="A213">
        <v>2027</v>
      </c>
      <c r="B213">
        <v>1</v>
      </c>
      <c r="C213" t="s">
        <v>171</v>
      </c>
      <c r="D213" t="s">
        <v>164</v>
      </c>
      <c r="E213" t="s">
        <v>102</v>
      </c>
      <c r="F213">
        <v>8050</v>
      </c>
      <c r="G213">
        <v>16612.631447420375</v>
      </c>
      <c r="H213">
        <v>4</v>
      </c>
      <c r="I213">
        <f>'Nacional · supuestos'!$B$25</f>
        <v>750</v>
      </c>
      <c r="J213">
        <f>F213</f>
        <v>8050</v>
      </c>
      <c r="K213">
        <f t="shared" si="3"/>
        <v>10.733333333333333</v>
      </c>
    </row>
    <row r="214" spans="1:11">
      <c r="A214">
        <v>2027</v>
      </c>
      <c r="B214">
        <v>1</v>
      </c>
      <c r="C214" t="s">
        <v>172</v>
      </c>
      <c r="D214" t="s">
        <v>160</v>
      </c>
      <c r="E214" t="s">
        <v>103</v>
      </c>
      <c r="F214">
        <v>215</v>
      </c>
      <c r="G214">
        <v>2007.2543096660377</v>
      </c>
      <c r="H214">
        <v>4</v>
      </c>
      <c r="I214">
        <f>'Nacional · supuestos'!$B$19</f>
        <v>528</v>
      </c>
      <c r="J214">
        <f>F214*'Nacional · supuestos'!$B$4</f>
        <v>253.7</v>
      </c>
      <c r="K214">
        <f t="shared" si="3"/>
        <v>0.40719696969696972</v>
      </c>
    </row>
    <row r="215" spans="1:11">
      <c r="A215">
        <v>2027</v>
      </c>
      <c r="B215">
        <v>1</v>
      </c>
      <c r="C215" t="s">
        <v>172</v>
      </c>
      <c r="D215" t="s">
        <v>160</v>
      </c>
      <c r="E215" t="s">
        <v>104</v>
      </c>
      <c r="F215">
        <v>9880</v>
      </c>
      <c r="G215">
        <v>28606.800728903378</v>
      </c>
      <c r="H215">
        <v>5</v>
      </c>
      <c r="I215">
        <f>'Nacional · supuestos'!$B$21</f>
        <v>640</v>
      </c>
      <c r="J215">
        <f>F215*'Nacional · supuestos'!$B$4</f>
        <v>11658.4</v>
      </c>
      <c r="K215">
        <f t="shared" si="3"/>
        <v>15.4375</v>
      </c>
    </row>
    <row r="216" spans="1:11">
      <c r="A216">
        <v>2027</v>
      </c>
      <c r="B216">
        <v>1</v>
      </c>
      <c r="C216" t="s">
        <v>172</v>
      </c>
      <c r="D216" t="s">
        <v>160</v>
      </c>
      <c r="E216" t="s">
        <v>99</v>
      </c>
      <c r="F216">
        <v>3860</v>
      </c>
      <c r="G216">
        <v>22409.032352296865</v>
      </c>
      <c r="H216">
        <v>12</v>
      </c>
      <c r="I216">
        <f>'Nacional · supuestos'!$B$20</f>
        <v>600</v>
      </c>
      <c r="J216">
        <f>F216*'Nacional · supuestos'!$B$4</f>
        <v>4554.8</v>
      </c>
      <c r="K216">
        <f t="shared" si="3"/>
        <v>6.4333333333333336</v>
      </c>
    </row>
    <row r="217" spans="1:11">
      <c r="A217">
        <v>2027</v>
      </c>
      <c r="B217">
        <v>1</v>
      </c>
      <c r="C217" t="s">
        <v>172</v>
      </c>
      <c r="D217" t="s">
        <v>160</v>
      </c>
      <c r="E217" t="s">
        <v>100</v>
      </c>
      <c r="F217">
        <v>215</v>
      </c>
      <c r="G217">
        <v>2203.0128116551227</v>
      </c>
      <c r="H217">
        <v>1</v>
      </c>
      <c r="I217">
        <f>'Nacional · supuestos'!$B$24</f>
        <v>1056</v>
      </c>
      <c r="J217">
        <f>F217</f>
        <v>215</v>
      </c>
      <c r="K217">
        <f t="shared" si="3"/>
        <v>0.20359848484848486</v>
      </c>
    </row>
    <row r="218" spans="1:11">
      <c r="A218">
        <v>2027</v>
      </c>
      <c r="B218">
        <v>1</v>
      </c>
      <c r="C218" t="s">
        <v>174</v>
      </c>
      <c r="D218" t="s">
        <v>160</v>
      </c>
      <c r="E218" t="s">
        <v>98</v>
      </c>
      <c r="F218">
        <v>2000</v>
      </c>
      <c r="G218">
        <v>3544.083635585142</v>
      </c>
      <c r="H218">
        <v>1</v>
      </c>
      <c r="I218">
        <f>'Nacional · supuestos'!$B$23</f>
        <v>1000</v>
      </c>
      <c r="J218">
        <f>F218*'Nacional · supuestos'!$B$4</f>
        <v>2360</v>
      </c>
      <c r="K218">
        <f t="shared" si="3"/>
        <v>2</v>
      </c>
    </row>
    <row r="219" spans="1:11">
      <c r="A219">
        <v>2027</v>
      </c>
      <c r="B219">
        <v>1</v>
      </c>
      <c r="C219" t="s">
        <v>174</v>
      </c>
      <c r="D219" t="s">
        <v>160</v>
      </c>
      <c r="E219" t="s">
        <v>104</v>
      </c>
      <c r="F219">
        <v>1680</v>
      </c>
      <c r="G219">
        <v>4482.640372491277</v>
      </c>
      <c r="H219">
        <v>5</v>
      </c>
      <c r="I219">
        <f>'Nacional · supuestos'!$B$21</f>
        <v>640</v>
      </c>
      <c r="J219">
        <f>F219*'Nacional · supuestos'!$B$4</f>
        <v>1982.3999999999999</v>
      </c>
      <c r="K219">
        <f t="shared" si="3"/>
        <v>2.625</v>
      </c>
    </row>
    <row r="220" spans="1:11">
      <c r="A220">
        <v>2027</v>
      </c>
      <c r="B220">
        <v>1</v>
      </c>
      <c r="C220" t="s">
        <v>174</v>
      </c>
      <c r="D220" t="s">
        <v>160</v>
      </c>
      <c r="E220" t="s">
        <v>99</v>
      </c>
      <c r="F220">
        <v>285</v>
      </c>
      <c r="G220">
        <v>3018.3084044706852</v>
      </c>
      <c r="H220">
        <v>1</v>
      </c>
      <c r="I220">
        <f>'Nacional · supuestos'!$B$20</f>
        <v>600</v>
      </c>
      <c r="J220">
        <f>F220*'Nacional · supuestos'!$B$4</f>
        <v>336.29999999999995</v>
      </c>
      <c r="K220">
        <f t="shared" si="3"/>
        <v>0.47499999999999998</v>
      </c>
    </row>
    <row r="221" spans="1:11">
      <c r="A221">
        <v>2027</v>
      </c>
      <c r="B221">
        <v>1</v>
      </c>
      <c r="C221" t="s">
        <v>174</v>
      </c>
      <c r="D221" t="s">
        <v>160</v>
      </c>
      <c r="E221" t="s">
        <v>101</v>
      </c>
      <c r="F221">
        <v>860</v>
      </c>
      <c r="G221">
        <v>3307.8808850487894</v>
      </c>
      <c r="H221">
        <v>1</v>
      </c>
      <c r="I221">
        <f>'Nacional · supuestos'!$B$26</f>
        <v>800</v>
      </c>
      <c r="J221">
        <f>F221</f>
        <v>860</v>
      </c>
      <c r="K221">
        <f t="shared" si="3"/>
        <v>1.075</v>
      </c>
    </row>
    <row r="222" spans="1:11">
      <c r="A222">
        <v>2027</v>
      </c>
      <c r="B222">
        <v>1</v>
      </c>
      <c r="C222" t="s">
        <v>175</v>
      </c>
      <c r="D222" t="s">
        <v>160</v>
      </c>
      <c r="E222" t="s">
        <v>103</v>
      </c>
      <c r="F222">
        <v>129</v>
      </c>
      <c r="G222">
        <v>3899.5343766835335</v>
      </c>
      <c r="H222">
        <v>1</v>
      </c>
      <c r="I222">
        <f>'Nacional · supuestos'!$B$19</f>
        <v>528</v>
      </c>
      <c r="J222">
        <f>F222*'Nacional · supuestos'!$B$4</f>
        <v>152.22</v>
      </c>
      <c r="K222">
        <f t="shared" si="3"/>
        <v>0.24431818181818182</v>
      </c>
    </row>
    <row r="223" spans="1:11">
      <c r="A223">
        <v>2027</v>
      </c>
      <c r="B223">
        <v>1</v>
      </c>
      <c r="C223" t="s">
        <v>175</v>
      </c>
      <c r="D223" t="s">
        <v>160</v>
      </c>
      <c r="E223" t="s">
        <v>104</v>
      </c>
      <c r="F223">
        <v>2080</v>
      </c>
      <c r="G223">
        <v>6354.3334830961812</v>
      </c>
      <c r="H223">
        <v>2</v>
      </c>
      <c r="I223">
        <f>'Nacional · supuestos'!$B$21</f>
        <v>640</v>
      </c>
      <c r="J223">
        <f>F223*'Nacional · supuestos'!$B$4</f>
        <v>2454.4</v>
      </c>
      <c r="K223">
        <f t="shared" si="3"/>
        <v>3.25</v>
      </c>
    </row>
    <row r="224" spans="1:11">
      <c r="A224">
        <v>2027</v>
      </c>
      <c r="B224">
        <v>1</v>
      </c>
      <c r="C224" t="s">
        <v>175</v>
      </c>
      <c r="D224" t="s">
        <v>160</v>
      </c>
      <c r="E224" t="s">
        <v>99</v>
      </c>
      <c r="F224">
        <v>1720</v>
      </c>
      <c r="G224">
        <v>8481.4612098481866</v>
      </c>
      <c r="H224">
        <v>5</v>
      </c>
      <c r="I224">
        <f>'Nacional · supuestos'!$B$20</f>
        <v>600</v>
      </c>
      <c r="J224">
        <f>F224*'Nacional · supuestos'!$B$4</f>
        <v>2029.6</v>
      </c>
      <c r="K224">
        <f t="shared" si="3"/>
        <v>2.8666666666666667</v>
      </c>
    </row>
    <row r="225" spans="1:11">
      <c r="A225">
        <v>2027</v>
      </c>
      <c r="B225">
        <v>1</v>
      </c>
      <c r="C225" t="s">
        <v>182</v>
      </c>
      <c r="D225" t="s">
        <v>160</v>
      </c>
      <c r="E225" t="s">
        <v>98</v>
      </c>
      <c r="F225">
        <v>5000</v>
      </c>
      <c r="G225">
        <v>8339.020319023859</v>
      </c>
      <c r="H225">
        <v>1</v>
      </c>
      <c r="I225">
        <f>'Nacional · supuestos'!$B$23</f>
        <v>1000</v>
      </c>
      <c r="J225">
        <f>F225*'Nacional · supuestos'!$B$4</f>
        <v>5900</v>
      </c>
      <c r="K225">
        <f t="shared" si="3"/>
        <v>5</v>
      </c>
    </row>
    <row r="226" spans="1:11">
      <c r="A226">
        <v>2027</v>
      </c>
      <c r="B226">
        <v>1</v>
      </c>
      <c r="C226" t="s">
        <v>182</v>
      </c>
      <c r="D226" t="s">
        <v>160</v>
      </c>
      <c r="E226" t="s">
        <v>104</v>
      </c>
      <c r="F226">
        <v>1380</v>
      </c>
      <c r="G226">
        <v>3370.6320129494443</v>
      </c>
      <c r="H226">
        <v>2</v>
      </c>
      <c r="I226">
        <f>'Nacional · supuestos'!$B$21</f>
        <v>640</v>
      </c>
      <c r="J226">
        <f>F226*'Nacional · supuestos'!$B$4</f>
        <v>1628.3999999999999</v>
      </c>
      <c r="K226">
        <f t="shared" si="3"/>
        <v>2.15625</v>
      </c>
    </row>
    <row r="227" spans="1:11">
      <c r="A227">
        <v>2027</v>
      </c>
      <c r="B227">
        <v>1</v>
      </c>
      <c r="C227" t="s">
        <v>182</v>
      </c>
      <c r="D227" t="s">
        <v>160</v>
      </c>
      <c r="E227" t="s">
        <v>105</v>
      </c>
      <c r="F227">
        <v>800</v>
      </c>
      <c r="G227">
        <v>1563.5663098169739</v>
      </c>
      <c r="H227">
        <v>2</v>
      </c>
      <c r="I227">
        <f>'Nacional · supuestos'!$B$22</f>
        <v>800</v>
      </c>
      <c r="J227">
        <f>F227*'Nacional · supuestos'!$B$4</f>
        <v>944</v>
      </c>
      <c r="K227">
        <f t="shared" si="3"/>
        <v>1</v>
      </c>
    </row>
    <row r="228" spans="1:11">
      <c r="A228">
        <v>2027</v>
      </c>
      <c r="B228">
        <v>1</v>
      </c>
      <c r="C228" t="s">
        <v>182</v>
      </c>
      <c r="D228" t="s">
        <v>160</v>
      </c>
      <c r="E228" t="s">
        <v>101</v>
      </c>
      <c r="F228">
        <v>6000</v>
      </c>
      <c r="G228">
        <v>9256.3125541164845</v>
      </c>
      <c r="H228">
        <v>1</v>
      </c>
      <c r="I228">
        <f>'Nacional · supuestos'!$B$26</f>
        <v>800</v>
      </c>
      <c r="J228">
        <f>F228</f>
        <v>6000</v>
      </c>
      <c r="K228">
        <f t="shared" si="3"/>
        <v>7.5</v>
      </c>
    </row>
    <row r="229" spans="1:11">
      <c r="A229">
        <v>2027</v>
      </c>
      <c r="B229">
        <v>1</v>
      </c>
      <c r="C229" t="s">
        <v>183</v>
      </c>
      <c r="D229" t="s">
        <v>164</v>
      </c>
      <c r="E229" t="s">
        <v>103</v>
      </c>
      <c r="F229">
        <v>63</v>
      </c>
      <c r="G229">
        <v>312.17122564265827</v>
      </c>
      <c r="H229">
        <v>2</v>
      </c>
      <c r="I229">
        <f>'Nacional · supuestos'!$B$19</f>
        <v>528</v>
      </c>
      <c r="J229">
        <f>F229*'Nacional · supuestos'!$B$4</f>
        <v>74.339999999999989</v>
      </c>
      <c r="K229">
        <f t="shared" si="3"/>
        <v>0.11931818181818182</v>
      </c>
    </row>
    <row r="230" spans="1:11">
      <c r="A230">
        <v>2027</v>
      </c>
      <c r="B230">
        <v>1</v>
      </c>
      <c r="C230" t="s">
        <v>183</v>
      </c>
      <c r="D230" t="s">
        <v>164</v>
      </c>
      <c r="E230" t="s">
        <v>98</v>
      </c>
      <c r="F230">
        <v>1000</v>
      </c>
      <c r="G230">
        <v>2731.029154480314</v>
      </c>
      <c r="H230">
        <v>1</v>
      </c>
      <c r="I230">
        <f>'Nacional · supuestos'!$B$23</f>
        <v>1000</v>
      </c>
      <c r="J230">
        <f>F230*'Nacional · supuestos'!$B$4</f>
        <v>1180</v>
      </c>
      <c r="K230">
        <f t="shared" si="3"/>
        <v>1</v>
      </c>
    </row>
    <row r="231" spans="1:11">
      <c r="A231">
        <v>2027</v>
      </c>
      <c r="B231">
        <v>1</v>
      </c>
      <c r="C231" t="s">
        <v>183</v>
      </c>
      <c r="D231" t="s">
        <v>164</v>
      </c>
      <c r="E231" t="s">
        <v>104</v>
      </c>
      <c r="F231">
        <v>320</v>
      </c>
      <c r="G231">
        <v>994.01122202764418</v>
      </c>
      <c r="H231">
        <v>1</v>
      </c>
      <c r="I231">
        <f>'Nacional · supuestos'!$B$21</f>
        <v>640</v>
      </c>
      <c r="J231">
        <f>F231*'Nacional · supuestos'!$B$4</f>
        <v>377.59999999999997</v>
      </c>
      <c r="K231">
        <f t="shared" si="3"/>
        <v>0.5</v>
      </c>
    </row>
    <row r="232" spans="1:11">
      <c r="A232">
        <v>2027</v>
      </c>
      <c r="B232">
        <v>1</v>
      </c>
      <c r="C232" t="s">
        <v>183</v>
      </c>
      <c r="D232" t="s">
        <v>164</v>
      </c>
      <c r="E232" t="s">
        <v>99</v>
      </c>
      <c r="F232">
        <v>210</v>
      </c>
      <c r="G232">
        <v>971.91281818223092</v>
      </c>
      <c r="H232">
        <v>1</v>
      </c>
      <c r="I232">
        <f>'Nacional · supuestos'!$B$20</f>
        <v>600</v>
      </c>
      <c r="J232">
        <f>F232*'Nacional · supuestos'!$B$4</f>
        <v>247.79999999999998</v>
      </c>
      <c r="K232">
        <f t="shared" si="3"/>
        <v>0.35</v>
      </c>
    </row>
    <row r="233" spans="1:11">
      <c r="A233">
        <v>2027</v>
      </c>
      <c r="B233">
        <v>1</v>
      </c>
      <c r="C233" t="s">
        <v>183</v>
      </c>
      <c r="D233" t="s">
        <v>164</v>
      </c>
      <c r="E233" t="s">
        <v>102</v>
      </c>
      <c r="F233">
        <v>80</v>
      </c>
      <c r="G233">
        <v>490.33439475860303</v>
      </c>
      <c r="H233">
        <v>1</v>
      </c>
      <c r="I233">
        <f>'Nacional · supuestos'!$B$25</f>
        <v>750</v>
      </c>
      <c r="J233">
        <f>F233</f>
        <v>80</v>
      </c>
      <c r="K233">
        <f t="shared" si="3"/>
        <v>0.10666666666666667</v>
      </c>
    </row>
    <row r="234" spans="1:11">
      <c r="A234">
        <v>2027</v>
      </c>
      <c r="B234">
        <v>1</v>
      </c>
      <c r="C234" t="s">
        <v>176</v>
      </c>
      <c r="D234" t="s">
        <v>160</v>
      </c>
      <c r="E234" t="s">
        <v>103</v>
      </c>
      <c r="F234">
        <v>13</v>
      </c>
      <c r="G234">
        <v>87.132338558400562</v>
      </c>
      <c r="H234">
        <v>1</v>
      </c>
      <c r="I234">
        <f>'Nacional · supuestos'!$B$19</f>
        <v>528</v>
      </c>
      <c r="J234">
        <f>F234*'Nacional · supuestos'!$B$4</f>
        <v>15.34</v>
      </c>
      <c r="K234">
        <f t="shared" si="3"/>
        <v>2.462121212121212E-2</v>
      </c>
    </row>
    <row r="235" spans="1:11">
      <c r="A235">
        <v>2027</v>
      </c>
      <c r="B235">
        <v>1</v>
      </c>
      <c r="C235" t="s">
        <v>176</v>
      </c>
      <c r="D235" t="s">
        <v>160</v>
      </c>
      <c r="E235" t="s">
        <v>104</v>
      </c>
      <c r="F235">
        <v>780</v>
      </c>
      <c r="G235">
        <v>3845.122269101902</v>
      </c>
      <c r="H235">
        <v>6</v>
      </c>
      <c r="I235">
        <f>'Nacional · supuestos'!$B$21</f>
        <v>640</v>
      </c>
      <c r="J235">
        <f>F235*'Nacional · supuestos'!$B$4</f>
        <v>920.4</v>
      </c>
      <c r="K235">
        <f t="shared" si="3"/>
        <v>1.21875</v>
      </c>
    </row>
    <row r="236" spans="1:11">
      <c r="A236">
        <v>2027</v>
      </c>
      <c r="B236">
        <v>1</v>
      </c>
      <c r="C236" t="s">
        <v>178</v>
      </c>
      <c r="D236" t="s">
        <v>160</v>
      </c>
      <c r="E236" t="s">
        <v>103</v>
      </c>
      <c r="F236">
        <v>86</v>
      </c>
      <c r="G236">
        <v>1396.6608181317113</v>
      </c>
      <c r="H236">
        <v>1</v>
      </c>
      <c r="I236">
        <f>'Nacional · supuestos'!$B$19</f>
        <v>528</v>
      </c>
      <c r="J236">
        <f>F236*'Nacional · supuestos'!$B$4</f>
        <v>101.47999999999999</v>
      </c>
      <c r="K236">
        <f t="shared" si="3"/>
        <v>0.16287878787878787</v>
      </c>
    </row>
    <row r="237" spans="1:11">
      <c r="A237">
        <v>2027</v>
      </c>
      <c r="B237">
        <v>1</v>
      </c>
      <c r="C237" t="s">
        <v>178</v>
      </c>
      <c r="D237" t="s">
        <v>160</v>
      </c>
      <c r="E237" t="s">
        <v>104</v>
      </c>
      <c r="F237">
        <v>3720</v>
      </c>
      <c r="G237">
        <v>12981.769881640394</v>
      </c>
      <c r="H237">
        <v>2</v>
      </c>
      <c r="I237">
        <f>'Nacional · supuestos'!$B$21</f>
        <v>640</v>
      </c>
      <c r="J237">
        <f>F237*'Nacional · supuestos'!$B$4</f>
        <v>4389.5999999999995</v>
      </c>
      <c r="K237">
        <f t="shared" si="3"/>
        <v>5.8125</v>
      </c>
    </row>
    <row r="238" spans="1:11">
      <c r="A238">
        <v>2027</v>
      </c>
      <c r="B238">
        <v>1</v>
      </c>
      <c r="C238" t="s">
        <v>178</v>
      </c>
      <c r="D238" t="s">
        <v>160</v>
      </c>
      <c r="E238" t="s">
        <v>99</v>
      </c>
      <c r="F238">
        <v>2425</v>
      </c>
      <c r="G238">
        <v>12697.617764269657</v>
      </c>
      <c r="H238">
        <v>7</v>
      </c>
      <c r="I238">
        <f>'Nacional · supuestos'!$B$20</f>
        <v>600</v>
      </c>
      <c r="J238">
        <f>F238*'Nacional · supuestos'!$B$4</f>
        <v>2861.5</v>
      </c>
      <c r="K238">
        <f t="shared" si="3"/>
        <v>4.041666666666667</v>
      </c>
    </row>
    <row r="239" spans="1:11">
      <c r="A239">
        <v>2027</v>
      </c>
      <c r="B239">
        <v>1</v>
      </c>
      <c r="C239" t="s">
        <v>178</v>
      </c>
      <c r="D239" t="s">
        <v>160</v>
      </c>
      <c r="E239" t="s">
        <v>102</v>
      </c>
      <c r="F239">
        <v>250</v>
      </c>
      <c r="G239">
        <v>1355.0908018413775</v>
      </c>
      <c r="H239">
        <v>1</v>
      </c>
      <c r="I239">
        <f>'Nacional · supuestos'!$B$25</f>
        <v>750</v>
      </c>
      <c r="J239">
        <f>F239</f>
        <v>250</v>
      </c>
      <c r="K239">
        <f t="shared" si="3"/>
        <v>0.33333333333333331</v>
      </c>
    </row>
    <row r="240" spans="1:11">
      <c r="A240">
        <v>2027</v>
      </c>
      <c r="B240">
        <v>1</v>
      </c>
      <c r="C240" t="s">
        <v>178</v>
      </c>
      <c r="D240" t="s">
        <v>160</v>
      </c>
      <c r="E240" t="s">
        <v>177</v>
      </c>
      <c r="F240">
        <v>750</v>
      </c>
      <c r="G240">
        <v>2220.2641599401022</v>
      </c>
      <c r="H240">
        <v>1</v>
      </c>
      <c r="I240">
        <f>'Nacional · supuestos'!$B$28</f>
        <v>1100</v>
      </c>
      <c r="J240">
        <f>F240</f>
        <v>750</v>
      </c>
      <c r="K240">
        <f t="shared" si="3"/>
        <v>0.68181818181818177</v>
      </c>
    </row>
    <row r="241" spans="1:11">
      <c r="A241">
        <v>2027</v>
      </c>
      <c r="B241">
        <v>1</v>
      </c>
      <c r="C241" t="s">
        <v>192</v>
      </c>
      <c r="D241" t="s">
        <v>160</v>
      </c>
      <c r="E241" t="s">
        <v>99</v>
      </c>
      <c r="F241">
        <v>635</v>
      </c>
      <c r="G241">
        <v>2554.9715879949231</v>
      </c>
      <c r="H241">
        <v>1</v>
      </c>
      <c r="I241">
        <f>'Nacional · supuestos'!$B$20</f>
        <v>600</v>
      </c>
      <c r="J241">
        <f>F241*'Nacional · supuestos'!$B$4</f>
        <v>749.3</v>
      </c>
      <c r="K241">
        <f t="shared" si="3"/>
        <v>1.0583333333333333</v>
      </c>
    </row>
    <row r="242" spans="1:11">
      <c r="A242">
        <v>2027</v>
      </c>
      <c r="B242">
        <v>1</v>
      </c>
      <c r="C242" t="s">
        <v>189</v>
      </c>
      <c r="D242" t="s">
        <v>160</v>
      </c>
      <c r="E242" t="s">
        <v>104</v>
      </c>
      <c r="F242">
        <v>1360</v>
      </c>
      <c r="G242">
        <v>4890.8354171074934</v>
      </c>
      <c r="H242">
        <v>1</v>
      </c>
      <c r="I242">
        <f>'Nacional · supuestos'!$B$21</f>
        <v>640</v>
      </c>
      <c r="J242">
        <f>F242*'Nacional · supuestos'!$B$4</f>
        <v>1604.8</v>
      </c>
      <c r="K242">
        <f t="shared" si="3"/>
        <v>2.125</v>
      </c>
    </row>
    <row r="243" spans="1:11">
      <c r="A243">
        <v>2027</v>
      </c>
      <c r="B243">
        <v>1</v>
      </c>
      <c r="C243" t="s">
        <v>179</v>
      </c>
      <c r="D243" t="s">
        <v>160</v>
      </c>
      <c r="E243" t="s">
        <v>104</v>
      </c>
      <c r="F243">
        <v>800</v>
      </c>
      <c r="G243">
        <v>2876.9620100632319</v>
      </c>
      <c r="H243">
        <v>1</v>
      </c>
      <c r="I243">
        <f>'Nacional · supuestos'!$B$21</f>
        <v>640</v>
      </c>
      <c r="J243">
        <f>F243*'Nacional · supuestos'!$B$4</f>
        <v>944</v>
      </c>
      <c r="K243">
        <f t="shared" si="3"/>
        <v>1.25</v>
      </c>
    </row>
    <row r="244" spans="1:11">
      <c r="A244">
        <v>2027</v>
      </c>
      <c r="B244">
        <v>1</v>
      </c>
      <c r="C244" t="s">
        <v>179</v>
      </c>
      <c r="D244" t="s">
        <v>160</v>
      </c>
      <c r="E244" t="s">
        <v>99</v>
      </c>
      <c r="F244">
        <v>105</v>
      </c>
      <c r="G244">
        <v>1051.3941055979271</v>
      </c>
      <c r="H244">
        <v>2</v>
      </c>
      <c r="I244">
        <f>'Nacional · supuestos'!$B$20</f>
        <v>600</v>
      </c>
      <c r="J244">
        <f>F244*'Nacional · supuestos'!$B$4</f>
        <v>123.89999999999999</v>
      </c>
      <c r="K244">
        <f t="shared" si="3"/>
        <v>0.17499999999999999</v>
      </c>
    </row>
    <row r="245" spans="1:11">
      <c r="A245">
        <v>2027</v>
      </c>
      <c r="B245">
        <v>1</v>
      </c>
      <c r="C245" t="s">
        <v>193</v>
      </c>
      <c r="D245" t="s">
        <v>160</v>
      </c>
      <c r="E245" t="s">
        <v>101</v>
      </c>
      <c r="F245">
        <v>20</v>
      </c>
      <c r="G245">
        <v>80.471546078580246</v>
      </c>
      <c r="H245">
        <v>1</v>
      </c>
      <c r="I245">
        <f>'Nacional · supuestos'!$B$26</f>
        <v>800</v>
      </c>
      <c r="J245">
        <f>F245</f>
        <v>20</v>
      </c>
      <c r="K245">
        <f t="shared" si="3"/>
        <v>2.5000000000000001E-2</v>
      </c>
    </row>
    <row r="246" spans="1:11">
      <c r="A246">
        <v>2027</v>
      </c>
      <c r="B246">
        <v>1</v>
      </c>
      <c r="C246" t="s">
        <v>180</v>
      </c>
      <c r="D246" t="s">
        <v>160</v>
      </c>
      <c r="E246" t="s">
        <v>104</v>
      </c>
      <c r="F246">
        <v>800</v>
      </c>
      <c r="G246">
        <v>1951.3307546515832</v>
      </c>
      <c r="H246">
        <v>1</v>
      </c>
      <c r="I246">
        <f>'Nacional · supuestos'!$B$21</f>
        <v>640</v>
      </c>
      <c r="J246">
        <f>F246*'Nacional · supuestos'!$B$4</f>
        <v>944</v>
      </c>
      <c r="K246">
        <f t="shared" si="3"/>
        <v>1.25</v>
      </c>
    </row>
    <row r="247" spans="1:11">
      <c r="A247">
        <v>2027</v>
      </c>
      <c r="B247">
        <v>1</v>
      </c>
      <c r="C247" t="s">
        <v>180</v>
      </c>
      <c r="D247" t="s">
        <v>160</v>
      </c>
      <c r="E247" t="s">
        <v>102</v>
      </c>
      <c r="F247">
        <v>240</v>
      </c>
      <c r="G247">
        <v>1128.2694491639281</v>
      </c>
      <c r="H247">
        <v>1</v>
      </c>
      <c r="I247">
        <f>'Nacional · supuestos'!$B$25</f>
        <v>750</v>
      </c>
      <c r="J247">
        <f>F247</f>
        <v>240</v>
      </c>
      <c r="K247">
        <f t="shared" si="3"/>
        <v>0.32</v>
      </c>
    </row>
    <row r="248" spans="1:11">
      <c r="A248">
        <v>2027</v>
      </c>
      <c r="B248">
        <v>1</v>
      </c>
      <c r="C248" t="s">
        <v>180</v>
      </c>
      <c r="D248" t="s">
        <v>160</v>
      </c>
      <c r="E248" t="s">
        <v>177</v>
      </c>
      <c r="F248">
        <v>75</v>
      </c>
      <c r="G248">
        <v>204.04540343111512</v>
      </c>
      <c r="H248">
        <v>1</v>
      </c>
      <c r="I248">
        <f>'Nacional · supuestos'!$B$28</f>
        <v>1100</v>
      </c>
      <c r="J248">
        <f>F248</f>
        <v>75</v>
      </c>
      <c r="K248">
        <f t="shared" si="3"/>
        <v>6.8181818181818177E-2</v>
      </c>
    </row>
    <row r="249" spans="1:11">
      <c r="A249">
        <v>2027</v>
      </c>
      <c r="B249">
        <v>1</v>
      </c>
      <c r="C249" t="s">
        <v>185</v>
      </c>
      <c r="D249" t="s">
        <v>160</v>
      </c>
      <c r="E249" t="s">
        <v>104</v>
      </c>
      <c r="F249">
        <v>2200</v>
      </c>
      <c r="G249">
        <v>7590.5932453914702</v>
      </c>
      <c r="H249">
        <v>1</v>
      </c>
      <c r="I249">
        <f>'Nacional · supuestos'!$B$21</f>
        <v>640</v>
      </c>
      <c r="J249">
        <f>F249*'Nacional · supuestos'!$B$4</f>
        <v>2596</v>
      </c>
      <c r="K249">
        <f t="shared" si="3"/>
        <v>3.4375</v>
      </c>
    </row>
    <row r="250" spans="1:11">
      <c r="A250">
        <v>2027</v>
      </c>
      <c r="B250">
        <v>1</v>
      </c>
      <c r="C250" t="s">
        <v>186</v>
      </c>
      <c r="D250" t="s">
        <v>160</v>
      </c>
      <c r="E250" t="s">
        <v>103</v>
      </c>
      <c r="F250">
        <v>13</v>
      </c>
      <c r="G250">
        <v>62.334176884703353</v>
      </c>
      <c r="H250">
        <v>1</v>
      </c>
      <c r="I250">
        <f>'Nacional · supuestos'!$B$19</f>
        <v>528</v>
      </c>
      <c r="J250">
        <f>F250*'Nacional · supuestos'!$B$4</f>
        <v>15.34</v>
      </c>
      <c r="K250">
        <f t="shared" si="3"/>
        <v>2.462121212121212E-2</v>
      </c>
    </row>
    <row r="251" spans="1:11">
      <c r="A251">
        <v>2027</v>
      </c>
      <c r="B251">
        <v>1</v>
      </c>
      <c r="C251" t="s">
        <v>186</v>
      </c>
      <c r="D251" t="s">
        <v>160</v>
      </c>
      <c r="E251" t="s">
        <v>104</v>
      </c>
      <c r="F251">
        <v>680</v>
      </c>
      <c r="G251">
        <v>1988.2309195632638</v>
      </c>
      <c r="H251">
        <v>2</v>
      </c>
      <c r="I251">
        <f>'Nacional · supuestos'!$B$21</f>
        <v>640</v>
      </c>
      <c r="J251">
        <f>F251*'Nacional · supuestos'!$B$4</f>
        <v>802.4</v>
      </c>
      <c r="K251">
        <f t="shared" si="3"/>
        <v>1.0625</v>
      </c>
    </row>
    <row r="252" spans="1:11">
      <c r="A252">
        <v>2027</v>
      </c>
      <c r="B252">
        <v>1</v>
      </c>
      <c r="C252" t="s">
        <v>186</v>
      </c>
      <c r="D252" t="s">
        <v>160</v>
      </c>
      <c r="E252" t="s">
        <v>101</v>
      </c>
      <c r="F252">
        <v>100</v>
      </c>
      <c r="G252">
        <v>173.0346716197451</v>
      </c>
      <c r="H252">
        <v>1</v>
      </c>
      <c r="I252">
        <f>'Nacional · supuestos'!$B$26</f>
        <v>800</v>
      </c>
      <c r="J252">
        <f>F252</f>
        <v>100</v>
      </c>
      <c r="K252">
        <f t="shared" si="3"/>
        <v>0.125</v>
      </c>
    </row>
    <row r="253" spans="1:11">
      <c r="A253">
        <v>2027</v>
      </c>
      <c r="B253">
        <v>1</v>
      </c>
      <c r="C253" t="s">
        <v>186</v>
      </c>
      <c r="D253" t="s">
        <v>160</v>
      </c>
      <c r="E253" t="s">
        <v>102</v>
      </c>
      <c r="F253">
        <v>60</v>
      </c>
      <c r="G253">
        <v>303.33186410449287</v>
      </c>
      <c r="H253">
        <v>1</v>
      </c>
      <c r="I253">
        <f>'Nacional · supuestos'!$B$25</f>
        <v>750</v>
      </c>
      <c r="J253">
        <f>F253</f>
        <v>60</v>
      </c>
      <c r="K253">
        <f t="shared" si="3"/>
        <v>0.08</v>
      </c>
    </row>
    <row r="254" spans="1:11">
      <c r="A254">
        <v>2027</v>
      </c>
      <c r="B254">
        <v>2</v>
      </c>
      <c r="C254" t="s">
        <v>159</v>
      </c>
      <c r="D254" t="s">
        <v>160</v>
      </c>
      <c r="E254" t="s">
        <v>104</v>
      </c>
      <c r="F254">
        <v>740</v>
      </c>
      <c r="G254">
        <v>2057.4447882111613</v>
      </c>
      <c r="H254">
        <v>2</v>
      </c>
      <c r="I254">
        <f>'Nacional · supuestos'!$B$21</f>
        <v>640</v>
      </c>
      <c r="J254">
        <f>F254*'Nacional · supuestos'!$B$4</f>
        <v>873.19999999999993</v>
      </c>
      <c r="K254">
        <f t="shared" si="3"/>
        <v>1.15625</v>
      </c>
    </row>
    <row r="255" spans="1:11">
      <c r="A255">
        <v>2027</v>
      </c>
      <c r="B255">
        <v>2</v>
      </c>
      <c r="C255" t="s">
        <v>159</v>
      </c>
      <c r="D255" t="s">
        <v>160</v>
      </c>
      <c r="E255" t="s">
        <v>101</v>
      </c>
      <c r="F255">
        <v>540</v>
      </c>
      <c r="G255">
        <v>2668.0695510716846</v>
      </c>
      <c r="H255">
        <v>1</v>
      </c>
      <c r="I255">
        <f>'Nacional · supuestos'!$B$26</f>
        <v>800</v>
      </c>
      <c r="J255">
        <f>F255</f>
        <v>540</v>
      </c>
      <c r="K255">
        <f t="shared" si="3"/>
        <v>0.67500000000000004</v>
      </c>
    </row>
    <row r="256" spans="1:11">
      <c r="A256">
        <v>2027</v>
      </c>
      <c r="B256">
        <v>2</v>
      </c>
      <c r="C256" t="s">
        <v>194</v>
      </c>
      <c r="D256" t="s">
        <v>160</v>
      </c>
      <c r="E256" t="s">
        <v>104</v>
      </c>
      <c r="F256">
        <v>1680</v>
      </c>
      <c r="G256">
        <v>0</v>
      </c>
      <c r="H256">
        <v>5</v>
      </c>
      <c r="I256">
        <f>'Nacional · supuestos'!$B$21</f>
        <v>640</v>
      </c>
      <c r="J256">
        <f>F256*'Nacional · supuestos'!$B$4</f>
        <v>1982.3999999999999</v>
      </c>
      <c r="K256">
        <f t="shared" si="3"/>
        <v>2.625</v>
      </c>
    </row>
    <row r="257" spans="1:11">
      <c r="A257">
        <v>2027</v>
      </c>
      <c r="B257">
        <v>2</v>
      </c>
      <c r="C257" t="s">
        <v>194</v>
      </c>
      <c r="D257" t="s">
        <v>160</v>
      </c>
      <c r="E257" t="s">
        <v>101</v>
      </c>
      <c r="F257">
        <v>1200</v>
      </c>
      <c r="G257">
        <v>0</v>
      </c>
      <c r="H257">
        <v>1</v>
      </c>
      <c r="I257">
        <f>'Nacional · supuestos'!$B$26</f>
        <v>800</v>
      </c>
      <c r="J257">
        <f>F257</f>
        <v>1200</v>
      </c>
      <c r="K257">
        <f t="shared" si="3"/>
        <v>1.5</v>
      </c>
    </row>
    <row r="258" spans="1:11">
      <c r="A258">
        <v>2027</v>
      </c>
      <c r="B258">
        <v>2</v>
      </c>
      <c r="C258" t="s">
        <v>195</v>
      </c>
      <c r="D258" t="s">
        <v>160</v>
      </c>
      <c r="E258" t="s">
        <v>104</v>
      </c>
      <c r="F258">
        <v>960</v>
      </c>
      <c r="G258">
        <v>1787.8859563987157</v>
      </c>
      <c r="H258">
        <v>4</v>
      </c>
      <c r="I258">
        <f>'Nacional · supuestos'!$B$21</f>
        <v>640</v>
      </c>
      <c r="J258">
        <f>F258*'Nacional · supuestos'!$B$4</f>
        <v>1132.8</v>
      </c>
      <c r="K258">
        <f t="shared" si="3"/>
        <v>1.5</v>
      </c>
    </row>
    <row r="259" spans="1:11">
      <c r="A259">
        <v>2027</v>
      </c>
      <c r="B259">
        <v>2</v>
      </c>
      <c r="C259" t="s">
        <v>195</v>
      </c>
      <c r="D259" t="s">
        <v>160</v>
      </c>
      <c r="E259" t="s">
        <v>99</v>
      </c>
      <c r="F259">
        <v>45</v>
      </c>
      <c r="G259">
        <v>0</v>
      </c>
      <c r="H259">
        <v>1</v>
      </c>
      <c r="I259">
        <f>'Nacional · supuestos'!$B$20</f>
        <v>600</v>
      </c>
      <c r="J259">
        <f>F259*'Nacional · supuestos'!$B$4</f>
        <v>53.099999999999994</v>
      </c>
      <c r="K259">
        <f t="shared" si="3"/>
        <v>7.4999999999999997E-2</v>
      </c>
    </row>
    <row r="260" spans="1:11">
      <c r="A260">
        <v>2027</v>
      </c>
      <c r="B260">
        <v>2</v>
      </c>
      <c r="C260" t="s">
        <v>190</v>
      </c>
      <c r="D260" t="s">
        <v>160</v>
      </c>
      <c r="E260" t="s">
        <v>104</v>
      </c>
      <c r="F260">
        <v>1360</v>
      </c>
      <c r="G260">
        <v>5691.7983187497348</v>
      </c>
      <c r="H260">
        <v>2</v>
      </c>
      <c r="I260">
        <f>'Nacional · supuestos'!$B$21</f>
        <v>640</v>
      </c>
      <c r="J260">
        <f>F260*'Nacional · supuestos'!$B$4</f>
        <v>1604.8</v>
      </c>
      <c r="K260">
        <f t="shared" si="3"/>
        <v>2.125</v>
      </c>
    </row>
    <row r="261" spans="1:11">
      <c r="A261">
        <v>2027</v>
      </c>
      <c r="B261">
        <v>2</v>
      </c>
      <c r="C261" t="s">
        <v>162</v>
      </c>
      <c r="D261" t="s">
        <v>160</v>
      </c>
      <c r="E261" t="s">
        <v>98</v>
      </c>
      <c r="F261">
        <v>2000</v>
      </c>
      <c r="G261">
        <v>3077.0984977198041</v>
      </c>
      <c r="H261">
        <v>1</v>
      </c>
      <c r="I261">
        <f>'Nacional · supuestos'!$B$23</f>
        <v>1000</v>
      </c>
      <c r="J261">
        <f>F261*'Nacional · supuestos'!$B$4</f>
        <v>2360</v>
      </c>
      <c r="K261">
        <f t="shared" si="3"/>
        <v>2</v>
      </c>
    </row>
    <row r="262" spans="1:11">
      <c r="A262">
        <v>2027</v>
      </c>
      <c r="B262">
        <v>2</v>
      </c>
      <c r="C262" t="s">
        <v>162</v>
      </c>
      <c r="D262" t="s">
        <v>160</v>
      </c>
      <c r="E262" t="s">
        <v>104</v>
      </c>
      <c r="F262">
        <v>1960</v>
      </c>
      <c r="G262">
        <v>10445.665327117265</v>
      </c>
      <c r="H262">
        <v>3</v>
      </c>
      <c r="I262">
        <f>'Nacional · supuestos'!$B$21</f>
        <v>640</v>
      </c>
      <c r="J262">
        <f>F262*'Nacional · supuestos'!$B$4</f>
        <v>2312.7999999999997</v>
      </c>
      <c r="K262">
        <f t="shared" si="3"/>
        <v>3.0625</v>
      </c>
    </row>
    <row r="263" spans="1:11">
      <c r="A263">
        <v>2027</v>
      </c>
      <c r="B263">
        <v>2</v>
      </c>
      <c r="C263" t="s">
        <v>163</v>
      </c>
      <c r="D263" t="s">
        <v>164</v>
      </c>
      <c r="E263" t="s">
        <v>103</v>
      </c>
      <c r="F263">
        <v>13</v>
      </c>
      <c r="G263">
        <v>55.016686554759929</v>
      </c>
      <c r="H263">
        <v>1</v>
      </c>
      <c r="I263">
        <f>'Nacional · supuestos'!$B$19</f>
        <v>528</v>
      </c>
      <c r="J263">
        <f>F263*'Nacional · supuestos'!$B$4</f>
        <v>15.34</v>
      </c>
      <c r="K263">
        <f t="shared" ref="K263:K326" si="4">F263/I263</f>
        <v>2.462121212121212E-2</v>
      </c>
    </row>
    <row r="264" spans="1:11">
      <c r="A264">
        <v>2027</v>
      </c>
      <c r="B264">
        <v>2</v>
      </c>
      <c r="C264" t="s">
        <v>163</v>
      </c>
      <c r="D264" t="s">
        <v>164</v>
      </c>
      <c r="E264" t="s">
        <v>104</v>
      </c>
      <c r="F264">
        <v>2060</v>
      </c>
      <c r="G264">
        <v>5427.8683256526301</v>
      </c>
      <c r="H264">
        <v>2</v>
      </c>
      <c r="I264">
        <f>'Nacional · supuestos'!$B$21</f>
        <v>640</v>
      </c>
      <c r="J264">
        <f>F264*'Nacional · supuestos'!$B$4</f>
        <v>2430.7999999999997</v>
      </c>
      <c r="K264">
        <f t="shared" si="4"/>
        <v>3.21875</v>
      </c>
    </row>
    <row r="265" spans="1:11">
      <c r="A265">
        <v>2027</v>
      </c>
      <c r="B265">
        <v>2</v>
      </c>
      <c r="C265" t="s">
        <v>163</v>
      </c>
      <c r="D265" t="s">
        <v>164</v>
      </c>
      <c r="E265" t="s">
        <v>105</v>
      </c>
      <c r="F265">
        <v>1400</v>
      </c>
      <c r="G265">
        <v>4025.6620590087691</v>
      </c>
      <c r="H265">
        <v>4</v>
      </c>
      <c r="I265">
        <f>'Nacional · supuestos'!$B$22</f>
        <v>800</v>
      </c>
      <c r="J265">
        <f>F265*'Nacional · supuestos'!$B$4</f>
        <v>1652</v>
      </c>
      <c r="K265">
        <f t="shared" si="4"/>
        <v>1.75</v>
      </c>
    </row>
    <row r="266" spans="1:11">
      <c r="A266">
        <v>2027</v>
      </c>
      <c r="B266">
        <v>2</v>
      </c>
      <c r="C266" t="s">
        <v>163</v>
      </c>
      <c r="D266" t="s">
        <v>164</v>
      </c>
      <c r="E266" t="s">
        <v>99</v>
      </c>
      <c r="F266">
        <v>80</v>
      </c>
      <c r="G266">
        <v>525.98370662242996</v>
      </c>
      <c r="H266">
        <v>4</v>
      </c>
      <c r="I266">
        <f>'Nacional · supuestos'!$B$20</f>
        <v>600</v>
      </c>
      <c r="J266">
        <f>F266*'Nacional · supuestos'!$B$4</f>
        <v>94.399999999999991</v>
      </c>
      <c r="K266">
        <f t="shared" si="4"/>
        <v>0.13333333333333333</v>
      </c>
    </row>
    <row r="267" spans="1:11">
      <c r="A267">
        <v>2027</v>
      </c>
      <c r="B267">
        <v>2</v>
      </c>
      <c r="C267" t="s">
        <v>166</v>
      </c>
      <c r="D267" t="s">
        <v>160</v>
      </c>
      <c r="E267" t="s">
        <v>104</v>
      </c>
      <c r="F267">
        <v>800</v>
      </c>
      <c r="G267">
        <v>1976.3478156086553</v>
      </c>
      <c r="H267">
        <v>1</v>
      </c>
      <c r="I267">
        <f>'Nacional · supuestos'!$B$21</f>
        <v>640</v>
      </c>
      <c r="J267">
        <f>F267*'Nacional · supuestos'!$B$4</f>
        <v>944</v>
      </c>
      <c r="K267">
        <f t="shared" si="4"/>
        <v>1.25</v>
      </c>
    </row>
    <row r="268" spans="1:11">
      <c r="A268">
        <v>2027</v>
      </c>
      <c r="B268">
        <v>2</v>
      </c>
      <c r="C268" t="s">
        <v>168</v>
      </c>
      <c r="D268" t="s">
        <v>160</v>
      </c>
      <c r="E268" t="s">
        <v>104</v>
      </c>
      <c r="F268">
        <v>2760</v>
      </c>
      <c r="G268">
        <v>2662.5970689873247</v>
      </c>
      <c r="H268">
        <v>3</v>
      </c>
      <c r="I268">
        <f>'Nacional · supuestos'!$B$21</f>
        <v>640</v>
      </c>
      <c r="J268">
        <f>F268*'Nacional · supuestos'!$B$4</f>
        <v>3256.7999999999997</v>
      </c>
      <c r="K268">
        <f t="shared" si="4"/>
        <v>4.3125</v>
      </c>
    </row>
    <row r="269" spans="1:11">
      <c r="A269">
        <v>2027</v>
      </c>
      <c r="B269">
        <v>2</v>
      </c>
      <c r="C269" t="s">
        <v>168</v>
      </c>
      <c r="D269" t="s">
        <v>160</v>
      </c>
      <c r="E269" t="s">
        <v>101</v>
      </c>
      <c r="F269">
        <v>1200</v>
      </c>
      <c r="G269">
        <v>2101.4331203940133</v>
      </c>
      <c r="H269">
        <v>1</v>
      </c>
      <c r="I269">
        <f>'Nacional · supuestos'!$B$26</f>
        <v>800</v>
      </c>
      <c r="J269">
        <f>F269</f>
        <v>1200</v>
      </c>
      <c r="K269">
        <f t="shared" si="4"/>
        <v>1.5</v>
      </c>
    </row>
    <row r="270" spans="1:11">
      <c r="A270">
        <v>2027</v>
      </c>
      <c r="B270">
        <v>2</v>
      </c>
      <c r="C270" t="s">
        <v>170</v>
      </c>
      <c r="D270" t="s">
        <v>160</v>
      </c>
      <c r="E270" t="s">
        <v>104</v>
      </c>
      <c r="F270">
        <v>1380</v>
      </c>
      <c r="G270">
        <v>4778.2586428006725</v>
      </c>
      <c r="H270">
        <v>2</v>
      </c>
      <c r="I270">
        <f>'Nacional · supuestos'!$B$21</f>
        <v>640</v>
      </c>
      <c r="J270">
        <f>F270*'Nacional · supuestos'!$B$4</f>
        <v>1628.3999999999999</v>
      </c>
      <c r="K270">
        <f t="shared" si="4"/>
        <v>2.15625</v>
      </c>
    </row>
    <row r="271" spans="1:11">
      <c r="A271">
        <v>2027</v>
      </c>
      <c r="B271">
        <v>2</v>
      </c>
      <c r="C271" t="s">
        <v>170</v>
      </c>
      <c r="D271" t="s">
        <v>160</v>
      </c>
      <c r="E271" t="s">
        <v>99</v>
      </c>
      <c r="F271">
        <v>110</v>
      </c>
      <c r="G271">
        <v>352.01089521679478</v>
      </c>
      <c r="H271">
        <v>1</v>
      </c>
      <c r="I271">
        <f>'Nacional · supuestos'!$B$20</f>
        <v>600</v>
      </c>
      <c r="J271">
        <f>F271*'Nacional · supuestos'!$B$4</f>
        <v>129.79999999999998</v>
      </c>
      <c r="K271">
        <f t="shared" si="4"/>
        <v>0.18333333333333332</v>
      </c>
    </row>
    <row r="272" spans="1:11">
      <c r="A272">
        <v>2027</v>
      </c>
      <c r="B272">
        <v>2</v>
      </c>
      <c r="C272" t="s">
        <v>171</v>
      </c>
      <c r="D272" t="s">
        <v>164</v>
      </c>
      <c r="E272" t="s">
        <v>104</v>
      </c>
      <c r="F272">
        <v>2900</v>
      </c>
      <c r="G272">
        <v>8140.9685864470466</v>
      </c>
      <c r="H272">
        <v>2</v>
      </c>
      <c r="I272">
        <f>'Nacional · supuestos'!$B$21</f>
        <v>640</v>
      </c>
      <c r="J272">
        <f>F272*'Nacional · supuestos'!$B$4</f>
        <v>3422</v>
      </c>
      <c r="K272">
        <f t="shared" si="4"/>
        <v>4.53125</v>
      </c>
    </row>
    <row r="273" spans="1:11">
      <c r="A273">
        <v>2027</v>
      </c>
      <c r="B273">
        <v>2</v>
      </c>
      <c r="C273" t="s">
        <v>171</v>
      </c>
      <c r="D273" t="s">
        <v>164</v>
      </c>
      <c r="E273" t="s">
        <v>99</v>
      </c>
      <c r="F273">
        <v>910</v>
      </c>
      <c r="G273">
        <v>3327.0085129055506</v>
      </c>
      <c r="H273">
        <v>2</v>
      </c>
      <c r="I273">
        <f>'Nacional · supuestos'!$B$20</f>
        <v>600</v>
      </c>
      <c r="J273">
        <f>F273*'Nacional · supuestos'!$B$4</f>
        <v>1073.8</v>
      </c>
      <c r="K273">
        <f t="shared" si="4"/>
        <v>1.5166666666666666</v>
      </c>
    </row>
    <row r="274" spans="1:11">
      <c r="A274">
        <v>2027</v>
      </c>
      <c r="B274">
        <v>2</v>
      </c>
      <c r="C274" t="s">
        <v>171</v>
      </c>
      <c r="D274" t="s">
        <v>164</v>
      </c>
      <c r="E274" t="s">
        <v>101</v>
      </c>
      <c r="F274">
        <v>1520</v>
      </c>
      <c r="G274">
        <v>3151.5432063859998</v>
      </c>
      <c r="H274">
        <v>2</v>
      </c>
      <c r="I274">
        <f>'Nacional · supuestos'!$B$26</f>
        <v>800</v>
      </c>
      <c r="J274">
        <f>F274</f>
        <v>1520</v>
      </c>
      <c r="K274">
        <f t="shared" si="4"/>
        <v>1.9</v>
      </c>
    </row>
    <row r="275" spans="1:11">
      <c r="A275">
        <v>2027</v>
      </c>
      <c r="B275">
        <v>2</v>
      </c>
      <c r="C275" t="s">
        <v>171</v>
      </c>
      <c r="D275" t="s">
        <v>164</v>
      </c>
      <c r="E275" t="s">
        <v>102</v>
      </c>
      <c r="F275">
        <v>3480</v>
      </c>
      <c r="G275">
        <v>8540.8246107442392</v>
      </c>
      <c r="H275">
        <v>3</v>
      </c>
      <c r="I275">
        <f>'Nacional · supuestos'!$B$25</f>
        <v>750</v>
      </c>
      <c r="J275">
        <f>F275</f>
        <v>3480</v>
      </c>
      <c r="K275">
        <f t="shared" si="4"/>
        <v>4.6399999999999997</v>
      </c>
    </row>
    <row r="276" spans="1:11">
      <c r="A276">
        <v>2027</v>
      </c>
      <c r="B276">
        <v>2</v>
      </c>
      <c r="C276" t="s">
        <v>196</v>
      </c>
      <c r="D276" t="s">
        <v>160</v>
      </c>
      <c r="E276" t="s">
        <v>103</v>
      </c>
      <c r="F276">
        <v>39</v>
      </c>
      <c r="G276">
        <v>534.98984856697575</v>
      </c>
      <c r="H276">
        <v>1</v>
      </c>
      <c r="I276">
        <f>'Nacional · supuestos'!$B$19</f>
        <v>528</v>
      </c>
      <c r="J276">
        <f>F276*'Nacional · supuestos'!$B$4</f>
        <v>46.019999999999996</v>
      </c>
      <c r="K276">
        <f t="shared" si="4"/>
        <v>7.3863636363636367E-2</v>
      </c>
    </row>
    <row r="277" spans="1:11">
      <c r="A277">
        <v>2027</v>
      </c>
      <c r="B277">
        <v>2</v>
      </c>
      <c r="C277" t="s">
        <v>196</v>
      </c>
      <c r="D277" t="s">
        <v>160</v>
      </c>
      <c r="E277" t="s">
        <v>99</v>
      </c>
      <c r="F277">
        <v>85</v>
      </c>
      <c r="G277">
        <v>401.3674717300172</v>
      </c>
      <c r="H277">
        <v>1</v>
      </c>
      <c r="I277">
        <f>'Nacional · supuestos'!$B$20</f>
        <v>600</v>
      </c>
      <c r="J277">
        <f>F277*'Nacional · supuestos'!$B$4</f>
        <v>100.3</v>
      </c>
      <c r="K277">
        <f t="shared" si="4"/>
        <v>0.14166666666666666</v>
      </c>
    </row>
    <row r="278" spans="1:11">
      <c r="A278">
        <v>2027</v>
      </c>
      <c r="B278">
        <v>2</v>
      </c>
      <c r="C278" t="s">
        <v>196</v>
      </c>
      <c r="D278" t="s">
        <v>160</v>
      </c>
      <c r="E278" t="s">
        <v>101</v>
      </c>
      <c r="F278">
        <v>40</v>
      </c>
      <c r="G278">
        <v>79.637644046677877</v>
      </c>
      <c r="H278">
        <v>1</v>
      </c>
      <c r="I278">
        <f>'Nacional · supuestos'!$B$26</f>
        <v>800</v>
      </c>
      <c r="J278">
        <f>F278</f>
        <v>40</v>
      </c>
      <c r="K278">
        <f t="shared" si="4"/>
        <v>0.05</v>
      </c>
    </row>
    <row r="279" spans="1:11">
      <c r="A279">
        <v>2027</v>
      </c>
      <c r="B279">
        <v>2</v>
      </c>
      <c r="C279" t="s">
        <v>196</v>
      </c>
      <c r="D279" t="s">
        <v>160</v>
      </c>
      <c r="E279" t="s">
        <v>197</v>
      </c>
      <c r="F279">
        <v>105</v>
      </c>
      <c r="G279">
        <v>259.39565079863598</v>
      </c>
      <c r="H279">
        <v>1</v>
      </c>
      <c r="I279">
        <f>'Nacional · supuestos'!$B$30</f>
        <v>1100</v>
      </c>
      <c r="J279">
        <f>F279</f>
        <v>105</v>
      </c>
      <c r="K279">
        <f t="shared" si="4"/>
        <v>9.5454545454545459E-2</v>
      </c>
    </row>
    <row r="280" spans="1:11">
      <c r="A280">
        <v>2027</v>
      </c>
      <c r="B280">
        <v>2</v>
      </c>
      <c r="C280" t="s">
        <v>172</v>
      </c>
      <c r="D280" t="s">
        <v>160</v>
      </c>
      <c r="E280" t="s">
        <v>103</v>
      </c>
      <c r="F280">
        <v>26</v>
      </c>
      <c r="G280">
        <v>290.12494067423881</v>
      </c>
      <c r="H280">
        <v>2</v>
      </c>
      <c r="I280">
        <f>'Nacional · supuestos'!$B$19</f>
        <v>528</v>
      </c>
      <c r="J280">
        <f>F280*'Nacional · supuestos'!$B$4</f>
        <v>30.68</v>
      </c>
      <c r="K280">
        <f t="shared" si="4"/>
        <v>4.924242424242424E-2</v>
      </c>
    </row>
    <row r="281" spans="1:11">
      <c r="A281">
        <v>2027</v>
      </c>
      <c r="B281">
        <v>2</v>
      </c>
      <c r="C281" t="s">
        <v>172</v>
      </c>
      <c r="D281" t="s">
        <v>160</v>
      </c>
      <c r="E281" t="s">
        <v>104</v>
      </c>
      <c r="F281">
        <v>6600</v>
      </c>
      <c r="G281">
        <v>20889.625787858193</v>
      </c>
      <c r="H281">
        <v>3</v>
      </c>
      <c r="I281">
        <f>'Nacional · supuestos'!$B$21</f>
        <v>640</v>
      </c>
      <c r="J281">
        <f>F281*'Nacional · supuestos'!$B$4</f>
        <v>7788</v>
      </c>
      <c r="K281">
        <f t="shared" si="4"/>
        <v>10.3125</v>
      </c>
    </row>
    <row r="282" spans="1:11">
      <c r="A282">
        <v>2027</v>
      </c>
      <c r="B282">
        <v>2</v>
      </c>
      <c r="C282" t="s">
        <v>172</v>
      </c>
      <c r="D282" t="s">
        <v>160</v>
      </c>
      <c r="E282" t="s">
        <v>99</v>
      </c>
      <c r="F282">
        <v>2795</v>
      </c>
      <c r="G282">
        <v>17448.930947664485</v>
      </c>
      <c r="H282">
        <v>9</v>
      </c>
      <c r="I282">
        <f>'Nacional · supuestos'!$B$20</f>
        <v>600</v>
      </c>
      <c r="J282">
        <f>F282*'Nacional · supuestos'!$B$4</f>
        <v>3298.1</v>
      </c>
      <c r="K282">
        <f t="shared" si="4"/>
        <v>4.6583333333333332</v>
      </c>
    </row>
    <row r="283" spans="1:11">
      <c r="A283">
        <v>2027</v>
      </c>
      <c r="B283">
        <v>2</v>
      </c>
      <c r="C283" t="s">
        <v>173</v>
      </c>
      <c r="D283" t="s">
        <v>160</v>
      </c>
      <c r="E283" t="s">
        <v>98</v>
      </c>
      <c r="F283">
        <v>1000</v>
      </c>
      <c r="G283">
        <v>3189.6752720266268</v>
      </c>
      <c r="H283">
        <v>1</v>
      </c>
      <c r="I283">
        <f>'Nacional · supuestos'!$B$23</f>
        <v>1000</v>
      </c>
      <c r="J283">
        <f>F283*'Nacional · supuestos'!$B$4</f>
        <v>1180</v>
      </c>
      <c r="K283">
        <f t="shared" si="4"/>
        <v>1</v>
      </c>
    </row>
    <row r="284" spans="1:11">
      <c r="A284">
        <v>2027</v>
      </c>
      <c r="B284">
        <v>2</v>
      </c>
      <c r="C284" t="s">
        <v>173</v>
      </c>
      <c r="D284" t="s">
        <v>160</v>
      </c>
      <c r="E284" t="s">
        <v>104</v>
      </c>
      <c r="F284">
        <v>5220</v>
      </c>
      <c r="G284">
        <v>17896.57998216508</v>
      </c>
      <c r="H284">
        <v>8</v>
      </c>
      <c r="I284">
        <f>'Nacional · supuestos'!$B$21</f>
        <v>640</v>
      </c>
      <c r="J284">
        <f>F284*'Nacional · supuestos'!$B$4</f>
        <v>6159.5999999999995</v>
      </c>
      <c r="K284">
        <f t="shared" si="4"/>
        <v>8.15625</v>
      </c>
    </row>
    <row r="285" spans="1:11">
      <c r="A285">
        <v>2027</v>
      </c>
      <c r="B285">
        <v>2</v>
      </c>
      <c r="C285" t="s">
        <v>173</v>
      </c>
      <c r="D285" t="s">
        <v>160</v>
      </c>
      <c r="E285" t="s">
        <v>99</v>
      </c>
      <c r="F285">
        <v>2000</v>
      </c>
      <c r="G285">
        <v>11489.450076674082</v>
      </c>
      <c r="H285">
        <v>6</v>
      </c>
      <c r="I285">
        <f>'Nacional · supuestos'!$B$20</f>
        <v>600</v>
      </c>
      <c r="J285">
        <f>F285*'Nacional · supuestos'!$B$4</f>
        <v>2360</v>
      </c>
      <c r="K285">
        <f t="shared" si="4"/>
        <v>3.3333333333333335</v>
      </c>
    </row>
    <row r="286" spans="1:11">
      <c r="A286">
        <v>2027</v>
      </c>
      <c r="B286">
        <v>2</v>
      </c>
      <c r="C286" t="s">
        <v>173</v>
      </c>
      <c r="D286" t="s">
        <v>160</v>
      </c>
      <c r="E286" t="s">
        <v>101</v>
      </c>
      <c r="F286">
        <v>2060</v>
      </c>
      <c r="G286">
        <v>4977.9781794412947</v>
      </c>
      <c r="H286">
        <v>2</v>
      </c>
      <c r="I286">
        <f>'Nacional · supuestos'!$B$26</f>
        <v>800</v>
      </c>
      <c r="J286">
        <f>F286</f>
        <v>2060</v>
      </c>
      <c r="K286">
        <f t="shared" si="4"/>
        <v>2.5750000000000002</v>
      </c>
    </row>
    <row r="287" spans="1:11">
      <c r="A287">
        <v>2027</v>
      </c>
      <c r="B287">
        <v>2</v>
      </c>
      <c r="C287" t="s">
        <v>173</v>
      </c>
      <c r="D287" t="s">
        <v>160</v>
      </c>
      <c r="E287" t="s">
        <v>102</v>
      </c>
      <c r="F287">
        <v>105</v>
      </c>
      <c r="G287">
        <v>523.16928726475942</v>
      </c>
      <c r="H287">
        <v>1</v>
      </c>
      <c r="I287">
        <f>'Nacional · supuestos'!$B$25</f>
        <v>750</v>
      </c>
      <c r="J287">
        <f>F287</f>
        <v>105</v>
      </c>
      <c r="K287">
        <f t="shared" si="4"/>
        <v>0.14000000000000001</v>
      </c>
    </row>
    <row r="288" spans="1:11">
      <c r="A288">
        <v>2027</v>
      </c>
      <c r="B288">
        <v>2</v>
      </c>
      <c r="C288" t="s">
        <v>173</v>
      </c>
      <c r="D288" t="s">
        <v>160</v>
      </c>
      <c r="E288" t="s">
        <v>197</v>
      </c>
      <c r="F288">
        <v>175</v>
      </c>
      <c r="G288">
        <v>368.48046034686689</v>
      </c>
      <c r="H288">
        <v>1</v>
      </c>
      <c r="I288">
        <f>'Nacional · supuestos'!$B$30</f>
        <v>1100</v>
      </c>
      <c r="J288">
        <f>F288</f>
        <v>175</v>
      </c>
      <c r="K288">
        <f t="shared" si="4"/>
        <v>0.15909090909090909</v>
      </c>
    </row>
    <row r="289" spans="1:11">
      <c r="A289">
        <v>2027</v>
      </c>
      <c r="B289">
        <v>2</v>
      </c>
      <c r="C289" t="s">
        <v>198</v>
      </c>
      <c r="D289" t="s">
        <v>160</v>
      </c>
      <c r="E289" t="s">
        <v>99</v>
      </c>
      <c r="F289">
        <v>665</v>
      </c>
      <c r="G289">
        <v>3244.0873796082574</v>
      </c>
      <c r="H289">
        <v>1</v>
      </c>
      <c r="I289">
        <f>'Nacional · supuestos'!$B$20</f>
        <v>600</v>
      </c>
      <c r="J289">
        <f>F289*'Nacional · supuestos'!$B$4</f>
        <v>784.69999999999993</v>
      </c>
      <c r="K289">
        <f t="shared" si="4"/>
        <v>1.1083333333333334</v>
      </c>
    </row>
    <row r="290" spans="1:11">
      <c r="A290">
        <v>2027</v>
      </c>
      <c r="B290">
        <v>2</v>
      </c>
      <c r="C290" t="s">
        <v>174</v>
      </c>
      <c r="D290" t="s">
        <v>160</v>
      </c>
      <c r="E290" t="s">
        <v>98</v>
      </c>
      <c r="F290">
        <v>2000</v>
      </c>
      <c r="G290">
        <v>3564.9311863827002</v>
      </c>
      <c r="H290">
        <v>1</v>
      </c>
      <c r="I290">
        <f>'Nacional · supuestos'!$B$23</f>
        <v>1000</v>
      </c>
      <c r="J290">
        <f>F290*'Nacional · supuestos'!$B$4</f>
        <v>2360</v>
      </c>
      <c r="K290">
        <f t="shared" si="4"/>
        <v>2</v>
      </c>
    </row>
    <row r="291" spans="1:11">
      <c r="A291">
        <v>2027</v>
      </c>
      <c r="B291">
        <v>2</v>
      </c>
      <c r="C291" t="s">
        <v>174</v>
      </c>
      <c r="D291" t="s">
        <v>160</v>
      </c>
      <c r="E291" t="s">
        <v>104</v>
      </c>
      <c r="F291">
        <v>3660</v>
      </c>
      <c r="G291">
        <v>16780.819063479688</v>
      </c>
      <c r="H291">
        <v>4</v>
      </c>
      <c r="I291">
        <f>'Nacional · supuestos'!$B$21</f>
        <v>640</v>
      </c>
      <c r="J291">
        <f>F291*'Nacional · supuestos'!$B$4</f>
        <v>4318.8</v>
      </c>
      <c r="K291">
        <f t="shared" si="4"/>
        <v>5.71875</v>
      </c>
    </row>
    <row r="292" spans="1:11">
      <c r="A292">
        <v>2027</v>
      </c>
      <c r="B292">
        <v>2</v>
      </c>
      <c r="C292" t="s">
        <v>174</v>
      </c>
      <c r="D292" t="s">
        <v>160</v>
      </c>
      <c r="E292" t="s">
        <v>105</v>
      </c>
      <c r="F292">
        <v>800</v>
      </c>
      <c r="G292">
        <v>1576.0748402955096</v>
      </c>
      <c r="H292">
        <v>1</v>
      </c>
      <c r="I292">
        <f>'Nacional · supuestos'!$B$22</f>
        <v>800</v>
      </c>
      <c r="J292">
        <f>F292*'Nacional · supuestos'!$B$4</f>
        <v>944</v>
      </c>
      <c r="K292">
        <f t="shared" si="4"/>
        <v>1</v>
      </c>
    </row>
    <row r="293" spans="1:11">
      <c r="A293">
        <v>2027</v>
      </c>
      <c r="B293">
        <v>2</v>
      </c>
      <c r="C293" t="s">
        <v>174</v>
      </c>
      <c r="D293" t="s">
        <v>160</v>
      </c>
      <c r="E293" t="s">
        <v>99</v>
      </c>
      <c r="F293">
        <v>380</v>
      </c>
      <c r="G293">
        <v>3344.7810499604707</v>
      </c>
      <c r="H293">
        <v>2</v>
      </c>
      <c r="I293">
        <f>'Nacional · supuestos'!$B$20</f>
        <v>600</v>
      </c>
      <c r="J293">
        <f>F293*'Nacional · supuestos'!$B$4</f>
        <v>448.4</v>
      </c>
      <c r="K293">
        <f t="shared" si="4"/>
        <v>0.6333333333333333</v>
      </c>
    </row>
    <row r="294" spans="1:11">
      <c r="A294">
        <v>2027</v>
      </c>
      <c r="B294">
        <v>2</v>
      </c>
      <c r="C294" t="s">
        <v>174</v>
      </c>
      <c r="D294" t="s">
        <v>160</v>
      </c>
      <c r="E294" t="s">
        <v>101</v>
      </c>
      <c r="F294">
        <v>100</v>
      </c>
      <c r="G294">
        <v>277.27242560754331</v>
      </c>
      <c r="H294">
        <v>1</v>
      </c>
      <c r="I294">
        <f>'Nacional · supuestos'!$B$26</f>
        <v>800</v>
      </c>
      <c r="J294">
        <f>F294</f>
        <v>100</v>
      </c>
      <c r="K294">
        <f t="shared" si="4"/>
        <v>0.125</v>
      </c>
    </row>
    <row r="295" spans="1:11">
      <c r="A295">
        <v>2027</v>
      </c>
      <c r="B295">
        <v>2</v>
      </c>
      <c r="C295" t="s">
        <v>175</v>
      </c>
      <c r="D295" t="s">
        <v>160</v>
      </c>
      <c r="E295" t="s">
        <v>104</v>
      </c>
      <c r="F295">
        <v>680</v>
      </c>
      <c r="G295">
        <v>2023.6717559191156</v>
      </c>
      <c r="H295">
        <v>2</v>
      </c>
      <c r="I295">
        <f>'Nacional · supuestos'!$B$21</f>
        <v>640</v>
      </c>
      <c r="J295">
        <f>F295*'Nacional · supuestos'!$B$4</f>
        <v>802.4</v>
      </c>
      <c r="K295">
        <f t="shared" si="4"/>
        <v>1.0625</v>
      </c>
    </row>
    <row r="296" spans="1:11">
      <c r="A296">
        <v>2027</v>
      </c>
      <c r="B296">
        <v>2</v>
      </c>
      <c r="C296" t="s">
        <v>175</v>
      </c>
      <c r="D296" t="s">
        <v>160</v>
      </c>
      <c r="E296" t="s">
        <v>99</v>
      </c>
      <c r="F296">
        <v>210</v>
      </c>
      <c r="G296">
        <v>1046.3385745295188</v>
      </c>
      <c r="H296">
        <v>1</v>
      </c>
      <c r="I296">
        <f>'Nacional · supuestos'!$B$20</f>
        <v>600</v>
      </c>
      <c r="J296">
        <f>F296*'Nacional · supuestos'!$B$4</f>
        <v>247.79999999999998</v>
      </c>
      <c r="K296">
        <f t="shared" si="4"/>
        <v>0.35</v>
      </c>
    </row>
    <row r="297" spans="1:11">
      <c r="A297">
        <v>2027</v>
      </c>
      <c r="B297">
        <v>2</v>
      </c>
      <c r="C297" t="s">
        <v>188</v>
      </c>
      <c r="D297" t="s">
        <v>160</v>
      </c>
      <c r="E297" t="s">
        <v>104</v>
      </c>
      <c r="F297">
        <v>680</v>
      </c>
      <c r="G297">
        <v>2948.6775848068373</v>
      </c>
      <c r="H297">
        <v>1</v>
      </c>
      <c r="I297">
        <f>'Nacional · supuestos'!$B$21</f>
        <v>640</v>
      </c>
      <c r="J297">
        <f>F297*'Nacional · supuestos'!$B$4</f>
        <v>802.4</v>
      </c>
      <c r="K297">
        <f t="shared" si="4"/>
        <v>1.0625</v>
      </c>
    </row>
    <row r="298" spans="1:11">
      <c r="A298">
        <v>2027</v>
      </c>
      <c r="B298">
        <v>2</v>
      </c>
      <c r="C298" t="s">
        <v>182</v>
      </c>
      <c r="D298" t="s">
        <v>160</v>
      </c>
      <c r="E298" t="s">
        <v>103</v>
      </c>
      <c r="F298">
        <v>13</v>
      </c>
      <c r="G298">
        <v>160.30724185783487</v>
      </c>
      <c r="H298">
        <v>1</v>
      </c>
      <c r="I298">
        <f>'Nacional · supuestos'!$B$19</f>
        <v>528</v>
      </c>
      <c r="J298">
        <f>F298*'Nacional · supuestos'!$B$4</f>
        <v>15.34</v>
      </c>
      <c r="K298">
        <f t="shared" si="4"/>
        <v>2.462121212121212E-2</v>
      </c>
    </row>
    <row r="299" spans="1:11">
      <c r="A299">
        <v>2027</v>
      </c>
      <c r="B299">
        <v>2</v>
      </c>
      <c r="C299" t="s">
        <v>182</v>
      </c>
      <c r="D299" t="s">
        <v>160</v>
      </c>
      <c r="E299" t="s">
        <v>98</v>
      </c>
      <c r="F299">
        <v>27000</v>
      </c>
      <c r="G299">
        <v>42197.180110160545</v>
      </c>
      <c r="H299">
        <v>2</v>
      </c>
      <c r="I299">
        <f>'Nacional · supuestos'!$B$23</f>
        <v>1000</v>
      </c>
      <c r="J299">
        <f>F299*'Nacional · supuestos'!$B$4</f>
        <v>31860</v>
      </c>
      <c r="K299">
        <f t="shared" si="4"/>
        <v>27</v>
      </c>
    </row>
    <row r="300" spans="1:11">
      <c r="A300">
        <v>2027</v>
      </c>
      <c r="B300">
        <v>2</v>
      </c>
      <c r="C300" t="s">
        <v>182</v>
      </c>
      <c r="D300" t="s">
        <v>160</v>
      </c>
      <c r="E300" t="s">
        <v>104</v>
      </c>
      <c r="F300">
        <v>15540</v>
      </c>
      <c r="G300">
        <v>48486.191267424358</v>
      </c>
      <c r="H300">
        <v>11</v>
      </c>
      <c r="I300">
        <f>'Nacional · supuestos'!$B$21</f>
        <v>640</v>
      </c>
      <c r="J300">
        <f>F300*'Nacional · supuestos'!$B$4</f>
        <v>18337.2</v>
      </c>
      <c r="K300">
        <f t="shared" si="4"/>
        <v>24.28125</v>
      </c>
    </row>
    <row r="301" spans="1:11">
      <c r="A301">
        <v>2027</v>
      </c>
      <c r="B301">
        <v>2</v>
      </c>
      <c r="C301" t="s">
        <v>182</v>
      </c>
      <c r="D301" t="s">
        <v>160</v>
      </c>
      <c r="E301" t="s">
        <v>105</v>
      </c>
      <c r="F301">
        <v>400</v>
      </c>
      <c r="G301">
        <v>1138.2762735467572</v>
      </c>
      <c r="H301">
        <v>1</v>
      </c>
      <c r="I301">
        <f>'Nacional · supuestos'!$B$22</f>
        <v>800</v>
      </c>
      <c r="J301">
        <f>F301*'Nacional · supuestos'!$B$4</f>
        <v>472</v>
      </c>
      <c r="K301">
        <f t="shared" si="4"/>
        <v>0.5</v>
      </c>
    </row>
    <row r="302" spans="1:11">
      <c r="A302">
        <v>2027</v>
      </c>
      <c r="B302">
        <v>2</v>
      </c>
      <c r="C302" t="s">
        <v>182</v>
      </c>
      <c r="D302" t="s">
        <v>160</v>
      </c>
      <c r="E302" t="s">
        <v>99</v>
      </c>
      <c r="F302">
        <v>1130</v>
      </c>
      <c r="G302">
        <v>3929.8154442169894</v>
      </c>
      <c r="H302">
        <v>5</v>
      </c>
      <c r="I302">
        <f>'Nacional · supuestos'!$B$20</f>
        <v>600</v>
      </c>
      <c r="J302">
        <f>F302*'Nacional · supuestos'!$B$4</f>
        <v>1333.3999999999999</v>
      </c>
      <c r="K302">
        <f t="shared" si="4"/>
        <v>1.8833333333333333</v>
      </c>
    </row>
    <row r="303" spans="1:11">
      <c r="A303">
        <v>2027</v>
      </c>
      <c r="B303">
        <v>2</v>
      </c>
      <c r="C303" t="s">
        <v>182</v>
      </c>
      <c r="D303" t="s">
        <v>160</v>
      </c>
      <c r="E303" t="s">
        <v>101</v>
      </c>
      <c r="F303">
        <v>17320</v>
      </c>
      <c r="G303">
        <v>30451.600498979435</v>
      </c>
      <c r="H303">
        <v>2</v>
      </c>
      <c r="I303">
        <f>'Nacional · supuestos'!$B$26</f>
        <v>800</v>
      </c>
      <c r="J303">
        <f>F303</f>
        <v>17320</v>
      </c>
      <c r="K303">
        <f t="shared" si="4"/>
        <v>21.65</v>
      </c>
    </row>
    <row r="304" spans="1:11">
      <c r="A304">
        <v>2027</v>
      </c>
      <c r="B304">
        <v>2</v>
      </c>
      <c r="C304" t="s">
        <v>182</v>
      </c>
      <c r="D304" t="s">
        <v>160</v>
      </c>
      <c r="E304" t="s">
        <v>102</v>
      </c>
      <c r="F304">
        <v>995</v>
      </c>
      <c r="G304">
        <v>4501.2989304550929</v>
      </c>
      <c r="H304">
        <v>1</v>
      </c>
      <c r="I304">
        <f>'Nacional · supuestos'!$B$25</f>
        <v>750</v>
      </c>
      <c r="J304">
        <f>F304</f>
        <v>995</v>
      </c>
      <c r="K304">
        <f t="shared" si="4"/>
        <v>1.3266666666666667</v>
      </c>
    </row>
    <row r="305" spans="1:11">
      <c r="A305">
        <v>2027</v>
      </c>
      <c r="B305">
        <v>2</v>
      </c>
      <c r="C305" t="s">
        <v>183</v>
      </c>
      <c r="D305" t="s">
        <v>164</v>
      </c>
      <c r="E305" t="s">
        <v>103</v>
      </c>
      <c r="F305">
        <v>38</v>
      </c>
      <c r="G305">
        <v>184.58421476159319</v>
      </c>
      <c r="H305">
        <v>1</v>
      </c>
      <c r="I305">
        <f>'Nacional · supuestos'!$B$19</f>
        <v>528</v>
      </c>
      <c r="J305">
        <f>F305*'Nacional · supuestos'!$B$4</f>
        <v>44.839999999999996</v>
      </c>
      <c r="K305">
        <f t="shared" si="4"/>
        <v>7.1969696969696975E-2</v>
      </c>
    </row>
    <row r="306" spans="1:11">
      <c r="A306">
        <v>2027</v>
      </c>
      <c r="B306">
        <v>2</v>
      </c>
      <c r="C306" t="s">
        <v>183</v>
      </c>
      <c r="D306" t="s">
        <v>164</v>
      </c>
      <c r="E306" t="s">
        <v>98</v>
      </c>
      <c r="F306">
        <v>4000</v>
      </c>
      <c r="G306">
        <v>6295.9603408630137</v>
      </c>
      <c r="H306">
        <v>3</v>
      </c>
      <c r="I306">
        <f>'Nacional · supuestos'!$B$23</f>
        <v>1000</v>
      </c>
      <c r="J306">
        <f>F306*'Nacional · supuestos'!$B$4</f>
        <v>4720</v>
      </c>
      <c r="K306">
        <f t="shared" si="4"/>
        <v>4</v>
      </c>
    </row>
    <row r="307" spans="1:11">
      <c r="A307">
        <v>2027</v>
      </c>
      <c r="B307">
        <v>2</v>
      </c>
      <c r="C307" t="s">
        <v>183</v>
      </c>
      <c r="D307" t="s">
        <v>164</v>
      </c>
      <c r="E307" t="s">
        <v>105</v>
      </c>
      <c r="F307">
        <v>800</v>
      </c>
      <c r="G307">
        <v>1418.4673562659584</v>
      </c>
      <c r="H307">
        <v>1</v>
      </c>
      <c r="I307">
        <f>'Nacional · supuestos'!$B$22</f>
        <v>800</v>
      </c>
      <c r="J307">
        <f>F307*'Nacional · supuestos'!$B$4</f>
        <v>944</v>
      </c>
      <c r="K307">
        <f t="shared" si="4"/>
        <v>1</v>
      </c>
    </row>
    <row r="308" spans="1:11">
      <c r="A308">
        <v>2027</v>
      </c>
      <c r="B308">
        <v>2</v>
      </c>
      <c r="C308" t="s">
        <v>183</v>
      </c>
      <c r="D308" t="s">
        <v>164</v>
      </c>
      <c r="E308" t="s">
        <v>99</v>
      </c>
      <c r="F308">
        <v>65</v>
      </c>
      <c r="G308">
        <v>231.72052711487555</v>
      </c>
      <c r="H308">
        <v>1</v>
      </c>
      <c r="I308">
        <f>'Nacional · supuestos'!$B$20</f>
        <v>600</v>
      </c>
      <c r="J308">
        <f>F308*'Nacional · supuestos'!$B$4</f>
        <v>76.7</v>
      </c>
      <c r="K308">
        <f t="shared" si="4"/>
        <v>0.10833333333333334</v>
      </c>
    </row>
    <row r="309" spans="1:11">
      <c r="A309">
        <v>2027</v>
      </c>
      <c r="B309">
        <v>2</v>
      </c>
      <c r="C309" t="s">
        <v>176</v>
      </c>
      <c r="D309" t="s">
        <v>160</v>
      </c>
      <c r="E309" t="s">
        <v>103</v>
      </c>
      <c r="F309">
        <v>89</v>
      </c>
      <c r="G309">
        <v>419.55695980088797</v>
      </c>
      <c r="H309">
        <v>4</v>
      </c>
      <c r="I309">
        <f>'Nacional · supuestos'!$B$19</f>
        <v>528</v>
      </c>
      <c r="J309">
        <f>F309*'Nacional · supuestos'!$B$4</f>
        <v>105.02</v>
      </c>
      <c r="K309">
        <f t="shared" si="4"/>
        <v>0.16856060606060605</v>
      </c>
    </row>
    <row r="310" spans="1:11">
      <c r="A310">
        <v>2027</v>
      </c>
      <c r="B310">
        <v>2</v>
      </c>
      <c r="C310" t="s">
        <v>176</v>
      </c>
      <c r="D310" t="s">
        <v>160</v>
      </c>
      <c r="E310" t="s">
        <v>104</v>
      </c>
      <c r="F310">
        <v>980</v>
      </c>
      <c r="G310">
        <v>3284.7401036634992</v>
      </c>
      <c r="H310">
        <v>3</v>
      </c>
      <c r="I310">
        <f>'Nacional · supuestos'!$B$21</f>
        <v>640</v>
      </c>
      <c r="J310">
        <f>F310*'Nacional · supuestos'!$B$4</f>
        <v>1156.3999999999999</v>
      </c>
      <c r="K310">
        <f t="shared" si="4"/>
        <v>1.53125</v>
      </c>
    </row>
    <row r="311" spans="1:11">
      <c r="A311">
        <v>2027</v>
      </c>
      <c r="B311">
        <v>2</v>
      </c>
      <c r="C311" t="s">
        <v>176</v>
      </c>
      <c r="D311" t="s">
        <v>160</v>
      </c>
      <c r="E311" t="s">
        <v>99</v>
      </c>
      <c r="F311">
        <v>345</v>
      </c>
      <c r="G311">
        <v>1520.4639985430192</v>
      </c>
      <c r="H311">
        <v>3</v>
      </c>
      <c r="I311">
        <f>'Nacional · supuestos'!$B$20</f>
        <v>600</v>
      </c>
      <c r="J311">
        <f>F311*'Nacional · supuestos'!$B$4</f>
        <v>407.09999999999997</v>
      </c>
      <c r="K311">
        <f t="shared" si="4"/>
        <v>0.57499999999999996</v>
      </c>
    </row>
    <row r="312" spans="1:11">
      <c r="A312">
        <v>2027</v>
      </c>
      <c r="B312">
        <v>2</v>
      </c>
      <c r="C312" t="s">
        <v>176</v>
      </c>
      <c r="D312" t="s">
        <v>160</v>
      </c>
      <c r="E312" t="s">
        <v>101</v>
      </c>
      <c r="F312">
        <v>1200</v>
      </c>
      <c r="G312">
        <v>1951.3307546515834</v>
      </c>
      <c r="H312">
        <v>1</v>
      </c>
      <c r="I312">
        <f>'Nacional · supuestos'!$B$26</f>
        <v>800</v>
      </c>
      <c r="J312">
        <f>F312</f>
        <v>1200</v>
      </c>
      <c r="K312">
        <f t="shared" si="4"/>
        <v>1.5</v>
      </c>
    </row>
    <row r="313" spans="1:11">
      <c r="A313">
        <v>2027</v>
      </c>
      <c r="B313">
        <v>2</v>
      </c>
      <c r="C313" t="s">
        <v>176</v>
      </c>
      <c r="D313" t="s">
        <v>160</v>
      </c>
      <c r="E313" t="s">
        <v>102</v>
      </c>
      <c r="F313">
        <v>240</v>
      </c>
      <c r="G313">
        <v>1093.2455638240283</v>
      </c>
      <c r="H313">
        <v>1</v>
      </c>
      <c r="I313">
        <f>'Nacional · supuestos'!$B$25</f>
        <v>750</v>
      </c>
      <c r="J313">
        <f>F313</f>
        <v>240</v>
      </c>
      <c r="K313">
        <f t="shared" si="4"/>
        <v>0.32</v>
      </c>
    </row>
    <row r="314" spans="1:11">
      <c r="A314">
        <v>2027</v>
      </c>
      <c r="B314">
        <v>2</v>
      </c>
      <c r="C314" t="s">
        <v>178</v>
      </c>
      <c r="D314" t="s">
        <v>160</v>
      </c>
      <c r="E314" t="s">
        <v>103</v>
      </c>
      <c r="F314">
        <v>25</v>
      </c>
      <c r="G314">
        <v>423.46587557543052</v>
      </c>
      <c r="H314">
        <v>1</v>
      </c>
      <c r="I314">
        <f>'Nacional · supuestos'!$B$19</f>
        <v>528</v>
      </c>
      <c r="J314">
        <f>F314*'Nacional · supuestos'!$B$4</f>
        <v>29.5</v>
      </c>
      <c r="K314">
        <f t="shared" si="4"/>
        <v>4.7348484848484848E-2</v>
      </c>
    </row>
    <row r="315" spans="1:11">
      <c r="A315">
        <v>2027</v>
      </c>
      <c r="B315">
        <v>2</v>
      </c>
      <c r="C315" t="s">
        <v>178</v>
      </c>
      <c r="D315" t="s">
        <v>160</v>
      </c>
      <c r="E315" t="s">
        <v>104</v>
      </c>
      <c r="F315">
        <v>700</v>
      </c>
      <c r="G315">
        <v>2415.1887598972853</v>
      </c>
      <c r="H315">
        <v>1</v>
      </c>
      <c r="I315">
        <f>'Nacional · supuestos'!$B$21</f>
        <v>640</v>
      </c>
      <c r="J315">
        <f>F315*'Nacional · supuestos'!$B$4</f>
        <v>826</v>
      </c>
      <c r="K315">
        <f t="shared" si="4"/>
        <v>1.09375</v>
      </c>
    </row>
    <row r="316" spans="1:11">
      <c r="A316">
        <v>2027</v>
      </c>
      <c r="B316">
        <v>2</v>
      </c>
      <c r="C316" t="s">
        <v>178</v>
      </c>
      <c r="D316" t="s">
        <v>160</v>
      </c>
      <c r="E316" t="s">
        <v>99</v>
      </c>
      <c r="F316">
        <v>2425</v>
      </c>
      <c r="G316">
        <v>13627.783361979775</v>
      </c>
      <c r="H316">
        <v>5</v>
      </c>
      <c r="I316">
        <f>'Nacional · supuestos'!$B$20</f>
        <v>600</v>
      </c>
      <c r="J316">
        <f>F316*'Nacional · supuestos'!$B$4</f>
        <v>2861.5</v>
      </c>
      <c r="K316">
        <f t="shared" si="4"/>
        <v>4.041666666666667</v>
      </c>
    </row>
    <row r="317" spans="1:11">
      <c r="A317">
        <v>2027</v>
      </c>
      <c r="B317">
        <v>2</v>
      </c>
      <c r="C317" t="s">
        <v>178</v>
      </c>
      <c r="D317" t="s">
        <v>160</v>
      </c>
      <c r="E317" t="s">
        <v>102</v>
      </c>
      <c r="F317">
        <v>125</v>
      </c>
      <c r="G317">
        <v>678.84837284553623</v>
      </c>
      <c r="H317">
        <v>1</v>
      </c>
      <c r="I317">
        <f>'Nacional · supuestos'!$B$25</f>
        <v>750</v>
      </c>
      <c r="J317">
        <f>F317</f>
        <v>125</v>
      </c>
      <c r="K317">
        <f t="shared" si="4"/>
        <v>0.16666666666666666</v>
      </c>
    </row>
    <row r="318" spans="1:11">
      <c r="A318">
        <v>2027</v>
      </c>
      <c r="B318">
        <v>2</v>
      </c>
      <c r="C318" t="s">
        <v>178</v>
      </c>
      <c r="D318" t="s">
        <v>160</v>
      </c>
      <c r="E318" t="s">
        <v>177</v>
      </c>
      <c r="F318">
        <v>995</v>
      </c>
      <c r="G318">
        <v>2987.0370782743471</v>
      </c>
      <c r="H318">
        <v>1</v>
      </c>
      <c r="I318">
        <f>'Nacional · supuestos'!$B$28</f>
        <v>1100</v>
      </c>
      <c r="J318">
        <f>F318</f>
        <v>995</v>
      </c>
      <c r="K318">
        <f t="shared" si="4"/>
        <v>0.90454545454545454</v>
      </c>
    </row>
    <row r="319" spans="1:11">
      <c r="A319">
        <v>2027</v>
      </c>
      <c r="B319">
        <v>2</v>
      </c>
      <c r="C319" t="s">
        <v>189</v>
      </c>
      <c r="D319" t="s">
        <v>160</v>
      </c>
      <c r="E319" t="s">
        <v>104</v>
      </c>
      <c r="F319">
        <v>680</v>
      </c>
      <c r="G319">
        <v>3749.6404864490787</v>
      </c>
      <c r="H319">
        <v>1</v>
      </c>
      <c r="I319">
        <f>'Nacional · supuestos'!$B$21</f>
        <v>640</v>
      </c>
      <c r="J319">
        <f>F319*'Nacional · supuestos'!$B$4</f>
        <v>802.4</v>
      </c>
      <c r="K319">
        <f t="shared" si="4"/>
        <v>1.0625</v>
      </c>
    </row>
    <row r="320" spans="1:11">
      <c r="A320">
        <v>2027</v>
      </c>
      <c r="B320">
        <v>2</v>
      </c>
      <c r="C320" t="s">
        <v>179</v>
      </c>
      <c r="D320" t="s">
        <v>160</v>
      </c>
      <c r="E320" t="s">
        <v>104</v>
      </c>
      <c r="F320">
        <v>800</v>
      </c>
      <c r="G320">
        <v>2876.9620100632319</v>
      </c>
      <c r="H320">
        <v>1</v>
      </c>
      <c r="I320">
        <f>'Nacional · supuestos'!$B$21</f>
        <v>640</v>
      </c>
      <c r="J320">
        <f>F320*'Nacional · supuestos'!$B$4</f>
        <v>944</v>
      </c>
      <c r="K320">
        <f t="shared" si="4"/>
        <v>1.25</v>
      </c>
    </row>
    <row r="321" spans="1:11">
      <c r="A321">
        <v>2027</v>
      </c>
      <c r="B321">
        <v>2</v>
      </c>
      <c r="C321" t="s">
        <v>193</v>
      </c>
      <c r="D321" t="s">
        <v>160</v>
      </c>
      <c r="E321" t="s">
        <v>104</v>
      </c>
      <c r="F321">
        <v>20</v>
      </c>
      <c r="G321">
        <v>101.31909687613989</v>
      </c>
      <c r="H321">
        <v>1</v>
      </c>
      <c r="I321">
        <f>'Nacional · supuestos'!$B$21</f>
        <v>640</v>
      </c>
      <c r="J321">
        <f>F321*'Nacional · supuestos'!$B$4</f>
        <v>23.599999999999998</v>
      </c>
      <c r="K321">
        <f t="shared" si="4"/>
        <v>3.125E-2</v>
      </c>
    </row>
    <row r="322" spans="1:11">
      <c r="A322">
        <v>2027</v>
      </c>
      <c r="B322">
        <v>2</v>
      </c>
      <c r="C322" t="s">
        <v>199</v>
      </c>
      <c r="D322" t="s">
        <v>160</v>
      </c>
      <c r="E322" t="s">
        <v>99</v>
      </c>
      <c r="F322">
        <v>940</v>
      </c>
      <c r="G322">
        <v>4219.0230926561344</v>
      </c>
      <c r="H322">
        <v>2</v>
      </c>
      <c r="I322">
        <f>'Nacional · supuestos'!$B$20</f>
        <v>600</v>
      </c>
      <c r="J322">
        <f>F322*'Nacional · supuestos'!$B$4</f>
        <v>1109.2</v>
      </c>
      <c r="K322">
        <f t="shared" si="4"/>
        <v>1.5666666666666667</v>
      </c>
    </row>
    <row r="323" spans="1:11">
      <c r="A323">
        <v>2027</v>
      </c>
      <c r="B323">
        <v>2</v>
      </c>
      <c r="C323" t="s">
        <v>199</v>
      </c>
      <c r="D323" t="s">
        <v>160</v>
      </c>
      <c r="E323" t="s">
        <v>102</v>
      </c>
      <c r="F323">
        <v>430</v>
      </c>
      <c r="G323">
        <v>2178.3605828370078</v>
      </c>
      <c r="H323">
        <v>1</v>
      </c>
      <c r="I323">
        <f>'Nacional · supuestos'!$B$25</f>
        <v>750</v>
      </c>
      <c r="J323">
        <f>F323</f>
        <v>430</v>
      </c>
      <c r="K323">
        <f t="shared" si="4"/>
        <v>0.57333333333333336</v>
      </c>
    </row>
    <row r="324" spans="1:11">
      <c r="A324">
        <v>2027</v>
      </c>
      <c r="B324">
        <v>2</v>
      </c>
      <c r="C324" t="s">
        <v>199</v>
      </c>
      <c r="D324" t="s">
        <v>160</v>
      </c>
      <c r="E324" t="s">
        <v>197</v>
      </c>
      <c r="F324">
        <v>1175</v>
      </c>
      <c r="G324">
        <v>2768.0335571459832</v>
      </c>
      <c r="H324">
        <v>1</v>
      </c>
      <c r="I324">
        <f>'Nacional · supuestos'!$B$30</f>
        <v>1100</v>
      </c>
      <c r="J324">
        <f>F324</f>
        <v>1175</v>
      </c>
      <c r="K324">
        <f t="shared" si="4"/>
        <v>1.0681818181818181</v>
      </c>
    </row>
    <row r="325" spans="1:11">
      <c r="A325">
        <v>2027</v>
      </c>
      <c r="B325">
        <v>2</v>
      </c>
      <c r="C325" t="s">
        <v>180</v>
      </c>
      <c r="D325" t="s">
        <v>160</v>
      </c>
      <c r="E325" t="s">
        <v>103</v>
      </c>
      <c r="F325">
        <v>56</v>
      </c>
      <c r="G325">
        <v>340.79491288770765</v>
      </c>
      <c r="H325">
        <v>2</v>
      </c>
      <c r="I325">
        <f>'Nacional · supuestos'!$B$19</f>
        <v>528</v>
      </c>
      <c r="J325">
        <f>F325*'Nacional · supuestos'!$B$4</f>
        <v>66.08</v>
      </c>
      <c r="K325">
        <f t="shared" si="4"/>
        <v>0.10606060606060606</v>
      </c>
    </row>
    <row r="326" spans="1:11">
      <c r="A326">
        <v>2027</v>
      </c>
      <c r="B326">
        <v>2</v>
      </c>
      <c r="C326" t="s">
        <v>180</v>
      </c>
      <c r="D326" t="s">
        <v>160</v>
      </c>
      <c r="E326" t="s">
        <v>104</v>
      </c>
      <c r="F326">
        <v>220</v>
      </c>
      <c r="G326">
        <v>697.14209867039472</v>
      </c>
      <c r="H326">
        <v>1</v>
      </c>
      <c r="I326">
        <f>'Nacional · supuestos'!$B$21</f>
        <v>640</v>
      </c>
      <c r="J326">
        <f>F326*'Nacional · supuestos'!$B$4</f>
        <v>259.59999999999997</v>
      </c>
      <c r="K326">
        <f t="shared" si="4"/>
        <v>0.34375</v>
      </c>
    </row>
    <row r="327" spans="1:11">
      <c r="A327">
        <v>2027</v>
      </c>
      <c r="B327">
        <v>2</v>
      </c>
      <c r="C327" t="s">
        <v>180</v>
      </c>
      <c r="D327" t="s">
        <v>160</v>
      </c>
      <c r="E327" t="s">
        <v>99</v>
      </c>
      <c r="F327">
        <v>405</v>
      </c>
      <c r="G327">
        <v>1629.2360948292867</v>
      </c>
      <c r="H327">
        <v>3</v>
      </c>
      <c r="I327">
        <f>'Nacional · supuestos'!$B$20</f>
        <v>600</v>
      </c>
      <c r="J327">
        <f>F327*'Nacional · supuestos'!$B$4</f>
        <v>477.9</v>
      </c>
      <c r="K327">
        <f t="shared" ref="K327:K390" si="5">F327/I327</f>
        <v>0.67500000000000004</v>
      </c>
    </row>
    <row r="328" spans="1:11">
      <c r="A328">
        <v>2027</v>
      </c>
      <c r="B328">
        <v>2</v>
      </c>
      <c r="C328" t="s">
        <v>185</v>
      </c>
      <c r="D328" t="s">
        <v>160</v>
      </c>
      <c r="E328" t="s">
        <v>104</v>
      </c>
      <c r="F328">
        <v>100</v>
      </c>
      <c r="G328">
        <v>345.02696569961222</v>
      </c>
      <c r="H328">
        <v>1</v>
      </c>
      <c r="I328">
        <f>'Nacional · supuestos'!$B$21</f>
        <v>640</v>
      </c>
      <c r="J328">
        <f>F328*'Nacional · supuestos'!$B$4</f>
        <v>118</v>
      </c>
      <c r="K328">
        <f t="shared" si="5"/>
        <v>0.15625</v>
      </c>
    </row>
    <row r="329" spans="1:11">
      <c r="A329">
        <v>2027</v>
      </c>
      <c r="B329">
        <v>2</v>
      </c>
      <c r="C329" t="s">
        <v>200</v>
      </c>
      <c r="D329" t="s">
        <v>160</v>
      </c>
      <c r="E329" t="s">
        <v>102</v>
      </c>
      <c r="F329">
        <v>30</v>
      </c>
      <c r="G329">
        <v>151.97864531420984</v>
      </c>
      <c r="H329">
        <v>1</v>
      </c>
      <c r="I329">
        <f>'Nacional · supuestos'!$B$25</f>
        <v>750</v>
      </c>
      <c r="J329">
        <f>F329</f>
        <v>30</v>
      </c>
      <c r="K329">
        <f t="shared" si="5"/>
        <v>0.04</v>
      </c>
    </row>
    <row r="330" spans="1:11">
      <c r="A330">
        <v>2027</v>
      </c>
      <c r="B330">
        <v>2</v>
      </c>
      <c r="C330" t="s">
        <v>187</v>
      </c>
      <c r="D330" t="s">
        <v>160</v>
      </c>
      <c r="E330" t="s">
        <v>104</v>
      </c>
      <c r="F330">
        <v>1020</v>
      </c>
      <c r="G330">
        <v>4143.0337699990287</v>
      </c>
      <c r="H330">
        <v>2</v>
      </c>
      <c r="I330">
        <f>'Nacional · supuestos'!$B$21</f>
        <v>640</v>
      </c>
      <c r="J330">
        <f>F330*'Nacional · supuestos'!$B$4</f>
        <v>1203.5999999999999</v>
      </c>
      <c r="K330">
        <f t="shared" si="5"/>
        <v>1.59375</v>
      </c>
    </row>
    <row r="331" spans="1:11">
      <c r="A331">
        <v>2027</v>
      </c>
      <c r="B331">
        <v>2</v>
      </c>
      <c r="C331" t="s">
        <v>187</v>
      </c>
      <c r="D331" t="s">
        <v>160</v>
      </c>
      <c r="E331" t="s">
        <v>99</v>
      </c>
      <c r="F331">
        <v>1055</v>
      </c>
      <c r="G331">
        <v>5158.8828014871178</v>
      </c>
      <c r="H331">
        <v>2</v>
      </c>
      <c r="I331">
        <f>'Nacional · supuestos'!$B$20</f>
        <v>600</v>
      </c>
      <c r="J331">
        <f>F331*'Nacional · supuestos'!$B$4</f>
        <v>1244.8999999999999</v>
      </c>
      <c r="K331">
        <f t="shared" si="5"/>
        <v>1.7583333333333333</v>
      </c>
    </row>
    <row r="332" spans="1:11">
      <c r="A332">
        <v>2027</v>
      </c>
      <c r="B332">
        <v>3</v>
      </c>
      <c r="C332" t="s">
        <v>159</v>
      </c>
      <c r="D332" t="s">
        <v>160</v>
      </c>
      <c r="E332" t="s">
        <v>104</v>
      </c>
      <c r="F332">
        <v>2360</v>
      </c>
      <c r="G332">
        <v>7203.8711780967369</v>
      </c>
      <c r="H332">
        <v>5</v>
      </c>
      <c r="I332">
        <f>'Nacional · supuestos'!$B$21</f>
        <v>640</v>
      </c>
      <c r="J332">
        <f>F332*'Nacional · supuestos'!$B$4</f>
        <v>2784.7999999999997</v>
      </c>
      <c r="K332">
        <f t="shared" si="5"/>
        <v>3.6875</v>
      </c>
    </row>
    <row r="333" spans="1:11">
      <c r="A333">
        <v>2027</v>
      </c>
      <c r="B333">
        <v>3</v>
      </c>
      <c r="C333" t="s">
        <v>159</v>
      </c>
      <c r="D333" t="s">
        <v>160</v>
      </c>
      <c r="E333" t="s">
        <v>101</v>
      </c>
      <c r="F333">
        <v>1080</v>
      </c>
      <c r="G333">
        <v>5336.1391021433683</v>
      </c>
      <c r="H333">
        <v>1</v>
      </c>
      <c r="I333">
        <f>'Nacional · supuestos'!$B$26</f>
        <v>800</v>
      </c>
      <c r="J333">
        <f>F333</f>
        <v>1080</v>
      </c>
      <c r="K333">
        <f t="shared" si="5"/>
        <v>1.35</v>
      </c>
    </row>
    <row r="334" spans="1:11">
      <c r="A334">
        <v>2027</v>
      </c>
      <c r="B334">
        <v>3</v>
      </c>
      <c r="C334" t="s">
        <v>194</v>
      </c>
      <c r="D334" t="s">
        <v>160</v>
      </c>
      <c r="E334" t="s">
        <v>98</v>
      </c>
      <c r="F334">
        <v>1000</v>
      </c>
      <c r="G334">
        <v>1876.279571780369</v>
      </c>
      <c r="H334">
        <v>1</v>
      </c>
      <c r="I334">
        <f>'Nacional · supuestos'!$B$23</f>
        <v>1000</v>
      </c>
      <c r="J334">
        <f>F334*'Nacional · supuestos'!$B$4</f>
        <v>1180</v>
      </c>
      <c r="K334">
        <f t="shared" si="5"/>
        <v>1</v>
      </c>
    </row>
    <row r="335" spans="1:11">
      <c r="A335">
        <v>2027</v>
      </c>
      <c r="B335">
        <v>3</v>
      </c>
      <c r="C335" t="s">
        <v>161</v>
      </c>
      <c r="D335" t="s">
        <v>160</v>
      </c>
      <c r="E335" t="s">
        <v>102</v>
      </c>
      <c r="F335">
        <v>780</v>
      </c>
      <c r="G335">
        <v>5130.3737757714553</v>
      </c>
      <c r="H335">
        <v>1</v>
      </c>
      <c r="I335">
        <f>'Nacional · supuestos'!$B$25</f>
        <v>750</v>
      </c>
      <c r="J335">
        <f>F335</f>
        <v>780</v>
      </c>
      <c r="K335">
        <f t="shared" si="5"/>
        <v>1.04</v>
      </c>
    </row>
    <row r="336" spans="1:11">
      <c r="A336">
        <v>2027</v>
      </c>
      <c r="B336">
        <v>3</v>
      </c>
      <c r="C336" t="s">
        <v>162</v>
      </c>
      <c r="D336" t="s">
        <v>160</v>
      </c>
      <c r="E336" t="s">
        <v>98</v>
      </c>
      <c r="F336">
        <v>4000</v>
      </c>
      <c r="G336">
        <v>9293.8381455520939</v>
      </c>
      <c r="H336">
        <v>2</v>
      </c>
      <c r="I336">
        <f>'Nacional · supuestos'!$B$23</f>
        <v>1000</v>
      </c>
      <c r="J336">
        <f>F336*'Nacional · supuestos'!$B$4</f>
        <v>4720</v>
      </c>
      <c r="K336">
        <f t="shared" si="5"/>
        <v>4</v>
      </c>
    </row>
    <row r="337" spans="1:11">
      <c r="A337">
        <v>2027</v>
      </c>
      <c r="B337">
        <v>3</v>
      </c>
      <c r="C337" t="s">
        <v>162</v>
      </c>
      <c r="D337" t="s">
        <v>160</v>
      </c>
      <c r="E337" t="s">
        <v>104</v>
      </c>
      <c r="F337">
        <v>5500</v>
      </c>
      <c r="G337">
        <v>19049.658016778107</v>
      </c>
      <c r="H337">
        <v>4</v>
      </c>
      <c r="I337">
        <f>'Nacional · supuestos'!$B$21</f>
        <v>640</v>
      </c>
      <c r="J337">
        <f>F337*'Nacional · supuestos'!$B$4</f>
        <v>6490</v>
      </c>
      <c r="K337">
        <f t="shared" si="5"/>
        <v>8.59375</v>
      </c>
    </row>
    <row r="338" spans="1:11">
      <c r="A338">
        <v>2027</v>
      </c>
      <c r="B338">
        <v>3</v>
      </c>
      <c r="C338" t="s">
        <v>162</v>
      </c>
      <c r="D338" t="s">
        <v>160</v>
      </c>
      <c r="E338" t="s">
        <v>105</v>
      </c>
      <c r="F338">
        <v>1000</v>
      </c>
      <c r="G338">
        <v>2199.4166091425441</v>
      </c>
      <c r="H338">
        <v>1</v>
      </c>
      <c r="I338">
        <f>'Nacional · supuestos'!$B$22</f>
        <v>800</v>
      </c>
      <c r="J338">
        <f>F338*'Nacional · supuestos'!$B$4</f>
        <v>1180</v>
      </c>
      <c r="K338">
        <f t="shared" si="5"/>
        <v>1.25</v>
      </c>
    </row>
    <row r="339" spans="1:11">
      <c r="A339">
        <v>2027</v>
      </c>
      <c r="B339">
        <v>3</v>
      </c>
      <c r="C339" t="s">
        <v>163</v>
      </c>
      <c r="D339" t="s">
        <v>164</v>
      </c>
      <c r="E339" t="s">
        <v>104</v>
      </c>
      <c r="F339">
        <v>4540</v>
      </c>
      <c r="G339">
        <v>12316.774706299837</v>
      </c>
      <c r="H339">
        <v>8</v>
      </c>
      <c r="I339">
        <f>'Nacional · supuestos'!$B$21</f>
        <v>640</v>
      </c>
      <c r="J339">
        <f>F339*'Nacional · supuestos'!$B$4</f>
        <v>5357.2</v>
      </c>
      <c r="K339">
        <f t="shared" si="5"/>
        <v>7.09375</v>
      </c>
    </row>
    <row r="340" spans="1:11">
      <c r="A340">
        <v>2027</v>
      </c>
      <c r="B340">
        <v>3</v>
      </c>
      <c r="C340" t="s">
        <v>163</v>
      </c>
      <c r="D340" t="s">
        <v>164</v>
      </c>
      <c r="E340" t="s">
        <v>105</v>
      </c>
      <c r="F340">
        <v>4600</v>
      </c>
      <c r="G340">
        <v>13705.179894315717</v>
      </c>
      <c r="H340">
        <v>2</v>
      </c>
      <c r="I340">
        <f>'Nacional · supuestos'!$B$22</f>
        <v>800</v>
      </c>
      <c r="J340">
        <f>F340*'Nacional · supuestos'!$B$4</f>
        <v>5428</v>
      </c>
      <c r="K340">
        <f t="shared" si="5"/>
        <v>5.75</v>
      </c>
    </row>
    <row r="341" spans="1:11">
      <c r="A341">
        <v>2027</v>
      </c>
      <c r="B341">
        <v>3</v>
      </c>
      <c r="C341" t="s">
        <v>163</v>
      </c>
      <c r="D341" t="s">
        <v>164</v>
      </c>
      <c r="E341" t="s">
        <v>99</v>
      </c>
      <c r="F341">
        <v>250</v>
      </c>
      <c r="G341">
        <v>1270.1891512183158</v>
      </c>
      <c r="H341">
        <v>5</v>
      </c>
      <c r="I341">
        <f>'Nacional · supuestos'!$B$20</f>
        <v>600</v>
      </c>
      <c r="J341">
        <f>F341*'Nacional · supuestos'!$B$4</f>
        <v>295</v>
      </c>
      <c r="K341">
        <f t="shared" si="5"/>
        <v>0.41666666666666669</v>
      </c>
    </row>
    <row r="342" spans="1:11">
      <c r="A342">
        <v>2027</v>
      </c>
      <c r="B342">
        <v>3</v>
      </c>
      <c r="C342" t="s">
        <v>163</v>
      </c>
      <c r="D342" t="s">
        <v>164</v>
      </c>
      <c r="E342" t="s">
        <v>101</v>
      </c>
      <c r="F342">
        <v>200</v>
      </c>
      <c r="G342">
        <v>735.91854315385558</v>
      </c>
      <c r="H342">
        <v>1</v>
      </c>
      <c r="I342">
        <f>'Nacional · supuestos'!$B$26</f>
        <v>800</v>
      </c>
      <c r="J342">
        <f>F342</f>
        <v>200</v>
      </c>
      <c r="K342">
        <f t="shared" si="5"/>
        <v>0.25</v>
      </c>
    </row>
    <row r="343" spans="1:11">
      <c r="A343">
        <v>2027</v>
      </c>
      <c r="B343">
        <v>3</v>
      </c>
      <c r="C343" t="s">
        <v>165</v>
      </c>
      <c r="D343" t="s">
        <v>160</v>
      </c>
      <c r="E343" t="s">
        <v>102</v>
      </c>
      <c r="F343">
        <v>1815</v>
      </c>
      <c r="G343">
        <v>12779.88741160453</v>
      </c>
      <c r="H343">
        <v>1</v>
      </c>
      <c r="I343">
        <f>'Nacional · supuestos'!$B$25</f>
        <v>750</v>
      </c>
      <c r="J343">
        <f>F343</f>
        <v>1815</v>
      </c>
      <c r="K343">
        <f t="shared" si="5"/>
        <v>2.42</v>
      </c>
    </row>
    <row r="344" spans="1:11">
      <c r="A344">
        <v>2027</v>
      </c>
      <c r="B344">
        <v>3</v>
      </c>
      <c r="C344" t="s">
        <v>167</v>
      </c>
      <c r="D344" t="s">
        <v>160</v>
      </c>
      <c r="E344" t="s">
        <v>104</v>
      </c>
      <c r="F344">
        <v>220</v>
      </c>
      <c r="G344">
        <v>871.42762333799351</v>
      </c>
      <c r="H344">
        <v>1</v>
      </c>
      <c r="I344">
        <f>'Nacional · supuestos'!$B$21</f>
        <v>640</v>
      </c>
      <c r="J344">
        <f>F344*'Nacional · supuestos'!$B$4</f>
        <v>259.59999999999997</v>
      </c>
      <c r="K344">
        <f t="shared" si="5"/>
        <v>0.34375</v>
      </c>
    </row>
    <row r="345" spans="1:11">
      <c r="A345">
        <v>2027</v>
      </c>
      <c r="B345">
        <v>3</v>
      </c>
      <c r="C345" t="s">
        <v>191</v>
      </c>
      <c r="D345" t="s">
        <v>160</v>
      </c>
      <c r="E345" t="s">
        <v>99</v>
      </c>
      <c r="F345">
        <v>340</v>
      </c>
      <c r="G345">
        <v>963.99074887915845</v>
      </c>
      <c r="H345">
        <v>1</v>
      </c>
      <c r="I345">
        <f>'Nacional · supuestos'!$B$20</f>
        <v>600</v>
      </c>
      <c r="J345">
        <f>F345*'Nacional · supuestos'!$B$4</f>
        <v>401.2</v>
      </c>
      <c r="K345">
        <f t="shared" si="5"/>
        <v>0.56666666666666665</v>
      </c>
    </row>
    <row r="346" spans="1:11">
      <c r="A346">
        <v>2027</v>
      </c>
      <c r="B346">
        <v>3</v>
      </c>
      <c r="C346" t="s">
        <v>191</v>
      </c>
      <c r="D346" t="s">
        <v>160</v>
      </c>
      <c r="E346" t="s">
        <v>101</v>
      </c>
      <c r="F346">
        <v>2520</v>
      </c>
      <c r="G346">
        <v>2246.6230450757816</v>
      </c>
      <c r="H346">
        <v>1</v>
      </c>
      <c r="I346">
        <f>'Nacional · supuestos'!$B$26</f>
        <v>800</v>
      </c>
      <c r="J346">
        <f>F346</f>
        <v>2520</v>
      </c>
      <c r="K346">
        <f t="shared" si="5"/>
        <v>3.15</v>
      </c>
    </row>
    <row r="347" spans="1:11">
      <c r="A347">
        <v>2027</v>
      </c>
      <c r="B347">
        <v>3</v>
      </c>
      <c r="C347" t="s">
        <v>168</v>
      </c>
      <c r="D347" t="s">
        <v>160</v>
      </c>
      <c r="E347" t="s">
        <v>104</v>
      </c>
      <c r="F347">
        <v>3020</v>
      </c>
      <c r="G347">
        <v>8375.7120084275648</v>
      </c>
      <c r="H347">
        <v>4</v>
      </c>
      <c r="I347">
        <f>'Nacional · supuestos'!$B$21</f>
        <v>640</v>
      </c>
      <c r="J347">
        <f>F347*'Nacional · supuestos'!$B$4</f>
        <v>3563.6</v>
      </c>
      <c r="K347">
        <f t="shared" si="5"/>
        <v>4.71875</v>
      </c>
    </row>
    <row r="348" spans="1:11">
      <c r="A348">
        <v>2027</v>
      </c>
      <c r="B348">
        <v>3</v>
      </c>
      <c r="C348" t="s">
        <v>168</v>
      </c>
      <c r="D348" t="s">
        <v>160</v>
      </c>
      <c r="E348" t="s">
        <v>99</v>
      </c>
      <c r="F348">
        <v>360</v>
      </c>
      <c r="G348">
        <v>1834.2717569232864</v>
      </c>
      <c r="H348">
        <v>3</v>
      </c>
      <c r="I348">
        <f>'Nacional · supuestos'!$B$20</f>
        <v>600</v>
      </c>
      <c r="J348">
        <f>F348*'Nacional · supuestos'!$B$4</f>
        <v>424.79999999999995</v>
      </c>
      <c r="K348">
        <f t="shared" si="5"/>
        <v>0.6</v>
      </c>
    </row>
    <row r="349" spans="1:11">
      <c r="A349">
        <v>2027</v>
      </c>
      <c r="B349">
        <v>3</v>
      </c>
      <c r="C349" t="s">
        <v>170</v>
      </c>
      <c r="D349" t="s">
        <v>160</v>
      </c>
      <c r="E349" t="s">
        <v>104</v>
      </c>
      <c r="F349">
        <v>1360</v>
      </c>
      <c r="G349">
        <v>4550.6033880913201</v>
      </c>
      <c r="H349">
        <v>2</v>
      </c>
      <c r="I349">
        <f>'Nacional · supuestos'!$B$21</f>
        <v>640</v>
      </c>
      <c r="J349">
        <f>F349*'Nacional · supuestos'!$B$4</f>
        <v>1604.8</v>
      </c>
      <c r="K349">
        <f t="shared" si="5"/>
        <v>2.125</v>
      </c>
    </row>
    <row r="350" spans="1:11">
      <c r="A350">
        <v>2027</v>
      </c>
      <c r="B350">
        <v>3</v>
      </c>
      <c r="C350" t="s">
        <v>201</v>
      </c>
      <c r="D350" t="s">
        <v>160</v>
      </c>
      <c r="E350" t="s">
        <v>99</v>
      </c>
      <c r="F350">
        <v>290</v>
      </c>
      <c r="G350">
        <v>1059.3161749010001</v>
      </c>
      <c r="H350">
        <v>5</v>
      </c>
      <c r="I350">
        <f>'Nacional · supuestos'!$B$20</f>
        <v>600</v>
      </c>
      <c r="J350">
        <f>F350*'Nacional · supuestos'!$B$4</f>
        <v>342.2</v>
      </c>
      <c r="K350">
        <f t="shared" si="5"/>
        <v>0.48333333333333334</v>
      </c>
    </row>
    <row r="351" spans="1:11">
      <c r="A351">
        <v>2027</v>
      </c>
      <c r="B351">
        <v>3</v>
      </c>
      <c r="C351" t="s">
        <v>201</v>
      </c>
      <c r="D351" t="s">
        <v>160</v>
      </c>
      <c r="E351" t="s">
        <v>102</v>
      </c>
      <c r="F351">
        <v>130</v>
      </c>
      <c r="G351">
        <v>731.74903299434379</v>
      </c>
      <c r="H351">
        <v>1</v>
      </c>
      <c r="I351">
        <f>'Nacional · supuestos'!$B$25</f>
        <v>750</v>
      </c>
      <c r="J351">
        <f>F351</f>
        <v>130</v>
      </c>
      <c r="K351">
        <f t="shared" si="5"/>
        <v>0.17333333333333334</v>
      </c>
    </row>
    <row r="352" spans="1:11">
      <c r="A352">
        <v>2027</v>
      </c>
      <c r="B352">
        <v>3</v>
      </c>
      <c r="C352" t="s">
        <v>202</v>
      </c>
      <c r="D352" t="s">
        <v>160</v>
      </c>
      <c r="E352" t="s">
        <v>104</v>
      </c>
      <c r="F352">
        <v>800</v>
      </c>
      <c r="G352">
        <v>2635.1304208115403</v>
      </c>
      <c r="H352">
        <v>1</v>
      </c>
      <c r="I352">
        <f>'Nacional · supuestos'!$B$21</f>
        <v>640</v>
      </c>
      <c r="J352">
        <f>F352*'Nacional · supuestos'!$B$4</f>
        <v>944</v>
      </c>
      <c r="K352">
        <f t="shared" si="5"/>
        <v>1.25</v>
      </c>
    </row>
    <row r="353" spans="1:11">
      <c r="A353">
        <v>2027</v>
      </c>
      <c r="B353">
        <v>3</v>
      </c>
      <c r="C353" t="s">
        <v>202</v>
      </c>
      <c r="D353" t="s">
        <v>160</v>
      </c>
      <c r="E353" t="s">
        <v>102</v>
      </c>
      <c r="F353">
        <v>2110</v>
      </c>
      <c r="G353">
        <v>14516.149620340788</v>
      </c>
      <c r="H353">
        <v>2</v>
      </c>
      <c r="I353">
        <f>'Nacional · supuestos'!$B$25</f>
        <v>750</v>
      </c>
      <c r="J353">
        <f>F353</f>
        <v>2110</v>
      </c>
      <c r="K353">
        <f t="shared" si="5"/>
        <v>2.8133333333333335</v>
      </c>
    </row>
    <row r="354" spans="1:11">
      <c r="A354">
        <v>2027</v>
      </c>
      <c r="B354">
        <v>3</v>
      </c>
      <c r="C354" t="s">
        <v>171</v>
      </c>
      <c r="D354" t="s">
        <v>164</v>
      </c>
      <c r="E354" t="s">
        <v>103</v>
      </c>
      <c r="F354">
        <v>64</v>
      </c>
      <c r="G354">
        <v>357.57719127974315</v>
      </c>
      <c r="H354">
        <v>1</v>
      </c>
      <c r="I354">
        <f>'Nacional · supuestos'!$B$19</f>
        <v>528</v>
      </c>
      <c r="J354">
        <f>F354*'Nacional · supuestos'!$B$4</f>
        <v>75.52</v>
      </c>
      <c r="K354">
        <f t="shared" si="5"/>
        <v>0.12121212121212122</v>
      </c>
    </row>
    <row r="355" spans="1:11">
      <c r="A355">
        <v>2027</v>
      </c>
      <c r="B355">
        <v>3</v>
      </c>
      <c r="C355" t="s">
        <v>171</v>
      </c>
      <c r="D355" t="s">
        <v>164</v>
      </c>
      <c r="E355" t="s">
        <v>99</v>
      </c>
      <c r="F355">
        <v>1005</v>
      </c>
      <c r="G355">
        <v>2794.7184221668585</v>
      </c>
      <c r="H355">
        <v>2</v>
      </c>
      <c r="I355">
        <f>'Nacional · supuestos'!$B$20</f>
        <v>600</v>
      </c>
      <c r="J355">
        <f>F355*'Nacional · supuestos'!$B$4</f>
        <v>1185.8999999999999</v>
      </c>
      <c r="K355">
        <f t="shared" si="5"/>
        <v>1.675</v>
      </c>
    </row>
    <row r="356" spans="1:11">
      <c r="A356">
        <v>2027</v>
      </c>
      <c r="B356">
        <v>3</v>
      </c>
      <c r="C356" t="s">
        <v>171</v>
      </c>
      <c r="D356" t="s">
        <v>164</v>
      </c>
      <c r="E356" t="s">
        <v>101</v>
      </c>
      <c r="F356">
        <v>1200</v>
      </c>
      <c r="G356">
        <v>1951.3307546515834</v>
      </c>
      <c r="H356">
        <v>1</v>
      </c>
      <c r="I356">
        <f>'Nacional · supuestos'!$B$26</f>
        <v>800</v>
      </c>
      <c r="J356">
        <f>F356</f>
        <v>1200</v>
      </c>
      <c r="K356">
        <f t="shared" si="5"/>
        <v>1.5</v>
      </c>
    </row>
    <row r="357" spans="1:11">
      <c r="A357">
        <v>2027</v>
      </c>
      <c r="B357">
        <v>3</v>
      </c>
      <c r="C357" t="s">
        <v>171</v>
      </c>
      <c r="D357" t="s">
        <v>164</v>
      </c>
      <c r="E357" t="s">
        <v>102</v>
      </c>
      <c r="F357">
        <v>7200</v>
      </c>
      <c r="G357">
        <v>13058.905819591368</v>
      </c>
      <c r="H357">
        <v>1</v>
      </c>
      <c r="I357">
        <f>'Nacional · supuestos'!$B$25</f>
        <v>750</v>
      </c>
      <c r="J357">
        <f>F357</f>
        <v>7200</v>
      </c>
      <c r="K357">
        <f t="shared" si="5"/>
        <v>9.6</v>
      </c>
    </row>
    <row r="358" spans="1:11">
      <c r="A358">
        <v>2027</v>
      </c>
      <c r="B358">
        <v>3</v>
      </c>
      <c r="C358" t="s">
        <v>172</v>
      </c>
      <c r="D358" t="s">
        <v>160</v>
      </c>
      <c r="E358" t="s">
        <v>103</v>
      </c>
      <c r="F358">
        <v>244</v>
      </c>
      <c r="G358">
        <v>3054.947974997398</v>
      </c>
      <c r="H358">
        <v>3</v>
      </c>
      <c r="I358">
        <f>'Nacional · supuestos'!$B$19</f>
        <v>528</v>
      </c>
      <c r="J358">
        <f>F358*'Nacional · supuestos'!$B$4</f>
        <v>287.91999999999996</v>
      </c>
      <c r="K358">
        <f t="shared" si="5"/>
        <v>0.4621212121212121</v>
      </c>
    </row>
    <row r="359" spans="1:11">
      <c r="A359">
        <v>2027</v>
      </c>
      <c r="B359">
        <v>3</v>
      </c>
      <c r="C359" t="s">
        <v>172</v>
      </c>
      <c r="D359" t="s">
        <v>160</v>
      </c>
      <c r="E359" t="s">
        <v>104</v>
      </c>
      <c r="F359">
        <v>12420</v>
      </c>
      <c r="G359">
        <v>43363.73956095599</v>
      </c>
      <c r="H359">
        <v>3</v>
      </c>
      <c r="I359">
        <f>'Nacional · supuestos'!$B$21</f>
        <v>640</v>
      </c>
      <c r="J359">
        <f>F359*'Nacional · supuestos'!$B$4</f>
        <v>14655.599999999999</v>
      </c>
      <c r="K359">
        <f t="shared" si="5"/>
        <v>19.40625</v>
      </c>
    </row>
    <row r="360" spans="1:11">
      <c r="A360">
        <v>2027</v>
      </c>
      <c r="B360">
        <v>3</v>
      </c>
      <c r="C360" t="s">
        <v>172</v>
      </c>
      <c r="D360" t="s">
        <v>160</v>
      </c>
      <c r="E360" t="s">
        <v>99</v>
      </c>
      <c r="F360">
        <v>5270</v>
      </c>
      <c r="G360">
        <v>31100.167804291508</v>
      </c>
      <c r="H360">
        <v>10</v>
      </c>
      <c r="I360">
        <f>'Nacional · supuestos'!$B$20</f>
        <v>600</v>
      </c>
      <c r="J360">
        <f>F360*'Nacional · supuestos'!$B$4</f>
        <v>6218.5999999999995</v>
      </c>
      <c r="K360">
        <f t="shared" si="5"/>
        <v>8.7833333333333332</v>
      </c>
    </row>
    <row r="361" spans="1:11">
      <c r="A361">
        <v>2027</v>
      </c>
      <c r="B361">
        <v>3</v>
      </c>
      <c r="C361" t="s">
        <v>172</v>
      </c>
      <c r="D361" t="s">
        <v>160</v>
      </c>
      <c r="E361" t="s">
        <v>100</v>
      </c>
      <c r="F361">
        <v>143</v>
      </c>
      <c r="G361">
        <v>1392.2202898118314</v>
      </c>
      <c r="H361">
        <v>1</v>
      </c>
      <c r="I361">
        <f>'Nacional · supuestos'!$B$24</f>
        <v>1056</v>
      </c>
      <c r="J361">
        <f>F361</f>
        <v>143</v>
      </c>
      <c r="K361">
        <f t="shared" si="5"/>
        <v>0.13541666666666666</v>
      </c>
    </row>
    <row r="362" spans="1:11">
      <c r="A362">
        <v>2027</v>
      </c>
      <c r="B362">
        <v>3</v>
      </c>
      <c r="C362" t="s">
        <v>172</v>
      </c>
      <c r="D362" t="s">
        <v>160</v>
      </c>
      <c r="E362" t="s">
        <v>102</v>
      </c>
      <c r="F362">
        <v>215</v>
      </c>
      <c r="G362">
        <v>891.96246087358986</v>
      </c>
      <c r="H362">
        <v>1</v>
      </c>
      <c r="I362">
        <f>'Nacional · supuestos'!$B$25</f>
        <v>750</v>
      </c>
      <c r="J362">
        <f>F362</f>
        <v>215</v>
      </c>
      <c r="K362">
        <f t="shared" si="5"/>
        <v>0.28666666666666668</v>
      </c>
    </row>
    <row r="363" spans="1:11">
      <c r="A363">
        <v>2027</v>
      </c>
      <c r="B363">
        <v>3</v>
      </c>
      <c r="C363" t="s">
        <v>203</v>
      </c>
      <c r="D363" t="s">
        <v>160</v>
      </c>
      <c r="E363" t="s">
        <v>104</v>
      </c>
      <c r="F363">
        <v>740</v>
      </c>
      <c r="G363">
        <v>3154.8598621947026</v>
      </c>
      <c r="H363">
        <v>1</v>
      </c>
      <c r="I363">
        <f>'Nacional · supuestos'!$B$21</f>
        <v>640</v>
      </c>
      <c r="J363">
        <f>F363*'Nacional · supuestos'!$B$4</f>
        <v>873.19999999999993</v>
      </c>
      <c r="K363">
        <f t="shared" si="5"/>
        <v>1.15625</v>
      </c>
    </row>
    <row r="364" spans="1:11">
      <c r="A364">
        <v>2027</v>
      </c>
      <c r="B364">
        <v>3</v>
      </c>
      <c r="C364" t="s">
        <v>203</v>
      </c>
      <c r="D364" t="s">
        <v>160</v>
      </c>
      <c r="E364" t="s">
        <v>99</v>
      </c>
      <c r="F364">
        <v>235</v>
      </c>
      <c r="G364">
        <v>827.96047992508181</v>
      </c>
      <c r="H364">
        <v>1</v>
      </c>
      <c r="I364">
        <f>'Nacional · supuestos'!$B$20</f>
        <v>600</v>
      </c>
      <c r="J364">
        <f>F364*'Nacional · supuestos'!$B$4</f>
        <v>277.3</v>
      </c>
      <c r="K364">
        <f t="shared" si="5"/>
        <v>0.39166666666666666</v>
      </c>
    </row>
    <row r="365" spans="1:11">
      <c r="A365">
        <v>2027</v>
      </c>
      <c r="B365">
        <v>3</v>
      </c>
      <c r="C365" t="s">
        <v>173</v>
      </c>
      <c r="D365" t="s">
        <v>160</v>
      </c>
      <c r="E365" t="s">
        <v>98</v>
      </c>
      <c r="F365">
        <v>2000</v>
      </c>
      <c r="G365">
        <v>5065.954843806996</v>
      </c>
      <c r="H365">
        <v>1</v>
      </c>
      <c r="I365">
        <f>'Nacional · supuestos'!$B$23</f>
        <v>1000</v>
      </c>
      <c r="J365">
        <f>F365*'Nacional · supuestos'!$B$4</f>
        <v>2360</v>
      </c>
      <c r="K365">
        <f t="shared" si="5"/>
        <v>2</v>
      </c>
    </row>
    <row r="366" spans="1:11">
      <c r="A366">
        <v>2027</v>
      </c>
      <c r="B366">
        <v>3</v>
      </c>
      <c r="C366" t="s">
        <v>173</v>
      </c>
      <c r="D366" t="s">
        <v>160</v>
      </c>
      <c r="E366" t="s">
        <v>104</v>
      </c>
      <c r="F366">
        <v>2480</v>
      </c>
      <c r="G366">
        <v>8864.3785991223631</v>
      </c>
      <c r="H366">
        <v>6</v>
      </c>
      <c r="I366">
        <f>'Nacional · supuestos'!$B$21</f>
        <v>640</v>
      </c>
      <c r="J366">
        <f>F366*'Nacional · supuestos'!$B$4</f>
        <v>2926.3999999999996</v>
      </c>
      <c r="K366">
        <f t="shared" si="5"/>
        <v>3.875</v>
      </c>
    </row>
    <row r="367" spans="1:11">
      <c r="A367">
        <v>2027</v>
      </c>
      <c r="B367">
        <v>3</v>
      </c>
      <c r="C367" t="s">
        <v>173</v>
      </c>
      <c r="D367" t="s">
        <v>160</v>
      </c>
      <c r="E367" t="s">
        <v>99</v>
      </c>
      <c r="F367">
        <v>555</v>
      </c>
      <c r="G367">
        <v>2604.3802833851391</v>
      </c>
      <c r="H367">
        <v>3</v>
      </c>
      <c r="I367">
        <f>'Nacional · supuestos'!$B$20</f>
        <v>600</v>
      </c>
      <c r="J367">
        <f>F367*'Nacional · supuestos'!$B$4</f>
        <v>654.9</v>
      </c>
      <c r="K367">
        <f t="shared" si="5"/>
        <v>0.92500000000000004</v>
      </c>
    </row>
    <row r="368" spans="1:11">
      <c r="A368">
        <v>2027</v>
      </c>
      <c r="B368">
        <v>3</v>
      </c>
      <c r="C368" t="s">
        <v>173</v>
      </c>
      <c r="D368" t="s">
        <v>160</v>
      </c>
      <c r="E368" t="s">
        <v>100</v>
      </c>
      <c r="F368">
        <v>86</v>
      </c>
      <c r="G368">
        <v>876.72290124057361</v>
      </c>
      <c r="H368">
        <v>1</v>
      </c>
      <c r="I368">
        <f>'Nacional · supuestos'!$B$24</f>
        <v>1056</v>
      </c>
      <c r="J368">
        <f>F368</f>
        <v>86</v>
      </c>
      <c r="K368">
        <f t="shared" si="5"/>
        <v>8.1439393939393936E-2</v>
      </c>
    </row>
    <row r="369" spans="1:11">
      <c r="A369">
        <v>2027</v>
      </c>
      <c r="B369">
        <v>3</v>
      </c>
      <c r="C369" t="s">
        <v>173</v>
      </c>
      <c r="D369" t="s">
        <v>160</v>
      </c>
      <c r="E369" t="s">
        <v>101</v>
      </c>
      <c r="F369">
        <v>8920</v>
      </c>
      <c r="G369">
        <v>17461.074646004065</v>
      </c>
      <c r="H369">
        <v>2</v>
      </c>
      <c r="I369">
        <f>'Nacional · supuestos'!$B$26</f>
        <v>800</v>
      </c>
      <c r="J369">
        <f>F369</f>
        <v>8920</v>
      </c>
      <c r="K369">
        <f t="shared" si="5"/>
        <v>11.15</v>
      </c>
    </row>
    <row r="370" spans="1:11">
      <c r="A370">
        <v>2027</v>
      </c>
      <c r="B370">
        <v>3</v>
      </c>
      <c r="C370" t="s">
        <v>173</v>
      </c>
      <c r="D370" t="s">
        <v>160</v>
      </c>
      <c r="E370" t="s">
        <v>102</v>
      </c>
      <c r="F370">
        <v>975</v>
      </c>
      <c r="G370">
        <v>4361.3076268494788</v>
      </c>
      <c r="H370">
        <v>4</v>
      </c>
      <c r="I370">
        <f>'Nacional · supuestos'!$B$25</f>
        <v>750</v>
      </c>
      <c r="J370">
        <f>F370</f>
        <v>975</v>
      </c>
      <c r="K370">
        <f t="shared" si="5"/>
        <v>1.3</v>
      </c>
    </row>
    <row r="371" spans="1:11">
      <c r="A371">
        <v>2027</v>
      </c>
      <c r="B371">
        <v>3</v>
      </c>
      <c r="C371" t="s">
        <v>173</v>
      </c>
      <c r="D371" t="s">
        <v>160</v>
      </c>
      <c r="E371" t="s">
        <v>177</v>
      </c>
      <c r="F371">
        <v>1370</v>
      </c>
      <c r="G371">
        <v>3427.3373511188079</v>
      </c>
      <c r="H371">
        <v>1</v>
      </c>
      <c r="I371">
        <f>'Nacional · supuestos'!$B$28</f>
        <v>1100</v>
      </c>
      <c r="J371">
        <f>F371</f>
        <v>1370</v>
      </c>
      <c r="K371">
        <f t="shared" si="5"/>
        <v>1.2454545454545454</v>
      </c>
    </row>
    <row r="372" spans="1:11">
      <c r="A372">
        <v>2027</v>
      </c>
      <c r="B372">
        <v>3</v>
      </c>
      <c r="C372" t="s">
        <v>174</v>
      </c>
      <c r="D372" t="s">
        <v>160</v>
      </c>
      <c r="E372" t="s">
        <v>98</v>
      </c>
      <c r="F372">
        <v>2000</v>
      </c>
      <c r="G372">
        <v>1818.1149050551776</v>
      </c>
      <c r="H372">
        <v>1</v>
      </c>
      <c r="I372">
        <f>'Nacional · supuestos'!$B$23</f>
        <v>1000</v>
      </c>
      <c r="J372">
        <f>F372*'Nacional · supuestos'!$B$4</f>
        <v>2360</v>
      </c>
      <c r="K372">
        <f t="shared" si="5"/>
        <v>2</v>
      </c>
    </row>
    <row r="373" spans="1:11">
      <c r="A373">
        <v>2027</v>
      </c>
      <c r="B373">
        <v>3</v>
      </c>
      <c r="C373" t="s">
        <v>174</v>
      </c>
      <c r="D373" t="s">
        <v>160</v>
      </c>
      <c r="E373" t="s">
        <v>104</v>
      </c>
      <c r="F373">
        <v>3780</v>
      </c>
      <c r="G373">
        <v>11228.282384057653</v>
      </c>
      <c r="H373">
        <v>4</v>
      </c>
      <c r="I373">
        <f>'Nacional · supuestos'!$B$21</f>
        <v>640</v>
      </c>
      <c r="J373">
        <f>F373*'Nacional · supuestos'!$B$4</f>
        <v>4460.3999999999996</v>
      </c>
      <c r="K373">
        <f t="shared" si="5"/>
        <v>5.90625</v>
      </c>
    </row>
    <row r="374" spans="1:11">
      <c r="A374">
        <v>2027</v>
      </c>
      <c r="B374">
        <v>3</v>
      </c>
      <c r="C374" t="s">
        <v>174</v>
      </c>
      <c r="D374" t="s">
        <v>160</v>
      </c>
      <c r="E374" t="s">
        <v>101</v>
      </c>
      <c r="F374">
        <v>6520</v>
      </c>
      <c r="G374">
        <v>14270.148520929582</v>
      </c>
      <c r="H374">
        <v>2</v>
      </c>
      <c r="I374">
        <f>'Nacional · supuestos'!$B$26</f>
        <v>800</v>
      </c>
      <c r="J374">
        <f>F374</f>
        <v>6520</v>
      </c>
      <c r="K374">
        <f t="shared" si="5"/>
        <v>8.15</v>
      </c>
    </row>
    <row r="375" spans="1:11">
      <c r="A375">
        <v>2027</v>
      </c>
      <c r="B375">
        <v>3</v>
      </c>
      <c r="C375" t="s">
        <v>175</v>
      </c>
      <c r="D375" t="s">
        <v>160</v>
      </c>
      <c r="E375" t="s">
        <v>104</v>
      </c>
      <c r="F375">
        <v>2800</v>
      </c>
      <c r="G375">
        <v>9660.7550395891412</v>
      </c>
      <c r="H375">
        <v>1</v>
      </c>
      <c r="I375">
        <f>'Nacional · supuestos'!$B$21</f>
        <v>640</v>
      </c>
      <c r="J375">
        <f>F375*'Nacional · supuestos'!$B$4</f>
        <v>3304</v>
      </c>
      <c r="K375">
        <f t="shared" si="5"/>
        <v>4.375</v>
      </c>
    </row>
    <row r="376" spans="1:11">
      <c r="A376">
        <v>2027</v>
      </c>
      <c r="B376">
        <v>3</v>
      </c>
      <c r="C376" t="s">
        <v>175</v>
      </c>
      <c r="D376" t="s">
        <v>160</v>
      </c>
      <c r="E376" t="s">
        <v>99</v>
      </c>
      <c r="F376">
        <v>320</v>
      </c>
      <c r="G376">
        <v>2781.8971784263595</v>
      </c>
      <c r="H376">
        <v>1</v>
      </c>
      <c r="I376">
        <f>'Nacional · supuestos'!$B$20</f>
        <v>600</v>
      </c>
      <c r="J376">
        <f>F376*'Nacional · supuestos'!$B$4</f>
        <v>377.59999999999997</v>
      </c>
      <c r="K376">
        <f t="shared" si="5"/>
        <v>0.53333333333333333</v>
      </c>
    </row>
    <row r="377" spans="1:11">
      <c r="A377">
        <v>2027</v>
      </c>
      <c r="B377">
        <v>3</v>
      </c>
      <c r="C377" t="s">
        <v>182</v>
      </c>
      <c r="D377" t="s">
        <v>160</v>
      </c>
      <c r="E377" t="s">
        <v>103</v>
      </c>
      <c r="F377">
        <v>55</v>
      </c>
      <c r="G377">
        <v>657.06268226208624</v>
      </c>
      <c r="H377">
        <v>2</v>
      </c>
      <c r="I377">
        <f>'Nacional · supuestos'!$B$19</f>
        <v>528</v>
      </c>
      <c r="J377">
        <f>F377*'Nacional · supuestos'!$B$4</f>
        <v>64.899999999999991</v>
      </c>
      <c r="K377">
        <f t="shared" si="5"/>
        <v>0.10416666666666667</v>
      </c>
    </row>
    <row r="378" spans="1:11">
      <c r="A378">
        <v>2027</v>
      </c>
      <c r="B378">
        <v>3</v>
      </c>
      <c r="C378" t="s">
        <v>182</v>
      </c>
      <c r="D378" t="s">
        <v>160</v>
      </c>
      <c r="E378" t="s">
        <v>98</v>
      </c>
      <c r="F378">
        <v>21000</v>
      </c>
      <c r="G378">
        <v>37997.441001992134</v>
      </c>
      <c r="H378">
        <v>3</v>
      </c>
      <c r="I378">
        <f>'Nacional · supuestos'!$B$23</f>
        <v>1000</v>
      </c>
      <c r="J378">
        <f>F378*'Nacional · supuestos'!$B$4</f>
        <v>24780</v>
      </c>
      <c r="K378">
        <f t="shared" si="5"/>
        <v>21</v>
      </c>
    </row>
    <row r="379" spans="1:11">
      <c r="A379">
        <v>2027</v>
      </c>
      <c r="B379">
        <v>3</v>
      </c>
      <c r="C379" t="s">
        <v>182</v>
      </c>
      <c r="D379" t="s">
        <v>160</v>
      </c>
      <c r="E379" t="s">
        <v>104</v>
      </c>
      <c r="F379">
        <v>26480</v>
      </c>
      <c r="G379">
        <v>83811.532191857303</v>
      </c>
      <c r="H379">
        <v>16</v>
      </c>
      <c r="I379">
        <f>'Nacional · supuestos'!$B$21</f>
        <v>640</v>
      </c>
      <c r="J379">
        <f>F379*'Nacional · supuestos'!$B$4</f>
        <v>31246.399999999998</v>
      </c>
      <c r="K379">
        <f t="shared" si="5"/>
        <v>41.375</v>
      </c>
    </row>
    <row r="380" spans="1:11">
      <c r="A380">
        <v>2027</v>
      </c>
      <c r="B380">
        <v>3</v>
      </c>
      <c r="C380" t="s">
        <v>182</v>
      </c>
      <c r="D380" t="s">
        <v>160</v>
      </c>
      <c r="E380" t="s">
        <v>105</v>
      </c>
      <c r="F380">
        <v>3600</v>
      </c>
      <c r="G380">
        <v>8587.1061735148178</v>
      </c>
      <c r="H380">
        <v>3</v>
      </c>
      <c r="I380">
        <f>'Nacional · supuestos'!$B$22</f>
        <v>800</v>
      </c>
      <c r="J380">
        <f>F380*'Nacional · supuestos'!$B$4</f>
        <v>4248</v>
      </c>
      <c r="K380">
        <f t="shared" si="5"/>
        <v>4.5</v>
      </c>
    </row>
    <row r="381" spans="1:11">
      <c r="A381">
        <v>2027</v>
      </c>
      <c r="B381">
        <v>3</v>
      </c>
      <c r="C381" t="s">
        <v>182</v>
      </c>
      <c r="D381" t="s">
        <v>160</v>
      </c>
      <c r="E381" t="s">
        <v>99</v>
      </c>
      <c r="F381">
        <v>755</v>
      </c>
      <c r="G381">
        <v>3978.9635452222356</v>
      </c>
      <c r="H381">
        <v>9</v>
      </c>
      <c r="I381">
        <f>'Nacional · supuestos'!$B$20</f>
        <v>600</v>
      </c>
      <c r="J381">
        <f>F381*'Nacional · supuestos'!$B$4</f>
        <v>890.9</v>
      </c>
      <c r="K381">
        <f t="shared" si="5"/>
        <v>1.2583333333333333</v>
      </c>
    </row>
    <row r="382" spans="1:11">
      <c r="A382">
        <v>2027</v>
      </c>
      <c r="B382">
        <v>3</v>
      </c>
      <c r="C382" t="s">
        <v>182</v>
      </c>
      <c r="D382" t="s">
        <v>160</v>
      </c>
      <c r="E382" t="s">
        <v>101</v>
      </c>
      <c r="F382">
        <v>12700</v>
      </c>
      <c r="G382">
        <v>28283.872167049187</v>
      </c>
      <c r="H382">
        <v>2</v>
      </c>
      <c r="I382">
        <f>'Nacional · supuestos'!$B$26</f>
        <v>800</v>
      </c>
      <c r="J382">
        <f>F382</f>
        <v>12700</v>
      </c>
      <c r="K382">
        <f t="shared" si="5"/>
        <v>15.875</v>
      </c>
    </row>
    <row r="383" spans="1:11">
      <c r="A383">
        <v>2027</v>
      </c>
      <c r="B383">
        <v>3</v>
      </c>
      <c r="C383" t="s">
        <v>182</v>
      </c>
      <c r="D383" t="s">
        <v>160</v>
      </c>
      <c r="E383" t="s">
        <v>102</v>
      </c>
      <c r="F383">
        <v>880</v>
      </c>
      <c r="G383">
        <v>3833.4997595322629</v>
      </c>
      <c r="H383">
        <v>3</v>
      </c>
      <c r="I383">
        <f>'Nacional · supuestos'!$B$25</f>
        <v>750</v>
      </c>
      <c r="J383">
        <f>F383</f>
        <v>880</v>
      </c>
      <c r="K383">
        <f t="shared" si="5"/>
        <v>1.1733333333333333</v>
      </c>
    </row>
    <row r="384" spans="1:11">
      <c r="A384">
        <v>2027</v>
      </c>
      <c r="B384">
        <v>3</v>
      </c>
      <c r="C384" t="s">
        <v>183</v>
      </c>
      <c r="D384" t="s">
        <v>164</v>
      </c>
      <c r="E384" t="s">
        <v>103</v>
      </c>
      <c r="F384">
        <v>38</v>
      </c>
      <c r="G384">
        <v>193.29849099497312</v>
      </c>
      <c r="H384">
        <v>1</v>
      </c>
      <c r="I384">
        <f>'Nacional · supuestos'!$B$19</f>
        <v>528</v>
      </c>
      <c r="J384">
        <f>F384*'Nacional · supuestos'!$B$4</f>
        <v>44.839999999999996</v>
      </c>
      <c r="K384">
        <f t="shared" si="5"/>
        <v>7.1969696969696975E-2</v>
      </c>
    </row>
    <row r="385" spans="1:11">
      <c r="A385">
        <v>2027</v>
      </c>
      <c r="B385">
        <v>3</v>
      </c>
      <c r="C385" t="s">
        <v>183</v>
      </c>
      <c r="D385" t="s">
        <v>164</v>
      </c>
      <c r="E385" t="s">
        <v>98</v>
      </c>
      <c r="F385">
        <v>3000</v>
      </c>
      <c r="G385">
        <v>8193.0874634409411</v>
      </c>
      <c r="H385">
        <v>1</v>
      </c>
      <c r="I385">
        <f>'Nacional · supuestos'!$B$23</f>
        <v>1000</v>
      </c>
      <c r="J385">
        <f>F385*'Nacional · supuestos'!$B$4</f>
        <v>3540</v>
      </c>
      <c r="K385">
        <f t="shared" si="5"/>
        <v>3</v>
      </c>
    </row>
    <row r="386" spans="1:11">
      <c r="A386">
        <v>2027</v>
      </c>
      <c r="B386">
        <v>3</v>
      </c>
      <c r="C386" t="s">
        <v>183</v>
      </c>
      <c r="D386" t="s">
        <v>164</v>
      </c>
      <c r="E386" t="s">
        <v>104</v>
      </c>
      <c r="F386">
        <v>900</v>
      </c>
      <c r="G386">
        <v>3056.8763734461722</v>
      </c>
      <c r="H386">
        <v>2</v>
      </c>
      <c r="I386">
        <f>'Nacional · supuestos'!$B$21</f>
        <v>640</v>
      </c>
      <c r="J386">
        <f>F386*'Nacional · supuestos'!$B$4</f>
        <v>1062</v>
      </c>
      <c r="K386">
        <f t="shared" si="5"/>
        <v>1.40625</v>
      </c>
    </row>
    <row r="387" spans="1:11">
      <c r="A387">
        <v>2027</v>
      </c>
      <c r="B387">
        <v>3</v>
      </c>
      <c r="C387" t="s">
        <v>183</v>
      </c>
      <c r="D387" t="s">
        <v>164</v>
      </c>
      <c r="E387" t="s">
        <v>105</v>
      </c>
      <c r="F387">
        <v>1800</v>
      </c>
      <c r="G387">
        <v>5422.4479624452661</v>
      </c>
      <c r="H387">
        <v>1</v>
      </c>
      <c r="I387">
        <f>'Nacional · supuestos'!$B$22</f>
        <v>800</v>
      </c>
      <c r="J387">
        <f>F387*'Nacional · supuestos'!$B$4</f>
        <v>2124</v>
      </c>
      <c r="K387">
        <f t="shared" si="5"/>
        <v>2.25</v>
      </c>
    </row>
    <row r="388" spans="1:11">
      <c r="A388">
        <v>2027</v>
      </c>
      <c r="B388">
        <v>3</v>
      </c>
      <c r="C388" t="s">
        <v>183</v>
      </c>
      <c r="D388" t="s">
        <v>164</v>
      </c>
      <c r="E388" t="s">
        <v>99</v>
      </c>
      <c r="F388">
        <v>20</v>
      </c>
      <c r="G388">
        <v>67.337589076117666</v>
      </c>
      <c r="H388">
        <v>1</v>
      </c>
      <c r="I388">
        <f>'Nacional · supuestos'!$B$20</f>
        <v>600</v>
      </c>
      <c r="J388">
        <f>F388*'Nacional · supuestos'!$B$4</f>
        <v>23.599999999999998</v>
      </c>
      <c r="K388">
        <f t="shared" si="5"/>
        <v>3.3333333333333333E-2</v>
      </c>
    </row>
    <row r="389" spans="1:11">
      <c r="A389">
        <v>2027</v>
      </c>
      <c r="B389">
        <v>3</v>
      </c>
      <c r="C389" t="s">
        <v>183</v>
      </c>
      <c r="D389" t="s">
        <v>164</v>
      </c>
      <c r="E389" t="s">
        <v>102</v>
      </c>
      <c r="F389">
        <v>25</v>
      </c>
      <c r="G389">
        <v>128.47303178996137</v>
      </c>
      <c r="H389">
        <v>1</v>
      </c>
      <c r="I389">
        <f>'Nacional · supuestos'!$B$25</f>
        <v>750</v>
      </c>
      <c r="J389">
        <f>F389</f>
        <v>25</v>
      </c>
      <c r="K389">
        <f t="shared" si="5"/>
        <v>3.3333333333333333E-2</v>
      </c>
    </row>
    <row r="390" spans="1:11">
      <c r="A390">
        <v>2027</v>
      </c>
      <c r="B390">
        <v>3</v>
      </c>
      <c r="C390" t="s">
        <v>204</v>
      </c>
      <c r="D390" t="s">
        <v>160</v>
      </c>
      <c r="E390" t="s">
        <v>104</v>
      </c>
      <c r="F390">
        <v>60</v>
      </c>
      <c r="G390">
        <v>148.851512694576</v>
      </c>
      <c r="H390">
        <v>1</v>
      </c>
      <c r="I390">
        <f>'Nacional · supuestos'!$B$21</f>
        <v>640</v>
      </c>
      <c r="J390">
        <f>F390*'Nacional · supuestos'!$B$4</f>
        <v>70.8</v>
      </c>
      <c r="K390">
        <f t="shared" si="5"/>
        <v>9.375E-2</v>
      </c>
    </row>
    <row r="391" spans="1:11">
      <c r="A391">
        <v>2027</v>
      </c>
      <c r="B391">
        <v>3</v>
      </c>
      <c r="C391" t="s">
        <v>204</v>
      </c>
      <c r="D391" t="s">
        <v>160</v>
      </c>
      <c r="E391" t="s">
        <v>105</v>
      </c>
      <c r="F391">
        <v>200</v>
      </c>
      <c r="G391">
        <v>408.61199563216923</v>
      </c>
      <c r="H391">
        <v>1</v>
      </c>
      <c r="I391">
        <f>'Nacional · supuestos'!$B$22</f>
        <v>800</v>
      </c>
      <c r="J391">
        <f>F391*'Nacional · supuestos'!$B$4</f>
        <v>236</v>
      </c>
      <c r="K391">
        <f t="shared" ref="K391:K454" si="6">F391/I391</f>
        <v>0.25</v>
      </c>
    </row>
    <row r="392" spans="1:11">
      <c r="A392">
        <v>2027</v>
      </c>
      <c r="B392">
        <v>3</v>
      </c>
      <c r="C392" t="s">
        <v>204</v>
      </c>
      <c r="D392" t="s">
        <v>160</v>
      </c>
      <c r="E392" t="s">
        <v>101</v>
      </c>
      <c r="F392">
        <v>380</v>
      </c>
      <c r="G392">
        <v>653.57071750349496</v>
      </c>
      <c r="H392">
        <v>1</v>
      </c>
      <c r="I392">
        <f>'Nacional · supuestos'!$B$26</f>
        <v>800</v>
      </c>
      <c r="J392">
        <f>F392</f>
        <v>380</v>
      </c>
      <c r="K392">
        <f t="shared" si="6"/>
        <v>0.47499999999999998</v>
      </c>
    </row>
    <row r="393" spans="1:11">
      <c r="A393">
        <v>2027</v>
      </c>
      <c r="B393">
        <v>3</v>
      </c>
      <c r="C393" t="s">
        <v>178</v>
      </c>
      <c r="D393" t="s">
        <v>160</v>
      </c>
      <c r="E393" t="s">
        <v>104</v>
      </c>
      <c r="F393">
        <v>5680</v>
      </c>
      <c r="G393">
        <v>20857.766097450454</v>
      </c>
      <c r="H393">
        <v>3</v>
      </c>
      <c r="I393">
        <f>'Nacional · supuestos'!$B$21</f>
        <v>640</v>
      </c>
      <c r="J393">
        <f>F393*'Nacional · supuestos'!$B$4</f>
        <v>6702.4</v>
      </c>
      <c r="K393">
        <f t="shared" si="6"/>
        <v>8.875</v>
      </c>
    </row>
    <row r="394" spans="1:11">
      <c r="A394">
        <v>2027</v>
      </c>
      <c r="B394">
        <v>3</v>
      </c>
      <c r="C394" t="s">
        <v>178</v>
      </c>
      <c r="D394" t="s">
        <v>160</v>
      </c>
      <c r="E394" t="s">
        <v>99</v>
      </c>
      <c r="F394">
        <v>1800</v>
      </c>
      <c r="G394">
        <v>12188.937524809204</v>
      </c>
      <c r="H394">
        <v>4</v>
      </c>
      <c r="I394">
        <f>'Nacional · supuestos'!$B$20</f>
        <v>600</v>
      </c>
      <c r="J394">
        <f>F394*'Nacional · supuestos'!$B$4</f>
        <v>2124</v>
      </c>
      <c r="K394">
        <f t="shared" si="6"/>
        <v>3</v>
      </c>
    </row>
    <row r="395" spans="1:11">
      <c r="A395">
        <v>2027</v>
      </c>
      <c r="B395">
        <v>3</v>
      </c>
      <c r="C395" t="s">
        <v>178</v>
      </c>
      <c r="D395" t="s">
        <v>160</v>
      </c>
      <c r="E395" t="s">
        <v>177</v>
      </c>
      <c r="F395">
        <v>375</v>
      </c>
      <c r="G395">
        <v>1125.7677430682213</v>
      </c>
      <c r="H395">
        <v>1</v>
      </c>
      <c r="I395">
        <f>'Nacional · supuestos'!$B$28</f>
        <v>1100</v>
      </c>
      <c r="J395">
        <f>F395</f>
        <v>375</v>
      </c>
      <c r="K395">
        <f t="shared" si="6"/>
        <v>0.34090909090909088</v>
      </c>
    </row>
    <row r="396" spans="1:11">
      <c r="A396">
        <v>2027</v>
      </c>
      <c r="B396">
        <v>3</v>
      </c>
      <c r="C396" t="s">
        <v>179</v>
      </c>
      <c r="D396" t="s">
        <v>160</v>
      </c>
      <c r="E396" t="s">
        <v>104</v>
      </c>
      <c r="F396">
        <v>2400</v>
      </c>
      <c r="G396">
        <v>11699.645507590474</v>
      </c>
      <c r="H396">
        <v>2</v>
      </c>
      <c r="I396">
        <f>'Nacional · supuestos'!$B$21</f>
        <v>640</v>
      </c>
      <c r="J396">
        <f>F396*'Nacional · supuestos'!$B$4</f>
        <v>2832</v>
      </c>
      <c r="K396">
        <f t="shared" si="6"/>
        <v>3.75</v>
      </c>
    </row>
    <row r="397" spans="1:11">
      <c r="A397">
        <v>2027</v>
      </c>
      <c r="B397">
        <v>3</v>
      </c>
      <c r="C397" t="s">
        <v>179</v>
      </c>
      <c r="D397" t="s">
        <v>160</v>
      </c>
      <c r="E397" t="s">
        <v>99</v>
      </c>
      <c r="F397">
        <v>125</v>
      </c>
      <c r="G397">
        <v>730.96724983943523</v>
      </c>
      <c r="H397">
        <v>1</v>
      </c>
      <c r="I397">
        <f>'Nacional · supuestos'!$B$20</f>
        <v>600</v>
      </c>
      <c r="J397">
        <f>F397*'Nacional · supuestos'!$B$4</f>
        <v>147.5</v>
      </c>
      <c r="K397">
        <f t="shared" si="6"/>
        <v>0.20833333333333334</v>
      </c>
    </row>
    <row r="398" spans="1:11">
      <c r="A398">
        <v>2027</v>
      </c>
      <c r="B398">
        <v>3</v>
      </c>
      <c r="C398" t="s">
        <v>205</v>
      </c>
      <c r="D398" t="s">
        <v>160</v>
      </c>
      <c r="E398" t="s">
        <v>103</v>
      </c>
      <c r="F398">
        <v>114</v>
      </c>
      <c r="G398">
        <v>557.74495026251213</v>
      </c>
      <c r="H398">
        <v>2</v>
      </c>
      <c r="I398">
        <f>'Nacional · supuestos'!$B$19</f>
        <v>528</v>
      </c>
      <c r="J398">
        <f>F398*'Nacional · supuestos'!$B$4</f>
        <v>134.51999999999998</v>
      </c>
      <c r="K398">
        <f t="shared" si="6"/>
        <v>0.21590909090909091</v>
      </c>
    </row>
    <row r="399" spans="1:11">
      <c r="A399">
        <v>2027</v>
      </c>
      <c r="B399">
        <v>3</v>
      </c>
      <c r="C399" t="s">
        <v>205</v>
      </c>
      <c r="D399" t="s">
        <v>160</v>
      </c>
      <c r="E399" t="s">
        <v>99</v>
      </c>
      <c r="F399">
        <v>460</v>
      </c>
      <c r="G399">
        <v>1531.1483683267688</v>
      </c>
      <c r="H399">
        <v>4</v>
      </c>
      <c r="I399">
        <f>'Nacional · supuestos'!$B$20</f>
        <v>600</v>
      </c>
      <c r="J399">
        <f>F399*'Nacional · supuestos'!$B$4</f>
        <v>542.79999999999995</v>
      </c>
      <c r="K399">
        <f t="shared" si="6"/>
        <v>0.76666666666666672</v>
      </c>
    </row>
    <row r="400" spans="1:11">
      <c r="A400">
        <v>2027</v>
      </c>
      <c r="B400">
        <v>3</v>
      </c>
      <c r="C400" t="s">
        <v>205</v>
      </c>
      <c r="D400" t="s">
        <v>160</v>
      </c>
      <c r="E400" t="s">
        <v>101</v>
      </c>
      <c r="F400">
        <v>120</v>
      </c>
      <c r="G400">
        <v>210.14331203940131</v>
      </c>
      <c r="H400">
        <v>1</v>
      </c>
      <c r="I400">
        <f>'Nacional · supuestos'!$B$26</f>
        <v>800</v>
      </c>
      <c r="J400">
        <f>F400</f>
        <v>120</v>
      </c>
      <c r="K400">
        <f t="shared" si="6"/>
        <v>0.15</v>
      </c>
    </row>
    <row r="401" spans="1:11">
      <c r="A401">
        <v>2027</v>
      </c>
      <c r="B401">
        <v>3</v>
      </c>
      <c r="C401" t="s">
        <v>206</v>
      </c>
      <c r="D401" t="s">
        <v>160</v>
      </c>
      <c r="E401" t="s">
        <v>104</v>
      </c>
      <c r="F401">
        <v>420</v>
      </c>
      <c r="G401">
        <v>1536.672969288122</v>
      </c>
      <c r="H401">
        <v>1</v>
      </c>
      <c r="I401">
        <f>'Nacional · supuestos'!$B$21</f>
        <v>640</v>
      </c>
      <c r="J401">
        <f>F401*'Nacional · supuestos'!$B$4</f>
        <v>495.59999999999997</v>
      </c>
      <c r="K401">
        <f t="shared" si="6"/>
        <v>0.65625</v>
      </c>
    </row>
    <row r="402" spans="1:11">
      <c r="A402">
        <v>2027</v>
      </c>
      <c r="B402">
        <v>3</v>
      </c>
      <c r="C402" t="s">
        <v>206</v>
      </c>
      <c r="D402" t="s">
        <v>160</v>
      </c>
      <c r="E402" t="s">
        <v>101</v>
      </c>
      <c r="F402">
        <v>240</v>
      </c>
      <c r="G402">
        <v>1280.873521002065</v>
      </c>
      <c r="H402">
        <v>1</v>
      </c>
      <c r="I402">
        <f>'Nacional · supuestos'!$B$26</f>
        <v>800</v>
      </c>
      <c r="J402">
        <f>F402</f>
        <v>240</v>
      </c>
      <c r="K402">
        <f t="shared" si="6"/>
        <v>0.3</v>
      </c>
    </row>
    <row r="403" spans="1:11">
      <c r="A403">
        <v>2027</v>
      </c>
      <c r="B403">
        <v>3</v>
      </c>
      <c r="C403" t="s">
        <v>193</v>
      </c>
      <c r="D403" t="s">
        <v>160</v>
      </c>
      <c r="E403" t="s">
        <v>104</v>
      </c>
      <c r="F403">
        <v>20</v>
      </c>
      <c r="G403">
        <v>81.722399126433842</v>
      </c>
      <c r="H403">
        <v>1</v>
      </c>
      <c r="I403">
        <f>'Nacional · supuestos'!$B$21</f>
        <v>640</v>
      </c>
      <c r="J403">
        <f>F403*'Nacional · supuestos'!$B$4</f>
        <v>23.599999999999998</v>
      </c>
      <c r="K403">
        <f t="shared" si="6"/>
        <v>3.125E-2</v>
      </c>
    </row>
    <row r="404" spans="1:11">
      <c r="A404">
        <v>2027</v>
      </c>
      <c r="B404">
        <v>3</v>
      </c>
      <c r="C404" t="s">
        <v>184</v>
      </c>
      <c r="D404" t="s">
        <v>160</v>
      </c>
      <c r="E404" t="s">
        <v>105</v>
      </c>
      <c r="F404">
        <v>800</v>
      </c>
      <c r="G404">
        <v>2793.5718068729925</v>
      </c>
      <c r="H404">
        <v>1</v>
      </c>
      <c r="I404">
        <f>'Nacional · supuestos'!$B$22</f>
        <v>800</v>
      </c>
      <c r="J404">
        <f>F404*'Nacional · supuestos'!$B$4</f>
        <v>944</v>
      </c>
      <c r="K404">
        <f t="shared" si="6"/>
        <v>1</v>
      </c>
    </row>
    <row r="405" spans="1:11">
      <c r="A405">
        <v>2027</v>
      </c>
      <c r="B405">
        <v>3</v>
      </c>
      <c r="C405" t="s">
        <v>180</v>
      </c>
      <c r="D405" t="s">
        <v>160</v>
      </c>
      <c r="E405" t="s">
        <v>103</v>
      </c>
      <c r="F405">
        <v>25</v>
      </c>
      <c r="G405">
        <v>130.03659809977836</v>
      </c>
      <c r="H405">
        <v>1</v>
      </c>
      <c r="I405">
        <f>'Nacional · supuestos'!$B$19</f>
        <v>528</v>
      </c>
      <c r="J405">
        <f>F405*'Nacional · supuestos'!$B$4</f>
        <v>29.5</v>
      </c>
      <c r="K405">
        <f t="shared" si="6"/>
        <v>4.7348484848484848E-2</v>
      </c>
    </row>
    <row r="406" spans="1:11">
      <c r="A406">
        <v>2027</v>
      </c>
      <c r="B406">
        <v>3</v>
      </c>
      <c r="C406" t="s">
        <v>180</v>
      </c>
      <c r="D406" t="s">
        <v>160</v>
      </c>
      <c r="E406" t="s">
        <v>104</v>
      </c>
      <c r="F406">
        <v>220</v>
      </c>
      <c r="G406">
        <v>1100.7506821111492</v>
      </c>
      <c r="H406">
        <v>1</v>
      </c>
      <c r="I406">
        <f>'Nacional · supuestos'!$B$21</f>
        <v>640</v>
      </c>
      <c r="J406">
        <f>F406*'Nacional · supuestos'!$B$4</f>
        <v>259.59999999999997</v>
      </c>
      <c r="K406">
        <f t="shared" si="6"/>
        <v>0.34375</v>
      </c>
    </row>
    <row r="407" spans="1:11">
      <c r="A407">
        <v>2027</v>
      </c>
      <c r="B407">
        <v>3</v>
      </c>
      <c r="C407" t="s">
        <v>180</v>
      </c>
      <c r="D407" t="s">
        <v>160</v>
      </c>
      <c r="E407" t="s">
        <v>99</v>
      </c>
      <c r="F407">
        <v>410</v>
      </c>
      <c r="G407">
        <v>1399.7566794251486</v>
      </c>
      <c r="H407">
        <v>3</v>
      </c>
      <c r="I407">
        <f>'Nacional · supuestos'!$B$20</f>
        <v>600</v>
      </c>
      <c r="J407">
        <f>F407*'Nacional · supuestos'!$B$4</f>
        <v>483.79999999999995</v>
      </c>
      <c r="K407">
        <f t="shared" si="6"/>
        <v>0.68333333333333335</v>
      </c>
    </row>
    <row r="408" spans="1:11">
      <c r="A408">
        <v>2027</v>
      </c>
      <c r="B408">
        <v>3</v>
      </c>
      <c r="C408" t="s">
        <v>180</v>
      </c>
      <c r="D408" t="s">
        <v>160</v>
      </c>
      <c r="E408" t="s">
        <v>102</v>
      </c>
      <c r="F408">
        <v>3480</v>
      </c>
      <c r="G408">
        <v>14438.596731373866</v>
      </c>
      <c r="H408">
        <v>2</v>
      </c>
      <c r="I408">
        <f>'Nacional · supuestos'!$B$25</f>
        <v>750</v>
      </c>
      <c r="J408">
        <f>F408</f>
        <v>3480</v>
      </c>
      <c r="K408">
        <f t="shared" si="6"/>
        <v>4.6399999999999997</v>
      </c>
    </row>
    <row r="409" spans="1:11">
      <c r="A409">
        <v>2027</v>
      </c>
      <c r="B409">
        <v>3</v>
      </c>
      <c r="C409" t="s">
        <v>180</v>
      </c>
      <c r="D409" t="s">
        <v>160</v>
      </c>
      <c r="E409" t="s">
        <v>177</v>
      </c>
      <c r="F409">
        <v>200</v>
      </c>
      <c r="G409">
        <v>581.64666725191421</v>
      </c>
      <c r="H409">
        <v>1</v>
      </c>
      <c r="I409">
        <f>'Nacional · supuestos'!$B$28</f>
        <v>1100</v>
      </c>
      <c r="J409">
        <f>F409</f>
        <v>200</v>
      </c>
      <c r="K409">
        <f t="shared" si="6"/>
        <v>0.18181818181818182</v>
      </c>
    </row>
    <row r="410" spans="1:11">
      <c r="A410">
        <v>2027</v>
      </c>
      <c r="B410">
        <v>3</v>
      </c>
      <c r="C410" t="s">
        <v>185</v>
      </c>
      <c r="D410" t="s">
        <v>160</v>
      </c>
      <c r="E410" t="s">
        <v>104</v>
      </c>
      <c r="F410">
        <v>2200</v>
      </c>
      <c r="G410">
        <v>7811.9942348615532</v>
      </c>
      <c r="H410">
        <v>2</v>
      </c>
      <c r="I410">
        <f>'Nacional · supuestos'!$B$21</f>
        <v>640</v>
      </c>
      <c r="J410">
        <f>F410*'Nacional · supuestos'!$B$4</f>
        <v>2596</v>
      </c>
      <c r="K410">
        <f t="shared" si="6"/>
        <v>3.4375</v>
      </c>
    </row>
    <row r="411" spans="1:11">
      <c r="A411">
        <v>2027</v>
      </c>
      <c r="B411">
        <v>3</v>
      </c>
      <c r="C411" t="s">
        <v>181</v>
      </c>
      <c r="D411" t="s">
        <v>160</v>
      </c>
      <c r="E411" t="s">
        <v>102</v>
      </c>
      <c r="F411">
        <v>2885</v>
      </c>
      <c r="G411">
        <v>20569.652945428188</v>
      </c>
      <c r="H411">
        <v>1</v>
      </c>
      <c r="I411">
        <f>'Nacional · supuestos'!$B$25</f>
        <v>750</v>
      </c>
      <c r="J411">
        <f>F411</f>
        <v>2885</v>
      </c>
      <c r="K411">
        <f t="shared" si="6"/>
        <v>3.8466666666666667</v>
      </c>
    </row>
    <row r="412" spans="1:11">
      <c r="A412">
        <v>2027</v>
      </c>
      <c r="B412">
        <v>3</v>
      </c>
      <c r="C412" t="s">
        <v>186</v>
      </c>
      <c r="D412" t="s">
        <v>160</v>
      </c>
      <c r="E412" t="s">
        <v>104</v>
      </c>
      <c r="F412">
        <v>1140</v>
      </c>
      <c r="G412">
        <v>3747.1387803533721</v>
      </c>
      <c r="H412">
        <v>2</v>
      </c>
      <c r="I412">
        <f>'Nacional · supuestos'!$B$21</f>
        <v>640</v>
      </c>
      <c r="J412">
        <f>F412*'Nacional · supuestos'!$B$4</f>
        <v>1345.1999999999998</v>
      </c>
      <c r="K412">
        <f t="shared" si="6"/>
        <v>1.78125</v>
      </c>
    </row>
    <row r="413" spans="1:11">
      <c r="A413">
        <v>2027</v>
      </c>
      <c r="B413">
        <v>4</v>
      </c>
      <c r="C413" t="s">
        <v>159</v>
      </c>
      <c r="D413" t="s">
        <v>160</v>
      </c>
      <c r="E413" t="s">
        <v>104</v>
      </c>
      <c r="F413">
        <v>1940</v>
      </c>
      <c r="G413">
        <v>6469.620439006686</v>
      </c>
      <c r="H413">
        <v>2</v>
      </c>
      <c r="I413">
        <f>'Nacional · supuestos'!$B$21</f>
        <v>640</v>
      </c>
      <c r="J413">
        <f>F413*'Nacional · supuestos'!$B$4</f>
        <v>2289.1999999999998</v>
      </c>
      <c r="K413">
        <f t="shared" si="6"/>
        <v>3.03125</v>
      </c>
    </row>
    <row r="414" spans="1:11">
      <c r="A414">
        <v>2027</v>
      </c>
      <c r="B414">
        <v>4</v>
      </c>
      <c r="C414" t="s">
        <v>194</v>
      </c>
      <c r="D414" t="s">
        <v>160</v>
      </c>
      <c r="E414" t="s">
        <v>104</v>
      </c>
      <c r="F414">
        <v>700</v>
      </c>
      <c r="G414">
        <v>2254.662618756076</v>
      </c>
      <c r="H414">
        <v>1</v>
      </c>
      <c r="I414">
        <f>'Nacional · supuestos'!$B$21</f>
        <v>640</v>
      </c>
      <c r="J414">
        <f>F414*'Nacional · supuestos'!$B$4</f>
        <v>826</v>
      </c>
      <c r="K414">
        <f t="shared" si="6"/>
        <v>1.09375</v>
      </c>
    </row>
    <row r="415" spans="1:11">
      <c r="A415">
        <v>2027</v>
      </c>
      <c r="B415">
        <v>4</v>
      </c>
      <c r="C415" t="s">
        <v>195</v>
      </c>
      <c r="D415" t="s">
        <v>160</v>
      </c>
      <c r="E415" t="s">
        <v>104</v>
      </c>
      <c r="F415">
        <v>1700</v>
      </c>
      <c r="G415">
        <v>8565.2351974962894</v>
      </c>
      <c r="H415">
        <v>4</v>
      </c>
      <c r="I415">
        <f>'Nacional · supuestos'!$B$21</f>
        <v>640</v>
      </c>
      <c r="J415">
        <f>F415*'Nacional · supuestos'!$B$4</f>
        <v>2006</v>
      </c>
      <c r="K415">
        <f t="shared" si="6"/>
        <v>2.65625</v>
      </c>
    </row>
    <row r="416" spans="1:11">
      <c r="A416">
        <v>2027</v>
      </c>
      <c r="B416">
        <v>4</v>
      </c>
      <c r="C416" t="s">
        <v>195</v>
      </c>
      <c r="D416" t="s">
        <v>160</v>
      </c>
      <c r="E416" t="s">
        <v>99</v>
      </c>
      <c r="F416">
        <v>305</v>
      </c>
      <c r="G416">
        <v>1574.6155117396806</v>
      </c>
      <c r="H416">
        <v>5</v>
      </c>
      <c r="I416">
        <f>'Nacional · supuestos'!$B$20</f>
        <v>600</v>
      </c>
      <c r="J416">
        <f>F416*'Nacional · supuestos'!$B$4</f>
        <v>359.9</v>
      </c>
      <c r="K416">
        <f t="shared" si="6"/>
        <v>0.5083333333333333</v>
      </c>
    </row>
    <row r="417" spans="1:11">
      <c r="A417">
        <v>2027</v>
      </c>
      <c r="B417">
        <v>4</v>
      </c>
      <c r="C417" t="s">
        <v>195</v>
      </c>
      <c r="D417" t="s">
        <v>160</v>
      </c>
      <c r="E417" t="s">
        <v>101</v>
      </c>
      <c r="F417">
        <v>600</v>
      </c>
      <c r="G417">
        <v>1118.7918318398069</v>
      </c>
      <c r="H417">
        <v>1</v>
      </c>
      <c r="I417">
        <f>'Nacional · supuestos'!$B$26</f>
        <v>800</v>
      </c>
      <c r="J417">
        <f>F417</f>
        <v>600</v>
      </c>
      <c r="K417">
        <f t="shared" si="6"/>
        <v>0.75</v>
      </c>
    </row>
    <row r="418" spans="1:11">
      <c r="A418">
        <v>2027</v>
      </c>
      <c r="B418">
        <v>4</v>
      </c>
      <c r="C418" t="s">
        <v>195</v>
      </c>
      <c r="D418" t="s">
        <v>160</v>
      </c>
      <c r="E418" t="s">
        <v>102</v>
      </c>
      <c r="F418">
        <v>135</v>
      </c>
      <c r="G418">
        <v>492.21067433038343</v>
      </c>
      <c r="H418">
        <v>2</v>
      </c>
      <c r="I418">
        <f>'Nacional · supuestos'!$B$25</f>
        <v>750</v>
      </c>
      <c r="J418">
        <f>F418</f>
        <v>135</v>
      </c>
      <c r="K418">
        <f t="shared" si="6"/>
        <v>0.18</v>
      </c>
    </row>
    <row r="419" spans="1:11">
      <c r="A419">
        <v>2027</v>
      </c>
      <c r="B419">
        <v>4</v>
      </c>
      <c r="C419" t="s">
        <v>190</v>
      </c>
      <c r="D419" t="s">
        <v>160</v>
      </c>
      <c r="E419" t="s">
        <v>99</v>
      </c>
      <c r="F419">
        <v>115</v>
      </c>
      <c r="G419">
        <v>1311.4151829204898</v>
      </c>
      <c r="H419">
        <v>1</v>
      </c>
      <c r="I419">
        <f>'Nacional · supuestos'!$B$20</f>
        <v>600</v>
      </c>
      <c r="J419">
        <f>F419*'Nacional · supuestos'!$B$4</f>
        <v>135.69999999999999</v>
      </c>
      <c r="K419">
        <f t="shared" si="6"/>
        <v>0.19166666666666668</v>
      </c>
    </row>
    <row r="420" spans="1:11">
      <c r="A420">
        <v>2027</v>
      </c>
      <c r="B420">
        <v>4</v>
      </c>
      <c r="C420" t="s">
        <v>162</v>
      </c>
      <c r="D420" t="s">
        <v>160</v>
      </c>
      <c r="E420" t="s">
        <v>98</v>
      </c>
      <c r="F420">
        <v>2000</v>
      </c>
      <c r="G420">
        <v>4123.645547757299</v>
      </c>
      <c r="H420">
        <v>2</v>
      </c>
      <c r="I420">
        <f>'Nacional · supuestos'!$B$23</f>
        <v>1000</v>
      </c>
      <c r="J420">
        <f>F420*'Nacional · supuestos'!$B$4</f>
        <v>2360</v>
      </c>
      <c r="K420">
        <f t="shared" si="6"/>
        <v>2</v>
      </c>
    </row>
    <row r="421" spans="1:11">
      <c r="A421">
        <v>2027</v>
      </c>
      <c r="B421">
        <v>4</v>
      </c>
      <c r="C421" t="s">
        <v>162</v>
      </c>
      <c r="D421" t="s">
        <v>160</v>
      </c>
      <c r="E421" t="s">
        <v>104</v>
      </c>
      <c r="F421">
        <v>7340</v>
      </c>
      <c r="G421">
        <v>21928.704781921097</v>
      </c>
      <c r="H421">
        <v>4</v>
      </c>
      <c r="I421">
        <f>'Nacional · supuestos'!$B$21</f>
        <v>640</v>
      </c>
      <c r="J421">
        <f>F421*'Nacional · supuestos'!$B$4</f>
        <v>8661.1999999999989</v>
      </c>
      <c r="K421">
        <f t="shared" si="6"/>
        <v>11.46875</v>
      </c>
    </row>
    <row r="422" spans="1:11">
      <c r="A422">
        <v>2027</v>
      </c>
      <c r="B422">
        <v>4</v>
      </c>
      <c r="C422" t="s">
        <v>162</v>
      </c>
      <c r="D422" t="s">
        <v>160</v>
      </c>
      <c r="E422" t="s">
        <v>105</v>
      </c>
      <c r="F422">
        <v>1000</v>
      </c>
      <c r="G422">
        <v>2199.4166091425441</v>
      </c>
      <c r="H422">
        <v>1</v>
      </c>
      <c r="I422">
        <f>'Nacional · supuestos'!$B$22</f>
        <v>800</v>
      </c>
      <c r="J422">
        <f>F422*'Nacional · supuestos'!$B$4</f>
        <v>1180</v>
      </c>
      <c r="K422">
        <f t="shared" si="6"/>
        <v>1.25</v>
      </c>
    </row>
    <row r="423" spans="1:11">
      <c r="A423">
        <v>2027</v>
      </c>
      <c r="B423">
        <v>4</v>
      </c>
      <c r="C423" t="s">
        <v>162</v>
      </c>
      <c r="D423" t="s">
        <v>160</v>
      </c>
      <c r="E423" t="s">
        <v>101</v>
      </c>
      <c r="F423">
        <v>9600</v>
      </c>
      <c r="G423">
        <v>15685.697220083886</v>
      </c>
      <c r="H423">
        <v>2</v>
      </c>
      <c r="I423">
        <f>'Nacional · supuestos'!$B$26</f>
        <v>800</v>
      </c>
      <c r="J423">
        <f>F423</f>
        <v>9600</v>
      </c>
      <c r="K423">
        <f t="shared" si="6"/>
        <v>12</v>
      </c>
    </row>
    <row r="424" spans="1:11">
      <c r="A424">
        <v>2027</v>
      </c>
      <c r="B424">
        <v>4</v>
      </c>
      <c r="C424" t="s">
        <v>162</v>
      </c>
      <c r="D424" t="s">
        <v>160</v>
      </c>
      <c r="E424" t="s">
        <v>102</v>
      </c>
      <c r="F424">
        <v>210</v>
      </c>
      <c r="G424">
        <v>1048.5275673632627</v>
      </c>
      <c r="H424">
        <v>1</v>
      </c>
      <c r="I424">
        <f>'Nacional · supuestos'!$B$25</f>
        <v>750</v>
      </c>
      <c r="J424">
        <f>F424</f>
        <v>210</v>
      </c>
      <c r="K424">
        <f t="shared" si="6"/>
        <v>0.28000000000000003</v>
      </c>
    </row>
    <row r="425" spans="1:11">
      <c r="A425">
        <v>2027</v>
      </c>
      <c r="B425">
        <v>4</v>
      </c>
      <c r="C425" t="s">
        <v>163</v>
      </c>
      <c r="D425" t="s">
        <v>164</v>
      </c>
      <c r="E425" t="s">
        <v>103</v>
      </c>
      <c r="F425">
        <v>13</v>
      </c>
      <c r="G425">
        <v>68.02555825243715</v>
      </c>
      <c r="H425">
        <v>1</v>
      </c>
      <c r="I425">
        <f>'Nacional · supuestos'!$B$19</f>
        <v>528</v>
      </c>
      <c r="J425">
        <f>F425*'Nacional · supuestos'!$B$4</f>
        <v>15.34</v>
      </c>
      <c r="K425">
        <f t="shared" si="6"/>
        <v>2.462121212121212E-2</v>
      </c>
    </row>
    <row r="426" spans="1:11">
      <c r="A426">
        <v>2027</v>
      </c>
      <c r="B426">
        <v>4</v>
      </c>
      <c r="C426" t="s">
        <v>163</v>
      </c>
      <c r="D426" t="s">
        <v>164</v>
      </c>
      <c r="E426" t="s">
        <v>104</v>
      </c>
      <c r="F426">
        <v>2540</v>
      </c>
      <c r="G426">
        <v>6422.0880231882511</v>
      </c>
      <c r="H426">
        <v>6</v>
      </c>
      <c r="I426">
        <f>'Nacional · supuestos'!$B$21</f>
        <v>640</v>
      </c>
      <c r="J426">
        <f>F426*'Nacional · supuestos'!$B$4</f>
        <v>2997.2</v>
      </c>
      <c r="K426">
        <f t="shared" si="6"/>
        <v>3.96875</v>
      </c>
    </row>
    <row r="427" spans="1:11">
      <c r="A427">
        <v>2027</v>
      </c>
      <c r="B427">
        <v>4</v>
      </c>
      <c r="C427" t="s">
        <v>163</v>
      </c>
      <c r="D427" t="s">
        <v>164</v>
      </c>
      <c r="E427" t="s">
        <v>105</v>
      </c>
      <c r="F427">
        <v>1200</v>
      </c>
      <c r="G427">
        <v>3681.6774708490348</v>
      </c>
      <c r="H427">
        <v>2</v>
      </c>
      <c r="I427">
        <f>'Nacional · supuestos'!$B$22</f>
        <v>800</v>
      </c>
      <c r="J427">
        <f>F427*'Nacional · supuestos'!$B$4</f>
        <v>1416</v>
      </c>
      <c r="K427">
        <f t="shared" si="6"/>
        <v>1.5</v>
      </c>
    </row>
    <row r="428" spans="1:11">
      <c r="A428">
        <v>2027</v>
      </c>
      <c r="B428">
        <v>4</v>
      </c>
      <c r="C428" t="s">
        <v>163</v>
      </c>
      <c r="D428" t="s">
        <v>164</v>
      </c>
      <c r="E428" t="s">
        <v>99</v>
      </c>
      <c r="F428">
        <v>335</v>
      </c>
      <c r="G428">
        <v>1241.4195311176834</v>
      </c>
      <c r="H428">
        <v>5</v>
      </c>
      <c r="I428">
        <f>'Nacional · supuestos'!$B$20</f>
        <v>600</v>
      </c>
      <c r="J428">
        <f>F428*'Nacional · supuestos'!$B$4</f>
        <v>395.29999999999995</v>
      </c>
      <c r="K428">
        <f t="shared" si="6"/>
        <v>0.55833333333333335</v>
      </c>
    </row>
    <row r="429" spans="1:11">
      <c r="A429">
        <v>2027</v>
      </c>
      <c r="B429">
        <v>4</v>
      </c>
      <c r="C429" t="s">
        <v>163</v>
      </c>
      <c r="D429" t="s">
        <v>164</v>
      </c>
      <c r="E429" t="s">
        <v>101</v>
      </c>
      <c r="F429">
        <v>100</v>
      </c>
      <c r="G429">
        <v>367.95927157692779</v>
      </c>
      <c r="H429">
        <v>1</v>
      </c>
      <c r="I429">
        <f>'Nacional · supuestos'!$B$26</f>
        <v>800</v>
      </c>
      <c r="J429">
        <f>F429</f>
        <v>100</v>
      </c>
      <c r="K429">
        <f t="shared" si="6"/>
        <v>0.125</v>
      </c>
    </row>
    <row r="430" spans="1:11">
      <c r="A430">
        <v>2027</v>
      </c>
      <c r="B430">
        <v>4</v>
      </c>
      <c r="C430" t="s">
        <v>163</v>
      </c>
      <c r="D430" t="s">
        <v>164</v>
      </c>
      <c r="E430" t="s">
        <v>177</v>
      </c>
      <c r="F430">
        <v>25</v>
      </c>
      <c r="G430">
        <v>66.190973782251874</v>
      </c>
      <c r="H430">
        <v>1</v>
      </c>
      <c r="I430">
        <f>'Nacional · supuestos'!$B$28</f>
        <v>1100</v>
      </c>
      <c r="J430">
        <f>F430</f>
        <v>25</v>
      </c>
      <c r="K430">
        <f t="shared" si="6"/>
        <v>2.2727272727272728E-2</v>
      </c>
    </row>
    <row r="431" spans="1:11">
      <c r="A431">
        <v>2027</v>
      </c>
      <c r="B431">
        <v>4</v>
      </c>
      <c r="C431" t="s">
        <v>166</v>
      </c>
      <c r="D431" t="s">
        <v>160</v>
      </c>
      <c r="E431" t="s">
        <v>98</v>
      </c>
      <c r="F431">
        <v>2000</v>
      </c>
      <c r="G431">
        <v>7327.9141053422172</v>
      </c>
      <c r="H431">
        <v>2</v>
      </c>
      <c r="I431">
        <f>'Nacional · supuestos'!$B$23</f>
        <v>1000</v>
      </c>
      <c r="J431">
        <f>F431*'Nacional · supuestos'!$B$4</f>
        <v>2360</v>
      </c>
      <c r="K431">
        <f t="shared" si="6"/>
        <v>2</v>
      </c>
    </row>
    <row r="432" spans="1:11">
      <c r="A432">
        <v>2027</v>
      </c>
      <c r="B432">
        <v>4</v>
      </c>
      <c r="C432" t="s">
        <v>166</v>
      </c>
      <c r="D432" t="s">
        <v>160</v>
      </c>
      <c r="E432" t="s">
        <v>104</v>
      </c>
      <c r="F432">
        <v>2160</v>
      </c>
      <c r="G432">
        <v>7055.6450919260869</v>
      </c>
      <c r="H432">
        <v>2</v>
      </c>
      <c r="I432">
        <f>'Nacional · supuestos'!$B$21</f>
        <v>640</v>
      </c>
      <c r="J432">
        <f>F432*'Nacional · supuestos'!$B$4</f>
        <v>2548.7999999999997</v>
      </c>
      <c r="K432">
        <f t="shared" si="6"/>
        <v>3.375</v>
      </c>
    </row>
    <row r="433" spans="1:11">
      <c r="A433">
        <v>2027</v>
      </c>
      <c r="B433">
        <v>4</v>
      </c>
      <c r="C433" t="s">
        <v>166</v>
      </c>
      <c r="D433" t="s">
        <v>160</v>
      </c>
      <c r="E433" t="s">
        <v>99</v>
      </c>
      <c r="F433">
        <v>215</v>
      </c>
      <c r="G433">
        <v>880.75690231990131</v>
      </c>
      <c r="H433">
        <v>1</v>
      </c>
      <c r="I433">
        <f>'Nacional · supuestos'!$B$20</f>
        <v>600</v>
      </c>
      <c r="J433">
        <f>F433*'Nacional · supuestos'!$B$4</f>
        <v>253.7</v>
      </c>
      <c r="K433">
        <f t="shared" si="6"/>
        <v>0.35833333333333334</v>
      </c>
    </row>
    <row r="434" spans="1:11">
      <c r="A434">
        <v>2027</v>
      </c>
      <c r="B434">
        <v>4</v>
      </c>
      <c r="C434" t="s">
        <v>191</v>
      </c>
      <c r="D434" t="s">
        <v>160</v>
      </c>
      <c r="E434" t="s">
        <v>104</v>
      </c>
      <c r="F434">
        <v>1660</v>
      </c>
      <c r="G434">
        <v>5796.6614992614623</v>
      </c>
      <c r="H434">
        <v>1</v>
      </c>
      <c r="I434">
        <f>'Nacional · supuestos'!$B$21</f>
        <v>640</v>
      </c>
      <c r="J434">
        <f>F434*'Nacional · supuestos'!$B$4</f>
        <v>1958.8</v>
      </c>
      <c r="K434">
        <f t="shared" si="6"/>
        <v>2.59375</v>
      </c>
    </row>
    <row r="435" spans="1:11">
      <c r="A435">
        <v>2027</v>
      </c>
      <c r="B435">
        <v>4</v>
      </c>
      <c r="C435" t="s">
        <v>191</v>
      </c>
      <c r="D435" t="s">
        <v>160</v>
      </c>
      <c r="E435" t="s">
        <v>99</v>
      </c>
      <c r="F435">
        <v>720</v>
      </c>
      <c r="G435">
        <v>2580.6140754759217</v>
      </c>
      <c r="H435">
        <v>3</v>
      </c>
      <c r="I435">
        <f>'Nacional · supuestos'!$B$20</f>
        <v>600</v>
      </c>
      <c r="J435">
        <f>F435*'Nacional · supuestos'!$B$4</f>
        <v>849.59999999999991</v>
      </c>
      <c r="K435">
        <f t="shared" si="6"/>
        <v>1.2</v>
      </c>
    </row>
    <row r="436" spans="1:11">
      <c r="A436">
        <v>2027</v>
      </c>
      <c r="B436">
        <v>4</v>
      </c>
      <c r="C436" t="s">
        <v>191</v>
      </c>
      <c r="D436" t="s">
        <v>160</v>
      </c>
      <c r="E436" t="s">
        <v>102</v>
      </c>
      <c r="F436">
        <v>195</v>
      </c>
      <c r="G436">
        <v>987.86119454236393</v>
      </c>
      <c r="H436">
        <v>1</v>
      </c>
      <c r="I436">
        <f>'Nacional · supuestos'!$B$25</f>
        <v>750</v>
      </c>
      <c r="J436">
        <f>F436</f>
        <v>195</v>
      </c>
      <c r="K436">
        <f t="shared" si="6"/>
        <v>0.26</v>
      </c>
    </row>
    <row r="437" spans="1:11">
      <c r="A437">
        <v>2027</v>
      </c>
      <c r="B437">
        <v>4</v>
      </c>
      <c r="C437" t="s">
        <v>168</v>
      </c>
      <c r="D437" t="s">
        <v>160</v>
      </c>
      <c r="E437" t="s">
        <v>104</v>
      </c>
      <c r="F437">
        <v>7720</v>
      </c>
      <c r="G437">
        <v>24331.17653583187</v>
      </c>
      <c r="H437">
        <v>7</v>
      </c>
      <c r="I437">
        <f>'Nacional · supuestos'!$B$21</f>
        <v>640</v>
      </c>
      <c r="J437">
        <f>F437*'Nacional · supuestos'!$B$4</f>
        <v>9109.6</v>
      </c>
      <c r="K437">
        <f t="shared" si="6"/>
        <v>12.0625</v>
      </c>
    </row>
    <row r="438" spans="1:11">
      <c r="A438">
        <v>2027</v>
      </c>
      <c r="B438">
        <v>4</v>
      </c>
      <c r="C438" t="s">
        <v>168</v>
      </c>
      <c r="D438" t="s">
        <v>160</v>
      </c>
      <c r="E438" t="s">
        <v>99</v>
      </c>
      <c r="F438">
        <v>265</v>
      </c>
      <c r="G438">
        <v>1004.2265219184484</v>
      </c>
      <c r="H438">
        <v>2</v>
      </c>
      <c r="I438">
        <f>'Nacional · supuestos'!$B$20</f>
        <v>600</v>
      </c>
      <c r="J438">
        <f>F438*'Nacional · supuestos'!$B$4</f>
        <v>312.7</v>
      </c>
      <c r="K438">
        <f t="shared" si="6"/>
        <v>0.44166666666666665</v>
      </c>
    </row>
    <row r="439" spans="1:11">
      <c r="A439">
        <v>2027</v>
      </c>
      <c r="B439">
        <v>4</v>
      </c>
      <c r="C439" t="s">
        <v>168</v>
      </c>
      <c r="D439" t="s">
        <v>160</v>
      </c>
      <c r="E439" t="s">
        <v>101</v>
      </c>
      <c r="F439">
        <v>660</v>
      </c>
      <c r="G439">
        <v>1155.7882162167073</v>
      </c>
      <c r="H439">
        <v>1</v>
      </c>
      <c r="I439">
        <f>'Nacional · supuestos'!$B$26</f>
        <v>800</v>
      </c>
      <c r="J439">
        <f>F439</f>
        <v>660</v>
      </c>
      <c r="K439">
        <f t="shared" si="6"/>
        <v>0.82499999999999996</v>
      </c>
    </row>
    <row r="440" spans="1:11">
      <c r="A440">
        <v>2027</v>
      </c>
      <c r="B440">
        <v>4</v>
      </c>
      <c r="C440" t="s">
        <v>168</v>
      </c>
      <c r="D440" t="s">
        <v>160</v>
      </c>
      <c r="E440" t="s">
        <v>102</v>
      </c>
      <c r="F440">
        <v>625</v>
      </c>
      <c r="G440">
        <v>3166.2217773793718</v>
      </c>
      <c r="H440">
        <v>1</v>
      </c>
      <c r="I440">
        <f>'Nacional · supuestos'!$B$25</f>
        <v>750</v>
      </c>
      <c r="J440">
        <f>F440</f>
        <v>625</v>
      </c>
      <c r="K440">
        <f t="shared" si="6"/>
        <v>0.83333333333333337</v>
      </c>
    </row>
    <row r="441" spans="1:11">
      <c r="A441">
        <v>2027</v>
      </c>
      <c r="B441">
        <v>4</v>
      </c>
      <c r="C441" t="s">
        <v>168</v>
      </c>
      <c r="D441" t="s">
        <v>160</v>
      </c>
      <c r="E441" t="s">
        <v>177</v>
      </c>
      <c r="F441">
        <v>1745</v>
      </c>
      <c r="G441">
        <v>4892.972291064244</v>
      </c>
      <c r="H441">
        <v>1</v>
      </c>
      <c r="I441">
        <f>'Nacional · supuestos'!$B$28</f>
        <v>1100</v>
      </c>
      <c r="J441">
        <f>F441</f>
        <v>1745</v>
      </c>
      <c r="K441">
        <f t="shared" si="6"/>
        <v>1.5863636363636364</v>
      </c>
    </row>
    <row r="442" spans="1:11">
      <c r="A442">
        <v>2027</v>
      </c>
      <c r="B442">
        <v>4</v>
      </c>
      <c r="C442" t="s">
        <v>169</v>
      </c>
      <c r="D442" t="s">
        <v>160</v>
      </c>
      <c r="E442" t="s">
        <v>104</v>
      </c>
      <c r="F442">
        <v>120</v>
      </c>
      <c r="G442">
        <v>377.75762045178095</v>
      </c>
      <c r="H442">
        <v>1</v>
      </c>
      <c r="I442">
        <f>'Nacional · supuestos'!$B$21</f>
        <v>640</v>
      </c>
      <c r="J442">
        <f>F442*'Nacional · supuestos'!$B$4</f>
        <v>141.6</v>
      </c>
      <c r="K442">
        <f t="shared" si="6"/>
        <v>0.1875</v>
      </c>
    </row>
    <row r="443" spans="1:11">
      <c r="A443">
        <v>2027</v>
      </c>
      <c r="B443">
        <v>4</v>
      </c>
      <c r="C443" t="s">
        <v>169</v>
      </c>
      <c r="D443" t="s">
        <v>160</v>
      </c>
      <c r="E443" t="s">
        <v>99</v>
      </c>
      <c r="F443">
        <v>470</v>
      </c>
      <c r="G443">
        <v>2474.447923039349</v>
      </c>
      <c r="H443">
        <v>2</v>
      </c>
      <c r="I443">
        <f>'Nacional · supuestos'!$B$20</f>
        <v>600</v>
      </c>
      <c r="J443">
        <f>F443*'Nacional · supuestos'!$B$4</f>
        <v>554.6</v>
      </c>
      <c r="K443">
        <f t="shared" si="6"/>
        <v>0.78333333333333333</v>
      </c>
    </row>
    <row r="444" spans="1:11">
      <c r="A444">
        <v>2027</v>
      </c>
      <c r="B444">
        <v>4</v>
      </c>
      <c r="C444" t="s">
        <v>207</v>
      </c>
      <c r="D444" t="s">
        <v>160</v>
      </c>
      <c r="E444" t="s">
        <v>101</v>
      </c>
      <c r="F444">
        <v>1180</v>
      </c>
      <c r="G444">
        <v>2583.0115438176417</v>
      </c>
      <c r="H444">
        <v>1</v>
      </c>
      <c r="I444">
        <f>'Nacional · supuestos'!$B$26</f>
        <v>800</v>
      </c>
      <c r="J444">
        <f>F444</f>
        <v>1180</v>
      </c>
      <c r="K444">
        <f t="shared" si="6"/>
        <v>1.4750000000000001</v>
      </c>
    </row>
    <row r="445" spans="1:11">
      <c r="A445">
        <v>2027</v>
      </c>
      <c r="B445">
        <v>4</v>
      </c>
      <c r="C445" t="s">
        <v>170</v>
      </c>
      <c r="D445" t="s">
        <v>160</v>
      </c>
      <c r="E445" t="s">
        <v>104</v>
      </c>
      <c r="F445">
        <v>3000</v>
      </c>
      <c r="G445">
        <v>9691.1924637535794</v>
      </c>
      <c r="H445">
        <v>3</v>
      </c>
      <c r="I445">
        <f>'Nacional · supuestos'!$B$21</f>
        <v>640</v>
      </c>
      <c r="J445">
        <f>F445*'Nacional · supuestos'!$B$4</f>
        <v>3540</v>
      </c>
      <c r="K445">
        <f t="shared" si="6"/>
        <v>4.6875</v>
      </c>
    </row>
    <row r="446" spans="1:11">
      <c r="A446">
        <v>2027</v>
      </c>
      <c r="B446">
        <v>4</v>
      </c>
      <c r="C446" t="s">
        <v>170</v>
      </c>
      <c r="D446" t="s">
        <v>160</v>
      </c>
      <c r="E446" t="s">
        <v>99</v>
      </c>
      <c r="F446">
        <v>220</v>
      </c>
      <c r="G446">
        <v>770.52547747780466</v>
      </c>
      <c r="H446">
        <v>1</v>
      </c>
      <c r="I446">
        <f>'Nacional · supuestos'!$B$20</f>
        <v>600</v>
      </c>
      <c r="J446">
        <f>F446*'Nacional · supuestos'!$B$4</f>
        <v>259.59999999999997</v>
      </c>
      <c r="K446">
        <f t="shared" si="6"/>
        <v>0.36666666666666664</v>
      </c>
    </row>
    <row r="447" spans="1:11">
      <c r="A447">
        <v>2027</v>
      </c>
      <c r="B447">
        <v>4</v>
      </c>
      <c r="C447" t="s">
        <v>170</v>
      </c>
      <c r="D447" t="s">
        <v>160</v>
      </c>
      <c r="E447" t="s">
        <v>102</v>
      </c>
      <c r="F447">
        <v>425</v>
      </c>
      <c r="G447">
        <v>1780.9020268815329</v>
      </c>
      <c r="H447">
        <v>1</v>
      </c>
      <c r="I447">
        <f>'Nacional · supuestos'!$B$25</f>
        <v>750</v>
      </c>
      <c r="J447">
        <f>F447</f>
        <v>425</v>
      </c>
      <c r="K447">
        <f t="shared" si="6"/>
        <v>0.56666666666666665</v>
      </c>
    </row>
    <row r="448" spans="1:11">
      <c r="A448">
        <v>2027</v>
      </c>
      <c r="B448">
        <v>4</v>
      </c>
      <c r="C448" t="s">
        <v>201</v>
      </c>
      <c r="D448" t="s">
        <v>160</v>
      </c>
      <c r="E448" t="s">
        <v>103</v>
      </c>
      <c r="F448">
        <v>15</v>
      </c>
      <c r="G448">
        <v>237.97479235414349</v>
      </c>
      <c r="H448">
        <v>1</v>
      </c>
      <c r="I448">
        <f>'Nacional · supuestos'!$B$19</f>
        <v>528</v>
      </c>
      <c r="J448">
        <f>F448*'Nacional · supuestos'!$B$4</f>
        <v>17.7</v>
      </c>
      <c r="K448">
        <f t="shared" si="6"/>
        <v>2.8409090909090908E-2</v>
      </c>
    </row>
    <row r="449" spans="1:11">
      <c r="A449">
        <v>2027</v>
      </c>
      <c r="B449">
        <v>4</v>
      </c>
      <c r="C449" t="s">
        <v>201</v>
      </c>
      <c r="D449" t="s">
        <v>160</v>
      </c>
      <c r="E449" t="s">
        <v>104</v>
      </c>
      <c r="F449">
        <v>40</v>
      </c>
      <c r="G449">
        <v>100.06824382828633</v>
      </c>
      <c r="H449">
        <v>1</v>
      </c>
      <c r="I449">
        <f>'Nacional · supuestos'!$B$21</f>
        <v>640</v>
      </c>
      <c r="J449">
        <f>F449*'Nacional · supuestos'!$B$4</f>
        <v>47.199999999999996</v>
      </c>
      <c r="K449">
        <f t="shared" si="6"/>
        <v>6.25E-2</v>
      </c>
    </row>
    <row r="450" spans="1:11">
      <c r="A450">
        <v>2027</v>
      </c>
      <c r="B450">
        <v>4</v>
      </c>
      <c r="C450" t="s">
        <v>201</v>
      </c>
      <c r="D450" t="s">
        <v>160</v>
      </c>
      <c r="E450" t="s">
        <v>99</v>
      </c>
      <c r="F450">
        <v>265</v>
      </c>
      <c r="G450">
        <v>1630.226353492171</v>
      </c>
      <c r="H450">
        <v>8</v>
      </c>
      <c r="I450">
        <f>'Nacional · supuestos'!$B$20</f>
        <v>600</v>
      </c>
      <c r="J450">
        <f>F450*'Nacional · supuestos'!$B$4</f>
        <v>312.7</v>
      </c>
      <c r="K450">
        <f t="shared" si="6"/>
        <v>0.44166666666666665</v>
      </c>
    </row>
    <row r="451" spans="1:11">
      <c r="A451">
        <v>2027</v>
      </c>
      <c r="B451">
        <v>4</v>
      </c>
      <c r="C451" t="s">
        <v>201</v>
      </c>
      <c r="D451" t="s">
        <v>160</v>
      </c>
      <c r="E451" t="s">
        <v>102</v>
      </c>
      <c r="F451">
        <v>165</v>
      </c>
      <c r="G451">
        <v>928.75838803128249</v>
      </c>
      <c r="H451">
        <v>1</v>
      </c>
      <c r="I451">
        <f>'Nacional · supuestos'!$B$25</f>
        <v>750</v>
      </c>
      <c r="J451">
        <f>F451</f>
        <v>165</v>
      </c>
      <c r="K451">
        <f t="shared" si="6"/>
        <v>0.22</v>
      </c>
    </row>
    <row r="452" spans="1:11">
      <c r="A452">
        <v>2027</v>
      </c>
      <c r="B452">
        <v>4</v>
      </c>
      <c r="C452" t="s">
        <v>202</v>
      </c>
      <c r="D452" t="s">
        <v>160</v>
      </c>
      <c r="E452" t="s">
        <v>104</v>
      </c>
      <c r="F452">
        <v>3380</v>
      </c>
      <c r="G452">
        <v>11100.486897668614</v>
      </c>
      <c r="H452">
        <v>3</v>
      </c>
      <c r="I452">
        <f>'Nacional · supuestos'!$B$21</f>
        <v>640</v>
      </c>
      <c r="J452">
        <f>F452*'Nacional · supuestos'!$B$4</f>
        <v>3988.3999999999996</v>
      </c>
      <c r="K452">
        <f t="shared" si="6"/>
        <v>5.28125</v>
      </c>
    </row>
    <row r="453" spans="1:11">
      <c r="A453">
        <v>2027</v>
      </c>
      <c r="B453">
        <v>4</v>
      </c>
      <c r="C453" t="s">
        <v>202</v>
      </c>
      <c r="D453" t="s">
        <v>160</v>
      </c>
      <c r="E453" t="s">
        <v>102</v>
      </c>
      <c r="F453">
        <v>220</v>
      </c>
      <c r="G453">
        <v>1513.5321879028306</v>
      </c>
      <c r="H453">
        <v>1</v>
      </c>
      <c r="I453">
        <f>'Nacional · supuestos'!$B$25</f>
        <v>750</v>
      </c>
      <c r="J453">
        <f>F453</f>
        <v>220</v>
      </c>
      <c r="K453">
        <f t="shared" si="6"/>
        <v>0.29333333333333333</v>
      </c>
    </row>
    <row r="454" spans="1:11">
      <c r="A454">
        <v>2027</v>
      </c>
      <c r="B454">
        <v>4</v>
      </c>
      <c r="C454" t="s">
        <v>171</v>
      </c>
      <c r="D454" t="s">
        <v>164</v>
      </c>
      <c r="E454" t="s">
        <v>99</v>
      </c>
      <c r="F454">
        <v>210</v>
      </c>
      <c r="G454">
        <v>923.75497583986817</v>
      </c>
      <c r="H454">
        <v>1</v>
      </c>
      <c r="I454">
        <f>'Nacional · supuestos'!$B$20</f>
        <v>600</v>
      </c>
      <c r="J454">
        <f>F454*'Nacional · supuestos'!$B$4</f>
        <v>247.79999999999998</v>
      </c>
      <c r="K454">
        <f t="shared" si="6"/>
        <v>0.35</v>
      </c>
    </row>
    <row r="455" spans="1:11">
      <c r="A455">
        <v>2027</v>
      </c>
      <c r="B455">
        <v>4</v>
      </c>
      <c r="C455" t="s">
        <v>171</v>
      </c>
      <c r="D455" t="s">
        <v>164</v>
      </c>
      <c r="E455" t="s">
        <v>101</v>
      </c>
      <c r="F455">
        <v>2400</v>
      </c>
      <c r="G455">
        <v>3902.6615093031669</v>
      </c>
      <c r="H455">
        <v>1</v>
      </c>
      <c r="I455">
        <f>'Nacional · supuestos'!$B$26</f>
        <v>800</v>
      </c>
      <c r="J455">
        <f>F455</f>
        <v>2400</v>
      </c>
      <c r="K455">
        <f t="shared" ref="K455:K518" si="7">F455/I455</f>
        <v>3</v>
      </c>
    </row>
    <row r="456" spans="1:11">
      <c r="A456">
        <v>2027</v>
      </c>
      <c r="B456">
        <v>4</v>
      </c>
      <c r="C456" t="s">
        <v>171</v>
      </c>
      <c r="D456" t="s">
        <v>164</v>
      </c>
      <c r="E456" t="s">
        <v>102</v>
      </c>
      <c r="F456">
        <v>3045</v>
      </c>
      <c r="G456">
        <v>7250.4133352522904</v>
      </c>
      <c r="H456">
        <v>3</v>
      </c>
      <c r="I456">
        <f>'Nacional · supuestos'!$B$25</f>
        <v>750</v>
      </c>
      <c r="J456">
        <f>F456</f>
        <v>3045</v>
      </c>
      <c r="K456">
        <f t="shared" si="7"/>
        <v>4.0599999999999996</v>
      </c>
    </row>
    <row r="457" spans="1:11">
      <c r="A457">
        <v>2027</v>
      </c>
      <c r="B457">
        <v>4</v>
      </c>
      <c r="C457" t="s">
        <v>172</v>
      </c>
      <c r="D457" t="s">
        <v>160</v>
      </c>
      <c r="E457" t="s">
        <v>103</v>
      </c>
      <c r="F457">
        <v>317</v>
      </c>
      <c r="G457">
        <v>4183.373780792308</v>
      </c>
      <c r="H457">
        <v>3</v>
      </c>
      <c r="I457">
        <f>'Nacional · supuestos'!$B$19</f>
        <v>528</v>
      </c>
      <c r="J457">
        <f>F457*'Nacional · supuestos'!$B$4</f>
        <v>374.06</v>
      </c>
      <c r="K457">
        <f t="shared" si="7"/>
        <v>0.60037878787878785</v>
      </c>
    </row>
    <row r="458" spans="1:11">
      <c r="A458">
        <v>2027</v>
      </c>
      <c r="B458">
        <v>4</v>
      </c>
      <c r="C458" t="s">
        <v>172</v>
      </c>
      <c r="D458" t="s">
        <v>160</v>
      </c>
      <c r="E458" t="s">
        <v>104</v>
      </c>
      <c r="F458">
        <v>14800</v>
      </c>
      <c r="G458">
        <v>49310.294950451891</v>
      </c>
      <c r="H458">
        <v>4</v>
      </c>
      <c r="I458">
        <f>'Nacional · supuestos'!$B$21</f>
        <v>640</v>
      </c>
      <c r="J458">
        <f>F458*'Nacional · supuestos'!$B$4</f>
        <v>17464</v>
      </c>
      <c r="K458">
        <f t="shared" si="7"/>
        <v>23.125</v>
      </c>
    </row>
    <row r="459" spans="1:11">
      <c r="A459">
        <v>2027</v>
      </c>
      <c r="B459">
        <v>4</v>
      </c>
      <c r="C459" t="s">
        <v>172</v>
      </c>
      <c r="D459" t="s">
        <v>160</v>
      </c>
      <c r="E459" t="s">
        <v>99</v>
      </c>
      <c r="F459">
        <v>3515</v>
      </c>
      <c r="G459">
        <v>27442.273914310696</v>
      </c>
      <c r="H459">
        <v>9</v>
      </c>
      <c r="I459">
        <f>'Nacional · supuestos'!$B$20</f>
        <v>600</v>
      </c>
      <c r="J459">
        <f>F459*'Nacional · supuestos'!$B$4</f>
        <v>4147.7</v>
      </c>
      <c r="K459">
        <f t="shared" si="7"/>
        <v>5.8583333333333334</v>
      </c>
    </row>
    <row r="460" spans="1:11">
      <c r="A460">
        <v>2027</v>
      </c>
      <c r="B460">
        <v>4</v>
      </c>
      <c r="C460" t="s">
        <v>172</v>
      </c>
      <c r="D460" t="s">
        <v>160</v>
      </c>
      <c r="E460" t="s">
        <v>100</v>
      </c>
      <c r="F460">
        <v>502</v>
      </c>
      <c r="G460">
        <v>4887.3747236750996</v>
      </c>
      <c r="H460">
        <v>1</v>
      </c>
      <c r="I460">
        <f>'Nacional · supuestos'!$B$24</f>
        <v>1056</v>
      </c>
      <c r="J460">
        <f>F460</f>
        <v>502</v>
      </c>
      <c r="K460">
        <f t="shared" si="7"/>
        <v>0.4753787878787879</v>
      </c>
    </row>
    <row r="461" spans="1:11">
      <c r="A461">
        <v>2027</v>
      </c>
      <c r="B461">
        <v>4</v>
      </c>
      <c r="C461" t="s">
        <v>172</v>
      </c>
      <c r="D461" t="s">
        <v>160</v>
      </c>
      <c r="E461" t="s">
        <v>102</v>
      </c>
      <c r="F461">
        <v>1740</v>
      </c>
      <c r="G461">
        <v>7350.2731035726001</v>
      </c>
      <c r="H461">
        <v>2</v>
      </c>
      <c r="I461">
        <f>'Nacional · supuestos'!$B$25</f>
        <v>750</v>
      </c>
      <c r="J461">
        <f>F461</f>
        <v>1740</v>
      </c>
      <c r="K461">
        <f t="shared" si="7"/>
        <v>2.3199999999999998</v>
      </c>
    </row>
    <row r="462" spans="1:11">
      <c r="A462">
        <v>2027</v>
      </c>
      <c r="B462">
        <v>4</v>
      </c>
      <c r="C462" t="s">
        <v>208</v>
      </c>
      <c r="D462" t="s">
        <v>160</v>
      </c>
      <c r="E462" t="s">
        <v>99</v>
      </c>
      <c r="F462">
        <v>1875</v>
      </c>
      <c r="G462">
        <v>6938.3254998128214</v>
      </c>
      <c r="H462">
        <v>1</v>
      </c>
      <c r="I462">
        <f>'Nacional · supuestos'!$B$20</f>
        <v>600</v>
      </c>
      <c r="J462">
        <f>F462*'Nacional · supuestos'!$B$4</f>
        <v>2212.5</v>
      </c>
      <c r="K462">
        <f t="shared" si="7"/>
        <v>3.125</v>
      </c>
    </row>
    <row r="463" spans="1:11">
      <c r="A463">
        <v>2027</v>
      </c>
      <c r="B463">
        <v>4</v>
      </c>
      <c r="C463" t="s">
        <v>208</v>
      </c>
      <c r="D463" t="s">
        <v>160</v>
      </c>
      <c r="E463" t="s">
        <v>102</v>
      </c>
      <c r="F463">
        <v>1305</v>
      </c>
      <c r="G463">
        <v>6937.543716657914</v>
      </c>
      <c r="H463">
        <v>1</v>
      </c>
      <c r="I463">
        <f>'Nacional · supuestos'!$B$25</f>
        <v>750</v>
      </c>
      <c r="J463">
        <f>F463</f>
        <v>1305</v>
      </c>
      <c r="K463">
        <f t="shared" si="7"/>
        <v>1.74</v>
      </c>
    </row>
    <row r="464" spans="1:11">
      <c r="A464">
        <v>2027</v>
      </c>
      <c r="B464">
        <v>4</v>
      </c>
      <c r="C464" t="s">
        <v>203</v>
      </c>
      <c r="D464" t="s">
        <v>160</v>
      </c>
      <c r="E464" t="s">
        <v>104</v>
      </c>
      <c r="F464">
        <v>1480</v>
      </c>
      <c r="G464">
        <v>5552.3282039140613</v>
      </c>
      <c r="H464">
        <v>2</v>
      </c>
      <c r="I464">
        <f>'Nacional · supuestos'!$B$21</f>
        <v>640</v>
      </c>
      <c r="J464">
        <f>F464*'Nacional · supuestos'!$B$4</f>
        <v>1746.3999999999999</v>
      </c>
      <c r="K464">
        <f t="shared" si="7"/>
        <v>2.3125</v>
      </c>
    </row>
    <row r="465" spans="1:11">
      <c r="A465">
        <v>2027</v>
      </c>
      <c r="B465">
        <v>4</v>
      </c>
      <c r="C465" t="s">
        <v>203</v>
      </c>
      <c r="D465" t="s">
        <v>160</v>
      </c>
      <c r="E465" t="s">
        <v>100</v>
      </c>
      <c r="F465">
        <v>51</v>
      </c>
      <c r="G465">
        <v>582.11573714485939</v>
      </c>
      <c r="H465">
        <v>1</v>
      </c>
      <c r="I465">
        <f>'Nacional · supuestos'!$B$24</f>
        <v>1056</v>
      </c>
      <c r="J465">
        <f>F465</f>
        <v>51</v>
      </c>
      <c r="K465">
        <f t="shared" si="7"/>
        <v>4.8295454545454544E-2</v>
      </c>
    </row>
    <row r="466" spans="1:11">
      <c r="A466">
        <v>2027</v>
      </c>
      <c r="B466">
        <v>4</v>
      </c>
      <c r="C466" t="s">
        <v>173</v>
      </c>
      <c r="D466" t="s">
        <v>160</v>
      </c>
      <c r="E466" t="s">
        <v>98</v>
      </c>
      <c r="F466">
        <v>1000</v>
      </c>
      <c r="G466">
        <v>2105.6026305535252</v>
      </c>
      <c r="H466">
        <v>1</v>
      </c>
      <c r="I466">
        <f>'Nacional · supuestos'!$B$23</f>
        <v>1000</v>
      </c>
      <c r="J466">
        <f>F466*'Nacional · supuestos'!$B$4</f>
        <v>1180</v>
      </c>
      <c r="K466">
        <f t="shared" si="7"/>
        <v>1</v>
      </c>
    </row>
    <row r="467" spans="1:11">
      <c r="A467">
        <v>2027</v>
      </c>
      <c r="B467">
        <v>4</v>
      </c>
      <c r="C467" t="s">
        <v>173</v>
      </c>
      <c r="D467" t="s">
        <v>160</v>
      </c>
      <c r="E467" t="s">
        <v>104</v>
      </c>
      <c r="F467">
        <v>10520</v>
      </c>
      <c r="G467">
        <v>28450.076783931439</v>
      </c>
      <c r="H467">
        <v>8</v>
      </c>
      <c r="I467">
        <f>'Nacional · supuestos'!$B$21</f>
        <v>640</v>
      </c>
      <c r="J467">
        <f>F467*'Nacional · supuestos'!$B$4</f>
        <v>12413.599999999999</v>
      </c>
      <c r="K467">
        <f t="shared" si="7"/>
        <v>16.4375</v>
      </c>
    </row>
    <row r="468" spans="1:11">
      <c r="A468">
        <v>2027</v>
      </c>
      <c r="B468">
        <v>4</v>
      </c>
      <c r="C468" t="s">
        <v>173</v>
      </c>
      <c r="D468" t="s">
        <v>160</v>
      </c>
      <c r="E468" t="s">
        <v>105</v>
      </c>
      <c r="F468">
        <v>600</v>
      </c>
      <c r="G468">
        <v>1284.2091291296747</v>
      </c>
      <c r="H468">
        <v>2</v>
      </c>
      <c r="I468">
        <f>'Nacional · supuestos'!$B$22</f>
        <v>800</v>
      </c>
      <c r="J468">
        <f>F468*'Nacional · supuestos'!$B$4</f>
        <v>708</v>
      </c>
      <c r="K468">
        <f t="shared" si="7"/>
        <v>0.75</v>
      </c>
    </row>
    <row r="469" spans="1:11">
      <c r="A469">
        <v>2027</v>
      </c>
      <c r="B469">
        <v>4</v>
      </c>
      <c r="C469" t="s">
        <v>173</v>
      </c>
      <c r="D469" t="s">
        <v>160</v>
      </c>
      <c r="E469" t="s">
        <v>99</v>
      </c>
      <c r="F469">
        <v>1530</v>
      </c>
      <c r="G469">
        <v>6371.5327125041686</v>
      </c>
      <c r="H469">
        <v>5</v>
      </c>
      <c r="I469">
        <f>'Nacional · supuestos'!$B$20</f>
        <v>600</v>
      </c>
      <c r="J469">
        <f>F469*'Nacional · supuestos'!$B$4</f>
        <v>1805.3999999999999</v>
      </c>
      <c r="K469">
        <f t="shared" si="7"/>
        <v>2.5499999999999998</v>
      </c>
    </row>
    <row r="470" spans="1:11">
      <c r="A470">
        <v>2027</v>
      </c>
      <c r="B470">
        <v>4</v>
      </c>
      <c r="C470" t="s">
        <v>173</v>
      </c>
      <c r="D470" t="s">
        <v>160</v>
      </c>
      <c r="E470" t="s">
        <v>101</v>
      </c>
      <c r="F470">
        <v>18600</v>
      </c>
      <c r="G470">
        <v>29169.893075945474</v>
      </c>
      <c r="H470">
        <v>2</v>
      </c>
      <c r="I470">
        <f>'Nacional · supuestos'!$B$26</f>
        <v>800</v>
      </c>
      <c r="J470">
        <f>F470</f>
        <v>18600</v>
      </c>
      <c r="K470">
        <f t="shared" si="7"/>
        <v>23.25</v>
      </c>
    </row>
    <row r="471" spans="1:11">
      <c r="A471">
        <v>2027</v>
      </c>
      <c r="B471">
        <v>4</v>
      </c>
      <c r="C471" t="s">
        <v>173</v>
      </c>
      <c r="D471" t="s">
        <v>160</v>
      </c>
      <c r="E471" t="s">
        <v>102</v>
      </c>
      <c r="F471">
        <v>465</v>
      </c>
      <c r="G471">
        <v>2139.4799005995592</v>
      </c>
      <c r="H471">
        <v>2</v>
      </c>
      <c r="I471">
        <f>'Nacional · supuestos'!$B$25</f>
        <v>750</v>
      </c>
      <c r="J471">
        <f>F471</f>
        <v>465</v>
      </c>
      <c r="K471">
        <f t="shared" si="7"/>
        <v>0.62</v>
      </c>
    </row>
    <row r="472" spans="1:11">
      <c r="A472">
        <v>2027</v>
      </c>
      <c r="B472">
        <v>4</v>
      </c>
      <c r="C472" t="s">
        <v>173</v>
      </c>
      <c r="D472" t="s">
        <v>160</v>
      </c>
      <c r="E472" t="s">
        <v>197</v>
      </c>
      <c r="F472">
        <v>65</v>
      </c>
      <c r="G472">
        <v>133.4764439813757</v>
      </c>
      <c r="H472">
        <v>1</v>
      </c>
      <c r="I472">
        <f>'Nacional · supuestos'!$B$30</f>
        <v>1100</v>
      </c>
      <c r="J472">
        <f>F472</f>
        <v>65</v>
      </c>
      <c r="K472">
        <f t="shared" si="7"/>
        <v>5.909090909090909E-2</v>
      </c>
    </row>
    <row r="473" spans="1:11">
      <c r="A473">
        <v>2027</v>
      </c>
      <c r="B473">
        <v>4</v>
      </c>
      <c r="C473" t="s">
        <v>173</v>
      </c>
      <c r="D473" t="s">
        <v>160</v>
      </c>
      <c r="E473" t="s">
        <v>177</v>
      </c>
      <c r="F473">
        <v>750</v>
      </c>
      <c r="G473">
        <v>1852.8260771331136</v>
      </c>
      <c r="H473">
        <v>1</v>
      </c>
      <c r="I473">
        <f>'Nacional · supuestos'!$B$28</f>
        <v>1100</v>
      </c>
      <c r="J473">
        <f>F473</f>
        <v>750</v>
      </c>
      <c r="K473">
        <f t="shared" si="7"/>
        <v>0.68181818181818177</v>
      </c>
    </row>
    <row r="474" spans="1:11">
      <c r="A474">
        <v>2027</v>
      </c>
      <c r="B474">
        <v>4</v>
      </c>
      <c r="C474" t="s">
        <v>174</v>
      </c>
      <c r="D474" t="s">
        <v>160</v>
      </c>
      <c r="E474" t="s">
        <v>98</v>
      </c>
      <c r="F474">
        <v>1000</v>
      </c>
      <c r="G474">
        <v>1782.4655931913501</v>
      </c>
      <c r="H474">
        <v>1</v>
      </c>
      <c r="I474">
        <f>'Nacional · supuestos'!$B$23</f>
        <v>1000</v>
      </c>
      <c r="J474">
        <f>F474*'Nacional · supuestos'!$B$4</f>
        <v>1180</v>
      </c>
      <c r="K474">
        <f t="shared" si="7"/>
        <v>1</v>
      </c>
    </row>
    <row r="475" spans="1:11">
      <c r="A475">
        <v>2027</v>
      </c>
      <c r="B475">
        <v>4</v>
      </c>
      <c r="C475" t="s">
        <v>174</v>
      </c>
      <c r="D475" t="s">
        <v>160</v>
      </c>
      <c r="E475" t="s">
        <v>104</v>
      </c>
      <c r="F475">
        <v>3220</v>
      </c>
      <c r="G475">
        <v>9999.1107890335352</v>
      </c>
      <c r="H475">
        <v>6</v>
      </c>
      <c r="I475">
        <f>'Nacional · supuestos'!$B$21</f>
        <v>640</v>
      </c>
      <c r="J475">
        <f>F475*'Nacional · supuestos'!$B$4</f>
        <v>3799.6</v>
      </c>
      <c r="K475">
        <f t="shared" si="7"/>
        <v>5.03125</v>
      </c>
    </row>
    <row r="476" spans="1:11">
      <c r="A476">
        <v>2027</v>
      </c>
      <c r="B476">
        <v>4</v>
      </c>
      <c r="C476" t="s">
        <v>174</v>
      </c>
      <c r="D476" t="s">
        <v>160</v>
      </c>
      <c r="E476" t="s">
        <v>101</v>
      </c>
      <c r="F476">
        <v>6000</v>
      </c>
      <c r="G476">
        <v>10069.367035221314</v>
      </c>
      <c r="H476">
        <v>2</v>
      </c>
      <c r="I476">
        <f>'Nacional · supuestos'!$B$26</f>
        <v>800</v>
      </c>
      <c r="J476">
        <f>F476</f>
        <v>6000</v>
      </c>
      <c r="K476">
        <f t="shared" si="7"/>
        <v>7.5</v>
      </c>
    </row>
    <row r="477" spans="1:11">
      <c r="A477">
        <v>2027</v>
      </c>
      <c r="B477">
        <v>4</v>
      </c>
      <c r="C477" t="s">
        <v>175</v>
      </c>
      <c r="D477" t="s">
        <v>160</v>
      </c>
      <c r="E477" t="s">
        <v>104</v>
      </c>
      <c r="F477">
        <v>5540</v>
      </c>
      <c r="G477">
        <v>17470.039092847011</v>
      </c>
      <c r="H477">
        <v>2</v>
      </c>
      <c r="I477">
        <f>'Nacional · supuestos'!$B$21</f>
        <v>640</v>
      </c>
      <c r="J477">
        <f>F477*'Nacional · supuestos'!$B$4</f>
        <v>6537.2</v>
      </c>
      <c r="K477">
        <f t="shared" si="7"/>
        <v>8.65625</v>
      </c>
    </row>
    <row r="478" spans="1:11">
      <c r="A478">
        <v>2027</v>
      </c>
      <c r="B478">
        <v>4</v>
      </c>
      <c r="C478" t="s">
        <v>175</v>
      </c>
      <c r="D478" t="s">
        <v>160</v>
      </c>
      <c r="E478" t="s">
        <v>99</v>
      </c>
      <c r="F478">
        <v>430</v>
      </c>
      <c r="G478">
        <v>2917.8232096264483</v>
      </c>
      <c r="H478">
        <v>2</v>
      </c>
      <c r="I478">
        <f>'Nacional · supuestos'!$B$20</f>
        <v>600</v>
      </c>
      <c r="J478">
        <f>F478*'Nacional · supuestos'!$B$4</f>
        <v>507.4</v>
      </c>
      <c r="K478">
        <f t="shared" si="7"/>
        <v>0.71666666666666667</v>
      </c>
    </row>
    <row r="479" spans="1:11">
      <c r="A479">
        <v>2027</v>
      </c>
      <c r="B479">
        <v>4</v>
      </c>
      <c r="C479" t="s">
        <v>182</v>
      </c>
      <c r="D479" t="s">
        <v>160</v>
      </c>
      <c r="E479" t="s">
        <v>98</v>
      </c>
      <c r="F479">
        <v>19000</v>
      </c>
      <c r="G479">
        <v>28285.834289477185</v>
      </c>
      <c r="H479">
        <v>2</v>
      </c>
      <c r="I479">
        <f>'Nacional · supuestos'!$B$23</f>
        <v>1000</v>
      </c>
      <c r="J479">
        <f>F479*'Nacional · supuestos'!$B$4</f>
        <v>22420</v>
      </c>
      <c r="K479">
        <f t="shared" si="7"/>
        <v>19</v>
      </c>
    </row>
    <row r="480" spans="1:11">
      <c r="A480">
        <v>2027</v>
      </c>
      <c r="B480">
        <v>4</v>
      </c>
      <c r="C480" t="s">
        <v>182</v>
      </c>
      <c r="D480" t="s">
        <v>160</v>
      </c>
      <c r="E480" t="s">
        <v>104</v>
      </c>
      <c r="F480">
        <v>21340</v>
      </c>
      <c r="G480">
        <v>73812.421402823747</v>
      </c>
      <c r="H480">
        <v>9</v>
      </c>
      <c r="I480">
        <f>'Nacional · supuestos'!$B$21</f>
        <v>640</v>
      </c>
      <c r="J480">
        <f>F480*'Nacional · supuestos'!$B$4</f>
        <v>25181.199999999997</v>
      </c>
      <c r="K480">
        <f t="shared" si="7"/>
        <v>33.34375</v>
      </c>
    </row>
    <row r="481" spans="1:11">
      <c r="A481">
        <v>2027</v>
      </c>
      <c r="B481">
        <v>4</v>
      </c>
      <c r="C481" t="s">
        <v>182</v>
      </c>
      <c r="D481" t="s">
        <v>160</v>
      </c>
      <c r="E481" t="s">
        <v>105</v>
      </c>
      <c r="F481">
        <v>1000</v>
      </c>
      <c r="G481">
        <v>2022.2124273632862</v>
      </c>
      <c r="H481">
        <v>2</v>
      </c>
      <c r="I481">
        <f>'Nacional · supuestos'!$B$22</f>
        <v>800</v>
      </c>
      <c r="J481">
        <f>F481*'Nacional · supuestos'!$B$4</f>
        <v>1180</v>
      </c>
      <c r="K481">
        <f t="shared" si="7"/>
        <v>1.25</v>
      </c>
    </row>
    <row r="482" spans="1:11">
      <c r="A482">
        <v>2027</v>
      </c>
      <c r="B482">
        <v>4</v>
      </c>
      <c r="C482" t="s">
        <v>182</v>
      </c>
      <c r="D482" t="s">
        <v>160</v>
      </c>
      <c r="E482" t="s">
        <v>99</v>
      </c>
      <c r="F482">
        <v>65</v>
      </c>
      <c r="G482">
        <v>872.67847638584738</v>
      </c>
      <c r="H482">
        <v>1</v>
      </c>
      <c r="I482">
        <f>'Nacional · supuestos'!$B$20</f>
        <v>600</v>
      </c>
      <c r="J482">
        <f>F482*'Nacional · supuestos'!$B$4</f>
        <v>76.7</v>
      </c>
      <c r="K482">
        <f t="shared" si="7"/>
        <v>0.10833333333333334</v>
      </c>
    </row>
    <row r="483" spans="1:11">
      <c r="A483">
        <v>2027</v>
      </c>
      <c r="B483">
        <v>4</v>
      </c>
      <c r="C483" t="s">
        <v>182</v>
      </c>
      <c r="D483" t="s">
        <v>160</v>
      </c>
      <c r="E483" t="s">
        <v>101</v>
      </c>
      <c r="F483">
        <v>6440</v>
      </c>
      <c r="G483">
        <v>10991.2457314894</v>
      </c>
      <c r="H483">
        <v>2</v>
      </c>
      <c r="I483">
        <f>'Nacional · supuestos'!$B$26</f>
        <v>800</v>
      </c>
      <c r="J483">
        <f>F483</f>
        <v>6440</v>
      </c>
      <c r="K483">
        <f t="shared" si="7"/>
        <v>8.0500000000000007</v>
      </c>
    </row>
    <row r="484" spans="1:11">
      <c r="A484">
        <v>2027</v>
      </c>
      <c r="B484">
        <v>4</v>
      </c>
      <c r="C484" t="s">
        <v>182</v>
      </c>
      <c r="D484" t="s">
        <v>160</v>
      </c>
      <c r="E484" t="s">
        <v>102</v>
      </c>
      <c r="F484">
        <v>920</v>
      </c>
      <c r="G484">
        <v>4321.801518088103</v>
      </c>
      <c r="H484">
        <v>3</v>
      </c>
      <c r="I484">
        <f>'Nacional · supuestos'!$B$25</f>
        <v>750</v>
      </c>
      <c r="J484">
        <f>F484</f>
        <v>920</v>
      </c>
      <c r="K484">
        <f t="shared" si="7"/>
        <v>1.2266666666666666</v>
      </c>
    </row>
    <row r="485" spans="1:11">
      <c r="A485">
        <v>2027</v>
      </c>
      <c r="B485">
        <v>4</v>
      </c>
      <c r="C485" t="s">
        <v>182</v>
      </c>
      <c r="D485" t="s">
        <v>160</v>
      </c>
      <c r="E485" t="s">
        <v>177</v>
      </c>
      <c r="F485">
        <v>125</v>
      </c>
      <c r="G485">
        <v>308.80434618885238</v>
      </c>
      <c r="H485">
        <v>1</v>
      </c>
      <c r="I485">
        <f>'Nacional · supuestos'!$B$28</f>
        <v>1100</v>
      </c>
      <c r="J485">
        <f>F485</f>
        <v>125</v>
      </c>
      <c r="K485">
        <f t="shared" si="7"/>
        <v>0.11363636363636363</v>
      </c>
    </row>
    <row r="486" spans="1:11">
      <c r="A486">
        <v>2027</v>
      </c>
      <c r="B486">
        <v>4</v>
      </c>
      <c r="C486" t="s">
        <v>183</v>
      </c>
      <c r="D486" t="s">
        <v>164</v>
      </c>
      <c r="E486" t="s">
        <v>98</v>
      </c>
      <c r="F486">
        <v>2000</v>
      </c>
      <c r="G486">
        <v>5462.058308960628</v>
      </c>
      <c r="H486">
        <v>1</v>
      </c>
      <c r="I486">
        <f>'Nacional · supuestos'!$B$23</f>
        <v>1000</v>
      </c>
      <c r="J486">
        <f>F486*'Nacional · supuestos'!$B$4</f>
        <v>2360</v>
      </c>
      <c r="K486">
        <f t="shared" si="7"/>
        <v>2</v>
      </c>
    </row>
    <row r="487" spans="1:11">
      <c r="A487">
        <v>2027</v>
      </c>
      <c r="B487">
        <v>4</v>
      </c>
      <c r="C487" t="s">
        <v>183</v>
      </c>
      <c r="D487" t="s">
        <v>164</v>
      </c>
      <c r="E487" t="s">
        <v>104</v>
      </c>
      <c r="F487">
        <v>420</v>
      </c>
      <c r="G487">
        <v>1488.9320779617105</v>
      </c>
      <c r="H487">
        <v>3</v>
      </c>
      <c r="I487">
        <f>'Nacional · supuestos'!$B$21</f>
        <v>640</v>
      </c>
      <c r="J487">
        <f>F487*'Nacional · supuestos'!$B$4</f>
        <v>495.59999999999997</v>
      </c>
      <c r="K487">
        <f t="shared" si="7"/>
        <v>0.65625</v>
      </c>
    </row>
    <row r="488" spans="1:11">
      <c r="A488">
        <v>2027</v>
      </c>
      <c r="B488">
        <v>4</v>
      </c>
      <c r="C488" t="s">
        <v>183</v>
      </c>
      <c r="D488" t="s">
        <v>164</v>
      </c>
      <c r="E488" t="s">
        <v>99</v>
      </c>
      <c r="F488">
        <v>130</v>
      </c>
      <c r="G488">
        <v>615.10698628199771</v>
      </c>
      <c r="H488">
        <v>2</v>
      </c>
      <c r="I488">
        <f>'Nacional · supuestos'!$B$20</f>
        <v>600</v>
      </c>
      <c r="J488">
        <f>F488*'Nacional · supuestos'!$B$4</f>
        <v>153.4</v>
      </c>
      <c r="K488">
        <f t="shared" si="7"/>
        <v>0.21666666666666667</v>
      </c>
    </row>
    <row r="489" spans="1:11">
      <c r="A489">
        <v>2027</v>
      </c>
      <c r="B489">
        <v>4</v>
      </c>
      <c r="C489" t="s">
        <v>176</v>
      </c>
      <c r="D489" t="s">
        <v>160</v>
      </c>
      <c r="E489" t="s">
        <v>104</v>
      </c>
      <c r="F489">
        <v>5460</v>
      </c>
      <c r="G489">
        <v>14440.056059929691</v>
      </c>
      <c r="H489">
        <v>5</v>
      </c>
      <c r="I489">
        <f>'Nacional · supuestos'!$B$21</f>
        <v>640</v>
      </c>
      <c r="J489">
        <f>F489*'Nacional · supuestos'!$B$4</f>
        <v>6442.7999999999993</v>
      </c>
      <c r="K489">
        <f t="shared" si="7"/>
        <v>8.53125</v>
      </c>
    </row>
    <row r="490" spans="1:11">
      <c r="A490">
        <v>2027</v>
      </c>
      <c r="B490">
        <v>4</v>
      </c>
      <c r="C490" t="s">
        <v>176</v>
      </c>
      <c r="D490" t="s">
        <v>160</v>
      </c>
      <c r="E490" t="s">
        <v>99</v>
      </c>
      <c r="F490">
        <v>215</v>
      </c>
      <c r="G490">
        <v>721.63797085752731</v>
      </c>
      <c r="H490">
        <v>1</v>
      </c>
      <c r="I490">
        <f>'Nacional · supuestos'!$B$20</f>
        <v>600</v>
      </c>
      <c r="J490">
        <f>F490*'Nacional · supuestos'!$B$4</f>
        <v>253.7</v>
      </c>
      <c r="K490">
        <f t="shared" si="7"/>
        <v>0.35833333333333334</v>
      </c>
    </row>
    <row r="491" spans="1:11">
      <c r="A491">
        <v>2027</v>
      </c>
      <c r="B491">
        <v>4</v>
      </c>
      <c r="C491" t="s">
        <v>178</v>
      </c>
      <c r="D491" t="s">
        <v>160</v>
      </c>
      <c r="E491" t="s">
        <v>103</v>
      </c>
      <c r="F491">
        <v>100</v>
      </c>
      <c r="G491">
        <v>1392.616393276985</v>
      </c>
      <c r="H491">
        <v>1</v>
      </c>
      <c r="I491">
        <f>'Nacional · supuestos'!$B$19</f>
        <v>528</v>
      </c>
      <c r="J491">
        <f>F491*'Nacional · supuestos'!$B$4</f>
        <v>118</v>
      </c>
      <c r="K491">
        <f t="shared" si="7"/>
        <v>0.18939393939393939</v>
      </c>
    </row>
    <row r="492" spans="1:11">
      <c r="A492">
        <v>2027</v>
      </c>
      <c r="B492">
        <v>4</v>
      </c>
      <c r="C492" t="s">
        <v>178</v>
      </c>
      <c r="D492" t="s">
        <v>160</v>
      </c>
      <c r="E492" t="s">
        <v>104</v>
      </c>
      <c r="F492">
        <v>1740</v>
      </c>
      <c r="G492">
        <v>7521.7963277595209</v>
      </c>
      <c r="H492">
        <v>3</v>
      </c>
      <c r="I492">
        <f>'Nacional · supuestos'!$B$21</f>
        <v>640</v>
      </c>
      <c r="J492">
        <f>F492*'Nacional · supuestos'!$B$4</f>
        <v>2053.1999999999998</v>
      </c>
      <c r="K492">
        <f t="shared" si="7"/>
        <v>2.71875</v>
      </c>
    </row>
    <row r="493" spans="1:11">
      <c r="A493">
        <v>2027</v>
      </c>
      <c r="B493">
        <v>4</v>
      </c>
      <c r="C493" t="s">
        <v>178</v>
      </c>
      <c r="D493" t="s">
        <v>160</v>
      </c>
      <c r="E493" t="s">
        <v>99</v>
      </c>
      <c r="F493">
        <v>110</v>
      </c>
      <c r="G493">
        <v>490.75134577455412</v>
      </c>
      <c r="H493">
        <v>1</v>
      </c>
      <c r="I493">
        <f>'Nacional · supuestos'!$B$20</f>
        <v>600</v>
      </c>
      <c r="J493">
        <f>F493*'Nacional · supuestos'!$B$4</f>
        <v>129.79999999999998</v>
      </c>
      <c r="K493">
        <f t="shared" si="7"/>
        <v>0.18333333333333332</v>
      </c>
    </row>
    <row r="494" spans="1:11">
      <c r="A494">
        <v>2027</v>
      </c>
      <c r="B494">
        <v>4</v>
      </c>
      <c r="C494" t="s">
        <v>192</v>
      </c>
      <c r="D494" t="s">
        <v>160</v>
      </c>
      <c r="E494" t="s">
        <v>99</v>
      </c>
      <c r="F494">
        <v>1340</v>
      </c>
      <c r="G494">
        <v>11336.376934942999</v>
      </c>
      <c r="H494">
        <v>2</v>
      </c>
      <c r="I494">
        <f>'Nacional · supuestos'!$B$20</f>
        <v>600</v>
      </c>
      <c r="J494">
        <f>F494*'Nacional · supuestos'!$B$4</f>
        <v>1581.1999999999998</v>
      </c>
      <c r="K494">
        <f t="shared" si="7"/>
        <v>2.2333333333333334</v>
      </c>
    </row>
    <row r="495" spans="1:11">
      <c r="A495">
        <v>2027</v>
      </c>
      <c r="B495">
        <v>4</v>
      </c>
      <c r="C495" t="s">
        <v>189</v>
      </c>
      <c r="D495" t="s">
        <v>160</v>
      </c>
      <c r="E495" t="s">
        <v>104</v>
      </c>
      <c r="F495">
        <v>680</v>
      </c>
      <c r="G495">
        <v>2445.4177085537467</v>
      </c>
      <c r="H495">
        <v>1</v>
      </c>
      <c r="I495">
        <f>'Nacional · supuestos'!$B$21</f>
        <v>640</v>
      </c>
      <c r="J495">
        <f>F495*'Nacional · supuestos'!$B$4</f>
        <v>802.4</v>
      </c>
      <c r="K495">
        <f t="shared" si="7"/>
        <v>1.0625</v>
      </c>
    </row>
    <row r="496" spans="1:11">
      <c r="A496">
        <v>2027</v>
      </c>
      <c r="B496">
        <v>4</v>
      </c>
      <c r="C496" t="s">
        <v>179</v>
      </c>
      <c r="D496" t="s">
        <v>160</v>
      </c>
      <c r="E496" t="s">
        <v>104</v>
      </c>
      <c r="F496">
        <v>1600</v>
      </c>
      <c r="G496">
        <v>7288.3037588268535</v>
      </c>
      <c r="H496">
        <v>2</v>
      </c>
      <c r="I496">
        <f>'Nacional · supuestos'!$B$21</f>
        <v>640</v>
      </c>
      <c r="J496">
        <f>F496*'Nacional · supuestos'!$B$4</f>
        <v>1888</v>
      </c>
      <c r="K496">
        <f t="shared" si="7"/>
        <v>2.5</v>
      </c>
    </row>
    <row r="497" spans="1:11">
      <c r="A497">
        <v>2027</v>
      </c>
      <c r="B497">
        <v>4</v>
      </c>
      <c r="C497" t="s">
        <v>179</v>
      </c>
      <c r="D497" t="s">
        <v>160</v>
      </c>
      <c r="E497" t="s">
        <v>99</v>
      </c>
      <c r="F497">
        <v>100</v>
      </c>
      <c r="G497">
        <v>584.77379987154825</v>
      </c>
      <c r="H497">
        <v>1</v>
      </c>
      <c r="I497">
        <f>'Nacional · supuestos'!$B$20</f>
        <v>600</v>
      </c>
      <c r="J497">
        <f>F497*'Nacional · supuestos'!$B$4</f>
        <v>118</v>
      </c>
      <c r="K497">
        <f t="shared" si="7"/>
        <v>0.16666666666666666</v>
      </c>
    </row>
    <row r="498" spans="1:11">
      <c r="A498">
        <v>2027</v>
      </c>
      <c r="B498">
        <v>4</v>
      </c>
      <c r="C498" t="s">
        <v>180</v>
      </c>
      <c r="D498" t="s">
        <v>160</v>
      </c>
      <c r="E498" t="s">
        <v>99</v>
      </c>
      <c r="F498">
        <v>130</v>
      </c>
      <c r="G498">
        <v>544.06895693931313</v>
      </c>
      <c r="H498">
        <v>2</v>
      </c>
      <c r="I498">
        <f>'Nacional · supuestos'!$B$20</f>
        <v>600</v>
      </c>
      <c r="J498">
        <f>F498*'Nacional · supuestos'!$B$4</f>
        <v>153.4</v>
      </c>
      <c r="K498">
        <f t="shared" si="7"/>
        <v>0.21666666666666667</v>
      </c>
    </row>
    <row r="499" spans="1:11">
      <c r="A499">
        <v>2027</v>
      </c>
      <c r="B499">
        <v>4</v>
      </c>
      <c r="C499" t="s">
        <v>180</v>
      </c>
      <c r="D499" t="s">
        <v>160</v>
      </c>
      <c r="E499" t="s">
        <v>102</v>
      </c>
      <c r="F499">
        <v>80</v>
      </c>
      <c r="G499">
        <v>563.71777356601308</v>
      </c>
      <c r="H499">
        <v>1</v>
      </c>
      <c r="I499">
        <f>'Nacional · supuestos'!$B$25</f>
        <v>750</v>
      </c>
      <c r="J499">
        <f>F499</f>
        <v>80</v>
      </c>
      <c r="K499">
        <f t="shared" si="7"/>
        <v>0.10666666666666667</v>
      </c>
    </row>
    <row r="500" spans="1:11">
      <c r="A500">
        <v>2027</v>
      </c>
      <c r="B500">
        <v>4</v>
      </c>
      <c r="C500" t="s">
        <v>180</v>
      </c>
      <c r="D500" t="s">
        <v>160</v>
      </c>
      <c r="E500" t="s">
        <v>177</v>
      </c>
      <c r="F500">
        <v>50</v>
      </c>
      <c r="G500">
        <v>145.41166681297855</v>
      </c>
      <c r="H500">
        <v>1</v>
      </c>
      <c r="I500">
        <f>'Nacional · supuestos'!$B$28</f>
        <v>1100</v>
      </c>
      <c r="J500">
        <f>F500</f>
        <v>50</v>
      </c>
      <c r="K500">
        <f t="shared" si="7"/>
        <v>4.5454545454545456E-2</v>
      </c>
    </row>
    <row r="501" spans="1:11">
      <c r="A501">
        <v>2027</v>
      </c>
      <c r="B501">
        <v>4</v>
      </c>
      <c r="C501" t="s">
        <v>185</v>
      </c>
      <c r="D501" t="s">
        <v>160</v>
      </c>
      <c r="E501" t="s">
        <v>104</v>
      </c>
      <c r="F501">
        <v>2200</v>
      </c>
      <c r="G501">
        <v>7590.5932453914702</v>
      </c>
      <c r="H501">
        <v>1</v>
      </c>
      <c r="I501">
        <f>'Nacional · supuestos'!$B$21</f>
        <v>640</v>
      </c>
      <c r="J501">
        <f>F501*'Nacional · supuestos'!$B$4</f>
        <v>2596</v>
      </c>
      <c r="K501">
        <f t="shared" si="7"/>
        <v>3.4375</v>
      </c>
    </row>
    <row r="502" spans="1:11">
      <c r="A502">
        <v>2027</v>
      </c>
      <c r="B502">
        <v>4</v>
      </c>
      <c r="C502" t="s">
        <v>209</v>
      </c>
      <c r="D502" t="s">
        <v>160</v>
      </c>
      <c r="E502" t="s">
        <v>104</v>
      </c>
      <c r="F502">
        <v>1260</v>
      </c>
      <c r="G502">
        <v>2955.1403255540808</v>
      </c>
      <c r="H502">
        <v>1</v>
      </c>
      <c r="I502">
        <f>'Nacional · supuestos'!$B$21</f>
        <v>640</v>
      </c>
      <c r="J502">
        <f>F502*'Nacional · supuestos'!$B$4</f>
        <v>1486.8</v>
      </c>
      <c r="K502">
        <f t="shared" si="7"/>
        <v>1.96875</v>
      </c>
    </row>
    <row r="503" spans="1:11">
      <c r="A503">
        <v>2027</v>
      </c>
      <c r="B503">
        <v>4</v>
      </c>
      <c r="C503" t="s">
        <v>209</v>
      </c>
      <c r="D503" t="s">
        <v>160</v>
      </c>
      <c r="E503" t="s">
        <v>101</v>
      </c>
      <c r="F503">
        <v>3200</v>
      </c>
      <c r="G503">
        <v>6037.4507109732767</v>
      </c>
      <c r="H503">
        <v>1</v>
      </c>
      <c r="I503">
        <f>'Nacional · supuestos'!$B$26</f>
        <v>800</v>
      </c>
      <c r="J503">
        <f>F503</f>
        <v>3200</v>
      </c>
      <c r="K503">
        <f t="shared" si="7"/>
        <v>4</v>
      </c>
    </row>
    <row r="504" spans="1:11">
      <c r="A504">
        <v>2027</v>
      </c>
      <c r="B504">
        <v>4</v>
      </c>
      <c r="C504" t="s">
        <v>187</v>
      </c>
      <c r="D504" t="s">
        <v>160</v>
      </c>
      <c r="E504" t="s">
        <v>99</v>
      </c>
      <c r="F504">
        <v>320</v>
      </c>
      <c r="G504">
        <v>1694.4889288256488</v>
      </c>
      <c r="H504">
        <v>1</v>
      </c>
      <c r="I504">
        <f>'Nacional · supuestos'!$B$20</f>
        <v>600</v>
      </c>
      <c r="J504">
        <f>F504*'Nacional · supuestos'!$B$4</f>
        <v>377.59999999999997</v>
      </c>
      <c r="K504">
        <f t="shared" si="7"/>
        <v>0.53333333333333333</v>
      </c>
    </row>
    <row r="505" spans="1:11">
      <c r="A505">
        <v>2027</v>
      </c>
      <c r="B505">
        <v>4</v>
      </c>
      <c r="C505" t="s">
        <v>186</v>
      </c>
      <c r="D505" t="s">
        <v>160</v>
      </c>
      <c r="E505" t="s">
        <v>98</v>
      </c>
      <c r="F505">
        <v>2000</v>
      </c>
      <c r="G505">
        <v>3752.559143560738</v>
      </c>
      <c r="H505">
        <v>1</v>
      </c>
      <c r="I505">
        <f>'Nacional · supuestos'!$B$23</f>
        <v>1000</v>
      </c>
      <c r="J505">
        <f>F505*'Nacional · supuestos'!$B$4</f>
        <v>2360</v>
      </c>
      <c r="K505">
        <f t="shared" si="7"/>
        <v>2</v>
      </c>
    </row>
    <row r="506" spans="1:11">
      <c r="A506">
        <v>2027</v>
      </c>
      <c r="B506">
        <v>4</v>
      </c>
      <c r="C506" t="s">
        <v>186</v>
      </c>
      <c r="D506" t="s">
        <v>160</v>
      </c>
      <c r="E506" t="s">
        <v>104</v>
      </c>
      <c r="F506">
        <v>2180</v>
      </c>
      <c r="G506">
        <v>4968.3883060744165</v>
      </c>
      <c r="H506">
        <v>2</v>
      </c>
      <c r="I506">
        <f>'Nacional · supuestos'!$B$21</f>
        <v>640</v>
      </c>
      <c r="J506">
        <f>F506*'Nacional · supuestos'!$B$4</f>
        <v>2572.4</v>
      </c>
      <c r="K506">
        <f t="shared" si="7"/>
        <v>3.40625</v>
      </c>
    </row>
    <row r="507" spans="1:11">
      <c r="A507">
        <v>2027</v>
      </c>
      <c r="B507">
        <v>4</v>
      </c>
      <c r="C507" t="s">
        <v>186</v>
      </c>
      <c r="D507" t="s">
        <v>160</v>
      </c>
      <c r="E507" t="s">
        <v>99</v>
      </c>
      <c r="F507">
        <v>65</v>
      </c>
      <c r="G507">
        <v>311.67088442351684</v>
      </c>
      <c r="H507">
        <v>1</v>
      </c>
      <c r="I507">
        <f>'Nacional · supuestos'!$B$20</f>
        <v>600</v>
      </c>
      <c r="J507">
        <f>F507*'Nacional · supuestos'!$B$4</f>
        <v>76.7</v>
      </c>
      <c r="K507">
        <f t="shared" si="7"/>
        <v>0.10833333333333334</v>
      </c>
    </row>
    <row r="508" spans="1:11">
      <c r="A508">
        <v>2027</v>
      </c>
      <c r="B508">
        <v>4</v>
      </c>
      <c r="C508" t="s">
        <v>186</v>
      </c>
      <c r="D508" t="s">
        <v>160</v>
      </c>
      <c r="E508" t="s">
        <v>100</v>
      </c>
      <c r="F508">
        <v>52</v>
      </c>
      <c r="G508">
        <v>593.52977120652338</v>
      </c>
      <c r="H508">
        <v>1</v>
      </c>
      <c r="I508">
        <f>'Nacional · supuestos'!$B$24</f>
        <v>1056</v>
      </c>
      <c r="J508">
        <f>F508</f>
        <v>52</v>
      </c>
      <c r="K508">
        <f t="shared" si="7"/>
        <v>4.924242424242424E-2</v>
      </c>
    </row>
    <row r="509" spans="1:11">
      <c r="A509">
        <v>2027</v>
      </c>
      <c r="B509">
        <v>5</v>
      </c>
      <c r="C509" t="s">
        <v>159</v>
      </c>
      <c r="D509" t="s">
        <v>160</v>
      </c>
      <c r="E509" t="s">
        <v>104</v>
      </c>
      <c r="F509">
        <v>1480</v>
      </c>
      <c r="G509">
        <v>5013.835966813097</v>
      </c>
      <c r="H509">
        <v>1</v>
      </c>
      <c r="I509">
        <f>'Nacional · supuestos'!$B$21</f>
        <v>640</v>
      </c>
      <c r="J509">
        <f>F509*'Nacional · supuestos'!$B$4</f>
        <v>1746.3999999999999</v>
      </c>
      <c r="K509">
        <f t="shared" si="7"/>
        <v>2.3125</v>
      </c>
    </row>
    <row r="510" spans="1:11">
      <c r="A510">
        <v>2027</v>
      </c>
      <c r="B510">
        <v>5</v>
      </c>
      <c r="C510" t="s">
        <v>194</v>
      </c>
      <c r="D510" t="s">
        <v>160</v>
      </c>
      <c r="E510" t="s">
        <v>101</v>
      </c>
      <c r="F510">
        <v>1200</v>
      </c>
      <c r="G510">
        <v>2101.4331203940133</v>
      </c>
      <c r="H510">
        <v>1</v>
      </c>
      <c r="I510">
        <f>'Nacional · supuestos'!$B$26</f>
        <v>800</v>
      </c>
      <c r="J510">
        <f>F510</f>
        <v>1200</v>
      </c>
      <c r="K510">
        <f t="shared" si="7"/>
        <v>1.5</v>
      </c>
    </row>
    <row r="511" spans="1:11">
      <c r="A511">
        <v>2027</v>
      </c>
      <c r="B511">
        <v>5</v>
      </c>
      <c r="C511" t="s">
        <v>195</v>
      </c>
      <c r="D511" t="s">
        <v>160</v>
      </c>
      <c r="E511" t="s">
        <v>103</v>
      </c>
      <c r="F511">
        <v>14</v>
      </c>
      <c r="G511">
        <v>89.894639039077234</v>
      </c>
      <c r="H511">
        <v>1</v>
      </c>
      <c r="I511">
        <f>'Nacional · supuestos'!$B$19</f>
        <v>528</v>
      </c>
      <c r="J511">
        <f>F511*'Nacional · supuestos'!$B$4</f>
        <v>16.52</v>
      </c>
      <c r="K511">
        <f t="shared" si="7"/>
        <v>2.6515151515151516E-2</v>
      </c>
    </row>
    <row r="512" spans="1:11">
      <c r="A512">
        <v>2027</v>
      </c>
      <c r="B512">
        <v>5</v>
      </c>
      <c r="C512" t="s">
        <v>195</v>
      </c>
      <c r="D512" t="s">
        <v>160</v>
      </c>
      <c r="E512" t="s">
        <v>104</v>
      </c>
      <c r="F512">
        <v>1080</v>
      </c>
      <c r="G512">
        <v>4561.8610655220036</v>
      </c>
      <c r="H512">
        <v>4</v>
      </c>
      <c r="I512">
        <f>'Nacional · supuestos'!$B$21</f>
        <v>640</v>
      </c>
      <c r="J512">
        <f>F512*'Nacional · supuestos'!$B$4</f>
        <v>1274.3999999999999</v>
      </c>
      <c r="K512">
        <f t="shared" si="7"/>
        <v>1.6875</v>
      </c>
    </row>
    <row r="513" spans="1:11">
      <c r="A513">
        <v>2027</v>
      </c>
      <c r="B513">
        <v>5</v>
      </c>
      <c r="C513" t="s">
        <v>195</v>
      </c>
      <c r="D513" t="s">
        <v>160</v>
      </c>
      <c r="E513" t="s">
        <v>99</v>
      </c>
      <c r="F513">
        <v>180</v>
      </c>
      <c r="G513">
        <v>739.77534005140433</v>
      </c>
      <c r="H513">
        <v>5</v>
      </c>
      <c r="I513">
        <f>'Nacional · supuestos'!$B$20</f>
        <v>600</v>
      </c>
      <c r="J513">
        <f>F513*'Nacional · supuestos'!$B$4</f>
        <v>212.39999999999998</v>
      </c>
      <c r="K513">
        <f t="shared" si="7"/>
        <v>0.3</v>
      </c>
    </row>
    <row r="514" spans="1:11">
      <c r="A514">
        <v>2027</v>
      </c>
      <c r="B514">
        <v>5</v>
      </c>
      <c r="C514" t="s">
        <v>195</v>
      </c>
      <c r="D514" t="s">
        <v>160</v>
      </c>
      <c r="E514" t="s">
        <v>102</v>
      </c>
      <c r="F514">
        <v>25</v>
      </c>
      <c r="G514">
        <v>51.076499454021153</v>
      </c>
      <c r="H514">
        <v>1</v>
      </c>
      <c r="I514">
        <f>'Nacional · supuestos'!$B$25</f>
        <v>750</v>
      </c>
      <c r="J514">
        <f>F514</f>
        <v>25</v>
      </c>
      <c r="K514">
        <f t="shared" si="7"/>
        <v>3.3333333333333333E-2</v>
      </c>
    </row>
    <row r="515" spans="1:11">
      <c r="A515">
        <v>2027</v>
      </c>
      <c r="B515">
        <v>5</v>
      </c>
      <c r="C515" t="s">
        <v>162</v>
      </c>
      <c r="D515" t="s">
        <v>160</v>
      </c>
      <c r="E515" t="s">
        <v>104</v>
      </c>
      <c r="F515">
        <v>1440</v>
      </c>
      <c r="G515">
        <v>3785.4982738208819</v>
      </c>
      <c r="H515">
        <v>2</v>
      </c>
      <c r="I515">
        <f>'Nacional · supuestos'!$B$21</f>
        <v>640</v>
      </c>
      <c r="J515">
        <f>F515*'Nacional · supuestos'!$B$4</f>
        <v>1699.1999999999998</v>
      </c>
      <c r="K515">
        <f t="shared" si="7"/>
        <v>2.25</v>
      </c>
    </row>
    <row r="516" spans="1:11">
      <c r="A516">
        <v>2027</v>
      </c>
      <c r="B516">
        <v>5</v>
      </c>
      <c r="C516" t="s">
        <v>162</v>
      </c>
      <c r="D516" t="s">
        <v>160</v>
      </c>
      <c r="E516" t="s">
        <v>101</v>
      </c>
      <c r="F516">
        <v>11900</v>
      </c>
      <c r="G516">
        <v>19219.598472963688</v>
      </c>
      <c r="H516">
        <v>3</v>
      </c>
      <c r="I516">
        <f>'Nacional · supuestos'!$B$26</f>
        <v>800</v>
      </c>
      <c r="J516">
        <f>F516</f>
        <v>11900</v>
      </c>
      <c r="K516">
        <f t="shared" si="7"/>
        <v>14.875</v>
      </c>
    </row>
    <row r="517" spans="1:11">
      <c r="A517">
        <v>2027</v>
      </c>
      <c r="B517">
        <v>5</v>
      </c>
      <c r="C517" t="s">
        <v>162</v>
      </c>
      <c r="D517" t="s">
        <v>160</v>
      </c>
      <c r="E517" t="s">
        <v>102</v>
      </c>
      <c r="F517">
        <v>345</v>
      </c>
      <c r="G517">
        <v>2233.2417603115837</v>
      </c>
      <c r="H517">
        <v>1</v>
      </c>
      <c r="I517">
        <f>'Nacional · supuestos'!$B$25</f>
        <v>750</v>
      </c>
      <c r="J517">
        <f>F517</f>
        <v>345</v>
      </c>
      <c r="K517">
        <f t="shared" si="7"/>
        <v>0.46</v>
      </c>
    </row>
    <row r="518" spans="1:11">
      <c r="A518">
        <v>2027</v>
      </c>
      <c r="B518">
        <v>5</v>
      </c>
      <c r="C518" t="s">
        <v>163</v>
      </c>
      <c r="D518" t="s">
        <v>164</v>
      </c>
      <c r="E518" t="s">
        <v>104</v>
      </c>
      <c r="F518">
        <v>3140</v>
      </c>
      <c r="G518">
        <v>8941.5145370733335</v>
      </c>
      <c r="H518">
        <v>7</v>
      </c>
      <c r="I518">
        <f>'Nacional · supuestos'!$B$21</f>
        <v>640</v>
      </c>
      <c r="J518">
        <f>F518*'Nacional · supuestos'!$B$4</f>
        <v>3705.2</v>
      </c>
      <c r="K518">
        <f t="shared" si="7"/>
        <v>4.90625</v>
      </c>
    </row>
    <row r="519" spans="1:11">
      <c r="A519">
        <v>2027</v>
      </c>
      <c r="B519">
        <v>5</v>
      </c>
      <c r="C519" t="s">
        <v>163</v>
      </c>
      <c r="D519" t="s">
        <v>164</v>
      </c>
      <c r="E519" t="s">
        <v>105</v>
      </c>
      <c r="F519">
        <v>200</v>
      </c>
      <c r="G519">
        <v>652.52833996361721</v>
      </c>
      <c r="H519">
        <v>1</v>
      </c>
      <c r="I519">
        <f>'Nacional · supuestos'!$B$22</f>
        <v>800</v>
      </c>
      <c r="J519">
        <f>F519*'Nacional · supuestos'!$B$4</f>
        <v>236</v>
      </c>
      <c r="K519">
        <f t="shared" ref="K519:K582" si="8">F519/I519</f>
        <v>0.25</v>
      </c>
    </row>
    <row r="520" spans="1:11">
      <c r="A520">
        <v>2027</v>
      </c>
      <c r="B520">
        <v>5</v>
      </c>
      <c r="C520" t="s">
        <v>163</v>
      </c>
      <c r="D520" t="s">
        <v>164</v>
      </c>
      <c r="E520" t="s">
        <v>99</v>
      </c>
      <c r="F520">
        <v>155</v>
      </c>
      <c r="G520">
        <v>706.41925877530878</v>
      </c>
      <c r="H520">
        <v>4</v>
      </c>
      <c r="I520">
        <f>'Nacional · supuestos'!$B$20</f>
        <v>600</v>
      </c>
      <c r="J520">
        <f>F520*'Nacional · supuestos'!$B$4</f>
        <v>182.89999999999998</v>
      </c>
      <c r="K520">
        <f t="shared" si="8"/>
        <v>0.25833333333333336</v>
      </c>
    </row>
    <row r="521" spans="1:11">
      <c r="A521">
        <v>2027</v>
      </c>
      <c r="B521">
        <v>5</v>
      </c>
      <c r="C521" t="s">
        <v>167</v>
      </c>
      <c r="D521" t="s">
        <v>160</v>
      </c>
      <c r="E521" t="s">
        <v>104</v>
      </c>
      <c r="F521">
        <v>80</v>
      </c>
      <c r="G521">
        <v>319.38447821861382</v>
      </c>
      <c r="H521">
        <v>1</v>
      </c>
      <c r="I521">
        <f>'Nacional · supuestos'!$B$21</f>
        <v>640</v>
      </c>
      <c r="J521">
        <f>F521*'Nacional · supuestos'!$B$4</f>
        <v>94.399999999999991</v>
      </c>
      <c r="K521">
        <f t="shared" si="8"/>
        <v>0.125</v>
      </c>
    </row>
    <row r="522" spans="1:11">
      <c r="A522">
        <v>2027</v>
      </c>
      <c r="B522">
        <v>5</v>
      </c>
      <c r="C522" t="s">
        <v>167</v>
      </c>
      <c r="D522" t="s">
        <v>160</v>
      </c>
      <c r="E522" t="s">
        <v>99</v>
      </c>
      <c r="F522">
        <v>130</v>
      </c>
      <c r="G522">
        <v>703.29212615567496</v>
      </c>
      <c r="H522">
        <v>1</v>
      </c>
      <c r="I522">
        <f>'Nacional · supuestos'!$B$20</f>
        <v>600</v>
      </c>
      <c r="J522">
        <f>F522*'Nacional · supuestos'!$B$4</f>
        <v>153.4</v>
      </c>
      <c r="K522">
        <f t="shared" si="8"/>
        <v>0.21666666666666667</v>
      </c>
    </row>
    <row r="523" spans="1:11">
      <c r="A523">
        <v>2027</v>
      </c>
      <c r="B523">
        <v>5</v>
      </c>
      <c r="C523" t="s">
        <v>191</v>
      </c>
      <c r="D523" t="s">
        <v>160</v>
      </c>
      <c r="E523" t="s">
        <v>104</v>
      </c>
      <c r="F523">
        <v>280</v>
      </c>
      <c r="G523">
        <v>607.08067922493706</v>
      </c>
      <c r="H523">
        <v>1</v>
      </c>
      <c r="I523">
        <f>'Nacional · supuestos'!$B$21</f>
        <v>640</v>
      </c>
      <c r="J523">
        <f>F523*'Nacional · supuestos'!$B$4</f>
        <v>330.4</v>
      </c>
      <c r="K523">
        <f t="shared" si="8"/>
        <v>0.4375</v>
      </c>
    </row>
    <row r="524" spans="1:11">
      <c r="A524">
        <v>2027</v>
      </c>
      <c r="B524">
        <v>5</v>
      </c>
      <c r="C524" t="s">
        <v>191</v>
      </c>
      <c r="D524" t="s">
        <v>160</v>
      </c>
      <c r="E524" t="s">
        <v>99</v>
      </c>
      <c r="F524">
        <v>1525</v>
      </c>
      <c r="G524">
        <v>5598.6097666846454</v>
      </c>
      <c r="H524">
        <v>3</v>
      </c>
      <c r="I524">
        <f>'Nacional · supuestos'!$B$20</f>
        <v>600</v>
      </c>
      <c r="J524">
        <f>F524*'Nacional · supuestos'!$B$4</f>
        <v>1799.5</v>
      </c>
      <c r="K524">
        <f t="shared" si="8"/>
        <v>2.5416666666666665</v>
      </c>
    </row>
    <row r="525" spans="1:11">
      <c r="A525">
        <v>2027</v>
      </c>
      <c r="B525">
        <v>5</v>
      </c>
      <c r="C525" t="s">
        <v>191</v>
      </c>
      <c r="D525" t="s">
        <v>160</v>
      </c>
      <c r="E525" t="s">
        <v>101</v>
      </c>
      <c r="F525">
        <v>1260</v>
      </c>
      <c r="G525">
        <v>2206.5047764137139</v>
      </c>
      <c r="H525">
        <v>1</v>
      </c>
      <c r="I525">
        <f>'Nacional · supuestos'!$B$26</f>
        <v>800</v>
      </c>
      <c r="J525">
        <f>F525</f>
        <v>1260</v>
      </c>
      <c r="K525">
        <f t="shared" si="8"/>
        <v>1.575</v>
      </c>
    </row>
    <row r="526" spans="1:11">
      <c r="A526">
        <v>2027</v>
      </c>
      <c r="B526">
        <v>5</v>
      </c>
      <c r="C526" t="s">
        <v>191</v>
      </c>
      <c r="D526" t="s">
        <v>160</v>
      </c>
      <c r="E526" t="s">
        <v>102</v>
      </c>
      <c r="F526">
        <v>1320</v>
      </c>
      <c r="G526">
        <v>6687.0603938252325</v>
      </c>
      <c r="H526">
        <v>1</v>
      </c>
      <c r="I526">
        <f>'Nacional · supuestos'!$B$25</f>
        <v>750</v>
      </c>
      <c r="J526">
        <f>F526</f>
        <v>1320</v>
      </c>
      <c r="K526">
        <f t="shared" si="8"/>
        <v>1.76</v>
      </c>
    </row>
    <row r="527" spans="1:11">
      <c r="A527">
        <v>2027</v>
      </c>
      <c r="B527">
        <v>5</v>
      </c>
      <c r="C527" t="s">
        <v>168</v>
      </c>
      <c r="D527" t="s">
        <v>160</v>
      </c>
      <c r="E527" t="s">
        <v>104</v>
      </c>
      <c r="F527">
        <v>7400</v>
      </c>
      <c r="G527">
        <v>24984.747253335365</v>
      </c>
      <c r="H527">
        <v>8</v>
      </c>
      <c r="I527">
        <f>'Nacional · supuestos'!$B$21</f>
        <v>640</v>
      </c>
      <c r="J527">
        <f>F527*'Nacional · supuestos'!$B$4</f>
        <v>8732</v>
      </c>
      <c r="K527">
        <f t="shared" si="8"/>
        <v>11.5625</v>
      </c>
    </row>
    <row r="528" spans="1:11">
      <c r="A528">
        <v>2027</v>
      </c>
      <c r="B528">
        <v>5</v>
      </c>
      <c r="C528" t="s">
        <v>168</v>
      </c>
      <c r="D528" t="s">
        <v>160</v>
      </c>
      <c r="E528" t="s">
        <v>99</v>
      </c>
      <c r="F528">
        <v>385</v>
      </c>
      <c r="G528">
        <v>2273.946603243819</v>
      </c>
      <c r="H528">
        <v>2</v>
      </c>
      <c r="I528">
        <f>'Nacional · supuestos'!$B$20</f>
        <v>600</v>
      </c>
      <c r="J528">
        <f>F528*'Nacional · supuestos'!$B$4</f>
        <v>454.29999999999995</v>
      </c>
      <c r="K528">
        <f t="shared" si="8"/>
        <v>0.64166666666666672</v>
      </c>
    </row>
    <row r="529" spans="1:11">
      <c r="A529">
        <v>2027</v>
      </c>
      <c r="B529">
        <v>5</v>
      </c>
      <c r="C529" t="s">
        <v>168</v>
      </c>
      <c r="D529" t="s">
        <v>160</v>
      </c>
      <c r="E529" t="s">
        <v>101</v>
      </c>
      <c r="F529">
        <v>2080</v>
      </c>
      <c r="G529">
        <v>3617.3792352312971</v>
      </c>
      <c r="H529">
        <v>1</v>
      </c>
      <c r="I529">
        <f>'Nacional · supuestos'!$B$26</f>
        <v>800</v>
      </c>
      <c r="J529">
        <f>F529</f>
        <v>2080</v>
      </c>
      <c r="K529">
        <f t="shared" si="8"/>
        <v>2.6</v>
      </c>
    </row>
    <row r="530" spans="1:11">
      <c r="A530">
        <v>2027</v>
      </c>
      <c r="B530">
        <v>5</v>
      </c>
      <c r="C530" t="s">
        <v>168</v>
      </c>
      <c r="D530" t="s">
        <v>160</v>
      </c>
      <c r="E530" t="s">
        <v>102</v>
      </c>
      <c r="F530">
        <v>1495</v>
      </c>
      <c r="G530">
        <v>7565.810719380871</v>
      </c>
      <c r="H530">
        <v>1</v>
      </c>
      <c r="I530">
        <f>'Nacional · supuestos'!$B$25</f>
        <v>750</v>
      </c>
      <c r="J530">
        <f>F530</f>
        <v>1495</v>
      </c>
      <c r="K530">
        <f t="shared" si="8"/>
        <v>1.9933333333333334</v>
      </c>
    </row>
    <row r="531" spans="1:11">
      <c r="A531">
        <v>2027</v>
      </c>
      <c r="B531">
        <v>5</v>
      </c>
      <c r="C531" t="s">
        <v>168</v>
      </c>
      <c r="D531" t="s">
        <v>160</v>
      </c>
      <c r="E531" t="s">
        <v>197</v>
      </c>
      <c r="F531">
        <v>220</v>
      </c>
      <c r="G531">
        <v>591.65349163474286</v>
      </c>
      <c r="H531">
        <v>1</v>
      </c>
      <c r="I531">
        <f>'Nacional · supuestos'!$B$30</f>
        <v>1100</v>
      </c>
      <c r="J531">
        <f>F531</f>
        <v>220</v>
      </c>
      <c r="K531">
        <f t="shared" si="8"/>
        <v>0.2</v>
      </c>
    </row>
    <row r="532" spans="1:11">
      <c r="A532">
        <v>2027</v>
      </c>
      <c r="B532">
        <v>5</v>
      </c>
      <c r="C532" t="s">
        <v>169</v>
      </c>
      <c r="D532" t="s">
        <v>160</v>
      </c>
      <c r="E532" t="s">
        <v>99</v>
      </c>
      <c r="F532">
        <v>45</v>
      </c>
      <c r="G532">
        <v>258.92658090569097</v>
      </c>
      <c r="H532">
        <v>1</v>
      </c>
      <c r="I532">
        <f>'Nacional · supuestos'!$B$20</f>
        <v>600</v>
      </c>
      <c r="J532">
        <f>F532*'Nacional · supuestos'!$B$4</f>
        <v>53.099999999999994</v>
      </c>
      <c r="K532">
        <f t="shared" si="8"/>
        <v>7.4999999999999997E-2</v>
      </c>
    </row>
    <row r="533" spans="1:11">
      <c r="A533">
        <v>2027</v>
      </c>
      <c r="B533">
        <v>5</v>
      </c>
      <c r="C533" t="s">
        <v>170</v>
      </c>
      <c r="D533" t="s">
        <v>160</v>
      </c>
      <c r="E533" t="s">
        <v>98</v>
      </c>
      <c r="F533">
        <v>1000</v>
      </c>
      <c r="G533">
        <v>2960.3522132534713</v>
      </c>
      <c r="H533">
        <v>1</v>
      </c>
      <c r="I533">
        <f>'Nacional · supuestos'!$B$23</f>
        <v>1000</v>
      </c>
      <c r="J533">
        <f>F533*'Nacional · supuestos'!$B$4</f>
        <v>1180</v>
      </c>
      <c r="K533">
        <f t="shared" si="8"/>
        <v>1</v>
      </c>
    </row>
    <row r="534" spans="1:11">
      <c r="A534">
        <v>2027</v>
      </c>
      <c r="B534">
        <v>5</v>
      </c>
      <c r="C534" t="s">
        <v>170</v>
      </c>
      <c r="D534" t="s">
        <v>160</v>
      </c>
      <c r="E534" t="s">
        <v>104</v>
      </c>
      <c r="F534">
        <v>5760</v>
      </c>
      <c r="G534">
        <v>19165.987350228494</v>
      </c>
      <c r="H534">
        <v>4</v>
      </c>
      <c r="I534">
        <f>'Nacional · supuestos'!$B$21</f>
        <v>640</v>
      </c>
      <c r="J534">
        <f>F534*'Nacional · supuestos'!$B$4</f>
        <v>6796.7999999999993</v>
      </c>
      <c r="K534">
        <f t="shared" si="8"/>
        <v>9</v>
      </c>
    </row>
    <row r="535" spans="1:11">
      <c r="A535">
        <v>2027</v>
      </c>
      <c r="B535">
        <v>5</v>
      </c>
      <c r="C535" t="s">
        <v>170</v>
      </c>
      <c r="D535" t="s">
        <v>160</v>
      </c>
      <c r="E535" t="s">
        <v>99</v>
      </c>
      <c r="F535">
        <v>2380</v>
      </c>
      <c r="G535">
        <v>8541.5021561451595</v>
      </c>
      <c r="H535">
        <v>4</v>
      </c>
      <c r="I535">
        <f>'Nacional · supuestos'!$B$20</f>
        <v>600</v>
      </c>
      <c r="J535">
        <f>F535*'Nacional · supuestos'!$B$4</f>
        <v>2808.3999999999996</v>
      </c>
      <c r="K535">
        <f t="shared" si="8"/>
        <v>3.9666666666666668</v>
      </c>
    </row>
    <row r="536" spans="1:11">
      <c r="A536">
        <v>2027</v>
      </c>
      <c r="B536">
        <v>5</v>
      </c>
      <c r="C536" t="s">
        <v>201</v>
      </c>
      <c r="D536" t="s">
        <v>160</v>
      </c>
      <c r="E536" t="s">
        <v>104</v>
      </c>
      <c r="F536">
        <v>100</v>
      </c>
      <c r="G536">
        <v>234.5349464725461</v>
      </c>
      <c r="H536">
        <v>1</v>
      </c>
      <c r="I536">
        <f>'Nacional · supuestos'!$B$21</f>
        <v>640</v>
      </c>
      <c r="J536">
        <f>F536*'Nacional · supuestos'!$B$4</f>
        <v>118</v>
      </c>
      <c r="K536">
        <f t="shared" si="8"/>
        <v>0.15625</v>
      </c>
    </row>
    <row r="537" spans="1:11">
      <c r="A537">
        <v>2027</v>
      </c>
      <c r="B537">
        <v>5</v>
      </c>
      <c r="C537" t="s">
        <v>201</v>
      </c>
      <c r="D537" t="s">
        <v>160</v>
      </c>
      <c r="E537" t="s">
        <v>99</v>
      </c>
      <c r="F537">
        <v>300</v>
      </c>
      <c r="G537">
        <v>1470.8468276448275</v>
      </c>
      <c r="H537">
        <v>7</v>
      </c>
      <c r="I537">
        <f>'Nacional · supuestos'!$B$20</f>
        <v>600</v>
      </c>
      <c r="J537">
        <f>F537*'Nacional · supuestos'!$B$4</f>
        <v>354</v>
      </c>
      <c r="K537">
        <f t="shared" si="8"/>
        <v>0.5</v>
      </c>
    </row>
    <row r="538" spans="1:11">
      <c r="A538">
        <v>2027</v>
      </c>
      <c r="B538">
        <v>5</v>
      </c>
      <c r="C538" t="s">
        <v>201</v>
      </c>
      <c r="D538" t="s">
        <v>160</v>
      </c>
      <c r="E538" t="s">
        <v>102</v>
      </c>
      <c r="F538">
        <v>90</v>
      </c>
      <c r="G538">
        <v>408.35140124719965</v>
      </c>
      <c r="H538">
        <v>2</v>
      </c>
      <c r="I538">
        <f>'Nacional · supuestos'!$B$25</f>
        <v>750</v>
      </c>
      <c r="J538">
        <f>F538</f>
        <v>90</v>
      </c>
      <c r="K538">
        <f t="shared" si="8"/>
        <v>0.12</v>
      </c>
    </row>
    <row r="539" spans="1:11">
      <c r="A539">
        <v>2027</v>
      </c>
      <c r="B539">
        <v>5</v>
      </c>
      <c r="C539" t="s">
        <v>210</v>
      </c>
      <c r="D539" t="s">
        <v>160</v>
      </c>
      <c r="E539" t="s">
        <v>104</v>
      </c>
      <c r="F539">
        <v>1800</v>
      </c>
      <c r="G539">
        <v>6278.6232486191084</v>
      </c>
      <c r="H539">
        <v>3</v>
      </c>
      <c r="I539">
        <f>'Nacional · supuestos'!$B$21</f>
        <v>640</v>
      </c>
      <c r="J539">
        <f>F539*'Nacional · supuestos'!$B$4</f>
        <v>2124</v>
      </c>
      <c r="K539">
        <f t="shared" si="8"/>
        <v>2.8125</v>
      </c>
    </row>
    <row r="540" spans="1:11">
      <c r="A540">
        <v>2027</v>
      </c>
      <c r="B540">
        <v>5</v>
      </c>
      <c r="C540" t="s">
        <v>210</v>
      </c>
      <c r="D540" t="s">
        <v>160</v>
      </c>
      <c r="E540" t="s">
        <v>99</v>
      </c>
      <c r="F540">
        <v>445</v>
      </c>
      <c r="G540">
        <v>2051.0862852179066</v>
      </c>
      <c r="H540">
        <v>2</v>
      </c>
      <c r="I540">
        <f>'Nacional · supuestos'!$B$20</f>
        <v>600</v>
      </c>
      <c r="J540">
        <f>F540*'Nacional · supuestos'!$B$4</f>
        <v>525.1</v>
      </c>
      <c r="K540">
        <f t="shared" si="8"/>
        <v>0.7416666666666667</v>
      </c>
    </row>
    <row r="541" spans="1:11">
      <c r="A541">
        <v>2027</v>
      </c>
      <c r="B541">
        <v>5</v>
      </c>
      <c r="C541" t="s">
        <v>211</v>
      </c>
      <c r="D541" t="s">
        <v>160</v>
      </c>
      <c r="E541" t="s">
        <v>101</v>
      </c>
      <c r="F541">
        <v>760</v>
      </c>
      <c r="G541">
        <v>3755.0608496564441</v>
      </c>
      <c r="H541">
        <v>1</v>
      </c>
      <c r="I541">
        <f>'Nacional · supuestos'!$B$26</f>
        <v>800</v>
      </c>
      <c r="J541">
        <f>F541</f>
        <v>760</v>
      </c>
      <c r="K541">
        <f t="shared" si="8"/>
        <v>0.95</v>
      </c>
    </row>
    <row r="542" spans="1:11">
      <c r="A542">
        <v>2027</v>
      </c>
      <c r="B542">
        <v>5</v>
      </c>
      <c r="C542" t="s">
        <v>202</v>
      </c>
      <c r="D542" t="s">
        <v>160</v>
      </c>
      <c r="E542" t="s">
        <v>104</v>
      </c>
      <c r="F542">
        <v>1380</v>
      </c>
      <c r="G542">
        <v>4377.5687164715764</v>
      </c>
      <c r="H542">
        <v>2</v>
      </c>
      <c r="I542">
        <f>'Nacional · supuestos'!$B$21</f>
        <v>640</v>
      </c>
      <c r="J542">
        <f>F542*'Nacional · supuestos'!$B$4</f>
        <v>1628.3999999999999</v>
      </c>
      <c r="K542">
        <f t="shared" si="8"/>
        <v>2.15625</v>
      </c>
    </row>
    <row r="543" spans="1:11">
      <c r="A543">
        <v>2027</v>
      </c>
      <c r="B543">
        <v>5</v>
      </c>
      <c r="C543" t="s">
        <v>171</v>
      </c>
      <c r="D543" t="s">
        <v>164</v>
      </c>
      <c r="E543" t="s">
        <v>104</v>
      </c>
      <c r="F543">
        <v>3000</v>
      </c>
      <c r="G543">
        <v>7550.9828988761055</v>
      </c>
      <c r="H543">
        <v>2</v>
      </c>
      <c r="I543">
        <f>'Nacional · supuestos'!$B$21</f>
        <v>640</v>
      </c>
      <c r="J543">
        <f>F543*'Nacional · supuestos'!$B$4</f>
        <v>3540</v>
      </c>
      <c r="K543">
        <f t="shared" si="8"/>
        <v>4.6875</v>
      </c>
    </row>
    <row r="544" spans="1:11">
      <c r="A544">
        <v>2027</v>
      </c>
      <c r="B544">
        <v>5</v>
      </c>
      <c r="C544" t="s">
        <v>171</v>
      </c>
      <c r="D544" t="s">
        <v>164</v>
      </c>
      <c r="E544" t="s">
        <v>99</v>
      </c>
      <c r="F544">
        <v>1405</v>
      </c>
      <c r="G544">
        <v>3862.6863306488463</v>
      </c>
      <c r="H544">
        <v>2</v>
      </c>
      <c r="I544">
        <f>'Nacional · supuestos'!$B$20</f>
        <v>600</v>
      </c>
      <c r="J544">
        <f>F544*'Nacional · supuestos'!$B$4</f>
        <v>1657.8999999999999</v>
      </c>
      <c r="K544">
        <f t="shared" si="8"/>
        <v>2.3416666666666668</v>
      </c>
    </row>
    <row r="545" spans="1:11">
      <c r="A545">
        <v>2027</v>
      </c>
      <c r="B545">
        <v>5</v>
      </c>
      <c r="C545" t="s">
        <v>171</v>
      </c>
      <c r="D545" t="s">
        <v>164</v>
      </c>
      <c r="E545" t="s">
        <v>101</v>
      </c>
      <c r="F545">
        <v>5440</v>
      </c>
      <c r="G545">
        <v>15096.336959036873</v>
      </c>
      <c r="H545">
        <v>4</v>
      </c>
      <c r="I545">
        <f>'Nacional · supuestos'!$B$26</f>
        <v>800</v>
      </c>
      <c r="J545">
        <f>F545</f>
        <v>5440</v>
      </c>
      <c r="K545">
        <f t="shared" si="8"/>
        <v>6.8</v>
      </c>
    </row>
    <row r="546" spans="1:11">
      <c r="A546">
        <v>2027</v>
      </c>
      <c r="B546">
        <v>5</v>
      </c>
      <c r="C546" t="s">
        <v>171</v>
      </c>
      <c r="D546" t="s">
        <v>164</v>
      </c>
      <c r="E546" t="s">
        <v>102</v>
      </c>
      <c r="F546">
        <v>15260</v>
      </c>
      <c r="G546">
        <v>31348.092564071769</v>
      </c>
      <c r="H546">
        <v>4</v>
      </c>
      <c r="I546">
        <f>'Nacional · supuestos'!$B$25</f>
        <v>750</v>
      </c>
      <c r="J546">
        <f>F546</f>
        <v>15260</v>
      </c>
      <c r="K546">
        <f t="shared" si="8"/>
        <v>20.346666666666668</v>
      </c>
    </row>
    <row r="547" spans="1:11">
      <c r="A547">
        <v>2027</v>
      </c>
      <c r="B547">
        <v>5</v>
      </c>
      <c r="C547" t="s">
        <v>172</v>
      </c>
      <c r="D547" t="s">
        <v>160</v>
      </c>
      <c r="E547" t="s">
        <v>103</v>
      </c>
      <c r="F547">
        <v>330</v>
      </c>
      <c r="G547">
        <v>4562.2825486142156</v>
      </c>
      <c r="H547">
        <v>1</v>
      </c>
      <c r="I547">
        <f>'Nacional · supuestos'!$B$19</f>
        <v>528</v>
      </c>
      <c r="J547">
        <f>F547*'Nacional · supuestos'!$B$4</f>
        <v>389.4</v>
      </c>
      <c r="K547">
        <f t="shared" si="8"/>
        <v>0.625</v>
      </c>
    </row>
    <row r="548" spans="1:11">
      <c r="A548">
        <v>2027</v>
      </c>
      <c r="B548">
        <v>5</v>
      </c>
      <c r="C548" t="s">
        <v>172</v>
      </c>
      <c r="D548" t="s">
        <v>160</v>
      </c>
      <c r="E548" t="s">
        <v>104</v>
      </c>
      <c r="F548">
        <v>4980</v>
      </c>
      <c r="G548">
        <v>14915.380218114053</v>
      </c>
      <c r="H548">
        <v>3</v>
      </c>
      <c r="I548">
        <f>'Nacional · supuestos'!$B$21</f>
        <v>640</v>
      </c>
      <c r="J548">
        <f>F548*'Nacional · supuestos'!$B$4</f>
        <v>5876.4</v>
      </c>
      <c r="K548">
        <f t="shared" si="8"/>
        <v>7.78125</v>
      </c>
    </row>
    <row r="549" spans="1:11">
      <c r="A549">
        <v>2027</v>
      </c>
      <c r="B549">
        <v>5</v>
      </c>
      <c r="C549" t="s">
        <v>172</v>
      </c>
      <c r="D549" t="s">
        <v>160</v>
      </c>
      <c r="E549" t="s">
        <v>99</v>
      </c>
      <c r="F549">
        <v>1760</v>
      </c>
      <c r="G549">
        <v>22462.349963461627</v>
      </c>
      <c r="H549">
        <v>4</v>
      </c>
      <c r="I549">
        <f>'Nacional · supuestos'!$B$20</f>
        <v>600</v>
      </c>
      <c r="J549">
        <f>F549*'Nacional · supuestos'!$B$4</f>
        <v>2076.7999999999997</v>
      </c>
      <c r="K549">
        <f t="shared" si="8"/>
        <v>2.9333333333333331</v>
      </c>
    </row>
    <row r="550" spans="1:11">
      <c r="A550">
        <v>2027</v>
      </c>
      <c r="B550">
        <v>5</v>
      </c>
      <c r="C550" t="s">
        <v>172</v>
      </c>
      <c r="D550" t="s">
        <v>160</v>
      </c>
      <c r="E550" t="s">
        <v>102</v>
      </c>
      <c r="F550">
        <v>970</v>
      </c>
      <c r="G550">
        <v>4024.2027304529402</v>
      </c>
      <c r="H550">
        <v>1</v>
      </c>
      <c r="I550">
        <f>'Nacional · supuestos'!$B$25</f>
        <v>750</v>
      </c>
      <c r="J550">
        <f>F550</f>
        <v>970</v>
      </c>
      <c r="K550">
        <f t="shared" si="8"/>
        <v>1.2933333333333332</v>
      </c>
    </row>
    <row r="551" spans="1:11">
      <c r="A551">
        <v>2027</v>
      </c>
      <c r="B551">
        <v>5</v>
      </c>
      <c r="C551" t="s">
        <v>203</v>
      </c>
      <c r="D551" t="s">
        <v>160</v>
      </c>
      <c r="E551" t="s">
        <v>104</v>
      </c>
      <c r="F551">
        <v>900</v>
      </c>
      <c r="G551">
        <v>3216.360137047503</v>
      </c>
      <c r="H551">
        <v>2</v>
      </c>
      <c r="I551">
        <f>'Nacional · supuestos'!$B$21</f>
        <v>640</v>
      </c>
      <c r="J551">
        <f>F551*'Nacional · supuestos'!$B$4</f>
        <v>1062</v>
      </c>
      <c r="K551">
        <f t="shared" si="8"/>
        <v>1.40625</v>
      </c>
    </row>
    <row r="552" spans="1:11">
      <c r="A552">
        <v>2027</v>
      </c>
      <c r="B552">
        <v>5</v>
      </c>
      <c r="C552" t="s">
        <v>203</v>
      </c>
      <c r="D552" t="s">
        <v>160</v>
      </c>
      <c r="E552" t="s">
        <v>101</v>
      </c>
      <c r="F552">
        <v>220</v>
      </c>
      <c r="G552">
        <v>385.26273873890239</v>
      </c>
      <c r="H552">
        <v>1</v>
      </c>
      <c r="I552">
        <f>'Nacional · supuestos'!$B$26</f>
        <v>800</v>
      </c>
      <c r="J552">
        <f>F552</f>
        <v>220</v>
      </c>
      <c r="K552">
        <f t="shared" si="8"/>
        <v>0.27500000000000002</v>
      </c>
    </row>
    <row r="553" spans="1:11">
      <c r="A553">
        <v>2027</v>
      </c>
      <c r="B553">
        <v>5</v>
      </c>
      <c r="C553" t="s">
        <v>173</v>
      </c>
      <c r="D553" t="s">
        <v>160</v>
      </c>
      <c r="E553" t="s">
        <v>103</v>
      </c>
      <c r="F553">
        <v>107</v>
      </c>
      <c r="G553">
        <v>590.01695889713449</v>
      </c>
      <c r="H553">
        <v>1</v>
      </c>
      <c r="I553">
        <f>'Nacional · supuestos'!$B$19</f>
        <v>528</v>
      </c>
      <c r="J553">
        <f>F553*'Nacional · supuestos'!$B$4</f>
        <v>126.25999999999999</v>
      </c>
      <c r="K553">
        <f t="shared" si="8"/>
        <v>0.20265151515151514</v>
      </c>
    </row>
    <row r="554" spans="1:11">
      <c r="A554">
        <v>2027</v>
      </c>
      <c r="B554">
        <v>5</v>
      </c>
      <c r="C554" t="s">
        <v>173</v>
      </c>
      <c r="D554" t="s">
        <v>160</v>
      </c>
      <c r="E554" t="s">
        <v>98</v>
      </c>
      <c r="F554">
        <v>8000</v>
      </c>
      <c r="G554">
        <v>21743.995481854719</v>
      </c>
      <c r="H554">
        <v>2</v>
      </c>
      <c r="I554">
        <f>'Nacional · supuestos'!$B$23</f>
        <v>1000</v>
      </c>
      <c r="J554">
        <f>F554*'Nacional · supuestos'!$B$4</f>
        <v>9440</v>
      </c>
      <c r="K554">
        <f t="shared" si="8"/>
        <v>8</v>
      </c>
    </row>
    <row r="555" spans="1:11">
      <c r="A555">
        <v>2027</v>
      </c>
      <c r="B555">
        <v>5</v>
      </c>
      <c r="C555" t="s">
        <v>173</v>
      </c>
      <c r="D555" t="s">
        <v>160</v>
      </c>
      <c r="E555" t="s">
        <v>104</v>
      </c>
      <c r="F555">
        <v>4780</v>
      </c>
      <c r="G555">
        <v>15697.788799546468</v>
      </c>
      <c r="H555">
        <v>10</v>
      </c>
      <c r="I555">
        <f>'Nacional · supuestos'!$B$21</f>
        <v>640</v>
      </c>
      <c r="J555">
        <f>F555*'Nacional · supuestos'!$B$4</f>
        <v>5640.4</v>
      </c>
      <c r="K555">
        <f t="shared" si="8"/>
        <v>7.46875</v>
      </c>
    </row>
    <row r="556" spans="1:11">
      <c r="A556">
        <v>2027</v>
      </c>
      <c r="B556">
        <v>5</v>
      </c>
      <c r="C556" t="s">
        <v>173</v>
      </c>
      <c r="D556" t="s">
        <v>160</v>
      </c>
      <c r="E556" t="s">
        <v>105</v>
      </c>
      <c r="F556">
        <v>1200</v>
      </c>
      <c r="G556">
        <v>3450.2696569961226</v>
      </c>
      <c r="H556">
        <v>4</v>
      </c>
      <c r="I556">
        <f>'Nacional · supuestos'!$B$22</f>
        <v>800</v>
      </c>
      <c r="J556">
        <f>F556*'Nacional · supuestos'!$B$4</f>
        <v>1416</v>
      </c>
      <c r="K556">
        <f t="shared" si="8"/>
        <v>1.5</v>
      </c>
    </row>
    <row r="557" spans="1:11">
      <c r="A557">
        <v>2027</v>
      </c>
      <c r="B557">
        <v>5</v>
      </c>
      <c r="C557" t="s">
        <v>173</v>
      </c>
      <c r="D557" t="s">
        <v>160</v>
      </c>
      <c r="E557" t="s">
        <v>99</v>
      </c>
      <c r="F557">
        <v>1455</v>
      </c>
      <c r="G557">
        <v>6251.4508199102256</v>
      </c>
      <c r="H557">
        <v>7</v>
      </c>
      <c r="I557">
        <f>'Nacional · supuestos'!$B$20</f>
        <v>600</v>
      </c>
      <c r="J557">
        <f>F557*'Nacional · supuestos'!$B$4</f>
        <v>1716.8999999999999</v>
      </c>
      <c r="K557">
        <f t="shared" si="8"/>
        <v>2.4249999999999998</v>
      </c>
    </row>
    <row r="558" spans="1:11">
      <c r="A558">
        <v>2027</v>
      </c>
      <c r="B558">
        <v>5</v>
      </c>
      <c r="C558" t="s">
        <v>173</v>
      </c>
      <c r="D558" t="s">
        <v>160</v>
      </c>
      <c r="E558" t="s">
        <v>100</v>
      </c>
      <c r="F558">
        <v>72</v>
      </c>
      <c r="G558">
        <v>583.14769090933873</v>
      </c>
      <c r="H558">
        <v>1</v>
      </c>
      <c r="I558">
        <f>'Nacional · supuestos'!$B$24</f>
        <v>1056</v>
      </c>
      <c r="J558">
        <f>F558</f>
        <v>72</v>
      </c>
      <c r="K558">
        <f t="shared" si="8"/>
        <v>6.8181818181818177E-2</v>
      </c>
    </row>
    <row r="559" spans="1:11">
      <c r="A559">
        <v>2027</v>
      </c>
      <c r="B559">
        <v>5</v>
      </c>
      <c r="C559" t="s">
        <v>173</v>
      </c>
      <c r="D559" t="s">
        <v>160</v>
      </c>
      <c r="E559" t="s">
        <v>101</v>
      </c>
      <c r="F559">
        <v>18860</v>
      </c>
      <c r="G559">
        <v>31653.461802458747</v>
      </c>
      <c r="H559">
        <v>4</v>
      </c>
      <c r="I559">
        <f>'Nacional · supuestos'!$B$26</f>
        <v>800</v>
      </c>
      <c r="J559">
        <f>F559</f>
        <v>18860</v>
      </c>
      <c r="K559">
        <f t="shared" si="8"/>
        <v>23.574999999999999</v>
      </c>
    </row>
    <row r="560" spans="1:11">
      <c r="A560">
        <v>2027</v>
      </c>
      <c r="B560">
        <v>5</v>
      </c>
      <c r="C560" t="s">
        <v>173</v>
      </c>
      <c r="D560" t="s">
        <v>160</v>
      </c>
      <c r="E560" t="s">
        <v>102</v>
      </c>
      <c r="F560">
        <v>355</v>
      </c>
      <c r="G560">
        <v>1685.4202442287101</v>
      </c>
      <c r="H560">
        <v>3</v>
      </c>
      <c r="I560">
        <f>'Nacional · supuestos'!$B$25</f>
        <v>750</v>
      </c>
      <c r="J560">
        <f>F560</f>
        <v>355</v>
      </c>
      <c r="K560">
        <f t="shared" si="8"/>
        <v>0.47333333333333333</v>
      </c>
    </row>
    <row r="561" spans="1:11">
      <c r="A561">
        <v>2027</v>
      </c>
      <c r="B561">
        <v>5</v>
      </c>
      <c r="C561" t="s">
        <v>173</v>
      </c>
      <c r="D561" t="s">
        <v>160</v>
      </c>
      <c r="E561" t="s">
        <v>177</v>
      </c>
      <c r="F561">
        <v>2740</v>
      </c>
      <c r="G561">
        <v>7197.4084373494961</v>
      </c>
      <c r="H561">
        <v>1</v>
      </c>
      <c r="I561">
        <f>'Nacional · supuestos'!$B$28</f>
        <v>1100</v>
      </c>
      <c r="J561">
        <f>F561</f>
        <v>2740</v>
      </c>
      <c r="K561">
        <f t="shared" si="8"/>
        <v>2.4909090909090907</v>
      </c>
    </row>
    <row r="562" spans="1:11">
      <c r="A562">
        <v>2027</v>
      </c>
      <c r="B562">
        <v>5</v>
      </c>
      <c r="C562" t="s">
        <v>174</v>
      </c>
      <c r="D562" t="s">
        <v>160</v>
      </c>
      <c r="E562" t="s">
        <v>104</v>
      </c>
      <c r="F562">
        <v>5200</v>
      </c>
      <c r="G562">
        <v>20050.757406076918</v>
      </c>
      <c r="H562">
        <v>6</v>
      </c>
      <c r="I562">
        <f>'Nacional · supuestos'!$B$21</f>
        <v>640</v>
      </c>
      <c r="J562">
        <f>F562*'Nacional · supuestos'!$B$4</f>
        <v>6136</v>
      </c>
      <c r="K562">
        <f t="shared" si="8"/>
        <v>8.125</v>
      </c>
    </row>
    <row r="563" spans="1:11">
      <c r="A563">
        <v>2027</v>
      </c>
      <c r="B563">
        <v>5</v>
      </c>
      <c r="C563" t="s">
        <v>174</v>
      </c>
      <c r="D563" t="s">
        <v>160</v>
      </c>
      <c r="E563" t="s">
        <v>105</v>
      </c>
      <c r="F563">
        <v>800</v>
      </c>
      <c r="G563">
        <v>1576.0748402955096</v>
      </c>
      <c r="H563">
        <v>1</v>
      </c>
      <c r="I563">
        <f>'Nacional · supuestos'!$B$22</f>
        <v>800</v>
      </c>
      <c r="J563">
        <f>F563*'Nacional · supuestos'!$B$4</f>
        <v>944</v>
      </c>
      <c r="K563">
        <f t="shared" si="8"/>
        <v>1</v>
      </c>
    </row>
    <row r="564" spans="1:11">
      <c r="A564">
        <v>2027</v>
      </c>
      <c r="B564">
        <v>5</v>
      </c>
      <c r="C564" t="s">
        <v>174</v>
      </c>
      <c r="D564" t="s">
        <v>160</v>
      </c>
      <c r="E564" t="s">
        <v>101</v>
      </c>
      <c r="F564">
        <v>1200</v>
      </c>
      <c r="G564">
        <v>1976.3478156086555</v>
      </c>
      <c r="H564">
        <v>1</v>
      </c>
      <c r="I564">
        <f>'Nacional · supuestos'!$B$26</f>
        <v>800</v>
      </c>
      <c r="J564">
        <f>F564</f>
        <v>1200</v>
      </c>
      <c r="K564">
        <f t="shared" si="8"/>
        <v>1.5</v>
      </c>
    </row>
    <row r="565" spans="1:11">
      <c r="A565">
        <v>2027</v>
      </c>
      <c r="B565">
        <v>5</v>
      </c>
      <c r="C565" t="s">
        <v>175</v>
      </c>
      <c r="D565" t="s">
        <v>160</v>
      </c>
      <c r="E565" t="s">
        <v>99</v>
      </c>
      <c r="F565">
        <v>715</v>
      </c>
      <c r="G565">
        <v>10232.968190105161</v>
      </c>
      <c r="H565">
        <v>1</v>
      </c>
      <c r="I565">
        <f>'Nacional · supuestos'!$B$20</f>
        <v>600</v>
      </c>
      <c r="J565">
        <f>F565*'Nacional · supuestos'!$B$4</f>
        <v>843.69999999999993</v>
      </c>
      <c r="K565">
        <f t="shared" si="8"/>
        <v>1.1916666666666667</v>
      </c>
    </row>
    <row r="566" spans="1:11">
      <c r="A566">
        <v>2027</v>
      </c>
      <c r="B566">
        <v>5</v>
      </c>
      <c r="C566" t="s">
        <v>182</v>
      </c>
      <c r="D566" t="s">
        <v>160</v>
      </c>
      <c r="E566" t="s">
        <v>103</v>
      </c>
      <c r="F566">
        <v>29</v>
      </c>
      <c r="G566">
        <v>353.376409794035</v>
      </c>
      <c r="H566">
        <v>1</v>
      </c>
      <c r="I566">
        <f>'Nacional · supuestos'!$B$19</f>
        <v>528</v>
      </c>
      <c r="J566">
        <f>F566*'Nacional · supuestos'!$B$4</f>
        <v>34.22</v>
      </c>
      <c r="K566">
        <f t="shared" si="8"/>
        <v>5.4924242424242424E-2</v>
      </c>
    </row>
    <row r="567" spans="1:11">
      <c r="A567">
        <v>2027</v>
      </c>
      <c r="B567">
        <v>5</v>
      </c>
      <c r="C567" t="s">
        <v>182</v>
      </c>
      <c r="D567" t="s">
        <v>160</v>
      </c>
      <c r="E567" t="s">
        <v>98</v>
      </c>
      <c r="F567">
        <v>14000</v>
      </c>
      <c r="G567">
        <v>19232.734258698674</v>
      </c>
      <c r="H567">
        <v>2</v>
      </c>
      <c r="I567">
        <f>'Nacional · supuestos'!$B$23</f>
        <v>1000</v>
      </c>
      <c r="J567">
        <f>F567*'Nacional · supuestos'!$B$4</f>
        <v>16520</v>
      </c>
      <c r="K567">
        <f t="shared" si="8"/>
        <v>14</v>
      </c>
    </row>
    <row r="568" spans="1:11">
      <c r="A568">
        <v>2027</v>
      </c>
      <c r="B568">
        <v>5</v>
      </c>
      <c r="C568" t="s">
        <v>182</v>
      </c>
      <c r="D568" t="s">
        <v>160</v>
      </c>
      <c r="E568" t="s">
        <v>104</v>
      </c>
      <c r="F568">
        <v>10820</v>
      </c>
      <c r="G568">
        <v>34347.799267535353</v>
      </c>
      <c r="H568">
        <v>8</v>
      </c>
      <c r="I568">
        <f>'Nacional · supuestos'!$B$21</f>
        <v>640</v>
      </c>
      <c r="J568">
        <f>F568*'Nacional · supuestos'!$B$4</f>
        <v>12767.599999999999</v>
      </c>
      <c r="K568">
        <f t="shared" si="8"/>
        <v>16.90625</v>
      </c>
    </row>
    <row r="569" spans="1:11">
      <c r="A569">
        <v>2027</v>
      </c>
      <c r="B569">
        <v>5</v>
      </c>
      <c r="C569" t="s">
        <v>182</v>
      </c>
      <c r="D569" t="s">
        <v>160</v>
      </c>
      <c r="E569" t="s">
        <v>105</v>
      </c>
      <c r="F569">
        <v>5000</v>
      </c>
      <c r="G569">
        <v>12358.949301563302</v>
      </c>
      <c r="H569">
        <v>4</v>
      </c>
      <c r="I569">
        <f>'Nacional · supuestos'!$B$22</f>
        <v>800</v>
      </c>
      <c r="J569">
        <f>F569*'Nacional · supuestos'!$B$4</f>
        <v>5900</v>
      </c>
      <c r="K569">
        <f t="shared" si="8"/>
        <v>6.25</v>
      </c>
    </row>
    <row r="570" spans="1:11">
      <c r="A570">
        <v>2027</v>
      </c>
      <c r="B570">
        <v>5</v>
      </c>
      <c r="C570" t="s">
        <v>182</v>
      </c>
      <c r="D570" t="s">
        <v>160</v>
      </c>
      <c r="E570" t="s">
        <v>99</v>
      </c>
      <c r="F570">
        <v>605</v>
      </c>
      <c r="G570">
        <v>3025.6571661268263</v>
      </c>
      <c r="H570">
        <v>5</v>
      </c>
      <c r="I570">
        <f>'Nacional · supuestos'!$B$20</f>
        <v>600</v>
      </c>
      <c r="J570">
        <f>F570*'Nacional · supuestos'!$B$4</f>
        <v>713.9</v>
      </c>
      <c r="K570">
        <f t="shared" si="8"/>
        <v>1.0083333333333333</v>
      </c>
    </row>
    <row r="571" spans="1:11">
      <c r="A571">
        <v>2027</v>
      </c>
      <c r="B571">
        <v>5</v>
      </c>
      <c r="C571" t="s">
        <v>182</v>
      </c>
      <c r="D571" t="s">
        <v>160</v>
      </c>
      <c r="E571" t="s">
        <v>100</v>
      </c>
      <c r="F571">
        <v>35</v>
      </c>
      <c r="G571">
        <v>371.0342853195678</v>
      </c>
      <c r="H571">
        <v>1</v>
      </c>
      <c r="I571">
        <f>'Nacional · supuestos'!$B$24</f>
        <v>1056</v>
      </c>
      <c r="J571">
        <f>F571</f>
        <v>35</v>
      </c>
      <c r="K571">
        <f t="shared" si="8"/>
        <v>3.3143939393939392E-2</v>
      </c>
    </row>
    <row r="572" spans="1:11">
      <c r="A572">
        <v>2027</v>
      </c>
      <c r="B572">
        <v>5</v>
      </c>
      <c r="C572" t="s">
        <v>182</v>
      </c>
      <c r="D572" t="s">
        <v>160</v>
      </c>
      <c r="E572" t="s">
        <v>101</v>
      </c>
      <c r="F572">
        <v>9600</v>
      </c>
      <c r="G572">
        <v>15322.949836206346</v>
      </c>
      <c r="H572">
        <v>1</v>
      </c>
      <c r="I572">
        <f>'Nacional · supuestos'!$B$26</f>
        <v>800</v>
      </c>
      <c r="J572">
        <f>F572</f>
        <v>9600</v>
      </c>
      <c r="K572">
        <f t="shared" si="8"/>
        <v>12</v>
      </c>
    </row>
    <row r="573" spans="1:11">
      <c r="A573">
        <v>2027</v>
      </c>
      <c r="B573">
        <v>5</v>
      </c>
      <c r="C573" t="s">
        <v>183</v>
      </c>
      <c r="D573" t="s">
        <v>164</v>
      </c>
      <c r="E573" t="s">
        <v>103</v>
      </c>
      <c r="F573">
        <v>205</v>
      </c>
      <c r="G573">
        <v>945.46769999552657</v>
      </c>
      <c r="H573">
        <v>4</v>
      </c>
      <c r="I573">
        <f>'Nacional · supuestos'!$B$19</f>
        <v>528</v>
      </c>
      <c r="J573">
        <f>F573*'Nacional · supuestos'!$B$4</f>
        <v>241.89999999999998</v>
      </c>
      <c r="K573">
        <f t="shared" si="8"/>
        <v>0.38825757575757575</v>
      </c>
    </row>
    <row r="574" spans="1:11">
      <c r="A574">
        <v>2027</v>
      </c>
      <c r="B574">
        <v>5</v>
      </c>
      <c r="C574" t="s">
        <v>183</v>
      </c>
      <c r="D574" t="s">
        <v>164</v>
      </c>
      <c r="E574" t="s">
        <v>98</v>
      </c>
      <c r="F574">
        <v>8000</v>
      </c>
      <c r="G574">
        <v>20138.734070442624</v>
      </c>
      <c r="H574">
        <v>2</v>
      </c>
      <c r="I574">
        <f>'Nacional · supuestos'!$B$23</f>
        <v>1000</v>
      </c>
      <c r="J574">
        <f>F574*'Nacional · supuestos'!$B$4</f>
        <v>9440</v>
      </c>
      <c r="K574">
        <f t="shared" si="8"/>
        <v>8</v>
      </c>
    </row>
    <row r="575" spans="1:11">
      <c r="A575">
        <v>2027</v>
      </c>
      <c r="B575">
        <v>5</v>
      </c>
      <c r="C575" t="s">
        <v>183</v>
      </c>
      <c r="D575" t="s">
        <v>164</v>
      </c>
      <c r="E575" t="s">
        <v>104</v>
      </c>
      <c r="F575">
        <v>4420</v>
      </c>
      <c r="G575">
        <v>12585.874891994737</v>
      </c>
      <c r="H575">
        <v>6</v>
      </c>
      <c r="I575">
        <f>'Nacional · supuestos'!$B$21</f>
        <v>640</v>
      </c>
      <c r="J575">
        <f>F575*'Nacional · supuestos'!$B$4</f>
        <v>5215.5999999999995</v>
      </c>
      <c r="K575">
        <f t="shared" si="8"/>
        <v>6.90625</v>
      </c>
    </row>
    <row r="576" spans="1:11">
      <c r="A576">
        <v>2027</v>
      </c>
      <c r="B576">
        <v>5</v>
      </c>
      <c r="C576" t="s">
        <v>183</v>
      </c>
      <c r="D576" t="s">
        <v>164</v>
      </c>
      <c r="E576" t="s">
        <v>105</v>
      </c>
      <c r="F576">
        <v>4400</v>
      </c>
      <c r="G576">
        <v>12842.091291296749</v>
      </c>
      <c r="H576">
        <v>1</v>
      </c>
      <c r="I576">
        <f>'Nacional · supuestos'!$B$22</f>
        <v>800</v>
      </c>
      <c r="J576">
        <f>F576*'Nacional · supuestos'!$B$4</f>
        <v>5192</v>
      </c>
      <c r="K576">
        <f t="shared" si="8"/>
        <v>5.5</v>
      </c>
    </row>
    <row r="577" spans="1:11">
      <c r="A577">
        <v>2027</v>
      </c>
      <c r="B577">
        <v>5</v>
      </c>
      <c r="C577" t="s">
        <v>183</v>
      </c>
      <c r="D577" t="s">
        <v>164</v>
      </c>
      <c r="E577" t="s">
        <v>99</v>
      </c>
      <c r="F577">
        <v>400</v>
      </c>
      <c r="G577">
        <v>1261.381061006347</v>
      </c>
      <c r="H577">
        <v>4</v>
      </c>
      <c r="I577">
        <f>'Nacional · supuestos'!$B$20</f>
        <v>600</v>
      </c>
      <c r="J577">
        <f>F577*'Nacional · supuestos'!$B$4</f>
        <v>472</v>
      </c>
      <c r="K577">
        <f t="shared" si="8"/>
        <v>0.66666666666666663</v>
      </c>
    </row>
    <row r="578" spans="1:11">
      <c r="A578">
        <v>2027</v>
      </c>
      <c r="B578">
        <v>5</v>
      </c>
      <c r="C578" t="s">
        <v>183</v>
      </c>
      <c r="D578" t="s">
        <v>164</v>
      </c>
      <c r="E578" t="s">
        <v>101</v>
      </c>
      <c r="F578">
        <v>120</v>
      </c>
      <c r="G578">
        <v>206.39075289584051</v>
      </c>
      <c r="H578">
        <v>1</v>
      </c>
      <c r="I578">
        <f>'Nacional · supuestos'!$B$26</f>
        <v>800</v>
      </c>
      <c r="J578">
        <f>F578</f>
        <v>120</v>
      </c>
      <c r="K578">
        <f t="shared" si="8"/>
        <v>0.15</v>
      </c>
    </row>
    <row r="579" spans="1:11">
      <c r="A579">
        <v>2027</v>
      </c>
      <c r="B579">
        <v>5</v>
      </c>
      <c r="C579" t="s">
        <v>176</v>
      </c>
      <c r="D579" t="s">
        <v>160</v>
      </c>
      <c r="E579" t="s">
        <v>103</v>
      </c>
      <c r="F579">
        <v>51</v>
      </c>
      <c r="G579">
        <v>242.12345496285781</v>
      </c>
      <c r="H579">
        <v>2</v>
      </c>
      <c r="I579">
        <f>'Nacional · supuestos'!$B$19</f>
        <v>528</v>
      </c>
      <c r="J579">
        <f>F579*'Nacional · supuestos'!$B$4</f>
        <v>60.18</v>
      </c>
      <c r="K579">
        <f t="shared" si="8"/>
        <v>9.6590909090909088E-2</v>
      </c>
    </row>
    <row r="580" spans="1:11">
      <c r="A580">
        <v>2027</v>
      </c>
      <c r="B580">
        <v>5</v>
      </c>
      <c r="C580" t="s">
        <v>176</v>
      </c>
      <c r="D580" t="s">
        <v>160</v>
      </c>
      <c r="E580" t="s">
        <v>104</v>
      </c>
      <c r="F580">
        <v>700</v>
      </c>
      <c r="G580">
        <v>2305.7391182100978</v>
      </c>
      <c r="H580">
        <v>1</v>
      </c>
      <c r="I580">
        <f>'Nacional · supuestos'!$B$21</f>
        <v>640</v>
      </c>
      <c r="J580">
        <f>F580*'Nacional · supuestos'!$B$4</f>
        <v>826</v>
      </c>
      <c r="K580">
        <f t="shared" si="8"/>
        <v>1.09375</v>
      </c>
    </row>
    <row r="581" spans="1:11">
      <c r="A581">
        <v>2027</v>
      </c>
      <c r="B581">
        <v>5</v>
      </c>
      <c r="C581" t="s">
        <v>176</v>
      </c>
      <c r="D581" t="s">
        <v>160</v>
      </c>
      <c r="E581" t="s">
        <v>99</v>
      </c>
      <c r="F581">
        <v>220</v>
      </c>
      <c r="G581">
        <v>763.64578571461027</v>
      </c>
      <c r="H581">
        <v>1</v>
      </c>
      <c r="I581">
        <f>'Nacional · supuestos'!$B$20</f>
        <v>600</v>
      </c>
      <c r="J581">
        <f>F581*'Nacional · supuestos'!$B$4</f>
        <v>259.59999999999997</v>
      </c>
      <c r="K581">
        <f t="shared" si="8"/>
        <v>0.36666666666666664</v>
      </c>
    </row>
    <row r="582" spans="1:11">
      <c r="A582">
        <v>2027</v>
      </c>
      <c r="B582">
        <v>5</v>
      </c>
      <c r="C582" t="s">
        <v>204</v>
      </c>
      <c r="D582" t="s">
        <v>160</v>
      </c>
      <c r="E582" t="s">
        <v>98</v>
      </c>
      <c r="F582">
        <v>1000</v>
      </c>
      <c r="G582">
        <v>3168.8277212290677</v>
      </c>
      <c r="H582">
        <v>1</v>
      </c>
      <c r="I582">
        <f>'Nacional · supuestos'!$B$23</f>
        <v>1000</v>
      </c>
      <c r="J582">
        <f>F582*'Nacional · supuestos'!$B$4</f>
        <v>1180</v>
      </c>
      <c r="K582">
        <f t="shared" si="8"/>
        <v>1</v>
      </c>
    </row>
    <row r="583" spans="1:11">
      <c r="A583">
        <v>2027</v>
      </c>
      <c r="B583">
        <v>5</v>
      </c>
      <c r="C583" t="s">
        <v>204</v>
      </c>
      <c r="D583" t="s">
        <v>160</v>
      </c>
      <c r="E583" t="s">
        <v>104</v>
      </c>
      <c r="F583">
        <v>320</v>
      </c>
      <c r="G583">
        <v>984.0043976448153</v>
      </c>
      <c r="H583">
        <v>1</v>
      </c>
      <c r="I583">
        <f>'Nacional · supuestos'!$B$21</f>
        <v>640</v>
      </c>
      <c r="J583">
        <f>F583*'Nacional · supuestos'!$B$4</f>
        <v>377.59999999999997</v>
      </c>
      <c r="K583">
        <f t="shared" ref="K583:K646" si="9">F583/I583</f>
        <v>0.5</v>
      </c>
    </row>
    <row r="584" spans="1:11">
      <c r="A584">
        <v>2027</v>
      </c>
      <c r="B584">
        <v>5</v>
      </c>
      <c r="C584" t="s">
        <v>204</v>
      </c>
      <c r="D584" t="s">
        <v>160</v>
      </c>
      <c r="E584" t="s">
        <v>105</v>
      </c>
      <c r="F584">
        <v>400</v>
      </c>
      <c r="G584">
        <v>2055.5685086393819</v>
      </c>
      <c r="H584">
        <v>1</v>
      </c>
      <c r="I584">
        <f>'Nacional · supuestos'!$B$22</f>
        <v>800</v>
      </c>
      <c r="J584">
        <f>F584*'Nacional · supuestos'!$B$4</f>
        <v>472</v>
      </c>
      <c r="K584">
        <f t="shared" si="9"/>
        <v>0.5</v>
      </c>
    </row>
    <row r="585" spans="1:11">
      <c r="A585">
        <v>2027</v>
      </c>
      <c r="B585">
        <v>5</v>
      </c>
      <c r="C585" t="s">
        <v>204</v>
      </c>
      <c r="D585" t="s">
        <v>160</v>
      </c>
      <c r="E585" t="s">
        <v>99</v>
      </c>
      <c r="F585">
        <v>65</v>
      </c>
      <c r="G585">
        <v>222.23489150198597</v>
      </c>
      <c r="H585">
        <v>1</v>
      </c>
      <c r="I585">
        <f>'Nacional · supuestos'!$B$20</f>
        <v>600</v>
      </c>
      <c r="J585">
        <f>F585*'Nacional · supuestos'!$B$4</f>
        <v>76.7</v>
      </c>
      <c r="K585">
        <f t="shared" si="9"/>
        <v>0.10833333333333334</v>
      </c>
    </row>
    <row r="586" spans="1:11">
      <c r="A586">
        <v>2027</v>
      </c>
      <c r="B586">
        <v>5</v>
      </c>
      <c r="C586" t="s">
        <v>204</v>
      </c>
      <c r="D586" t="s">
        <v>160</v>
      </c>
      <c r="E586" t="s">
        <v>101</v>
      </c>
      <c r="F586">
        <v>1380</v>
      </c>
      <c r="G586">
        <v>2675.5746693588062</v>
      </c>
      <c r="H586">
        <v>2</v>
      </c>
      <c r="I586">
        <f>'Nacional · supuestos'!$B$26</f>
        <v>800</v>
      </c>
      <c r="J586">
        <f>F586</f>
        <v>1380</v>
      </c>
      <c r="K586">
        <f t="shared" si="9"/>
        <v>1.7250000000000001</v>
      </c>
    </row>
    <row r="587" spans="1:11">
      <c r="A587">
        <v>2027</v>
      </c>
      <c r="B587">
        <v>5</v>
      </c>
      <c r="C587" t="s">
        <v>178</v>
      </c>
      <c r="D587" t="s">
        <v>160</v>
      </c>
      <c r="E587" t="s">
        <v>99</v>
      </c>
      <c r="F587">
        <v>740</v>
      </c>
      <c r="G587">
        <v>9823.6349364655598</v>
      </c>
      <c r="H587">
        <v>1</v>
      </c>
      <c r="I587">
        <f>'Nacional · supuestos'!$B$20</f>
        <v>600</v>
      </c>
      <c r="J587">
        <f>F587*'Nacional · supuestos'!$B$4</f>
        <v>873.19999999999993</v>
      </c>
      <c r="K587">
        <f t="shared" si="9"/>
        <v>1.2333333333333334</v>
      </c>
    </row>
    <row r="588" spans="1:11">
      <c r="A588">
        <v>2027</v>
      </c>
      <c r="B588">
        <v>5</v>
      </c>
      <c r="C588" t="s">
        <v>212</v>
      </c>
      <c r="D588" t="s">
        <v>160</v>
      </c>
      <c r="E588" t="s">
        <v>104</v>
      </c>
      <c r="F588">
        <v>220</v>
      </c>
      <c r="G588">
        <v>804.92393629377818</v>
      </c>
      <c r="H588">
        <v>1</v>
      </c>
      <c r="I588">
        <f>'Nacional · supuestos'!$B$21</f>
        <v>640</v>
      </c>
      <c r="J588">
        <f>F588*'Nacional · supuestos'!$B$4</f>
        <v>259.59999999999997</v>
      </c>
      <c r="K588">
        <f t="shared" si="9"/>
        <v>0.34375</v>
      </c>
    </row>
    <row r="589" spans="1:11">
      <c r="A589">
        <v>2027</v>
      </c>
      <c r="B589">
        <v>5</v>
      </c>
      <c r="C589" t="s">
        <v>212</v>
      </c>
      <c r="D589" t="s">
        <v>160</v>
      </c>
      <c r="E589" t="s">
        <v>99</v>
      </c>
      <c r="F589">
        <v>380</v>
      </c>
      <c r="G589">
        <v>1466.5209608543337</v>
      </c>
      <c r="H589">
        <v>3</v>
      </c>
      <c r="I589">
        <f>'Nacional · supuestos'!$B$20</f>
        <v>600</v>
      </c>
      <c r="J589">
        <f>F589*'Nacional · supuestos'!$B$4</f>
        <v>448.4</v>
      </c>
      <c r="K589">
        <f t="shared" si="9"/>
        <v>0.6333333333333333</v>
      </c>
    </row>
    <row r="590" spans="1:11">
      <c r="A590">
        <v>2027</v>
      </c>
      <c r="B590">
        <v>5</v>
      </c>
      <c r="C590" t="s">
        <v>212</v>
      </c>
      <c r="D590" t="s">
        <v>160</v>
      </c>
      <c r="E590" t="s">
        <v>101</v>
      </c>
      <c r="F590">
        <v>400</v>
      </c>
      <c r="G590">
        <v>1168.7136977111941</v>
      </c>
      <c r="H590">
        <v>2</v>
      </c>
      <c r="I590">
        <f>'Nacional · supuestos'!$B$26</f>
        <v>800</v>
      </c>
      <c r="J590">
        <f>F590</f>
        <v>400</v>
      </c>
      <c r="K590">
        <f t="shared" si="9"/>
        <v>0.5</v>
      </c>
    </row>
    <row r="591" spans="1:11">
      <c r="A591">
        <v>2027</v>
      </c>
      <c r="B591">
        <v>5</v>
      </c>
      <c r="C591" t="s">
        <v>192</v>
      </c>
      <c r="D591" t="s">
        <v>160</v>
      </c>
      <c r="E591" t="s">
        <v>99</v>
      </c>
      <c r="F591">
        <v>635</v>
      </c>
      <c r="G591">
        <v>2051.9201872498088</v>
      </c>
      <c r="H591">
        <v>1</v>
      </c>
      <c r="I591">
        <f>'Nacional · supuestos'!$B$20</f>
        <v>600</v>
      </c>
      <c r="J591">
        <f>F591*'Nacional · supuestos'!$B$4</f>
        <v>749.3</v>
      </c>
      <c r="K591">
        <f t="shared" si="9"/>
        <v>1.0583333333333333</v>
      </c>
    </row>
    <row r="592" spans="1:11">
      <c r="A592">
        <v>2027</v>
      </c>
      <c r="B592">
        <v>5</v>
      </c>
      <c r="C592" t="s">
        <v>179</v>
      </c>
      <c r="D592" t="s">
        <v>160</v>
      </c>
      <c r="E592" t="s">
        <v>104</v>
      </c>
      <c r="F592">
        <v>800</v>
      </c>
      <c r="G592">
        <v>2876.9620100632319</v>
      </c>
      <c r="H592">
        <v>1</v>
      </c>
      <c r="I592">
        <f>'Nacional · supuestos'!$B$21</f>
        <v>640</v>
      </c>
      <c r="J592">
        <f>F592*'Nacional · supuestos'!$B$4</f>
        <v>944</v>
      </c>
      <c r="K592">
        <f t="shared" si="9"/>
        <v>1.25</v>
      </c>
    </row>
    <row r="593" spans="1:11">
      <c r="A593">
        <v>2027</v>
      </c>
      <c r="B593">
        <v>5</v>
      </c>
      <c r="C593" t="s">
        <v>205</v>
      </c>
      <c r="D593" t="s">
        <v>160</v>
      </c>
      <c r="E593" t="s">
        <v>99</v>
      </c>
      <c r="F593">
        <v>150</v>
      </c>
      <c r="G593">
        <v>512.22432309604062</v>
      </c>
      <c r="H593">
        <v>4</v>
      </c>
      <c r="I593">
        <f>'Nacional · supuestos'!$B$20</f>
        <v>600</v>
      </c>
      <c r="J593">
        <f>F593*'Nacional · supuestos'!$B$4</f>
        <v>177</v>
      </c>
      <c r="K593">
        <f t="shared" si="9"/>
        <v>0.25</v>
      </c>
    </row>
    <row r="594" spans="1:11">
      <c r="A594">
        <v>2027</v>
      </c>
      <c r="B594">
        <v>5</v>
      </c>
      <c r="C594" t="s">
        <v>205</v>
      </c>
      <c r="D594" t="s">
        <v>160</v>
      </c>
      <c r="E594" t="s">
        <v>101</v>
      </c>
      <c r="F594">
        <v>80</v>
      </c>
      <c r="G594">
        <v>140.09554135960087</v>
      </c>
      <c r="H594">
        <v>1</v>
      </c>
      <c r="I594">
        <f>'Nacional · supuestos'!$B$26</f>
        <v>800</v>
      </c>
      <c r="J594">
        <f>F594</f>
        <v>80</v>
      </c>
      <c r="K594">
        <f t="shared" si="9"/>
        <v>0.1</v>
      </c>
    </row>
    <row r="595" spans="1:11">
      <c r="A595">
        <v>2027</v>
      </c>
      <c r="B595">
        <v>5</v>
      </c>
      <c r="C595" t="s">
        <v>199</v>
      </c>
      <c r="D595" t="s">
        <v>160</v>
      </c>
      <c r="E595" t="s">
        <v>99</v>
      </c>
      <c r="F595">
        <v>375</v>
      </c>
      <c r="G595">
        <v>1743.3764354459258</v>
      </c>
      <c r="H595">
        <v>1</v>
      </c>
      <c r="I595">
        <f>'Nacional · supuestos'!$B$20</f>
        <v>600</v>
      </c>
      <c r="J595">
        <f>F595*'Nacional · supuestos'!$B$4</f>
        <v>442.5</v>
      </c>
      <c r="K595">
        <f t="shared" si="9"/>
        <v>0.625</v>
      </c>
    </row>
    <row r="596" spans="1:11">
      <c r="A596">
        <v>2027</v>
      </c>
      <c r="B596">
        <v>5</v>
      </c>
      <c r="C596" t="s">
        <v>199</v>
      </c>
      <c r="D596" t="s">
        <v>160</v>
      </c>
      <c r="E596" t="s">
        <v>102</v>
      </c>
      <c r="F596">
        <v>550</v>
      </c>
      <c r="G596">
        <v>2786.2751640938468</v>
      </c>
      <c r="H596">
        <v>1</v>
      </c>
      <c r="I596">
        <f>'Nacional · supuestos'!$B$25</f>
        <v>750</v>
      </c>
      <c r="J596">
        <f>F596</f>
        <v>550</v>
      </c>
      <c r="K596">
        <f t="shared" si="9"/>
        <v>0.73333333333333328</v>
      </c>
    </row>
    <row r="597" spans="1:11">
      <c r="A597">
        <v>2027</v>
      </c>
      <c r="B597">
        <v>5</v>
      </c>
      <c r="C597" t="s">
        <v>213</v>
      </c>
      <c r="D597" t="s">
        <v>160</v>
      </c>
      <c r="E597" t="s">
        <v>104</v>
      </c>
      <c r="F597">
        <v>4200</v>
      </c>
      <c r="G597">
        <v>13120.614569952142</v>
      </c>
      <c r="H597">
        <v>3</v>
      </c>
      <c r="I597">
        <f>'Nacional · supuestos'!$B$21</f>
        <v>640</v>
      </c>
      <c r="J597">
        <f>F597*'Nacional · supuestos'!$B$4</f>
        <v>4956</v>
      </c>
      <c r="K597">
        <f t="shared" si="9"/>
        <v>6.5625</v>
      </c>
    </row>
    <row r="598" spans="1:11">
      <c r="A598">
        <v>2027</v>
      </c>
      <c r="B598">
        <v>5</v>
      </c>
      <c r="C598" t="s">
        <v>180</v>
      </c>
      <c r="D598" t="s">
        <v>160</v>
      </c>
      <c r="E598" t="s">
        <v>103</v>
      </c>
      <c r="F598">
        <v>86</v>
      </c>
      <c r="G598">
        <v>577.31037668602198</v>
      </c>
      <c r="H598">
        <v>1</v>
      </c>
      <c r="I598">
        <f>'Nacional · supuestos'!$B$19</f>
        <v>528</v>
      </c>
      <c r="J598">
        <f>F598*'Nacional · supuestos'!$B$4</f>
        <v>101.47999999999999</v>
      </c>
      <c r="K598">
        <f t="shared" si="9"/>
        <v>0.16287878787878787</v>
      </c>
    </row>
    <row r="599" spans="1:11">
      <c r="A599">
        <v>2027</v>
      </c>
      <c r="B599">
        <v>5</v>
      </c>
      <c r="C599" t="s">
        <v>180</v>
      </c>
      <c r="D599" t="s">
        <v>160</v>
      </c>
      <c r="E599" t="s">
        <v>104</v>
      </c>
      <c r="F599">
        <v>1500</v>
      </c>
      <c r="G599">
        <v>4987.776528316148</v>
      </c>
      <c r="H599">
        <v>1</v>
      </c>
      <c r="I599">
        <f>'Nacional · supuestos'!$B$21</f>
        <v>640</v>
      </c>
      <c r="J599">
        <f>F599*'Nacional · supuestos'!$B$4</f>
        <v>1770</v>
      </c>
      <c r="K599">
        <f t="shared" si="9"/>
        <v>2.34375</v>
      </c>
    </row>
    <row r="600" spans="1:11">
      <c r="A600">
        <v>2027</v>
      </c>
      <c r="B600">
        <v>5</v>
      </c>
      <c r="C600" t="s">
        <v>180</v>
      </c>
      <c r="D600" t="s">
        <v>160</v>
      </c>
      <c r="E600" t="s">
        <v>99</v>
      </c>
      <c r="F600">
        <v>425</v>
      </c>
      <c r="G600">
        <v>2369.3241481426544</v>
      </c>
      <c r="H600">
        <v>3</v>
      </c>
      <c r="I600">
        <f>'Nacional · supuestos'!$B$20</f>
        <v>600</v>
      </c>
      <c r="J600">
        <f>F600*'Nacional · supuestos'!$B$4</f>
        <v>501.5</v>
      </c>
      <c r="K600">
        <f t="shared" si="9"/>
        <v>0.70833333333333337</v>
      </c>
    </row>
    <row r="601" spans="1:11">
      <c r="A601">
        <v>2027</v>
      </c>
      <c r="B601">
        <v>5</v>
      </c>
      <c r="C601" t="s">
        <v>180</v>
      </c>
      <c r="D601" t="s">
        <v>160</v>
      </c>
      <c r="E601" t="s">
        <v>177</v>
      </c>
      <c r="F601">
        <v>375</v>
      </c>
      <c r="G601">
        <v>1082.7696695482546</v>
      </c>
      <c r="H601">
        <v>1</v>
      </c>
      <c r="I601">
        <f>'Nacional · supuestos'!$B$28</f>
        <v>1100</v>
      </c>
      <c r="J601">
        <f>F601</f>
        <v>375</v>
      </c>
      <c r="K601">
        <f t="shared" si="9"/>
        <v>0.34090909090909088</v>
      </c>
    </row>
    <row r="602" spans="1:11">
      <c r="A602">
        <v>2027</v>
      </c>
      <c r="B602">
        <v>5</v>
      </c>
      <c r="C602" t="s">
        <v>185</v>
      </c>
      <c r="D602" t="s">
        <v>160</v>
      </c>
      <c r="E602" t="s">
        <v>104</v>
      </c>
      <c r="F602">
        <v>1100</v>
      </c>
      <c r="G602">
        <v>3795.2966226957351</v>
      </c>
      <c r="H602">
        <v>1</v>
      </c>
      <c r="I602">
        <f>'Nacional · supuestos'!$B$21</f>
        <v>640</v>
      </c>
      <c r="J602">
        <f>F602*'Nacional · supuestos'!$B$4</f>
        <v>1298</v>
      </c>
      <c r="K602">
        <f t="shared" si="9"/>
        <v>1.71875</v>
      </c>
    </row>
    <row r="603" spans="1:11">
      <c r="A603">
        <v>2027</v>
      </c>
      <c r="B603">
        <v>5</v>
      </c>
      <c r="C603" t="s">
        <v>209</v>
      </c>
      <c r="D603" t="s">
        <v>160</v>
      </c>
      <c r="E603" t="s">
        <v>104</v>
      </c>
      <c r="F603">
        <v>1700</v>
      </c>
      <c r="G603">
        <v>5044.8988175014601</v>
      </c>
      <c r="H603">
        <v>5</v>
      </c>
      <c r="I603">
        <f>'Nacional · supuestos'!$B$21</f>
        <v>640</v>
      </c>
      <c r="J603">
        <f>F603*'Nacional · supuestos'!$B$4</f>
        <v>2006</v>
      </c>
      <c r="K603">
        <f t="shared" si="9"/>
        <v>2.65625</v>
      </c>
    </row>
    <row r="604" spans="1:11">
      <c r="A604">
        <v>2027</v>
      </c>
      <c r="B604">
        <v>5</v>
      </c>
      <c r="C604" t="s">
        <v>209</v>
      </c>
      <c r="D604" t="s">
        <v>160</v>
      </c>
      <c r="E604" t="s">
        <v>101</v>
      </c>
      <c r="F604">
        <v>1400</v>
      </c>
      <c r="G604">
        <v>3538.4547968697998</v>
      </c>
      <c r="H604">
        <v>2</v>
      </c>
      <c r="I604">
        <f>'Nacional · supuestos'!$B$26</f>
        <v>800</v>
      </c>
      <c r="J604">
        <f>F604</f>
        <v>1400</v>
      </c>
      <c r="K604">
        <f t="shared" si="9"/>
        <v>1.75</v>
      </c>
    </row>
    <row r="605" spans="1:11">
      <c r="A605">
        <v>2027</v>
      </c>
      <c r="B605">
        <v>5</v>
      </c>
      <c r="C605" t="s">
        <v>181</v>
      </c>
      <c r="D605" t="s">
        <v>160</v>
      </c>
      <c r="E605" t="s">
        <v>104</v>
      </c>
      <c r="F605">
        <v>740</v>
      </c>
      <c r="G605">
        <v>2938.8792359319846</v>
      </c>
      <c r="H605">
        <v>1</v>
      </c>
      <c r="I605">
        <f>'Nacional · supuestos'!$B$21</f>
        <v>640</v>
      </c>
      <c r="J605">
        <f>F605*'Nacional · supuestos'!$B$4</f>
        <v>873.19999999999993</v>
      </c>
      <c r="K605">
        <f t="shared" si="9"/>
        <v>1.15625</v>
      </c>
    </row>
    <row r="606" spans="1:11">
      <c r="A606">
        <v>2027</v>
      </c>
      <c r="B606">
        <v>5</v>
      </c>
      <c r="C606" t="s">
        <v>181</v>
      </c>
      <c r="D606" t="s">
        <v>160</v>
      </c>
      <c r="E606" t="s">
        <v>101</v>
      </c>
      <c r="F606">
        <v>2480</v>
      </c>
      <c r="G606">
        <v>4782.4281529601849</v>
      </c>
      <c r="H606">
        <v>1</v>
      </c>
      <c r="I606">
        <f>'Nacional · supuestos'!$B$26</f>
        <v>800</v>
      </c>
      <c r="J606">
        <f>F606</f>
        <v>2480</v>
      </c>
      <c r="K606">
        <f t="shared" si="9"/>
        <v>3.1</v>
      </c>
    </row>
    <row r="607" spans="1:11">
      <c r="A607">
        <v>2027</v>
      </c>
      <c r="B607">
        <v>5</v>
      </c>
      <c r="C607" t="s">
        <v>186</v>
      </c>
      <c r="D607" t="s">
        <v>160</v>
      </c>
      <c r="E607" t="s">
        <v>103</v>
      </c>
      <c r="F607">
        <v>80</v>
      </c>
      <c r="G607">
        <v>486.79031112301794</v>
      </c>
      <c r="H607">
        <v>2</v>
      </c>
      <c r="I607">
        <f>'Nacional · supuestos'!$B$19</f>
        <v>528</v>
      </c>
      <c r="J607">
        <f>F607*'Nacional · supuestos'!$B$4</f>
        <v>94.399999999999991</v>
      </c>
      <c r="K607">
        <f t="shared" si="9"/>
        <v>0.15151515151515152</v>
      </c>
    </row>
    <row r="608" spans="1:11">
      <c r="A608">
        <v>2027</v>
      </c>
      <c r="B608">
        <v>5</v>
      </c>
      <c r="C608" t="s">
        <v>186</v>
      </c>
      <c r="D608" t="s">
        <v>160</v>
      </c>
      <c r="E608" t="s">
        <v>98</v>
      </c>
      <c r="F608">
        <v>2000</v>
      </c>
      <c r="G608">
        <v>3752.559143560738</v>
      </c>
      <c r="H608">
        <v>1</v>
      </c>
      <c r="I608">
        <f>'Nacional · supuestos'!$B$23</f>
        <v>1000</v>
      </c>
      <c r="J608">
        <f>F608*'Nacional · supuestos'!$B$4</f>
        <v>2360</v>
      </c>
      <c r="K608">
        <f t="shared" si="9"/>
        <v>2</v>
      </c>
    </row>
    <row r="609" spans="1:11">
      <c r="A609">
        <v>2027</v>
      </c>
      <c r="B609">
        <v>5</v>
      </c>
      <c r="C609" t="s">
        <v>186</v>
      </c>
      <c r="D609" t="s">
        <v>160</v>
      </c>
      <c r="E609" t="s">
        <v>104</v>
      </c>
      <c r="F609">
        <v>3260</v>
      </c>
      <c r="G609">
        <v>11071.925753075951</v>
      </c>
      <c r="H609">
        <v>3</v>
      </c>
      <c r="I609">
        <f>'Nacional · supuestos'!$B$21</f>
        <v>640</v>
      </c>
      <c r="J609">
        <f>F609*'Nacional · supuestos'!$B$4</f>
        <v>3846.7999999999997</v>
      </c>
      <c r="K609">
        <f t="shared" si="9"/>
        <v>5.09375</v>
      </c>
    </row>
    <row r="610" spans="1:11">
      <c r="A610">
        <v>2027</v>
      </c>
      <c r="B610">
        <v>5</v>
      </c>
      <c r="C610" t="s">
        <v>186</v>
      </c>
      <c r="D610" t="s">
        <v>160</v>
      </c>
      <c r="E610" t="s">
        <v>99</v>
      </c>
      <c r="F610">
        <v>740</v>
      </c>
      <c r="G610">
        <v>3337.1195750423676</v>
      </c>
      <c r="H610">
        <v>5</v>
      </c>
      <c r="I610">
        <f>'Nacional · supuestos'!$B$20</f>
        <v>600</v>
      </c>
      <c r="J610">
        <f>F610*'Nacional · supuestos'!$B$4</f>
        <v>873.19999999999993</v>
      </c>
      <c r="K610">
        <f t="shared" si="9"/>
        <v>1.2333333333333334</v>
      </c>
    </row>
    <row r="611" spans="1:11">
      <c r="A611">
        <v>2027</v>
      </c>
      <c r="B611">
        <v>5</v>
      </c>
      <c r="C611" t="s">
        <v>186</v>
      </c>
      <c r="D611" t="s">
        <v>160</v>
      </c>
      <c r="E611" t="s">
        <v>101</v>
      </c>
      <c r="F611">
        <v>220</v>
      </c>
      <c r="G611">
        <v>385.26273873890239</v>
      </c>
      <c r="H611">
        <v>1</v>
      </c>
      <c r="I611">
        <f>'Nacional · supuestos'!$B$26</f>
        <v>800</v>
      </c>
      <c r="J611">
        <f>F611</f>
        <v>220</v>
      </c>
      <c r="K611">
        <f t="shared" si="9"/>
        <v>0.27500000000000002</v>
      </c>
    </row>
    <row r="612" spans="1:11">
      <c r="A612">
        <v>2027</v>
      </c>
      <c r="B612">
        <v>6</v>
      </c>
      <c r="C612" t="s">
        <v>194</v>
      </c>
      <c r="D612" t="s">
        <v>160</v>
      </c>
      <c r="E612" t="s">
        <v>104</v>
      </c>
      <c r="F612">
        <v>680</v>
      </c>
      <c r="G612">
        <v>1474.3387924034187</v>
      </c>
      <c r="H612">
        <v>1</v>
      </c>
      <c r="I612">
        <f>'Nacional · supuestos'!$B$21</f>
        <v>640</v>
      </c>
      <c r="J612">
        <f>F612*'Nacional · supuestos'!$B$4</f>
        <v>802.4</v>
      </c>
      <c r="K612">
        <f t="shared" si="9"/>
        <v>1.0625</v>
      </c>
    </row>
    <row r="613" spans="1:11">
      <c r="A613">
        <v>2027</v>
      </c>
      <c r="B613">
        <v>6</v>
      </c>
      <c r="C613" t="s">
        <v>194</v>
      </c>
      <c r="D613" t="s">
        <v>160</v>
      </c>
      <c r="E613" t="s">
        <v>99</v>
      </c>
      <c r="F613">
        <v>20</v>
      </c>
      <c r="G613">
        <v>105.48860703565184</v>
      </c>
      <c r="H613">
        <v>1</v>
      </c>
      <c r="I613">
        <f>'Nacional · supuestos'!$B$20</f>
        <v>600</v>
      </c>
      <c r="J613">
        <f>F613*'Nacional · supuestos'!$B$4</f>
        <v>23.599999999999998</v>
      </c>
      <c r="K613">
        <f t="shared" si="9"/>
        <v>3.3333333333333333E-2</v>
      </c>
    </row>
    <row r="614" spans="1:11">
      <c r="A614">
        <v>2027</v>
      </c>
      <c r="B614">
        <v>6</v>
      </c>
      <c r="C614" t="s">
        <v>194</v>
      </c>
      <c r="D614" t="s">
        <v>160</v>
      </c>
      <c r="E614" t="s">
        <v>197</v>
      </c>
      <c r="F614">
        <v>65</v>
      </c>
      <c r="G614">
        <v>153.12526060807568</v>
      </c>
      <c r="H614">
        <v>1</v>
      </c>
      <c r="I614">
        <f>'Nacional · supuestos'!$B$30</f>
        <v>1100</v>
      </c>
      <c r="J614">
        <f>F614</f>
        <v>65</v>
      </c>
      <c r="K614">
        <f t="shared" si="9"/>
        <v>5.909090909090909E-2</v>
      </c>
    </row>
    <row r="615" spans="1:11">
      <c r="A615">
        <v>2027</v>
      </c>
      <c r="B615">
        <v>6</v>
      </c>
      <c r="C615" t="s">
        <v>195</v>
      </c>
      <c r="D615" t="s">
        <v>160</v>
      </c>
      <c r="E615" t="s">
        <v>103</v>
      </c>
      <c r="F615">
        <v>42</v>
      </c>
      <c r="G615">
        <v>276.25089561846301</v>
      </c>
      <c r="H615">
        <v>1</v>
      </c>
      <c r="I615">
        <f>'Nacional · supuestos'!$B$19</f>
        <v>528</v>
      </c>
      <c r="J615">
        <f>F615*'Nacional · supuestos'!$B$4</f>
        <v>49.559999999999995</v>
      </c>
      <c r="K615">
        <f t="shared" si="9"/>
        <v>7.9545454545454544E-2</v>
      </c>
    </row>
    <row r="616" spans="1:11">
      <c r="A616">
        <v>2027</v>
      </c>
      <c r="B616">
        <v>6</v>
      </c>
      <c r="C616" t="s">
        <v>195</v>
      </c>
      <c r="D616" t="s">
        <v>160</v>
      </c>
      <c r="E616" t="s">
        <v>104</v>
      </c>
      <c r="F616">
        <v>60</v>
      </c>
      <c r="G616">
        <v>405.90181402848646</v>
      </c>
      <c r="H616">
        <v>1</v>
      </c>
      <c r="I616">
        <f>'Nacional · supuestos'!$B$21</f>
        <v>640</v>
      </c>
      <c r="J616">
        <f>F616*'Nacional · supuestos'!$B$4</f>
        <v>70.8</v>
      </c>
      <c r="K616">
        <f t="shared" si="9"/>
        <v>9.375E-2</v>
      </c>
    </row>
    <row r="617" spans="1:11">
      <c r="A617">
        <v>2027</v>
      </c>
      <c r="B617">
        <v>6</v>
      </c>
      <c r="C617" t="s">
        <v>195</v>
      </c>
      <c r="D617" t="s">
        <v>160</v>
      </c>
      <c r="E617" t="s">
        <v>99</v>
      </c>
      <c r="F617">
        <v>120</v>
      </c>
      <c r="G617">
        <v>531.61254533777105</v>
      </c>
      <c r="H617">
        <v>2</v>
      </c>
      <c r="I617">
        <f>'Nacional · supuestos'!$B$20</f>
        <v>600</v>
      </c>
      <c r="J617">
        <f>F617*'Nacional · supuestos'!$B$4</f>
        <v>141.6</v>
      </c>
      <c r="K617">
        <f t="shared" si="9"/>
        <v>0.2</v>
      </c>
    </row>
    <row r="618" spans="1:11">
      <c r="A618">
        <v>2027</v>
      </c>
      <c r="B618">
        <v>6</v>
      </c>
      <c r="C618" t="s">
        <v>195</v>
      </c>
      <c r="D618" t="s">
        <v>160</v>
      </c>
      <c r="E618" t="s">
        <v>101</v>
      </c>
      <c r="F618">
        <v>180</v>
      </c>
      <c r="G618">
        <v>342.18648690344463</v>
      </c>
      <c r="H618">
        <v>1</v>
      </c>
      <c r="I618">
        <f>'Nacional · supuestos'!$B$26</f>
        <v>800</v>
      </c>
      <c r="J618">
        <f>F618</f>
        <v>180</v>
      </c>
      <c r="K618">
        <f t="shared" si="9"/>
        <v>0.22500000000000001</v>
      </c>
    </row>
    <row r="619" spans="1:11">
      <c r="A619">
        <v>2027</v>
      </c>
      <c r="B619">
        <v>6</v>
      </c>
      <c r="C619" t="s">
        <v>195</v>
      </c>
      <c r="D619" t="s">
        <v>160</v>
      </c>
      <c r="E619" t="s">
        <v>102</v>
      </c>
      <c r="F619">
        <v>25</v>
      </c>
      <c r="G619">
        <v>48.731149989295673</v>
      </c>
      <c r="H619">
        <v>1</v>
      </c>
      <c r="I619">
        <f>'Nacional · supuestos'!$B$25</f>
        <v>750</v>
      </c>
      <c r="J619">
        <f>F619</f>
        <v>25</v>
      </c>
      <c r="K619">
        <f t="shared" si="9"/>
        <v>3.3333333333333333E-2</v>
      </c>
    </row>
    <row r="620" spans="1:11">
      <c r="A620">
        <v>2027</v>
      </c>
      <c r="B620">
        <v>6</v>
      </c>
      <c r="C620" t="s">
        <v>195</v>
      </c>
      <c r="D620" t="s">
        <v>160</v>
      </c>
      <c r="E620" t="s">
        <v>197</v>
      </c>
      <c r="F620">
        <v>230</v>
      </c>
      <c r="G620">
        <v>613.75189548015612</v>
      </c>
      <c r="H620">
        <v>1</v>
      </c>
      <c r="I620">
        <f>'Nacional · supuestos'!$B$30</f>
        <v>1100</v>
      </c>
      <c r="J620">
        <f>F620</f>
        <v>230</v>
      </c>
      <c r="K620">
        <f t="shared" si="9"/>
        <v>0.20909090909090908</v>
      </c>
    </row>
    <row r="621" spans="1:11">
      <c r="A621">
        <v>2027</v>
      </c>
      <c r="B621">
        <v>6</v>
      </c>
      <c r="C621" t="s">
        <v>190</v>
      </c>
      <c r="D621" t="s">
        <v>160</v>
      </c>
      <c r="E621" t="s">
        <v>99</v>
      </c>
      <c r="F621">
        <v>1780</v>
      </c>
      <c r="G621">
        <v>6993.2587961643894</v>
      </c>
      <c r="H621">
        <v>2</v>
      </c>
      <c r="I621">
        <f>'Nacional · supuestos'!$B$20</f>
        <v>600</v>
      </c>
      <c r="J621">
        <f>F621*'Nacional · supuestos'!$B$4</f>
        <v>2100.4</v>
      </c>
      <c r="K621">
        <f t="shared" si="9"/>
        <v>2.9666666666666668</v>
      </c>
    </row>
    <row r="622" spans="1:11">
      <c r="A622">
        <v>2027</v>
      </c>
      <c r="B622">
        <v>6</v>
      </c>
      <c r="C622" t="s">
        <v>190</v>
      </c>
      <c r="D622" t="s">
        <v>160</v>
      </c>
      <c r="E622" t="s">
        <v>102</v>
      </c>
      <c r="F622">
        <v>980</v>
      </c>
      <c r="G622">
        <v>5097.43464551131</v>
      </c>
      <c r="H622">
        <v>1</v>
      </c>
      <c r="I622">
        <f>'Nacional · supuestos'!$B$25</f>
        <v>750</v>
      </c>
      <c r="J622">
        <f>F622</f>
        <v>980</v>
      </c>
      <c r="K622">
        <f t="shared" si="9"/>
        <v>1.3066666666666666</v>
      </c>
    </row>
    <row r="623" spans="1:11">
      <c r="A623">
        <v>2027</v>
      </c>
      <c r="B623">
        <v>6</v>
      </c>
      <c r="C623" t="s">
        <v>162</v>
      </c>
      <c r="D623" t="s">
        <v>160</v>
      </c>
      <c r="E623" t="s">
        <v>98</v>
      </c>
      <c r="F623">
        <v>1000</v>
      </c>
      <c r="G623">
        <v>1709.499165399892</v>
      </c>
      <c r="H623">
        <v>1</v>
      </c>
      <c r="I623">
        <f>'Nacional · supuestos'!$B$23</f>
        <v>1000</v>
      </c>
      <c r="J623">
        <f>F623*'Nacional · supuestos'!$B$4</f>
        <v>1180</v>
      </c>
      <c r="K623">
        <f t="shared" si="9"/>
        <v>1</v>
      </c>
    </row>
    <row r="624" spans="1:11">
      <c r="A624">
        <v>2027</v>
      </c>
      <c r="B624">
        <v>6</v>
      </c>
      <c r="C624" t="s">
        <v>162</v>
      </c>
      <c r="D624" t="s">
        <v>160</v>
      </c>
      <c r="E624" t="s">
        <v>104</v>
      </c>
      <c r="F624">
        <v>680</v>
      </c>
      <c r="G624">
        <v>1559.3967996574622</v>
      </c>
      <c r="H624">
        <v>1</v>
      </c>
      <c r="I624">
        <f>'Nacional · supuestos'!$B$21</f>
        <v>640</v>
      </c>
      <c r="J624">
        <f>F624*'Nacional · supuestos'!$B$4</f>
        <v>802.4</v>
      </c>
      <c r="K624">
        <f t="shared" si="9"/>
        <v>1.0625</v>
      </c>
    </row>
    <row r="625" spans="1:11">
      <c r="A625">
        <v>2027</v>
      </c>
      <c r="B625">
        <v>6</v>
      </c>
      <c r="C625" t="s">
        <v>162</v>
      </c>
      <c r="D625" t="s">
        <v>160</v>
      </c>
      <c r="E625" t="s">
        <v>101</v>
      </c>
      <c r="F625">
        <v>3600</v>
      </c>
      <c r="G625">
        <v>6304.2993611820393</v>
      </c>
      <c r="H625">
        <v>1</v>
      </c>
      <c r="I625">
        <f>'Nacional · supuestos'!$B$26</f>
        <v>800</v>
      </c>
      <c r="J625">
        <f>F625</f>
        <v>3600</v>
      </c>
      <c r="K625">
        <f t="shared" si="9"/>
        <v>4.5</v>
      </c>
    </row>
    <row r="626" spans="1:11">
      <c r="A626">
        <v>2027</v>
      </c>
      <c r="B626">
        <v>6</v>
      </c>
      <c r="C626" t="s">
        <v>163</v>
      </c>
      <c r="D626" t="s">
        <v>164</v>
      </c>
      <c r="E626" t="s">
        <v>103</v>
      </c>
      <c r="F626">
        <v>51</v>
      </c>
      <c r="G626">
        <v>263.9821119740991</v>
      </c>
      <c r="H626">
        <v>3</v>
      </c>
      <c r="I626">
        <f>'Nacional · supuestos'!$B$19</f>
        <v>528</v>
      </c>
      <c r="J626">
        <f>F626*'Nacional · supuestos'!$B$4</f>
        <v>60.18</v>
      </c>
      <c r="K626">
        <f t="shared" si="9"/>
        <v>9.6590909090909088E-2</v>
      </c>
    </row>
    <row r="627" spans="1:11">
      <c r="A627">
        <v>2027</v>
      </c>
      <c r="B627">
        <v>6</v>
      </c>
      <c r="C627" t="s">
        <v>163</v>
      </c>
      <c r="D627" t="s">
        <v>164</v>
      </c>
      <c r="E627" t="s">
        <v>104</v>
      </c>
      <c r="F627">
        <v>760</v>
      </c>
      <c r="G627">
        <v>1703.6618511765746</v>
      </c>
      <c r="H627">
        <v>2</v>
      </c>
      <c r="I627">
        <f>'Nacional · supuestos'!$B$21</f>
        <v>640</v>
      </c>
      <c r="J627">
        <f>F627*'Nacional · supuestos'!$B$4</f>
        <v>896.8</v>
      </c>
      <c r="K627">
        <f t="shared" si="9"/>
        <v>1.1875</v>
      </c>
    </row>
    <row r="628" spans="1:11">
      <c r="A628">
        <v>2027</v>
      </c>
      <c r="B628">
        <v>6</v>
      </c>
      <c r="C628" t="s">
        <v>163</v>
      </c>
      <c r="D628" t="s">
        <v>164</v>
      </c>
      <c r="E628" t="s">
        <v>105</v>
      </c>
      <c r="F628">
        <v>1000</v>
      </c>
      <c r="G628">
        <v>3129.217374713704</v>
      </c>
      <c r="H628">
        <v>2</v>
      </c>
      <c r="I628">
        <f>'Nacional · supuestos'!$B$22</f>
        <v>800</v>
      </c>
      <c r="J628">
        <f>F628*'Nacional · supuestos'!$B$4</f>
        <v>1180</v>
      </c>
      <c r="K628">
        <f t="shared" si="9"/>
        <v>1.25</v>
      </c>
    </row>
    <row r="629" spans="1:11">
      <c r="A629">
        <v>2027</v>
      </c>
      <c r="B629">
        <v>6</v>
      </c>
      <c r="C629" t="s">
        <v>163</v>
      </c>
      <c r="D629" t="s">
        <v>164</v>
      </c>
      <c r="E629" t="s">
        <v>99</v>
      </c>
      <c r="F629">
        <v>285</v>
      </c>
      <c r="G629">
        <v>1020.7482059255146</v>
      </c>
      <c r="H629">
        <v>3</v>
      </c>
      <c r="I629">
        <f>'Nacional · supuestos'!$B$20</f>
        <v>600</v>
      </c>
      <c r="J629">
        <f>F629*'Nacional · supuestos'!$B$4</f>
        <v>336.29999999999995</v>
      </c>
      <c r="K629">
        <f t="shared" si="9"/>
        <v>0.47499999999999998</v>
      </c>
    </row>
    <row r="630" spans="1:11">
      <c r="A630">
        <v>2027</v>
      </c>
      <c r="B630">
        <v>6</v>
      </c>
      <c r="C630" t="s">
        <v>163</v>
      </c>
      <c r="D630" t="s">
        <v>164</v>
      </c>
      <c r="E630" t="s">
        <v>101</v>
      </c>
      <c r="F630">
        <v>100</v>
      </c>
      <c r="G630">
        <v>185.54320209828091</v>
      </c>
      <c r="H630">
        <v>1</v>
      </c>
      <c r="I630">
        <f>'Nacional · supuestos'!$B$26</f>
        <v>800</v>
      </c>
      <c r="J630">
        <f>F630</f>
        <v>100</v>
      </c>
      <c r="K630">
        <f t="shared" si="9"/>
        <v>0.125</v>
      </c>
    </row>
    <row r="631" spans="1:11">
      <c r="A631">
        <v>2027</v>
      </c>
      <c r="B631">
        <v>6</v>
      </c>
      <c r="C631" t="s">
        <v>166</v>
      </c>
      <c r="D631" t="s">
        <v>160</v>
      </c>
      <c r="E631" t="s">
        <v>104</v>
      </c>
      <c r="F631">
        <v>500</v>
      </c>
      <c r="G631">
        <v>2611.155737394346</v>
      </c>
      <c r="H631">
        <v>1</v>
      </c>
      <c r="I631">
        <f>'Nacional · supuestos'!$B$21</f>
        <v>640</v>
      </c>
      <c r="J631">
        <f>F631*'Nacional · supuestos'!$B$4</f>
        <v>590</v>
      </c>
      <c r="K631">
        <f t="shared" si="9"/>
        <v>0.78125</v>
      </c>
    </row>
    <row r="632" spans="1:11">
      <c r="A632">
        <v>2027</v>
      </c>
      <c r="B632">
        <v>6</v>
      </c>
      <c r="C632" t="s">
        <v>166</v>
      </c>
      <c r="D632" t="s">
        <v>160</v>
      </c>
      <c r="E632" t="s">
        <v>101</v>
      </c>
      <c r="F632">
        <v>4200</v>
      </c>
      <c r="G632">
        <v>8064.2495995120244</v>
      </c>
      <c r="H632">
        <v>1</v>
      </c>
      <c r="I632">
        <f>'Nacional · supuestos'!$B$26</f>
        <v>800</v>
      </c>
      <c r="J632">
        <f>F632</f>
        <v>4200</v>
      </c>
      <c r="K632">
        <f t="shared" si="9"/>
        <v>5.25</v>
      </c>
    </row>
    <row r="633" spans="1:11">
      <c r="A633">
        <v>2027</v>
      </c>
      <c r="B633">
        <v>6</v>
      </c>
      <c r="C633" t="s">
        <v>191</v>
      </c>
      <c r="D633" t="s">
        <v>160</v>
      </c>
      <c r="E633" t="s">
        <v>99</v>
      </c>
      <c r="F633">
        <v>1275</v>
      </c>
      <c r="G633">
        <v>4397.2696519752699</v>
      </c>
      <c r="H633">
        <v>3</v>
      </c>
      <c r="I633">
        <f>'Nacional · supuestos'!$B$20</f>
        <v>600</v>
      </c>
      <c r="J633">
        <f>F633*'Nacional · supuestos'!$B$4</f>
        <v>1504.5</v>
      </c>
      <c r="K633">
        <f t="shared" si="9"/>
        <v>2.125</v>
      </c>
    </row>
    <row r="634" spans="1:11">
      <c r="A634">
        <v>2027</v>
      </c>
      <c r="B634">
        <v>6</v>
      </c>
      <c r="C634" t="s">
        <v>191</v>
      </c>
      <c r="D634" t="s">
        <v>160</v>
      </c>
      <c r="E634" t="s">
        <v>101</v>
      </c>
      <c r="F634">
        <v>1480</v>
      </c>
      <c r="G634">
        <v>2616.9930516176637</v>
      </c>
      <c r="H634">
        <v>2</v>
      </c>
      <c r="I634">
        <f>'Nacional · supuestos'!$B$26</f>
        <v>800</v>
      </c>
      <c r="J634">
        <f>F634</f>
        <v>1480</v>
      </c>
      <c r="K634">
        <f t="shared" si="9"/>
        <v>1.85</v>
      </c>
    </row>
    <row r="635" spans="1:11">
      <c r="A635">
        <v>2027</v>
      </c>
      <c r="B635">
        <v>6</v>
      </c>
      <c r="C635" t="s">
        <v>191</v>
      </c>
      <c r="D635" t="s">
        <v>160</v>
      </c>
      <c r="E635" t="s">
        <v>177</v>
      </c>
      <c r="F635">
        <v>50</v>
      </c>
      <c r="G635">
        <v>148.01761066267349</v>
      </c>
      <c r="H635">
        <v>1</v>
      </c>
      <c r="I635">
        <f>'Nacional · supuestos'!$B$28</f>
        <v>1100</v>
      </c>
      <c r="J635">
        <f>F635</f>
        <v>50</v>
      </c>
      <c r="K635">
        <f t="shared" si="9"/>
        <v>4.5454545454545456E-2</v>
      </c>
    </row>
    <row r="636" spans="1:11">
      <c r="A636">
        <v>2027</v>
      </c>
      <c r="B636">
        <v>6</v>
      </c>
      <c r="C636" t="s">
        <v>168</v>
      </c>
      <c r="D636" t="s">
        <v>160</v>
      </c>
      <c r="E636" t="s">
        <v>104</v>
      </c>
      <c r="F636">
        <v>1820</v>
      </c>
      <c r="G636">
        <v>9164.3748550992477</v>
      </c>
      <c r="H636">
        <v>3</v>
      </c>
      <c r="I636">
        <f>'Nacional · supuestos'!$B$21</f>
        <v>640</v>
      </c>
      <c r="J636">
        <f>F636*'Nacional · supuestos'!$B$4</f>
        <v>2147.6</v>
      </c>
      <c r="K636">
        <f t="shared" si="9"/>
        <v>2.84375</v>
      </c>
    </row>
    <row r="637" spans="1:11">
      <c r="A637">
        <v>2027</v>
      </c>
      <c r="B637">
        <v>6</v>
      </c>
      <c r="C637" t="s">
        <v>168</v>
      </c>
      <c r="D637" t="s">
        <v>160</v>
      </c>
      <c r="E637" t="s">
        <v>99</v>
      </c>
      <c r="F637">
        <v>120</v>
      </c>
      <c r="G637">
        <v>1602.3427543004352</v>
      </c>
      <c r="H637">
        <v>1</v>
      </c>
      <c r="I637">
        <f>'Nacional · supuestos'!$B$20</f>
        <v>600</v>
      </c>
      <c r="J637">
        <f>F637*'Nacional · supuestos'!$B$4</f>
        <v>141.6</v>
      </c>
      <c r="K637">
        <f t="shared" si="9"/>
        <v>0.2</v>
      </c>
    </row>
    <row r="638" spans="1:11">
      <c r="A638">
        <v>2027</v>
      </c>
      <c r="B638">
        <v>6</v>
      </c>
      <c r="C638" t="s">
        <v>168</v>
      </c>
      <c r="D638" t="s">
        <v>160</v>
      </c>
      <c r="E638" t="s">
        <v>101</v>
      </c>
      <c r="F638">
        <v>640</v>
      </c>
      <c r="G638">
        <v>1194.1477096842168</v>
      </c>
      <c r="H638">
        <v>1</v>
      </c>
      <c r="I638">
        <f>'Nacional · supuestos'!$B$26</f>
        <v>800</v>
      </c>
      <c r="J638">
        <f>F638</f>
        <v>640</v>
      </c>
      <c r="K638">
        <f t="shared" si="9"/>
        <v>0.8</v>
      </c>
    </row>
    <row r="639" spans="1:11">
      <c r="A639">
        <v>2027</v>
      </c>
      <c r="B639">
        <v>6</v>
      </c>
      <c r="C639" t="s">
        <v>214</v>
      </c>
      <c r="D639" t="s">
        <v>160</v>
      </c>
      <c r="E639" t="s">
        <v>99</v>
      </c>
      <c r="F639">
        <v>60</v>
      </c>
      <c r="G639">
        <v>277.27242560754337</v>
      </c>
      <c r="H639">
        <v>3</v>
      </c>
      <c r="I639">
        <f>'Nacional · supuestos'!$B$20</f>
        <v>600</v>
      </c>
      <c r="J639">
        <f>F639*'Nacional · supuestos'!$B$4</f>
        <v>70.8</v>
      </c>
      <c r="K639">
        <f t="shared" si="9"/>
        <v>0.1</v>
      </c>
    </row>
    <row r="640" spans="1:11">
      <c r="A640">
        <v>2027</v>
      </c>
      <c r="B640">
        <v>6</v>
      </c>
      <c r="C640" t="s">
        <v>170</v>
      </c>
      <c r="D640" t="s">
        <v>160</v>
      </c>
      <c r="E640" t="s">
        <v>104</v>
      </c>
      <c r="F640">
        <v>2320</v>
      </c>
      <c r="G640">
        <v>7614.3594533006872</v>
      </c>
      <c r="H640">
        <v>2</v>
      </c>
      <c r="I640">
        <f>'Nacional · supuestos'!$B$21</f>
        <v>640</v>
      </c>
      <c r="J640">
        <f>F640*'Nacional · supuestos'!$B$4</f>
        <v>2737.6</v>
      </c>
      <c r="K640">
        <f t="shared" si="9"/>
        <v>3.625</v>
      </c>
    </row>
    <row r="641" spans="1:11">
      <c r="A641">
        <v>2027</v>
      </c>
      <c r="B641">
        <v>6</v>
      </c>
      <c r="C641" t="s">
        <v>170</v>
      </c>
      <c r="D641" t="s">
        <v>160</v>
      </c>
      <c r="E641" t="s">
        <v>99</v>
      </c>
      <c r="F641">
        <v>405</v>
      </c>
      <c r="G641">
        <v>2613.1710006381109</v>
      </c>
      <c r="H641">
        <v>2</v>
      </c>
      <c r="I641">
        <f>'Nacional · supuestos'!$B$20</f>
        <v>600</v>
      </c>
      <c r="J641">
        <f>F641*'Nacional · supuestos'!$B$4</f>
        <v>477.9</v>
      </c>
      <c r="K641">
        <f t="shared" si="9"/>
        <v>0.67500000000000004</v>
      </c>
    </row>
    <row r="642" spans="1:11">
      <c r="A642">
        <v>2027</v>
      </c>
      <c r="B642">
        <v>6</v>
      </c>
      <c r="C642" t="s">
        <v>170</v>
      </c>
      <c r="D642" t="s">
        <v>160</v>
      </c>
      <c r="E642" t="s">
        <v>102</v>
      </c>
      <c r="F642">
        <v>105</v>
      </c>
      <c r="G642">
        <v>531.92525859973443</v>
      </c>
      <c r="H642">
        <v>1</v>
      </c>
      <c r="I642">
        <f>'Nacional · supuestos'!$B$25</f>
        <v>750</v>
      </c>
      <c r="J642">
        <f>F642</f>
        <v>105</v>
      </c>
      <c r="K642">
        <f t="shared" si="9"/>
        <v>0.14000000000000001</v>
      </c>
    </row>
    <row r="643" spans="1:11">
      <c r="A643">
        <v>2027</v>
      </c>
      <c r="B643">
        <v>6</v>
      </c>
      <c r="C643" t="s">
        <v>201</v>
      </c>
      <c r="D643" t="s">
        <v>160</v>
      </c>
      <c r="E643" t="s">
        <v>103</v>
      </c>
      <c r="F643">
        <v>15</v>
      </c>
      <c r="G643">
        <v>218.1175002194679</v>
      </c>
      <c r="H643">
        <v>1</v>
      </c>
      <c r="I643">
        <f>'Nacional · supuestos'!$B$19</f>
        <v>528</v>
      </c>
      <c r="J643">
        <f>F643*'Nacional · supuestos'!$B$4</f>
        <v>17.7</v>
      </c>
      <c r="K643">
        <f t="shared" si="9"/>
        <v>2.8409090909090908E-2</v>
      </c>
    </row>
    <row r="644" spans="1:11">
      <c r="A644">
        <v>2027</v>
      </c>
      <c r="B644">
        <v>6</v>
      </c>
      <c r="C644" t="s">
        <v>201</v>
      </c>
      <c r="D644" t="s">
        <v>160</v>
      </c>
      <c r="E644" t="s">
        <v>104</v>
      </c>
      <c r="F644">
        <v>140</v>
      </c>
      <c r="G644">
        <v>386.93054280270724</v>
      </c>
      <c r="H644">
        <v>2</v>
      </c>
      <c r="I644">
        <f>'Nacional · supuestos'!$B$21</f>
        <v>640</v>
      </c>
      <c r="J644">
        <f>F644*'Nacional · supuestos'!$B$4</f>
        <v>165.2</v>
      </c>
      <c r="K644">
        <f t="shared" si="9"/>
        <v>0.21875</v>
      </c>
    </row>
    <row r="645" spans="1:11">
      <c r="A645">
        <v>2027</v>
      </c>
      <c r="B645">
        <v>6</v>
      </c>
      <c r="C645" t="s">
        <v>201</v>
      </c>
      <c r="D645" t="s">
        <v>160</v>
      </c>
      <c r="E645" t="s">
        <v>99</v>
      </c>
      <c r="F645">
        <v>605</v>
      </c>
      <c r="G645">
        <v>2907.8511311616166</v>
      </c>
      <c r="H645">
        <v>9</v>
      </c>
      <c r="I645">
        <f>'Nacional · supuestos'!$B$20</f>
        <v>600</v>
      </c>
      <c r="J645">
        <f>F645*'Nacional · supuestos'!$B$4</f>
        <v>713.9</v>
      </c>
      <c r="K645">
        <f t="shared" si="9"/>
        <v>1.0083333333333333</v>
      </c>
    </row>
    <row r="646" spans="1:11">
      <c r="A646">
        <v>2027</v>
      </c>
      <c r="B646">
        <v>6</v>
      </c>
      <c r="C646" t="s">
        <v>201</v>
      </c>
      <c r="D646" t="s">
        <v>160</v>
      </c>
      <c r="E646" t="s">
        <v>102</v>
      </c>
      <c r="F646">
        <v>100</v>
      </c>
      <c r="G646">
        <v>506.59548438069947</v>
      </c>
      <c r="H646">
        <v>1</v>
      </c>
      <c r="I646">
        <f>'Nacional · supuestos'!$B$25</f>
        <v>750</v>
      </c>
      <c r="J646">
        <f>F646</f>
        <v>100</v>
      </c>
      <c r="K646">
        <f t="shared" si="9"/>
        <v>0.13333333333333333</v>
      </c>
    </row>
    <row r="647" spans="1:11">
      <c r="A647">
        <v>2027</v>
      </c>
      <c r="B647">
        <v>6</v>
      </c>
      <c r="C647" t="s">
        <v>215</v>
      </c>
      <c r="D647" t="s">
        <v>160</v>
      </c>
      <c r="E647" t="s">
        <v>104</v>
      </c>
      <c r="F647">
        <v>640</v>
      </c>
      <c r="G647">
        <v>1936.945944601267</v>
      </c>
      <c r="H647">
        <v>5</v>
      </c>
      <c r="I647">
        <f>'Nacional · supuestos'!$B$21</f>
        <v>640</v>
      </c>
      <c r="J647">
        <f>F647*'Nacional · supuestos'!$B$4</f>
        <v>755.19999999999993</v>
      </c>
      <c r="K647">
        <f t="shared" ref="K647:K710" si="10">F647/I647</f>
        <v>1</v>
      </c>
    </row>
    <row r="648" spans="1:11">
      <c r="A648">
        <v>2027</v>
      </c>
      <c r="B648">
        <v>6</v>
      </c>
      <c r="C648" t="s">
        <v>215</v>
      </c>
      <c r="D648" t="s">
        <v>160</v>
      </c>
      <c r="E648" t="s">
        <v>101</v>
      </c>
      <c r="F648">
        <v>220</v>
      </c>
      <c r="G648">
        <v>768.02377138209761</v>
      </c>
      <c r="H648">
        <v>2</v>
      </c>
      <c r="I648">
        <f>'Nacional · supuestos'!$B$26</f>
        <v>800</v>
      </c>
      <c r="J648">
        <f>F648</f>
        <v>220</v>
      </c>
      <c r="K648">
        <f t="shared" si="10"/>
        <v>0.27500000000000002</v>
      </c>
    </row>
    <row r="649" spans="1:11">
      <c r="A649">
        <v>2027</v>
      </c>
      <c r="B649">
        <v>6</v>
      </c>
      <c r="C649" t="s">
        <v>216</v>
      </c>
      <c r="D649" t="s">
        <v>160</v>
      </c>
      <c r="E649" t="s">
        <v>99</v>
      </c>
      <c r="F649">
        <v>1710</v>
      </c>
      <c r="G649">
        <v>5160.0424465002316</v>
      </c>
      <c r="H649">
        <v>4</v>
      </c>
      <c r="I649">
        <f>'Nacional · supuestos'!$B$20</f>
        <v>600</v>
      </c>
      <c r="J649">
        <f>F649*'Nacional · supuestos'!$B$4</f>
        <v>2017.8</v>
      </c>
      <c r="K649">
        <f t="shared" si="10"/>
        <v>2.85</v>
      </c>
    </row>
    <row r="650" spans="1:11">
      <c r="A650">
        <v>2027</v>
      </c>
      <c r="B650">
        <v>6</v>
      </c>
      <c r="C650" t="s">
        <v>216</v>
      </c>
      <c r="D650" t="s">
        <v>160</v>
      </c>
      <c r="E650" t="s">
        <v>101</v>
      </c>
      <c r="F650">
        <v>340</v>
      </c>
      <c r="G650">
        <v>623.758719862985</v>
      </c>
      <c r="H650">
        <v>1</v>
      </c>
      <c r="I650">
        <f>'Nacional · supuestos'!$B$26</f>
        <v>800</v>
      </c>
      <c r="J650">
        <f>F650</f>
        <v>340</v>
      </c>
      <c r="K650">
        <f t="shared" si="10"/>
        <v>0.42499999999999999</v>
      </c>
    </row>
    <row r="651" spans="1:11">
      <c r="A651">
        <v>2027</v>
      </c>
      <c r="B651">
        <v>6</v>
      </c>
      <c r="C651" t="s">
        <v>216</v>
      </c>
      <c r="D651" t="s">
        <v>160</v>
      </c>
      <c r="E651" t="s">
        <v>102</v>
      </c>
      <c r="F651">
        <v>390</v>
      </c>
      <c r="G651">
        <v>2073.2889268173071</v>
      </c>
      <c r="H651">
        <v>1</v>
      </c>
      <c r="I651">
        <f>'Nacional · supuestos'!$B$25</f>
        <v>750</v>
      </c>
      <c r="J651">
        <f>F651</f>
        <v>390</v>
      </c>
      <c r="K651">
        <f t="shared" si="10"/>
        <v>0.52</v>
      </c>
    </row>
    <row r="652" spans="1:11">
      <c r="A652">
        <v>2027</v>
      </c>
      <c r="B652">
        <v>6</v>
      </c>
      <c r="C652" t="s">
        <v>210</v>
      </c>
      <c r="D652" t="s">
        <v>160</v>
      </c>
      <c r="E652" t="s">
        <v>104</v>
      </c>
      <c r="F652">
        <v>740</v>
      </c>
      <c r="G652">
        <v>2375.7868888898979</v>
      </c>
      <c r="H652">
        <v>1</v>
      </c>
      <c r="I652">
        <f>'Nacional · supuestos'!$B$21</f>
        <v>640</v>
      </c>
      <c r="J652">
        <f>F652*'Nacional · supuestos'!$B$4</f>
        <v>873.19999999999993</v>
      </c>
      <c r="K652">
        <f t="shared" si="10"/>
        <v>1.15625</v>
      </c>
    </row>
    <row r="653" spans="1:11">
      <c r="A653">
        <v>2027</v>
      </c>
      <c r="B653">
        <v>6</v>
      </c>
      <c r="C653" t="s">
        <v>211</v>
      </c>
      <c r="D653" t="s">
        <v>160</v>
      </c>
      <c r="E653" t="s">
        <v>104</v>
      </c>
      <c r="F653">
        <v>840</v>
      </c>
      <c r="G653">
        <v>5288.6066863249325</v>
      </c>
      <c r="H653">
        <v>1</v>
      </c>
      <c r="I653">
        <f>'Nacional · supuestos'!$B$21</f>
        <v>640</v>
      </c>
      <c r="J653">
        <f>F653*'Nacional · supuestos'!$B$4</f>
        <v>991.19999999999993</v>
      </c>
      <c r="K653">
        <f t="shared" si="10"/>
        <v>1.3125</v>
      </c>
    </row>
    <row r="654" spans="1:11">
      <c r="A654">
        <v>2027</v>
      </c>
      <c r="B654">
        <v>6</v>
      </c>
      <c r="C654" t="s">
        <v>211</v>
      </c>
      <c r="D654" t="s">
        <v>160</v>
      </c>
      <c r="E654" t="s">
        <v>99</v>
      </c>
      <c r="F654">
        <v>750</v>
      </c>
      <c r="G654">
        <v>3439.8458815973431</v>
      </c>
      <c r="H654">
        <v>1</v>
      </c>
      <c r="I654">
        <f>'Nacional · supuestos'!$B$20</f>
        <v>600</v>
      </c>
      <c r="J654">
        <f>F654*'Nacional · supuestos'!$B$4</f>
        <v>885</v>
      </c>
      <c r="K654">
        <f t="shared" si="10"/>
        <v>1.25</v>
      </c>
    </row>
    <row r="655" spans="1:11">
      <c r="A655">
        <v>2027</v>
      </c>
      <c r="B655">
        <v>6</v>
      </c>
      <c r="C655" t="s">
        <v>211</v>
      </c>
      <c r="D655" t="s">
        <v>160</v>
      </c>
      <c r="E655" t="s">
        <v>197</v>
      </c>
      <c r="F655">
        <v>1255</v>
      </c>
      <c r="G655">
        <v>3375.1142363709196</v>
      </c>
      <c r="H655">
        <v>1</v>
      </c>
      <c r="I655">
        <f>'Nacional · supuestos'!$B$30</f>
        <v>1100</v>
      </c>
      <c r="J655">
        <f>F655</f>
        <v>1255</v>
      </c>
      <c r="K655">
        <f t="shared" si="10"/>
        <v>1.1409090909090909</v>
      </c>
    </row>
    <row r="656" spans="1:11">
      <c r="A656">
        <v>2027</v>
      </c>
      <c r="B656">
        <v>6</v>
      </c>
      <c r="C656" t="s">
        <v>202</v>
      </c>
      <c r="D656" t="s">
        <v>160</v>
      </c>
      <c r="E656" t="s">
        <v>104</v>
      </c>
      <c r="F656">
        <v>2200</v>
      </c>
      <c r="G656">
        <v>7269.5409631090506</v>
      </c>
      <c r="H656">
        <v>1</v>
      </c>
      <c r="I656">
        <f>'Nacional · supuestos'!$B$21</f>
        <v>640</v>
      </c>
      <c r="J656">
        <f>F656*'Nacional · supuestos'!$B$4</f>
        <v>2596</v>
      </c>
      <c r="K656">
        <f t="shared" si="10"/>
        <v>3.4375</v>
      </c>
    </row>
    <row r="657" spans="1:11">
      <c r="A657">
        <v>2027</v>
      </c>
      <c r="B657">
        <v>6</v>
      </c>
      <c r="C657" t="s">
        <v>202</v>
      </c>
      <c r="D657" t="s">
        <v>160</v>
      </c>
      <c r="E657" t="s">
        <v>101</v>
      </c>
      <c r="F657">
        <v>2340</v>
      </c>
      <c r="G657">
        <v>4707.5854455969466</v>
      </c>
      <c r="H657">
        <v>1</v>
      </c>
      <c r="I657">
        <f>'Nacional · supuestos'!$B$26</f>
        <v>800</v>
      </c>
      <c r="J657">
        <f>F657</f>
        <v>2340</v>
      </c>
      <c r="K657">
        <f t="shared" si="10"/>
        <v>2.9249999999999998</v>
      </c>
    </row>
    <row r="658" spans="1:11">
      <c r="A658">
        <v>2027</v>
      </c>
      <c r="B658">
        <v>6</v>
      </c>
      <c r="C658" t="s">
        <v>171</v>
      </c>
      <c r="D658" t="s">
        <v>164</v>
      </c>
      <c r="E658" t="s">
        <v>104</v>
      </c>
      <c r="F658">
        <v>1400</v>
      </c>
      <c r="G658">
        <v>4436.3588097206939</v>
      </c>
      <c r="H658">
        <v>1</v>
      </c>
      <c r="I658">
        <f>'Nacional · supuestos'!$B$21</f>
        <v>640</v>
      </c>
      <c r="J658">
        <f>F658*'Nacional · supuestos'!$B$4</f>
        <v>1652</v>
      </c>
      <c r="K658">
        <f t="shared" si="10"/>
        <v>2.1875</v>
      </c>
    </row>
    <row r="659" spans="1:11">
      <c r="A659">
        <v>2027</v>
      </c>
      <c r="B659">
        <v>6</v>
      </c>
      <c r="C659" t="s">
        <v>171</v>
      </c>
      <c r="D659" t="s">
        <v>164</v>
      </c>
      <c r="E659" t="s">
        <v>99</v>
      </c>
      <c r="F659">
        <v>255</v>
      </c>
      <c r="G659">
        <v>1153.5992233829634</v>
      </c>
      <c r="H659">
        <v>1</v>
      </c>
      <c r="I659">
        <f>'Nacional · supuestos'!$B$20</f>
        <v>600</v>
      </c>
      <c r="J659">
        <f>F659*'Nacional · supuestos'!$B$4</f>
        <v>300.89999999999998</v>
      </c>
      <c r="K659">
        <f t="shared" si="10"/>
        <v>0.42499999999999999</v>
      </c>
    </row>
    <row r="660" spans="1:11">
      <c r="A660">
        <v>2027</v>
      </c>
      <c r="B660">
        <v>6</v>
      </c>
      <c r="C660" t="s">
        <v>171</v>
      </c>
      <c r="D660" t="s">
        <v>164</v>
      </c>
      <c r="E660" t="s">
        <v>102</v>
      </c>
      <c r="F660">
        <v>4065</v>
      </c>
      <c r="G660">
        <v>8997.6986864727587</v>
      </c>
      <c r="H660">
        <v>2</v>
      </c>
      <c r="I660">
        <f>'Nacional · supuestos'!$B$25</f>
        <v>750</v>
      </c>
      <c r="J660">
        <f>F660</f>
        <v>4065</v>
      </c>
      <c r="K660">
        <f t="shared" si="10"/>
        <v>5.42</v>
      </c>
    </row>
    <row r="661" spans="1:11">
      <c r="A661">
        <v>2027</v>
      </c>
      <c r="B661">
        <v>6</v>
      </c>
      <c r="C661" t="s">
        <v>172</v>
      </c>
      <c r="D661" t="s">
        <v>160</v>
      </c>
      <c r="E661" t="s">
        <v>103</v>
      </c>
      <c r="F661">
        <v>51</v>
      </c>
      <c r="G661">
        <v>983.4832088748766</v>
      </c>
      <c r="H661">
        <v>1</v>
      </c>
      <c r="I661">
        <f>'Nacional · supuestos'!$B$19</f>
        <v>528</v>
      </c>
      <c r="J661">
        <f>F661*'Nacional · supuestos'!$B$4</f>
        <v>60.18</v>
      </c>
      <c r="K661">
        <f t="shared" si="10"/>
        <v>9.6590909090909088E-2</v>
      </c>
    </row>
    <row r="662" spans="1:11">
      <c r="A662">
        <v>2027</v>
      </c>
      <c r="B662">
        <v>6</v>
      </c>
      <c r="C662" t="s">
        <v>172</v>
      </c>
      <c r="D662" t="s">
        <v>160</v>
      </c>
      <c r="E662" t="s">
        <v>104</v>
      </c>
      <c r="F662">
        <v>4100</v>
      </c>
      <c r="G662">
        <v>9932.8155774972965</v>
      </c>
      <c r="H662">
        <v>2</v>
      </c>
      <c r="I662">
        <f>'Nacional · supuestos'!$B$21</f>
        <v>640</v>
      </c>
      <c r="J662">
        <f>F662*'Nacional · supuestos'!$B$4</f>
        <v>4838</v>
      </c>
      <c r="K662">
        <f t="shared" si="10"/>
        <v>6.40625</v>
      </c>
    </row>
    <row r="663" spans="1:11">
      <c r="A663">
        <v>2027</v>
      </c>
      <c r="B663">
        <v>6</v>
      </c>
      <c r="C663" t="s">
        <v>172</v>
      </c>
      <c r="D663" t="s">
        <v>160</v>
      </c>
      <c r="E663" t="s">
        <v>99</v>
      </c>
      <c r="F663">
        <v>1330</v>
      </c>
      <c r="G663">
        <v>7839.2002886523696</v>
      </c>
      <c r="H663">
        <v>7</v>
      </c>
      <c r="I663">
        <f>'Nacional · supuestos'!$B$20</f>
        <v>600</v>
      </c>
      <c r="J663">
        <f>F663*'Nacional · supuestos'!$B$4</f>
        <v>1569.3999999999999</v>
      </c>
      <c r="K663">
        <f t="shared" si="10"/>
        <v>2.2166666666666668</v>
      </c>
    </row>
    <row r="664" spans="1:11">
      <c r="A664">
        <v>2027</v>
      </c>
      <c r="B664">
        <v>6</v>
      </c>
      <c r="C664" t="s">
        <v>172</v>
      </c>
      <c r="D664" t="s">
        <v>160</v>
      </c>
      <c r="E664" t="s">
        <v>177</v>
      </c>
      <c r="F664">
        <v>300</v>
      </c>
      <c r="G664">
        <v>719.24050251580798</v>
      </c>
      <c r="H664">
        <v>1</v>
      </c>
      <c r="I664">
        <f>'Nacional · supuestos'!$B$28</f>
        <v>1100</v>
      </c>
      <c r="J664">
        <f>F664</f>
        <v>300</v>
      </c>
      <c r="K664">
        <f t="shared" si="10"/>
        <v>0.27272727272727271</v>
      </c>
    </row>
    <row r="665" spans="1:11">
      <c r="A665">
        <v>2027</v>
      </c>
      <c r="B665">
        <v>6</v>
      </c>
      <c r="C665" t="s">
        <v>203</v>
      </c>
      <c r="D665" t="s">
        <v>160</v>
      </c>
      <c r="E665" t="s">
        <v>101</v>
      </c>
      <c r="F665">
        <v>2100</v>
      </c>
      <c r="G665">
        <v>3918.2971724013369</v>
      </c>
      <c r="H665">
        <v>1</v>
      </c>
      <c r="I665">
        <f>'Nacional · supuestos'!$B$26</f>
        <v>800</v>
      </c>
      <c r="J665">
        <f>F665</f>
        <v>2100</v>
      </c>
      <c r="K665">
        <f t="shared" si="10"/>
        <v>2.625</v>
      </c>
    </row>
    <row r="666" spans="1:11">
      <c r="A666">
        <v>2027</v>
      </c>
      <c r="B666">
        <v>6</v>
      </c>
      <c r="C666" t="s">
        <v>173</v>
      </c>
      <c r="D666" t="s">
        <v>160</v>
      </c>
      <c r="E666" t="s">
        <v>98</v>
      </c>
      <c r="F666">
        <v>10000</v>
      </c>
      <c r="G666">
        <v>24224.854026764318</v>
      </c>
      <c r="H666">
        <v>4</v>
      </c>
      <c r="I666">
        <f>'Nacional · supuestos'!$B$23</f>
        <v>1000</v>
      </c>
      <c r="J666">
        <f>F666*'Nacional · supuestos'!$B$4</f>
        <v>11800</v>
      </c>
      <c r="K666">
        <f t="shared" si="10"/>
        <v>10</v>
      </c>
    </row>
    <row r="667" spans="1:11">
      <c r="A667">
        <v>2027</v>
      </c>
      <c r="B667">
        <v>6</v>
      </c>
      <c r="C667" t="s">
        <v>173</v>
      </c>
      <c r="D667" t="s">
        <v>160</v>
      </c>
      <c r="E667" t="s">
        <v>104</v>
      </c>
      <c r="F667">
        <v>1340</v>
      </c>
      <c r="G667">
        <v>3812.3916143497327</v>
      </c>
      <c r="H667">
        <v>3</v>
      </c>
      <c r="I667">
        <f>'Nacional · supuestos'!$B$21</f>
        <v>640</v>
      </c>
      <c r="J667">
        <f>F667*'Nacional · supuestos'!$B$4</f>
        <v>1581.1999999999998</v>
      </c>
      <c r="K667">
        <f t="shared" si="10"/>
        <v>2.09375</v>
      </c>
    </row>
    <row r="668" spans="1:11">
      <c r="A668">
        <v>2027</v>
      </c>
      <c r="B668">
        <v>6</v>
      </c>
      <c r="C668" t="s">
        <v>173</v>
      </c>
      <c r="D668" t="s">
        <v>160</v>
      </c>
      <c r="E668" t="s">
        <v>105</v>
      </c>
      <c r="F668">
        <v>800</v>
      </c>
      <c r="G668">
        <v>2583.0115438176404</v>
      </c>
      <c r="H668">
        <v>3</v>
      </c>
      <c r="I668">
        <f>'Nacional · supuestos'!$B$22</f>
        <v>800</v>
      </c>
      <c r="J668">
        <f>F668*'Nacional · supuestos'!$B$4</f>
        <v>944</v>
      </c>
      <c r="K668">
        <f t="shared" si="10"/>
        <v>1</v>
      </c>
    </row>
    <row r="669" spans="1:11">
      <c r="A669">
        <v>2027</v>
      </c>
      <c r="B669">
        <v>6</v>
      </c>
      <c r="C669" t="s">
        <v>173</v>
      </c>
      <c r="D669" t="s">
        <v>160</v>
      </c>
      <c r="E669" t="s">
        <v>99</v>
      </c>
      <c r="F669">
        <v>1300</v>
      </c>
      <c r="G669">
        <v>5973.5008489017609</v>
      </c>
      <c r="H669">
        <v>5</v>
      </c>
      <c r="I669">
        <f>'Nacional · supuestos'!$B$20</f>
        <v>600</v>
      </c>
      <c r="J669">
        <f>F669*'Nacional · supuestos'!$B$4</f>
        <v>1534</v>
      </c>
      <c r="K669">
        <f t="shared" si="10"/>
        <v>2.1666666666666665</v>
      </c>
    </row>
    <row r="670" spans="1:11">
      <c r="A670">
        <v>2027</v>
      </c>
      <c r="B670">
        <v>6</v>
      </c>
      <c r="C670" t="s">
        <v>173</v>
      </c>
      <c r="D670" t="s">
        <v>160</v>
      </c>
      <c r="E670" t="s">
        <v>101</v>
      </c>
      <c r="F670">
        <v>9480</v>
      </c>
      <c r="G670">
        <v>16438.710754891737</v>
      </c>
      <c r="H670">
        <v>3</v>
      </c>
      <c r="I670">
        <f>'Nacional · supuestos'!$B$26</f>
        <v>800</v>
      </c>
      <c r="J670">
        <f>F670</f>
        <v>9480</v>
      </c>
      <c r="K670">
        <f t="shared" si="10"/>
        <v>11.85</v>
      </c>
    </row>
    <row r="671" spans="1:11">
      <c r="A671">
        <v>2027</v>
      </c>
      <c r="B671">
        <v>6</v>
      </c>
      <c r="C671" t="s">
        <v>173</v>
      </c>
      <c r="D671" t="s">
        <v>160</v>
      </c>
      <c r="E671" t="s">
        <v>102</v>
      </c>
      <c r="F671">
        <v>215</v>
      </c>
      <c r="G671">
        <v>1008.5002698319482</v>
      </c>
      <c r="H671">
        <v>1</v>
      </c>
      <c r="I671">
        <f>'Nacional · supuestos'!$B$25</f>
        <v>750</v>
      </c>
      <c r="J671">
        <f>F671</f>
        <v>215</v>
      </c>
      <c r="K671">
        <f t="shared" si="10"/>
        <v>0.28666666666666668</v>
      </c>
    </row>
    <row r="672" spans="1:11">
      <c r="A672">
        <v>2027</v>
      </c>
      <c r="B672">
        <v>6</v>
      </c>
      <c r="C672" t="s">
        <v>217</v>
      </c>
      <c r="D672" t="s">
        <v>160</v>
      </c>
      <c r="E672" t="s">
        <v>104</v>
      </c>
      <c r="F672">
        <v>80</v>
      </c>
      <c r="G672">
        <v>173.45162263569631</v>
      </c>
      <c r="H672">
        <v>1</v>
      </c>
      <c r="I672">
        <f>'Nacional · supuestos'!$B$21</f>
        <v>640</v>
      </c>
      <c r="J672">
        <f>F672*'Nacional · supuestos'!$B$4</f>
        <v>94.399999999999991</v>
      </c>
      <c r="K672">
        <f t="shared" si="10"/>
        <v>0.125</v>
      </c>
    </row>
    <row r="673" spans="1:11">
      <c r="A673">
        <v>2027</v>
      </c>
      <c r="B673">
        <v>6</v>
      </c>
      <c r="C673" t="s">
        <v>217</v>
      </c>
      <c r="D673" t="s">
        <v>160</v>
      </c>
      <c r="E673" t="s">
        <v>99</v>
      </c>
      <c r="F673">
        <v>20</v>
      </c>
      <c r="G673">
        <v>69.630819663849223</v>
      </c>
      <c r="H673">
        <v>1</v>
      </c>
      <c r="I673">
        <f>'Nacional · supuestos'!$B$20</f>
        <v>600</v>
      </c>
      <c r="J673">
        <f>F673*'Nacional · supuestos'!$B$4</f>
        <v>23.599999999999998</v>
      </c>
      <c r="K673">
        <f t="shared" si="10"/>
        <v>3.3333333333333333E-2</v>
      </c>
    </row>
    <row r="674" spans="1:11">
      <c r="A674">
        <v>2027</v>
      </c>
      <c r="B674">
        <v>6</v>
      </c>
      <c r="C674" t="s">
        <v>217</v>
      </c>
      <c r="D674" t="s">
        <v>160</v>
      </c>
      <c r="E674" t="s">
        <v>101</v>
      </c>
      <c r="F674">
        <v>40</v>
      </c>
      <c r="G674">
        <v>70.047770679800436</v>
      </c>
      <c r="H674">
        <v>1</v>
      </c>
      <c r="I674">
        <f>'Nacional · supuestos'!$B$26</f>
        <v>800</v>
      </c>
      <c r="J674">
        <f>F674</f>
        <v>40</v>
      </c>
      <c r="K674">
        <f t="shared" si="10"/>
        <v>0.05</v>
      </c>
    </row>
    <row r="675" spans="1:11">
      <c r="A675">
        <v>2027</v>
      </c>
      <c r="B675">
        <v>6</v>
      </c>
      <c r="C675" t="s">
        <v>217</v>
      </c>
      <c r="D675" t="s">
        <v>160</v>
      </c>
      <c r="E675" t="s">
        <v>102</v>
      </c>
      <c r="F675">
        <v>20</v>
      </c>
      <c r="G675">
        <v>38.984919991436541</v>
      </c>
      <c r="H675">
        <v>1</v>
      </c>
      <c r="I675">
        <f>'Nacional · supuestos'!$B$25</f>
        <v>750</v>
      </c>
      <c r="J675">
        <f>F675</f>
        <v>20</v>
      </c>
      <c r="K675">
        <f t="shared" si="10"/>
        <v>2.6666666666666668E-2</v>
      </c>
    </row>
    <row r="676" spans="1:11">
      <c r="A676">
        <v>2027</v>
      </c>
      <c r="B676">
        <v>6</v>
      </c>
      <c r="C676" t="s">
        <v>174</v>
      </c>
      <c r="D676" t="s">
        <v>160</v>
      </c>
      <c r="E676" t="s">
        <v>98</v>
      </c>
      <c r="F676">
        <v>7000</v>
      </c>
      <c r="G676">
        <v>13227.770981051599</v>
      </c>
      <c r="H676">
        <v>2</v>
      </c>
      <c r="I676">
        <f>'Nacional · supuestos'!$B$23</f>
        <v>1000</v>
      </c>
      <c r="J676">
        <f>F676*'Nacional · supuestos'!$B$4</f>
        <v>8260</v>
      </c>
      <c r="K676">
        <f t="shared" si="10"/>
        <v>7</v>
      </c>
    </row>
    <row r="677" spans="1:11">
      <c r="A677">
        <v>2027</v>
      </c>
      <c r="B677">
        <v>6</v>
      </c>
      <c r="C677" t="s">
        <v>174</v>
      </c>
      <c r="D677" t="s">
        <v>160</v>
      </c>
      <c r="E677" t="s">
        <v>104</v>
      </c>
      <c r="F677">
        <v>7640</v>
      </c>
      <c r="G677">
        <v>20105.377989166533</v>
      </c>
      <c r="H677">
        <v>6</v>
      </c>
      <c r="I677">
        <f>'Nacional · supuestos'!$B$21</f>
        <v>640</v>
      </c>
      <c r="J677">
        <f>F677*'Nacional · supuestos'!$B$4</f>
        <v>9015.1999999999989</v>
      </c>
      <c r="K677">
        <f t="shared" si="10"/>
        <v>11.9375</v>
      </c>
    </row>
    <row r="678" spans="1:11">
      <c r="A678">
        <v>2027</v>
      </c>
      <c r="B678">
        <v>6</v>
      </c>
      <c r="C678" t="s">
        <v>174</v>
      </c>
      <c r="D678" t="s">
        <v>160</v>
      </c>
      <c r="E678" t="s">
        <v>105</v>
      </c>
      <c r="F678">
        <v>10000</v>
      </c>
      <c r="G678">
        <v>21262.417058431085</v>
      </c>
      <c r="H678">
        <v>2</v>
      </c>
      <c r="I678">
        <f>'Nacional · supuestos'!$B$22</f>
        <v>800</v>
      </c>
      <c r="J678">
        <f>F678*'Nacional · supuestos'!$B$4</f>
        <v>11800</v>
      </c>
      <c r="K678">
        <f t="shared" si="10"/>
        <v>12.5</v>
      </c>
    </row>
    <row r="679" spans="1:11">
      <c r="A679">
        <v>2027</v>
      </c>
      <c r="B679">
        <v>6</v>
      </c>
      <c r="C679" t="s">
        <v>174</v>
      </c>
      <c r="D679" t="s">
        <v>160</v>
      </c>
      <c r="E679" t="s">
        <v>101</v>
      </c>
      <c r="F679">
        <v>22420</v>
      </c>
      <c r="G679">
        <v>39456.074639461403</v>
      </c>
      <c r="H679">
        <v>4</v>
      </c>
      <c r="I679">
        <f>'Nacional · supuestos'!$B$26</f>
        <v>800</v>
      </c>
      <c r="J679">
        <f>F679</f>
        <v>22420</v>
      </c>
      <c r="K679">
        <f t="shared" si="10"/>
        <v>28.024999999999999</v>
      </c>
    </row>
    <row r="680" spans="1:11">
      <c r="A680">
        <v>2027</v>
      </c>
      <c r="B680">
        <v>6</v>
      </c>
      <c r="C680" t="s">
        <v>218</v>
      </c>
      <c r="D680" t="s">
        <v>160</v>
      </c>
      <c r="E680" t="s">
        <v>104</v>
      </c>
      <c r="F680">
        <v>780</v>
      </c>
      <c r="G680">
        <v>3569.309172050188</v>
      </c>
      <c r="H680">
        <v>1</v>
      </c>
      <c r="I680">
        <f>'Nacional · supuestos'!$B$21</f>
        <v>640</v>
      </c>
      <c r="J680">
        <f>F680*'Nacional · supuestos'!$B$4</f>
        <v>920.4</v>
      </c>
      <c r="K680">
        <f t="shared" si="10"/>
        <v>1.21875</v>
      </c>
    </row>
    <row r="681" spans="1:11">
      <c r="A681">
        <v>2027</v>
      </c>
      <c r="B681">
        <v>6</v>
      </c>
      <c r="C681" t="s">
        <v>182</v>
      </c>
      <c r="D681" t="s">
        <v>160</v>
      </c>
      <c r="E681" t="s">
        <v>98</v>
      </c>
      <c r="F681">
        <v>12000</v>
      </c>
      <c r="G681">
        <v>23453.494647254614</v>
      </c>
      <c r="H681">
        <v>2</v>
      </c>
      <c r="I681">
        <f>'Nacional · supuestos'!$B$23</f>
        <v>1000</v>
      </c>
      <c r="J681">
        <f>F681*'Nacional · supuestos'!$B$4</f>
        <v>14160</v>
      </c>
      <c r="K681">
        <f t="shared" si="10"/>
        <v>12</v>
      </c>
    </row>
    <row r="682" spans="1:11">
      <c r="A682">
        <v>2027</v>
      </c>
      <c r="B682">
        <v>6</v>
      </c>
      <c r="C682" t="s">
        <v>182</v>
      </c>
      <c r="D682" t="s">
        <v>160</v>
      </c>
      <c r="E682" t="s">
        <v>104</v>
      </c>
      <c r="F682">
        <v>14540</v>
      </c>
      <c r="G682">
        <v>55294.167455875431</v>
      </c>
      <c r="H682">
        <v>11</v>
      </c>
      <c r="I682">
        <f>'Nacional · supuestos'!$B$21</f>
        <v>640</v>
      </c>
      <c r="J682">
        <f>F682*'Nacional · supuestos'!$B$4</f>
        <v>17157.2</v>
      </c>
      <c r="K682">
        <f t="shared" si="10"/>
        <v>22.71875</v>
      </c>
    </row>
    <row r="683" spans="1:11">
      <c r="A683">
        <v>2027</v>
      </c>
      <c r="B683">
        <v>6</v>
      </c>
      <c r="C683" t="s">
        <v>182</v>
      </c>
      <c r="D683" t="s">
        <v>160</v>
      </c>
      <c r="E683" t="s">
        <v>105</v>
      </c>
      <c r="F683">
        <v>800</v>
      </c>
      <c r="G683">
        <v>2326.5866690076568</v>
      </c>
      <c r="H683">
        <v>1</v>
      </c>
      <c r="I683">
        <f>'Nacional · supuestos'!$B$22</f>
        <v>800</v>
      </c>
      <c r="J683">
        <f>F683*'Nacional · supuestos'!$B$4</f>
        <v>944</v>
      </c>
      <c r="K683">
        <f t="shared" si="10"/>
        <v>1</v>
      </c>
    </row>
    <row r="684" spans="1:11">
      <c r="A684">
        <v>2027</v>
      </c>
      <c r="B684">
        <v>6</v>
      </c>
      <c r="C684" t="s">
        <v>182</v>
      </c>
      <c r="D684" t="s">
        <v>160</v>
      </c>
      <c r="E684" t="s">
        <v>101</v>
      </c>
      <c r="F684">
        <v>6680</v>
      </c>
      <c r="G684">
        <v>10870.746887879506</v>
      </c>
      <c r="H684">
        <v>2</v>
      </c>
      <c r="I684">
        <f>'Nacional · supuestos'!$B$26</f>
        <v>800</v>
      </c>
      <c r="J684">
        <f>F684</f>
        <v>6680</v>
      </c>
      <c r="K684">
        <f t="shared" si="10"/>
        <v>8.35</v>
      </c>
    </row>
    <row r="685" spans="1:11">
      <c r="A685">
        <v>2027</v>
      </c>
      <c r="B685">
        <v>6</v>
      </c>
      <c r="C685" t="s">
        <v>182</v>
      </c>
      <c r="D685" t="s">
        <v>160</v>
      </c>
      <c r="E685" t="s">
        <v>102</v>
      </c>
      <c r="F685">
        <v>995</v>
      </c>
      <c r="G685">
        <v>4729.4753739343823</v>
      </c>
      <c r="H685">
        <v>1</v>
      </c>
      <c r="I685">
        <f>'Nacional · supuestos'!$B$25</f>
        <v>750</v>
      </c>
      <c r="J685">
        <f>F685</f>
        <v>995</v>
      </c>
      <c r="K685">
        <f t="shared" si="10"/>
        <v>1.3266666666666667</v>
      </c>
    </row>
    <row r="686" spans="1:11">
      <c r="A686">
        <v>2027</v>
      </c>
      <c r="B686">
        <v>6</v>
      </c>
      <c r="C686" t="s">
        <v>176</v>
      </c>
      <c r="D686" t="s">
        <v>160</v>
      </c>
      <c r="E686" t="s">
        <v>103</v>
      </c>
      <c r="F686">
        <v>64</v>
      </c>
      <c r="G686">
        <v>322.88686675260391</v>
      </c>
      <c r="H686">
        <v>1</v>
      </c>
      <c r="I686">
        <f>'Nacional · supuestos'!$B$19</f>
        <v>528</v>
      </c>
      <c r="J686">
        <f>F686*'Nacional · supuestos'!$B$4</f>
        <v>75.52</v>
      </c>
      <c r="K686">
        <f t="shared" si="10"/>
        <v>0.12121212121212122</v>
      </c>
    </row>
    <row r="687" spans="1:11">
      <c r="A687">
        <v>2027</v>
      </c>
      <c r="B687">
        <v>6</v>
      </c>
      <c r="C687" t="s">
        <v>176</v>
      </c>
      <c r="D687" t="s">
        <v>160</v>
      </c>
      <c r="E687" t="s">
        <v>104</v>
      </c>
      <c r="F687">
        <v>2180</v>
      </c>
      <c r="G687">
        <v>5674.7033270957363</v>
      </c>
      <c r="H687">
        <v>3</v>
      </c>
      <c r="I687">
        <f>'Nacional · supuestos'!$B$21</f>
        <v>640</v>
      </c>
      <c r="J687">
        <f>F687*'Nacional · supuestos'!$B$4</f>
        <v>2572.4</v>
      </c>
      <c r="K687">
        <f t="shared" si="10"/>
        <v>3.40625</v>
      </c>
    </row>
    <row r="688" spans="1:11">
      <c r="A688">
        <v>2027</v>
      </c>
      <c r="B688">
        <v>6</v>
      </c>
      <c r="C688" t="s">
        <v>176</v>
      </c>
      <c r="D688" t="s">
        <v>160</v>
      </c>
      <c r="E688" t="s">
        <v>99</v>
      </c>
      <c r="F688">
        <v>545</v>
      </c>
      <c r="G688">
        <v>1926.8348824644506</v>
      </c>
      <c r="H688">
        <v>2</v>
      </c>
      <c r="I688">
        <f>'Nacional · supuestos'!$B$20</f>
        <v>600</v>
      </c>
      <c r="J688">
        <f>F688*'Nacional · supuestos'!$B$4</f>
        <v>643.1</v>
      </c>
      <c r="K688">
        <f t="shared" si="10"/>
        <v>0.90833333333333333</v>
      </c>
    </row>
    <row r="689" spans="1:11">
      <c r="A689">
        <v>2027</v>
      </c>
      <c r="B689">
        <v>6</v>
      </c>
      <c r="C689" t="s">
        <v>219</v>
      </c>
      <c r="D689" t="s">
        <v>160</v>
      </c>
      <c r="E689" t="s">
        <v>104</v>
      </c>
      <c r="F689">
        <v>1360</v>
      </c>
      <c r="G689">
        <v>5528.7704715128193</v>
      </c>
      <c r="H689">
        <v>1</v>
      </c>
      <c r="I689">
        <f>'Nacional · supuestos'!$B$21</f>
        <v>640</v>
      </c>
      <c r="J689">
        <f>F689*'Nacional · supuestos'!$B$4</f>
        <v>1604.8</v>
      </c>
      <c r="K689">
        <f t="shared" si="10"/>
        <v>2.125</v>
      </c>
    </row>
    <row r="690" spans="1:11">
      <c r="A690">
        <v>2027</v>
      </c>
      <c r="B690">
        <v>6</v>
      </c>
      <c r="C690" t="s">
        <v>219</v>
      </c>
      <c r="D690" t="s">
        <v>160</v>
      </c>
      <c r="E690" t="s">
        <v>100</v>
      </c>
      <c r="F690">
        <v>1114</v>
      </c>
      <c r="G690">
        <v>7048.5360771041205</v>
      </c>
      <c r="H690">
        <v>1</v>
      </c>
      <c r="I690">
        <f>'Nacional · supuestos'!$B$24</f>
        <v>1056</v>
      </c>
      <c r="J690">
        <f>F690</f>
        <v>1114</v>
      </c>
      <c r="K690">
        <f t="shared" si="10"/>
        <v>1.0549242424242424</v>
      </c>
    </row>
    <row r="691" spans="1:11">
      <c r="A691">
        <v>2027</v>
      </c>
      <c r="B691">
        <v>6</v>
      </c>
      <c r="C691" t="s">
        <v>219</v>
      </c>
      <c r="D691" t="s">
        <v>160</v>
      </c>
      <c r="E691" t="s">
        <v>102</v>
      </c>
      <c r="F691">
        <v>790</v>
      </c>
      <c r="G691">
        <v>3376.2608516647847</v>
      </c>
      <c r="H691">
        <v>1</v>
      </c>
      <c r="I691">
        <f>'Nacional · supuestos'!$B$25</f>
        <v>750</v>
      </c>
      <c r="J691">
        <f>F691</f>
        <v>790</v>
      </c>
      <c r="K691">
        <f t="shared" si="10"/>
        <v>1.0533333333333332</v>
      </c>
    </row>
    <row r="692" spans="1:11">
      <c r="A692">
        <v>2027</v>
      </c>
      <c r="B692">
        <v>6</v>
      </c>
      <c r="C692" t="s">
        <v>204</v>
      </c>
      <c r="D692" t="s">
        <v>160</v>
      </c>
      <c r="E692" t="s">
        <v>104</v>
      </c>
      <c r="F692">
        <v>200</v>
      </c>
      <c r="G692">
        <v>697.46639390502366</v>
      </c>
      <c r="H692">
        <v>1</v>
      </c>
      <c r="I692">
        <f>'Nacional · supuestos'!$B$21</f>
        <v>640</v>
      </c>
      <c r="J692">
        <f>F692*'Nacional · supuestos'!$B$4</f>
        <v>236</v>
      </c>
      <c r="K692">
        <f t="shared" si="10"/>
        <v>0.3125</v>
      </c>
    </row>
    <row r="693" spans="1:11">
      <c r="A693">
        <v>2027</v>
      </c>
      <c r="B693">
        <v>6</v>
      </c>
      <c r="C693" t="s">
        <v>204</v>
      </c>
      <c r="D693" t="s">
        <v>160</v>
      </c>
      <c r="E693" t="s">
        <v>99</v>
      </c>
      <c r="F693">
        <v>45</v>
      </c>
      <c r="G693">
        <v>266.43169919281229</v>
      </c>
      <c r="H693">
        <v>1</v>
      </c>
      <c r="I693">
        <f>'Nacional · supuestos'!$B$20</f>
        <v>600</v>
      </c>
      <c r="J693">
        <f>F693*'Nacional · supuestos'!$B$4</f>
        <v>53.099999999999994</v>
      </c>
      <c r="K693">
        <f t="shared" si="10"/>
        <v>7.4999999999999997E-2</v>
      </c>
    </row>
    <row r="694" spans="1:11">
      <c r="A694">
        <v>2027</v>
      </c>
      <c r="B694">
        <v>6</v>
      </c>
      <c r="C694" t="s">
        <v>204</v>
      </c>
      <c r="D694" t="s">
        <v>160</v>
      </c>
      <c r="E694" t="s">
        <v>101</v>
      </c>
      <c r="F694">
        <v>320</v>
      </c>
      <c r="G694">
        <v>660.45040926668958</v>
      </c>
      <c r="H694">
        <v>1</v>
      </c>
      <c r="I694">
        <f>'Nacional · supuestos'!$B$26</f>
        <v>800</v>
      </c>
      <c r="J694">
        <f>F694</f>
        <v>320</v>
      </c>
      <c r="K694">
        <f t="shared" si="10"/>
        <v>0.4</v>
      </c>
    </row>
    <row r="695" spans="1:11">
      <c r="A695">
        <v>2027</v>
      </c>
      <c r="B695">
        <v>6</v>
      </c>
      <c r="C695" t="s">
        <v>178</v>
      </c>
      <c r="D695" t="s">
        <v>160</v>
      </c>
      <c r="E695" t="s">
        <v>104</v>
      </c>
      <c r="F695">
        <v>1400</v>
      </c>
      <c r="G695">
        <v>4830.3775197945706</v>
      </c>
      <c r="H695">
        <v>1</v>
      </c>
      <c r="I695">
        <f>'Nacional · supuestos'!$B$21</f>
        <v>640</v>
      </c>
      <c r="J695">
        <f>F695*'Nacional · supuestos'!$B$4</f>
        <v>1652</v>
      </c>
      <c r="K695">
        <f t="shared" si="10"/>
        <v>2.1875</v>
      </c>
    </row>
    <row r="696" spans="1:11">
      <c r="A696">
        <v>2027</v>
      </c>
      <c r="B696">
        <v>6</v>
      </c>
      <c r="C696" t="s">
        <v>178</v>
      </c>
      <c r="D696" t="s">
        <v>160</v>
      </c>
      <c r="E696" t="s">
        <v>177</v>
      </c>
      <c r="F696">
        <v>25</v>
      </c>
      <c r="G696">
        <v>0</v>
      </c>
      <c r="H696">
        <v>1</v>
      </c>
      <c r="I696">
        <f>'Nacional · supuestos'!$B$28</f>
        <v>1100</v>
      </c>
      <c r="J696">
        <f>F696</f>
        <v>25</v>
      </c>
      <c r="K696">
        <f t="shared" si="10"/>
        <v>2.2727272727272728E-2</v>
      </c>
    </row>
    <row r="697" spans="1:11">
      <c r="A697">
        <v>2027</v>
      </c>
      <c r="B697">
        <v>6</v>
      </c>
      <c r="C697" t="s">
        <v>192</v>
      </c>
      <c r="D697" t="s">
        <v>160</v>
      </c>
      <c r="E697" t="s">
        <v>99</v>
      </c>
      <c r="F697">
        <v>655</v>
      </c>
      <c r="G697">
        <v>1904.8928352500191</v>
      </c>
      <c r="H697">
        <v>1</v>
      </c>
      <c r="I697">
        <f>'Nacional · supuestos'!$B$20</f>
        <v>600</v>
      </c>
      <c r="J697">
        <f>F697*'Nacional · supuestos'!$B$4</f>
        <v>772.9</v>
      </c>
      <c r="K697">
        <f t="shared" si="10"/>
        <v>1.0916666666666666</v>
      </c>
    </row>
    <row r="698" spans="1:11">
      <c r="A698">
        <v>2027</v>
      </c>
      <c r="B698">
        <v>6</v>
      </c>
      <c r="C698" t="s">
        <v>205</v>
      </c>
      <c r="D698" t="s">
        <v>160</v>
      </c>
      <c r="E698" t="s">
        <v>103</v>
      </c>
      <c r="F698">
        <v>50</v>
      </c>
      <c r="G698">
        <v>252.20324577347793</v>
      </c>
      <c r="H698">
        <v>2</v>
      </c>
      <c r="I698">
        <f>'Nacional · supuestos'!$B$19</f>
        <v>528</v>
      </c>
      <c r="J698">
        <f>F698*'Nacional · supuestos'!$B$4</f>
        <v>59</v>
      </c>
      <c r="K698">
        <f t="shared" si="10"/>
        <v>9.4696969696969696E-2</v>
      </c>
    </row>
    <row r="699" spans="1:11">
      <c r="A699">
        <v>2027</v>
      </c>
      <c r="B699">
        <v>6</v>
      </c>
      <c r="C699" t="s">
        <v>205</v>
      </c>
      <c r="D699" t="s">
        <v>160</v>
      </c>
      <c r="E699" t="s">
        <v>99</v>
      </c>
      <c r="F699">
        <v>175</v>
      </c>
      <c r="G699">
        <v>671.60384894338426</v>
      </c>
      <c r="H699">
        <v>4</v>
      </c>
      <c r="I699">
        <f>'Nacional · supuestos'!$B$20</f>
        <v>600</v>
      </c>
      <c r="J699">
        <f>F699*'Nacional · supuestos'!$B$4</f>
        <v>206.5</v>
      </c>
      <c r="K699">
        <f t="shared" si="10"/>
        <v>0.29166666666666669</v>
      </c>
    </row>
    <row r="700" spans="1:11">
      <c r="A700">
        <v>2027</v>
      </c>
      <c r="B700">
        <v>6</v>
      </c>
      <c r="C700" t="s">
        <v>206</v>
      </c>
      <c r="D700" t="s">
        <v>160</v>
      </c>
      <c r="E700" t="s">
        <v>104</v>
      </c>
      <c r="F700">
        <v>680</v>
      </c>
      <c r="G700">
        <v>2169.8130870100085</v>
      </c>
      <c r="H700">
        <v>4</v>
      </c>
      <c r="I700">
        <f>'Nacional · supuestos'!$B$21</f>
        <v>640</v>
      </c>
      <c r="J700">
        <f>F700*'Nacional · supuestos'!$B$4</f>
        <v>802.4</v>
      </c>
      <c r="K700">
        <f t="shared" si="10"/>
        <v>1.0625</v>
      </c>
    </row>
    <row r="701" spans="1:11">
      <c r="A701">
        <v>2027</v>
      </c>
      <c r="B701">
        <v>6</v>
      </c>
      <c r="C701" t="s">
        <v>206</v>
      </c>
      <c r="D701" t="s">
        <v>160</v>
      </c>
      <c r="E701" t="s">
        <v>99</v>
      </c>
      <c r="F701">
        <v>65</v>
      </c>
      <c r="G701">
        <v>235.108254119479</v>
      </c>
      <c r="H701">
        <v>1</v>
      </c>
      <c r="I701">
        <f>'Nacional · supuestos'!$B$20</f>
        <v>600</v>
      </c>
      <c r="J701">
        <f>F701*'Nacional · supuestos'!$B$4</f>
        <v>76.7</v>
      </c>
      <c r="K701">
        <f t="shared" si="10"/>
        <v>0.10833333333333334</v>
      </c>
    </row>
    <row r="702" spans="1:11">
      <c r="A702">
        <v>2027</v>
      </c>
      <c r="B702">
        <v>6</v>
      </c>
      <c r="C702" t="s">
        <v>206</v>
      </c>
      <c r="D702" t="s">
        <v>160</v>
      </c>
      <c r="E702" t="s">
        <v>101</v>
      </c>
      <c r="F702">
        <v>100</v>
      </c>
      <c r="G702">
        <v>188.67033471791478</v>
      </c>
      <c r="H702">
        <v>1</v>
      </c>
      <c r="I702">
        <f>'Nacional · supuestos'!$B$26</f>
        <v>800</v>
      </c>
      <c r="J702">
        <f>F702</f>
        <v>100</v>
      </c>
      <c r="K702">
        <f t="shared" si="10"/>
        <v>0.125</v>
      </c>
    </row>
    <row r="703" spans="1:11">
      <c r="A703">
        <v>2027</v>
      </c>
      <c r="B703">
        <v>6</v>
      </c>
      <c r="C703" t="s">
        <v>206</v>
      </c>
      <c r="D703" t="s">
        <v>160</v>
      </c>
      <c r="E703" t="s">
        <v>102</v>
      </c>
      <c r="F703">
        <v>100</v>
      </c>
      <c r="G703">
        <v>547.24820843594102</v>
      </c>
      <c r="H703">
        <v>1</v>
      </c>
      <c r="I703">
        <f>'Nacional · supuestos'!$B$25</f>
        <v>750</v>
      </c>
      <c r="J703">
        <f>F703</f>
        <v>100</v>
      </c>
      <c r="K703">
        <f t="shared" si="10"/>
        <v>0.13333333333333333</v>
      </c>
    </row>
    <row r="704" spans="1:11">
      <c r="A704">
        <v>2027</v>
      </c>
      <c r="B704">
        <v>6</v>
      </c>
      <c r="C704" t="s">
        <v>206</v>
      </c>
      <c r="D704" t="s">
        <v>160</v>
      </c>
      <c r="E704" t="s">
        <v>197</v>
      </c>
      <c r="F704">
        <v>150</v>
      </c>
      <c r="G704">
        <v>381.51017959534153</v>
      </c>
      <c r="H704">
        <v>1</v>
      </c>
      <c r="I704">
        <f>'Nacional · supuestos'!$B$30</f>
        <v>1100</v>
      </c>
      <c r="J704">
        <f>F704</f>
        <v>150</v>
      </c>
      <c r="K704">
        <f t="shared" si="10"/>
        <v>0.13636363636363635</v>
      </c>
    </row>
    <row r="705" spans="1:11">
      <c r="A705">
        <v>2027</v>
      </c>
      <c r="B705">
        <v>6</v>
      </c>
      <c r="C705" t="s">
        <v>213</v>
      </c>
      <c r="D705" t="s">
        <v>160</v>
      </c>
      <c r="E705" t="s">
        <v>104</v>
      </c>
      <c r="F705">
        <v>740</v>
      </c>
      <c r="G705">
        <v>2545.4859523820342</v>
      </c>
      <c r="H705">
        <v>1</v>
      </c>
      <c r="I705">
        <f>'Nacional · supuestos'!$B$21</f>
        <v>640</v>
      </c>
      <c r="J705">
        <f>F705*'Nacional · supuestos'!$B$4</f>
        <v>873.19999999999993</v>
      </c>
      <c r="K705">
        <f t="shared" si="10"/>
        <v>1.15625</v>
      </c>
    </row>
    <row r="706" spans="1:11">
      <c r="A706">
        <v>2027</v>
      </c>
      <c r="B706">
        <v>6</v>
      </c>
      <c r="C706" t="s">
        <v>180</v>
      </c>
      <c r="D706" t="s">
        <v>160</v>
      </c>
      <c r="E706" t="s">
        <v>104</v>
      </c>
      <c r="F706">
        <v>800</v>
      </c>
      <c r="G706">
        <v>2068.0770391179176</v>
      </c>
      <c r="H706">
        <v>1</v>
      </c>
      <c r="I706">
        <f>'Nacional · supuestos'!$B$21</f>
        <v>640</v>
      </c>
      <c r="J706">
        <f>F706*'Nacional · supuestos'!$B$4</f>
        <v>944</v>
      </c>
      <c r="K706">
        <f t="shared" si="10"/>
        <v>1.25</v>
      </c>
    </row>
    <row r="707" spans="1:11">
      <c r="A707">
        <v>2027</v>
      </c>
      <c r="B707">
        <v>6</v>
      </c>
      <c r="C707" t="s">
        <v>180</v>
      </c>
      <c r="D707" t="s">
        <v>160</v>
      </c>
      <c r="E707" t="s">
        <v>101</v>
      </c>
      <c r="F707">
        <v>2360</v>
      </c>
      <c r="G707">
        <v>4551.0203391072728</v>
      </c>
      <c r="H707">
        <v>1</v>
      </c>
      <c r="I707">
        <f>'Nacional · supuestos'!$B$26</f>
        <v>800</v>
      </c>
      <c r="J707">
        <f>F707</f>
        <v>2360</v>
      </c>
      <c r="K707">
        <f t="shared" si="10"/>
        <v>2.95</v>
      </c>
    </row>
    <row r="708" spans="1:11">
      <c r="A708">
        <v>2027</v>
      </c>
      <c r="B708">
        <v>6</v>
      </c>
      <c r="C708" t="s">
        <v>180</v>
      </c>
      <c r="D708" t="s">
        <v>160</v>
      </c>
      <c r="E708" t="s">
        <v>102</v>
      </c>
      <c r="F708">
        <v>3415</v>
      </c>
      <c r="G708">
        <v>13869.735422734026</v>
      </c>
      <c r="H708">
        <v>2</v>
      </c>
      <c r="I708">
        <f>'Nacional · supuestos'!$B$25</f>
        <v>750</v>
      </c>
      <c r="J708">
        <f>F708</f>
        <v>3415</v>
      </c>
      <c r="K708">
        <f t="shared" si="10"/>
        <v>4.5533333333333337</v>
      </c>
    </row>
    <row r="709" spans="1:11">
      <c r="A709">
        <v>2027</v>
      </c>
      <c r="B709">
        <v>6</v>
      </c>
      <c r="C709" t="s">
        <v>180</v>
      </c>
      <c r="D709" t="s">
        <v>160</v>
      </c>
      <c r="E709" t="s">
        <v>197</v>
      </c>
      <c r="F709">
        <v>655</v>
      </c>
      <c r="G709">
        <v>1816.1343877294091</v>
      </c>
      <c r="H709">
        <v>1</v>
      </c>
      <c r="I709">
        <f>'Nacional · supuestos'!$B$30</f>
        <v>1100</v>
      </c>
      <c r="J709">
        <f>F709</f>
        <v>655</v>
      </c>
      <c r="K709">
        <f t="shared" si="10"/>
        <v>0.59545454545454546</v>
      </c>
    </row>
    <row r="710" spans="1:11">
      <c r="A710">
        <v>2027</v>
      </c>
      <c r="B710">
        <v>6</v>
      </c>
      <c r="C710" t="s">
        <v>180</v>
      </c>
      <c r="D710" t="s">
        <v>160</v>
      </c>
      <c r="E710" t="s">
        <v>177</v>
      </c>
      <c r="F710">
        <v>500</v>
      </c>
      <c r="G710">
        <v>1482.78205047643</v>
      </c>
      <c r="H710">
        <v>1</v>
      </c>
      <c r="I710">
        <f>'Nacional · supuestos'!$B$28</f>
        <v>1100</v>
      </c>
      <c r="J710">
        <f>F710</f>
        <v>500</v>
      </c>
      <c r="K710">
        <f t="shared" si="10"/>
        <v>0.45454545454545453</v>
      </c>
    </row>
    <row r="711" spans="1:11">
      <c r="A711">
        <v>2027</v>
      </c>
      <c r="B711">
        <v>6</v>
      </c>
      <c r="C711" t="s">
        <v>220</v>
      </c>
      <c r="D711" t="s">
        <v>160</v>
      </c>
      <c r="E711" t="s">
        <v>104</v>
      </c>
      <c r="F711">
        <v>680</v>
      </c>
      <c r="G711">
        <v>2076.8330104528918</v>
      </c>
      <c r="H711">
        <v>1</v>
      </c>
      <c r="I711">
        <f>'Nacional · supuestos'!$B$21</f>
        <v>640</v>
      </c>
      <c r="J711">
        <f>F711*'Nacional · supuestos'!$B$4</f>
        <v>802.4</v>
      </c>
      <c r="K711">
        <f t="shared" ref="K711:K774" si="11">F711/I711</f>
        <v>1.0625</v>
      </c>
    </row>
    <row r="712" spans="1:11">
      <c r="A712">
        <v>2027</v>
      </c>
      <c r="B712">
        <v>6</v>
      </c>
      <c r="C712" t="s">
        <v>209</v>
      </c>
      <c r="D712" t="s">
        <v>160</v>
      </c>
      <c r="E712" t="s">
        <v>104</v>
      </c>
      <c r="F712">
        <v>1160</v>
      </c>
      <c r="G712">
        <v>5095.1414149235788</v>
      </c>
      <c r="H712">
        <v>2</v>
      </c>
      <c r="I712">
        <f>'Nacional · supuestos'!$B$21</f>
        <v>640</v>
      </c>
      <c r="J712">
        <f>F712*'Nacional · supuestos'!$B$4</f>
        <v>1368.8</v>
      </c>
      <c r="K712">
        <f t="shared" si="11"/>
        <v>1.8125</v>
      </c>
    </row>
    <row r="713" spans="1:11">
      <c r="A713">
        <v>2027</v>
      </c>
      <c r="B713">
        <v>6</v>
      </c>
      <c r="C713" t="s">
        <v>209</v>
      </c>
      <c r="D713" t="s">
        <v>160</v>
      </c>
      <c r="E713" t="s">
        <v>101</v>
      </c>
      <c r="F713">
        <v>1140</v>
      </c>
      <c r="G713">
        <v>1996.3614643743124</v>
      </c>
      <c r="H713">
        <v>1</v>
      </c>
      <c r="I713">
        <f>'Nacional · supuestos'!$B$26</f>
        <v>800</v>
      </c>
      <c r="J713">
        <f>F713</f>
        <v>1140</v>
      </c>
      <c r="K713">
        <f t="shared" si="11"/>
        <v>1.425</v>
      </c>
    </row>
    <row r="714" spans="1:11">
      <c r="A714">
        <v>2027</v>
      </c>
      <c r="B714">
        <v>6</v>
      </c>
      <c r="C714" t="s">
        <v>181</v>
      </c>
      <c r="D714" t="s">
        <v>160</v>
      </c>
      <c r="E714" t="s">
        <v>104</v>
      </c>
      <c r="F714">
        <v>740</v>
      </c>
      <c r="G714">
        <v>2792.3209538251404</v>
      </c>
      <c r="H714">
        <v>1</v>
      </c>
      <c r="I714">
        <f>'Nacional · supuestos'!$B$21</f>
        <v>640</v>
      </c>
      <c r="J714">
        <f>F714*'Nacional · supuestos'!$B$4</f>
        <v>873.19999999999993</v>
      </c>
      <c r="K714">
        <f t="shared" si="11"/>
        <v>1.15625</v>
      </c>
    </row>
    <row r="715" spans="1:11">
      <c r="A715">
        <v>2027</v>
      </c>
      <c r="B715">
        <v>6</v>
      </c>
      <c r="C715" t="s">
        <v>181</v>
      </c>
      <c r="D715" t="s">
        <v>160</v>
      </c>
      <c r="E715" t="s">
        <v>101</v>
      </c>
      <c r="F715">
        <v>8680</v>
      </c>
      <c r="G715">
        <v>16738.498535360646</v>
      </c>
      <c r="H715">
        <v>1</v>
      </c>
      <c r="I715">
        <f>'Nacional · supuestos'!$B$26</f>
        <v>800</v>
      </c>
      <c r="J715">
        <f>F715</f>
        <v>8680</v>
      </c>
      <c r="K715">
        <f t="shared" si="11"/>
        <v>10.85</v>
      </c>
    </row>
    <row r="716" spans="1:11">
      <c r="A716">
        <v>2027</v>
      </c>
      <c r="B716">
        <v>6</v>
      </c>
      <c r="C716" t="s">
        <v>186</v>
      </c>
      <c r="D716" t="s">
        <v>160</v>
      </c>
      <c r="E716" t="s">
        <v>98</v>
      </c>
      <c r="F716">
        <v>4000</v>
      </c>
      <c r="G716">
        <v>7817.8315490848718</v>
      </c>
      <c r="H716">
        <v>2</v>
      </c>
      <c r="I716">
        <f>'Nacional · supuestos'!$B$23</f>
        <v>1000</v>
      </c>
      <c r="J716">
        <f>F716*'Nacional · supuestos'!$B$4</f>
        <v>4720</v>
      </c>
      <c r="K716">
        <f t="shared" si="11"/>
        <v>4</v>
      </c>
    </row>
    <row r="717" spans="1:11">
      <c r="A717">
        <v>2027</v>
      </c>
      <c r="B717">
        <v>6</v>
      </c>
      <c r="C717" t="s">
        <v>186</v>
      </c>
      <c r="D717" t="s">
        <v>160</v>
      </c>
      <c r="E717" t="s">
        <v>104</v>
      </c>
      <c r="F717">
        <v>5040</v>
      </c>
      <c r="G717">
        <v>10963.310013420669</v>
      </c>
      <c r="H717">
        <v>4</v>
      </c>
      <c r="I717">
        <f>'Nacional · supuestos'!$B$21</f>
        <v>640</v>
      </c>
      <c r="J717">
        <f>F717*'Nacional · supuestos'!$B$4</f>
        <v>5947.2</v>
      </c>
      <c r="K717">
        <f t="shared" si="11"/>
        <v>7.875</v>
      </c>
    </row>
    <row r="718" spans="1:11">
      <c r="A718">
        <v>2027</v>
      </c>
      <c r="B718">
        <v>6</v>
      </c>
      <c r="C718" t="s">
        <v>186</v>
      </c>
      <c r="D718" t="s">
        <v>160</v>
      </c>
      <c r="E718" t="s">
        <v>99</v>
      </c>
      <c r="F718">
        <v>155</v>
      </c>
      <c r="G718">
        <v>664.30720616423844</v>
      </c>
      <c r="H718">
        <v>3</v>
      </c>
      <c r="I718">
        <f>'Nacional · supuestos'!$B$20</f>
        <v>600</v>
      </c>
      <c r="J718">
        <f>F718*'Nacional · supuestos'!$B$4</f>
        <v>182.89999999999998</v>
      </c>
      <c r="K718">
        <f t="shared" si="11"/>
        <v>0.25833333333333336</v>
      </c>
    </row>
    <row r="719" spans="1:11">
      <c r="A719">
        <v>2027</v>
      </c>
      <c r="B719">
        <v>6</v>
      </c>
      <c r="C719" t="s">
        <v>186</v>
      </c>
      <c r="D719" t="s">
        <v>160</v>
      </c>
      <c r="E719" t="s">
        <v>101</v>
      </c>
      <c r="F719">
        <v>40</v>
      </c>
      <c r="G719">
        <v>197.63478156086546</v>
      </c>
      <c r="H719">
        <v>1</v>
      </c>
      <c r="I719">
        <f>'Nacional · supuestos'!$B$26</f>
        <v>800</v>
      </c>
      <c r="J719">
        <f>F719</f>
        <v>40</v>
      </c>
      <c r="K719">
        <f t="shared" si="11"/>
        <v>0.05</v>
      </c>
    </row>
    <row r="720" spans="1:11">
      <c r="A720">
        <v>2027</v>
      </c>
      <c r="B720">
        <v>6</v>
      </c>
      <c r="C720" t="s">
        <v>186</v>
      </c>
      <c r="D720" t="s">
        <v>160</v>
      </c>
      <c r="E720" t="s">
        <v>102</v>
      </c>
      <c r="F720">
        <v>125</v>
      </c>
      <c r="G720">
        <v>633.24435547587427</v>
      </c>
      <c r="H720">
        <v>1</v>
      </c>
      <c r="I720">
        <f>'Nacional · supuestos'!$B$25</f>
        <v>750</v>
      </c>
      <c r="J720">
        <f>F720</f>
        <v>125</v>
      </c>
      <c r="K720">
        <f t="shared" si="11"/>
        <v>0.16666666666666666</v>
      </c>
    </row>
    <row r="721" spans="1:11">
      <c r="A721">
        <v>2027</v>
      </c>
      <c r="B721">
        <v>6</v>
      </c>
      <c r="C721" t="s">
        <v>186</v>
      </c>
      <c r="D721" t="s">
        <v>160</v>
      </c>
      <c r="E721" t="s">
        <v>177</v>
      </c>
      <c r="F721">
        <v>125</v>
      </c>
      <c r="G721">
        <v>350.49944778397162</v>
      </c>
      <c r="H721">
        <v>1</v>
      </c>
      <c r="I721">
        <f>'Nacional · supuestos'!$B$28</f>
        <v>1100</v>
      </c>
      <c r="J721">
        <f>F721</f>
        <v>125</v>
      </c>
      <c r="K721">
        <f t="shared" si="11"/>
        <v>0.11363636363636363</v>
      </c>
    </row>
    <row r="722" spans="1:11">
      <c r="A722">
        <v>2027</v>
      </c>
      <c r="B722">
        <v>7</v>
      </c>
      <c r="C722" t="s">
        <v>194</v>
      </c>
      <c r="D722" t="s">
        <v>160</v>
      </c>
      <c r="E722" t="s">
        <v>104</v>
      </c>
      <c r="F722">
        <v>100</v>
      </c>
      <c r="G722">
        <v>452.39185230704447</v>
      </c>
      <c r="H722">
        <v>1</v>
      </c>
      <c r="I722">
        <f>'Nacional · supuestos'!$B$21</f>
        <v>640</v>
      </c>
      <c r="J722">
        <f>F722*'Nacional · supuestos'!$B$4</f>
        <v>118</v>
      </c>
      <c r="K722">
        <f t="shared" si="11"/>
        <v>0.15625</v>
      </c>
    </row>
    <row r="723" spans="1:11">
      <c r="A723">
        <v>2027</v>
      </c>
      <c r="B723">
        <v>7</v>
      </c>
      <c r="C723" t="s">
        <v>194</v>
      </c>
      <c r="D723" t="s">
        <v>160</v>
      </c>
      <c r="E723" t="s">
        <v>197</v>
      </c>
      <c r="F723">
        <v>155</v>
      </c>
      <c r="G723">
        <v>389.38013002142037</v>
      </c>
      <c r="H723">
        <v>1</v>
      </c>
      <c r="I723">
        <f>'Nacional · supuestos'!$B$30</f>
        <v>1100</v>
      </c>
      <c r="J723">
        <f>F723</f>
        <v>155</v>
      </c>
      <c r="K723">
        <f t="shared" si="11"/>
        <v>0.1409090909090909</v>
      </c>
    </row>
    <row r="724" spans="1:11">
      <c r="A724">
        <v>2027</v>
      </c>
      <c r="B724">
        <v>7</v>
      </c>
      <c r="C724" t="s">
        <v>195</v>
      </c>
      <c r="D724" t="s">
        <v>160</v>
      </c>
      <c r="E724" t="s">
        <v>103</v>
      </c>
      <c r="F724">
        <v>84</v>
      </c>
      <c r="G724">
        <v>465.37987645392406</v>
      </c>
      <c r="H724">
        <v>2</v>
      </c>
      <c r="I724">
        <f>'Nacional · supuestos'!$B$19</f>
        <v>528</v>
      </c>
      <c r="J724">
        <f>F724*'Nacional · supuestos'!$B$4</f>
        <v>99.11999999999999</v>
      </c>
      <c r="K724">
        <f t="shared" si="11"/>
        <v>0.15909090909090909</v>
      </c>
    </row>
    <row r="725" spans="1:11">
      <c r="A725">
        <v>2027</v>
      </c>
      <c r="B725">
        <v>7</v>
      </c>
      <c r="C725" t="s">
        <v>195</v>
      </c>
      <c r="D725" t="s">
        <v>160</v>
      </c>
      <c r="E725" t="s">
        <v>99</v>
      </c>
      <c r="F725">
        <v>25</v>
      </c>
      <c r="G725">
        <v>118.57044516112055</v>
      </c>
      <c r="H725">
        <v>1</v>
      </c>
      <c r="I725">
        <f>'Nacional · supuestos'!$B$20</f>
        <v>600</v>
      </c>
      <c r="J725">
        <f>F725*'Nacional · supuestos'!$B$4</f>
        <v>29.5</v>
      </c>
      <c r="K725">
        <f t="shared" si="11"/>
        <v>4.1666666666666664E-2</v>
      </c>
    </row>
    <row r="726" spans="1:11">
      <c r="A726">
        <v>2027</v>
      </c>
      <c r="B726">
        <v>7</v>
      </c>
      <c r="C726" t="s">
        <v>195</v>
      </c>
      <c r="D726" t="s">
        <v>160</v>
      </c>
      <c r="E726" t="s">
        <v>101</v>
      </c>
      <c r="F726">
        <v>280</v>
      </c>
      <c r="G726">
        <v>559.3397878985254</v>
      </c>
      <c r="H726">
        <v>2</v>
      </c>
      <c r="I726">
        <f>'Nacional · supuestos'!$B$26</f>
        <v>800</v>
      </c>
      <c r="J726">
        <f>F726</f>
        <v>280</v>
      </c>
      <c r="K726">
        <f t="shared" si="11"/>
        <v>0.35</v>
      </c>
    </row>
    <row r="727" spans="1:11">
      <c r="A727">
        <v>2027</v>
      </c>
      <c r="B727">
        <v>7</v>
      </c>
      <c r="C727" t="s">
        <v>195</v>
      </c>
      <c r="D727" t="s">
        <v>160</v>
      </c>
      <c r="E727" t="s">
        <v>102</v>
      </c>
      <c r="F727">
        <v>25</v>
      </c>
      <c r="G727">
        <v>52.64006576383813</v>
      </c>
      <c r="H727">
        <v>1</v>
      </c>
      <c r="I727">
        <f>'Nacional · supuestos'!$B$25</f>
        <v>750</v>
      </c>
      <c r="J727">
        <f>F727</f>
        <v>25</v>
      </c>
      <c r="K727">
        <f t="shared" si="11"/>
        <v>3.3333333333333333E-2</v>
      </c>
    </row>
    <row r="728" spans="1:11">
      <c r="A728">
        <v>2027</v>
      </c>
      <c r="B728">
        <v>7</v>
      </c>
      <c r="C728" t="s">
        <v>195</v>
      </c>
      <c r="D728" t="s">
        <v>160</v>
      </c>
      <c r="E728" t="s">
        <v>197</v>
      </c>
      <c r="F728">
        <v>345</v>
      </c>
      <c r="G728">
        <v>981.76328593407811</v>
      </c>
      <c r="H728">
        <v>2</v>
      </c>
      <c r="I728">
        <f>'Nacional · supuestos'!$B$30</f>
        <v>1100</v>
      </c>
      <c r="J728">
        <f>F728</f>
        <v>345</v>
      </c>
      <c r="K728">
        <f t="shared" si="11"/>
        <v>0.31363636363636366</v>
      </c>
    </row>
    <row r="729" spans="1:11">
      <c r="A729">
        <v>2027</v>
      </c>
      <c r="B729">
        <v>7</v>
      </c>
      <c r="C729" t="s">
        <v>162</v>
      </c>
      <c r="D729" t="s">
        <v>160</v>
      </c>
      <c r="E729" t="s">
        <v>104</v>
      </c>
      <c r="F729">
        <v>1620</v>
      </c>
      <c r="G729">
        <v>5422.6564379532401</v>
      </c>
      <c r="H729">
        <v>3</v>
      </c>
      <c r="I729">
        <f>'Nacional · supuestos'!$B$21</f>
        <v>640</v>
      </c>
      <c r="J729">
        <f>F729*'Nacional · supuestos'!$B$4</f>
        <v>1911.6</v>
      </c>
      <c r="K729">
        <f t="shared" si="11"/>
        <v>2.53125</v>
      </c>
    </row>
    <row r="730" spans="1:11">
      <c r="A730">
        <v>2027</v>
      </c>
      <c r="B730">
        <v>7</v>
      </c>
      <c r="C730" t="s">
        <v>163</v>
      </c>
      <c r="D730" t="s">
        <v>164</v>
      </c>
      <c r="E730" t="s">
        <v>104</v>
      </c>
      <c r="F730">
        <v>1400</v>
      </c>
      <c r="G730">
        <v>5778.9410810835343</v>
      </c>
      <c r="H730">
        <v>2</v>
      </c>
      <c r="I730">
        <f>'Nacional · supuestos'!$B$21</f>
        <v>640</v>
      </c>
      <c r="J730">
        <f>F730*'Nacional · supuestos'!$B$4</f>
        <v>1652</v>
      </c>
      <c r="K730">
        <f t="shared" si="11"/>
        <v>2.1875</v>
      </c>
    </row>
    <row r="731" spans="1:11">
      <c r="A731">
        <v>2027</v>
      </c>
      <c r="B731">
        <v>7</v>
      </c>
      <c r="C731" t="s">
        <v>163</v>
      </c>
      <c r="D731" t="s">
        <v>164</v>
      </c>
      <c r="E731" t="s">
        <v>99</v>
      </c>
      <c r="F731">
        <v>645</v>
      </c>
      <c r="G731">
        <v>2642.2707069597041</v>
      </c>
      <c r="H731">
        <v>1</v>
      </c>
      <c r="I731">
        <f>'Nacional · supuestos'!$B$20</f>
        <v>600</v>
      </c>
      <c r="J731">
        <f>F731*'Nacional · supuestos'!$B$4</f>
        <v>761.09999999999991</v>
      </c>
      <c r="K731">
        <f t="shared" si="11"/>
        <v>1.075</v>
      </c>
    </row>
    <row r="732" spans="1:11">
      <c r="A732">
        <v>2027</v>
      </c>
      <c r="B732">
        <v>7</v>
      </c>
      <c r="C732" t="s">
        <v>163</v>
      </c>
      <c r="D732" t="s">
        <v>164</v>
      </c>
      <c r="E732" t="s">
        <v>101</v>
      </c>
      <c r="F732">
        <v>2500</v>
      </c>
      <c r="G732">
        <v>4490.56244179435</v>
      </c>
      <c r="H732">
        <v>2</v>
      </c>
      <c r="I732">
        <f>'Nacional · supuestos'!$B$26</f>
        <v>800</v>
      </c>
      <c r="J732">
        <f>F732</f>
        <v>2500</v>
      </c>
      <c r="K732">
        <f t="shared" si="11"/>
        <v>3.125</v>
      </c>
    </row>
    <row r="733" spans="1:11">
      <c r="A733">
        <v>2027</v>
      </c>
      <c r="B733">
        <v>7</v>
      </c>
      <c r="C733" t="s">
        <v>166</v>
      </c>
      <c r="D733" t="s">
        <v>160</v>
      </c>
      <c r="E733" t="s">
        <v>101</v>
      </c>
      <c r="F733">
        <v>1180</v>
      </c>
      <c r="G733">
        <v>2275.5101695536364</v>
      </c>
      <c r="H733">
        <v>1</v>
      </c>
      <c r="I733">
        <f>'Nacional · supuestos'!$B$26</f>
        <v>800</v>
      </c>
      <c r="J733">
        <f>F733</f>
        <v>1180</v>
      </c>
      <c r="K733">
        <f t="shared" si="11"/>
        <v>1.4750000000000001</v>
      </c>
    </row>
    <row r="734" spans="1:11">
      <c r="A734">
        <v>2027</v>
      </c>
      <c r="B734">
        <v>7</v>
      </c>
      <c r="C734" t="s">
        <v>191</v>
      </c>
      <c r="D734" t="s">
        <v>160</v>
      </c>
      <c r="E734" t="s">
        <v>99</v>
      </c>
      <c r="F734">
        <v>665</v>
      </c>
      <c r="G734">
        <v>2437.3392826196928</v>
      </c>
      <c r="H734">
        <v>4</v>
      </c>
      <c r="I734">
        <f>'Nacional · supuestos'!$B$20</f>
        <v>600</v>
      </c>
      <c r="J734">
        <f>F734*'Nacional · supuestos'!$B$4</f>
        <v>784.69999999999993</v>
      </c>
      <c r="K734">
        <f t="shared" si="11"/>
        <v>1.1083333333333334</v>
      </c>
    </row>
    <row r="735" spans="1:11">
      <c r="A735">
        <v>2027</v>
      </c>
      <c r="B735">
        <v>7</v>
      </c>
      <c r="C735" t="s">
        <v>191</v>
      </c>
      <c r="D735" t="s">
        <v>160</v>
      </c>
      <c r="E735" t="s">
        <v>100</v>
      </c>
      <c r="F735">
        <v>330</v>
      </c>
      <c r="G735">
        <v>2903.2299240681573</v>
      </c>
      <c r="H735">
        <v>2</v>
      </c>
      <c r="I735">
        <f>'Nacional · supuestos'!$B$24</f>
        <v>1056</v>
      </c>
      <c r="J735">
        <f>F735</f>
        <v>330</v>
      </c>
      <c r="K735">
        <f t="shared" si="11"/>
        <v>0.3125</v>
      </c>
    </row>
    <row r="736" spans="1:11">
      <c r="A736">
        <v>2027</v>
      </c>
      <c r="B736">
        <v>7</v>
      </c>
      <c r="C736" t="s">
        <v>191</v>
      </c>
      <c r="D736" t="s">
        <v>160</v>
      </c>
      <c r="E736" t="s">
        <v>101</v>
      </c>
      <c r="F736">
        <v>460</v>
      </c>
      <c r="G736">
        <v>930.21771658711202</v>
      </c>
      <c r="H736">
        <v>1</v>
      </c>
      <c r="I736">
        <f>'Nacional · supuestos'!$B$26</f>
        <v>800</v>
      </c>
      <c r="J736">
        <f>F736</f>
        <v>460</v>
      </c>
      <c r="K736">
        <f t="shared" si="11"/>
        <v>0.57499999999999996</v>
      </c>
    </row>
    <row r="737" spans="1:11">
      <c r="A737">
        <v>2027</v>
      </c>
      <c r="B737">
        <v>7</v>
      </c>
      <c r="C737" t="s">
        <v>170</v>
      </c>
      <c r="D737" t="s">
        <v>160</v>
      </c>
      <c r="E737" t="s">
        <v>98</v>
      </c>
      <c r="F737">
        <v>1000</v>
      </c>
      <c r="G737">
        <v>2960.3522132534713</v>
      </c>
      <c r="H737">
        <v>1</v>
      </c>
      <c r="I737">
        <f>'Nacional · supuestos'!$B$23</f>
        <v>1000</v>
      </c>
      <c r="J737">
        <f>F737*'Nacional · supuestos'!$B$4</f>
        <v>1180</v>
      </c>
      <c r="K737">
        <f t="shared" si="11"/>
        <v>1</v>
      </c>
    </row>
    <row r="738" spans="1:11">
      <c r="A738">
        <v>2027</v>
      </c>
      <c r="B738">
        <v>7</v>
      </c>
      <c r="C738" t="s">
        <v>170</v>
      </c>
      <c r="D738" t="s">
        <v>160</v>
      </c>
      <c r="E738" t="s">
        <v>104</v>
      </c>
      <c r="F738">
        <v>1520</v>
      </c>
      <c r="G738">
        <v>5250.8726193813491</v>
      </c>
      <c r="H738">
        <v>3</v>
      </c>
      <c r="I738">
        <f>'Nacional · supuestos'!$B$21</f>
        <v>640</v>
      </c>
      <c r="J738">
        <f>F738*'Nacional · supuestos'!$B$4</f>
        <v>1793.6</v>
      </c>
      <c r="K738">
        <f t="shared" si="11"/>
        <v>2.375</v>
      </c>
    </row>
    <row r="739" spans="1:11">
      <c r="A739">
        <v>2027</v>
      </c>
      <c r="B739">
        <v>7</v>
      </c>
      <c r="C739" t="s">
        <v>201</v>
      </c>
      <c r="D739" t="s">
        <v>160</v>
      </c>
      <c r="E739" t="s">
        <v>104</v>
      </c>
      <c r="F739">
        <v>140</v>
      </c>
      <c r="G739">
        <v>350.23885339900215</v>
      </c>
      <c r="H739">
        <v>2</v>
      </c>
      <c r="I739">
        <f>'Nacional · supuestos'!$B$21</f>
        <v>640</v>
      </c>
      <c r="J739">
        <f>F739*'Nacional · supuestos'!$B$4</f>
        <v>165.2</v>
      </c>
      <c r="K739">
        <f t="shared" si="11"/>
        <v>0.21875</v>
      </c>
    </row>
    <row r="740" spans="1:11">
      <c r="A740">
        <v>2027</v>
      </c>
      <c r="B740">
        <v>7</v>
      </c>
      <c r="C740" t="s">
        <v>201</v>
      </c>
      <c r="D740" t="s">
        <v>160</v>
      </c>
      <c r="E740" t="s">
        <v>99</v>
      </c>
      <c r="F740">
        <v>650</v>
      </c>
      <c r="G740">
        <v>3533.0865525394279</v>
      </c>
      <c r="H740">
        <v>11</v>
      </c>
      <c r="I740">
        <f>'Nacional · supuestos'!$B$20</f>
        <v>600</v>
      </c>
      <c r="J740">
        <f>F740*'Nacional · supuestos'!$B$4</f>
        <v>767</v>
      </c>
      <c r="K740">
        <f t="shared" si="11"/>
        <v>1.0833333333333333</v>
      </c>
    </row>
    <row r="741" spans="1:11">
      <c r="A741">
        <v>2027</v>
      </c>
      <c r="B741">
        <v>7</v>
      </c>
      <c r="C741" t="s">
        <v>201</v>
      </c>
      <c r="D741" t="s">
        <v>160</v>
      </c>
      <c r="E741" t="s">
        <v>102</v>
      </c>
      <c r="F741">
        <v>130</v>
      </c>
      <c r="G741">
        <v>731.74903299434379</v>
      </c>
      <c r="H741">
        <v>2</v>
      </c>
      <c r="I741">
        <f>'Nacional · supuestos'!$B$25</f>
        <v>750</v>
      </c>
      <c r="J741">
        <f>F741</f>
        <v>130</v>
      </c>
      <c r="K741">
        <f t="shared" si="11"/>
        <v>0.17333333333333334</v>
      </c>
    </row>
    <row r="742" spans="1:11">
      <c r="A742">
        <v>2027</v>
      </c>
      <c r="B742">
        <v>7</v>
      </c>
      <c r="C742" t="s">
        <v>215</v>
      </c>
      <c r="D742" t="s">
        <v>160</v>
      </c>
      <c r="E742" t="s">
        <v>104</v>
      </c>
      <c r="F742">
        <v>200</v>
      </c>
      <c r="G742">
        <v>836.40373799809345</v>
      </c>
      <c r="H742">
        <v>4</v>
      </c>
      <c r="I742">
        <f>'Nacional · supuestos'!$B$21</f>
        <v>640</v>
      </c>
      <c r="J742">
        <f>F742*'Nacional · supuestos'!$B$4</f>
        <v>236</v>
      </c>
      <c r="K742">
        <f t="shared" si="11"/>
        <v>0.3125</v>
      </c>
    </row>
    <row r="743" spans="1:11">
      <c r="A743">
        <v>2027</v>
      </c>
      <c r="B743">
        <v>7</v>
      </c>
      <c r="C743" t="s">
        <v>216</v>
      </c>
      <c r="D743" t="s">
        <v>160</v>
      </c>
      <c r="E743" t="s">
        <v>99</v>
      </c>
      <c r="F743">
        <v>915</v>
      </c>
      <c r="G743">
        <v>3357.2895804390064</v>
      </c>
      <c r="H743">
        <v>1</v>
      </c>
      <c r="I743">
        <f>'Nacional · supuestos'!$B$20</f>
        <v>600</v>
      </c>
      <c r="J743">
        <f>F743*'Nacional · supuestos'!$B$4</f>
        <v>1079.7</v>
      </c>
      <c r="K743">
        <f t="shared" si="11"/>
        <v>1.5249999999999999</v>
      </c>
    </row>
    <row r="744" spans="1:11">
      <c r="A744">
        <v>2027</v>
      </c>
      <c r="B744">
        <v>7</v>
      </c>
      <c r="C744" t="s">
        <v>216</v>
      </c>
      <c r="D744" t="s">
        <v>160</v>
      </c>
      <c r="E744" t="s">
        <v>100</v>
      </c>
      <c r="F744">
        <v>375</v>
      </c>
      <c r="G744">
        <v>3240.4911770956783</v>
      </c>
      <c r="H744">
        <v>1</v>
      </c>
      <c r="I744">
        <f>'Nacional · supuestos'!$B$24</f>
        <v>1056</v>
      </c>
      <c r="J744">
        <f>F744</f>
        <v>375</v>
      </c>
      <c r="K744">
        <f t="shared" si="11"/>
        <v>0.35511363636363635</v>
      </c>
    </row>
    <row r="745" spans="1:11">
      <c r="A745">
        <v>2027</v>
      </c>
      <c r="B745">
        <v>7</v>
      </c>
      <c r="C745" t="s">
        <v>216</v>
      </c>
      <c r="D745" t="s">
        <v>160</v>
      </c>
      <c r="E745" t="s">
        <v>102</v>
      </c>
      <c r="F745">
        <v>390</v>
      </c>
      <c r="G745">
        <v>1975.7223890847279</v>
      </c>
      <c r="H745">
        <v>1</v>
      </c>
      <c r="I745">
        <f>'Nacional · supuestos'!$B$25</f>
        <v>750</v>
      </c>
      <c r="J745">
        <f>F745</f>
        <v>390</v>
      </c>
      <c r="K745">
        <f t="shared" si="11"/>
        <v>0.52</v>
      </c>
    </row>
    <row r="746" spans="1:11">
      <c r="A746">
        <v>2027</v>
      </c>
      <c r="B746">
        <v>7</v>
      </c>
      <c r="C746" t="s">
        <v>211</v>
      </c>
      <c r="D746" t="s">
        <v>160</v>
      </c>
      <c r="E746" t="s">
        <v>104</v>
      </c>
      <c r="F746">
        <v>1680</v>
      </c>
      <c r="G746">
        <v>10577.213372649865</v>
      </c>
      <c r="H746">
        <v>4</v>
      </c>
      <c r="I746">
        <f>'Nacional · supuestos'!$B$21</f>
        <v>640</v>
      </c>
      <c r="J746">
        <f>F746*'Nacional · supuestos'!$B$4</f>
        <v>1982.3999999999999</v>
      </c>
      <c r="K746">
        <f t="shared" si="11"/>
        <v>2.625</v>
      </c>
    </row>
    <row r="747" spans="1:11">
      <c r="A747">
        <v>2027</v>
      </c>
      <c r="B747">
        <v>7</v>
      </c>
      <c r="C747" t="s">
        <v>171</v>
      </c>
      <c r="D747" t="s">
        <v>164</v>
      </c>
      <c r="E747" t="s">
        <v>104</v>
      </c>
      <c r="F747">
        <v>1600</v>
      </c>
      <c r="G747">
        <v>4075.6961809229119</v>
      </c>
      <c r="H747">
        <v>3</v>
      </c>
      <c r="I747">
        <f>'Nacional · supuestos'!$B$21</f>
        <v>640</v>
      </c>
      <c r="J747">
        <f>F747*'Nacional · supuestos'!$B$4</f>
        <v>1888</v>
      </c>
      <c r="K747">
        <f t="shared" si="11"/>
        <v>2.5</v>
      </c>
    </row>
    <row r="748" spans="1:11">
      <c r="A748">
        <v>2027</v>
      </c>
      <c r="B748">
        <v>7</v>
      </c>
      <c r="C748" t="s">
        <v>171</v>
      </c>
      <c r="D748" t="s">
        <v>164</v>
      </c>
      <c r="E748" t="s">
        <v>99</v>
      </c>
      <c r="F748">
        <v>110</v>
      </c>
      <c r="G748">
        <v>372.64997050637874</v>
      </c>
      <c r="H748">
        <v>1</v>
      </c>
      <c r="I748">
        <f>'Nacional · supuestos'!$B$20</f>
        <v>600</v>
      </c>
      <c r="J748">
        <f>F748*'Nacional · supuestos'!$B$4</f>
        <v>129.79999999999998</v>
      </c>
      <c r="K748">
        <f t="shared" si="11"/>
        <v>0.18333333333333332</v>
      </c>
    </row>
    <row r="749" spans="1:11">
      <c r="A749">
        <v>2027</v>
      </c>
      <c r="B749">
        <v>7</v>
      </c>
      <c r="C749" t="s">
        <v>171</v>
      </c>
      <c r="D749" t="s">
        <v>164</v>
      </c>
      <c r="E749" t="s">
        <v>102</v>
      </c>
      <c r="F749">
        <v>6805</v>
      </c>
      <c r="G749">
        <v>14292.246924774996</v>
      </c>
      <c r="H749">
        <v>3</v>
      </c>
      <c r="I749">
        <f>'Nacional · supuestos'!$B$25</f>
        <v>750</v>
      </c>
      <c r="J749">
        <f>F749</f>
        <v>6805</v>
      </c>
      <c r="K749">
        <f t="shared" si="11"/>
        <v>9.0733333333333341</v>
      </c>
    </row>
    <row r="750" spans="1:11">
      <c r="A750">
        <v>2027</v>
      </c>
      <c r="B750">
        <v>7</v>
      </c>
      <c r="C750" t="s">
        <v>196</v>
      </c>
      <c r="D750" t="s">
        <v>160</v>
      </c>
      <c r="E750" t="s">
        <v>99</v>
      </c>
      <c r="F750">
        <v>115</v>
      </c>
      <c r="G750">
        <v>555.01392110803181</v>
      </c>
      <c r="H750">
        <v>1</v>
      </c>
      <c r="I750">
        <f>'Nacional · supuestos'!$B$20</f>
        <v>600</v>
      </c>
      <c r="J750">
        <f>F750*'Nacional · supuestos'!$B$4</f>
        <v>135.69999999999999</v>
      </c>
      <c r="K750">
        <f t="shared" si="11"/>
        <v>0.19166666666666668</v>
      </c>
    </row>
    <row r="751" spans="1:11">
      <c r="A751">
        <v>2027</v>
      </c>
      <c r="B751">
        <v>7</v>
      </c>
      <c r="C751" t="s">
        <v>196</v>
      </c>
      <c r="D751" t="s">
        <v>160</v>
      </c>
      <c r="E751" t="s">
        <v>101</v>
      </c>
      <c r="F751">
        <v>100</v>
      </c>
      <c r="G751">
        <v>183.45844701852491</v>
      </c>
      <c r="H751">
        <v>1</v>
      </c>
      <c r="I751">
        <f>'Nacional · supuestos'!$B$26</f>
        <v>800</v>
      </c>
      <c r="J751">
        <f>F751</f>
        <v>100</v>
      </c>
      <c r="K751">
        <f t="shared" si="11"/>
        <v>0.125</v>
      </c>
    </row>
    <row r="752" spans="1:11">
      <c r="A752">
        <v>2027</v>
      </c>
      <c r="B752">
        <v>7</v>
      </c>
      <c r="C752" t="s">
        <v>196</v>
      </c>
      <c r="D752" t="s">
        <v>160</v>
      </c>
      <c r="E752" t="s">
        <v>102</v>
      </c>
      <c r="F752">
        <v>105</v>
      </c>
      <c r="G752">
        <v>483.76741625737174</v>
      </c>
      <c r="H752">
        <v>1</v>
      </c>
      <c r="I752">
        <f>'Nacional · supuestos'!$B$25</f>
        <v>750</v>
      </c>
      <c r="J752">
        <f>F752</f>
        <v>105</v>
      </c>
      <c r="K752">
        <f t="shared" si="11"/>
        <v>0.14000000000000001</v>
      </c>
    </row>
    <row r="753" spans="1:11">
      <c r="A753">
        <v>2027</v>
      </c>
      <c r="B753">
        <v>7</v>
      </c>
      <c r="C753" t="s">
        <v>196</v>
      </c>
      <c r="D753" t="s">
        <v>160</v>
      </c>
      <c r="E753" t="s">
        <v>197</v>
      </c>
      <c r="F753">
        <v>535</v>
      </c>
      <c r="G753">
        <v>1388.6032397484546</v>
      </c>
      <c r="H753">
        <v>2</v>
      </c>
      <c r="I753">
        <f>'Nacional · supuestos'!$B$30</f>
        <v>1100</v>
      </c>
      <c r="J753">
        <f>F753</f>
        <v>535</v>
      </c>
      <c r="K753">
        <f t="shared" si="11"/>
        <v>0.48636363636363639</v>
      </c>
    </row>
    <row r="754" spans="1:11">
      <c r="A754">
        <v>2027</v>
      </c>
      <c r="B754">
        <v>7</v>
      </c>
      <c r="C754" t="s">
        <v>172</v>
      </c>
      <c r="D754" t="s">
        <v>160</v>
      </c>
      <c r="E754" t="s">
        <v>103</v>
      </c>
      <c r="F754">
        <v>1121</v>
      </c>
      <c r="G754">
        <v>12369.748332876439</v>
      </c>
      <c r="H754">
        <v>6</v>
      </c>
      <c r="I754">
        <f>'Nacional · supuestos'!$B$19</f>
        <v>528</v>
      </c>
      <c r="J754">
        <f>F754*'Nacional · supuestos'!$B$4</f>
        <v>1322.78</v>
      </c>
      <c r="K754">
        <f t="shared" si="11"/>
        <v>2.1231060606060606</v>
      </c>
    </row>
    <row r="755" spans="1:11">
      <c r="A755">
        <v>2027</v>
      </c>
      <c r="B755">
        <v>7</v>
      </c>
      <c r="C755" t="s">
        <v>172</v>
      </c>
      <c r="D755" t="s">
        <v>160</v>
      </c>
      <c r="E755" t="s">
        <v>104</v>
      </c>
      <c r="F755">
        <v>15540</v>
      </c>
      <c r="G755">
        <v>46813.175315920198</v>
      </c>
      <c r="H755">
        <v>14</v>
      </c>
      <c r="I755">
        <f>'Nacional · supuestos'!$B$21</f>
        <v>640</v>
      </c>
      <c r="J755">
        <f>F755*'Nacional · supuestos'!$B$4</f>
        <v>18337.2</v>
      </c>
      <c r="K755">
        <f t="shared" si="11"/>
        <v>24.28125</v>
      </c>
    </row>
    <row r="756" spans="1:11">
      <c r="A756">
        <v>2027</v>
      </c>
      <c r="B756">
        <v>7</v>
      </c>
      <c r="C756" t="s">
        <v>172</v>
      </c>
      <c r="D756" t="s">
        <v>160</v>
      </c>
      <c r="E756" t="s">
        <v>99</v>
      </c>
      <c r="F756">
        <v>5920</v>
      </c>
      <c r="G756">
        <v>34989.017811191297</v>
      </c>
      <c r="H756">
        <v>10</v>
      </c>
      <c r="I756">
        <f>'Nacional · supuestos'!$B$20</f>
        <v>600</v>
      </c>
      <c r="J756">
        <f>F756*'Nacional · supuestos'!$B$4</f>
        <v>6985.5999999999995</v>
      </c>
      <c r="K756">
        <f t="shared" si="11"/>
        <v>9.8666666666666671</v>
      </c>
    </row>
    <row r="757" spans="1:11">
      <c r="A757">
        <v>2027</v>
      </c>
      <c r="B757">
        <v>7</v>
      </c>
      <c r="C757" t="s">
        <v>172</v>
      </c>
      <c r="D757" t="s">
        <v>160</v>
      </c>
      <c r="E757" t="s">
        <v>102</v>
      </c>
      <c r="F757">
        <v>2190</v>
      </c>
      <c r="G757">
        <v>9411.9395208202695</v>
      </c>
      <c r="H757">
        <v>3</v>
      </c>
      <c r="I757">
        <f>'Nacional · supuestos'!$B$25</f>
        <v>750</v>
      </c>
      <c r="J757">
        <f>F757</f>
        <v>2190</v>
      </c>
      <c r="K757">
        <f t="shared" si="11"/>
        <v>2.92</v>
      </c>
    </row>
    <row r="758" spans="1:11">
      <c r="A758">
        <v>2027</v>
      </c>
      <c r="B758">
        <v>7</v>
      </c>
      <c r="C758" t="s">
        <v>203</v>
      </c>
      <c r="D758" t="s">
        <v>160</v>
      </c>
      <c r="E758" t="s">
        <v>104</v>
      </c>
      <c r="F758">
        <v>1020</v>
      </c>
      <c r="G758">
        <v>4248.3139015267061</v>
      </c>
      <c r="H758">
        <v>3</v>
      </c>
      <c r="I758">
        <f>'Nacional · supuestos'!$B$21</f>
        <v>640</v>
      </c>
      <c r="J758">
        <f>F758*'Nacional · supuestos'!$B$4</f>
        <v>1203.5999999999999</v>
      </c>
      <c r="K758">
        <f t="shared" si="11"/>
        <v>1.59375</v>
      </c>
    </row>
    <row r="759" spans="1:11">
      <c r="A759">
        <v>2027</v>
      </c>
      <c r="B759">
        <v>7</v>
      </c>
      <c r="C759" t="s">
        <v>203</v>
      </c>
      <c r="D759" t="s">
        <v>160</v>
      </c>
      <c r="E759" t="s">
        <v>99</v>
      </c>
      <c r="F759">
        <v>70</v>
      </c>
      <c r="G759">
        <v>0</v>
      </c>
      <c r="H759">
        <v>1</v>
      </c>
      <c r="I759">
        <f>'Nacional · supuestos'!$B$20</f>
        <v>600</v>
      </c>
      <c r="J759">
        <f>F759*'Nacional · supuestos'!$B$4</f>
        <v>82.6</v>
      </c>
      <c r="K759">
        <f t="shared" si="11"/>
        <v>0.11666666666666667</v>
      </c>
    </row>
    <row r="760" spans="1:11">
      <c r="A760">
        <v>2027</v>
      </c>
      <c r="B760">
        <v>7</v>
      </c>
      <c r="C760" t="s">
        <v>203</v>
      </c>
      <c r="D760" t="s">
        <v>160</v>
      </c>
      <c r="E760" t="s">
        <v>101</v>
      </c>
      <c r="F760">
        <v>420</v>
      </c>
      <c r="G760">
        <v>783.65943448026735</v>
      </c>
      <c r="H760">
        <v>1</v>
      </c>
      <c r="I760">
        <f>'Nacional · supuestos'!$B$26</f>
        <v>800</v>
      </c>
      <c r="J760">
        <f>F760</f>
        <v>420</v>
      </c>
      <c r="K760">
        <f t="shared" si="11"/>
        <v>0.52500000000000002</v>
      </c>
    </row>
    <row r="761" spans="1:11">
      <c r="A761">
        <v>2027</v>
      </c>
      <c r="B761">
        <v>7</v>
      </c>
      <c r="C761" t="s">
        <v>173</v>
      </c>
      <c r="D761" t="s">
        <v>160</v>
      </c>
      <c r="E761" t="s">
        <v>98</v>
      </c>
      <c r="F761">
        <v>2000</v>
      </c>
      <c r="G761">
        <v>5232.7352501874739</v>
      </c>
      <c r="H761">
        <v>2</v>
      </c>
      <c r="I761">
        <f>'Nacional · supuestos'!$B$23</f>
        <v>1000</v>
      </c>
      <c r="J761">
        <f>F761*'Nacional · supuestos'!$B$4</f>
        <v>2360</v>
      </c>
      <c r="K761">
        <f t="shared" si="11"/>
        <v>2</v>
      </c>
    </row>
    <row r="762" spans="1:11">
      <c r="A762">
        <v>2027</v>
      </c>
      <c r="B762">
        <v>7</v>
      </c>
      <c r="C762" t="s">
        <v>173</v>
      </c>
      <c r="D762" t="s">
        <v>160</v>
      </c>
      <c r="E762" t="s">
        <v>104</v>
      </c>
      <c r="F762">
        <v>680</v>
      </c>
      <c r="G762">
        <v>4844.7623298448889</v>
      </c>
      <c r="H762">
        <v>4</v>
      </c>
      <c r="I762">
        <f>'Nacional · supuestos'!$B$21</f>
        <v>640</v>
      </c>
      <c r="J762">
        <f>F762*'Nacional · supuestos'!$B$4</f>
        <v>802.4</v>
      </c>
      <c r="K762">
        <f t="shared" si="11"/>
        <v>1.0625</v>
      </c>
    </row>
    <row r="763" spans="1:11">
      <c r="A763">
        <v>2027</v>
      </c>
      <c r="B763">
        <v>7</v>
      </c>
      <c r="C763" t="s">
        <v>173</v>
      </c>
      <c r="D763" t="s">
        <v>160</v>
      </c>
      <c r="E763" t="s">
        <v>105</v>
      </c>
      <c r="F763">
        <v>200</v>
      </c>
      <c r="G763">
        <v>612.91799344825381</v>
      </c>
      <c r="H763">
        <v>1</v>
      </c>
      <c r="I763">
        <f>'Nacional · supuestos'!$B$22</f>
        <v>800</v>
      </c>
      <c r="J763">
        <f>F763*'Nacional · supuestos'!$B$4</f>
        <v>236</v>
      </c>
      <c r="K763">
        <f t="shared" si="11"/>
        <v>0.25</v>
      </c>
    </row>
    <row r="764" spans="1:11">
      <c r="A764">
        <v>2027</v>
      </c>
      <c r="B764">
        <v>7</v>
      </c>
      <c r="C764" t="s">
        <v>173</v>
      </c>
      <c r="D764" t="s">
        <v>160</v>
      </c>
      <c r="E764" t="s">
        <v>99</v>
      </c>
      <c r="F764">
        <v>1195</v>
      </c>
      <c r="G764">
        <v>4528.6613408768899</v>
      </c>
      <c r="H764">
        <v>4</v>
      </c>
      <c r="I764">
        <f>'Nacional · supuestos'!$B$20</f>
        <v>600</v>
      </c>
      <c r="J764">
        <f>F764*'Nacional · supuestos'!$B$4</f>
        <v>1410.1</v>
      </c>
      <c r="K764">
        <f t="shared" si="11"/>
        <v>1.9916666666666667</v>
      </c>
    </row>
    <row r="765" spans="1:11">
      <c r="A765">
        <v>2027</v>
      </c>
      <c r="B765">
        <v>7</v>
      </c>
      <c r="C765" t="s">
        <v>173</v>
      </c>
      <c r="D765" t="s">
        <v>160</v>
      </c>
      <c r="E765" t="s">
        <v>101</v>
      </c>
      <c r="F765">
        <v>4740</v>
      </c>
      <c r="G765">
        <v>8138.049929335386</v>
      </c>
      <c r="H765">
        <v>4</v>
      </c>
      <c r="I765">
        <f>'Nacional · supuestos'!$B$26</f>
        <v>800</v>
      </c>
      <c r="J765">
        <f>F765</f>
        <v>4740</v>
      </c>
      <c r="K765">
        <f t="shared" si="11"/>
        <v>5.9249999999999998</v>
      </c>
    </row>
    <row r="766" spans="1:11">
      <c r="A766">
        <v>2027</v>
      </c>
      <c r="B766">
        <v>7</v>
      </c>
      <c r="C766" t="s">
        <v>173</v>
      </c>
      <c r="D766" t="s">
        <v>160</v>
      </c>
      <c r="E766" t="s">
        <v>102</v>
      </c>
      <c r="F766">
        <v>215</v>
      </c>
      <c r="G766">
        <v>983.84804101383395</v>
      </c>
      <c r="H766">
        <v>1</v>
      </c>
      <c r="I766">
        <f>'Nacional · supuestos'!$B$25</f>
        <v>750</v>
      </c>
      <c r="J766">
        <f>F766</f>
        <v>215</v>
      </c>
      <c r="K766">
        <f t="shared" si="11"/>
        <v>0.28666666666666668</v>
      </c>
    </row>
    <row r="767" spans="1:11">
      <c r="A767">
        <v>2027</v>
      </c>
      <c r="B767">
        <v>7</v>
      </c>
      <c r="C767" t="s">
        <v>198</v>
      </c>
      <c r="D767" t="s">
        <v>160</v>
      </c>
      <c r="E767" t="s">
        <v>99</v>
      </c>
      <c r="F767">
        <v>260</v>
      </c>
      <c r="G767">
        <v>1291.9748418017657</v>
      </c>
      <c r="H767">
        <v>4</v>
      </c>
      <c r="I767">
        <f>'Nacional · supuestos'!$B$20</f>
        <v>600</v>
      </c>
      <c r="J767">
        <f>F767*'Nacional · supuestos'!$B$4</f>
        <v>306.8</v>
      </c>
      <c r="K767">
        <f t="shared" si="11"/>
        <v>0.43333333333333335</v>
      </c>
    </row>
    <row r="768" spans="1:11">
      <c r="A768">
        <v>2027</v>
      </c>
      <c r="B768">
        <v>7</v>
      </c>
      <c r="C768" t="s">
        <v>198</v>
      </c>
      <c r="D768" t="s">
        <v>160</v>
      </c>
      <c r="E768" t="s">
        <v>101</v>
      </c>
      <c r="F768">
        <v>20</v>
      </c>
      <c r="G768">
        <v>40.235773039290123</v>
      </c>
      <c r="H768">
        <v>1</v>
      </c>
      <c r="I768">
        <f>'Nacional · supuestos'!$B$26</f>
        <v>800</v>
      </c>
      <c r="J768">
        <f>F768</f>
        <v>20</v>
      </c>
      <c r="K768">
        <f t="shared" si="11"/>
        <v>2.5000000000000001E-2</v>
      </c>
    </row>
    <row r="769" spans="1:11">
      <c r="A769">
        <v>2027</v>
      </c>
      <c r="B769">
        <v>7</v>
      </c>
      <c r="C769" t="s">
        <v>174</v>
      </c>
      <c r="D769" t="s">
        <v>160</v>
      </c>
      <c r="E769" t="s">
        <v>104</v>
      </c>
      <c r="F769">
        <v>1840</v>
      </c>
      <c r="G769">
        <v>6080.1881901082725</v>
      </c>
      <c r="H769">
        <v>6</v>
      </c>
      <c r="I769">
        <f>'Nacional · supuestos'!$B$21</f>
        <v>640</v>
      </c>
      <c r="J769">
        <f>F769*'Nacional · supuestos'!$B$4</f>
        <v>2171.1999999999998</v>
      </c>
      <c r="K769">
        <f t="shared" si="11"/>
        <v>2.875</v>
      </c>
    </row>
    <row r="770" spans="1:11">
      <c r="A770">
        <v>2027</v>
      </c>
      <c r="B770">
        <v>7</v>
      </c>
      <c r="C770" t="s">
        <v>174</v>
      </c>
      <c r="D770" t="s">
        <v>160</v>
      </c>
      <c r="E770" t="s">
        <v>99</v>
      </c>
      <c r="F770">
        <v>45</v>
      </c>
      <c r="G770">
        <v>156.66934424366079</v>
      </c>
      <c r="H770">
        <v>1</v>
      </c>
      <c r="I770">
        <f>'Nacional · supuestos'!$B$20</f>
        <v>600</v>
      </c>
      <c r="J770">
        <f>F770*'Nacional · supuestos'!$B$4</f>
        <v>53.099999999999994</v>
      </c>
      <c r="K770">
        <f t="shared" si="11"/>
        <v>7.4999999999999997E-2</v>
      </c>
    </row>
    <row r="771" spans="1:11">
      <c r="A771">
        <v>2027</v>
      </c>
      <c r="B771">
        <v>7</v>
      </c>
      <c r="C771" t="s">
        <v>175</v>
      </c>
      <c r="D771" t="s">
        <v>160</v>
      </c>
      <c r="E771" t="s">
        <v>104</v>
      </c>
      <c r="F771">
        <v>3240</v>
      </c>
      <c r="G771">
        <v>11137.595538088266</v>
      </c>
      <c r="H771">
        <v>3</v>
      </c>
      <c r="I771">
        <f>'Nacional · supuestos'!$B$21</f>
        <v>640</v>
      </c>
      <c r="J771">
        <f>F771*'Nacional · supuestos'!$B$4</f>
        <v>3823.2</v>
      </c>
      <c r="K771">
        <f t="shared" si="11"/>
        <v>5.0625</v>
      </c>
    </row>
    <row r="772" spans="1:11">
      <c r="A772">
        <v>2027</v>
      </c>
      <c r="B772">
        <v>7</v>
      </c>
      <c r="C772" t="s">
        <v>175</v>
      </c>
      <c r="D772" t="s">
        <v>160</v>
      </c>
      <c r="E772" t="s">
        <v>99</v>
      </c>
      <c r="F772">
        <v>2475</v>
      </c>
      <c r="G772">
        <v>16387.999087576671</v>
      </c>
      <c r="H772">
        <v>5</v>
      </c>
      <c r="I772">
        <f>'Nacional · supuestos'!$B$20</f>
        <v>600</v>
      </c>
      <c r="J772">
        <f>F772*'Nacional · supuestos'!$B$4</f>
        <v>2920.5</v>
      </c>
      <c r="K772">
        <f t="shared" si="11"/>
        <v>4.125</v>
      </c>
    </row>
    <row r="773" spans="1:11">
      <c r="A773">
        <v>2027</v>
      </c>
      <c r="B773">
        <v>7</v>
      </c>
      <c r="C773" t="s">
        <v>175</v>
      </c>
      <c r="D773" t="s">
        <v>160</v>
      </c>
      <c r="E773" t="s">
        <v>102</v>
      </c>
      <c r="F773">
        <v>250</v>
      </c>
      <c r="G773">
        <v>1493.2058258752099</v>
      </c>
      <c r="H773">
        <v>1</v>
      </c>
      <c r="I773">
        <f>'Nacional · supuestos'!$B$25</f>
        <v>750</v>
      </c>
      <c r="J773">
        <f>F773</f>
        <v>250</v>
      </c>
      <c r="K773">
        <f t="shared" si="11"/>
        <v>0.33333333333333331</v>
      </c>
    </row>
    <row r="774" spans="1:11">
      <c r="A774">
        <v>2027</v>
      </c>
      <c r="B774">
        <v>7</v>
      </c>
      <c r="C774" t="s">
        <v>175</v>
      </c>
      <c r="D774" t="s">
        <v>160</v>
      </c>
      <c r="E774" t="s">
        <v>177</v>
      </c>
      <c r="F774">
        <v>125</v>
      </c>
      <c r="G774">
        <v>414.34507210149815</v>
      </c>
      <c r="H774">
        <v>1</v>
      </c>
      <c r="I774">
        <f>'Nacional · supuestos'!$B$28</f>
        <v>1100</v>
      </c>
      <c r="J774">
        <f>F774</f>
        <v>125</v>
      </c>
      <c r="K774">
        <f t="shared" si="11"/>
        <v>0.11363636363636363</v>
      </c>
    </row>
    <row r="775" spans="1:11">
      <c r="A775">
        <v>2027</v>
      </c>
      <c r="B775">
        <v>7</v>
      </c>
      <c r="C775" t="s">
        <v>218</v>
      </c>
      <c r="D775" t="s">
        <v>160</v>
      </c>
      <c r="E775" t="s">
        <v>104</v>
      </c>
      <c r="F775">
        <v>780</v>
      </c>
      <c r="G775">
        <v>1585.4562381544115</v>
      </c>
      <c r="H775">
        <v>1</v>
      </c>
      <c r="I775">
        <f>'Nacional · supuestos'!$B$21</f>
        <v>640</v>
      </c>
      <c r="J775">
        <f>F775*'Nacional · supuestos'!$B$4</f>
        <v>920.4</v>
      </c>
      <c r="K775">
        <f t="shared" ref="K775:K838" si="12">F775/I775</f>
        <v>1.21875</v>
      </c>
    </row>
    <row r="776" spans="1:11">
      <c r="A776">
        <v>2027</v>
      </c>
      <c r="B776">
        <v>7</v>
      </c>
      <c r="C776" t="s">
        <v>182</v>
      </c>
      <c r="D776" t="s">
        <v>160</v>
      </c>
      <c r="E776" t="s">
        <v>98</v>
      </c>
      <c r="F776">
        <v>18000</v>
      </c>
      <c r="G776">
        <v>32000.990474254075</v>
      </c>
      <c r="H776">
        <v>4</v>
      </c>
      <c r="I776">
        <f>'Nacional · supuestos'!$B$23</f>
        <v>1000</v>
      </c>
      <c r="J776">
        <f>F776*'Nacional · supuestos'!$B$4</f>
        <v>21240</v>
      </c>
      <c r="K776">
        <f t="shared" si="12"/>
        <v>18</v>
      </c>
    </row>
    <row r="777" spans="1:11">
      <c r="A777">
        <v>2027</v>
      </c>
      <c r="B777">
        <v>7</v>
      </c>
      <c r="C777" t="s">
        <v>182</v>
      </c>
      <c r="D777" t="s">
        <v>160</v>
      </c>
      <c r="E777" t="s">
        <v>104</v>
      </c>
      <c r="F777">
        <v>2780</v>
      </c>
      <c r="G777">
        <v>9466.8728171718376</v>
      </c>
      <c r="H777">
        <v>4</v>
      </c>
      <c r="I777">
        <f>'Nacional · supuestos'!$B$21</f>
        <v>640</v>
      </c>
      <c r="J777">
        <f>F777*'Nacional · supuestos'!$B$4</f>
        <v>3280.3999999999996</v>
      </c>
      <c r="K777">
        <f t="shared" si="12"/>
        <v>4.34375</v>
      </c>
    </row>
    <row r="778" spans="1:11">
      <c r="A778">
        <v>2027</v>
      </c>
      <c r="B778">
        <v>7</v>
      </c>
      <c r="C778" t="s">
        <v>182</v>
      </c>
      <c r="D778" t="s">
        <v>160</v>
      </c>
      <c r="E778" t="s">
        <v>99</v>
      </c>
      <c r="F778">
        <v>140</v>
      </c>
      <c r="G778">
        <v>859.85723264534772</v>
      </c>
      <c r="H778">
        <v>2</v>
      </c>
      <c r="I778">
        <f>'Nacional · supuestos'!$B$20</f>
        <v>600</v>
      </c>
      <c r="J778">
        <f>F778*'Nacional · supuestos'!$B$4</f>
        <v>165.2</v>
      </c>
      <c r="K778">
        <f t="shared" si="12"/>
        <v>0.23333333333333334</v>
      </c>
    </row>
    <row r="779" spans="1:11">
      <c r="A779">
        <v>2027</v>
      </c>
      <c r="B779">
        <v>7</v>
      </c>
      <c r="C779" t="s">
        <v>182</v>
      </c>
      <c r="D779" t="s">
        <v>160</v>
      </c>
      <c r="E779" t="s">
        <v>101</v>
      </c>
      <c r="F779">
        <v>5620</v>
      </c>
      <c r="G779">
        <v>11143.64132781956</v>
      </c>
      <c r="H779">
        <v>4</v>
      </c>
      <c r="I779">
        <f>'Nacional · supuestos'!$B$26</f>
        <v>800</v>
      </c>
      <c r="J779">
        <f>F779</f>
        <v>5620</v>
      </c>
      <c r="K779">
        <f t="shared" si="12"/>
        <v>7.0250000000000004</v>
      </c>
    </row>
    <row r="780" spans="1:11">
      <c r="A780">
        <v>2027</v>
      </c>
      <c r="B780">
        <v>7</v>
      </c>
      <c r="C780" t="s">
        <v>182</v>
      </c>
      <c r="D780" t="s">
        <v>160</v>
      </c>
      <c r="E780" t="s">
        <v>102</v>
      </c>
      <c r="F780">
        <v>510</v>
      </c>
      <c r="G780">
        <v>1994.32882817155</v>
      </c>
      <c r="H780">
        <v>2</v>
      </c>
      <c r="I780">
        <f>'Nacional · supuestos'!$B$25</f>
        <v>750</v>
      </c>
      <c r="J780">
        <f>F780</f>
        <v>510</v>
      </c>
      <c r="K780">
        <f t="shared" si="12"/>
        <v>0.68</v>
      </c>
    </row>
    <row r="781" spans="1:11">
      <c r="A781">
        <v>2027</v>
      </c>
      <c r="B781">
        <v>7</v>
      </c>
      <c r="C781" t="s">
        <v>183</v>
      </c>
      <c r="D781" t="s">
        <v>164</v>
      </c>
      <c r="E781" t="s">
        <v>104</v>
      </c>
      <c r="F781">
        <v>2040</v>
      </c>
      <c r="G781">
        <v>5698.8864860209051</v>
      </c>
      <c r="H781">
        <v>2</v>
      </c>
      <c r="I781">
        <f>'Nacional · supuestos'!$B$21</f>
        <v>640</v>
      </c>
      <c r="J781">
        <f>F781*'Nacional · supuestos'!$B$4</f>
        <v>2407.1999999999998</v>
      </c>
      <c r="K781">
        <f t="shared" si="12"/>
        <v>3.1875</v>
      </c>
    </row>
    <row r="782" spans="1:11">
      <c r="A782">
        <v>2027</v>
      </c>
      <c r="B782">
        <v>7</v>
      </c>
      <c r="C782" t="s">
        <v>176</v>
      </c>
      <c r="D782" t="s">
        <v>160</v>
      </c>
      <c r="E782" t="s">
        <v>104</v>
      </c>
      <c r="F782">
        <v>9600</v>
      </c>
      <c r="G782">
        <v>30534.365275645752</v>
      </c>
      <c r="H782">
        <v>9</v>
      </c>
      <c r="I782">
        <f>'Nacional · supuestos'!$B$21</f>
        <v>640</v>
      </c>
      <c r="J782">
        <f>F782*'Nacional · supuestos'!$B$4</f>
        <v>11328</v>
      </c>
      <c r="K782">
        <f t="shared" si="12"/>
        <v>15</v>
      </c>
    </row>
    <row r="783" spans="1:11">
      <c r="A783">
        <v>2027</v>
      </c>
      <c r="B783">
        <v>7</v>
      </c>
      <c r="C783" t="s">
        <v>176</v>
      </c>
      <c r="D783" t="s">
        <v>160</v>
      </c>
      <c r="E783" t="s">
        <v>99</v>
      </c>
      <c r="F783">
        <v>1675</v>
      </c>
      <c r="G783">
        <v>6207.723082112343</v>
      </c>
      <c r="H783">
        <v>6</v>
      </c>
      <c r="I783">
        <f>'Nacional · supuestos'!$B$20</f>
        <v>600</v>
      </c>
      <c r="J783">
        <f>F783*'Nacional · supuestos'!$B$4</f>
        <v>1976.5</v>
      </c>
      <c r="K783">
        <f t="shared" si="12"/>
        <v>2.7916666666666665</v>
      </c>
    </row>
    <row r="784" spans="1:11">
      <c r="A784">
        <v>2027</v>
      </c>
      <c r="B784">
        <v>7</v>
      </c>
      <c r="C784" t="s">
        <v>176</v>
      </c>
      <c r="D784" t="s">
        <v>160</v>
      </c>
      <c r="E784" t="s">
        <v>101</v>
      </c>
      <c r="F784">
        <v>860</v>
      </c>
      <c r="G784">
        <v>1559.8137506734133</v>
      </c>
      <c r="H784">
        <v>1</v>
      </c>
      <c r="I784">
        <f>'Nacional · supuestos'!$B$26</f>
        <v>800</v>
      </c>
      <c r="J784">
        <f>F784</f>
        <v>860</v>
      </c>
      <c r="K784">
        <f t="shared" si="12"/>
        <v>1.075</v>
      </c>
    </row>
    <row r="785" spans="1:11">
      <c r="A785">
        <v>2027</v>
      </c>
      <c r="B785">
        <v>7</v>
      </c>
      <c r="C785" t="s">
        <v>204</v>
      </c>
      <c r="D785" t="s">
        <v>160</v>
      </c>
      <c r="E785" t="s">
        <v>104</v>
      </c>
      <c r="F785">
        <v>200</v>
      </c>
      <c r="G785">
        <v>675.46064584093301</v>
      </c>
      <c r="H785">
        <v>2</v>
      </c>
      <c r="I785">
        <f>'Nacional · supuestos'!$B$21</f>
        <v>640</v>
      </c>
      <c r="J785">
        <f>F785*'Nacional · supuestos'!$B$4</f>
        <v>236</v>
      </c>
      <c r="K785">
        <f t="shared" si="12"/>
        <v>0.3125</v>
      </c>
    </row>
    <row r="786" spans="1:11">
      <c r="A786">
        <v>2027</v>
      </c>
      <c r="B786">
        <v>7</v>
      </c>
      <c r="C786" t="s">
        <v>204</v>
      </c>
      <c r="D786" t="s">
        <v>160</v>
      </c>
      <c r="E786" t="s">
        <v>105</v>
      </c>
      <c r="F786">
        <v>400</v>
      </c>
      <c r="G786">
        <v>1405.1249237555205</v>
      </c>
      <c r="H786">
        <v>1</v>
      </c>
      <c r="I786">
        <f>'Nacional · supuestos'!$B$22</f>
        <v>800</v>
      </c>
      <c r="J786">
        <f>F786*'Nacional · supuestos'!$B$4</f>
        <v>472</v>
      </c>
      <c r="K786">
        <f t="shared" si="12"/>
        <v>0.5</v>
      </c>
    </row>
    <row r="787" spans="1:11">
      <c r="A787">
        <v>2027</v>
      </c>
      <c r="B787">
        <v>7</v>
      </c>
      <c r="C787" t="s">
        <v>178</v>
      </c>
      <c r="D787" t="s">
        <v>160</v>
      </c>
      <c r="E787" t="s">
        <v>104</v>
      </c>
      <c r="F787">
        <v>8360</v>
      </c>
      <c r="G787">
        <v>29370.238039110012</v>
      </c>
      <c r="H787">
        <v>4</v>
      </c>
      <c r="I787">
        <f>'Nacional · supuestos'!$B$21</f>
        <v>640</v>
      </c>
      <c r="J787">
        <f>F787*'Nacional · supuestos'!$B$4</f>
        <v>9864.7999999999993</v>
      </c>
      <c r="K787">
        <f t="shared" si="12"/>
        <v>13.0625</v>
      </c>
    </row>
    <row r="788" spans="1:11">
      <c r="A788">
        <v>2027</v>
      </c>
      <c r="B788">
        <v>7</v>
      </c>
      <c r="C788" t="s">
        <v>178</v>
      </c>
      <c r="D788" t="s">
        <v>160</v>
      </c>
      <c r="E788" t="s">
        <v>99</v>
      </c>
      <c r="F788">
        <v>1650</v>
      </c>
      <c r="G788">
        <v>9538.0672031455033</v>
      </c>
      <c r="H788">
        <v>3</v>
      </c>
      <c r="I788">
        <f>'Nacional · supuestos'!$B$20</f>
        <v>600</v>
      </c>
      <c r="J788">
        <f>F788*'Nacional · supuestos'!$B$4</f>
        <v>1947</v>
      </c>
      <c r="K788">
        <f t="shared" si="12"/>
        <v>2.75</v>
      </c>
    </row>
    <row r="789" spans="1:11">
      <c r="A789">
        <v>2027</v>
      </c>
      <c r="B789">
        <v>7</v>
      </c>
      <c r="C789" t="s">
        <v>178</v>
      </c>
      <c r="D789" t="s">
        <v>160</v>
      </c>
      <c r="E789" t="s">
        <v>100</v>
      </c>
      <c r="F789">
        <v>243</v>
      </c>
      <c r="G789">
        <v>2467.1200089340064</v>
      </c>
      <c r="H789">
        <v>2</v>
      </c>
      <c r="I789">
        <f>'Nacional · supuestos'!$B$24</f>
        <v>1056</v>
      </c>
      <c r="J789">
        <f>F789</f>
        <v>243</v>
      </c>
      <c r="K789">
        <f t="shared" si="12"/>
        <v>0.23011363636363635</v>
      </c>
    </row>
    <row r="790" spans="1:11">
      <c r="A790">
        <v>2027</v>
      </c>
      <c r="B790">
        <v>7</v>
      </c>
      <c r="C790" t="s">
        <v>178</v>
      </c>
      <c r="D790" t="s">
        <v>160</v>
      </c>
      <c r="E790" t="s">
        <v>102</v>
      </c>
      <c r="F790">
        <v>375</v>
      </c>
      <c r="G790">
        <v>2036.5451185366087</v>
      </c>
      <c r="H790">
        <v>1</v>
      </c>
      <c r="I790">
        <f>'Nacional · supuestos'!$B$25</f>
        <v>750</v>
      </c>
      <c r="J790">
        <f>F790</f>
        <v>375</v>
      </c>
      <c r="K790">
        <f t="shared" si="12"/>
        <v>0.5</v>
      </c>
    </row>
    <row r="791" spans="1:11">
      <c r="A791">
        <v>2027</v>
      </c>
      <c r="B791">
        <v>7</v>
      </c>
      <c r="C791" t="s">
        <v>205</v>
      </c>
      <c r="D791" t="s">
        <v>160</v>
      </c>
      <c r="E791" t="s">
        <v>103</v>
      </c>
      <c r="F791">
        <v>62</v>
      </c>
      <c r="G791">
        <v>318.66523771609809</v>
      </c>
      <c r="H791">
        <v>3</v>
      </c>
      <c r="I791">
        <f>'Nacional · supuestos'!$B$19</f>
        <v>528</v>
      </c>
      <c r="J791">
        <f>F791*'Nacional · supuestos'!$B$4</f>
        <v>73.16</v>
      </c>
      <c r="K791">
        <f t="shared" si="12"/>
        <v>0.11742424242424243</v>
      </c>
    </row>
    <row r="792" spans="1:11">
      <c r="A792">
        <v>2027</v>
      </c>
      <c r="B792">
        <v>7</v>
      </c>
      <c r="C792" t="s">
        <v>205</v>
      </c>
      <c r="D792" t="s">
        <v>160</v>
      </c>
      <c r="E792" t="s">
        <v>99</v>
      </c>
      <c r="F792">
        <v>650</v>
      </c>
      <c r="G792">
        <v>2382.7186995300867</v>
      </c>
      <c r="H792">
        <v>10</v>
      </c>
      <c r="I792">
        <f>'Nacional · supuestos'!$B$20</f>
        <v>600</v>
      </c>
      <c r="J792">
        <f>F792*'Nacional · supuestos'!$B$4</f>
        <v>767</v>
      </c>
      <c r="K792">
        <f t="shared" si="12"/>
        <v>1.0833333333333333</v>
      </c>
    </row>
    <row r="793" spans="1:11">
      <c r="A793">
        <v>2027</v>
      </c>
      <c r="B793">
        <v>7</v>
      </c>
      <c r="C793" t="s">
        <v>205</v>
      </c>
      <c r="D793" t="s">
        <v>160</v>
      </c>
      <c r="E793" t="s">
        <v>101</v>
      </c>
      <c r="F793">
        <v>20</v>
      </c>
      <c r="G793">
        <v>38.151017959534158</v>
      </c>
      <c r="H793">
        <v>1</v>
      </c>
      <c r="I793">
        <f>'Nacional · supuestos'!$B$26</f>
        <v>800</v>
      </c>
      <c r="J793">
        <f>F793</f>
        <v>20</v>
      </c>
      <c r="K793">
        <f t="shared" si="12"/>
        <v>2.5000000000000001E-2</v>
      </c>
    </row>
    <row r="794" spans="1:11">
      <c r="A794">
        <v>2027</v>
      </c>
      <c r="B794">
        <v>7</v>
      </c>
      <c r="C794" t="s">
        <v>193</v>
      </c>
      <c r="D794" t="s">
        <v>160</v>
      </c>
      <c r="E794" t="s">
        <v>99</v>
      </c>
      <c r="F794">
        <v>640</v>
      </c>
      <c r="G794">
        <v>2301.5696080505854</v>
      </c>
      <c r="H794">
        <v>1</v>
      </c>
      <c r="I794">
        <f>'Nacional · supuestos'!$B$20</f>
        <v>600</v>
      </c>
      <c r="J794">
        <f>F794*'Nacional · supuestos'!$B$4</f>
        <v>755.19999999999993</v>
      </c>
      <c r="K794">
        <f t="shared" si="12"/>
        <v>1.0666666666666667</v>
      </c>
    </row>
    <row r="795" spans="1:11">
      <c r="A795">
        <v>2027</v>
      </c>
      <c r="B795">
        <v>7</v>
      </c>
      <c r="C795" t="s">
        <v>213</v>
      </c>
      <c r="D795" t="s">
        <v>160</v>
      </c>
      <c r="E795" t="s">
        <v>104</v>
      </c>
      <c r="F795">
        <v>2100</v>
      </c>
      <c r="G795">
        <v>7478.8503731165511</v>
      </c>
      <c r="H795">
        <v>2</v>
      </c>
      <c r="I795">
        <f>'Nacional · supuestos'!$B$21</f>
        <v>640</v>
      </c>
      <c r="J795">
        <f>F795*'Nacional · supuestos'!$B$4</f>
        <v>2478</v>
      </c>
      <c r="K795">
        <f t="shared" si="12"/>
        <v>3.28125</v>
      </c>
    </row>
    <row r="796" spans="1:11">
      <c r="A796">
        <v>2027</v>
      </c>
      <c r="B796">
        <v>7</v>
      </c>
      <c r="C796" t="s">
        <v>180</v>
      </c>
      <c r="D796" t="s">
        <v>160</v>
      </c>
      <c r="E796" t="s">
        <v>103</v>
      </c>
      <c r="F796">
        <v>14</v>
      </c>
      <c r="G796">
        <v>209.99737918381837</v>
      </c>
      <c r="H796">
        <v>1</v>
      </c>
      <c r="I796">
        <f>'Nacional · supuestos'!$B$19</f>
        <v>528</v>
      </c>
      <c r="J796">
        <f>F796*'Nacional · supuestos'!$B$4</f>
        <v>16.52</v>
      </c>
      <c r="K796">
        <f t="shared" si="12"/>
        <v>2.6515151515151516E-2</v>
      </c>
    </row>
    <row r="797" spans="1:11">
      <c r="A797">
        <v>2027</v>
      </c>
      <c r="B797">
        <v>7</v>
      </c>
      <c r="C797" t="s">
        <v>180</v>
      </c>
      <c r="D797" t="s">
        <v>160</v>
      </c>
      <c r="E797" t="s">
        <v>104</v>
      </c>
      <c r="F797">
        <v>800</v>
      </c>
      <c r="G797">
        <v>2068.0770391179176</v>
      </c>
      <c r="H797">
        <v>1</v>
      </c>
      <c r="I797">
        <f>'Nacional · supuestos'!$B$21</f>
        <v>640</v>
      </c>
      <c r="J797">
        <f>F797*'Nacional · supuestos'!$B$4</f>
        <v>944</v>
      </c>
      <c r="K797">
        <f t="shared" si="12"/>
        <v>1.25</v>
      </c>
    </row>
    <row r="798" spans="1:11">
      <c r="A798">
        <v>2027</v>
      </c>
      <c r="B798">
        <v>7</v>
      </c>
      <c r="C798" t="s">
        <v>180</v>
      </c>
      <c r="D798" t="s">
        <v>160</v>
      </c>
      <c r="E798" t="s">
        <v>99</v>
      </c>
      <c r="F798">
        <v>260</v>
      </c>
      <c r="G798">
        <v>1373.0718144042726</v>
      </c>
      <c r="H798">
        <v>3</v>
      </c>
      <c r="I798">
        <f>'Nacional · supuestos'!$B$20</f>
        <v>600</v>
      </c>
      <c r="J798">
        <f>F798*'Nacional · supuestos'!$B$4</f>
        <v>306.8</v>
      </c>
      <c r="K798">
        <f t="shared" si="12"/>
        <v>0.43333333333333335</v>
      </c>
    </row>
    <row r="799" spans="1:11">
      <c r="A799">
        <v>2027</v>
      </c>
      <c r="B799">
        <v>7</v>
      </c>
      <c r="C799" t="s">
        <v>180</v>
      </c>
      <c r="D799" t="s">
        <v>160</v>
      </c>
      <c r="E799" t="s">
        <v>197</v>
      </c>
      <c r="F799">
        <v>3600</v>
      </c>
      <c r="G799">
        <v>9981.8073218715617</v>
      </c>
      <c r="H799">
        <v>2</v>
      </c>
      <c r="I799">
        <f>'Nacional · supuestos'!$B$30</f>
        <v>1100</v>
      </c>
      <c r="J799">
        <f>F799</f>
        <v>3600</v>
      </c>
      <c r="K799">
        <f t="shared" si="12"/>
        <v>3.2727272727272729</v>
      </c>
    </row>
    <row r="800" spans="1:11">
      <c r="A800">
        <v>2027</v>
      </c>
      <c r="B800">
        <v>7</v>
      </c>
      <c r="C800" t="s">
        <v>180</v>
      </c>
      <c r="D800" t="s">
        <v>160</v>
      </c>
      <c r="E800" t="s">
        <v>177</v>
      </c>
      <c r="F800">
        <v>1895</v>
      </c>
      <c r="G800">
        <v>5471.5960634505127</v>
      </c>
      <c r="H800">
        <v>2</v>
      </c>
      <c r="I800">
        <f>'Nacional · supuestos'!$B$28</f>
        <v>1100</v>
      </c>
      <c r="J800">
        <f>F800</f>
        <v>1895</v>
      </c>
      <c r="K800">
        <f t="shared" si="12"/>
        <v>1.7227272727272727</v>
      </c>
    </row>
    <row r="801" spans="1:11">
      <c r="A801">
        <v>2027</v>
      </c>
      <c r="B801">
        <v>7</v>
      </c>
      <c r="C801" t="s">
        <v>209</v>
      </c>
      <c r="D801" t="s">
        <v>160</v>
      </c>
      <c r="E801" t="s">
        <v>104</v>
      </c>
      <c r="F801">
        <v>680</v>
      </c>
      <c r="G801">
        <v>1629.2360948292865</v>
      </c>
      <c r="H801">
        <v>2</v>
      </c>
      <c r="I801">
        <f>'Nacional · supuestos'!$B$21</f>
        <v>640</v>
      </c>
      <c r="J801">
        <f>F801*'Nacional · supuestos'!$B$4</f>
        <v>802.4</v>
      </c>
      <c r="K801">
        <f t="shared" si="12"/>
        <v>1.0625</v>
      </c>
    </row>
    <row r="802" spans="1:11">
      <c r="A802">
        <v>2027</v>
      </c>
      <c r="B802">
        <v>7</v>
      </c>
      <c r="C802" t="s">
        <v>209</v>
      </c>
      <c r="D802" t="s">
        <v>160</v>
      </c>
      <c r="E802" t="s">
        <v>101</v>
      </c>
      <c r="F802">
        <v>1020</v>
      </c>
      <c r="G802">
        <v>1977.5986686565084</v>
      </c>
      <c r="H802">
        <v>2</v>
      </c>
      <c r="I802">
        <f>'Nacional · supuestos'!$B$26</f>
        <v>800</v>
      </c>
      <c r="J802">
        <f>F802</f>
        <v>1020</v>
      </c>
      <c r="K802">
        <f t="shared" si="12"/>
        <v>1.2749999999999999</v>
      </c>
    </row>
    <row r="803" spans="1:11">
      <c r="A803">
        <v>2027</v>
      </c>
      <c r="B803">
        <v>7</v>
      </c>
      <c r="C803" t="s">
        <v>181</v>
      </c>
      <c r="D803" t="s">
        <v>160</v>
      </c>
      <c r="E803" t="s">
        <v>101</v>
      </c>
      <c r="F803">
        <v>2480</v>
      </c>
      <c r="G803">
        <v>4782.4281529601849</v>
      </c>
      <c r="H803">
        <v>1</v>
      </c>
      <c r="I803">
        <f>'Nacional · supuestos'!$B$26</f>
        <v>800</v>
      </c>
      <c r="J803">
        <f>F803</f>
        <v>2480</v>
      </c>
      <c r="K803">
        <f t="shared" si="12"/>
        <v>3.1</v>
      </c>
    </row>
    <row r="804" spans="1:11">
      <c r="A804">
        <v>2027</v>
      </c>
      <c r="B804">
        <v>7</v>
      </c>
      <c r="C804" t="s">
        <v>186</v>
      </c>
      <c r="D804" t="s">
        <v>160</v>
      </c>
      <c r="E804" t="s">
        <v>98</v>
      </c>
      <c r="F804">
        <v>2000</v>
      </c>
      <c r="G804">
        <v>3752.559143560738</v>
      </c>
      <c r="H804">
        <v>1</v>
      </c>
      <c r="I804">
        <f>'Nacional · supuestos'!$B$23</f>
        <v>1000</v>
      </c>
      <c r="J804">
        <f>F804*'Nacional · supuestos'!$B$4</f>
        <v>2360</v>
      </c>
      <c r="K804">
        <f t="shared" si="12"/>
        <v>2</v>
      </c>
    </row>
    <row r="805" spans="1:11">
      <c r="A805">
        <v>2027</v>
      </c>
      <c r="B805">
        <v>7</v>
      </c>
      <c r="C805" t="s">
        <v>186</v>
      </c>
      <c r="D805" t="s">
        <v>160</v>
      </c>
      <c r="E805" t="s">
        <v>104</v>
      </c>
      <c r="F805">
        <v>1360</v>
      </c>
      <c r="G805">
        <v>2948.6775848068373</v>
      </c>
      <c r="H805">
        <v>2</v>
      </c>
      <c r="I805">
        <f>'Nacional · supuestos'!$B$21</f>
        <v>640</v>
      </c>
      <c r="J805">
        <f>F805*'Nacional · supuestos'!$B$4</f>
        <v>1604.8</v>
      </c>
      <c r="K805">
        <f t="shared" si="12"/>
        <v>2.125</v>
      </c>
    </row>
    <row r="806" spans="1:11">
      <c r="A806">
        <v>2027</v>
      </c>
      <c r="B806">
        <v>7</v>
      </c>
      <c r="C806" t="s">
        <v>186</v>
      </c>
      <c r="D806" t="s">
        <v>160</v>
      </c>
      <c r="E806" t="s">
        <v>99</v>
      </c>
      <c r="F806">
        <v>45</v>
      </c>
      <c r="G806">
        <v>165.11260231667251</v>
      </c>
      <c r="H806">
        <v>1</v>
      </c>
      <c r="I806">
        <f>'Nacional · supuestos'!$B$20</f>
        <v>600</v>
      </c>
      <c r="J806">
        <f>F806*'Nacional · supuestos'!$B$4</f>
        <v>53.099999999999994</v>
      </c>
      <c r="K806">
        <f t="shared" si="12"/>
        <v>7.4999999999999997E-2</v>
      </c>
    </row>
    <row r="807" spans="1:11">
      <c r="A807">
        <v>2027</v>
      </c>
      <c r="B807">
        <v>7</v>
      </c>
      <c r="C807" t="s">
        <v>186</v>
      </c>
      <c r="D807" t="s">
        <v>160</v>
      </c>
      <c r="E807" t="s">
        <v>101</v>
      </c>
      <c r="F807">
        <v>8260</v>
      </c>
      <c r="G807">
        <v>15411.968878111922</v>
      </c>
      <c r="H807">
        <v>4</v>
      </c>
      <c r="I807">
        <f>'Nacional · supuestos'!$B$26</f>
        <v>800</v>
      </c>
      <c r="J807">
        <f>F807</f>
        <v>8260</v>
      </c>
      <c r="K807">
        <f t="shared" si="12"/>
        <v>10.324999999999999</v>
      </c>
    </row>
    <row r="808" spans="1:11">
      <c r="A808">
        <v>2027</v>
      </c>
      <c r="B808">
        <v>7</v>
      </c>
      <c r="C808" t="s">
        <v>186</v>
      </c>
      <c r="D808" t="s">
        <v>160</v>
      </c>
      <c r="E808" t="s">
        <v>102</v>
      </c>
      <c r="F808">
        <v>60</v>
      </c>
      <c r="G808">
        <v>303.95729062841968</v>
      </c>
      <c r="H808">
        <v>1</v>
      </c>
      <c r="I808">
        <f>'Nacional · supuestos'!$B$25</f>
        <v>750</v>
      </c>
      <c r="J808">
        <f>F808</f>
        <v>60</v>
      </c>
      <c r="K808">
        <f t="shared" si="12"/>
        <v>0.08</v>
      </c>
    </row>
    <row r="809" spans="1:11">
      <c r="A809">
        <v>2027</v>
      </c>
      <c r="B809">
        <v>8</v>
      </c>
      <c r="C809" t="s">
        <v>190</v>
      </c>
      <c r="D809" t="s">
        <v>160</v>
      </c>
      <c r="E809" t="s">
        <v>99</v>
      </c>
      <c r="F809">
        <v>395</v>
      </c>
      <c r="G809">
        <v>1730.8157860903959</v>
      </c>
      <c r="H809">
        <v>2</v>
      </c>
      <c r="I809">
        <f>'Nacional · supuestos'!$B$20</f>
        <v>600</v>
      </c>
      <c r="J809">
        <f>F809*'Nacional · supuestos'!$B$4</f>
        <v>466.09999999999997</v>
      </c>
      <c r="K809">
        <f t="shared" si="12"/>
        <v>0.65833333333333333</v>
      </c>
    </row>
    <row r="810" spans="1:11">
      <c r="A810">
        <v>2027</v>
      </c>
      <c r="B810">
        <v>8</v>
      </c>
      <c r="C810" t="s">
        <v>162</v>
      </c>
      <c r="D810" t="s">
        <v>160</v>
      </c>
      <c r="E810" t="s">
        <v>104</v>
      </c>
      <c r="F810">
        <v>680</v>
      </c>
      <c r="G810">
        <v>1637.3666396403353</v>
      </c>
      <c r="H810">
        <v>1</v>
      </c>
      <c r="I810">
        <f>'Nacional · supuestos'!$B$21</f>
        <v>640</v>
      </c>
      <c r="J810">
        <f>F810*'Nacional · supuestos'!$B$4</f>
        <v>802.4</v>
      </c>
      <c r="K810">
        <f t="shared" si="12"/>
        <v>1.0625</v>
      </c>
    </row>
    <row r="811" spans="1:11">
      <c r="A811">
        <v>2027</v>
      </c>
      <c r="B811">
        <v>8</v>
      </c>
      <c r="C811" t="s">
        <v>162</v>
      </c>
      <c r="D811" t="s">
        <v>160</v>
      </c>
      <c r="E811" t="s">
        <v>102</v>
      </c>
      <c r="F811">
        <v>210</v>
      </c>
      <c r="G811">
        <v>1582.6418187967408</v>
      </c>
      <c r="H811">
        <v>1</v>
      </c>
      <c r="I811">
        <f>'Nacional · supuestos'!$B$25</f>
        <v>750</v>
      </c>
      <c r="J811">
        <f>F811</f>
        <v>210</v>
      </c>
      <c r="K811">
        <f t="shared" si="12"/>
        <v>0.28000000000000003</v>
      </c>
    </row>
    <row r="812" spans="1:11">
      <c r="A812">
        <v>2027</v>
      </c>
      <c r="B812">
        <v>8</v>
      </c>
      <c r="C812" t="s">
        <v>163</v>
      </c>
      <c r="D812" t="s">
        <v>164</v>
      </c>
      <c r="E812" t="s">
        <v>103</v>
      </c>
      <c r="F812">
        <v>77</v>
      </c>
      <c r="G812">
        <v>376.4546485269334</v>
      </c>
      <c r="H812">
        <v>4</v>
      </c>
      <c r="I812">
        <f>'Nacional · supuestos'!$B$19</f>
        <v>528</v>
      </c>
      <c r="J812">
        <f>F812*'Nacional · supuestos'!$B$4</f>
        <v>90.86</v>
      </c>
      <c r="K812">
        <f t="shared" si="12"/>
        <v>0.14583333333333334</v>
      </c>
    </row>
    <row r="813" spans="1:11">
      <c r="A813">
        <v>2027</v>
      </c>
      <c r="B813">
        <v>8</v>
      </c>
      <c r="C813" t="s">
        <v>163</v>
      </c>
      <c r="D813" t="s">
        <v>164</v>
      </c>
      <c r="E813" t="s">
        <v>104</v>
      </c>
      <c r="F813">
        <v>1440</v>
      </c>
      <c r="G813">
        <v>3906.8310194626783</v>
      </c>
      <c r="H813">
        <v>3</v>
      </c>
      <c r="I813">
        <f>'Nacional · supuestos'!$B$21</f>
        <v>640</v>
      </c>
      <c r="J813">
        <f>F813*'Nacional · supuestos'!$B$4</f>
        <v>1699.1999999999998</v>
      </c>
      <c r="K813">
        <f t="shared" si="12"/>
        <v>2.25</v>
      </c>
    </row>
    <row r="814" spans="1:11">
      <c r="A814">
        <v>2027</v>
      </c>
      <c r="B814">
        <v>8</v>
      </c>
      <c r="C814" t="s">
        <v>163</v>
      </c>
      <c r="D814" t="s">
        <v>164</v>
      </c>
      <c r="E814" t="s">
        <v>105</v>
      </c>
      <c r="F814">
        <v>800</v>
      </c>
      <c r="G814">
        <v>1651.1260231667241</v>
      </c>
      <c r="H814">
        <v>1</v>
      </c>
      <c r="I814">
        <f>'Nacional · supuestos'!$B$22</f>
        <v>800</v>
      </c>
      <c r="J814">
        <f>F814*'Nacional · supuestos'!$B$4</f>
        <v>944</v>
      </c>
      <c r="K814">
        <f t="shared" si="12"/>
        <v>1</v>
      </c>
    </row>
    <row r="815" spans="1:11">
      <c r="A815">
        <v>2027</v>
      </c>
      <c r="B815">
        <v>8</v>
      </c>
      <c r="C815" t="s">
        <v>163</v>
      </c>
      <c r="D815" t="s">
        <v>164</v>
      </c>
      <c r="E815" t="s">
        <v>99</v>
      </c>
      <c r="F815">
        <v>155</v>
      </c>
      <c r="G815">
        <v>501.27935892732177</v>
      </c>
      <c r="H815">
        <v>5</v>
      </c>
      <c r="I815">
        <f>'Nacional · supuestos'!$B$20</f>
        <v>600</v>
      </c>
      <c r="J815">
        <f>F815*'Nacional · supuestos'!$B$4</f>
        <v>182.89999999999998</v>
      </c>
      <c r="K815">
        <f t="shared" si="12"/>
        <v>0.25833333333333336</v>
      </c>
    </row>
    <row r="816" spans="1:11">
      <c r="A816">
        <v>2027</v>
      </c>
      <c r="B816">
        <v>8</v>
      </c>
      <c r="C816" t="s">
        <v>163</v>
      </c>
      <c r="D816" t="s">
        <v>164</v>
      </c>
      <c r="E816" t="s">
        <v>101</v>
      </c>
      <c r="F816">
        <v>60</v>
      </c>
      <c r="G816">
        <v>232.6586669007657</v>
      </c>
      <c r="H816">
        <v>2</v>
      </c>
      <c r="I816">
        <f>'Nacional · supuestos'!$B$26</f>
        <v>800</v>
      </c>
      <c r="J816">
        <f>F816</f>
        <v>60</v>
      </c>
      <c r="K816">
        <f t="shared" si="12"/>
        <v>7.4999999999999997E-2</v>
      </c>
    </row>
    <row r="817" spans="1:11">
      <c r="A817">
        <v>2027</v>
      </c>
      <c r="B817">
        <v>8</v>
      </c>
      <c r="C817" t="s">
        <v>163</v>
      </c>
      <c r="D817" t="s">
        <v>164</v>
      </c>
      <c r="E817" t="s">
        <v>177</v>
      </c>
      <c r="F817">
        <v>25</v>
      </c>
      <c r="G817">
        <v>68.796917631946854</v>
      </c>
      <c r="H817">
        <v>1</v>
      </c>
      <c r="I817">
        <f>'Nacional · supuestos'!$B$28</f>
        <v>1100</v>
      </c>
      <c r="J817">
        <f>F817</f>
        <v>25</v>
      </c>
      <c r="K817">
        <f t="shared" si="12"/>
        <v>2.2727272727272728E-2</v>
      </c>
    </row>
    <row r="818" spans="1:11">
      <c r="A818">
        <v>2027</v>
      </c>
      <c r="B818">
        <v>8</v>
      </c>
      <c r="C818" t="s">
        <v>165</v>
      </c>
      <c r="D818" t="s">
        <v>160</v>
      </c>
      <c r="E818" t="s">
        <v>104</v>
      </c>
      <c r="F818">
        <v>140</v>
      </c>
      <c r="G818">
        <v>1663.63455364526</v>
      </c>
      <c r="H818">
        <v>1</v>
      </c>
      <c r="I818">
        <f>'Nacional · supuestos'!$B$21</f>
        <v>640</v>
      </c>
      <c r="J818">
        <f>F818*'Nacional · supuestos'!$B$4</f>
        <v>165.2</v>
      </c>
      <c r="K818">
        <f t="shared" si="12"/>
        <v>0.21875</v>
      </c>
    </row>
    <row r="819" spans="1:11">
      <c r="A819">
        <v>2027</v>
      </c>
      <c r="B819">
        <v>8</v>
      </c>
      <c r="C819" t="s">
        <v>191</v>
      </c>
      <c r="D819" t="s">
        <v>160</v>
      </c>
      <c r="E819" t="s">
        <v>99</v>
      </c>
      <c r="F819">
        <v>345</v>
      </c>
      <c r="G819">
        <v>1359.3645497548771</v>
      </c>
      <c r="H819">
        <v>2</v>
      </c>
      <c r="I819">
        <f>'Nacional · supuestos'!$B$20</f>
        <v>600</v>
      </c>
      <c r="J819">
        <f>F819*'Nacional · supuestos'!$B$4</f>
        <v>407.09999999999997</v>
      </c>
      <c r="K819">
        <f t="shared" si="12"/>
        <v>0.57499999999999996</v>
      </c>
    </row>
    <row r="820" spans="1:11">
      <c r="A820">
        <v>2027</v>
      </c>
      <c r="B820">
        <v>8</v>
      </c>
      <c r="C820" t="s">
        <v>191</v>
      </c>
      <c r="D820" t="s">
        <v>160</v>
      </c>
      <c r="E820" t="s">
        <v>102</v>
      </c>
      <c r="F820">
        <v>520</v>
      </c>
      <c r="G820">
        <v>2634.2965187796372</v>
      </c>
      <c r="H820">
        <v>1</v>
      </c>
      <c r="I820">
        <f>'Nacional · supuestos'!$B$25</f>
        <v>750</v>
      </c>
      <c r="J820">
        <f>F820</f>
        <v>520</v>
      </c>
      <c r="K820">
        <f t="shared" si="12"/>
        <v>0.69333333333333336</v>
      </c>
    </row>
    <row r="821" spans="1:11">
      <c r="A821">
        <v>2027</v>
      </c>
      <c r="B821">
        <v>8</v>
      </c>
      <c r="C821" t="s">
        <v>191</v>
      </c>
      <c r="D821" t="s">
        <v>160</v>
      </c>
      <c r="E821" t="s">
        <v>197</v>
      </c>
      <c r="F821">
        <v>115</v>
      </c>
      <c r="G821">
        <v>270.91392261428774</v>
      </c>
      <c r="H821">
        <v>1</v>
      </c>
      <c r="I821">
        <f>'Nacional · supuestos'!$B$30</f>
        <v>1100</v>
      </c>
      <c r="J821">
        <f>F821</f>
        <v>115</v>
      </c>
      <c r="K821">
        <f t="shared" si="12"/>
        <v>0.10454545454545454</v>
      </c>
    </row>
    <row r="822" spans="1:11">
      <c r="A822">
        <v>2027</v>
      </c>
      <c r="B822">
        <v>8</v>
      </c>
      <c r="C822" t="s">
        <v>170</v>
      </c>
      <c r="D822" t="s">
        <v>160</v>
      </c>
      <c r="E822" t="s">
        <v>104</v>
      </c>
      <c r="F822">
        <v>1420</v>
      </c>
      <c r="G822">
        <v>4887.0828579639319</v>
      </c>
      <c r="H822">
        <v>3</v>
      </c>
      <c r="I822">
        <f>'Nacional · supuestos'!$B$21</f>
        <v>640</v>
      </c>
      <c r="J822">
        <f>F822*'Nacional · supuestos'!$B$4</f>
        <v>1675.6</v>
      </c>
      <c r="K822">
        <f t="shared" si="12"/>
        <v>2.21875</v>
      </c>
    </row>
    <row r="823" spans="1:11">
      <c r="A823">
        <v>2027</v>
      </c>
      <c r="B823">
        <v>8</v>
      </c>
      <c r="C823" t="s">
        <v>201</v>
      </c>
      <c r="D823" t="s">
        <v>160</v>
      </c>
      <c r="E823" t="s">
        <v>103</v>
      </c>
      <c r="F823">
        <v>28</v>
      </c>
      <c r="G823">
        <v>157.31561831838516</v>
      </c>
      <c r="H823">
        <v>1</v>
      </c>
      <c r="I823">
        <f>'Nacional · supuestos'!$B$19</f>
        <v>528</v>
      </c>
      <c r="J823">
        <f>F823*'Nacional · supuestos'!$B$4</f>
        <v>33.04</v>
      </c>
      <c r="K823">
        <f t="shared" si="12"/>
        <v>5.3030303030303032E-2</v>
      </c>
    </row>
    <row r="824" spans="1:11">
      <c r="A824">
        <v>2027</v>
      </c>
      <c r="B824">
        <v>8</v>
      </c>
      <c r="C824" t="s">
        <v>201</v>
      </c>
      <c r="D824" t="s">
        <v>160</v>
      </c>
      <c r="E824" t="s">
        <v>104</v>
      </c>
      <c r="F824">
        <v>60</v>
      </c>
      <c r="G824">
        <v>150.1023657424295</v>
      </c>
      <c r="H824">
        <v>1</v>
      </c>
      <c r="I824">
        <f>'Nacional · supuestos'!$B$21</f>
        <v>640</v>
      </c>
      <c r="J824">
        <f>F824*'Nacional · supuestos'!$B$4</f>
        <v>70.8</v>
      </c>
      <c r="K824">
        <f t="shared" si="12"/>
        <v>9.375E-2</v>
      </c>
    </row>
    <row r="825" spans="1:11">
      <c r="A825">
        <v>2027</v>
      </c>
      <c r="B825">
        <v>8</v>
      </c>
      <c r="C825" t="s">
        <v>201</v>
      </c>
      <c r="D825" t="s">
        <v>160</v>
      </c>
      <c r="E825" t="s">
        <v>99</v>
      </c>
      <c r="F825">
        <v>565</v>
      </c>
      <c r="G825">
        <v>3388.3003122503765</v>
      </c>
      <c r="H825">
        <v>14</v>
      </c>
      <c r="I825">
        <f>'Nacional · supuestos'!$B$20</f>
        <v>600</v>
      </c>
      <c r="J825">
        <f>F825*'Nacional · supuestos'!$B$4</f>
        <v>666.69999999999993</v>
      </c>
      <c r="K825">
        <f t="shared" si="12"/>
        <v>0.94166666666666665</v>
      </c>
    </row>
    <row r="826" spans="1:11">
      <c r="A826">
        <v>2027</v>
      </c>
      <c r="B826">
        <v>8</v>
      </c>
      <c r="C826" t="s">
        <v>201</v>
      </c>
      <c r="D826" t="s">
        <v>160</v>
      </c>
      <c r="E826" t="s">
        <v>102</v>
      </c>
      <c r="F826">
        <v>90</v>
      </c>
      <c r="G826">
        <v>538.12740496200854</v>
      </c>
      <c r="H826">
        <v>3</v>
      </c>
      <c r="I826">
        <f>'Nacional · supuestos'!$B$25</f>
        <v>750</v>
      </c>
      <c r="J826">
        <f>F826</f>
        <v>90</v>
      </c>
      <c r="K826">
        <f t="shared" si="12"/>
        <v>0.12</v>
      </c>
    </row>
    <row r="827" spans="1:11">
      <c r="A827">
        <v>2027</v>
      </c>
      <c r="B827">
        <v>8</v>
      </c>
      <c r="C827" t="s">
        <v>216</v>
      </c>
      <c r="D827" t="s">
        <v>160</v>
      </c>
      <c r="E827" t="s">
        <v>104</v>
      </c>
      <c r="F827">
        <v>400</v>
      </c>
      <c r="G827">
        <v>3285.5740056954014</v>
      </c>
      <c r="H827">
        <v>1</v>
      </c>
      <c r="I827">
        <f>'Nacional · supuestos'!$B$21</f>
        <v>640</v>
      </c>
      <c r="J827">
        <f>F827*'Nacional · supuestos'!$B$4</f>
        <v>472</v>
      </c>
      <c r="K827">
        <f t="shared" si="12"/>
        <v>0.625</v>
      </c>
    </row>
    <row r="828" spans="1:11">
      <c r="A828">
        <v>2027</v>
      </c>
      <c r="B828">
        <v>8</v>
      </c>
      <c r="C828" t="s">
        <v>216</v>
      </c>
      <c r="D828" t="s">
        <v>160</v>
      </c>
      <c r="E828" t="s">
        <v>99</v>
      </c>
      <c r="F828">
        <v>4560</v>
      </c>
      <c r="G828">
        <v>16442.150600773333</v>
      </c>
      <c r="H828">
        <v>10</v>
      </c>
      <c r="I828">
        <f>'Nacional · supuestos'!$B$20</f>
        <v>600</v>
      </c>
      <c r="J828">
        <f>F828*'Nacional · supuestos'!$B$4</f>
        <v>5380.7999999999993</v>
      </c>
      <c r="K828">
        <f t="shared" si="12"/>
        <v>7.6</v>
      </c>
    </row>
    <row r="829" spans="1:11">
      <c r="A829">
        <v>2027</v>
      </c>
      <c r="B829">
        <v>8</v>
      </c>
      <c r="C829" t="s">
        <v>216</v>
      </c>
      <c r="D829" t="s">
        <v>160</v>
      </c>
      <c r="E829" t="s">
        <v>102</v>
      </c>
      <c r="F829">
        <v>1130</v>
      </c>
      <c r="G829">
        <v>4968.3883060744174</v>
      </c>
      <c r="H829">
        <v>2</v>
      </c>
      <c r="I829">
        <f>'Nacional · supuestos'!$B$25</f>
        <v>750</v>
      </c>
      <c r="J829">
        <f>F829</f>
        <v>1130</v>
      </c>
      <c r="K829">
        <f t="shared" si="12"/>
        <v>1.5066666666666666</v>
      </c>
    </row>
    <row r="830" spans="1:11">
      <c r="A830">
        <v>2027</v>
      </c>
      <c r="B830">
        <v>8</v>
      </c>
      <c r="C830" t="s">
        <v>171</v>
      </c>
      <c r="D830" t="s">
        <v>164</v>
      </c>
      <c r="E830" t="s">
        <v>103</v>
      </c>
      <c r="F830">
        <v>64</v>
      </c>
      <c r="G830">
        <v>368.25113728809373</v>
      </c>
      <c r="H830">
        <v>3</v>
      </c>
      <c r="I830">
        <f>'Nacional · supuestos'!$B$19</f>
        <v>528</v>
      </c>
      <c r="J830">
        <f>F830*'Nacional · supuestos'!$B$4</f>
        <v>75.52</v>
      </c>
      <c r="K830">
        <f t="shared" si="12"/>
        <v>0.12121212121212122</v>
      </c>
    </row>
    <row r="831" spans="1:11">
      <c r="A831">
        <v>2027</v>
      </c>
      <c r="B831">
        <v>8</v>
      </c>
      <c r="C831" t="s">
        <v>171</v>
      </c>
      <c r="D831" t="s">
        <v>164</v>
      </c>
      <c r="E831" t="s">
        <v>104</v>
      </c>
      <c r="F831">
        <v>5600</v>
      </c>
      <c r="G831">
        <v>17745.435238882776</v>
      </c>
      <c r="H831">
        <v>2</v>
      </c>
      <c r="I831">
        <f>'Nacional · supuestos'!$B$21</f>
        <v>640</v>
      </c>
      <c r="J831">
        <f>F831*'Nacional · supuestos'!$B$4</f>
        <v>6608</v>
      </c>
      <c r="K831">
        <f t="shared" si="12"/>
        <v>8.75</v>
      </c>
    </row>
    <row r="832" spans="1:11">
      <c r="A832">
        <v>2027</v>
      </c>
      <c r="B832">
        <v>8</v>
      </c>
      <c r="C832" t="s">
        <v>171</v>
      </c>
      <c r="D832" t="s">
        <v>164</v>
      </c>
      <c r="E832" t="s">
        <v>99</v>
      </c>
      <c r="F832">
        <v>3525</v>
      </c>
      <c r="G832">
        <v>12362.337028567905</v>
      </c>
      <c r="H832">
        <v>6</v>
      </c>
      <c r="I832">
        <f>'Nacional · supuestos'!$B$20</f>
        <v>600</v>
      </c>
      <c r="J832">
        <f>F832*'Nacional · supuestos'!$B$4</f>
        <v>4159.5</v>
      </c>
      <c r="K832">
        <f t="shared" si="12"/>
        <v>5.875</v>
      </c>
    </row>
    <row r="833" spans="1:11">
      <c r="A833">
        <v>2027</v>
      </c>
      <c r="B833">
        <v>8</v>
      </c>
      <c r="C833" t="s">
        <v>171</v>
      </c>
      <c r="D833" t="s">
        <v>164</v>
      </c>
      <c r="E833" t="s">
        <v>101</v>
      </c>
      <c r="F833">
        <v>3260</v>
      </c>
      <c r="G833">
        <v>7276.6291303802209</v>
      </c>
      <c r="H833">
        <v>2</v>
      </c>
      <c r="I833">
        <f>'Nacional · supuestos'!$B$26</f>
        <v>800</v>
      </c>
      <c r="J833">
        <f>F833</f>
        <v>3260</v>
      </c>
      <c r="K833">
        <f t="shared" si="12"/>
        <v>4.0750000000000002</v>
      </c>
    </row>
    <row r="834" spans="1:11">
      <c r="A834">
        <v>2027</v>
      </c>
      <c r="B834">
        <v>8</v>
      </c>
      <c r="C834" t="s">
        <v>171</v>
      </c>
      <c r="D834" t="s">
        <v>164</v>
      </c>
      <c r="E834" t="s">
        <v>102</v>
      </c>
      <c r="F834">
        <v>10105</v>
      </c>
      <c r="G834">
        <v>30584.92058632983</v>
      </c>
      <c r="H834">
        <v>9</v>
      </c>
      <c r="I834">
        <f>'Nacional · supuestos'!$B$25</f>
        <v>750</v>
      </c>
      <c r="J834">
        <f>F834</f>
        <v>10105</v>
      </c>
      <c r="K834">
        <f t="shared" si="12"/>
        <v>13.473333333333333</v>
      </c>
    </row>
    <row r="835" spans="1:11">
      <c r="A835">
        <v>2027</v>
      </c>
      <c r="B835">
        <v>8</v>
      </c>
      <c r="C835" t="s">
        <v>172</v>
      </c>
      <c r="D835" t="s">
        <v>160</v>
      </c>
      <c r="E835" t="s">
        <v>103</v>
      </c>
      <c r="F835">
        <v>72</v>
      </c>
      <c r="G835">
        <v>1129.5203022117821</v>
      </c>
      <c r="H835">
        <v>1</v>
      </c>
      <c r="I835">
        <f>'Nacional · supuestos'!$B$19</f>
        <v>528</v>
      </c>
      <c r="J835">
        <f>F835*'Nacional · supuestos'!$B$4</f>
        <v>84.96</v>
      </c>
      <c r="K835">
        <f t="shared" si="12"/>
        <v>0.13636363636363635</v>
      </c>
    </row>
    <row r="836" spans="1:11">
      <c r="A836">
        <v>2027</v>
      </c>
      <c r="B836">
        <v>8</v>
      </c>
      <c r="C836" t="s">
        <v>172</v>
      </c>
      <c r="D836" t="s">
        <v>160</v>
      </c>
      <c r="E836" t="s">
        <v>104</v>
      </c>
      <c r="F836">
        <v>6920</v>
      </c>
      <c r="G836">
        <v>25634.982362711249</v>
      </c>
      <c r="H836">
        <v>9</v>
      </c>
      <c r="I836">
        <f>'Nacional · supuestos'!$B$21</f>
        <v>640</v>
      </c>
      <c r="J836">
        <f>F836*'Nacional · supuestos'!$B$4</f>
        <v>8165.5999999999995</v>
      </c>
      <c r="K836">
        <f t="shared" si="12"/>
        <v>10.8125</v>
      </c>
    </row>
    <row r="837" spans="1:11">
      <c r="A837">
        <v>2027</v>
      </c>
      <c r="B837">
        <v>8</v>
      </c>
      <c r="C837" t="s">
        <v>172</v>
      </c>
      <c r="D837" t="s">
        <v>160</v>
      </c>
      <c r="E837" t="s">
        <v>99</v>
      </c>
      <c r="F837">
        <v>2230</v>
      </c>
      <c r="G837">
        <v>8743.0458534805657</v>
      </c>
      <c r="H837">
        <v>12</v>
      </c>
      <c r="I837">
        <f>'Nacional · supuestos'!$B$20</f>
        <v>600</v>
      </c>
      <c r="J837">
        <f>F837*'Nacional · supuestos'!$B$4</f>
        <v>2631.3999999999996</v>
      </c>
      <c r="K837">
        <f t="shared" si="12"/>
        <v>3.7166666666666668</v>
      </c>
    </row>
    <row r="838" spans="1:11">
      <c r="A838">
        <v>2027</v>
      </c>
      <c r="B838">
        <v>8</v>
      </c>
      <c r="C838" t="s">
        <v>172</v>
      </c>
      <c r="D838" t="s">
        <v>160</v>
      </c>
      <c r="E838" t="s">
        <v>100</v>
      </c>
      <c r="F838">
        <v>430</v>
      </c>
      <c r="G838">
        <v>4186.3966756579539</v>
      </c>
      <c r="H838">
        <v>1</v>
      </c>
      <c r="I838">
        <f>'Nacional · supuestos'!$B$24</f>
        <v>1056</v>
      </c>
      <c r="J838">
        <f>F838</f>
        <v>430</v>
      </c>
      <c r="K838">
        <f t="shared" si="12"/>
        <v>0.40719696969696972</v>
      </c>
    </row>
    <row r="839" spans="1:11">
      <c r="A839">
        <v>2027</v>
      </c>
      <c r="B839">
        <v>8</v>
      </c>
      <c r="C839" t="s">
        <v>173</v>
      </c>
      <c r="D839" t="s">
        <v>160</v>
      </c>
      <c r="E839" t="s">
        <v>104</v>
      </c>
      <c r="F839">
        <v>860</v>
      </c>
      <c r="G839">
        <v>3128.5919481897777</v>
      </c>
      <c r="H839">
        <v>1</v>
      </c>
      <c r="I839">
        <f>'Nacional · supuestos'!$B$21</f>
        <v>640</v>
      </c>
      <c r="J839">
        <f>F839*'Nacional · supuestos'!$B$4</f>
        <v>1014.8</v>
      </c>
      <c r="K839">
        <f t="shared" ref="K839:K902" si="13">F839/I839</f>
        <v>1.34375</v>
      </c>
    </row>
    <row r="840" spans="1:11">
      <c r="A840">
        <v>2027</v>
      </c>
      <c r="B840">
        <v>8</v>
      </c>
      <c r="C840" t="s">
        <v>198</v>
      </c>
      <c r="D840" t="s">
        <v>160</v>
      </c>
      <c r="E840" t="s">
        <v>99</v>
      </c>
      <c r="F840">
        <v>255</v>
      </c>
      <c r="G840">
        <v>1105.6498565485761</v>
      </c>
      <c r="H840">
        <v>3</v>
      </c>
      <c r="I840">
        <f>'Nacional · supuestos'!$B$20</f>
        <v>600</v>
      </c>
      <c r="J840">
        <f>F840*'Nacional · supuestos'!$B$4</f>
        <v>300.89999999999998</v>
      </c>
      <c r="K840">
        <f t="shared" si="13"/>
        <v>0.42499999999999999</v>
      </c>
    </row>
    <row r="841" spans="1:11">
      <c r="A841">
        <v>2027</v>
      </c>
      <c r="B841">
        <v>8</v>
      </c>
      <c r="C841" t="s">
        <v>217</v>
      </c>
      <c r="D841" t="s">
        <v>160</v>
      </c>
      <c r="E841" t="s">
        <v>104</v>
      </c>
      <c r="F841">
        <v>220</v>
      </c>
      <c r="G841">
        <v>661.49278680656766</v>
      </c>
      <c r="H841">
        <v>3</v>
      </c>
      <c r="I841">
        <f>'Nacional · supuestos'!$B$21</f>
        <v>640</v>
      </c>
      <c r="J841">
        <f>F841*'Nacional · supuestos'!$B$4</f>
        <v>259.59999999999997</v>
      </c>
      <c r="K841">
        <f t="shared" si="13"/>
        <v>0.34375</v>
      </c>
    </row>
    <row r="842" spans="1:11">
      <c r="A842">
        <v>2027</v>
      </c>
      <c r="B842">
        <v>8</v>
      </c>
      <c r="C842" t="s">
        <v>217</v>
      </c>
      <c r="D842" t="s">
        <v>160</v>
      </c>
      <c r="E842" t="s">
        <v>99</v>
      </c>
      <c r="F842">
        <v>60</v>
      </c>
      <c r="G842">
        <v>238.704456632058</v>
      </c>
      <c r="H842">
        <v>2</v>
      </c>
      <c r="I842">
        <f>'Nacional · supuestos'!$B$20</f>
        <v>600</v>
      </c>
      <c r="J842">
        <f>F842*'Nacional · supuestos'!$B$4</f>
        <v>70.8</v>
      </c>
      <c r="K842">
        <f t="shared" si="13"/>
        <v>0.1</v>
      </c>
    </row>
    <row r="843" spans="1:11">
      <c r="A843">
        <v>2027</v>
      </c>
      <c r="B843">
        <v>8</v>
      </c>
      <c r="C843" t="s">
        <v>217</v>
      </c>
      <c r="D843" t="s">
        <v>160</v>
      </c>
      <c r="E843" t="s">
        <v>101</v>
      </c>
      <c r="F843">
        <v>60</v>
      </c>
      <c r="G843">
        <v>178.24655931913503</v>
      </c>
      <c r="H843">
        <v>2</v>
      </c>
      <c r="I843">
        <f>'Nacional · supuestos'!$B$26</f>
        <v>800</v>
      </c>
      <c r="J843">
        <f>F843</f>
        <v>60</v>
      </c>
      <c r="K843">
        <f t="shared" si="13"/>
        <v>7.4999999999999997E-2</v>
      </c>
    </row>
    <row r="844" spans="1:11">
      <c r="A844">
        <v>2027</v>
      </c>
      <c r="B844">
        <v>8</v>
      </c>
      <c r="C844" t="s">
        <v>217</v>
      </c>
      <c r="D844" t="s">
        <v>160</v>
      </c>
      <c r="E844" t="s">
        <v>102</v>
      </c>
      <c r="F844">
        <v>20</v>
      </c>
      <c r="G844">
        <v>42.112052611070474</v>
      </c>
      <c r="H844">
        <v>1</v>
      </c>
      <c r="I844">
        <f>'Nacional · supuestos'!$B$25</f>
        <v>750</v>
      </c>
      <c r="J844">
        <f>F844</f>
        <v>20</v>
      </c>
      <c r="K844">
        <f t="shared" si="13"/>
        <v>2.6666666666666668E-2</v>
      </c>
    </row>
    <row r="845" spans="1:11">
      <c r="A845">
        <v>2027</v>
      </c>
      <c r="B845">
        <v>8</v>
      </c>
      <c r="C845" t="s">
        <v>217</v>
      </c>
      <c r="D845" t="s">
        <v>160</v>
      </c>
      <c r="E845" t="s">
        <v>197</v>
      </c>
      <c r="F845">
        <v>20</v>
      </c>
      <c r="G845">
        <v>50.242597422118756</v>
      </c>
      <c r="H845">
        <v>1</v>
      </c>
      <c r="I845">
        <f>'Nacional · supuestos'!$B$30</f>
        <v>1100</v>
      </c>
      <c r="J845">
        <f>F845</f>
        <v>20</v>
      </c>
      <c r="K845">
        <f t="shared" si="13"/>
        <v>1.8181818181818181E-2</v>
      </c>
    </row>
    <row r="846" spans="1:11">
      <c r="A846">
        <v>2027</v>
      </c>
      <c r="B846">
        <v>8</v>
      </c>
      <c r="C846" t="s">
        <v>174</v>
      </c>
      <c r="D846" t="s">
        <v>160</v>
      </c>
      <c r="E846" t="s">
        <v>104</v>
      </c>
      <c r="F846">
        <v>2180</v>
      </c>
      <c r="G846">
        <v>5914.4501612676722</v>
      </c>
      <c r="H846">
        <v>3</v>
      </c>
      <c r="I846">
        <f>'Nacional · supuestos'!$B$21</f>
        <v>640</v>
      </c>
      <c r="J846">
        <f>F846*'Nacional · supuestos'!$B$4</f>
        <v>2572.4</v>
      </c>
      <c r="K846">
        <f t="shared" si="13"/>
        <v>3.40625</v>
      </c>
    </row>
    <row r="847" spans="1:11">
      <c r="A847">
        <v>2027</v>
      </c>
      <c r="B847">
        <v>8</v>
      </c>
      <c r="C847" t="s">
        <v>175</v>
      </c>
      <c r="D847" t="s">
        <v>160</v>
      </c>
      <c r="E847" t="s">
        <v>103</v>
      </c>
      <c r="F847">
        <v>129</v>
      </c>
      <c r="G847">
        <v>3765.0676740392737</v>
      </c>
      <c r="H847">
        <v>1</v>
      </c>
      <c r="I847">
        <f>'Nacional · supuestos'!$B$19</f>
        <v>528</v>
      </c>
      <c r="J847">
        <f>F847*'Nacional · supuestos'!$B$4</f>
        <v>152.22</v>
      </c>
      <c r="K847">
        <f t="shared" si="13"/>
        <v>0.24431818181818182</v>
      </c>
    </row>
    <row r="848" spans="1:11">
      <c r="A848">
        <v>2027</v>
      </c>
      <c r="B848">
        <v>8</v>
      </c>
      <c r="C848" t="s">
        <v>175</v>
      </c>
      <c r="D848" t="s">
        <v>160</v>
      </c>
      <c r="E848" t="s">
        <v>104</v>
      </c>
      <c r="F848">
        <v>900</v>
      </c>
      <c r="G848">
        <v>2495.6603059758659</v>
      </c>
      <c r="H848">
        <v>2</v>
      </c>
      <c r="I848">
        <f>'Nacional · supuestos'!$B$21</f>
        <v>640</v>
      </c>
      <c r="J848">
        <f>F848*'Nacional · supuestos'!$B$4</f>
        <v>1062</v>
      </c>
      <c r="K848">
        <f t="shared" si="13"/>
        <v>1.40625</v>
      </c>
    </row>
    <row r="849" spans="1:11">
      <c r="A849">
        <v>2027</v>
      </c>
      <c r="B849">
        <v>8</v>
      </c>
      <c r="C849" t="s">
        <v>175</v>
      </c>
      <c r="D849" t="s">
        <v>160</v>
      </c>
      <c r="E849" t="s">
        <v>99</v>
      </c>
      <c r="F849">
        <v>1900</v>
      </c>
      <c r="G849">
        <v>14855.547747325059</v>
      </c>
      <c r="H849">
        <v>4</v>
      </c>
      <c r="I849">
        <f>'Nacional · supuestos'!$B$20</f>
        <v>600</v>
      </c>
      <c r="J849">
        <f>F849*'Nacional · supuestos'!$B$4</f>
        <v>2242</v>
      </c>
      <c r="K849">
        <f t="shared" si="13"/>
        <v>3.1666666666666665</v>
      </c>
    </row>
    <row r="850" spans="1:11">
      <c r="A850">
        <v>2027</v>
      </c>
      <c r="B850">
        <v>8</v>
      </c>
      <c r="C850" t="s">
        <v>175</v>
      </c>
      <c r="D850" t="s">
        <v>160</v>
      </c>
      <c r="E850" t="s">
        <v>102</v>
      </c>
      <c r="F850">
        <v>675</v>
      </c>
      <c r="G850">
        <v>4067.2529228498997</v>
      </c>
      <c r="H850">
        <v>3</v>
      </c>
      <c r="I850">
        <f>'Nacional · supuestos'!$B$25</f>
        <v>750</v>
      </c>
      <c r="J850">
        <f>F850</f>
        <v>675</v>
      </c>
      <c r="K850">
        <f t="shared" si="13"/>
        <v>0.9</v>
      </c>
    </row>
    <row r="851" spans="1:11">
      <c r="A851">
        <v>2027</v>
      </c>
      <c r="B851">
        <v>8</v>
      </c>
      <c r="C851" t="s">
        <v>218</v>
      </c>
      <c r="D851" t="s">
        <v>160</v>
      </c>
      <c r="E851" t="s">
        <v>98</v>
      </c>
      <c r="F851">
        <v>3000</v>
      </c>
      <c r="G851">
        <v>11320.220083074892</v>
      </c>
      <c r="H851">
        <v>2</v>
      </c>
      <c r="I851">
        <f>'Nacional · supuestos'!$B$23</f>
        <v>1000</v>
      </c>
      <c r="J851">
        <f>F851*'Nacional · supuestos'!$B$4</f>
        <v>3540</v>
      </c>
      <c r="K851">
        <f t="shared" si="13"/>
        <v>3</v>
      </c>
    </row>
    <row r="852" spans="1:11">
      <c r="A852">
        <v>2027</v>
      </c>
      <c r="B852">
        <v>8</v>
      </c>
      <c r="C852" t="s">
        <v>218</v>
      </c>
      <c r="D852" t="s">
        <v>160</v>
      </c>
      <c r="E852" t="s">
        <v>104</v>
      </c>
      <c r="F852">
        <v>180</v>
      </c>
      <c r="G852">
        <v>578.51953463228028</v>
      </c>
      <c r="H852">
        <v>2</v>
      </c>
      <c r="I852">
        <f>'Nacional · supuestos'!$B$21</f>
        <v>640</v>
      </c>
      <c r="J852">
        <f>F852*'Nacional · supuestos'!$B$4</f>
        <v>212.39999999999998</v>
      </c>
      <c r="K852">
        <f t="shared" si="13"/>
        <v>0.28125</v>
      </c>
    </row>
    <row r="853" spans="1:11">
      <c r="A853">
        <v>2027</v>
      </c>
      <c r="B853">
        <v>8</v>
      </c>
      <c r="C853" t="s">
        <v>218</v>
      </c>
      <c r="D853" t="s">
        <v>160</v>
      </c>
      <c r="E853" t="s">
        <v>101</v>
      </c>
      <c r="F853">
        <v>80</v>
      </c>
      <c r="G853">
        <v>0</v>
      </c>
      <c r="H853">
        <v>1</v>
      </c>
      <c r="I853">
        <f>'Nacional · supuestos'!$B$26</f>
        <v>800</v>
      </c>
      <c r="J853">
        <f>F853</f>
        <v>80</v>
      </c>
      <c r="K853">
        <f t="shared" si="13"/>
        <v>0.1</v>
      </c>
    </row>
    <row r="854" spans="1:11">
      <c r="A854">
        <v>2027</v>
      </c>
      <c r="B854">
        <v>8</v>
      </c>
      <c r="C854" t="s">
        <v>182</v>
      </c>
      <c r="D854" t="s">
        <v>160</v>
      </c>
      <c r="E854" t="s">
        <v>98</v>
      </c>
      <c r="F854">
        <v>47000</v>
      </c>
      <c r="G854">
        <v>84515.97093330686</v>
      </c>
      <c r="H854">
        <v>9</v>
      </c>
      <c r="I854">
        <f>'Nacional · supuestos'!$B$23</f>
        <v>1000</v>
      </c>
      <c r="J854">
        <f>F854*'Nacional · supuestos'!$B$4</f>
        <v>55460</v>
      </c>
      <c r="K854">
        <f t="shared" si="13"/>
        <v>47</v>
      </c>
    </row>
    <row r="855" spans="1:11">
      <c r="A855">
        <v>2027</v>
      </c>
      <c r="B855">
        <v>8</v>
      </c>
      <c r="C855" t="s">
        <v>182</v>
      </c>
      <c r="D855" t="s">
        <v>160</v>
      </c>
      <c r="E855" t="s">
        <v>104</v>
      </c>
      <c r="F855">
        <v>3480</v>
      </c>
      <c r="G855">
        <v>14111.707134868129</v>
      </c>
      <c r="H855">
        <v>6</v>
      </c>
      <c r="I855">
        <f>'Nacional · supuestos'!$B$21</f>
        <v>640</v>
      </c>
      <c r="J855">
        <f>F855*'Nacional · supuestos'!$B$4</f>
        <v>4106.3999999999996</v>
      </c>
      <c r="K855">
        <f t="shared" si="13"/>
        <v>5.4375</v>
      </c>
    </row>
    <row r="856" spans="1:11">
      <c r="A856">
        <v>2027</v>
      </c>
      <c r="B856">
        <v>8</v>
      </c>
      <c r="C856" t="s">
        <v>182</v>
      </c>
      <c r="D856" t="s">
        <v>160</v>
      </c>
      <c r="E856" t="s">
        <v>101</v>
      </c>
      <c r="F856">
        <v>13200</v>
      </c>
      <c r="G856">
        <v>21327.044465903527</v>
      </c>
      <c r="H856">
        <v>5</v>
      </c>
      <c r="I856">
        <f>'Nacional · supuestos'!$B$26</f>
        <v>800</v>
      </c>
      <c r="J856">
        <f>F856</f>
        <v>13200</v>
      </c>
      <c r="K856">
        <f t="shared" si="13"/>
        <v>16.5</v>
      </c>
    </row>
    <row r="857" spans="1:11">
      <c r="A857">
        <v>2027</v>
      </c>
      <c r="B857">
        <v>8</v>
      </c>
      <c r="C857" t="s">
        <v>182</v>
      </c>
      <c r="D857" t="s">
        <v>160</v>
      </c>
      <c r="E857" t="s">
        <v>102</v>
      </c>
      <c r="F857">
        <v>425</v>
      </c>
      <c r="G857">
        <v>1749.8912950701636</v>
      </c>
      <c r="H857">
        <v>2</v>
      </c>
      <c r="I857">
        <f>'Nacional · supuestos'!$B$25</f>
        <v>750</v>
      </c>
      <c r="J857">
        <f>F857</f>
        <v>425</v>
      </c>
      <c r="K857">
        <f t="shared" si="13"/>
        <v>0.56666666666666665</v>
      </c>
    </row>
    <row r="858" spans="1:11">
      <c r="A858">
        <v>2027</v>
      </c>
      <c r="B858">
        <v>8</v>
      </c>
      <c r="C858" t="s">
        <v>176</v>
      </c>
      <c r="D858" t="s">
        <v>160</v>
      </c>
      <c r="E858" t="s">
        <v>104</v>
      </c>
      <c r="F858">
        <v>2800</v>
      </c>
      <c r="G858">
        <v>9222.9564728403911</v>
      </c>
      <c r="H858">
        <v>3</v>
      </c>
      <c r="I858">
        <f>'Nacional · supuestos'!$B$21</f>
        <v>640</v>
      </c>
      <c r="J858">
        <f>F858*'Nacional · supuestos'!$B$4</f>
        <v>3304</v>
      </c>
      <c r="K858">
        <f t="shared" si="13"/>
        <v>4.375</v>
      </c>
    </row>
    <row r="859" spans="1:11">
      <c r="A859">
        <v>2027</v>
      </c>
      <c r="B859">
        <v>8</v>
      </c>
      <c r="C859" t="s">
        <v>176</v>
      </c>
      <c r="D859" t="s">
        <v>160</v>
      </c>
      <c r="E859" t="s">
        <v>99</v>
      </c>
      <c r="F859">
        <v>320</v>
      </c>
      <c r="G859">
        <v>1589.0003217899966</v>
      </c>
      <c r="H859">
        <v>2</v>
      </c>
      <c r="I859">
        <f>'Nacional · supuestos'!$B$20</f>
        <v>600</v>
      </c>
      <c r="J859">
        <f>F859*'Nacional · supuestos'!$B$4</f>
        <v>377.59999999999997</v>
      </c>
      <c r="K859">
        <f t="shared" si="13"/>
        <v>0.53333333333333333</v>
      </c>
    </row>
    <row r="860" spans="1:11">
      <c r="A860">
        <v>2027</v>
      </c>
      <c r="B860">
        <v>8</v>
      </c>
      <c r="C860" t="s">
        <v>176</v>
      </c>
      <c r="D860" t="s">
        <v>160</v>
      </c>
      <c r="E860" t="s">
        <v>177</v>
      </c>
      <c r="F860">
        <v>2740</v>
      </c>
      <c r="G860">
        <v>7354.4947326091078</v>
      </c>
      <c r="H860">
        <v>2</v>
      </c>
      <c r="I860">
        <f>'Nacional · supuestos'!$B$28</f>
        <v>1100</v>
      </c>
      <c r="J860">
        <f>F860</f>
        <v>2740</v>
      </c>
      <c r="K860">
        <f t="shared" si="13"/>
        <v>2.4909090909090907</v>
      </c>
    </row>
    <row r="861" spans="1:11">
      <c r="A861">
        <v>2027</v>
      </c>
      <c r="B861">
        <v>8</v>
      </c>
      <c r="C861" t="s">
        <v>204</v>
      </c>
      <c r="D861" t="s">
        <v>160</v>
      </c>
      <c r="E861" t="s">
        <v>104</v>
      </c>
      <c r="F861">
        <v>340</v>
      </c>
      <c r="G861">
        <v>1254.6056069971398</v>
      </c>
      <c r="H861">
        <v>2</v>
      </c>
      <c r="I861">
        <f>'Nacional · supuestos'!$B$21</f>
        <v>640</v>
      </c>
      <c r="J861">
        <f>F861*'Nacional · supuestos'!$B$4</f>
        <v>401.2</v>
      </c>
      <c r="K861">
        <f t="shared" si="13"/>
        <v>0.53125</v>
      </c>
    </row>
    <row r="862" spans="1:11">
      <c r="A862">
        <v>2027</v>
      </c>
      <c r="B862">
        <v>8</v>
      </c>
      <c r="C862" t="s">
        <v>204</v>
      </c>
      <c r="D862" t="s">
        <v>160</v>
      </c>
      <c r="E862" t="s">
        <v>105</v>
      </c>
      <c r="F862">
        <v>600</v>
      </c>
      <c r="G862">
        <v>1920.0594284552442</v>
      </c>
      <c r="H862">
        <v>1</v>
      </c>
      <c r="I862">
        <f>'Nacional · supuestos'!$B$22</f>
        <v>800</v>
      </c>
      <c r="J862">
        <f>F862*'Nacional · supuestos'!$B$4</f>
        <v>708</v>
      </c>
      <c r="K862">
        <f t="shared" si="13"/>
        <v>0.75</v>
      </c>
    </row>
    <row r="863" spans="1:11">
      <c r="A863">
        <v>2027</v>
      </c>
      <c r="B863">
        <v>8</v>
      </c>
      <c r="C863" t="s">
        <v>178</v>
      </c>
      <c r="D863" t="s">
        <v>160</v>
      </c>
      <c r="E863" t="s">
        <v>103</v>
      </c>
      <c r="F863">
        <v>150</v>
      </c>
      <c r="G863">
        <v>2281.7227396913095</v>
      </c>
      <c r="H863">
        <v>2</v>
      </c>
      <c r="I863">
        <f>'Nacional · supuestos'!$B$19</f>
        <v>528</v>
      </c>
      <c r="J863">
        <f>F863*'Nacional · supuestos'!$B$4</f>
        <v>177</v>
      </c>
      <c r="K863">
        <f t="shared" si="13"/>
        <v>0.28409090909090912</v>
      </c>
    </row>
    <row r="864" spans="1:11">
      <c r="A864">
        <v>2027</v>
      </c>
      <c r="B864">
        <v>8</v>
      </c>
      <c r="C864" t="s">
        <v>178</v>
      </c>
      <c r="D864" t="s">
        <v>160</v>
      </c>
      <c r="E864" t="s">
        <v>104</v>
      </c>
      <c r="F864">
        <v>4900</v>
      </c>
      <c r="G864">
        <v>18197.827091189818</v>
      </c>
      <c r="H864">
        <v>3</v>
      </c>
      <c r="I864">
        <f>'Nacional · supuestos'!$B$21</f>
        <v>640</v>
      </c>
      <c r="J864">
        <f>F864*'Nacional · supuestos'!$B$4</f>
        <v>5782</v>
      </c>
      <c r="K864">
        <f t="shared" si="13"/>
        <v>7.65625</v>
      </c>
    </row>
    <row r="865" spans="1:11">
      <c r="A865">
        <v>2027</v>
      </c>
      <c r="B865">
        <v>8</v>
      </c>
      <c r="C865" t="s">
        <v>178</v>
      </c>
      <c r="D865" t="s">
        <v>160</v>
      </c>
      <c r="E865" t="s">
        <v>99</v>
      </c>
      <c r="F865">
        <v>1795</v>
      </c>
      <c r="G865">
        <v>10460.623444814515</v>
      </c>
      <c r="H865">
        <v>5</v>
      </c>
      <c r="I865">
        <f>'Nacional · supuestos'!$B$20</f>
        <v>600</v>
      </c>
      <c r="J865">
        <f>F865*'Nacional · supuestos'!$B$4</f>
        <v>2118.1</v>
      </c>
      <c r="K865">
        <f t="shared" si="13"/>
        <v>2.9916666666666667</v>
      </c>
    </row>
    <row r="866" spans="1:11">
      <c r="A866">
        <v>2027</v>
      </c>
      <c r="B866">
        <v>8</v>
      </c>
      <c r="C866" t="s">
        <v>212</v>
      </c>
      <c r="D866" t="s">
        <v>160</v>
      </c>
      <c r="E866" t="s">
        <v>104</v>
      </c>
      <c r="F866">
        <v>260</v>
      </c>
      <c r="G866">
        <v>774.48651212934124</v>
      </c>
      <c r="H866">
        <v>2</v>
      </c>
      <c r="I866">
        <f>'Nacional · supuestos'!$B$21</f>
        <v>640</v>
      </c>
      <c r="J866">
        <f>F866*'Nacional · supuestos'!$B$4</f>
        <v>306.8</v>
      </c>
      <c r="K866">
        <f t="shared" si="13"/>
        <v>0.40625</v>
      </c>
    </row>
    <row r="867" spans="1:11">
      <c r="A867">
        <v>2027</v>
      </c>
      <c r="B867">
        <v>8</v>
      </c>
      <c r="C867" t="s">
        <v>212</v>
      </c>
      <c r="D867" t="s">
        <v>160</v>
      </c>
      <c r="E867" t="s">
        <v>101</v>
      </c>
      <c r="F867">
        <v>200</v>
      </c>
      <c r="G867">
        <v>402.3577303929012</v>
      </c>
      <c r="H867">
        <v>2</v>
      </c>
      <c r="I867">
        <f>'Nacional · supuestos'!$B$26</f>
        <v>800</v>
      </c>
      <c r="J867">
        <f>F867</f>
        <v>200</v>
      </c>
      <c r="K867">
        <f t="shared" si="13"/>
        <v>0.25</v>
      </c>
    </row>
    <row r="868" spans="1:11">
      <c r="A868">
        <v>2027</v>
      </c>
      <c r="B868">
        <v>8</v>
      </c>
      <c r="C868" t="s">
        <v>212</v>
      </c>
      <c r="D868" t="s">
        <v>160</v>
      </c>
      <c r="E868" t="s">
        <v>197</v>
      </c>
      <c r="F868">
        <v>175</v>
      </c>
      <c r="G868">
        <v>445.09520952789859</v>
      </c>
      <c r="H868">
        <v>2</v>
      </c>
      <c r="I868">
        <f>'Nacional · supuestos'!$B$30</f>
        <v>1100</v>
      </c>
      <c r="J868">
        <f>F868</f>
        <v>175</v>
      </c>
      <c r="K868">
        <f t="shared" si="13"/>
        <v>0.15909090909090909</v>
      </c>
    </row>
    <row r="869" spans="1:11">
      <c r="A869">
        <v>2027</v>
      </c>
      <c r="B869">
        <v>8</v>
      </c>
      <c r="C869" t="s">
        <v>206</v>
      </c>
      <c r="D869" t="s">
        <v>160</v>
      </c>
      <c r="E869" t="s">
        <v>104</v>
      </c>
      <c r="F869">
        <v>840</v>
      </c>
      <c r="G869">
        <v>3091.274832262146</v>
      </c>
      <c r="H869">
        <v>5</v>
      </c>
      <c r="I869">
        <f>'Nacional · supuestos'!$B$21</f>
        <v>640</v>
      </c>
      <c r="J869">
        <f>F869*'Nacional · supuestos'!$B$4</f>
        <v>991.19999999999993</v>
      </c>
      <c r="K869">
        <f t="shared" si="13"/>
        <v>1.3125</v>
      </c>
    </row>
    <row r="870" spans="1:11">
      <c r="A870">
        <v>2027</v>
      </c>
      <c r="B870">
        <v>8</v>
      </c>
      <c r="C870" t="s">
        <v>206</v>
      </c>
      <c r="D870" t="s">
        <v>160</v>
      </c>
      <c r="E870" t="s">
        <v>102</v>
      </c>
      <c r="F870">
        <v>45</v>
      </c>
      <c r="G870">
        <v>426.85360258003385</v>
      </c>
      <c r="H870">
        <v>1</v>
      </c>
      <c r="I870">
        <f>'Nacional · supuestos'!$B$25</f>
        <v>750</v>
      </c>
      <c r="J870">
        <f>F870</f>
        <v>45</v>
      </c>
      <c r="K870">
        <f t="shared" si="13"/>
        <v>0.06</v>
      </c>
    </row>
    <row r="871" spans="1:11">
      <c r="A871">
        <v>2027</v>
      </c>
      <c r="B871">
        <v>8</v>
      </c>
      <c r="C871" t="s">
        <v>193</v>
      </c>
      <c r="D871" t="s">
        <v>160</v>
      </c>
      <c r="E871" t="s">
        <v>104</v>
      </c>
      <c r="F871">
        <v>20</v>
      </c>
      <c r="G871">
        <v>122.16664767369956</v>
      </c>
      <c r="H871">
        <v>1</v>
      </c>
      <c r="I871">
        <f>'Nacional · supuestos'!$B$21</f>
        <v>640</v>
      </c>
      <c r="J871">
        <f>F871*'Nacional · supuestos'!$B$4</f>
        <v>23.599999999999998</v>
      </c>
      <c r="K871">
        <f t="shared" si="13"/>
        <v>3.125E-2</v>
      </c>
    </row>
    <row r="872" spans="1:11">
      <c r="A872">
        <v>2027</v>
      </c>
      <c r="B872">
        <v>8</v>
      </c>
      <c r="C872" t="s">
        <v>193</v>
      </c>
      <c r="D872" t="s">
        <v>160</v>
      </c>
      <c r="E872" t="s">
        <v>99</v>
      </c>
      <c r="F872">
        <v>45</v>
      </c>
      <c r="G872">
        <v>161.82911306605681</v>
      </c>
      <c r="H872">
        <v>1</v>
      </c>
      <c r="I872">
        <f>'Nacional · supuestos'!$B$20</f>
        <v>600</v>
      </c>
      <c r="J872">
        <f>F872*'Nacional · supuestos'!$B$4</f>
        <v>53.099999999999994</v>
      </c>
      <c r="K872">
        <f t="shared" si="13"/>
        <v>7.4999999999999997E-2</v>
      </c>
    </row>
    <row r="873" spans="1:11">
      <c r="A873">
        <v>2027</v>
      </c>
      <c r="B873">
        <v>8</v>
      </c>
      <c r="C873" t="s">
        <v>213</v>
      </c>
      <c r="D873" t="s">
        <v>160</v>
      </c>
      <c r="E873" t="s">
        <v>104</v>
      </c>
      <c r="F873">
        <v>680</v>
      </c>
      <c r="G873">
        <v>2140.6265158934257</v>
      </c>
      <c r="H873">
        <v>1</v>
      </c>
      <c r="I873">
        <f>'Nacional · supuestos'!$B$21</f>
        <v>640</v>
      </c>
      <c r="J873">
        <f>F873*'Nacional · supuestos'!$B$4</f>
        <v>802.4</v>
      </c>
      <c r="K873">
        <f t="shared" si="13"/>
        <v>1.0625</v>
      </c>
    </row>
    <row r="874" spans="1:11">
      <c r="A874">
        <v>2027</v>
      </c>
      <c r="B874">
        <v>8</v>
      </c>
      <c r="C874" t="s">
        <v>180</v>
      </c>
      <c r="D874" t="s">
        <v>160</v>
      </c>
      <c r="E874" t="s">
        <v>103</v>
      </c>
      <c r="F874">
        <v>13</v>
      </c>
      <c r="G874">
        <v>66.128431129859223</v>
      </c>
      <c r="H874">
        <v>1</v>
      </c>
      <c r="I874">
        <f>'Nacional · supuestos'!$B$19</f>
        <v>528</v>
      </c>
      <c r="J874">
        <f>F874*'Nacional · supuestos'!$B$4</f>
        <v>15.34</v>
      </c>
      <c r="K874">
        <f t="shared" si="13"/>
        <v>2.462121212121212E-2</v>
      </c>
    </row>
    <row r="875" spans="1:11">
      <c r="A875">
        <v>2027</v>
      </c>
      <c r="B875">
        <v>8</v>
      </c>
      <c r="C875" t="s">
        <v>180</v>
      </c>
      <c r="D875" t="s">
        <v>160</v>
      </c>
      <c r="E875" t="s">
        <v>104</v>
      </c>
      <c r="F875">
        <v>140</v>
      </c>
      <c r="G875">
        <v>443.6358809720694</v>
      </c>
      <c r="H875">
        <v>1</v>
      </c>
      <c r="I875">
        <f>'Nacional · supuestos'!$B$21</f>
        <v>640</v>
      </c>
      <c r="J875">
        <f>F875*'Nacional · supuestos'!$B$4</f>
        <v>165.2</v>
      </c>
      <c r="K875">
        <f t="shared" si="13"/>
        <v>0.21875</v>
      </c>
    </row>
    <row r="876" spans="1:11">
      <c r="A876">
        <v>2027</v>
      </c>
      <c r="B876">
        <v>8</v>
      </c>
      <c r="C876" t="s">
        <v>180</v>
      </c>
      <c r="D876" t="s">
        <v>160</v>
      </c>
      <c r="E876" t="s">
        <v>99</v>
      </c>
      <c r="F876">
        <v>130</v>
      </c>
      <c r="G876">
        <v>685.67594573173699</v>
      </c>
      <c r="H876">
        <v>1</v>
      </c>
      <c r="I876">
        <f>'Nacional · supuestos'!$B$20</f>
        <v>600</v>
      </c>
      <c r="J876">
        <f>F876*'Nacional · supuestos'!$B$4</f>
        <v>153.4</v>
      </c>
      <c r="K876">
        <f t="shared" si="13"/>
        <v>0.21666666666666667</v>
      </c>
    </row>
    <row r="877" spans="1:11">
      <c r="A877">
        <v>2027</v>
      </c>
      <c r="B877">
        <v>8</v>
      </c>
      <c r="C877" t="s">
        <v>185</v>
      </c>
      <c r="D877" t="s">
        <v>160</v>
      </c>
      <c r="E877" t="s">
        <v>99</v>
      </c>
      <c r="F877">
        <v>70</v>
      </c>
      <c r="G877">
        <v>412.98998129965679</v>
      </c>
      <c r="H877">
        <v>1</v>
      </c>
      <c r="I877">
        <f>'Nacional · supuestos'!$B$20</f>
        <v>600</v>
      </c>
      <c r="J877">
        <f>F877*'Nacional · supuestos'!$B$4</f>
        <v>82.6</v>
      </c>
      <c r="K877">
        <f t="shared" si="13"/>
        <v>0.11666666666666667</v>
      </c>
    </row>
    <row r="878" spans="1:11">
      <c r="A878">
        <v>2027</v>
      </c>
      <c r="B878">
        <v>8</v>
      </c>
      <c r="C878" t="s">
        <v>181</v>
      </c>
      <c r="D878" t="s">
        <v>160</v>
      </c>
      <c r="E878" t="s">
        <v>101</v>
      </c>
      <c r="F878">
        <v>2480</v>
      </c>
      <c r="G878">
        <v>4782.4281529601849</v>
      </c>
      <c r="H878">
        <v>1</v>
      </c>
      <c r="I878">
        <f>'Nacional · supuestos'!$B$26</f>
        <v>800</v>
      </c>
      <c r="J878">
        <f>F878</f>
        <v>2480</v>
      </c>
      <c r="K878">
        <f t="shared" si="13"/>
        <v>3.1</v>
      </c>
    </row>
    <row r="879" spans="1:11">
      <c r="A879">
        <v>2027</v>
      </c>
      <c r="B879">
        <v>8</v>
      </c>
      <c r="C879" t="s">
        <v>186</v>
      </c>
      <c r="D879" t="s">
        <v>160</v>
      </c>
      <c r="E879" t="s">
        <v>104</v>
      </c>
      <c r="F879">
        <v>1780</v>
      </c>
      <c r="G879">
        <v>5152.6806551248428</v>
      </c>
      <c r="H879">
        <v>7</v>
      </c>
      <c r="I879">
        <f>'Nacional · supuestos'!$B$21</f>
        <v>640</v>
      </c>
      <c r="J879">
        <f>F879*'Nacional · supuestos'!$B$4</f>
        <v>2100.4</v>
      </c>
      <c r="K879">
        <f t="shared" si="13"/>
        <v>2.78125</v>
      </c>
    </row>
    <row r="880" spans="1:11">
      <c r="A880">
        <v>2027</v>
      </c>
      <c r="B880">
        <v>8</v>
      </c>
      <c r="C880" t="s">
        <v>186</v>
      </c>
      <c r="D880" t="s">
        <v>160</v>
      </c>
      <c r="E880" t="s">
        <v>99</v>
      </c>
      <c r="F880">
        <v>135</v>
      </c>
      <c r="G880">
        <v>1236.8851888192144</v>
      </c>
      <c r="H880">
        <v>2</v>
      </c>
      <c r="I880">
        <f>'Nacional · supuestos'!$B$20</f>
        <v>600</v>
      </c>
      <c r="J880">
        <f>F880*'Nacional · supuestos'!$B$4</f>
        <v>159.29999999999998</v>
      </c>
      <c r="K880">
        <f t="shared" si="13"/>
        <v>0.22500000000000001</v>
      </c>
    </row>
    <row r="881" spans="1:11">
      <c r="A881">
        <v>2027</v>
      </c>
      <c r="B881">
        <v>8</v>
      </c>
      <c r="C881" t="s">
        <v>186</v>
      </c>
      <c r="D881" t="s">
        <v>160</v>
      </c>
      <c r="E881" t="s">
        <v>101</v>
      </c>
      <c r="F881">
        <v>4400</v>
      </c>
      <c r="G881">
        <v>8209.7655040789905</v>
      </c>
      <c r="H881">
        <v>5</v>
      </c>
      <c r="I881">
        <f>'Nacional · supuestos'!$B$26</f>
        <v>800</v>
      </c>
      <c r="J881">
        <f>F881</f>
        <v>4400</v>
      </c>
      <c r="K881">
        <f t="shared" si="13"/>
        <v>5.5</v>
      </c>
    </row>
    <row r="882" spans="1:11">
      <c r="A882">
        <v>2027</v>
      </c>
      <c r="B882">
        <v>9</v>
      </c>
      <c r="C882" t="s">
        <v>159</v>
      </c>
      <c r="D882" t="s">
        <v>160</v>
      </c>
      <c r="E882" t="s">
        <v>104</v>
      </c>
      <c r="F882">
        <v>2120</v>
      </c>
      <c r="G882">
        <v>5760.7118660364931</v>
      </c>
      <c r="H882">
        <v>2</v>
      </c>
      <c r="I882">
        <f>'Nacional · supuestos'!$B$21</f>
        <v>640</v>
      </c>
      <c r="J882">
        <f>F882*'Nacional · supuestos'!$B$4</f>
        <v>2501.6</v>
      </c>
      <c r="K882">
        <f t="shared" si="13"/>
        <v>3.3125</v>
      </c>
    </row>
    <row r="883" spans="1:11">
      <c r="A883">
        <v>2027</v>
      </c>
      <c r="B883">
        <v>9</v>
      </c>
      <c r="C883" t="s">
        <v>161</v>
      </c>
      <c r="D883" t="s">
        <v>160</v>
      </c>
      <c r="E883" t="s">
        <v>102</v>
      </c>
      <c r="F883">
        <v>695</v>
      </c>
      <c r="G883">
        <v>4571.2945822578995</v>
      </c>
      <c r="H883">
        <v>1</v>
      </c>
      <c r="I883">
        <f>'Nacional · supuestos'!$B$25</f>
        <v>750</v>
      </c>
      <c r="J883">
        <f>F883</f>
        <v>695</v>
      </c>
      <c r="K883">
        <f t="shared" si="13"/>
        <v>0.92666666666666664</v>
      </c>
    </row>
    <row r="884" spans="1:11">
      <c r="A884">
        <v>2027</v>
      </c>
      <c r="B884">
        <v>9</v>
      </c>
      <c r="C884" t="s">
        <v>162</v>
      </c>
      <c r="D884" t="s">
        <v>160</v>
      </c>
      <c r="E884" t="s">
        <v>98</v>
      </c>
      <c r="F884">
        <v>7000</v>
      </c>
      <c r="G884">
        <v>12985.374034490143</v>
      </c>
      <c r="H884">
        <v>2</v>
      </c>
      <c r="I884">
        <f>'Nacional · supuestos'!$B$23</f>
        <v>1000</v>
      </c>
      <c r="J884">
        <f>F884*'Nacional · supuestos'!$B$4</f>
        <v>8260</v>
      </c>
      <c r="K884">
        <f t="shared" si="13"/>
        <v>7</v>
      </c>
    </row>
    <row r="885" spans="1:11">
      <c r="A885">
        <v>2027</v>
      </c>
      <c r="B885">
        <v>9</v>
      </c>
      <c r="C885" t="s">
        <v>162</v>
      </c>
      <c r="D885" t="s">
        <v>160</v>
      </c>
      <c r="E885" t="s">
        <v>104</v>
      </c>
      <c r="F885">
        <v>2000</v>
      </c>
      <c r="G885">
        <v>6170.8750360776576</v>
      </c>
      <c r="H885">
        <v>1</v>
      </c>
      <c r="I885">
        <f>'Nacional · supuestos'!$B$21</f>
        <v>640</v>
      </c>
      <c r="J885">
        <f>F885*'Nacional · supuestos'!$B$4</f>
        <v>2360</v>
      </c>
      <c r="K885">
        <f t="shared" si="13"/>
        <v>3.125</v>
      </c>
    </row>
    <row r="886" spans="1:11">
      <c r="A886">
        <v>2027</v>
      </c>
      <c r="B886">
        <v>9</v>
      </c>
      <c r="C886" t="s">
        <v>162</v>
      </c>
      <c r="D886" t="s">
        <v>160</v>
      </c>
      <c r="E886" t="s">
        <v>101</v>
      </c>
      <c r="F886">
        <v>2300</v>
      </c>
      <c r="G886">
        <v>3988.8689490876709</v>
      </c>
      <c r="H886">
        <v>1</v>
      </c>
      <c r="I886">
        <f>'Nacional · supuestos'!$B$26</f>
        <v>800</v>
      </c>
      <c r="J886">
        <f>F886</f>
        <v>2300</v>
      </c>
      <c r="K886">
        <f t="shared" si="13"/>
        <v>2.875</v>
      </c>
    </row>
    <row r="887" spans="1:11">
      <c r="A887">
        <v>2027</v>
      </c>
      <c r="B887">
        <v>9</v>
      </c>
      <c r="C887" t="s">
        <v>162</v>
      </c>
      <c r="D887" t="s">
        <v>160</v>
      </c>
      <c r="E887" t="s">
        <v>102</v>
      </c>
      <c r="F887">
        <v>305</v>
      </c>
      <c r="G887">
        <v>1570.5502393341567</v>
      </c>
      <c r="H887">
        <v>1</v>
      </c>
      <c r="I887">
        <f>'Nacional · supuestos'!$B$25</f>
        <v>750</v>
      </c>
      <c r="J887">
        <f>F887</f>
        <v>305</v>
      </c>
      <c r="K887">
        <f t="shared" si="13"/>
        <v>0.40666666666666668</v>
      </c>
    </row>
    <row r="888" spans="1:11">
      <c r="A888">
        <v>2027</v>
      </c>
      <c r="B888">
        <v>9</v>
      </c>
      <c r="C888" t="s">
        <v>163</v>
      </c>
      <c r="D888" t="s">
        <v>164</v>
      </c>
      <c r="E888" t="s">
        <v>105</v>
      </c>
      <c r="F888">
        <v>1600</v>
      </c>
      <c r="G888">
        <v>4834.7786694073902</v>
      </c>
      <c r="H888">
        <v>1</v>
      </c>
      <c r="I888">
        <f>'Nacional · supuestos'!$B$22</f>
        <v>800</v>
      </c>
      <c r="J888">
        <f>F888*'Nacional · supuestos'!$B$4</f>
        <v>1888</v>
      </c>
      <c r="K888">
        <f t="shared" si="13"/>
        <v>2</v>
      </c>
    </row>
    <row r="889" spans="1:11">
      <c r="A889">
        <v>2027</v>
      </c>
      <c r="B889">
        <v>9</v>
      </c>
      <c r="C889" t="s">
        <v>163</v>
      </c>
      <c r="D889" t="s">
        <v>164</v>
      </c>
      <c r="E889" t="s">
        <v>101</v>
      </c>
      <c r="F889">
        <v>1140</v>
      </c>
      <c r="G889">
        <v>1812.4110151569648</v>
      </c>
      <c r="H889">
        <v>1</v>
      </c>
      <c r="I889">
        <f>'Nacional · supuestos'!$B$26</f>
        <v>800</v>
      </c>
      <c r="J889">
        <f>F889</f>
        <v>1140</v>
      </c>
      <c r="K889">
        <f t="shared" si="13"/>
        <v>1.425</v>
      </c>
    </row>
    <row r="890" spans="1:11">
      <c r="A890">
        <v>2027</v>
      </c>
      <c r="B890">
        <v>9</v>
      </c>
      <c r="C890" t="s">
        <v>165</v>
      </c>
      <c r="D890" t="s">
        <v>160</v>
      </c>
      <c r="E890" t="s">
        <v>102</v>
      </c>
      <c r="F890">
        <v>580</v>
      </c>
      <c r="G890">
        <v>4083.9309634879482</v>
      </c>
      <c r="H890">
        <v>1</v>
      </c>
      <c r="I890">
        <f>'Nacional · supuestos'!$B$25</f>
        <v>750</v>
      </c>
      <c r="J890">
        <f>F890</f>
        <v>580</v>
      </c>
      <c r="K890">
        <f t="shared" si="13"/>
        <v>0.77333333333333332</v>
      </c>
    </row>
    <row r="891" spans="1:11">
      <c r="A891">
        <v>2027</v>
      </c>
      <c r="B891">
        <v>9</v>
      </c>
      <c r="C891" t="s">
        <v>166</v>
      </c>
      <c r="D891" t="s">
        <v>160</v>
      </c>
      <c r="E891" t="s">
        <v>101</v>
      </c>
      <c r="F891">
        <v>1140</v>
      </c>
      <c r="G891">
        <v>1936.9459446012677</v>
      </c>
      <c r="H891">
        <v>1</v>
      </c>
      <c r="I891">
        <f>'Nacional · supuestos'!$B$26</f>
        <v>800</v>
      </c>
      <c r="J891">
        <f>F891</f>
        <v>1140</v>
      </c>
      <c r="K891">
        <f t="shared" si="13"/>
        <v>1.425</v>
      </c>
    </row>
    <row r="892" spans="1:11">
      <c r="A892">
        <v>2027</v>
      </c>
      <c r="B892">
        <v>9</v>
      </c>
      <c r="C892" t="s">
        <v>167</v>
      </c>
      <c r="D892" t="s">
        <v>160</v>
      </c>
      <c r="E892" t="s">
        <v>101</v>
      </c>
      <c r="F892">
        <v>220</v>
      </c>
      <c r="G892">
        <v>1093.8709903479548</v>
      </c>
      <c r="H892">
        <v>1</v>
      </c>
      <c r="I892">
        <f>'Nacional · supuestos'!$B$26</f>
        <v>800</v>
      </c>
      <c r="J892">
        <f>F892</f>
        <v>220</v>
      </c>
      <c r="K892">
        <f t="shared" si="13"/>
        <v>0.27500000000000002</v>
      </c>
    </row>
    <row r="893" spans="1:11">
      <c r="A893">
        <v>2027</v>
      </c>
      <c r="B893">
        <v>9</v>
      </c>
      <c r="C893" t="s">
        <v>167</v>
      </c>
      <c r="D893" t="s">
        <v>160</v>
      </c>
      <c r="E893" t="s">
        <v>102</v>
      </c>
      <c r="F893">
        <v>300</v>
      </c>
      <c r="G893">
        <v>1963.9723546032951</v>
      </c>
      <c r="H893">
        <v>1</v>
      </c>
      <c r="I893">
        <f>'Nacional · supuestos'!$B$25</f>
        <v>750</v>
      </c>
      <c r="J893">
        <f>F893</f>
        <v>300</v>
      </c>
      <c r="K893">
        <f t="shared" si="13"/>
        <v>0.4</v>
      </c>
    </row>
    <row r="894" spans="1:11">
      <c r="A894">
        <v>2027</v>
      </c>
      <c r="B894">
        <v>9</v>
      </c>
      <c r="C894" t="s">
        <v>168</v>
      </c>
      <c r="D894" t="s">
        <v>160</v>
      </c>
      <c r="E894" t="s">
        <v>104</v>
      </c>
      <c r="F894">
        <v>480</v>
      </c>
      <c r="G894">
        <v>1184.0296983638016</v>
      </c>
      <c r="H894">
        <v>1</v>
      </c>
      <c r="I894">
        <f>'Nacional · supuestos'!$B$21</f>
        <v>640</v>
      </c>
      <c r="J894">
        <f>F894*'Nacional · supuestos'!$B$4</f>
        <v>566.4</v>
      </c>
      <c r="K894">
        <f t="shared" si="13"/>
        <v>0.75</v>
      </c>
    </row>
    <row r="895" spans="1:11">
      <c r="A895">
        <v>2027</v>
      </c>
      <c r="B895">
        <v>9</v>
      </c>
      <c r="C895" t="s">
        <v>169</v>
      </c>
      <c r="D895" t="s">
        <v>160</v>
      </c>
      <c r="E895" t="s">
        <v>104</v>
      </c>
      <c r="F895">
        <v>300</v>
      </c>
      <c r="G895">
        <v>1429.0996071727143</v>
      </c>
      <c r="H895">
        <v>2</v>
      </c>
      <c r="I895">
        <f>'Nacional · supuestos'!$B$21</f>
        <v>640</v>
      </c>
      <c r="J895">
        <f>F895*'Nacional · supuestos'!$B$4</f>
        <v>354</v>
      </c>
      <c r="K895">
        <f t="shared" si="13"/>
        <v>0.46875</v>
      </c>
    </row>
    <row r="896" spans="1:11">
      <c r="A896">
        <v>2027</v>
      </c>
      <c r="B896">
        <v>9</v>
      </c>
      <c r="C896" t="s">
        <v>169</v>
      </c>
      <c r="D896" t="s">
        <v>160</v>
      </c>
      <c r="E896" t="s">
        <v>99</v>
      </c>
      <c r="F896">
        <v>510</v>
      </c>
      <c r="G896">
        <v>2667.1807870639991</v>
      </c>
      <c r="H896">
        <v>2</v>
      </c>
      <c r="I896">
        <f>'Nacional · supuestos'!$B$20</f>
        <v>600</v>
      </c>
      <c r="J896">
        <f>F896*'Nacional · supuestos'!$B$4</f>
        <v>601.79999999999995</v>
      </c>
      <c r="K896">
        <f t="shared" si="13"/>
        <v>0.85</v>
      </c>
    </row>
    <row r="897" spans="1:11">
      <c r="A897">
        <v>2027</v>
      </c>
      <c r="B897">
        <v>9</v>
      </c>
      <c r="C897" t="s">
        <v>170</v>
      </c>
      <c r="D897" t="s">
        <v>160</v>
      </c>
      <c r="E897" t="s">
        <v>104</v>
      </c>
      <c r="F897">
        <v>5980</v>
      </c>
      <c r="G897">
        <v>19724.180522833154</v>
      </c>
      <c r="H897">
        <v>4</v>
      </c>
      <c r="I897">
        <f>'Nacional · supuestos'!$B$21</f>
        <v>640</v>
      </c>
      <c r="J897">
        <f>F897*'Nacional · supuestos'!$B$4</f>
        <v>7056.4</v>
      </c>
      <c r="K897">
        <f t="shared" si="13"/>
        <v>9.34375</v>
      </c>
    </row>
    <row r="898" spans="1:11">
      <c r="A898">
        <v>2027</v>
      </c>
      <c r="B898">
        <v>9</v>
      </c>
      <c r="C898" t="s">
        <v>170</v>
      </c>
      <c r="D898" t="s">
        <v>160</v>
      </c>
      <c r="E898" t="s">
        <v>99</v>
      </c>
      <c r="F898">
        <v>310</v>
      </c>
      <c r="G898">
        <v>1030.8071491853373</v>
      </c>
      <c r="H898">
        <v>1</v>
      </c>
      <c r="I898">
        <f>'Nacional · supuestos'!$B$20</f>
        <v>600</v>
      </c>
      <c r="J898">
        <f>F898*'Nacional · supuestos'!$B$4</f>
        <v>365.79999999999995</v>
      </c>
      <c r="K898">
        <f t="shared" si="13"/>
        <v>0.51666666666666672</v>
      </c>
    </row>
    <row r="899" spans="1:11">
      <c r="A899">
        <v>2027</v>
      </c>
      <c r="B899">
        <v>9</v>
      </c>
      <c r="C899" t="s">
        <v>171</v>
      </c>
      <c r="D899" t="s">
        <v>164</v>
      </c>
      <c r="E899" t="s">
        <v>102</v>
      </c>
      <c r="F899">
        <v>6900</v>
      </c>
      <c r="G899">
        <v>12398.599739522511</v>
      </c>
      <c r="H899">
        <v>1</v>
      </c>
      <c r="I899">
        <f>'Nacional · supuestos'!$B$25</f>
        <v>750</v>
      </c>
      <c r="J899">
        <f>F899</f>
        <v>6900</v>
      </c>
      <c r="K899">
        <f t="shared" si="13"/>
        <v>9.1999999999999993</v>
      </c>
    </row>
    <row r="900" spans="1:11">
      <c r="A900">
        <v>2027</v>
      </c>
      <c r="B900">
        <v>9</v>
      </c>
      <c r="C900" t="s">
        <v>172</v>
      </c>
      <c r="D900" t="s">
        <v>160</v>
      </c>
      <c r="E900" t="s">
        <v>103</v>
      </c>
      <c r="F900">
        <v>49</v>
      </c>
      <c r="G900">
        <v>481.21359128467083</v>
      </c>
      <c r="H900">
        <v>1</v>
      </c>
      <c r="I900">
        <f>'Nacional · supuestos'!$B$19</f>
        <v>528</v>
      </c>
      <c r="J900">
        <f>F900*'Nacional · supuestos'!$B$4</f>
        <v>57.82</v>
      </c>
      <c r="K900">
        <f t="shared" si="13"/>
        <v>9.2803030303030304E-2</v>
      </c>
    </row>
    <row r="901" spans="1:11">
      <c r="A901">
        <v>2027</v>
      </c>
      <c r="B901">
        <v>9</v>
      </c>
      <c r="C901" t="s">
        <v>172</v>
      </c>
      <c r="D901" t="s">
        <v>160</v>
      </c>
      <c r="E901" t="s">
        <v>104</v>
      </c>
      <c r="F901">
        <v>9020</v>
      </c>
      <c r="G901">
        <v>30236.10116953135</v>
      </c>
      <c r="H901">
        <v>6</v>
      </c>
      <c r="I901">
        <f>'Nacional · supuestos'!$B$21</f>
        <v>640</v>
      </c>
      <c r="J901">
        <f>F901*'Nacional · supuestos'!$B$4</f>
        <v>10643.599999999999</v>
      </c>
      <c r="K901">
        <f t="shared" si="13"/>
        <v>14.09375</v>
      </c>
    </row>
    <row r="902" spans="1:11">
      <c r="A902">
        <v>2027</v>
      </c>
      <c r="B902">
        <v>9</v>
      </c>
      <c r="C902" t="s">
        <v>172</v>
      </c>
      <c r="D902" t="s">
        <v>160</v>
      </c>
      <c r="E902" t="s">
        <v>99</v>
      </c>
      <c r="F902">
        <v>1240</v>
      </c>
      <c r="G902">
        <v>8409.8855665405536</v>
      </c>
      <c r="H902">
        <v>5</v>
      </c>
      <c r="I902">
        <f>'Nacional · supuestos'!$B$20</f>
        <v>600</v>
      </c>
      <c r="J902">
        <f>F902*'Nacional · supuestos'!$B$4</f>
        <v>1463.1999999999998</v>
      </c>
      <c r="K902">
        <f t="shared" si="13"/>
        <v>2.0666666666666669</v>
      </c>
    </row>
    <row r="903" spans="1:11">
      <c r="A903">
        <v>2027</v>
      </c>
      <c r="B903">
        <v>9</v>
      </c>
      <c r="C903" t="s">
        <v>172</v>
      </c>
      <c r="D903" t="s">
        <v>160</v>
      </c>
      <c r="E903" t="s">
        <v>100</v>
      </c>
      <c r="F903">
        <v>69</v>
      </c>
      <c r="G903">
        <v>677.64442678697708</v>
      </c>
      <c r="H903">
        <v>1</v>
      </c>
      <c r="I903">
        <f>'Nacional · supuestos'!$B$24</f>
        <v>1056</v>
      </c>
      <c r="J903">
        <f>F903</f>
        <v>69</v>
      </c>
      <c r="K903">
        <f t="shared" ref="K903:K966" si="14">F903/I903</f>
        <v>6.5340909090909088E-2</v>
      </c>
    </row>
    <row r="904" spans="1:11">
      <c r="A904">
        <v>2027</v>
      </c>
      <c r="B904">
        <v>9</v>
      </c>
      <c r="C904" t="s">
        <v>172</v>
      </c>
      <c r="D904" t="s">
        <v>160</v>
      </c>
      <c r="E904" t="s">
        <v>102</v>
      </c>
      <c r="F904">
        <v>1065</v>
      </c>
      <c r="G904">
        <v>4655.2616875003805</v>
      </c>
      <c r="H904">
        <v>2</v>
      </c>
      <c r="I904">
        <f>'Nacional · supuestos'!$B$25</f>
        <v>750</v>
      </c>
      <c r="J904">
        <f>F904</f>
        <v>1065</v>
      </c>
      <c r="K904">
        <f t="shared" si="14"/>
        <v>1.42</v>
      </c>
    </row>
    <row r="905" spans="1:11">
      <c r="A905">
        <v>2027</v>
      </c>
      <c r="B905">
        <v>9</v>
      </c>
      <c r="C905" t="s">
        <v>173</v>
      </c>
      <c r="D905" t="s">
        <v>160</v>
      </c>
      <c r="E905" t="s">
        <v>104</v>
      </c>
      <c r="F905">
        <v>640</v>
      </c>
      <c r="G905">
        <v>2555.0758257489106</v>
      </c>
      <c r="H905">
        <v>1</v>
      </c>
      <c r="I905">
        <f>'Nacional · supuestos'!$B$21</f>
        <v>640</v>
      </c>
      <c r="J905">
        <f>F905*'Nacional · supuestos'!$B$4</f>
        <v>755.19999999999993</v>
      </c>
      <c r="K905">
        <f t="shared" si="14"/>
        <v>1</v>
      </c>
    </row>
    <row r="906" spans="1:11">
      <c r="A906">
        <v>2027</v>
      </c>
      <c r="B906">
        <v>9</v>
      </c>
      <c r="C906" t="s">
        <v>173</v>
      </c>
      <c r="D906" t="s">
        <v>160</v>
      </c>
      <c r="E906" t="s">
        <v>99</v>
      </c>
      <c r="F906">
        <v>205</v>
      </c>
      <c r="G906">
        <v>871.84457435394461</v>
      </c>
      <c r="H906">
        <v>1</v>
      </c>
      <c r="I906">
        <f>'Nacional · supuestos'!$B$20</f>
        <v>600</v>
      </c>
      <c r="J906">
        <f>F906*'Nacional · supuestos'!$B$4</f>
        <v>241.89999999999998</v>
      </c>
      <c r="K906">
        <f t="shared" si="14"/>
        <v>0.34166666666666667</v>
      </c>
    </row>
    <row r="907" spans="1:11">
      <c r="A907">
        <v>2027</v>
      </c>
      <c r="B907">
        <v>9</v>
      </c>
      <c r="C907" t="s">
        <v>174</v>
      </c>
      <c r="D907" t="s">
        <v>160</v>
      </c>
      <c r="E907" t="s">
        <v>98</v>
      </c>
      <c r="F907">
        <v>7000</v>
      </c>
      <c r="G907">
        <v>13275.713719094001</v>
      </c>
      <c r="H907">
        <v>2</v>
      </c>
      <c r="I907">
        <f>'Nacional · supuestos'!$B$23</f>
        <v>1000</v>
      </c>
      <c r="J907">
        <f>F907*'Nacional · supuestos'!$B$4</f>
        <v>8260</v>
      </c>
      <c r="K907">
        <f t="shared" si="14"/>
        <v>7</v>
      </c>
    </row>
    <row r="908" spans="1:11">
      <c r="A908">
        <v>2027</v>
      </c>
      <c r="B908">
        <v>9</v>
      </c>
      <c r="C908" t="s">
        <v>174</v>
      </c>
      <c r="D908" t="s">
        <v>160</v>
      </c>
      <c r="E908" t="s">
        <v>104</v>
      </c>
      <c r="F908">
        <v>1320</v>
      </c>
      <c r="G908">
        <v>8317.1651366044171</v>
      </c>
      <c r="H908">
        <v>2</v>
      </c>
      <c r="I908">
        <f>'Nacional · supuestos'!$B$21</f>
        <v>640</v>
      </c>
      <c r="J908">
        <f>F908*'Nacional · supuestos'!$B$4</f>
        <v>1557.6</v>
      </c>
      <c r="K908">
        <f t="shared" si="14"/>
        <v>2.0625</v>
      </c>
    </row>
    <row r="909" spans="1:11">
      <c r="A909">
        <v>2027</v>
      </c>
      <c r="B909">
        <v>9</v>
      </c>
      <c r="C909" t="s">
        <v>174</v>
      </c>
      <c r="D909" t="s">
        <v>160</v>
      </c>
      <c r="E909" t="s">
        <v>105</v>
      </c>
      <c r="F909">
        <v>800</v>
      </c>
      <c r="G909">
        <v>1905.4661428969523</v>
      </c>
      <c r="H909">
        <v>2</v>
      </c>
      <c r="I909">
        <f>'Nacional · supuestos'!$B$22</f>
        <v>800</v>
      </c>
      <c r="J909">
        <f>F909*'Nacional · supuestos'!$B$4</f>
        <v>944</v>
      </c>
      <c r="K909">
        <f t="shared" si="14"/>
        <v>1</v>
      </c>
    </row>
    <row r="910" spans="1:11">
      <c r="A910">
        <v>2027</v>
      </c>
      <c r="B910">
        <v>9</v>
      </c>
      <c r="C910" t="s">
        <v>174</v>
      </c>
      <c r="D910" t="s">
        <v>160</v>
      </c>
      <c r="E910" t="s">
        <v>101</v>
      </c>
      <c r="F910">
        <v>2300</v>
      </c>
      <c r="G910">
        <v>3784.2145035875583</v>
      </c>
      <c r="H910">
        <v>1</v>
      </c>
      <c r="I910">
        <f>'Nacional · supuestos'!$B$26</f>
        <v>800</v>
      </c>
      <c r="J910">
        <f>F910</f>
        <v>2300</v>
      </c>
      <c r="K910">
        <f t="shared" si="14"/>
        <v>2.875</v>
      </c>
    </row>
    <row r="911" spans="1:11">
      <c r="A911">
        <v>2027</v>
      </c>
      <c r="B911">
        <v>9</v>
      </c>
      <c r="C911" t="s">
        <v>175</v>
      </c>
      <c r="D911" t="s">
        <v>160</v>
      </c>
      <c r="E911" t="s">
        <v>104</v>
      </c>
      <c r="F911">
        <v>5300</v>
      </c>
      <c r="G911">
        <v>17958.372122729052</v>
      </c>
      <c r="H911">
        <v>3</v>
      </c>
      <c r="I911">
        <f>'Nacional · supuestos'!$B$21</f>
        <v>640</v>
      </c>
      <c r="J911">
        <f>F911*'Nacional · supuestos'!$B$4</f>
        <v>6254</v>
      </c>
      <c r="K911">
        <f t="shared" si="14"/>
        <v>8.28125</v>
      </c>
    </row>
    <row r="912" spans="1:11">
      <c r="A912">
        <v>2027</v>
      </c>
      <c r="B912">
        <v>9</v>
      </c>
      <c r="C912" t="s">
        <v>175</v>
      </c>
      <c r="D912" t="s">
        <v>160</v>
      </c>
      <c r="E912" t="s">
        <v>105</v>
      </c>
      <c r="F912">
        <v>400</v>
      </c>
      <c r="G912">
        <v>1342.5822713628415</v>
      </c>
      <c r="H912">
        <v>1</v>
      </c>
      <c r="I912">
        <f>'Nacional · supuestos'!$B$22</f>
        <v>800</v>
      </c>
      <c r="J912">
        <f>F912*'Nacional · supuestos'!$B$4</f>
        <v>472</v>
      </c>
      <c r="K912">
        <f t="shared" si="14"/>
        <v>0.5</v>
      </c>
    </row>
    <row r="913" spans="1:11">
      <c r="A913">
        <v>2027</v>
      </c>
      <c r="B913">
        <v>9</v>
      </c>
      <c r="C913" t="s">
        <v>175</v>
      </c>
      <c r="D913" t="s">
        <v>160</v>
      </c>
      <c r="E913" t="s">
        <v>99</v>
      </c>
      <c r="F913">
        <v>1765</v>
      </c>
      <c r="G913">
        <v>11330.625463575911</v>
      </c>
      <c r="H913">
        <v>3</v>
      </c>
      <c r="I913">
        <f>'Nacional · supuestos'!$B$20</f>
        <v>600</v>
      </c>
      <c r="J913">
        <f>F913*'Nacional · supuestos'!$B$4</f>
        <v>2082.6999999999998</v>
      </c>
      <c r="K913">
        <f t="shared" si="14"/>
        <v>2.9416666666666669</v>
      </c>
    </row>
    <row r="914" spans="1:11">
      <c r="A914">
        <v>2027</v>
      </c>
      <c r="B914">
        <v>9</v>
      </c>
      <c r="C914" t="s">
        <v>176</v>
      </c>
      <c r="D914" t="s">
        <v>160</v>
      </c>
      <c r="E914" t="s">
        <v>104</v>
      </c>
      <c r="F914">
        <v>2680</v>
      </c>
      <c r="G914">
        <v>8144.7073877399871</v>
      </c>
      <c r="H914">
        <v>1</v>
      </c>
      <c r="I914">
        <f>'Nacional · supuestos'!$B$21</f>
        <v>640</v>
      </c>
      <c r="J914">
        <f>F914*'Nacional · supuestos'!$B$4</f>
        <v>3162.3999999999996</v>
      </c>
      <c r="K914">
        <f t="shared" si="14"/>
        <v>4.1875</v>
      </c>
    </row>
    <row r="915" spans="1:11">
      <c r="A915">
        <v>2027</v>
      </c>
      <c r="B915">
        <v>9</v>
      </c>
      <c r="C915" t="s">
        <v>176</v>
      </c>
      <c r="D915" t="s">
        <v>160</v>
      </c>
      <c r="E915" t="s">
        <v>177</v>
      </c>
      <c r="F915">
        <v>5255</v>
      </c>
      <c r="G915">
        <v>13399.808879148837</v>
      </c>
      <c r="H915">
        <v>1</v>
      </c>
      <c r="I915">
        <f>'Nacional · supuestos'!$B$28</f>
        <v>1100</v>
      </c>
      <c r="J915">
        <f>F915</f>
        <v>5255</v>
      </c>
      <c r="K915">
        <f t="shared" si="14"/>
        <v>4.7772727272727273</v>
      </c>
    </row>
    <row r="916" spans="1:11">
      <c r="A916">
        <v>2027</v>
      </c>
      <c r="B916">
        <v>9</v>
      </c>
      <c r="C916" t="s">
        <v>178</v>
      </c>
      <c r="D916" t="s">
        <v>160</v>
      </c>
      <c r="E916" t="s">
        <v>103</v>
      </c>
      <c r="F916">
        <v>37</v>
      </c>
      <c r="G916">
        <v>626.72949585163713</v>
      </c>
      <c r="H916">
        <v>1</v>
      </c>
      <c r="I916">
        <f>'Nacional · supuestos'!$B$19</f>
        <v>528</v>
      </c>
      <c r="J916">
        <f>F916*'Nacional · supuestos'!$B$4</f>
        <v>43.66</v>
      </c>
      <c r="K916">
        <f t="shared" si="14"/>
        <v>7.0075757575757569E-2</v>
      </c>
    </row>
    <row r="917" spans="1:11">
      <c r="A917">
        <v>2027</v>
      </c>
      <c r="B917">
        <v>9</v>
      </c>
      <c r="C917" t="s">
        <v>178</v>
      </c>
      <c r="D917" t="s">
        <v>160</v>
      </c>
      <c r="E917" t="s">
        <v>104</v>
      </c>
      <c r="F917">
        <v>2040</v>
      </c>
      <c r="G917">
        <v>8148.2564341656962</v>
      </c>
      <c r="H917">
        <v>3</v>
      </c>
      <c r="I917">
        <f>'Nacional · supuestos'!$B$21</f>
        <v>640</v>
      </c>
      <c r="J917">
        <f>F917*'Nacional · supuestos'!$B$4</f>
        <v>2407.1999999999998</v>
      </c>
      <c r="K917">
        <f t="shared" si="14"/>
        <v>3.1875</v>
      </c>
    </row>
    <row r="918" spans="1:11">
      <c r="A918">
        <v>2027</v>
      </c>
      <c r="B918">
        <v>9</v>
      </c>
      <c r="C918" t="s">
        <v>178</v>
      </c>
      <c r="D918" t="s">
        <v>160</v>
      </c>
      <c r="E918" t="s">
        <v>99</v>
      </c>
      <c r="F918">
        <v>850</v>
      </c>
      <c r="G918">
        <v>5239.5691056547712</v>
      </c>
      <c r="H918">
        <v>2</v>
      </c>
      <c r="I918">
        <f>'Nacional · supuestos'!$B$20</f>
        <v>600</v>
      </c>
      <c r="J918">
        <f>F918*'Nacional · supuestos'!$B$4</f>
        <v>1003</v>
      </c>
      <c r="K918">
        <f t="shared" si="14"/>
        <v>1.4166666666666667</v>
      </c>
    </row>
    <row r="919" spans="1:11">
      <c r="A919">
        <v>2027</v>
      </c>
      <c r="B919">
        <v>9</v>
      </c>
      <c r="C919" t="s">
        <v>178</v>
      </c>
      <c r="D919" t="s">
        <v>160</v>
      </c>
      <c r="E919" t="s">
        <v>102</v>
      </c>
      <c r="F919">
        <v>170</v>
      </c>
      <c r="G919">
        <v>984.83829967671795</v>
      </c>
      <c r="H919">
        <v>2</v>
      </c>
      <c r="I919">
        <f>'Nacional · supuestos'!$B$25</f>
        <v>750</v>
      </c>
      <c r="J919">
        <f>F919</f>
        <v>170</v>
      </c>
      <c r="K919">
        <f t="shared" si="14"/>
        <v>0.22666666666666666</v>
      </c>
    </row>
    <row r="920" spans="1:11">
      <c r="A920">
        <v>2027</v>
      </c>
      <c r="B920">
        <v>9</v>
      </c>
      <c r="C920" t="s">
        <v>178</v>
      </c>
      <c r="D920" t="s">
        <v>160</v>
      </c>
      <c r="E920" t="s">
        <v>177</v>
      </c>
      <c r="F920">
        <v>955</v>
      </c>
      <c r="G920">
        <v>2794.7256945682998</v>
      </c>
      <c r="H920">
        <v>1</v>
      </c>
      <c r="I920">
        <f>'Nacional · supuestos'!$B$28</f>
        <v>1100</v>
      </c>
      <c r="J920">
        <f>F920</f>
        <v>955</v>
      </c>
      <c r="K920">
        <f t="shared" si="14"/>
        <v>0.86818181818181817</v>
      </c>
    </row>
    <row r="921" spans="1:11">
      <c r="A921">
        <v>2027</v>
      </c>
      <c r="B921">
        <v>9</v>
      </c>
      <c r="C921" t="s">
        <v>179</v>
      </c>
      <c r="D921" t="s">
        <v>160</v>
      </c>
      <c r="E921" t="s">
        <v>104</v>
      </c>
      <c r="F921">
        <v>760</v>
      </c>
      <c r="G921">
        <v>2733.1139095600706</v>
      </c>
      <c r="H921">
        <v>1</v>
      </c>
      <c r="I921">
        <f>'Nacional · supuestos'!$B$21</f>
        <v>640</v>
      </c>
      <c r="J921">
        <f>F921*'Nacional · supuestos'!$B$4</f>
        <v>896.8</v>
      </c>
      <c r="K921">
        <f t="shared" si="14"/>
        <v>1.1875</v>
      </c>
    </row>
    <row r="922" spans="1:11">
      <c r="A922">
        <v>2027</v>
      </c>
      <c r="B922">
        <v>9</v>
      </c>
      <c r="C922" t="s">
        <v>179</v>
      </c>
      <c r="D922" t="s">
        <v>160</v>
      </c>
      <c r="E922" t="s">
        <v>99</v>
      </c>
      <c r="F922">
        <v>80</v>
      </c>
      <c r="G922">
        <v>1261.6937742683103</v>
      </c>
      <c r="H922">
        <v>1</v>
      </c>
      <c r="I922">
        <f>'Nacional · supuestos'!$B$20</f>
        <v>600</v>
      </c>
      <c r="J922">
        <f>F922*'Nacional · supuestos'!$B$4</f>
        <v>94.399999999999991</v>
      </c>
      <c r="K922">
        <f t="shared" si="14"/>
        <v>0.13333333333333333</v>
      </c>
    </row>
    <row r="923" spans="1:11">
      <c r="A923">
        <v>2027</v>
      </c>
      <c r="B923">
        <v>9</v>
      </c>
      <c r="C923" t="s">
        <v>180</v>
      </c>
      <c r="D923" t="s">
        <v>160</v>
      </c>
      <c r="E923" t="s">
        <v>103</v>
      </c>
      <c r="F923">
        <v>12</v>
      </c>
      <c r="G923">
        <v>61.604512606788774</v>
      </c>
      <c r="H923">
        <v>1</v>
      </c>
      <c r="I923">
        <f>'Nacional · supuestos'!$B$19</f>
        <v>528</v>
      </c>
      <c r="J923">
        <f>F923*'Nacional · supuestos'!$B$4</f>
        <v>14.16</v>
      </c>
      <c r="K923">
        <f t="shared" si="14"/>
        <v>2.2727272727272728E-2</v>
      </c>
    </row>
    <row r="924" spans="1:11">
      <c r="A924">
        <v>2027</v>
      </c>
      <c r="B924">
        <v>9</v>
      </c>
      <c r="C924" t="s">
        <v>180</v>
      </c>
      <c r="D924" t="s">
        <v>160</v>
      </c>
      <c r="E924" t="s">
        <v>99</v>
      </c>
      <c r="F924">
        <v>780</v>
      </c>
      <c r="G924">
        <v>2579.2624592658794</v>
      </c>
      <c r="H924">
        <v>4</v>
      </c>
      <c r="I924">
        <f>'Nacional · supuestos'!$B$20</f>
        <v>600</v>
      </c>
      <c r="J924">
        <f>F924*'Nacional · supuestos'!$B$4</f>
        <v>920.4</v>
      </c>
      <c r="K924">
        <f t="shared" si="14"/>
        <v>1.3</v>
      </c>
    </row>
    <row r="925" spans="1:11">
      <c r="A925">
        <v>2027</v>
      </c>
      <c r="B925">
        <v>9</v>
      </c>
      <c r="C925" t="s">
        <v>180</v>
      </c>
      <c r="D925" t="s">
        <v>160</v>
      </c>
      <c r="E925" t="s">
        <v>177</v>
      </c>
      <c r="F925">
        <v>360</v>
      </c>
      <c r="G925">
        <v>1043.1509167624083</v>
      </c>
      <c r="H925">
        <v>1</v>
      </c>
      <c r="I925">
        <f>'Nacional · supuestos'!$B$28</f>
        <v>1100</v>
      </c>
      <c r="J925">
        <f>F925</f>
        <v>360</v>
      </c>
      <c r="K925">
        <f t="shared" si="14"/>
        <v>0.32727272727272727</v>
      </c>
    </row>
    <row r="926" spans="1:11">
      <c r="A926">
        <v>2027</v>
      </c>
      <c r="B926">
        <v>9</v>
      </c>
      <c r="C926" t="s">
        <v>181</v>
      </c>
      <c r="D926" t="s">
        <v>160</v>
      </c>
      <c r="E926" t="s">
        <v>101</v>
      </c>
      <c r="F926">
        <v>1180</v>
      </c>
      <c r="G926">
        <v>2275.5101695536364</v>
      </c>
      <c r="H926">
        <v>1</v>
      </c>
      <c r="I926">
        <f>'Nacional · supuestos'!$B$26</f>
        <v>800</v>
      </c>
      <c r="J926">
        <f>F926</f>
        <v>1180</v>
      </c>
      <c r="K926">
        <f t="shared" si="14"/>
        <v>1.4750000000000001</v>
      </c>
    </row>
    <row r="927" spans="1:11">
      <c r="A927">
        <v>2027</v>
      </c>
      <c r="B927">
        <v>10</v>
      </c>
      <c r="C927" t="s">
        <v>159</v>
      </c>
      <c r="D927" t="s">
        <v>160</v>
      </c>
      <c r="E927" t="s">
        <v>104</v>
      </c>
      <c r="F927">
        <v>2080</v>
      </c>
      <c r="G927">
        <v>5639.9097853240883</v>
      </c>
      <c r="H927">
        <v>2</v>
      </c>
      <c r="I927">
        <f>'Nacional · supuestos'!$B$21</f>
        <v>640</v>
      </c>
      <c r="J927">
        <f>F927*'Nacional · supuestos'!$B$4</f>
        <v>2454.4</v>
      </c>
      <c r="K927">
        <f t="shared" si="14"/>
        <v>3.25</v>
      </c>
    </row>
    <row r="928" spans="1:11">
      <c r="A928">
        <v>2027</v>
      </c>
      <c r="B928">
        <v>10</v>
      </c>
      <c r="C928" t="s">
        <v>162</v>
      </c>
      <c r="D928" t="s">
        <v>160</v>
      </c>
      <c r="E928" t="s">
        <v>98</v>
      </c>
      <c r="F928">
        <v>5000</v>
      </c>
      <c r="G928">
        <v>7815.1814366953495</v>
      </c>
      <c r="H928">
        <v>1</v>
      </c>
      <c r="I928">
        <f>'Nacional · supuestos'!$B$23</f>
        <v>1000</v>
      </c>
      <c r="J928">
        <f>F928*'Nacional · supuestos'!$B$4</f>
        <v>5900</v>
      </c>
      <c r="K928">
        <f t="shared" si="14"/>
        <v>5</v>
      </c>
    </row>
    <row r="929" spans="1:11">
      <c r="A929">
        <v>2027</v>
      </c>
      <c r="B929">
        <v>10</v>
      </c>
      <c r="C929" t="s">
        <v>162</v>
      </c>
      <c r="D929" t="s">
        <v>160</v>
      </c>
      <c r="E929" t="s">
        <v>101</v>
      </c>
      <c r="F929">
        <v>1140</v>
      </c>
      <c r="G929">
        <v>1977.0915660695412</v>
      </c>
      <c r="H929">
        <v>1</v>
      </c>
      <c r="I929">
        <f>'Nacional · supuestos'!$B$26</f>
        <v>800</v>
      </c>
      <c r="J929">
        <f>F929</f>
        <v>1140</v>
      </c>
      <c r="K929">
        <f t="shared" si="14"/>
        <v>1.425</v>
      </c>
    </row>
    <row r="930" spans="1:11">
      <c r="A930">
        <v>2027</v>
      </c>
      <c r="B930">
        <v>10</v>
      </c>
      <c r="C930" t="s">
        <v>163</v>
      </c>
      <c r="D930" t="s">
        <v>164</v>
      </c>
      <c r="E930" t="s">
        <v>98</v>
      </c>
      <c r="F930">
        <v>2000</v>
      </c>
      <c r="G930">
        <v>4023.5773039290139</v>
      </c>
      <c r="H930">
        <v>1</v>
      </c>
      <c r="I930">
        <f>'Nacional · supuestos'!$B$23</f>
        <v>1000</v>
      </c>
      <c r="J930">
        <f>F930*'Nacional · supuestos'!$B$4</f>
        <v>2360</v>
      </c>
      <c r="K930">
        <f t="shared" si="14"/>
        <v>2</v>
      </c>
    </row>
    <row r="931" spans="1:11">
      <c r="A931">
        <v>2027</v>
      </c>
      <c r="B931">
        <v>10</v>
      </c>
      <c r="C931" t="s">
        <v>163</v>
      </c>
      <c r="D931" t="s">
        <v>164</v>
      </c>
      <c r="E931" t="s">
        <v>104</v>
      </c>
      <c r="F931">
        <v>4360</v>
      </c>
      <c r="G931">
        <v>11445.955452398755</v>
      </c>
      <c r="H931">
        <v>6</v>
      </c>
      <c r="I931">
        <f>'Nacional · supuestos'!$B$21</f>
        <v>640</v>
      </c>
      <c r="J931">
        <f>F931*'Nacional · supuestos'!$B$4</f>
        <v>5144.8</v>
      </c>
      <c r="K931">
        <f t="shared" si="14"/>
        <v>6.8125</v>
      </c>
    </row>
    <row r="932" spans="1:11">
      <c r="A932">
        <v>2027</v>
      </c>
      <c r="B932">
        <v>10</v>
      </c>
      <c r="C932" t="s">
        <v>163</v>
      </c>
      <c r="D932" t="s">
        <v>164</v>
      </c>
      <c r="E932" t="s">
        <v>105</v>
      </c>
      <c r="F932">
        <v>3200</v>
      </c>
      <c r="G932">
        <v>8208.7462904844451</v>
      </c>
      <c r="H932">
        <v>4</v>
      </c>
      <c r="I932">
        <f>'Nacional · supuestos'!$B$22</f>
        <v>800</v>
      </c>
      <c r="J932">
        <f>F932*'Nacional · supuestos'!$B$4</f>
        <v>3776</v>
      </c>
      <c r="K932">
        <f t="shared" si="14"/>
        <v>4</v>
      </c>
    </row>
    <row r="933" spans="1:11">
      <c r="A933">
        <v>2027</v>
      </c>
      <c r="B933">
        <v>10</v>
      </c>
      <c r="C933" t="s">
        <v>163</v>
      </c>
      <c r="D933" t="s">
        <v>164</v>
      </c>
      <c r="E933" t="s">
        <v>99</v>
      </c>
      <c r="F933">
        <v>105</v>
      </c>
      <c r="G933">
        <v>395.8611123756117</v>
      </c>
      <c r="H933">
        <v>1</v>
      </c>
      <c r="I933">
        <f>'Nacional · supuestos'!$B$20</f>
        <v>600</v>
      </c>
      <c r="J933">
        <f>F933*'Nacional · supuestos'!$B$4</f>
        <v>123.89999999999999</v>
      </c>
      <c r="K933">
        <f t="shared" si="14"/>
        <v>0.17499999999999999</v>
      </c>
    </row>
    <row r="934" spans="1:11">
      <c r="A934">
        <v>2027</v>
      </c>
      <c r="B934">
        <v>10</v>
      </c>
      <c r="C934" t="s">
        <v>163</v>
      </c>
      <c r="D934" t="s">
        <v>164</v>
      </c>
      <c r="E934" t="s">
        <v>101</v>
      </c>
      <c r="F934">
        <v>2300</v>
      </c>
      <c r="G934">
        <v>3656.6187147903674</v>
      </c>
      <c r="H934">
        <v>1</v>
      </c>
      <c r="I934">
        <f>'Nacional · supuestos'!$B$26</f>
        <v>800</v>
      </c>
      <c r="J934">
        <f>F934</f>
        <v>2300</v>
      </c>
      <c r="K934">
        <f t="shared" si="14"/>
        <v>2.875</v>
      </c>
    </row>
    <row r="935" spans="1:11">
      <c r="A935">
        <v>2027</v>
      </c>
      <c r="B935">
        <v>10</v>
      </c>
      <c r="C935" t="s">
        <v>166</v>
      </c>
      <c r="D935" t="s">
        <v>160</v>
      </c>
      <c r="E935" t="s">
        <v>98</v>
      </c>
      <c r="F935">
        <v>2000</v>
      </c>
      <c r="G935">
        <v>4000.6449980516977</v>
      </c>
      <c r="H935">
        <v>1</v>
      </c>
      <c r="I935">
        <f>'Nacional · supuestos'!$B$23</f>
        <v>1000</v>
      </c>
      <c r="J935">
        <f>F935*'Nacional · supuestos'!$B$4</f>
        <v>2360</v>
      </c>
      <c r="K935">
        <f t="shared" si="14"/>
        <v>2</v>
      </c>
    </row>
    <row r="936" spans="1:11">
      <c r="A936">
        <v>2027</v>
      </c>
      <c r="B936">
        <v>10</v>
      </c>
      <c r="C936" t="s">
        <v>166</v>
      </c>
      <c r="D936" t="s">
        <v>160</v>
      </c>
      <c r="E936" t="s">
        <v>104</v>
      </c>
      <c r="F936">
        <v>2180</v>
      </c>
      <c r="G936">
        <v>5949.6825221155505</v>
      </c>
      <c r="H936">
        <v>2</v>
      </c>
      <c r="I936">
        <f>'Nacional · supuestos'!$B$21</f>
        <v>640</v>
      </c>
      <c r="J936">
        <f>F936*'Nacional · supuestos'!$B$4</f>
        <v>2572.4</v>
      </c>
      <c r="K936">
        <f t="shared" si="14"/>
        <v>3.40625</v>
      </c>
    </row>
    <row r="937" spans="1:11">
      <c r="A937">
        <v>2027</v>
      </c>
      <c r="B937">
        <v>10</v>
      </c>
      <c r="C937" t="s">
        <v>166</v>
      </c>
      <c r="D937" t="s">
        <v>160</v>
      </c>
      <c r="E937" t="s">
        <v>99</v>
      </c>
      <c r="F937">
        <v>620</v>
      </c>
      <c r="G937">
        <v>2539.8571136666924</v>
      </c>
      <c r="H937">
        <v>1</v>
      </c>
      <c r="I937">
        <f>'Nacional · supuestos'!$B$20</f>
        <v>600</v>
      </c>
      <c r="J937">
        <f>F937*'Nacional · supuestos'!$B$4</f>
        <v>731.59999999999991</v>
      </c>
      <c r="K937">
        <f t="shared" si="14"/>
        <v>1.0333333333333334</v>
      </c>
    </row>
    <row r="938" spans="1:11">
      <c r="A938">
        <v>2027</v>
      </c>
      <c r="B938">
        <v>10</v>
      </c>
      <c r="C938" t="s">
        <v>166</v>
      </c>
      <c r="D938" t="s">
        <v>160</v>
      </c>
      <c r="E938" t="s">
        <v>101</v>
      </c>
      <c r="F938">
        <v>2300</v>
      </c>
      <c r="G938">
        <v>3907.8733970025573</v>
      </c>
      <c r="H938">
        <v>1</v>
      </c>
      <c r="I938">
        <f>'Nacional · supuestos'!$B$26</f>
        <v>800</v>
      </c>
      <c r="J938">
        <f>F938</f>
        <v>2300</v>
      </c>
      <c r="K938">
        <f t="shared" si="14"/>
        <v>2.875</v>
      </c>
    </row>
    <row r="939" spans="1:11">
      <c r="A939">
        <v>2027</v>
      </c>
      <c r="B939">
        <v>10</v>
      </c>
      <c r="C939" t="s">
        <v>167</v>
      </c>
      <c r="D939" t="s">
        <v>160</v>
      </c>
      <c r="E939" t="s">
        <v>99</v>
      </c>
      <c r="F939">
        <v>105</v>
      </c>
      <c r="G939">
        <v>568.04364035650667</v>
      </c>
      <c r="H939">
        <v>1</v>
      </c>
      <c r="I939">
        <f>'Nacional · supuestos'!$B$20</f>
        <v>600</v>
      </c>
      <c r="J939">
        <f>F939*'Nacional · supuestos'!$B$4</f>
        <v>123.89999999999999</v>
      </c>
      <c r="K939">
        <f t="shared" si="14"/>
        <v>0.17499999999999999</v>
      </c>
    </row>
    <row r="940" spans="1:11">
      <c r="A940">
        <v>2027</v>
      </c>
      <c r="B940">
        <v>10</v>
      </c>
      <c r="C940" t="s">
        <v>168</v>
      </c>
      <c r="D940" t="s">
        <v>160</v>
      </c>
      <c r="E940" t="s">
        <v>104</v>
      </c>
      <c r="F940">
        <v>1020</v>
      </c>
      <c r="G940">
        <v>2883.1328850993095</v>
      </c>
      <c r="H940">
        <v>2</v>
      </c>
      <c r="I940">
        <f>'Nacional · supuestos'!$B$21</f>
        <v>640</v>
      </c>
      <c r="J940">
        <f>F940*'Nacional · supuestos'!$B$4</f>
        <v>1203.5999999999999</v>
      </c>
      <c r="K940">
        <f t="shared" si="14"/>
        <v>1.59375</v>
      </c>
    </row>
    <row r="941" spans="1:11">
      <c r="A941">
        <v>2027</v>
      </c>
      <c r="B941">
        <v>10</v>
      </c>
      <c r="C941" t="s">
        <v>169</v>
      </c>
      <c r="D941" t="s">
        <v>160</v>
      </c>
      <c r="E941" t="s">
        <v>104</v>
      </c>
      <c r="F941">
        <v>300</v>
      </c>
      <c r="G941">
        <v>1429.0996071727143</v>
      </c>
      <c r="H941">
        <v>2</v>
      </c>
      <c r="I941">
        <f>'Nacional · supuestos'!$B$21</f>
        <v>640</v>
      </c>
      <c r="J941">
        <f>F941*'Nacional · supuestos'!$B$4</f>
        <v>354</v>
      </c>
      <c r="K941">
        <f t="shared" si="14"/>
        <v>0.46875</v>
      </c>
    </row>
    <row r="942" spans="1:11">
      <c r="A942">
        <v>2027</v>
      </c>
      <c r="B942">
        <v>10</v>
      </c>
      <c r="C942" t="s">
        <v>169</v>
      </c>
      <c r="D942" t="s">
        <v>160</v>
      </c>
      <c r="E942" t="s">
        <v>99</v>
      </c>
      <c r="F942">
        <v>310</v>
      </c>
      <c r="G942">
        <v>1789.4988984867377</v>
      </c>
      <c r="H942">
        <v>1</v>
      </c>
      <c r="I942">
        <f>'Nacional · supuestos'!$B$20</f>
        <v>600</v>
      </c>
      <c r="J942">
        <f>F942*'Nacional · supuestos'!$B$4</f>
        <v>365.79999999999995</v>
      </c>
      <c r="K942">
        <f t="shared" si="14"/>
        <v>0.51666666666666672</v>
      </c>
    </row>
    <row r="943" spans="1:11">
      <c r="A943">
        <v>2027</v>
      </c>
      <c r="B943">
        <v>10</v>
      </c>
      <c r="C943" t="s">
        <v>170</v>
      </c>
      <c r="D943" t="s">
        <v>160</v>
      </c>
      <c r="E943" t="s">
        <v>104</v>
      </c>
      <c r="F943">
        <v>3980</v>
      </c>
      <c r="G943">
        <v>13066.3067001245</v>
      </c>
      <c r="H943">
        <v>4</v>
      </c>
      <c r="I943">
        <f>'Nacional · supuestos'!$B$21</f>
        <v>640</v>
      </c>
      <c r="J943">
        <f>F943*'Nacional · supuestos'!$B$4</f>
        <v>4696.3999999999996</v>
      </c>
      <c r="K943">
        <f t="shared" si="14"/>
        <v>6.21875</v>
      </c>
    </row>
    <row r="944" spans="1:11">
      <c r="A944">
        <v>2027</v>
      </c>
      <c r="B944">
        <v>10</v>
      </c>
      <c r="C944" t="s">
        <v>170</v>
      </c>
      <c r="D944" t="s">
        <v>160</v>
      </c>
      <c r="E944" t="s">
        <v>102</v>
      </c>
      <c r="F944">
        <v>510</v>
      </c>
      <c r="G944">
        <v>2226.3933398745858</v>
      </c>
      <c r="H944">
        <v>1</v>
      </c>
      <c r="I944">
        <f>'Nacional · supuestos'!$B$25</f>
        <v>750</v>
      </c>
      <c r="J944">
        <f>F944</f>
        <v>510</v>
      </c>
      <c r="K944">
        <f t="shared" si="14"/>
        <v>0.68</v>
      </c>
    </row>
    <row r="945" spans="1:11">
      <c r="A945">
        <v>2027</v>
      </c>
      <c r="B945">
        <v>10</v>
      </c>
      <c r="C945" t="s">
        <v>171</v>
      </c>
      <c r="D945" t="s">
        <v>164</v>
      </c>
      <c r="E945" t="s">
        <v>104</v>
      </c>
      <c r="F945">
        <v>1520</v>
      </c>
      <c r="G945">
        <v>3057.9187509860508</v>
      </c>
      <c r="H945">
        <v>1</v>
      </c>
      <c r="I945">
        <f>'Nacional · supuestos'!$B$21</f>
        <v>640</v>
      </c>
      <c r="J945">
        <f>F945*'Nacional · supuestos'!$B$4</f>
        <v>1793.6</v>
      </c>
      <c r="K945">
        <f t="shared" si="14"/>
        <v>2.375</v>
      </c>
    </row>
    <row r="946" spans="1:11">
      <c r="A946">
        <v>2027</v>
      </c>
      <c r="B946">
        <v>10</v>
      </c>
      <c r="C946" t="s">
        <v>171</v>
      </c>
      <c r="D946" t="s">
        <v>164</v>
      </c>
      <c r="E946" t="s">
        <v>99</v>
      </c>
      <c r="F946">
        <v>1435</v>
      </c>
      <c r="G946">
        <v>3186.0790695140481</v>
      </c>
      <c r="H946">
        <v>1</v>
      </c>
      <c r="I946">
        <f>'Nacional · supuestos'!$B$20</f>
        <v>600</v>
      </c>
      <c r="J946">
        <f>F946*'Nacional · supuestos'!$B$4</f>
        <v>1693.3</v>
      </c>
      <c r="K946">
        <f t="shared" si="14"/>
        <v>2.3916666666666666</v>
      </c>
    </row>
    <row r="947" spans="1:11">
      <c r="A947">
        <v>2027</v>
      </c>
      <c r="B947">
        <v>10</v>
      </c>
      <c r="C947" t="s">
        <v>171</v>
      </c>
      <c r="D947" t="s">
        <v>164</v>
      </c>
      <c r="E947" t="s">
        <v>101</v>
      </c>
      <c r="F947">
        <v>1140</v>
      </c>
      <c r="G947">
        <v>1850.6962155343608</v>
      </c>
      <c r="H947">
        <v>1</v>
      </c>
      <c r="I947">
        <f>'Nacional · supuestos'!$B$26</f>
        <v>800</v>
      </c>
      <c r="J947">
        <f>F947</f>
        <v>1140</v>
      </c>
      <c r="K947">
        <f t="shared" si="14"/>
        <v>1.425</v>
      </c>
    </row>
    <row r="948" spans="1:11">
      <c r="A948">
        <v>2027</v>
      </c>
      <c r="B948">
        <v>10</v>
      </c>
      <c r="C948" t="s">
        <v>171</v>
      </c>
      <c r="D948" t="s">
        <v>164</v>
      </c>
      <c r="E948" t="s">
        <v>102</v>
      </c>
      <c r="F948">
        <v>4600</v>
      </c>
      <c r="G948">
        <v>8265.7331596816748</v>
      </c>
      <c r="H948">
        <v>1</v>
      </c>
      <c r="I948">
        <f>'Nacional · supuestos'!$B$25</f>
        <v>750</v>
      </c>
      <c r="J948">
        <f>F948</f>
        <v>4600</v>
      </c>
      <c r="K948">
        <f t="shared" si="14"/>
        <v>6.1333333333333337</v>
      </c>
    </row>
    <row r="949" spans="1:11">
      <c r="A949">
        <v>2027</v>
      </c>
      <c r="B949">
        <v>10</v>
      </c>
      <c r="C949" t="s">
        <v>172</v>
      </c>
      <c r="D949" t="s">
        <v>160</v>
      </c>
      <c r="E949" t="s">
        <v>104</v>
      </c>
      <c r="F949">
        <v>12560</v>
      </c>
      <c r="G949">
        <v>37659.098595095689</v>
      </c>
      <c r="H949">
        <v>5</v>
      </c>
      <c r="I949">
        <f>'Nacional · supuestos'!$B$21</f>
        <v>640</v>
      </c>
      <c r="J949">
        <f>F949*'Nacional · supuestos'!$B$4</f>
        <v>14820.8</v>
      </c>
      <c r="K949">
        <f t="shared" si="14"/>
        <v>19.625</v>
      </c>
    </row>
    <row r="950" spans="1:11">
      <c r="A950">
        <v>2027</v>
      </c>
      <c r="B950">
        <v>10</v>
      </c>
      <c r="C950" t="s">
        <v>172</v>
      </c>
      <c r="D950" t="s">
        <v>160</v>
      </c>
      <c r="E950" t="s">
        <v>99</v>
      </c>
      <c r="F950">
        <v>965</v>
      </c>
      <c r="G950">
        <v>5466.679211945655</v>
      </c>
      <c r="H950">
        <v>6</v>
      </c>
      <c r="I950">
        <f>'Nacional · supuestos'!$B$20</f>
        <v>600</v>
      </c>
      <c r="J950">
        <f>F950*'Nacional · supuestos'!$B$4</f>
        <v>1138.7</v>
      </c>
      <c r="K950">
        <f t="shared" si="14"/>
        <v>1.6083333333333334</v>
      </c>
    </row>
    <row r="951" spans="1:11">
      <c r="A951">
        <v>2027</v>
      </c>
      <c r="B951">
        <v>10</v>
      </c>
      <c r="C951" t="s">
        <v>172</v>
      </c>
      <c r="D951" t="s">
        <v>160</v>
      </c>
      <c r="E951" t="s">
        <v>100</v>
      </c>
      <c r="F951">
        <v>137</v>
      </c>
      <c r="G951">
        <v>1345.4679198524038</v>
      </c>
      <c r="H951">
        <v>1</v>
      </c>
      <c r="I951">
        <f>'Nacional · supuestos'!$B$24</f>
        <v>1056</v>
      </c>
      <c r="J951">
        <f>F951</f>
        <v>137</v>
      </c>
      <c r="K951">
        <f t="shared" si="14"/>
        <v>0.12973484848484848</v>
      </c>
    </row>
    <row r="952" spans="1:11">
      <c r="A952">
        <v>2027</v>
      </c>
      <c r="B952">
        <v>10</v>
      </c>
      <c r="C952" t="s">
        <v>172</v>
      </c>
      <c r="D952" t="s">
        <v>160</v>
      </c>
      <c r="E952" t="s">
        <v>102</v>
      </c>
      <c r="F952">
        <v>875</v>
      </c>
      <c r="G952">
        <v>3613.3897606359942</v>
      </c>
      <c r="H952">
        <v>1</v>
      </c>
      <c r="I952">
        <f>'Nacional · supuestos'!$B$25</f>
        <v>750</v>
      </c>
      <c r="J952">
        <f>F952</f>
        <v>875</v>
      </c>
      <c r="K952">
        <f t="shared" si="14"/>
        <v>1.1666666666666667</v>
      </c>
    </row>
    <row r="953" spans="1:11">
      <c r="A953">
        <v>2027</v>
      </c>
      <c r="B953">
        <v>10</v>
      </c>
      <c r="C953" t="s">
        <v>173</v>
      </c>
      <c r="D953" t="s">
        <v>160</v>
      </c>
      <c r="E953" t="s">
        <v>98</v>
      </c>
      <c r="F953">
        <v>3000</v>
      </c>
      <c r="G953">
        <v>7202.8288005568611</v>
      </c>
      <c r="H953">
        <v>2</v>
      </c>
      <c r="I953">
        <f>'Nacional · supuestos'!$B$23</f>
        <v>1000</v>
      </c>
      <c r="J953">
        <f>F953*'Nacional · supuestos'!$B$4</f>
        <v>3540</v>
      </c>
      <c r="K953">
        <f t="shared" si="14"/>
        <v>3</v>
      </c>
    </row>
    <row r="954" spans="1:11">
      <c r="A954">
        <v>2027</v>
      </c>
      <c r="B954">
        <v>10</v>
      </c>
      <c r="C954" t="s">
        <v>173</v>
      </c>
      <c r="D954" t="s">
        <v>160</v>
      </c>
      <c r="E954" t="s">
        <v>104</v>
      </c>
      <c r="F954">
        <v>1320</v>
      </c>
      <c r="G954">
        <v>4244.7698178911196</v>
      </c>
      <c r="H954">
        <v>2</v>
      </c>
      <c r="I954">
        <f>'Nacional · supuestos'!$B$21</f>
        <v>640</v>
      </c>
      <c r="J954">
        <f>F954*'Nacional · supuestos'!$B$4</f>
        <v>1557.6</v>
      </c>
      <c r="K954">
        <f t="shared" si="14"/>
        <v>2.0625</v>
      </c>
    </row>
    <row r="955" spans="1:11">
      <c r="A955">
        <v>2027</v>
      </c>
      <c r="B955">
        <v>10</v>
      </c>
      <c r="C955" t="s">
        <v>173</v>
      </c>
      <c r="D955" t="s">
        <v>160</v>
      </c>
      <c r="E955" t="s">
        <v>101</v>
      </c>
      <c r="F955">
        <v>1960</v>
      </c>
      <c r="G955">
        <v>4755.3398492247998</v>
      </c>
      <c r="H955">
        <v>2</v>
      </c>
      <c r="I955">
        <f>'Nacional · supuestos'!$B$26</f>
        <v>800</v>
      </c>
      <c r="J955">
        <f>F955</f>
        <v>1960</v>
      </c>
      <c r="K955">
        <f t="shared" si="14"/>
        <v>2.4500000000000002</v>
      </c>
    </row>
    <row r="956" spans="1:11">
      <c r="A956">
        <v>2027</v>
      </c>
      <c r="B956">
        <v>10</v>
      </c>
      <c r="C956" t="s">
        <v>174</v>
      </c>
      <c r="D956" t="s">
        <v>160</v>
      </c>
      <c r="E956" t="s">
        <v>98</v>
      </c>
      <c r="F956">
        <v>8000</v>
      </c>
      <c r="G956">
        <v>15808.6911409975</v>
      </c>
      <c r="H956">
        <v>2</v>
      </c>
      <c r="I956">
        <f>'Nacional · supuestos'!$B$23</f>
        <v>1000</v>
      </c>
      <c r="J956">
        <f>F956*'Nacional · supuestos'!$B$4</f>
        <v>9440</v>
      </c>
      <c r="K956">
        <f t="shared" si="14"/>
        <v>8</v>
      </c>
    </row>
    <row r="957" spans="1:11">
      <c r="A957">
        <v>2027</v>
      </c>
      <c r="B957">
        <v>10</v>
      </c>
      <c r="C957" t="s">
        <v>174</v>
      </c>
      <c r="D957" t="s">
        <v>160</v>
      </c>
      <c r="E957" t="s">
        <v>104</v>
      </c>
      <c r="F957">
        <v>3620</v>
      </c>
      <c r="G957">
        <v>20489.667842201539</v>
      </c>
      <c r="H957">
        <v>5</v>
      </c>
      <c r="I957">
        <f>'Nacional · supuestos'!$B$21</f>
        <v>640</v>
      </c>
      <c r="J957">
        <f>F957*'Nacional · supuestos'!$B$4</f>
        <v>4271.5999999999995</v>
      </c>
      <c r="K957">
        <f t="shared" si="14"/>
        <v>5.65625</v>
      </c>
    </row>
    <row r="958" spans="1:11">
      <c r="A958">
        <v>2027</v>
      </c>
      <c r="B958">
        <v>10</v>
      </c>
      <c r="C958" t="s">
        <v>174</v>
      </c>
      <c r="D958" t="s">
        <v>160</v>
      </c>
      <c r="E958" t="s">
        <v>105</v>
      </c>
      <c r="F958">
        <v>2400</v>
      </c>
      <c r="G958">
        <v>5387.0071260894147</v>
      </c>
      <c r="H958">
        <v>2</v>
      </c>
      <c r="I958">
        <f>'Nacional · supuestos'!$B$22</f>
        <v>800</v>
      </c>
      <c r="J958">
        <f>F958*'Nacional · supuestos'!$B$4</f>
        <v>2832</v>
      </c>
      <c r="K958">
        <f t="shared" si="14"/>
        <v>3</v>
      </c>
    </row>
    <row r="959" spans="1:11">
      <c r="A959">
        <v>2027</v>
      </c>
      <c r="B959">
        <v>10</v>
      </c>
      <c r="C959" t="s">
        <v>174</v>
      </c>
      <c r="D959" t="s">
        <v>160</v>
      </c>
      <c r="E959" t="s">
        <v>101</v>
      </c>
      <c r="F959">
        <v>11980</v>
      </c>
      <c r="G959">
        <v>26098.072300295993</v>
      </c>
      <c r="H959">
        <v>3</v>
      </c>
      <c r="I959">
        <f>'Nacional · supuestos'!$B$26</f>
        <v>800</v>
      </c>
      <c r="J959">
        <f>F959</f>
        <v>11980</v>
      </c>
      <c r="K959">
        <f t="shared" si="14"/>
        <v>14.975</v>
      </c>
    </row>
    <row r="960" spans="1:11">
      <c r="A960">
        <v>2027</v>
      </c>
      <c r="B960">
        <v>10</v>
      </c>
      <c r="C960" t="s">
        <v>175</v>
      </c>
      <c r="D960" t="s">
        <v>160</v>
      </c>
      <c r="E960" t="s">
        <v>104</v>
      </c>
      <c r="F960">
        <v>8640</v>
      </c>
      <c r="G960">
        <v>27991.672895070584</v>
      </c>
      <c r="H960">
        <v>4</v>
      </c>
      <c r="I960">
        <f>'Nacional · supuestos'!$B$21</f>
        <v>640</v>
      </c>
      <c r="J960">
        <f>F960*'Nacional · supuestos'!$B$4</f>
        <v>10195.199999999999</v>
      </c>
      <c r="K960">
        <f t="shared" si="14"/>
        <v>13.5</v>
      </c>
    </row>
    <row r="961" spans="1:11">
      <c r="A961">
        <v>2027</v>
      </c>
      <c r="B961">
        <v>10</v>
      </c>
      <c r="C961" t="s">
        <v>175</v>
      </c>
      <c r="D961" t="s">
        <v>160</v>
      </c>
      <c r="E961" t="s">
        <v>99</v>
      </c>
      <c r="F961">
        <v>1655</v>
      </c>
      <c r="G961">
        <v>10488.592886862474</v>
      </c>
      <c r="H961">
        <v>3</v>
      </c>
      <c r="I961">
        <f>'Nacional · supuestos'!$B$20</f>
        <v>600</v>
      </c>
      <c r="J961">
        <f>F961*'Nacional · supuestos'!$B$4</f>
        <v>1952.8999999999999</v>
      </c>
      <c r="K961">
        <f t="shared" si="14"/>
        <v>2.7583333333333333</v>
      </c>
    </row>
    <row r="962" spans="1:11">
      <c r="A962">
        <v>2027</v>
      </c>
      <c r="B962">
        <v>10</v>
      </c>
      <c r="C962" t="s">
        <v>182</v>
      </c>
      <c r="D962" t="s">
        <v>160</v>
      </c>
      <c r="E962" t="s">
        <v>98</v>
      </c>
      <c r="F962">
        <v>9000</v>
      </c>
      <c r="G962">
        <v>14378.52004641838</v>
      </c>
      <c r="H962">
        <v>1</v>
      </c>
      <c r="I962">
        <f>'Nacional · supuestos'!$B$23</f>
        <v>1000</v>
      </c>
      <c r="J962">
        <f>F962*'Nacional · supuestos'!$B$4</f>
        <v>10620</v>
      </c>
      <c r="K962">
        <f t="shared" si="14"/>
        <v>9</v>
      </c>
    </row>
    <row r="963" spans="1:11">
      <c r="A963">
        <v>2027</v>
      </c>
      <c r="B963">
        <v>10</v>
      </c>
      <c r="C963" t="s">
        <v>182</v>
      </c>
      <c r="D963" t="s">
        <v>160</v>
      </c>
      <c r="E963" t="s">
        <v>104</v>
      </c>
      <c r="F963">
        <v>5520</v>
      </c>
      <c r="G963">
        <v>21826.071917319692</v>
      </c>
      <c r="H963">
        <v>4</v>
      </c>
      <c r="I963">
        <f>'Nacional · supuestos'!$B$21</f>
        <v>640</v>
      </c>
      <c r="J963">
        <f>F963*'Nacional · supuestos'!$B$4</f>
        <v>6513.5999999999995</v>
      </c>
      <c r="K963">
        <f t="shared" si="14"/>
        <v>8.625</v>
      </c>
    </row>
    <row r="964" spans="1:11">
      <c r="A964">
        <v>2027</v>
      </c>
      <c r="B964">
        <v>10</v>
      </c>
      <c r="C964" t="s">
        <v>182</v>
      </c>
      <c r="D964" t="s">
        <v>160</v>
      </c>
      <c r="E964" t="s">
        <v>101</v>
      </c>
      <c r="F964">
        <v>820</v>
      </c>
      <c r="G964">
        <v>2833.1429109397964</v>
      </c>
      <c r="H964">
        <v>1</v>
      </c>
      <c r="I964">
        <f>'Nacional · supuestos'!$B$26</f>
        <v>800</v>
      </c>
      <c r="J964">
        <f>F964</f>
        <v>820</v>
      </c>
      <c r="K964">
        <f t="shared" si="14"/>
        <v>1.0249999999999999</v>
      </c>
    </row>
    <row r="965" spans="1:11">
      <c r="A965">
        <v>2027</v>
      </c>
      <c r="B965">
        <v>10</v>
      </c>
      <c r="C965" t="s">
        <v>183</v>
      </c>
      <c r="D965" t="s">
        <v>164</v>
      </c>
      <c r="E965" t="s">
        <v>98</v>
      </c>
      <c r="F965">
        <v>10000</v>
      </c>
      <c r="G965">
        <v>24749.463933244442</v>
      </c>
      <c r="H965">
        <v>2</v>
      </c>
      <c r="I965">
        <f>'Nacional · supuestos'!$B$23</f>
        <v>1000</v>
      </c>
      <c r="J965">
        <f>F965*'Nacional · supuestos'!$B$4</f>
        <v>11800</v>
      </c>
      <c r="K965">
        <f t="shared" si="14"/>
        <v>10</v>
      </c>
    </row>
    <row r="966" spans="1:11">
      <c r="A966">
        <v>2027</v>
      </c>
      <c r="B966">
        <v>10</v>
      </c>
      <c r="C966" t="s">
        <v>183</v>
      </c>
      <c r="D966" t="s">
        <v>164</v>
      </c>
      <c r="E966" t="s">
        <v>104</v>
      </c>
      <c r="F966">
        <v>2820</v>
      </c>
      <c r="G966">
        <v>8399.7075393955565</v>
      </c>
      <c r="H966">
        <v>3</v>
      </c>
      <c r="I966">
        <f>'Nacional · supuestos'!$B$21</f>
        <v>640</v>
      </c>
      <c r="J966">
        <f>F966*'Nacional · supuestos'!$B$4</f>
        <v>3327.6</v>
      </c>
      <c r="K966">
        <f t="shared" si="14"/>
        <v>4.40625</v>
      </c>
    </row>
    <row r="967" spans="1:11">
      <c r="A967">
        <v>2027</v>
      </c>
      <c r="B967">
        <v>10</v>
      </c>
      <c r="C967" t="s">
        <v>183</v>
      </c>
      <c r="D967" t="s">
        <v>164</v>
      </c>
      <c r="E967" t="s">
        <v>105</v>
      </c>
      <c r="F967">
        <v>800</v>
      </c>
      <c r="G967">
        <v>2356.3688844327421</v>
      </c>
      <c r="H967">
        <v>1</v>
      </c>
      <c r="I967">
        <f>'Nacional · supuestos'!$B$22</f>
        <v>800</v>
      </c>
      <c r="J967">
        <f>F967*'Nacional · supuestos'!$B$4</f>
        <v>944</v>
      </c>
      <c r="K967">
        <f t="shared" ref="K967:K1030" si="15">F967/I967</f>
        <v>1</v>
      </c>
    </row>
    <row r="968" spans="1:11">
      <c r="A968">
        <v>2027</v>
      </c>
      <c r="B968">
        <v>10</v>
      </c>
      <c r="C968" t="s">
        <v>176</v>
      </c>
      <c r="D968" t="s">
        <v>160</v>
      </c>
      <c r="E968" t="s">
        <v>104</v>
      </c>
      <c r="F968">
        <v>3340</v>
      </c>
      <c r="G968">
        <v>10008.415886389426</v>
      </c>
      <c r="H968">
        <v>2</v>
      </c>
      <c r="I968">
        <f>'Nacional · supuestos'!$B$21</f>
        <v>640</v>
      </c>
      <c r="J968">
        <f>F968*'Nacional · supuestos'!$B$4</f>
        <v>3941.2</v>
      </c>
      <c r="K968">
        <f t="shared" si="15"/>
        <v>5.21875</v>
      </c>
    </row>
    <row r="969" spans="1:11">
      <c r="A969">
        <v>2027</v>
      </c>
      <c r="B969">
        <v>10</v>
      </c>
      <c r="C969" t="s">
        <v>178</v>
      </c>
      <c r="D969" t="s">
        <v>160</v>
      </c>
      <c r="E969" t="s">
        <v>104</v>
      </c>
      <c r="F969">
        <v>3920</v>
      </c>
      <c r="G969">
        <v>13775.311706684666</v>
      </c>
      <c r="H969">
        <v>3</v>
      </c>
      <c r="I969">
        <f>'Nacional · supuestos'!$B$21</f>
        <v>640</v>
      </c>
      <c r="J969">
        <f>F969*'Nacional · supuestos'!$B$4</f>
        <v>4625.5999999999995</v>
      </c>
      <c r="K969">
        <f t="shared" si="15"/>
        <v>6.125</v>
      </c>
    </row>
    <row r="970" spans="1:11">
      <c r="A970">
        <v>2027</v>
      </c>
      <c r="B970">
        <v>10</v>
      </c>
      <c r="C970" t="s">
        <v>178</v>
      </c>
      <c r="D970" t="s">
        <v>160</v>
      </c>
      <c r="E970" t="s">
        <v>99</v>
      </c>
      <c r="F970">
        <v>810</v>
      </c>
      <c r="G970">
        <v>6716.7134288909147</v>
      </c>
      <c r="H970">
        <v>4</v>
      </c>
      <c r="I970">
        <f>'Nacional · supuestos'!$B$20</f>
        <v>600</v>
      </c>
      <c r="J970">
        <f>F970*'Nacional · supuestos'!$B$4</f>
        <v>955.8</v>
      </c>
      <c r="K970">
        <f t="shared" si="15"/>
        <v>1.35</v>
      </c>
    </row>
    <row r="971" spans="1:11">
      <c r="A971">
        <v>2027</v>
      </c>
      <c r="B971">
        <v>10</v>
      </c>
      <c r="C971" t="s">
        <v>178</v>
      </c>
      <c r="D971" t="s">
        <v>160</v>
      </c>
      <c r="E971" t="s">
        <v>100</v>
      </c>
      <c r="F971">
        <v>124</v>
      </c>
      <c r="G971">
        <v>1258.9418975630322</v>
      </c>
      <c r="H971">
        <v>1</v>
      </c>
      <c r="I971">
        <f>'Nacional · supuestos'!$B$24</f>
        <v>1056</v>
      </c>
      <c r="J971">
        <f>F971</f>
        <v>124</v>
      </c>
      <c r="K971">
        <f t="shared" si="15"/>
        <v>0.11742424242424243</v>
      </c>
    </row>
    <row r="972" spans="1:11">
      <c r="A972">
        <v>2027</v>
      </c>
      <c r="B972">
        <v>10</v>
      </c>
      <c r="C972" t="s">
        <v>179</v>
      </c>
      <c r="D972" t="s">
        <v>160</v>
      </c>
      <c r="E972" t="s">
        <v>104</v>
      </c>
      <c r="F972">
        <v>2300</v>
      </c>
      <c r="G972">
        <v>8271.2657789317927</v>
      </c>
      <c r="H972">
        <v>1</v>
      </c>
      <c r="I972">
        <f>'Nacional · supuestos'!$B$21</f>
        <v>640</v>
      </c>
      <c r="J972">
        <f>F972*'Nacional · supuestos'!$B$4</f>
        <v>2714</v>
      </c>
      <c r="K972">
        <f t="shared" si="15"/>
        <v>3.59375</v>
      </c>
    </row>
    <row r="973" spans="1:11">
      <c r="A973">
        <v>2027</v>
      </c>
      <c r="B973">
        <v>10</v>
      </c>
      <c r="C973" t="s">
        <v>179</v>
      </c>
      <c r="D973" t="s">
        <v>160</v>
      </c>
      <c r="E973" t="s">
        <v>99</v>
      </c>
      <c r="F973">
        <v>105</v>
      </c>
      <c r="G973">
        <v>1655.9730787271574</v>
      </c>
      <c r="H973">
        <v>1</v>
      </c>
      <c r="I973">
        <f>'Nacional · supuestos'!$B$20</f>
        <v>600</v>
      </c>
      <c r="J973">
        <f>F973*'Nacional · supuestos'!$B$4</f>
        <v>123.89999999999999</v>
      </c>
      <c r="K973">
        <f t="shared" si="15"/>
        <v>0.17499999999999999</v>
      </c>
    </row>
    <row r="974" spans="1:11">
      <c r="A974">
        <v>2027</v>
      </c>
      <c r="B974">
        <v>10</v>
      </c>
      <c r="C974" t="s">
        <v>179</v>
      </c>
      <c r="D974" t="s">
        <v>160</v>
      </c>
      <c r="E974" t="s">
        <v>102</v>
      </c>
      <c r="F974">
        <v>90</v>
      </c>
      <c r="G974">
        <v>407.27775238112542</v>
      </c>
      <c r="H974">
        <v>1</v>
      </c>
      <c r="I974">
        <f>'Nacional · supuestos'!$B$25</f>
        <v>750</v>
      </c>
      <c r="J974">
        <f>F974</f>
        <v>90</v>
      </c>
      <c r="K974">
        <f t="shared" si="15"/>
        <v>0.12</v>
      </c>
    </row>
    <row r="975" spans="1:11">
      <c r="A975">
        <v>2027</v>
      </c>
      <c r="B975">
        <v>10</v>
      </c>
      <c r="C975" t="s">
        <v>184</v>
      </c>
      <c r="D975" t="s">
        <v>160</v>
      </c>
      <c r="E975" t="s">
        <v>105</v>
      </c>
      <c r="F975">
        <v>1000</v>
      </c>
      <c r="G975">
        <v>3491.9647585912421</v>
      </c>
      <c r="H975">
        <v>1</v>
      </c>
      <c r="I975">
        <f>'Nacional · supuestos'!$B$22</f>
        <v>800</v>
      </c>
      <c r="J975">
        <f>F975*'Nacional · supuestos'!$B$4</f>
        <v>1180</v>
      </c>
      <c r="K975">
        <f t="shared" si="15"/>
        <v>1.25</v>
      </c>
    </row>
    <row r="976" spans="1:11">
      <c r="A976">
        <v>2027</v>
      </c>
      <c r="B976">
        <v>10</v>
      </c>
      <c r="C976" t="s">
        <v>180</v>
      </c>
      <c r="D976" t="s">
        <v>160</v>
      </c>
      <c r="E976" t="s">
        <v>104</v>
      </c>
      <c r="F976">
        <v>1380</v>
      </c>
      <c r="G976">
        <v>4001.4421102880751</v>
      </c>
      <c r="H976">
        <v>2</v>
      </c>
      <c r="I976">
        <f>'Nacional · supuestos'!$B$21</f>
        <v>640</v>
      </c>
      <c r="J976">
        <f>F976*'Nacional · supuestos'!$B$4</f>
        <v>1628.3999999999999</v>
      </c>
      <c r="K976">
        <f t="shared" si="15"/>
        <v>2.15625</v>
      </c>
    </row>
    <row r="977" spans="1:11">
      <c r="A977">
        <v>2027</v>
      </c>
      <c r="B977">
        <v>10</v>
      </c>
      <c r="C977" t="s">
        <v>180</v>
      </c>
      <c r="D977" t="s">
        <v>160</v>
      </c>
      <c r="E977" t="s">
        <v>99</v>
      </c>
      <c r="F977">
        <v>780</v>
      </c>
      <c r="G977">
        <v>2579.2624592658794</v>
      </c>
      <c r="H977">
        <v>4</v>
      </c>
      <c r="I977">
        <f>'Nacional · supuestos'!$B$20</f>
        <v>600</v>
      </c>
      <c r="J977">
        <f>F977*'Nacional · supuestos'!$B$4</f>
        <v>920.4</v>
      </c>
      <c r="K977">
        <f t="shared" si="15"/>
        <v>1.3</v>
      </c>
    </row>
    <row r="978" spans="1:11">
      <c r="A978">
        <v>2027</v>
      </c>
      <c r="B978">
        <v>10</v>
      </c>
      <c r="C978" t="s">
        <v>180</v>
      </c>
      <c r="D978" t="s">
        <v>160</v>
      </c>
      <c r="E978" t="s">
        <v>102</v>
      </c>
      <c r="F978">
        <v>230</v>
      </c>
      <c r="G978">
        <v>1106.6713865376564</v>
      </c>
      <c r="H978">
        <v>1</v>
      </c>
      <c r="I978">
        <f>'Nacional · supuestos'!$B$25</f>
        <v>750</v>
      </c>
      <c r="J978">
        <f>F978</f>
        <v>230</v>
      </c>
      <c r="K978">
        <f t="shared" si="15"/>
        <v>0.30666666666666664</v>
      </c>
    </row>
    <row r="979" spans="1:11">
      <c r="A979">
        <v>2027</v>
      </c>
      <c r="B979">
        <v>10</v>
      </c>
      <c r="C979" t="s">
        <v>180</v>
      </c>
      <c r="D979" t="s">
        <v>160</v>
      </c>
      <c r="E979" t="s">
        <v>177</v>
      </c>
      <c r="F979">
        <v>360</v>
      </c>
      <c r="G979">
        <v>1043.1509167624083</v>
      </c>
      <c r="H979">
        <v>1</v>
      </c>
      <c r="I979">
        <f>'Nacional · supuestos'!$B$28</f>
        <v>1100</v>
      </c>
      <c r="J979">
        <f>F979</f>
        <v>360</v>
      </c>
      <c r="K979">
        <f t="shared" si="15"/>
        <v>0.32727272727272727</v>
      </c>
    </row>
    <row r="980" spans="1:11">
      <c r="A980">
        <v>2027</v>
      </c>
      <c r="B980">
        <v>10</v>
      </c>
      <c r="C980" t="s">
        <v>185</v>
      </c>
      <c r="D980" t="s">
        <v>160</v>
      </c>
      <c r="E980" t="s">
        <v>104</v>
      </c>
      <c r="F980">
        <v>3020</v>
      </c>
      <c r="G980">
        <v>10419.814364128288</v>
      </c>
      <c r="H980">
        <v>1</v>
      </c>
      <c r="I980">
        <f>'Nacional · supuestos'!$B$21</f>
        <v>640</v>
      </c>
      <c r="J980">
        <f>F980*'Nacional · supuestos'!$B$4</f>
        <v>3563.6</v>
      </c>
      <c r="K980">
        <f t="shared" si="15"/>
        <v>4.71875</v>
      </c>
    </row>
    <row r="981" spans="1:11">
      <c r="A981">
        <v>2027</v>
      </c>
      <c r="B981">
        <v>10</v>
      </c>
      <c r="C981" t="s">
        <v>181</v>
      </c>
      <c r="D981" t="s">
        <v>160</v>
      </c>
      <c r="E981" t="s">
        <v>101</v>
      </c>
      <c r="F981">
        <v>1180</v>
      </c>
      <c r="G981">
        <v>2275.5101695536364</v>
      </c>
      <c r="H981">
        <v>1</v>
      </c>
      <c r="I981">
        <f>'Nacional · supuestos'!$B$26</f>
        <v>800</v>
      </c>
      <c r="J981">
        <f>F981</f>
        <v>1180</v>
      </c>
      <c r="K981">
        <f t="shared" si="15"/>
        <v>1.4750000000000001</v>
      </c>
    </row>
    <row r="982" spans="1:11">
      <c r="A982">
        <v>2027</v>
      </c>
      <c r="B982">
        <v>10</v>
      </c>
      <c r="C982" t="s">
        <v>186</v>
      </c>
      <c r="D982" t="s">
        <v>160</v>
      </c>
      <c r="E982" t="s">
        <v>104</v>
      </c>
      <c r="F982">
        <v>1020</v>
      </c>
      <c r="G982">
        <v>2898.2265118767427</v>
      </c>
      <c r="H982">
        <v>2</v>
      </c>
      <c r="I982">
        <f>'Nacional · supuestos'!$B$21</f>
        <v>640</v>
      </c>
      <c r="J982">
        <f>F982*'Nacional · supuestos'!$B$4</f>
        <v>1203.5999999999999</v>
      </c>
      <c r="K982">
        <f t="shared" si="15"/>
        <v>1.59375</v>
      </c>
    </row>
    <row r="983" spans="1:11">
      <c r="A983">
        <v>2027</v>
      </c>
      <c r="B983">
        <v>11</v>
      </c>
      <c r="C983" t="s">
        <v>162</v>
      </c>
      <c r="D983" t="s">
        <v>160</v>
      </c>
      <c r="E983" t="s">
        <v>98</v>
      </c>
      <c r="F983">
        <v>7000</v>
      </c>
      <c r="G983">
        <v>12985.374034490143</v>
      </c>
      <c r="H983">
        <v>2</v>
      </c>
      <c r="I983">
        <f>'Nacional · supuestos'!$B$23</f>
        <v>1000</v>
      </c>
      <c r="J983">
        <f>F983*'Nacional · supuestos'!$B$4</f>
        <v>8260</v>
      </c>
      <c r="K983">
        <f t="shared" si="15"/>
        <v>7</v>
      </c>
    </row>
    <row r="984" spans="1:11">
      <c r="A984">
        <v>2027</v>
      </c>
      <c r="B984">
        <v>11</v>
      </c>
      <c r="C984" t="s">
        <v>162</v>
      </c>
      <c r="D984" t="s">
        <v>160</v>
      </c>
      <c r="E984" t="s">
        <v>104</v>
      </c>
      <c r="F984">
        <v>2680</v>
      </c>
      <c r="G984">
        <v>8073.4225218629508</v>
      </c>
      <c r="H984">
        <v>2</v>
      </c>
      <c r="I984">
        <f>'Nacional · supuestos'!$B$21</f>
        <v>640</v>
      </c>
      <c r="J984">
        <f>F984*'Nacional · supuestos'!$B$4</f>
        <v>3162.3999999999996</v>
      </c>
      <c r="K984">
        <f t="shared" si="15"/>
        <v>4.1875</v>
      </c>
    </row>
    <row r="985" spans="1:11">
      <c r="A985">
        <v>2027</v>
      </c>
      <c r="B985">
        <v>11</v>
      </c>
      <c r="C985" t="s">
        <v>162</v>
      </c>
      <c r="D985" t="s">
        <v>160</v>
      </c>
      <c r="E985" t="s">
        <v>101</v>
      </c>
      <c r="F985">
        <v>620</v>
      </c>
      <c r="G985">
        <v>988.79933432825408</v>
      </c>
      <c r="H985">
        <v>1</v>
      </c>
      <c r="I985">
        <f>'Nacional · supuestos'!$B$26</f>
        <v>800</v>
      </c>
      <c r="J985">
        <f>F985</f>
        <v>620</v>
      </c>
      <c r="K985">
        <f t="shared" si="15"/>
        <v>0.77500000000000002</v>
      </c>
    </row>
    <row r="986" spans="1:11">
      <c r="A986">
        <v>2027</v>
      </c>
      <c r="B986">
        <v>11</v>
      </c>
      <c r="C986" t="s">
        <v>163</v>
      </c>
      <c r="D986" t="s">
        <v>164</v>
      </c>
      <c r="E986" t="s">
        <v>98</v>
      </c>
      <c r="F986">
        <v>2000</v>
      </c>
      <c r="G986">
        <v>4023.5773039290139</v>
      </c>
      <c r="H986">
        <v>1</v>
      </c>
      <c r="I986">
        <f>'Nacional · supuestos'!$B$23</f>
        <v>1000</v>
      </c>
      <c r="J986">
        <f>F986*'Nacional · supuestos'!$B$4</f>
        <v>2360</v>
      </c>
      <c r="K986">
        <f t="shared" si="15"/>
        <v>2</v>
      </c>
    </row>
    <row r="987" spans="1:11">
      <c r="A987">
        <v>2027</v>
      </c>
      <c r="B987">
        <v>11</v>
      </c>
      <c r="C987" t="s">
        <v>163</v>
      </c>
      <c r="D987" t="s">
        <v>164</v>
      </c>
      <c r="E987" t="s">
        <v>104</v>
      </c>
      <c r="F987">
        <v>5680</v>
      </c>
      <c r="G987">
        <v>15160.064323283448</v>
      </c>
      <c r="H987">
        <v>7</v>
      </c>
      <c r="I987">
        <f>'Nacional · supuestos'!$B$21</f>
        <v>640</v>
      </c>
      <c r="J987">
        <f>F987*'Nacional · supuestos'!$B$4</f>
        <v>6702.4</v>
      </c>
      <c r="K987">
        <f t="shared" si="15"/>
        <v>8.875</v>
      </c>
    </row>
    <row r="988" spans="1:11">
      <c r="A988">
        <v>2027</v>
      </c>
      <c r="B988">
        <v>11</v>
      </c>
      <c r="C988" t="s">
        <v>163</v>
      </c>
      <c r="D988" t="s">
        <v>164</v>
      </c>
      <c r="E988" t="s">
        <v>105</v>
      </c>
      <c r="F988">
        <v>3800</v>
      </c>
      <c r="G988">
        <v>9507.5487051724122</v>
      </c>
      <c r="H988">
        <v>4</v>
      </c>
      <c r="I988">
        <f>'Nacional · supuestos'!$B$22</f>
        <v>800</v>
      </c>
      <c r="J988">
        <f>F988*'Nacional · supuestos'!$B$4</f>
        <v>4484</v>
      </c>
      <c r="K988">
        <f t="shared" si="15"/>
        <v>4.75</v>
      </c>
    </row>
    <row r="989" spans="1:11">
      <c r="A989">
        <v>2027</v>
      </c>
      <c r="B989">
        <v>11</v>
      </c>
      <c r="C989" t="s">
        <v>163</v>
      </c>
      <c r="D989" t="s">
        <v>164</v>
      </c>
      <c r="E989" t="s">
        <v>99</v>
      </c>
      <c r="F989">
        <v>310</v>
      </c>
      <c r="G989">
        <v>1168.7328079660922</v>
      </c>
      <c r="H989">
        <v>1</v>
      </c>
      <c r="I989">
        <f>'Nacional · supuestos'!$B$20</f>
        <v>600</v>
      </c>
      <c r="J989">
        <f>F989*'Nacional · supuestos'!$B$4</f>
        <v>365.79999999999995</v>
      </c>
      <c r="K989">
        <f t="shared" si="15"/>
        <v>0.51666666666666672</v>
      </c>
    </row>
    <row r="990" spans="1:11">
      <c r="A990">
        <v>2027</v>
      </c>
      <c r="B990">
        <v>11</v>
      </c>
      <c r="C990" t="s">
        <v>163</v>
      </c>
      <c r="D990" t="s">
        <v>164</v>
      </c>
      <c r="E990" t="s">
        <v>101</v>
      </c>
      <c r="F990">
        <v>1340</v>
      </c>
      <c r="G990">
        <v>2550.2058378826009</v>
      </c>
      <c r="H990">
        <v>2</v>
      </c>
      <c r="I990">
        <f>'Nacional · supuestos'!$B$26</f>
        <v>800</v>
      </c>
      <c r="J990">
        <f>F990</f>
        <v>1340</v>
      </c>
      <c r="K990">
        <f t="shared" si="15"/>
        <v>1.675</v>
      </c>
    </row>
    <row r="991" spans="1:11">
      <c r="A991">
        <v>2027</v>
      </c>
      <c r="B991">
        <v>11</v>
      </c>
      <c r="C991" t="s">
        <v>166</v>
      </c>
      <c r="D991" t="s">
        <v>160</v>
      </c>
      <c r="E991" t="s">
        <v>98</v>
      </c>
      <c r="F991">
        <v>2000</v>
      </c>
      <c r="G991">
        <v>4000.6449980516977</v>
      </c>
      <c r="H991">
        <v>1</v>
      </c>
      <c r="I991">
        <f>'Nacional · supuestos'!$B$23</f>
        <v>1000</v>
      </c>
      <c r="J991">
        <f>F991*'Nacional · supuestos'!$B$4</f>
        <v>2360</v>
      </c>
      <c r="K991">
        <f t="shared" si="15"/>
        <v>2</v>
      </c>
    </row>
    <row r="992" spans="1:11">
      <c r="A992">
        <v>2027</v>
      </c>
      <c r="B992">
        <v>11</v>
      </c>
      <c r="C992" t="s">
        <v>166</v>
      </c>
      <c r="D992" t="s">
        <v>160</v>
      </c>
      <c r="E992" t="s">
        <v>104</v>
      </c>
      <c r="F992">
        <v>1620</v>
      </c>
      <c r="G992">
        <v>4926.9016799872734</v>
      </c>
      <c r="H992">
        <v>3</v>
      </c>
      <c r="I992">
        <f>'Nacional · supuestos'!$B$21</f>
        <v>640</v>
      </c>
      <c r="J992">
        <f>F992*'Nacional · supuestos'!$B$4</f>
        <v>1911.6</v>
      </c>
      <c r="K992">
        <f t="shared" si="15"/>
        <v>2.53125</v>
      </c>
    </row>
    <row r="993" spans="1:11">
      <c r="A993">
        <v>2027</v>
      </c>
      <c r="B993">
        <v>11</v>
      </c>
      <c r="C993" t="s">
        <v>166</v>
      </c>
      <c r="D993" t="s">
        <v>160</v>
      </c>
      <c r="E993" t="s">
        <v>101</v>
      </c>
      <c r="F993">
        <v>3440</v>
      </c>
      <c r="G993">
        <v>5844.8193416038221</v>
      </c>
      <c r="H993">
        <v>1</v>
      </c>
      <c r="I993">
        <f>'Nacional · supuestos'!$B$26</f>
        <v>800</v>
      </c>
      <c r="J993">
        <f>F993</f>
        <v>3440</v>
      </c>
      <c r="K993">
        <f t="shared" si="15"/>
        <v>4.3</v>
      </c>
    </row>
    <row r="994" spans="1:11">
      <c r="A994">
        <v>2027</v>
      </c>
      <c r="B994">
        <v>11</v>
      </c>
      <c r="C994" t="s">
        <v>167</v>
      </c>
      <c r="D994" t="s">
        <v>160</v>
      </c>
      <c r="E994" t="s">
        <v>104</v>
      </c>
      <c r="F994">
        <v>200</v>
      </c>
      <c r="G994">
        <v>793.99386323277201</v>
      </c>
      <c r="H994">
        <v>1</v>
      </c>
      <c r="I994">
        <f>'Nacional · supuestos'!$B$21</f>
        <v>640</v>
      </c>
      <c r="J994">
        <f>F994*'Nacional · supuestos'!$B$4</f>
        <v>236</v>
      </c>
      <c r="K994">
        <f t="shared" si="15"/>
        <v>0.3125</v>
      </c>
    </row>
    <row r="995" spans="1:11">
      <c r="A995">
        <v>2027</v>
      </c>
      <c r="B995">
        <v>11</v>
      </c>
      <c r="C995" t="s">
        <v>168</v>
      </c>
      <c r="D995" t="s">
        <v>160</v>
      </c>
      <c r="E995" t="s">
        <v>104</v>
      </c>
      <c r="F995">
        <v>480</v>
      </c>
      <c r="G995">
        <v>1184.0296983638016</v>
      </c>
      <c r="H995">
        <v>1</v>
      </c>
      <c r="I995">
        <f>'Nacional · supuestos'!$B$21</f>
        <v>640</v>
      </c>
      <c r="J995">
        <f>F995*'Nacional · supuestos'!$B$4</f>
        <v>566.4</v>
      </c>
      <c r="K995">
        <f t="shared" si="15"/>
        <v>0.75</v>
      </c>
    </row>
    <row r="996" spans="1:11">
      <c r="A996">
        <v>2027</v>
      </c>
      <c r="B996">
        <v>11</v>
      </c>
      <c r="C996" t="s">
        <v>170</v>
      </c>
      <c r="D996" t="s">
        <v>160</v>
      </c>
      <c r="E996" t="s">
        <v>104</v>
      </c>
      <c r="F996">
        <v>3980</v>
      </c>
      <c r="G996">
        <v>13434.370209455417</v>
      </c>
      <c r="H996">
        <v>3</v>
      </c>
      <c r="I996">
        <f>'Nacional · supuestos'!$B$21</f>
        <v>640</v>
      </c>
      <c r="J996">
        <f>F996*'Nacional · supuestos'!$B$4</f>
        <v>4696.3999999999996</v>
      </c>
      <c r="K996">
        <f t="shared" si="15"/>
        <v>6.21875</v>
      </c>
    </row>
    <row r="997" spans="1:11">
      <c r="A997">
        <v>2027</v>
      </c>
      <c r="B997">
        <v>11</v>
      </c>
      <c r="C997" t="s">
        <v>171</v>
      </c>
      <c r="D997" t="s">
        <v>164</v>
      </c>
      <c r="E997" t="s">
        <v>104</v>
      </c>
      <c r="F997">
        <v>4200</v>
      </c>
      <c r="G997">
        <v>11073.374657856388</v>
      </c>
      <c r="H997">
        <v>2</v>
      </c>
      <c r="I997">
        <f>'Nacional · supuestos'!$B$21</f>
        <v>640</v>
      </c>
      <c r="J997">
        <f>F997*'Nacional · supuestos'!$B$4</f>
        <v>4956</v>
      </c>
      <c r="K997">
        <f t="shared" si="15"/>
        <v>6.5625</v>
      </c>
    </row>
    <row r="998" spans="1:11">
      <c r="A998">
        <v>2027</v>
      </c>
      <c r="B998">
        <v>11</v>
      </c>
      <c r="C998" t="s">
        <v>171</v>
      </c>
      <c r="D998" t="s">
        <v>164</v>
      </c>
      <c r="E998" t="s">
        <v>99</v>
      </c>
      <c r="F998">
        <v>3315</v>
      </c>
      <c r="G998">
        <v>9231.3803724733771</v>
      </c>
      <c r="H998">
        <v>2</v>
      </c>
      <c r="I998">
        <f>'Nacional · supuestos'!$B$20</f>
        <v>600</v>
      </c>
      <c r="J998">
        <f>F998*'Nacional · supuestos'!$B$4</f>
        <v>3911.7</v>
      </c>
      <c r="K998">
        <f t="shared" si="15"/>
        <v>5.5250000000000004</v>
      </c>
    </row>
    <row r="999" spans="1:11">
      <c r="A999">
        <v>2027</v>
      </c>
      <c r="B999">
        <v>11</v>
      </c>
      <c r="C999" t="s">
        <v>171</v>
      </c>
      <c r="D999" t="s">
        <v>164</v>
      </c>
      <c r="E999" t="s">
        <v>101</v>
      </c>
      <c r="F999">
        <v>2780</v>
      </c>
      <c r="G999">
        <v>7766.0702827428968</v>
      </c>
      <c r="H999">
        <v>3</v>
      </c>
      <c r="I999">
        <f>'Nacional · supuestos'!$B$26</f>
        <v>800</v>
      </c>
      <c r="J999">
        <f>F999</f>
        <v>2780</v>
      </c>
      <c r="K999">
        <f t="shared" si="15"/>
        <v>3.4750000000000001</v>
      </c>
    </row>
    <row r="1000" spans="1:11">
      <c r="A1000">
        <v>2027</v>
      </c>
      <c r="B1000">
        <v>11</v>
      </c>
      <c r="C1000" t="s">
        <v>171</v>
      </c>
      <c r="D1000" t="s">
        <v>164</v>
      </c>
      <c r="E1000" t="s">
        <v>102</v>
      </c>
      <c r="F1000">
        <v>8570</v>
      </c>
      <c r="G1000">
        <v>19774.651193244335</v>
      </c>
      <c r="H1000">
        <v>3</v>
      </c>
      <c r="I1000">
        <f>'Nacional · supuestos'!$B$25</f>
        <v>750</v>
      </c>
      <c r="J1000">
        <f>F1000</f>
        <v>8570</v>
      </c>
      <c r="K1000">
        <f t="shared" si="15"/>
        <v>11.426666666666666</v>
      </c>
    </row>
    <row r="1001" spans="1:11">
      <c r="A1001">
        <v>2027</v>
      </c>
      <c r="B1001">
        <v>11</v>
      </c>
      <c r="C1001" t="s">
        <v>172</v>
      </c>
      <c r="D1001" t="s">
        <v>160</v>
      </c>
      <c r="E1001" t="s">
        <v>104</v>
      </c>
      <c r="F1001">
        <v>8340</v>
      </c>
      <c r="G1001">
        <v>26730.390057132969</v>
      </c>
      <c r="H1001">
        <v>5</v>
      </c>
      <c r="I1001">
        <f>'Nacional · supuestos'!$B$21</f>
        <v>640</v>
      </c>
      <c r="J1001">
        <f>F1001*'Nacional · supuestos'!$B$4</f>
        <v>9841.1999999999989</v>
      </c>
      <c r="K1001">
        <f t="shared" si="15"/>
        <v>13.03125</v>
      </c>
    </row>
    <row r="1002" spans="1:11">
      <c r="A1002">
        <v>2027</v>
      </c>
      <c r="B1002">
        <v>11</v>
      </c>
      <c r="C1002" t="s">
        <v>172</v>
      </c>
      <c r="D1002" t="s">
        <v>160</v>
      </c>
      <c r="E1002" t="s">
        <v>99</v>
      </c>
      <c r="F1002">
        <v>1615</v>
      </c>
      <c r="G1002">
        <v>9046.5901449423091</v>
      </c>
      <c r="H1002">
        <v>6</v>
      </c>
      <c r="I1002">
        <f>'Nacional · supuestos'!$B$20</f>
        <v>600</v>
      </c>
      <c r="J1002">
        <f>F1002*'Nacional · supuestos'!$B$4</f>
        <v>1905.6999999999998</v>
      </c>
      <c r="K1002">
        <f t="shared" si="15"/>
        <v>2.6916666666666669</v>
      </c>
    </row>
    <row r="1003" spans="1:11">
      <c r="A1003">
        <v>2027</v>
      </c>
      <c r="B1003">
        <v>11</v>
      </c>
      <c r="C1003" t="s">
        <v>172</v>
      </c>
      <c r="D1003" t="s">
        <v>160</v>
      </c>
      <c r="E1003" t="s">
        <v>100</v>
      </c>
      <c r="F1003">
        <v>124</v>
      </c>
      <c r="G1003">
        <v>1217.7957814722488</v>
      </c>
      <c r="H1003">
        <v>1</v>
      </c>
      <c r="I1003">
        <f>'Nacional · supuestos'!$B$24</f>
        <v>1056</v>
      </c>
      <c r="J1003">
        <f>F1003</f>
        <v>124</v>
      </c>
      <c r="K1003">
        <f t="shared" si="15"/>
        <v>0.11742424242424243</v>
      </c>
    </row>
    <row r="1004" spans="1:11">
      <c r="A1004">
        <v>2027</v>
      </c>
      <c r="B1004">
        <v>11</v>
      </c>
      <c r="C1004" t="s">
        <v>172</v>
      </c>
      <c r="D1004" t="s">
        <v>160</v>
      </c>
      <c r="E1004" t="s">
        <v>102</v>
      </c>
      <c r="F1004">
        <v>515</v>
      </c>
      <c r="G1004">
        <v>2126.7379734028996</v>
      </c>
      <c r="H1004">
        <v>1</v>
      </c>
      <c r="I1004">
        <f>'Nacional · supuestos'!$B$25</f>
        <v>750</v>
      </c>
      <c r="J1004">
        <f>F1004</f>
        <v>515</v>
      </c>
      <c r="K1004">
        <f t="shared" si="15"/>
        <v>0.68666666666666665</v>
      </c>
    </row>
    <row r="1005" spans="1:11">
      <c r="A1005">
        <v>2027</v>
      </c>
      <c r="B1005">
        <v>11</v>
      </c>
      <c r="C1005" t="s">
        <v>172</v>
      </c>
      <c r="D1005" t="s">
        <v>160</v>
      </c>
      <c r="E1005" t="s">
        <v>177</v>
      </c>
      <c r="F1005">
        <v>360</v>
      </c>
      <c r="G1005">
        <v>863.08860301896959</v>
      </c>
      <c r="H1005">
        <v>1</v>
      </c>
      <c r="I1005">
        <f>'Nacional · supuestos'!$B$28</f>
        <v>1100</v>
      </c>
      <c r="J1005">
        <f>F1005</f>
        <v>360</v>
      </c>
      <c r="K1005">
        <f t="shared" si="15"/>
        <v>0.32727272727272727</v>
      </c>
    </row>
    <row r="1006" spans="1:11">
      <c r="A1006">
        <v>2027</v>
      </c>
      <c r="B1006">
        <v>11</v>
      </c>
      <c r="C1006" t="s">
        <v>173</v>
      </c>
      <c r="D1006" t="s">
        <v>160</v>
      </c>
      <c r="E1006" t="s">
        <v>98</v>
      </c>
      <c r="F1006">
        <v>2000</v>
      </c>
      <c r="G1006">
        <v>5107.6499454021159</v>
      </c>
      <c r="H1006">
        <v>1</v>
      </c>
      <c r="I1006">
        <f>'Nacional · supuestos'!$B$23</f>
        <v>1000</v>
      </c>
      <c r="J1006">
        <f>F1006*'Nacional · supuestos'!$B$4</f>
        <v>2360</v>
      </c>
      <c r="K1006">
        <f t="shared" si="15"/>
        <v>2</v>
      </c>
    </row>
    <row r="1007" spans="1:11">
      <c r="A1007">
        <v>2027</v>
      </c>
      <c r="B1007">
        <v>11</v>
      </c>
      <c r="C1007" t="s">
        <v>173</v>
      </c>
      <c r="D1007" t="s">
        <v>160</v>
      </c>
      <c r="E1007" t="s">
        <v>101</v>
      </c>
      <c r="F1007">
        <v>2300</v>
      </c>
      <c r="G1007">
        <v>3627.3548018340971</v>
      </c>
      <c r="H1007">
        <v>1</v>
      </c>
      <c r="I1007">
        <f>'Nacional · supuestos'!$B$26</f>
        <v>800</v>
      </c>
      <c r="J1007">
        <f>F1007</f>
        <v>2300</v>
      </c>
      <c r="K1007">
        <f t="shared" si="15"/>
        <v>2.875</v>
      </c>
    </row>
    <row r="1008" spans="1:11">
      <c r="A1008">
        <v>2027</v>
      </c>
      <c r="B1008">
        <v>11</v>
      </c>
      <c r="C1008" t="s">
        <v>174</v>
      </c>
      <c r="D1008" t="s">
        <v>160</v>
      </c>
      <c r="E1008" t="s">
        <v>98</v>
      </c>
      <c r="F1008">
        <v>5000</v>
      </c>
      <c r="G1008">
        <v>9100.7845221331027</v>
      </c>
      <c r="H1008">
        <v>2</v>
      </c>
      <c r="I1008">
        <f>'Nacional · supuestos'!$B$23</f>
        <v>1000</v>
      </c>
      <c r="J1008">
        <f>F1008*'Nacional · supuestos'!$B$4</f>
        <v>5900</v>
      </c>
      <c r="K1008">
        <f t="shared" si="15"/>
        <v>5</v>
      </c>
    </row>
    <row r="1009" spans="1:11">
      <c r="A1009">
        <v>2027</v>
      </c>
      <c r="B1009">
        <v>11</v>
      </c>
      <c r="C1009" t="s">
        <v>174</v>
      </c>
      <c r="D1009" t="s">
        <v>160</v>
      </c>
      <c r="E1009" t="s">
        <v>104</v>
      </c>
      <c r="F1009">
        <v>2400</v>
      </c>
      <c r="G1009">
        <v>6979.2040723350383</v>
      </c>
      <c r="H1009">
        <v>5</v>
      </c>
      <c r="I1009">
        <f>'Nacional · supuestos'!$B$21</f>
        <v>640</v>
      </c>
      <c r="J1009">
        <f>F1009*'Nacional · supuestos'!$B$4</f>
        <v>2832</v>
      </c>
      <c r="K1009">
        <f t="shared" si="15"/>
        <v>3.75</v>
      </c>
    </row>
    <row r="1010" spans="1:11">
      <c r="A1010">
        <v>2027</v>
      </c>
      <c r="B1010">
        <v>11</v>
      </c>
      <c r="C1010" t="s">
        <v>174</v>
      </c>
      <c r="D1010" t="s">
        <v>160</v>
      </c>
      <c r="E1010" t="s">
        <v>105</v>
      </c>
      <c r="F1010">
        <v>1600</v>
      </c>
      <c r="G1010">
        <v>3152.1496805910192</v>
      </c>
      <c r="H1010">
        <v>1</v>
      </c>
      <c r="I1010">
        <f>'Nacional · supuestos'!$B$22</f>
        <v>800</v>
      </c>
      <c r="J1010">
        <f>F1010*'Nacional · supuestos'!$B$4</f>
        <v>1888</v>
      </c>
      <c r="K1010">
        <f t="shared" si="15"/>
        <v>2</v>
      </c>
    </row>
    <row r="1011" spans="1:11">
      <c r="A1011">
        <v>2027</v>
      </c>
      <c r="B1011">
        <v>11</v>
      </c>
      <c r="C1011" t="s">
        <v>174</v>
      </c>
      <c r="D1011" t="s">
        <v>160</v>
      </c>
      <c r="E1011" t="s">
        <v>101</v>
      </c>
      <c r="F1011">
        <v>11580</v>
      </c>
      <c r="G1011">
        <v>24603.302908110963</v>
      </c>
      <c r="H1011">
        <v>3</v>
      </c>
      <c r="I1011">
        <f>'Nacional · supuestos'!$B$26</f>
        <v>800</v>
      </c>
      <c r="J1011">
        <f>F1011</f>
        <v>11580</v>
      </c>
      <c r="K1011">
        <f t="shared" si="15"/>
        <v>14.475</v>
      </c>
    </row>
    <row r="1012" spans="1:11">
      <c r="A1012">
        <v>2027</v>
      </c>
      <c r="B1012">
        <v>11</v>
      </c>
      <c r="C1012" t="s">
        <v>175</v>
      </c>
      <c r="D1012" t="s">
        <v>160</v>
      </c>
      <c r="E1012" t="s">
        <v>104</v>
      </c>
      <c r="F1012">
        <v>8620</v>
      </c>
      <c r="G1012">
        <v>27643.352016344958</v>
      </c>
      <c r="H1012">
        <v>5</v>
      </c>
      <c r="I1012">
        <f>'Nacional · supuestos'!$B$21</f>
        <v>640</v>
      </c>
      <c r="J1012">
        <f>F1012*'Nacional · supuestos'!$B$4</f>
        <v>10171.6</v>
      </c>
      <c r="K1012">
        <f t="shared" si="15"/>
        <v>13.46875</v>
      </c>
    </row>
    <row r="1013" spans="1:11">
      <c r="A1013">
        <v>2027</v>
      </c>
      <c r="B1013">
        <v>11</v>
      </c>
      <c r="C1013" t="s">
        <v>175</v>
      </c>
      <c r="D1013" t="s">
        <v>160</v>
      </c>
      <c r="E1013" t="s">
        <v>99</v>
      </c>
      <c r="F1013">
        <v>345</v>
      </c>
      <c r="G1013">
        <v>1728.4248326083014</v>
      </c>
      <c r="H1013">
        <v>1</v>
      </c>
      <c r="I1013">
        <f>'Nacional · supuestos'!$B$20</f>
        <v>600</v>
      </c>
      <c r="J1013">
        <f>F1013*'Nacional · supuestos'!$B$4</f>
        <v>407.09999999999997</v>
      </c>
      <c r="K1013">
        <f t="shared" si="15"/>
        <v>0.57499999999999996</v>
      </c>
    </row>
    <row r="1014" spans="1:11">
      <c r="A1014">
        <v>2027</v>
      </c>
      <c r="B1014">
        <v>11</v>
      </c>
      <c r="C1014" t="s">
        <v>175</v>
      </c>
      <c r="D1014" t="s">
        <v>160</v>
      </c>
      <c r="E1014" t="s">
        <v>100</v>
      </c>
      <c r="F1014">
        <v>114</v>
      </c>
      <c r="G1014">
        <v>778.34330902688976</v>
      </c>
      <c r="H1014">
        <v>1</v>
      </c>
      <c r="I1014">
        <f>'Nacional · supuestos'!$B$24</f>
        <v>1056</v>
      </c>
      <c r="J1014">
        <f>F1014</f>
        <v>114</v>
      </c>
      <c r="K1014">
        <f t="shared" si="15"/>
        <v>0.10795454545454546</v>
      </c>
    </row>
    <row r="1015" spans="1:11">
      <c r="A1015">
        <v>2027</v>
      </c>
      <c r="B1015">
        <v>11</v>
      </c>
      <c r="C1015" t="s">
        <v>175</v>
      </c>
      <c r="D1015" t="s">
        <v>160</v>
      </c>
      <c r="E1015" t="s">
        <v>102</v>
      </c>
      <c r="F1015">
        <v>105</v>
      </c>
      <c r="G1015">
        <v>477.20043775614045</v>
      </c>
      <c r="H1015">
        <v>1</v>
      </c>
      <c r="I1015">
        <f>'Nacional · supuestos'!$B$25</f>
        <v>750</v>
      </c>
      <c r="J1015">
        <f>F1015</f>
        <v>105</v>
      </c>
      <c r="K1015">
        <f t="shared" si="15"/>
        <v>0.14000000000000001</v>
      </c>
    </row>
    <row r="1016" spans="1:11">
      <c r="A1016">
        <v>2027</v>
      </c>
      <c r="B1016">
        <v>11</v>
      </c>
      <c r="C1016" t="s">
        <v>182</v>
      </c>
      <c r="D1016" t="s">
        <v>160</v>
      </c>
      <c r="E1016" t="s">
        <v>98</v>
      </c>
      <c r="F1016">
        <v>20000</v>
      </c>
      <c r="G1016">
        <v>41442.268455489582</v>
      </c>
      <c r="H1016">
        <v>3</v>
      </c>
      <c r="I1016">
        <f>'Nacional · supuestos'!$B$23</f>
        <v>1000</v>
      </c>
      <c r="J1016">
        <f>F1016*'Nacional · supuestos'!$B$4</f>
        <v>23600</v>
      </c>
      <c r="K1016">
        <f t="shared" si="15"/>
        <v>20</v>
      </c>
    </row>
    <row r="1017" spans="1:11">
      <c r="A1017">
        <v>2027</v>
      </c>
      <c r="B1017">
        <v>11</v>
      </c>
      <c r="C1017" t="s">
        <v>182</v>
      </c>
      <c r="D1017" t="s">
        <v>160</v>
      </c>
      <c r="E1017" t="s">
        <v>104</v>
      </c>
      <c r="F1017">
        <v>11220</v>
      </c>
      <c r="G1017">
        <v>38372.484393766208</v>
      </c>
      <c r="H1017">
        <v>8</v>
      </c>
      <c r="I1017">
        <f>'Nacional · supuestos'!$B$21</f>
        <v>640</v>
      </c>
      <c r="J1017">
        <f>F1017*'Nacional · supuestos'!$B$4</f>
        <v>13239.599999999999</v>
      </c>
      <c r="K1017">
        <f t="shared" si="15"/>
        <v>17.53125</v>
      </c>
    </row>
    <row r="1018" spans="1:11">
      <c r="A1018">
        <v>2027</v>
      </c>
      <c r="B1018">
        <v>11</v>
      </c>
      <c r="C1018" t="s">
        <v>182</v>
      </c>
      <c r="D1018" t="s">
        <v>160</v>
      </c>
      <c r="E1018" t="s">
        <v>101</v>
      </c>
      <c r="F1018">
        <v>4260</v>
      </c>
      <c r="G1018">
        <v>8269.1194447419075</v>
      </c>
      <c r="H1018">
        <v>2</v>
      </c>
      <c r="I1018">
        <f>'Nacional · supuestos'!$B$26</f>
        <v>800</v>
      </c>
      <c r="J1018">
        <f>F1018</f>
        <v>4260</v>
      </c>
      <c r="K1018">
        <f t="shared" si="15"/>
        <v>5.3250000000000002</v>
      </c>
    </row>
    <row r="1019" spans="1:11">
      <c r="A1019">
        <v>2027</v>
      </c>
      <c r="B1019">
        <v>11</v>
      </c>
      <c r="C1019" t="s">
        <v>182</v>
      </c>
      <c r="D1019" t="s">
        <v>160</v>
      </c>
      <c r="E1019" t="s">
        <v>102</v>
      </c>
      <c r="F1019">
        <v>595</v>
      </c>
      <c r="G1019">
        <v>2700.5709280858418</v>
      </c>
      <c r="H1019">
        <v>1</v>
      </c>
      <c r="I1019">
        <f>'Nacional · supuestos'!$B$25</f>
        <v>750</v>
      </c>
      <c r="J1019">
        <f>F1019</f>
        <v>595</v>
      </c>
      <c r="K1019">
        <f t="shared" si="15"/>
        <v>0.79333333333333333</v>
      </c>
    </row>
    <row r="1020" spans="1:11">
      <c r="A1020">
        <v>2027</v>
      </c>
      <c r="B1020">
        <v>11</v>
      </c>
      <c r="C1020" t="s">
        <v>183</v>
      </c>
      <c r="D1020" t="s">
        <v>164</v>
      </c>
      <c r="E1020" t="s">
        <v>98</v>
      </c>
      <c r="F1020">
        <v>8000</v>
      </c>
      <c r="G1020">
        <v>19364.381196459421</v>
      </c>
      <c r="H1020">
        <v>2</v>
      </c>
      <c r="I1020">
        <f>'Nacional · supuestos'!$B$23</f>
        <v>1000</v>
      </c>
      <c r="J1020">
        <f>F1020*'Nacional · supuestos'!$B$4</f>
        <v>9440</v>
      </c>
      <c r="K1020">
        <f t="shared" si="15"/>
        <v>8</v>
      </c>
    </row>
    <row r="1021" spans="1:11">
      <c r="A1021">
        <v>2027</v>
      </c>
      <c r="B1021">
        <v>11</v>
      </c>
      <c r="C1021" t="s">
        <v>183</v>
      </c>
      <c r="D1021" t="s">
        <v>164</v>
      </c>
      <c r="E1021" t="s">
        <v>104</v>
      </c>
      <c r="F1021">
        <v>3500</v>
      </c>
      <c r="G1021">
        <v>9886.0615406134493</v>
      </c>
      <c r="H1021">
        <v>3</v>
      </c>
      <c r="I1021">
        <f>'Nacional · supuestos'!$B$21</f>
        <v>640</v>
      </c>
      <c r="J1021">
        <f>F1021*'Nacional · supuestos'!$B$4</f>
        <v>4130</v>
      </c>
      <c r="K1021">
        <f t="shared" si="15"/>
        <v>5.46875</v>
      </c>
    </row>
    <row r="1022" spans="1:11">
      <c r="A1022">
        <v>2027</v>
      </c>
      <c r="B1022">
        <v>11</v>
      </c>
      <c r="C1022" t="s">
        <v>183</v>
      </c>
      <c r="D1022" t="s">
        <v>164</v>
      </c>
      <c r="E1022" t="s">
        <v>105</v>
      </c>
      <c r="F1022">
        <v>2600</v>
      </c>
      <c r="G1022">
        <v>7658.1988744064129</v>
      </c>
      <c r="H1022">
        <v>1</v>
      </c>
      <c r="I1022">
        <f>'Nacional · supuestos'!$B$22</f>
        <v>800</v>
      </c>
      <c r="J1022">
        <f>F1022*'Nacional · supuestos'!$B$4</f>
        <v>3068</v>
      </c>
      <c r="K1022">
        <f t="shared" si="15"/>
        <v>3.25</v>
      </c>
    </row>
    <row r="1023" spans="1:11">
      <c r="A1023">
        <v>2027</v>
      </c>
      <c r="B1023">
        <v>11</v>
      </c>
      <c r="C1023" t="s">
        <v>176</v>
      </c>
      <c r="D1023" t="s">
        <v>160</v>
      </c>
      <c r="E1023" t="s">
        <v>104</v>
      </c>
      <c r="F1023">
        <v>2100</v>
      </c>
      <c r="G1023">
        <v>5854.2952117074483</v>
      </c>
      <c r="H1023">
        <v>2</v>
      </c>
      <c r="I1023">
        <f>'Nacional · supuestos'!$B$21</f>
        <v>640</v>
      </c>
      <c r="J1023">
        <f>F1023*'Nacional · supuestos'!$B$4</f>
        <v>2478</v>
      </c>
      <c r="K1023">
        <f t="shared" si="15"/>
        <v>3.28125</v>
      </c>
    </row>
    <row r="1024" spans="1:11">
      <c r="A1024">
        <v>2027</v>
      </c>
      <c r="B1024">
        <v>11</v>
      </c>
      <c r="C1024" t="s">
        <v>178</v>
      </c>
      <c r="D1024" t="s">
        <v>160</v>
      </c>
      <c r="E1024" t="s">
        <v>98</v>
      </c>
      <c r="F1024">
        <v>1000</v>
      </c>
      <c r="G1024">
        <v>2891.5552956215242</v>
      </c>
      <c r="H1024">
        <v>1</v>
      </c>
      <c r="I1024">
        <f>'Nacional · supuestos'!$B$23</f>
        <v>1000</v>
      </c>
      <c r="J1024">
        <f>F1024*'Nacional · supuestos'!$B$4</f>
        <v>1180</v>
      </c>
      <c r="K1024">
        <f t="shared" si="15"/>
        <v>1</v>
      </c>
    </row>
    <row r="1025" spans="1:11">
      <c r="A1025">
        <v>2027</v>
      </c>
      <c r="B1025">
        <v>11</v>
      </c>
      <c r="C1025" t="s">
        <v>178</v>
      </c>
      <c r="D1025" t="s">
        <v>160</v>
      </c>
      <c r="E1025" t="s">
        <v>104</v>
      </c>
      <c r="F1025">
        <v>1300</v>
      </c>
      <c r="G1025">
        <v>4422.2753119279978</v>
      </c>
      <c r="H1025">
        <v>1</v>
      </c>
      <c r="I1025">
        <f>'Nacional · supuestos'!$B$21</f>
        <v>640</v>
      </c>
      <c r="J1025">
        <f>F1025*'Nacional · supuestos'!$B$4</f>
        <v>1534</v>
      </c>
      <c r="K1025">
        <f t="shared" si="15"/>
        <v>2.03125</v>
      </c>
    </row>
    <row r="1026" spans="1:11">
      <c r="A1026">
        <v>2027</v>
      </c>
      <c r="B1026">
        <v>11</v>
      </c>
      <c r="C1026" t="s">
        <v>178</v>
      </c>
      <c r="D1026" t="s">
        <v>160</v>
      </c>
      <c r="E1026" t="s">
        <v>99</v>
      </c>
      <c r="F1026">
        <v>815</v>
      </c>
      <c r="G1026">
        <v>6252.6990670142304</v>
      </c>
      <c r="H1026">
        <v>4</v>
      </c>
      <c r="I1026">
        <f>'Nacional · supuestos'!$B$20</f>
        <v>600</v>
      </c>
      <c r="J1026">
        <f>F1026*'Nacional · supuestos'!$B$4</f>
        <v>961.69999999999993</v>
      </c>
      <c r="K1026">
        <f t="shared" si="15"/>
        <v>1.3583333333333334</v>
      </c>
    </row>
    <row r="1027" spans="1:11">
      <c r="A1027">
        <v>2027</v>
      </c>
      <c r="B1027">
        <v>11</v>
      </c>
      <c r="C1027" t="s">
        <v>178</v>
      </c>
      <c r="D1027" t="s">
        <v>160</v>
      </c>
      <c r="E1027" t="s">
        <v>102</v>
      </c>
      <c r="F1027">
        <v>120</v>
      </c>
      <c r="G1027">
        <v>651.27748691576357</v>
      </c>
      <c r="H1027">
        <v>1</v>
      </c>
      <c r="I1027">
        <f>'Nacional · supuestos'!$B$25</f>
        <v>750</v>
      </c>
      <c r="J1027">
        <f>F1027</f>
        <v>120</v>
      </c>
      <c r="K1027">
        <f t="shared" si="15"/>
        <v>0.16</v>
      </c>
    </row>
    <row r="1028" spans="1:11">
      <c r="A1028">
        <v>2027</v>
      </c>
      <c r="B1028">
        <v>11</v>
      </c>
      <c r="C1028" t="s">
        <v>180</v>
      </c>
      <c r="D1028" t="s">
        <v>160</v>
      </c>
      <c r="E1028" t="s">
        <v>103</v>
      </c>
      <c r="F1028">
        <v>12</v>
      </c>
      <c r="G1028">
        <v>61.604512606788774</v>
      </c>
      <c r="H1028">
        <v>1</v>
      </c>
      <c r="I1028">
        <f>'Nacional · supuestos'!$B$19</f>
        <v>528</v>
      </c>
      <c r="J1028">
        <f>F1028*'Nacional · supuestos'!$B$4</f>
        <v>14.16</v>
      </c>
      <c r="K1028">
        <f t="shared" si="15"/>
        <v>2.2727272727272728E-2</v>
      </c>
    </row>
    <row r="1029" spans="1:11">
      <c r="A1029">
        <v>2027</v>
      </c>
      <c r="B1029">
        <v>11</v>
      </c>
      <c r="C1029" t="s">
        <v>180</v>
      </c>
      <c r="D1029" t="s">
        <v>160</v>
      </c>
      <c r="E1029" t="s">
        <v>104</v>
      </c>
      <c r="F1029">
        <v>660</v>
      </c>
      <c r="G1029">
        <v>2175.1966604218496</v>
      </c>
      <c r="H1029">
        <v>1</v>
      </c>
      <c r="I1029">
        <f>'Nacional · supuestos'!$B$21</f>
        <v>640</v>
      </c>
      <c r="J1029">
        <f>F1029*'Nacional · supuestos'!$B$4</f>
        <v>778.8</v>
      </c>
      <c r="K1029">
        <f t="shared" si="15"/>
        <v>1.03125</v>
      </c>
    </row>
    <row r="1030" spans="1:11">
      <c r="A1030">
        <v>2027</v>
      </c>
      <c r="B1030">
        <v>11</v>
      </c>
      <c r="C1030" t="s">
        <v>180</v>
      </c>
      <c r="D1030" t="s">
        <v>160</v>
      </c>
      <c r="E1030" t="s">
        <v>99</v>
      </c>
      <c r="F1030">
        <v>1005</v>
      </c>
      <c r="G1030">
        <v>3399.0576484619169</v>
      </c>
      <c r="H1030">
        <v>5</v>
      </c>
      <c r="I1030">
        <f>'Nacional · supuestos'!$B$20</f>
        <v>600</v>
      </c>
      <c r="J1030">
        <f>F1030*'Nacional · supuestos'!$B$4</f>
        <v>1185.8999999999999</v>
      </c>
      <c r="K1030">
        <f t="shared" si="15"/>
        <v>1.675</v>
      </c>
    </row>
    <row r="1031" spans="1:11">
      <c r="A1031">
        <v>2027</v>
      </c>
      <c r="B1031">
        <v>11</v>
      </c>
      <c r="C1031" t="s">
        <v>180</v>
      </c>
      <c r="D1031" t="s">
        <v>160</v>
      </c>
      <c r="E1031" t="s">
        <v>102</v>
      </c>
      <c r="F1031">
        <v>50</v>
      </c>
      <c r="G1031">
        <v>105.80132029761525</v>
      </c>
      <c r="H1031">
        <v>1</v>
      </c>
      <c r="I1031">
        <f>'Nacional · supuestos'!$B$25</f>
        <v>750</v>
      </c>
      <c r="J1031">
        <f>F1031</f>
        <v>50</v>
      </c>
      <c r="K1031">
        <f t="shared" ref="K1031:K1068" si="16">F1031/I1031</f>
        <v>6.6666666666666666E-2</v>
      </c>
    </row>
    <row r="1032" spans="1:11">
      <c r="A1032">
        <v>2027</v>
      </c>
      <c r="B1032">
        <v>11</v>
      </c>
      <c r="C1032" t="s">
        <v>180</v>
      </c>
      <c r="D1032" t="s">
        <v>160</v>
      </c>
      <c r="E1032" t="s">
        <v>177</v>
      </c>
      <c r="F1032">
        <v>360</v>
      </c>
      <c r="G1032">
        <v>1043.1509167624083</v>
      </c>
      <c r="H1032">
        <v>1</v>
      </c>
      <c r="I1032">
        <f>'Nacional · supuestos'!$B$28</f>
        <v>1100</v>
      </c>
      <c r="J1032">
        <f>F1032</f>
        <v>360</v>
      </c>
      <c r="K1032">
        <f t="shared" si="16"/>
        <v>0.32727272727272727</v>
      </c>
    </row>
    <row r="1033" spans="1:11">
      <c r="A1033">
        <v>2027</v>
      </c>
      <c r="B1033">
        <v>11</v>
      </c>
      <c r="C1033" t="s">
        <v>185</v>
      </c>
      <c r="D1033" t="s">
        <v>160</v>
      </c>
      <c r="E1033" t="s">
        <v>104</v>
      </c>
      <c r="F1033">
        <v>1400</v>
      </c>
      <c r="G1033">
        <v>4830.3775197945706</v>
      </c>
      <c r="H1033">
        <v>1</v>
      </c>
      <c r="I1033">
        <f>'Nacional · supuestos'!$B$21</f>
        <v>640</v>
      </c>
      <c r="J1033">
        <f>F1033*'Nacional · supuestos'!$B$4</f>
        <v>1652</v>
      </c>
      <c r="K1033">
        <f t="shared" si="16"/>
        <v>2.1875</v>
      </c>
    </row>
    <row r="1034" spans="1:11">
      <c r="A1034">
        <v>2027</v>
      </c>
      <c r="B1034">
        <v>11</v>
      </c>
      <c r="C1034" t="s">
        <v>187</v>
      </c>
      <c r="D1034" t="s">
        <v>160</v>
      </c>
      <c r="E1034" t="s">
        <v>104</v>
      </c>
      <c r="F1034">
        <v>660</v>
      </c>
      <c r="G1034">
        <v>2731.2376299882899</v>
      </c>
      <c r="H1034">
        <v>1</v>
      </c>
      <c r="I1034">
        <f>'Nacional · supuestos'!$B$21</f>
        <v>640</v>
      </c>
      <c r="J1034">
        <f>F1034*'Nacional · supuestos'!$B$4</f>
        <v>778.8</v>
      </c>
      <c r="K1034">
        <f t="shared" si="16"/>
        <v>1.03125</v>
      </c>
    </row>
    <row r="1035" spans="1:11">
      <c r="A1035">
        <v>2027</v>
      </c>
      <c r="B1035">
        <v>12</v>
      </c>
      <c r="C1035" t="s">
        <v>159</v>
      </c>
      <c r="D1035" t="s">
        <v>160</v>
      </c>
      <c r="E1035" t="s">
        <v>104</v>
      </c>
      <c r="F1035">
        <v>2120</v>
      </c>
      <c r="G1035">
        <v>5760.7118660364931</v>
      </c>
      <c r="H1035">
        <v>2</v>
      </c>
      <c r="I1035">
        <f>'Nacional · supuestos'!$B$21</f>
        <v>640</v>
      </c>
      <c r="J1035">
        <f>F1035*'Nacional · supuestos'!$B$4</f>
        <v>2501.6</v>
      </c>
      <c r="K1035">
        <f t="shared" si="16"/>
        <v>3.3125</v>
      </c>
    </row>
    <row r="1036" spans="1:11">
      <c r="A1036">
        <v>2027</v>
      </c>
      <c r="B1036">
        <v>12</v>
      </c>
      <c r="C1036" t="s">
        <v>161</v>
      </c>
      <c r="D1036" t="s">
        <v>160</v>
      </c>
      <c r="E1036" t="s">
        <v>102</v>
      </c>
      <c r="F1036">
        <v>200</v>
      </c>
      <c r="G1036">
        <v>1315.4804553260142</v>
      </c>
      <c r="H1036">
        <v>1</v>
      </c>
      <c r="I1036">
        <f>'Nacional · supuestos'!$B$25</f>
        <v>750</v>
      </c>
      <c r="J1036">
        <f>F1036</f>
        <v>200</v>
      </c>
      <c r="K1036">
        <f t="shared" si="16"/>
        <v>0.26666666666666666</v>
      </c>
    </row>
    <row r="1037" spans="1:11">
      <c r="A1037">
        <v>2027</v>
      </c>
      <c r="B1037">
        <v>12</v>
      </c>
      <c r="C1037" t="s">
        <v>163</v>
      </c>
      <c r="D1037" t="s">
        <v>164</v>
      </c>
      <c r="E1037" t="s">
        <v>104</v>
      </c>
      <c r="F1037">
        <v>660</v>
      </c>
      <c r="G1037">
        <v>2072.1631590742386</v>
      </c>
      <c r="H1037">
        <v>1</v>
      </c>
      <c r="I1037">
        <f>'Nacional · supuestos'!$B$21</f>
        <v>640</v>
      </c>
      <c r="J1037">
        <f>F1037*'Nacional · supuestos'!$B$4</f>
        <v>778.8</v>
      </c>
      <c r="K1037">
        <f t="shared" si="16"/>
        <v>1.03125</v>
      </c>
    </row>
    <row r="1038" spans="1:11">
      <c r="A1038">
        <v>2027</v>
      </c>
      <c r="B1038">
        <v>12</v>
      </c>
      <c r="C1038" t="s">
        <v>163</v>
      </c>
      <c r="D1038" t="s">
        <v>164</v>
      </c>
      <c r="E1038" t="s">
        <v>105</v>
      </c>
      <c r="F1038">
        <v>1600</v>
      </c>
      <c r="G1038">
        <v>4834.7786694073902</v>
      </c>
      <c r="H1038">
        <v>1</v>
      </c>
      <c r="I1038">
        <f>'Nacional · supuestos'!$B$22</f>
        <v>800</v>
      </c>
      <c r="J1038">
        <f>F1038*'Nacional · supuestos'!$B$4</f>
        <v>1888</v>
      </c>
      <c r="K1038">
        <f t="shared" si="16"/>
        <v>2</v>
      </c>
    </row>
    <row r="1039" spans="1:11">
      <c r="A1039">
        <v>2027</v>
      </c>
      <c r="B1039">
        <v>12</v>
      </c>
      <c r="C1039" t="s">
        <v>165</v>
      </c>
      <c r="D1039" t="s">
        <v>160</v>
      </c>
      <c r="E1039" t="s">
        <v>102</v>
      </c>
      <c r="F1039">
        <v>870</v>
      </c>
      <c r="G1039">
        <v>6125.8964452319224</v>
      </c>
      <c r="H1039">
        <v>1</v>
      </c>
      <c r="I1039">
        <f>'Nacional · supuestos'!$B$25</f>
        <v>750</v>
      </c>
      <c r="J1039">
        <f>F1039</f>
        <v>870</v>
      </c>
      <c r="K1039">
        <f t="shared" si="16"/>
        <v>1.1599999999999999</v>
      </c>
    </row>
    <row r="1040" spans="1:11">
      <c r="A1040">
        <v>2027</v>
      </c>
      <c r="B1040">
        <v>12</v>
      </c>
      <c r="C1040" t="s">
        <v>166</v>
      </c>
      <c r="D1040" t="s">
        <v>160</v>
      </c>
      <c r="E1040" t="s">
        <v>104</v>
      </c>
      <c r="F1040">
        <v>960</v>
      </c>
      <c r="G1040">
        <v>2732.280007528168</v>
      </c>
      <c r="H1040">
        <v>2</v>
      </c>
      <c r="I1040">
        <f>'Nacional · supuestos'!$B$21</f>
        <v>640</v>
      </c>
      <c r="J1040">
        <f>F1040*'Nacional · supuestos'!$B$4</f>
        <v>1132.8</v>
      </c>
      <c r="K1040">
        <f t="shared" si="16"/>
        <v>1.5</v>
      </c>
    </row>
    <row r="1041" spans="1:11">
      <c r="A1041">
        <v>2027</v>
      </c>
      <c r="B1041">
        <v>12</v>
      </c>
      <c r="C1041" t="s">
        <v>166</v>
      </c>
      <c r="D1041" t="s">
        <v>160</v>
      </c>
      <c r="E1041" t="s">
        <v>101</v>
      </c>
      <c r="F1041">
        <v>1140</v>
      </c>
      <c r="G1041">
        <v>1936.9459446012677</v>
      </c>
      <c r="H1041">
        <v>1</v>
      </c>
      <c r="I1041">
        <f>'Nacional · supuestos'!$B$26</f>
        <v>800</v>
      </c>
      <c r="J1041">
        <f>F1041</f>
        <v>1140</v>
      </c>
      <c r="K1041">
        <f t="shared" si="16"/>
        <v>1.425</v>
      </c>
    </row>
    <row r="1042" spans="1:11">
      <c r="A1042">
        <v>2027</v>
      </c>
      <c r="B1042">
        <v>12</v>
      </c>
      <c r="C1042" t="s">
        <v>169</v>
      </c>
      <c r="D1042" t="s">
        <v>160</v>
      </c>
      <c r="E1042" t="s">
        <v>104</v>
      </c>
      <c r="F1042">
        <v>300</v>
      </c>
      <c r="G1042">
        <v>1429.0996071727143</v>
      </c>
      <c r="H1042">
        <v>2</v>
      </c>
      <c r="I1042">
        <f>'Nacional · supuestos'!$B$21</f>
        <v>640</v>
      </c>
      <c r="J1042">
        <f>F1042*'Nacional · supuestos'!$B$4</f>
        <v>354</v>
      </c>
      <c r="K1042">
        <f t="shared" si="16"/>
        <v>0.46875</v>
      </c>
    </row>
    <row r="1043" spans="1:11">
      <c r="A1043">
        <v>2027</v>
      </c>
      <c r="B1043">
        <v>12</v>
      </c>
      <c r="C1043" t="s">
        <v>169</v>
      </c>
      <c r="D1043" t="s">
        <v>160</v>
      </c>
      <c r="E1043" t="s">
        <v>99</v>
      </c>
      <c r="F1043">
        <v>510</v>
      </c>
      <c r="G1043">
        <v>2667.1807870639991</v>
      </c>
      <c r="H1043">
        <v>2</v>
      </c>
      <c r="I1043">
        <f>'Nacional · supuestos'!$B$20</f>
        <v>600</v>
      </c>
      <c r="J1043">
        <f>F1043*'Nacional · supuestos'!$B$4</f>
        <v>601.79999999999995</v>
      </c>
      <c r="K1043">
        <f t="shared" si="16"/>
        <v>0.85</v>
      </c>
    </row>
    <row r="1044" spans="1:11">
      <c r="A1044">
        <v>2027</v>
      </c>
      <c r="B1044">
        <v>12</v>
      </c>
      <c r="C1044" t="s">
        <v>172</v>
      </c>
      <c r="D1044" t="s">
        <v>160</v>
      </c>
      <c r="E1044" t="s">
        <v>103</v>
      </c>
      <c r="F1044">
        <v>161</v>
      </c>
      <c r="G1044">
        <v>1766.8735758428029</v>
      </c>
      <c r="H1044">
        <v>2</v>
      </c>
      <c r="I1044">
        <f>'Nacional · supuestos'!$B$19</f>
        <v>528</v>
      </c>
      <c r="J1044">
        <f>F1044*'Nacional · supuestos'!$B$4</f>
        <v>189.98</v>
      </c>
      <c r="K1044">
        <f t="shared" si="16"/>
        <v>0.30492424242424243</v>
      </c>
    </row>
    <row r="1045" spans="1:11">
      <c r="A1045">
        <v>2027</v>
      </c>
      <c r="B1045">
        <v>12</v>
      </c>
      <c r="C1045" t="s">
        <v>172</v>
      </c>
      <c r="D1045" t="s">
        <v>160</v>
      </c>
      <c r="E1045" t="s">
        <v>104</v>
      </c>
      <c r="F1045">
        <v>8040</v>
      </c>
      <c r="G1045">
        <v>26393.417004809624</v>
      </c>
      <c r="H1045">
        <v>5</v>
      </c>
      <c r="I1045">
        <f>'Nacional · supuestos'!$B$21</f>
        <v>640</v>
      </c>
      <c r="J1045">
        <f>F1045*'Nacional · supuestos'!$B$4</f>
        <v>9487.1999999999989</v>
      </c>
      <c r="K1045">
        <f t="shared" si="16"/>
        <v>12.5625</v>
      </c>
    </row>
    <row r="1046" spans="1:11">
      <c r="A1046">
        <v>2027</v>
      </c>
      <c r="B1046">
        <v>12</v>
      </c>
      <c r="C1046" t="s">
        <v>172</v>
      </c>
      <c r="D1046" t="s">
        <v>160</v>
      </c>
      <c r="E1046" t="s">
        <v>99</v>
      </c>
      <c r="F1046">
        <v>1935</v>
      </c>
      <c r="G1046">
        <v>11909.661726945411</v>
      </c>
      <c r="H1046">
        <v>9</v>
      </c>
      <c r="I1046">
        <f>'Nacional · supuestos'!$B$20</f>
        <v>600</v>
      </c>
      <c r="J1046">
        <f>F1046*'Nacional · supuestos'!$B$4</f>
        <v>2283.2999999999997</v>
      </c>
      <c r="K1046">
        <f t="shared" si="16"/>
        <v>3.2250000000000001</v>
      </c>
    </row>
    <row r="1047" spans="1:11">
      <c r="A1047">
        <v>2027</v>
      </c>
      <c r="B1047">
        <v>12</v>
      </c>
      <c r="C1047" t="s">
        <v>172</v>
      </c>
      <c r="D1047" t="s">
        <v>160</v>
      </c>
      <c r="E1047" t="s">
        <v>100</v>
      </c>
      <c r="F1047">
        <v>124</v>
      </c>
      <c r="G1047">
        <v>1217.7957814722488</v>
      </c>
      <c r="H1047">
        <v>1</v>
      </c>
      <c r="I1047">
        <f>'Nacional · supuestos'!$B$24</f>
        <v>1056</v>
      </c>
      <c r="J1047">
        <f>F1047</f>
        <v>124</v>
      </c>
      <c r="K1047">
        <f t="shared" si="16"/>
        <v>0.11742424242424243</v>
      </c>
    </row>
    <row r="1048" spans="1:11">
      <c r="A1048">
        <v>2027</v>
      </c>
      <c r="B1048">
        <v>12</v>
      </c>
      <c r="C1048" t="s">
        <v>172</v>
      </c>
      <c r="D1048" t="s">
        <v>160</v>
      </c>
      <c r="E1048" t="s">
        <v>102</v>
      </c>
      <c r="F1048">
        <v>1475</v>
      </c>
      <c r="G1048">
        <v>6348.3928896269608</v>
      </c>
      <c r="H1048">
        <v>2</v>
      </c>
      <c r="I1048">
        <f>'Nacional · supuestos'!$B$25</f>
        <v>750</v>
      </c>
      <c r="J1048">
        <f>F1048</f>
        <v>1475</v>
      </c>
      <c r="K1048">
        <f t="shared" si="16"/>
        <v>1.9666666666666666</v>
      </c>
    </row>
    <row r="1049" spans="1:11">
      <c r="A1049">
        <v>2027</v>
      </c>
      <c r="B1049">
        <v>12</v>
      </c>
      <c r="C1049" t="s">
        <v>172</v>
      </c>
      <c r="D1049" t="s">
        <v>160</v>
      </c>
      <c r="E1049" t="s">
        <v>177</v>
      </c>
      <c r="F1049">
        <v>360</v>
      </c>
      <c r="G1049">
        <v>863.08860301896959</v>
      </c>
      <c r="H1049">
        <v>1</v>
      </c>
      <c r="I1049">
        <f>'Nacional · supuestos'!$B$28</f>
        <v>1100</v>
      </c>
      <c r="J1049">
        <f>F1049</f>
        <v>360</v>
      </c>
      <c r="K1049">
        <f t="shared" si="16"/>
        <v>0.32727272727272727</v>
      </c>
    </row>
    <row r="1050" spans="1:11">
      <c r="A1050">
        <v>2027</v>
      </c>
      <c r="B1050">
        <v>12</v>
      </c>
      <c r="C1050" t="s">
        <v>175</v>
      </c>
      <c r="D1050" t="s">
        <v>160</v>
      </c>
      <c r="E1050" t="s">
        <v>103</v>
      </c>
      <c r="F1050">
        <v>124</v>
      </c>
      <c r="G1050">
        <v>3683.7622259287914</v>
      </c>
      <c r="H1050">
        <v>1</v>
      </c>
      <c r="I1050">
        <f>'Nacional · supuestos'!$B$19</f>
        <v>528</v>
      </c>
      <c r="J1050">
        <f>F1050*'Nacional · supuestos'!$B$4</f>
        <v>146.32</v>
      </c>
      <c r="K1050">
        <f t="shared" si="16"/>
        <v>0.23484848484848486</v>
      </c>
    </row>
    <row r="1051" spans="1:11">
      <c r="A1051">
        <v>2027</v>
      </c>
      <c r="B1051">
        <v>12</v>
      </c>
      <c r="C1051" t="s">
        <v>175</v>
      </c>
      <c r="D1051" t="s">
        <v>160</v>
      </c>
      <c r="E1051" t="s">
        <v>104</v>
      </c>
      <c r="F1051">
        <v>9980</v>
      </c>
      <c r="G1051">
        <v>34015.896993260074</v>
      </c>
      <c r="H1051">
        <v>5</v>
      </c>
      <c r="I1051">
        <f>'Nacional · supuestos'!$B$21</f>
        <v>640</v>
      </c>
      <c r="J1051">
        <f>F1051*'Nacional · supuestos'!$B$4</f>
        <v>11776.4</v>
      </c>
      <c r="K1051">
        <f t="shared" si="16"/>
        <v>15.59375</v>
      </c>
    </row>
    <row r="1052" spans="1:11">
      <c r="A1052">
        <v>2027</v>
      </c>
      <c r="B1052">
        <v>12</v>
      </c>
      <c r="C1052" t="s">
        <v>175</v>
      </c>
      <c r="D1052" t="s">
        <v>160</v>
      </c>
      <c r="E1052" t="s">
        <v>99</v>
      </c>
      <c r="F1052">
        <v>2100</v>
      </c>
      <c r="G1052">
        <v>13900.64752698393</v>
      </c>
      <c r="H1052">
        <v>5</v>
      </c>
      <c r="I1052">
        <f>'Nacional · supuestos'!$B$20</f>
        <v>600</v>
      </c>
      <c r="J1052">
        <f>F1052*'Nacional · supuestos'!$B$4</f>
        <v>2478</v>
      </c>
      <c r="K1052">
        <f t="shared" si="16"/>
        <v>3.5</v>
      </c>
    </row>
    <row r="1053" spans="1:11">
      <c r="A1053">
        <v>2027</v>
      </c>
      <c r="B1053">
        <v>12</v>
      </c>
      <c r="C1053" t="s">
        <v>175</v>
      </c>
      <c r="D1053" t="s">
        <v>160</v>
      </c>
      <c r="E1053" t="s">
        <v>102</v>
      </c>
      <c r="F1053">
        <v>445</v>
      </c>
      <c r="G1053">
        <v>2954.8797311691114</v>
      </c>
      <c r="H1053">
        <v>2</v>
      </c>
      <c r="I1053">
        <f>'Nacional · supuestos'!$B$25</f>
        <v>750</v>
      </c>
      <c r="J1053">
        <f>F1053</f>
        <v>445</v>
      </c>
      <c r="K1053">
        <f t="shared" si="16"/>
        <v>0.59333333333333338</v>
      </c>
    </row>
    <row r="1054" spans="1:11">
      <c r="A1054">
        <v>2027</v>
      </c>
      <c r="B1054">
        <v>12</v>
      </c>
      <c r="C1054" t="s">
        <v>188</v>
      </c>
      <c r="D1054" t="s">
        <v>160</v>
      </c>
      <c r="E1054" t="s">
        <v>104</v>
      </c>
      <c r="F1054">
        <v>660</v>
      </c>
      <c r="G1054">
        <v>2861.9517734889891</v>
      </c>
      <c r="H1054">
        <v>1</v>
      </c>
      <c r="I1054">
        <f>'Nacional · supuestos'!$B$21</f>
        <v>640</v>
      </c>
      <c r="J1054">
        <f>F1054*'Nacional · supuestos'!$B$4</f>
        <v>778.8</v>
      </c>
      <c r="K1054">
        <f t="shared" si="16"/>
        <v>1.03125</v>
      </c>
    </row>
    <row r="1055" spans="1:11">
      <c r="A1055">
        <v>2027</v>
      </c>
      <c r="B1055">
        <v>12</v>
      </c>
      <c r="C1055" t="s">
        <v>178</v>
      </c>
      <c r="D1055" t="s">
        <v>160</v>
      </c>
      <c r="E1055" t="s">
        <v>104</v>
      </c>
      <c r="F1055">
        <v>2040</v>
      </c>
      <c r="G1055">
        <v>6939.5704894870123</v>
      </c>
      <c r="H1055">
        <v>1</v>
      </c>
      <c r="I1055">
        <f>'Nacional · supuestos'!$B$21</f>
        <v>640</v>
      </c>
      <c r="J1055">
        <f>F1055*'Nacional · supuestos'!$B$4</f>
        <v>2407.1999999999998</v>
      </c>
      <c r="K1055">
        <f t="shared" si="16"/>
        <v>3.1875</v>
      </c>
    </row>
    <row r="1056" spans="1:11">
      <c r="A1056">
        <v>2027</v>
      </c>
      <c r="B1056">
        <v>12</v>
      </c>
      <c r="C1056" t="s">
        <v>178</v>
      </c>
      <c r="D1056" t="s">
        <v>160</v>
      </c>
      <c r="E1056" t="s">
        <v>99</v>
      </c>
      <c r="F1056">
        <v>990</v>
      </c>
      <c r="G1056">
        <v>4334.2864121987395</v>
      </c>
      <c r="H1056">
        <v>5</v>
      </c>
      <c r="I1056">
        <f>'Nacional · supuestos'!$B$20</f>
        <v>600</v>
      </c>
      <c r="J1056">
        <f>F1056*'Nacional · supuestos'!$B$4</f>
        <v>1168.2</v>
      </c>
      <c r="K1056">
        <f t="shared" si="16"/>
        <v>1.65</v>
      </c>
    </row>
    <row r="1057" spans="1:11">
      <c r="A1057">
        <v>2027</v>
      </c>
      <c r="B1057">
        <v>12</v>
      </c>
      <c r="C1057" t="s">
        <v>178</v>
      </c>
      <c r="D1057" t="s">
        <v>160</v>
      </c>
      <c r="E1057" t="s">
        <v>100</v>
      </c>
      <c r="F1057">
        <v>124</v>
      </c>
      <c r="G1057">
        <v>1258.9418975630322</v>
      </c>
      <c r="H1057">
        <v>1</v>
      </c>
      <c r="I1057">
        <f>'Nacional · supuestos'!$B$24</f>
        <v>1056</v>
      </c>
      <c r="J1057">
        <f>F1057</f>
        <v>124</v>
      </c>
      <c r="K1057">
        <f t="shared" si="16"/>
        <v>0.11742424242424243</v>
      </c>
    </row>
    <row r="1058" spans="1:11">
      <c r="A1058">
        <v>2027</v>
      </c>
      <c r="B1058">
        <v>12</v>
      </c>
      <c r="C1058" t="s">
        <v>178</v>
      </c>
      <c r="D1058" t="s">
        <v>160</v>
      </c>
      <c r="E1058" t="s">
        <v>177</v>
      </c>
      <c r="F1058">
        <v>715</v>
      </c>
      <c r="G1058">
        <v>2092.3862530013971</v>
      </c>
      <c r="H1058">
        <v>1</v>
      </c>
      <c r="I1058">
        <f>'Nacional · supuestos'!$B$28</f>
        <v>1100</v>
      </c>
      <c r="J1058">
        <f>F1058</f>
        <v>715</v>
      </c>
      <c r="K1058">
        <f t="shared" si="16"/>
        <v>0.65</v>
      </c>
    </row>
    <row r="1059" spans="1:11">
      <c r="A1059">
        <v>2027</v>
      </c>
      <c r="B1059">
        <v>12</v>
      </c>
      <c r="C1059" t="s">
        <v>189</v>
      </c>
      <c r="D1059" t="s">
        <v>160</v>
      </c>
      <c r="E1059" t="s">
        <v>104</v>
      </c>
      <c r="F1059">
        <v>1320</v>
      </c>
      <c r="G1059">
        <v>4746.9873166043326</v>
      </c>
      <c r="H1059">
        <v>1</v>
      </c>
      <c r="I1059">
        <f>'Nacional · supuestos'!$B$21</f>
        <v>640</v>
      </c>
      <c r="J1059">
        <f>F1059*'Nacional · supuestos'!$B$4</f>
        <v>1557.6</v>
      </c>
      <c r="K1059">
        <f t="shared" si="16"/>
        <v>2.0625</v>
      </c>
    </row>
    <row r="1060" spans="1:11">
      <c r="A1060">
        <v>2027</v>
      </c>
      <c r="B1060">
        <v>12</v>
      </c>
      <c r="C1060" t="s">
        <v>179</v>
      </c>
      <c r="D1060" t="s">
        <v>160</v>
      </c>
      <c r="E1060" t="s">
        <v>99</v>
      </c>
      <c r="F1060">
        <v>315</v>
      </c>
      <c r="G1060">
        <v>4967.9192361814721</v>
      </c>
      <c r="H1060">
        <v>1</v>
      </c>
      <c r="I1060">
        <f>'Nacional · supuestos'!$B$20</f>
        <v>600</v>
      </c>
      <c r="J1060">
        <f>F1060*'Nacional · supuestos'!$B$4</f>
        <v>371.7</v>
      </c>
      <c r="K1060">
        <f t="shared" si="16"/>
        <v>0.52500000000000002</v>
      </c>
    </row>
    <row r="1061" spans="1:11">
      <c r="A1061">
        <v>2027</v>
      </c>
      <c r="B1061">
        <v>12</v>
      </c>
      <c r="C1061" t="s">
        <v>179</v>
      </c>
      <c r="D1061" t="s">
        <v>160</v>
      </c>
      <c r="E1061" t="s">
        <v>102</v>
      </c>
      <c r="F1061">
        <v>35</v>
      </c>
      <c r="G1061">
        <v>194.09069792528038</v>
      </c>
      <c r="H1061">
        <v>1</v>
      </c>
      <c r="I1061">
        <f>'Nacional · supuestos'!$B$25</f>
        <v>750</v>
      </c>
      <c r="J1061">
        <f>F1061</f>
        <v>35</v>
      </c>
      <c r="K1061">
        <f t="shared" si="16"/>
        <v>4.6666666666666669E-2</v>
      </c>
    </row>
    <row r="1062" spans="1:11">
      <c r="A1062">
        <v>2027</v>
      </c>
      <c r="B1062">
        <v>12</v>
      </c>
      <c r="C1062" t="s">
        <v>180</v>
      </c>
      <c r="D1062" t="s">
        <v>160</v>
      </c>
      <c r="E1062" t="s">
        <v>103</v>
      </c>
      <c r="F1062">
        <v>12</v>
      </c>
      <c r="G1062">
        <v>61.604512606788774</v>
      </c>
      <c r="H1062">
        <v>1</v>
      </c>
      <c r="I1062">
        <f>'Nacional · supuestos'!$B$19</f>
        <v>528</v>
      </c>
      <c r="J1062">
        <f>F1062*'Nacional · supuestos'!$B$4</f>
        <v>14.16</v>
      </c>
      <c r="K1062">
        <f t="shared" si="16"/>
        <v>2.2727272727272728E-2</v>
      </c>
    </row>
    <row r="1063" spans="1:11">
      <c r="A1063">
        <v>2027</v>
      </c>
      <c r="B1063">
        <v>12</v>
      </c>
      <c r="C1063" t="s">
        <v>180</v>
      </c>
      <c r="D1063" t="s">
        <v>160</v>
      </c>
      <c r="E1063" t="s">
        <v>104</v>
      </c>
      <c r="F1063">
        <v>1380</v>
      </c>
      <c r="G1063">
        <v>4001.4421102880751</v>
      </c>
      <c r="H1063">
        <v>2</v>
      </c>
      <c r="I1063">
        <f>'Nacional · supuestos'!$B$21</f>
        <v>640</v>
      </c>
      <c r="J1063">
        <f>F1063*'Nacional · supuestos'!$B$4</f>
        <v>1628.3999999999999</v>
      </c>
      <c r="K1063">
        <f t="shared" si="16"/>
        <v>2.15625</v>
      </c>
    </row>
    <row r="1064" spans="1:11">
      <c r="A1064">
        <v>2027</v>
      </c>
      <c r="B1064">
        <v>12</v>
      </c>
      <c r="C1064" t="s">
        <v>180</v>
      </c>
      <c r="D1064" t="s">
        <v>160</v>
      </c>
      <c r="E1064" t="s">
        <v>102</v>
      </c>
      <c r="F1064">
        <v>3105</v>
      </c>
      <c r="G1064">
        <v>12614.646235033451</v>
      </c>
      <c r="H1064">
        <v>1</v>
      </c>
      <c r="I1064">
        <f>'Nacional · supuestos'!$B$25</f>
        <v>750</v>
      </c>
      <c r="J1064">
        <f>F1064</f>
        <v>3105</v>
      </c>
      <c r="K1064">
        <f t="shared" si="16"/>
        <v>4.1399999999999997</v>
      </c>
    </row>
    <row r="1065" spans="1:11">
      <c r="A1065">
        <v>2027</v>
      </c>
      <c r="B1065">
        <v>12</v>
      </c>
      <c r="C1065" t="s">
        <v>180</v>
      </c>
      <c r="D1065" t="s">
        <v>160</v>
      </c>
      <c r="E1065" t="s">
        <v>177</v>
      </c>
      <c r="F1065">
        <v>360</v>
      </c>
      <c r="G1065">
        <v>1043.1509167624083</v>
      </c>
      <c r="H1065">
        <v>1</v>
      </c>
      <c r="I1065">
        <f>'Nacional · supuestos'!$B$28</f>
        <v>1100</v>
      </c>
      <c r="J1065">
        <f>F1065</f>
        <v>360</v>
      </c>
      <c r="K1065">
        <f t="shared" si="16"/>
        <v>0.32727272727272727</v>
      </c>
    </row>
    <row r="1066" spans="1:11">
      <c r="A1066">
        <v>2027</v>
      </c>
      <c r="B1066">
        <v>12</v>
      </c>
      <c r="C1066" t="s">
        <v>185</v>
      </c>
      <c r="D1066" t="s">
        <v>160</v>
      </c>
      <c r="E1066" t="s">
        <v>104</v>
      </c>
      <c r="F1066">
        <v>1620</v>
      </c>
      <c r="G1066">
        <v>5995.3386583622041</v>
      </c>
      <c r="H1066">
        <v>2</v>
      </c>
      <c r="I1066">
        <f>'Nacional · supuestos'!$B$21</f>
        <v>640</v>
      </c>
      <c r="J1066">
        <f>F1066*'Nacional · supuestos'!$B$4</f>
        <v>1911.6</v>
      </c>
      <c r="K1066">
        <f t="shared" si="16"/>
        <v>2.53125</v>
      </c>
    </row>
    <row r="1067" spans="1:11">
      <c r="A1067">
        <v>2027</v>
      </c>
      <c r="B1067">
        <v>12</v>
      </c>
      <c r="C1067" t="s">
        <v>185</v>
      </c>
      <c r="D1067" t="s">
        <v>160</v>
      </c>
      <c r="E1067" t="s">
        <v>105</v>
      </c>
      <c r="F1067">
        <v>200</v>
      </c>
      <c r="G1067">
        <v>604.57897312922978</v>
      </c>
      <c r="H1067">
        <v>1</v>
      </c>
      <c r="I1067">
        <f>'Nacional · supuestos'!$B$22</f>
        <v>800</v>
      </c>
      <c r="J1067">
        <f>F1067*'Nacional · supuestos'!$B$4</f>
        <v>236</v>
      </c>
      <c r="K1067">
        <f t="shared" si="16"/>
        <v>0.25</v>
      </c>
    </row>
    <row r="1068" spans="1:11">
      <c r="A1068">
        <v>2027</v>
      </c>
      <c r="B1068">
        <v>12</v>
      </c>
      <c r="C1068" t="s">
        <v>181</v>
      </c>
      <c r="D1068" t="s">
        <v>160</v>
      </c>
      <c r="E1068" t="s">
        <v>98</v>
      </c>
      <c r="F1068">
        <v>1000</v>
      </c>
      <c r="G1068">
        <v>3179.2514966278472</v>
      </c>
      <c r="H1068">
        <v>1</v>
      </c>
      <c r="I1068">
        <f>'Nacional · supuestos'!$B$23</f>
        <v>1000</v>
      </c>
      <c r="J1068">
        <f>F1068*'Nacional · supuestos'!$B$4</f>
        <v>1180</v>
      </c>
      <c r="K1068">
        <f t="shared" si="16"/>
        <v>1</v>
      </c>
    </row>
    <row r="1073" spans="1:19">
      <c r="A1073" s="1" t="s">
        <v>50</v>
      </c>
      <c r="B1073" s="1" t="s">
        <v>10</v>
      </c>
      <c r="C1073" s="1" t="s">
        <v>154</v>
      </c>
      <c r="D1073" s="1" t="s">
        <v>155</v>
      </c>
      <c r="E1073" s="1" t="s">
        <v>40</v>
      </c>
      <c r="F1073" s="1" t="s">
        <v>221</v>
      </c>
      <c r="G1073" s="1" t="s">
        <v>222</v>
      </c>
      <c r="H1073" s="1" t="s">
        <v>223</v>
      </c>
      <c r="I1073" s="1" t="s">
        <v>224</v>
      </c>
      <c r="J1073" s="1" t="s">
        <v>225</v>
      </c>
      <c r="K1073" s="1" t="s">
        <v>226</v>
      </c>
      <c r="L1073" s="1" t="s">
        <v>227</v>
      </c>
      <c r="M1073" s="1" t="s">
        <v>228</v>
      </c>
      <c r="N1073" s="1" t="s">
        <v>229</v>
      </c>
      <c r="O1073" s="1" t="s">
        <v>230</v>
      </c>
      <c r="P1073" s="1" t="s">
        <v>231</v>
      </c>
      <c r="Q1073" s="1" t="s">
        <v>32</v>
      </c>
      <c r="R1073" s="1" t="s">
        <v>35</v>
      </c>
      <c r="S1073" s="1" t="s">
        <v>6</v>
      </c>
    </row>
    <row r="1074" spans="1:19">
      <c r="A1074">
        <v>2026</v>
      </c>
      <c r="B1074">
        <v>9</v>
      </c>
      <c r="C1074" t="s">
        <v>159</v>
      </c>
      <c r="D1074" t="s">
        <v>160</v>
      </c>
      <c r="E1074">
        <f>SUMIFS('Nacional · base'!$J$7:$J$1068,'Nacional · base'!$A$7:$A$1068,A1074,'Nacional · base'!$B$7:$B$1068,B1074,'Nacional · base'!$C$7:$C$1068,C1074)</f>
        <v>2147.7800531944308</v>
      </c>
      <c r="F1074">
        <f>SUMIFS('Nacional · base'!$K$7:$K$1068,'Nacional · base'!$A$7:$A$1068,A1074,'Nacional · base'!$B$7:$B$1068,B1074,'Nacional · base'!$C$7:$C$1068,C1074)</f>
        <v>2.8439884178951678</v>
      </c>
      <c r="G1074">
        <f t="shared" ref="G1074:G1137" si="17">ROUNDUP(F1074,0)</f>
        <v>3</v>
      </c>
      <c r="H1074">
        <f>SUMIFS('Nacional · base'!$G$7:$G$1068,'Nacional · base'!$A$7:$A$1068,A1074,'Nacional · base'!$B$7:$B$1068,B1074,'Nacional · base'!$C$7:$C$1068,C1074)</f>
        <v>4781.9523968914291</v>
      </c>
      <c r="I1074">
        <f>IF(D1074="Canarias",IF(C1074="CABRERA MORALES FRANCISCO",IF(E1074&lt;=2000,'Nacional · supuestos'!$C$34,IF(E1074&lt;=5000,'Nacional · supuestos'!$C$35,'Nacional · supuestos'!$C$36)),IF(E1074&lt;=2000,'Nacional · supuestos'!$B$34,IF(E1074&lt;=5000,'Nacional · supuestos'!$B$35,'Nacional · supuestos'!$B$36))),0)</f>
        <v>0</v>
      </c>
      <c r="J1074">
        <f>IF(D1074="Canarias",MAX(E1074*I1074,IF(C1074="CABRERA MORALES FRANCISCO",'Nacional · supuestos'!$C$38,'Nacional · supuestos'!$B$38)),0)</f>
        <v>0</v>
      </c>
      <c r="K1074">
        <f>IF(D1074="Canarias",MAX(E1074*'Nacional · supuestos'!$B$41,'Nacional · supuestos'!$B$42),0)</f>
        <v>0</v>
      </c>
      <c r="L1074">
        <f>IF(D1074="Canarias",E1074*'Nacional · supuestos'!$B$43,0)</f>
        <v>0</v>
      </c>
      <c r="M1074">
        <f>IF(D1074="Canarias",E1074*'Nacional · supuestos'!$B$44,0)</f>
        <v>0</v>
      </c>
      <c r="N1074">
        <f>IF(D1074="Canarias",E1074*'Nacional · supuestos'!$B$45,0)</f>
        <v>0</v>
      </c>
      <c r="O1074">
        <f>IF(D1074="Canarias",'Nacional · supuestos'!$B$46,0)</f>
        <v>0</v>
      </c>
      <c r="P1074">
        <f>IF(D1074="Canarias",MAX(H1074*'Nacional · supuestos'!$B$47,'Nacional · supuestos'!$B$48),0)</f>
        <v>0</v>
      </c>
      <c r="Q1074">
        <f>IF(D1074="Resto nacional",E1074*'Nacional · supuestos'!$B$13*IF(A1074=2027,1+'Nacional · supuestos'!$B$6,1),0)</f>
        <v>190.44539063298728</v>
      </c>
      <c r="R1074">
        <f>IF(D1074="Canarias",SUM(J1074:P1074)*IF(A1074=2027,1+'Nacional · supuestos'!$B$6,1),0)</f>
        <v>0</v>
      </c>
      <c r="S1074">
        <f t="shared" ref="S1074:S1137" si="18">Q1074+R1074</f>
        <v>190.44539063298728</v>
      </c>
    </row>
    <row r="1075" spans="1:19">
      <c r="A1075">
        <v>2026</v>
      </c>
      <c r="B1075">
        <v>9</v>
      </c>
      <c r="C1075" t="s">
        <v>161</v>
      </c>
      <c r="D1075" t="s">
        <v>160</v>
      </c>
      <c r="E1075">
        <f>SUMIFS('Nacional · base'!$J$7:$J$1068,'Nacional · base'!$A$7:$A$1068,A1075,'Nacional · base'!$B$7:$B$1068,B1075,'Nacional · base'!$C$7:$C$1068,C1075)</f>
        <v>663.59729750887254</v>
      </c>
      <c r="F1075">
        <f>SUMIFS('Nacional · base'!$K$7:$K$1068,'Nacional · base'!$A$7:$A$1068,A1075,'Nacional · base'!$B$7:$B$1068,B1075,'Nacional · base'!$C$7:$C$1068,C1075)</f>
        <v>0.88479639667849674</v>
      </c>
      <c r="G1075">
        <f t="shared" si="17"/>
        <v>1</v>
      </c>
      <c r="H1075">
        <f>SUMIFS('Nacional · base'!$G$7:$G$1068,'Nacional · base'!$A$7:$A$1068,A1075,'Nacional · base'!$B$7:$B$1068,B1075,'Nacional · base'!$C$7:$C$1068,C1075)</f>
        <v>4187.2989472809859</v>
      </c>
      <c r="I1075">
        <f>IF(D1075="Canarias",IF(C1075="CABRERA MORALES FRANCISCO",IF(E1075&lt;=2000,'Nacional · supuestos'!$C$34,IF(E1075&lt;=5000,'Nacional · supuestos'!$C$35,'Nacional · supuestos'!$C$36)),IF(E1075&lt;=2000,'Nacional · supuestos'!$B$34,IF(E1075&lt;=5000,'Nacional · supuestos'!$B$35,'Nacional · supuestos'!$B$36))),0)</f>
        <v>0</v>
      </c>
      <c r="J1075">
        <f>IF(D1075="Canarias",MAX(E1075*I1075,IF(C1075="CABRERA MORALES FRANCISCO",'Nacional · supuestos'!$C$38,'Nacional · supuestos'!$B$38)),0)</f>
        <v>0</v>
      </c>
      <c r="K1075">
        <f>IF(D1075="Canarias",MAX(E1075*'Nacional · supuestos'!$B$41,'Nacional · supuestos'!$B$42),0)</f>
        <v>0</v>
      </c>
      <c r="L1075">
        <f>IF(D1075="Canarias",E1075*'Nacional · supuestos'!$B$43,0)</f>
        <v>0</v>
      </c>
      <c r="M1075">
        <f>IF(D1075="Canarias",E1075*'Nacional · supuestos'!$B$44,0)</f>
        <v>0</v>
      </c>
      <c r="N1075">
        <f>IF(D1075="Canarias",E1075*'Nacional · supuestos'!$B$45,0)</f>
        <v>0</v>
      </c>
      <c r="O1075">
        <f>IF(D1075="Canarias",'Nacional · supuestos'!$B$46,0)</f>
        <v>0</v>
      </c>
      <c r="P1075">
        <f>IF(D1075="Canarias",MAX(H1075*'Nacional · supuestos'!$B$47,'Nacional · supuestos'!$B$48),0)</f>
        <v>0</v>
      </c>
      <c r="Q1075">
        <f>IF(D1075="Resto nacional",E1075*'Nacional · supuestos'!$B$13*IF(A1075=2027,1+'Nacional · supuestos'!$B$6,1),0)</f>
        <v>58.841707910968886</v>
      </c>
      <c r="R1075">
        <f>IF(D1075="Canarias",SUM(J1075:P1075)*IF(A1075=2027,1+'Nacional · supuestos'!$B$6,1),0)</f>
        <v>0</v>
      </c>
      <c r="S1075">
        <f t="shared" si="18"/>
        <v>58.841707910968886</v>
      </c>
    </row>
    <row r="1076" spans="1:19">
      <c r="A1076">
        <v>2026</v>
      </c>
      <c r="B1076">
        <v>9</v>
      </c>
      <c r="C1076" t="s">
        <v>162</v>
      </c>
      <c r="D1076" t="s">
        <v>160</v>
      </c>
      <c r="E1076">
        <f>SUMIFS('Nacional · base'!$J$7:$J$1068,'Nacional · base'!$A$7:$A$1068,A1076,'Nacional · base'!$B$7:$B$1068,B1076,'Nacional · base'!$C$7:$C$1068,C1076)</f>
        <v>12348.218512045099</v>
      </c>
      <c r="F1076">
        <f>SUMIFS('Nacional · base'!$K$7:$K$1068,'Nacional · base'!$A$7:$A$1068,A1076,'Nacional · base'!$B$7:$B$1068,B1076,'Nacional · base'!$C$7:$C$1068,C1076)</f>
        <v>12.466149231773819</v>
      </c>
      <c r="G1076">
        <f t="shared" si="17"/>
        <v>13</v>
      </c>
      <c r="H1076">
        <f>SUMIFS('Nacional · base'!$G$7:$G$1068,'Nacional · base'!$A$7:$A$1068,A1076,'Nacional · base'!$B$7:$B$1068,B1076,'Nacional · base'!$C$7:$C$1068,C1076)</f>
        <v>22072.177001322016</v>
      </c>
      <c r="I1076">
        <f>IF(D1076="Canarias",IF(C1076="CABRERA MORALES FRANCISCO",IF(E1076&lt;=2000,'Nacional · supuestos'!$C$34,IF(E1076&lt;=5000,'Nacional · supuestos'!$C$35,'Nacional · supuestos'!$C$36)),IF(E1076&lt;=2000,'Nacional · supuestos'!$B$34,IF(E1076&lt;=5000,'Nacional · supuestos'!$B$35,'Nacional · supuestos'!$B$36))),0)</f>
        <v>0</v>
      </c>
      <c r="J1076">
        <f>IF(D1076="Canarias",MAX(E1076*I1076,IF(C1076="CABRERA MORALES FRANCISCO",'Nacional · supuestos'!$C$38,'Nacional · supuestos'!$B$38)),0)</f>
        <v>0</v>
      </c>
      <c r="K1076">
        <f>IF(D1076="Canarias",MAX(E1076*'Nacional · supuestos'!$B$41,'Nacional · supuestos'!$B$42),0)</f>
        <v>0</v>
      </c>
      <c r="L1076">
        <f>IF(D1076="Canarias",E1076*'Nacional · supuestos'!$B$43,0)</f>
        <v>0</v>
      </c>
      <c r="M1076">
        <f>IF(D1076="Canarias",E1076*'Nacional · supuestos'!$B$44,0)</f>
        <v>0</v>
      </c>
      <c r="N1076">
        <f>IF(D1076="Canarias",E1076*'Nacional · supuestos'!$B$45,0)</f>
        <v>0</v>
      </c>
      <c r="O1076">
        <f>IF(D1076="Canarias",'Nacional · supuestos'!$B$46,0)</f>
        <v>0</v>
      </c>
      <c r="P1076">
        <f>IF(D1076="Canarias",MAX(H1076*'Nacional · supuestos'!$B$47,'Nacional · supuestos'!$B$48),0)</f>
        <v>0</v>
      </c>
      <c r="Q1076">
        <f>IF(D1076="Resto nacional",E1076*'Nacional · supuestos'!$B$13*IF(A1076=2027,1+'Nacional · supuestos'!$B$6,1),0)</f>
        <v>1094.9265008073089</v>
      </c>
      <c r="R1076">
        <f>IF(D1076="Canarias",SUM(J1076:P1076)*IF(A1076=2027,1+'Nacional · supuestos'!$B$6,1),0)</f>
        <v>0</v>
      </c>
      <c r="S1076">
        <f t="shared" si="18"/>
        <v>1094.9265008073089</v>
      </c>
    </row>
    <row r="1077" spans="1:19">
      <c r="A1077">
        <v>2026</v>
      </c>
      <c r="B1077">
        <v>9</v>
      </c>
      <c r="C1077" t="s">
        <v>163</v>
      </c>
      <c r="D1077" t="s">
        <v>164</v>
      </c>
      <c r="E1077">
        <f>SUMIFS('Nacional · base'!$J$7:$J$1068,'Nacional · base'!$A$7:$A$1068,A1077,'Nacional · base'!$B$7:$B$1068,B1077,'Nacional · base'!$C$7:$C$1068,C1077)</f>
        <v>2832.6124642235873</v>
      </c>
      <c r="F1077">
        <f>SUMIFS('Nacional · base'!$K$7:$K$1068,'Nacional · base'!$A$7:$A$1068,A1077,'Nacional · base'!$B$7:$B$1068,B1077,'Nacional · base'!$C$7:$C$1068,C1077)</f>
        <v>3.1994869701320638</v>
      </c>
      <c r="G1077">
        <f t="shared" si="17"/>
        <v>4</v>
      </c>
      <c r="H1077">
        <f>SUMIFS('Nacional · base'!$G$7:$G$1068,'Nacional · base'!$A$7:$A$1068,A1077,'Nacional · base'!$B$7:$B$1068,B1077,'Nacional · base'!$C$7:$C$1068,C1077)</f>
        <v>5987.4888426983562</v>
      </c>
      <c r="I1077">
        <f>IF(D1077="Canarias",IF(C1077="CABRERA MORALES FRANCISCO",IF(E1077&lt;=2000,'Nacional · supuestos'!$C$34,IF(E1077&lt;=5000,'Nacional · supuestos'!$C$35,'Nacional · supuestos'!$C$36)),IF(E1077&lt;=2000,'Nacional · supuestos'!$B$34,IF(E1077&lt;=5000,'Nacional · supuestos'!$B$35,'Nacional · supuestos'!$B$36))),0)</f>
        <v>0.108</v>
      </c>
      <c r="J1077">
        <f>IF(D1077="Canarias",MAX(E1077*I1077,IF(C1077="CABRERA MORALES FRANCISCO",'Nacional · supuestos'!$C$38,'Nacional · supuestos'!$B$38)),0)</f>
        <v>305.92214613614743</v>
      </c>
      <c r="K1077">
        <f>IF(D1077="Canarias",MAX(E1077*'Nacional · supuestos'!$B$41,'Nacional · supuestos'!$B$42),0)</f>
        <v>101.97404871204914</v>
      </c>
      <c r="L1077">
        <f>IF(D1077="Canarias",E1077*'Nacional · supuestos'!$B$43,0)</f>
        <v>33.991349570683049</v>
      </c>
      <c r="M1077">
        <f>IF(D1077="Canarias",E1077*'Nacional · supuestos'!$B$44,0)</f>
        <v>50.98702435602457</v>
      </c>
      <c r="N1077">
        <f>IF(D1077="Canarias",E1077*'Nacional · supuestos'!$B$45,0)</f>
        <v>62.317474212918917</v>
      </c>
      <c r="O1077">
        <f>IF(D1077="Canarias",'Nacional · supuestos'!$B$46,0)</f>
        <v>15</v>
      </c>
      <c r="P1077">
        <f>IF(D1077="Canarias",MAX(H1077*'Nacional · supuestos'!$B$47,'Nacional · supuestos'!$B$48),0)</f>
        <v>26.943699792142599</v>
      </c>
      <c r="Q1077">
        <f>IF(D1077="Resto nacional",E1077*'Nacional · supuestos'!$B$13*IF(A1077=2027,1+'Nacional · supuestos'!$B$6,1),0)</f>
        <v>0</v>
      </c>
      <c r="R1077">
        <f>IF(D1077="Canarias",SUM(J1077:P1077)*IF(A1077=2027,1+'Nacional · supuestos'!$B$6,1),0)</f>
        <v>597.13574277996577</v>
      </c>
      <c r="S1077">
        <f t="shared" si="18"/>
        <v>597.13574277996577</v>
      </c>
    </row>
    <row r="1078" spans="1:19">
      <c r="A1078">
        <v>2026</v>
      </c>
      <c r="B1078">
        <v>9</v>
      </c>
      <c r="C1078" t="s">
        <v>165</v>
      </c>
      <c r="D1078" t="s">
        <v>160</v>
      </c>
      <c r="E1078">
        <f>SUMIFS('Nacional · base'!$J$7:$J$1068,'Nacional · base'!$A$7:$A$1068,A1078,'Nacional · base'!$B$7:$B$1068,B1078,'Nacional · base'!$C$7:$C$1068,C1078)</f>
        <v>473.99806964919469</v>
      </c>
      <c r="F1078">
        <f>SUMIFS('Nacional · base'!$K$7:$K$1068,'Nacional · base'!$A$7:$A$1068,A1078,'Nacional · base'!$B$7:$B$1068,B1078,'Nacional · base'!$C$7:$C$1068,C1078)</f>
        <v>0.63199742619892629</v>
      </c>
      <c r="G1078">
        <f t="shared" si="17"/>
        <v>1</v>
      </c>
      <c r="H1078">
        <f>SUMIFS('Nacional · base'!$G$7:$G$1068,'Nacional · base'!$A$7:$A$1068,A1078,'Nacional · base'!$B$7:$B$1068,B1078,'Nacional · base'!$C$7:$C$1068,C1078)</f>
        <v>3201.8569604803101</v>
      </c>
      <c r="I1078">
        <f>IF(D1078="Canarias",IF(C1078="CABRERA MORALES FRANCISCO",IF(E1078&lt;=2000,'Nacional · supuestos'!$C$34,IF(E1078&lt;=5000,'Nacional · supuestos'!$C$35,'Nacional · supuestos'!$C$36)),IF(E1078&lt;=2000,'Nacional · supuestos'!$B$34,IF(E1078&lt;=5000,'Nacional · supuestos'!$B$35,'Nacional · supuestos'!$B$36))),0)</f>
        <v>0</v>
      </c>
      <c r="J1078">
        <f>IF(D1078="Canarias",MAX(E1078*I1078,IF(C1078="CABRERA MORALES FRANCISCO",'Nacional · supuestos'!$C$38,'Nacional · supuestos'!$B$38)),0)</f>
        <v>0</v>
      </c>
      <c r="K1078">
        <f>IF(D1078="Canarias",MAX(E1078*'Nacional · supuestos'!$B$41,'Nacional · supuestos'!$B$42),0)</f>
        <v>0</v>
      </c>
      <c r="L1078">
        <f>IF(D1078="Canarias",E1078*'Nacional · supuestos'!$B$43,0)</f>
        <v>0</v>
      </c>
      <c r="M1078">
        <f>IF(D1078="Canarias",E1078*'Nacional · supuestos'!$B$44,0)</f>
        <v>0</v>
      </c>
      <c r="N1078">
        <f>IF(D1078="Canarias",E1078*'Nacional · supuestos'!$B$45,0)</f>
        <v>0</v>
      </c>
      <c r="O1078">
        <f>IF(D1078="Canarias",'Nacional · supuestos'!$B$46,0)</f>
        <v>0</v>
      </c>
      <c r="P1078">
        <f>IF(D1078="Canarias",MAX(H1078*'Nacional · supuestos'!$B$47,'Nacional · supuestos'!$B$48),0)</f>
        <v>0</v>
      </c>
      <c r="Q1078">
        <f>IF(D1078="Resto nacional",E1078*'Nacional · supuestos'!$B$13*IF(A1078=2027,1+'Nacional · supuestos'!$B$6,1),0)</f>
        <v>42.029791364977775</v>
      </c>
      <c r="R1078">
        <f>IF(D1078="Canarias",SUM(J1078:P1078)*IF(A1078=2027,1+'Nacional · supuestos'!$B$6,1),0)</f>
        <v>0</v>
      </c>
      <c r="S1078">
        <f t="shared" si="18"/>
        <v>42.029791364977775</v>
      </c>
    </row>
    <row r="1079" spans="1:19">
      <c r="A1079">
        <v>2026</v>
      </c>
      <c r="B1079">
        <v>9</v>
      </c>
      <c r="C1079" t="s">
        <v>166</v>
      </c>
      <c r="D1079" t="s">
        <v>160</v>
      </c>
      <c r="E1079">
        <f>SUMIFS('Nacional · base'!$J$7:$J$1068,'Nacional · base'!$A$7:$A$1068,A1079,'Nacional · base'!$B$7:$B$1068,B1079,'Nacional · base'!$C$7:$C$1068,C1079)</f>
        <v>1042.795753228228</v>
      </c>
      <c r="F1079">
        <f>SUMIFS('Nacional · base'!$K$7:$K$1068,'Nacional · base'!$A$7:$A$1068,A1079,'Nacional · base'!$B$7:$B$1068,B1079,'Nacional · base'!$C$7:$C$1068,C1079)</f>
        <v>1.303494691535285</v>
      </c>
      <c r="G1079">
        <f t="shared" si="17"/>
        <v>2</v>
      </c>
      <c r="H1079">
        <f>SUMIFS('Nacional · base'!$G$7:$G$1068,'Nacional · base'!$A$7:$A$1068,A1079,'Nacional · base'!$B$7:$B$1068,B1079,'Nacional · base'!$C$7:$C$1068,C1079)</f>
        <v>1699.7570777620115</v>
      </c>
      <c r="I1079">
        <f>IF(D1079="Canarias",IF(C1079="CABRERA MORALES FRANCISCO",IF(E1079&lt;=2000,'Nacional · supuestos'!$C$34,IF(E1079&lt;=5000,'Nacional · supuestos'!$C$35,'Nacional · supuestos'!$C$36)),IF(E1079&lt;=2000,'Nacional · supuestos'!$B$34,IF(E1079&lt;=5000,'Nacional · supuestos'!$B$35,'Nacional · supuestos'!$B$36))),0)</f>
        <v>0</v>
      </c>
      <c r="J1079">
        <f>IF(D1079="Canarias",MAX(E1079*I1079,IF(C1079="CABRERA MORALES FRANCISCO",'Nacional · supuestos'!$C$38,'Nacional · supuestos'!$B$38)),0)</f>
        <v>0</v>
      </c>
      <c r="K1079">
        <f>IF(D1079="Canarias",MAX(E1079*'Nacional · supuestos'!$B$41,'Nacional · supuestos'!$B$42),0)</f>
        <v>0</v>
      </c>
      <c r="L1079">
        <f>IF(D1079="Canarias",E1079*'Nacional · supuestos'!$B$43,0)</f>
        <v>0</v>
      </c>
      <c r="M1079">
        <f>IF(D1079="Canarias",E1079*'Nacional · supuestos'!$B$44,0)</f>
        <v>0</v>
      </c>
      <c r="N1079">
        <f>IF(D1079="Canarias",E1079*'Nacional · supuestos'!$B$45,0)</f>
        <v>0</v>
      </c>
      <c r="O1079">
        <f>IF(D1079="Canarias",'Nacional · supuestos'!$B$46,0)</f>
        <v>0</v>
      </c>
      <c r="P1079">
        <f>IF(D1079="Canarias",MAX(H1079*'Nacional · supuestos'!$B$47,'Nacional · supuestos'!$B$48),0)</f>
        <v>0</v>
      </c>
      <c r="Q1079">
        <f>IF(D1079="Resto nacional",E1079*'Nacional · supuestos'!$B$13*IF(A1079=2027,1+'Nacional · supuestos'!$B$6,1),0)</f>
        <v>92.465541002951085</v>
      </c>
      <c r="R1079">
        <f>IF(D1079="Canarias",SUM(J1079:P1079)*IF(A1079=2027,1+'Nacional · supuestos'!$B$6,1),0)</f>
        <v>0</v>
      </c>
      <c r="S1079">
        <f t="shared" si="18"/>
        <v>92.465541002951085</v>
      </c>
    </row>
    <row r="1080" spans="1:19">
      <c r="A1080">
        <v>2026</v>
      </c>
      <c r="B1080">
        <v>9</v>
      </c>
      <c r="C1080" t="s">
        <v>167</v>
      </c>
      <c r="D1080" t="s">
        <v>160</v>
      </c>
      <c r="E1080">
        <f>SUMIFS('Nacional · base'!$J$7:$J$1068,'Nacional · base'!$A$7:$A$1068,A1080,'Nacional · base'!$B$7:$B$1068,B1080,'Nacional · base'!$C$7:$C$1068,C1080)</f>
        <v>473.99806964919469</v>
      </c>
      <c r="F1080">
        <f>SUMIFS('Nacional · base'!$K$7:$K$1068,'Nacional · base'!$A$7:$A$1068,A1080,'Nacional · base'!$B$7:$B$1068,B1080,'Nacional · base'!$C$7:$C$1068,C1080)</f>
        <v>0.61619749054395312</v>
      </c>
      <c r="G1080">
        <f t="shared" si="17"/>
        <v>1</v>
      </c>
      <c r="H1080">
        <f>SUMIFS('Nacional · base'!$G$7:$G$1068,'Nacional · base'!$A$7:$A$1068,A1080,'Nacional · base'!$B$7:$B$1068,B1080,'Nacional · base'!$C$7:$C$1068,C1080)</f>
        <v>2690.534064112569</v>
      </c>
      <c r="I1080">
        <f>IF(D1080="Canarias",IF(C1080="CABRERA MORALES FRANCISCO",IF(E1080&lt;=2000,'Nacional · supuestos'!$C$34,IF(E1080&lt;=5000,'Nacional · supuestos'!$C$35,'Nacional · supuestos'!$C$36)),IF(E1080&lt;=2000,'Nacional · supuestos'!$B$34,IF(E1080&lt;=5000,'Nacional · supuestos'!$B$35,'Nacional · supuestos'!$B$36))),0)</f>
        <v>0</v>
      </c>
      <c r="J1080">
        <f>IF(D1080="Canarias",MAX(E1080*I1080,IF(C1080="CABRERA MORALES FRANCISCO",'Nacional · supuestos'!$C$38,'Nacional · supuestos'!$B$38)),0)</f>
        <v>0</v>
      </c>
      <c r="K1080">
        <f>IF(D1080="Canarias",MAX(E1080*'Nacional · supuestos'!$B$41,'Nacional · supuestos'!$B$42),0)</f>
        <v>0</v>
      </c>
      <c r="L1080">
        <f>IF(D1080="Canarias",E1080*'Nacional · supuestos'!$B$43,0)</f>
        <v>0</v>
      </c>
      <c r="M1080">
        <f>IF(D1080="Canarias",E1080*'Nacional · supuestos'!$B$44,0)</f>
        <v>0</v>
      </c>
      <c r="N1080">
        <f>IF(D1080="Canarias",E1080*'Nacional · supuestos'!$B$45,0)</f>
        <v>0</v>
      </c>
      <c r="O1080">
        <f>IF(D1080="Canarias",'Nacional · supuestos'!$B$46,0)</f>
        <v>0</v>
      </c>
      <c r="P1080">
        <f>IF(D1080="Canarias",MAX(H1080*'Nacional · supuestos'!$B$47,'Nacional · supuestos'!$B$48),0)</f>
        <v>0</v>
      </c>
      <c r="Q1080">
        <f>IF(D1080="Resto nacional",E1080*'Nacional · supuestos'!$B$13*IF(A1080=2027,1+'Nacional · supuestos'!$B$6,1),0)</f>
        <v>42.029791364977775</v>
      </c>
      <c r="R1080">
        <f>IF(D1080="Canarias",SUM(J1080:P1080)*IF(A1080=2027,1+'Nacional · supuestos'!$B$6,1),0)</f>
        <v>0</v>
      </c>
      <c r="S1080">
        <f t="shared" si="18"/>
        <v>42.029791364977775</v>
      </c>
    </row>
    <row r="1081" spans="1:19">
      <c r="A1081">
        <v>2026</v>
      </c>
      <c r="B1081">
        <v>9</v>
      </c>
      <c r="C1081" t="s">
        <v>168</v>
      </c>
      <c r="D1081" t="s">
        <v>160</v>
      </c>
      <c r="E1081">
        <f>SUMIFS('Nacional · base'!$J$7:$J$1068,'Nacional · base'!$A$7:$A$1068,A1081,'Nacional · base'!$B$7:$B$1068,B1081,'Nacional · base'!$C$7:$C$1068,C1081)</f>
        <v>447.4541777488397</v>
      </c>
      <c r="F1081">
        <f>SUMIFS('Nacional · base'!$K$7:$K$1068,'Nacional · base'!$A$7:$A$1068,A1081,'Nacional · base'!$B$7:$B$1068,B1081,'Nacional · base'!$C$7:$C$1068,C1081)</f>
        <v>0.59249758706149325</v>
      </c>
      <c r="G1081">
        <f t="shared" si="17"/>
        <v>1</v>
      </c>
      <c r="H1081">
        <f>SUMIFS('Nacional · base'!$G$7:$G$1068,'Nacional · base'!$A$7:$A$1068,A1081,'Nacional · base'!$B$7:$B$1068,B1081,'Nacional · base'!$C$7:$C$1068,C1081)</f>
        <v>897.35207887898207</v>
      </c>
      <c r="I1081">
        <f>IF(D1081="Canarias",IF(C1081="CABRERA MORALES FRANCISCO",IF(E1081&lt;=2000,'Nacional · supuestos'!$C$34,IF(E1081&lt;=5000,'Nacional · supuestos'!$C$35,'Nacional · supuestos'!$C$36)),IF(E1081&lt;=2000,'Nacional · supuestos'!$B$34,IF(E1081&lt;=5000,'Nacional · supuestos'!$B$35,'Nacional · supuestos'!$B$36))),0)</f>
        <v>0</v>
      </c>
      <c r="J1081">
        <f>IF(D1081="Canarias",MAX(E1081*I1081,IF(C1081="CABRERA MORALES FRANCISCO",'Nacional · supuestos'!$C$38,'Nacional · supuestos'!$B$38)),0)</f>
        <v>0</v>
      </c>
      <c r="K1081">
        <f>IF(D1081="Canarias",MAX(E1081*'Nacional · supuestos'!$B$41,'Nacional · supuestos'!$B$42),0)</f>
        <v>0</v>
      </c>
      <c r="L1081">
        <f>IF(D1081="Canarias",E1081*'Nacional · supuestos'!$B$43,0)</f>
        <v>0</v>
      </c>
      <c r="M1081">
        <f>IF(D1081="Canarias",E1081*'Nacional · supuestos'!$B$44,0)</f>
        <v>0</v>
      </c>
      <c r="N1081">
        <f>IF(D1081="Canarias",E1081*'Nacional · supuestos'!$B$45,0)</f>
        <v>0</v>
      </c>
      <c r="O1081">
        <f>IF(D1081="Canarias",'Nacional · supuestos'!$B$46,0)</f>
        <v>0</v>
      </c>
      <c r="P1081">
        <f>IF(D1081="Canarias",MAX(H1081*'Nacional · supuestos'!$B$47,'Nacional · supuestos'!$B$48),0)</f>
        <v>0</v>
      </c>
      <c r="Q1081">
        <f>IF(D1081="Resto nacional",E1081*'Nacional · supuestos'!$B$13*IF(A1081=2027,1+'Nacional · supuestos'!$B$6,1),0)</f>
        <v>39.676123048539012</v>
      </c>
      <c r="R1081">
        <f>IF(D1081="Canarias",SUM(J1081:P1081)*IF(A1081=2027,1+'Nacional · supuestos'!$B$6,1),0)</f>
        <v>0</v>
      </c>
      <c r="S1081">
        <f t="shared" si="18"/>
        <v>39.676123048539012</v>
      </c>
    </row>
    <row r="1082" spans="1:19">
      <c r="A1082">
        <v>2026</v>
      </c>
      <c r="B1082">
        <v>9</v>
      </c>
      <c r="C1082" t="s">
        <v>169</v>
      </c>
      <c r="D1082" t="s">
        <v>160</v>
      </c>
      <c r="E1082">
        <f>SUMIFS('Nacional · base'!$J$7:$J$1068,'Nacional · base'!$A$7:$A$1068,A1082,'Nacional · base'!$B$7:$B$1068,B1082,'Nacional · base'!$C$7:$C$1068,C1082)</f>
        <v>894.90835549767951</v>
      </c>
      <c r="F1082">
        <f>SUMIFS('Nacional · base'!$K$7:$K$1068,'Nacional · base'!$A$7:$A$1068,A1082,'Nacional · base'!$B$7:$B$1068,B1082,'Nacional · base'!$C$7:$C$1068,C1082)</f>
        <v>1.2343699730447779</v>
      </c>
      <c r="G1082">
        <f t="shared" si="17"/>
        <v>2</v>
      </c>
      <c r="H1082">
        <f>SUMIFS('Nacional · base'!$G$7:$G$1068,'Nacional · base'!$A$7:$A$1068,A1082,'Nacional · base'!$B$7:$B$1068,B1082,'Nacional · base'!$C$7:$C$1068,C1082)</f>
        <v>3672.8863053774917</v>
      </c>
      <c r="I1082">
        <f>IF(D1082="Canarias",IF(C1082="CABRERA MORALES FRANCISCO",IF(E1082&lt;=2000,'Nacional · supuestos'!$C$34,IF(E1082&lt;=5000,'Nacional · supuestos'!$C$35,'Nacional · supuestos'!$C$36)),IF(E1082&lt;=2000,'Nacional · supuestos'!$B$34,IF(E1082&lt;=5000,'Nacional · supuestos'!$B$35,'Nacional · supuestos'!$B$36))),0)</f>
        <v>0</v>
      </c>
      <c r="J1082">
        <f>IF(D1082="Canarias",MAX(E1082*I1082,IF(C1082="CABRERA MORALES FRANCISCO",'Nacional · supuestos'!$C$38,'Nacional · supuestos'!$B$38)),0)</f>
        <v>0</v>
      </c>
      <c r="K1082">
        <f>IF(D1082="Canarias",MAX(E1082*'Nacional · supuestos'!$B$41,'Nacional · supuestos'!$B$42),0)</f>
        <v>0</v>
      </c>
      <c r="L1082">
        <f>IF(D1082="Canarias",E1082*'Nacional · supuestos'!$B$43,0)</f>
        <v>0</v>
      </c>
      <c r="M1082">
        <f>IF(D1082="Canarias",E1082*'Nacional · supuestos'!$B$44,0)</f>
        <v>0</v>
      </c>
      <c r="N1082">
        <f>IF(D1082="Canarias",E1082*'Nacional · supuestos'!$B$45,0)</f>
        <v>0</v>
      </c>
      <c r="O1082">
        <f>IF(D1082="Canarias",'Nacional · supuestos'!$B$46,0)</f>
        <v>0</v>
      </c>
      <c r="P1082">
        <f>IF(D1082="Canarias",MAX(H1082*'Nacional · supuestos'!$B$47,'Nacional · supuestos'!$B$48),0)</f>
        <v>0</v>
      </c>
      <c r="Q1082">
        <f>IF(D1082="Resto nacional",E1082*'Nacional · supuestos'!$B$13*IF(A1082=2027,1+'Nacional · supuestos'!$B$6,1),0)</f>
        <v>79.352246097078037</v>
      </c>
      <c r="R1082">
        <f>IF(D1082="Canarias",SUM(J1082:P1082)*IF(A1082=2027,1+'Nacional · supuestos'!$B$6,1),0)</f>
        <v>0</v>
      </c>
      <c r="S1082">
        <f t="shared" si="18"/>
        <v>79.352246097078037</v>
      </c>
    </row>
    <row r="1083" spans="1:19">
      <c r="A1083">
        <v>2026</v>
      </c>
      <c r="B1083">
        <v>9</v>
      </c>
      <c r="C1083" t="s">
        <v>170</v>
      </c>
      <c r="D1083" t="s">
        <v>160</v>
      </c>
      <c r="E1083">
        <f>SUMIFS('Nacional · base'!$J$7:$J$1068,'Nacional · base'!$A$7:$A$1068,A1083,'Nacional · base'!$B$7:$B$1068,B1083,'Nacional · base'!$C$7:$C$1068,C1083)</f>
        <v>6778.9307928949202</v>
      </c>
      <c r="F1083">
        <f>SUMIFS('Nacional · base'!$K$7:$K$1068,'Nacional · base'!$A$7:$A$1068,A1083,'Nacional · base'!$B$7:$B$1068,B1083,'Nacional · base'!$C$7:$C$1068,C1083)</f>
        <v>9.0059633233346972</v>
      </c>
      <c r="G1083">
        <f t="shared" si="17"/>
        <v>10</v>
      </c>
      <c r="H1083">
        <f>SUMIFS('Nacional · base'!$G$7:$G$1068,'Nacional · base'!$A$7:$A$1068,A1083,'Nacional · base'!$B$7:$B$1068,B1083,'Nacional · base'!$C$7:$C$1068,C1083)</f>
        <v>18186.54753552816</v>
      </c>
      <c r="I1083">
        <f>IF(D1083="Canarias",IF(C1083="CABRERA MORALES FRANCISCO",IF(E1083&lt;=2000,'Nacional · supuestos'!$C$34,IF(E1083&lt;=5000,'Nacional · supuestos'!$C$35,'Nacional · supuestos'!$C$36)),IF(E1083&lt;=2000,'Nacional · supuestos'!$B$34,IF(E1083&lt;=5000,'Nacional · supuestos'!$B$35,'Nacional · supuestos'!$B$36))),0)</f>
        <v>0</v>
      </c>
      <c r="J1083">
        <f>IF(D1083="Canarias",MAX(E1083*I1083,IF(C1083="CABRERA MORALES FRANCISCO",'Nacional · supuestos'!$C$38,'Nacional · supuestos'!$B$38)),0)</f>
        <v>0</v>
      </c>
      <c r="K1083">
        <f>IF(D1083="Canarias",MAX(E1083*'Nacional · supuestos'!$B$41,'Nacional · supuestos'!$B$42),0)</f>
        <v>0</v>
      </c>
      <c r="L1083">
        <f>IF(D1083="Canarias",E1083*'Nacional · supuestos'!$B$43,0)</f>
        <v>0</v>
      </c>
      <c r="M1083">
        <f>IF(D1083="Canarias",E1083*'Nacional · supuestos'!$B$44,0)</f>
        <v>0</v>
      </c>
      <c r="N1083">
        <f>IF(D1083="Canarias",E1083*'Nacional · supuestos'!$B$45,0)</f>
        <v>0</v>
      </c>
      <c r="O1083">
        <f>IF(D1083="Canarias",'Nacional · supuestos'!$B$46,0)</f>
        <v>0</v>
      </c>
      <c r="P1083">
        <f>IF(D1083="Canarias",MAX(H1083*'Nacional · supuestos'!$B$47,'Nacional · supuestos'!$B$48),0)</f>
        <v>0</v>
      </c>
      <c r="Q1083">
        <f>IF(D1083="Resto nacional",E1083*'Nacional · supuestos'!$B$13*IF(A1083=2027,1+'Nacional · supuestos'!$B$6,1),0)</f>
        <v>601.09326418536591</v>
      </c>
      <c r="R1083">
        <f>IF(D1083="Canarias",SUM(J1083:P1083)*IF(A1083=2027,1+'Nacional · supuestos'!$B$6,1),0)</f>
        <v>0</v>
      </c>
      <c r="S1083">
        <f t="shared" si="18"/>
        <v>601.09326418536591</v>
      </c>
    </row>
    <row r="1084" spans="1:19">
      <c r="A1084">
        <v>2026</v>
      </c>
      <c r="B1084">
        <v>9</v>
      </c>
      <c r="C1084" t="s">
        <v>171</v>
      </c>
      <c r="D1084" t="s">
        <v>164</v>
      </c>
      <c r="E1084">
        <f>SUMIFS('Nacional · base'!$J$7:$J$1068,'Nacional · base'!$A$7:$A$1068,A1084,'Nacional · base'!$B$7:$B$1068,B1084,'Nacional · base'!$C$7:$C$1068,C1084)</f>
        <v>6256.77451936937</v>
      </c>
      <c r="F1084">
        <f>SUMIFS('Nacional · base'!$K$7:$K$1068,'Nacional · base'!$A$7:$A$1068,A1084,'Nacional · base'!$B$7:$B$1068,B1084,'Nacional · base'!$C$7:$C$1068,C1084)</f>
        <v>8.342366025825827</v>
      </c>
      <c r="G1084">
        <f t="shared" si="17"/>
        <v>9</v>
      </c>
      <c r="H1084">
        <f>SUMIFS('Nacional · base'!$G$7:$G$1068,'Nacional · base'!$A$7:$A$1068,A1084,'Nacional · base'!$B$7:$B$1068,B1084,'Nacional · base'!$C$7:$C$1068,C1084)</f>
        <v>10785.716690697507</v>
      </c>
      <c r="I1084">
        <f>IF(D1084="Canarias",IF(C1084="CABRERA MORALES FRANCISCO",IF(E1084&lt;=2000,'Nacional · supuestos'!$C$34,IF(E1084&lt;=5000,'Nacional · supuestos'!$C$35,'Nacional · supuestos'!$C$36)),IF(E1084&lt;=2000,'Nacional · supuestos'!$B$34,IF(E1084&lt;=5000,'Nacional · supuestos'!$B$35,'Nacional · supuestos'!$B$36))),0)</f>
        <v>0.19800000000000001</v>
      </c>
      <c r="J1084">
        <f>IF(D1084="Canarias",MAX(E1084*I1084,IF(C1084="CABRERA MORALES FRANCISCO",'Nacional · supuestos'!$C$38,'Nacional · supuestos'!$B$38)),0)</f>
        <v>1238.8413548351352</v>
      </c>
      <c r="K1084">
        <f>IF(D1084="Canarias",MAX(E1084*'Nacional · supuestos'!$B$41,'Nacional · supuestos'!$B$42),0)</f>
        <v>225.24388269729729</v>
      </c>
      <c r="L1084">
        <f>IF(D1084="Canarias",E1084*'Nacional · supuestos'!$B$43,0)</f>
        <v>75.081294232432441</v>
      </c>
      <c r="M1084">
        <f>IF(D1084="Canarias",E1084*'Nacional · supuestos'!$B$44,0)</f>
        <v>112.62194134864865</v>
      </c>
      <c r="N1084">
        <f>IF(D1084="Canarias",E1084*'Nacional · supuestos'!$B$45,0)</f>
        <v>137.64903942612614</v>
      </c>
      <c r="O1084">
        <f>IF(D1084="Canarias",'Nacional · supuestos'!$B$46,0)</f>
        <v>15</v>
      </c>
      <c r="P1084">
        <f>IF(D1084="Canarias",MAX(H1084*'Nacional · supuestos'!$B$47,'Nacional · supuestos'!$B$48),0)</f>
        <v>48.535725108138777</v>
      </c>
      <c r="Q1084">
        <f>IF(D1084="Resto nacional",E1084*'Nacional · supuestos'!$B$13*IF(A1084=2027,1+'Nacional · supuestos'!$B$6,1),0)</f>
        <v>0</v>
      </c>
      <c r="R1084">
        <f>IF(D1084="Canarias",SUM(J1084:P1084)*IF(A1084=2027,1+'Nacional · supuestos'!$B$6,1),0)</f>
        <v>1852.9732376477787</v>
      </c>
      <c r="S1084">
        <f t="shared" si="18"/>
        <v>1852.9732376477787</v>
      </c>
    </row>
    <row r="1085" spans="1:19">
      <c r="A1085">
        <v>2026</v>
      </c>
      <c r="B1085">
        <v>9</v>
      </c>
      <c r="C1085" t="s">
        <v>172</v>
      </c>
      <c r="D1085" t="s">
        <v>160</v>
      </c>
      <c r="E1085">
        <f>SUMIFS('Nacional · base'!$J$7:$J$1068,'Nacional · base'!$A$7:$A$1068,A1085,'Nacional · base'!$B$7:$B$1068,B1085,'Nacional · base'!$C$7:$C$1068,C1085)</f>
        <v>12065.94318160761</v>
      </c>
      <c r="F1085">
        <f>SUMIFS('Nacional · base'!$K$7:$K$1068,'Nacional · base'!$A$7:$A$1068,A1085,'Nacional · base'!$B$7:$B$1068,B1085,'Nacional · base'!$C$7:$C$1068,C1085)</f>
        <v>16.097979895737421</v>
      </c>
      <c r="G1085">
        <f t="shared" si="17"/>
        <v>17</v>
      </c>
      <c r="H1085">
        <f>SUMIFS('Nacional · base'!$G$7:$G$1068,'Nacional · base'!$A$7:$A$1068,A1085,'Nacional · base'!$B$7:$B$1068,B1085,'Nacional · base'!$C$7:$C$1068,C1085)</f>
        <v>38683.502948347937</v>
      </c>
      <c r="I1085">
        <f>IF(D1085="Canarias",IF(C1085="CABRERA MORALES FRANCISCO",IF(E1085&lt;=2000,'Nacional · supuestos'!$C$34,IF(E1085&lt;=5000,'Nacional · supuestos'!$C$35,'Nacional · supuestos'!$C$36)),IF(E1085&lt;=2000,'Nacional · supuestos'!$B$34,IF(E1085&lt;=5000,'Nacional · supuestos'!$B$35,'Nacional · supuestos'!$B$36))),0)</f>
        <v>0</v>
      </c>
      <c r="J1085">
        <f>IF(D1085="Canarias",MAX(E1085*I1085,IF(C1085="CABRERA MORALES FRANCISCO",'Nacional · supuestos'!$C$38,'Nacional · supuestos'!$B$38)),0)</f>
        <v>0</v>
      </c>
      <c r="K1085">
        <f>IF(D1085="Canarias",MAX(E1085*'Nacional · supuestos'!$B$41,'Nacional · supuestos'!$B$42),0)</f>
        <v>0</v>
      </c>
      <c r="L1085">
        <f>IF(D1085="Canarias",E1085*'Nacional · supuestos'!$B$43,0)</f>
        <v>0</v>
      </c>
      <c r="M1085">
        <f>IF(D1085="Canarias",E1085*'Nacional · supuestos'!$B$44,0)</f>
        <v>0</v>
      </c>
      <c r="N1085">
        <f>IF(D1085="Canarias",E1085*'Nacional · supuestos'!$B$45,0)</f>
        <v>0</v>
      </c>
      <c r="O1085">
        <f>IF(D1085="Canarias",'Nacional · supuestos'!$B$46,0)</f>
        <v>0</v>
      </c>
      <c r="P1085">
        <f>IF(D1085="Canarias",MAX(H1085*'Nacional · supuestos'!$B$47,'Nacional · supuestos'!$B$48),0)</f>
        <v>0</v>
      </c>
      <c r="Q1085">
        <f>IF(D1085="Resto nacional",E1085*'Nacional · supuestos'!$B$13*IF(A1085=2027,1+'Nacional · supuestos'!$B$6,1),0)</f>
        <v>1069.8969194536373</v>
      </c>
      <c r="R1085">
        <f>IF(D1085="Canarias",SUM(J1085:P1085)*IF(A1085=2027,1+'Nacional · supuestos'!$B$6,1),0)</f>
        <v>0</v>
      </c>
      <c r="S1085">
        <f t="shared" si="18"/>
        <v>1069.8969194536373</v>
      </c>
    </row>
    <row r="1086" spans="1:19">
      <c r="A1086">
        <v>2026</v>
      </c>
      <c r="B1086">
        <v>9</v>
      </c>
      <c r="C1086" t="s">
        <v>173</v>
      </c>
      <c r="D1086" t="s">
        <v>160</v>
      </c>
      <c r="E1086">
        <f>SUMIFS('Nacional · base'!$J$7:$J$1068,'Nacional · base'!$A$7:$A$1068,A1086,'Nacional · base'!$B$7:$B$1068,B1086,'Nacional · base'!$C$7:$C$1068,C1086)</f>
        <v>939.65377327256351</v>
      </c>
      <c r="F1086">
        <f>SUMIFS('Nacional · base'!$K$7:$K$1068,'Nacional · base'!$A$7:$A$1068,A1086,'Nacional · base'!$B$7:$B$1068,B1086,'Nacional · base'!$C$7:$C$1068,C1086)</f>
        <v>1.2639948523978526</v>
      </c>
      <c r="G1086">
        <f t="shared" si="17"/>
        <v>2</v>
      </c>
      <c r="H1086">
        <f>SUMIFS('Nacional · base'!$G$7:$G$1068,'Nacional · base'!$A$7:$A$1068,A1086,'Nacional · base'!$B$7:$B$1068,B1086,'Nacional · base'!$C$7:$C$1068,C1086)</f>
        <v>3097.2929863156978</v>
      </c>
      <c r="I1086">
        <f>IF(D1086="Canarias",IF(C1086="CABRERA MORALES FRANCISCO",IF(E1086&lt;=2000,'Nacional · supuestos'!$C$34,IF(E1086&lt;=5000,'Nacional · supuestos'!$C$35,'Nacional · supuestos'!$C$36)),IF(E1086&lt;=2000,'Nacional · supuestos'!$B$34,IF(E1086&lt;=5000,'Nacional · supuestos'!$B$35,'Nacional · supuestos'!$B$36))),0)</f>
        <v>0</v>
      </c>
      <c r="J1086">
        <f>IF(D1086="Canarias",MAX(E1086*I1086,IF(C1086="CABRERA MORALES FRANCISCO",'Nacional · supuestos'!$C$38,'Nacional · supuestos'!$B$38)),0)</f>
        <v>0</v>
      </c>
      <c r="K1086">
        <f>IF(D1086="Canarias",MAX(E1086*'Nacional · supuestos'!$B$41,'Nacional · supuestos'!$B$42),0)</f>
        <v>0</v>
      </c>
      <c r="L1086">
        <f>IF(D1086="Canarias",E1086*'Nacional · supuestos'!$B$43,0)</f>
        <v>0</v>
      </c>
      <c r="M1086">
        <f>IF(D1086="Canarias",E1086*'Nacional · supuestos'!$B$44,0)</f>
        <v>0</v>
      </c>
      <c r="N1086">
        <f>IF(D1086="Canarias",E1086*'Nacional · supuestos'!$B$45,0)</f>
        <v>0</v>
      </c>
      <c r="O1086">
        <f>IF(D1086="Canarias",'Nacional · supuestos'!$B$46,0)</f>
        <v>0</v>
      </c>
      <c r="P1086">
        <f>IF(D1086="Canarias",MAX(H1086*'Nacional · supuestos'!$B$47,'Nacional · supuestos'!$B$48),0)</f>
        <v>0</v>
      </c>
      <c r="Q1086">
        <f>IF(D1086="Resto nacional",E1086*'Nacional · supuestos'!$B$13*IF(A1086=2027,1+'Nacional · supuestos'!$B$6,1),0)</f>
        <v>83.319858401931938</v>
      </c>
      <c r="R1086">
        <f>IF(D1086="Canarias",SUM(J1086:P1086)*IF(A1086=2027,1+'Nacional · supuestos'!$B$6,1),0)</f>
        <v>0</v>
      </c>
      <c r="S1086">
        <f t="shared" si="18"/>
        <v>83.319858401931938</v>
      </c>
    </row>
    <row r="1087" spans="1:19">
      <c r="A1087">
        <v>2026</v>
      </c>
      <c r="B1087">
        <v>9</v>
      </c>
      <c r="C1087" t="s">
        <v>174</v>
      </c>
      <c r="D1087" t="s">
        <v>160</v>
      </c>
      <c r="E1087">
        <f>SUMIFS('Nacional · base'!$J$7:$J$1068,'Nacional · base'!$A$7:$A$1068,A1087,'Nacional · base'!$B$7:$B$1068,B1087,'Nacional · base'!$C$7:$C$1068,C1087)</f>
        <v>12242.80134135512</v>
      </c>
      <c r="F1087">
        <f>SUMIFS('Nacional · base'!$K$7:$K$1068,'Nacional · base'!$A$7:$A$1068,A1087,'Nacional · base'!$B$7:$B$1068,B1087,'Nacional · base'!$C$7:$C$1068,C1087)</f>
        <v>12.086950776054465</v>
      </c>
      <c r="G1087">
        <f t="shared" si="17"/>
        <v>13</v>
      </c>
      <c r="H1087">
        <f>SUMIFS('Nacional · base'!$G$7:$G$1068,'Nacional · base'!$A$7:$A$1068,A1087,'Nacional · base'!$B$7:$B$1068,B1087,'Nacional · base'!$C$7:$C$1068,C1087)</f>
        <v>24433.42914727117</v>
      </c>
      <c r="I1087">
        <f>IF(D1087="Canarias",IF(C1087="CABRERA MORALES FRANCISCO",IF(E1087&lt;=2000,'Nacional · supuestos'!$C$34,IF(E1087&lt;=5000,'Nacional · supuestos'!$C$35,'Nacional · supuestos'!$C$36)),IF(E1087&lt;=2000,'Nacional · supuestos'!$B$34,IF(E1087&lt;=5000,'Nacional · supuestos'!$B$35,'Nacional · supuestos'!$B$36))),0)</f>
        <v>0</v>
      </c>
      <c r="J1087">
        <f>IF(D1087="Canarias",MAX(E1087*I1087,IF(C1087="CABRERA MORALES FRANCISCO",'Nacional · supuestos'!$C$38,'Nacional · supuestos'!$B$38)),0)</f>
        <v>0</v>
      </c>
      <c r="K1087">
        <f>IF(D1087="Canarias",MAX(E1087*'Nacional · supuestos'!$B$41,'Nacional · supuestos'!$B$42),0)</f>
        <v>0</v>
      </c>
      <c r="L1087">
        <f>IF(D1087="Canarias",E1087*'Nacional · supuestos'!$B$43,0)</f>
        <v>0</v>
      </c>
      <c r="M1087">
        <f>IF(D1087="Canarias",E1087*'Nacional · supuestos'!$B$44,0)</f>
        <v>0</v>
      </c>
      <c r="N1087">
        <f>IF(D1087="Canarias",E1087*'Nacional · supuestos'!$B$45,0)</f>
        <v>0</v>
      </c>
      <c r="O1087">
        <f>IF(D1087="Canarias",'Nacional · supuestos'!$B$46,0)</f>
        <v>0</v>
      </c>
      <c r="P1087">
        <f>IF(D1087="Canarias",MAX(H1087*'Nacional · supuestos'!$B$47,'Nacional · supuestos'!$B$48),0)</f>
        <v>0</v>
      </c>
      <c r="Q1087">
        <f>IF(D1087="Resto nacional",E1087*'Nacional · supuestos'!$B$13*IF(A1087=2027,1+'Nacional · supuestos'!$B$6,1),0)</f>
        <v>1085.579075207738</v>
      </c>
      <c r="R1087">
        <f>IF(D1087="Canarias",SUM(J1087:P1087)*IF(A1087=2027,1+'Nacional · supuestos'!$B$6,1),0)</f>
        <v>0</v>
      </c>
      <c r="S1087">
        <f t="shared" si="18"/>
        <v>1085.579075207738</v>
      </c>
    </row>
    <row r="1088" spans="1:19">
      <c r="A1088">
        <v>2026</v>
      </c>
      <c r="B1088">
        <v>9</v>
      </c>
      <c r="C1088" t="s">
        <v>175</v>
      </c>
      <c r="D1088" t="s">
        <v>160</v>
      </c>
      <c r="E1088">
        <f>SUMIFS('Nacional · base'!$J$7:$J$1068,'Nacional · base'!$A$7:$A$1068,A1088,'Nacional · base'!$B$7:$B$1068,B1088,'Nacional · base'!$C$7:$C$1068,C1088)</f>
        <v>8076.5479083665568</v>
      </c>
      <c r="F1088">
        <f>SUMIFS('Nacional · base'!$K$7:$K$1068,'Nacional · base'!$A$7:$A$1068,A1088,'Nacional · base'!$B$7:$B$1068,B1088,'Nacional · base'!$C$7:$C$1068,C1088)</f>
        <v>10.743956245381746</v>
      </c>
      <c r="G1088">
        <f t="shared" si="17"/>
        <v>11</v>
      </c>
      <c r="H1088">
        <f>SUMIFS('Nacional · base'!$G$7:$G$1068,'Nacional · base'!$A$7:$A$1068,A1088,'Nacional · base'!$B$7:$B$1068,B1088,'Nacional · base'!$C$7:$C$1068,C1088)</f>
        <v>26925.758128739195</v>
      </c>
      <c r="I1088">
        <f>IF(D1088="Canarias",IF(C1088="CABRERA MORALES FRANCISCO",IF(E1088&lt;=2000,'Nacional · supuestos'!$C$34,IF(E1088&lt;=5000,'Nacional · supuestos'!$C$35,'Nacional · supuestos'!$C$36)),IF(E1088&lt;=2000,'Nacional · supuestos'!$B$34,IF(E1088&lt;=5000,'Nacional · supuestos'!$B$35,'Nacional · supuestos'!$B$36))),0)</f>
        <v>0</v>
      </c>
      <c r="J1088">
        <f>IF(D1088="Canarias",MAX(E1088*I1088,IF(C1088="CABRERA MORALES FRANCISCO",'Nacional · supuestos'!$C$38,'Nacional · supuestos'!$B$38)),0)</f>
        <v>0</v>
      </c>
      <c r="K1088">
        <f>IF(D1088="Canarias",MAX(E1088*'Nacional · supuestos'!$B$41,'Nacional · supuestos'!$B$42),0)</f>
        <v>0</v>
      </c>
      <c r="L1088">
        <f>IF(D1088="Canarias",E1088*'Nacional · supuestos'!$B$43,0)</f>
        <v>0</v>
      </c>
      <c r="M1088">
        <f>IF(D1088="Canarias",E1088*'Nacional · supuestos'!$B$44,0)</f>
        <v>0</v>
      </c>
      <c r="N1088">
        <f>IF(D1088="Canarias",E1088*'Nacional · supuestos'!$B$45,0)</f>
        <v>0</v>
      </c>
      <c r="O1088">
        <f>IF(D1088="Canarias",'Nacional · supuestos'!$B$46,0)</f>
        <v>0</v>
      </c>
      <c r="P1088">
        <f>IF(D1088="Canarias",MAX(H1088*'Nacional · supuestos'!$B$47,'Nacional · supuestos'!$B$48),0)</f>
        <v>0</v>
      </c>
      <c r="Q1088">
        <f>IF(D1088="Resto nacional",E1088*'Nacional · supuestos'!$B$13*IF(A1088=2027,1+'Nacional · supuestos'!$B$6,1),0)</f>
        <v>716.15402102612927</v>
      </c>
      <c r="R1088">
        <f>IF(D1088="Canarias",SUM(J1088:P1088)*IF(A1088=2027,1+'Nacional · supuestos'!$B$6,1),0)</f>
        <v>0</v>
      </c>
      <c r="S1088">
        <f t="shared" si="18"/>
        <v>716.15402102612927</v>
      </c>
    </row>
    <row r="1089" spans="1:19">
      <c r="A1089">
        <v>2026</v>
      </c>
      <c r="B1089">
        <v>9</v>
      </c>
      <c r="C1089" t="s">
        <v>176</v>
      </c>
      <c r="D1089" t="s">
        <v>160</v>
      </c>
      <c r="E1089">
        <f>SUMIFS('Nacional · base'!$J$7:$J$1068,'Nacional · base'!$A$7:$A$1068,A1089,'Nacional · base'!$B$7:$B$1068,B1089,'Nacional · base'!$C$7:$C$1068,C1089)</f>
        <v>7034.8897505054874</v>
      </c>
      <c r="F1089">
        <f>SUMIFS('Nacional · base'!$K$7:$K$1068,'Nacional · base'!$A$7:$A$1068,A1089,'Nacional · base'!$B$7:$B$1068,B1089,'Nacional · base'!$C$7:$C$1068,C1089)</f>
        <v>7.5839691143871146</v>
      </c>
      <c r="G1089">
        <f t="shared" si="17"/>
        <v>8</v>
      </c>
      <c r="H1089">
        <f>SUMIFS('Nacional · base'!$G$7:$G$1068,'Nacional · base'!$A$7:$A$1068,A1089,'Nacional · base'!$B$7:$B$1068,B1089,'Nacional · base'!$C$7:$C$1068,C1089)</f>
        <v>17279.338651300692</v>
      </c>
      <c r="I1089">
        <f>IF(D1089="Canarias",IF(C1089="CABRERA MORALES FRANCISCO",IF(E1089&lt;=2000,'Nacional · supuestos'!$C$34,IF(E1089&lt;=5000,'Nacional · supuestos'!$C$35,'Nacional · supuestos'!$C$36)),IF(E1089&lt;=2000,'Nacional · supuestos'!$B$34,IF(E1089&lt;=5000,'Nacional · supuestos'!$B$35,'Nacional · supuestos'!$B$36))),0)</f>
        <v>0</v>
      </c>
      <c r="J1089">
        <f>IF(D1089="Canarias",MAX(E1089*I1089,IF(C1089="CABRERA MORALES FRANCISCO",'Nacional · supuestos'!$C$38,'Nacional · supuestos'!$B$38)),0)</f>
        <v>0</v>
      </c>
      <c r="K1089">
        <f>IF(D1089="Canarias",MAX(E1089*'Nacional · supuestos'!$B$41,'Nacional · supuestos'!$B$42),0)</f>
        <v>0</v>
      </c>
      <c r="L1089">
        <f>IF(D1089="Canarias",E1089*'Nacional · supuestos'!$B$43,0)</f>
        <v>0</v>
      </c>
      <c r="M1089">
        <f>IF(D1089="Canarias",E1089*'Nacional · supuestos'!$B$44,0)</f>
        <v>0</v>
      </c>
      <c r="N1089">
        <f>IF(D1089="Canarias",E1089*'Nacional · supuestos'!$B$45,0)</f>
        <v>0</v>
      </c>
      <c r="O1089">
        <f>IF(D1089="Canarias",'Nacional · supuestos'!$B$46,0)</f>
        <v>0</v>
      </c>
      <c r="P1089">
        <f>IF(D1089="Canarias",MAX(H1089*'Nacional · supuestos'!$B$47,'Nacional · supuestos'!$B$48),0)</f>
        <v>0</v>
      </c>
      <c r="Q1089">
        <f>IF(D1089="Resto nacional",E1089*'Nacional · supuestos'!$B$13*IF(A1089=2027,1+'Nacional · supuestos'!$B$6,1),0)</f>
        <v>623.78935152245413</v>
      </c>
      <c r="R1089">
        <f>IF(D1089="Canarias",SUM(J1089:P1089)*IF(A1089=2027,1+'Nacional · supuestos'!$B$6,1),0)</f>
        <v>0</v>
      </c>
      <c r="S1089">
        <f t="shared" si="18"/>
        <v>623.78935152245413</v>
      </c>
    </row>
    <row r="1090" spans="1:19">
      <c r="A1090">
        <v>2026</v>
      </c>
      <c r="B1090">
        <v>9</v>
      </c>
      <c r="C1090" t="s">
        <v>178</v>
      </c>
      <c r="D1090" t="s">
        <v>160</v>
      </c>
      <c r="E1090">
        <f>SUMIFS('Nacional · base'!$J$7:$J$1068,'Nacional · base'!$A$7:$A$1068,A1090,'Nacional · base'!$B$7:$B$1068,B1090,'Nacional · base'!$C$7:$C$1068,C1090)</f>
        <v>4028.3010347978598</v>
      </c>
      <c r="F1090">
        <f>SUMIFS('Nacional · base'!$K$7:$K$1068,'Nacional · base'!$A$7:$A$1068,A1090,'Nacional · base'!$B$7:$B$1068,B1090,'Nacional · base'!$C$7:$C$1068,C1090)</f>
        <v>5.1109200949371125</v>
      </c>
      <c r="G1090">
        <f t="shared" si="17"/>
        <v>6</v>
      </c>
      <c r="H1090">
        <f>SUMIFS('Nacional · base'!$G$7:$G$1068,'Nacional · base'!$A$7:$A$1068,A1090,'Nacional · base'!$B$7:$B$1068,B1090,'Nacional · base'!$C$7:$C$1068,C1090)</f>
        <v>14950.748186005794</v>
      </c>
      <c r="I1090">
        <f>IF(D1090="Canarias",IF(C1090="CABRERA MORALES FRANCISCO",IF(E1090&lt;=2000,'Nacional · supuestos'!$C$34,IF(E1090&lt;=5000,'Nacional · supuestos'!$C$35,'Nacional · supuestos'!$C$36)),IF(E1090&lt;=2000,'Nacional · supuestos'!$B$34,IF(E1090&lt;=5000,'Nacional · supuestos'!$B$35,'Nacional · supuestos'!$B$36))),0)</f>
        <v>0</v>
      </c>
      <c r="J1090">
        <f>IF(D1090="Canarias",MAX(E1090*I1090,IF(C1090="CABRERA MORALES FRANCISCO",'Nacional · supuestos'!$C$38,'Nacional · supuestos'!$B$38)),0)</f>
        <v>0</v>
      </c>
      <c r="K1090">
        <f>IF(D1090="Canarias",MAX(E1090*'Nacional · supuestos'!$B$41,'Nacional · supuestos'!$B$42),0)</f>
        <v>0</v>
      </c>
      <c r="L1090">
        <f>IF(D1090="Canarias",E1090*'Nacional · supuestos'!$B$43,0)</f>
        <v>0</v>
      </c>
      <c r="M1090">
        <f>IF(D1090="Canarias",E1090*'Nacional · supuestos'!$B$44,0)</f>
        <v>0</v>
      </c>
      <c r="N1090">
        <f>IF(D1090="Canarias",E1090*'Nacional · supuestos'!$B$45,0)</f>
        <v>0</v>
      </c>
      <c r="O1090">
        <f>IF(D1090="Canarias",'Nacional · supuestos'!$B$46,0)</f>
        <v>0</v>
      </c>
      <c r="P1090">
        <f>IF(D1090="Canarias",MAX(H1090*'Nacional · supuestos'!$B$47,'Nacional · supuestos'!$B$48),0)</f>
        <v>0</v>
      </c>
      <c r="Q1090">
        <f>IF(D1090="Resto nacional",E1090*'Nacional · supuestos'!$B$13*IF(A1090=2027,1+'Nacional · supuestos'!$B$6,1),0)</f>
        <v>357.19270370274552</v>
      </c>
      <c r="R1090">
        <f>IF(D1090="Canarias",SUM(J1090:P1090)*IF(A1090=2027,1+'Nacional · supuestos'!$B$6,1),0)</f>
        <v>0</v>
      </c>
      <c r="S1090">
        <f t="shared" si="18"/>
        <v>357.19270370274552</v>
      </c>
    </row>
    <row r="1091" spans="1:19">
      <c r="A1091">
        <v>2026</v>
      </c>
      <c r="B1091">
        <v>9</v>
      </c>
      <c r="C1091" t="s">
        <v>179</v>
      </c>
      <c r="D1091" t="s">
        <v>160</v>
      </c>
      <c r="E1091">
        <f>SUMIFS('Nacional · base'!$J$7:$J$1068,'Nacional · base'!$A$7:$A$1068,A1091,'Nacional · base'!$B$7:$B$1068,B1091,'Nacional · base'!$C$7:$C$1068,C1091)</f>
        <v>783.04481106046956</v>
      </c>
      <c r="F1091">
        <f>SUMIFS('Nacional · base'!$K$7:$K$1068,'Nacional · base'!$A$7:$A$1068,A1091,'Nacional · base'!$B$7:$B$1068,B1091,'Nacional · base'!$C$7:$C$1068,C1091)</f>
        <v>1.0427957532282282</v>
      </c>
      <c r="G1091">
        <f t="shared" si="17"/>
        <v>2</v>
      </c>
      <c r="H1091">
        <f>SUMIFS('Nacional · base'!$G$7:$G$1068,'Nacional · base'!$A$7:$A$1068,A1091,'Nacional · base'!$B$7:$B$1068,B1091,'Nacional · base'!$C$7:$C$1068,C1091)</f>
        <v>2953.7663708259215</v>
      </c>
      <c r="I1091">
        <f>IF(D1091="Canarias",IF(C1091="CABRERA MORALES FRANCISCO",IF(E1091&lt;=2000,'Nacional · supuestos'!$C$34,IF(E1091&lt;=5000,'Nacional · supuestos'!$C$35,'Nacional · supuestos'!$C$36)),IF(E1091&lt;=2000,'Nacional · supuestos'!$B$34,IF(E1091&lt;=5000,'Nacional · supuestos'!$B$35,'Nacional · supuestos'!$B$36))),0)</f>
        <v>0</v>
      </c>
      <c r="J1091">
        <f>IF(D1091="Canarias",MAX(E1091*I1091,IF(C1091="CABRERA MORALES FRANCISCO",'Nacional · supuestos'!$C$38,'Nacional · supuestos'!$B$38)),0)</f>
        <v>0</v>
      </c>
      <c r="K1091">
        <f>IF(D1091="Canarias",MAX(E1091*'Nacional · supuestos'!$B$41,'Nacional · supuestos'!$B$42),0)</f>
        <v>0</v>
      </c>
      <c r="L1091">
        <f>IF(D1091="Canarias",E1091*'Nacional · supuestos'!$B$43,0)</f>
        <v>0</v>
      </c>
      <c r="M1091">
        <f>IF(D1091="Canarias",E1091*'Nacional · supuestos'!$B$44,0)</f>
        <v>0</v>
      </c>
      <c r="N1091">
        <f>IF(D1091="Canarias",E1091*'Nacional · supuestos'!$B$45,0)</f>
        <v>0</v>
      </c>
      <c r="O1091">
        <f>IF(D1091="Canarias",'Nacional · supuestos'!$B$46,0)</f>
        <v>0</v>
      </c>
      <c r="P1091">
        <f>IF(D1091="Canarias",MAX(H1091*'Nacional · supuestos'!$B$47,'Nacional · supuestos'!$B$48),0)</f>
        <v>0</v>
      </c>
      <c r="Q1091">
        <f>IF(D1091="Resto nacional",E1091*'Nacional · supuestos'!$B$13*IF(A1091=2027,1+'Nacional · supuestos'!$B$6,1),0)</f>
        <v>69.433215334943284</v>
      </c>
      <c r="R1091">
        <f>IF(D1091="Canarias",SUM(J1091:P1091)*IF(A1091=2027,1+'Nacional · supuestos'!$B$6,1),0)</f>
        <v>0</v>
      </c>
      <c r="S1091">
        <f t="shared" si="18"/>
        <v>69.433215334943284</v>
      </c>
    </row>
    <row r="1092" spans="1:19">
      <c r="A1092">
        <v>2026</v>
      </c>
      <c r="B1092">
        <v>9</v>
      </c>
      <c r="C1092" t="s">
        <v>180</v>
      </c>
      <c r="D1092" t="s">
        <v>160</v>
      </c>
      <c r="E1092">
        <f>SUMIFS('Nacional · base'!$J$7:$J$1068,'Nacional · base'!$A$7:$A$1068,A1092,'Nacional · base'!$B$7:$B$1068,B1092,'Nacional · base'!$C$7:$C$1068,C1092)</f>
        <v>1080.8672781824516</v>
      </c>
      <c r="F1092">
        <f>SUMIFS('Nacional · base'!$K$7:$K$1068,'Nacional · base'!$A$7:$A$1068,A1092,'Nacional · base'!$B$7:$B$1068,B1092,'Nacional · base'!$C$7:$C$1068,C1092)</f>
        <v>1.3860852642771904</v>
      </c>
      <c r="G1092">
        <f t="shared" si="17"/>
        <v>2</v>
      </c>
      <c r="H1092">
        <f>SUMIFS('Nacional · base'!$G$7:$G$1068,'Nacional · base'!$A$7:$A$1068,A1092,'Nacional · base'!$B$7:$B$1068,B1092,'Nacional · base'!$C$7:$C$1068,C1092)</f>
        <v>2975.8930764141332</v>
      </c>
      <c r="I1092">
        <f>IF(D1092="Canarias",IF(C1092="CABRERA MORALES FRANCISCO",IF(E1092&lt;=2000,'Nacional · supuestos'!$C$34,IF(E1092&lt;=5000,'Nacional · supuestos'!$C$35,'Nacional · supuestos'!$C$36)),IF(E1092&lt;=2000,'Nacional · supuestos'!$B$34,IF(E1092&lt;=5000,'Nacional · supuestos'!$B$35,'Nacional · supuestos'!$B$36))),0)</f>
        <v>0</v>
      </c>
      <c r="J1092">
        <f>IF(D1092="Canarias",MAX(E1092*I1092,IF(C1092="CABRERA MORALES FRANCISCO",'Nacional · supuestos'!$C$38,'Nacional · supuestos'!$B$38)),0)</f>
        <v>0</v>
      </c>
      <c r="K1092">
        <f>IF(D1092="Canarias",MAX(E1092*'Nacional · supuestos'!$B$41,'Nacional · supuestos'!$B$42),0)</f>
        <v>0</v>
      </c>
      <c r="L1092">
        <f>IF(D1092="Canarias",E1092*'Nacional · supuestos'!$B$43,0)</f>
        <v>0</v>
      </c>
      <c r="M1092">
        <f>IF(D1092="Canarias",E1092*'Nacional · supuestos'!$B$44,0)</f>
        <v>0</v>
      </c>
      <c r="N1092">
        <f>IF(D1092="Canarias",E1092*'Nacional · supuestos'!$B$45,0)</f>
        <v>0</v>
      </c>
      <c r="O1092">
        <f>IF(D1092="Canarias",'Nacional · supuestos'!$B$46,0)</f>
        <v>0</v>
      </c>
      <c r="P1092">
        <f>IF(D1092="Canarias",MAX(H1092*'Nacional · supuestos'!$B$47,'Nacional · supuestos'!$B$48),0)</f>
        <v>0</v>
      </c>
      <c r="Q1092">
        <f>IF(D1092="Resto nacional",E1092*'Nacional · supuestos'!$B$13*IF(A1092=2027,1+'Nacional · supuestos'!$B$6,1),0)</f>
        <v>95.84137384538613</v>
      </c>
      <c r="R1092">
        <f>IF(D1092="Canarias",SUM(J1092:P1092)*IF(A1092=2027,1+'Nacional · supuestos'!$B$6,1),0)</f>
        <v>0</v>
      </c>
      <c r="S1092">
        <f t="shared" si="18"/>
        <v>95.84137384538613</v>
      </c>
    </row>
    <row r="1093" spans="1:19">
      <c r="A1093">
        <v>2026</v>
      </c>
      <c r="B1093">
        <v>9</v>
      </c>
      <c r="C1093" t="s">
        <v>181</v>
      </c>
      <c r="D1093" t="s">
        <v>160</v>
      </c>
      <c r="E1093">
        <f>SUMIFS('Nacional · base'!$J$7:$J$1068,'Nacional · base'!$A$7:$A$1068,A1093,'Nacional · base'!$B$7:$B$1068,B1093,'Nacional · base'!$C$7:$C$1068,C1093)</f>
        <v>1042.795753228228</v>
      </c>
      <c r="F1093">
        <f>SUMIFS('Nacional · base'!$K$7:$K$1068,'Nacional · base'!$A$7:$A$1068,A1093,'Nacional · base'!$B$7:$B$1068,B1093,'Nacional · base'!$C$7:$C$1068,C1093)</f>
        <v>1.303494691535285</v>
      </c>
      <c r="G1093">
        <f t="shared" si="17"/>
        <v>2</v>
      </c>
      <c r="H1093">
        <f>SUMIFS('Nacional · base'!$G$7:$G$1068,'Nacional · base'!$A$7:$A$1068,A1093,'Nacional · base'!$B$7:$B$1068,B1093,'Nacional · base'!$C$7:$C$1068,C1093)</f>
        <v>1929.1721434722219</v>
      </c>
      <c r="I1093">
        <f>IF(D1093="Canarias",IF(C1093="CABRERA MORALES FRANCISCO",IF(E1093&lt;=2000,'Nacional · supuestos'!$C$34,IF(E1093&lt;=5000,'Nacional · supuestos'!$C$35,'Nacional · supuestos'!$C$36)),IF(E1093&lt;=2000,'Nacional · supuestos'!$B$34,IF(E1093&lt;=5000,'Nacional · supuestos'!$B$35,'Nacional · supuestos'!$B$36))),0)</f>
        <v>0</v>
      </c>
      <c r="J1093">
        <f>IF(D1093="Canarias",MAX(E1093*I1093,IF(C1093="CABRERA MORALES FRANCISCO",'Nacional · supuestos'!$C$38,'Nacional · supuestos'!$B$38)),0)</f>
        <v>0</v>
      </c>
      <c r="K1093">
        <f>IF(D1093="Canarias",MAX(E1093*'Nacional · supuestos'!$B$41,'Nacional · supuestos'!$B$42),0)</f>
        <v>0</v>
      </c>
      <c r="L1093">
        <f>IF(D1093="Canarias",E1093*'Nacional · supuestos'!$B$43,0)</f>
        <v>0</v>
      </c>
      <c r="M1093">
        <f>IF(D1093="Canarias",E1093*'Nacional · supuestos'!$B$44,0)</f>
        <v>0</v>
      </c>
      <c r="N1093">
        <f>IF(D1093="Canarias",E1093*'Nacional · supuestos'!$B$45,0)</f>
        <v>0</v>
      </c>
      <c r="O1093">
        <f>IF(D1093="Canarias",'Nacional · supuestos'!$B$46,0)</f>
        <v>0</v>
      </c>
      <c r="P1093">
        <f>IF(D1093="Canarias",MAX(H1093*'Nacional · supuestos'!$B$47,'Nacional · supuestos'!$B$48),0)</f>
        <v>0</v>
      </c>
      <c r="Q1093">
        <f>IF(D1093="Resto nacional",E1093*'Nacional · supuestos'!$B$13*IF(A1093=2027,1+'Nacional · supuestos'!$B$6,1),0)</f>
        <v>92.465541002951085</v>
      </c>
      <c r="R1093">
        <f>IF(D1093="Canarias",SUM(J1093:P1093)*IF(A1093=2027,1+'Nacional · supuestos'!$B$6,1),0)</f>
        <v>0</v>
      </c>
      <c r="S1093">
        <f t="shared" si="18"/>
        <v>92.465541002951085</v>
      </c>
    </row>
    <row r="1094" spans="1:19">
      <c r="A1094">
        <v>2026</v>
      </c>
      <c r="B1094">
        <v>10</v>
      </c>
      <c r="C1094" t="s">
        <v>159</v>
      </c>
      <c r="D1094" t="s">
        <v>160</v>
      </c>
      <c r="E1094">
        <f>SUMIFS('Nacional · base'!$J$7:$J$1068,'Nacional · base'!$A$7:$A$1068,A1094,'Nacional · base'!$B$7:$B$1068,B1094,'Nacional · base'!$C$7:$C$1068,C1094)</f>
        <v>2103.0346354195467</v>
      </c>
      <c r="F1094">
        <f>SUMIFS('Nacional · base'!$K$7:$K$1068,'Nacional · base'!$A$7:$A$1068,A1094,'Nacional · base'!$B$7:$B$1068,B1094,'Nacional · base'!$C$7:$C$1068,C1094)</f>
        <v>2.7847386591890184</v>
      </c>
      <c r="G1094">
        <f t="shared" si="17"/>
        <v>3</v>
      </c>
      <c r="H1094">
        <f>SUMIFS('Nacional · base'!$G$7:$G$1068,'Nacional · base'!$A$7:$A$1068,A1094,'Nacional · base'!$B$7:$B$1068,B1094,'Nacional · base'!$C$7:$C$1068,C1094)</f>
        <v>4672.0882624934657</v>
      </c>
      <c r="I1094">
        <f>IF(D1094="Canarias",IF(C1094="CABRERA MORALES FRANCISCO",IF(E1094&lt;=2000,'Nacional · supuestos'!$C$34,IF(E1094&lt;=5000,'Nacional · supuestos'!$C$35,'Nacional · supuestos'!$C$36)),IF(E1094&lt;=2000,'Nacional · supuestos'!$B$34,IF(E1094&lt;=5000,'Nacional · supuestos'!$B$35,'Nacional · supuestos'!$B$36))),0)</f>
        <v>0</v>
      </c>
      <c r="J1094">
        <f>IF(D1094="Canarias",MAX(E1094*I1094,IF(C1094="CABRERA MORALES FRANCISCO",'Nacional · supuestos'!$C$38,'Nacional · supuestos'!$B$38)),0)</f>
        <v>0</v>
      </c>
      <c r="K1094">
        <f>IF(D1094="Canarias",MAX(E1094*'Nacional · supuestos'!$B$41,'Nacional · supuestos'!$B$42),0)</f>
        <v>0</v>
      </c>
      <c r="L1094">
        <f>IF(D1094="Canarias",E1094*'Nacional · supuestos'!$B$43,0)</f>
        <v>0</v>
      </c>
      <c r="M1094">
        <f>IF(D1094="Canarias",E1094*'Nacional · supuestos'!$B$44,0)</f>
        <v>0</v>
      </c>
      <c r="N1094">
        <f>IF(D1094="Canarias",E1094*'Nacional · supuestos'!$B$45,0)</f>
        <v>0</v>
      </c>
      <c r="O1094">
        <f>IF(D1094="Canarias",'Nacional · supuestos'!$B$46,0)</f>
        <v>0</v>
      </c>
      <c r="P1094">
        <f>IF(D1094="Canarias",MAX(H1094*'Nacional · supuestos'!$B$47,'Nacional · supuestos'!$B$48),0)</f>
        <v>0</v>
      </c>
      <c r="Q1094">
        <f>IF(D1094="Resto nacional",E1094*'Nacional · supuestos'!$B$13*IF(A1094=2027,1+'Nacional · supuestos'!$B$6,1),0)</f>
        <v>186.47777832813338</v>
      </c>
      <c r="R1094">
        <f>IF(D1094="Canarias",SUM(J1094:P1094)*IF(A1094=2027,1+'Nacional · supuestos'!$B$6,1),0)</f>
        <v>0</v>
      </c>
      <c r="S1094">
        <f t="shared" si="18"/>
        <v>186.47777832813338</v>
      </c>
    </row>
    <row r="1095" spans="1:19">
      <c r="A1095">
        <v>2026</v>
      </c>
      <c r="B1095">
        <v>10</v>
      </c>
      <c r="C1095" t="s">
        <v>162</v>
      </c>
      <c r="D1095" t="s">
        <v>160</v>
      </c>
      <c r="E1095">
        <f>SUMIFS('Nacional · base'!$J$7:$J$1068,'Nacional · base'!$A$7:$A$1068,A1095,'Nacional · base'!$B$7:$B$1068,B1095,'Nacional · base'!$C$7:$C$1068,C1095)</f>
        <v>6635.9729750887245</v>
      </c>
      <c r="F1095">
        <f>SUMIFS('Nacional · base'!$K$7:$K$1068,'Nacional · base'!$A$7:$A$1068,A1095,'Nacional · base'!$B$7:$B$1068,B1095,'Nacional · base'!$C$7:$C$1068,C1095)</f>
        <v>6.0434753880272307</v>
      </c>
      <c r="G1095">
        <f t="shared" si="17"/>
        <v>7</v>
      </c>
      <c r="H1095">
        <f>SUMIFS('Nacional · base'!$G$7:$G$1068,'Nacional · base'!$A$7:$A$1068,A1095,'Nacional · base'!$B$7:$B$1068,B1095,'Nacional · base'!$C$7:$C$1068,C1095)</f>
        <v>8842.5475490814606</v>
      </c>
      <c r="I1095">
        <f>IF(D1095="Canarias",IF(C1095="CABRERA MORALES FRANCISCO",IF(E1095&lt;=2000,'Nacional · supuestos'!$C$34,IF(E1095&lt;=5000,'Nacional · supuestos'!$C$35,'Nacional · supuestos'!$C$36)),IF(E1095&lt;=2000,'Nacional · supuestos'!$B$34,IF(E1095&lt;=5000,'Nacional · supuestos'!$B$35,'Nacional · supuestos'!$B$36))),0)</f>
        <v>0</v>
      </c>
      <c r="J1095">
        <f>IF(D1095="Canarias",MAX(E1095*I1095,IF(C1095="CABRERA MORALES FRANCISCO",'Nacional · supuestos'!$C$38,'Nacional · supuestos'!$B$38)),0)</f>
        <v>0</v>
      </c>
      <c r="K1095">
        <f>IF(D1095="Canarias",MAX(E1095*'Nacional · supuestos'!$B$41,'Nacional · supuestos'!$B$42),0)</f>
        <v>0</v>
      </c>
      <c r="L1095">
        <f>IF(D1095="Canarias",E1095*'Nacional · supuestos'!$B$43,0)</f>
        <v>0</v>
      </c>
      <c r="M1095">
        <f>IF(D1095="Canarias",E1095*'Nacional · supuestos'!$B$44,0)</f>
        <v>0</v>
      </c>
      <c r="N1095">
        <f>IF(D1095="Canarias",E1095*'Nacional · supuestos'!$B$45,0)</f>
        <v>0</v>
      </c>
      <c r="O1095">
        <f>IF(D1095="Canarias",'Nacional · supuestos'!$B$46,0)</f>
        <v>0</v>
      </c>
      <c r="P1095">
        <f>IF(D1095="Canarias",MAX(H1095*'Nacional · supuestos'!$B$47,'Nacional · supuestos'!$B$48),0)</f>
        <v>0</v>
      </c>
      <c r="Q1095">
        <f>IF(D1095="Resto nacional",E1095*'Nacional · supuestos'!$B$13*IF(A1095=2027,1+'Nacional · supuestos'!$B$6,1),0)</f>
        <v>588.41707910968876</v>
      </c>
      <c r="R1095">
        <f>IF(D1095="Canarias",SUM(J1095:P1095)*IF(A1095=2027,1+'Nacional · supuestos'!$B$6,1),0)</f>
        <v>0</v>
      </c>
      <c r="S1095">
        <f t="shared" si="18"/>
        <v>588.41707910968876</v>
      </c>
    </row>
    <row r="1096" spans="1:19">
      <c r="A1096">
        <v>2026</v>
      </c>
      <c r="B1096">
        <v>10</v>
      </c>
      <c r="C1096" t="s">
        <v>163</v>
      </c>
      <c r="D1096" t="s">
        <v>164</v>
      </c>
      <c r="E1096">
        <f>SUMIFS('Nacional · base'!$J$7:$J$1068,'Nacional · base'!$A$7:$A$1068,A1096,'Nacional · base'!$B$7:$B$1068,B1096,'Nacional · base'!$C$7:$C$1068,C1096)</f>
        <v>12645.510101329073</v>
      </c>
      <c r="F1096">
        <f>SUMIFS('Nacional · base'!$K$7:$K$1068,'Nacional · base'!$A$7:$A$1068,A1096,'Nacional · base'!$B$7:$B$1068,B1096,'Nacional · base'!$C$7:$C$1068,C1096)</f>
        <v>14.585315601497095</v>
      </c>
      <c r="G1096">
        <f t="shared" si="17"/>
        <v>15</v>
      </c>
      <c r="H1096">
        <f>SUMIFS('Nacional · base'!$G$7:$G$1068,'Nacional · base'!$A$7:$A$1068,A1096,'Nacional · base'!$B$7:$B$1068,B1096,'Nacional · base'!$C$7:$C$1068,C1096)</f>
        <v>24531.634023733066</v>
      </c>
      <c r="I1096">
        <f>IF(D1096="Canarias",IF(C1096="CABRERA MORALES FRANCISCO",IF(E1096&lt;=2000,'Nacional · supuestos'!$C$34,IF(E1096&lt;=5000,'Nacional · supuestos'!$C$35,'Nacional · supuestos'!$C$36)),IF(E1096&lt;=2000,'Nacional · supuestos'!$B$34,IF(E1096&lt;=5000,'Nacional · supuestos'!$B$35,'Nacional · supuestos'!$B$36))),0)</f>
        <v>0.104</v>
      </c>
      <c r="J1096">
        <f>IF(D1096="Canarias",MAX(E1096*I1096,IF(C1096="CABRERA MORALES FRANCISCO",'Nacional · supuestos'!$C$38,'Nacional · supuestos'!$B$38)),0)</f>
        <v>1315.1330505382236</v>
      </c>
      <c r="K1096">
        <f>IF(D1096="Canarias",MAX(E1096*'Nacional · supuestos'!$B$41,'Nacional · supuestos'!$B$42),0)</f>
        <v>455.2383636478466</v>
      </c>
      <c r="L1096">
        <f>IF(D1096="Canarias",E1096*'Nacional · supuestos'!$B$43,0)</f>
        <v>151.74612121594888</v>
      </c>
      <c r="M1096">
        <f>IF(D1096="Canarias",E1096*'Nacional · supuestos'!$B$44,0)</f>
        <v>227.6191818239233</v>
      </c>
      <c r="N1096">
        <f>IF(D1096="Canarias",E1096*'Nacional · supuestos'!$B$45,0)</f>
        <v>278.20122222923959</v>
      </c>
      <c r="O1096">
        <f>IF(D1096="Canarias",'Nacional · supuestos'!$B$46,0)</f>
        <v>15</v>
      </c>
      <c r="P1096">
        <f>IF(D1096="Canarias",MAX(H1096*'Nacional · supuestos'!$B$47,'Nacional · supuestos'!$B$48),0)</f>
        <v>110.39235310679879</v>
      </c>
      <c r="Q1096">
        <f>IF(D1096="Resto nacional",E1096*'Nacional · supuestos'!$B$13*IF(A1096=2027,1+'Nacional · supuestos'!$B$6,1),0)</f>
        <v>0</v>
      </c>
      <c r="R1096">
        <f>IF(D1096="Canarias",SUM(J1096:P1096)*IF(A1096=2027,1+'Nacional · supuestos'!$B$6,1),0)</f>
        <v>2553.330292561981</v>
      </c>
      <c r="S1096">
        <f t="shared" si="18"/>
        <v>2553.330292561981</v>
      </c>
    </row>
    <row r="1097" spans="1:19">
      <c r="A1097">
        <v>2026</v>
      </c>
      <c r="B1097">
        <v>10</v>
      </c>
      <c r="C1097" t="s">
        <v>166</v>
      </c>
      <c r="D1097" t="s">
        <v>160</v>
      </c>
      <c r="E1097">
        <f>SUMIFS('Nacional · base'!$J$7:$J$1068,'Nacional · base'!$A$7:$A$1068,A1097,'Nacional · base'!$B$7:$B$1068,B1097,'Nacional · base'!$C$7:$C$1068,C1097)</f>
        <v>7141.8237150183459</v>
      </c>
      <c r="F1097">
        <f>SUMIFS('Nacional · base'!$K$7:$K$1068,'Nacional · base'!$A$7:$A$1068,A1097,'Nacional · base'!$B$7:$B$1068,B1097,'Nacional · base'!$C$7:$C$1068,C1097)</f>
        <v>8.2949662188609068</v>
      </c>
      <c r="G1097">
        <f t="shared" si="17"/>
        <v>9</v>
      </c>
      <c r="H1097">
        <f>SUMIFS('Nacional · base'!$G$7:$G$1068,'Nacional · base'!$A$7:$A$1068,A1097,'Nacional · base'!$B$7:$B$1068,B1097,'Nacional · base'!$C$7:$C$1068,C1097)</f>
        <v>14084.56824078403</v>
      </c>
      <c r="I1097">
        <f>IF(D1097="Canarias",IF(C1097="CABRERA MORALES FRANCISCO",IF(E1097&lt;=2000,'Nacional · supuestos'!$C$34,IF(E1097&lt;=5000,'Nacional · supuestos'!$C$35,'Nacional · supuestos'!$C$36)),IF(E1097&lt;=2000,'Nacional · supuestos'!$B$34,IF(E1097&lt;=5000,'Nacional · supuestos'!$B$35,'Nacional · supuestos'!$B$36))),0)</f>
        <v>0</v>
      </c>
      <c r="J1097">
        <f>IF(D1097="Canarias",MAX(E1097*I1097,IF(C1097="CABRERA MORALES FRANCISCO",'Nacional · supuestos'!$C$38,'Nacional · supuestos'!$B$38)),0)</f>
        <v>0</v>
      </c>
      <c r="K1097">
        <f>IF(D1097="Canarias",MAX(E1097*'Nacional · supuestos'!$B$41,'Nacional · supuestos'!$B$42),0)</f>
        <v>0</v>
      </c>
      <c r="L1097">
        <f>IF(D1097="Canarias",E1097*'Nacional · supuestos'!$B$43,0)</f>
        <v>0</v>
      </c>
      <c r="M1097">
        <f>IF(D1097="Canarias",E1097*'Nacional · supuestos'!$B$44,0)</f>
        <v>0</v>
      </c>
      <c r="N1097">
        <f>IF(D1097="Canarias",E1097*'Nacional · supuestos'!$B$45,0)</f>
        <v>0</v>
      </c>
      <c r="O1097">
        <f>IF(D1097="Canarias",'Nacional · supuestos'!$B$46,0)</f>
        <v>0</v>
      </c>
      <c r="P1097">
        <f>IF(D1097="Canarias",MAX(H1097*'Nacional · supuestos'!$B$47,'Nacional · supuestos'!$B$48),0)</f>
        <v>0</v>
      </c>
      <c r="Q1097">
        <f>IF(D1097="Resto nacional",E1097*'Nacional · supuestos'!$B$13*IF(A1097=2027,1+'Nacional · supuestos'!$B$6,1),0)</f>
        <v>633.27127245439317</v>
      </c>
      <c r="R1097">
        <f>IF(D1097="Canarias",SUM(J1097:P1097)*IF(A1097=2027,1+'Nacional · supuestos'!$B$6,1),0)</f>
        <v>0</v>
      </c>
      <c r="S1097">
        <f t="shared" si="18"/>
        <v>633.27127245439317</v>
      </c>
    </row>
    <row r="1098" spans="1:19">
      <c r="A1098">
        <v>2026</v>
      </c>
      <c r="B1098">
        <v>10</v>
      </c>
      <c r="C1098" t="s">
        <v>167</v>
      </c>
      <c r="D1098" t="s">
        <v>160</v>
      </c>
      <c r="E1098">
        <f>SUMIFS('Nacional · base'!$J$7:$J$1068,'Nacional · base'!$A$7:$A$1068,A1098,'Nacional · base'!$B$7:$B$1068,B1098,'Nacional · base'!$C$7:$C$1068,C1098)</f>
        <v>111.86354443720992</v>
      </c>
      <c r="F1098">
        <f>SUMIFS('Nacional · base'!$K$7:$K$1068,'Nacional · base'!$A$7:$A$1068,A1098,'Nacional · base'!$B$7:$B$1068,B1098,'Nacional · base'!$C$7:$C$1068,C1098)</f>
        <v>0.15799935654973155</v>
      </c>
      <c r="G1098">
        <f t="shared" si="17"/>
        <v>1</v>
      </c>
      <c r="H1098">
        <f>SUMIFS('Nacional · base'!$G$7:$G$1068,'Nacional · base'!$A$7:$A$1068,A1098,'Nacional · base'!$B$7:$B$1068,B1098,'Nacional · base'!$C$7:$C$1068,C1098)</f>
        <v>492.00999629586408</v>
      </c>
      <c r="I1098">
        <f>IF(D1098="Canarias",IF(C1098="CABRERA MORALES FRANCISCO",IF(E1098&lt;=2000,'Nacional · supuestos'!$C$34,IF(E1098&lt;=5000,'Nacional · supuestos'!$C$35,'Nacional · supuestos'!$C$36)),IF(E1098&lt;=2000,'Nacional · supuestos'!$B$34,IF(E1098&lt;=5000,'Nacional · supuestos'!$B$35,'Nacional · supuestos'!$B$36))),0)</f>
        <v>0</v>
      </c>
      <c r="J1098">
        <f>IF(D1098="Canarias",MAX(E1098*I1098,IF(C1098="CABRERA MORALES FRANCISCO",'Nacional · supuestos'!$C$38,'Nacional · supuestos'!$B$38)),0)</f>
        <v>0</v>
      </c>
      <c r="K1098">
        <f>IF(D1098="Canarias",MAX(E1098*'Nacional · supuestos'!$B$41,'Nacional · supuestos'!$B$42),0)</f>
        <v>0</v>
      </c>
      <c r="L1098">
        <f>IF(D1098="Canarias",E1098*'Nacional · supuestos'!$B$43,0)</f>
        <v>0</v>
      </c>
      <c r="M1098">
        <f>IF(D1098="Canarias",E1098*'Nacional · supuestos'!$B$44,0)</f>
        <v>0</v>
      </c>
      <c r="N1098">
        <f>IF(D1098="Canarias",E1098*'Nacional · supuestos'!$B$45,0)</f>
        <v>0</v>
      </c>
      <c r="O1098">
        <f>IF(D1098="Canarias",'Nacional · supuestos'!$B$46,0)</f>
        <v>0</v>
      </c>
      <c r="P1098">
        <f>IF(D1098="Canarias",MAX(H1098*'Nacional · supuestos'!$B$47,'Nacional · supuestos'!$B$48),0)</f>
        <v>0</v>
      </c>
      <c r="Q1098">
        <f>IF(D1098="Resto nacional",E1098*'Nacional · supuestos'!$B$13*IF(A1098=2027,1+'Nacional · supuestos'!$B$6,1),0)</f>
        <v>9.9190307621347529</v>
      </c>
      <c r="R1098">
        <f>IF(D1098="Canarias",SUM(J1098:P1098)*IF(A1098=2027,1+'Nacional · supuestos'!$B$6,1),0)</f>
        <v>0</v>
      </c>
      <c r="S1098">
        <f t="shared" si="18"/>
        <v>9.9190307621347529</v>
      </c>
    </row>
    <row r="1099" spans="1:19">
      <c r="A1099">
        <v>2026</v>
      </c>
      <c r="B1099">
        <v>10</v>
      </c>
      <c r="C1099" t="s">
        <v>168</v>
      </c>
      <c r="D1099" t="s">
        <v>160</v>
      </c>
      <c r="E1099">
        <f>SUMIFS('Nacional · base'!$J$7:$J$1068,'Nacional · base'!$A$7:$A$1068,A1099,'Nacional · base'!$B$7:$B$1068,B1099,'Nacional · base'!$C$7:$C$1068,C1099)</f>
        <v>1051.5173177097734</v>
      </c>
      <c r="F1099">
        <f>SUMIFS('Nacional · base'!$K$7:$K$1068,'Nacional · base'!$A$7:$A$1068,A1099,'Nacional · base'!$B$7:$B$1068,B1099,'Nacional · base'!$C$7:$C$1068,C1099)</f>
        <v>1.3923693295945092</v>
      </c>
      <c r="G1099">
        <f t="shared" si="17"/>
        <v>2</v>
      </c>
      <c r="H1099">
        <f>SUMIFS('Nacional · base'!$G$7:$G$1068,'Nacional · base'!$A$7:$A$1068,A1099,'Nacional · base'!$B$7:$B$1068,B1099,'Nacional · base'!$C$7:$C$1068,C1099)</f>
        <v>2432.4948936970472</v>
      </c>
      <c r="I1099">
        <f>IF(D1099="Canarias",IF(C1099="CABRERA MORALES FRANCISCO",IF(E1099&lt;=2000,'Nacional · supuestos'!$C$34,IF(E1099&lt;=5000,'Nacional · supuestos'!$C$35,'Nacional · supuestos'!$C$36)),IF(E1099&lt;=2000,'Nacional · supuestos'!$B$34,IF(E1099&lt;=5000,'Nacional · supuestos'!$B$35,'Nacional · supuestos'!$B$36))),0)</f>
        <v>0</v>
      </c>
      <c r="J1099">
        <f>IF(D1099="Canarias",MAX(E1099*I1099,IF(C1099="CABRERA MORALES FRANCISCO",'Nacional · supuestos'!$C$38,'Nacional · supuestos'!$B$38)),0)</f>
        <v>0</v>
      </c>
      <c r="K1099">
        <f>IF(D1099="Canarias",MAX(E1099*'Nacional · supuestos'!$B$41,'Nacional · supuestos'!$B$42),0)</f>
        <v>0</v>
      </c>
      <c r="L1099">
        <f>IF(D1099="Canarias",E1099*'Nacional · supuestos'!$B$43,0)</f>
        <v>0</v>
      </c>
      <c r="M1099">
        <f>IF(D1099="Canarias",E1099*'Nacional · supuestos'!$B$44,0)</f>
        <v>0</v>
      </c>
      <c r="N1099">
        <f>IF(D1099="Canarias",E1099*'Nacional · supuestos'!$B$45,0)</f>
        <v>0</v>
      </c>
      <c r="O1099">
        <f>IF(D1099="Canarias",'Nacional · supuestos'!$B$46,0)</f>
        <v>0</v>
      </c>
      <c r="P1099">
        <f>IF(D1099="Canarias",MAX(H1099*'Nacional · supuestos'!$B$47,'Nacional · supuestos'!$B$48),0)</f>
        <v>0</v>
      </c>
      <c r="Q1099">
        <f>IF(D1099="Resto nacional",E1099*'Nacional · supuestos'!$B$13*IF(A1099=2027,1+'Nacional · supuestos'!$B$6,1),0)</f>
        <v>93.238889164066691</v>
      </c>
      <c r="R1099">
        <f>IF(D1099="Canarias",SUM(J1099:P1099)*IF(A1099=2027,1+'Nacional · supuestos'!$B$6,1),0)</f>
        <v>0</v>
      </c>
      <c r="S1099">
        <f t="shared" si="18"/>
        <v>93.238889164066691</v>
      </c>
    </row>
    <row r="1100" spans="1:19">
      <c r="A1100">
        <v>2026</v>
      </c>
      <c r="B1100">
        <v>10</v>
      </c>
      <c r="C1100" t="s">
        <v>169</v>
      </c>
      <c r="D1100" t="s">
        <v>160</v>
      </c>
      <c r="E1100">
        <f>SUMIFS('Nacional · base'!$J$7:$J$1068,'Nacional · base'!$A$7:$A$1068,A1100,'Nacional · base'!$B$7:$B$1068,B1100,'Nacional · base'!$C$7:$C$1068,C1100)</f>
        <v>671.18126662325972</v>
      </c>
      <c r="F1100">
        <f>SUMIFS('Nacional · base'!$K$7:$K$1068,'Nacional · base'!$A$7:$A$1068,A1100,'Nacional · base'!$B$7:$B$1068,B1100,'Nacional · base'!$C$7:$C$1068,C1100)</f>
        <v>0.91837125994531466</v>
      </c>
      <c r="G1100">
        <f t="shared" si="17"/>
        <v>1</v>
      </c>
      <c r="H1100">
        <f>SUMIFS('Nacional · base'!$G$7:$G$1068,'Nacional · base'!$A$7:$A$1068,A1100,'Nacional · base'!$B$7:$B$1068,B1100,'Nacional · base'!$C$7:$C$1068,C1100)</f>
        <v>2874.6735560882476</v>
      </c>
      <c r="I1100">
        <f>IF(D1100="Canarias",IF(C1100="CABRERA MORALES FRANCISCO",IF(E1100&lt;=2000,'Nacional · supuestos'!$C$34,IF(E1100&lt;=5000,'Nacional · supuestos'!$C$35,'Nacional · supuestos'!$C$36)),IF(E1100&lt;=2000,'Nacional · supuestos'!$B$34,IF(E1100&lt;=5000,'Nacional · supuestos'!$B$35,'Nacional · supuestos'!$B$36))),0)</f>
        <v>0</v>
      </c>
      <c r="J1100">
        <f>IF(D1100="Canarias",MAX(E1100*I1100,IF(C1100="CABRERA MORALES FRANCISCO",'Nacional · supuestos'!$C$38,'Nacional · supuestos'!$B$38)),0)</f>
        <v>0</v>
      </c>
      <c r="K1100">
        <f>IF(D1100="Canarias",MAX(E1100*'Nacional · supuestos'!$B$41,'Nacional · supuestos'!$B$42),0)</f>
        <v>0</v>
      </c>
      <c r="L1100">
        <f>IF(D1100="Canarias",E1100*'Nacional · supuestos'!$B$43,0)</f>
        <v>0</v>
      </c>
      <c r="M1100">
        <f>IF(D1100="Canarias",E1100*'Nacional · supuestos'!$B$44,0)</f>
        <v>0</v>
      </c>
      <c r="N1100">
        <f>IF(D1100="Canarias",E1100*'Nacional · supuestos'!$B$45,0)</f>
        <v>0</v>
      </c>
      <c r="O1100">
        <f>IF(D1100="Canarias",'Nacional · supuestos'!$B$46,0)</f>
        <v>0</v>
      </c>
      <c r="P1100">
        <f>IF(D1100="Canarias",MAX(H1100*'Nacional · supuestos'!$B$47,'Nacional · supuestos'!$B$48),0)</f>
        <v>0</v>
      </c>
      <c r="Q1100">
        <f>IF(D1100="Resto nacional",E1100*'Nacional · supuestos'!$B$13*IF(A1100=2027,1+'Nacional · supuestos'!$B$6,1),0)</f>
        <v>59.514184572808539</v>
      </c>
      <c r="R1100">
        <f>IF(D1100="Canarias",SUM(J1100:P1100)*IF(A1100=2027,1+'Nacional · supuestos'!$B$6,1),0)</f>
        <v>0</v>
      </c>
      <c r="S1100">
        <f t="shared" si="18"/>
        <v>59.514184572808539</v>
      </c>
    </row>
    <row r="1101" spans="1:19">
      <c r="A1101">
        <v>2026</v>
      </c>
      <c r="B1101">
        <v>10</v>
      </c>
      <c r="C1101" t="s">
        <v>170</v>
      </c>
      <c r="D1101" t="s">
        <v>160</v>
      </c>
      <c r="E1101">
        <f>SUMIFS('Nacional · base'!$J$7:$J$1068,'Nacional · base'!$A$7:$A$1068,A1101,'Nacional · base'!$B$7:$B$1068,B1101,'Nacional · base'!$C$7:$C$1068,C1101)</f>
        <v>4769.5581760380555</v>
      </c>
      <c r="F1101">
        <f>SUMIFS('Nacional · base'!$K$7:$K$1068,'Nacional · base'!$A$7:$A$1068,A1101,'Nacional · base'!$B$7:$B$1068,B1101,'Nacional · base'!$C$7:$C$1068,C1101)</f>
        <v>6.3199742619892616</v>
      </c>
      <c r="G1101">
        <f t="shared" si="17"/>
        <v>7</v>
      </c>
      <c r="H1101">
        <f>SUMIFS('Nacional · base'!$G$7:$G$1068,'Nacional · base'!$A$7:$A$1068,A1101,'Nacional · base'!$B$7:$B$1068,B1101,'Nacional · base'!$C$7:$C$1068,C1101)</f>
        <v>13450.548422821266</v>
      </c>
      <c r="I1101">
        <f>IF(D1101="Canarias",IF(C1101="CABRERA MORALES FRANCISCO",IF(E1101&lt;=2000,'Nacional · supuestos'!$C$34,IF(E1101&lt;=5000,'Nacional · supuestos'!$C$35,'Nacional · supuestos'!$C$36)),IF(E1101&lt;=2000,'Nacional · supuestos'!$B$34,IF(E1101&lt;=5000,'Nacional · supuestos'!$B$35,'Nacional · supuestos'!$B$36))),0)</f>
        <v>0</v>
      </c>
      <c r="J1101">
        <f>IF(D1101="Canarias",MAX(E1101*I1101,IF(C1101="CABRERA MORALES FRANCISCO",'Nacional · supuestos'!$C$38,'Nacional · supuestos'!$B$38)),0)</f>
        <v>0</v>
      </c>
      <c r="K1101">
        <f>IF(D1101="Canarias",MAX(E1101*'Nacional · supuestos'!$B$41,'Nacional · supuestos'!$B$42),0)</f>
        <v>0</v>
      </c>
      <c r="L1101">
        <f>IF(D1101="Canarias",E1101*'Nacional · supuestos'!$B$43,0)</f>
        <v>0</v>
      </c>
      <c r="M1101">
        <f>IF(D1101="Canarias",E1101*'Nacional · supuestos'!$B$44,0)</f>
        <v>0</v>
      </c>
      <c r="N1101">
        <f>IF(D1101="Canarias",E1101*'Nacional · supuestos'!$B$45,0)</f>
        <v>0</v>
      </c>
      <c r="O1101">
        <f>IF(D1101="Canarias",'Nacional · supuestos'!$B$46,0)</f>
        <v>0</v>
      </c>
      <c r="P1101">
        <f>IF(D1101="Canarias",MAX(H1101*'Nacional · supuestos'!$B$47,'Nacional · supuestos'!$B$48),0)</f>
        <v>0</v>
      </c>
      <c r="Q1101">
        <f>IF(D1101="Resto nacional",E1101*'Nacional · supuestos'!$B$13*IF(A1101=2027,1+'Nacional · supuestos'!$B$6,1),0)</f>
        <v>422.92057263095228</v>
      </c>
      <c r="R1101">
        <f>IF(D1101="Canarias",SUM(J1101:P1101)*IF(A1101=2027,1+'Nacional · supuestos'!$B$6,1),0)</f>
        <v>0</v>
      </c>
      <c r="S1101">
        <f t="shared" si="18"/>
        <v>422.92057263095228</v>
      </c>
    </row>
    <row r="1102" spans="1:19">
      <c r="A1102">
        <v>2026</v>
      </c>
      <c r="B1102">
        <v>10</v>
      </c>
      <c r="C1102" t="s">
        <v>171</v>
      </c>
      <c r="D1102" t="s">
        <v>164</v>
      </c>
      <c r="E1102">
        <f>SUMIFS('Nacional · base'!$J$7:$J$1068,'Nacional · base'!$A$7:$A$1068,A1102,'Nacional · base'!$B$7:$B$1068,B1102,'Nacional · base'!$C$7:$C$1068,C1102)</f>
        <v>7988.1946681839463</v>
      </c>
      <c r="F1102">
        <f>SUMIFS('Nacional · base'!$K$7:$K$1068,'Nacional · base'!$A$7:$A$1068,A1102,'Nacional · base'!$B$7:$B$1068,B1102,'Nacional · base'!$C$7:$C$1068,C1102)</f>
        <v>10.657056599279393</v>
      </c>
      <c r="G1102">
        <f t="shared" si="17"/>
        <v>11</v>
      </c>
      <c r="H1102">
        <f>SUMIFS('Nacional · base'!$G$7:$G$1068,'Nacional · base'!$A$7:$A$1068,A1102,'Nacional · base'!$B$7:$B$1068,B1102,'Nacional · base'!$C$7:$C$1068,C1102)</f>
        <v>13579.554654368188</v>
      </c>
      <c r="I1102">
        <f>IF(D1102="Canarias",IF(C1102="CABRERA MORALES FRANCISCO",IF(E1102&lt;=2000,'Nacional · supuestos'!$C$34,IF(E1102&lt;=5000,'Nacional · supuestos'!$C$35,'Nacional · supuestos'!$C$36)),IF(E1102&lt;=2000,'Nacional · supuestos'!$B$34,IF(E1102&lt;=5000,'Nacional · supuestos'!$B$35,'Nacional · supuestos'!$B$36))),0)</f>
        <v>0.19800000000000001</v>
      </c>
      <c r="J1102">
        <f>IF(D1102="Canarias",MAX(E1102*I1102,IF(C1102="CABRERA MORALES FRANCISCO",'Nacional · supuestos'!$C$38,'Nacional · supuestos'!$B$38)),0)</f>
        <v>1581.6625443004214</v>
      </c>
      <c r="K1102">
        <f>IF(D1102="Canarias",MAX(E1102*'Nacional · supuestos'!$B$41,'Nacional · supuestos'!$B$42),0)</f>
        <v>287.57500805462206</v>
      </c>
      <c r="L1102">
        <f>IF(D1102="Canarias",E1102*'Nacional · supuestos'!$B$43,0)</f>
        <v>95.858336018207353</v>
      </c>
      <c r="M1102">
        <f>IF(D1102="Canarias",E1102*'Nacional · supuestos'!$B$44,0)</f>
        <v>143.78750402731103</v>
      </c>
      <c r="N1102">
        <f>IF(D1102="Canarias",E1102*'Nacional · supuestos'!$B$45,0)</f>
        <v>175.74028270004681</v>
      </c>
      <c r="O1102">
        <f>IF(D1102="Canarias",'Nacional · supuestos'!$B$46,0)</f>
        <v>15</v>
      </c>
      <c r="P1102">
        <f>IF(D1102="Canarias",MAX(H1102*'Nacional · supuestos'!$B$47,'Nacional · supuestos'!$B$48),0)</f>
        <v>61.107995944656842</v>
      </c>
      <c r="Q1102">
        <f>IF(D1102="Resto nacional",E1102*'Nacional · supuestos'!$B$13*IF(A1102=2027,1+'Nacional · supuestos'!$B$6,1),0)</f>
        <v>0</v>
      </c>
      <c r="R1102">
        <f>IF(D1102="Canarias",SUM(J1102:P1102)*IF(A1102=2027,1+'Nacional · supuestos'!$B$6,1),0)</f>
        <v>2360.7316710452656</v>
      </c>
      <c r="S1102">
        <f t="shared" si="18"/>
        <v>2360.7316710452656</v>
      </c>
    </row>
    <row r="1103" spans="1:19">
      <c r="A1103">
        <v>2026</v>
      </c>
      <c r="B1103">
        <v>10</v>
      </c>
      <c r="C1103" t="s">
        <v>172</v>
      </c>
      <c r="D1103" t="s">
        <v>160</v>
      </c>
      <c r="E1103">
        <f>SUMIFS('Nacional · base'!$J$7:$J$1068,'Nacional · base'!$A$7:$A$1068,A1103,'Nacional · base'!$B$7:$B$1068,B1103,'Nacional · base'!$C$7:$C$1068,C1103)</f>
        <v>15484.189740844171</v>
      </c>
      <c r="F1103">
        <f>SUMIFS('Nacional · base'!$K$7:$K$1068,'Nacional · base'!$A$7:$A$1068,A1103,'Nacional · base'!$B$7:$B$1068,B1103,'Nacional · base'!$C$7:$C$1068,C1103)</f>
        <v>20.55876854741706</v>
      </c>
      <c r="G1103">
        <f t="shared" si="17"/>
        <v>21</v>
      </c>
      <c r="H1103">
        <f>SUMIFS('Nacional · base'!$G$7:$G$1068,'Nacional · base'!$A$7:$A$1068,A1103,'Nacional · base'!$B$7:$B$1068,B1103,'Nacional · base'!$C$7:$C$1068,C1103)</f>
        <v>41956.604215663217</v>
      </c>
      <c r="I1103">
        <f>IF(D1103="Canarias",IF(C1103="CABRERA MORALES FRANCISCO",IF(E1103&lt;=2000,'Nacional · supuestos'!$C$34,IF(E1103&lt;=5000,'Nacional · supuestos'!$C$35,'Nacional · supuestos'!$C$36)),IF(E1103&lt;=2000,'Nacional · supuestos'!$B$34,IF(E1103&lt;=5000,'Nacional · supuestos'!$B$35,'Nacional · supuestos'!$B$36))),0)</f>
        <v>0</v>
      </c>
      <c r="J1103">
        <f>IF(D1103="Canarias",MAX(E1103*I1103,IF(C1103="CABRERA MORALES FRANCISCO",'Nacional · supuestos'!$C$38,'Nacional · supuestos'!$B$38)),0)</f>
        <v>0</v>
      </c>
      <c r="K1103">
        <f>IF(D1103="Canarias",MAX(E1103*'Nacional · supuestos'!$B$41,'Nacional · supuestos'!$B$42),0)</f>
        <v>0</v>
      </c>
      <c r="L1103">
        <f>IF(D1103="Canarias",E1103*'Nacional · supuestos'!$B$43,0)</f>
        <v>0</v>
      </c>
      <c r="M1103">
        <f>IF(D1103="Canarias",E1103*'Nacional · supuestos'!$B$44,0)</f>
        <v>0</v>
      </c>
      <c r="N1103">
        <f>IF(D1103="Canarias",E1103*'Nacional · supuestos'!$B$45,0)</f>
        <v>0</v>
      </c>
      <c r="O1103">
        <f>IF(D1103="Canarias",'Nacional · supuestos'!$B$46,0)</f>
        <v>0</v>
      </c>
      <c r="P1103">
        <f>IF(D1103="Canarias",MAX(H1103*'Nacional · supuestos'!$B$47,'Nacional · supuestos'!$B$48),0)</f>
        <v>0</v>
      </c>
      <c r="Q1103">
        <f>IF(D1103="Resto nacional",E1103*'Nacional · supuestos'!$B$13*IF(A1103=2027,1+'Nacional · supuestos'!$B$6,1),0)</f>
        <v>1372.995600478002</v>
      </c>
      <c r="R1103">
        <f>IF(D1103="Canarias",SUM(J1103:P1103)*IF(A1103=2027,1+'Nacional · supuestos'!$B$6,1),0)</f>
        <v>0</v>
      </c>
      <c r="S1103">
        <f t="shared" si="18"/>
        <v>1372.995600478002</v>
      </c>
    </row>
    <row r="1104" spans="1:19">
      <c r="A1104">
        <v>2026</v>
      </c>
      <c r="B1104">
        <v>10</v>
      </c>
      <c r="C1104" t="s">
        <v>173</v>
      </c>
      <c r="D1104" t="s">
        <v>160</v>
      </c>
      <c r="E1104">
        <f>SUMIFS('Nacional · base'!$J$7:$J$1068,'Nacional · base'!$A$7:$A$1068,A1104,'Nacional · base'!$B$7:$B$1068,B1104,'Nacional · base'!$C$7:$C$1068,C1104)</f>
        <v>6588.9523665795259</v>
      </c>
      <c r="F1104">
        <f>SUMIFS('Nacional · base'!$K$7:$K$1068,'Nacional · base'!$A$7:$A$1068,A1104,'Nacional · base'!$B$7:$B$1068,B1104,'Nacional · base'!$C$7:$C$1068,C1104)</f>
        <v>6.9914715273256212</v>
      </c>
      <c r="G1104">
        <f t="shared" si="17"/>
        <v>7</v>
      </c>
      <c r="H1104">
        <f>SUMIFS('Nacional · base'!$G$7:$G$1068,'Nacional · base'!$A$7:$A$1068,A1104,'Nacional · base'!$B$7:$B$1068,B1104,'Nacional · base'!$C$7:$C$1068,C1104)</f>
        <v>14495.897328614779</v>
      </c>
      <c r="I1104">
        <f>IF(D1104="Canarias",IF(C1104="CABRERA MORALES FRANCISCO",IF(E1104&lt;=2000,'Nacional · supuestos'!$C$34,IF(E1104&lt;=5000,'Nacional · supuestos'!$C$35,'Nacional · supuestos'!$C$36)),IF(E1104&lt;=2000,'Nacional · supuestos'!$B$34,IF(E1104&lt;=5000,'Nacional · supuestos'!$B$35,'Nacional · supuestos'!$B$36))),0)</f>
        <v>0</v>
      </c>
      <c r="J1104">
        <f>IF(D1104="Canarias",MAX(E1104*I1104,IF(C1104="CABRERA MORALES FRANCISCO",'Nacional · supuestos'!$C$38,'Nacional · supuestos'!$B$38)),0)</f>
        <v>0</v>
      </c>
      <c r="K1104">
        <f>IF(D1104="Canarias",MAX(E1104*'Nacional · supuestos'!$B$41,'Nacional · supuestos'!$B$42),0)</f>
        <v>0</v>
      </c>
      <c r="L1104">
        <f>IF(D1104="Canarias",E1104*'Nacional · supuestos'!$B$43,0)</f>
        <v>0</v>
      </c>
      <c r="M1104">
        <f>IF(D1104="Canarias",E1104*'Nacional · supuestos'!$B$44,0)</f>
        <v>0</v>
      </c>
      <c r="N1104">
        <f>IF(D1104="Canarias",E1104*'Nacional · supuestos'!$B$45,0)</f>
        <v>0</v>
      </c>
      <c r="O1104">
        <f>IF(D1104="Canarias",'Nacional · supuestos'!$B$46,0)</f>
        <v>0</v>
      </c>
      <c r="P1104">
        <f>IF(D1104="Canarias",MAX(H1104*'Nacional · supuestos'!$B$47,'Nacional · supuestos'!$B$48),0)</f>
        <v>0</v>
      </c>
      <c r="Q1104">
        <f>IF(D1104="Resto nacional",E1104*'Nacional · supuestos'!$B$13*IF(A1104=2027,1+'Nacional · supuestos'!$B$6,1),0)</f>
        <v>584.24772380628315</v>
      </c>
      <c r="R1104">
        <f>IF(D1104="Canarias",SUM(J1104:P1104)*IF(A1104=2027,1+'Nacional · supuestos'!$B$6,1),0)</f>
        <v>0</v>
      </c>
      <c r="S1104">
        <f t="shared" si="18"/>
        <v>584.24772380628315</v>
      </c>
    </row>
    <row r="1105" spans="1:19">
      <c r="A1105">
        <v>2026</v>
      </c>
      <c r="B1105">
        <v>10</v>
      </c>
      <c r="C1105" t="s">
        <v>174</v>
      </c>
      <c r="D1105" t="s">
        <v>160</v>
      </c>
      <c r="E1105">
        <f>SUMIFS('Nacional · base'!$J$7:$J$1068,'Nacional · base'!$A$7:$A$1068,A1105,'Nacional · base'!$B$7:$B$1068,B1105,'Nacional · base'!$C$7:$C$1068,C1105)</f>
        <v>26450.988278703659</v>
      </c>
      <c r="F1105">
        <f>SUMIFS('Nacional · base'!$K$7:$K$1068,'Nacional · base'!$A$7:$A$1068,A1105,'Nacional · base'!$B$7:$B$1068,B1105,'Nacional · base'!$C$7:$C$1068,C1105)</f>
        <v>29.239755921484694</v>
      </c>
      <c r="G1105">
        <f t="shared" si="17"/>
        <v>30</v>
      </c>
      <c r="H1105">
        <f>SUMIFS('Nacional · base'!$G$7:$G$1068,'Nacional · base'!$A$7:$A$1068,A1105,'Nacional · base'!$B$7:$B$1068,B1105,'Nacional · base'!$C$7:$C$1068,C1105)</f>
        <v>60087.995256807779</v>
      </c>
      <c r="I1105">
        <f>IF(D1105="Canarias",IF(C1105="CABRERA MORALES FRANCISCO",IF(E1105&lt;=2000,'Nacional · supuestos'!$C$34,IF(E1105&lt;=5000,'Nacional · supuestos'!$C$35,'Nacional · supuestos'!$C$36)),IF(E1105&lt;=2000,'Nacional · supuestos'!$B$34,IF(E1105&lt;=5000,'Nacional · supuestos'!$B$35,'Nacional · supuestos'!$B$36))),0)</f>
        <v>0</v>
      </c>
      <c r="J1105">
        <f>IF(D1105="Canarias",MAX(E1105*I1105,IF(C1105="CABRERA MORALES FRANCISCO",'Nacional · supuestos'!$C$38,'Nacional · supuestos'!$B$38)),0)</f>
        <v>0</v>
      </c>
      <c r="K1105">
        <f>IF(D1105="Canarias",MAX(E1105*'Nacional · supuestos'!$B$41,'Nacional · supuestos'!$B$42),0)</f>
        <v>0</v>
      </c>
      <c r="L1105">
        <f>IF(D1105="Canarias",E1105*'Nacional · supuestos'!$B$43,0)</f>
        <v>0</v>
      </c>
      <c r="M1105">
        <f>IF(D1105="Canarias",E1105*'Nacional · supuestos'!$B$44,0)</f>
        <v>0</v>
      </c>
      <c r="N1105">
        <f>IF(D1105="Canarias",E1105*'Nacional · supuestos'!$B$45,0)</f>
        <v>0</v>
      </c>
      <c r="O1105">
        <f>IF(D1105="Canarias",'Nacional · supuestos'!$B$46,0)</f>
        <v>0</v>
      </c>
      <c r="P1105">
        <f>IF(D1105="Canarias",MAX(H1105*'Nacional · supuestos'!$B$47,'Nacional · supuestos'!$B$48),0)</f>
        <v>0</v>
      </c>
      <c r="Q1105">
        <f>IF(D1105="Resto nacional",E1105*'Nacional · supuestos'!$B$13*IF(A1105=2027,1+'Nacional · supuestos'!$B$6,1),0)</f>
        <v>2345.4304773312197</v>
      </c>
      <c r="R1105">
        <f>IF(D1105="Canarias",SUM(J1105:P1105)*IF(A1105=2027,1+'Nacional · supuestos'!$B$6,1),0)</f>
        <v>0</v>
      </c>
      <c r="S1105">
        <f t="shared" si="18"/>
        <v>2345.4304773312197</v>
      </c>
    </row>
    <row r="1106" spans="1:19">
      <c r="A1106">
        <v>2026</v>
      </c>
      <c r="B1106">
        <v>10</v>
      </c>
      <c r="C1106" t="s">
        <v>175</v>
      </c>
      <c r="D1106" t="s">
        <v>160</v>
      </c>
      <c r="E1106">
        <f>SUMIFS('Nacional · base'!$J$7:$J$1068,'Nacional · base'!$A$7:$A$1068,A1106,'Nacional · base'!$B$7:$B$1068,B1106,'Nacional · base'!$C$7:$C$1068,C1106)</f>
        <v>11096.863608171225</v>
      </c>
      <c r="F1106">
        <f>SUMIFS('Nacional · base'!$K$7:$K$1068,'Nacional · base'!$A$7:$A$1068,A1106,'Nacional · base'!$B$7:$B$1068,B1106,'Nacional · base'!$C$7:$C$1068,C1106)</f>
        <v>14.851939515674765</v>
      </c>
      <c r="G1106">
        <f t="shared" si="17"/>
        <v>15</v>
      </c>
      <c r="H1106">
        <f>SUMIFS('Nacional · base'!$G$7:$G$1068,'Nacional · base'!$A$7:$A$1068,A1106,'Nacional · base'!$B$7:$B$1068,B1106,'Nacional · base'!$C$7:$C$1068,C1106)</f>
        <v>33722.258450082445</v>
      </c>
      <c r="I1106">
        <f>IF(D1106="Canarias",IF(C1106="CABRERA MORALES FRANCISCO",IF(E1106&lt;=2000,'Nacional · supuestos'!$C$34,IF(E1106&lt;=5000,'Nacional · supuestos'!$C$35,'Nacional · supuestos'!$C$36)),IF(E1106&lt;=2000,'Nacional · supuestos'!$B$34,IF(E1106&lt;=5000,'Nacional · supuestos'!$B$35,'Nacional · supuestos'!$B$36))),0)</f>
        <v>0</v>
      </c>
      <c r="J1106">
        <f>IF(D1106="Canarias",MAX(E1106*I1106,IF(C1106="CABRERA MORALES FRANCISCO",'Nacional · supuestos'!$C$38,'Nacional · supuestos'!$B$38)),0)</f>
        <v>0</v>
      </c>
      <c r="K1106">
        <f>IF(D1106="Canarias",MAX(E1106*'Nacional · supuestos'!$B$41,'Nacional · supuestos'!$B$42),0)</f>
        <v>0</v>
      </c>
      <c r="L1106">
        <f>IF(D1106="Canarias",E1106*'Nacional · supuestos'!$B$43,0)</f>
        <v>0</v>
      </c>
      <c r="M1106">
        <f>IF(D1106="Canarias",E1106*'Nacional · supuestos'!$B$44,0)</f>
        <v>0</v>
      </c>
      <c r="N1106">
        <f>IF(D1106="Canarias",E1106*'Nacional · supuestos'!$B$45,0)</f>
        <v>0</v>
      </c>
      <c r="O1106">
        <f>IF(D1106="Canarias",'Nacional · supuestos'!$B$46,0)</f>
        <v>0</v>
      </c>
      <c r="P1106">
        <f>IF(D1106="Canarias",MAX(H1106*'Nacional · supuestos'!$B$47,'Nacional · supuestos'!$B$48),0)</f>
        <v>0</v>
      </c>
      <c r="Q1106">
        <f>IF(D1106="Resto nacional",E1106*'Nacional · supuestos'!$B$13*IF(A1106=2027,1+'Nacional · supuestos'!$B$6,1),0)</f>
        <v>983.9678516037676</v>
      </c>
      <c r="R1106">
        <f>IF(D1106="Canarias",SUM(J1106:P1106)*IF(A1106=2027,1+'Nacional · supuestos'!$B$6,1),0)</f>
        <v>0</v>
      </c>
      <c r="S1106">
        <f t="shared" si="18"/>
        <v>983.9678516037676</v>
      </c>
    </row>
    <row r="1107" spans="1:19">
      <c r="A1107">
        <v>2026</v>
      </c>
      <c r="B1107">
        <v>10</v>
      </c>
      <c r="C1107" t="s">
        <v>182</v>
      </c>
      <c r="D1107" t="s">
        <v>160</v>
      </c>
      <c r="E1107">
        <f>SUMIFS('Nacional · base'!$J$7:$J$1068,'Nacional · base'!$A$7:$A$1068,A1107,'Nacional · base'!$B$7:$B$1068,B1107,'Nacional · base'!$C$7:$C$1068,C1107)</f>
        <v>16553.529385972754</v>
      </c>
      <c r="F1107">
        <f>SUMIFS('Nacional · base'!$K$7:$K$1068,'Nacional · base'!$A$7:$A$1068,A1107,'Nacional · base'!$B$7:$B$1068,B1107,'Nacional · base'!$C$7:$C$1068,C1107)</f>
        <v>17.063930507371005</v>
      </c>
      <c r="G1107">
        <f t="shared" si="17"/>
        <v>18</v>
      </c>
      <c r="H1107">
        <f>SUMIFS('Nacional · base'!$G$7:$G$1068,'Nacional · base'!$A$7:$A$1068,A1107,'Nacional · base'!$B$7:$B$1068,B1107,'Nacional · base'!$C$7:$C$1068,C1107)</f>
        <v>33708.251880864154</v>
      </c>
      <c r="I1107">
        <f>IF(D1107="Canarias",IF(C1107="CABRERA MORALES FRANCISCO",IF(E1107&lt;=2000,'Nacional · supuestos'!$C$34,IF(E1107&lt;=5000,'Nacional · supuestos'!$C$35,'Nacional · supuestos'!$C$36)),IF(E1107&lt;=2000,'Nacional · supuestos'!$B$34,IF(E1107&lt;=5000,'Nacional · supuestos'!$B$35,'Nacional · supuestos'!$B$36))),0)</f>
        <v>0</v>
      </c>
      <c r="J1107">
        <f>IF(D1107="Canarias",MAX(E1107*I1107,IF(C1107="CABRERA MORALES FRANCISCO",'Nacional · supuestos'!$C$38,'Nacional · supuestos'!$B$38)),0)</f>
        <v>0</v>
      </c>
      <c r="K1107">
        <f>IF(D1107="Canarias",MAX(E1107*'Nacional · supuestos'!$B$41,'Nacional · supuestos'!$B$42),0)</f>
        <v>0</v>
      </c>
      <c r="L1107">
        <f>IF(D1107="Canarias",E1107*'Nacional · supuestos'!$B$43,0)</f>
        <v>0</v>
      </c>
      <c r="M1107">
        <f>IF(D1107="Canarias",E1107*'Nacional · supuestos'!$B$44,0)</f>
        <v>0</v>
      </c>
      <c r="N1107">
        <f>IF(D1107="Canarias",E1107*'Nacional · supuestos'!$B$45,0)</f>
        <v>0</v>
      </c>
      <c r="O1107">
        <f>IF(D1107="Canarias",'Nacional · supuestos'!$B$46,0)</f>
        <v>0</v>
      </c>
      <c r="P1107">
        <f>IF(D1107="Canarias",MAX(H1107*'Nacional · supuestos'!$B$47,'Nacional · supuestos'!$B$48),0)</f>
        <v>0</v>
      </c>
      <c r="Q1107">
        <f>IF(D1107="Resto nacional",E1107*'Nacional · supuestos'!$B$13*IF(A1107=2027,1+'Nacional · supuestos'!$B$6,1),0)</f>
        <v>1467.8148097973917</v>
      </c>
      <c r="R1107">
        <f>IF(D1107="Canarias",SUM(J1107:P1107)*IF(A1107=2027,1+'Nacional · supuestos'!$B$6,1),0)</f>
        <v>0</v>
      </c>
      <c r="S1107">
        <f t="shared" si="18"/>
        <v>1467.8148097973917</v>
      </c>
    </row>
    <row r="1108" spans="1:19">
      <c r="A1108">
        <v>2026</v>
      </c>
      <c r="B1108">
        <v>10</v>
      </c>
      <c r="C1108" t="s">
        <v>183</v>
      </c>
      <c r="D1108" t="s">
        <v>164</v>
      </c>
      <c r="E1108">
        <f>SUMIFS('Nacional · base'!$J$7:$J$1068,'Nacional · base'!$A$7:$A$1068,A1108,'Nacional · base'!$B$7:$B$1068,B1108,'Nacional · base'!$C$7:$C$1068,C1108)</f>
        <v>15191.069334573109</v>
      </c>
      <c r="F1108">
        <f>SUMIFS('Nacional · base'!$K$7:$K$1068,'Nacional · base'!$A$7:$A$1068,A1108,'Nacional · base'!$B$7:$B$1068,B1108,'Nacional · base'!$C$7:$C$1068,C1108)</f>
        <v>14.545815762359659</v>
      </c>
      <c r="G1108">
        <f t="shared" si="17"/>
        <v>15</v>
      </c>
      <c r="H1108">
        <f>SUMIFS('Nacional · base'!$G$7:$G$1068,'Nacional · base'!$A$7:$A$1068,A1108,'Nacional · base'!$B$7:$B$1068,B1108,'Nacional · base'!$C$7:$C$1068,C1108)</f>
        <v>32187.492543767781</v>
      </c>
      <c r="I1108">
        <f>IF(D1108="Canarias",IF(C1108="CABRERA MORALES FRANCISCO",IF(E1108&lt;=2000,'Nacional · supuestos'!$C$34,IF(E1108&lt;=5000,'Nacional · supuestos'!$C$35,'Nacional · supuestos'!$C$36)),IF(E1108&lt;=2000,'Nacional · supuestos'!$B$34,IF(E1108&lt;=5000,'Nacional · supuestos'!$B$35,'Nacional · supuestos'!$B$36))),0)</f>
        <v>0.104</v>
      </c>
      <c r="J1108">
        <f>IF(D1108="Canarias",MAX(E1108*I1108,IF(C1108="CABRERA MORALES FRANCISCO",'Nacional · supuestos'!$C$38,'Nacional · supuestos'!$B$38)),0)</f>
        <v>1579.8712107956032</v>
      </c>
      <c r="K1108">
        <f>IF(D1108="Canarias",MAX(E1108*'Nacional · supuestos'!$B$41,'Nacional · supuestos'!$B$42),0)</f>
        <v>546.8784960446319</v>
      </c>
      <c r="L1108">
        <f>IF(D1108="Canarias",E1108*'Nacional · supuestos'!$B$43,0)</f>
        <v>182.29283201487732</v>
      </c>
      <c r="M1108">
        <f>IF(D1108="Canarias",E1108*'Nacional · supuestos'!$B$44,0)</f>
        <v>273.43924802231595</v>
      </c>
      <c r="N1108">
        <f>IF(D1108="Canarias",E1108*'Nacional · supuestos'!$B$45,0)</f>
        <v>334.20352536060835</v>
      </c>
      <c r="O1108">
        <f>IF(D1108="Canarias",'Nacional · supuestos'!$B$46,0)</f>
        <v>15</v>
      </c>
      <c r="P1108">
        <f>IF(D1108="Canarias",MAX(H1108*'Nacional · supuestos'!$B$47,'Nacional · supuestos'!$B$48),0)</f>
        <v>144.843716446955</v>
      </c>
      <c r="Q1108">
        <f>IF(D1108="Resto nacional",E1108*'Nacional · supuestos'!$B$13*IF(A1108=2027,1+'Nacional · supuestos'!$B$6,1),0)</f>
        <v>0</v>
      </c>
      <c r="R1108">
        <f>IF(D1108="Canarias",SUM(J1108:P1108)*IF(A1108=2027,1+'Nacional · supuestos'!$B$6,1),0)</f>
        <v>3076.5290286849918</v>
      </c>
      <c r="S1108">
        <f t="shared" si="18"/>
        <v>3076.5290286849918</v>
      </c>
    </row>
    <row r="1109" spans="1:19">
      <c r="A1109">
        <v>2026</v>
      </c>
      <c r="B1109">
        <v>10</v>
      </c>
      <c r="C1109" t="s">
        <v>176</v>
      </c>
      <c r="D1109" t="s">
        <v>160</v>
      </c>
      <c r="E1109">
        <f>SUMIFS('Nacional · base'!$J$7:$J$1068,'Nacional · base'!$A$7:$A$1068,A1109,'Nacional · base'!$B$7:$B$1068,B1109,'Nacional · base'!$C$7:$C$1068,C1109)</f>
        <v>3579.633421990718</v>
      </c>
      <c r="F1109">
        <f>SUMIFS('Nacional · base'!$K$7:$K$1068,'Nacional · base'!$A$7:$A$1068,A1109,'Nacional · base'!$B$7:$B$1068,B1109,'Nacional · base'!$C$7:$C$1068,C1109)</f>
        <v>4.7399806964919469</v>
      </c>
      <c r="G1109">
        <f t="shared" si="17"/>
        <v>5</v>
      </c>
      <c r="H1109">
        <f>SUMIFS('Nacional · base'!$G$7:$G$1068,'Nacional · base'!$A$7:$A$1068,A1109,'Nacional · base'!$B$7:$B$1068,B1109,'Nacional · base'!$C$7:$C$1068,C1109)</f>
        <v>8719.1799924324532</v>
      </c>
      <c r="I1109">
        <f>IF(D1109="Canarias",IF(C1109="CABRERA MORALES FRANCISCO",IF(E1109&lt;=2000,'Nacional · supuestos'!$C$34,IF(E1109&lt;=5000,'Nacional · supuestos'!$C$35,'Nacional · supuestos'!$C$36)),IF(E1109&lt;=2000,'Nacional · supuestos'!$B$34,IF(E1109&lt;=5000,'Nacional · supuestos'!$B$35,'Nacional · supuestos'!$B$36))),0)</f>
        <v>0</v>
      </c>
      <c r="J1109">
        <f>IF(D1109="Canarias",MAX(E1109*I1109,IF(C1109="CABRERA MORALES FRANCISCO",'Nacional · supuestos'!$C$38,'Nacional · supuestos'!$B$38)),0)</f>
        <v>0</v>
      </c>
      <c r="K1109">
        <f>IF(D1109="Canarias",MAX(E1109*'Nacional · supuestos'!$B$41,'Nacional · supuestos'!$B$42),0)</f>
        <v>0</v>
      </c>
      <c r="L1109">
        <f>IF(D1109="Canarias",E1109*'Nacional · supuestos'!$B$43,0)</f>
        <v>0</v>
      </c>
      <c r="M1109">
        <f>IF(D1109="Canarias",E1109*'Nacional · supuestos'!$B$44,0)</f>
        <v>0</v>
      </c>
      <c r="N1109">
        <f>IF(D1109="Canarias",E1109*'Nacional · supuestos'!$B$45,0)</f>
        <v>0</v>
      </c>
      <c r="O1109">
        <f>IF(D1109="Canarias",'Nacional · supuestos'!$B$46,0)</f>
        <v>0</v>
      </c>
      <c r="P1109">
        <f>IF(D1109="Canarias",MAX(H1109*'Nacional · supuestos'!$B$47,'Nacional · supuestos'!$B$48),0)</f>
        <v>0</v>
      </c>
      <c r="Q1109">
        <f>IF(D1109="Resto nacional",E1109*'Nacional · supuestos'!$B$13*IF(A1109=2027,1+'Nacional · supuestos'!$B$6,1),0)</f>
        <v>317.40898438831215</v>
      </c>
      <c r="R1109">
        <f>IF(D1109="Canarias",SUM(J1109:P1109)*IF(A1109=2027,1+'Nacional · supuestos'!$B$6,1),0)</f>
        <v>0</v>
      </c>
      <c r="S1109">
        <f t="shared" si="18"/>
        <v>317.40898438831215</v>
      </c>
    </row>
    <row r="1110" spans="1:19">
      <c r="A1110">
        <v>2026</v>
      </c>
      <c r="B1110">
        <v>10</v>
      </c>
      <c r="C1110" t="s">
        <v>178</v>
      </c>
      <c r="D1110" t="s">
        <v>160</v>
      </c>
      <c r="E1110">
        <f>SUMIFS('Nacional · base'!$J$7:$J$1068,'Nacional · base'!$A$7:$A$1068,A1110,'Nacional · base'!$B$7:$B$1068,B1110,'Nacional · base'!$C$7:$C$1068,C1110)</f>
        <v>5136.2430827186736</v>
      </c>
      <c r="F1110">
        <f>SUMIFS('Nacional · base'!$K$7:$K$1068,'Nacional · base'!$A$7:$A$1068,A1110,'Nacional · base'!$B$7:$B$1068,B1110,'Nacional · base'!$C$7:$C$1068,C1110)</f>
        <v>6.8356267074561146</v>
      </c>
      <c r="G1110">
        <f t="shared" si="17"/>
        <v>7</v>
      </c>
      <c r="H1110">
        <f>SUMIFS('Nacional · base'!$G$7:$G$1068,'Nacional · base'!$A$7:$A$1068,A1110,'Nacional · base'!$B$7:$B$1068,B1110,'Nacional · base'!$C$7:$C$1068,C1110)</f>
        <v>18547.953852991479</v>
      </c>
      <c r="I1110">
        <f>IF(D1110="Canarias",IF(C1110="CABRERA MORALES FRANCISCO",IF(E1110&lt;=2000,'Nacional · supuestos'!$C$34,IF(E1110&lt;=5000,'Nacional · supuestos'!$C$35,'Nacional · supuestos'!$C$36)),IF(E1110&lt;=2000,'Nacional · supuestos'!$B$34,IF(E1110&lt;=5000,'Nacional · supuestos'!$B$35,'Nacional · supuestos'!$B$36))),0)</f>
        <v>0</v>
      </c>
      <c r="J1110">
        <f>IF(D1110="Canarias",MAX(E1110*I1110,IF(C1110="CABRERA MORALES FRANCISCO",'Nacional · supuestos'!$C$38,'Nacional · supuestos'!$B$38)),0)</f>
        <v>0</v>
      </c>
      <c r="K1110">
        <f>IF(D1110="Canarias",MAX(E1110*'Nacional · supuestos'!$B$41,'Nacional · supuestos'!$B$42),0)</f>
        <v>0</v>
      </c>
      <c r="L1110">
        <f>IF(D1110="Canarias",E1110*'Nacional · supuestos'!$B$43,0)</f>
        <v>0</v>
      </c>
      <c r="M1110">
        <f>IF(D1110="Canarias",E1110*'Nacional · supuestos'!$B$44,0)</f>
        <v>0</v>
      </c>
      <c r="N1110">
        <f>IF(D1110="Canarias",E1110*'Nacional · supuestos'!$B$45,0)</f>
        <v>0</v>
      </c>
      <c r="O1110">
        <f>IF(D1110="Canarias",'Nacional · supuestos'!$B$46,0)</f>
        <v>0</v>
      </c>
      <c r="P1110">
        <f>IF(D1110="Canarias",MAX(H1110*'Nacional · supuestos'!$B$47,'Nacional · supuestos'!$B$48),0)</f>
        <v>0</v>
      </c>
      <c r="Q1110">
        <f>IF(D1110="Resto nacional",E1110*'Nacional · supuestos'!$B$13*IF(A1110=2027,1+'Nacional · supuestos'!$B$6,1),0)</f>
        <v>455.43481923089917</v>
      </c>
      <c r="R1110">
        <f>IF(D1110="Canarias",SUM(J1110:P1110)*IF(A1110=2027,1+'Nacional · supuestos'!$B$6,1),0)</f>
        <v>0</v>
      </c>
      <c r="S1110">
        <f t="shared" si="18"/>
        <v>455.43481923089917</v>
      </c>
    </row>
    <row r="1111" spans="1:19">
      <c r="A1111">
        <v>2026</v>
      </c>
      <c r="B1111">
        <v>10</v>
      </c>
      <c r="C1111" t="s">
        <v>179</v>
      </c>
      <c r="D1111" t="s">
        <v>160</v>
      </c>
      <c r="E1111">
        <f>SUMIFS('Nacional · base'!$J$7:$J$1068,'Nacional · base'!$A$7:$A$1068,A1111,'Nacional · base'!$B$7:$B$1068,B1111,'Nacional · base'!$C$7:$C$1068,C1111)</f>
        <v>2308.3705991915772</v>
      </c>
      <c r="F1111">
        <f>SUMIFS('Nacional · base'!$K$7:$K$1068,'Nacional · base'!$A$7:$A$1068,A1111,'Nacional · base'!$B$7:$B$1068,B1111,'Nacional · base'!$C$7:$C$1068,C1111)</f>
        <v>3.0651875170647918</v>
      </c>
      <c r="G1111">
        <f t="shared" si="17"/>
        <v>4</v>
      </c>
      <c r="H1111">
        <f>SUMIFS('Nacional · base'!$G$7:$G$1068,'Nacional · base'!$A$7:$A$1068,A1111,'Nacional · base'!$B$7:$B$1068,B1111,'Nacional · base'!$C$7:$C$1068,C1111)</f>
        <v>7735.6484966748549</v>
      </c>
      <c r="I1111">
        <f>IF(D1111="Canarias",IF(C1111="CABRERA MORALES FRANCISCO",IF(E1111&lt;=2000,'Nacional · supuestos'!$C$34,IF(E1111&lt;=5000,'Nacional · supuestos'!$C$35,'Nacional · supuestos'!$C$36)),IF(E1111&lt;=2000,'Nacional · supuestos'!$B$34,IF(E1111&lt;=5000,'Nacional · supuestos'!$B$35,'Nacional · supuestos'!$B$36))),0)</f>
        <v>0</v>
      </c>
      <c r="J1111">
        <f>IF(D1111="Canarias",MAX(E1111*I1111,IF(C1111="CABRERA MORALES FRANCISCO",'Nacional · supuestos'!$C$38,'Nacional · supuestos'!$B$38)),0)</f>
        <v>0</v>
      </c>
      <c r="K1111">
        <f>IF(D1111="Canarias",MAX(E1111*'Nacional · supuestos'!$B$41,'Nacional · supuestos'!$B$42),0)</f>
        <v>0</v>
      </c>
      <c r="L1111">
        <f>IF(D1111="Canarias",E1111*'Nacional · supuestos'!$B$43,0)</f>
        <v>0</v>
      </c>
      <c r="M1111">
        <f>IF(D1111="Canarias",E1111*'Nacional · supuestos'!$B$44,0)</f>
        <v>0</v>
      </c>
      <c r="N1111">
        <f>IF(D1111="Canarias",E1111*'Nacional · supuestos'!$B$45,0)</f>
        <v>0</v>
      </c>
      <c r="O1111">
        <f>IF(D1111="Canarias",'Nacional · supuestos'!$B$46,0)</f>
        <v>0</v>
      </c>
      <c r="P1111">
        <f>IF(D1111="Canarias",MAX(H1111*'Nacional · supuestos'!$B$47,'Nacional · supuestos'!$B$48),0)</f>
        <v>0</v>
      </c>
      <c r="Q1111">
        <f>IF(D1111="Resto nacional",E1111*'Nacional · supuestos'!$B$13*IF(A1111=2027,1+'Nacional · supuestos'!$B$6,1),0)</f>
        <v>204.68508394744168</v>
      </c>
      <c r="R1111">
        <f>IF(D1111="Canarias",SUM(J1111:P1111)*IF(A1111=2027,1+'Nacional · supuestos'!$B$6,1),0)</f>
        <v>0</v>
      </c>
      <c r="S1111">
        <f t="shared" si="18"/>
        <v>204.68508394744168</v>
      </c>
    </row>
    <row r="1112" spans="1:19">
      <c r="A1112">
        <v>2026</v>
      </c>
      <c r="B1112">
        <v>10</v>
      </c>
      <c r="C1112" t="s">
        <v>184</v>
      </c>
      <c r="D1112" t="s">
        <v>160</v>
      </c>
      <c r="E1112">
        <f>SUMIFS('Nacional · base'!$J$7:$J$1068,'Nacional · base'!$A$7:$A$1068,A1112,'Nacional · base'!$B$7:$B$1068,B1112,'Nacional · base'!$C$7:$C$1068,C1112)</f>
        <v>894.90835549767939</v>
      </c>
      <c r="F1112">
        <f>SUMIFS('Nacional · base'!$K$7:$K$1068,'Nacional · base'!$A$7:$A$1068,A1112,'Nacional · base'!$B$7:$B$1068,B1112,'Nacional · base'!$C$7:$C$1068,C1112)</f>
        <v>0.94799613929838922</v>
      </c>
      <c r="G1112">
        <f t="shared" si="17"/>
        <v>1</v>
      </c>
      <c r="H1112">
        <f>SUMIFS('Nacional · base'!$G$7:$G$1068,'Nacional · base'!$A$7:$A$1068,A1112,'Nacional · base'!$B$7:$B$1068,B1112,'Nacional · base'!$C$7:$C$1068,C1112)</f>
        <v>2540.6296533196833</v>
      </c>
      <c r="I1112">
        <f>IF(D1112="Canarias",IF(C1112="CABRERA MORALES FRANCISCO",IF(E1112&lt;=2000,'Nacional · supuestos'!$C$34,IF(E1112&lt;=5000,'Nacional · supuestos'!$C$35,'Nacional · supuestos'!$C$36)),IF(E1112&lt;=2000,'Nacional · supuestos'!$B$34,IF(E1112&lt;=5000,'Nacional · supuestos'!$B$35,'Nacional · supuestos'!$B$36))),0)</f>
        <v>0</v>
      </c>
      <c r="J1112">
        <f>IF(D1112="Canarias",MAX(E1112*I1112,IF(C1112="CABRERA MORALES FRANCISCO",'Nacional · supuestos'!$C$38,'Nacional · supuestos'!$B$38)),0)</f>
        <v>0</v>
      </c>
      <c r="K1112">
        <f>IF(D1112="Canarias",MAX(E1112*'Nacional · supuestos'!$B$41,'Nacional · supuestos'!$B$42),0)</f>
        <v>0</v>
      </c>
      <c r="L1112">
        <f>IF(D1112="Canarias",E1112*'Nacional · supuestos'!$B$43,0)</f>
        <v>0</v>
      </c>
      <c r="M1112">
        <f>IF(D1112="Canarias",E1112*'Nacional · supuestos'!$B$44,0)</f>
        <v>0</v>
      </c>
      <c r="N1112">
        <f>IF(D1112="Canarias",E1112*'Nacional · supuestos'!$B$45,0)</f>
        <v>0</v>
      </c>
      <c r="O1112">
        <f>IF(D1112="Canarias",'Nacional · supuestos'!$B$46,0)</f>
        <v>0</v>
      </c>
      <c r="P1112">
        <f>IF(D1112="Canarias",MAX(H1112*'Nacional · supuestos'!$B$47,'Nacional · supuestos'!$B$48),0)</f>
        <v>0</v>
      </c>
      <c r="Q1112">
        <f>IF(D1112="Resto nacional",E1112*'Nacional · supuestos'!$B$13*IF(A1112=2027,1+'Nacional · supuestos'!$B$6,1),0)</f>
        <v>79.352246097078023</v>
      </c>
      <c r="R1112">
        <f>IF(D1112="Canarias",SUM(J1112:P1112)*IF(A1112=2027,1+'Nacional · supuestos'!$B$6,1),0)</f>
        <v>0</v>
      </c>
      <c r="S1112">
        <f t="shared" si="18"/>
        <v>79.352246097078023</v>
      </c>
    </row>
    <row r="1113" spans="1:19">
      <c r="A1113">
        <v>2026</v>
      </c>
      <c r="B1113">
        <v>10</v>
      </c>
      <c r="C1113" t="s">
        <v>180</v>
      </c>
      <c r="D1113" t="s">
        <v>160</v>
      </c>
      <c r="E1113">
        <f>SUMIFS('Nacional · base'!$J$7:$J$1068,'Nacional · base'!$A$7:$A$1068,A1113,'Nacional · base'!$B$7:$B$1068,B1113,'Nacional · base'!$C$7:$C$1068,C1113)</f>
        <v>2644.1508317310668</v>
      </c>
      <c r="F1113">
        <f>SUMIFS('Nacional · base'!$K$7:$K$1068,'Nacional · base'!$A$7:$A$1068,A1113,'Nacional · base'!$B$7:$B$1068,B1113,'Nacional · base'!$C$7:$C$1068,C1113)</f>
        <v>3.4540813878451546</v>
      </c>
      <c r="G1113">
        <f t="shared" si="17"/>
        <v>4</v>
      </c>
      <c r="H1113">
        <f>SUMIFS('Nacional · base'!$G$7:$G$1068,'Nacional · base'!$A$7:$A$1068,A1113,'Nacional · base'!$B$7:$B$1068,B1113,'Nacional · base'!$C$7:$C$1068,C1113)</f>
        <v>7097.4289738672014</v>
      </c>
      <c r="I1113">
        <f>IF(D1113="Canarias",IF(C1113="CABRERA MORALES FRANCISCO",IF(E1113&lt;=2000,'Nacional · supuestos'!$C$34,IF(E1113&lt;=5000,'Nacional · supuestos'!$C$35,'Nacional · supuestos'!$C$36)),IF(E1113&lt;=2000,'Nacional · supuestos'!$B$34,IF(E1113&lt;=5000,'Nacional · supuestos'!$B$35,'Nacional · supuestos'!$B$36))),0)</f>
        <v>0</v>
      </c>
      <c r="J1113">
        <f>IF(D1113="Canarias",MAX(E1113*I1113,IF(C1113="CABRERA MORALES FRANCISCO",'Nacional · supuestos'!$C$38,'Nacional · supuestos'!$B$38)),0)</f>
        <v>0</v>
      </c>
      <c r="K1113">
        <f>IF(D1113="Canarias",MAX(E1113*'Nacional · supuestos'!$B$41,'Nacional · supuestos'!$B$42),0)</f>
        <v>0</v>
      </c>
      <c r="L1113">
        <f>IF(D1113="Canarias",E1113*'Nacional · supuestos'!$B$43,0)</f>
        <v>0</v>
      </c>
      <c r="M1113">
        <f>IF(D1113="Canarias",E1113*'Nacional · supuestos'!$B$44,0)</f>
        <v>0</v>
      </c>
      <c r="N1113">
        <f>IF(D1113="Canarias",E1113*'Nacional · supuestos'!$B$45,0)</f>
        <v>0</v>
      </c>
      <c r="O1113">
        <f>IF(D1113="Canarias",'Nacional · supuestos'!$B$46,0)</f>
        <v>0</v>
      </c>
      <c r="P1113">
        <f>IF(D1113="Canarias",MAX(H1113*'Nacional · supuestos'!$B$47,'Nacional · supuestos'!$B$48),0)</f>
        <v>0</v>
      </c>
      <c r="Q1113">
        <f>IF(D1113="Resto nacional",E1113*'Nacional · supuestos'!$B$13*IF(A1113=2027,1+'Nacional · supuestos'!$B$6,1),0)</f>
        <v>234.45898815039195</v>
      </c>
      <c r="R1113">
        <f>IF(D1113="Canarias",SUM(J1113:P1113)*IF(A1113=2027,1+'Nacional · supuestos'!$B$6,1),0)</f>
        <v>0</v>
      </c>
      <c r="S1113">
        <f t="shared" si="18"/>
        <v>234.45898815039195</v>
      </c>
    </row>
    <row r="1114" spans="1:19">
      <c r="A1114">
        <v>2026</v>
      </c>
      <c r="B1114">
        <v>10</v>
      </c>
      <c r="C1114" t="s">
        <v>185</v>
      </c>
      <c r="D1114" t="s">
        <v>160</v>
      </c>
      <c r="E1114">
        <f>SUMIFS('Nacional · base'!$J$7:$J$1068,'Nacional · base'!$A$7:$A$1068,A1114,'Nacional · base'!$B$7:$B$1068,B1114,'Nacional · base'!$C$7:$C$1068,C1114)</f>
        <v>3087.4338264669946</v>
      </c>
      <c r="F1114">
        <f>SUMIFS('Nacional · base'!$K$7:$K$1068,'Nacional · base'!$A$7:$A$1068,A1114,'Nacional · base'!$B$7:$B$1068,B1114,'Nacional · base'!$C$7:$C$1068,C1114)</f>
        <v>4.0882333507243045</v>
      </c>
      <c r="G1114">
        <f t="shared" si="17"/>
        <v>5</v>
      </c>
      <c r="H1114">
        <f>SUMIFS('Nacional · base'!$G$7:$G$1068,'Nacional · base'!$A$7:$A$1068,A1114,'Nacional · base'!$B$7:$B$1068,B1114,'Nacional · base'!$C$7:$C$1068,C1114)</f>
        <v>8660.5135301743667</v>
      </c>
      <c r="I1114">
        <f>IF(D1114="Canarias",IF(C1114="CABRERA MORALES FRANCISCO",IF(E1114&lt;=2000,'Nacional · supuestos'!$C$34,IF(E1114&lt;=5000,'Nacional · supuestos'!$C$35,'Nacional · supuestos'!$C$36)),IF(E1114&lt;=2000,'Nacional · supuestos'!$B$34,IF(E1114&lt;=5000,'Nacional · supuestos'!$B$35,'Nacional · supuestos'!$B$36))),0)</f>
        <v>0</v>
      </c>
      <c r="J1114">
        <f>IF(D1114="Canarias",MAX(E1114*I1114,IF(C1114="CABRERA MORALES FRANCISCO",'Nacional · supuestos'!$C$38,'Nacional · supuestos'!$B$38)),0)</f>
        <v>0</v>
      </c>
      <c r="K1114">
        <f>IF(D1114="Canarias",MAX(E1114*'Nacional · supuestos'!$B$41,'Nacional · supuestos'!$B$42),0)</f>
        <v>0</v>
      </c>
      <c r="L1114">
        <f>IF(D1114="Canarias",E1114*'Nacional · supuestos'!$B$43,0)</f>
        <v>0</v>
      </c>
      <c r="M1114">
        <f>IF(D1114="Canarias",E1114*'Nacional · supuestos'!$B$44,0)</f>
        <v>0</v>
      </c>
      <c r="N1114">
        <f>IF(D1114="Canarias",E1114*'Nacional · supuestos'!$B$45,0)</f>
        <v>0</v>
      </c>
      <c r="O1114">
        <f>IF(D1114="Canarias",'Nacional · supuestos'!$B$46,0)</f>
        <v>0</v>
      </c>
      <c r="P1114">
        <f>IF(D1114="Canarias",MAX(H1114*'Nacional · supuestos'!$B$47,'Nacional · supuestos'!$B$48),0)</f>
        <v>0</v>
      </c>
      <c r="Q1114">
        <f>IF(D1114="Resto nacional",E1114*'Nacional · supuestos'!$B$13*IF(A1114=2027,1+'Nacional · supuestos'!$B$6,1),0)</f>
        <v>273.76524903491924</v>
      </c>
      <c r="R1114">
        <f>IF(D1114="Canarias",SUM(J1114:P1114)*IF(A1114=2027,1+'Nacional · supuestos'!$B$6,1),0)</f>
        <v>0</v>
      </c>
      <c r="S1114">
        <f t="shared" si="18"/>
        <v>273.76524903491924</v>
      </c>
    </row>
    <row r="1115" spans="1:19">
      <c r="A1115">
        <v>2026</v>
      </c>
      <c r="B1115">
        <v>10</v>
      </c>
      <c r="C1115" t="s">
        <v>181</v>
      </c>
      <c r="D1115" t="s">
        <v>160</v>
      </c>
      <c r="E1115">
        <f>SUMIFS('Nacional · base'!$J$7:$J$1068,'Nacional · base'!$A$7:$A$1068,A1115,'Nacional · base'!$B$7:$B$1068,B1115,'Nacional · base'!$C$7:$C$1068,C1115)</f>
        <v>1042.795753228228</v>
      </c>
      <c r="F1115">
        <f>SUMIFS('Nacional · base'!$K$7:$K$1068,'Nacional · base'!$A$7:$A$1068,A1115,'Nacional · base'!$B$7:$B$1068,B1115,'Nacional · base'!$C$7:$C$1068,C1115)</f>
        <v>1.303494691535285</v>
      </c>
      <c r="G1115">
        <f t="shared" si="17"/>
        <v>2</v>
      </c>
      <c r="H1115">
        <f>SUMIFS('Nacional · base'!$G$7:$G$1068,'Nacional · base'!$A$7:$A$1068,A1115,'Nacional · base'!$B$7:$B$1068,B1115,'Nacional · base'!$C$7:$C$1068,C1115)</f>
        <v>1929.1721434722219</v>
      </c>
      <c r="I1115">
        <f>IF(D1115="Canarias",IF(C1115="CABRERA MORALES FRANCISCO",IF(E1115&lt;=2000,'Nacional · supuestos'!$C$34,IF(E1115&lt;=5000,'Nacional · supuestos'!$C$35,'Nacional · supuestos'!$C$36)),IF(E1115&lt;=2000,'Nacional · supuestos'!$B$34,IF(E1115&lt;=5000,'Nacional · supuestos'!$B$35,'Nacional · supuestos'!$B$36))),0)</f>
        <v>0</v>
      </c>
      <c r="J1115">
        <f>IF(D1115="Canarias",MAX(E1115*I1115,IF(C1115="CABRERA MORALES FRANCISCO",'Nacional · supuestos'!$C$38,'Nacional · supuestos'!$B$38)),0)</f>
        <v>0</v>
      </c>
      <c r="K1115">
        <f>IF(D1115="Canarias",MAX(E1115*'Nacional · supuestos'!$B$41,'Nacional · supuestos'!$B$42),0)</f>
        <v>0</v>
      </c>
      <c r="L1115">
        <f>IF(D1115="Canarias",E1115*'Nacional · supuestos'!$B$43,0)</f>
        <v>0</v>
      </c>
      <c r="M1115">
        <f>IF(D1115="Canarias",E1115*'Nacional · supuestos'!$B$44,0)</f>
        <v>0</v>
      </c>
      <c r="N1115">
        <f>IF(D1115="Canarias",E1115*'Nacional · supuestos'!$B$45,0)</f>
        <v>0</v>
      </c>
      <c r="O1115">
        <f>IF(D1115="Canarias",'Nacional · supuestos'!$B$46,0)</f>
        <v>0</v>
      </c>
      <c r="P1115">
        <f>IF(D1115="Canarias",MAX(H1115*'Nacional · supuestos'!$B$47,'Nacional · supuestos'!$B$48),0)</f>
        <v>0</v>
      </c>
      <c r="Q1115">
        <f>IF(D1115="Resto nacional",E1115*'Nacional · supuestos'!$B$13*IF(A1115=2027,1+'Nacional · supuestos'!$B$6,1),0)</f>
        <v>92.465541002951085</v>
      </c>
      <c r="R1115">
        <f>IF(D1115="Canarias",SUM(J1115:P1115)*IF(A1115=2027,1+'Nacional · supuestos'!$B$6,1),0)</f>
        <v>0</v>
      </c>
      <c r="S1115">
        <f t="shared" si="18"/>
        <v>92.465541002951085</v>
      </c>
    </row>
    <row r="1116" spans="1:19">
      <c r="A1116">
        <v>2026</v>
      </c>
      <c r="B1116">
        <v>10</v>
      </c>
      <c r="C1116" t="s">
        <v>186</v>
      </c>
      <c r="D1116" t="s">
        <v>160</v>
      </c>
      <c r="E1116">
        <f>SUMIFS('Nacional · base'!$J$7:$J$1068,'Nacional · base'!$A$7:$A$1068,A1116,'Nacional · base'!$B$7:$B$1068,B1116,'Nacional · base'!$C$7:$C$1068,C1116)</f>
        <v>1051.5173177097734</v>
      </c>
      <c r="F1116">
        <f>SUMIFS('Nacional · base'!$K$7:$K$1068,'Nacional · base'!$A$7:$A$1068,A1116,'Nacional · base'!$B$7:$B$1068,B1116,'Nacional · base'!$C$7:$C$1068,C1116)</f>
        <v>1.3923693295945092</v>
      </c>
      <c r="G1116">
        <f t="shared" si="17"/>
        <v>2</v>
      </c>
      <c r="H1116">
        <f>SUMIFS('Nacional · base'!$G$7:$G$1068,'Nacional · base'!$A$7:$A$1068,A1116,'Nacional · base'!$B$7:$B$1068,B1116,'Nacional · base'!$C$7:$C$1068,C1116)</f>
        <v>2445.6404401619848</v>
      </c>
      <c r="I1116">
        <f>IF(D1116="Canarias",IF(C1116="CABRERA MORALES FRANCISCO",IF(E1116&lt;=2000,'Nacional · supuestos'!$C$34,IF(E1116&lt;=5000,'Nacional · supuestos'!$C$35,'Nacional · supuestos'!$C$36)),IF(E1116&lt;=2000,'Nacional · supuestos'!$B$34,IF(E1116&lt;=5000,'Nacional · supuestos'!$B$35,'Nacional · supuestos'!$B$36))),0)</f>
        <v>0</v>
      </c>
      <c r="J1116">
        <f>IF(D1116="Canarias",MAX(E1116*I1116,IF(C1116="CABRERA MORALES FRANCISCO",'Nacional · supuestos'!$C$38,'Nacional · supuestos'!$B$38)),0)</f>
        <v>0</v>
      </c>
      <c r="K1116">
        <f>IF(D1116="Canarias",MAX(E1116*'Nacional · supuestos'!$B$41,'Nacional · supuestos'!$B$42),0)</f>
        <v>0</v>
      </c>
      <c r="L1116">
        <f>IF(D1116="Canarias",E1116*'Nacional · supuestos'!$B$43,0)</f>
        <v>0</v>
      </c>
      <c r="M1116">
        <f>IF(D1116="Canarias",E1116*'Nacional · supuestos'!$B$44,0)</f>
        <v>0</v>
      </c>
      <c r="N1116">
        <f>IF(D1116="Canarias",E1116*'Nacional · supuestos'!$B$45,0)</f>
        <v>0</v>
      </c>
      <c r="O1116">
        <f>IF(D1116="Canarias",'Nacional · supuestos'!$B$46,0)</f>
        <v>0</v>
      </c>
      <c r="P1116">
        <f>IF(D1116="Canarias",MAX(H1116*'Nacional · supuestos'!$B$47,'Nacional · supuestos'!$B$48),0)</f>
        <v>0</v>
      </c>
      <c r="Q1116">
        <f>IF(D1116="Resto nacional",E1116*'Nacional · supuestos'!$B$13*IF(A1116=2027,1+'Nacional · supuestos'!$B$6,1),0)</f>
        <v>93.238889164066691</v>
      </c>
      <c r="R1116">
        <f>IF(D1116="Canarias",SUM(J1116:P1116)*IF(A1116=2027,1+'Nacional · supuestos'!$B$6,1),0)</f>
        <v>0</v>
      </c>
      <c r="S1116">
        <f t="shared" si="18"/>
        <v>93.238889164066691</v>
      </c>
    </row>
    <row r="1117" spans="1:19">
      <c r="A1117">
        <v>2026</v>
      </c>
      <c r="B1117">
        <v>11</v>
      </c>
      <c r="C1117" t="s">
        <v>162</v>
      </c>
      <c r="D1117" t="s">
        <v>160</v>
      </c>
      <c r="E1117">
        <f>SUMIFS('Nacional · base'!$J$7:$J$1068,'Nacional · base'!$A$7:$A$1068,A1117,'Nacional · base'!$B$7:$B$1068,B1117,'Nacional · base'!$C$7:$C$1068,C1117)</f>
        <v>11262.952531776304</v>
      </c>
      <c r="F1117">
        <f>SUMIFS('Nacional · base'!$K$7:$K$1068,'Nacional · base'!$A$7:$A$1068,A1117,'Nacional · base'!$B$7:$B$1068,B1117,'Nacional · base'!$C$7:$C$1068,C1117)</f>
        <v>11.138954636756074</v>
      </c>
      <c r="G1117">
        <f t="shared" si="17"/>
        <v>12</v>
      </c>
      <c r="H1117">
        <f>SUMIFS('Nacional · base'!$G$7:$G$1068,'Nacional · base'!$A$7:$A$1068,A1117,'Nacional · base'!$B$7:$B$1068,B1117,'Nacional · base'!$C$7:$C$1068,C1117)</f>
        <v>19693.536828842873</v>
      </c>
      <c r="I1117">
        <f>IF(D1117="Canarias",IF(C1117="CABRERA MORALES FRANCISCO",IF(E1117&lt;=2000,'Nacional · supuestos'!$C$34,IF(E1117&lt;=5000,'Nacional · supuestos'!$C$35,'Nacional · supuestos'!$C$36)),IF(E1117&lt;=2000,'Nacional · supuestos'!$B$34,IF(E1117&lt;=5000,'Nacional · supuestos'!$B$35,'Nacional · supuestos'!$B$36))),0)</f>
        <v>0</v>
      </c>
      <c r="J1117">
        <f>IF(D1117="Canarias",MAX(E1117*I1117,IF(C1117="CABRERA MORALES FRANCISCO",'Nacional · supuestos'!$C$38,'Nacional · supuestos'!$B$38)),0)</f>
        <v>0</v>
      </c>
      <c r="K1117">
        <f>IF(D1117="Canarias",MAX(E1117*'Nacional · supuestos'!$B$41,'Nacional · supuestos'!$B$42),0)</f>
        <v>0</v>
      </c>
      <c r="L1117">
        <f>IF(D1117="Canarias",E1117*'Nacional · supuestos'!$B$43,0)</f>
        <v>0</v>
      </c>
      <c r="M1117">
        <f>IF(D1117="Canarias",E1117*'Nacional · supuestos'!$B$44,0)</f>
        <v>0</v>
      </c>
      <c r="N1117">
        <f>IF(D1117="Canarias",E1117*'Nacional · supuestos'!$B$45,0)</f>
        <v>0</v>
      </c>
      <c r="O1117">
        <f>IF(D1117="Canarias",'Nacional · supuestos'!$B$46,0)</f>
        <v>0</v>
      </c>
      <c r="P1117">
        <f>IF(D1117="Canarias",MAX(H1117*'Nacional · supuestos'!$B$47,'Nacional · supuestos'!$B$48),0)</f>
        <v>0</v>
      </c>
      <c r="Q1117">
        <f>IF(D1117="Resto nacional",E1117*'Nacional · supuestos'!$B$13*IF(A1117=2027,1+'Nacional · supuestos'!$B$6,1),0)</f>
        <v>998.69509049805583</v>
      </c>
      <c r="R1117">
        <f>IF(D1117="Canarias",SUM(J1117:P1117)*IF(A1117=2027,1+'Nacional · supuestos'!$B$6,1),0)</f>
        <v>0</v>
      </c>
      <c r="S1117">
        <f t="shared" si="18"/>
        <v>998.69509049805583</v>
      </c>
    </row>
    <row r="1118" spans="1:19">
      <c r="A1118">
        <v>2026</v>
      </c>
      <c r="B1118">
        <v>11</v>
      </c>
      <c r="C1118" t="s">
        <v>163</v>
      </c>
      <c r="D1118" t="s">
        <v>164</v>
      </c>
      <c r="E1118">
        <f>SUMIFS('Nacional · base'!$J$7:$J$1068,'Nacional · base'!$A$7:$A$1068,A1118,'Nacional · base'!$B$7:$B$1068,B1118,'Nacional · base'!$C$7:$C$1068,C1118)</f>
        <v>14119.075300254488</v>
      </c>
      <c r="F1118">
        <f>SUMIFS('Nacional · base'!$K$7:$K$1068,'Nacional · base'!$A$7:$A$1068,A1118,'Nacional · base'!$B$7:$B$1068,B1118,'Nacional · base'!$C$7:$C$1068,C1118)</f>
        <v>16.441808040956442</v>
      </c>
      <c r="G1118">
        <f t="shared" si="17"/>
        <v>17</v>
      </c>
      <c r="H1118">
        <f>SUMIFS('Nacional · base'!$G$7:$G$1068,'Nacional · base'!$A$7:$A$1068,A1118,'Nacional · base'!$B$7:$B$1068,B1118,'Nacional · base'!$C$7:$C$1068,C1118)</f>
        <v>28742.70831418928</v>
      </c>
      <c r="I1118">
        <f>IF(D1118="Canarias",IF(C1118="CABRERA MORALES FRANCISCO",IF(E1118&lt;=2000,'Nacional · supuestos'!$C$34,IF(E1118&lt;=5000,'Nacional · supuestos'!$C$35,'Nacional · supuestos'!$C$36)),IF(E1118&lt;=2000,'Nacional · supuestos'!$B$34,IF(E1118&lt;=5000,'Nacional · supuestos'!$B$35,'Nacional · supuestos'!$B$36))),0)</f>
        <v>0.104</v>
      </c>
      <c r="J1118">
        <f>IF(D1118="Canarias",MAX(E1118*I1118,IF(C1118="CABRERA MORALES FRANCISCO",'Nacional · supuestos'!$C$38,'Nacional · supuestos'!$B$38)),0)</f>
        <v>1468.3838312264668</v>
      </c>
      <c r="K1118">
        <f>IF(D1118="Canarias",MAX(E1118*'Nacional · supuestos'!$B$41,'Nacional · supuestos'!$B$42),0)</f>
        <v>508.28671080916155</v>
      </c>
      <c r="L1118">
        <f>IF(D1118="Canarias",E1118*'Nacional · supuestos'!$B$43,0)</f>
        <v>169.42890360305387</v>
      </c>
      <c r="M1118">
        <f>IF(D1118="Canarias",E1118*'Nacional · supuestos'!$B$44,0)</f>
        <v>254.14335540458077</v>
      </c>
      <c r="N1118">
        <f>IF(D1118="Canarias",E1118*'Nacional · supuestos'!$B$45,0)</f>
        <v>310.61965660559872</v>
      </c>
      <c r="O1118">
        <f>IF(D1118="Canarias",'Nacional · supuestos'!$B$46,0)</f>
        <v>15</v>
      </c>
      <c r="P1118">
        <f>IF(D1118="Canarias",MAX(H1118*'Nacional · supuestos'!$B$47,'Nacional · supuestos'!$B$48),0)</f>
        <v>129.34218741385175</v>
      </c>
      <c r="Q1118">
        <f>IF(D1118="Resto nacional",E1118*'Nacional · supuestos'!$B$13*IF(A1118=2027,1+'Nacional · supuestos'!$B$6,1),0)</f>
        <v>0</v>
      </c>
      <c r="R1118">
        <f>IF(D1118="Canarias",SUM(J1118:P1118)*IF(A1118=2027,1+'Nacional · supuestos'!$B$6,1),0)</f>
        <v>2855.2046450627136</v>
      </c>
      <c r="S1118">
        <f t="shared" si="18"/>
        <v>2855.2046450627136</v>
      </c>
    </row>
    <row r="1119" spans="1:19">
      <c r="A1119">
        <v>2026</v>
      </c>
      <c r="B1119">
        <v>11</v>
      </c>
      <c r="C1119" t="s">
        <v>166</v>
      </c>
      <c r="D1119" t="s">
        <v>160</v>
      </c>
      <c r="E1119">
        <f>SUMIFS('Nacional · base'!$J$7:$J$1068,'Nacional · base'!$A$7:$A$1068,A1119,'Nacional · base'!$B$7:$B$1068,B1119,'Nacional · base'!$C$7:$C$1068,C1119)</f>
        <v>7021.2386060995914</v>
      </c>
      <c r="F1119">
        <f>SUMIFS('Nacional · base'!$K$7:$K$1068,'Nacional · base'!$A$7:$A$1068,A1119,'Nacional · base'!$B$7:$B$1068,B1119,'Nacional · base'!$C$7:$C$1068,C1119)</f>
        <v>7.9987174253301605</v>
      </c>
      <c r="G1119">
        <f t="shared" si="17"/>
        <v>8</v>
      </c>
      <c r="H1119">
        <f>SUMIFS('Nacional · base'!$G$7:$G$1068,'Nacional · base'!$A$7:$A$1068,A1119,'Nacional · base'!$B$7:$B$1068,B1119,'Nacional · base'!$C$7:$C$1068,C1119)</f>
        <v>12888.386712217323</v>
      </c>
      <c r="I1119">
        <f>IF(D1119="Canarias",IF(C1119="CABRERA MORALES FRANCISCO",IF(E1119&lt;=2000,'Nacional · supuestos'!$C$34,IF(E1119&lt;=5000,'Nacional · supuestos'!$C$35,'Nacional · supuestos'!$C$36)),IF(E1119&lt;=2000,'Nacional · supuestos'!$B$34,IF(E1119&lt;=5000,'Nacional · supuestos'!$B$35,'Nacional · supuestos'!$B$36))),0)</f>
        <v>0</v>
      </c>
      <c r="J1119">
        <f>IF(D1119="Canarias",MAX(E1119*I1119,IF(C1119="CABRERA MORALES FRANCISCO",'Nacional · supuestos'!$C$38,'Nacional · supuestos'!$B$38)),0)</f>
        <v>0</v>
      </c>
      <c r="K1119">
        <f>IF(D1119="Canarias",MAX(E1119*'Nacional · supuestos'!$B$41,'Nacional · supuestos'!$B$42),0)</f>
        <v>0</v>
      </c>
      <c r="L1119">
        <f>IF(D1119="Canarias",E1119*'Nacional · supuestos'!$B$43,0)</f>
        <v>0</v>
      </c>
      <c r="M1119">
        <f>IF(D1119="Canarias",E1119*'Nacional · supuestos'!$B$44,0)</f>
        <v>0</v>
      </c>
      <c r="N1119">
        <f>IF(D1119="Canarias",E1119*'Nacional · supuestos'!$B$45,0)</f>
        <v>0</v>
      </c>
      <c r="O1119">
        <f>IF(D1119="Canarias",'Nacional · supuestos'!$B$46,0)</f>
        <v>0</v>
      </c>
      <c r="P1119">
        <f>IF(D1119="Canarias",MAX(H1119*'Nacional · supuestos'!$B$47,'Nacional · supuestos'!$B$48),0)</f>
        <v>0</v>
      </c>
      <c r="Q1119">
        <f>IF(D1119="Resto nacional",E1119*'Nacional · supuestos'!$B$13*IF(A1119=2027,1+'Nacional · supuestos'!$B$6,1),0)</f>
        <v>622.57889353114285</v>
      </c>
      <c r="R1119">
        <f>IF(D1119="Canarias",SUM(J1119:P1119)*IF(A1119=2027,1+'Nacional · supuestos'!$B$6,1),0)</f>
        <v>0</v>
      </c>
      <c r="S1119">
        <f t="shared" si="18"/>
        <v>622.57889353114285</v>
      </c>
    </row>
    <row r="1120" spans="1:19">
      <c r="A1120">
        <v>2026</v>
      </c>
      <c r="B1120">
        <v>11</v>
      </c>
      <c r="C1120" t="s">
        <v>167</v>
      </c>
      <c r="D1120" t="s">
        <v>160</v>
      </c>
      <c r="E1120">
        <f>SUMIFS('Nacional · base'!$J$7:$J$1068,'Nacional · base'!$A$7:$A$1068,A1120,'Nacional · base'!$B$7:$B$1068,B1120,'Nacional · base'!$C$7:$C$1068,C1120)</f>
        <v>223.72708887441993</v>
      </c>
      <c r="F1120">
        <f>SUMIFS('Nacional · base'!$K$7:$K$1068,'Nacional · base'!$A$7:$A$1068,A1120,'Nacional · base'!$B$7:$B$1068,B1120,'Nacional · base'!$C$7:$C$1068,C1120)</f>
        <v>0.29624879353074673</v>
      </c>
      <c r="G1120">
        <f t="shared" si="17"/>
        <v>1</v>
      </c>
      <c r="H1120">
        <f>SUMIFS('Nacional · base'!$G$7:$G$1068,'Nacional · base'!$A$7:$A$1068,A1120,'Nacional · base'!$B$7:$B$1068,B1120,'Nacional · base'!$C$7:$C$1068,C1120)</f>
        <v>722.10220210557338</v>
      </c>
      <c r="I1120">
        <f>IF(D1120="Canarias",IF(C1120="CABRERA MORALES FRANCISCO",IF(E1120&lt;=2000,'Nacional · supuestos'!$C$34,IF(E1120&lt;=5000,'Nacional · supuestos'!$C$35,'Nacional · supuestos'!$C$36)),IF(E1120&lt;=2000,'Nacional · supuestos'!$B$34,IF(E1120&lt;=5000,'Nacional · supuestos'!$B$35,'Nacional · supuestos'!$B$36))),0)</f>
        <v>0</v>
      </c>
      <c r="J1120">
        <f>IF(D1120="Canarias",MAX(E1120*I1120,IF(C1120="CABRERA MORALES FRANCISCO",'Nacional · supuestos'!$C$38,'Nacional · supuestos'!$B$38)),0)</f>
        <v>0</v>
      </c>
      <c r="K1120">
        <f>IF(D1120="Canarias",MAX(E1120*'Nacional · supuestos'!$B$41,'Nacional · supuestos'!$B$42),0)</f>
        <v>0</v>
      </c>
      <c r="L1120">
        <f>IF(D1120="Canarias",E1120*'Nacional · supuestos'!$B$43,0)</f>
        <v>0</v>
      </c>
      <c r="M1120">
        <f>IF(D1120="Canarias",E1120*'Nacional · supuestos'!$B$44,0)</f>
        <v>0</v>
      </c>
      <c r="N1120">
        <f>IF(D1120="Canarias",E1120*'Nacional · supuestos'!$B$45,0)</f>
        <v>0</v>
      </c>
      <c r="O1120">
        <f>IF(D1120="Canarias",'Nacional · supuestos'!$B$46,0)</f>
        <v>0</v>
      </c>
      <c r="P1120">
        <f>IF(D1120="Canarias",MAX(H1120*'Nacional · supuestos'!$B$47,'Nacional · supuestos'!$B$48),0)</f>
        <v>0</v>
      </c>
      <c r="Q1120">
        <f>IF(D1120="Resto nacional",E1120*'Nacional · supuestos'!$B$13*IF(A1120=2027,1+'Nacional · supuestos'!$B$6,1),0)</f>
        <v>19.838061524269513</v>
      </c>
      <c r="R1120">
        <f>IF(D1120="Canarias",SUM(J1120:P1120)*IF(A1120=2027,1+'Nacional · supuestos'!$B$6,1),0)</f>
        <v>0</v>
      </c>
      <c r="S1120">
        <f t="shared" si="18"/>
        <v>19.838061524269513</v>
      </c>
    </row>
    <row r="1121" spans="1:19">
      <c r="A1121">
        <v>2026</v>
      </c>
      <c r="B1121">
        <v>11</v>
      </c>
      <c r="C1121" t="s">
        <v>168</v>
      </c>
      <c r="D1121" t="s">
        <v>160</v>
      </c>
      <c r="E1121">
        <f>SUMIFS('Nacional · base'!$J$7:$J$1068,'Nacional · base'!$A$7:$A$1068,A1121,'Nacional · base'!$B$7:$B$1068,B1121,'Nacional · base'!$C$7:$C$1068,C1121)</f>
        <v>447.4541777488397</v>
      </c>
      <c r="F1121">
        <f>SUMIFS('Nacional · base'!$K$7:$K$1068,'Nacional · base'!$A$7:$A$1068,A1121,'Nacional · base'!$B$7:$B$1068,B1121,'Nacional · base'!$C$7:$C$1068,C1121)</f>
        <v>0.59249758706149325</v>
      </c>
      <c r="G1121">
        <f t="shared" si="17"/>
        <v>1</v>
      </c>
      <c r="H1121">
        <f>SUMIFS('Nacional · base'!$G$7:$G$1068,'Nacional · base'!$A$7:$A$1068,A1121,'Nacional · base'!$B$7:$B$1068,B1121,'Nacional · base'!$C$7:$C$1068,C1121)</f>
        <v>897.35207887898207</v>
      </c>
      <c r="I1121">
        <f>IF(D1121="Canarias",IF(C1121="CABRERA MORALES FRANCISCO",IF(E1121&lt;=2000,'Nacional · supuestos'!$C$34,IF(E1121&lt;=5000,'Nacional · supuestos'!$C$35,'Nacional · supuestos'!$C$36)),IF(E1121&lt;=2000,'Nacional · supuestos'!$B$34,IF(E1121&lt;=5000,'Nacional · supuestos'!$B$35,'Nacional · supuestos'!$B$36))),0)</f>
        <v>0</v>
      </c>
      <c r="J1121">
        <f>IF(D1121="Canarias",MAX(E1121*I1121,IF(C1121="CABRERA MORALES FRANCISCO",'Nacional · supuestos'!$C$38,'Nacional · supuestos'!$B$38)),0)</f>
        <v>0</v>
      </c>
      <c r="K1121">
        <f>IF(D1121="Canarias",MAX(E1121*'Nacional · supuestos'!$B$41,'Nacional · supuestos'!$B$42),0)</f>
        <v>0</v>
      </c>
      <c r="L1121">
        <f>IF(D1121="Canarias",E1121*'Nacional · supuestos'!$B$43,0)</f>
        <v>0</v>
      </c>
      <c r="M1121">
        <f>IF(D1121="Canarias",E1121*'Nacional · supuestos'!$B$44,0)</f>
        <v>0</v>
      </c>
      <c r="N1121">
        <f>IF(D1121="Canarias",E1121*'Nacional · supuestos'!$B$45,0)</f>
        <v>0</v>
      </c>
      <c r="O1121">
        <f>IF(D1121="Canarias",'Nacional · supuestos'!$B$46,0)</f>
        <v>0</v>
      </c>
      <c r="P1121">
        <f>IF(D1121="Canarias",MAX(H1121*'Nacional · supuestos'!$B$47,'Nacional · supuestos'!$B$48),0)</f>
        <v>0</v>
      </c>
      <c r="Q1121">
        <f>IF(D1121="Resto nacional",E1121*'Nacional · supuestos'!$B$13*IF(A1121=2027,1+'Nacional · supuestos'!$B$6,1),0)</f>
        <v>39.676123048539012</v>
      </c>
      <c r="R1121">
        <f>IF(D1121="Canarias",SUM(J1121:P1121)*IF(A1121=2027,1+'Nacional · supuestos'!$B$6,1),0)</f>
        <v>0</v>
      </c>
      <c r="S1121">
        <f t="shared" si="18"/>
        <v>39.676123048539012</v>
      </c>
    </row>
    <row r="1122" spans="1:19">
      <c r="A1122">
        <v>2026</v>
      </c>
      <c r="B1122">
        <v>11</v>
      </c>
      <c r="C1122" t="s">
        <v>170</v>
      </c>
      <c r="D1122" t="s">
        <v>160</v>
      </c>
      <c r="E1122">
        <f>SUMIFS('Nacional · base'!$J$7:$J$1068,'Nacional · base'!$A$7:$A$1068,A1122,'Nacional · base'!$B$7:$B$1068,B1122,'Nacional · base'!$C$7:$C$1068,C1122)</f>
        <v>4295.5601063888607</v>
      </c>
      <c r="F1122">
        <f>SUMIFS('Nacional · base'!$K$7:$K$1068,'Nacional · base'!$A$7:$A$1068,A1122,'Nacional · base'!$B$7:$B$1068,B1122,'Nacional · base'!$C$7:$C$1068,C1122)</f>
        <v>5.6879768357903346</v>
      </c>
      <c r="G1122">
        <f t="shared" si="17"/>
        <v>6</v>
      </c>
      <c r="H1122">
        <f>SUMIFS('Nacional · base'!$G$7:$G$1068,'Nacional · base'!$A$7:$A$1068,A1122,'Nacional · base'!$B$7:$B$1068,B1122,'Nacional · base'!$C$7:$C$1068,C1122)</f>
        <v>11790.038385226206</v>
      </c>
      <c r="I1122">
        <f>IF(D1122="Canarias",IF(C1122="CABRERA MORALES FRANCISCO",IF(E1122&lt;=2000,'Nacional · supuestos'!$C$34,IF(E1122&lt;=5000,'Nacional · supuestos'!$C$35,'Nacional · supuestos'!$C$36)),IF(E1122&lt;=2000,'Nacional · supuestos'!$B$34,IF(E1122&lt;=5000,'Nacional · supuestos'!$B$35,'Nacional · supuestos'!$B$36))),0)</f>
        <v>0</v>
      </c>
      <c r="J1122">
        <f>IF(D1122="Canarias",MAX(E1122*I1122,IF(C1122="CABRERA MORALES FRANCISCO",'Nacional · supuestos'!$C$38,'Nacional · supuestos'!$B$38)),0)</f>
        <v>0</v>
      </c>
      <c r="K1122">
        <f>IF(D1122="Canarias",MAX(E1122*'Nacional · supuestos'!$B$41,'Nacional · supuestos'!$B$42),0)</f>
        <v>0</v>
      </c>
      <c r="L1122">
        <f>IF(D1122="Canarias",E1122*'Nacional · supuestos'!$B$43,0)</f>
        <v>0</v>
      </c>
      <c r="M1122">
        <f>IF(D1122="Canarias",E1122*'Nacional · supuestos'!$B$44,0)</f>
        <v>0</v>
      </c>
      <c r="N1122">
        <f>IF(D1122="Canarias",E1122*'Nacional · supuestos'!$B$45,0)</f>
        <v>0</v>
      </c>
      <c r="O1122">
        <f>IF(D1122="Canarias",'Nacional · supuestos'!$B$46,0)</f>
        <v>0</v>
      </c>
      <c r="P1122">
        <f>IF(D1122="Canarias",MAX(H1122*'Nacional · supuestos'!$B$47,'Nacional · supuestos'!$B$48),0)</f>
        <v>0</v>
      </c>
      <c r="Q1122">
        <f>IF(D1122="Resto nacional",E1122*'Nacional · supuestos'!$B$13*IF(A1122=2027,1+'Nacional · supuestos'!$B$6,1),0)</f>
        <v>380.89078126597451</v>
      </c>
      <c r="R1122">
        <f>IF(D1122="Canarias",SUM(J1122:P1122)*IF(A1122=2027,1+'Nacional · supuestos'!$B$6,1),0)</f>
        <v>0</v>
      </c>
      <c r="S1122">
        <f t="shared" si="18"/>
        <v>380.89078126597451</v>
      </c>
    </row>
    <row r="1123" spans="1:19">
      <c r="A1123">
        <v>2026</v>
      </c>
      <c r="B1123">
        <v>11</v>
      </c>
      <c r="C1123" t="s">
        <v>171</v>
      </c>
      <c r="D1123" t="s">
        <v>164</v>
      </c>
      <c r="E1123">
        <f>SUMIFS('Nacional · base'!$J$7:$J$1068,'Nacional · base'!$A$7:$A$1068,A1123,'Nacional · base'!$B$7:$B$1068,B1123,'Nacional · base'!$C$7:$C$1068,C1123)</f>
        <v>17889.824743927766</v>
      </c>
      <c r="F1123">
        <f>SUMIFS('Nacional · base'!$K$7:$K$1068,'Nacional · base'!$A$7:$A$1068,A1123,'Nacional · base'!$B$7:$B$1068,B1123,'Nacional · base'!$C$7:$C$1068,C1123)</f>
        <v>23.865802806836953</v>
      </c>
      <c r="G1123">
        <f t="shared" si="17"/>
        <v>24</v>
      </c>
      <c r="H1123">
        <f>SUMIFS('Nacional · base'!$G$7:$G$1068,'Nacional · base'!$A$7:$A$1068,A1123,'Nacional · base'!$B$7:$B$1068,B1123,'Nacional · base'!$C$7:$C$1068,C1123)</f>
        <v>40613.269848525575</v>
      </c>
      <c r="I1123">
        <f>IF(D1123="Canarias",IF(C1123="CABRERA MORALES FRANCISCO",IF(E1123&lt;=2000,'Nacional · supuestos'!$C$34,IF(E1123&lt;=5000,'Nacional · supuestos'!$C$35,'Nacional · supuestos'!$C$36)),IF(E1123&lt;=2000,'Nacional · supuestos'!$B$34,IF(E1123&lt;=5000,'Nacional · supuestos'!$B$35,'Nacional · supuestos'!$B$36))),0)</f>
        <v>0.19800000000000001</v>
      </c>
      <c r="J1123">
        <f>IF(D1123="Canarias",MAX(E1123*I1123,IF(C1123="CABRERA MORALES FRANCISCO",'Nacional · supuestos'!$C$38,'Nacional · supuestos'!$B$38)),0)</f>
        <v>3542.1852992976978</v>
      </c>
      <c r="K1123">
        <f>IF(D1123="Canarias",MAX(E1123*'Nacional · supuestos'!$B$41,'Nacional · supuestos'!$B$42),0)</f>
        <v>644.03369078139951</v>
      </c>
      <c r="L1123">
        <f>IF(D1123="Canarias",E1123*'Nacional · supuestos'!$B$43,0)</f>
        <v>214.67789692713319</v>
      </c>
      <c r="M1123">
        <f>IF(D1123="Canarias",E1123*'Nacional · supuestos'!$B$44,0)</f>
        <v>322.01684539069976</v>
      </c>
      <c r="N1123">
        <f>IF(D1123="Canarias",E1123*'Nacional · supuestos'!$B$45,0)</f>
        <v>393.5761443664108</v>
      </c>
      <c r="O1123">
        <f>IF(D1123="Canarias",'Nacional · supuestos'!$B$46,0)</f>
        <v>15</v>
      </c>
      <c r="P1123">
        <f>IF(D1123="Canarias",MAX(H1123*'Nacional · supuestos'!$B$47,'Nacional · supuestos'!$B$48),0)</f>
        <v>182.75971431836507</v>
      </c>
      <c r="Q1123">
        <f>IF(D1123="Resto nacional",E1123*'Nacional · supuestos'!$B$13*IF(A1123=2027,1+'Nacional · supuestos'!$B$6,1),0)</f>
        <v>0</v>
      </c>
      <c r="R1123">
        <f>IF(D1123="Canarias",SUM(J1123:P1123)*IF(A1123=2027,1+'Nacional · supuestos'!$B$6,1),0)</f>
        <v>5314.2495910817061</v>
      </c>
      <c r="S1123">
        <f t="shared" si="18"/>
        <v>5314.2495910817061</v>
      </c>
    </row>
    <row r="1124" spans="1:19">
      <c r="A1124">
        <v>2026</v>
      </c>
      <c r="B1124">
        <v>11</v>
      </c>
      <c r="C1124" t="s">
        <v>172</v>
      </c>
      <c r="D1124" t="s">
        <v>160</v>
      </c>
      <c r="E1124">
        <f>SUMIFS('Nacional · base'!$J$7:$J$1068,'Nacional · base'!$A$7:$A$1068,A1124,'Nacional · base'!$B$7:$B$1068,B1124,'Nacional · base'!$C$7:$C$1068,C1124)</f>
        <v>11487.817216017878</v>
      </c>
      <c r="F1124">
        <f>SUMIFS('Nacional · base'!$K$7:$K$1068,'Nacional · base'!$A$7:$A$1068,A1124,'Nacional · base'!$B$7:$B$1068,B1124,'Nacional · base'!$C$7:$C$1068,C1124)</f>
        <v>15.207438067911662</v>
      </c>
      <c r="G1124">
        <f t="shared" si="17"/>
        <v>16</v>
      </c>
      <c r="H1124">
        <f>SUMIFS('Nacional · base'!$G$7:$G$1068,'Nacional · base'!$A$7:$A$1068,A1124,'Nacional · base'!$B$7:$B$1068,B1124,'Nacional · base'!$C$7:$C$1068,C1124)</f>
        <v>34479.409710042484</v>
      </c>
      <c r="I1124">
        <f>IF(D1124="Canarias",IF(C1124="CABRERA MORALES FRANCISCO",IF(E1124&lt;=2000,'Nacional · supuestos'!$C$34,IF(E1124&lt;=5000,'Nacional · supuestos'!$C$35,'Nacional · supuestos'!$C$36)),IF(E1124&lt;=2000,'Nacional · supuestos'!$B$34,IF(E1124&lt;=5000,'Nacional · supuestos'!$B$35,'Nacional · supuestos'!$B$36))),0)</f>
        <v>0</v>
      </c>
      <c r="J1124">
        <f>IF(D1124="Canarias",MAX(E1124*I1124,IF(C1124="CABRERA MORALES FRANCISCO",'Nacional · supuestos'!$C$38,'Nacional · supuestos'!$B$38)),0)</f>
        <v>0</v>
      </c>
      <c r="K1124">
        <f>IF(D1124="Canarias",MAX(E1124*'Nacional · supuestos'!$B$41,'Nacional · supuestos'!$B$42),0)</f>
        <v>0</v>
      </c>
      <c r="L1124">
        <f>IF(D1124="Canarias",E1124*'Nacional · supuestos'!$B$43,0)</f>
        <v>0</v>
      </c>
      <c r="M1124">
        <f>IF(D1124="Canarias",E1124*'Nacional · supuestos'!$B$44,0)</f>
        <v>0</v>
      </c>
      <c r="N1124">
        <f>IF(D1124="Canarias",E1124*'Nacional · supuestos'!$B$45,0)</f>
        <v>0</v>
      </c>
      <c r="O1124">
        <f>IF(D1124="Canarias",'Nacional · supuestos'!$B$46,0)</f>
        <v>0</v>
      </c>
      <c r="P1124">
        <f>IF(D1124="Canarias",MAX(H1124*'Nacional · supuestos'!$B$47,'Nacional · supuestos'!$B$48),0)</f>
        <v>0</v>
      </c>
      <c r="Q1124">
        <f>IF(D1124="Resto nacional",E1124*'Nacional · supuestos'!$B$13*IF(A1124=2027,1+'Nacional · supuestos'!$B$6,1),0)</f>
        <v>1018.6340235216011</v>
      </c>
      <c r="R1124">
        <f>IF(D1124="Canarias",SUM(J1124:P1124)*IF(A1124=2027,1+'Nacional · supuestos'!$B$6,1),0)</f>
        <v>0</v>
      </c>
      <c r="S1124">
        <f t="shared" si="18"/>
        <v>1018.6340235216011</v>
      </c>
    </row>
    <row r="1125" spans="1:19">
      <c r="A1125">
        <v>2026</v>
      </c>
      <c r="B1125">
        <v>11</v>
      </c>
      <c r="C1125" t="s">
        <v>173</v>
      </c>
      <c r="D1125" t="s">
        <v>160</v>
      </c>
      <c r="E1125">
        <f>SUMIFS('Nacional · base'!$J$7:$J$1068,'Nacional · base'!$A$7:$A$1068,A1125,'Nacional · base'!$B$7:$B$1068,B1125,'Nacional · base'!$C$7:$C$1068,C1125)</f>
        <v>4322.8623952006565</v>
      </c>
      <c r="F1125">
        <f>SUMIFS('Nacional · base'!$K$7:$K$1068,'Nacional · base'!$A$7:$A$1068,A1125,'Nacional · base'!$B$7:$B$1068,B1125,'Nacional · base'!$C$7:$C$1068,C1125)</f>
        <v>4.5029816616673504</v>
      </c>
      <c r="G1125">
        <f t="shared" si="17"/>
        <v>5</v>
      </c>
      <c r="H1125">
        <f>SUMIFS('Nacional · base'!$G$7:$G$1068,'Nacional · base'!$A$7:$A$1068,A1125,'Nacional · base'!$B$7:$B$1068,B1125,'Nacional · base'!$C$7:$C$1068,C1125)</f>
        <v>7800.6681578090829</v>
      </c>
      <c r="I1125">
        <f>IF(D1125="Canarias",IF(C1125="CABRERA MORALES FRANCISCO",IF(E1125&lt;=2000,'Nacional · supuestos'!$C$34,IF(E1125&lt;=5000,'Nacional · supuestos'!$C$35,'Nacional · supuestos'!$C$36)),IF(E1125&lt;=2000,'Nacional · supuestos'!$B$34,IF(E1125&lt;=5000,'Nacional · supuestos'!$B$35,'Nacional · supuestos'!$B$36))),0)</f>
        <v>0</v>
      </c>
      <c r="J1125">
        <f>IF(D1125="Canarias",MAX(E1125*I1125,IF(C1125="CABRERA MORALES FRANCISCO",'Nacional · supuestos'!$C$38,'Nacional · supuestos'!$B$38)),0)</f>
        <v>0</v>
      </c>
      <c r="K1125">
        <f>IF(D1125="Canarias",MAX(E1125*'Nacional · supuestos'!$B$41,'Nacional · supuestos'!$B$42),0)</f>
        <v>0</v>
      </c>
      <c r="L1125">
        <f>IF(D1125="Canarias",E1125*'Nacional · supuestos'!$B$43,0)</f>
        <v>0</v>
      </c>
      <c r="M1125">
        <f>IF(D1125="Canarias",E1125*'Nacional · supuestos'!$B$44,0)</f>
        <v>0</v>
      </c>
      <c r="N1125">
        <f>IF(D1125="Canarias",E1125*'Nacional · supuestos'!$B$45,0)</f>
        <v>0</v>
      </c>
      <c r="O1125">
        <f>IF(D1125="Canarias",'Nacional · supuestos'!$B$46,0)</f>
        <v>0</v>
      </c>
      <c r="P1125">
        <f>IF(D1125="Canarias",MAX(H1125*'Nacional · supuestos'!$B$47,'Nacional · supuestos'!$B$48),0)</f>
        <v>0</v>
      </c>
      <c r="Q1125">
        <f>IF(D1125="Resto nacional",E1125*'Nacional · supuestos'!$B$13*IF(A1125=2027,1+'Nacional · supuestos'!$B$6,1),0)</f>
        <v>383.3116972485974</v>
      </c>
      <c r="R1125">
        <f>IF(D1125="Canarias",SUM(J1125:P1125)*IF(A1125=2027,1+'Nacional · supuestos'!$B$6,1),0)</f>
        <v>0</v>
      </c>
      <c r="S1125">
        <f t="shared" si="18"/>
        <v>383.3116972485974</v>
      </c>
    </row>
    <row r="1126" spans="1:19">
      <c r="A1126">
        <v>2026</v>
      </c>
      <c r="B1126">
        <v>11</v>
      </c>
      <c r="C1126" t="s">
        <v>174</v>
      </c>
      <c r="D1126" t="s">
        <v>160</v>
      </c>
      <c r="E1126">
        <f>SUMIFS('Nacional · base'!$J$7:$J$1068,'Nacional · base'!$A$7:$A$1068,A1126,'Nacional · base'!$B$7:$B$1068,B1126,'Nacional · base'!$C$7:$C$1068,C1126)</f>
        <v>20500.985310011245</v>
      </c>
      <c r="F1126">
        <f>SUMIFS('Nacional · base'!$K$7:$K$1068,'Nacional · base'!$A$7:$A$1068,A1126,'Nacional · base'!$B$7:$B$1068,B1126,'Nacional · base'!$C$7:$C$1068,C1126)</f>
        <v>23.225905412810533</v>
      </c>
      <c r="G1126">
        <f t="shared" si="17"/>
        <v>24</v>
      </c>
      <c r="H1126">
        <f>SUMIFS('Nacional · base'!$G$7:$G$1068,'Nacional · base'!$A$7:$A$1068,A1126,'Nacional · base'!$B$7:$B$1068,B1126,'Nacional · base'!$C$7:$C$1068,C1126)</f>
        <v>38691.723598561599</v>
      </c>
      <c r="I1126">
        <f>IF(D1126="Canarias",IF(C1126="CABRERA MORALES FRANCISCO",IF(E1126&lt;=2000,'Nacional · supuestos'!$C$34,IF(E1126&lt;=5000,'Nacional · supuestos'!$C$35,'Nacional · supuestos'!$C$36)),IF(E1126&lt;=2000,'Nacional · supuestos'!$B$34,IF(E1126&lt;=5000,'Nacional · supuestos'!$B$35,'Nacional · supuestos'!$B$36))),0)</f>
        <v>0</v>
      </c>
      <c r="J1126">
        <f>IF(D1126="Canarias",MAX(E1126*I1126,IF(C1126="CABRERA MORALES FRANCISCO",'Nacional · supuestos'!$C$38,'Nacional · supuestos'!$B$38)),0)</f>
        <v>0</v>
      </c>
      <c r="K1126">
        <f>IF(D1126="Canarias",MAX(E1126*'Nacional · supuestos'!$B$41,'Nacional · supuestos'!$B$42),0)</f>
        <v>0</v>
      </c>
      <c r="L1126">
        <f>IF(D1126="Canarias",E1126*'Nacional · supuestos'!$B$43,0)</f>
        <v>0</v>
      </c>
      <c r="M1126">
        <f>IF(D1126="Canarias",E1126*'Nacional · supuestos'!$B$44,0)</f>
        <v>0</v>
      </c>
      <c r="N1126">
        <f>IF(D1126="Canarias",E1126*'Nacional · supuestos'!$B$45,0)</f>
        <v>0</v>
      </c>
      <c r="O1126">
        <f>IF(D1126="Canarias",'Nacional · supuestos'!$B$46,0)</f>
        <v>0</v>
      </c>
      <c r="P1126">
        <f>IF(D1126="Canarias",MAX(H1126*'Nacional · supuestos'!$B$47,'Nacional · supuestos'!$B$48),0)</f>
        <v>0</v>
      </c>
      <c r="Q1126">
        <f>IF(D1126="Resto nacional",E1126*'Nacional · supuestos'!$B$13*IF(A1126=2027,1+'Nacional · supuestos'!$B$6,1),0)</f>
        <v>1817.8389122849264</v>
      </c>
      <c r="R1126">
        <f>IF(D1126="Canarias",SUM(J1126:P1126)*IF(A1126=2027,1+'Nacional · supuestos'!$B$6,1),0)</f>
        <v>0</v>
      </c>
      <c r="S1126">
        <f t="shared" si="18"/>
        <v>1817.8389122849264</v>
      </c>
    </row>
    <row r="1127" spans="1:19">
      <c r="A1127">
        <v>2026</v>
      </c>
      <c r="B1127">
        <v>11</v>
      </c>
      <c r="C1127" t="s">
        <v>175</v>
      </c>
      <c r="D1127" t="s">
        <v>160</v>
      </c>
      <c r="E1127">
        <f>SUMIFS('Nacional · base'!$J$7:$J$1068,'Nacional · base'!$A$7:$A$1068,A1127,'Nacional · base'!$B$7:$B$1068,B1127,'Nacional · base'!$C$7:$C$1068,C1127)</f>
        <v>9843.6127120187539</v>
      </c>
      <c r="F1127">
        <f>SUMIFS('Nacional · base'!$K$7:$K$1068,'Nacional · base'!$A$7:$A$1068,A1127,'Nacional · base'!$B$7:$B$1068,B1127,'Nacional · base'!$C$7:$C$1068,C1127)</f>
        <v>13.024892410845142</v>
      </c>
      <c r="G1127">
        <f t="shared" si="17"/>
        <v>14</v>
      </c>
      <c r="H1127">
        <f>SUMIFS('Nacional · base'!$G$7:$G$1068,'Nacional · base'!$A$7:$A$1068,A1127,'Nacional · base'!$B$7:$B$1068,B1127,'Nacional · base'!$C$7:$C$1068,C1127)</f>
        <v>26711.202158986111</v>
      </c>
      <c r="I1127">
        <f>IF(D1127="Canarias",IF(C1127="CABRERA MORALES FRANCISCO",IF(E1127&lt;=2000,'Nacional · supuestos'!$C$34,IF(E1127&lt;=5000,'Nacional · supuestos'!$C$35,'Nacional · supuestos'!$C$36)),IF(E1127&lt;=2000,'Nacional · supuestos'!$B$34,IF(E1127&lt;=5000,'Nacional · supuestos'!$B$35,'Nacional · supuestos'!$B$36))),0)</f>
        <v>0</v>
      </c>
      <c r="J1127">
        <f>IF(D1127="Canarias",MAX(E1127*I1127,IF(C1127="CABRERA MORALES FRANCISCO",'Nacional · supuestos'!$C$38,'Nacional · supuestos'!$B$38)),0)</f>
        <v>0</v>
      </c>
      <c r="K1127">
        <f>IF(D1127="Canarias",MAX(E1127*'Nacional · supuestos'!$B$41,'Nacional · supuestos'!$B$42),0)</f>
        <v>0</v>
      </c>
      <c r="L1127">
        <f>IF(D1127="Canarias",E1127*'Nacional · supuestos'!$B$43,0)</f>
        <v>0</v>
      </c>
      <c r="M1127">
        <f>IF(D1127="Canarias",E1127*'Nacional · supuestos'!$B$44,0)</f>
        <v>0</v>
      </c>
      <c r="N1127">
        <f>IF(D1127="Canarias",E1127*'Nacional · supuestos'!$B$45,0)</f>
        <v>0</v>
      </c>
      <c r="O1127">
        <f>IF(D1127="Canarias",'Nacional · supuestos'!$B$46,0)</f>
        <v>0</v>
      </c>
      <c r="P1127">
        <f>IF(D1127="Canarias",MAX(H1127*'Nacional · supuestos'!$B$47,'Nacional · supuestos'!$B$48),0)</f>
        <v>0</v>
      </c>
      <c r="Q1127">
        <f>IF(D1127="Resto nacional",E1127*'Nacional · supuestos'!$B$13*IF(A1127=2027,1+'Nacional · supuestos'!$B$6,1),0)</f>
        <v>872.8410832347663</v>
      </c>
      <c r="R1127">
        <f>IF(D1127="Canarias",SUM(J1127:P1127)*IF(A1127=2027,1+'Nacional · supuestos'!$B$6,1),0)</f>
        <v>0</v>
      </c>
      <c r="S1127">
        <f t="shared" si="18"/>
        <v>872.8410832347663</v>
      </c>
    </row>
    <row r="1128" spans="1:19">
      <c r="A1128">
        <v>2026</v>
      </c>
      <c r="B1128">
        <v>11</v>
      </c>
      <c r="C1128" t="s">
        <v>182</v>
      </c>
      <c r="D1128" t="s">
        <v>160</v>
      </c>
      <c r="E1128">
        <f>SUMIFS('Nacional · base'!$J$7:$J$1068,'Nacional · base'!$A$7:$A$1068,A1128,'Nacional · base'!$B$7:$B$1068,B1128,'Nacional · base'!$C$7:$C$1068,C1128)</f>
        <v>35951.047189840676</v>
      </c>
      <c r="F1128">
        <f>SUMIFS('Nacional · base'!$K$7:$K$1068,'Nacional · base'!$A$7:$A$1068,A1128,'Nacional · base'!$B$7:$B$1068,B1128,'Nacional · base'!$C$7:$C$1068,C1128)</f>
        <v>37.722346376248403</v>
      </c>
      <c r="G1128">
        <f t="shared" si="17"/>
        <v>38</v>
      </c>
      <c r="H1128">
        <f>SUMIFS('Nacional · base'!$G$7:$G$1068,'Nacional · base'!$A$7:$A$1068,A1128,'Nacional · base'!$B$7:$B$1068,B1128,'Nacional · base'!$C$7:$C$1068,C1128)</f>
        <v>74310.308607987405</v>
      </c>
      <c r="I1128">
        <f>IF(D1128="Canarias",IF(C1128="CABRERA MORALES FRANCISCO",IF(E1128&lt;=2000,'Nacional · supuestos'!$C$34,IF(E1128&lt;=5000,'Nacional · supuestos'!$C$35,'Nacional · supuestos'!$C$36)),IF(E1128&lt;=2000,'Nacional · supuestos'!$B$34,IF(E1128&lt;=5000,'Nacional · supuestos'!$B$35,'Nacional · supuestos'!$B$36))),0)</f>
        <v>0</v>
      </c>
      <c r="J1128">
        <f>IF(D1128="Canarias",MAX(E1128*I1128,IF(C1128="CABRERA MORALES FRANCISCO",'Nacional · supuestos'!$C$38,'Nacional · supuestos'!$B$38)),0)</f>
        <v>0</v>
      </c>
      <c r="K1128">
        <f>IF(D1128="Canarias",MAX(E1128*'Nacional · supuestos'!$B$41,'Nacional · supuestos'!$B$42),0)</f>
        <v>0</v>
      </c>
      <c r="L1128">
        <f>IF(D1128="Canarias",E1128*'Nacional · supuestos'!$B$43,0)</f>
        <v>0</v>
      </c>
      <c r="M1128">
        <f>IF(D1128="Canarias",E1128*'Nacional · supuestos'!$B$44,0)</f>
        <v>0</v>
      </c>
      <c r="N1128">
        <f>IF(D1128="Canarias",E1128*'Nacional · supuestos'!$B$45,0)</f>
        <v>0</v>
      </c>
      <c r="O1128">
        <f>IF(D1128="Canarias",'Nacional · supuestos'!$B$46,0)</f>
        <v>0</v>
      </c>
      <c r="P1128">
        <f>IF(D1128="Canarias",MAX(H1128*'Nacional · supuestos'!$B$47,'Nacional · supuestos'!$B$48),0)</f>
        <v>0</v>
      </c>
      <c r="Q1128">
        <f>IF(D1128="Resto nacional",E1128*'Nacional · supuestos'!$B$13*IF(A1128=2027,1+'Nacional · supuestos'!$B$6,1),0)</f>
        <v>3187.8083677846503</v>
      </c>
      <c r="R1128">
        <f>IF(D1128="Canarias",SUM(J1128:P1128)*IF(A1128=2027,1+'Nacional · supuestos'!$B$6,1),0)</f>
        <v>0</v>
      </c>
      <c r="S1128">
        <f t="shared" si="18"/>
        <v>3187.8083677846503</v>
      </c>
    </row>
    <row r="1129" spans="1:19">
      <c r="A1129">
        <v>2026</v>
      </c>
      <c r="B1129">
        <v>11</v>
      </c>
      <c r="C1129" t="s">
        <v>183</v>
      </c>
      <c r="D1129" t="s">
        <v>164</v>
      </c>
      <c r="E1129">
        <f>SUMIFS('Nacional · base'!$J$7:$J$1068,'Nacional · base'!$A$7:$A$1068,A1129,'Nacional · base'!$B$7:$B$1068,B1129,'Nacional · base'!$C$7:$C$1068,C1129)</f>
        <v>15459.541841222412</v>
      </c>
      <c r="F1129">
        <f>SUMIFS('Nacional · base'!$K$7:$K$1068,'Nacional · base'!$A$7:$A$1068,A1129,'Nacional · base'!$B$7:$B$1068,B1129,'Nacional · base'!$C$7:$C$1068,C1129)</f>
        <v>15.493811901658047</v>
      </c>
      <c r="G1129">
        <f t="shared" si="17"/>
        <v>16</v>
      </c>
      <c r="H1129">
        <f>SUMIFS('Nacional · base'!$G$7:$G$1068,'Nacional · base'!$A$7:$A$1068,A1129,'Nacional · base'!$B$7:$B$1068,B1129,'Nacional · base'!$C$7:$C$1068,C1129)</f>
        <v>32820.631131736925</v>
      </c>
      <c r="I1129">
        <f>IF(D1129="Canarias",IF(C1129="CABRERA MORALES FRANCISCO",IF(E1129&lt;=2000,'Nacional · supuestos'!$C$34,IF(E1129&lt;=5000,'Nacional · supuestos'!$C$35,'Nacional · supuestos'!$C$36)),IF(E1129&lt;=2000,'Nacional · supuestos'!$B$34,IF(E1129&lt;=5000,'Nacional · supuestos'!$B$35,'Nacional · supuestos'!$B$36))),0)</f>
        <v>0.104</v>
      </c>
      <c r="J1129">
        <f>IF(D1129="Canarias",MAX(E1129*I1129,IF(C1129="CABRERA MORALES FRANCISCO",'Nacional · supuestos'!$C$38,'Nacional · supuestos'!$B$38)),0)</f>
        <v>1607.7923514871306</v>
      </c>
      <c r="K1129">
        <f>IF(D1129="Canarias",MAX(E1129*'Nacional · supuestos'!$B$41,'Nacional · supuestos'!$B$42),0)</f>
        <v>556.54350628400675</v>
      </c>
      <c r="L1129">
        <f>IF(D1129="Canarias",E1129*'Nacional · supuestos'!$B$43,0)</f>
        <v>185.51450209466896</v>
      </c>
      <c r="M1129">
        <f>IF(D1129="Canarias",E1129*'Nacional · supuestos'!$B$44,0)</f>
        <v>278.27175314200338</v>
      </c>
      <c r="N1129">
        <f>IF(D1129="Canarias",E1129*'Nacional · supuestos'!$B$45,0)</f>
        <v>340.10992050689305</v>
      </c>
      <c r="O1129">
        <f>IF(D1129="Canarias",'Nacional · supuestos'!$B$46,0)</f>
        <v>15</v>
      </c>
      <c r="P1129">
        <f>IF(D1129="Canarias",MAX(H1129*'Nacional · supuestos'!$B$47,'Nacional · supuestos'!$B$48),0)</f>
        <v>147.69284009281614</v>
      </c>
      <c r="Q1129">
        <f>IF(D1129="Resto nacional",E1129*'Nacional · supuestos'!$B$13*IF(A1129=2027,1+'Nacional · supuestos'!$B$6,1),0)</f>
        <v>0</v>
      </c>
      <c r="R1129">
        <f>IF(D1129="Canarias",SUM(J1129:P1129)*IF(A1129=2027,1+'Nacional · supuestos'!$B$6,1),0)</f>
        <v>3130.9248736075187</v>
      </c>
      <c r="S1129">
        <f t="shared" si="18"/>
        <v>3130.9248736075187</v>
      </c>
    </row>
    <row r="1130" spans="1:19">
      <c r="A1130">
        <v>2026</v>
      </c>
      <c r="B1130">
        <v>11</v>
      </c>
      <c r="C1130" t="s">
        <v>176</v>
      </c>
      <c r="D1130" t="s">
        <v>160</v>
      </c>
      <c r="E1130">
        <f>SUMIFS('Nacional · base'!$J$7:$J$1068,'Nacional · base'!$A$7:$A$1068,A1130,'Nacional · base'!$B$7:$B$1068,B1130,'Nacional · base'!$C$7:$C$1068,C1130)</f>
        <v>2147.7800531944304</v>
      </c>
      <c r="F1130">
        <f>SUMIFS('Nacional · base'!$K$7:$K$1068,'Nacional · base'!$A$7:$A$1068,A1130,'Nacional · base'!$B$7:$B$1068,B1130,'Nacional · base'!$C$7:$C$1068,C1130)</f>
        <v>2.8439884178951673</v>
      </c>
      <c r="G1130">
        <f t="shared" si="17"/>
        <v>3</v>
      </c>
      <c r="H1130">
        <f>SUMIFS('Nacional · base'!$G$7:$G$1068,'Nacional · base'!$A$7:$A$1068,A1130,'Nacional · base'!$B$7:$B$1068,B1130,'Nacional · base'!$C$7:$C$1068,C1130)</f>
        <v>4902.5041765900951</v>
      </c>
      <c r="I1130">
        <f>IF(D1130="Canarias",IF(C1130="CABRERA MORALES FRANCISCO",IF(E1130&lt;=2000,'Nacional · supuestos'!$C$34,IF(E1130&lt;=5000,'Nacional · supuestos'!$C$35,'Nacional · supuestos'!$C$36)),IF(E1130&lt;=2000,'Nacional · supuestos'!$B$34,IF(E1130&lt;=5000,'Nacional · supuestos'!$B$35,'Nacional · supuestos'!$B$36))),0)</f>
        <v>0</v>
      </c>
      <c r="J1130">
        <f>IF(D1130="Canarias",MAX(E1130*I1130,IF(C1130="CABRERA MORALES FRANCISCO",'Nacional · supuestos'!$C$38,'Nacional · supuestos'!$B$38)),0)</f>
        <v>0</v>
      </c>
      <c r="K1130">
        <f>IF(D1130="Canarias",MAX(E1130*'Nacional · supuestos'!$B$41,'Nacional · supuestos'!$B$42),0)</f>
        <v>0</v>
      </c>
      <c r="L1130">
        <f>IF(D1130="Canarias",E1130*'Nacional · supuestos'!$B$43,0)</f>
        <v>0</v>
      </c>
      <c r="M1130">
        <f>IF(D1130="Canarias",E1130*'Nacional · supuestos'!$B$44,0)</f>
        <v>0</v>
      </c>
      <c r="N1130">
        <f>IF(D1130="Canarias",E1130*'Nacional · supuestos'!$B$45,0)</f>
        <v>0</v>
      </c>
      <c r="O1130">
        <f>IF(D1130="Canarias",'Nacional · supuestos'!$B$46,0)</f>
        <v>0</v>
      </c>
      <c r="P1130">
        <f>IF(D1130="Canarias",MAX(H1130*'Nacional · supuestos'!$B$47,'Nacional · supuestos'!$B$48),0)</f>
        <v>0</v>
      </c>
      <c r="Q1130">
        <f>IF(D1130="Resto nacional",E1130*'Nacional · supuestos'!$B$13*IF(A1130=2027,1+'Nacional · supuestos'!$B$6,1),0)</f>
        <v>190.44539063298726</v>
      </c>
      <c r="R1130">
        <f>IF(D1130="Canarias",SUM(J1130:P1130)*IF(A1130=2027,1+'Nacional · supuestos'!$B$6,1),0)</f>
        <v>0</v>
      </c>
      <c r="S1130">
        <f t="shared" si="18"/>
        <v>190.44539063298726</v>
      </c>
    </row>
    <row r="1131" spans="1:19">
      <c r="A1131">
        <v>2026</v>
      </c>
      <c r="B1131">
        <v>11</v>
      </c>
      <c r="C1131" t="s">
        <v>178</v>
      </c>
      <c r="D1131" t="s">
        <v>160</v>
      </c>
      <c r="E1131">
        <f>SUMIFS('Nacional · base'!$J$7:$J$1068,'Nacional · base'!$A$7:$A$1068,A1131,'Nacional · base'!$B$7:$B$1068,B1131,'Nacional · base'!$C$7:$C$1068,C1131)</f>
        <v>3428.3332381586952</v>
      </c>
      <c r="F1131">
        <f>SUMIFS('Nacional · base'!$K$7:$K$1068,'Nacional · base'!$A$7:$A$1068,A1131,'Nacional · base'!$B$7:$B$1068,B1131,'Nacional · base'!$C$7:$C$1068,C1131)</f>
        <v>4.0803333828968178</v>
      </c>
      <c r="G1131">
        <f t="shared" si="17"/>
        <v>5</v>
      </c>
      <c r="H1131">
        <f>SUMIFS('Nacional · base'!$G$7:$G$1068,'Nacional · base'!$A$7:$A$1068,A1131,'Nacional · base'!$B$7:$B$1068,B1131,'Nacional · base'!$C$7:$C$1068,C1131)</f>
        <v>12049.539660196448</v>
      </c>
      <c r="I1131">
        <f>IF(D1131="Canarias",IF(C1131="CABRERA MORALES FRANCISCO",IF(E1131&lt;=2000,'Nacional · supuestos'!$C$34,IF(E1131&lt;=5000,'Nacional · supuestos'!$C$35,'Nacional · supuestos'!$C$36)),IF(E1131&lt;=2000,'Nacional · supuestos'!$B$34,IF(E1131&lt;=5000,'Nacional · supuestos'!$B$35,'Nacional · supuestos'!$B$36))),0)</f>
        <v>0</v>
      </c>
      <c r="J1131">
        <f>IF(D1131="Canarias",MAX(E1131*I1131,IF(C1131="CABRERA MORALES FRANCISCO",'Nacional · supuestos'!$C$38,'Nacional · supuestos'!$B$38)),0)</f>
        <v>0</v>
      </c>
      <c r="K1131">
        <f>IF(D1131="Canarias",MAX(E1131*'Nacional · supuestos'!$B$41,'Nacional · supuestos'!$B$42),0)</f>
        <v>0</v>
      </c>
      <c r="L1131">
        <f>IF(D1131="Canarias",E1131*'Nacional · supuestos'!$B$43,0)</f>
        <v>0</v>
      </c>
      <c r="M1131">
        <f>IF(D1131="Canarias",E1131*'Nacional · supuestos'!$B$44,0)</f>
        <v>0</v>
      </c>
      <c r="N1131">
        <f>IF(D1131="Canarias",E1131*'Nacional · supuestos'!$B$45,0)</f>
        <v>0</v>
      </c>
      <c r="O1131">
        <f>IF(D1131="Canarias",'Nacional · supuestos'!$B$46,0)</f>
        <v>0</v>
      </c>
      <c r="P1131">
        <f>IF(D1131="Canarias",MAX(H1131*'Nacional · supuestos'!$B$47,'Nacional · supuestos'!$B$48),0)</f>
        <v>0</v>
      </c>
      <c r="Q1131">
        <f>IF(D1131="Resto nacional",E1131*'Nacional · supuestos'!$B$13*IF(A1131=2027,1+'Nacional · supuestos'!$B$6,1),0)</f>
        <v>303.99307498461127</v>
      </c>
      <c r="R1131">
        <f>IF(D1131="Canarias",SUM(J1131:P1131)*IF(A1131=2027,1+'Nacional · supuestos'!$B$6,1),0)</f>
        <v>0</v>
      </c>
      <c r="S1131">
        <f t="shared" si="18"/>
        <v>303.99307498461127</v>
      </c>
    </row>
    <row r="1132" spans="1:19">
      <c r="A1132">
        <v>2026</v>
      </c>
      <c r="B1132">
        <v>11</v>
      </c>
      <c r="C1132" t="s">
        <v>180</v>
      </c>
      <c r="D1132" t="s">
        <v>160</v>
      </c>
      <c r="E1132">
        <f>SUMIFS('Nacional · base'!$J$7:$J$1068,'Nacional · base'!$A$7:$A$1068,A1132,'Nacional · base'!$B$7:$B$1068,B1132,'Nacional · base'!$C$7:$C$1068,C1132)</f>
        <v>2090.2935673073766</v>
      </c>
      <c r="F1132">
        <f>SUMIFS('Nacional · base'!$K$7:$K$1068,'Nacional · base'!$A$7:$A$1068,A1132,'Nacional · base'!$B$7:$B$1068,B1132,'Nacional · base'!$C$7:$C$1068,C1132)</f>
        <v>2.7448797306048824</v>
      </c>
      <c r="G1132">
        <f t="shared" si="17"/>
        <v>3</v>
      </c>
      <c r="H1132">
        <f>SUMIFS('Nacional · base'!$G$7:$G$1068,'Nacional · base'!$A$7:$A$1068,A1132,'Nacional · base'!$B$7:$B$1068,B1132,'Nacional · base'!$C$7:$C$1068,C1132)</f>
        <v>5718.5159228055118</v>
      </c>
      <c r="I1132">
        <f>IF(D1132="Canarias",IF(C1132="CABRERA MORALES FRANCISCO",IF(E1132&lt;=2000,'Nacional · supuestos'!$C$34,IF(E1132&lt;=5000,'Nacional · supuestos'!$C$35,'Nacional · supuestos'!$C$36)),IF(E1132&lt;=2000,'Nacional · supuestos'!$B$34,IF(E1132&lt;=5000,'Nacional · supuestos'!$B$35,'Nacional · supuestos'!$B$36))),0)</f>
        <v>0</v>
      </c>
      <c r="J1132">
        <f>IF(D1132="Canarias",MAX(E1132*I1132,IF(C1132="CABRERA MORALES FRANCISCO",'Nacional · supuestos'!$C$38,'Nacional · supuestos'!$B$38)),0)</f>
        <v>0</v>
      </c>
      <c r="K1132">
        <f>IF(D1132="Canarias",MAX(E1132*'Nacional · supuestos'!$B$41,'Nacional · supuestos'!$B$42),0)</f>
        <v>0</v>
      </c>
      <c r="L1132">
        <f>IF(D1132="Canarias",E1132*'Nacional · supuestos'!$B$43,0)</f>
        <v>0</v>
      </c>
      <c r="M1132">
        <f>IF(D1132="Canarias",E1132*'Nacional · supuestos'!$B$44,0)</f>
        <v>0</v>
      </c>
      <c r="N1132">
        <f>IF(D1132="Canarias",E1132*'Nacional · supuestos'!$B$45,0)</f>
        <v>0</v>
      </c>
      <c r="O1132">
        <f>IF(D1132="Canarias",'Nacional · supuestos'!$B$46,0)</f>
        <v>0</v>
      </c>
      <c r="P1132">
        <f>IF(D1132="Canarias",MAX(H1132*'Nacional · supuestos'!$B$47,'Nacional · supuestos'!$B$48),0)</f>
        <v>0</v>
      </c>
      <c r="Q1132">
        <f>IF(D1132="Resto nacional",E1132*'Nacional · supuestos'!$B$13*IF(A1132=2027,1+'Nacional · supuestos'!$B$6,1),0)</f>
        <v>185.34801753624279</v>
      </c>
      <c r="R1132">
        <f>IF(D1132="Canarias",SUM(J1132:P1132)*IF(A1132=2027,1+'Nacional · supuestos'!$B$6,1),0)</f>
        <v>0</v>
      </c>
      <c r="S1132">
        <f t="shared" si="18"/>
        <v>185.34801753624279</v>
      </c>
    </row>
    <row r="1133" spans="1:19">
      <c r="A1133">
        <v>2026</v>
      </c>
      <c r="B1133">
        <v>11</v>
      </c>
      <c r="C1133" t="s">
        <v>185</v>
      </c>
      <c r="D1133" t="s">
        <v>160</v>
      </c>
      <c r="E1133">
        <f>SUMIFS('Nacional · base'!$J$7:$J$1068,'Nacional · base'!$A$7:$A$1068,A1133,'Nacional · base'!$B$7:$B$1068,B1133,'Nacional · base'!$C$7:$C$1068,C1133)</f>
        <v>1431.8533687962868</v>
      </c>
      <c r="F1133">
        <f>SUMIFS('Nacional · base'!$K$7:$K$1068,'Nacional · base'!$A$7:$A$1068,A1133,'Nacional · base'!$B$7:$B$1068,B1133,'Nacional · base'!$C$7:$C$1068,C1133)</f>
        <v>1.895992278596778</v>
      </c>
      <c r="G1133">
        <f t="shared" si="17"/>
        <v>2</v>
      </c>
      <c r="H1133">
        <f>SUMIFS('Nacional · base'!$G$7:$G$1068,'Nacional · base'!$A$7:$A$1068,A1133,'Nacional · base'!$B$7:$B$1068,B1133,'Nacional · base'!$C$7:$C$1068,C1133)</f>
        <v>4016.4700429794148</v>
      </c>
      <c r="I1133">
        <f>IF(D1133="Canarias",IF(C1133="CABRERA MORALES FRANCISCO",IF(E1133&lt;=2000,'Nacional · supuestos'!$C$34,IF(E1133&lt;=5000,'Nacional · supuestos'!$C$35,'Nacional · supuestos'!$C$36)),IF(E1133&lt;=2000,'Nacional · supuestos'!$B$34,IF(E1133&lt;=5000,'Nacional · supuestos'!$B$35,'Nacional · supuestos'!$B$36))),0)</f>
        <v>0</v>
      </c>
      <c r="J1133">
        <f>IF(D1133="Canarias",MAX(E1133*I1133,IF(C1133="CABRERA MORALES FRANCISCO",'Nacional · supuestos'!$C$38,'Nacional · supuestos'!$B$38)),0)</f>
        <v>0</v>
      </c>
      <c r="K1133">
        <f>IF(D1133="Canarias",MAX(E1133*'Nacional · supuestos'!$B$41,'Nacional · supuestos'!$B$42),0)</f>
        <v>0</v>
      </c>
      <c r="L1133">
        <f>IF(D1133="Canarias",E1133*'Nacional · supuestos'!$B$43,0)</f>
        <v>0</v>
      </c>
      <c r="M1133">
        <f>IF(D1133="Canarias",E1133*'Nacional · supuestos'!$B$44,0)</f>
        <v>0</v>
      </c>
      <c r="N1133">
        <f>IF(D1133="Canarias",E1133*'Nacional · supuestos'!$B$45,0)</f>
        <v>0</v>
      </c>
      <c r="O1133">
        <f>IF(D1133="Canarias",'Nacional · supuestos'!$B$46,0)</f>
        <v>0</v>
      </c>
      <c r="P1133">
        <f>IF(D1133="Canarias",MAX(H1133*'Nacional · supuestos'!$B$47,'Nacional · supuestos'!$B$48),0)</f>
        <v>0</v>
      </c>
      <c r="Q1133">
        <f>IF(D1133="Resto nacional",E1133*'Nacional · supuestos'!$B$13*IF(A1133=2027,1+'Nacional · supuestos'!$B$6,1),0)</f>
        <v>126.96359375532482</v>
      </c>
      <c r="R1133">
        <f>IF(D1133="Canarias",SUM(J1133:P1133)*IF(A1133=2027,1+'Nacional · supuestos'!$B$6,1),0)</f>
        <v>0</v>
      </c>
      <c r="S1133">
        <f t="shared" si="18"/>
        <v>126.96359375532482</v>
      </c>
    </row>
    <row r="1134" spans="1:19">
      <c r="A1134">
        <v>2026</v>
      </c>
      <c r="B1134">
        <v>11</v>
      </c>
      <c r="C1134" t="s">
        <v>187</v>
      </c>
      <c r="D1134" t="s">
        <v>160</v>
      </c>
      <c r="E1134">
        <f>SUMIFS('Nacional · base'!$J$7:$J$1068,'Nacional · base'!$A$7:$A$1068,A1134,'Nacional · base'!$B$7:$B$1068,B1134,'Nacional · base'!$C$7:$C$1068,C1134)</f>
        <v>715.92668439814361</v>
      </c>
      <c r="F1134">
        <f>SUMIFS('Nacional · base'!$K$7:$K$1068,'Nacional · base'!$A$7:$A$1068,A1134,'Nacional · base'!$B$7:$B$1068,B1134,'Nacional · base'!$C$7:$C$1068,C1134)</f>
        <v>0.94799613929838933</v>
      </c>
      <c r="G1134">
        <f t="shared" si="17"/>
        <v>1</v>
      </c>
      <c r="H1134">
        <f>SUMIFS('Nacional · base'!$G$7:$G$1068,'Nacional · base'!$A$7:$A$1068,A1134,'Nacional · base'!$B$7:$B$1068,B1134,'Nacional · base'!$C$7:$C$1068,C1134)</f>
        <v>2408.6685907293477</v>
      </c>
      <c r="I1134">
        <f>IF(D1134="Canarias",IF(C1134="CABRERA MORALES FRANCISCO",IF(E1134&lt;=2000,'Nacional · supuestos'!$C$34,IF(E1134&lt;=5000,'Nacional · supuestos'!$C$35,'Nacional · supuestos'!$C$36)),IF(E1134&lt;=2000,'Nacional · supuestos'!$B$34,IF(E1134&lt;=5000,'Nacional · supuestos'!$B$35,'Nacional · supuestos'!$B$36))),0)</f>
        <v>0</v>
      </c>
      <c r="J1134">
        <f>IF(D1134="Canarias",MAX(E1134*I1134,IF(C1134="CABRERA MORALES FRANCISCO",'Nacional · supuestos'!$C$38,'Nacional · supuestos'!$B$38)),0)</f>
        <v>0</v>
      </c>
      <c r="K1134">
        <f>IF(D1134="Canarias",MAX(E1134*'Nacional · supuestos'!$B$41,'Nacional · supuestos'!$B$42),0)</f>
        <v>0</v>
      </c>
      <c r="L1134">
        <f>IF(D1134="Canarias",E1134*'Nacional · supuestos'!$B$43,0)</f>
        <v>0</v>
      </c>
      <c r="M1134">
        <f>IF(D1134="Canarias",E1134*'Nacional · supuestos'!$B$44,0)</f>
        <v>0</v>
      </c>
      <c r="N1134">
        <f>IF(D1134="Canarias",E1134*'Nacional · supuestos'!$B$45,0)</f>
        <v>0</v>
      </c>
      <c r="O1134">
        <f>IF(D1134="Canarias",'Nacional · supuestos'!$B$46,0)</f>
        <v>0</v>
      </c>
      <c r="P1134">
        <f>IF(D1134="Canarias",MAX(H1134*'Nacional · supuestos'!$B$47,'Nacional · supuestos'!$B$48),0)</f>
        <v>0</v>
      </c>
      <c r="Q1134">
        <f>IF(D1134="Resto nacional",E1134*'Nacional · supuestos'!$B$13*IF(A1134=2027,1+'Nacional · supuestos'!$B$6,1),0)</f>
        <v>63.481796877662433</v>
      </c>
      <c r="R1134">
        <f>IF(D1134="Canarias",SUM(J1134:P1134)*IF(A1134=2027,1+'Nacional · supuestos'!$B$6,1),0)</f>
        <v>0</v>
      </c>
      <c r="S1134">
        <f t="shared" si="18"/>
        <v>63.481796877662433</v>
      </c>
    </row>
    <row r="1135" spans="1:19">
      <c r="A1135">
        <v>2026</v>
      </c>
      <c r="B1135">
        <v>12</v>
      </c>
      <c r="C1135" t="s">
        <v>159</v>
      </c>
      <c r="D1135" t="s">
        <v>160</v>
      </c>
      <c r="E1135">
        <f>SUMIFS('Nacional · base'!$J$7:$J$1068,'Nacional · base'!$A$7:$A$1068,A1135,'Nacional · base'!$B$7:$B$1068,B1135,'Nacional · base'!$C$7:$C$1068,C1135)</f>
        <v>2147.7800531944308</v>
      </c>
      <c r="F1135">
        <f>SUMIFS('Nacional · base'!$K$7:$K$1068,'Nacional · base'!$A$7:$A$1068,A1135,'Nacional · base'!$B$7:$B$1068,B1135,'Nacional · base'!$C$7:$C$1068,C1135)</f>
        <v>2.8439884178951678</v>
      </c>
      <c r="G1135">
        <f t="shared" si="17"/>
        <v>3</v>
      </c>
      <c r="H1135">
        <f>SUMIFS('Nacional · base'!$G$7:$G$1068,'Nacional · base'!$A$7:$A$1068,A1135,'Nacional · base'!$B$7:$B$1068,B1135,'Nacional · base'!$C$7:$C$1068,C1135)</f>
        <v>4781.9523968914291</v>
      </c>
      <c r="I1135">
        <f>IF(D1135="Canarias",IF(C1135="CABRERA MORALES FRANCISCO",IF(E1135&lt;=2000,'Nacional · supuestos'!$C$34,IF(E1135&lt;=5000,'Nacional · supuestos'!$C$35,'Nacional · supuestos'!$C$36)),IF(E1135&lt;=2000,'Nacional · supuestos'!$B$34,IF(E1135&lt;=5000,'Nacional · supuestos'!$B$35,'Nacional · supuestos'!$B$36))),0)</f>
        <v>0</v>
      </c>
      <c r="J1135">
        <f>IF(D1135="Canarias",MAX(E1135*I1135,IF(C1135="CABRERA MORALES FRANCISCO",'Nacional · supuestos'!$C$38,'Nacional · supuestos'!$B$38)),0)</f>
        <v>0</v>
      </c>
      <c r="K1135">
        <f>IF(D1135="Canarias",MAX(E1135*'Nacional · supuestos'!$B$41,'Nacional · supuestos'!$B$42),0)</f>
        <v>0</v>
      </c>
      <c r="L1135">
        <f>IF(D1135="Canarias",E1135*'Nacional · supuestos'!$B$43,0)</f>
        <v>0</v>
      </c>
      <c r="M1135">
        <f>IF(D1135="Canarias",E1135*'Nacional · supuestos'!$B$44,0)</f>
        <v>0</v>
      </c>
      <c r="N1135">
        <f>IF(D1135="Canarias",E1135*'Nacional · supuestos'!$B$45,0)</f>
        <v>0</v>
      </c>
      <c r="O1135">
        <f>IF(D1135="Canarias",'Nacional · supuestos'!$B$46,0)</f>
        <v>0</v>
      </c>
      <c r="P1135">
        <f>IF(D1135="Canarias",MAX(H1135*'Nacional · supuestos'!$B$47,'Nacional · supuestos'!$B$48),0)</f>
        <v>0</v>
      </c>
      <c r="Q1135">
        <f>IF(D1135="Resto nacional",E1135*'Nacional · supuestos'!$B$13*IF(A1135=2027,1+'Nacional · supuestos'!$B$6,1),0)</f>
        <v>190.44539063298728</v>
      </c>
      <c r="R1135">
        <f>IF(D1135="Canarias",SUM(J1135:P1135)*IF(A1135=2027,1+'Nacional · supuestos'!$B$6,1),0)</f>
        <v>0</v>
      </c>
      <c r="S1135">
        <f t="shared" si="18"/>
        <v>190.44539063298728</v>
      </c>
    </row>
    <row r="1136" spans="1:19">
      <c r="A1136">
        <v>2026</v>
      </c>
      <c r="B1136">
        <v>12</v>
      </c>
      <c r="C1136" t="s">
        <v>161</v>
      </c>
      <c r="D1136" t="s">
        <v>160</v>
      </c>
      <c r="E1136">
        <f>SUMIFS('Nacional · base'!$J$7:$J$1068,'Nacional · base'!$A$7:$A$1068,A1136,'Nacional · base'!$B$7:$B$1068,B1136,'Nacional · base'!$C$7:$C$1068,C1136)</f>
        <v>189.59922785967791</v>
      </c>
      <c r="F1136">
        <f>SUMIFS('Nacional · base'!$K$7:$K$1068,'Nacional · base'!$A$7:$A$1068,A1136,'Nacional · base'!$B$7:$B$1068,B1136,'Nacional · base'!$C$7:$C$1068,C1136)</f>
        <v>0.25279897047957056</v>
      </c>
      <c r="G1136">
        <f t="shared" si="17"/>
        <v>1</v>
      </c>
      <c r="H1136">
        <f>SUMIFS('Nacional · base'!$G$7:$G$1068,'Nacional · base'!$A$7:$A$1068,A1136,'Nacional · base'!$B$7:$B$1068,B1136,'Nacional · base'!$C$7:$C$1068,C1136)</f>
        <v>1196.3711277945674</v>
      </c>
      <c r="I1136">
        <f>IF(D1136="Canarias",IF(C1136="CABRERA MORALES FRANCISCO",IF(E1136&lt;=2000,'Nacional · supuestos'!$C$34,IF(E1136&lt;=5000,'Nacional · supuestos'!$C$35,'Nacional · supuestos'!$C$36)),IF(E1136&lt;=2000,'Nacional · supuestos'!$B$34,IF(E1136&lt;=5000,'Nacional · supuestos'!$B$35,'Nacional · supuestos'!$B$36))),0)</f>
        <v>0</v>
      </c>
      <c r="J1136">
        <f>IF(D1136="Canarias",MAX(E1136*I1136,IF(C1136="CABRERA MORALES FRANCISCO",'Nacional · supuestos'!$C$38,'Nacional · supuestos'!$B$38)),0)</f>
        <v>0</v>
      </c>
      <c r="K1136">
        <f>IF(D1136="Canarias",MAX(E1136*'Nacional · supuestos'!$B$41,'Nacional · supuestos'!$B$42),0)</f>
        <v>0</v>
      </c>
      <c r="L1136">
        <f>IF(D1136="Canarias",E1136*'Nacional · supuestos'!$B$43,0)</f>
        <v>0</v>
      </c>
      <c r="M1136">
        <f>IF(D1136="Canarias",E1136*'Nacional · supuestos'!$B$44,0)</f>
        <v>0</v>
      </c>
      <c r="N1136">
        <f>IF(D1136="Canarias",E1136*'Nacional · supuestos'!$B$45,0)</f>
        <v>0</v>
      </c>
      <c r="O1136">
        <f>IF(D1136="Canarias",'Nacional · supuestos'!$B$46,0)</f>
        <v>0</v>
      </c>
      <c r="P1136">
        <f>IF(D1136="Canarias",MAX(H1136*'Nacional · supuestos'!$B$47,'Nacional · supuestos'!$B$48),0)</f>
        <v>0</v>
      </c>
      <c r="Q1136">
        <f>IF(D1136="Resto nacional",E1136*'Nacional · supuestos'!$B$13*IF(A1136=2027,1+'Nacional · supuestos'!$B$6,1),0)</f>
        <v>16.811916545991114</v>
      </c>
      <c r="R1136">
        <f>IF(D1136="Canarias",SUM(J1136:P1136)*IF(A1136=2027,1+'Nacional · supuestos'!$B$6,1),0)</f>
        <v>0</v>
      </c>
      <c r="S1136">
        <f t="shared" si="18"/>
        <v>16.811916545991114</v>
      </c>
    </row>
    <row r="1137" spans="1:19">
      <c r="A1137">
        <v>2026</v>
      </c>
      <c r="B1137">
        <v>12</v>
      </c>
      <c r="C1137" t="s">
        <v>163</v>
      </c>
      <c r="D1137" t="s">
        <v>164</v>
      </c>
      <c r="E1137">
        <f>SUMIFS('Nacional · base'!$J$7:$J$1068,'Nacional · base'!$A$7:$A$1068,A1137,'Nacional · base'!$B$7:$B$1068,B1137,'Nacional · base'!$C$7:$C$1068,C1137)</f>
        <v>2505.7433953935024</v>
      </c>
      <c r="F1137">
        <f>SUMIFS('Nacional · base'!$K$7:$K$1068,'Nacional · base'!$A$7:$A$1068,A1137,'Nacional · base'!$B$7:$B$1068,B1137,'Nacional · base'!$C$7:$C$1068,C1137)</f>
        <v>2.8439884178951682</v>
      </c>
      <c r="G1137">
        <f t="shared" si="17"/>
        <v>3</v>
      </c>
      <c r="H1137">
        <f>SUMIFS('Nacional · base'!$G$7:$G$1068,'Nacional · base'!$A$7:$A$1068,A1137,'Nacional · base'!$B$7:$B$1068,B1137,'Nacional · base'!$C$7:$C$1068,C1137)</f>
        <v>6224.4499576773824</v>
      </c>
      <c r="I1137">
        <f>IF(D1137="Canarias",IF(C1137="CABRERA MORALES FRANCISCO",IF(E1137&lt;=2000,'Nacional · supuestos'!$C$34,IF(E1137&lt;=5000,'Nacional · supuestos'!$C$35,'Nacional · supuestos'!$C$36)),IF(E1137&lt;=2000,'Nacional · supuestos'!$B$34,IF(E1137&lt;=5000,'Nacional · supuestos'!$B$35,'Nacional · supuestos'!$B$36))),0)</f>
        <v>0.108</v>
      </c>
      <c r="J1137">
        <f>IF(D1137="Canarias",MAX(E1137*I1137,IF(C1137="CABRERA MORALES FRANCISCO",'Nacional · supuestos'!$C$38,'Nacional · supuestos'!$B$38)),0)</f>
        <v>270.62028670249828</v>
      </c>
      <c r="K1137">
        <f>IF(D1137="Canarias",MAX(E1137*'Nacional · supuestos'!$B$41,'Nacional · supuestos'!$B$42),0)</f>
        <v>90.206762234166078</v>
      </c>
      <c r="L1137">
        <f>IF(D1137="Canarias",E1137*'Nacional · supuestos'!$B$43,0)</f>
        <v>30.068920744722028</v>
      </c>
      <c r="M1137">
        <f>IF(D1137="Canarias",E1137*'Nacional · supuestos'!$B$44,0)</f>
        <v>45.103381117083039</v>
      </c>
      <c r="N1137">
        <f>IF(D1137="Canarias",E1137*'Nacional · supuestos'!$B$45,0)</f>
        <v>55.126354698657046</v>
      </c>
      <c r="O1137">
        <f>IF(D1137="Canarias",'Nacional · supuestos'!$B$46,0)</f>
        <v>15</v>
      </c>
      <c r="P1137">
        <f>IF(D1137="Canarias",MAX(H1137*'Nacional · supuestos'!$B$47,'Nacional · supuestos'!$B$48),0)</f>
        <v>28.01002480954822</v>
      </c>
      <c r="Q1137">
        <f>IF(D1137="Resto nacional",E1137*'Nacional · supuestos'!$B$13*IF(A1137=2027,1+'Nacional · supuestos'!$B$6,1),0)</f>
        <v>0</v>
      </c>
      <c r="R1137">
        <f>IF(D1137="Canarias",SUM(J1137:P1137)*IF(A1137=2027,1+'Nacional · supuestos'!$B$6,1),0)</f>
        <v>534.13573030667476</v>
      </c>
      <c r="S1137">
        <f t="shared" si="18"/>
        <v>534.13573030667476</v>
      </c>
    </row>
    <row r="1138" spans="1:19">
      <c r="A1138">
        <v>2026</v>
      </c>
      <c r="B1138">
        <v>12</v>
      </c>
      <c r="C1138" t="s">
        <v>165</v>
      </c>
      <c r="D1138" t="s">
        <v>160</v>
      </c>
      <c r="E1138">
        <f>SUMIFS('Nacional · base'!$J$7:$J$1068,'Nacional · base'!$A$7:$A$1068,A1138,'Nacional · base'!$B$7:$B$1068,B1138,'Nacional · base'!$C$7:$C$1068,C1138)</f>
        <v>710.99710447379198</v>
      </c>
      <c r="F1138">
        <f>SUMIFS('Nacional · base'!$K$7:$K$1068,'Nacional · base'!$A$7:$A$1068,A1138,'Nacional · base'!$B$7:$B$1068,B1138,'Nacional · base'!$C$7:$C$1068,C1138)</f>
        <v>0.94799613929838933</v>
      </c>
      <c r="G1138">
        <f t="shared" ref="G1138:G1201" si="19">ROUNDUP(F1138,0)</f>
        <v>1</v>
      </c>
      <c r="H1138">
        <f>SUMIFS('Nacional · base'!$G$7:$G$1068,'Nacional · base'!$A$7:$A$1068,A1138,'Nacional · base'!$B$7:$B$1068,B1138,'Nacional · base'!$C$7:$C$1068,C1138)</f>
        <v>4802.785440720465</v>
      </c>
      <c r="I1138">
        <f>IF(D1138="Canarias",IF(C1138="CABRERA MORALES FRANCISCO",IF(E1138&lt;=2000,'Nacional · supuestos'!$C$34,IF(E1138&lt;=5000,'Nacional · supuestos'!$C$35,'Nacional · supuestos'!$C$36)),IF(E1138&lt;=2000,'Nacional · supuestos'!$B$34,IF(E1138&lt;=5000,'Nacional · supuestos'!$B$35,'Nacional · supuestos'!$B$36))),0)</f>
        <v>0</v>
      </c>
      <c r="J1138">
        <f>IF(D1138="Canarias",MAX(E1138*I1138,IF(C1138="CABRERA MORALES FRANCISCO",'Nacional · supuestos'!$C$38,'Nacional · supuestos'!$B$38)),0)</f>
        <v>0</v>
      </c>
      <c r="K1138">
        <f>IF(D1138="Canarias",MAX(E1138*'Nacional · supuestos'!$B$41,'Nacional · supuestos'!$B$42),0)</f>
        <v>0</v>
      </c>
      <c r="L1138">
        <f>IF(D1138="Canarias",E1138*'Nacional · supuestos'!$B$43,0)</f>
        <v>0</v>
      </c>
      <c r="M1138">
        <f>IF(D1138="Canarias",E1138*'Nacional · supuestos'!$B$44,0)</f>
        <v>0</v>
      </c>
      <c r="N1138">
        <f>IF(D1138="Canarias",E1138*'Nacional · supuestos'!$B$45,0)</f>
        <v>0</v>
      </c>
      <c r="O1138">
        <f>IF(D1138="Canarias",'Nacional · supuestos'!$B$46,0)</f>
        <v>0</v>
      </c>
      <c r="P1138">
        <f>IF(D1138="Canarias",MAX(H1138*'Nacional · supuestos'!$B$47,'Nacional · supuestos'!$B$48),0)</f>
        <v>0</v>
      </c>
      <c r="Q1138">
        <f>IF(D1138="Resto nacional",E1138*'Nacional · supuestos'!$B$13*IF(A1138=2027,1+'Nacional · supuestos'!$B$6,1),0)</f>
        <v>63.04468704746666</v>
      </c>
      <c r="R1138">
        <f>IF(D1138="Canarias",SUM(J1138:P1138)*IF(A1138=2027,1+'Nacional · supuestos'!$B$6,1),0)</f>
        <v>0</v>
      </c>
      <c r="S1138">
        <f t="shared" ref="S1138:S1201" si="20">Q1138+R1138</f>
        <v>63.04468704746666</v>
      </c>
    </row>
    <row r="1139" spans="1:19">
      <c r="A1139">
        <v>2026</v>
      </c>
      <c r="B1139">
        <v>12</v>
      </c>
      <c r="C1139" t="s">
        <v>166</v>
      </c>
      <c r="D1139" t="s">
        <v>160</v>
      </c>
      <c r="E1139">
        <f>SUMIFS('Nacional · base'!$J$7:$J$1068,'Nacional · base'!$A$7:$A$1068,A1139,'Nacional · base'!$B$7:$B$1068,B1139,'Nacional · base'!$C$7:$C$1068,C1139)</f>
        <v>1982.4495265007915</v>
      </c>
      <c r="F1139">
        <f>SUMIFS('Nacional · base'!$K$7:$K$1068,'Nacional · base'!$A$7:$A$1068,A1139,'Nacional · base'!$B$7:$B$1068,B1139,'Nacional · base'!$C$7:$C$1068,C1139)</f>
        <v>2.547739624364421</v>
      </c>
      <c r="G1139">
        <f t="shared" si="19"/>
        <v>3</v>
      </c>
      <c r="H1139">
        <f>SUMIFS('Nacional · base'!$G$7:$G$1068,'Nacional · base'!$A$7:$A$1068,A1139,'Nacional · base'!$B$7:$B$1068,B1139,'Nacional · base'!$C$7:$C$1068,C1139)</f>
        <v>3915.0344560744879</v>
      </c>
      <c r="I1139">
        <f>IF(D1139="Canarias",IF(C1139="CABRERA MORALES FRANCISCO",IF(E1139&lt;=2000,'Nacional · supuestos'!$C$34,IF(E1139&lt;=5000,'Nacional · supuestos'!$C$35,'Nacional · supuestos'!$C$36)),IF(E1139&lt;=2000,'Nacional · supuestos'!$B$34,IF(E1139&lt;=5000,'Nacional · supuestos'!$B$35,'Nacional · supuestos'!$B$36))),0)</f>
        <v>0</v>
      </c>
      <c r="J1139">
        <f>IF(D1139="Canarias",MAX(E1139*I1139,IF(C1139="CABRERA MORALES FRANCISCO",'Nacional · supuestos'!$C$38,'Nacional · supuestos'!$B$38)),0)</f>
        <v>0</v>
      </c>
      <c r="K1139">
        <f>IF(D1139="Canarias",MAX(E1139*'Nacional · supuestos'!$B$41,'Nacional · supuestos'!$B$42),0)</f>
        <v>0</v>
      </c>
      <c r="L1139">
        <f>IF(D1139="Canarias",E1139*'Nacional · supuestos'!$B$43,0)</f>
        <v>0</v>
      </c>
      <c r="M1139">
        <f>IF(D1139="Canarias",E1139*'Nacional · supuestos'!$B$44,0)</f>
        <v>0</v>
      </c>
      <c r="N1139">
        <f>IF(D1139="Canarias",E1139*'Nacional · supuestos'!$B$45,0)</f>
        <v>0</v>
      </c>
      <c r="O1139">
        <f>IF(D1139="Canarias",'Nacional · supuestos'!$B$46,0)</f>
        <v>0</v>
      </c>
      <c r="P1139">
        <f>IF(D1139="Canarias",MAX(H1139*'Nacional · supuestos'!$B$47,'Nacional · supuestos'!$B$48),0)</f>
        <v>0</v>
      </c>
      <c r="Q1139">
        <f>IF(D1139="Resto nacional",E1139*'Nacional · supuestos'!$B$13*IF(A1139=2027,1+'Nacional · supuestos'!$B$6,1),0)</f>
        <v>175.78539940488304</v>
      </c>
      <c r="R1139">
        <f>IF(D1139="Canarias",SUM(J1139:P1139)*IF(A1139=2027,1+'Nacional · supuestos'!$B$6,1),0)</f>
        <v>0</v>
      </c>
      <c r="S1139">
        <f t="shared" si="20"/>
        <v>175.78539940488304</v>
      </c>
    </row>
    <row r="1140" spans="1:19">
      <c r="A1140">
        <v>2026</v>
      </c>
      <c r="B1140">
        <v>12</v>
      </c>
      <c r="C1140" t="s">
        <v>169</v>
      </c>
      <c r="D1140" t="s">
        <v>160</v>
      </c>
      <c r="E1140">
        <f>SUMIFS('Nacional · base'!$J$7:$J$1068,'Nacional · base'!$A$7:$A$1068,A1140,'Nacional · base'!$B$7:$B$1068,B1140,'Nacional · base'!$C$7:$C$1068,C1140)</f>
        <v>894.90835549767951</v>
      </c>
      <c r="F1140">
        <f>SUMIFS('Nacional · base'!$K$7:$K$1068,'Nacional · base'!$A$7:$A$1068,A1140,'Nacional · base'!$B$7:$B$1068,B1140,'Nacional · base'!$C$7:$C$1068,C1140)</f>
        <v>1.2343699730447779</v>
      </c>
      <c r="G1140">
        <f t="shared" si="19"/>
        <v>2</v>
      </c>
      <c r="H1140">
        <f>SUMIFS('Nacional · base'!$G$7:$G$1068,'Nacional · base'!$A$7:$A$1068,A1140,'Nacional · base'!$B$7:$B$1068,B1140,'Nacional · base'!$C$7:$C$1068,C1140)</f>
        <v>3672.8863053774917</v>
      </c>
      <c r="I1140">
        <f>IF(D1140="Canarias",IF(C1140="CABRERA MORALES FRANCISCO",IF(E1140&lt;=2000,'Nacional · supuestos'!$C$34,IF(E1140&lt;=5000,'Nacional · supuestos'!$C$35,'Nacional · supuestos'!$C$36)),IF(E1140&lt;=2000,'Nacional · supuestos'!$B$34,IF(E1140&lt;=5000,'Nacional · supuestos'!$B$35,'Nacional · supuestos'!$B$36))),0)</f>
        <v>0</v>
      </c>
      <c r="J1140">
        <f>IF(D1140="Canarias",MAX(E1140*I1140,IF(C1140="CABRERA MORALES FRANCISCO",'Nacional · supuestos'!$C$38,'Nacional · supuestos'!$B$38)),0)</f>
        <v>0</v>
      </c>
      <c r="K1140">
        <f>IF(D1140="Canarias",MAX(E1140*'Nacional · supuestos'!$B$41,'Nacional · supuestos'!$B$42),0)</f>
        <v>0</v>
      </c>
      <c r="L1140">
        <f>IF(D1140="Canarias",E1140*'Nacional · supuestos'!$B$43,0)</f>
        <v>0</v>
      </c>
      <c r="M1140">
        <f>IF(D1140="Canarias",E1140*'Nacional · supuestos'!$B$44,0)</f>
        <v>0</v>
      </c>
      <c r="N1140">
        <f>IF(D1140="Canarias",E1140*'Nacional · supuestos'!$B$45,0)</f>
        <v>0</v>
      </c>
      <c r="O1140">
        <f>IF(D1140="Canarias",'Nacional · supuestos'!$B$46,0)</f>
        <v>0</v>
      </c>
      <c r="P1140">
        <f>IF(D1140="Canarias",MAX(H1140*'Nacional · supuestos'!$B$47,'Nacional · supuestos'!$B$48),0)</f>
        <v>0</v>
      </c>
      <c r="Q1140">
        <f>IF(D1140="Resto nacional",E1140*'Nacional · supuestos'!$B$13*IF(A1140=2027,1+'Nacional · supuestos'!$B$6,1),0)</f>
        <v>79.352246097078037</v>
      </c>
      <c r="R1140">
        <f>IF(D1140="Canarias",SUM(J1140:P1140)*IF(A1140=2027,1+'Nacional · supuestos'!$B$6,1),0)</f>
        <v>0</v>
      </c>
      <c r="S1140">
        <f t="shared" si="20"/>
        <v>79.352246097078037</v>
      </c>
    </row>
    <row r="1141" spans="1:19">
      <c r="A1141">
        <v>2026</v>
      </c>
      <c r="B1141">
        <v>12</v>
      </c>
      <c r="C1141" t="s">
        <v>172</v>
      </c>
      <c r="D1141" t="s">
        <v>160</v>
      </c>
      <c r="E1141">
        <f>SUMIFS('Nacional · base'!$J$7:$J$1068,'Nacional · base'!$A$7:$A$1068,A1141,'Nacional · base'!$B$7:$B$1068,B1141,'Nacional · base'!$C$7:$C$1068,C1141)</f>
        <v>12479.724536488573</v>
      </c>
      <c r="F1141">
        <f>SUMIFS('Nacional · base'!$K$7:$K$1068,'Nacional · base'!$A$7:$A$1068,A1141,'Nacional · base'!$B$7:$B$1068,B1141,'Nacional · base'!$C$7:$C$1068,C1141)</f>
        <v>16.603577836696562</v>
      </c>
      <c r="G1141">
        <f t="shared" si="19"/>
        <v>17</v>
      </c>
      <c r="H1141">
        <f>SUMIFS('Nacional · base'!$G$7:$G$1068,'Nacional · base'!$A$7:$A$1068,A1141,'Nacional · base'!$B$7:$B$1068,B1141,'Nacional · base'!$C$7:$C$1068,C1141)</f>
        <v>41477.245604927259</v>
      </c>
      <c r="I1141">
        <f>IF(D1141="Canarias",IF(C1141="CABRERA MORALES FRANCISCO",IF(E1141&lt;=2000,'Nacional · supuestos'!$C$34,IF(E1141&lt;=5000,'Nacional · supuestos'!$C$35,'Nacional · supuestos'!$C$36)),IF(E1141&lt;=2000,'Nacional · supuestos'!$B$34,IF(E1141&lt;=5000,'Nacional · supuestos'!$B$35,'Nacional · supuestos'!$B$36))),0)</f>
        <v>0</v>
      </c>
      <c r="J1141">
        <f>IF(D1141="Canarias",MAX(E1141*I1141,IF(C1141="CABRERA MORALES FRANCISCO",'Nacional · supuestos'!$C$38,'Nacional · supuestos'!$B$38)),0)</f>
        <v>0</v>
      </c>
      <c r="K1141">
        <f>IF(D1141="Canarias",MAX(E1141*'Nacional · supuestos'!$B$41,'Nacional · supuestos'!$B$42),0)</f>
        <v>0</v>
      </c>
      <c r="L1141">
        <f>IF(D1141="Canarias",E1141*'Nacional · supuestos'!$B$43,0)</f>
        <v>0</v>
      </c>
      <c r="M1141">
        <f>IF(D1141="Canarias",E1141*'Nacional · supuestos'!$B$44,0)</f>
        <v>0</v>
      </c>
      <c r="N1141">
        <f>IF(D1141="Canarias",E1141*'Nacional · supuestos'!$B$45,0)</f>
        <v>0</v>
      </c>
      <c r="O1141">
        <f>IF(D1141="Canarias",'Nacional · supuestos'!$B$46,0)</f>
        <v>0</v>
      </c>
      <c r="P1141">
        <f>IF(D1141="Canarias",MAX(H1141*'Nacional · supuestos'!$B$47,'Nacional · supuestos'!$B$48),0)</f>
        <v>0</v>
      </c>
      <c r="Q1141">
        <f>IF(D1141="Resto nacional",E1141*'Nacional · supuestos'!$B$13*IF(A1141=2027,1+'Nacional · supuestos'!$B$6,1),0)</f>
        <v>1106.5872461236086</v>
      </c>
      <c r="R1141">
        <f>IF(D1141="Canarias",SUM(J1141:P1141)*IF(A1141=2027,1+'Nacional · supuestos'!$B$6,1),0)</f>
        <v>0</v>
      </c>
      <c r="S1141">
        <f t="shared" si="20"/>
        <v>1106.5872461236086</v>
      </c>
    </row>
    <row r="1142" spans="1:19">
      <c r="A1142">
        <v>2026</v>
      </c>
      <c r="B1142">
        <v>12</v>
      </c>
      <c r="C1142" t="s">
        <v>175</v>
      </c>
      <c r="D1142" t="s">
        <v>160</v>
      </c>
      <c r="E1142">
        <f>SUMIFS('Nacional · base'!$J$7:$J$1068,'Nacional · base'!$A$7:$A$1068,A1142,'Nacional · base'!$B$7:$B$1068,B1142,'Nacional · base'!$C$7:$C$1068,C1142)</f>
        <v>13431.436820653009</v>
      </c>
      <c r="F1142">
        <f>SUMIFS('Nacional · base'!$K$7:$K$1068,'Nacional · base'!$A$7:$A$1068,A1142,'Nacional · base'!$B$7:$B$1068,B1142,'Nacional · base'!$C$7:$C$1068,C1142)</f>
        <v>18.020185703943586</v>
      </c>
      <c r="G1142">
        <f t="shared" si="19"/>
        <v>19</v>
      </c>
      <c r="H1142">
        <f>SUMIFS('Nacional · base'!$G$7:$G$1068,'Nacional · base'!$A$7:$A$1068,A1142,'Nacional · base'!$B$7:$B$1068,B1142,'Nacional · base'!$C$7:$C$1068,C1142)</f>
        <v>47117.951819829599</v>
      </c>
      <c r="I1142">
        <f>IF(D1142="Canarias",IF(C1142="CABRERA MORALES FRANCISCO",IF(E1142&lt;=2000,'Nacional · supuestos'!$C$34,IF(E1142&lt;=5000,'Nacional · supuestos'!$C$35,'Nacional · supuestos'!$C$36)),IF(E1142&lt;=2000,'Nacional · supuestos'!$B$34,IF(E1142&lt;=5000,'Nacional · supuestos'!$B$35,'Nacional · supuestos'!$B$36))),0)</f>
        <v>0</v>
      </c>
      <c r="J1142">
        <f>IF(D1142="Canarias",MAX(E1142*I1142,IF(C1142="CABRERA MORALES FRANCISCO",'Nacional · supuestos'!$C$38,'Nacional · supuestos'!$B$38)),0)</f>
        <v>0</v>
      </c>
      <c r="K1142">
        <f>IF(D1142="Canarias",MAX(E1142*'Nacional · supuestos'!$B$41,'Nacional · supuestos'!$B$42),0)</f>
        <v>0</v>
      </c>
      <c r="L1142">
        <f>IF(D1142="Canarias",E1142*'Nacional · supuestos'!$B$43,0)</f>
        <v>0</v>
      </c>
      <c r="M1142">
        <f>IF(D1142="Canarias",E1142*'Nacional · supuestos'!$B$44,0)</f>
        <v>0</v>
      </c>
      <c r="N1142">
        <f>IF(D1142="Canarias",E1142*'Nacional · supuestos'!$B$45,0)</f>
        <v>0</v>
      </c>
      <c r="O1142">
        <f>IF(D1142="Canarias",'Nacional · supuestos'!$B$46,0)</f>
        <v>0</v>
      </c>
      <c r="P1142">
        <f>IF(D1142="Canarias",MAX(H1142*'Nacional · supuestos'!$B$47,'Nacional · supuestos'!$B$48),0)</f>
        <v>0</v>
      </c>
      <c r="Q1142">
        <f>IF(D1142="Resto nacional",E1142*'Nacional · supuestos'!$B$13*IF(A1142=2027,1+'Nacional · supuestos'!$B$6,1),0)</f>
        <v>1190.9763424178652</v>
      </c>
      <c r="R1142">
        <f>IF(D1142="Canarias",SUM(J1142:P1142)*IF(A1142=2027,1+'Nacional · supuestos'!$B$6,1),0)</f>
        <v>0</v>
      </c>
      <c r="S1142">
        <f t="shared" si="20"/>
        <v>1190.9763424178652</v>
      </c>
    </row>
    <row r="1143" spans="1:19">
      <c r="A1143">
        <v>2026</v>
      </c>
      <c r="B1143">
        <v>12</v>
      </c>
      <c r="C1143" t="s">
        <v>188</v>
      </c>
      <c r="D1143" t="s">
        <v>160</v>
      </c>
      <c r="E1143">
        <f>SUMIFS('Nacional · base'!$J$7:$J$1068,'Nacional · base'!$A$7:$A$1068,A1143,'Nacional · base'!$B$7:$B$1068,B1143,'Nacional · base'!$C$7:$C$1068,C1143)</f>
        <v>715.92668439814361</v>
      </c>
      <c r="F1143">
        <f>SUMIFS('Nacional · base'!$K$7:$K$1068,'Nacional · base'!$A$7:$A$1068,A1143,'Nacional · base'!$B$7:$B$1068,B1143,'Nacional · base'!$C$7:$C$1068,C1143)</f>
        <v>0.94799613929838933</v>
      </c>
      <c r="G1143">
        <f t="shared" si="19"/>
        <v>1</v>
      </c>
      <c r="H1143">
        <f>SUMIFS('Nacional · base'!$G$7:$G$1068,'Nacional · base'!$A$7:$A$1068,A1143,'Nacional · base'!$B$7:$B$1068,B1143,'Nacional · base'!$C$7:$C$1068,C1143)</f>
        <v>2523.944921268032</v>
      </c>
      <c r="I1143">
        <f>IF(D1143="Canarias",IF(C1143="CABRERA MORALES FRANCISCO",IF(E1143&lt;=2000,'Nacional · supuestos'!$C$34,IF(E1143&lt;=5000,'Nacional · supuestos'!$C$35,'Nacional · supuestos'!$C$36)),IF(E1143&lt;=2000,'Nacional · supuestos'!$B$34,IF(E1143&lt;=5000,'Nacional · supuestos'!$B$35,'Nacional · supuestos'!$B$36))),0)</f>
        <v>0</v>
      </c>
      <c r="J1143">
        <f>IF(D1143="Canarias",MAX(E1143*I1143,IF(C1143="CABRERA MORALES FRANCISCO",'Nacional · supuestos'!$C$38,'Nacional · supuestos'!$B$38)),0)</f>
        <v>0</v>
      </c>
      <c r="K1143">
        <f>IF(D1143="Canarias",MAX(E1143*'Nacional · supuestos'!$B$41,'Nacional · supuestos'!$B$42),0)</f>
        <v>0</v>
      </c>
      <c r="L1143">
        <f>IF(D1143="Canarias",E1143*'Nacional · supuestos'!$B$43,0)</f>
        <v>0</v>
      </c>
      <c r="M1143">
        <f>IF(D1143="Canarias",E1143*'Nacional · supuestos'!$B$44,0)</f>
        <v>0</v>
      </c>
      <c r="N1143">
        <f>IF(D1143="Canarias",E1143*'Nacional · supuestos'!$B$45,0)</f>
        <v>0</v>
      </c>
      <c r="O1143">
        <f>IF(D1143="Canarias",'Nacional · supuestos'!$B$46,0)</f>
        <v>0</v>
      </c>
      <c r="P1143">
        <f>IF(D1143="Canarias",MAX(H1143*'Nacional · supuestos'!$B$47,'Nacional · supuestos'!$B$48),0)</f>
        <v>0</v>
      </c>
      <c r="Q1143">
        <f>IF(D1143="Resto nacional",E1143*'Nacional · supuestos'!$B$13*IF(A1143=2027,1+'Nacional · supuestos'!$B$6,1),0)</f>
        <v>63.481796877662433</v>
      </c>
      <c r="R1143">
        <f>IF(D1143="Canarias",SUM(J1143:P1143)*IF(A1143=2027,1+'Nacional · supuestos'!$B$6,1),0)</f>
        <v>0</v>
      </c>
      <c r="S1143">
        <f t="shared" si="20"/>
        <v>63.481796877662433</v>
      </c>
    </row>
    <row r="1144" spans="1:19">
      <c r="A1144">
        <v>2026</v>
      </c>
      <c r="B1144">
        <v>12</v>
      </c>
      <c r="C1144" t="s">
        <v>178</v>
      </c>
      <c r="D1144" t="s">
        <v>160</v>
      </c>
      <c r="E1144">
        <f>SUMIFS('Nacional · base'!$J$7:$J$1068,'Nacional · base'!$A$7:$A$1068,A1144,'Nacional · base'!$B$7:$B$1068,B1144,'Nacional · base'!$C$7:$C$1068,C1144)</f>
        <v>3915.2240553023471</v>
      </c>
      <c r="F1144">
        <f>SUMIFS('Nacional · base'!$K$7:$K$1068,'Nacional · base'!$A$7:$A$1068,A1144,'Nacional · base'!$B$7:$B$1068,B1144,'Nacional · base'!$C$7:$C$1068,C1144)</f>
        <v>5.0024750820325234</v>
      </c>
      <c r="G1144">
        <f t="shared" si="19"/>
        <v>6</v>
      </c>
      <c r="H1144">
        <f>SUMIFS('Nacional · base'!$G$7:$G$1068,'Nacional · base'!$A$7:$A$1068,A1144,'Nacional · base'!$B$7:$B$1068,B1144,'Nacional · base'!$C$7:$C$1068,C1144)</f>
        <v>12386.170891871232</v>
      </c>
      <c r="I1144">
        <f>IF(D1144="Canarias",IF(C1144="CABRERA MORALES FRANCISCO",IF(E1144&lt;=2000,'Nacional · supuestos'!$C$34,IF(E1144&lt;=5000,'Nacional · supuestos'!$C$35,'Nacional · supuestos'!$C$36)),IF(E1144&lt;=2000,'Nacional · supuestos'!$B$34,IF(E1144&lt;=5000,'Nacional · supuestos'!$B$35,'Nacional · supuestos'!$B$36))),0)</f>
        <v>0</v>
      </c>
      <c r="J1144">
        <f>IF(D1144="Canarias",MAX(E1144*I1144,IF(C1144="CABRERA MORALES FRANCISCO",'Nacional · supuestos'!$C$38,'Nacional · supuestos'!$B$38)),0)</f>
        <v>0</v>
      </c>
      <c r="K1144">
        <f>IF(D1144="Canarias",MAX(E1144*'Nacional · supuestos'!$B$41,'Nacional · supuestos'!$B$42),0)</f>
        <v>0</v>
      </c>
      <c r="L1144">
        <f>IF(D1144="Canarias",E1144*'Nacional · supuestos'!$B$43,0)</f>
        <v>0</v>
      </c>
      <c r="M1144">
        <f>IF(D1144="Canarias",E1144*'Nacional · supuestos'!$B$44,0)</f>
        <v>0</v>
      </c>
      <c r="N1144">
        <f>IF(D1144="Canarias",E1144*'Nacional · supuestos'!$B$45,0)</f>
        <v>0</v>
      </c>
      <c r="O1144">
        <f>IF(D1144="Canarias",'Nacional · supuestos'!$B$46,0)</f>
        <v>0</v>
      </c>
      <c r="P1144">
        <f>IF(D1144="Canarias",MAX(H1144*'Nacional · supuestos'!$B$47,'Nacional · supuestos'!$B$48),0)</f>
        <v>0</v>
      </c>
      <c r="Q1144">
        <f>IF(D1144="Resto nacional",E1144*'Nacional · supuestos'!$B$13*IF(A1144=2027,1+'Nacional · supuestos'!$B$6,1),0)</f>
        <v>347.16607667471635</v>
      </c>
      <c r="R1144">
        <f>IF(D1144="Canarias",SUM(J1144:P1144)*IF(A1144=2027,1+'Nacional · supuestos'!$B$6,1),0)</f>
        <v>0</v>
      </c>
      <c r="S1144">
        <f t="shared" si="20"/>
        <v>347.16607667471635</v>
      </c>
    </row>
    <row r="1145" spans="1:19">
      <c r="A1145">
        <v>2026</v>
      </c>
      <c r="B1145">
        <v>12</v>
      </c>
      <c r="C1145" t="s">
        <v>189</v>
      </c>
      <c r="D1145" t="s">
        <v>160</v>
      </c>
      <c r="E1145">
        <f>SUMIFS('Nacional · base'!$J$7:$J$1068,'Nacional · base'!$A$7:$A$1068,A1145,'Nacional · base'!$B$7:$B$1068,B1145,'Nacional · base'!$C$7:$C$1068,C1145)</f>
        <v>1431.8533687962868</v>
      </c>
      <c r="F1145">
        <f>SUMIFS('Nacional · base'!$K$7:$K$1068,'Nacional · base'!$A$7:$A$1068,A1145,'Nacional · base'!$B$7:$B$1068,B1145,'Nacional · base'!$C$7:$C$1068,C1145)</f>
        <v>1.895992278596778</v>
      </c>
      <c r="G1145">
        <f t="shared" si="19"/>
        <v>2</v>
      </c>
      <c r="H1145">
        <f>SUMIFS('Nacional · base'!$G$7:$G$1068,'Nacional · base'!$A$7:$A$1068,A1145,'Nacional · base'!$B$7:$B$1068,B1145,'Nacional · base'!$C$7:$C$1068,C1145)</f>
        <v>4186.350951141686</v>
      </c>
      <c r="I1145">
        <f>IF(D1145="Canarias",IF(C1145="CABRERA MORALES FRANCISCO",IF(E1145&lt;=2000,'Nacional · supuestos'!$C$34,IF(E1145&lt;=5000,'Nacional · supuestos'!$C$35,'Nacional · supuestos'!$C$36)),IF(E1145&lt;=2000,'Nacional · supuestos'!$B$34,IF(E1145&lt;=5000,'Nacional · supuestos'!$B$35,'Nacional · supuestos'!$B$36))),0)</f>
        <v>0</v>
      </c>
      <c r="J1145">
        <f>IF(D1145="Canarias",MAX(E1145*I1145,IF(C1145="CABRERA MORALES FRANCISCO",'Nacional · supuestos'!$C$38,'Nacional · supuestos'!$B$38)),0)</f>
        <v>0</v>
      </c>
      <c r="K1145">
        <f>IF(D1145="Canarias",MAX(E1145*'Nacional · supuestos'!$B$41,'Nacional · supuestos'!$B$42),0)</f>
        <v>0</v>
      </c>
      <c r="L1145">
        <f>IF(D1145="Canarias",E1145*'Nacional · supuestos'!$B$43,0)</f>
        <v>0</v>
      </c>
      <c r="M1145">
        <f>IF(D1145="Canarias",E1145*'Nacional · supuestos'!$B$44,0)</f>
        <v>0</v>
      </c>
      <c r="N1145">
        <f>IF(D1145="Canarias",E1145*'Nacional · supuestos'!$B$45,0)</f>
        <v>0</v>
      </c>
      <c r="O1145">
        <f>IF(D1145="Canarias",'Nacional · supuestos'!$B$46,0)</f>
        <v>0</v>
      </c>
      <c r="P1145">
        <f>IF(D1145="Canarias",MAX(H1145*'Nacional · supuestos'!$B$47,'Nacional · supuestos'!$B$48),0)</f>
        <v>0</v>
      </c>
      <c r="Q1145">
        <f>IF(D1145="Resto nacional",E1145*'Nacional · supuestos'!$B$13*IF(A1145=2027,1+'Nacional · supuestos'!$B$6,1),0)</f>
        <v>126.96359375532482</v>
      </c>
      <c r="R1145">
        <f>IF(D1145="Canarias",SUM(J1145:P1145)*IF(A1145=2027,1+'Nacional · supuestos'!$B$6,1),0)</f>
        <v>0</v>
      </c>
      <c r="S1145">
        <f t="shared" si="20"/>
        <v>126.96359375532482</v>
      </c>
    </row>
    <row r="1146" spans="1:19">
      <c r="A1146">
        <v>2026</v>
      </c>
      <c r="B1146">
        <v>12</v>
      </c>
      <c r="C1146" t="s">
        <v>179</v>
      </c>
      <c r="D1146" t="s">
        <v>160</v>
      </c>
      <c r="E1146">
        <f>SUMIFS('Nacional · base'!$J$7:$J$1068,'Nacional · base'!$A$7:$A$1068,A1146,'Nacional · base'!$B$7:$B$1068,B1146,'Nacional · base'!$C$7:$C$1068,C1146)</f>
        <v>292.17241013176351</v>
      </c>
      <c r="F1146">
        <f>SUMIFS('Nacional · base'!$K$7:$K$1068,'Nacional · base'!$A$7:$A$1068,A1146,'Nacional · base'!$B$7:$B$1068,B1146,'Nacional · base'!$C$7:$C$1068,C1146)</f>
        <v>0.41079832702930197</v>
      </c>
      <c r="G1146">
        <f t="shared" si="19"/>
        <v>1</v>
      </c>
      <c r="H1146">
        <f>SUMIFS('Nacional · base'!$G$7:$G$1068,'Nacional · base'!$A$7:$A$1068,A1146,'Nacional · base'!$B$7:$B$1068,B1146,'Nacional · base'!$C$7:$C$1068,C1146)</f>
        <v>3568.4470675469965</v>
      </c>
      <c r="I1146">
        <f>IF(D1146="Canarias",IF(C1146="CABRERA MORALES FRANCISCO",IF(E1146&lt;=2000,'Nacional · supuestos'!$C$34,IF(E1146&lt;=5000,'Nacional · supuestos'!$C$35,'Nacional · supuestos'!$C$36)),IF(E1146&lt;=2000,'Nacional · supuestos'!$B$34,IF(E1146&lt;=5000,'Nacional · supuestos'!$B$35,'Nacional · supuestos'!$B$36))),0)</f>
        <v>0</v>
      </c>
      <c r="J1146">
        <f>IF(D1146="Canarias",MAX(E1146*I1146,IF(C1146="CABRERA MORALES FRANCISCO",'Nacional · supuestos'!$C$38,'Nacional · supuestos'!$B$38)),0)</f>
        <v>0</v>
      </c>
      <c r="K1146">
        <f>IF(D1146="Canarias",MAX(E1146*'Nacional · supuestos'!$B$41,'Nacional · supuestos'!$B$42),0)</f>
        <v>0</v>
      </c>
      <c r="L1146">
        <f>IF(D1146="Canarias",E1146*'Nacional · supuestos'!$B$43,0)</f>
        <v>0</v>
      </c>
      <c r="M1146">
        <f>IF(D1146="Canarias",E1146*'Nacional · supuestos'!$B$44,0)</f>
        <v>0</v>
      </c>
      <c r="N1146">
        <f>IF(D1146="Canarias",E1146*'Nacional · supuestos'!$B$45,0)</f>
        <v>0</v>
      </c>
      <c r="O1146">
        <f>IF(D1146="Canarias",'Nacional · supuestos'!$B$46,0)</f>
        <v>0</v>
      </c>
      <c r="P1146">
        <f>IF(D1146="Canarias",MAX(H1146*'Nacional · supuestos'!$B$47,'Nacional · supuestos'!$B$48),0)</f>
        <v>0</v>
      </c>
      <c r="Q1146">
        <f>IF(D1146="Resto nacional",E1146*'Nacional · supuestos'!$B$13*IF(A1146=2027,1+'Nacional · supuestos'!$B$6,1),0)</f>
        <v>25.907163397372294</v>
      </c>
      <c r="R1146">
        <f>IF(D1146="Canarias",SUM(J1146:P1146)*IF(A1146=2027,1+'Nacional · supuestos'!$B$6,1),0)</f>
        <v>0</v>
      </c>
      <c r="S1146">
        <f t="shared" si="20"/>
        <v>25.907163397372294</v>
      </c>
    </row>
    <row r="1147" spans="1:19">
      <c r="A1147">
        <v>2026</v>
      </c>
      <c r="B1147">
        <v>12</v>
      </c>
      <c r="C1147" t="s">
        <v>180</v>
      </c>
      <c r="D1147" t="s">
        <v>160</v>
      </c>
      <c r="E1147">
        <f>SUMIFS('Nacional · base'!$J$7:$J$1068,'Nacional · base'!$A$7:$A$1068,A1147,'Nacional · base'!$B$7:$B$1068,B1147,'Nacional · base'!$C$7:$C$1068,C1147)</f>
        <v>4528.9188360385533</v>
      </c>
      <c r="F1147">
        <f>SUMIFS('Nacional · base'!$K$7:$K$1068,'Nacional · base'!$A$7:$A$1068,A1147,'Nacional · base'!$B$7:$B$1068,B1147,'Nacional · base'!$C$7:$C$1068,C1147)</f>
        <v>5.9088168455132566</v>
      </c>
      <c r="G1147">
        <f t="shared" si="19"/>
        <v>6</v>
      </c>
      <c r="H1147">
        <f>SUMIFS('Nacional · base'!$G$7:$G$1068,'Nacional · base'!$A$7:$A$1068,A1147,'Nacional · base'!$B$7:$B$1068,B1147,'Nacional · base'!$C$7:$C$1068,C1147)</f>
        <v>15233.485533549485</v>
      </c>
      <c r="I1147">
        <f>IF(D1147="Canarias",IF(C1147="CABRERA MORALES FRANCISCO",IF(E1147&lt;=2000,'Nacional · supuestos'!$C$34,IF(E1147&lt;=5000,'Nacional · supuestos'!$C$35,'Nacional · supuestos'!$C$36)),IF(E1147&lt;=2000,'Nacional · supuestos'!$B$34,IF(E1147&lt;=5000,'Nacional · supuestos'!$B$35,'Nacional · supuestos'!$B$36))),0)</f>
        <v>0</v>
      </c>
      <c r="J1147">
        <f>IF(D1147="Canarias",MAX(E1147*I1147,IF(C1147="CABRERA MORALES FRANCISCO",'Nacional · supuestos'!$C$38,'Nacional · supuestos'!$B$38)),0)</f>
        <v>0</v>
      </c>
      <c r="K1147">
        <f>IF(D1147="Canarias",MAX(E1147*'Nacional · supuestos'!$B$41,'Nacional · supuestos'!$B$42),0)</f>
        <v>0</v>
      </c>
      <c r="L1147">
        <f>IF(D1147="Canarias",E1147*'Nacional · supuestos'!$B$43,0)</f>
        <v>0</v>
      </c>
      <c r="M1147">
        <f>IF(D1147="Canarias",E1147*'Nacional · supuestos'!$B$44,0)</f>
        <v>0</v>
      </c>
      <c r="N1147">
        <f>IF(D1147="Canarias",E1147*'Nacional · supuestos'!$B$45,0)</f>
        <v>0</v>
      </c>
      <c r="O1147">
        <f>IF(D1147="Canarias",'Nacional · supuestos'!$B$46,0)</f>
        <v>0</v>
      </c>
      <c r="P1147">
        <f>IF(D1147="Canarias",MAX(H1147*'Nacional · supuestos'!$B$47,'Nacional · supuestos'!$B$48),0)</f>
        <v>0</v>
      </c>
      <c r="Q1147">
        <f>IF(D1147="Resto nacional",E1147*'Nacional · supuestos'!$B$13*IF(A1147=2027,1+'Nacional · supuestos'!$B$6,1),0)</f>
        <v>401.58288815078043</v>
      </c>
      <c r="R1147">
        <f>IF(D1147="Canarias",SUM(J1147:P1147)*IF(A1147=2027,1+'Nacional · supuestos'!$B$6,1),0)</f>
        <v>0</v>
      </c>
      <c r="S1147">
        <f t="shared" si="20"/>
        <v>401.58288815078043</v>
      </c>
    </row>
    <row r="1148" spans="1:19">
      <c r="A1148">
        <v>2026</v>
      </c>
      <c r="B1148">
        <v>12</v>
      </c>
      <c r="C1148" t="s">
        <v>185</v>
      </c>
      <c r="D1148" t="s">
        <v>160</v>
      </c>
      <c r="E1148">
        <f>SUMIFS('Nacional · base'!$J$7:$J$1068,'Nacional · base'!$A$7:$A$1068,A1148,'Nacional · base'!$B$7:$B$1068,B1148,'Nacional · base'!$C$7:$C$1068,C1148)</f>
        <v>1879.3075465451266</v>
      </c>
      <c r="F1148">
        <f>SUMIFS('Nacional · base'!$K$7:$K$1068,'Nacional · base'!$A$7:$A$1068,A1148,'Nacional · base'!$B$7:$B$1068,B1148,'Nacional · base'!$C$7:$C$1068,C1148)</f>
        <v>2.4292401069521223</v>
      </c>
      <c r="G1148">
        <f t="shared" si="19"/>
        <v>3</v>
      </c>
      <c r="H1148">
        <f>SUMIFS('Nacional · base'!$G$7:$G$1068,'Nacional · base'!$A$7:$A$1068,A1148,'Nacional · base'!$B$7:$B$1068,B1148,'Nacional · base'!$C$7:$C$1068,C1148)</f>
        <v>5529.4718812996443</v>
      </c>
      <c r="I1148">
        <f>IF(D1148="Canarias",IF(C1148="CABRERA MORALES FRANCISCO",IF(E1148&lt;=2000,'Nacional · supuestos'!$C$34,IF(E1148&lt;=5000,'Nacional · supuestos'!$C$35,'Nacional · supuestos'!$C$36)),IF(E1148&lt;=2000,'Nacional · supuestos'!$B$34,IF(E1148&lt;=5000,'Nacional · supuestos'!$B$35,'Nacional · supuestos'!$B$36))),0)</f>
        <v>0</v>
      </c>
      <c r="J1148">
        <f>IF(D1148="Canarias",MAX(E1148*I1148,IF(C1148="CABRERA MORALES FRANCISCO",'Nacional · supuestos'!$C$38,'Nacional · supuestos'!$B$38)),0)</f>
        <v>0</v>
      </c>
      <c r="K1148">
        <f>IF(D1148="Canarias",MAX(E1148*'Nacional · supuestos'!$B$41,'Nacional · supuestos'!$B$42),0)</f>
        <v>0</v>
      </c>
      <c r="L1148">
        <f>IF(D1148="Canarias",E1148*'Nacional · supuestos'!$B$43,0)</f>
        <v>0</v>
      </c>
      <c r="M1148">
        <f>IF(D1148="Canarias",E1148*'Nacional · supuestos'!$B$44,0)</f>
        <v>0</v>
      </c>
      <c r="N1148">
        <f>IF(D1148="Canarias",E1148*'Nacional · supuestos'!$B$45,0)</f>
        <v>0</v>
      </c>
      <c r="O1148">
        <f>IF(D1148="Canarias",'Nacional · supuestos'!$B$46,0)</f>
        <v>0</v>
      </c>
      <c r="P1148">
        <f>IF(D1148="Canarias",MAX(H1148*'Nacional · supuestos'!$B$47,'Nacional · supuestos'!$B$48),0)</f>
        <v>0</v>
      </c>
      <c r="Q1148">
        <f>IF(D1148="Resto nacional",E1148*'Nacional · supuestos'!$B$13*IF(A1148=2027,1+'Nacional · supuestos'!$B$6,1),0)</f>
        <v>166.63971680386385</v>
      </c>
      <c r="R1148">
        <f>IF(D1148="Canarias",SUM(J1148:P1148)*IF(A1148=2027,1+'Nacional · supuestos'!$B$6,1),0)</f>
        <v>0</v>
      </c>
      <c r="S1148">
        <f t="shared" si="20"/>
        <v>166.63971680386385</v>
      </c>
    </row>
    <row r="1149" spans="1:19">
      <c r="A1149">
        <v>2026</v>
      </c>
      <c r="B1149">
        <v>12</v>
      </c>
      <c r="C1149" t="s">
        <v>181</v>
      </c>
      <c r="D1149" t="s">
        <v>160</v>
      </c>
      <c r="E1149">
        <f>SUMIFS('Nacional · base'!$J$7:$J$1068,'Nacional · base'!$A$7:$A$1068,A1149,'Nacional · base'!$B$7:$B$1068,B1149,'Nacional · base'!$C$7:$C$1068,C1149)</f>
        <v>1118.6354443720993</v>
      </c>
      <c r="F1149">
        <f>SUMIFS('Nacional · base'!$K$7:$K$1068,'Nacional · base'!$A$7:$A$1068,A1149,'Nacional · base'!$B$7:$B$1068,B1149,'Nacional · base'!$C$7:$C$1068,C1149)</f>
        <v>0.94799613929838933</v>
      </c>
      <c r="G1149">
        <f t="shared" si="19"/>
        <v>1</v>
      </c>
      <c r="H1149">
        <f>SUMIFS('Nacional · base'!$G$7:$G$1068,'Nacional · base'!$A$7:$A$1068,A1149,'Nacional · base'!$B$7:$B$1068,B1149,'Nacional · base'!$C$7:$C$1068,C1149)</f>
        <v>2891.3882248600876</v>
      </c>
      <c r="I1149">
        <f>IF(D1149="Canarias",IF(C1149="CABRERA MORALES FRANCISCO",IF(E1149&lt;=2000,'Nacional · supuestos'!$C$34,IF(E1149&lt;=5000,'Nacional · supuestos'!$C$35,'Nacional · supuestos'!$C$36)),IF(E1149&lt;=2000,'Nacional · supuestos'!$B$34,IF(E1149&lt;=5000,'Nacional · supuestos'!$B$35,'Nacional · supuestos'!$B$36))),0)</f>
        <v>0</v>
      </c>
      <c r="J1149">
        <f>IF(D1149="Canarias",MAX(E1149*I1149,IF(C1149="CABRERA MORALES FRANCISCO",'Nacional · supuestos'!$C$38,'Nacional · supuestos'!$B$38)),0)</f>
        <v>0</v>
      </c>
      <c r="K1149">
        <f>IF(D1149="Canarias",MAX(E1149*'Nacional · supuestos'!$B$41,'Nacional · supuestos'!$B$42),0)</f>
        <v>0</v>
      </c>
      <c r="L1149">
        <f>IF(D1149="Canarias",E1149*'Nacional · supuestos'!$B$43,0)</f>
        <v>0</v>
      </c>
      <c r="M1149">
        <f>IF(D1149="Canarias",E1149*'Nacional · supuestos'!$B$44,0)</f>
        <v>0</v>
      </c>
      <c r="N1149">
        <f>IF(D1149="Canarias",E1149*'Nacional · supuestos'!$B$45,0)</f>
        <v>0</v>
      </c>
      <c r="O1149">
        <f>IF(D1149="Canarias",'Nacional · supuestos'!$B$46,0)</f>
        <v>0</v>
      </c>
      <c r="P1149">
        <f>IF(D1149="Canarias",MAX(H1149*'Nacional · supuestos'!$B$47,'Nacional · supuestos'!$B$48),0)</f>
        <v>0</v>
      </c>
      <c r="Q1149">
        <f>IF(D1149="Resto nacional",E1149*'Nacional · supuestos'!$B$13*IF(A1149=2027,1+'Nacional · supuestos'!$B$6,1),0)</f>
        <v>99.190307621347543</v>
      </c>
      <c r="R1149">
        <f>IF(D1149="Canarias",SUM(J1149:P1149)*IF(A1149=2027,1+'Nacional · supuestos'!$B$6,1),0)</f>
        <v>0</v>
      </c>
      <c r="S1149">
        <f t="shared" si="20"/>
        <v>99.190307621347543</v>
      </c>
    </row>
    <row r="1150" spans="1:19">
      <c r="A1150">
        <v>2027</v>
      </c>
      <c r="B1150">
        <v>1</v>
      </c>
      <c r="C1150" t="s">
        <v>159</v>
      </c>
      <c r="D1150" t="s">
        <v>160</v>
      </c>
      <c r="E1150">
        <f>SUMIFS('Nacional · base'!$J$7:$J$1068,'Nacional · base'!$A$7:$A$1068,A1150,'Nacional · base'!$B$7:$B$1068,B1150,'Nacional · base'!$C$7:$C$1068,C1150)</f>
        <v>1581.1999999999998</v>
      </c>
      <c r="F1150">
        <f>SUMIFS('Nacional · base'!$K$7:$K$1068,'Nacional · base'!$A$7:$A$1068,A1150,'Nacional · base'!$B$7:$B$1068,B1150,'Nacional · base'!$C$7:$C$1068,C1150)</f>
        <v>2.09375</v>
      </c>
      <c r="G1150">
        <f t="shared" si="19"/>
        <v>3</v>
      </c>
      <c r="H1150">
        <f>SUMIFS('Nacional · base'!$G$7:$G$1068,'Nacional · base'!$A$7:$A$1068,A1150,'Nacional · base'!$B$7:$B$1068,B1150,'Nacional · base'!$C$7:$C$1068,C1150)</f>
        <v>3753.3930455926402</v>
      </c>
      <c r="I1150">
        <f>IF(D1150="Canarias",IF(C1150="CABRERA MORALES FRANCISCO",IF(E1150&lt;=2000,'Nacional · supuestos'!$C$34,IF(E1150&lt;=5000,'Nacional · supuestos'!$C$35,'Nacional · supuestos'!$C$36)),IF(E1150&lt;=2000,'Nacional · supuestos'!$B$34,IF(E1150&lt;=5000,'Nacional · supuestos'!$B$35,'Nacional · supuestos'!$B$36))),0)</f>
        <v>0</v>
      </c>
      <c r="J1150">
        <f>IF(D1150="Canarias",MAX(E1150*I1150,IF(C1150="CABRERA MORALES FRANCISCO",'Nacional · supuestos'!$C$38,'Nacional · supuestos'!$B$38)),0)</f>
        <v>0</v>
      </c>
      <c r="K1150">
        <f>IF(D1150="Canarias",MAX(E1150*'Nacional · supuestos'!$B$41,'Nacional · supuestos'!$B$42),0)</f>
        <v>0</v>
      </c>
      <c r="L1150">
        <f>IF(D1150="Canarias",E1150*'Nacional · supuestos'!$B$43,0)</f>
        <v>0</v>
      </c>
      <c r="M1150">
        <f>IF(D1150="Canarias",E1150*'Nacional · supuestos'!$B$44,0)</f>
        <v>0</v>
      </c>
      <c r="N1150">
        <f>IF(D1150="Canarias",E1150*'Nacional · supuestos'!$B$45,0)</f>
        <v>0</v>
      </c>
      <c r="O1150">
        <f>IF(D1150="Canarias",'Nacional · supuestos'!$B$46,0)</f>
        <v>0</v>
      </c>
      <c r="P1150">
        <f>IF(D1150="Canarias",MAX(H1150*'Nacional · supuestos'!$B$47,'Nacional · supuestos'!$B$48),0)</f>
        <v>0</v>
      </c>
      <c r="Q1150">
        <f>IF(D1150="Resto nacional",E1150*'Nacional · supuestos'!$B$13*IF(A1150=2027,1+'Nacional · supuestos'!$B$6,1),0)</f>
        <v>154.22690807799441</v>
      </c>
      <c r="R1150">
        <f>IF(D1150="Canarias",SUM(J1150:P1150)*IF(A1150=2027,1+'Nacional · supuestos'!$B$6,1),0)</f>
        <v>0</v>
      </c>
      <c r="S1150">
        <f t="shared" si="20"/>
        <v>154.22690807799441</v>
      </c>
    </row>
    <row r="1151" spans="1:19">
      <c r="A1151">
        <v>2027</v>
      </c>
      <c r="B1151">
        <v>1</v>
      </c>
      <c r="C1151" t="s">
        <v>190</v>
      </c>
      <c r="D1151" t="s">
        <v>160</v>
      </c>
      <c r="E1151">
        <f>SUMIFS('Nacional · base'!$J$7:$J$1068,'Nacional · base'!$A$7:$A$1068,A1151,'Nacional · base'!$B$7:$B$1068,B1151,'Nacional · base'!$C$7:$C$1068,C1151)</f>
        <v>749.3</v>
      </c>
      <c r="F1151">
        <f>SUMIFS('Nacional · base'!$K$7:$K$1068,'Nacional · base'!$A$7:$A$1068,A1151,'Nacional · base'!$B$7:$B$1068,B1151,'Nacional · base'!$C$7:$C$1068,C1151)</f>
        <v>1.0583333333333333</v>
      </c>
      <c r="G1151">
        <f t="shared" si="19"/>
        <v>2</v>
      </c>
      <c r="H1151">
        <f>SUMIFS('Nacional · base'!$G$7:$G$1068,'Nacional · base'!$A$7:$A$1068,A1151,'Nacional · base'!$B$7:$B$1068,B1151,'Nacional · base'!$C$7:$C$1068,C1151)</f>
        <v>2144.5875505449612</v>
      </c>
      <c r="I1151">
        <f>IF(D1151="Canarias",IF(C1151="CABRERA MORALES FRANCISCO",IF(E1151&lt;=2000,'Nacional · supuestos'!$C$34,IF(E1151&lt;=5000,'Nacional · supuestos'!$C$35,'Nacional · supuestos'!$C$36)),IF(E1151&lt;=2000,'Nacional · supuestos'!$B$34,IF(E1151&lt;=5000,'Nacional · supuestos'!$B$35,'Nacional · supuestos'!$B$36))),0)</f>
        <v>0</v>
      </c>
      <c r="J1151">
        <f>IF(D1151="Canarias",MAX(E1151*I1151,IF(C1151="CABRERA MORALES FRANCISCO",'Nacional · supuestos'!$C$38,'Nacional · supuestos'!$B$38)),0)</f>
        <v>0</v>
      </c>
      <c r="K1151">
        <f>IF(D1151="Canarias",MAX(E1151*'Nacional · supuestos'!$B$41,'Nacional · supuestos'!$B$42),0)</f>
        <v>0</v>
      </c>
      <c r="L1151">
        <f>IF(D1151="Canarias",E1151*'Nacional · supuestos'!$B$43,0)</f>
        <v>0</v>
      </c>
      <c r="M1151">
        <f>IF(D1151="Canarias",E1151*'Nacional · supuestos'!$B$44,0)</f>
        <v>0</v>
      </c>
      <c r="N1151">
        <f>IF(D1151="Canarias",E1151*'Nacional · supuestos'!$B$45,0)</f>
        <v>0</v>
      </c>
      <c r="O1151">
        <f>IF(D1151="Canarias",'Nacional · supuestos'!$B$46,0)</f>
        <v>0</v>
      </c>
      <c r="P1151">
        <f>IF(D1151="Canarias",MAX(H1151*'Nacional · supuestos'!$B$47,'Nacional · supuestos'!$B$48),0)</f>
        <v>0</v>
      </c>
      <c r="Q1151">
        <f>IF(D1151="Resto nacional",E1151*'Nacional · supuestos'!$B$13*IF(A1151=2027,1+'Nacional · supuestos'!$B$6,1),0)</f>
        <v>73.085139275766025</v>
      </c>
      <c r="R1151">
        <f>IF(D1151="Canarias",SUM(J1151:P1151)*IF(A1151=2027,1+'Nacional · supuestos'!$B$6,1),0)</f>
        <v>0</v>
      </c>
      <c r="S1151">
        <f t="shared" si="20"/>
        <v>73.085139275766025</v>
      </c>
    </row>
    <row r="1152" spans="1:19">
      <c r="A1152">
        <v>2027</v>
      </c>
      <c r="B1152">
        <v>1</v>
      </c>
      <c r="C1152" t="s">
        <v>162</v>
      </c>
      <c r="D1152" t="s">
        <v>160</v>
      </c>
      <c r="E1152">
        <f>SUMIFS('Nacional · base'!$J$7:$J$1068,'Nacional · base'!$A$7:$A$1068,A1152,'Nacional · base'!$B$7:$B$1068,B1152,'Nacional · base'!$C$7:$C$1068,C1152)</f>
        <v>6348.4</v>
      </c>
      <c r="F1152">
        <f>SUMIFS('Nacional · base'!$K$7:$K$1068,'Nacional · base'!$A$7:$A$1068,A1152,'Nacional · base'!$B$7:$B$1068,B1152,'Nacional · base'!$C$7:$C$1068,C1152)</f>
        <v>6.15625</v>
      </c>
      <c r="G1152">
        <f t="shared" si="19"/>
        <v>7</v>
      </c>
      <c r="H1152">
        <f>SUMIFS('Nacional · base'!$G$7:$G$1068,'Nacional · base'!$A$7:$A$1068,A1152,'Nacional · base'!$B$7:$B$1068,B1152,'Nacional · base'!$C$7:$C$1068,C1152)</f>
        <v>12496.772459885968</v>
      </c>
      <c r="I1152">
        <f>IF(D1152="Canarias",IF(C1152="CABRERA MORALES FRANCISCO",IF(E1152&lt;=2000,'Nacional · supuestos'!$C$34,IF(E1152&lt;=5000,'Nacional · supuestos'!$C$35,'Nacional · supuestos'!$C$36)),IF(E1152&lt;=2000,'Nacional · supuestos'!$B$34,IF(E1152&lt;=5000,'Nacional · supuestos'!$B$35,'Nacional · supuestos'!$B$36))),0)</f>
        <v>0</v>
      </c>
      <c r="J1152">
        <f>IF(D1152="Canarias",MAX(E1152*I1152,IF(C1152="CABRERA MORALES FRANCISCO",'Nacional · supuestos'!$C$38,'Nacional · supuestos'!$B$38)),0)</f>
        <v>0</v>
      </c>
      <c r="K1152">
        <f>IF(D1152="Canarias",MAX(E1152*'Nacional · supuestos'!$B$41,'Nacional · supuestos'!$B$42),0)</f>
        <v>0</v>
      </c>
      <c r="L1152">
        <f>IF(D1152="Canarias",E1152*'Nacional · supuestos'!$B$43,0)</f>
        <v>0</v>
      </c>
      <c r="M1152">
        <f>IF(D1152="Canarias",E1152*'Nacional · supuestos'!$B$44,0)</f>
        <v>0</v>
      </c>
      <c r="N1152">
        <f>IF(D1152="Canarias",E1152*'Nacional · supuestos'!$B$45,0)</f>
        <v>0</v>
      </c>
      <c r="O1152">
        <f>IF(D1152="Canarias",'Nacional · supuestos'!$B$46,0)</f>
        <v>0</v>
      </c>
      <c r="P1152">
        <f>IF(D1152="Canarias",MAX(H1152*'Nacional · supuestos'!$B$47,'Nacional · supuestos'!$B$48),0)</f>
        <v>0</v>
      </c>
      <c r="Q1152">
        <f>IF(D1152="Resto nacional",E1152*'Nacional · supuestos'!$B$13*IF(A1152=2027,1+'Nacional · supuestos'!$B$6,1),0)</f>
        <v>619.2095264623955</v>
      </c>
      <c r="R1152">
        <f>IF(D1152="Canarias",SUM(J1152:P1152)*IF(A1152=2027,1+'Nacional · supuestos'!$B$6,1),0)</f>
        <v>0</v>
      </c>
      <c r="S1152">
        <f t="shared" si="20"/>
        <v>619.2095264623955</v>
      </c>
    </row>
    <row r="1153" spans="1:19">
      <c r="A1153">
        <v>2027</v>
      </c>
      <c r="B1153">
        <v>1</v>
      </c>
      <c r="C1153" t="s">
        <v>163</v>
      </c>
      <c r="D1153" t="s">
        <v>164</v>
      </c>
      <c r="E1153">
        <f>SUMIFS('Nacional · base'!$J$7:$J$1068,'Nacional · base'!$A$7:$A$1068,A1153,'Nacional · base'!$B$7:$B$1068,B1153,'Nacional · base'!$C$7:$C$1068,C1153)</f>
        <v>8598.06</v>
      </c>
      <c r="F1153">
        <f>SUMIFS('Nacional · base'!$K$7:$K$1068,'Nacional · base'!$A$7:$A$1068,A1153,'Nacional · base'!$B$7:$B$1068,B1153,'Nacional · base'!$C$7:$C$1068,C1153)</f>
        <v>9.4651515151515149</v>
      </c>
      <c r="G1153">
        <f t="shared" si="19"/>
        <v>10</v>
      </c>
      <c r="H1153">
        <f>SUMIFS('Nacional · base'!$G$7:$G$1068,'Nacional · base'!$A$7:$A$1068,A1153,'Nacional · base'!$B$7:$B$1068,B1153,'Nacional · base'!$C$7:$C$1068,C1153)</f>
        <v>20614.235432808764</v>
      </c>
      <c r="I1153">
        <f>IF(D1153="Canarias",IF(C1153="CABRERA MORALES FRANCISCO",IF(E1153&lt;=2000,'Nacional · supuestos'!$C$34,IF(E1153&lt;=5000,'Nacional · supuestos'!$C$35,'Nacional · supuestos'!$C$36)),IF(E1153&lt;=2000,'Nacional · supuestos'!$B$34,IF(E1153&lt;=5000,'Nacional · supuestos'!$B$35,'Nacional · supuestos'!$B$36))),0)</f>
        <v>0.104</v>
      </c>
      <c r="J1153">
        <f>IF(D1153="Canarias",MAX(E1153*I1153,IF(C1153="CABRERA MORALES FRANCISCO",'Nacional · supuestos'!$C$38,'Nacional · supuestos'!$B$38)),0)</f>
        <v>894.19823999999994</v>
      </c>
      <c r="K1153">
        <f>IF(D1153="Canarias",MAX(E1153*'Nacional · supuestos'!$B$41,'Nacional · supuestos'!$B$42),0)</f>
        <v>309.53015999999997</v>
      </c>
      <c r="L1153">
        <f>IF(D1153="Canarias",E1153*'Nacional · supuestos'!$B$43,0)</f>
        <v>103.17672</v>
      </c>
      <c r="M1153">
        <f>IF(D1153="Canarias",E1153*'Nacional · supuestos'!$B$44,0)</f>
        <v>154.76507999999998</v>
      </c>
      <c r="N1153">
        <f>IF(D1153="Canarias",E1153*'Nacional · supuestos'!$B$45,0)</f>
        <v>189.15731999999997</v>
      </c>
      <c r="O1153">
        <f>IF(D1153="Canarias",'Nacional · supuestos'!$B$46,0)</f>
        <v>15</v>
      </c>
      <c r="P1153">
        <f>IF(D1153="Canarias",MAX(H1153*'Nacional · supuestos'!$B$47,'Nacional · supuestos'!$B$48),0)</f>
        <v>92.764059447639426</v>
      </c>
      <c r="Q1153">
        <f>IF(D1153="Resto nacional",E1153*'Nacional · supuestos'!$B$13*IF(A1153=2027,1+'Nacional · supuestos'!$B$6,1),0)</f>
        <v>0</v>
      </c>
      <c r="R1153">
        <f>IF(D1153="Canarias",SUM(J1153:P1153)*IF(A1153=2027,1+'Nacional · supuestos'!$B$6,1),0)</f>
        <v>1934.4507373924034</v>
      </c>
      <c r="S1153">
        <f t="shared" si="20"/>
        <v>1934.4507373924034</v>
      </c>
    </row>
    <row r="1154" spans="1:19">
      <c r="A1154">
        <v>2027</v>
      </c>
      <c r="B1154">
        <v>1</v>
      </c>
      <c r="C1154" t="s">
        <v>191</v>
      </c>
      <c r="D1154" t="s">
        <v>160</v>
      </c>
      <c r="E1154">
        <f>SUMIFS('Nacional · base'!$J$7:$J$1068,'Nacional · base'!$A$7:$A$1068,A1154,'Nacional · base'!$B$7:$B$1068,B1154,'Nacional · base'!$C$7:$C$1068,C1154)</f>
        <v>29.5</v>
      </c>
      <c r="F1154">
        <f>SUMIFS('Nacional · base'!$K$7:$K$1068,'Nacional · base'!$A$7:$A$1068,A1154,'Nacional · base'!$B$7:$B$1068,B1154,'Nacional · base'!$C$7:$C$1068,C1154)</f>
        <v>4.1666666666666664E-2</v>
      </c>
      <c r="G1154">
        <f t="shared" si="19"/>
        <v>1</v>
      </c>
      <c r="H1154">
        <f>SUMIFS('Nacional · base'!$G$7:$G$1068,'Nacional · base'!$A$7:$A$1068,A1154,'Nacional · base'!$B$7:$B$1068,B1154,'Nacional · base'!$C$7:$C$1068,C1154)</f>
        <v>87.820307734720032</v>
      </c>
      <c r="I1154">
        <f>IF(D1154="Canarias",IF(C1154="CABRERA MORALES FRANCISCO",IF(E1154&lt;=2000,'Nacional · supuestos'!$C$34,IF(E1154&lt;=5000,'Nacional · supuestos'!$C$35,'Nacional · supuestos'!$C$36)),IF(E1154&lt;=2000,'Nacional · supuestos'!$B$34,IF(E1154&lt;=5000,'Nacional · supuestos'!$B$35,'Nacional · supuestos'!$B$36))),0)</f>
        <v>0</v>
      </c>
      <c r="J1154">
        <f>IF(D1154="Canarias",MAX(E1154*I1154,IF(C1154="CABRERA MORALES FRANCISCO",'Nacional · supuestos'!$C$38,'Nacional · supuestos'!$B$38)),0)</f>
        <v>0</v>
      </c>
      <c r="K1154">
        <f>IF(D1154="Canarias",MAX(E1154*'Nacional · supuestos'!$B$41,'Nacional · supuestos'!$B$42),0)</f>
        <v>0</v>
      </c>
      <c r="L1154">
        <f>IF(D1154="Canarias",E1154*'Nacional · supuestos'!$B$43,0)</f>
        <v>0</v>
      </c>
      <c r="M1154">
        <f>IF(D1154="Canarias",E1154*'Nacional · supuestos'!$B$44,0)</f>
        <v>0</v>
      </c>
      <c r="N1154">
        <f>IF(D1154="Canarias",E1154*'Nacional · supuestos'!$B$45,0)</f>
        <v>0</v>
      </c>
      <c r="O1154">
        <f>IF(D1154="Canarias",'Nacional · supuestos'!$B$46,0)</f>
        <v>0</v>
      </c>
      <c r="P1154">
        <f>IF(D1154="Canarias",MAX(H1154*'Nacional · supuestos'!$B$47,'Nacional · supuestos'!$B$48),0)</f>
        <v>0</v>
      </c>
      <c r="Q1154">
        <f>IF(D1154="Resto nacional",E1154*'Nacional · supuestos'!$B$13*IF(A1154=2027,1+'Nacional · supuestos'!$B$6,1),0)</f>
        <v>2.8773676880222845</v>
      </c>
      <c r="R1154">
        <f>IF(D1154="Canarias",SUM(J1154:P1154)*IF(A1154=2027,1+'Nacional · supuestos'!$B$6,1),0)</f>
        <v>0</v>
      </c>
      <c r="S1154">
        <f t="shared" si="20"/>
        <v>2.8773676880222845</v>
      </c>
    </row>
    <row r="1155" spans="1:19">
      <c r="A1155">
        <v>2027</v>
      </c>
      <c r="B1155">
        <v>1</v>
      </c>
      <c r="C1155" t="s">
        <v>168</v>
      </c>
      <c r="D1155" t="s">
        <v>160</v>
      </c>
      <c r="E1155">
        <f>SUMIFS('Nacional · base'!$J$7:$J$1068,'Nacional · base'!$A$7:$A$1068,A1155,'Nacional · base'!$B$7:$B$1068,B1155,'Nacional · base'!$C$7:$C$1068,C1155)</f>
        <v>3607.5</v>
      </c>
      <c r="F1155">
        <f>SUMIFS('Nacional · base'!$K$7:$K$1068,'Nacional · base'!$A$7:$A$1068,A1155,'Nacional · base'!$B$7:$B$1068,B1155,'Nacional · base'!$C$7:$C$1068,C1155)</f>
        <v>4.7083333333333339</v>
      </c>
      <c r="G1155">
        <f t="shared" si="19"/>
        <v>5</v>
      </c>
      <c r="H1155">
        <f>SUMIFS('Nacional · base'!$G$7:$G$1068,'Nacional · base'!$A$7:$A$1068,A1155,'Nacional · base'!$B$7:$B$1068,B1155,'Nacional · base'!$C$7:$C$1068,C1155)</f>
        <v>9084.9978054375406</v>
      </c>
      <c r="I1155">
        <f>IF(D1155="Canarias",IF(C1155="CABRERA MORALES FRANCISCO",IF(E1155&lt;=2000,'Nacional · supuestos'!$C$34,IF(E1155&lt;=5000,'Nacional · supuestos'!$C$35,'Nacional · supuestos'!$C$36)),IF(E1155&lt;=2000,'Nacional · supuestos'!$B$34,IF(E1155&lt;=5000,'Nacional · supuestos'!$B$35,'Nacional · supuestos'!$B$36))),0)</f>
        <v>0</v>
      </c>
      <c r="J1155">
        <f>IF(D1155="Canarias",MAX(E1155*I1155,IF(C1155="CABRERA MORALES FRANCISCO",'Nacional · supuestos'!$C$38,'Nacional · supuestos'!$B$38)),0)</f>
        <v>0</v>
      </c>
      <c r="K1155">
        <f>IF(D1155="Canarias",MAX(E1155*'Nacional · supuestos'!$B$41,'Nacional · supuestos'!$B$42),0)</f>
        <v>0</v>
      </c>
      <c r="L1155">
        <f>IF(D1155="Canarias",E1155*'Nacional · supuestos'!$B$43,0)</f>
        <v>0</v>
      </c>
      <c r="M1155">
        <f>IF(D1155="Canarias",E1155*'Nacional · supuestos'!$B$44,0)</f>
        <v>0</v>
      </c>
      <c r="N1155">
        <f>IF(D1155="Canarias",E1155*'Nacional · supuestos'!$B$45,0)</f>
        <v>0</v>
      </c>
      <c r="O1155">
        <f>IF(D1155="Canarias",'Nacional · supuestos'!$B$46,0)</f>
        <v>0</v>
      </c>
      <c r="P1155">
        <f>IF(D1155="Canarias",MAX(H1155*'Nacional · supuestos'!$B$47,'Nacional · supuestos'!$B$48),0)</f>
        <v>0</v>
      </c>
      <c r="Q1155">
        <f>IF(D1155="Resto nacional",E1155*'Nacional · supuestos'!$B$13*IF(A1155=2027,1+'Nacional · supuestos'!$B$6,1),0)</f>
        <v>351.86792998442002</v>
      </c>
      <c r="R1155">
        <f>IF(D1155="Canarias",SUM(J1155:P1155)*IF(A1155=2027,1+'Nacional · supuestos'!$B$6,1),0)</f>
        <v>0</v>
      </c>
      <c r="S1155">
        <f t="shared" si="20"/>
        <v>351.86792998442002</v>
      </c>
    </row>
    <row r="1156" spans="1:19">
      <c r="A1156">
        <v>2027</v>
      </c>
      <c r="B1156">
        <v>1</v>
      </c>
      <c r="C1156" t="s">
        <v>169</v>
      </c>
      <c r="D1156" t="s">
        <v>160</v>
      </c>
      <c r="E1156">
        <f>SUMIFS('Nacional · base'!$J$7:$J$1068,'Nacional · base'!$A$7:$A$1068,A1156,'Nacional · base'!$B$7:$B$1068,B1156,'Nacional · base'!$C$7:$C$1068,C1156)</f>
        <v>731.59999999999991</v>
      </c>
      <c r="F1156">
        <f>SUMIFS('Nacional · base'!$K$7:$K$1068,'Nacional · base'!$A$7:$A$1068,A1156,'Nacional · base'!$B$7:$B$1068,B1156,'Nacional · base'!$C$7:$C$1068,C1156)</f>
        <v>1.0083333333333333</v>
      </c>
      <c r="G1156">
        <f t="shared" si="19"/>
        <v>2</v>
      </c>
      <c r="H1156">
        <f>SUMIFS('Nacional · base'!$G$7:$G$1068,'Nacional · base'!$A$7:$A$1068,A1156,'Nacional · base'!$B$7:$B$1068,B1156,'Nacional · base'!$C$7:$C$1068,C1156)</f>
        <v>2534.8537014752783</v>
      </c>
      <c r="I1156">
        <f>IF(D1156="Canarias",IF(C1156="CABRERA MORALES FRANCISCO",IF(E1156&lt;=2000,'Nacional · supuestos'!$C$34,IF(E1156&lt;=5000,'Nacional · supuestos'!$C$35,'Nacional · supuestos'!$C$36)),IF(E1156&lt;=2000,'Nacional · supuestos'!$B$34,IF(E1156&lt;=5000,'Nacional · supuestos'!$B$35,'Nacional · supuestos'!$B$36))),0)</f>
        <v>0</v>
      </c>
      <c r="J1156">
        <f>IF(D1156="Canarias",MAX(E1156*I1156,IF(C1156="CABRERA MORALES FRANCISCO",'Nacional · supuestos'!$C$38,'Nacional · supuestos'!$B$38)),0)</f>
        <v>0</v>
      </c>
      <c r="K1156">
        <f>IF(D1156="Canarias",MAX(E1156*'Nacional · supuestos'!$B$41,'Nacional · supuestos'!$B$42),0)</f>
        <v>0</v>
      </c>
      <c r="L1156">
        <f>IF(D1156="Canarias",E1156*'Nacional · supuestos'!$B$43,0)</f>
        <v>0</v>
      </c>
      <c r="M1156">
        <f>IF(D1156="Canarias",E1156*'Nacional · supuestos'!$B$44,0)</f>
        <v>0</v>
      </c>
      <c r="N1156">
        <f>IF(D1156="Canarias",E1156*'Nacional · supuestos'!$B$45,0)</f>
        <v>0</v>
      </c>
      <c r="O1156">
        <f>IF(D1156="Canarias",'Nacional · supuestos'!$B$46,0)</f>
        <v>0</v>
      </c>
      <c r="P1156">
        <f>IF(D1156="Canarias",MAX(H1156*'Nacional · supuestos'!$B$47,'Nacional · supuestos'!$B$48),0)</f>
        <v>0</v>
      </c>
      <c r="Q1156">
        <f>IF(D1156="Resto nacional",E1156*'Nacional · supuestos'!$B$13*IF(A1156=2027,1+'Nacional · supuestos'!$B$6,1),0)</f>
        <v>71.35871866295264</v>
      </c>
      <c r="R1156">
        <f>IF(D1156="Canarias",SUM(J1156:P1156)*IF(A1156=2027,1+'Nacional · supuestos'!$B$6,1),0)</f>
        <v>0</v>
      </c>
      <c r="S1156">
        <f t="shared" si="20"/>
        <v>71.35871866295264</v>
      </c>
    </row>
    <row r="1157" spans="1:19">
      <c r="A1157">
        <v>2027</v>
      </c>
      <c r="B1157">
        <v>1</v>
      </c>
      <c r="C1157" t="s">
        <v>171</v>
      </c>
      <c r="D1157" t="s">
        <v>164</v>
      </c>
      <c r="E1157">
        <f>SUMIFS('Nacional · base'!$J$7:$J$1068,'Nacional · base'!$A$7:$A$1068,A1157,'Nacional · base'!$B$7:$B$1068,B1157,'Nacional · base'!$C$7:$C$1068,C1157)</f>
        <v>11252.04</v>
      </c>
      <c r="F1157">
        <f>SUMIFS('Nacional · base'!$K$7:$K$1068,'Nacional · base'!$A$7:$A$1068,A1157,'Nacional · base'!$B$7:$B$1068,B1157,'Nacional · base'!$C$7:$C$1068,C1157)</f>
        <v>14.905303030303029</v>
      </c>
      <c r="G1157">
        <f t="shared" si="19"/>
        <v>15</v>
      </c>
      <c r="H1157">
        <f>SUMIFS('Nacional · base'!$G$7:$G$1068,'Nacional · base'!$A$7:$A$1068,A1157,'Nacional · base'!$B$7:$B$1068,B1157,'Nacional · base'!$C$7:$C$1068,C1157)</f>
        <v>23871.154479932917</v>
      </c>
      <c r="I1157">
        <f>IF(D1157="Canarias",IF(C1157="CABRERA MORALES FRANCISCO",IF(E1157&lt;=2000,'Nacional · supuestos'!$C$34,IF(E1157&lt;=5000,'Nacional · supuestos'!$C$35,'Nacional · supuestos'!$C$36)),IF(E1157&lt;=2000,'Nacional · supuestos'!$B$34,IF(E1157&lt;=5000,'Nacional · supuestos'!$B$35,'Nacional · supuestos'!$B$36))),0)</f>
        <v>0.19800000000000001</v>
      </c>
      <c r="J1157">
        <f>IF(D1157="Canarias",MAX(E1157*I1157,IF(C1157="CABRERA MORALES FRANCISCO",'Nacional · supuestos'!$C$38,'Nacional · supuestos'!$B$38)),0)</f>
        <v>2227.9039200000002</v>
      </c>
      <c r="K1157">
        <f>IF(D1157="Canarias",MAX(E1157*'Nacional · supuestos'!$B$41,'Nacional · supuestos'!$B$42),0)</f>
        <v>405.07344000000001</v>
      </c>
      <c r="L1157">
        <f>IF(D1157="Canarias",E1157*'Nacional · supuestos'!$B$43,0)</f>
        <v>135.02448000000001</v>
      </c>
      <c r="M1157">
        <f>IF(D1157="Canarias",E1157*'Nacional · supuestos'!$B$44,0)</f>
        <v>202.53672</v>
      </c>
      <c r="N1157">
        <f>IF(D1157="Canarias",E1157*'Nacional · supuestos'!$B$45,0)</f>
        <v>247.54488000000001</v>
      </c>
      <c r="O1157">
        <f>IF(D1157="Canarias",'Nacional · supuestos'!$B$46,0)</f>
        <v>15</v>
      </c>
      <c r="P1157">
        <f>IF(D1157="Canarias",MAX(H1157*'Nacional · supuestos'!$B$47,'Nacional · supuestos'!$B$48),0)</f>
        <v>107.42019515969811</v>
      </c>
      <c r="Q1157">
        <f>IF(D1157="Resto nacional",E1157*'Nacional · supuestos'!$B$13*IF(A1157=2027,1+'Nacional · supuestos'!$B$6,1),0)</f>
        <v>0</v>
      </c>
      <c r="R1157">
        <f>IF(D1157="Canarias",SUM(J1157:P1157)*IF(A1157=2027,1+'Nacional · supuestos'!$B$6,1),0)</f>
        <v>3674.5539986756689</v>
      </c>
      <c r="S1157">
        <f t="shared" si="20"/>
        <v>3674.5539986756689</v>
      </c>
    </row>
    <row r="1158" spans="1:19">
      <c r="A1158">
        <v>2027</v>
      </c>
      <c r="B1158">
        <v>1</v>
      </c>
      <c r="C1158" t="s">
        <v>172</v>
      </c>
      <c r="D1158" t="s">
        <v>160</v>
      </c>
      <c r="E1158">
        <f>SUMIFS('Nacional · base'!$J$7:$J$1068,'Nacional · base'!$A$7:$A$1068,A1158,'Nacional · base'!$B$7:$B$1068,B1158,'Nacional · base'!$C$7:$C$1068,C1158)</f>
        <v>16681.900000000001</v>
      </c>
      <c r="F1158">
        <f>SUMIFS('Nacional · base'!$K$7:$K$1068,'Nacional · base'!$A$7:$A$1068,A1158,'Nacional · base'!$B$7:$B$1068,B1158,'Nacional · base'!$C$7:$C$1068,C1158)</f>
        <v>22.481628787878787</v>
      </c>
      <c r="G1158">
        <f t="shared" si="19"/>
        <v>23</v>
      </c>
      <c r="H1158">
        <f>SUMIFS('Nacional · base'!$G$7:$G$1068,'Nacional · base'!$A$7:$A$1068,A1158,'Nacional · base'!$B$7:$B$1068,B1158,'Nacional · base'!$C$7:$C$1068,C1158)</f>
        <v>55226.100202521397</v>
      </c>
      <c r="I1158">
        <f>IF(D1158="Canarias",IF(C1158="CABRERA MORALES FRANCISCO",IF(E1158&lt;=2000,'Nacional · supuestos'!$C$34,IF(E1158&lt;=5000,'Nacional · supuestos'!$C$35,'Nacional · supuestos'!$C$36)),IF(E1158&lt;=2000,'Nacional · supuestos'!$B$34,IF(E1158&lt;=5000,'Nacional · supuestos'!$B$35,'Nacional · supuestos'!$B$36))),0)</f>
        <v>0</v>
      </c>
      <c r="J1158">
        <f>IF(D1158="Canarias",MAX(E1158*I1158,IF(C1158="CABRERA MORALES FRANCISCO",'Nacional · supuestos'!$C$38,'Nacional · supuestos'!$B$38)),0)</f>
        <v>0</v>
      </c>
      <c r="K1158">
        <f>IF(D1158="Canarias",MAX(E1158*'Nacional · supuestos'!$B$41,'Nacional · supuestos'!$B$42),0)</f>
        <v>0</v>
      </c>
      <c r="L1158">
        <f>IF(D1158="Canarias",E1158*'Nacional · supuestos'!$B$43,0)</f>
        <v>0</v>
      </c>
      <c r="M1158">
        <f>IF(D1158="Canarias",E1158*'Nacional · supuestos'!$B$44,0)</f>
        <v>0</v>
      </c>
      <c r="N1158">
        <f>IF(D1158="Canarias",E1158*'Nacional · supuestos'!$B$45,0)</f>
        <v>0</v>
      </c>
      <c r="O1158">
        <f>IF(D1158="Canarias",'Nacional · supuestos'!$B$46,0)</f>
        <v>0</v>
      </c>
      <c r="P1158">
        <f>IF(D1158="Canarias",MAX(H1158*'Nacional · supuestos'!$B$47,'Nacional · supuestos'!$B$48),0)</f>
        <v>0</v>
      </c>
      <c r="Q1158">
        <f>IF(D1158="Resto nacional",E1158*'Nacional · supuestos'!$B$13*IF(A1158=2027,1+'Nacional · supuestos'!$B$6,1),0)</f>
        <v>1627.1172893158966</v>
      </c>
      <c r="R1158">
        <f>IF(D1158="Canarias",SUM(J1158:P1158)*IF(A1158=2027,1+'Nacional · supuestos'!$B$6,1),0)</f>
        <v>0</v>
      </c>
      <c r="S1158">
        <f t="shared" si="20"/>
        <v>1627.1172893158966</v>
      </c>
    </row>
    <row r="1159" spans="1:19">
      <c r="A1159">
        <v>2027</v>
      </c>
      <c r="B1159">
        <v>1</v>
      </c>
      <c r="C1159" t="s">
        <v>174</v>
      </c>
      <c r="D1159" t="s">
        <v>160</v>
      </c>
      <c r="E1159">
        <f>SUMIFS('Nacional · base'!$J$7:$J$1068,'Nacional · base'!$A$7:$A$1068,A1159,'Nacional · base'!$B$7:$B$1068,B1159,'Nacional · base'!$C$7:$C$1068,C1159)</f>
        <v>5538.7</v>
      </c>
      <c r="F1159">
        <f>SUMIFS('Nacional · base'!$K$7:$K$1068,'Nacional · base'!$A$7:$A$1068,A1159,'Nacional · base'!$B$7:$B$1068,B1159,'Nacional · base'!$C$7:$C$1068,C1159)</f>
        <v>6.1749999999999998</v>
      </c>
      <c r="G1159">
        <f t="shared" si="19"/>
        <v>7</v>
      </c>
      <c r="H1159">
        <f>SUMIFS('Nacional · base'!$G$7:$G$1068,'Nacional · base'!$A$7:$A$1068,A1159,'Nacional · base'!$B$7:$B$1068,B1159,'Nacional · base'!$C$7:$C$1068,C1159)</f>
        <v>14352.913297595893</v>
      </c>
      <c r="I1159">
        <f>IF(D1159="Canarias",IF(C1159="CABRERA MORALES FRANCISCO",IF(E1159&lt;=2000,'Nacional · supuestos'!$C$34,IF(E1159&lt;=5000,'Nacional · supuestos'!$C$35,'Nacional · supuestos'!$C$36)),IF(E1159&lt;=2000,'Nacional · supuestos'!$B$34,IF(E1159&lt;=5000,'Nacional · supuestos'!$B$35,'Nacional · supuestos'!$B$36))),0)</f>
        <v>0</v>
      </c>
      <c r="J1159">
        <f>IF(D1159="Canarias",MAX(E1159*I1159,IF(C1159="CABRERA MORALES FRANCISCO",'Nacional · supuestos'!$C$38,'Nacional · supuestos'!$B$38)),0)</f>
        <v>0</v>
      </c>
      <c r="K1159">
        <f>IF(D1159="Canarias",MAX(E1159*'Nacional · supuestos'!$B$41,'Nacional · supuestos'!$B$42),0)</f>
        <v>0</v>
      </c>
      <c r="L1159">
        <f>IF(D1159="Canarias",E1159*'Nacional · supuestos'!$B$43,0)</f>
        <v>0</v>
      </c>
      <c r="M1159">
        <f>IF(D1159="Canarias",E1159*'Nacional · supuestos'!$B$44,0)</f>
        <v>0</v>
      </c>
      <c r="N1159">
        <f>IF(D1159="Canarias",E1159*'Nacional · supuestos'!$B$45,0)</f>
        <v>0</v>
      </c>
      <c r="O1159">
        <f>IF(D1159="Canarias",'Nacional · supuestos'!$B$46,0)</f>
        <v>0</v>
      </c>
      <c r="P1159">
        <f>IF(D1159="Canarias",MAX(H1159*'Nacional · supuestos'!$B$47,'Nacional · supuestos'!$B$48),0)</f>
        <v>0</v>
      </c>
      <c r="Q1159">
        <f>IF(D1159="Resto nacional",E1159*'Nacional · supuestos'!$B$13*IF(A1159=2027,1+'Nacional · supuestos'!$B$6,1),0)</f>
        <v>540.23309876776352</v>
      </c>
      <c r="R1159">
        <f>IF(D1159="Canarias",SUM(J1159:P1159)*IF(A1159=2027,1+'Nacional · supuestos'!$B$6,1),0)</f>
        <v>0</v>
      </c>
      <c r="S1159">
        <f t="shared" si="20"/>
        <v>540.23309876776352</v>
      </c>
    </row>
    <row r="1160" spans="1:19">
      <c r="A1160">
        <v>2027</v>
      </c>
      <c r="B1160">
        <v>1</v>
      </c>
      <c r="C1160" t="s">
        <v>175</v>
      </c>
      <c r="D1160" t="s">
        <v>160</v>
      </c>
      <c r="E1160">
        <f>SUMIFS('Nacional · base'!$J$7:$J$1068,'Nacional · base'!$A$7:$A$1068,A1160,'Nacional · base'!$B$7:$B$1068,B1160,'Nacional · base'!$C$7:$C$1068,C1160)</f>
        <v>4636.2199999999993</v>
      </c>
      <c r="F1160">
        <f>SUMIFS('Nacional · base'!$K$7:$K$1068,'Nacional · base'!$A$7:$A$1068,A1160,'Nacional · base'!$B$7:$B$1068,B1160,'Nacional · base'!$C$7:$C$1068,C1160)</f>
        <v>6.3609848484848488</v>
      </c>
      <c r="G1160">
        <f t="shared" si="19"/>
        <v>7</v>
      </c>
      <c r="H1160">
        <f>SUMIFS('Nacional · base'!$G$7:$G$1068,'Nacional · base'!$A$7:$A$1068,A1160,'Nacional · base'!$B$7:$B$1068,B1160,'Nacional · base'!$C$7:$C$1068,C1160)</f>
        <v>18735.3290696279</v>
      </c>
      <c r="I1160">
        <f>IF(D1160="Canarias",IF(C1160="CABRERA MORALES FRANCISCO",IF(E1160&lt;=2000,'Nacional · supuestos'!$C$34,IF(E1160&lt;=5000,'Nacional · supuestos'!$C$35,'Nacional · supuestos'!$C$36)),IF(E1160&lt;=2000,'Nacional · supuestos'!$B$34,IF(E1160&lt;=5000,'Nacional · supuestos'!$B$35,'Nacional · supuestos'!$B$36))),0)</f>
        <v>0</v>
      </c>
      <c r="J1160">
        <f>IF(D1160="Canarias",MAX(E1160*I1160,IF(C1160="CABRERA MORALES FRANCISCO",'Nacional · supuestos'!$C$38,'Nacional · supuestos'!$B$38)),0)</f>
        <v>0</v>
      </c>
      <c r="K1160">
        <f>IF(D1160="Canarias",MAX(E1160*'Nacional · supuestos'!$B$41,'Nacional · supuestos'!$B$42),0)</f>
        <v>0</v>
      </c>
      <c r="L1160">
        <f>IF(D1160="Canarias",E1160*'Nacional · supuestos'!$B$43,0)</f>
        <v>0</v>
      </c>
      <c r="M1160">
        <f>IF(D1160="Canarias",E1160*'Nacional · supuestos'!$B$44,0)</f>
        <v>0</v>
      </c>
      <c r="N1160">
        <f>IF(D1160="Canarias",E1160*'Nacional · supuestos'!$B$45,0)</f>
        <v>0</v>
      </c>
      <c r="O1160">
        <f>IF(D1160="Canarias",'Nacional · supuestos'!$B$46,0)</f>
        <v>0</v>
      </c>
      <c r="P1160">
        <f>IF(D1160="Canarias",MAX(H1160*'Nacional · supuestos'!$B$47,'Nacional · supuestos'!$B$48),0)</f>
        <v>0</v>
      </c>
      <c r="Q1160">
        <f>IF(D1160="Resto nacional",E1160*'Nacional · supuestos'!$B$13*IF(A1160=2027,1+'Nacional · supuestos'!$B$6,1),0)</f>
        <v>452.20710584958209</v>
      </c>
      <c r="R1160">
        <f>IF(D1160="Canarias",SUM(J1160:P1160)*IF(A1160=2027,1+'Nacional · supuestos'!$B$6,1),0)</f>
        <v>0</v>
      </c>
      <c r="S1160">
        <f t="shared" si="20"/>
        <v>452.20710584958209</v>
      </c>
    </row>
    <row r="1161" spans="1:19">
      <c r="A1161">
        <v>2027</v>
      </c>
      <c r="B1161">
        <v>1</v>
      </c>
      <c r="C1161" t="s">
        <v>182</v>
      </c>
      <c r="D1161" t="s">
        <v>160</v>
      </c>
      <c r="E1161">
        <f>SUMIFS('Nacional · base'!$J$7:$J$1068,'Nacional · base'!$A$7:$A$1068,A1161,'Nacional · base'!$B$7:$B$1068,B1161,'Nacional · base'!$C$7:$C$1068,C1161)</f>
        <v>14472.4</v>
      </c>
      <c r="F1161">
        <f>SUMIFS('Nacional · base'!$K$7:$K$1068,'Nacional · base'!$A$7:$A$1068,A1161,'Nacional · base'!$B$7:$B$1068,B1161,'Nacional · base'!$C$7:$C$1068,C1161)</f>
        <v>15.65625</v>
      </c>
      <c r="G1161">
        <f t="shared" si="19"/>
        <v>16</v>
      </c>
      <c r="H1161">
        <f>SUMIFS('Nacional · base'!$G$7:$G$1068,'Nacional · base'!$A$7:$A$1068,A1161,'Nacional · base'!$B$7:$B$1068,B1161,'Nacional · base'!$C$7:$C$1068,C1161)</f>
        <v>22529.531195906762</v>
      </c>
      <c r="I1161">
        <f>IF(D1161="Canarias",IF(C1161="CABRERA MORALES FRANCISCO",IF(E1161&lt;=2000,'Nacional · supuestos'!$C$34,IF(E1161&lt;=5000,'Nacional · supuestos'!$C$35,'Nacional · supuestos'!$C$36)),IF(E1161&lt;=2000,'Nacional · supuestos'!$B$34,IF(E1161&lt;=5000,'Nacional · supuestos'!$B$35,'Nacional · supuestos'!$B$36))),0)</f>
        <v>0</v>
      </c>
      <c r="J1161">
        <f>IF(D1161="Canarias",MAX(E1161*I1161,IF(C1161="CABRERA MORALES FRANCISCO",'Nacional · supuestos'!$C$38,'Nacional · supuestos'!$B$38)),0)</f>
        <v>0</v>
      </c>
      <c r="K1161">
        <f>IF(D1161="Canarias",MAX(E1161*'Nacional · supuestos'!$B$41,'Nacional · supuestos'!$B$42),0)</f>
        <v>0</v>
      </c>
      <c r="L1161">
        <f>IF(D1161="Canarias",E1161*'Nacional · supuestos'!$B$43,0)</f>
        <v>0</v>
      </c>
      <c r="M1161">
        <f>IF(D1161="Canarias",E1161*'Nacional · supuestos'!$B$44,0)</f>
        <v>0</v>
      </c>
      <c r="N1161">
        <f>IF(D1161="Canarias",E1161*'Nacional · supuestos'!$B$45,0)</f>
        <v>0</v>
      </c>
      <c r="O1161">
        <f>IF(D1161="Canarias",'Nacional · supuestos'!$B$46,0)</f>
        <v>0</v>
      </c>
      <c r="P1161">
        <f>IF(D1161="Canarias",MAX(H1161*'Nacional · supuestos'!$B$47,'Nacional · supuestos'!$B$48),0)</f>
        <v>0</v>
      </c>
      <c r="Q1161">
        <f>IF(D1161="Resto nacional",E1161*'Nacional · supuestos'!$B$13*IF(A1161=2027,1+'Nacional · supuestos'!$B$6,1),0)</f>
        <v>1411.6073263774138</v>
      </c>
      <c r="R1161">
        <f>IF(D1161="Canarias",SUM(J1161:P1161)*IF(A1161=2027,1+'Nacional · supuestos'!$B$6,1),0)</f>
        <v>0</v>
      </c>
      <c r="S1161">
        <f t="shared" si="20"/>
        <v>1411.6073263774138</v>
      </c>
    </row>
    <row r="1162" spans="1:19">
      <c r="A1162">
        <v>2027</v>
      </c>
      <c r="B1162">
        <v>1</v>
      </c>
      <c r="C1162" t="s">
        <v>183</v>
      </c>
      <c r="D1162" t="s">
        <v>164</v>
      </c>
      <c r="E1162">
        <f>SUMIFS('Nacional · base'!$J$7:$J$1068,'Nacional · base'!$A$7:$A$1068,A1162,'Nacional · base'!$B$7:$B$1068,B1162,'Nacional · base'!$C$7:$C$1068,C1162)</f>
        <v>1959.7399999999998</v>
      </c>
      <c r="F1162">
        <f>SUMIFS('Nacional · base'!$K$7:$K$1068,'Nacional · base'!$A$7:$A$1068,A1162,'Nacional · base'!$B$7:$B$1068,B1162,'Nacional · base'!$C$7:$C$1068,C1162)</f>
        <v>2.0759848484848482</v>
      </c>
      <c r="G1162">
        <f t="shared" si="19"/>
        <v>3</v>
      </c>
      <c r="H1162">
        <f>SUMIFS('Nacional · base'!$G$7:$G$1068,'Nacional · base'!$A$7:$A$1068,A1162,'Nacional · base'!$B$7:$B$1068,B1162,'Nacional · base'!$C$7:$C$1068,C1162)</f>
        <v>5499.4588150914497</v>
      </c>
      <c r="I1162">
        <f>IF(D1162="Canarias",IF(C1162="CABRERA MORALES FRANCISCO",IF(E1162&lt;=2000,'Nacional · supuestos'!$C$34,IF(E1162&lt;=5000,'Nacional · supuestos'!$C$35,'Nacional · supuestos'!$C$36)),IF(E1162&lt;=2000,'Nacional · supuestos'!$B$34,IF(E1162&lt;=5000,'Nacional · supuestos'!$B$35,'Nacional · supuestos'!$B$36))),0)</f>
        <v>0.114</v>
      </c>
      <c r="J1162">
        <f>IF(D1162="Canarias",MAX(E1162*I1162,IF(C1162="CABRERA MORALES FRANCISCO",'Nacional · supuestos'!$C$38,'Nacional · supuestos'!$B$38)),0)</f>
        <v>223.41036</v>
      </c>
      <c r="K1162">
        <f>IF(D1162="Canarias",MAX(E1162*'Nacional · supuestos'!$B$41,'Nacional · supuestos'!$B$42),0)</f>
        <v>70.550639999999987</v>
      </c>
      <c r="L1162">
        <f>IF(D1162="Canarias",E1162*'Nacional · supuestos'!$B$43,0)</f>
        <v>23.516879999999997</v>
      </c>
      <c r="M1162">
        <f>IF(D1162="Canarias",E1162*'Nacional · supuestos'!$B$44,0)</f>
        <v>35.275319999999994</v>
      </c>
      <c r="N1162">
        <f>IF(D1162="Canarias",E1162*'Nacional · supuestos'!$B$45,0)</f>
        <v>43.114279999999994</v>
      </c>
      <c r="O1162">
        <f>IF(D1162="Canarias",'Nacional · supuestos'!$B$46,0)</f>
        <v>15</v>
      </c>
      <c r="P1162">
        <f>IF(D1162="Canarias",MAX(H1162*'Nacional · supuestos'!$B$47,'Nacional · supuestos'!$B$48),0)</f>
        <v>24.747564667911522</v>
      </c>
      <c r="Q1162">
        <f>IF(D1162="Resto nacional",E1162*'Nacional · supuestos'!$B$13*IF(A1162=2027,1+'Nacional · supuestos'!$B$6,1),0)</f>
        <v>0</v>
      </c>
      <c r="R1162">
        <f>IF(D1162="Canarias",SUM(J1162:P1162)*IF(A1162=2027,1+'Nacional · supuestos'!$B$6,1),0)</f>
        <v>479.17654913470273</v>
      </c>
      <c r="S1162">
        <f t="shared" si="20"/>
        <v>479.17654913470273</v>
      </c>
    </row>
    <row r="1163" spans="1:19">
      <c r="A1163">
        <v>2027</v>
      </c>
      <c r="B1163">
        <v>1</v>
      </c>
      <c r="C1163" t="s">
        <v>176</v>
      </c>
      <c r="D1163" t="s">
        <v>160</v>
      </c>
      <c r="E1163">
        <f>SUMIFS('Nacional · base'!$J$7:$J$1068,'Nacional · base'!$A$7:$A$1068,A1163,'Nacional · base'!$B$7:$B$1068,B1163,'Nacional · base'!$C$7:$C$1068,C1163)</f>
        <v>935.74</v>
      </c>
      <c r="F1163">
        <f>SUMIFS('Nacional · base'!$K$7:$K$1068,'Nacional · base'!$A$7:$A$1068,A1163,'Nacional · base'!$B$7:$B$1068,B1163,'Nacional · base'!$C$7:$C$1068,C1163)</f>
        <v>1.2433712121212122</v>
      </c>
      <c r="G1163">
        <f t="shared" si="19"/>
        <v>2</v>
      </c>
      <c r="H1163">
        <f>SUMIFS('Nacional · base'!$G$7:$G$1068,'Nacional · base'!$A$7:$A$1068,A1163,'Nacional · base'!$B$7:$B$1068,B1163,'Nacional · base'!$C$7:$C$1068,C1163)</f>
        <v>3932.2546076603026</v>
      </c>
      <c r="I1163">
        <f>IF(D1163="Canarias",IF(C1163="CABRERA MORALES FRANCISCO",IF(E1163&lt;=2000,'Nacional · supuestos'!$C$34,IF(E1163&lt;=5000,'Nacional · supuestos'!$C$35,'Nacional · supuestos'!$C$36)),IF(E1163&lt;=2000,'Nacional · supuestos'!$B$34,IF(E1163&lt;=5000,'Nacional · supuestos'!$B$35,'Nacional · supuestos'!$B$36))),0)</f>
        <v>0</v>
      </c>
      <c r="J1163">
        <f>IF(D1163="Canarias",MAX(E1163*I1163,IF(C1163="CABRERA MORALES FRANCISCO",'Nacional · supuestos'!$C$38,'Nacional · supuestos'!$B$38)),0)</f>
        <v>0</v>
      </c>
      <c r="K1163">
        <f>IF(D1163="Canarias",MAX(E1163*'Nacional · supuestos'!$B$41,'Nacional · supuestos'!$B$42),0)</f>
        <v>0</v>
      </c>
      <c r="L1163">
        <f>IF(D1163="Canarias",E1163*'Nacional · supuestos'!$B$43,0)</f>
        <v>0</v>
      </c>
      <c r="M1163">
        <f>IF(D1163="Canarias",E1163*'Nacional · supuestos'!$B$44,0)</f>
        <v>0</v>
      </c>
      <c r="N1163">
        <f>IF(D1163="Canarias",E1163*'Nacional · supuestos'!$B$45,0)</f>
        <v>0</v>
      </c>
      <c r="O1163">
        <f>IF(D1163="Canarias",'Nacional · supuestos'!$B$46,0)</f>
        <v>0</v>
      </c>
      <c r="P1163">
        <f>IF(D1163="Canarias",MAX(H1163*'Nacional · supuestos'!$B$47,'Nacional · supuestos'!$B$48),0)</f>
        <v>0</v>
      </c>
      <c r="Q1163">
        <f>IF(D1163="Resto nacional",E1163*'Nacional · supuestos'!$B$13*IF(A1163=2027,1+'Nacional · supuestos'!$B$6,1),0)</f>
        <v>91.270103064066859</v>
      </c>
      <c r="R1163">
        <f>IF(D1163="Canarias",SUM(J1163:P1163)*IF(A1163=2027,1+'Nacional · supuestos'!$B$6,1),0)</f>
        <v>0</v>
      </c>
      <c r="S1163">
        <f t="shared" si="20"/>
        <v>91.270103064066859</v>
      </c>
    </row>
    <row r="1164" spans="1:19">
      <c r="A1164">
        <v>2027</v>
      </c>
      <c r="B1164">
        <v>1</v>
      </c>
      <c r="C1164" t="s">
        <v>178</v>
      </c>
      <c r="D1164" t="s">
        <v>160</v>
      </c>
      <c r="E1164">
        <f>SUMIFS('Nacional · base'!$J$7:$J$1068,'Nacional · base'!$A$7:$A$1068,A1164,'Nacional · base'!$B$7:$B$1068,B1164,'Nacional · base'!$C$7:$C$1068,C1164)</f>
        <v>8352.5799999999981</v>
      </c>
      <c r="F1164">
        <f>SUMIFS('Nacional · base'!$K$7:$K$1068,'Nacional · base'!$A$7:$A$1068,A1164,'Nacional · base'!$B$7:$B$1068,B1164,'Nacional · base'!$C$7:$C$1068,C1164)</f>
        <v>11.032196969696971</v>
      </c>
      <c r="G1164">
        <f t="shared" si="19"/>
        <v>12</v>
      </c>
      <c r="H1164">
        <f>SUMIFS('Nacional · base'!$G$7:$G$1068,'Nacional · base'!$A$7:$A$1068,A1164,'Nacional · base'!$B$7:$B$1068,B1164,'Nacional · base'!$C$7:$C$1068,C1164)</f>
        <v>30651.403425823242</v>
      </c>
      <c r="I1164">
        <f>IF(D1164="Canarias",IF(C1164="CABRERA MORALES FRANCISCO",IF(E1164&lt;=2000,'Nacional · supuestos'!$C$34,IF(E1164&lt;=5000,'Nacional · supuestos'!$C$35,'Nacional · supuestos'!$C$36)),IF(E1164&lt;=2000,'Nacional · supuestos'!$B$34,IF(E1164&lt;=5000,'Nacional · supuestos'!$B$35,'Nacional · supuestos'!$B$36))),0)</f>
        <v>0</v>
      </c>
      <c r="J1164">
        <f>IF(D1164="Canarias",MAX(E1164*I1164,IF(C1164="CABRERA MORALES FRANCISCO",'Nacional · supuestos'!$C$38,'Nacional · supuestos'!$B$38)),0)</f>
        <v>0</v>
      </c>
      <c r="K1164">
        <f>IF(D1164="Canarias",MAX(E1164*'Nacional · supuestos'!$B$41,'Nacional · supuestos'!$B$42),0)</f>
        <v>0</v>
      </c>
      <c r="L1164">
        <f>IF(D1164="Canarias",E1164*'Nacional · supuestos'!$B$43,0)</f>
        <v>0</v>
      </c>
      <c r="M1164">
        <f>IF(D1164="Canarias",E1164*'Nacional · supuestos'!$B$44,0)</f>
        <v>0</v>
      </c>
      <c r="N1164">
        <f>IF(D1164="Canarias",E1164*'Nacional · supuestos'!$B$45,0)</f>
        <v>0</v>
      </c>
      <c r="O1164">
        <f>IF(D1164="Canarias",'Nacional · supuestos'!$B$46,0)</f>
        <v>0</v>
      </c>
      <c r="P1164">
        <f>IF(D1164="Canarias",MAX(H1164*'Nacional · supuestos'!$B$47,'Nacional · supuestos'!$B$48),0)</f>
        <v>0</v>
      </c>
      <c r="Q1164">
        <f>IF(D1164="Resto nacional",E1164*'Nacional · supuestos'!$B$13*IF(A1164=2027,1+'Nacional · supuestos'!$B$6,1),0)</f>
        <v>814.69301029224289</v>
      </c>
      <c r="R1164">
        <f>IF(D1164="Canarias",SUM(J1164:P1164)*IF(A1164=2027,1+'Nacional · supuestos'!$B$6,1),0)</f>
        <v>0</v>
      </c>
      <c r="S1164">
        <f t="shared" si="20"/>
        <v>814.69301029224289</v>
      </c>
    </row>
    <row r="1165" spans="1:19">
      <c r="A1165">
        <v>2027</v>
      </c>
      <c r="B1165">
        <v>1</v>
      </c>
      <c r="C1165" t="s">
        <v>192</v>
      </c>
      <c r="D1165" t="s">
        <v>160</v>
      </c>
      <c r="E1165">
        <f>SUMIFS('Nacional · base'!$J$7:$J$1068,'Nacional · base'!$A$7:$A$1068,A1165,'Nacional · base'!$B$7:$B$1068,B1165,'Nacional · base'!$C$7:$C$1068,C1165)</f>
        <v>749.3</v>
      </c>
      <c r="F1165">
        <f>SUMIFS('Nacional · base'!$K$7:$K$1068,'Nacional · base'!$A$7:$A$1068,A1165,'Nacional · base'!$B$7:$B$1068,B1165,'Nacional · base'!$C$7:$C$1068,C1165)</f>
        <v>1.0583333333333333</v>
      </c>
      <c r="G1165">
        <f t="shared" si="19"/>
        <v>2</v>
      </c>
      <c r="H1165">
        <f>SUMIFS('Nacional · base'!$G$7:$G$1068,'Nacional · base'!$A$7:$A$1068,A1165,'Nacional · base'!$B$7:$B$1068,B1165,'Nacional · base'!$C$7:$C$1068,C1165)</f>
        <v>2554.9715879949231</v>
      </c>
      <c r="I1165">
        <f>IF(D1165="Canarias",IF(C1165="CABRERA MORALES FRANCISCO",IF(E1165&lt;=2000,'Nacional · supuestos'!$C$34,IF(E1165&lt;=5000,'Nacional · supuestos'!$C$35,'Nacional · supuestos'!$C$36)),IF(E1165&lt;=2000,'Nacional · supuestos'!$B$34,IF(E1165&lt;=5000,'Nacional · supuestos'!$B$35,'Nacional · supuestos'!$B$36))),0)</f>
        <v>0</v>
      </c>
      <c r="J1165">
        <f>IF(D1165="Canarias",MAX(E1165*I1165,IF(C1165="CABRERA MORALES FRANCISCO",'Nacional · supuestos'!$C$38,'Nacional · supuestos'!$B$38)),0)</f>
        <v>0</v>
      </c>
      <c r="K1165">
        <f>IF(D1165="Canarias",MAX(E1165*'Nacional · supuestos'!$B$41,'Nacional · supuestos'!$B$42),0)</f>
        <v>0</v>
      </c>
      <c r="L1165">
        <f>IF(D1165="Canarias",E1165*'Nacional · supuestos'!$B$43,0)</f>
        <v>0</v>
      </c>
      <c r="M1165">
        <f>IF(D1165="Canarias",E1165*'Nacional · supuestos'!$B$44,0)</f>
        <v>0</v>
      </c>
      <c r="N1165">
        <f>IF(D1165="Canarias",E1165*'Nacional · supuestos'!$B$45,0)</f>
        <v>0</v>
      </c>
      <c r="O1165">
        <f>IF(D1165="Canarias",'Nacional · supuestos'!$B$46,0)</f>
        <v>0</v>
      </c>
      <c r="P1165">
        <f>IF(D1165="Canarias",MAX(H1165*'Nacional · supuestos'!$B$47,'Nacional · supuestos'!$B$48),0)</f>
        <v>0</v>
      </c>
      <c r="Q1165">
        <f>IF(D1165="Resto nacional",E1165*'Nacional · supuestos'!$B$13*IF(A1165=2027,1+'Nacional · supuestos'!$B$6,1),0)</f>
        <v>73.085139275766025</v>
      </c>
      <c r="R1165">
        <f>IF(D1165="Canarias",SUM(J1165:P1165)*IF(A1165=2027,1+'Nacional · supuestos'!$B$6,1),0)</f>
        <v>0</v>
      </c>
      <c r="S1165">
        <f t="shared" si="20"/>
        <v>73.085139275766025</v>
      </c>
    </row>
    <row r="1166" spans="1:19">
      <c r="A1166">
        <v>2027</v>
      </c>
      <c r="B1166">
        <v>1</v>
      </c>
      <c r="C1166" t="s">
        <v>189</v>
      </c>
      <c r="D1166" t="s">
        <v>160</v>
      </c>
      <c r="E1166">
        <f>SUMIFS('Nacional · base'!$J$7:$J$1068,'Nacional · base'!$A$7:$A$1068,A1166,'Nacional · base'!$B$7:$B$1068,B1166,'Nacional · base'!$C$7:$C$1068,C1166)</f>
        <v>1604.8</v>
      </c>
      <c r="F1166">
        <f>SUMIFS('Nacional · base'!$K$7:$K$1068,'Nacional · base'!$A$7:$A$1068,A1166,'Nacional · base'!$B$7:$B$1068,B1166,'Nacional · base'!$C$7:$C$1068,C1166)</f>
        <v>2.125</v>
      </c>
      <c r="G1166">
        <f t="shared" si="19"/>
        <v>3</v>
      </c>
      <c r="H1166">
        <f>SUMIFS('Nacional · base'!$G$7:$G$1068,'Nacional · base'!$A$7:$A$1068,A1166,'Nacional · base'!$B$7:$B$1068,B1166,'Nacional · base'!$C$7:$C$1068,C1166)</f>
        <v>4890.8354171074934</v>
      </c>
      <c r="I1166">
        <f>IF(D1166="Canarias",IF(C1166="CABRERA MORALES FRANCISCO",IF(E1166&lt;=2000,'Nacional · supuestos'!$C$34,IF(E1166&lt;=5000,'Nacional · supuestos'!$C$35,'Nacional · supuestos'!$C$36)),IF(E1166&lt;=2000,'Nacional · supuestos'!$B$34,IF(E1166&lt;=5000,'Nacional · supuestos'!$B$35,'Nacional · supuestos'!$B$36))),0)</f>
        <v>0</v>
      </c>
      <c r="J1166">
        <f>IF(D1166="Canarias",MAX(E1166*I1166,IF(C1166="CABRERA MORALES FRANCISCO",'Nacional · supuestos'!$C$38,'Nacional · supuestos'!$B$38)),0)</f>
        <v>0</v>
      </c>
      <c r="K1166">
        <f>IF(D1166="Canarias",MAX(E1166*'Nacional · supuestos'!$B$41,'Nacional · supuestos'!$B$42),0)</f>
        <v>0</v>
      </c>
      <c r="L1166">
        <f>IF(D1166="Canarias",E1166*'Nacional · supuestos'!$B$43,0)</f>
        <v>0</v>
      </c>
      <c r="M1166">
        <f>IF(D1166="Canarias",E1166*'Nacional · supuestos'!$B$44,0)</f>
        <v>0</v>
      </c>
      <c r="N1166">
        <f>IF(D1166="Canarias",E1166*'Nacional · supuestos'!$B$45,0)</f>
        <v>0</v>
      </c>
      <c r="O1166">
        <f>IF(D1166="Canarias",'Nacional · supuestos'!$B$46,0)</f>
        <v>0</v>
      </c>
      <c r="P1166">
        <f>IF(D1166="Canarias",MAX(H1166*'Nacional · supuestos'!$B$47,'Nacional · supuestos'!$B$48),0)</f>
        <v>0</v>
      </c>
      <c r="Q1166">
        <f>IF(D1166="Resto nacional",E1166*'Nacional · supuestos'!$B$13*IF(A1166=2027,1+'Nacional · supuestos'!$B$6,1),0)</f>
        <v>156.52880222841225</v>
      </c>
      <c r="R1166">
        <f>IF(D1166="Canarias",SUM(J1166:P1166)*IF(A1166=2027,1+'Nacional · supuestos'!$B$6,1),0)</f>
        <v>0</v>
      </c>
      <c r="S1166">
        <f t="shared" si="20"/>
        <v>156.52880222841225</v>
      </c>
    </row>
    <row r="1167" spans="1:19">
      <c r="A1167">
        <v>2027</v>
      </c>
      <c r="B1167">
        <v>1</v>
      </c>
      <c r="C1167" t="s">
        <v>179</v>
      </c>
      <c r="D1167" t="s">
        <v>160</v>
      </c>
      <c r="E1167">
        <f>SUMIFS('Nacional · base'!$J$7:$J$1068,'Nacional · base'!$A$7:$A$1068,A1167,'Nacional · base'!$B$7:$B$1068,B1167,'Nacional · base'!$C$7:$C$1068,C1167)</f>
        <v>1067.9000000000001</v>
      </c>
      <c r="F1167">
        <f>SUMIFS('Nacional · base'!$K$7:$K$1068,'Nacional · base'!$A$7:$A$1068,A1167,'Nacional · base'!$B$7:$B$1068,B1167,'Nacional · base'!$C$7:$C$1068,C1167)</f>
        <v>1.425</v>
      </c>
      <c r="G1167">
        <f t="shared" si="19"/>
        <v>2</v>
      </c>
      <c r="H1167">
        <f>SUMIFS('Nacional · base'!$G$7:$G$1068,'Nacional · base'!$A$7:$A$1068,A1167,'Nacional · base'!$B$7:$B$1068,B1167,'Nacional · base'!$C$7:$C$1068,C1167)</f>
        <v>3928.356115661159</v>
      </c>
      <c r="I1167">
        <f>IF(D1167="Canarias",IF(C1167="CABRERA MORALES FRANCISCO",IF(E1167&lt;=2000,'Nacional · supuestos'!$C$34,IF(E1167&lt;=5000,'Nacional · supuestos'!$C$35,'Nacional · supuestos'!$C$36)),IF(E1167&lt;=2000,'Nacional · supuestos'!$B$34,IF(E1167&lt;=5000,'Nacional · supuestos'!$B$35,'Nacional · supuestos'!$B$36))),0)</f>
        <v>0</v>
      </c>
      <c r="J1167">
        <f>IF(D1167="Canarias",MAX(E1167*I1167,IF(C1167="CABRERA MORALES FRANCISCO",'Nacional · supuestos'!$C$38,'Nacional · supuestos'!$B$38)),0)</f>
        <v>0</v>
      </c>
      <c r="K1167">
        <f>IF(D1167="Canarias",MAX(E1167*'Nacional · supuestos'!$B$41,'Nacional · supuestos'!$B$42),0)</f>
        <v>0</v>
      </c>
      <c r="L1167">
        <f>IF(D1167="Canarias",E1167*'Nacional · supuestos'!$B$43,0)</f>
        <v>0</v>
      </c>
      <c r="M1167">
        <f>IF(D1167="Canarias",E1167*'Nacional · supuestos'!$B$44,0)</f>
        <v>0</v>
      </c>
      <c r="N1167">
        <f>IF(D1167="Canarias",E1167*'Nacional · supuestos'!$B$45,0)</f>
        <v>0</v>
      </c>
      <c r="O1167">
        <f>IF(D1167="Canarias",'Nacional · supuestos'!$B$46,0)</f>
        <v>0</v>
      </c>
      <c r="P1167">
        <f>IF(D1167="Canarias",MAX(H1167*'Nacional · supuestos'!$B$47,'Nacional · supuestos'!$B$48),0)</f>
        <v>0</v>
      </c>
      <c r="Q1167">
        <f>IF(D1167="Resto nacional",E1167*'Nacional · supuestos'!$B$13*IF(A1167=2027,1+'Nacional · supuestos'!$B$6,1),0)</f>
        <v>104.16071030640668</v>
      </c>
      <c r="R1167">
        <f>IF(D1167="Canarias",SUM(J1167:P1167)*IF(A1167=2027,1+'Nacional · supuestos'!$B$6,1),0)</f>
        <v>0</v>
      </c>
      <c r="S1167">
        <f t="shared" si="20"/>
        <v>104.16071030640668</v>
      </c>
    </row>
    <row r="1168" spans="1:19">
      <c r="A1168">
        <v>2027</v>
      </c>
      <c r="B1168">
        <v>1</v>
      </c>
      <c r="C1168" t="s">
        <v>193</v>
      </c>
      <c r="D1168" t="s">
        <v>160</v>
      </c>
      <c r="E1168">
        <f>SUMIFS('Nacional · base'!$J$7:$J$1068,'Nacional · base'!$A$7:$A$1068,A1168,'Nacional · base'!$B$7:$B$1068,B1168,'Nacional · base'!$C$7:$C$1068,C1168)</f>
        <v>20</v>
      </c>
      <c r="F1168">
        <f>SUMIFS('Nacional · base'!$K$7:$K$1068,'Nacional · base'!$A$7:$A$1068,A1168,'Nacional · base'!$B$7:$B$1068,B1168,'Nacional · base'!$C$7:$C$1068,C1168)</f>
        <v>2.5000000000000001E-2</v>
      </c>
      <c r="G1168">
        <f t="shared" si="19"/>
        <v>1</v>
      </c>
      <c r="H1168">
        <f>SUMIFS('Nacional · base'!$G$7:$G$1068,'Nacional · base'!$A$7:$A$1068,A1168,'Nacional · base'!$B$7:$B$1068,B1168,'Nacional · base'!$C$7:$C$1068,C1168)</f>
        <v>80.471546078580246</v>
      </c>
      <c r="I1168">
        <f>IF(D1168="Canarias",IF(C1168="CABRERA MORALES FRANCISCO",IF(E1168&lt;=2000,'Nacional · supuestos'!$C$34,IF(E1168&lt;=5000,'Nacional · supuestos'!$C$35,'Nacional · supuestos'!$C$36)),IF(E1168&lt;=2000,'Nacional · supuestos'!$B$34,IF(E1168&lt;=5000,'Nacional · supuestos'!$B$35,'Nacional · supuestos'!$B$36))),0)</f>
        <v>0</v>
      </c>
      <c r="J1168">
        <f>IF(D1168="Canarias",MAX(E1168*I1168,IF(C1168="CABRERA MORALES FRANCISCO",'Nacional · supuestos'!$C$38,'Nacional · supuestos'!$B$38)),0)</f>
        <v>0</v>
      </c>
      <c r="K1168">
        <f>IF(D1168="Canarias",MAX(E1168*'Nacional · supuestos'!$B$41,'Nacional · supuestos'!$B$42),0)</f>
        <v>0</v>
      </c>
      <c r="L1168">
        <f>IF(D1168="Canarias",E1168*'Nacional · supuestos'!$B$43,0)</f>
        <v>0</v>
      </c>
      <c r="M1168">
        <f>IF(D1168="Canarias",E1168*'Nacional · supuestos'!$B$44,0)</f>
        <v>0</v>
      </c>
      <c r="N1168">
        <f>IF(D1168="Canarias",E1168*'Nacional · supuestos'!$B$45,0)</f>
        <v>0</v>
      </c>
      <c r="O1168">
        <f>IF(D1168="Canarias",'Nacional · supuestos'!$B$46,0)</f>
        <v>0</v>
      </c>
      <c r="P1168">
        <f>IF(D1168="Canarias",MAX(H1168*'Nacional · supuestos'!$B$47,'Nacional · supuestos'!$B$48),0)</f>
        <v>0</v>
      </c>
      <c r="Q1168">
        <f>IF(D1168="Resto nacional",E1168*'Nacional · supuestos'!$B$13*IF(A1168=2027,1+'Nacional · supuestos'!$B$6,1),0)</f>
        <v>1.950757754591379</v>
      </c>
      <c r="R1168">
        <f>IF(D1168="Canarias",SUM(J1168:P1168)*IF(A1168=2027,1+'Nacional · supuestos'!$B$6,1),0)</f>
        <v>0</v>
      </c>
      <c r="S1168">
        <f t="shared" si="20"/>
        <v>1.950757754591379</v>
      </c>
    </row>
    <row r="1169" spans="1:19">
      <c r="A1169">
        <v>2027</v>
      </c>
      <c r="B1169">
        <v>1</v>
      </c>
      <c r="C1169" t="s">
        <v>180</v>
      </c>
      <c r="D1169" t="s">
        <v>160</v>
      </c>
      <c r="E1169">
        <f>SUMIFS('Nacional · base'!$J$7:$J$1068,'Nacional · base'!$A$7:$A$1068,A1169,'Nacional · base'!$B$7:$B$1068,B1169,'Nacional · base'!$C$7:$C$1068,C1169)</f>
        <v>1259</v>
      </c>
      <c r="F1169">
        <f>SUMIFS('Nacional · base'!$K$7:$K$1068,'Nacional · base'!$A$7:$A$1068,A1169,'Nacional · base'!$B$7:$B$1068,B1169,'Nacional · base'!$C$7:$C$1068,C1169)</f>
        <v>1.6381818181818182</v>
      </c>
      <c r="G1169">
        <f t="shared" si="19"/>
        <v>2</v>
      </c>
      <c r="H1169">
        <f>SUMIFS('Nacional · base'!$G$7:$G$1068,'Nacional · base'!$A$7:$A$1068,A1169,'Nacional · base'!$B$7:$B$1068,B1169,'Nacional · base'!$C$7:$C$1068,C1169)</f>
        <v>3283.6456072466262</v>
      </c>
      <c r="I1169">
        <f>IF(D1169="Canarias",IF(C1169="CABRERA MORALES FRANCISCO",IF(E1169&lt;=2000,'Nacional · supuestos'!$C$34,IF(E1169&lt;=5000,'Nacional · supuestos'!$C$35,'Nacional · supuestos'!$C$36)),IF(E1169&lt;=2000,'Nacional · supuestos'!$B$34,IF(E1169&lt;=5000,'Nacional · supuestos'!$B$35,'Nacional · supuestos'!$B$36))),0)</f>
        <v>0</v>
      </c>
      <c r="J1169">
        <f>IF(D1169="Canarias",MAX(E1169*I1169,IF(C1169="CABRERA MORALES FRANCISCO",'Nacional · supuestos'!$C$38,'Nacional · supuestos'!$B$38)),0)</f>
        <v>0</v>
      </c>
      <c r="K1169">
        <f>IF(D1169="Canarias",MAX(E1169*'Nacional · supuestos'!$B$41,'Nacional · supuestos'!$B$42),0)</f>
        <v>0</v>
      </c>
      <c r="L1169">
        <f>IF(D1169="Canarias",E1169*'Nacional · supuestos'!$B$43,0)</f>
        <v>0</v>
      </c>
      <c r="M1169">
        <f>IF(D1169="Canarias",E1169*'Nacional · supuestos'!$B$44,0)</f>
        <v>0</v>
      </c>
      <c r="N1169">
        <f>IF(D1169="Canarias",E1169*'Nacional · supuestos'!$B$45,0)</f>
        <v>0</v>
      </c>
      <c r="O1169">
        <f>IF(D1169="Canarias",'Nacional · supuestos'!$B$46,0)</f>
        <v>0</v>
      </c>
      <c r="P1169">
        <f>IF(D1169="Canarias",MAX(H1169*'Nacional · supuestos'!$B$47,'Nacional · supuestos'!$B$48),0)</f>
        <v>0</v>
      </c>
      <c r="Q1169">
        <f>IF(D1169="Resto nacional",E1169*'Nacional · supuestos'!$B$13*IF(A1169=2027,1+'Nacional · supuestos'!$B$6,1),0)</f>
        <v>122.80020065152732</v>
      </c>
      <c r="R1169">
        <f>IF(D1169="Canarias",SUM(J1169:P1169)*IF(A1169=2027,1+'Nacional · supuestos'!$B$6,1),0)</f>
        <v>0</v>
      </c>
      <c r="S1169">
        <f t="shared" si="20"/>
        <v>122.80020065152732</v>
      </c>
    </row>
    <row r="1170" spans="1:19">
      <c r="A1170">
        <v>2027</v>
      </c>
      <c r="B1170">
        <v>1</v>
      </c>
      <c r="C1170" t="s">
        <v>185</v>
      </c>
      <c r="D1170" t="s">
        <v>160</v>
      </c>
      <c r="E1170">
        <f>SUMIFS('Nacional · base'!$J$7:$J$1068,'Nacional · base'!$A$7:$A$1068,A1170,'Nacional · base'!$B$7:$B$1068,B1170,'Nacional · base'!$C$7:$C$1068,C1170)</f>
        <v>2596</v>
      </c>
      <c r="F1170">
        <f>SUMIFS('Nacional · base'!$K$7:$K$1068,'Nacional · base'!$A$7:$A$1068,A1170,'Nacional · base'!$B$7:$B$1068,B1170,'Nacional · base'!$C$7:$C$1068,C1170)</f>
        <v>3.4375</v>
      </c>
      <c r="G1170">
        <f t="shared" si="19"/>
        <v>4</v>
      </c>
      <c r="H1170">
        <f>SUMIFS('Nacional · base'!$G$7:$G$1068,'Nacional · base'!$A$7:$A$1068,A1170,'Nacional · base'!$B$7:$B$1068,B1170,'Nacional · base'!$C$7:$C$1068,C1170)</f>
        <v>7590.5932453914702</v>
      </c>
      <c r="I1170">
        <f>IF(D1170="Canarias",IF(C1170="CABRERA MORALES FRANCISCO",IF(E1170&lt;=2000,'Nacional · supuestos'!$C$34,IF(E1170&lt;=5000,'Nacional · supuestos'!$C$35,'Nacional · supuestos'!$C$36)),IF(E1170&lt;=2000,'Nacional · supuestos'!$B$34,IF(E1170&lt;=5000,'Nacional · supuestos'!$B$35,'Nacional · supuestos'!$B$36))),0)</f>
        <v>0</v>
      </c>
      <c r="J1170">
        <f>IF(D1170="Canarias",MAX(E1170*I1170,IF(C1170="CABRERA MORALES FRANCISCO",'Nacional · supuestos'!$C$38,'Nacional · supuestos'!$B$38)),0)</f>
        <v>0</v>
      </c>
      <c r="K1170">
        <f>IF(D1170="Canarias",MAX(E1170*'Nacional · supuestos'!$B$41,'Nacional · supuestos'!$B$42),0)</f>
        <v>0</v>
      </c>
      <c r="L1170">
        <f>IF(D1170="Canarias",E1170*'Nacional · supuestos'!$B$43,0)</f>
        <v>0</v>
      </c>
      <c r="M1170">
        <f>IF(D1170="Canarias",E1170*'Nacional · supuestos'!$B$44,0)</f>
        <v>0</v>
      </c>
      <c r="N1170">
        <f>IF(D1170="Canarias",E1170*'Nacional · supuestos'!$B$45,0)</f>
        <v>0</v>
      </c>
      <c r="O1170">
        <f>IF(D1170="Canarias",'Nacional · supuestos'!$B$46,0)</f>
        <v>0</v>
      </c>
      <c r="P1170">
        <f>IF(D1170="Canarias",MAX(H1170*'Nacional · supuestos'!$B$47,'Nacional · supuestos'!$B$48),0)</f>
        <v>0</v>
      </c>
      <c r="Q1170">
        <f>IF(D1170="Resto nacional",E1170*'Nacional · supuestos'!$B$13*IF(A1170=2027,1+'Nacional · supuestos'!$B$6,1),0)</f>
        <v>253.20835654596101</v>
      </c>
      <c r="R1170">
        <f>IF(D1170="Canarias",SUM(J1170:P1170)*IF(A1170=2027,1+'Nacional · supuestos'!$B$6,1),0)</f>
        <v>0</v>
      </c>
      <c r="S1170">
        <f t="shared" si="20"/>
        <v>253.20835654596101</v>
      </c>
    </row>
    <row r="1171" spans="1:19">
      <c r="A1171">
        <v>2027</v>
      </c>
      <c r="B1171">
        <v>1</v>
      </c>
      <c r="C1171" t="s">
        <v>186</v>
      </c>
      <c r="D1171" t="s">
        <v>160</v>
      </c>
      <c r="E1171">
        <f>SUMIFS('Nacional · base'!$J$7:$J$1068,'Nacional · base'!$A$7:$A$1068,A1171,'Nacional · base'!$B$7:$B$1068,B1171,'Nacional · base'!$C$7:$C$1068,C1171)</f>
        <v>977.74</v>
      </c>
      <c r="F1171">
        <f>SUMIFS('Nacional · base'!$K$7:$K$1068,'Nacional · base'!$A$7:$A$1068,A1171,'Nacional · base'!$B$7:$B$1068,B1171,'Nacional · base'!$C$7:$C$1068,C1171)</f>
        <v>1.2921212121212122</v>
      </c>
      <c r="G1171">
        <f t="shared" si="19"/>
        <v>2</v>
      </c>
      <c r="H1171">
        <f>SUMIFS('Nacional · base'!$G$7:$G$1068,'Nacional · base'!$A$7:$A$1068,A1171,'Nacional · base'!$B$7:$B$1068,B1171,'Nacional · base'!$C$7:$C$1068,C1171)</f>
        <v>2526.9316321722054</v>
      </c>
      <c r="I1171">
        <f>IF(D1171="Canarias",IF(C1171="CABRERA MORALES FRANCISCO",IF(E1171&lt;=2000,'Nacional · supuestos'!$C$34,IF(E1171&lt;=5000,'Nacional · supuestos'!$C$35,'Nacional · supuestos'!$C$36)),IF(E1171&lt;=2000,'Nacional · supuestos'!$B$34,IF(E1171&lt;=5000,'Nacional · supuestos'!$B$35,'Nacional · supuestos'!$B$36))),0)</f>
        <v>0</v>
      </c>
      <c r="J1171">
        <f>IF(D1171="Canarias",MAX(E1171*I1171,IF(C1171="CABRERA MORALES FRANCISCO",'Nacional · supuestos'!$C$38,'Nacional · supuestos'!$B$38)),0)</f>
        <v>0</v>
      </c>
      <c r="K1171">
        <f>IF(D1171="Canarias",MAX(E1171*'Nacional · supuestos'!$B$41,'Nacional · supuestos'!$B$42),0)</f>
        <v>0</v>
      </c>
      <c r="L1171">
        <f>IF(D1171="Canarias",E1171*'Nacional · supuestos'!$B$43,0)</f>
        <v>0</v>
      </c>
      <c r="M1171">
        <f>IF(D1171="Canarias",E1171*'Nacional · supuestos'!$B$44,0)</f>
        <v>0</v>
      </c>
      <c r="N1171">
        <f>IF(D1171="Canarias",E1171*'Nacional · supuestos'!$B$45,0)</f>
        <v>0</v>
      </c>
      <c r="O1171">
        <f>IF(D1171="Canarias",'Nacional · supuestos'!$B$46,0)</f>
        <v>0</v>
      </c>
      <c r="P1171">
        <f>IF(D1171="Canarias",MAX(H1171*'Nacional · supuestos'!$B$47,'Nacional · supuestos'!$B$48),0)</f>
        <v>0</v>
      </c>
      <c r="Q1171">
        <f>IF(D1171="Resto nacional",E1171*'Nacional · supuestos'!$B$13*IF(A1171=2027,1+'Nacional · supuestos'!$B$6,1),0)</f>
        <v>95.366694348708748</v>
      </c>
      <c r="R1171">
        <f>IF(D1171="Canarias",SUM(J1171:P1171)*IF(A1171=2027,1+'Nacional · supuestos'!$B$6,1),0)</f>
        <v>0</v>
      </c>
      <c r="S1171">
        <f t="shared" si="20"/>
        <v>95.366694348708748</v>
      </c>
    </row>
    <row r="1172" spans="1:19">
      <c r="A1172">
        <v>2027</v>
      </c>
      <c r="B1172">
        <v>2</v>
      </c>
      <c r="C1172" t="s">
        <v>159</v>
      </c>
      <c r="D1172" t="s">
        <v>160</v>
      </c>
      <c r="E1172">
        <f>SUMIFS('Nacional · base'!$J$7:$J$1068,'Nacional · base'!$A$7:$A$1068,A1172,'Nacional · base'!$B$7:$B$1068,B1172,'Nacional · base'!$C$7:$C$1068,C1172)</f>
        <v>1413.1999999999998</v>
      </c>
      <c r="F1172">
        <f>SUMIFS('Nacional · base'!$K$7:$K$1068,'Nacional · base'!$A$7:$A$1068,A1172,'Nacional · base'!$B$7:$B$1068,B1172,'Nacional · base'!$C$7:$C$1068,C1172)</f>
        <v>1.83125</v>
      </c>
      <c r="G1172">
        <f t="shared" si="19"/>
        <v>2</v>
      </c>
      <c r="H1172">
        <f>SUMIFS('Nacional · base'!$G$7:$G$1068,'Nacional · base'!$A$7:$A$1068,A1172,'Nacional · base'!$B$7:$B$1068,B1172,'Nacional · base'!$C$7:$C$1068,C1172)</f>
        <v>4725.5143392828459</v>
      </c>
      <c r="I1172">
        <f>IF(D1172="Canarias",IF(C1172="CABRERA MORALES FRANCISCO",IF(E1172&lt;=2000,'Nacional · supuestos'!$C$34,IF(E1172&lt;=5000,'Nacional · supuestos'!$C$35,'Nacional · supuestos'!$C$36)),IF(E1172&lt;=2000,'Nacional · supuestos'!$B$34,IF(E1172&lt;=5000,'Nacional · supuestos'!$B$35,'Nacional · supuestos'!$B$36))),0)</f>
        <v>0</v>
      </c>
      <c r="J1172">
        <f>IF(D1172="Canarias",MAX(E1172*I1172,IF(C1172="CABRERA MORALES FRANCISCO",'Nacional · supuestos'!$C$38,'Nacional · supuestos'!$B$38)),0)</f>
        <v>0</v>
      </c>
      <c r="K1172">
        <f>IF(D1172="Canarias",MAX(E1172*'Nacional · supuestos'!$B$41,'Nacional · supuestos'!$B$42),0)</f>
        <v>0</v>
      </c>
      <c r="L1172">
        <f>IF(D1172="Canarias",E1172*'Nacional · supuestos'!$B$43,0)</f>
        <v>0</v>
      </c>
      <c r="M1172">
        <f>IF(D1172="Canarias",E1172*'Nacional · supuestos'!$B$44,0)</f>
        <v>0</v>
      </c>
      <c r="N1172">
        <f>IF(D1172="Canarias",E1172*'Nacional · supuestos'!$B$45,0)</f>
        <v>0</v>
      </c>
      <c r="O1172">
        <f>IF(D1172="Canarias",'Nacional · supuestos'!$B$46,0)</f>
        <v>0</v>
      </c>
      <c r="P1172">
        <f>IF(D1172="Canarias",MAX(H1172*'Nacional · supuestos'!$B$47,'Nacional · supuestos'!$B$48),0)</f>
        <v>0</v>
      </c>
      <c r="Q1172">
        <f>IF(D1172="Resto nacional",E1172*'Nacional · supuestos'!$B$13*IF(A1172=2027,1+'Nacional · supuestos'!$B$6,1),0)</f>
        <v>137.84054293942683</v>
      </c>
      <c r="R1172">
        <f>IF(D1172="Canarias",SUM(J1172:P1172)*IF(A1172=2027,1+'Nacional · supuestos'!$B$6,1),0)</f>
        <v>0</v>
      </c>
      <c r="S1172">
        <f t="shared" si="20"/>
        <v>137.84054293942683</v>
      </c>
    </row>
    <row r="1173" spans="1:19">
      <c r="A1173">
        <v>2027</v>
      </c>
      <c r="B1173">
        <v>2</v>
      </c>
      <c r="C1173" t="s">
        <v>194</v>
      </c>
      <c r="D1173" t="s">
        <v>160</v>
      </c>
      <c r="E1173">
        <f>SUMIFS('Nacional · base'!$J$7:$J$1068,'Nacional · base'!$A$7:$A$1068,A1173,'Nacional · base'!$B$7:$B$1068,B1173,'Nacional · base'!$C$7:$C$1068,C1173)</f>
        <v>3182.3999999999996</v>
      </c>
      <c r="F1173">
        <f>SUMIFS('Nacional · base'!$K$7:$K$1068,'Nacional · base'!$A$7:$A$1068,A1173,'Nacional · base'!$B$7:$B$1068,B1173,'Nacional · base'!$C$7:$C$1068,C1173)</f>
        <v>4.125</v>
      </c>
      <c r="G1173">
        <f t="shared" si="19"/>
        <v>5</v>
      </c>
      <c r="H1173">
        <f>SUMIFS('Nacional · base'!$G$7:$G$1068,'Nacional · base'!$A$7:$A$1068,A1173,'Nacional · base'!$B$7:$B$1068,B1173,'Nacional · base'!$C$7:$C$1068,C1173)</f>
        <v>0</v>
      </c>
      <c r="I1173">
        <f>IF(D1173="Canarias",IF(C1173="CABRERA MORALES FRANCISCO",IF(E1173&lt;=2000,'Nacional · supuestos'!$C$34,IF(E1173&lt;=5000,'Nacional · supuestos'!$C$35,'Nacional · supuestos'!$C$36)),IF(E1173&lt;=2000,'Nacional · supuestos'!$B$34,IF(E1173&lt;=5000,'Nacional · supuestos'!$B$35,'Nacional · supuestos'!$B$36))),0)</f>
        <v>0</v>
      </c>
      <c r="J1173">
        <f>IF(D1173="Canarias",MAX(E1173*I1173,IF(C1173="CABRERA MORALES FRANCISCO",'Nacional · supuestos'!$C$38,'Nacional · supuestos'!$B$38)),0)</f>
        <v>0</v>
      </c>
      <c r="K1173">
        <f>IF(D1173="Canarias",MAX(E1173*'Nacional · supuestos'!$B$41,'Nacional · supuestos'!$B$42),0)</f>
        <v>0</v>
      </c>
      <c r="L1173">
        <f>IF(D1173="Canarias",E1173*'Nacional · supuestos'!$B$43,0)</f>
        <v>0</v>
      </c>
      <c r="M1173">
        <f>IF(D1173="Canarias",E1173*'Nacional · supuestos'!$B$44,0)</f>
        <v>0</v>
      </c>
      <c r="N1173">
        <f>IF(D1173="Canarias",E1173*'Nacional · supuestos'!$B$45,0)</f>
        <v>0</v>
      </c>
      <c r="O1173">
        <f>IF(D1173="Canarias",'Nacional · supuestos'!$B$46,0)</f>
        <v>0</v>
      </c>
      <c r="P1173">
        <f>IF(D1173="Canarias",MAX(H1173*'Nacional · supuestos'!$B$47,'Nacional · supuestos'!$B$48),0)</f>
        <v>0</v>
      </c>
      <c r="Q1173">
        <f>IF(D1173="Resto nacional",E1173*'Nacional · supuestos'!$B$13*IF(A1173=2027,1+'Nacional · supuestos'!$B$6,1),0)</f>
        <v>310.40457391058021</v>
      </c>
      <c r="R1173">
        <f>IF(D1173="Canarias",SUM(J1173:P1173)*IF(A1173=2027,1+'Nacional · supuestos'!$B$6,1),0)</f>
        <v>0</v>
      </c>
      <c r="S1173">
        <f t="shared" si="20"/>
        <v>310.40457391058021</v>
      </c>
    </row>
    <row r="1174" spans="1:19">
      <c r="A1174">
        <v>2027</v>
      </c>
      <c r="B1174">
        <v>2</v>
      </c>
      <c r="C1174" t="s">
        <v>195</v>
      </c>
      <c r="D1174" t="s">
        <v>160</v>
      </c>
      <c r="E1174">
        <f>SUMIFS('Nacional · base'!$J$7:$J$1068,'Nacional · base'!$A$7:$A$1068,A1174,'Nacional · base'!$B$7:$B$1068,B1174,'Nacional · base'!$C$7:$C$1068,C1174)</f>
        <v>1185.8999999999999</v>
      </c>
      <c r="F1174">
        <f>SUMIFS('Nacional · base'!$K$7:$K$1068,'Nacional · base'!$A$7:$A$1068,A1174,'Nacional · base'!$B$7:$B$1068,B1174,'Nacional · base'!$C$7:$C$1068,C1174)</f>
        <v>1.575</v>
      </c>
      <c r="G1174">
        <f t="shared" si="19"/>
        <v>2</v>
      </c>
      <c r="H1174">
        <f>SUMIFS('Nacional · base'!$G$7:$G$1068,'Nacional · base'!$A$7:$A$1068,A1174,'Nacional · base'!$B$7:$B$1068,B1174,'Nacional · base'!$C$7:$C$1068,C1174)</f>
        <v>1787.8859563987157</v>
      </c>
      <c r="I1174">
        <f>IF(D1174="Canarias",IF(C1174="CABRERA MORALES FRANCISCO",IF(E1174&lt;=2000,'Nacional · supuestos'!$C$34,IF(E1174&lt;=5000,'Nacional · supuestos'!$C$35,'Nacional · supuestos'!$C$36)),IF(E1174&lt;=2000,'Nacional · supuestos'!$B$34,IF(E1174&lt;=5000,'Nacional · supuestos'!$B$35,'Nacional · supuestos'!$B$36))),0)</f>
        <v>0</v>
      </c>
      <c r="J1174">
        <f>IF(D1174="Canarias",MAX(E1174*I1174,IF(C1174="CABRERA MORALES FRANCISCO",'Nacional · supuestos'!$C$38,'Nacional · supuestos'!$B$38)),0)</f>
        <v>0</v>
      </c>
      <c r="K1174">
        <f>IF(D1174="Canarias",MAX(E1174*'Nacional · supuestos'!$B$41,'Nacional · supuestos'!$B$42),0)</f>
        <v>0</v>
      </c>
      <c r="L1174">
        <f>IF(D1174="Canarias",E1174*'Nacional · supuestos'!$B$43,0)</f>
        <v>0</v>
      </c>
      <c r="M1174">
        <f>IF(D1174="Canarias",E1174*'Nacional · supuestos'!$B$44,0)</f>
        <v>0</v>
      </c>
      <c r="N1174">
        <f>IF(D1174="Canarias",E1174*'Nacional · supuestos'!$B$45,0)</f>
        <v>0</v>
      </c>
      <c r="O1174">
        <f>IF(D1174="Canarias",'Nacional · supuestos'!$B$46,0)</f>
        <v>0</v>
      </c>
      <c r="P1174">
        <f>IF(D1174="Canarias",MAX(H1174*'Nacional · supuestos'!$B$47,'Nacional · supuestos'!$B$48),0)</f>
        <v>0</v>
      </c>
      <c r="Q1174">
        <f>IF(D1174="Resto nacional",E1174*'Nacional · supuestos'!$B$13*IF(A1174=2027,1+'Nacional · supuestos'!$B$6,1),0)</f>
        <v>115.67018105849581</v>
      </c>
      <c r="R1174">
        <f>IF(D1174="Canarias",SUM(J1174:P1174)*IF(A1174=2027,1+'Nacional · supuestos'!$B$6,1),0)</f>
        <v>0</v>
      </c>
      <c r="S1174">
        <f t="shared" si="20"/>
        <v>115.67018105849581</v>
      </c>
    </row>
    <row r="1175" spans="1:19">
      <c r="A1175">
        <v>2027</v>
      </c>
      <c r="B1175">
        <v>2</v>
      </c>
      <c r="C1175" t="s">
        <v>190</v>
      </c>
      <c r="D1175" t="s">
        <v>160</v>
      </c>
      <c r="E1175">
        <f>SUMIFS('Nacional · base'!$J$7:$J$1068,'Nacional · base'!$A$7:$A$1068,A1175,'Nacional · base'!$B$7:$B$1068,B1175,'Nacional · base'!$C$7:$C$1068,C1175)</f>
        <v>1604.8</v>
      </c>
      <c r="F1175">
        <f>SUMIFS('Nacional · base'!$K$7:$K$1068,'Nacional · base'!$A$7:$A$1068,A1175,'Nacional · base'!$B$7:$B$1068,B1175,'Nacional · base'!$C$7:$C$1068,C1175)</f>
        <v>2.125</v>
      </c>
      <c r="G1175">
        <f t="shared" si="19"/>
        <v>3</v>
      </c>
      <c r="H1175">
        <f>SUMIFS('Nacional · base'!$G$7:$G$1068,'Nacional · base'!$A$7:$A$1068,A1175,'Nacional · base'!$B$7:$B$1068,B1175,'Nacional · base'!$C$7:$C$1068,C1175)</f>
        <v>5691.7983187497348</v>
      </c>
      <c r="I1175">
        <f>IF(D1175="Canarias",IF(C1175="CABRERA MORALES FRANCISCO",IF(E1175&lt;=2000,'Nacional · supuestos'!$C$34,IF(E1175&lt;=5000,'Nacional · supuestos'!$C$35,'Nacional · supuestos'!$C$36)),IF(E1175&lt;=2000,'Nacional · supuestos'!$B$34,IF(E1175&lt;=5000,'Nacional · supuestos'!$B$35,'Nacional · supuestos'!$B$36))),0)</f>
        <v>0</v>
      </c>
      <c r="J1175">
        <f>IF(D1175="Canarias",MAX(E1175*I1175,IF(C1175="CABRERA MORALES FRANCISCO",'Nacional · supuestos'!$C$38,'Nacional · supuestos'!$B$38)),0)</f>
        <v>0</v>
      </c>
      <c r="K1175">
        <f>IF(D1175="Canarias",MAX(E1175*'Nacional · supuestos'!$B$41,'Nacional · supuestos'!$B$42),0)</f>
        <v>0</v>
      </c>
      <c r="L1175">
        <f>IF(D1175="Canarias",E1175*'Nacional · supuestos'!$B$43,0)</f>
        <v>0</v>
      </c>
      <c r="M1175">
        <f>IF(D1175="Canarias",E1175*'Nacional · supuestos'!$B$44,0)</f>
        <v>0</v>
      </c>
      <c r="N1175">
        <f>IF(D1175="Canarias",E1175*'Nacional · supuestos'!$B$45,0)</f>
        <v>0</v>
      </c>
      <c r="O1175">
        <f>IF(D1175="Canarias",'Nacional · supuestos'!$B$46,0)</f>
        <v>0</v>
      </c>
      <c r="P1175">
        <f>IF(D1175="Canarias",MAX(H1175*'Nacional · supuestos'!$B$47,'Nacional · supuestos'!$B$48),0)</f>
        <v>0</v>
      </c>
      <c r="Q1175">
        <f>IF(D1175="Resto nacional",E1175*'Nacional · supuestos'!$B$13*IF(A1175=2027,1+'Nacional · supuestos'!$B$6,1),0)</f>
        <v>156.52880222841225</v>
      </c>
      <c r="R1175">
        <f>IF(D1175="Canarias",SUM(J1175:P1175)*IF(A1175=2027,1+'Nacional · supuestos'!$B$6,1),0)</f>
        <v>0</v>
      </c>
      <c r="S1175">
        <f t="shared" si="20"/>
        <v>156.52880222841225</v>
      </c>
    </row>
    <row r="1176" spans="1:19">
      <c r="A1176">
        <v>2027</v>
      </c>
      <c r="B1176">
        <v>2</v>
      </c>
      <c r="C1176" t="s">
        <v>162</v>
      </c>
      <c r="D1176" t="s">
        <v>160</v>
      </c>
      <c r="E1176">
        <f>SUMIFS('Nacional · base'!$J$7:$J$1068,'Nacional · base'!$A$7:$A$1068,A1176,'Nacional · base'!$B$7:$B$1068,B1176,'Nacional · base'!$C$7:$C$1068,C1176)</f>
        <v>4672.7999999999993</v>
      </c>
      <c r="F1176">
        <f>SUMIFS('Nacional · base'!$K$7:$K$1068,'Nacional · base'!$A$7:$A$1068,A1176,'Nacional · base'!$B$7:$B$1068,B1176,'Nacional · base'!$C$7:$C$1068,C1176)</f>
        <v>5.0625</v>
      </c>
      <c r="G1176">
        <f t="shared" si="19"/>
        <v>6</v>
      </c>
      <c r="H1176">
        <f>SUMIFS('Nacional · base'!$G$7:$G$1068,'Nacional · base'!$A$7:$A$1068,A1176,'Nacional · base'!$B$7:$B$1068,B1176,'Nacional · base'!$C$7:$C$1068,C1176)</f>
        <v>13522.763824837069</v>
      </c>
      <c r="I1176">
        <f>IF(D1176="Canarias",IF(C1176="CABRERA MORALES FRANCISCO",IF(E1176&lt;=2000,'Nacional · supuestos'!$C$34,IF(E1176&lt;=5000,'Nacional · supuestos'!$C$35,'Nacional · supuestos'!$C$36)),IF(E1176&lt;=2000,'Nacional · supuestos'!$B$34,IF(E1176&lt;=5000,'Nacional · supuestos'!$B$35,'Nacional · supuestos'!$B$36))),0)</f>
        <v>0</v>
      </c>
      <c r="J1176">
        <f>IF(D1176="Canarias",MAX(E1176*I1176,IF(C1176="CABRERA MORALES FRANCISCO",'Nacional · supuestos'!$C$38,'Nacional · supuestos'!$B$38)),0)</f>
        <v>0</v>
      </c>
      <c r="K1176">
        <f>IF(D1176="Canarias",MAX(E1176*'Nacional · supuestos'!$B$41,'Nacional · supuestos'!$B$42),0)</f>
        <v>0</v>
      </c>
      <c r="L1176">
        <f>IF(D1176="Canarias",E1176*'Nacional · supuestos'!$B$43,0)</f>
        <v>0</v>
      </c>
      <c r="M1176">
        <f>IF(D1176="Canarias",E1176*'Nacional · supuestos'!$B$44,0)</f>
        <v>0</v>
      </c>
      <c r="N1176">
        <f>IF(D1176="Canarias",E1176*'Nacional · supuestos'!$B$45,0)</f>
        <v>0</v>
      </c>
      <c r="O1176">
        <f>IF(D1176="Canarias",'Nacional · supuestos'!$B$46,0)</f>
        <v>0</v>
      </c>
      <c r="P1176">
        <f>IF(D1176="Canarias",MAX(H1176*'Nacional · supuestos'!$B$47,'Nacional · supuestos'!$B$48),0)</f>
        <v>0</v>
      </c>
      <c r="Q1176">
        <f>IF(D1176="Resto nacional",E1176*'Nacional · supuestos'!$B$13*IF(A1176=2027,1+'Nacional · supuestos'!$B$6,1),0)</f>
        <v>455.77504178272972</v>
      </c>
      <c r="R1176">
        <f>IF(D1176="Canarias",SUM(J1176:P1176)*IF(A1176=2027,1+'Nacional · supuestos'!$B$6,1),0)</f>
        <v>0</v>
      </c>
      <c r="S1176">
        <f t="shared" si="20"/>
        <v>455.77504178272972</v>
      </c>
    </row>
    <row r="1177" spans="1:19">
      <c r="A1177">
        <v>2027</v>
      </c>
      <c r="B1177">
        <v>2</v>
      </c>
      <c r="C1177" t="s">
        <v>163</v>
      </c>
      <c r="D1177" t="s">
        <v>164</v>
      </c>
      <c r="E1177">
        <f>SUMIFS('Nacional · base'!$J$7:$J$1068,'Nacional · base'!$A$7:$A$1068,A1177,'Nacional · base'!$B$7:$B$1068,B1177,'Nacional · base'!$C$7:$C$1068,C1177)</f>
        <v>4192.5399999999991</v>
      </c>
      <c r="F1177">
        <f>SUMIFS('Nacional · base'!$K$7:$K$1068,'Nacional · base'!$A$7:$A$1068,A1177,'Nacional · base'!$B$7:$B$1068,B1177,'Nacional · base'!$C$7:$C$1068,C1177)</f>
        <v>5.1267045454545457</v>
      </c>
      <c r="G1177">
        <f t="shared" si="19"/>
        <v>6</v>
      </c>
      <c r="H1177">
        <f>SUMIFS('Nacional · base'!$G$7:$G$1068,'Nacional · base'!$A$7:$A$1068,A1177,'Nacional · base'!$B$7:$B$1068,B1177,'Nacional · base'!$C$7:$C$1068,C1177)</f>
        <v>10034.530777838589</v>
      </c>
      <c r="I1177">
        <f>IF(D1177="Canarias",IF(C1177="CABRERA MORALES FRANCISCO",IF(E1177&lt;=2000,'Nacional · supuestos'!$C$34,IF(E1177&lt;=5000,'Nacional · supuestos'!$C$35,'Nacional · supuestos'!$C$36)),IF(E1177&lt;=2000,'Nacional · supuestos'!$B$34,IF(E1177&lt;=5000,'Nacional · supuestos'!$B$35,'Nacional · supuestos'!$B$36))),0)</f>
        <v>0.108</v>
      </c>
      <c r="J1177">
        <f>IF(D1177="Canarias",MAX(E1177*I1177,IF(C1177="CABRERA MORALES FRANCISCO",'Nacional · supuestos'!$C$38,'Nacional · supuestos'!$B$38)),0)</f>
        <v>452.79431999999991</v>
      </c>
      <c r="K1177">
        <f>IF(D1177="Canarias",MAX(E1177*'Nacional · supuestos'!$B$41,'Nacional · supuestos'!$B$42),0)</f>
        <v>150.93143999999995</v>
      </c>
      <c r="L1177">
        <f>IF(D1177="Canarias",E1177*'Nacional · supuestos'!$B$43,0)</f>
        <v>50.310479999999991</v>
      </c>
      <c r="M1177">
        <f>IF(D1177="Canarias",E1177*'Nacional · supuestos'!$B$44,0)</f>
        <v>75.465719999999976</v>
      </c>
      <c r="N1177">
        <f>IF(D1177="Canarias",E1177*'Nacional · supuestos'!$B$45,0)</f>
        <v>92.23587999999998</v>
      </c>
      <c r="O1177">
        <f>IF(D1177="Canarias",'Nacional · supuestos'!$B$46,0)</f>
        <v>15</v>
      </c>
      <c r="P1177">
        <f>IF(D1177="Canarias",MAX(H1177*'Nacional · supuestos'!$B$47,'Nacional · supuestos'!$B$48),0)</f>
        <v>45.155388500273645</v>
      </c>
      <c r="Q1177">
        <f>IF(D1177="Resto nacional",E1177*'Nacional · supuestos'!$B$13*IF(A1177=2027,1+'Nacional · supuestos'!$B$6,1),0)</f>
        <v>0</v>
      </c>
      <c r="R1177">
        <f>IF(D1177="Canarias",SUM(J1177:P1177)*IF(A1177=2027,1+'Nacional · supuestos'!$B$6,1),0)</f>
        <v>970.08255135030083</v>
      </c>
      <c r="S1177">
        <f t="shared" si="20"/>
        <v>970.08255135030083</v>
      </c>
    </row>
    <row r="1178" spans="1:19">
      <c r="A1178">
        <v>2027</v>
      </c>
      <c r="B1178">
        <v>2</v>
      </c>
      <c r="C1178" t="s">
        <v>166</v>
      </c>
      <c r="D1178" t="s">
        <v>160</v>
      </c>
      <c r="E1178">
        <f>SUMIFS('Nacional · base'!$J$7:$J$1068,'Nacional · base'!$A$7:$A$1068,A1178,'Nacional · base'!$B$7:$B$1068,B1178,'Nacional · base'!$C$7:$C$1068,C1178)</f>
        <v>944</v>
      </c>
      <c r="F1178">
        <f>SUMIFS('Nacional · base'!$K$7:$K$1068,'Nacional · base'!$A$7:$A$1068,A1178,'Nacional · base'!$B$7:$B$1068,B1178,'Nacional · base'!$C$7:$C$1068,C1178)</f>
        <v>1.25</v>
      </c>
      <c r="G1178">
        <f t="shared" si="19"/>
        <v>2</v>
      </c>
      <c r="H1178">
        <f>SUMIFS('Nacional · base'!$G$7:$G$1068,'Nacional · base'!$A$7:$A$1068,A1178,'Nacional · base'!$B$7:$B$1068,B1178,'Nacional · base'!$C$7:$C$1068,C1178)</f>
        <v>1976.3478156086553</v>
      </c>
      <c r="I1178">
        <f>IF(D1178="Canarias",IF(C1178="CABRERA MORALES FRANCISCO",IF(E1178&lt;=2000,'Nacional · supuestos'!$C$34,IF(E1178&lt;=5000,'Nacional · supuestos'!$C$35,'Nacional · supuestos'!$C$36)),IF(E1178&lt;=2000,'Nacional · supuestos'!$B$34,IF(E1178&lt;=5000,'Nacional · supuestos'!$B$35,'Nacional · supuestos'!$B$36))),0)</f>
        <v>0</v>
      </c>
      <c r="J1178">
        <f>IF(D1178="Canarias",MAX(E1178*I1178,IF(C1178="CABRERA MORALES FRANCISCO",'Nacional · supuestos'!$C$38,'Nacional · supuestos'!$B$38)),0)</f>
        <v>0</v>
      </c>
      <c r="K1178">
        <f>IF(D1178="Canarias",MAX(E1178*'Nacional · supuestos'!$B$41,'Nacional · supuestos'!$B$42),0)</f>
        <v>0</v>
      </c>
      <c r="L1178">
        <f>IF(D1178="Canarias",E1178*'Nacional · supuestos'!$B$43,0)</f>
        <v>0</v>
      </c>
      <c r="M1178">
        <f>IF(D1178="Canarias",E1178*'Nacional · supuestos'!$B$44,0)</f>
        <v>0</v>
      </c>
      <c r="N1178">
        <f>IF(D1178="Canarias",E1178*'Nacional · supuestos'!$B$45,0)</f>
        <v>0</v>
      </c>
      <c r="O1178">
        <f>IF(D1178="Canarias",'Nacional · supuestos'!$B$46,0)</f>
        <v>0</v>
      </c>
      <c r="P1178">
        <f>IF(D1178="Canarias",MAX(H1178*'Nacional · supuestos'!$B$47,'Nacional · supuestos'!$B$48),0)</f>
        <v>0</v>
      </c>
      <c r="Q1178">
        <f>IF(D1178="Resto nacional",E1178*'Nacional · supuestos'!$B$13*IF(A1178=2027,1+'Nacional · supuestos'!$B$6,1),0)</f>
        <v>92.075766016713104</v>
      </c>
      <c r="R1178">
        <f>IF(D1178="Canarias",SUM(J1178:P1178)*IF(A1178=2027,1+'Nacional · supuestos'!$B$6,1),0)</f>
        <v>0</v>
      </c>
      <c r="S1178">
        <f t="shared" si="20"/>
        <v>92.075766016713104</v>
      </c>
    </row>
    <row r="1179" spans="1:19">
      <c r="A1179">
        <v>2027</v>
      </c>
      <c r="B1179">
        <v>2</v>
      </c>
      <c r="C1179" t="s">
        <v>168</v>
      </c>
      <c r="D1179" t="s">
        <v>160</v>
      </c>
      <c r="E1179">
        <f>SUMIFS('Nacional · base'!$J$7:$J$1068,'Nacional · base'!$A$7:$A$1068,A1179,'Nacional · base'!$B$7:$B$1068,B1179,'Nacional · base'!$C$7:$C$1068,C1179)</f>
        <v>4456.7999999999993</v>
      </c>
      <c r="F1179">
        <f>SUMIFS('Nacional · base'!$K$7:$K$1068,'Nacional · base'!$A$7:$A$1068,A1179,'Nacional · base'!$B$7:$B$1068,B1179,'Nacional · base'!$C$7:$C$1068,C1179)</f>
        <v>5.8125</v>
      </c>
      <c r="G1179">
        <f t="shared" si="19"/>
        <v>6</v>
      </c>
      <c r="H1179">
        <f>SUMIFS('Nacional · base'!$G$7:$G$1068,'Nacional · base'!$A$7:$A$1068,A1179,'Nacional · base'!$B$7:$B$1068,B1179,'Nacional · base'!$C$7:$C$1068,C1179)</f>
        <v>4764.0301893813376</v>
      </c>
      <c r="I1179">
        <f>IF(D1179="Canarias",IF(C1179="CABRERA MORALES FRANCISCO",IF(E1179&lt;=2000,'Nacional · supuestos'!$C$34,IF(E1179&lt;=5000,'Nacional · supuestos'!$C$35,'Nacional · supuestos'!$C$36)),IF(E1179&lt;=2000,'Nacional · supuestos'!$B$34,IF(E1179&lt;=5000,'Nacional · supuestos'!$B$35,'Nacional · supuestos'!$B$36))),0)</f>
        <v>0</v>
      </c>
      <c r="J1179">
        <f>IF(D1179="Canarias",MAX(E1179*I1179,IF(C1179="CABRERA MORALES FRANCISCO",'Nacional · supuestos'!$C$38,'Nacional · supuestos'!$B$38)),0)</f>
        <v>0</v>
      </c>
      <c r="K1179">
        <f>IF(D1179="Canarias",MAX(E1179*'Nacional · supuestos'!$B$41,'Nacional · supuestos'!$B$42),0)</f>
        <v>0</v>
      </c>
      <c r="L1179">
        <f>IF(D1179="Canarias",E1179*'Nacional · supuestos'!$B$43,0)</f>
        <v>0</v>
      </c>
      <c r="M1179">
        <f>IF(D1179="Canarias",E1179*'Nacional · supuestos'!$B$44,0)</f>
        <v>0</v>
      </c>
      <c r="N1179">
        <f>IF(D1179="Canarias",E1179*'Nacional · supuestos'!$B$45,0)</f>
        <v>0</v>
      </c>
      <c r="O1179">
        <f>IF(D1179="Canarias",'Nacional · supuestos'!$B$46,0)</f>
        <v>0</v>
      </c>
      <c r="P1179">
        <f>IF(D1179="Canarias",MAX(H1179*'Nacional · supuestos'!$B$47,'Nacional · supuestos'!$B$48),0)</f>
        <v>0</v>
      </c>
      <c r="Q1179">
        <f>IF(D1179="Resto nacional",E1179*'Nacional · supuestos'!$B$13*IF(A1179=2027,1+'Nacional · supuestos'!$B$6,1),0)</f>
        <v>434.70685803314285</v>
      </c>
      <c r="R1179">
        <f>IF(D1179="Canarias",SUM(J1179:P1179)*IF(A1179=2027,1+'Nacional · supuestos'!$B$6,1),0)</f>
        <v>0</v>
      </c>
      <c r="S1179">
        <f t="shared" si="20"/>
        <v>434.70685803314285</v>
      </c>
    </row>
    <row r="1180" spans="1:19">
      <c r="A1180">
        <v>2027</v>
      </c>
      <c r="B1180">
        <v>2</v>
      </c>
      <c r="C1180" t="s">
        <v>170</v>
      </c>
      <c r="D1180" t="s">
        <v>160</v>
      </c>
      <c r="E1180">
        <f>SUMIFS('Nacional · base'!$J$7:$J$1068,'Nacional · base'!$A$7:$A$1068,A1180,'Nacional · base'!$B$7:$B$1068,B1180,'Nacional · base'!$C$7:$C$1068,C1180)</f>
        <v>1758.1999999999998</v>
      </c>
      <c r="F1180">
        <f>SUMIFS('Nacional · base'!$K$7:$K$1068,'Nacional · base'!$A$7:$A$1068,A1180,'Nacional · base'!$B$7:$B$1068,B1180,'Nacional · base'!$C$7:$C$1068,C1180)</f>
        <v>2.3395833333333331</v>
      </c>
      <c r="G1180">
        <f t="shared" si="19"/>
        <v>3</v>
      </c>
      <c r="H1180">
        <f>SUMIFS('Nacional · base'!$G$7:$G$1068,'Nacional · base'!$A$7:$A$1068,A1180,'Nacional · base'!$B$7:$B$1068,B1180,'Nacional · base'!$C$7:$C$1068,C1180)</f>
        <v>5130.2695380174673</v>
      </c>
      <c r="I1180">
        <f>IF(D1180="Canarias",IF(C1180="CABRERA MORALES FRANCISCO",IF(E1180&lt;=2000,'Nacional · supuestos'!$C$34,IF(E1180&lt;=5000,'Nacional · supuestos'!$C$35,'Nacional · supuestos'!$C$36)),IF(E1180&lt;=2000,'Nacional · supuestos'!$B$34,IF(E1180&lt;=5000,'Nacional · supuestos'!$B$35,'Nacional · supuestos'!$B$36))),0)</f>
        <v>0</v>
      </c>
      <c r="J1180">
        <f>IF(D1180="Canarias",MAX(E1180*I1180,IF(C1180="CABRERA MORALES FRANCISCO",'Nacional · supuestos'!$C$38,'Nacional · supuestos'!$B$38)),0)</f>
        <v>0</v>
      </c>
      <c r="K1180">
        <f>IF(D1180="Canarias",MAX(E1180*'Nacional · supuestos'!$B$41,'Nacional · supuestos'!$B$42),0)</f>
        <v>0</v>
      </c>
      <c r="L1180">
        <f>IF(D1180="Canarias",E1180*'Nacional · supuestos'!$B$43,0)</f>
        <v>0</v>
      </c>
      <c r="M1180">
        <f>IF(D1180="Canarias",E1180*'Nacional · supuestos'!$B$44,0)</f>
        <v>0</v>
      </c>
      <c r="N1180">
        <f>IF(D1180="Canarias",E1180*'Nacional · supuestos'!$B$45,0)</f>
        <v>0</v>
      </c>
      <c r="O1180">
        <f>IF(D1180="Canarias",'Nacional · supuestos'!$B$46,0)</f>
        <v>0</v>
      </c>
      <c r="P1180">
        <f>IF(D1180="Canarias",MAX(H1180*'Nacional · supuestos'!$B$47,'Nacional · supuestos'!$B$48),0)</f>
        <v>0</v>
      </c>
      <c r="Q1180">
        <f>IF(D1180="Resto nacional",E1180*'Nacional · supuestos'!$B$13*IF(A1180=2027,1+'Nacional · supuestos'!$B$6,1),0)</f>
        <v>171.49111420612812</v>
      </c>
      <c r="R1180">
        <f>IF(D1180="Canarias",SUM(J1180:P1180)*IF(A1180=2027,1+'Nacional · supuestos'!$B$6,1),0)</f>
        <v>0</v>
      </c>
      <c r="S1180">
        <f t="shared" si="20"/>
        <v>171.49111420612812</v>
      </c>
    </row>
    <row r="1181" spans="1:19">
      <c r="A1181">
        <v>2027</v>
      </c>
      <c r="B1181">
        <v>2</v>
      </c>
      <c r="C1181" t="s">
        <v>171</v>
      </c>
      <c r="D1181" t="s">
        <v>164</v>
      </c>
      <c r="E1181">
        <f>SUMIFS('Nacional · base'!$J$7:$J$1068,'Nacional · base'!$A$7:$A$1068,A1181,'Nacional · base'!$B$7:$B$1068,B1181,'Nacional · base'!$C$7:$C$1068,C1181)</f>
        <v>9495.7999999999993</v>
      </c>
      <c r="F1181">
        <f>SUMIFS('Nacional · base'!$K$7:$K$1068,'Nacional · base'!$A$7:$A$1068,A1181,'Nacional · base'!$B$7:$B$1068,B1181,'Nacional · base'!$C$7:$C$1068,C1181)</f>
        <v>12.587916666666665</v>
      </c>
      <c r="G1181">
        <f t="shared" si="19"/>
        <v>13</v>
      </c>
      <c r="H1181">
        <f>SUMIFS('Nacional · base'!$G$7:$G$1068,'Nacional · base'!$A$7:$A$1068,A1181,'Nacional · base'!$B$7:$B$1068,B1181,'Nacional · base'!$C$7:$C$1068,C1181)</f>
        <v>23160.344916482834</v>
      </c>
      <c r="I1181">
        <f>IF(D1181="Canarias",IF(C1181="CABRERA MORALES FRANCISCO",IF(E1181&lt;=2000,'Nacional · supuestos'!$C$34,IF(E1181&lt;=5000,'Nacional · supuestos'!$C$35,'Nacional · supuestos'!$C$36)),IF(E1181&lt;=2000,'Nacional · supuestos'!$B$34,IF(E1181&lt;=5000,'Nacional · supuestos'!$B$35,'Nacional · supuestos'!$B$36))),0)</f>
        <v>0.19800000000000001</v>
      </c>
      <c r="J1181">
        <f>IF(D1181="Canarias",MAX(E1181*I1181,IF(C1181="CABRERA MORALES FRANCISCO",'Nacional · supuestos'!$C$38,'Nacional · supuestos'!$B$38)),0)</f>
        <v>1880.1684</v>
      </c>
      <c r="K1181">
        <f>IF(D1181="Canarias",MAX(E1181*'Nacional · supuestos'!$B$41,'Nacional · supuestos'!$B$42),0)</f>
        <v>341.84879999999993</v>
      </c>
      <c r="L1181">
        <f>IF(D1181="Canarias",E1181*'Nacional · supuestos'!$B$43,0)</f>
        <v>113.94959999999999</v>
      </c>
      <c r="M1181">
        <f>IF(D1181="Canarias",E1181*'Nacional · supuestos'!$B$44,0)</f>
        <v>170.92439999999996</v>
      </c>
      <c r="N1181">
        <f>IF(D1181="Canarias",E1181*'Nacional · supuestos'!$B$45,0)</f>
        <v>208.90759999999997</v>
      </c>
      <c r="O1181">
        <f>IF(D1181="Canarias",'Nacional · supuestos'!$B$46,0)</f>
        <v>15</v>
      </c>
      <c r="P1181">
        <f>IF(D1181="Canarias",MAX(H1181*'Nacional · supuestos'!$B$47,'Nacional · supuestos'!$B$48),0)</f>
        <v>104.22155212417275</v>
      </c>
      <c r="Q1181">
        <f>IF(D1181="Resto nacional",E1181*'Nacional · supuestos'!$B$13*IF(A1181=2027,1+'Nacional · supuestos'!$B$6,1),0)</f>
        <v>0</v>
      </c>
      <c r="R1181">
        <f>IF(D1181="Canarias",SUM(J1181:P1181)*IF(A1181=2027,1+'Nacional · supuestos'!$B$6,1),0)</f>
        <v>3118.5223873365899</v>
      </c>
      <c r="S1181">
        <f t="shared" si="20"/>
        <v>3118.5223873365899</v>
      </c>
    </row>
    <row r="1182" spans="1:19">
      <c r="A1182">
        <v>2027</v>
      </c>
      <c r="B1182">
        <v>2</v>
      </c>
      <c r="C1182" t="s">
        <v>196</v>
      </c>
      <c r="D1182" t="s">
        <v>160</v>
      </c>
      <c r="E1182">
        <f>SUMIFS('Nacional · base'!$J$7:$J$1068,'Nacional · base'!$A$7:$A$1068,A1182,'Nacional · base'!$B$7:$B$1068,B1182,'Nacional · base'!$C$7:$C$1068,C1182)</f>
        <v>291.32</v>
      </c>
      <c r="F1182">
        <f>SUMIFS('Nacional · base'!$K$7:$K$1068,'Nacional · base'!$A$7:$A$1068,A1182,'Nacional · base'!$B$7:$B$1068,B1182,'Nacional · base'!$C$7:$C$1068,C1182)</f>
        <v>0.36098484848484846</v>
      </c>
      <c r="G1182">
        <f t="shared" si="19"/>
        <v>1</v>
      </c>
      <c r="H1182">
        <f>SUMIFS('Nacional · base'!$G$7:$G$1068,'Nacional · base'!$A$7:$A$1068,A1182,'Nacional · base'!$B$7:$B$1068,B1182,'Nacional · base'!$C$7:$C$1068,C1182)</f>
        <v>1275.3906151423068</v>
      </c>
      <c r="I1182">
        <f>IF(D1182="Canarias",IF(C1182="CABRERA MORALES FRANCISCO",IF(E1182&lt;=2000,'Nacional · supuestos'!$C$34,IF(E1182&lt;=5000,'Nacional · supuestos'!$C$35,'Nacional · supuestos'!$C$36)),IF(E1182&lt;=2000,'Nacional · supuestos'!$B$34,IF(E1182&lt;=5000,'Nacional · supuestos'!$B$35,'Nacional · supuestos'!$B$36))),0)</f>
        <v>0</v>
      </c>
      <c r="J1182">
        <f>IF(D1182="Canarias",MAX(E1182*I1182,IF(C1182="CABRERA MORALES FRANCISCO",'Nacional · supuestos'!$C$38,'Nacional · supuestos'!$B$38)),0)</f>
        <v>0</v>
      </c>
      <c r="K1182">
        <f>IF(D1182="Canarias",MAX(E1182*'Nacional · supuestos'!$B$41,'Nacional · supuestos'!$B$42),0)</f>
        <v>0</v>
      </c>
      <c r="L1182">
        <f>IF(D1182="Canarias",E1182*'Nacional · supuestos'!$B$43,0)</f>
        <v>0</v>
      </c>
      <c r="M1182">
        <f>IF(D1182="Canarias",E1182*'Nacional · supuestos'!$B$44,0)</f>
        <v>0</v>
      </c>
      <c r="N1182">
        <f>IF(D1182="Canarias",E1182*'Nacional · supuestos'!$B$45,0)</f>
        <v>0</v>
      </c>
      <c r="O1182">
        <f>IF(D1182="Canarias",'Nacional · supuestos'!$B$46,0)</f>
        <v>0</v>
      </c>
      <c r="P1182">
        <f>IF(D1182="Canarias",MAX(H1182*'Nacional · supuestos'!$B$47,'Nacional · supuestos'!$B$48),0)</f>
        <v>0</v>
      </c>
      <c r="Q1182">
        <f>IF(D1182="Resto nacional",E1182*'Nacional · supuestos'!$B$13*IF(A1182=2027,1+'Nacional · supuestos'!$B$6,1),0)</f>
        <v>28.414737453378031</v>
      </c>
      <c r="R1182">
        <f>IF(D1182="Canarias",SUM(J1182:P1182)*IF(A1182=2027,1+'Nacional · supuestos'!$B$6,1),0)</f>
        <v>0</v>
      </c>
      <c r="S1182">
        <f t="shared" si="20"/>
        <v>28.414737453378031</v>
      </c>
    </row>
    <row r="1183" spans="1:19">
      <c r="A1183">
        <v>2027</v>
      </c>
      <c r="B1183">
        <v>2</v>
      </c>
      <c r="C1183" t="s">
        <v>172</v>
      </c>
      <c r="D1183" t="s">
        <v>160</v>
      </c>
      <c r="E1183">
        <f>SUMIFS('Nacional · base'!$J$7:$J$1068,'Nacional · base'!$A$7:$A$1068,A1183,'Nacional · base'!$B$7:$B$1068,B1183,'Nacional · base'!$C$7:$C$1068,C1183)</f>
        <v>11116.78</v>
      </c>
      <c r="F1183">
        <f>SUMIFS('Nacional · base'!$K$7:$K$1068,'Nacional · base'!$A$7:$A$1068,A1183,'Nacional · base'!$B$7:$B$1068,B1183,'Nacional · base'!$C$7:$C$1068,C1183)</f>
        <v>15.020075757575757</v>
      </c>
      <c r="G1183">
        <f t="shared" si="19"/>
        <v>16</v>
      </c>
      <c r="H1183">
        <f>SUMIFS('Nacional · base'!$G$7:$G$1068,'Nacional · base'!$A$7:$A$1068,A1183,'Nacional · base'!$B$7:$B$1068,B1183,'Nacional · base'!$C$7:$C$1068,C1183)</f>
        <v>38628.681676196917</v>
      </c>
      <c r="I1183">
        <f>IF(D1183="Canarias",IF(C1183="CABRERA MORALES FRANCISCO",IF(E1183&lt;=2000,'Nacional · supuestos'!$C$34,IF(E1183&lt;=5000,'Nacional · supuestos'!$C$35,'Nacional · supuestos'!$C$36)),IF(E1183&lt;=2000,'Nacional · supuestos'!$B$34,IF(E1183&lt;=5000,'Nacional · supuestos'!$B$35,'Nacional · supuestos'!$B$36))),0)</f>
        <v>0</v>
      </c>
      <c r="J1183">
        <f>IF(D1183="Canarias",MAX(E1183*I1183,IF(C1183="CABRERA MORALES FRANCISCO",'Nacional · supuestos'!$C$38,'Nacional · supuestos'!$B$38)),0)</f>
        <v>0</v>
      </c>
      <c r="K1183">
        <f>IF(D1183="Canarias",MAX(E1183*'Nacional · supuestos'!$B$41,'Nacional · supuestos'!$B$42),0)</f>
        <v>0</v>
      </c>
      <c r="L1183">
        <f>IF(D1183="Canarias",E1183*'Nacional · supuestos'!$B$43,0)</f>
        <v>0</v>
      </c>
      <c r="M1183">
        <f>IF(D1183="Canarias",E1183*'Nacional · supuestos'!$B$44,0)</f>
        <v>0</v>
      </c>
      <c r="N1183">
        <f>IF(D1183="Canarias",E1183*'Nacional · supuestos'!$B$45,0)</f>
        <v>0</v>
      </c>
      <c r="O1183">
        <f>IF(D1183="Canarias",'Nacional · supuestos'!$B$46,0)</f>
        <v>0</v>
      </c>
      <c r="P1183">
        <f>IF(D1183="Canarias",MAX(H1183*'Nacional · supuestos'!$B$47,'Nacional · supuestos'!$B$48),0)</f>
        <v>0</v>
      </c>
      <c r="Q1183">
        <f>IF(D1183="Resto nacional",E1183*'Nacional · supuestos'!$B$13*IF(A1183=2027,1+'Nacional · supuestos'!$B$6,1),0)</f>
        <v>1084.3072395543177</v>
      </c>
      <c r="R1183">
        <f>IF(D1183="Canarias",SUM(J1183:P1183)*IF(A1183=2027,1+'Nacional · supuestos'!$B$6,1),0)</f>
        <v>0</v>
      </c>
      <c r="S1183">
        <f t="shared" si="20"/>
        <v>1084.3072395543177</v>
      </c>
    </row>
    <row r="1184" spans="1:19">
      <c r="A1184">
        <v>2027</v>
      </c>
      <c r="B1184">
        <v>2</v>
      </c>
      <c r="C1184" t="s">
        <v>173</v>
      </c>
      <c r="D1184" t="s">
        <v>160</v>
      </c>
      <c r="E1184">
        <f>SUMIFS('Nacional · base'!$J$7:$J$1068,'Nacional · base'!$A$7:$A$1068,A1184,'Nacional · base'!$B$7:$B$1068,B1184,'Nacional · base'!$C$7:$C$1068,C1184)</f>
        <v>12039.599999999999</v>
      </c>
      <c r="F1184">
        <f>SUMIFS('Nacional · base'!$K$7:$K$1068,'Nacional · base'!$A$7:$A$1068,A1184,'Nacional · base'!$B$7:$B$1068,B1184,'Nacional · base'!$C$7:$C$1068,C1184)</f>
        <v>15.363674242424244</v>
      </c>
      <c r="G1184">
        <f t="shared" si="19"/>
        <v>16</v>
      </c>
      <c r="H1184">
        <f>SUMIFS('Nacional · base'!$G$7:$G$1068,'Nacional · base'!$A$7:$A$1068,A1184,'Nacional · base'!$B$7:$B$1068,B1184,'Nacional · base'!$C$7:$C$1068,C1184)</f>
        <v>38445.333257918712</v>
      </c>
      <c r="I1184">
        <f>IF(D1184="Canarias",IF(C1184="CABRERA MORALES FRANCISCO",IF(E1184&lt;=2000,'Nacional · supuestos'!$C$34,IF(E1184&lt;=5000,'Nacional · supuestos'!$C$35,'Nacional · supuestos'!$C$36)),IF(E1184&lt;=2000,'Nacional · supuestos'!$B$34,IF(E1184&lt;=5000,'Nacional · supuestos'!$B$35,'Nacional · supuestos'!$B$36))),0)</f>
        <v>0</v>
      </c>
      <c r="J1184">
        <f>IF(D1184="Canarias",MAX(E1184*I1184,IF(C1184="CABRERA MORALES FRANCISCO",'Nacional · supuestos'!$C$38,'Nacional · supuestos'!$B$38)),0)</f>
        <v>0</v>
      </c>
      <c r="K1184">
        <f>IF(D1184="Canarias",MAX(E1184*'Nacional · supuestos'!$B$41,'Nacional · supuestos'!$B$42),0)</f>
        <v>0</v>
      </c>
      <c r="L1184">
        <f>IF(D1184="Canarias",E1184*'Nacional · supuestos'!$B$43,0)</f>
        <v>0</v>
      </c>
      <c r="M1184">
        <f>IF(D1184="Canarias",E1184*'Nacional · supuestos'!$B$44,0)</f>
        <v>0</v>
      </c>
      <c r="N1184">
        <f>IF(D1184="Canarias",E1184*'Nacional · supuestos'!$B$45,0)</f>
        <v>0</v>
      </c>
      <c r="O1184">
        <f>IF(D1184="Canarias",'Nacional · supuestos'!$B$46,0)</f>
        <v>0</v>
      </c>
      <c r="P1184">
        <f>IF(D1184="Canarias",MAX(H1184*'Nacional · supuestos'!$B$47,'Nacional · supuestos'!$B$48),0)</f>
        <v>0</v>
      </c>
      <c r="Q1184">
        <f>IF(D1184="Resto nacional",E1184*'Nacional · supuestos'!$B$13*IF(A1184=2027,1+'Nacional · supuestos'!$B$6,1),0)</f>
        <v>1174.3171531089183</v>
      </c>
      <c r="R1184">
        <f>IF(D1184="Canarias",SUM(J1184:P1184)*IF(A1184=2027,1+'Nacional · supuestos'!$B$6,1),0)</f>
        <v>0</v>
      </c>
      <c r="S1184">
        <f t="shared" si="20"/>
        <v>1174.3171531089183</v>
      </c>
    </row>
    <row r="1185" spans="1:19">
      <c r="A1185">
        <v>2027</v>
      </c>
      <c r="B1185">
        <v>2</v>
      </c>
      <c r="C1185" t="s">
        <v>198</v>
      </c>
      <c r="D1185" t="s">
        <v>160</v>
      </c>
      <c r="E1185">
        <f>SUMIFS('Nacional · base'!$J$7:$J$1068,'Nacional · base'!$A$7:$A$1068,A1185,'Nacional · base'!$B$7:$B$1068,B1185,'Nacional · base'!$C$7:$C$1068,C1185)</f>
        <v>784.69999999999993</v>
      </c>
      <c r="F1185">
        <f>SUMIFS('Nacional · base'!$K$7:$K$1068,'Nacional · base'!$A$7:$A$1068,A1185,'Nacional · base'!$B$7:$B$1068,B1185,'Nacional · base'!$C$7:$C$1068,C1185)</f>
        <v>1.1083333333333334</v>
      </c>
      <c r="G1185">
        <f t="shared" si="19"/>
        <v>2</v>
      </c>
      <c r="H1185">
        <f>SUMIFS('Nacional · base'!$G$7:$G$1068,'Nacional · base'!$A$7:$A$1068,A1185,'Nacional · base'!$B$7:$B$1068,B1185,'Nacional · base'!$C$7:$C$1068,C1185)</f>
        <v>3244.0873796082574</v>
      </c>
      <c r="I1185">
        <f>IF(D1185="Canarias",IF(C1185="CABRERA MORALES FRANCISCO",IF(E1185&lt;=2000,'Nacional · supuestos'!$C$34,IF(E1185&lt;=5000,'Nacional · supuestos'!$C$35,'Nacional · supuestos'!$C$36)),IF(E1185&lt;=2000,'Nacional · supuestos'!$B$34,IF(E1185&lt;=5000,'Nacional · supuestos'!$B$35,'Nacional · supuestos'!$B$36))),0)</f>
        <v>0</v>
      </c>
      <c r="J1185">
        <f>IF(D1185="Canarias",MAX(E1185*I1185,IF(C1185="CABRERA MORALES FRANCISCO",'Nacional · supuestos'!$C$38,'Nacional · supuestos'!$B$38)),0)</f>
        <v>0</v>
      </c>
      <c r="K1185">
        <f>IF(D1185="Canarias",MAX(E1185*'Nacional · supuestos'!$B$41,'Nacional · supuestos'!$B$42),0)</f>
        <v>0</v>
      </c>
      <c r="L1185">
        <f>IF(D1185="Canarias",E1185*'Nacional · supuestos'!$B$43,0)</f>
        <v>0</v>
      </c>
      <c r="M1185">
        <f>IF(D1185="Canarias",E1185*'Nacional · supuestos'!$B$44,0)</f>
        <v>0</v>
      </c>
      <c r="N1185">
        <f>IF(D1185="Canarias",E1185*'Nacional · supuestos'!$B$45,0)</f>
        <v>0</v>
      </c>
      <c r="O1185">
        <f>IF(D1185="Canarias",'Nacional · supuestos'!$B$46,0)</f>
        <v>0</v>
      </c>
      <c r="P1185">
        <f>IF(D1185="Canarias",MAX(H1185*'Nacional · supuestos'!$B$47,'Nacional · supuestos'!$B$48),0)</f>
        <v>0</v>
      </c>
      <c r="Q1185">
        <f>IF(D1185="Resto nacional",E1185*'Nacional · supuestos'!$B$13*IF(A1185=2027,1+'Nacional · supuestos'!$B$6,1),0)</f>
        <v>76.537980501392752</v>
      </c>
      <c r="R1185">
        <f>IF(D1185="Canarias",SUM(J1185:P1185)*IF(A1185=2027,1+'Nacional · supuestos'!$B$6,1),0)</f>
        <v>0</v>
      </c>
      <c r="S1185">
        <f t="shared" si="20"/>
        <v>76.537980501392752</v>
      </c>
    </row>
    <row r="1186" spans="1:19">
      <c r="A1186">
        <v>2027</v>
      </c>
      <c r="B1186">
        <v>2</v>
      </c>
      <c r="C1186" t="s">
        <v>174</v>
      </c>
      <c r="D1186" t="s">
        <v>160</v>
      </c>
      <c r="E1186">
        <f>SUMIFS('Nacional · base'!$J$7:$J$1068,'Nacional · base'!$A$7:$A$1068,A1186,'Nacional · base'!$B$7:$B$1068,B1186,'Nacional · base'!$C$7:$C$1068,C1186)</f>
        <v>8171.2</v>
      </c>
      <c r="F1186">
        <f>SUMIFS('Nacional · base'!$K$7:$K$1068,'Nacional · base'!$A$7:$A$1068,A1186,'Nacional · base'!$B$7:$B$1068,B1186,'Nacional · base'!$C$7:$C$1068,C1186)</f>
        <v>9.4770833333333329</v>
      </c>
      <c r="G1186">
        <f t="shared" si="19"/>
        <v>10</v>
      </c>
      <c r="H1186">
        <f>SUMIFS('Nacional · base'!$G$7:$G$1068,'Nacional · base'!$A$7:$A$1068,A1186,'Nacional · base'!$B$7:$B$1068,B1186,'Nacional · base'!$C$7:$C$1068,C1186)</f>
        <v>25543.87856572591</v>
      </c>
      <c r="I1186">
        <f>IF(D1186="Canarias",IF(C1186="CABRERA MORALES FRANCISCO",IF(E1186&lt;=2000,'Nacional · supuestos'!$C$34,IF(E1186&lt;=5000,'Nacional · supuestos'!$C$35,'Nacional · supuestos'!$C$36)),IF(E1186&lt;=2000,'Nacional · supuestos'!$B$34,IF(E1186&lt;=5000,'Nacional · supuestos'!$B$35,'Nacional · supuestos'!$B$36))),0)</f>
        <v>0</v>
      </c>
      <c r="J1186">
        <f>IF(D1186="Canarias",MAX(E1186*I1186,IF(C1186="CABRERA MORALES FRANCISCO",'Nacional · supuestos'!$C$38,'Nacional · supuestos'!$B$38)),0)</f>
        <v>0</v>
      </c>
      <c r="K1186">
        <f>IF(D1186="Canarias",MAX(E1186*'Nacional · supuestos'!$B$41,'Nacional · supuestos'!$B$42),0)</f>
        <v>0</v>
      </c>
      <c r="L1186">
        <f>IF(D1186="Canarias",E1186*'Nacional · supuestos'!$B$43,0)</f>
        <v>0</v>
      </c>
      <c r="M1186">
        <f>IF(D1186="Canarias",E1186*'Nacional · supuestos'!$B$44,0)</f>
        <v>0</v>
      </c>
      <c r="N1186">
        <f>IF(D1186="Canarias",E1186*'Nacional · supuestos'!$B$45,0)</f>
        <v>0</v>
      </c>
      <c r="O1186">
        <f>IF(D1186="Canarias",'Nacional · supuestos'!$B$46,0)</f>
        <v>0</v>
      </c>
      <c r="P1186">
        <f>IF(D1186="Canarias",MAX(H1186*'Nacional · supuestos'!$B$47,'Nacional · supuestos'!$B$48),0)</f>
        <v>0</v>
      </c>
      <c r="Q1186">
        <f>IF(D1186="Resto nacional",E1186*'Nacional · supuestos'!$B$13*IF(A1186=2027,1+'Nacional · supuestos'!$B$6,1),0)</f>
        <v>797.00158821585387</v>
      </c>
      <c r="R1186">
        <f>IF(D1186="Canarias",SUM(J1186:P1186)*IF(A1186=2027,1+'Nacional · supuestos'!$B$6,1),0)</f>
        <v>0</v>
      </c>
      <c r="S1186">
        <f t="shared" si="20"/>
        <v>797.00158821585387</v>
      </c>
    </row>
    <row r="1187" spans="1:19">
      <c r="A1187">
        <v>2027</v>
      </c>
      <c r="B1187">
        <v>2</v>
      </c>
      <c r="C1187" t="s">
        <v>175</v>
      </c>
      <c r="D1187" t="s">
        <v>160</v>
      </c>
      <c r="E1187">
        <f>SUMIFS('Nacional · base'!$J$7:$J$1068,'Nacional · base'!$A$7:$A$1068,A1187,'Nacional · base'!$B$7:$B$1068,B1187,'Nacional · base'!$C$7:$C$1068,C1187)</f>
        <v>1050.2</v>
      </c>
      <c r="F1187">
        <f>SUMIFS('Nacional · base'!$K$7:$K$1068,'Nacional · base'!$A$7:$A$1068,A1187,'Nacional · base'!$B$7:$B$1068,B1187,'Nacional · base'!$C$7:$C$1068,C1187)</f>
        <v>1.4125000000000001</v>
      </c>
      <c r="G1187">
        <f t="shared" si="19"/>
        <v>2</v>
      </c>
      <c r="H1187">
        <f>SUMIFS('Nacional · base'!$G$7:$G$1068,'Nacional · base'!$A$7:$A$1068,A1187,'Nacional · base'!$B$7:$B$1068,B1187,'Nacional · base'!$C$7:$C$1068,C1187)</f>
        <v>3070.0103304486347</v>
      </c>
      <c r="I1187">
        <f>IF(D1187="Canarias",IF(C1187="CABRERA MORALES FRANCISCO",IF(E1187&lt;=2000,'Nacional · supuestos'!$C$34,IF(E1187&lt;=5000,'Nacional · supuestos'!$C$35,'Nacional · supuestos'!$C$36)),IF(E1187&lt;=2000,'Nacional · supuestos'!$B$34,IF(E1187&lt;=5000,'Nacional · supuestos'!$B$35,'Nacional · supuestos'!$B$36))),0)</f>
        <v>0</v>
      </c>
      <c r="J1187">
        <f>IF(D1187="Canarias",MAX(E1187*I1187,IF(C1187="CABRERA MORALES FRANCISCO",'Nacional · supuestos'!$C$38,'Nacional · supuestos'!$B$38)),0)</f>
        <v>0</v>
      </c>
      <c r="K1187">
        <f>IF(D1187="Canarias",MAX(E1187*'Nacional · supuestos'!$B$41,'Nacional · supuestos'!$B$42),0)</f>
        <v>0</v>
      </c>
      <c r="L1187">
        <f>IF(D1187="Canarias",E1187*'Nacional · supuestos'!$B$43,0)</f>
        <v>0</v>
      </c>
      <c r="M1187">
        <f>IF(D1187="Canarias",E1187*'Nacional · supuestos'!$B$44,0)</f>
        <v>0</v>
      </c>
      <c r="N1187">
        <f>IF(D1187="Canarias",E1187*'Nacional · supuestos'!$B$45,0)</f>
        <v>0</v>
      </c>
      <c r="O1187">
        <f>IF(D1187="Canarias",'Nacional · supuestos'!$B$46,0)</f>
        <v>0</v>
      </c>
      <c r="P1187">
        <f>IF(D1187="Canarias",MAX(H1187*'Nacional · supuestos'!$B$47,'Nacional · supuestos'!$B$48),0)</f>
        <v>0</v>
      </c>
      <c r="Q1187">
        <f>IF(D1187="Resto nacional",E1187*'Nacional · supuestos'!$B$13*IF(A1187=2027,1+'Nacional · supuestos'!$B$6,1),0)</f>
        <v>102.43428969359333</v>
      </c>
      <c r="R1187">
        <f>IF(D1187="Canarias",SUM(J1187:P1187)*IF(A1187=2027,1+'Nacional · supuestos'!$B$6,1),0)</f>
        <v>0</v>
      </c>
      <c r="S1187">
        <f t="shared" si="20"/>
        <v>102.43428969359333</v>
      </c>
    </row>
    <row r="1188" spans="1:19">
      <c r="A1188">
        <v>2027</v>
      </c>
      <c r="B1188">
        <v>2</v>
      </c>
      <c r="C1188" t="s">
        <v>188</v>
      </c>
      <c r="D1188" t="s">
        <v>160</v>
      </c>
      <c r="E1188">
        <f>SUMIFS('Nacional · base'!$J$7:$J$1068,'Nacional · base'!$A$7:$A$1068,A1188,'Nacional · base'!$B$7:$B$1068,B1188,'Nacional · base'!$C$7:$C$1068,C1188)</f>
        <v>802.4</v>
      </c>
      <c r="F1188">
        <f>SUMIFS('Nacional · base'!$K$7:$K$1068,'Nacional · base'!$A$7:$A$1068,A1188,'Nacional · base'!$B$7:$B$1068,B1188,'Nacional · base'!$C$7:$C$1068,C1188)</f>
        <v>1.0625</v>
      </c>
      <c r="G1188">
        <f t="shared" si="19"/>
        <v>2</v>
      </c>
      <c r="H1188">
        <f>SUMIFS('Nacional · base'!$G$7:$G$1068,'Nacional · base'!$A$7:$A$1068,A1188,'Nacional · base'!$B$7:$B$1068,B1188,'Nacional · base'!$C$7:$C$1068,C1188)</f>
        <v>2948.6775848068373</v>
      </c>
      <c r="I1188">
        <f>IF(D1188="Canarias",IF(C1188="CABRERA MORALES FRANCISCO",IF(E1188&lt;=2000,'Nacional · supuestos'!$C$34,IF(E1188&lt;=5000,'Nacional · supuestos'!$C$35,'Nacional · supuestos'!$C$36)),IF(E1188&lt;=2000,'Nacional · supuestos'!$B$34,IF(E1188&lt;=5000,'Nacional · supuestos'!$B$35,'Nacional · supuestos'!$B$36))),0)</f>
        <v>0</v>
      </c>
      <c r="J1188">
        <f>IF(D1188="Canarias",MAX(E1188*I1188,IF(C1188="CABRERA MORALES FRANCISCO",'Nacional · supuestos'!$C$38,'Nacional · supuestos'!$B$38)),0)</f>
        <v>0</v>
      </c>
      <c r="K1188">
        <f>IF(D1188="Canarias",MAX(E1188*'Nacional · supuestos'!$B$41,'Nacional · supuestos'!$B$42),0)</f>
        <v>0</v>
      </c>
      <c r="L1188">
        <f>IF(D1188="Canarias",E1188*'Nacional · supuestos'!$B$43,0)</f>
        <v>0</v>
      </c>
      <c r="M1188">
        <f>IF(D1188="Canarias",E1188*'Nacional · supuestos'!$B$44,0)</f>
        <v>0</v>
      </c>
      <c r="N1188">
        <f>IF(D1188="Canarias",E1188*'Nacional · supuestos'!$B$45,0)</f>
        <v>0</v>
      </c>
      <c r="O1188">
        <f>IF(D1188="Canarias",'Nacional · supuestos'!$B$46,0)</f>
        <v>0</v>
      </c>
      <c r="P1188">
        <f>IF(D1188="Canarias",MAX(H1188*'Nacional · supuestos'!$B$47,'Nacional · supuestos'!$B$48),0)</f>
        <v>0</v>
      </c>
      <c r="Q1188">
        <f>IF(D1188="Resto nacional",E1188*'Nacional · supuestos'!$B$13*IF(A1188=2027,1+'Nacional · supuestos'!$B$6,1),0)</f>
        <v>78.264401114206123</v>
      </c>
      <c r="R1188">
        <f>IF(D1188="Canarias",SUM(J1188:P1188)*IF(A1188=2027,1+'Nacional · supuestos'!$B$6,1),0)</f>
        <v>0</v>
      </c>
      <c r="S1188">
        <f t="shared" si="20"/>
        <v>78.264401114206123</v>
      </c>
    </row>
    <row r="1189" spans="1:19">
      <c r="A1189">
        <v>2027</v>
      </c>
      <c r="B1189">
        <v>2</v>
      </c>
      <c r="C1189" t="s">
        <v>182</v>
      </c>
      <c r="D1189" t="s">
        <v>160</v>
      </c>
      <c r="E1189">
        <f>SUMIFS('Nacional · base'!$J$7:$J$1068,'Nacional · base'!$A$7:$A$1068,A1189,'Nacional · base'!$B$7:$B$1068,B1189,'Nacional · base'!$C$7:$C$1068,C1189)</f>
        <v>70332.94</v>
      </c>
      <c r="F1189">
        <f>SUMIFS('Nacional · base'!$K$7:$K$1068,'Nacional · base'!$A$7:$A$1068,A1189,'Nacional · base'!$B$7:$B$1068,B1189,'Nacional · base'!$C$7:$C$1068,C1189)</f>
        <v>76.665871212121218</v>
      </c>
      <c r="G1189">
        <f t="shared" si="19"/>
        <v>77</v>
      </c>
      <c r="H1189">
        <f>SUMIFS('Nacional · base'!$G$7:$G$1068,'Nacional · base'!$A$7:$A$1068,A1189,'Nacional · base'!$B$7:$B$1068,B1189,'Nacional · base'!$C$7:$C$1068,C1189)</f>
        <v>130864.669766641</v>
      </c>
      <c r="I1189">
        <f>IF(D1189="Canarias",IF(C1189="CABRERA MORALES FRANCISCO",IF(E1189&lt;=2000,'Nacional · supuestos'!$C$34,IF(E1189&lt;=5000,'Nacional · supuestos'!$C$35,'Nacional · supuestos'!$C$36)),IF(E1189&lt;=2000,'Nacional · supuestos'!$B$34,IF(E1189&lt;=5000,'Nacional · supuestos'!$B$35,'Nacional · supuestos'!$B$36))),0)</f>
        <v>0</v>
      </c>
      <c r="J1189">
        <f>IF(D1189="Canarias",MAX(E1189*I1189,IF(C1189="CABRERA MORALES FRANCISCO",'Nacional · supuestos'!$C$38,'Nacional · supuestos'!$B$38)),0)</f>
        <v>0</v>
      </c>
      <c r="K1189">
        <f>IF(D1189="Canarias",MAX(E1189*'Nacional · supuestos'!$B$41,'Nacional · supuestos'!$B$42),0)</f>
        <v>0</v>
      </c>
      <c r="L1189">
        <f>IF(D1189="Canarias",E1189*'Nacional · supuestos'!$B$43,0)</f>
        <v>0</v>
      </c>
      <c r="M1189">
        <f>IF(D1189="Canarias",E1189*'Nacional · supuestos'!$B$44,0)</f>
        <v>0</v>
      </c>
      <c r="N1189">
        <f>IF(D1189="Canarias",E1189*'Nacional · supuestos'!$B$45,0)</f>
        <v>0</v>
      </c>
      <c r="O1189">
        <f>IF(D1189="Canarias",'Nacional · supuestos'!$B$46,0)</f>
        <v>0</v>
      </c>
      <c r="P1189">
        <f>IF(D1189="Canarias",MAX(H1189*'Nacional · supuestos'!$B$47,'Nacional · supuestos'!$B$48),0)</f>
        <v>0</v>
      </c>
      <c r="Q1189">
        <f>IF(D1189="Resto nacional",E1189*'Nacional · supuestos'!$B$13*IF(A1189=2027,1+'Nacional · supuestos'!$B$6,1),0)</f>
        <v>6860.1264054105095</v>
      </c>
      <c r="R1189">
        <f>IF(D1189="Canarias",SUM(J1189:P1189)*IF(A1189=2027,1+'Nacional · supuestos'!$B$6,1),0)</f>
        <v>0</v>
      </c>
      <c r="S1189">
        <f t="shared" si="20"/>
        <v>6860.1264054105095</v>
      </c>
    </row>
    <row r="1190" spans="1:19">
      <c r="A1190">
        <v>2027</v>
      </c>
      <c r="B1190">
        <v>2</v>
      </c>
      <c r="C1190" t="s">
        <v>183</v>
      </c>
      <c r="D1190" t="s">
        <v>164</v>
      </c>
      <c r="E1190">
        <f>SUMIFS('Nacional · base'!$J$7:$J$1068,'Nacional · base'!$A$7:$A$1068,A1190,'Nacional · base'!$B$7:$B$1068,B1190,'Nacional · base'!$C$7:$C$1068,C1190)</f>
        <v>5785.54</v>
      </c>
      <c r="F1190">
        <f>SUMIFS('Nacional · base'!$K$7:$K$1068,'Nacional · base'!$A$7:$A$1068,A1190,'Nacional · base'!$B$7:$B$1068,B1190,'Nacional · base'!$C$7:$C$1068,C1190)</f>
        <v>5.1803030303030306</v>
      </c>
      <c r="G1190">
        <f t="shared" si="19"/>
        <v>6</v>
      </c>
      <c r="H1190">
        <f>SUMIFS('Nacional · base'!$G$7:$G$1068,'Nacional · base'!$A$7:$A$1068,A1190,'Nacional · base'!$B$7:$B$1068,B1190,'Nacional · base'!$C$7:$C$1068,C1190)</f>
        <v>8130.7324390054409</v>
      </c>
      <c r="I1190">
        <f>IF(D1190="Canarias",IF(C1190="CABRERA MORALES FRANCISCO",IF(E1190&lt;=2000,'Nacional · supuestos'!$C$34,IF(E1190&lt;=5000,'Nacional · supuestos'!$C$35,'Nacional · supuestos'!$C$36)),IF(E1190&lt;=2000,'Nacional · supuestos'!$B$34,IF(E1190&lt;=5000,'Nacional · supuestos'!$B$35,'Nacional · supuestos'!$B$36))),0)</f>
        <v>0.104</v>
      </c>
      <c r="J1190">
        <f>IF(D1190="Canarias",MAX(E1190*I1190,IF(C1190="CABRERA MORALES FRANCISCO",'Nacional · supuestos'!$C$38,'Nacional · supuestos'!$B$38)),0)</f>
        <v>601.69615999999996</v>
      </c>
      <c r="K1190">
        <f>IF(D1190="Canarias",MAX(E1190*'Nacional · supuestos'!$B$41,'Nacional · supuestos'!$B$42),0)</f>
        <v>208.27943999999999</v>
      </c>
      <c r="L1190">
        <f>IF(D1190="Canarias",E1190*'Nacional · supuestos'!$B$43,0)</f>
        <v>69.426479999999998</v>
      </c>
      <c r="M1190">
        <f>IF(D1190="Canarias",E1190*'Nacional · supuestos'!$B$44,0)</f>
        <v>104.13972</v>
      </c>
      <c r="N1190">
        <f>IF(D1190="Canarias",E1190*'Nacional · supuestos'!$B$45,0)</f>
        <v>127.28187999999999</v>
      </c>
      <c r="O1190">
        <f>IF(D1190="Canarias",'Nacional · supuestos'!$B$46,0)</f>
        <v>15</v>
      </c>
      <c r="P1190">
        <f>IF(D1190="Canarias",MAX(H1190*'Nacional · supuestos'!$B$47,'Nacional · supuestos'!$B$48),0)</f>
        <v>36.588295975524481</v>
      </c>
      <c r="Q1190">
        <f>IF(D1190="Resto nacional",E1190*'Nacional · supuestos'!$B$13*IF(A1190=2027,1+'Nacional · supuestos'!$B$6,1),0)</f>
        <v>0</v>
      </c>
      <c r="R1190">
        <f>IF(D1190="Canarias",SUM(J1190:P1190)*IF(A1190=2027,1+'Nacional · supuestos'!$B$6,1),0)</f>
        <v>1278.6531735730771</v>
      </c>
      <c r="S1190">
        <f t="shared" si="20"/>
        <v>1278.6531735730771</v>
      </c>
    </row>
    <row r="1191" spans="1:19">
      <c r="A1191">
        <v>2027</v>
      </c>
      <c r="B1191">
        <v>2</v>
      </c>
      <c r="C1191" t="s">
        <v>176</v>
      </c>
      <c r="D1191" t="s">
        <v>160</v>
      </c>
      <c r="E1191">
        <f>SUMIFS('Nacional · base'!$J$7:$J$1068,'Nacional · base'!$A$7:$A$1068,A1191,'Nacional · base'!$B$7:$B$1068,B1191,'Nacional · base'!$C$7:$C$1068,C1191)</f>
        <v>3108.5199999999995</v>
      </c>
      <c r="F1191">
        <f>SUMIFS('Nacional · base'!$K$7:$K$1068,'Nacional · base'!$A$7:$A$1068,A1191,'Nacional · base'!$B$7:$B$1068,B1191,'Nacional · base'!$C$7:$C$1068,C1191)</f>
        <v>4.094810606060606</v>
      </c>
      <c r="G1191">
        <f t="shared" si="19"/>
        <v>5</v>
      </c>
      <c r="H1191">
        <f>SUMIFS('Nacional · base'!$G$7:$G$1068,'Nacional · base'!$A$7:$A$1068,A1191,'Nacional · base'!$B$7:$B$1068,B1191,'Nacional · base'!$C$7:$C$1068,C1191)</f>
        <v>8269.3373804830189</v>
      </c>
      <c r="I1191">
        <f>IF(D1191="Canarias",IF(C1191="CABRERA MORALES FRANCISCO",IF(E1191&lt;=2000,'Nacional · supuestos'!$C$34,IF(E1191&lt;=5000,'Nacional · supuestos'!$C$35,'Nacional · supuestos'!$C$36)),IF(E1191&lt;=2000,'Nacional · supuestos'!$B$34,IF(E1191&lt;=5000,'Nacional · supuestos'!$B$35,'Nacional · supuestos'!$B$36))),0)</f>
        <v>0</v>
      </c>
      <c r="J1191">
        <f>IF(D1191="Canarias",MAX(E1191*I1191,IF(C1191="CABRERA MORALES FRANCISCO",'Nacional · supuestos'!$C$38,'Nacional · supuestos'!$B$38)),0)</f>
        <v>0</v>
      </c>
      <c r="K1191">
        <f>IF(D1191="Canarias",MAX(E1191*'Nacional · supuestos'!$B$41,'Nacional · supuestos'!$B$42),0)</f>
        <v>0</v>
      </c>
      <c r="L1191">
        <f>IF(D1191="Canarias",E1191*'Nacional · supuestos'!$B$43,0)</f>
        <v>0</v>
      </c>
      <c r="M1191">
        <f>IF(D1191="Canarias",E1191*'Nacional · supuestos'!$B$44,0)</f>
        <v>0</v>
      </c>
      <c r="N1191">
        <f>IF(D1191="Canarias",E1191*'Nacional · supuestos'!$B$45,0)</f>
        <v>0</v>
      </c>
      <c r="O1191">
        <f>IF(D1191="Canarias",'Nacional · supuestos'!$B$46,0)</f>
        <v>0</v>
      </c>
      <c r="P1191">
        <f>IF(D1191="Canarias",MAX(H1191*'Nacional · supuestos'!$B$47,'Nacional · supuestos'!$B$48),0)</f>
        <v>0</v>
      </c>
      <c r="Q1191">
        <f>IF(D1191="Resto nacional",E1191*'Nacional · supuestos'!$B$13*IF(A1191=2027,1+'Nacional · supuestos'!$B$6,1),0)</f>
        <v>303.19847476511967</v>
      </c>
      <c r="R1191">
        <f>IF(D1191="Canarias",SUM(J1191:P1191)*IF(A1191=2027,1+'Nacional · supuestos'!$B$6,1),0)</f>
        <v>0</v>
      </c>
      <c r="S1191">
        <f t="shared" si="20"/>
        <v>303.19847476511967</v>
      </c>
    </row>
    <row r="1192" spans="1:19">
      <c r="A1192">
        <v>2027</v>
      </c>
      <c r="B1192">
        <v>2</v>
      </c>
      <c r="C1192" t="s">
        <v>178</v>
      </c>
      <c r="D1192" t="s">
        <v>160</v>
      </c>
      <c r="E1192">
        <f>SUMIFS('Nacional · base'!$J$7:$J$1068,'Nacional · base'!$A$7:$A$1068,A1192,'Nacional · base'!$B$7:$B$1068,B1192,'Nacional · base'!$C$7:$C$1068,C1192)</f>
        <v>4837</v>
      </c>
      <c r="F1192">
        <f>SUMIFS('Nacional · base'!$K$7:$K$1068,'Nacional · base'!$A$7:$A$1068,A1192,'Nacional · base'!$B$7:$B$1068,B1192,'Nacional · base'!$C$7:$C$1068,C1192)</f>
        <v>6.2539772727272736</v>
      </c>
      <c r="G1192">
        <f t="shared" si="19"/>
        <v>7</v>
      </c>
      <c r="H1192">
        <f>SUMIFS('Nacional · base'!$G$7:$G$1068,'Nacional · base'!$A$7:$A$1068,A1192,'Nacional · base'!$B$7:$B$1068,B1192,'Nacional · base'!$C$7:$C$1068,C1192)</f>
        <v>20132.323448572373</v>
      </c>
      <c r="I1192">
        <f>IF(D1192="Canarias",IF(C1192="CABRERA MORALES FRANCISCO",IF(E1192&lt;=2000,'Nacional · supuestos'!$C$34,IF(E1192&lt;=5000,'Nacional · supuestos'!$C$35,'Nacional · supuestos'!$C$36)),IF(E1192&lt;=2000,'Nacional · supuestos'!$B$34,IF(E1192&lt;=5000,'Nacional · supuestos'!$B$35,'Nacional · supuestos'!$B$36))),0)</f>
        <v>0</v>
      </c>
      <c r="J1192">
        <f>IF(D1192="Canarias",MAX(E1192*I1192,IF(C1192="CABRERA MORALES FRANCISCO",'Nacional · supuestos'!$C$38,'Nacional · supuestos'!$B$38)),0)</f>
        <v>0</v>
      </c>
      <c r="K1192">
        <f>IF(D1192="Canarias",MAX(E1192*'Nacional · supuestos'!$B$41,'Nacional · supuestos'!$B$42),0)</f>
        <v>0</v>
      </c>
      <c r="L1192">
        <f>IF(D1192="Canarias",E1192*'Nacional · supuestos'!$B$43,0)</f>
        <v>0</v>
      </c>
      <c r="M1192">
        <f>IF(D1192="Canarias",E1192*'Nacional · supuestos'!$B$44,0)</f>
        <v>0</v>
      </c>
      <c r="N1192">
        <f>IF(D1192="Canarias",E1192*'Nacional · supuestos'!$B$45,0)</f>
        <v>0</v>
      </c>
      <c r="O1192">
        <f>IF(D1192="Canarias",'Nacional · supuestos'!$B$46,0)</f>
        <v>0</v>
      </c>
      <c r="P1192">
        <f>IF(D1192="Canarias",MAX(H1192*'Nacional · supuestos'!$B$47,'Nacional · supuestos'!$B$48),0)</f>
        <v>0</v>
      </c>
      <c r="Q1192">
        <f>IF(D1192="Resto nacional",E1192*'Nacional · supuestos'!$B$13*IF(A1192=2027,1+'Nacional · supuestos'!$B$6,1),0)</f>
        <v>471.79076294792509</v>
      </c>
      <c r="R1192">
        <f>IF(D1192="Canarias",SUM(J1192:P1192)*IF(A1192=2027,1+'Nacional · supuestos'!$B$6,1),0)</f>
        <v>0</v>
      </c>
      <c r="S1192">
        <f t="shared" si="20"/>
        <v>471.79076294792509</v>
      </c>
    </row>
    <row r="1193" spans="1:19">
      <c r="A1193">
        <v>2027</v>
      </c>
      <c r="B1193">
        <v>2</v>
      </c>
      <c r="C1193" t="s">
        <v>189</v>
      </c>
      <c r="D1193" t="s">
        <v>160</v>
      </c>
      <c r="E1193">
        <f>SUMIFS('Nacional · base'!$J$7:$J$1068,'Nacional · base'!$A$7:$A$1068,A1193,'Nacional · base'!$B$7:$B$1068,B1193,'Nacional · base'!$C$7:$C$1068,C1193)</f>
        <v>802.4</v>
      </c>
      <c r="F1193">
        <f>SUMIFS('Nacional · base'!$K$7:$K$1068,'Nacional · base'!$A$7:$A$1068,A1193,'Nacional · base'!$B$7:$B$1068,B1193,'Nacional · base'!$C$7:$C$1068,C1193)</f>
        <v>1.0625</v>
      </c>
      <c r="G1193">
        <f t="shared" si="19"/>
        <v>2</v>
      </c>
      <c r="H1193">
        <f>SUMIFS('Nacional · base'!$G$7:$G$1068,'Nacional · base'!$A$7:$A$1068,A1193,'Nacional · base'!$B$7:$B$1068,B1193,'Nacional · base'!$C$7:$C$1068,C1193)</f>
        <v>3749.6404864490787</v>
      </c>
      <c r="I1193">
        <f>IF(D1193="Canarias",IF(C1193="CABRERA MORALES FRANCISCO",IF(E1193&lt;=2000,'Nacional · supuestos'!$C$34,IF(E1193&lt;=5000,'Nacional · supuestos'!$C$35,'Nacional · supuestos'!$C$36)),IF(E1193&lt;=2000,'Nacional · supuestos'!$B$34,IF(E1193&lt;=5000,'Nacional · supuestos'!$B$35,'Nacional · supuestos'!$B$36))),0)</f>
        <v>0</v>
      </c>
      <c r="J1193">
        <f>IF(D1193="Canarias",MAX(E1193*I1193,IF(C1193="CABRERA MORALES FRANCISCO",'Nacional · supuestos'!$C$38,'Nacional · supuestos'!$B$38)),0)</f>
        <v>0</v>
      </c>
      <c r="K1193">
        <f>IF(D1193="Canarias",MAX(E1193*'Nacional · supuestos'!$B$41,'Nacional · supuestos'!$B$42),0)</f>
        <v>0</v>
      </c>
      <c r="L1193">
        <f>IF(D1193="Canarias",E1193*'Nacional · supuestos'!$B$43,0)</f>
        <v>0</v>
      </c>
      <c r="M1193">
        <f>IF(D1193="Canarias",E1193*'Nacional · supuestos'!$B$44,0)</f>
        <v>0</v>
      </c>
      <c r="N1193">
        <f>IF(D1193="Canarias",E1193*'Nacional · supuestos'!$B$45,0)</f>
        <v>0</v>
      </c>
      <c r="O1193">
        <f>IF(D1193="Canarias",'Nacional · supuestos'!$B$46,0)</f>
        <v>0</v>
      </c>
      <c r="P1193">
        <f>IF(D1193="Canarias",MAX(H1193*'Nacional · supuestos'!$B$47,'Nacional · supuestos'!$B$48),0)</f>
        <v>0</v>
      </c>
      <c r="Q1193">
        <f>IF(D1193="Resto nacional",E1193*'Nacional · supuestos'!$B$13*IF(A1193=2027,1+'Nacional · supuestos'!$B$6,1),0)</f>
        <v>78.264401114206123</v>
      </c>
      <c r="R1193">
        <f>IF(D1193="Canarias",SUM(J1193:P1193)*IF(A1193=2027,1+'Nacional · supuestos'!$B$6,1),0)</f>
        <v>0</v>
      </c>
      <c r="S1193">
        <f t="shared" si="20"/>
        <v>78.264401114206123</v>
      </c>
    </row>
    <row r="1194" spans="1:19">
      <c r="A1194">
        <v>2027</v>
      </c>
      <c r="B1194">
        <v>2</v>
      </c>
      <c r="C1194" t="s">
        <v>179</v>
      </c>
      <c r="D1194" t="s">
        <v>160</v>
      </c>
      <c r="E1194">
        <f>SUMIFS('Nacional · base'!$J$7:$J$1068,'Nacional · base'!$A$7:$A$1068,A1194,'Nacional · base'!$B$7:$B$1068,B1194,'Nacional · base'!$C$7:$C$1068,C1194)</f>
        <v>944</v>
      </c>
      <c r="F1194">
        <f>SUMIFS('Nacional · base'!$K$7:$K$1068,'Nacional · base'!$A$7:$A$1068,A1194,'Nacional · base'!$B$7:$B$1068,B1194,'Nacional · base'!$C$7:$C$1068,C1194)</f>
        <v>1.25</v>
      </c>
      <c r="G1194">
        <f t="shared" si="19"/>
        <v>2</v>
      </c>
      <c r="H1194">
        <f>SUMIFS('Nacional · base'!$G$7:$G$1068,'Nacional · base'!$A$7:$A$1068,A1194,'Nacional · base'!$B$7:$B$1068,B1194,'Nacional · base'!$C$7:$C$1068,C1194)</f>
        <v>2876.9620100632319</v>
      </c>
      <c r="I1194">
        <f>IF(D1194="Canarias",IF(C1194="CABRERA MORALES FRANCISCO",IF(E1194&lt;=2000,'Nacional · supuestos'!$C$34,IF(E1194&lt;=5000,'Nacional · supuestos'!$C$35,'Nacional · supuestos'!$C$36)),IF(E1194&lt;=2000,'Nacional · supuestos'!$B$34,IF(E1194&lt;=5000,'Nacional · supuestos'!$B$35,'Nacional · supuestos'!$B$36))),0)</f>
        <v>0</v>
      </c>
      <c r="J1194">
        <f>IF(D1194="Canarias",MAX(E1194*I1194,IF(C1194="CABRERA MORALES FRANCISCO",'Nacional · supuestos'!$C$38,'Nacional · supuestos'!$B$38)),0)</f>
        <v>0</v>
      </c>
      <c r="K1194">
        <f>IF(D1194="Canarias",MAX(E1194*'Nacional · supuestos'!$B$41,'Nacional · supuestos'!$B$42),0)</f>
        <v>0</v>
      </c>
      <c r="L1194">
        <f>IF(D1194="Canarias",E1194*'Nacional · supuestos'!$B$43,0)</f>
        <v>0</v>
      </c>
      <c r="M1194">
        <f>IF(D1194="Canarias",E1194*'Nacional · supuestos'!$B$44,0)</f>
        <v>0</v>
      </c>
      <c r="N1194">
        <f>IF(D1194="Canarias",E1194*'Nacional · supuestos'!$B$45,0)</f>
        <v>0</v>
      </c>
      <c r="O1194">
        <f>IF(D1194="Canarias",'Nacional · supuestos'!$B$46,0)</f>
        <v>0</v>
      </c>
      <c r="P1194">
        <f>IF(D1194="Canarias",MAX(H1194*'Nacional · supuestos'!$B$47,'Nacional · supuestos'!$B$48),0)</f>
        <v>0</v>
      </c>
      <c r="Q1194">
        <f>IF(D1194="Resto nacional",E1194*'Nacional · supuestos'!$B$13*IF(A1194=2027,1+'Nacional · supuestos'!$B$6,1),0)</f>
        <v>92.075766016713104</v>
      </c>
      <c r="R1194">
        <f>IF(D1194="Canarias",SUM(J1194:P1194)*IF(A1194=2027,1+'Nacional · supuestos'!$B$6,1),0)</f>
        <v>0</v>
      </c>
      <c r="S1194">
        <f t="shared" si="20"/>
        <v>92.075766016713104</v>
      </c>
    </row>
    <row r="1195" spans="1:19">
      <c r="A1195">
        <v>2027</v>
      </c>
      <c r="B1195">
        <v>2</v>
      </c>
      <c r="C1195" t="s">
        <v>193</v>
      </c>
      <c r="D1195" t="s">
        <v>160</v>
      </c>
      <c r="E1195">
        <f>SUMIFS('Nacional · base'!$J$7:$J$1068,'Nacional · base'!$A$7:$A$1068,A1195,'Nacional · base'!$B$7:$B$1068,B1195,'Nacional · base'!$C$7:$C$1068,C1195)</f>
        <v>23.599999999999998</v>
      </c>
      <c r="F1195">
        <f>SUMIFS('Nacional · base'!$K$7:$K$1068,'Nacional · base'!$A$7:$A$1068,A1195,'Nacional · base'!$B$7:$B$1068,B1195,'Nacional · base'!$C$7:$C$1068,C1195)</f>
        <v>3.125E-2</v>
      </c>
      <c r="G1195">
        <f t="shared" si="19"/>
        <v>1</v>
      </c>
      <c r="H1195">
        <f>SUMIFS('Nacional · base'!$G$7:$G$1068,'Nacional · base'!$A$7:$A$1068,A1195,'Nacional · base'!$B$7:$B$1068,B1195,'Nacional · base'!$C$7:$C$1068,C1195)</f>
        <v>101.31909687613989</v>
      </c>
      <c r="I1195">
        <f>IF(D1195="Canarias",IF(C1195="CABRERA MORALES FRANCISCO",IF(E1195&lt;=2000,'Nacional · supuestos'!$C$34,IF(E1195&lt;=5000,'Nacional · supuestos'!$C$35,'Nacional · supuestos'!$C$36)),IF(E1195&lt;=2000,'Nacional · supuestos'!$B$34,IF(E1195&lt;=5000,'Nacional · supuestos'!$B$35,'Nacional · supuestos'!$B$36))),0)</f>
        <v>0</v>
      </c>
      <c r="J1195">
        <f>IF(D1195="Canarias",MAX(E1195*I1195,IF(C1195="CABRERA MORALES FRANCISCO",'Nacional · supuestos'!$C$38,'Nacional · supuestos'!$B$38)),0)</f>
        <v>0</v>
      </c>
      <c r="K1195">
        <f>IF(D1195="Canarias",MAX(E1195*'Nacional · supuestos'!$B$41,'Nacional · supuestos'!$B$42),0)</f>
        <v>0</v>
      </c>
      <c r="L1195">
        <f>IF(D1195="Canarias",E1195*'Nacional · supuestos'!$B$43,0)</f>
        <v>0</v>
      </c>
      <c r="M1195">
        <f>IF(D1195="Canarias",E1195*'Nacional · supuestos'!$B$44,0)</f>
        <v>0</v>
      </c>
      <c r="N1195">
        <f>IF(D1195="Canarias",E1195*'Nacional · supuestos'!$B$45,0)</f>
        <v>0</v>
      </c>
      <c r="O1195">
        <f>IF(D1195="Canarias",'Nacional · supuestos'!$B$46,0)</f>
        <v>0</v>
      </c>
      <c r="P1195">
        <f>IF(D1195="Canarias",MAX(H1195*'Nacional · supuestos'!$B$47,'Nacional · supuestos'!$B$48),0)</f>
        <v>0</v>
      </c>
      <c r="Q1195">
        <f>IF(D1195="Resto nacional",E1195*'Nacional · supuestos'!$B$13*IF(A1195=2027,1+'Nacional · supuestos'!$B$6,1),0)</f>
        <v>2.3018941504178274</v>
      </c>
      <c r="R1195">
        <f>IF(D1195="Canarias",SUM(J1195:P1195)*IF(A1195=2027,1+'Nacional · supuestos'!$B$6,1),0)</f>
        <v>0</v>
      </c>
      <c r="S1195">
        <f t="shared" si="20"/>
        <v>2.3018941504178274</v>
      </c>
    </row>
    <row r="1196" spans="1:19">
      <c r="A1196">
        <v>2027</v>
      </c>
      <c r="B1196">
        <v>2</v>
      </c>
      <c r="C1196" t="s">
        <v>199</v>
      </c>
      <c r="D1196" t="s">
        <v>160</v>
      </c>
      <c r="E1196">
        <f>SUMIFS('Nacional · base'!$J$7:$J$1068,'Nacional · base'!$A$7:$A$1068,A1196,'Nacional · base'!$B$7:$B$1068,B1196,'Nacional · base'!$C$7:$C$1068,C1196)</f>
        <v>2714.2</v>
      </c>
      <c r="F1196">
        <f>SUMIFS('Nacional · base'!$K$7:$K$1068,'Nacional · base'!$A$7:$A$1068,A1196,'Nacional · base'!$B$7:$B$1068,B1196,'Nacional · base'!$C$7:$C$1068,C1196)</f>
        <v>3.208181818181818</v>
      </c>
      <c r="G1196">
        <f t="shared" si="19"/>
        <v>4</v>
      </c>
      <c r="H1196">
        <f>SUMIFS('Nacional · base'!$G$7:$G$1068,'Nacional · base'!$A$7:$A$1068,A1196,'Nacional · base'!$B$7:$B$1068,B1196,'Nacional · base'!$C$7:$C$1068,C1196)</f>
        <v>9165.4172326391254</v>
      </c>
      <c r="I1196">
        <f>IF(D1196="Canarias",IF(C1196="CABRERA MORALES FRANCISCO",IF(E1196&lt;=2000,'Nacional · supuestos'!$C$34,IF(E1196&lt;=5000,'Nacional · supuestos'!$C$35,'Nacional · supuestos'!$C$36)),IF(E1196&lt;=2000,'Nacional · supuestos'!$B$34,IF(E1196&lt;=5000,'Nacional · supuestos'!$B$35,'Nacional · supuestos'!$B$36))),0)</f>
        <v>0</v>
      </c>
      <c r="J1196">
        <f>IF(D1196="Canarias",MAX(E1196*I1196,IF(C1196="CABRERA MORALES FRANCISCO",'Nacional · supuestos'!$C$38,'Nacional · supuestos'!$B$38)),0)</f>
        <v>0</v>
      </c>
      <c r="K1196">
        <f>IF(D1196="Canarias",MAX(E1196*'Nacional · supuestos'!$B$41,'Nacional · supuestos'!$B$42),0)</f>
        <v>0</v>
      </c>
      <c r="L1196">
        <f>IF(D1196="Canarias",E1196*'Nacional · supuestos'!$B$43,0)</f>
        <v>0</v>
      </c>
      <c r="M1196">
        <f>IF(D1196="Canarias",E1196*'Nacional · supuestos'!$B$44,0)</f>
        <v>0</v>
      </c>
      <c r="N1196">
        <f>IF(D1196="Canarias",E1196*'Nacional · supuestos'!$B$45,0)</f>
        <v>0</v>
      </c>
      <c r="O1196">
        <f>IF(D1196="Canarias",'Nacional · supuestos'!$B$46,0)</f>
        <v>0</v>
      </c>
      <c r="P1196">
        <f>IF(D1196="Canarias",MAX(H1196*'Nacional · supuestos'!$B$47,'Nacional · supuestos'!$B$48),0)</f>
        <v>0</v>
      </c>
      <c r="Q1196">
        <f>IF(D1196="Resto nacional",E1196*'Nacional · supuestos'!$B$13*IF(A1196=2027,1+'Nacional · supuestos'!$B$6,1),0)</f>
        <v>264.73733487559605</v>
      </c>
      <c r="R1196">
        <f>IF(D1196="Canarias",SUM(J1196:P1196)*IF(A1196=2027,1+'Nacional · supuestos'!$B$6,1),0)</f>
        <v>0</v>
      </c>
      <c r="S1196">
        <f t="shared" si="20"/>
        <v>264.73733487559605</v>
      </c>
    </row>
    <row r="1197" spans="1:19">
      <c r="A1197">
        <v>2027</v>
      </c>
      <c r="B1197">
        <v>2</v>
      </c>
      <c r="C1197" t="s">
        <v>180</v>
      </c>
      <c r="D1197" t="s">
        <v>160</v>
      </c>
      <c r="E1197">
        <f>SUMIFS('Nacional · base'!$J$7:$J$1068,'Nacional · base'!$A$7:$A$1068,A1197,'Nacional · base'!$B$7:$B$1068,B1197,'Nacional · base'!$C$7:$C$1068,C1197)</f>
        <v>803.57999999999993</v>
      </c>
      <c r="F1197">
        <f>SUMIFS('Nacional · base'!$K$7:$K$1068,'Nacional · base'!$A$7:$A$1068,A1197,'Nacional · base'!$B$7:$B$1068,B1197,'Nacional · base'!$C$7:$C$1068,C1197)</f>
        <v>1.1248106060606062</v>
      </c>
      <c r="G1197">
        <f t="shared" si="19"/>
        <v>2</v>
      </c>
      <c r="H1197">
        <f>SUMIFS('Nacional · base'!$G$7:$G$1068,'Nacional · base'!$A$7:$A$1068,A1197,'Nacional · base'!$B$7:$B$1068,B1197,'Nacional · base'!$C$7:$C$1068,C1197)</f>
        <v>2667.173106387389</v>
      </c>
      <c r="I1197">
        <f>IF(D1197="Canarias",IF(C1197="CABRERA MORALES FRANCISCO",IF(E1197&lt;=2000,'Nacional · supuestos'!$C$34,IF(E1197&lt;=5000,'Nacional · supuestos'!$C$35,'Nacional · supuestos'!$C$36)),IF(E1197&lt;=2000,'Nacional · supuestos'!$B$34,IF(E1197&lt;=5000,'Nacional · supuestos'!$B$35,'Nacional · supuestos'!$B$36))),0)</f>
        <v>0</v>
      </c>
      <c r="J1197">
        <f>IF(D1197="Canarias",MAX(E1197*I1197,IF(C1197="CABRERA MORALES FRANCISCO",'Nacional · supuestos'!$C$38,'Nacional · supuestos'!$B$38)),0)</f>
        <v>0</v>
      </c>
      <c r="K1197">
        <f>IF(D1197="Canarias",MAX(E1197*'Nacional · supuestos'!$B$41,'Nacional · supuestos'!$B$42),0)</f>
        <v>0</v>
      </c>
      <c r="L1197">
        <f>IF(D1197="Canarias",E1197*'Nacional · supuestos'!$B$43,0)</f>
        <v>0</v>
      </c>
      <c r="M1197">
        <f>IF(D1197="Canarias",E1197*'Nacional · supuestos'!$B$44,0)</f>
        <v>0</v>
      </c>
      <c r="N1197">
        <f>IF(D1197="Canarias",E1197*'Nacional · supuestos'!$B$45,0)</f>
        <v>0</v>
      </c>
      <c r="O1197">
        <f>IF(D1197="Canarias",'Nacional · supuestos'!$B$46,0)</f>
        <v>0</v>
      </c>
      <c r="P1197">
        <f>IF(D1197="Canarias",MAX(H1197*'Nacional · supuestos'!$B$47,'Nacional · supuestos'!$B$48),0)</f>
        <v>0</v>
      </c>
      <c r="Q1197">
        <f>IF(D1197="Resto nacional",E1197*'Nacional · supuestos'!$B$13*IF(A1197=2027,1+'Nacional · supuestos'!$B$6,1),0)</f>
        <v>78.379495821727019</v>
      </c>
      <c r="R1197">
        <f>IF(D1197="Canarias",SUM(J1197:P1197)*IF(A1197=2027,1+'Nacional · supuestos'!$B$6,1),0)</f>
        <v>0</v>
      </c>
      <c r="S1197">
        <f t="shared" si="20"/>
        <v>78.379495821727019</v>
      </c>
    </row>
    <row r="1198" spans="1:19">
      <c r="A1198">
        <v>2027</v>
      </c>
      <c r="B1198">
        <v>2</v>
      </c>
      <c r="C1198" t="s">
        <v>185</v>
      </c>
      <c r="D1198" t="s">
        <v>160</v>
      </c>
      <c r="E1198">
        <f>SUMIFS('Nacional · base'!$J$7:$J$1068,'Nacional · base'!$A$7:$A$1068,A1198,'Nacional · base'!$B$7:$B$1068,B1198,'Nacional · base'!$C$7:$C$1068,C1198)</f>
        <v>118</v>
      </c>
      <c r="F1198">
        <f>SUMIFS('Nacional · base'!$K$7:$K$1068,'Nacional · base'!$A$7:$A$1068,A1198,'Nacional · base'!$B$7:$B$1068,B1198,'Nacional · base'!$C$7:$C$1068,C1198)</f>
        <v>0.15625</v>
      </c>
      <c r="G1198">
        <f t="shared" si="19"/>
        <v>1</v>
      </c>
      <c r="H1198">
        <f>SUMIFS('Nacional · base'!$G$7:$G$1068,'Nacional · base'!$A$7:$A$1068,A1198,'Nacional · base'!$B$7:$B$1068,B1198,'Nacional · base'!$C$7:$C$1068,C1198)</f>
        <v>345.02696569961222</v>
      </c>
      <c r="I1198">
        <f>IF(D1198="Canarias",IF(C1198="CABRERA MORALES FRANCISCO",IF(E1198&lt;=2000,'Nacional · supuestos'!$C$34,IF(E1198&lt;=5000,'Nacional · supuestos'!$C$35,'Nacional · supuestos'!$C$36)),IF(E1198&lt;=2000,'Nacional · supuestos'!$B$34,IF(E1198&lt;=5000,'Nacional · supuestos'!$B$35,'Nacional · supuestos'!$B$36))),0)</f>
        <v>0</v>
      </c>
      <c r="J1198">
        <f>IF(D1198="Canarias",MAX(E1198*I1198,IF(C1198="CABRERA MORALES FRANCISCO",'Nacional · supuestos'!$C$38,'Nacional · supuestos'!$B$38)),0)</f>
        <v>0</v>
      </c>
      <c r="K1198">
        <f>IF(D1198="Canarias",MAX(E1198*'Nacional · supuestos'!$B$41,'Nacional · supuestos'!$B$42),0)</f>
        <v>0</v>
      </c>
      <c r="L1198">
        <f>IF(D1198="Canarias",E1198*'Nacional · supuestos'!$B$43,0)</f>
        <v>0</v>
      </c>
      <c r="M1198">
        <f>IF(D1198="Canarias",E1198*'Nacional · supuestos'!$B$44,0)</f>
        <v>0</v>
      </c>
      <c r="N1198">
        <f>IF(D1198="Canarias",E1198*'Nacional · supuestos'!$B$45,0)</f>
        <v>0</v>
      </c>
      <c r="O1198">
        <f>IF(D1198="Canarias",'Nacional · supuestos'!$B$46,0)</f>
        <v>0</v>
      </c>
      <c r="P1198">
        <f>IF(D1198="Canarias",MAX(H1198*'Nacional · supuestos'!$B$47,'Nacional · supuestos'!$B$48),0)</f>
        <v>0</v>
      </c>
      <c r="Q1198">
        <f>IF(D1198="Resto nacional",E1198*'Nacional · supuestos'!$B$13*IF(A1198=2027,1+'Nacional · supuestos'!$B$6,1),0)</f>
        <v>11.509470752089138</v>
      </c>
      <c r="R1198">
        <f>IF(D1198="Canarias",SUM(J1198:P1198)*IF(A1198=2027,1+'Nacional · supuestos'!$B$6,1),0)</f>
        <v>0</v>
      </c>
      <c r="S1198">
        <f t="shared" si="20"/>
        <v>11.509470752089138</v>
      </c>
    </row>
    <row r="1199" spans="1:19">
      <c r="A1199">
        <v>2027</v>
      </c>
      <c r="B1199">
        <v>2</v>
      </c>
      <c r="C1199" t="s">
        <v>200</v>
      </c>
      <c r="D1199" t="s">
        <v>160</v>
      </c>
      <c r="E1199">
        <f>SUMIFS('Nacional · base'!$J$7:$J$1068,'Nacional · base'!$A$7:$A$1068,A1199,'Nacional · base'!$B$7:$B$1068,B1199,'Nacional · base'!$C$7:$C$1068,C1199)</f>
        <v>30</v>
      </c>
      <c r="F1199">
        <f>SUMIFS('Nacional · base'!$K$7:$K$1068,'Nacional · base'!$A$7:$A$1068,A1199,'Nacional · base'!$B$7:$B$1068,B1199,'Nacional · base'!$C$7:$C$1068,C1199)</f>
        <v>0.04</v>
      </c>
      <c r="G1199">
        <f t="shared" si="19"/>
        <v>1</v>
      </c>
      <c r="H1199">
        <f>SUMIFS('Nacional · base'!$G$7:$G$1068,'Nacional · base'!$A$7:$A$1068,A1199,'Nacional · base'!$B$7:$B$1068,B1199,'Nacional · base'!$C$7:$C$1068,C1199)</f>
        <v>151.97864531420984</v>
      </c>
      <c r="I1199">
        <f>IF(D1199="Canarias",IF(C1199="CABRERA MORALES FRANCISCO",IF(E1199&lt;=2000,'Nacional · supuestos'!$C$34,IF(E1199&lt;=5000,'Nacional · supuestos'!$C$35,'Nacional · supuestos'!$C$36)),IF(E1199&lt;=2000,'Nacional · supuestos'!$B$34,IF(E1199&lt;=5000,'Nacional · supuestos'!$B$35,'Nacional · supuestos'!$B$36))),0)</f>
        <v>0</v>
      </c>
      <c r="J1199">
        <f>IF(D1199="Canarias",MAX(E1199*I1199,IF(C1199="CABRERA MORALES FRANCISCO",'Nacional · supuestos'!$C$38,'Nacional · supuestos'!$B$38)),0)</f>
        <v>0</v>
      </c>
      <c r="K1199">
        <f>IF(D1199="Canarias",MAX(E1199*'Nacional · supuestos'!$B$41,'Nacional · supuestos'!$B$42),0)</f>
        <v>0</v>
      </c>
      <c r="L1199">
        <f>IF(D1199="Canarias",E1199*'Nacional · supuestos'!$B$43,0)</f>
        <v>0</v>
      </c>
      <c r="M1199">
        <f>IF(D1199="Canarias",E1199*'Nacional · supuestos'!$B$44,0)</f>
        <v>0</v>
      </c>
      <c r="N1199">
        <f>IF(D1199="Canarias",E1199*'Nacional · supuestos'!$B$45,0)</f>
        <v>0</v>
      </c>
      <c r="O1199">
        <f>IF(D1199="Canarias",'Nacional · supuestos'!$B$46,0)</f>
        <v>0</v>
      </c>
      <c r="P1199">
        <f>IF(D1199="Canarias",MAX(H1199*'Nacional · supuestos'!$B$47,'Nacional · supuestos'!$B$48),0)</f>
        <v>0</v>
      </c>
      <c r="Q1199">
        <f>IF(D1199="Resto nacional",E1199*'Nacional · supuestos'!$B$13*IF(A1199=2027,1+'Nacional · supuestos'!$B$6,1),0)</f>
        <v>2.9261366318870685</v>
      </c>
      <c r="R1199">
        <f>IF(D1199="Canarias",SUM(J1199:P1199)*IF(A1199=2027,1+'Nacional · supuestos'!$B$6,1),0)</f>
        <v>0</v>
      </c>
      <c r="S1199">
        <f t="shared" si="20"/>
        <v>2.9261366318870685</v>
      </c>
    </row>
    <row r="1200" spans="1:19">
      <c r="A1200">
        <v>2027</v>
      </c>
      <c r="B1200">
        <v>2</v>
      </c>
      <c r="C1200" t="s">
        <v>187</v>
      </c>
      <c r="D1200" t="s">
        <v>160</v>
      </c>
      <c r="E1200">
        <f>SUMIFS('Nacional · base'!$J$7:$J$1068,'Nacional · base'!$A$7:$A$1068,A1200,'Nacional · base'!$B$7:$B$1068,B1200,'Nacional · base'!$C$7:$C$1068,C1200)</f>
        <v>2448.5</v>
      </c>
      <c r="F1200">
        <f>SUMIFS('Nacional · base'!$K$7:$K$1068,'Nacional · base'!$A$7:$A$1068,A1200,'Nacional · base'!$B$7:$B$1068,B1200,'Nacional · base'!$C$7:$C$1068,C1200)</f>
        <v>3.3520833333333333</v>
      </c>
      <c r="G1200">
        <f t="shared" si="19"/>
        <v>4</v>
      </c>
      <c r="H1200">
        <f>SUMIFS('Nacional · base'!$G$7:$G$1068,'Nacional · base'!$A$7:$A$1068,A1200,'Nacional · base'!$B$7:$B$1068,B1200,'Nacional · base'!$C$7:$C$1068,C1200)</f>
        <v>9301.9165714861465</v>
      </c>
      <c r="I1200">
        <f>IF(D1200="Canarias",IF(C1200="CABRERA MORALES FRANCISCO",IF(E1200&lt;=2000,'Nacional · supuestos'!$C$34,IF(E1200&lt;=5000,'Nacional · supuestos'!$C$35,'Nacional · supuestos'!$C$36)),IF(E1200&lt;=2000,'Nacional · supuestos'!$B$34,IF(E1200&lt;=5000,'Nacional · supuestos'!$B$35,'Nacional · supuestos'!$B$36))),0)</f>
        <v>0</v>
      </c>
      <c r="J1200">
        <f>IF(D1200="Canarias",MAX(E1200*I1200,IF(C1200="CABRERA MORALES FRANCISCO",'Nacional · supuestos'!$C$38,'Nacional · supuestos'!$B$38)),0)</f>
        <v>0</v>
      </c>
      <c r="K1200">
        <f>IF(D1200="Canarias",MAX(E1200*'Nacional · supuestos'!$B$41,'Nacional · supuestos'!$B$42),0)</f>
        <v>0</v>
      </c>
      <c r="L1200">
        <f>IF(D1200="Canarias",E1200*'Nacional · supuestos'!$B$43,0)</f>
        <v>0</v>
      </c>
      <c r="M1200">
        <f>IF(D1200="Canarias",E1200*'Nacional · supuestos'!$B$44,0)</f>
        <v>0</v>
      </c>
      <c r="N1200">
        <f>IF(D1200="Canarias",E1200*'Nacional · supuestos'!$B$45,0)</f>
        <v>0</v>
      </c>
      <c r="O1200">
        <f>IF(D1200="Canarias",'Nacional · supuestos'!$B$46,0)</f>
        <v>0</v>
      </c>
      <c r="P1200">
        <f>IF(D1200="Canarias",MAX(H1200*'Nacional · supuestos'!$B$47,'Nacional · supuestos'!$B$48),0)</f>
        <v>0</v>
      </c>
      <c r="Q1200">
        <f>IF(D1200="Resto nacional",E1200*'Nacional · supuestos'!$B$13*IF(A1200=2027,1+'Nacional · supuestos'!$B$6,1),0)</f>
        <v>238.82151810584961</v>
      </c>
      <c r="R1200">
        <f>IF(D1200="Canarias",SUM(J1200:P1200)*IF(A1200=2027,1+'Nacional · supuestos'!$B$6,1),0)</f>
        <v>0</v>
      </c>
      <c r="S1200">
        <f t="shared" si="20"/>
        <v>238.82151810584961</v>
      </c>
    </row>
    <row r="1201" spans="1:19">
      <c r="A1201">
        <v>2027</v>
      </c>
      <c r="B1201">
        <v>3</v>
      </c>
      <c r="C1201" t="s">
        <v>159</v>
      </c>
      <c r="D1201" t="s">
        <v>160</v>
      </c>
      <c r="E1201">
        <f>SUMIFS('Nacional · base'!$J$7:$J$1068,'Nacional · base'!$A$7:$A$1068,A1201,'Nacional · base'!$B$7:$B$1068,B1201,'Nacional · base'!$C$7:$C$1068,C1201)</f>
        <v>3864.7999999999997</v>
      </c>
      <c r="F1201">
        <f>SUMIFS('Nacional · base'!$K$7:$K$1068,'Nacional · base'!$A$7:$A$1068,A1201,'Nacional · base'!$B$7:$B$1068,B1201,'Nacional · base'!$C$7:$C$1068,C1201)</f>
        <v>5.0374999999999996</v>
      </c>
      <c r="G1201">
        <f t="shared" si="19"/>
        <v>6</v>
      </c>
      <c r="H1201">
        <f>SUMIFS('Nacional · base'!$G$7:$G$1068,'Nacional · base'!$A$7:$A$1068,A1201,'Nacional · base'!$B$7:$B$1068,B1201,'Nacional · base'!$C$7:$C$1068,C1201)</f>
        <v>12540.010280240105</v>
      </c>
      <c r="I1201">
        <f>IF(D1201="Canarias",IF(C1201="CABRERA MORALES FRANCISCO",IF(E1201&lt;=2000,'Nacional · supuestos'!$C$34,IF(E1201&lt;=5000,'Nacional · supuestos'!$C$35,'Nacional · supuestos'!$C$36)),IF(E1201&lt;=2000,'Nacional · supuestos'!$B$34,IF(E1201&lt;=5000,'Nacional · supuestos'!$B$35,'Nacional · supuestos'!$B$36))),0)</f>
        <v>0</v>
      </c>
      <c r="J1201">
        <f>IF(D1201="Canarias",MAX(E1201*I1201,IF(C1201="CABRERA MORALES FRANCISCO",'Nacional · supuestos'!$C$38,'Nacional · supuestos'!$B$38)),0)</f>
        <v>0</v>
      </c>
      <c r="K1201">
        <f>IF(D1201="Canarias",MAX(E1201*'Nacional · supuestos'!$B$41,'Nacional · supuestos'!$B$42),0)</f>
        <v>0</v>
      </c>
      <c r="L1201">
        <f>IF(D1201="Canarias",E1201*'Nacional · supuestos'!$B$43,0)</f>
        <v>0</v>
      </c>
      <c r="M1201">
        <f>IF(D1201="Canarias",E1201*'Nacional · supuestos'!$B$44,0)</f>
        <v>0</v>
      </c>
      <c r="N1201">
        <f>IF(D1201="Canarias",E1201*'Nacional · supuestos'!$B$45,0)</f>
        <v>0</v>
      </c>
      <c r="O1201">
        <f>IF(D1201="Canarias",'Nacional · supuestos'!$B$46,0)</f>
        <v>0</v>
      </c>
      <c r="P1201">
        <f>IF(D1201="Canarias",MAX(H1201*'Nacional · supuestos'!$B$47,'Nacional · supuestos'!$B$48),0)</f>
        <v>0</v>
      </c>
      <c r="Q1201">
        <f>IF(D1201="Resto nacional",E1201*'Nacional · supuestos'!$B$13*IF(A1201=2027,1+'Nacional · supuestos'!$B$6,1),0)</f>
        <v>376.96442849723809</v>
      </c>
      <c r="R1201">
        <f>IF(D1201="Canarias",SUM(J1201:P1201)*IF(A1201=2027,1+'Nacional · supuestos'!$B$6,1),0)</f>
        <v>0</v>
      </c>
      <c r="S1201">
        <f t="shared" si="20"/>
        <v>376.96442849723809</v>
      </c>
    </row>
    <row r="1202" spans="1:19">
      <c r="A1202">
        <v>2027</v>
      </c>
      <c r="B1202">
        <v>3</v>
      </c>
      <c r="C1202" t="s">
        <v>194</v>
      </c>
      <c r="D1202" t="s">
        <v>160</v>
      </c>
      <c r="E1202">
        <f>SUMIFS('Nacional · base'!$J$7:$J$1068,'Nacional · base'!$A$7:$A$1068,A1202,'Nacional · base'!$B$7:$B$1068,B1202,'Nacional · base'!$C$7:$C$1068,C1202)</f>
        <v>1180</v>
      </c>
      <c r="F1202">
        <f>SUMIFS('Nacional · base'!$K$7:$K$1068,'Nacional · base'!$A$7:$A$1068,A1202,'Nacional · base'!$B$7:$B$1068,B1202,'Nacional · base'!$C$7:$C$1068,C1202)</f>
        <v>1</v>
      </c>
      <c r="G1202">
        <f t="shared" ref="G1202:G1265" si="21">ROUNDUP(F1202,0)</f>
        <v>1</v>
      </c>
      <c r="H1202">
        <f>SUMIFS('Nacional · base'!$G$7:$G$1068,'Nacional · base'!$A$7:$A$1068,A1202,'Nacional · base'!$B$7:$B$1068,B1202,'Nacional · base'!$C$7:$C$1068,C1202)</f>
        <v>1876.279571780369</v>
      </c>
      <c r="I1202">
        <f>IF(D1202="Canarias",IF(C1202="CABRERA MORALES FRANCISCO",IF(E1202&lt;=2000,'Nacional · supuestos'!$C$34,IF(E1202&lt;=5000,'Nacional · supuestos'!$C$35,'Nacional · supuestos'!$C$36)),IF(E1202&lt;=2000,'Nacional · supuestos'!$B$34,IF(E1202&lt;=5000,'Nacional · supuestos'!$B$35,'Nacional · supuestos'!$B$36))),0)</f>
        <v>0</v>
      </c>
      <c r="J1202">
        <f>IF(D1202="Canarias",MAX(E1202*I1202,IF(C1202="CABRERA MORALES FRANCISCO",'Nacional · supuestos'!$C$38,'Nacional · supuestos'!$B$38)),0)</f>
        <v>0</v>
      </c>
      <c r="K1202">
        <f>IF(D1202="Canarias",MAX(E1202*'Nacional · supuestos'!$B$41,'Nacional · supuestos'!$B$42),0)</f>
        <v>0</v>
      </c>
      <c r="L1202">
        <f>IF(D1202="Canarias",E1202*'Nacional · supuestos'!$B$43,0)</f>
        <v>0</v>
      </c>
      <c r="M1202">
        <f>IF(D1202="Canarias",E1202*'Nacional · supuestos'!$B$44,0)</f>
        <v>0</v>
      </c>
      <c r="N1202">
        <f>IF(D1202="Canarias",E1202*'Nacional · supuestos'!$B$45,0)</f>
        <v>0</v>
      </c>
      <c r="O1202">
        <f>IF(D1202="Canarias",'Nacional · supuestos'!$B$46,0)</f>
        <v>0</v>
      </c>
      <c r="P1202">
        <f>IF(D1202="Canarias",MAX(H1202*'Nacional · supuestos'!$B$47,'Nacional · supuestos'!$B$48),0)</f>
        <v>0</v>
      </c>
      <c r="Q1202">
        <f>IF(D1202="Resto nacional",E1202*'Nacional · supuestos'!$B$13*IF(A1202=2027,1+'Nacional · supuestos'!$B$6,1),0)</f>
        <v>115.09470752089136</v>
      </c>
      <c r="R1202">
        <f>IF(D1202="Canarias",SUM(J1202:P1202)*IF(A1202=2027,1+'Nacional · supuestos'!$B$6,1),0)</f>
        <v>0</v>
      </c>
      <c r="S1202">
        <f t="shared" ref="S1202:S1265" si="22">Q1202+R1202</f>
        <v>115.09470752089136</v>
      </c>
    </row>
    <row r="1203" spans="1:19">
      <c r="A1203">
        <v>2027</v>
      </c>
      <c r="B1203">
        <v>3</v>
      </c>
      <c r="C1203" t="s">
        <v>161</v>
      </c>
      <c r="D1203" t="s">
        <v>160</v>
      </c>
      <c r="E1203">
        <f>SUMIFS('Nacional · base'!$J$7:$J$1068,'Nacional · base'!$A$7:$A$1068,A1203,'Nacional · base'!$B$7:$B$1068,B1203,'Nacional · base'!$C$7:$C$1068,C1203)</f>
        <v>780</v>
      </c>
      <c r="F1203">
        <f>SUMIFS('Nacional · base'!$K$7:$K$1068,'Nacional · base'!$A$7:$A$1068,A1203,'Nacional · base'!$B$7:$B$1068,B1203,'Nacional · base'!$C$7:$C$1068,C1203)</f>
        <v>1.04</v>
      </c>
      <c r="G1203">
        <f t="shared" si="21"/>
        <v>2</v>
      </c>
      <c r="H1203">
        <f>SUMIFS('Nacional · base'!$G$7:$G$1068,'Nacional · base'!$A$7:$A$1068,A1203,'Nacional · base'!$B$7:$B$1068,B1203,'Nacional · base'!$C$7:$C$1068,C1203)</f>
        <v>5130.3737757714553</v>
      </c>
      <c r="I1203">
        <f>IF(D1203="Canarias",IF(C1203="CABRERA MORALES FRANCISCO",IF(E1203&lt;=2000,'Nacional · supuestos'!$C$34,IF(E1203&lt;=5000,'Nacional · supuestos'!$C$35,'Nacional · supuestos'!$C$36)),IF(E1203&lt;=2000,'Nacional · supuestos'!$B$34,IF(E1203&lt;=5000,'Nacional · supuestos'!$B$35,'Nacional · supuestos'!$B$36))),0)</f>
        <v>0</v>
      </c>
      <c r="J1203">
        <f>IF(D1203="Canarias",MAX(E1203*I1203,IF(C1203="CABRERA MORALES FRANCISCO",'Nacional · supuestos'!$C$38,'Nacional · supuestos'!$B$38)),0)</f>
        <v>0</v>
      </c>
      <c r="K1203">
        <f>IF(D1203="Canarias",MAX(E1203*'Nacional · supuestos'!$B$41,'Nacional · supuestos'!$B$42),0)</f>
        <v>0</v>
      </c>
      <c r="L1203">
        <f>IF(D1203="Canarias",E1203*'Nacional · supuestos'!$B$43,0)</f>
        <v>0</v>
      </c>
      <c r="M1203">
        <f>IF(D1203="Canarias",E1203*'Nacional · supuestos'!$B$44,0)</f>
        <v>0</v>
      </c>
      <c r="N1203">
        <f>IF(D1203="Canarias",E1203*'Nacional · supuestos'!$B$45,0)</f>
        <v>0</v>
      </c>
      <c r="O1203">
        <f>IF(D1203="Canarias",'Nacional · supuestos'!$B$46,0)</f>
        <v>0</v>
      </c>
      <c r="P1203">
        <f>IF(D1203="Canarias",MAX(H1203*'Nacional · supuestos'!$B$47,'Nacional · supuestos'!$B$48),0)</f>
        <v>0</v>
      </c>
      <c r="Q1203">
        <f>IF(D1203="Resto nacional",E1203*'Nacional · supuestos'!$B$13*IF(A1203=2027,1+'Nacional · supuestos'!$B$6,1),0)</f>
        <v>76.079552429063796</v>
      </c>
      <c r="R1203">
        <f>IF(D1203="Canarias",SUM(J1203:P1203)*IF(A1203=2027,1+'Nacional · supuestos'!$B$6,1),0)</f>
        <v>0</v>
      </c>
      <c r="S1203">
        <f t="shared" si="22"/>
        <v>76.079552429063796</v>
      </c>
    </row>
    <row r="1204" spans="1:19">
      <c r="A1204">
        <v>2027</v>
      </c>
      <c r="B1204">
        <v>3</v>
      </c>
      <c r="C1204" t="s">
        <v>162</v>
      </c>
      <c r="D1204" t="s">
        <v>160</v>
      </c>
      <c r="E1204">
        <f>SUMIFS('Nacional · base'!$J$7:$J$1068,'Nacional · base'!$A$7:$A$1068,A1204,'Nacional · base'!$B$7:$B$1068,B1204,'Nacional · base'!$C$7:$C$1068,C1204)</f>
        <v>12390</v>
      </c>
      <c r="F1204">
        <f>SUMIFS('Nacional · base'!$K$7:$K$1068,'Nacional · base'!$A$7:$A$1068,A1204,'Nacional · base'!$B$7:$B$1068,B1204,'Nacional · base'!$C$7:$C$1068,C1204)</f>
        <v>13.84375</v>
      </c>
      <c r="G1204">
        <f t="shared" si="21"/>
        <v>14</v>
      </c>
      <c r="H1204">
        <f>SUMIFS('Nacional · base'!$G$7:$G$1068,'Nacional · base'!$A$7:$A$1068,A1204,'Nacional · base'!$B$7:$B$1068,B1204,'Nacional · base'!$C$7:$C$1068,C1204)</f>
        <v>30542.912771472744</v>
      </c>
      <c r="I1204">
        <f>IF(D1204="Canarias",IF(C1204="CABRERA MORALES FRANCISCO",IF(E1204&lt;=2000,'Nacional · supuestos'!$C$34,IF(E1204&lt;=5000,'Nacional · supuestos'!$C$35,'Nacional · supuestos'!$C$36)),IF(E1204&lt;=2000,'Nacional · supuestos'!$B$34,IF(E1204&lt;=5000,'Nacional · supuestos'!$B$35,'Nacional · supuestos'!$B$36))),0)</f>
        <v>0</v>
      </c>
      <c r="J1204">
        <f>IF(D1204="Canarias",MAX(E1204*I1204,IF(C1204="CABRERA MORALES FRANCISCO",'Nacional · supuestos'!$C$38,'Nacional · supuestos'!$B$38)),0)</f>
        <v>0</v>
      </c>
      <c r="K1204">
        <f>IF(D1204="Canarias",MAX(E1204*'Nacional · supuestos'!$B$41,'Nacional · supuestos'!$B$42),0)</f>
        <v>0</v>
      </c>
      <c r="L1204">
        <f>IF(D1204="Canarias",E1204*'Nacional · supuestos'!$B$43,0)</f>
        <v>0</v>
      </c>
      <c r="M1204">
        <f>IF(D1204="Canarias",E1204*'Nacional · supuestos'!$B$44,0)</f>
        <v>0</v>
      </c>
      <c r="N1204">
        <f>IF(D1204="Canarias",E1204*'Nacional · supuestos'!$B$45,0)</f>
        <v>0</v>
      </c>
      <c r="O1204">
        <f>IF(D1204="Canarias",'Nacional · supuestos'!$B$46,0)</f>
        <v>0</v>
      </c>
      <c r="P1204">
        <f>IF(D1204="Canarias",MAX(H1204*'Nacional · supuestos'!$B$47,'Nacional · supuestos'!$B$48),0)</f>
        <v>0</v>
      </c>
      <c r="Q1204">
        <f>IF(D1204="Resto nacional",E1204*'Nacional · supuestos'!$B$13*IF(A1204=2027,1+'Nacional · supuestos'!$B$6,1),0)</f>
        <v>1208.4944289693592</v>
      </c>
      <c r="R1204">
        <f>IF(D1204="Canarias",SUM(J1204:P1204)*IF(A1204=2027,1+'Nacional · supuestos'!$B$6,1),0)</f>
        <v>0</v>
      </c>
      <c r="S1204">
        <f t="shared" si="22"/>
        <v>1208.4944289693592</v>
      </c>
    </row>
    <row r="1205" spans="1:19">
      <c r="A1205">
        <v>2027</v>
      </c>
      <c r="B1205">
        <v>3</v>
      </c>
      <c r="C1205" t="s">
        <v>163</v>
      </c>
      <c r="D1205" t="s">
        <v>164</v>
      </c>
      <c r="E1205">
        <f>SUMIFS('Nacional · base'!$J$7:$J$1068,'Nacional · base'!$A$7:$A$1068,A1205,'Nacional · base'!$B$7:$B$1068,B1205,'Nacional · base'!$C$7:$C$1068,C1205)</f>
        <v>11280.2</v>
      </c>
      <c r="F1205">
        <f>SUMIFS('Nacional · base'!$K$7:$K$1068,'Nacional · base'!$A$7:$A$1068,A1205,'Nacional · base'!$B$7:$B$1068,B1205,'Nacional · base'!$C$7:$C$1068,C1205)</f>
        <v>13.510416666666666</v>
      </c>
      <c r="G1205">
        <f t="shared" si="21"/>
        <v>14</v>
      </c>
      <c r="H1205">
        <f>SUMIFS('Nacional · base'!$G$7:$G$1068,'Nacional · base'!$A$7:$A$1068,A1205,'Nacional · base'!$B$7:$B$1068,B1205,'Nacional · base'!$C$7:$C$1068,C1205)</f>
        <v>28028.062294987729</v>
      </c>
      <c r="I1205">
        <f>IF(D1205="Canarias",IF(C1205="CABRERA MORALES FRANCISCO",IF(E1205&lt;=2000,'Nacional · supuestos'!$C$34,IF(E1205&lt;=5000,'Nacional · supuestos'!$C$35,'Nacional · supuestos'!$C$36)),IF(E1205&lt;=2000,'Nacional · supuestos'!$B$34,IF(E1205&lt;=5000,'Nacional · supuestos'!$B$35,'Nacional · supuestos'!$B$36))),0)</f>
        <v>0.104</v>
      </c>
      <c r="J1205">
        <f>IF(D1205="Canarias",MAX(E1205*I1205,IF(C1205="CABRERA MORALES FRANCISCO",'Nacional · supuestos'!$C$38,'Nacional · supuestos'!$B$38)),0)</f>
        <v>1173.1408000000001</v>
      </c>
      <c r="K1205">
        <f>IF(D1205="Canarias",MAX(E1205*'Nacional · supuestos'!$B$41,'Nacional · supuestos'!$B$42),0)</f>
        <v>406.0872</v>
      </c>
      <c r="L1205">
        <f>IF(D1205="Canarias",E1205*'Nacional · supuestos'!$B$43,0)</f>
        <v>135.36240000000001</v>
      </c>
      <c r="M1205">
        <f>IF(D1205="Canarias",E1205*'Nacional · supuestos'!$B$44,0)</f>
        <v>203.0436</v>
      </c>
      <c r="N1205">
        <f>IF(D1205="Canarias",E1205*'Nacional · supuestos'!$B$45,0)</f>
        <v>248.1644</v>
      </c>
      <c r="O1205">
        <f>IF(D1205="Canarias",'Nacional · supuestos'!$B$46,0)</f>
        <v>15</v>
      </c>
      <c r="P1205">
        <f>IF(D1205="Canarias",MAX(H1205*'Nacional · supuestos'!$B$47,'Nacional · supuestos'!$B$48),0)</f>
        <v>126.12628032744477</v>
      </c>
      <c r="Q1205">
        <f>IF(D1205="Resto nacional",E1205*'Nacional · supuestos'!$B$13*IF(A1205=2027,1+'Nacional · supuestos'!$B$6,1),0)</f>
        <v>0</v>
      </c>
      <c r="R1205">
        <f>IF(D1205="Canarias",SUM(J1205:P1205)*IF(A1205=2027,1+'Nacional · supuestos'!$B$6,1),0)</f>
        <v>2537.6171483601897</v>
      </c>
      <c r="S1205">
        <f t="shared" si="22"/>
        <v>2537.6171483601897</v>
      </c>
    </row>
    <row r="1206" spans="1:19">
      <c r="A1206">
        <v>2027</v>
      </c>
      <c r="B1206">
        <v>3</v>
      </c>
      <c r="C1206" t="s">
        <v>165</v>
      </c>
      <c r="D1206" t="s">
        <v>160</v>
      </c>
      <c r="E1206">
        <f>SUMIFS('Nacional · base'!$J$7:$J$1068,'Nacional · base'!$A$7:$A$1068,A1206,'Nacional · base'!$B$7:$B$1068,B1206,'Nacional · base'!$C$7:$C$1068,C1206)</f>
        <v>1815</v>
      </c>
      <c r="F1206">
        <f>SUMIFS('Nacional · base'!$K$7:$K$1068,'Nacional · base'!$A$7:$A$1068,A1206,'Nacional · base'!$B$7:$B$1068,B1206,'Nacional · base'!$C$7:$C$1068,C1206)</f>
        <v>2.42</v>
      </c>
      <c r="G1206">
        <f t="shared" si="21"/>
        <v>3</v>
      </c>
      <c r="H1206">
        <f>SUMIFS('Nacional · base'!$G$7:$G$1068,'Nacional · base'!$A$7:$A$1068,A1206,'Nacional · base'!$B$7:$B$1068,B1206,'Nacional · base'!$C$7:$C$1068,C1206)</f>
        <v>12779.88741160453</v>
      </c>
      <c r="I1206">
        <f>IF(D1206="Canarias",IF(C1206="CABRERA MORALES FRANCISCO",IF(E1206&lt;=2000,'Nacional · supuestos'!$C$34,IF(E1206&lt;=5000,'Nacional · supuestos'!$C$35,'Nacional · supuestos'!$C$36)),IF(E1206&lt;=2000,'Nacional · supuestos'!$B$34,IF(E1206&lt;=5000,'Nacional · supuestos'!$B$35,'Nacional · supuestos'!$B$36))),0)</f>
        <v>0</v>
      </c>
      <c r="J1206">
        <f>IF(D1206="Canarias",MAX(E1206*I1206,IF(C1206="CABRERA MORALES FRANCISCO",'Nacional · supuestos'!$C$38,'Nacional · supuestos'!$B$38)),0)</f>
        <v>0</v>
      </c>
      <c r="K1206">
        <f>IF(D1206="Canarias",MAX(E1206*'Nacional · supuestos'!$B$41,'Nacional · supuestos'!$B$42),0)</f>
        <v>0</v>
      </c>
      <c r="L1206">
        <f>IF(D1206="Canarias",E1206*'Nacional · supuestos'!$B$43,0)</f>
        <v>0</v>
      </c>
      <c r="M1206">
        <f>IF(D1206="Canarias",E1206*'Nacional · supuestos'!$B$44,0)</f>
        <v>0</v>
      </c>
      <c r="N1206">
        <f>IF(D1206="Canarias",E1206*'Nacional · supuestos'!$B$45,0)</f>
        <v>0</v>
      </c>
      <c r="O1206">
        <f>IF(D1206="Canarias",'Nacional · supuestos'!$B$46,0)</f>
        <v>0</v>
      </c>
      <c r="P1206">
        <f>IF(D1206="Canarias",MAX(H1206*'Nacional · supuestos'!$B$47,'Nacional · supuestos'!$B$48),0)</f>
        <v>0</v>
      </c>
      <c r="Q1206">
        <f>IF(D1206="Resto nacional",E1206*'Nacional · supuestos'!$B$13*IF(A1206=2027,1+'Nacional · supuestos'!$B$6,1),0)</f>
        <v>177.03126622916767</v>
      </c>
      <c r="R1206">
        <f>IF(D1206="Canarias",SUM(J1206:P1206)*IF(A1206=2027,1+'Nacional · supuestos'!$B$6,1),0)</f>
        <v>0</v>
      </c>
      <c r="S1206">
        <f t="shared" si="22"/>
        <v>177.03126622916767</v>
      </c>
    </row>
    <row r="1207" spans="1:19">
      <c r="A1207">
        <v>2027</v>
      </c>
      <c r="B1207">
        <v>3</v>
      </c>
      <c r="C1207" t="s">
        <v>167</v>
      </c>
      <c r="D1207" t="s">
        <v>160</v>
      </c>
      <c r="E1207">
        <f>SUMIFS('Nacional · base'!$J$7:$J$1068,'Nacional · base'!$A$7:$A$1068,A1207,'Nacional · base'!$B$7:$B$1068,B1207,'Nacional · base'!$C$7:$C$1068,C1207)</f>
        <v>259.59999999999997</v>
      </c>
      <c r="F1207">
        <f>SUMIFS('Nacional · base'!$K$7:$K$1068,'Nacional · base'!$A$7:$A$1068,A1207,'Nacional · base'!$B$7:$B$1068,B1207,'Nacional · base'!$C$7:$C$1068,C1207)</f>
        <v>0.34375</v>
      </c>
      <c r="G1207">
        <f t="shared" si="21"/>
        <v>1</v>
      </c>
      <c r="H1207">
        <f>SUMIFS('Nacional · base'!$G$7:$G$1068,'Nacional · base'!$A$7:$A$1068,A1207,'Nacional · base'!$B$7:$B$1068,B1207,'Nacional · base'!$C$7:$C$1068,C1207)</f>
        <v>871.42762333799351</v>
      </c>
      <c r="I1207">
        <f>IF(D1207="Canarias",IF(C1207="CABRERA MORALES FRANCISCO",IF(E1207&lt;=2000,'Nacional · supuestos'!$C$34,IF(E1207&lt;=5000,'Nacional · supuestos'!$C$35,'Nacional · supuestos'!$C$36)),IF(E1207&lt;=2000,'Nacional · supuestos'!$B$34,IF(E1207&lt;=5000,'Nacional · supuestos'!$B$35,'Nacional · supuestos'!$B$36))),0)</f>
        <v>0</v>
      </c>
      <c r="J1207">
        <f>IF(D1207="Canarias",MAX(E1207*I1207,IF(C1207="CABRERA MORALES FRANCISCO",'Nacional · supuestos'!$C$38,'Nacional · supuestos'!$B$38)),0)</f>
        <v>0</v>
      </c>
      <c r="K1207">
        <f>IF(D1207="Canarias",MAX(E1207*'Nacional · supuestos'!$B$41,'Nacional · supuestos'!$B$42),0)</f>
        <v>0</v>
      </c>
      <c r="L1207">
        <f>IF(D1207="Canarias",E1207*'Nacional · supuestos'!$B$43,0)</f>
        <v>0</v>
      </c>
      <c r="M1207">
        <f>IF(D1207="Canarias",E1207*'Nacional · supuestos'!$B$44,0)</f>
        <v>0</v>
      </c>
      <c r="N1207">
        <f>IF(D1207="Canarias",E1207*'Nacional · supuestos'!$B$45,0)</f>
        <v>0</v>
      </c>
      <c r="O1207">
        <f>IF(D1207="Canarias",'Nacional · supuestos'!$B$46,0)</f>
        <v>0</v>
      </c>
      <c r="P1207">
        <f>IF(D1207="Canarias",MAX(H1207*'Nacional · supuestos'!$B$47,'Nacional · supuestos'!$B$48),0)</f>
        <v>0</v>
      </c>
      <c r="Q1207">
        <f>IF(D1207="Resto nacional",E1207*'Nacional · supuestos'!$B$13*IF(A1207=2027,1+'Nacional · supuestos'!$B$6,1),0)</f>
        <v>25.320835654596099</v>
      </c>
      <c r="R1207">
        <f>IF(D1207="Canarias",SUM(J1207:P1207)*IF(A1207=2027,1+'Nacional · supuestos'!$B$6,1),0)</f>
        <v>0</v>
      </c>
      <c r="S1207">
        <f t="shared" si="22"/>
        <v>25.320835654596099</v>
      </c>
    </row>
    <row r="1208" spans="1:19">
      <c r="A1208">
        <v>2027</v>
      </c>
      <c r="B1208">
        <v>3</v>
      </c>
      <c r="C1208" t="s">
        <v>191</v>
      </c>
      <c r="D1208" t="s">
        <v>160</v>
      </c>
      <c r="E1208">
        <f>SUMIFS('Nacional · base'!$J$7:$J$1068,'Nacional · base'!$A$7:$A$1068,A1208,'Nacional · base'!$B$7:$B$1068,B1208,'Nacional · base'!$C$7:$C$1068,C1208)</f>
        <v>2921.2</v>
      </c>
      <c r="F1208">
        <f>SUMIFS('Nacional · base'!$K$7:$K$1068,'Nacional · base'!$A$7:$A$1068,A1208,'Nacional · base'!$B$7:$B$1068,B1208,'Nacional · base'!$C$7:$C$1068,C1208)</f>
        <v>3.7166666666666668</v>
      </c>
      <c r="G1208">
        <f t="shared" si="21"/>
        <v>4</v>
      </c>
      <c r="H1208">
        <f>SUMIFS('Nacional · base'!$G$7:$G$1068,'Nacional · base'!$A$7:$A$1068,A1208,'Nacional · base'!$B$7:$B$1068,B1208,'Nacional · base'!$C$7:$C$1068,C1208)</f>
        <v>3210.6137939549399</v>
      </c>
      <c r="I1208">
        <f>IF(D1208="Canarias",IF(C1208="CABRERA MORALES FRANCISCO",IF(E1208&lt;=2000,'Nacional · supuestos'!$C$34,IF(E1208&lt;=5000,'Nacional · supuestos'!$C$35,'Nacional · supuestos'!$C$36)),IF(E1208&lt;=2000,'Nacional · supuestos'!$B$34,IF(E1208&lt;=5000,'Nacional · supuestos'!$B$35,'Nacional · supuestos'!$B$36))),0)</f>
        <v>0</v>
      </c>
      <c r="J1208">
        <f>IF(D1208="Canarias",MAX(E1208*I1208,IF(C1208="CABRERA MORALES FRANCISCO",'Nacional · supuestos'!$C$38,'Nacional · supuestos'!$B$38)),0)</f>
        <v>0</v>
      </c>
      <c r="K1208">
        <f>IF(D1208="Canarias",MAX(E1208*'Nacional · supuestos'!$B$41,'Nacional · supuestos'!$B$42),0)</f>
        <v>0</v>
      </c>
      <c r="L1208">
        <f>IF(D1208="Canarias",E1208*'Nacional · supuestos'!$B$43,0)</f>
        <v>0</v>
      </c>
      <c r="M1208">
        <f>IF(D1208="Canarias",E1208*'Nacional · supuestos'!$B$44,0)</f>
        <v>0</v>
      </c>
      <c r="N1208">
        <f>IF(D1208="Canarias",E1208*'Nacional · supuestos'!$B$45,0)</f>
        <v>0</v>
      </c>
      <c r="O1208">
        <f>IF(D1208="Canarias",'Nacional · supuestos'!$B$46,0)</f>
        <v>0</v>
      </c>
      <c r="P1208">
        <f>IF(D1208="Canarias",MAX(H1208*'Nacional · supuestos'!$B$47,'Nacional · supuestos'!$B$48),0)</f>
        <v>0</v>
      </c>
      <c r="Q1208">
        <f>IF(D1208="Resto nacional",E1208*'Nacional · supuestos'!$B$13*IF(A1208=2027,1+'Nacional · supuestos'!$B$6,1),0)</f>
        <v>284.92767763561682</v>
      </c>
      <c r="R1208">
        <f>IF(D1208="Canarias",SUM(J1208:P1208)*IF(A1208=2027,1+'Nacional · supuestos'!$B$6,1),0)</f>
        <v>0</v>
      </c>
      <c r="S1208">
        <f t="shared" si="22"/>
        <v>284.92767763561682</v>
      </c>
    </row>
    <row r="1209" spans="1:19">
      <c r="A1209">
        <v>2027</v>
      </c>
      <c r="B1209">
        <v>3</v>
      </c>
      <c r="C1209" t="s">
        <v>168</v>
      </c>
      <c r="D1209" t="s">
        <v>160</v>
      </c>
      <c r="E1209">
        <f>SUMIFS('Nacional · base'!$J$7:$J$1068,'Nacional · base'!$A$7:$A$1068,A1209,'Nacional · base'!$B$7:$B$1068,B1209,'Nacional · base'!$C$7:$C$1068,C1209)</f>
        <v>3988.3999999999996</v>
      </c>
      <c r="F1209">
        <f>SUMIFS('Nacional · base'!$K$7:$K$1068,'Nacional · base'!$A$7:$A$1068,A1209,'Nacional · base'!$B$7:$B$1068,B1209,'Nacional · base'!$C$7:$C$1068,C1209)</f>
        <v>5.3187499999999996</v>
      </c>
      <c r="G1209">
        <f t="shared" si="21"/>
        <v>6</v>
      </c>
      <c r="H1209">
        <f>SUMIFS('Nacional · base'!$G$7:$G$1068,'Nacional · base'!$A$7:$A$1068,A1209,'Nacional · base'!$B$7:$B$1068,B1209,'Nacional · base'!$C$7:$C$1068,C1209)</f>
        <v>10209.983765350851</v>
      </c>
      <c r="I1209">
        <f>IF(D1209="Canarias",IF(C1209="CABRERA MORALES FRANCISCO",IF(E1209&lt;=2000,'Nacional · supuestos'!$C$34,IF(E1209&lt;=5000,'Nacional · supuestos'!$C$35,'Nacional · supuestos'!$C$36)),IF(E1209&lt;=2000,'Nacional · supuestos'!$B$34,IF(E1209&lt;=5000,'Nacional · supuestos'!$B$35,'Nacional · supuestos'!$B$36))),0)</f>
        <v>0</v>
      </c>
      <c r="J1209">
        <f>IF(D1209="Canarias",MAX(E1209*I1209,IF(C1209="CABRERA MORALES FRANCISCO",'Nacional · supuestos'!$C$38,'Nacional · supuestos'!$B$38)),0)</f>
        <v>0</v>
      </c>
      <c r="K1209">
        <f>IF(D1209="Canarias",MAX(E1209*'Nacional · supuestos'!$B$41,'Nacional · supuestos'!$B$42),0)</f>
        <v>0</v>
      </c>
      <c r="L1209">
        <f>IF(D1209="Canarias",E1209*'Nacional · supuestos'!$B$43,0)</f>
        <v>0</v>
      </c>
      <c r="M1209">
        <f>IF(D1209="Canarias",E1209*'Nacional · supuestos'!$B$44,0)</f>
        <v>0</v>
      </c>
      <c r="N1209">
        <f>IF(D1209="Canarias",E1209*'Nacional · supuestos'!$B$45,0)</f>
        <v>0</v>
      </c>
      <c r="O1209">
        <f>IF(D1209="Canarias",'Nacional · supuestos'!$B$46,0)</f>
        <v>0</v>
      </c>
      <c r="P1209">
        <f>IF(D1209="Canarias",MAX(H1209*'Nacional · supuestos'!$B$47,'Nacional · supuestos'!$B$48),0)</f>
        <v>0</v>
      </c>
      <c r="Q1209">
        <f>IF(D1209="Resto nacional",E1209*'Nacional · supuestos'!$B$13*IF(A1209=2027,1+'Nacional · supuestos'!$B$6,1),0)</f>
        <v>389.02011142061281</v>
      </c>
      <c r="R1209">
        <f>IF(D1209="Canarias",SUM(J1209:P1209)*IF(A1209=2027,1+'Nacional · supuestos'!$B$6,1),0)</f>
        <v>0</v>
      </c>
      <c r="S1209">
        <f t="shared" si="22"/>
        <v>389.02011142061281</v>
      </c>
    </row>
    <row r="1210" spans="1:19">
      <c r="A1210">
        <v>2027</v>
      </c>
      <c r="B1210">
        <v>3</v>
      </c>
      <c r="C1210" t="s">
        <v>170</v>
      </c>
      <c r="D1210" t="s">
        <v>160</v>
      </c>
      <c r="E1210">
        <f>SUMIFS('Nacional · base'!$J$7:$J$1068,'Nacional · base'!$A$7:$A$1068,A1210,'Nacional · base'!$B$7:$B$1068,B1210,'Nacional · base'!$C$7:$C$1068,C1210)</f>
        <v>1604.8</v>
      </c>
      <c r="F1210">
        <f>SUMIFS('Nacional · base'!$K$7:$K$1068,'Nacional · base'!$A$7:$A$1068,A1210,'Nacional · base'!$B$7:$B$1068,B1210,'Nacional · base'!$C$7:$C$1068,C1210)</f>
        <v>2.125</v>
      </c>
      <c r="G1210">
        <f t="shared" si="21"/>
        <v>3</v>
      </c>
      <c r="H1210">
        <f>SUMIFS('Nacional · base'!$G$7:$G$1068,'Nacional · base'!$A$7:$A$1068,A1210,'Nacional · base'!$B$7:$B$1068,B1210,'Nacional · base'!$C$7:$C$1068,C1210)</f>
        <v>4550.6033880913201</v>
      </c>
      <c r="I1210">
        <f>IF(D1210="Canarias",IF(C1210="CABRERA MORALES FRANCISCO",IF(E1210&lt;=2000,'Nacional · supuestos'!$C$34,IF(E1210&lt;=5000,'Nacional · supuestos'!$C$35,'Nacional · supuestos'!$C$36)),IF(E1210&lt;=2000,'Nacional · supuestos'!$B$34,IF(E1210&lt;=5000,'Nacional · supuestos'!$B$35,'Nacional · supuestos'!$B$36))),0)</f>
        <v>0</v>
      </c>
      <c r="J1210">
        <f>IF(D1210="Canarias",MAX(E1210*I1210,IF(C1210="CABRERA MORALES FRANCISCO",'Nacional · supuestos'!$C$38,'Nacional · supuestos'!$B$38)),0)</f>
        <v>0</v>
      </c>
      <c r="K1210">
        <f>IF(D1210="Canarias",MAX(E1210*'Nacional · supuestos'!$B$41,'Nacional · supuestos'!$B$42),0)</f>
        <v>0</v>
      </c>
      <c r="L1210">
        <f>IF(D1210="Canarias",E1210*'Nacional · supuestos'!$B$43,0)</f>
        <v>0</v>
      </c>
      <c r="M1210">
        <f>IF(D1210="Canarias",E1210*'Nacional · supuestos'!$B$44,0)</f>
        <v>0</v>
      </c>
      <c r="N1210">
        <f>IF(D1210="Canarias",E1210*'Nacional · supuestos'!$B$45,0)</f>
        <v>0</v>
      </c>
      <c r="O1210">
        <f>IF(D1210="Canarias",'Nacional · supuestos'!$B$46,0)</f>
        <v>0</v>
      </c>
      <c r="P1210">
        <f>IF(D1210="Canarias",MAX(H1210*'Nacional · supuestos'!$B$47,'Nacional · supuestos'!$B$48),0)</f>
        <v>0</v>
      </c>
      <c r="Q1210">
        <f>IF(D1210="Resto nacional",E1210*'Nacional · supuestos'!$B$13*IF(A1210=2027,1+'Nacional · supuestos'!$B$6,1),0)</f>
        <v>156.52880222841225</v>
      </c>
      <c r="R1210">
        <f>IF(D1210="Canarias",SUM(J1210:P1210)*IF(A1210=2027,1+'Nacional · supuestos'!$B$6,1),0)</f>
        <v>0</v>
      </c>
      <c r="S1210">
        <f t="shared" si="22"/>
        <v>156.52880222841225</v>
      </c>
    </row>
    <row r="1211" spans="1:19">
      <c r="A1211">
        <v>2027</v>
      </c>
      <c r="B1211">
        <v>3</v>
      </c>
      <c r="C1211" t="s">
        <v>201</v>
      </c>
      <c r="D1211" t="s">
        <v>160</v>
      </c>
      <c r="E1211">
        <f>SUMIFS('Nacional · base'!$J$7:$J$1068,'Nacional · base'!$A$7:$A$1068,A1211,'Nacional · base'!$B$7:$B$1068,B1211,'Nacional · base'!$C$7:$C$1068,C1211)</f>
        <v>472.2</v>
      </c>
      <c r="F1211">
        <f>SUMIFS('Nacional · base'!$K$7:$K$1068,'Nacional · base'!$A$7:$A$1068,A1211,'Nacional · base'!$B$7:$B$1068,B1211,'Nacional · base'!$C$7:$C$1068,C1211)</f>
        <v>0.65666666666666673</v>
      </c>
      <c r="G1211">
        <f t="shared" si="21"/>
        <v>1</v>
      </c>
      <c r="H1211">
        <f>SUMIFS('Nacional · base'!$G$7:$G$1068,'Nacional · base'!$A$7:$A$1068,A1211,'Nacional · base'!$B$7:$B$1068,B1211,'Nacional · base'!$C$7:$C$1068,C1211)</f>
        <v>1791.065207895344</v>
      </c>
      <c r="I1211">
        <f>IF(D1211="Canarias",IF(C1211="CABRERA MORALES FRANCISCO",IF(E1211&lt;=2000,'Nacional · supuestos'!$C$34,IF(E1211&lt;=5000,'Nacional · supuestos'!$C$35,'Nacional · supuestos'!$C$36)),IF(E1211&lt;=2000,'Nacional · supuestos'!$B$34,IF(E1211&lt;=5000,'Nacional · supuestos'!$B$35,'Nacional · supuestos'!$B$36))),0)</f>
        <v>0</v>
      </c>
      <c r="J1211">
        <f>IF(D1211="Canarias",MAX(E1211*I1211,IF(C1211="CABRERA MORALES FRANCISCO",'Nacional · supuestos'!$C$38,'Nacional · supuestos'!$B$38)),0)</f>
        <v>0</v>
      </c>
      <c r="K1211">
        <f>IF(D1211="Canarias",MAX(E1211*'Nacional · supuestos'!$B$41,'Nacional · supuestos'!$B$42),0)</f>
        <v>0</v>
      </c>
      <c r="L1211">
        <f>IF(D1211="Canarias",E1211*'Nacional · supuestos'!$B$43,0)</f>
        <v>0</v>
      </c>
      <c r="M1211">
        <f>IF(D1211="Canarias",E1211*'Nacional · supuestos'!$B$44,0)</f>
        <v>0</v>
      </c>
      <c r="N1211">
        <f>IF(D1211="Canarias",E1211*'Nacional · supuestos'!$B$45,0)</f>
        <v>0</v>
      </c>
      <c r="O1211">
        <f>IF(D1211="Canarias",'Nacional · supuestos'!$B$46,0)</f>
        <v>0</v>
      </c>
      <c r="P1211">
        <f>IF(D1211="Canarias",MAX(H1211*'Nacional · supuestos'!$B$47,'Nacional · supuestos'!$B$48),0)</f>
        <v>0</v>
      </c>
      <c r="Q1211">
        <f>IF(D1211="Resto nacional",E1211*'Nacional · supuestos'!$B$13*IF(A1211=2027,1+'Nacional · supuestos'!$B$6,1),0)</f>
        <v>46.057390585902461</v>
      </c>
      <c r="R1211">
        <f>IF(D1211="Canarias",SUM(J1211:P1211)*IF(A1211=2027,1+'Nacional · supuestos'!$B$6,1),0)</f>
        <v>0</v>
      </c>
      <c r="S1211">
        <f t="shared" si="22"/>
        <v>46.057390585902461</v>
      </c>
    </row>
    <row r="1212" spans="1:19">
      <c r="A1212">
        <v>2027</v>
      </c>
      <c r="B1212">
        <v>3</v>
      </c>
      <c r="C1212" t="s">
        <v>202</v>
      </c>
      <c r="D1212" t="s">
        <v>160</v>
      </c>
      <c r="E1212">
        <f>SUMIFS('Nacional · base'!$J$7:$J$1068,'Nacional · base'!$A$7:$A$1068,A1212,'Nacional · base'!$B$7:$B$1068,B1212,'Nacional · base'!$C$7:$C$1068,C1212)</f>
        <v>3054</v>
      </c>
      <c r="F1212">
        <f>SUMIFS('Nacional · base'!$K$7:$K$1068,'Nacional · base'!$A$7:$A$1068,A1212,'Nacional · base'!$B$7:$B$1068,B1212,'Nacional · base'!$C$7:$C$1068,C1212)</f>
        <v>4.0633333333333335</v>
      </c>
      <c r="G1212">
        <f t="shared" si="21"/>
        <v>5</v>
      </c>
      <c r="H1212">
        <f>SUMIFS('Nacional · base'!$G$7:$G$1068,'Nacional · base'!$A$7:$A$1068,A1212,'Nacional · base'!$B$7:$B$1068,B1212,'Nacional · base'!$C$7:$C$1068,C1212)</f>
        <v>17151.280041152328</v>
      </c>
      <c r="I1212">
        <f>IF(D1212="Canarias",IF(C1212="CABRERA MORALES FRANCISCO",IF(E1212&lt;=2000,'Nacional · supuestos'!$C$34,IF(E1212&lt;=5000,'Nacional · supuestos'!$C$35,'Nacional · supuestos'!$C$36)),IF(E1212&lt;=2000,'Nacional · supuestos'!$B$34,IF(E1212&lt;=5000,'Nacional · supuestos'!$B$35,'Nacional · supuestos'!$B$36))),0)</f>
        <v>0</v>
      </c>
      <c r="J1212">
        <f>IF(D1212="Canarias",MAX(E1212*I1212,IF(C1212="CABRERA MORALES FRANCISCO",'Nacional · supuestos'!$C$38,'Nacional · supuestos'!$B$38)),0)</f>
        <v>0</v>
      </c>
      <c r="K1212">
        <f>IF(D1212="Canarias",MAX(E1212*'Nacional · supuestos'!$B$41,'Nacional · supuestos'!$B$42),0)</f>
        <v>0</v>
      </c>
      <c r="L1212">
        <f>IF(D1212="Canarias",E1212*'Nacional · supuestos'!$B$43,0)</f>
        <v>0</v>
      </c>
      <c r="M1212">
        <f>IF(D1212="Canarias",E1212*'Nacional · supuestos'!$B$44,0)</f>
        <v>0</v>
      </c>
      <c r="N1212">
        <f>IF(D1212="Canarias",E1212*'Nacional · supuestos'!$B$45,0)</f>
        <v>0</v>
      </c>
      <c r="O1212">
        <f>IF(D1212="Canarias",'Nacional · supuestos'!$B$46,0)</f>
        <v>0</v>
      </c>
      <c r="P1212">
        <f>IF(D1212="Canarias",MAX(H1212*'Nacional · supuestos'!$B$47,'Nacional · supuestos'!$B$48),0)</f>
        <v>0</v>
      </c>
      <c r="Q1212">
        <f>IF(D1212="Resto nacional",E1212*'Nacional · supuestos'!$B$13*IF(A1212=2027,1+'Nacional · supuestos'!$B$6,1),0)</f>
        <v>297.88070912610362</v>
      </c>
      <c r="R1212">
        <f>IF(D1212="Canarias",SUM(J1212:P1212)*IF(A1212=2027,1+'Nacional · supuestos'!$B$6,1),0)</f>
        <v>0</v>
      </c>
      <c r="S1212">
        <f t="shared" si="22"/>
        <v>297.88070912610362</v>
      </c>
    </row>
    <row r="1213" spans="1:19">
      <c r="A1213">
        <v>2027</v>
      </c>
      <c r="B1213">
        <v>3</v>
      </c>
      <c r="C1213" t="s">
        <v>171</v>
      </c>
      <c r="D1213" t="s">
        <v>164</v>
      </c>
      <c r="E1213">
        <f>SUMIFS('Nacional · base'!$J$7:$J$1068,'Nacional · base'!$A$7:$A$1068,A1213,'Nacional · base'!$B$7:$B$1068,B1213,'Nacional · base'!$C$7:$C$1068,C1213)</f>
        <v>9661.42</v>
      </c>
      <c r="F1213">
        <f>SUMIFS('Nacional · base'!$K$7:$K$1068,'Nacional · base'!$A$7:$A$1068,A1213,'Nacional · base'!$B$7:$B$1068,B1213,'Nacional · base'!$C$7:$C$1068,C1213)</f>
        <v>12.896212121212121</v>
      </c>
      <c r="G1213">
        <f t="shared" si="21"/>
        <v>13</v>
      </c>
      <c r="H1213">
        <f>SUMIFS('Nacional · base'!$G$7:$G$1068,'Nacional · base'!$A$7:$A$1068,A1213,'Nacional · base'!$B$7:$B$1068,B1213,'Nacional · base'!$C$7:$C$1068,C1213)</f>
        <v>18162.532187689554</v>
      </c>
      <c r="I1213">
        <f>IF(D1213="Canarias",IF(C1213="CABRERA MORALES FRANCISCO",IF(E1213&lt;=2000,'Nacional · supuestos'!$C$34,IF(E1213&lt;=5000,'Nacional · supuestos'!$C$35,'Nacional · supuestos'!$C$36)),IF(E1213&lt;=2000,'Nacional · supuestos'!$B$34,IF(E1213&lt;=5000,'Nacional · supuestos'!$B$35,'Nacional · supuestos'!$B$36))),0)</f>
        <v>0.19800000000000001</v>
      </c>
      <c r="J1213">
        <f>IF(D1213="Canarias",MAX(E1213*I1213,IF(C1213="CABRERA MORALES FRANCISCO",'Nacional · supuestos'!$C$38,'Nacional · supuestos'!$B$38)),0)</f>
        <v>1912.9611600000001</v>
      </c>
      <c r="K1213">
        <f>IF(D1213="Canarias",MAX(E1213*'Nacional · supuestos'!$B$41,'Nacional · supuestos'!$B$42),0)</f>
        <v>347.81111999999996</v>
      </c>
      <c r="L1213">
        <f>IF(D1213="Canarias",E1213*'Nacional · supuestos'!$B$43,0)</f>
        <v>115.93704000000001</v>
      </c>
      <c r="M1213">
        <f>IF(D1213="Canarias",E1213*'Nacional · supuestos'!$B$44,0)</f>
        <v>173.90555999999998</v>
      </c>
      <c r="N1213">
        <f>IF(D1213="Canarias",E1213*'Nacional · supuestos'!$B$45,0)</f>
        <v>212.55123999999998</v>
      </c>
      <c r="O1213">
        <f>IF(D1213="Canarias",'Nacional · supuestos'!$B$46,0)</f>
        <v>15</v>
      </c>
      <c r="P1213">
        <f>IF(D1213="Canarias",MAX(H1213*'Nacional · supuestos'!$B$47,'Nacional · supuestos'!$B$48),0)</f>
        <v>81.731394844602988</v>
      </c>
      <c r="Q1213">
        <f>IF(D1213="Resto nacional",E1213*'Nacional · supuestos'!$B$13*IF(A1213=2027,1+'Nacional · supuestos'!$B$6,1),0)</f>
        <v>0</v>
      </c>
      <c r="R1213">
        <f>IF(D1213="Canarias",SUM(J1213:P1213)*IF(A1213=2027,1+'Nacional · supuestos'!$B$6,1),0)</f>
        <v>3145.8872663290636</v>
      </c>
      <c r="S1213">
        <f t="shared" si="22"/>
        <v>3145.8872663290636</v>
      </c>
    </row>
    <row r="1214" spans="1:19">
      <c r="A1214">
        <v>2027</v>
      </c>
      <c r="B1214">
        <v>3</v>
      </c>
      <c r="C1214" t="s">
        <v>172</v>
      </c>
      <c r="D1214" t="s">
        <v>160</v>
      </c>
      <c r="E1214">
        <f>SUMIFS('Nacional · base'!$J$7:$J$1068,'Nacional · base'!$A$7:$A$1068,A1214,'Nacional · base'!$B$7:$B$1068,B1214,'Nacional · base'!$C$7:$C$1068,C1214)</f>
        <v>21520.12</v>
      </c>
      <c r="F1214">
        <f>SUMIFS('Nacional · base'!$K$7:$K$1068,'Nacional · base'!$A$7:$A$1068,A1214,'Nacional · base'!$B$7:$B$1068,B1214,'Nacional · base'!$C$7:$C$1068,C1214)</f>
        <v>29.073787878787876</v>
      </c>
      <c r="G1214">
        <f t="shared" si="21"/>
        <v>30</v>
      </c>
      <c r="H1214">
        <f>SUMIFS('Nacional · base'!$G$7:$G$1068,'Nacional · base'!$A$7:$A$1068,A1214,'Nacional · base'!$B$7:$B$1068,B1214,'Nacional · base'!$C$7:$C$1068,C1214)</f>
        <v>79803.038090930306</v>
      </c>
      <c r="I1214">
        <f>IF(D1214="Canarias",IF(C1214="CABRERA MORALES FRANCISCO",IF(E1214&lt;=2000,'Nacional · supuestos'!$C$34,IF(E1214&lt;=5000,'Nacional · supuestos'!$C$35,'Nacional · supuestos'!$C$36)),IF(E1214&lt;=2000,'Nacional · supuestos'!$B$34,IF(E1214&lt;=5000,'Nacional · supuestos'!$B$35,'Nacional · supuestos'!$B$36))),0)</f>
        <v>0</v>
      </c>
      <c r="J1214">
        <f>IF(D1214="Canarias",MAX(E1214*I1214,IF(C1214="CABRERA MORALES FRANCISCO",'Nacional · supuestos'!$C$38,'Nacional · supuestos'!$B$38)),0)</f>
        <v>0</v>
      </c>
      <c r="K1214">
        <f>IF(D1214="Canarias",MAX(E1214*'Nacional · supuestos'!$B$41,'Nacional · supuestos'!$B$42),0)</f>
        <v>0</v>
      </c>
      <c r="L1214">
        <f>IF(D1214="Canarias",E1214*'Nacional · supuestos'!$B$43,0)</f>
        <v>0</v>
      </c>
      <c r="M1214">
        <f>IF(D1214="Canarias",E1214*'Nacional · supuestos'!$B$44,0)</f>
        <v>0</v>
      </c>
      <c r="N1214">
        <f>IF(D1214="Canarias",E1214*'Nacional · supuestos'!$B$45,0)</f>
        <v>0</v>
      </c>
      <c r="O1214">
        <f>IF(D1214="Canarias",'Nacional · supuestos'!$B$46,0)</f>
        <v>0</v>
      </c>
      <c r="P1214">
        <f>IF(D1214="Canarias",MAX(H1214*'Nacional · supuestos'!$B$47,'Nacional · supuestos'!$B$48),0)</f>
        <v>0</v>
      </c>
      <c r="Q1214">
        <f>IF(D1214="Resto nacional",E1214*'Nacional · supuestos'!$B$13*IF(A1214=2027,1+'Nacional · supuestos'!$B$6,1),0)</f>
        <v>2099.0270484868515</v>
      </c>
      <c r="R1214">
        <f>IF(D1214="Canarias",SUM(J1214:P1214)*IF(A1214=2027,1+'Nacional · supuestos'!$B$6,1),0)</f>
        <v>0</v>
      </c>
      <c r="S1214">
        <f t="shared" si="22"/>
        <v>2099.0270484868515</v>
      </c>
    </row>
    <row r="1215" spans="1:19">
      <c r="A1215">
        <v>2027</v>
      </c>
      <c r="B1215">
        <v>3</v>
      </c>
      <c r="C1215" t="s">
        <v>203</v>
      </c>
      <c r="D1215" t="s">
        <v>160</v>
      </c>
      <c r="E1215">
        <f>SUMIFS('Nacional · base'!$J$7:$J$1068,'Nacional · base'!$A$7:$A$1068,A1215,'Nacional · base'!$B$7:$B$1068,B1215,'Nacional · base'!$C$7:$C$1068,C1215)</f>
        <v>1150.5</v>
      </c>
      <c r="F1215">
        <f>SUMIFS('Nacional · base'!$K$7:$K$1068,'Nacional · base'!$A$7:$A$1068,A1215,'Nacional · base'!$B$7:$B$1068,B1215,'Nacional · base'!$C$7:$C$1068,C1215)</f>
        <v>1.5479166666666666</v>
      </c>
      <c r="G1215">
        <f t="shared" si="21"/>
        <v>2</v>
      </c>
      <c r="H1215">
        <f>SUMIFS('Nacional · base'!$G$7:$G$1068,'Nacional · base'!$A$7:$A$1068,A1215,'Nacional · base'!$B$7:$B$1068,B1215,'Nacional · base'!$C$7:$C$1068,C1215)</f>
        <v>3982.8203421197845</v>
      </c>
      <c r="I1215">
        <f>IF(D1215="Canarias",IF(C1215="CABRERA MORALES FRANCISCO",IF(E1215&lt;=2000,'Nacional · supuestos'!$C$34,IF(E1215&lt;=5000,'Nacional · supuestos'!$C$35,'Nacional · supuestos'!$C$36)),IF(E1215&lt;=2000,'Nacional · supuestos'!$B$34,IF(E1215&lt;=5000,'Nacional · supuestos'!$B$35,'Nacional · supuestos'!$B$36))),0)</f>
        <v>0</v>
      </c>
      <c r="J1215">
        <f>IF(D1215="Canarias",MAX(E1215*I1215,IF(C1215="CABRERA MORALES FRANCISCO",'Nacional · supuestos'!$C$38,'Nacional · supuestos'!$B$38)),0)</f>
        <v>0</v>
      </c>
      <c r="K1215">
        <f>IF(D1215="Canarias",MAX(E1215*'Nacional · supuestos'!$B$41,'Nacional · supuestos'!$B$42),0)</f>
        <v>0</v>
      </c>
      <c r="L1215">
        <f>IF(D1215="Canarias",E1215*'Nacional · supuestos'!$B$43,0)</f>
        <v>0</v>
      </c>
      <c r="M1215">
        <f>IF(D1215="Canarias",E1215*'Nacional · supuestos'!$B$44,0)</f>
        <v>0</v>
      </c>
      <c r="N1215">
        <f>IF(D1215="Canarias",E1215*'Nacional · supuestos'!$B$45,0)</f>
        <v>0</v>
      </c>
      <c r="O1215">
        <f>IF(D1215="Canarias",'Nacional · supuestos'!$B$46,0)</f>
        <v>0</v>
      </c>
      <c r="P1215">
        <f>IF(D1215="Canarias",MAX(H1215*'Nacional · supuestos'!$B$47,'Nacional · supuestos'!$B$48),0)</f>
        <v>0</v>
      </c>
      <c r="Q1215">
        <f>IF(D1215="Resto nacional",E1215*'Nacional · supuestos'!$B$13*IF(A1215=2027,1+'Nacional · supuestos'!$B$6,1),0)</f>
        <v>112.21733983286909</v>
      </c>
      <c r="R1215">
        <f>IF(D1215="Canarias",SUM(J1215:P1215)*IF(A1215=2027,1+'Nacional · supuestos'!$B$6,1),0)</f>
        <v>0</v>
      </c>
      <c r="S1215">
        <f t="shared" si="22"/>
        <v>112.21733983286909</v>
      </c>
    </row>
    <row r="1216" spans="1:19">
      <c r="A1216">
        <v>2027</v>
      </c>
      <c r="B1216">
        <v>3</v>
      </c>
      <c r="C1216" t="s">
        <v>173</v>
      </c>
      <c r="D1216" t="s">
        <v>160</v>
      </c>
      <c r="E1216">
        <f>SUMIFS('Nacional · base'!$J$7:$J$1068,'Nacional · base'!$A$7:$A$1068,A1216,'Nacional · base'!$B$7:$B$1068,B1216,'Nacional · base'!$C$7:$C$1068,C1216)</f>
        <v>17292.3</v>
      </c>
      <c r="F1216">
        <f>SUMIFS('Nacional · base'!$K$7:$K$1068,'Nacional · base'!$A$7:$A$1068,A1216,'Nacional · base'!$B$7:$B$1068,B1216,'Nacional · base'!$C$7:$C$1068,C1216)</f>
        <v>20.576893939393941</v>
      </c>
      <c r="G1216">
        <f t="shared" si="21"/>
        <v>21</v>
      </c>
      <c r="H1216">
        <f>SUMIFS('Nacional · base'!$G$7:$G$1068,'Nacional · base'!$A$7:$A$1068,A1216,'Nacional · base'!$B$7:$B$1068,B1216,'Nacional · base'!$C$7:$C$1068,C1216)</f>
        <v>42661.156251527427</v>
      </c>
      <c r="I1216">
        <f>IF(D1216="Canarias",IF(C1216="CABRERA MORALES FRANCISCO",IF(E1216&lt;=2000,'Nacional · supuestos'!$C$34,IF(E1216&lt;=5000,'Nacional · supuestos'!$C$35,'Nacional · supuestos'!$C$36)),IF(E1216&lt;=2000,'Nacional · supuestos'!$B$34,IF(E1216&lt;=5000,'Nacional · supuestos'!$B$35,'Nacional · supuestos'!$B$36))),0)</f>
        <v>0</v>
      </c>
      <c r="J1216">
        <f>IF(D1216="Canarias",MAX(E1216*I1216,IF(C1216="CABRERA MORALES FRANCISCO",'Nacional · supuestos'!$C$38,'Nacional · supuestos'!$B$38)),0)</f>
        <v>0</v>
      </c>
      <c r="K1216">
        <f>IF(D1216="Canarias",MAX(E1216*'Nacional · supuestos'!$B$41,'Nacional · supuestos'!$B$42),0)</f>
        <v>0</v>
      </c>
      <c r="L1216">
        <f>IF(D1216="Canarias",E1216*'Nacional · supuestos'!$B$43,0)</f>
        <v>0</v>
      </c>
      <c r="M1216">
        <f>IF(D1216="Canarias",E1216*'Nacional · supuestos'!$B$44,0)</f>
        <v>0</v>
      </c>
      <c r="N1216">
        <f>IF(D1216="Canarias",E1216*'Nacional · supuestos'!$B$45,0)</f>
        <v>0</v>
      </c>
      <c r="O1216">
        <f>IF(D1216="Canarias",'Nacional · supuestos'!$B$46,0)</f>
        <v>0</v>
      </c>
      <c r="P1216">
        <f>IF(D1216="Canarias",MAX(H1216*'Nacional · supuestos'!$B$47,'Nacional · supuestos'!$B$48),0)</f>
        <v>0</v>
      </c>
      <c r="Q1216">
        <f>IF(D1216="Resto nacional",E1216*'Nacional · supuestos'!$B$13*IF(A1216=2027,1+'Nacional · supuestos'!$B$6,1),0)</f>
        <v>1686.654415986025</v>
      </c>
      <c r="R1216">
        <f>IF(D1216="Canarias",SUM(J1216:P1216)*IF(A1216=2027,1+'Nacional · supuestos'!$B$6,1),0)</f>
        <v>0</v>
      </c>
      <c r="S1216">
        <f t="shared" si="22"/>
        <v>1686.654415986025</v>
      </c>
    </row>
    <row r="1217" spans="1:19">
      <c r="A1217">
        <v>2027</v>
      </c>
      <c r="B1217">
        <v>3</v>
      </c>
      <c r="C1217" t="s">
        <v>174</v>
      </c>
      <c r="D1217" t="s">
        <v>160</v>
      </c>
      <c r="E1217">
        <f>SUMIFS('Nacional · base'!$J$7:$J$1068,'Nacional · base'!$A$7:$A$1068,A1217,'Nacional · base'!$B$7:$B$1068,B1217,'Nacional · base'!$C$7:$C$1068,C1217)</f>
        <v>13340.4</v>
      </c>
      <c r="F1217">
        <f>SUMIFS('Nacional · base'!$K$7:$K$1068,'Nacional · base'!$A$7:$A$1068,A1217,'Nacional · base'!$B$7:$B$1068,B1217,'Nacional · base'!$C$7:$C$1068,C1217)</f>
        <v>16.056249999999999</v>
      </c>
      <c r="G1217">
        <f t="shared" si="21"/>
        <v>17</v>
      </c>
      <c r="H1217">
        <f>SUMIFS('Nacional · base'!$G$7:$G$1068,'Nacional · base'!$A$7:$A$1068,A1217,'Nacional · base'!$B$7:$B$1068,B1217,'Nacional · base'!$C$7:$C$1068,C1217)</f>
        <v>27316.545810042415</v>
      </c>
      <c r="I1217">
        <f>IF(D1217="Canarias",IF(C1217="CABRERA MORALES FRANCISCO",IF(E1217&lt;=2000,'Nacional · supuestos'!$C$34,IF(E1217&lt;=5000,'Nacional · supuestos'!$C$35,'Nacional · supuestos'!$C$36)),IF(E1217&lt;=2000,'Nacional · supuestos'!$B$34,IF(E1217&lt;=5000,'Nacional · supuestos'!$B$35,'Nacional · supuestos'!$B$36))),0)</f>
        <v>0</v>
      </c>
      <c r="J1217">
        <f>IF(D1217="Canarias",MAX(E1217*I1217,IF(C1217="CABRERA MORALES FRANCISCO",'Nacional · supuestos'!$C$38,'Nacional · supuestos'!$B$38)),0)</f>
        <v>0</v>
      </c>
      <c r="K1217">
        <f>IF(D1217="Canarias",MAX(E1217*'Nacional · supuestos'!$B$41,'Nacional · supuestos'!$B$42),0)</f>
        <v>0</v>
      </c>
      <c r="L1217">
        <f>IF(D1217="Canarias",E1217*'Nacional · supuestos'!$B$43,0)</f>
        <v>0</v>
      </c>
      <c r="M1217">
        <f>IF(D1217="Canarias",E1217*'Nacional · supuestos'!$B$44,0)</f>
        <v>0</v>
      </c>
      <c r="N1217">
        <f>IF(D1217="Canarias",E1217*'Nacional · supuestos'!$B$45,0)</f>
        <v>0</v>
      </c>
      <c r="O1217">
        <f>IF(D1217="Canarias",'Nacional · supuestos'!$B$46,0)</f>
        <v>0</v>
      </c>
      <c r="P1217">
        <f>IF(D1217="Canarias",MAX(H1217*'Nacional · supuestos'!$B$47,'Nacional · supuestos'!$B$48),0)</f>
        <v>0</v>
      </c>
      <c r="Q1217">
        <f>IF(D1217="Resto nacional",E1217*'Nacional · supuestos'!$B$13*IF(A1217=2027,1+'Nacional · supuestos'!$B$6,1),0)</f>
        <v>1301.1944374675418</v>
      </c>
      <c r="R1217">
        <f>IF(D1217="Canarias",SUM(J1217:P1217)*IF(A1217=2027,1+'Nacional · supuestos'!$B$6,1),0)</f>
        <v>0</v>
      </c>
      <c r="S1217">
        <f t="shared" si="22"/>
        <v>1301.1944374675418</v>
      </c>
    </row>
    <row r="1218" spans="1:19">
      <c r="A1218">
        <v>2027</v>
      </c>
      <c r="B1218">
        <v>3</v>
      </c>
      <c r="C1218" t="s">
        <v>175</v>
      </c>
      <c r="D1218" t="s">
        <v>160</v>
      </c>
      <c r="E1218">
        <f>SUMIFS('Nacional · base'!$J$7:$J$1068,'Nacional · base'!$A$7:$A$1068,A1218,'Nacional · base'!$B$7:$B$1068,B1218,'Nacional · base'!$C$7:$C$1068,C1218)</f>
        <v>3681.6</v>
      </c>
      <c r="F1218">
        <f>SUMIFS('Nacional · base'!$K$7:$K$1068,'Nacional · base'!$A$7:$A$1068,A1218,'Nacional · base'!$B$7:$B$1068,B1218,'Nacional · base'!$C$7:$C$1068,C1218)</f>
        <v>4.9083333333333332</v>
      </c>
      <c r="G1218">
        <f t="shared" si="21"/>
        <v>5</v>
      </c>
      <c r="H1218">
        <f>SUMIFS('Nacional · base'!$G$7:$G$1068,'Nacional · base'!$A$7:$A$1068,A1218,'Nacional · base'!$B$7:$B$1068,B1218,'Nacional · base'!$C$7:$C$1068,C1218)</f>
        <v>12442.652218015501</v>
      </c>
      <c r="I1218">
        <f>IF(D1218="Canarias",IF(C1218="CABRERA MORALES FRANCISCO",IF(E1218&lt;=2000,'Nacional · supuestos'!$C$34,IF(E1218&lt;=5000,'Nacional · supuestos'!$C$35,'Nacional · supuestos'!$C$36)),IF(E1218&lt;=2000,'Nacional · supuestos'!$B$34,IF(E1218&lt;=5000,'Nacional · supuestos'!$B$35,'Nacional · supuestos'!$B$36))),0)</f>
        <v>0</v>
      </c>
      <c r="J1218">
        <f>IF(D1218="Canarias",MAX(E1218*I1218,IF(C1218="CABRERA MORALES FRANCISCO",'Nacional · supuestos'!$C$38,'Nacional · supuestos'!$B$38)),0)</f>
        <v>0</v>
      </c>
      <c r="K1218">
        <f>IF(D1218="Canarias",MAX(E1218*'Nacional · supuestos'!$B$41,'Nacional · supuestos'!$B$42),0)</f>
        <v>0</v>
      </c>
      <c r="L1218">
        <f>IF(D1218="Canarias",E1218*'Nacional · supuestos'!$B$43,0)</f>
        <v>0</v>
      </c>
      <c r="M1218">
        <f>IF(D1218="Canarias",E1218*'Nacional · supuestos'!$B$44,0)</f>
        <v>0</v>
      </c>
      <c r="N1218">
        <f>IF(D1218="Canarias",E1218*'Nacional · supuestos'!$B$45,0)</f>
        <v>0</v>
      </c>
      <c r="O1218">
        <f>IF(D1218="Canarias",'Nacional · supuestos'!$B$46,0)</f>
        <v>0</v>
      </c>
      <c r="P1218">
        <f>IF(D1218="Canarias",MAX(H1218*'Nacional · supuestos'!$B$47,'Nacional · supuestos'!$B$48),0)</f>
        <v>0</v>
      </c>
      <c r="Q1218">
        <f>IF(D1218="Resto nacional",E1218*'Nacional · supuestos'!$B$13*IF(A1218=2027,1+'Nacional · supuestos'!$B$6,1),0)</f>
        <v>359.09548746518107</v>
      </c>
      <c r="R1218">
        <f>IF(D1218="Canarias",SUM(J1218:P1218)*IF(A1218=2027,1+'Nacional · supuestos'!$B$6,1),0)</f>
        <v>0</v>
      </c>
      <c r="S1218">
        <f t="shared" si="22"/>
        <v>359.09548746518107</v>
      </c>
    </row>
    <row r="1219" spans="1:19">
      <c r="A1219">
        <v>2027</v>
      </c>
      <c r="B1219">
        <v>3</v>
      </c>
      <c r="C1219" t="s">
        <v>182</v>
      </c>
      <c r="D1219" t="s">
        <v>160</v>
      </c>
      <c r="E1219">
        <f>SUMIFS('Nacional · base'!$J$7:$J$1068,'Nacional · base'!$A$7:$A$1068,A1219,'Nacional · base'!$B$7:$B$1068,B1219,'Nacional · base'!$C$7:$C$1068,C1219)</f>
        <v>74810.200000000012</v>
      </c>
      <c r="F1219">
        <f>SUMIFS('Nacional · base'!$K$7:$K$1068,'Nacional · base'!$A$7:$A$1068,A1219,'Nacional · base'!$B$7:$B$1068,B1219,'Nacional · base'!$C$7:$C$1068,C1219)</f>
        <v>85.285833333333343</v>
      </c>
      <c r="G1219">
        <f t="shared" si="21"/>
        <v>86</v>
      </c>
      <c r="H1219">
        <f>SUMIFS('Nacional · base'!$G$7:$G$1068,'Nacional · base'!$A$7:$A$1068,A1219,'Nacional · base'!$B$7:$B$1068,B1219,'Nacional · base'!$C$7:$C$1068,C1219)</f>
        <v>167149.47752143</v>
      </c>
      <c r="I1219">
        <f>IF(D1219="Canarias",IF(C1219="CABRERA MORALES FRANCISCO",IF(E1219&lt;=2000,'Nacional · supuestos'!$C$34,IF(E1219&lt;=5000,'Nacional · supuestos'!$C$35,'Nacional · supuestos'!$C$36)),IF(E1219&lt;=2000,'Nacional · supuestos'!$B$34,IF(E1219&lt;=5000,'Nacional · supuestos'!$B$35,'Nacional · supuestos'!$B$36))),0)</f>
        <v>0</v>
      </c>
      <c r="J1219">
        <f>IF(D1219="Canarias",MAX(E1219*I1219,IF(C1219="CABRERA MORALES FRANCISCO",'Nacional · supuestos'!$C$38,'Nacional · supuestos'!$B$38)),0)</f>
        <v>0</v>
      </c>
      <c r="K1219">
        <f>IF(D1219="Canarias",MAX(E1219*'Nacional · supuestos'!$B$41,'Nacional · supuestos'!$B$42),0)</f>
        <v>0</v>
      </c>
      <c r="L1219">
        <f>IF(D1219="Canarias",E1219*'Nacional · supuestos'!$B$43,0)</f>
        <v>0</v>
      </c>
      <c r="M1219">
        <f>IF(D1219="Canarias",E1219*'Nacional · supuestos'!$B$44,0)</f>
        <v>0</v>
      </c>
      <c r="N1219">
        <f>IF(D1219="Canarias",E1219*'Nacional · supuestos'!$B$45,0)</f>
        <v>0</v>
      </c>
      <c r="O1219">
        <f>IF(D1219="Canarias",'Nacional · supuestos'!$B$46,0)</f>
        <v>0</v>
      </c>
      <c r="P1219">
        <f>IF(D1219="Canarias",MAX(H1219*'Nacional · supuestos'!$B$47,'Nacional · supuestos'!$B$48),0)</f>
        <v>0</v>
      </c>
      <c r="Q1219">
        <f>IF(D1219="Resto nacional",E1219*'Nacional · supuestos'!$B$13*IF(A1219=2027,1+'Nacional · supuestos'!$B$6,1),0)</f>
        <v>7296.8288886266009</v>
      </c>
      <c r="R1219">
        <f>IF(D1219="Canarias",SUM(J1219:P1219)*IF(A1219=2027,1+'Nacional · supuestos'!$B$6,1),0)</f>
        <v>0</v>
      </c>
      <c r="S1219">
        <f t="shared" si="22"/>
        <v>7296.8288886266009</v>
      </c>
    </row>
    <row r="1220" spans="1:19">
      <c r="A1220">
        <v>2027</v>
      </c>
      <c r="B1220">
        <v>3</v>
      </c>
      <c r="C1220" t="s">
        <v>183</v>
      </c>
      <c r="D1220" t="s">
        <v>164</v>
      </c>
      <c r="E1220">
        <f>SUMIFS('Nacional · base'!$J$7:$J$1068,'Nacional · base'!$A$7:$A$1068,A1220,'Nacional · base'!$B$7:$B$1068,B1220,'Nacional · base'!$C$7:$C$1068,C1220)</f>
        <v>6819.4400000000005</v>
      </c>
      <c r="F1220">
        <f>SUMIFS('Nacional · base'!$K$7:$K$1068,'Nacional · base'!$A$7:$A$1068,A1220,'Nacional · base'!$B$7:$B$1068,B1220,'Nacional · base'!$C$7:$C$1068,C1220)</f>
        <v>6.7948863636363637</v>
      </c>
      <c r="G1220">
        <f t="shared" si="21"/>
        <v>7</v>
      </c>
      <c r="H1220">
        <f>SUMIFS('Nacional · base'!$G$7:$G$1068,'Nacional · base'!$A$7:$A$1068,A1220,'Nacional · base'!$B$7:$B$1068,B1220,'Nacional · base'!$C$7:$C$1068,C1220)</f>
        <v>17061.520911193431</v>
      </c>
      <c r="I1220">
        <f>IF(D1220="Canarias",IF(C1220="CABRERA MORALES FRANCISCO",IF(E1220&lt;=2000,'Nacional · supuestos'!$C$34,IF(E1220&lt;=5000,'Nacional · supuestos'!$C$35,'Nacional · supuestos'!$C$36)),IF(E1220&lt;=2000,'Nacional · supuestos'!$B$34,IF(E1220&lt;=5000,'Nacional · supuestos'!$B$35,'Nacional · supuestos'!$B$36))),0)</f>
        <v>0.104</v>
      </c>
      <c r="J1220">
        <f>IF(D1220="Canarias",MAX(E1220*I1220,IF(C1220="CABRERA MORALES FRANCISCO",'Nacional · supuestos'!$C$38,'Nacional · supuestos'!$B$38)),0)</f>
        <v>709.22176000000002</v>
      </c>
      <c r="K1220">
        <f>IF(D1220="Canarias",MAX(E1220*'Nacional · supuestos'!$B$41,'Nacional · supuestos'!$B$42),0)</f>
        <v>245.49984000000001</v>
      </c>
      <c r="L1220">
        <f>IF(D1220="Canarias",E1220*'Nacional · supuestos'!$B$43,0)</f>
        <v>81.833280000000002</v>
      </c>
      <c r="M1220">
        <f>IF(D1220="Canarias",E1220*'Nacional · supuestos'!$B$44,0)</f>
        <v>122.74992</v>
      </c>
      <c r="N1220">
        <f>IF(D1220="Canarias",E1220*'Nacional · supuestos'!$B$45,0)</f>
        <v>150.02768</v>
      </c>
      <c r="O1220">
        <f>IF(D1220="Canarias",'Nacional · supuestos'!$B$46,0)</f>
        <v>15</v>
      </c>
      <c r="P1220">
        <f>IF(D1220="Canarias",MAX(H1220*'Nacional · supuestos'!$B$47,'Nacional · supuestos'!$B$48),0)</f>
        <v>76.77684410037044</v>
      </c>
      <c r="Q1220">
        <f>IF(D1220="Resto nacional",E1220*'Nacional · supuestos'!$B$13*IF(A1220=2027,1+'Nacional · supuestos'!$B$6,1),0)</f>
        <v>0</v>
      </c>
      <c r="R1220">
        <f>IF(D1220="Canarias",SUM(J1220:P1220)*IF(A1220=2027,1+'Nacional · supuestos'!$B$6,1),0)</f>
        <v>1541.2202565104076</v>
      </c>
      <c r="S1220">
        <f t="shared" si="22"/>
        <v>1541.2202565104076</v>
      </c>
    </row>
    <row r="1221" spans="1:19">
      <c r="A1221">
        <v>2027</v>
      </c>
      <c r="B1221">
        <v>3</v>
      </c>
      <c r="C1221" t="s">
        <v>204</v>
      </c>
      <c r="D1221" t="s">
        <v>160</v>
      </c>
      <c r="E1221">
        <f>SUMIFS('Nacional · base'!$J$7:$J$1068,'Nacional · base'!$A$7:$A$1068,A1221,'Nacional · base'!$B$7:$B$1068,B1221,'Nacional · base'!$C$7:$C$1068,C1221)</f>
        <v>686.8</v>
      </c>
      <c r="F1221">
        <f>SUMIFS('Nacional · base'!$K$7:$K$1068,'Nacional · base'!$A$7:$A$1068,A1221,'Nacional · base'!$B$7:$B$1068,B1221,'Nacional · base'!$C$7:$C$1068,C1221)</f>
        <v>0.81874999999999998</v>
      </c>
      <c r="G1221">
        <f t="shared" si="21"/>
        <v>1</v>
      </c>
      <c r="H1221">
        <f>SUMIFS('Nacional · base'!$G$7:$G$1068,'Nacional · base'!$A$7:$A$1068,A1221,'Nacional · base'!$B$7:$B$1068,B1221,'Nacional · base'!$C$7:$C$1068,C1221)</f>
        <v>1211.0342258302403</v>
      </c>
      <c r="I1221">
        <f>IF(D1221="Canarias",IF(C1221="CABRERA MORALES FRANCISCO",IF(E1221&lt;=2000,'Nacional · supuestos'!$C$34,IF(E1221&lt;=5000,'Nacional · supuestos'!$C$35,'Nacional · supuestos'!$C$36)),IF(E1221&lt;=2000,'Nacional · supuestos'!$B$34,IF(E1221&lt;=5000,'Nacional · supuestos'!$B$35,'Nacional · supuestos'!$B$36))),0)</f>
        <v>0</v>
      </c>
      <c r="J1221">
        <f>IF(D1221="Canarias",MAX(E1221*I1221,IF(C1221="CABRERA MORALES FRANCISCO",'Nacional · supuestos'!$C$38,'Nacional · supuestos'!$B$38)),0)</f>
        <v>0</v>
      </c>
      <c r="K1221">
        <f>IF(D1221="Canarias",MAX(E1221*'Nacional · supuestos'!$B$41,'Nacional · supuestos'!$B$42),0)</f>
        <v>0</v>
      </c>
      <c r="L1221">
        <f>IF(D1221="Canarias",E1221*'Nacional · supuestos'!$B$43,0)</f>
        <v>0</v>
      </c>
      <c r="M1221">
        <f>IF(D1221="Canarias",E1221*'Nacional · supuestos'!$B$44,0)</f>
        <v>0</v>
      </c>
      <c r="N1221">
        <f>IF(D1221="Canarias",E1221*'Nacional · supuestos'!$B$45,0)</f>
        <v>0</v>
      </c>
      <c r="O1221">
        <f>IF(D1221="Canarias",'Nacional · supuestos'!$B$46,0)</f>
        <v>0</v>
      </c>
      <c r="P1221">
        <f>IF(D1221="Canarias",MAX(H1221*'Nacional · supuestos'!$B$47,'Nacional · supuestos'!$B$48),0)</f>
        <v>0</v>
      </c>
      <c r="Q1221">
        <f>IF(D1221="Resto nacional",E1221*'Nacional · supuestos'!$B$13*IF(A1221=2027,1+'Nacional · supuestos'!$B$6,1),0)</f>
        <v>66.989021292667957</v>
      </c>
      <c r="R1221">
        <f>IF(D1221="Canarias",SUM(J1221:P1221)*IF(A1221=2027,1+'Nacional · supuestos'!$B$6,1),0)</f>
        <v>0</v>
      </c>
      <c r="S1221">
        <f t="shared" si="22"/>
        <v>66.989021292667957</v>
      </c>
    </row>
    <row r="1222" spans="1:19">
      <c r="A1222">
        <v>2027</v>
      </c>
      <c r="B1222">
        <v>3</v>
      </c>
      <c r="C1222" t="s">
        <v>178</v>
      </c>
      <c r="D1222" t="s">
        <v>160</v>
      </c>
      <c r="E1222">
        <f>SUMIFS('Nacional · base'!$J$7:$J$1068,'Nacional · base'!$A$7:$A$1068,A1222,'Nacional · base'!$B$7:$B$1068,B1222,'Nacional · base'!$C$7:$C$1068,C1222)</f>
        <v>9201.4</v>
      </c>
      <c r="F1222">
        <f>SUMIFS('Nacional · base'!$K$7:$K$1068,'Nacional · base'!$A$7:$A$1068,A1222,'Nacional · base'!$B$7:$B$1068,B1222,'Nacional · base'!$C$7:$C$1068,C1222)</f>
        <v>12.215909090909092</v>
      </c>
      <c r="G1222">
        <f t="shared" si="21"/>
        <v>13</v>
      </c>
      <c r="H1222">
        <f>SUMIFS('Nacional · base'!$G$7:$G$1068,'Nacional · base'!$A$7:$A$1068,A1222,'Nacional · base'!$B$7:$B$1068,B1222,'Nacional · base'!$C$7:$C$1068,C1222)</f>
        <v>34172.471365327881</v>
      </c>
      <c r="I1222">
        <f>IF(D1222="Canarias",IF(C1222="CABRERA MORALES FRANCISCO",IF(E1222&lt;=2000,'Nacional · supuestos'!$C$34,IF(E1222&lt;=5000,'Nacional · supuestos'!$C$35,'Nacional · supuestos'!$C$36)),IF(E1222&lt;=2000,'Nacional · supuestos'!$B$34,IF(E1222&lt;=5000,'Nacional · supuestos'!$B$35,'Nacional · supuestos'!$B$36))),0)</f>
        <v>0</v>
      </c>
      <c r="J1222">
        <f>IF(D1222="Canarias",MAX(E1222*I1222,IF(C1222="CABRERA MORALES FRANCISCO",'Nacional · supuestos'!$C$38,'Nacional · supuestos'!$B$38)),0)</f>
        <v>0</v>
      </c>
      <c r="K1222">
        <f>IF(D1222="Canarias",MAX(E1222*'Nacional · supuestos'!$B$41,'Nacional · supuestos'!$B$42),0)</f>
        <v>0</v>
      </c>
      <c r="L1222">
        <f>IF(D1222="Canarias",E1222*'Nacional · supuestos'!$B$43,0)</f>
        <v>0</v>
      </c>
      <c r="M1222">
        <f>IF(D1222="Canarias",E1222*'Nacional · supuestos'!$B$44,0)</f>
        <v>0</v>
      </c>
      <c r="N1222">
        <f>IF(D1222="Canarias",E1222*'Nacional · supuestos'!$B$45,0)</f>
        <v>0</v>
      </c>
      <c r="O1222">
        <f>IF(D1222="Canarias",'Nacional · supuestos'!$B$46,0)</f>
        <v>0</v>
      </c>
      <c r="P1222">
        <f>IF(D1222="Canarias",MAX(H1222*'Nacional · supuestos'!$B$47,'Nacional · supuestos'!$B$48),0)</f>
        <v>0</v>
      </c>
      <c r="Q1222">
        <f>IF(D1222="Resto nacional",E1222*'Nacional · supuestos'!$B$13*IF(A1222=2027,1+'Nacional · supuestos'!$B$6,1),0)</f>
        <v>897.48512015485574</v>
      </c>
      <c r="R1222">
        <f>IF(D1222="Canarias",SUM(J1222:P1222)*IF(A1222=2027,1+'Nacional · supuestos'!$B$6,1),0)</f>
        <v>0</v>
      </c>
      <c r="S1222">
        <f t="shared" si="22"/>
        <v>897.48512015485574</v>
      </c>
    </row>
    <row r="1223" spans="1:19">
      <c r="A1223">
        <v>2027</v>
      </c>
      <c r="B1223">
        <v>3</v>
      </c>
      <c r="C1223" t="s">
        <v>179</v>
      </c>
      <c r="D1223" t="s">
        <v>160</v>
      </c>
      <c r="E1223">
        <f>SUMIFS('Nacional · base'!$J$7:$J$1068,'Nacional · base'!$A$7:$A$1068,A1223,'Nacional · base'!$B$7:$B$1068,B1223,'Nacional · base'!$C$7:$C$1068,C1223)</f>
        <v>2979.5</v>
      </c>
      <c r="F1223">
        <f>SUMIFS('Nacional · base'!$K$7:$K$1068,'Nacional · base'!$A$7:$A$1068,A1223,'Nacional · base'!$B$7:$B$1068,B1223,'Nacional · base'!$C$7:$C$1068,C1223)</f>
        <v>3.9583333333333335</v>
      </c>
      <c r="G1223">
        <f t="shared" si="21"/>
        <v>4</v>
      </c>
      <c r="H1223">
        <f>SUMIFS('Nacional · base'!$G$7:$G$1068,'Nacional · base'!$A$7:$A$1068,A1223,'Nacional · base'!$B$7:$B$1068,B1223,'Nacional · base'!$C$7:$C$1068,C1223)</f>
        <v>12430.61275742991</v>
      </c>
      <c r="I1223">
        <f>IF(D1223="Canarias",IF(C1223="CABRERA MORALES FRANCISCO",IF(E1223&lt;=2000,'Nacional · supuestos'!$C$34,IF(E1223&lt;=5000,'Nacional · supuestos'!$C$35,'Nacional · supuestos'!$C$36)),IF(E1223&lt;=2000,'Nacional · supuestos'!$B$34,IF(E1223&lt;=5000,'Nacional · supuestos'!$B$35,'Nacional · supuestos'!$B$36))),0)</f>
        <v>0</v>
      </c>
      <c r="J1223">
        <f>IF(D1223="Canarias",MAX(E1223*I1223,IF(C1223="CABRERA MORALES FRANCISCO",'Nacional · supuestos'!$C$38,'Nacional · supuestos'!$B$38)),0)</f>
        <v>0</v>
      </c>
      <c r="K1223">
        <f>IF(D1223="Canarias",MAX(E1223*'Nacional · supuestos'!$B$41,'Nacional · supuestos'!$B$42),0)</f>
        <v>0</v>
      </c>
      <c r="L1223">
        <f>IF(D1223="Canarias",E1223*'Nacional · supuestos'!$B$43,0)</f>
        <v>0</v>
      </c>
      <c r="M1223">
        <f>IF(D1223="Canarias",E1223*'Nacional · supuestos'!$B$44,0)</f>
        <v>0</v>
      </c>
      <c r="N1223">
        <f>IF(D1223="Canarias",E1223*'Nacional · supuestos'!$B$45,0)</f>
        <v>0</v>
      </c>
      <c r="O1223">
        <f>IF(D1223="Canarias",'Nacional · supuestos'!$B$46,0)</f>
        <v>0</v>
      </c>
      <c r="P1223">
        <f>IF(D1223="Canarias",MAX(H1223*'Nacional · supuestos'!$B$47,'Nacional · supuestos'!$B$48),0)</f>
        <v>0</v>
      </c>
      <c r="Q1223">
        <f>IF(D1223="Resto nacional",E1223*'Nacional · supuestos'!$B$13*IF(A1223=2027,1+'Nacional · supuestos'!$B$6,1),0)</f>
        <v>290.6141364902507</v>
      </c>
      <c r="R1223">
        <f>IF(D1223="Canarias",SUM(J1223:P1223)*IF(A1223=2027,1+'Nacional · supuestos'!$B$6,1),0)</f>
        <v>0</v>
      </c>
      <c r="S1223">
        <f t="shared" si="22"/>
        <v>290.6141364902507</v>
      </c>
    </row>
    <row r="1224" spans="1:19">
      <c r="A1224">
        <v>2027</v>
      </c>
      <c r="B1224">
        <v>3</v>
      </c>
      <c r="C1224" t="s">
        <v>205</v>
      </c>
      <c r="D1224" t="s">
        <v>160</v>
      </c>
      <c r="E1224">
        <f>SUMIFS('Nacional · base'!$J$7:$J$1068,'Nacional · base'!$A$7:$A$1068,A1224,'Nacional · base'!$B$7:$B$1068,B1224,'Nacional · base'!$C$7:$C$1068,C1224)</f>
        <v>797.31999999999994</v>
      </c>
      <c r="F1224">
        <f>SUMIFS('Nacional · base'!$K$7:$K$1068,'Nacional · base'!$A$7:$A$1068,A1224,'Nacional · base'!$B$7:$B$1068,B1224,'Nacional · base'!$C$7:$C$1068,C1224)</f>
        <v>1.1325757575757576</v>
      </c>
      <c r="G1224">
        <f t="shared" si="21"/>
        <v>2</v>
      </c>
      <c r="H1224">
        <f>SUMIFS('Nacional · base'!$G$7:$G$1068,'Nacional · base'!$A$7:$A$1068,A1224,'Nacional · base'!$B$7:$B$1068,B1224,'Nacional · base'!$C$7:$C$1068,C1224)</f>
        <v>2299.0366306286824</v>
      </c>
      <c r="I1224">
        <f>IF(D1224="Canarias",IF(C1224="CABRERA MORALES FRANCISCO",IF(E1224&lt;=2000,'Nacional · supuestos'!$C$34,IF(E1224&lt;=5000,'Nacional · supuestos'!$C$35,'Nacional · supuestos'!$C$36)),IF(E1224&lt;=2000,'Nacional · supuestos'!$B$34,IF(E1224&lt;=5000,'Nacional · supuestos'!$B$35,'Nacional · supuestos'!$B$36))),0)</f>
        <v>0</v>
      </c>
      <c r="J1224">
        <f>IF(D1224="Canarias",MAX(E1224*I1224,IF(C1224="CABRERA MORALES FRANCISCO",'Nacional · supuestos'!$C$38,'Nacional · supuestos'!$B$38)),0)</f>
        <v>0</v>
      </c>
      <c r="K1224">
        <f>IF(D1224="Canarias",MAX(E1224*'Nacional · supuestos'!$B$41,'Nacional · supuestos'!$B$42),0)</f>
        <v>0</v>
      </c>
      <c r="L1224">
        <f>IF(D1224="Canarias",E1224*'Nacional · supuestos'!$B$43,0)</f>
        <v>0</v>
      </c>
      <c r="M1224">
        <f>IF(D1224="Canarias",E1224*'Nacional · supuestos'!$B$44,0)</f>
        <v>0</v>
      </c>
      <c r="N1224">
        <f>IF(D1224="Canarias",E1224*'Nacional · supuestos'!$B$45,0)</f>
        <v>0</v>
      </c>
      <c r="O1224">
        <f>IF(D1224="Canarias",'Nacional · supuestos'!$B$46,0)</f>
        <v>0</v>
      </c>
      <c r="P1224">
        <f>IF(D1224="Canarias",MAX(H1224*'Nacional · supuestos'!$B$47,'Nacional · supuestos'!$B$48),0)</f>
        <v>0</v>
      </c>
      <c r="Q1224">
        <f>IF(D1224="Resto nacional",E1224*'Nacional · supuestos'!$B$13*IF(A1224=2027,1+'Nacional · supuestos'!$B$6,1),0)</f>
        <v>77.76890864453992</v>
      </c>
      <c r="R1224">
        <f>IF(D1224="Canarias",SUM(J1224:P1224)*IF(A1224=2027,1+'Nacional · supuestos'!$B$6,1),0)</f>
        <v>0</v>
      </c>
      <c r="S1224">
        <f t="shared" si="22"/>
        <v>77.76890864453992</v>
      </c>
    </row>
    <row r="1225" spans="1:19">
      <c r="A1225">
        <v>2027</v>
      </c>
      <c r="B1225">
        <v>3</v>
      </c>
      <c r="C1225" t="s">
        <v>206</v>
      </c>
      <c r="D1225" t="s">
        <v>160</v>
      </c>
      <c r="E1225">
        <f>SUMIFS('Nacional · base'!$J$7:$J$1068,'Nacional · base'!$A$7:$A$1068,A1225,'Nacional · base'!$B$7:$B$1068,B1225,'Nacional · base'!$C$7:$C$1068,C1225)</f>
        <v>735.59999999999991</v>
      </c>
      <c r="F1225">
        <f>SUMIFS('Nacional · base'!$K$7:$K$1068,'Nacional · base'!$A$7:$A$1068,A1225,'Nacional · base'!$B$7:$B$1068,B1225,'Nacional · base'!$C$7:$C$1068,C1225)</f>
        <v>0.95625000000000004</v>
      </c>
      <c r="G1225">
        <f t="shared" si="21"/>
        <v>1</v>
      </c>
      <c r="H1225">
        <f>SUMIFS('Nacional · base'!$G$7:$G$1068,'Nacional · base'!$A$7:$A$1068,A1225,'Nacional · base'!$B$7:$B$1068,B1225,'Nacional · base'!$C$7:$C$1068,C1225)</f>
        <v>2817.5464902901867</v>
      </c>
      <c r="I1225">
        <f>IF(D1225="Canarias",IF(C1225="CABRERA MORALES FRANCISCO",IF(E1225&lt;=2000,'Nacional · supuestos'!$C$34,IF(E1225&lt;=5000,'Nacional · supuestos'!$C$35,'Nacional · supuestos'!$C$36)),IF(E1225&lt;=2000,'Nacional · supuestos'!$B$34,IF(E1225&lt;=5000,'Nacional · supuestos'!$B$35,'Nacional · supuestos'!$B$36))),0)</f>
        <v>0</v>
      </c>
      <c r="J1225">
        <f>IF(D1225="Canarias",MAX(E1225*I1225,IF(C1225="CABRERA MORALES FRANCISCO",'Nacional · supuestos'!$C$38,'Nacional · supuestos'!$B$38)),0)</f>
        <v>0</v>
      </c>
      <c r="K1225">
        <f>IF(D1225="Canarias",MAX(E1225*'Nacional · supuestos'!$B$41,'Nacional · supuestos'!$B$42),0)</f>
        <v>0</v>
      </c>
      <c r="L1225">
        <f>IF(D1225="Canarias",E1225*'Nacional · supuestos'!$B$43,0)</f>
        <v>0</v>
      </c>
      <c r="M1225">
        <f>IF(D1225="Canarias",E1225*'Nacional · supuestos'!$B$44,0)</f>
        <v>0</v>
      </c>
      <c r="N1225">
        <f>IF(D1225="Canarias",E1225*'Nacional · supuestos'!$B$45,0)</f>
        <v>0</v>
      </c>
      <c r="O1225">
        <f>IF(D1225="Canarias",'Nacional · supuestos'!$B$46,0)</f>
        <v>0</v>
      </c>
      <c r="P1225">
        <f>IF(D1225="Canarias",MAX(H1225*'Nacional · supuestos'!$B$47,'Nacional · supuestos'!$B$48),0)</f>
        <v>0</v>
      </c>
      <c r="Q1225">
        <f>IF(D1225="Resto nacional",E1225*'Nacional · supuestos'!$B$13*IF(A1225=2027,1+'Nacional · supuestos'!$B$6,1),0)</f>
        <v>71.748870213870916</v>
      </c>
      <c r="R1225">
        <f>IF(D1225="Canarias",SUM(J1225:P1225)*IF(A1225=2027,1+'Nacional · supuestos'!$B$6,1),0)</f>
        <v>0</v>
      </c>
      <c r="S1225">
        <f t="shared" si="22"/>
        <v>71.748870213870916</v>
      </c>
    </row>
    <row r="1226" spans="1:19">
      <c r="A1226">
        <v>2027</v>
      </c>
      <c r="B1226">
        <v>3</v>
      </c>
      <c r="C1226" t="s">
        <v>193</v>
      </c>
      <c r="D1226" t="s">
        <v>160</v>
      </c>
      <c r="E1226">
        <f>SUMIFS('Nacional · base'!$J$7:$J$1068,'Nacional · base'!$A$7:$A$1068,A1226,'Nacional · base'!$B$7:$B$1068,B1226,'Nacional · base'!$C$7:$C$1068,C1226)</f>
        <v>23.599999999999998</v>
      </c>
      <c r="F1226">
        <f>SUMIFS('Nacional · base'!$K$7:$K$1068,'Nacional · base'!$A$7:$A$1068,A1226,'Nacional · base'!$B$7:$B$1068,B1226,'Nacional · base'!$C$7:$C$1068,C1226)</f>
        <v>3.125E-2</v>
      </c>
      <c r="G1226">
        <f t="shared" si="21"/>
        <v>1</v>
      </c>
      <c r="H1226">
        <f>SUMIFS('Nacional · base'!$G$7:$G$1068,'Nacional · base'!$A$7:$A$1068,A1226,'Nacional · base'!$B$7:$B$1068,B1226,'Nacional · base'!$C$7:$C$1068,C1226)</f>
        <v>81.722399126433842</v>
      </c>
      <c r="I1226">
        <f>IF(D1226="Canarias",IF(C1226="CABRERA MORALES FRANCISCO",IF(E1226&lt;=2000,'Nacional · supuestos'!$C$34,IF(E1226&lt;=5000,'Nacional · supuestos'!$C$35,'Nacional · supuestos'!$C$36)),IF(E1226&lt;=2000,'Nacional · supuestos'!$B$34,IF(E1226&lt;=5000,'Nacional · supuestos'!$B$35,'Nacional · supuestos'!$B$36))),0)</f>
        <v>0</v>
      </c>
      <c r="J1226">
        <f>IF(D1226="Canarias",MAX(E1226*I1226,IF(C1226="CABRERA MORALES FRANCISCO",'Nacional · supuestos'!$C$38,'Nacional · supuestos'!$B$38)),0)</f>
        <v>0</v>
      </c>
      <c r="K1226">
        <f>IF(D1226="Canarias",MAX(E1226*'Nacional · supuestos'!$B$41,'Nacional · supuestos'!$B$42),0)</f>
        <v>0</v>
      </c>
      <c r="L1226">
        <f>IF(D1226="Canarias",E1226*'Nacional · supuestos'!$B$43,0)</f>
        <v>0</v>
      </c>
      <c r="M1226">
        <f>IF(D1226="Canarias",E1226*'Nacional · supuestos'!$B$44,0)</f>
        <v>0</v>
      </c>
      <c r="N1226">
        <f>IF(D1226="Canarias",E1226*'Nacional · supuestos'!$B$45,0)</f>
        <v>0</v>
      </c>
      <c r="O1226">
        <f>IF(D1226="Canarias",'Nacional · supuestos'!$B$46,0)</f>
        <v>0</v>
      </c>
      <c r="P1226">
        <f>IF(D1226="Canarias",MAX(H1226*'Nacional · supuestos'!$B$47,'Nacional · supuestos'!$B$48),0)</f>
        <v>0</v>
      </c>
      <c r="Q1226">
        <f>IF(D1226="Resto nacional",E1226*'Nacional · supuestos'!$B$13*IF(A1226=2027,1+'Nacional · supuestos'!$B$6,1),0)</f>
        <v>2.3018941504178274</v>
      </c>
      <c r="R1226">
        <f>IF(D1226="Canarias",SUM(J1226:P1226)*IF(A1226=2027,1+'Nacional · supuestos'!$B$6,1),0)</f>
        <v>0</v>
      </c>
      <c r="S1226">
        <f t="shared" si="22"/>
        <v>2.3018941504178274</v>
      </c>
    </row>
    <row r="1227" spans="1:19">
      <c r="A1227">
        <v>2027</v>
      </c>
      <c r="B1227">
        <v>3</v>
      </c>
      <c r="C1227" t="s">
        <v>184</v>
      </c>
      <c r="D1227" t="s">
        <v>160</v>
      </c>
      <c r="E1227">
        <f>SUMIFS('Nacional · base'!$J$7:$J$1068,'Nacional · base'!$A$7:$A$1068,A1227,'Nacional · base'!$B$7:$B$1068,B1227,'Nacional · base'!$C$7:$C$1068,C1227)</f>
        <v>944</v>
      </c>
      <c r="F1227">
        <f>SUMIFS('Nacional · base'!$K$7:$K$1068,'Nacional · base'!$A$7:$A$1068,A1227,'Nacional · base'!$B$7:$B$1068,B1227,'Nacional · base'!$C$7:$C$1068,C1227)</f>
        <v>1</v>
      </c>
      <c r="G1227">
        <f t="shared" si="21"/>
        <v>1</v>
      </c>
      <c r="H1227">
        <f>SUMIFS('Nacional · base'!$G$7:$G$1068,'Nacional · base'!$A$7:$A$1068,A1227,'Nacional · base'!$B$7:$B$1068,B1227,'Nacional · base'!$C$7:$C$1068,C1227)</f>
        <v>2793.5718068729925</v>
      </c>
      <c r="I1227">
        <f>IF(D1227="Canarias",IF(C1227="CABRERA MORALES FRANCISCO",IF(E1227&lt;=2000,'Nacional · supuestos'!$C$34,IF(E1227&lt;=5000,'Nacional · supuestos'!$C$35,'Nacional · supuestos'!$C$36)),IF(E1227&lt;=2000,'Nacional · supuestos'!$B$34,IF(E1227&lt;=5000,'Nacional · supuestos'!$B$35,'Nacional · supuestos'!$B$36))),0)</f>
        <v>0</v>
      </c>
      <c r="J1227">
        <f>IF(D1227="Canarias",MAX(E1227*I1227,IF(C1227="CABRERA MORALES FRANCISCO",'Nacional · supuestos'!$C$38,'Nacional · supuestos'!$B$38)),0)</f>
        <v>0</v>
      </c>
      <c r="K1227">
        <f>IF(D1227="Canarias",MAX(E1227*'Nacional · supuestos'!$B$41,'Nacional · supuestos'!$B$42),0)</f>
        <v>0</v>
      </c>
      <c r="L1227">
        <f>IF(D1227="Canarias",E1227*'Nacional · supuestos'!$B$43,0)</f>
        <v>0</v>
      </c>
      <c r="M1227">
        <f>IF(D1227="Canarias",E1227*'Nacional · supuestos'!$B$44,0)</f>
        <v>0</v>
      </c>
      <c r="N1227">
        <f>IF(D1227="Canarias",E1227*'Nacional · supuestos'!$B$45,0)</f>
        <v>0</v>
      </c>
      <c r="O1227">
        <f>IF(D1227="Canarias",'Nacional · supuestos'!$B$46,0)</f>
        <v>0</v>
      </c>
      <c r="P1227">
        <f>IF(D1227="Canarias",MAX(H1227*'Nacional · supuestos'!$B$47,'Nacional · supuestos'!$B$48),0)</f>
        <v>0</v>
      </c>
      <c r="Q1227">
        <f>IF(D1227="Resto nacional",E1227*'Nacional · supuestos'!$B$13*IF(A1227=2027,1+'Nacional · supuestos'!$B$6,1),0)</f>
        <v>92.075766016713104</v>
      </c>
      <c r="R1227">
        <f>IF(D1227="Canarias",SUM(J1227:P1227)*IF(A1227=2027,1+'Nacional · supuestos'!$B$6,1),0)</f>
        <v>0</v>
      </c>
      <c r="S1227">
        <f t="shared" si="22"/>
        <v>92.075766016713104</v>
      </c>
    </row>
    <row r="1228" spans="1:19">
      <c r="A1228">
        <v>2027</v>
      </c>
      <c r="B1228">
        <v>3</v>
      </c>
      <c r="C1228" t="s">
        <v>180</v>
      </c>
      <c r="D1228" t="s">
        <v>160</v>
      </c>
      <c r="E1228">
        <f>SUMIFS('Nacional · base'!$J$7:$J$1068,'Nacional · base'!$A$7:$A$1068,A1228,'Nacional · base'!$B$7:$B$1068,B1228,'Nacional · base'!$C$7:$C$1068,C1228)</f>
        <v>4452.8999999999996</v>
      </c>
      <c r="F1228">
        <f>SUMIFS('Nacional · base'!$K$7:$K$1068,'Nacional · base'!$A$7:$A$1068,A1228,'Nacional · base'!$B$7:$B$1068,B1228,'Nacional · base'!$C$7:$C$1068,C1228)</f>
        <v>5.8962499999999993</v>
      </c>
      <c r="G1228">
        <f t="shared" si="21"/>
        <v>6</v>
      </c>
      <c r="H1228">
        <f>SUMIFS('Nacional · base'!$G$7:$G$1068,'Nacional · base'!$A$7:$A$1068,A1228,'Nacional · base'!$B$7:$B$1068,B1228,'Nacional · base'!$C$7:$C$1068,C1228)</f>
        <v>17650.787358261856</v>
      </c>
      <c r="I1228">
        <f>IF(D1228="Canarias",IF(C1228="CABRERA MORALES FRANCISCO",IF(E1228&lt;=2000,'Nacional · supuestos'!$C$34,IF(E1228&lt;=5000,'Nacional · supuestos'!$C$35,'Nacional · supuestos'!$C$36)),IF(E1228&lt;=2000,'Nacional · supuestos'!$B$34,IF(E1228&lt;=5000,'Nacional · supuestos'!$B$35,'Nacional · supuestos'!$B$36))),0)</f>
        <v>0</v>
      </c>
      <c r="J1228">
        <f>IF(D1228="Canarias",MAX(E1228*I1228,IF(C1228="CABRERA MORALES FRANCISCO",'Nacional · supuestos'!$C$38,'Nacional · supuestos'!$B$38)),0)</f>
        <v>0</v>
      </c>
      <c r="K1228">
        <f>IF(D1228="Canarias",MAX(E1228*'Nacional · supuestos'!$B$41,'Nacional · supuestos'!$B$42),0)</f>
        <v>0</v>
      </c>
      <c r="L1228">
        <f>IF(D1228="Canarias",E1228*'Nacional · supuestos'!$B$43,0)</f>
        <v>0</v>
      </c>
      <c r="M1228">
        <f>IF(D1228="Canarias",E1228*'Nacional · supuestos'!$B$44,0)</f>
        <v>0</v>
      </c>
      <c r="N1228">
        <f>IF(D1228="Canarias",E1228*'Nacional · supuestos'!$B$45,0)</f>
        <v>0</v>
      </c>
      <c r="O1228">
        <f>IF(D1228="Canarias",'Nacional · supuestos'!$B$46,0)</f>
        <v>0</v>
      </c>
      <c r="P1228">
        <f>IF(D1228="Canarias",MAX(H1228*'Nacional · supuestos'!$B$47,'Nacional · supuestos'!$B$48),0)</f>
        <v>0</v>
      </c>
      <c r="Q1228">
        <f>IF(D1228="Resto nacional",E1228*'Nacional · supuestos'!$B$13*IF(A1228=2027,1+'Nacional · supuestos'!$B$6,1),0)</f>
        <v>434.32646027099759</v>
      </c>
      <c r="R1228">
        <f>IF(D1228="Canarias",SUM(J1228:P1228)*IF(A1228=2027,1+'Nacional · supuestos'!$B$6,1),0)</f>
        <v>0</v>
      </c>
      <c r="S1228">
        <f t="shared" si="22"/>
        <v>434.32646027099759</v>
      </c>
    </row>
    <row r="1229" spans="1:19">
      <c r="A1229">
        <v>2027</v>
      </c>
      <c r="B1229">
        <v>3</v>
      </c>
      <c r="C1229" t="s">
        <v>185</v>
      </c>
      <c r="D1229" t="s">
        <v>160</v>
      </c>
      <c r="E1229">
        <f>SUMIFS('Nacional · base'!$J$7:$J$1068,'Nacional · base'!$A$7:$A$1068,A1229,'Nacional · base'!$B$7:$B$1068,B1229,'Nacional · base'!$C$7:$C$1068,C1229)</f>
        <v>2596</v>
      </c>
      <c r="F1229">
        <f>SUMIFS('Nacional · base'!$K$7:$K$1068,'Nacional · base'!$A$7:$A$1068,A1229,'Nacional · base'!$B$7:$B$1068,B1229,'Nacional · base'!$C$7:$C$1068,C1229)</f>
        <v>3.4375</v>
      </c>
      <c r="G1229">
        <f t="shared" si="21"/>
        <v>4</v>
      </c>
      <c r="H1229">
        <f>SUMIFS('Nacional · base'!$G$7:$G$1068,'Nacional · base'!$A$7:$A$1068,A1229,'Nacional · base'!$B$7:$B$1068,B1229,'Nacional · base'!$C$7:$C$1068,C1229)</f>
        <v>7811.9942348615532</v>
      </c>
      <c r="I1229">
        <f>IF(D1229="Canarias",IF(C1229="CABRERA MORALES FRANCISCO",IF(E1229&lt;=2000,'Nacional · supuestos'!$C$34,IF(E1229&lt;=5000,'Nacional · supuestos'!$C$35,'Nacional · supuestos'!$C$36)),IF(E1229&lt;=2000,'Nacional · supuestos'!$B$34,IF(E1229&lt;=5000,'Nacional · supuestos'!$B$35,'Nacional · supuestos'!$B$36))),0)</f>
        <v>0</v>
      </c>
      <c r="J1229">
        <f>IF(D1229="Canarias",MAX(E1229*I1229,IF(C1229="CABRERA MORALES FRANCISCO",'Nacional · supuestos'!$C$38,'Nacional · supuestos'!$B$38)),0)</f>
        <v>0</v>
      </c>
      <c r="K1229">
        <f>IF(D1229="Canarias",MAX(E1229*'Nacional · supuestos'!$B$41,'Nacional · supuestos'!$B$42),0)</f>
        <v>0</v>
      </c>
      <c r="L1229">
        <f>IF(D1229="Canarias",E1229*'Nacional · supuestos'!$B$43,0)</f>
        <v>0</v>
      </c>
      <c r="M1229">
        <f>IF(D1229="Canarias",E1229*'Nacional · supuestos'!$B$44,0)</f>
        <v>0</v>
      </c>
      <c r="N1229">
        <f>IF(D1229="Canarias",E1229*'Nacional · supuestos'!$B$45,0)</f>
        <v>0</v>
      </c>
      <c r="O1229">
        <f>IF(D1229="Canarias",'Nacional · supuestos'!$B$46,0)</f>
        <v>0</v>
      </c>
      <c r="P1229">
        <f>IF(D1229="Canarias",MAX(H1229*'Nacional · supuestos'!$B$47,'Nacional · supuestos'!$B$48),0)</f>
        <v>0</v>
      </c>
      <c r="Q1229">
        <f>IF(D1229="Resto nacional",E1229*'Nacional · supuestos'!$B$13*IF(A1229=2027,1+'Nacional · supuestos'!$B$6,1),0)</f>
        <v>253.20835654596101</v>
      </c>
      <c r="R1229">
        <f>IF(D1229="Canarias",SUM(J1229:P1229)*IF(A1229=2027,1+'Nacional · supuestos'!$B$6,1),0)</f>
        <v>0</v>
      </c>
      <c r="S1229">
        <f t="shared" si="22"/>
        <v>253.20835654596101</v>
      </c>
    </row>
    <row r="1230" spans="1:19">
      <c r="A1230">
        <v>2027</v>
      </c>
      <c r="B1230">
        <v>3</v>
      </c>
      <c r="C1230" t="s">
        <v>181</v>
      </c>
      <c r="D1230" t="s">
        <v>160</v>
      </c>
      <c r="E1230">
        <f>SUMIFS('Nacional · base'!$J$7:$J$1068,'Nacional · base'!$A$7:$A$1068,A1230,'Nacional · base'!$B$7:$B$1068,B1230,'Nacional · base'!$C$7:$C$1068,C1230)</f>
        <v>2885</v>
      </c>
      <c r="F1230">
        <f>SUMIFS('Nacional · base'!$K$7:$K$1068,'Nacional · base'!$A$7:$A$1068,A1230,'Nacional · base'!$B$7:$B$1068,B1230,'Nacional · base'!$C$7:$C$1068,C1230)</f>
        <v>3.8466666666666667</v>
      </c>
      <c r="G1230">
        <f t="shared" si="21"/>
        <v>4</v>
      </c>
      <c r="H1230">
        <f>SUMIFS('Nacional · base'!$G$7:$G$1068,'Nacional · base'!$A$7:$A$1068,A1230,'Nacional · base'!$B$7:$B$1068,B1230,'Nacional · base'!$C$7:$C$1068,C1230)</f>
        <v>20569.652945428188</v>
      </c>
      <c r="I1230">
        <f>IF(D1230="Canarias",IF(C1230="CABRERA MORALES FRANCISCO",IF(E1230&lt;=2000,'Nacional · supuestos'!$C$34,IF(E1230&lt;=5000,'Nacional · supuestos'!$C$35,'Nacional · supuestos'!$C$36)),IF(E1230&lt;=2000,'Nacional · supuestos'!$B$34,IF(E1230&lt;=5000,'Nacional · supuestos'!$B$35,'Nacional · supuestos'!$B$36))),0)</f>
        <v>0</v>
      </c>
      <c r="J1230">
        <f>IF(D1230="Canarias",MAX(E1230*I1230,IF(C1230="CABRERA MORALES FRANCISCO",'Nacional · supuestos'!$C$38,'Nacional · supuestos'!$B$38)),0)</f>
        <v>0</v>
      </c>
      <c r="K1230">
        <f>IF(D1230="Canarias",MAX(E1230*'Nacional · supuestos'!$B$41,'Nacional · supuestos'!$B$42),0)</f>
        <v>0</v>
      </c>
      <c r="L1230">
        <f>IF(D1230="Canarias",E1230*'Nacional · supuestos'!$B$43,0)</f>
        <v>0</v>
      </c>
      <c r="M1230">
        <f>IF(D1230="Canarias",E1230*'Nacional · supuestos'!$B$44,0)</f>
        <v>0</v>
      </c>
      <c r="N1230">
        <f>IF(D1230="Canarias",E1230*'Nacional · supuestos'!$B$45,0)</f>
        <v>0</v>
      </c>
      <c r="O1230">
        <f>IF(D1230="Canarias",'Nacional · supuestos'!$B$46,0)</f>
        <v>0</v>
      </c>
      <c r="P1230">
        <f>IF(D1230="Canarias",MAX(H1230*'Nacional · supuestos'!$B$47,'Nacional · supuestos'!$B$48),0)</f>
        <v>0</v>
      </c>
      <c r="Q1230">
        <f>IF(D1230="Resto nacional",E1230*'Nacional · supuestos'!$B$13*IF(A1230=2027,1+'Nacional · supuestos'!$B$6,1),0)</f>
        <v>281.39680609980644</v>
      </c>
      <c r="R1230">
        <f>IF(D1230="Canarias",SUM(J1230:P1230)*IF(A1230=2027,1+'Nacional · supuestos'!$B$6,1),0)</f>
        <v>0</v>
      </c>
      <c r="S1230">
        <f t="shared" si="22"/>
        <v>281.39680609980644</v>
      </c>
    </row>
    <row r="1231" spans="1:19">
      <c r="A1231">
        <v>2027</v>
      </c>
      <c r="B1231">
        <v>3</v>
      </c>
      <c r="C1231" t="s">
        <v>186</v>
      </c>
      <c r="D1231" t="s">
        <v>160</v>
      </c>
      <c r="E1231">
        <f>SUMIFS('Nacional · base'!$J$7:$J$1068,'Nacional · base'!$A$7:$A$1068,A1231,'Nacional · base'!$B$7:$B$1068,B1231,'Nacional · base'!$C$7:$C$1068,C1231)</f>
        <v>1345.1999999999998</v>
      </c>
      <c r="F1231">
        <f>SUMIFS('Nacional · base'!$K$7:$K$1068,'Nacional · base'!$A$7:$A$1068,A1231,'Nacional · base'!$B$7:$B$1068,B1231,'Nacional · base'!$C$7:$C$1068,C1231)</f>
        <v>1.78125</v>
      </c>
      <c r="G1231">
        <f t="shared" si="21"/>
        <v>2</v>
      </c>
      <c r="H1231">
        <f>SUMIFS('Nacional · base'!$G$7:$G$1068,'Nacional · base'!$A$7:$A$1068,A1231,'Nacional · base'!$B$7:$B$1068,B1231,'Nacional · base'!$C$7:$C$1068,C1231)</f>
        <v>3747.1387803533721</v>
      </c>
      <c r="I1231">
        <f>IF(D1231="Canarias",IF(C1231="CABRERA MORALES FRANCISCO",IF(E1231&lt;=2000,'Nacional · supuestos'!$C$34,IF(E1231&lt;=5000,'Nacional · supuestos'!$C$35,'Nacional · supuestos'!$C$36)),IF(E1231&lt;=2000,'Nacional · supuestos'!$B$34,IF(E1231&lt;=5000,'Nacional · supuestos'!$B$35,'Nacional · supuestos'!$B$36))),0)</f>
        <v>0</v>
      </c>
      <c r="J1231">
        <f>IF(D1231="Canarias",MAX(E1231*I1231,IF(C1231="CABRERA MORALES FRANCISCO",'Nacional · supuestos'!$C$38,'Nacional · supuestos'!$B$38)),0)</f>
        <v>0</v>
      </c>
      <c r="K1231">
        <f>IF(D1231="Canarias",MAX(E1231*'Nacional · supuestos'!$B$41,'Nacional · supuestos'!$B$42),0)</f>
        <v>0</v>
      </c>
      <c r="L1231">
        <f>IF(D1231="Canarias",E1231*'Nacional · supuestos'!$B$43,0)</f>
        <v>0</v>
      </c>
      <c r="M1231">
        <f>IF(D1231="Canarias",E1231*'Nacional · supuestos'!$B$44,0)</f>
        <v>0</v>
      </c>
      <c r="N1231">
        <f>IF(D1231="Canarias",E1231*'Nacional · supuestos'!$B$45,0)</f>
        <v>0</v>
      </c>
      <c r="O1231">
        <f>IF(D1231="Canarias",'Nacional · supuestos'!$B$46,0)</f>
        <v>0</v>
      </c>
      <c r="P1231">
        <f>IF(D1231="Canarias",MAX(H1231*'Nacional · supuestos'!$B$47,'Nacional · supuestos'!$B$48),0)</f>
        <v>0</v>
      </c>
      <c r="Q1231">
        <f>IF(D1231="Resto nacional",E1231*'Nacional · supuestos'!$B$13*IF(A1231=2027,1+'Nacional · supuestos'!$B$6,1),0)</f>
        <v>131.20796657381615</v>
      </c>
      <c r="R1231">
        <f>IF(D1231="Canarias",SUM(J1231:P1231)*IF(A1231=2027,1+'Nacional · supuestos'!$B$6,1),0)</f>
        <v>0</v>
      </c>
      <c r="S1231">
        <f t="shared" si="22"/>
        <v>131.20796657381615</v>
      </c>
    </row>
    <row r="1232" spans="1:19">
      <c r="A1232">
        <v>2027</v>
      </c>
      <c r="B1232">
        <v>4</v>
      </c>
      <c r="C1232" t="s">
        <v>159</v>
      </c>
      <c r="D1232" t="s">
        <v>160</v>
      </c>
      <c r="E1232">
        <f>SUMIFS('Nacional · base'!$J$7:$J$1068,'Nacional · base'!$A$7:$A$1068,A1232,'Nacional · base'!$B$7:$B$1068,B1232,'Nacional · base'!$C$7:$C$1068,C1232)</f>
        <v>2289.1999999999998</v>
      </c>
      <c r="F1232">
        <f>SUMIFS('Nacional · base'!$K$7:$K$1068,'Nacional · base'!$A$7:$A$1068,A1232,'Nacional · base'!$B$7:$B$1068,B1232,'Nacional · base'!$C$7:$C$1068,C1232)</f>
        <v>3.03125</v>
      </c>
      <c r="G1232">
        <f t="shared" si="21"/>
        <v>4</v>
      </c>
      <c r="H1232">
        <f>SUMIFS('Nacional · base'!$G$7:$G$1068,'Nacional · base'!$A$7:$A$1068,A1232,'Nacional · base'!$B$7:$B$1068,B1232,'Nacional · base'!$C$7:$C$1068,C1232)</f>
        <v>6469.620439006686</v>
      </c>
      <c r="I1232">
        <f>IF(D1232="Canarias",IF(C1232="CABRERA MORALES FRANCISCO",IF(E1232&lt;=2000,'Nacional · supuestos'!$C$34,IF(E1232&lt;=5000,'Nacional · supuestos'!$C$35,'Nacional · supuestos'!$C$36)),IF(E1232&lt;=2000,'Nacional · supuestos'!$B$34,IF(E1232&lt;=5000,'Nacional · supuestos'!$B$35,'Nacional · supuestos'!$B$36))),0)</f>
        <v>0</v>
      </c>
      <c r="J1232">
        <f>IF(D1232="Canarias",MAX(E1232*I1232,IF(C1232="CABRERA MORALES FRANCISCO",'Nacional · supuestos'!$C$38,'Nacional · supuestos'!$B$38)),0)</f>
        <v>0</v>
      </c>
      <c r="K1232">
        <f>IF(D1232="Canarias",MAX(E1232*'Nacional · supuestos'!$B$41,'Nacional · supuestos'!$B$42),0)</f>
        <v>0</v>
      </c>
      <c r="L1232">
        <f>IF(D1232="Canarias",E1232*'Nacional · supuestos'!$B$43,0)</f>
        <v>0</v>
      </c>
      <c r="M1232">
        <f>IF(D1232="Canarias",E1232*'Nacional · supuestos'!$B$44,0)</f>
        <v>0</v>
      </c>
      <c r="N1232">
        <f>IF(D1232="Canarias",E1232*'Nacional · supuestos'!$B$45,0)</f>
        <v>0</v>
      </c>
      <c r="O1232">
        <f>IF(D1232="Canarias",'Nacional · supuestos'!$B$46,0)</f>
        <v>0</v>
      </c>
      <c r="P1232">
        <f>IF(D1232="Canarias",MAX(H1232*'Nacional · supuestos'!$B$47,'Nacional · supuestos'!$B$48),0)</f>
        <v>0</v>
      </c>
      <c r="Q1232">
        <f>IF(D1232="Resto nacional",E1232*'Nacional · supuestos'!$B$13*IF(A1232=2027,1+'Nacional · supuestos'!$B$6,1),0)</f>
        <v>223.28373259052924</v>
      </c>
      <c r="R1232">
        <f>IF(D1232="Canarias",SUM(J1232:P1232)*IF(A1232=2027,1+'Nacional · supuestos'!$B$6,1),0)</f>
        <v>0</v>
      </c>
      <c r="S1232">
        <f t="shared" si="22"/>
        <v>223.28373259052924</v>
      </c>
    </row>
    <row r="1233" spans="1:19">
      <c r="A1233">
        <v>2027</v>
      </c>
      <c r="B1233">
        <v>4</v>
      </c>
      <c r="C1233" t="s">
        <v>194</v>
      </c>
      <c r="D1233" t="s">
        <v>160</v>
      </c>
      <c r="E1233">
        <f>SUMIFS('Nacional · base'!$J$7:$J$1068,'Nacional · base'!$A$7:$A$1068,A1233,'Nacional · base'!$B$7:$B$1068,B1233,'Nacional · base'!$C$7:$C$1068,C1233)</f>
        <v>826</v>
      </c>
      <c r="F1233">
        <f>SUMIFS('Nacional · base'!$K$7:$K$1068,'Nacional · base'!$A$7:$A$1068,A1233,'Nacional · base'!$B$7:$B$1068,B1233,'Nacional · base'!$C$7:$C$1068,C1233)</f>
        <v>1.09375</v>
      </c>
      <c r="G1233">
        <f t="shared" si="21"/>
        <v>2</v>
      </c>
      <c r="H1233">
        <f>SUMIFS('Nacional · base'!$G$7:$G$1068,'Nacional · base'!$A$7:$A$1068,A1233,'Nacional · base'!$B$7:$B$1068,B1233,'Nacional · base'!$C$7:$C$1068,C1233)</f>
        <v>2254.662618756076</v>
      </c>
      <c r="I1233">
        <f>IF(D1233="Canarias",IF(C1233="CABRERA MORALES FRANCISCO",IF(E1233&lt;=2000,'Nacional · supuestos'!$C$34,IF(E1233&lt;=5000,'Nacional · supuestos'!$C$35,'Nacional · supuestos'!$C$36)),IF(E1233&lt;=2000,'Nacional · supuestos'!$B$34,IF(E1233&lt;=5000,'Nacional · supuestos'!$B$35,'Nacional · supuestos'!$B$36))),0)</f>
        <v>0</v>
      </c>
      <c r="J1233">
        <f>IF(D1233="Canarias",MAX(E1233*I1233,IF(C1233="CABRERA MORALES FRANCISCO",'Nacional · supuestos'!$C$38,'Nacional · supuestos'!$B$38)),0)</f>
        <v>0</v>
      </c>
      <c r="K1233">
        <f>IF(D1233="Canarias",MAX(E1233*'Nacional · supuestos'!$B$41,'Nacional · supuestos'!$B$42),0)</f>
        <v>0</v>
      </c>
      <c r="L1233">
        <f>IF(D1233="Canarias",E1233*'Nacional · supuestos'!$B$43,0)</f>
        <v>0</v>
      </c>
      <c r="M1233">
        <f>IF(D1233="Canarias",E1233*'Nacional · supuestos'!$B$44,0)</f>
        <v>0</v>
      </c>
      <c r="N1233">
        <f>IF(D1233="Canarias",E1233*'Nacional · supuestos'!$B$45,0)</f>
        <v>0</v>
      </c>
      <c r="O1233">
        <f>IF(D1233="Canarias",'Nacional · supuestos'!$B$46,0)</f>
        <v>0</v>
      </c>
      <c r="P1233">
        <f>IF(D1233="Canarias",MAX(H1233*'Nacional · supuestos'!$B$47,'Nacional · supuestos'!$B$48),0)</f>
        <v>0</v>
      </c>
      <c r="Q1233">
        <f>IF(D1233="Resto nacional",E1233*'Nacional · supuestos'!$B$13*IF(A1233=2027,1+'Nacional · supuestos'!$B$6,1),0)</f>
        <v>80.56629526462396</v>
      </c>
      <c r="R1233">
        <f>IF(D1233="Canarias",SUM(J1233:P1233)*IF(A1233=2027,1+'Nacional · supuestos'!$B$6,1),0)</f>
        <v>0</v>
      </c>
      <c r="S1233">
        <f t="shared" si="22"/>
        <v>80.56629526462396</v>
      </c>
    </row>
    <row r="1234" spans="1:19">
      <c r="A1234">
        <v>2027</v>
      </c>
      <c r="B1234">
        <v>4</v>
      </c>
      <c r="C1234" t="s">
        <v>195</v>
      </c>
      <c r="D1234" t="s">
        <v>160</v>
      </c>
      <c r="E1234">
        <f>SUMIFS('Nacional · base'!$J$7:$J$1068,'Nacional · base'!$A$7:$A$1068,A1234,'Nacional · base'!$B$7:$B$1068,B1234,'Nacional · base'!$C$7:$C$1068,C1234)</f>
        <v>3100.9</v>
      </c>
      <c r="F1234">
        <f>SUMIFS('Nacional · base'!$K$7:$K$1068,'Nacional · base'!$A$7:$A$1068,A1234,'Nacional · base'!$B$7:$B$1068,B1234,'Nacional · base'!$C$7:$C$1068,C1234)</f>
        <v>4.0945833333333335</v>
      </c>
      <c r="G1234">
        <f t="shared" si="21"/>
        <v>5</v>
      </c>
      <c r="H1234">
        <f>SUMIFS('Nacional · base'!$G$7:$G$1068,'Nacional · base'!$A$7:$A$1068,A1234,'Nacional · base'!$B$7:$B$1068,B1234,'Nacional · base'!$C$7:$C$1068,C1234)</f>
        <v>11750.85321540616</v>
      </c>
      <c r="I1234">
        <f>IF(D1234="Canarias",IF(C1234="CABRERA MORALES FRANCISCO",IF(E1234&lt;=2000,'Nacional · supuestos'!$C$34,IF(E1234&lt;=5000,'Nacional · supuestos'!$C$35,'Nacional · supuestos'!$C$36)),IF(E1234&lt;=2000,'Nacional · supuestos'!$B$34,IF(E1234&lt;=5000,'Nacional · supuestos'!$B$35,'Nacional · supuestos'!$B$36))),0)</f>
        <v>0</v>
      </c>
      <c r="J1234">
        <f>IF(D1234="Canarias",MAX(E1234*I1234,IF(C1234="CABRERA MORALES FRANCISCO",'Nacional · supuestos'!$C$38,'Nacional · supuestos'!$B$38)),0)</f>
        <v>0</v>
      </c>
      <c r="K1234">
        <f>IF(D1234="Canarias",MAX(E1234*'Nacional · supuestos'!$B$41,'Nacional · supuestos'!$B$42),0)</f>
        <v>0</v>
      </c>
      <c r="L1234">
        <f>IF(D1234="Canarias",E1234*'Nacional · supuestos'!$B$43,0)</f>
        <v>0</v>
      </c>
      <c r="M1234">
        <f>IF(D1234="Canarias",E1234*'Nacional · supuestos'!$B$44,0)</f>
        <v>0</v>
      </c>
      <c r="N1234">
        <f>IF(D1234="Canarias",E1234*'Nacional · supuestos'!$B$45,0)</f>
        <v>0</v>
      </c>
      <c r="O1234">
        <f>IF(D1234="Canarias",'Nacional · supuestos'!$B$46,0)</f>
        <v>0</v>
      </c>
      <c r="P1234">
        <f>IF(D1234="Canarias",MAX(H1234*'Nacional · supuestos'!$B$47,'Nacional · supuestos'!$B$48),0)</f>
        <v>0</v>
      </c>
      <c r="Q1234">
        <f>IF(D1234="Resto nacional",E1234*'Nacional · supuestos'!$B$13*IF(A1234=2027,1+'Nacional · supuestos'!$B$6,1),0)</f>
        <v>302.45523606062039</v>
      </c>
      <c r="R1234">
        <f>IF(D1234="Canarias",SUM(J1234:P1234)*IF(A1234=2027,1+'Nacional · supuestos'!$B$6,1),0)</f>
        <v>0</v>
      </c>
      <c r="S1234">
        <f t="shared" si="22"/>
        <v>302.45523606062039</v>
      </c>
    </row>
    <row r="1235" spans="1:19">
      <c r="A1235">
        <v>2027</v>
      </c>
      <c r="B1235">
        <v>4</v>
      </c>
      <c r="C1235" t="s">
        <v>190</v>
      </c>
      <c r="D1235" t="s">
        <v>160</v>
      </c>
      <c r="E1235">
        <f>SUMIFS('Nacional · base'!$J$7:$J$1068,'Nacional · base'!$A$7:$A$1068,A1235,'Nacional · base'!$B$7:$B$1068,B1235,'Nacional · base'!$C$7:$C$1068,C1235)</f>
        <v>135.69999999999999</v>
      </c>
      <c r="F1235">
        <f>SUMIFS('Nacional · base'!$K$7:$K$1068,'Nacional · base'!$A$7:$A$1068,A1235,'Nacional · base'!$B$7:$B$1068,B1235,'Nacional · base'!$C$7:$C$1068,C1235)</f>
        <v>0.19166666666666668</v>
      </c>
      <c r="G1235">
        <f t="shared" si="21"/>
        <v>1</v>
      </c>
      <c r="H1235">
        <f>SUMIFS('Nacional · base'!$G$7:$G$1068,'Nacional · base'!$A$7:$A$1068,A1235,'Nacional · base'!$B$7:$B$1068,B1235,'Nacional · base'!$C$7:$C$1068,C1235)</f>
        <v>1311.4151829204898</v>
      </c>
      <c r="I1235">
        <f>IF(D1235="Canarias",IF(C1235="CABRERA MORALES FRANCISCO",IF(E1235&lt;=2000,'Nacional · supuestos'!$C$34,IF(E1235&lt;=5000,'Nacional · supuestos'!$C$35,'Nacional · supuestos'!$C$36)),IF(E1235&lt;=2000,'Nacional · supuestos'!$B$34,IF(E1235&lt;=5000,'Nacional · supuestos'!$B$35,'Nacional · supuestos'!$B$36))),0)</f>
        <v>0</v>
      </c>
      <c r="J1235">
        <f>IF(D1235="Canarias",MAX(E1235*I1235,IF(C1235="CABRERA MORALES FRANCISCO",'Nacional · supuestos'!$C$38,'Nacional · supuestos'!$B$38)),0)</f>
        <v>0</v>
      </c>
      <c r="K1235">
        <f>IF(D1235="Canarias",MAX(E1235*'Nacional · supuestos'!$B$41,'Nacional · supuestos'!$B$42),0)</f>
        <v>0</v>
      </c>
      <c r="L1235">
        <f>IF(D1235="Canarias",E1235*'Nacional · supuestos'!$B$43,0)</f>
        <v>0</v>
      </c>
      <c r="M1235">
        <f>IF(D1235="Canarias",E1235*'Nacional · supuestos'!$B$44,0)</f>
        <v>0</v>
      </c>
      <c r="N1235">
        <f>IF(D1235="Canarias",E1235*'Nacional · supuestos'!$B$45,0)</f>
        <v>0</v>
      </c>
      <c r="O1235">
        <f>IF(D1235="Canarias",'Nacional · supuestos'!$B$46,0)</f>
        <v>0</v>
      </c>
      <c r="P1235">
        <f>IF(D1235="Canarias",MAX(H1235*'Nacional · supuestos'!$B$47,'Nacional · supuestos'!$B$48),0)</f>
        <v>0</v>
      </c>
      <c r="Q1235">
        <f>IF(D1235="Resto nacional",E1235*'Nacional · supuestos'!$B$13*IF(A1235=2027,1+'Nacional · supuestos'!$B$6,1),0)</f>
        <v>13.235891364902505</v>
      </c>
      <c r="R1235">
        <f>IF(D1235="Canarias",SUM(J1235:P1235)*IF(A1235=2027,1+'Nacional · supuestos'!$B$6,1),0)</f>
        <v>0</v>
      </c>
      <c r="S1235">
        <f t="shared" si="22"/>
        <v>13.235891364902505</v>
      </c>
    </row>
    <row r="1236" spans="1:19">
      <c r="A1236">
        <v>2027</v>
      </c>
      <c r="B1236">
        <v>4</v>
      </c>
      <c r="C1236" t="s">
        <v>162</v>
      </c>
      <c r="D1236" t="s">
        <v>160</v>
      </c>
      <c r="E1236">
        <f>SUMIFS('Nacional · base'!$J$7:$J$1068,'Nacional · base'!$A$7:$A$1068,A1236,'Nacional · base'!$B$7:$B$1068,B1236,'Nacional · base'!$C$7:$C$1068,C1236)</f>
        <v>22011.199999999997</v>
      </c>
      <c r="F1236">
        <f>SUMIFS('Nacional · base'!$K$7:$K$1068,'Nacional · base'!$A$7:$A$1068,A1236,'Nacional · base'!$B$7:$B$1068,B1236,'Nacional · base'!$C$7:$C$1068,C1236)</f>
        <v>26.998750000000001</v>
      </c>
      <c r="G1236">
        <f t="shared" si="21"/>
        <v>27</v>
      </c>
      <c r="H1236">
        <f>SUMIFS('Nacional · base'!$G$7:$G$1068,'Nacional · base'!$A$7:$A$1068,A1236,'Nacional · base'!$B$7:$B$1068,B1236,'Nacional · base'!$C$7:$C$1068,C1236)</f>
        <v>44985.99172626809</v>
      </c>
      <c r="I1236">
        <f>IF(D1236="Canarias",IF(C1236="CABRERA MORALES FRANCISCO",IF(E1236&lt;=2000,'Nacional · supuestos'!$C$34,IF(E1236&lt;=5000,'Nacional · supuestos'!$C$35,'Nacional · supuestos'!$C$36)),IF(E1236&lt;=2000,'Nacional · supuestos'!$B$34,IF(E1236&lt;=5000,'Nacional · supuestos'!$B$35,'Nacional · supuestos'!$B$36))),0)</f>
        <v>0</v>
      </c>
      <c r="J1236">
        <f>IF(D1236="Canarias",MAX(E1236*I1236,IF(C1236="CABRERA MORALES FRANCISCO",'Nacional · supuestos'!$C$38,'Nacional · supuestos'!$B$38)),0)</f>
        <v>0</v>
      </c>
      <c r="K1236">
        <f>IF(D1236="Canarias",MAX(E1236*'Nacional · supuestos'!$B$41,'Nacional · supuestos'!$B$42),0)</f>
        <v>0</v>
      </c>
      <c r="L1236">
        <f>IF(D1236="Canarias",E1236*'Nacional · supuestos'!$B$43,0)</f>
        <v>0</v>
      </c>
      <c r="M1236">
        <f>IF(D1236="Canarias",E1236*'Nacional · supuestos'!$B$44,0)</f>
        <v>0</v>
      </c>
      <c r="N1236">
        <f>IF(D1236="Canarias",E1236*'Nacional · supuestos'!$B$45,0)</f>
        <v>0</v>
      </c>
      <c r="O1236">
        <f>IF(D1236="Canarias",'Nacional · supuestos'!$B$46,0)</f>
        <v>0</v>
      </c>
      <c r="P1236">
        <f>IF(D1236="Canarias",MAX(H1236*'Nacional · supuestos'!$B$47,'Nacional · supuestos'!$B$48),0)</f>
        <v>0</v>
      </c>
      <c r="Q1236">
        <f>IF(D1236="Resto nacional",E1236*'Nacional · supuestos'!$B$13*IF(A1236=2027,1+'Nacional · supuestos'!$B$6,1),0)</f>
        <v>2146.925954393088</v>
      </c>
      <c r="R1236">
        <f>IF(D1236="Canarias",SUM(J1236:P1236)*IF(A1236=2027,1+'Nacional · supuestos'!$B$6,1),0)</f>
        <v>0</v>
      </c>
      <c r="S1236">
        <f t="shared" si="22"/>
        <v>2146.925954393088</v>
      </c>
    </row>
    <row r="1237" spans="1:19">
      <c r="A1237">
        <v>2027</v>
      </c>
      <c r="B1237">
        <v>4</v>
      </c>
      <c r="C1237" t="s">
        <v>163</v>
      </c>
      <c r="D1237" t="s">
        <v>164</v>
      </c>
      <c r="E1237">
        <f>SUMIFS('Nacional · base'!$J$7:$J$1068,'Nacional · base'!$A$7:$A$1068,A1237,'Nacional · base'!$B$7:$B$1068,B1237,'Nacional · base'!$C$7:$C$1068,C1237)</f>
        <v>4948.84</v>
      </c>
      <c r="F1237">
        <f>SUMIFS('Nacional · base'!$K$7:$K$1068,'Nacional · base'!$A$7:$A$1068,A1237,'Nacional · base'!$B$7:$B$1068,B1237,'Nacional · base'!$C$7:$C$1068,C1237)</f>
        <v>6.199431818181818</v>
      </c>
      <c r="G1237">
        <f t="shared" si="21"/>
        <v>7</v>
      </c>
      <c r="H1237">
        <f>SUMIFS('Nacional · base'!$G$7:$G$1068,'Nacional · base'!$A$7:$A$1068,A1237,'Nacional · base'!$B$7:$B$1068,B1237,'Nacional · base'!$C$7:$C$1068,C1237)</f>
        <v>11847.360828766585</v>
      </c>
      <c r="I1237">
        <f>IF(D1237="Canarias",IF(C1237="CABRERA MORALES FRANCISCO",IF(E1237&lt;=2000,'Nacional · supuestos'!$C$34,IF(E1237&lt;=5000,'Nacional · supuestos'!$C$35,'Nacional · supuestos'!$C$36)),IF(E1237&lt;=2000,'Nacional · supuestos'!$B$34,IF(E1237&lt;=5000,'Nacional · supuestos'!$B$35,'Nacional · supuestos'!$B$36))),0)</f>
        <v>0.108</v>
      </c>
      <c r="J1237">
        <f>IF(D1237="Canarias",MAX(E1237*I1237,IF(C1237="CABRERA MORALES FRANCISCO",'Nacional · supuestos'!$C$38,'Nacional · supuestos'!$B$38)),0)</f>
        <v>534.47472000000005</v>
      </c>
      <c r="K1237">
        <f>IF(D1237="Canarias",MAX(E1237*'Nacional · supuestos'!$B$41,'Nacional · supuestos'!$B$42),0)</f>
        <v>178.15823999999998</v>
      </c>
      <c r="L1237">
        <f>IF(D1237="Canarias",E1237*'Nacional · supuestos'!$B$43,0)</f>
        <v>59.38608</v>
      </c>
      <c r="M1237">
        <f>IF(D1237="Canarias",E1237*'Nacional · supuestos'!$B$44,0)</f>
        <v>89.079119999999989</v>
      </c>
      <c r="N1237">
        <f>IF(D1237="Canarias",E1237*'Nacional · supuestos'!$B$45,0)</f>
        <v>108.87447999999999</v>
      </c>
      <c r="O1237">
        <f>IF(D1237="Canarias",'Nacional · supuestos'!$B$46,0)</f>
        <v>15</v>
      </c>
      <c r="P1237">
        <f>IF(D1237="Canarias",MAX(H1237*'Nacional · supuestos'!$B$47,'Nacional · supuestos'!$B$48),0)</f>
        <v>53.313123729449629</v>
      </c>
      <c r="Q1237">
        <f>IF(D1237="Resto nacional",E1237*'Nacional · supuestos'!$B$13*IF(A1237=2027,1+'Nacional · supuestos'!$B$6,1),0)</f>
        <v>0</v>
      </c>
      <c r="R1237">
        <f>IF(D1237="Canarias",SUM(J1237:P1237)*IF(A1237=2027,1+'Nacional · supuestos'!$B$6,1),0)</f>
        <v>1142.1143401023946</v>
      </c>
      <c r="S1237">
        <f t="shared" si="22"/>
        <v>1142.1143401023946</v>
      </c>
    </row>
    <row r="1238" spans="1:19">
      <c r="A1238">
        <v>2027</v>
      </c>
      <c r="B1238">
        <v>4</v>
      </c>
      <c r="C1238" t="s">
        <v>166</v>
      </c>
      <c r="D1238" t="s">
        <v>160</v>
      </c>
      <c r="E1238">
        <f>SUMIFS('Nacional · base'!$J$7:$J$1068,'Nacional · base'!$A$7:$A$1068,A1238,'Nacional · base'!$B$7:$B$1068,B1238,'Nacional · base'!$C$7:$C$1068,C1238)</f>
        <v>5162.4999999999991</v>
      </c>
      <c r="F1238">
        <f>SUMIFS('Nacional · base'!$K$7:$K$1068,'Nacional · base'!$A$7:$A$1068,A1238,'Nacional · base'!$B$7:$B$1068,B1238,'Nacional · base'!$C$7:$C$1068,C1238)</f>
        <v>5.7333333333333334</v>
      </c>
      <c r="G1238">
        <f t="shared" si="21"/>
        <v>6</v>
      </c>
      <c r="H1238">
        <f>SUMIFS('Nacional · base'!$G$7:$G$1068,'Nacional · base'!$A$7:$A$1068,A1238,'Nacional · base'!$B$7:$B$1068,B1238,'Nacional · base'!$C$7:$C$1068,C1238)</f>
        <v>15264.316099588204</v>
      </c>
      <c r="I1238">
        <f>IF(D1238="Canarias",IF(C1238="CABRERA MORALES FRANCISCO",IF(E1238&lt;=2000,'Nacional · supuestos'!$C$34,IF(E1238&lt;=5000,'Nacional · supuestos'!$C$35,'Nacional · supuestos'!$C$36)),IF(E1238&lt;=2000,'Nacional · supuestos'!$B$34,IF(E1238&lt;=5000,'Nacional · supuestos'!$B$35,'Nacional · supuestos'!$B$36))),0)</f>
        <v>0</v>
      </c>
      <c r="J1238">
        <f>IF(D1238="Canarias",MAX(E1238*I1238,IF(C1238="CABRERA MORALES FRANCISCO",'Nacional · supuestos'!$C$38,'Nacional · supuestos'!$B$38)),0)</f>
        <v>0</v>
      </c>
      <c r="K1238">
        <f>IF(D1238="Canarias",MAX(E1238*'Nacional · supuestos'!$B$41,'Nacional · supuestos'!$B$42),0)</f>
        <v>0</v>
      </c>
      <c r="L1238">
        <f>IF(D1238="Canarias",E1238*'Nacional · supuestos'!$B$43,0)</f>
        <v>0</v>
      </c>
      <c r="M1238">
        <f>IF(D1238="Canarias",E1238*'Nacional · supuestos'!$B$44,0)</f>
        <v>0</v>
      </c>
      <c r="N1238">
        <f>IF(D1238="Canarias",E1238*'Nacional · supuestos'!$B$45,0)</f>
        <v>0</v>
      </c>
      <c r="O1238">
        <f>IF(D1238="Canarias",'Nacional · supuestos'!$B$46,0)</f>
        <v>0</v>
      </c>
      <c r="P1238">
        <f>IF(D1238="Canarias",MAX(H1238*'Nacional · supuestos'!$B$47,'Nacional · supuestos'!$B$48),0)</f>
        <v>0</v>
      </c>
      <c r="Q1238">
        <f>IF(D1238="Resto nacional",E1238*'Nacional · supuestos'!$B$13*IF(A1238=2027,1+'Nacional · supuestos'!$B$6,1),0)</f>
        <v>503.53934540389963</v>
      </c>
      <c r="R1238">
        <f>IF(D1238="Canarias",SUM(J1238:P1238)*IF(A1238=2027,1+'Nacional · supuestos'!$B$6,1),0)</f>
        <v>0</v>
      </c>
      <c r="S1238">
        <f t="shared" si="22"/>
        <v>503.53934540389963</v>
      </c>
    </row>
    <row r="1239" spans="1:19">
      <c r="A1239">
        <v>2027</v>
      </c>
      <c r="B1239">
        <v>4</v>
      </c>
      <c r="C1239" t="s">
        <v>191</v>
      </c>
      <c r="D1239" t="s">
        <v>160</v>
      </c>
      <c r="E1239">
        <f>SUMIFS('Nacional · base'!$J$7:$J$1068,'Nacional · base'!$A$7:$A$1068,A1239,'Nacional · base'!$B$7:$B$1068,B1239,'Nacional · base'!$C$7:$C$1068,C1239)</f>
        <v>3003.3999999999996</v>
      </c>
      <c r="F1239">
        <f>SUMIFS('Nacional · base'!$K$7:$K$1068,'Nacional · base'!$A$7:$A$1068,A1239,'Nacional · base'!$B$7:$B$1068,B1239,'Nacional · base'!$C$7:$C$1068,C1239)</f>
        <v>4.05375</v>
      </c>
      <c r="G1239">
        <f t="shared" si="21"/>
        <v>5</v>
      </c>
      <c r="H1239">
        <f>SUMIFS('Nacional · base'!$G$7:$G$1068,'Nacional · base'!$A$7:$A$1068,A1239,'Nacional · base'!$B$7:$B$1068,B1239,'Nacional · base'!$C$7:$C$1068,C1239)</f>
        <v>9365.1367692797485</v>
      </c>
      <c r="I1239">
        <f>IF(D1239="Canarias",IF(C1239="CABRERA MORALES FRANCISCO",IF(E1239&lt;=2000,'Nacional · supuestos'!$C$34,IF(E1239&lt;=5000,'Nacional · supuestos'!$C$35,'Nacional · supuestos'!$C$36)),IF(E1239&lt;=2000,'Nacional · supuestos'!$B$34,IF(E1239&lt;=5000,'Nacional · supuestos'!$B$35,'Nacional · supuestos'!$B$36))),0)</f>
        <v>0</v>
      </c>
      <c r="J1239">
        <f>IF(D1239="Canarias",MAX(E1239*I1239,IF(C1239="CABRERA MORALES FRANCISCO",'Nacional · supuestos'!$C$38,'Nacional · supuestos'!$B$38)),0)</f>
        <v>0</v>
      </c>
      <c r="K1239">
        <f>IF(D1239="Canarias",MAX(E1239*'Nacional · supuestos'!$B$41,'Nacional · supuestos'!$B$42),0)</f>
        <v>0</v>
      </c>
      <c r="L1239">
        <f>IF(D1239="Canarias",E1239*'Nacional · supuestos'!$B$43,0)</f>
        <v>0</v>
      </c>
      <c r="M1239">
        <f>IF(D1239="Canarias",E1239*'Nacional · supuestos'!$B$44,0)</f>
        <v>0</v>
      </c>
      <c r="N1239">
        <f>IF(D1239="Canarias",E1239*'Nacional · supuestos'!$B$45,0)</f>
        <v>0</v>
      </c>
      <c r="O1239">
        <f>IF(D1239="Canarias",'Nacional · supuestos'!$B$46,0)</f>
        <v>0</v>
      </c>
      <c r="P1239">
        <f>IF(D1239="Canarias",MAX(H1239*'Nacional · supuestos'!$B$47,'Nacional · supuestos'!$B$48),0)</f>
        <v>0</v>
      </c>
      <c r="Q1239">
        <f>IF(D1239="Resto nacional",E1239*'Nacional · supuestos'!$B$13*IF(A1239=2027,1+'Nacional · supuestos'!$B$6,1),0)</f>
        <v>292.94529200698736</v>
      </c>
      <c r="R1239">
        <f>IF(D1239="Canarias",SUM(J1239:P1239)*IF(A1239=2027,1+'Nacional · supuestos'!$B$6,1),0)</f>
        <v>0</v>
      </c>
      <c r="S1239">
        <f t="shared" si="22"/>
        <v>292.94529200698736</v>
      </c>
    </row>
    <row r="1240" spans="1:19">
      <c r="A1240">
        <v>2027</v>
      </c>
      <c r="B1240">
        <v>4</v>
      </c>
      <c r="C1240" t="s">
        <v>168</v>
      </c>
      <c r="D1240" t="s">
        <v>160</v>
      </c>
      <c r="E1240">
        <f>SUMIFS('Nacional · base'!$J$7:$J$1068,'Nacional · base'!$A$7:$A$1068,A1240,'Nacional · base'!$B$7:$B$1068,B1240,'Nacional · base'!$C$7:$C$1068,C1240)</f>
        <v>12452.300000000001</v>
      </c>
      <c r="F1240">
        <f>SUMIFS('Nacional · base'!$K$7:$K$1068,'Nacional · base'!$A$7:$A$1068,A1240,'Nacional · base'!$B$7:$B$1068,B1240,'Nacional · base'!$C$7:$C$1068,C1240)</f>
        <v>15.748863636363636</v>
      </c>
      <c r="G1240">
        <f t="shared" si="21"/>
        <v>16</v>
      </c>
      <c r="H1240">
        <f>SUMIFS('Nacional · base'!$G$7:$G$1068,'Nacional · base'!$A$7:$A$1068,A1240,'Nacional · base'!$B$7:$B$1068,B1240,'Nacional · base'!$C$7:$C$1068,C1240)</f>
        <v>34550.385342410642</v>
      </c>
      <c r="I1240">
        <f>IF(D1240="Canarias",IF(C1240="CABRERA MORALES FRANCISCO",IF(E1240&lt;=2000,'Nacional · supuestos'!$C$34,IF(E1240&lt;=5000,'Nacional · supuestos'!$C$35,'Nacional · supuestos'!$C$36)),IF(E1240&lt;=2000,'Nacional · supuestos'!$B$34,IF(E1240&lt;=5000,'Nacional · supuestos'!$B$35,'Nacional · supuestos'!$B$36))),0)</f>
        <v>0</v>
      </c>
      <c r="J1240">
        <f>IF(D1240="Canarias",MAX(E1240*I1240,IF(C1240="CABRERA MORALES FRANCISCO",'Nacional · supuestos'!$C$38,'Nacional · supuestos'!$B$38)),0)</f>
        <v>0</v>
      </c>
      <c r="K1240">
        <f>IF(D1240="Canarias",MAX(E1240*'Nacional · supuestos'!$B$41,'Nacional · supuestos'!$B$42),0)</f>
        <v>0</v>
      </c>
      <c r="L1240">
        <f>IF(D1240="Canarias",E1240*'Nacional · supuestos'!$B$43,0)</f>
        <v>0</v>
      </c>
      <c r="M1240">
        <f>IF(D1240="Canarias",E1240*'Nacional · supuestos'!$B$44,0)</f>
        <v>0</v>
      </c>
      <c r="N1240">
        <f>IF(D1240="Canarias",E1240*'Nacional · supuestos'!$B$45,0)</f>
        <v>0</v>
      </c>
      <c r="O1240">
        <f>IF(D1240="Canarias",'Nacional · supuestos'!$B$46,0)</f>
        <v>0</v>
      </c>
      <c r="P1240">
        <f>IF(D1240="Canarias",MAX(H1240*'Nacional · supuestos'!$B$47,'Nacional · supuestos'!$B$48),0)</f>
        <v>0</v>
      </c>
      <c r="Q1240">
        <f>IF(D1240="Resto nacional",E1240*'Nacional · supuestos'!$B$13*IF(A1240=2027,1+'Nacional · supuestos'!$B$6,1),0)</f>
        <v>1214.5710393749116</v>
      </c>
      <c r="R1240">
        <f>IF(D1240="Canarias",SUM(J1240:P1240)*IF(A1240=2027,1+'Nacional · supuestos'!$B$6,1),0)</f>
        <v>0</v>
      </c>
      <c r="S1240">
        <f t="shared" si="22"/>
        <v>1214.5710393749116</v>
      </c>
    </row>
    <row r="1241" spans="1:19">
      <c r="A1241">
        <v>2027</v>
      </c>
      <c r="B1241">
        <v>4</v>
      </c>
      <c r="C1241" t="s">
        <v>169</v>
      </c>
      <c r="D1241" t="s">
        <v>160</v>
      </c>
      <c r="E1241">
        <f>SUMIFS('Nacional · base'!$J$7:$J$1068,'Nacional · base'!$A$7:$A$1068,A1241,'Nacional · base'!$B$7:$B$1068,B1241,'Nacional · base'!$C$7:$C$1068,C1241)</f>
        <v>696.2</v>
      </c>
      <c r="F1241">
        <f>SUMIFS('Nacional · base'!$K$7:$K$1068,'Nacional · base'!$A$7:$A$1068,A1241,'Nacional · base'!$B$7:$B$1068,B1241,'Nacional · base'!$C$7:$C$1068,C1241)</f>
        <v>0.97083333333333333</v>
      </c>
      <c r="G1241">
        <f t="shared" si="21"/>
        <v>1</v>
      </c>
      <c r="H1241">
        <f>SUMIFS('Nacional · base'!$G$7:$G$1068,'Nacional · base'!$A$7:$A$1068,A1241,'Nacional · base'!$B$7:$B$1068,B1241,'Nacional · base'!$C$7:$C$1068,C1241)</f>
        <v>2852.2055434911299</v>
      </c>
      <c r="I1241">
        <f>IF(D1241="Canarias",IF(C1241="CABRERA MORALES FRANCISCO",IF(E1241&lt;=2000,'Nacional · supuestos'!$C$34,IF(E1241&lt;=5000,'Nacional · supuestos'!$C$35,'Nacional · supuestos'!$C$36)),IF(E1241&lt;=2000,'Nacional · supuestos'!$B$34,IF(E1241&lt;=5000,'Nacional · supuestos'!$B$35,'Nacional · supuestos'!$B$36))),0)</f>
        <v>0</v>
      </c>
      <c r="J1241">
        <f>IF(D1241="Canarias",MAX(E1241*I1241,IF(C1241="CABRERA MORALES FRANCISCO",'Nacional · supuestos'!$C$38,'Nacional · supuestos'!$B$38)),0)</f>
        <v>0</v>
      </c>
      <c r="K1241">
        <f>IF(D1241="Canarias",MAX(E1241*'Nacional · supuestos'!$B$41,'Nacional · supuestos'!$B$42),0)</f>
        <v>0</v>
      </c>
      <c r="L1241">
        <f>IF(D1241="Canarias",E1241*'Nacional · supuestos'!$B$43,0)</f>
        <v>0</v>
      </c>
      <c r="M1241">
        <f>IF(D1241="Canarias",E1241*'Nacional · supuestos'!$B$44,0)</f>
        <v>0</v>
      </c>
      <c r="N1241">
        <f>IF(D1241="Canarias",E1241*'Nacional · supuestos'!$B$45,0)</f>
        <v>0</v>
      </c>
      <c r="O1241">
        <f>IF(D1241="Canarias",'Nacional · supuestos'!$B$46,0)</f>
        <v>0</v>
      </c>
      <c r="P1241">
        <f>IF(D1241="Canarias",MAX(H1241*'Nacional · supuestos'!$B$47,'Nacional · supuestos'!$B$48),0)</f>
        <v>0</v>
      </c>
      <c r="Q1241">
        <f>IF(D1241="Resto nacional",E1241*'Nacional · supuestos'!$B$13*IF(A1241=2027,1+'Nacional · supuestos'!$B$6,1),0)</f>
        <v>67.905877437325913</v>
      </c>
      <c r="R1241">
        <f>IF(D1241="Canarias",SUM(J1241:P1241)*IF(A1241=2027,1+'Nacional · supuestos'!$B$6,1),0)</f>
        <v>0</v>
      </c>
      <c r="S1241">
        <f t="shared" si="22"/>
        <v>67.905877437325913</v>
      </c>
    </row>
    <row r="1242" spans="1:19">
      <c r="A1242">
        <v>2027</v>
      </c>
      <c r="B1242">
        <v>4</v>
      </c>
      <c r="C1242" t="s">
        <v>207</v>
      </c>
      <c r="D1242" t="s">
        <v>160</v>
      </c>
      <c r="E1242">
        <f>SUMIFS('Nacional · base'!$J$7:$J$1068,'Nacional · base'!$A$7:$A$1068,A1242,'Nacional · base'!$B$7:$B$1068,B1242,'Nacional · base'!$C$7:$C$1068,C1242)</f>
        <v>1180</v>
      </c>
      <c r="F1242">
        <f>SUMIFS('Nacional · base'!$K$7:$K$1068,'Nacional · base'!$A$7:$A$1068,A1242,'Nacional · base'!$B$7:$B$1068,B1242,'Nacional · base'!$C$7:$C$1068,C1242)</f>
        <v>1.4750000000000001</v>
      </c>
      <c r="G1242">
        <f t="shared" si="21"/>
        <v>2</v>
      </c>
      <c r="H1242">
        <f>SUMIFS('Nacional · base'!$G$7:$G$1068,'Nacional · base'!$A$7:$A$1068,A1242,'Nacional · base'!$B$7:$B$1068,B1242,'Nacional · base'!$C$7:$C$1068,C1242)</f>
        <v>2583.0115438176417</v>
      </c>
      <c r="I1242">
        <f>IF(D1242="Canarias",IF(C1242="CABRERA MORALES FRANCISCO",IF(E1242&lt;=2000,'Nacional · supuestos'!$C$34,IF(E1242&lt;=5000,'Nacional · supuestos'!$C$35,'Nacional · supuestos'!$C$36)),IF(E1242&lt;=2000,'Nacional · supuestos'!$B$34,IF(E1242&lt;=5000,'Nacional · supuestos'!$B$35,'Nacional · supuestos'!$B$36))),0)</f>
        <v>0</v>
      </c>
      <c r="J1242">
        <f>IF(D1242="Canarias",MAX(E1242*I1242,IF(C1242="CABRERA MORALES FRANCISCO",'Nacional · supuestos'!$C$38,'Nacional · supuestos'!$B$38)),0)</f>
        <v>0</v>
      </c>
      <c r="K1242">
        <f>IF(D1242="Canarias",MAX(E1242*'Nacional · supuestos'!$B$41,'Nacional · supuestos'!$B$42),0)</f>
        <v>0</v>
      </c>
      <c r="L1242">
        <f>IF(D1242="Canarias",E1242*'Nacional · supuestos'!$B$43,0)</f>
        <v>0</v>
      </c>
      <c r="M1242">
        <f>IF(D1242="Canarias",E1242*'Nacional · supuestos'!$B$44,0)</f>
        <v>0</v>
      </c>
      <c r="N1242">
        <f>IF(D1242="Canarias",E1242*'Nacional · supuestos'!$B$45,0)</f>
        <v>0</v>
      </c>
      <c r="O1242">
        <f>IF(D1242="Canarias",'Nacional · supuestos'!$B$46,0)</f>
        <v>0</v>
      </c>
      <c r="P1242">
        <f>IF(D1242="Canarias",MAX(H1242*'Nacional · supuestos'!$B$47,'Nacional · supuestos'!$B$48),0)</f>
        <v>0</v>
      </c>
      <c r="Q1242">
        <f>IF(D1242="Resto nacional",E1242*'Nacional · supuestos'!$B$13*IF(A1242=2027,1+'Nacional · supuestos'!$B$6,1),0)</f>
        <v>115.09470752089136</v>
      </c>
      <c r="R1242">
        <f>IF(D1242="Canarias",SUM(J1242:P1242)*IF(A1242=2027,1+'Nacional · supuestos'!$B$6,1),0)</f>
        <v>0</v>
      </c>
      <c r="S1242">
        <f t="shared" si="22"/>
        <v>115.09470752089136</v>
      </c>
    </row>
    <row r="1243" spans="1:19">
      <c r="A1243">
        <v>2027</v>
      </c>
      <c r="B1243">
        <v>4</v>
      </c>
      <c r="C1243" t="s">
        <v>170</v>
      </c>
      <c r="D1243" t="s">
        <v>160</v>
      </c>
      <c r="E1243">
        <f>SUMIFS('Nacional · base'!$J$7:$J$1068,'Nacional · base'!$A$7:$A$1068,A1243,'Nacional · base'!$B$7:$B$1068,B1243,'Nacional · base'!$C$7:$C$1068,C1243)</f>
        <v>4224.6000000000004</v>
      </c>
      <c r="F1243">
        <f>SUMIFS('Nacional · base'!$K$7:$K$1068,'Nacional · base'!$A$7:$A$1068,A1243,'Nacional · base'!$B$7:$B$1068,B1243,'Nacional · base'!$C$7:$C$1068,C1243)</f>
        <v>5.6208333333333327</v>
      </c>
      <c r="G1243">
        <f t="shared" si="21"/>
        <v>6</v>
      </c>
      <c r="H1243">
        <f>SUMIFS('Nacional · base'!$G$7:$G$1068,'Nacional · base'!$A$7:$A$1068,A1243,'Nacional · base'!$B$7:$B$1068,B1243,'Nacional · base'!$C$7:$C$1068,C1243)</f>
        <v>12242.619968112916</v>
      </c>
      <c r="I1243">
        <f>IF(D1243="Canarias",IF(C1243="CABRERA MORALES FRANCISCO",IF(E1243&lt;=2000,'Nacional · supuestos'!$C$34,IF(E1243&lt;=5000,'Nacional · supuestos'!$C$35,'Nacional · supuestos'!$C$36)),IF(E1243&lt;=2000,'Nacional · supuestos'!$B$34,IF(E1243&lt;=5000,'Nacional · supuestos'!$B$35,'Nacional · supuestos'!$B$36))),0)</f>
        <v>0</v>
      </c>
      <c r="J1243">
        <f>IF(D1243="Canarias",MAX(E1243*I1243,IF(C1243="CABRERA MORALES FRANCISCO",'Nacional · supuestos'!$C$38,'Nacional · supuestos'!$B$38)),0)</f>
        <v>0</v>
      </c>
      <c r="K1243">
        <f>IF(D1243="Canarias",MAX(E1243*'Nacional · supuestos'!$B$41,'Nacional · supuestos'!$B$42),0)</f>
        <v>0</v>
      </c>
      <c r="L1243">
        <f>IF(D1243="Canarias",E1243*'Nacional · supuestos'!$B$43,0)</f>
        <v>0</v>
      </c>
      <c r="M1243">
        <f>IF(D1243="Canarias",E1243*'Nacional · supuestos'!$B$44,0)</f>
        <v>0</v>
      </c>
      <c r="N1243">
        <f>IF(D1243="Canarias",E1243*'Nacional · supuestos'!$B$45,0)</f>
        <v>0</v>
      </c>
      <c r="O1243">
        <f>IF(D1243="Canarias",'Nacional · supuestos'!$B$46,0)</f>
        <v>0</v>
      </c>
      <c r="P1243">
        <f>IF(D1243="Canarias",MAX(H1243*'Nacional · supuestos'!$B$47,'Nacional · supuestos'!$B$48),0)</f>
        <v>0</v>
      </c>
      <c r="Q1243">
        <f>IF(D1243="Resto nacional",E1243*'Nacional · supuestos'!$B$13*IF(A1243=2027,1+'Nacional · supuestos'!$B$6,1),0)</f>
        <v>412.05856050233706</v>
      </c>
      <c r="R1243">
        <f>IF(D1243="Canarias",SUM(J1243:P1243)*IF(A1243=2027,1+'Nacional · supuestos'!$B$6,1),0)</f>
        <v>0</v>
      </c>
      <c r="S1243">
        <f t="shared" si="22"/>
        <v>412.05856050233706</v>
      </c>
    </row>
    <row r="1244" spans="1:19">
      <c r="A1244">
        <v>2027</v>
      </c>
      <c r="B1244">
        <v>4</v>
      </c>
      <c r="C1244" t="s">
        <v>201</v>
      </c>
      <c r="D1244" t="s">
        <v>160</v>
      </c>
      <c r="E1244">
        <f>SUMIFS('Nacional · base'!$J$7:$J$1068,'Nacional · base'!$A$7:$A$1068,A1244,'Nacional · base'!$B$7:$B$1068,B1244,'Nacional · base'!$C$7:$C$1068,C1244)</f>
        <v>542.59999999999991</v>
      </c>
      <c r="F1244">
        <f>SUMIFS('Nacional · base'!$K$7:$K$1068,'Nacional · base'!$A$7:$A$1068,A1244,'Nacional · base'!$B$7:$B$1068,B1244,'Nacional · base'!$C$7:$C$1068,C1244)</f>
        <v>0.75257575757575756</v>
      </c>
      <c r="G1244">
        <f t="shared" si="21"/>
        <v>1</v>
      </c>
      <c r="H1244">
        <f>SUMIFS('Nacional · base'!$G$7:$G$1068,'Nacional · base'!$A$7:$A$1068,A1244,'Nacional · base'!$B$7:$B$1068,B1244,'Nacional · base'!$C$7:$C$1068,C1244)</f>
        <v>2897.0277777058836</v>
      </c>
      <c r="I1244">
        <f>IF(D1244="Canarias",IF(C1244="CABRERA MORALES FRANCISCO",IF(E1244&lt;=2000,'Nacional · supuestos'!$C$34,IF(E1244&lt;=5000,'Nacional · supuestos'!$C$35,'Nacional · supuestos'!$C$36)),IF(E1244&lt;=2000,'Nacional · supuestos'!$B$34,IF(E1244&lt;=5000,'Nacional · supuestos'!$B$35,'Nacional · supuestos'!$B$36))),0)</f>
        <v>0</v>
      </c>
      <c r="J1244">
        <f>IF(D1244="Canarias",MAX(E1244*I1244,IF(C1244="CABRERA MORALES FRANCISCO",'Nacional · supuestos'!$C$38,'Nacional · supuestos'!$B$38)),0)</f>
        <v>0</v>
      </c>
      <c r="K1244">
        <f>IF(D1244="Canarias",MAX(E1244*'Nacional · supuestos'!$B$41,'Nacional · supuestos'!$B$42),0)</f>
        <v>0</v>
      </c>
      <c r="L1244">
        <f>IF(D1244="Canarias",E1244*'Nacional · supuestos'!$B$43,0)</f>
        <v>0</v>
      </c>
      <c r="M1244">
        <f>IF(D1244="Canarias",E1244*'Nacional · supuestos'!$B$44,0)</f>
        <v>0</v>
      </c>
      <c r="N1244">
        <f>IF(D1244="Canarias",E1244*'Nacional · supuestos'!$B$45,0)</f>
        <v>0</v>
      </c>
      <c r="O1244">
        <f>IF(D1244="Canarias",'Nacional · supuestos'!$B$46,0)</f>
        <v>0</v>
      </c>
      <c r="P1244">
        <f>IF(D1244="Canarias",MAX(H1244*'Nacional · supuestos'!$B$47,'Nacional · supuestos'!$B$48),0)</f>
        <v>0</v>
      </c>
      <c r="Q1244">
        <f>IF(D1244="Resto nacional",E1244*'Nacional · supuestos'!$B$13*IF(A1244=2027,1+'Nacional · supuestos'!$B$6,1),0)</f>
        <v>52.924057882064105</v>
      </c>
      <c r="R1244">
        <f>IF(D1244="Canarias",SUM(J1244:P1244)*IF(A1244=2027,1+'Nacional · supuestos'!$B$6,1),0)</f>
        <v>0</v>
      </c>
      <c r="S1244">
        <f t="shared" si="22"/>
        <v>52.924057882064105</v>
      </c>
    </row>
    <row r="1245" spans="1:19">
      <c r="A1245">
        <v>2027</v>
      </c>
      <c r="B1245">
        <v>4</v>
      </c>
      <c r="C1245" t="s">
        <v>202</v>
      </c>
      <c r="D1245" t="s">
        <v>160</v>
      </c>
      <c r="E1245">
        <f>SUMIFS('Nacional · base'!$J$7:$J$1068,'Nacional · base'!$A$7:$A$1068,A1245,'Nacional · base'!$B$7:$B$1068,B1245,'Nacional · base'!$C$7:$C$1068,C1245)</f>
        <v>4208.3999999999996</v>
      </c>
      <c r="F1245">
        <f>SUMIFS('Nacional · base'!$K$7:$K$1068,'Nacional · base'!$A$7:$A$1068,A1245,'Nacional · base'!$B$7:$B$1068,B1245,'Nacional · base'!$C$7:$C$1068,C1245)</f>
        <v>5.574583333333333</v>
      </c>
      <c r="G1245">
        <f t="shared" si="21"/>
        <v>6</v>
      </c>
      <c r="H1245">
        <f>SUMIFS('Nacional · base'!$G$7:$G$1068,'Nacional · base'!$A$7:$A$1068,A1245,'Nacional · base'!$B$7:$B$1068,B1245,'Nacional · base'!$C$7:$C$1068,C1245)</f>
        <v>12614.019085571445</v>
      </c>
      <c r="I1245">
        <f>IF(D1245="Canarias",IF(C1245="CABRERA MORALES FRANCISCO",IF(E1245&lt;=2000,'Nacional · supuestos'!$C$34,IF(E1245&lt;=5000,'Nacional · supuestos'!$C$35,'Nacional · supuestos'!$C$36)),IF(E1245&lt;=2000,'Nacional · supuestos'!$B$34,IF(E1245&lt;=5000,'Nacional · supuestos'!$B$35,'Nacional · supuestos'!$B$36))),0)</f>
        <v>0</v>
      </c>
      <c r="J1245">
        <f>IF(D1245="Canarias",MAX(E1245*I1245,IF(C1245="CABRERA MORALES FRANCISCO",'Nacional · supuestos'!$C$38,'Nacional · supuestos'!$B$38)),0)</f>
        <v>0</v>
      </c>
      <c r="K1245">
        <f>IF(D1245="Canarias",MAX(E1245*'Nacional · supuestos'!$B$41,'Nacional · supuestos'!$B$42),0)</f>
        <v>0</v>
      </c>
      <c r="L1245">
        <f>IF(D1245="Canarias",E1245*'Nacional · supuestos'!$B$43,0)</f>
        <v>0</v>
      </c>
      <c r="M1245">
        <f>IF(D1245="Canarias",E1245*'Nacional · supuestos'!$B$44,0)</f>
        <v>0</v>
      </c>
      <c r="N1245">
        <f>IF(D1245="Canarias",E1245*'Nacional · supuestos'!$B$45,0)</f>
        <v>0</v>
      </c>
      <c r="O1245">
        <f>IF(D1245="Canarias",'Nacional · supuestos'!$B$46,0)</f>
        <v>0</v>
      </c>
      <c r="P1245">
        <f>IF(D1245="Canarias",MAX(H1245*'Nacional · supuestos'!$B$47,'Nacional · supuestos'!$B$48),0)</f>
        <v>0</v>
      </c>
      <c r="Q1245">
        <f>IF(D1245="Resto nacional",E1245*'Nacional · supuestos'!$B$13*IF(A1245=2027,1+'Nacional · supuestos'!$B$6,1),0)</f>
        <v>410.47844672111796</v>
      </c>
      <c r="R1245">
        <f>IF(D1245="Canarias",SUM(J1245:P1245)*IF(A1245=2027,1+'Nacional · supuestos'!$B$6,1),0)</f>
        <v>0</v>
      </c>
      <c r="S1245">
        <f t="shared" si="22"/>
        <v>410.47844672111796</v>
      </c>
    </row>
    <row r="1246" spans="1:19">
      <c r="A1246">
        <v>2027</v>
      </c>
      <c r="B1246">
        <v>4</v>
      </c>
      <c r="C1246" t="s">
        <v>171</v>
      </c>
      <c r="D1246" t="s">
        <v>164</v>
      </c>
      <c r="E1246">
        <f>SUMIFS('Nacional · base'!$J$7:$J$1068,'Nacional · base'!$A$7:$A$1068,A1246,'Nacional · base'!$B$7:$B$1068,B1246,'Nacional · base'!$C$7:$C$1068,C1246)</f>
        <v>5692.8</v>
      </c>
      <c r="F1246">
        <f>SUMIFS('Nacional · base'!$K$7:$K$1068,'Nacional · base'!$A$7:$A$1068,A1246,'Nacional · base'!$B$7:$B$1068,B1246,'Nacional · base'!$C$7:$C$1068,C1246)</f>
        <v>7.41</v>
      </c>
      <c r="G1246">
        <f t="shared" si="21"/>
        <v>8</v>
      </c>
      <c r="H1246">
        <f>SUMIFS('Nacional · base'!$G$7:$G$1068,'Nacional · base'!$A$7:$A$1068,A1246,'Nacional · base'!$B$7:$B$1068,B1246,'Nacional · base'!$C$7:$C$1068,C1246)</f>
        <v>12076.829820395325</v>
      </c>
      <c r="I1246">
        <f>IF(D1246="Canarias",IF(C1246="CABRERA MORALES FRANCISCO",IF(E1246&lt;=2000,'Nacional · supuestos'!$C$34,IF(E1246&lt;=5000,'Nacional · supuestos'!$C$35,'Nacional · supuestos'!$C$36)),IF(E1246&lt;=2000,'Nacional · supuestos'!$B$34,IF(E1246&lt;=5000,'Nacional · supuestos'!$B$35,'Nacional · supuestos'!$B$36))),0)</f>
        <v>0.19800000000000001</v>
      </c>
      <c r="J1246">
        <f>IF(D1246="Canarias",MAX(E1246*I1246,IF(C1246="CABRERA MORALES FRANCISCO",'Nacional · supuestos'!$C$38,'Nacional · supuestos'!$B$38)),0)</f>
        <v>1127.1744000000001</v>
      </c>
      <c r="K1246">
        <f>IF(D1246="Canarias",MAX(E1246*'Nacional · supuestos'!$B$41,'Nacional · supuestos'!$B$42),0)</f>
        <v>204.9408</v>
      </c>
      <c r="L1246">
        <f>IF(D1246="Canarias",E1246*'Nacional · supuestos'!$B$43,0)</f>
        <v>68.313600000000008</v>
      </c>
      <c r="M1246">
        <f>IF(D1246="Canarias",E1246*'Nacional · supuestos'!$B$44,0)</f>
        <v>102.4704</v>
      </c>
      <c r="N1246">
        <f>IF(D1246="Canarias",E1246*'Nacional · supuestos'!$B$45,0)</f>
        <v>125.24159999999999</v>
      </c>
      <c r="O1246">
        <f>IF(D1246="Canarias",'Nacional · supuestos'!$B$46,0)</f>
        <v>15</v>
      </c>
      <c r="P1246">
        <f>IF(D1246="Canarias",MAX(H1246*'Nacional · supuestos'!$B$47,'Nacional · supuestos'!$B$48),0)</f>
        <v>54.345734191778959</v>
      </c>
      <c r="Q1246">
        <f>IF(D1246="Resto nacional",E1246*'Nacional · supuestos'!$B$13*IF(A1246=2027,1+'Nacional · supuestos'!$B$6,1),0)</f>
        <v>0</v>
      </c>
      <c r="R1246">
        <f>IF(D1246="Canarias",SUM(J1246:P1246)*IF(A1246=2027,1+'Nacional · supuestos'!$B$6,1),0)</f>
        <v>1867.2351876109572</v>
      </c>
      <c r="S1246">
        <f t="shared" si="22"/>
        <v>1867.2351876109572</v>
      </c>
    </row>
    <row r="1247" spans="1:19">
      <c r="A1247">
        <v>2027</v>
      </c>
      <c r="B1247">
        <v>4</v>
      </c>
      <c r="C1247" t="s">
        <v>172</v>
      </c>
      <c r="D1247" t="s">
        <v>160</v>
      </c>
      <c r="E1247">
        <f>SUMIFS('Nacional · base'!$J$7:$J$1068,'Nacional · base'!$A$7:$A$1068,A1247,'Nacional · base'!$B$7:$B$1068,B1247,'Nacional · base'!$C$7:$C$1068,C1247)</f>
        <v>24227.760000000002</v>
      </c>
      <c r="F1247">
        <f>SUMIFS('Nacional · base'!$K$7:$K$1068,'Nacional · base'!$A$7:$A$1068,A1247,'Nacional · base'!$B$7:$B$1068,B1247,'Nacional · base'!$C$7:$C$1068,C1247)</f>
        <v>32.379090909090912</v>
      </c>
      <c r="G1247">
        <f t="shared" si="21"/>
        <v>33</v>
      </c>
      <c r="H1247">
        <f>SUMIFS('Nacional · base'!$G$7:$G$1068,'Nacional · base'!$A$7:$A$1068,A1247,'Nacional · base'!$B$7:$B$1068,B1247,'Nacional · base'!$C$7:$C$1068,C1247)</f>
        <v>93173.590472802593</v>
      </c>
      <c r="I1247">
        <f>IF(D1247="Canarias",IF(C1247="CABRERA MORALES FRANCISCO",IF(E1247&lt;=2000,'Nacional · supuestos'!$C$34,IF(E1247&lt;=5000,'Nacional · supuestos'!$C$35,'Nacional · supuestos'!$C$36)),IF(E1247&lt;=2000,'Nacional · supuestos'!$B$34,IF(E1247&lt;=5000,'Nacional · supuestos'!$B$35,'Nacional · supuestos'!$B$36))),0)</f>
        <v>0</v>
      </c>
      <c r="J1247">
        <f>IF(D1247="Canarias",MAX(E1247*I1247,IF(C1247="CABRERA MORALES FRANCISCO",'Nacional · supuestos'!$C$38,'Nacional · supuestos'!$B$38)),0)</f>
        <v>0</v>
      </c>
      <c r="K1247">
        <f>IF(D1247="Canarias",MAX(E1247*'Nacional · supuestos'!$B$41,'Nacional · supuestos'!$B$42),0)</f>
        <v>0</v>
      </c>
      <c r="L1247">
        <f>IF(D1247="Canarias",E1247*'Nacional · supuestos'!$B$43,0)</f>
        <v>0</v>
      </c>
      <c r="M1247">
        <f>IF(D1247="Canarias",E1247*'Nacional · supuestos'!$B$44,0)</f>
        <v>0</v>
      </c>
      <c r="N1247">
        <f>IF(D1247="Canarias",E1247*'Nacional · supuestos'!$B$45,0)</f>
        <v>0</v>
      </c>
      <c r="O1247">
        <f>IF(D1247="Canarias",'Nacional · supuestos'!$B$46,0)</f>
        <v>0</v>
      </c>
      <c r="P1247">
        <f>IF(D1247="Canarias",MAX(H1247*'Nacional · supuestos'!$B$47,'Nacional · supuestos'!$B$48),0)</f>
        <v>0</v>
      </c>
      <c r="Q1247">
        <f>IF(D1247="Resto nacional",E1247*'Nacional · supuestos'!$B$13*IF(A1247=2027,1+'Nacional · supuestos'!$B$6,1),0)</f>
        <v>2363.1245348189418</v>
      </c>
      <c r="R1247">
        <f>IF(D1247="Canarias",SUM(J1247:P1247)*IF(A1247=2027,1+'Nacional · supuestos'!$B$6,1),0)</f>
        <v>0</v>
      </c>
      <c r="S1247">
        <f t="shared" si="22"/>
        <v>2363.1245348189418</v>
      </c>
    </row>
    <row r="1248" spans="1:19">
      <c r="A1248">
        <v>2027</v>
      </c>
      <c r="B1248">
        <v>4</v>
      </c>
      <c r="C1248" t="s">
        <v>208</v>
      </c>
      <c r="D1248" t="s">
        <v>160</v>
      </c>
      <c r="E1248">
        <f>SUMIFS('Nacional · base'!$J$7:$J$1068,'Nacional · base'!$A$7:$A$1068,A1248,'Nacional · base'!$B$7:$B$1068,B1248,'Nacional · base'!$C$7:$C$1068,C1248)</f>
        <v>3517.5</v>
      </c>
      <c r="F1248">
        <f>SUMIFS('Nacional · base'!$K$7:$K$1068,'Nacional · base'!$A$7:$A$1068,A1248,'Nacional · base'!$B$7:$B$1068,B1248,'Nacional · base'!$C$7:$C$1068,C1248)</f>
        <v>4.8650000000000002</v>
      </c>
      <c r="G1248">
        <f t="shared" si="21"/>
        <v>5</v>
      </c>
      <c r="H1248">
        <f>SUMIFS('Nacional · base'!$G$7:$G$1068,'Nacional · base'!$A$7:$A$1068,A1248,'Nacional · base'!$B$7:$B$1068,B1248,'Nacional · base'!$C$7:$C$1068,C1248)</f>
        <v>13875.869216470735</v>
      </c>
      <c r="I1248">
        <f>IF(D1248="Canarias",IF(C1248="CABRERA MORALES FRANCISCO",IF(E1248&lt;=2000,'Nacional · supuestos'!$C$34,IF(E1248&lt;=5000,'Nacional · supuestos'!$C$35,'Nacional · supuestos'!$C$36)),IF(E1248&lt;=2000,'Nacional · supuestos'!$B$34,IF(E1248&lt;=5000,'Nacional · supuestos'!$B$35,'Nacional · supuestos'!$B$36))),0)</f>
        <v>0</v>
      </c>
      <c r="J1248">
        <f>IF(D1248="Canarias",MAX(E1248*I1248,IF(C1248="CABRERA MORALES FRANCISCO",'Nacional · supuestos'!$C$38,'Nacional · supuestos'!$B$38)),0)</f>
        <v>0</v>
      </c>
      <c r="K1248">
        <f>IF(D1248="Canarias",MAX(E1248*'Nacional · supuestos'!$B$41,'Nacional · supuestos'!$B$42),0)</f>
        <v>0</v>
      </c>
      <c r="L1248">
        <f>IF(D1248="Canarias",E1248*'Nacional · supuestos'!$B$43,0)</f>
        <v>0</v>
      </c>
      <c r="M1248">
        <f>IF(D1248="Canarias",E1248*'Nacional · supuestos'!$B$44,0)</f>
        <v>0</v>
      </c>
      <c r="N1248">
        <f>IF(D1248="Canarias",E1248*'Nacional · supuestos'!$B$45,0)</f>
        <v>0</v>
      </c>
      <c r="O1248">
        <f>IF(D1248="Canarias",'Nacional · supuestos'!$B$46,0)</f>
        <v>0</v>
      </c>
      <c r="P1248">
        <f>IF(D1248="Canarias",MAX(H1248*'Nacional · supuestos'!$B$47,'Nacional · supuestos'!$B$48),0)</f>
        <v>0</v>
      </c>
      <c r="Q1248">
        <f>IF(D1248="Resto nacional",E1248*'Nacional · supuestos'!$B$13*IF(A1248=2027,1+'Nacional · supuestos'!$B$6,1),0)</f>
        <v>343.08952008875877</v>
      </c>
      <c r="R1248">
        <f>IF(D1248="Canarias",SUM(J1248:P1248)*IF(A1248=2027,1+'Nacional · supuestos'!$B$6,1),0)</f>
        <v>0</v>
      </c>
      <c r="S1248">
        <f t="shared" si="22"/>
        <v>343.08952008875877</v>
      </c>
    </row>
    <row r="1249" spans="1:19">
      <c r="A1249">
        <v>2027</v>
      </c>
      <c r="B1249">
        <v>4</v>
      </c>
      <c r="C1249" t="s">
        <v>203</v>
      </c>
      <c r="D1249" t="s">
        <v>160</v>
      </c>
      <c r="E1249">
        <f>SUMIFS('Nacional · base'!$J$7:$J$1068,'Nacional · base'!$A$7:$A$1068,A1249,'Nacional · base'!$B$7:$B$1068,B1249,'Nacional · base'!$C$7:$C$1068,C1249)</f>
        <v>1797.3999999999999</v>
      </c>
      <c r="F1249">
        <f>SUMIFS('Nacional · base'!$K$7:$K$1068,'Nacional · base'!$A$7:$A$1068,A1249,'Nacional · base'!$B$7:$B$1068,B1249,'Nacional · base'!$C$7:$C$1068,C1249)</f>
        <v>2.3607954545454546</v>
      </c>
      <c r="G1249">
        <f t="shared" si="21"/>
        <v>3</v>
      </c>
      <c r="H1249">
        <f>SUMIFS('Nacional · base'!$G$7:$G$1068,'Nacional · base'!$A$7:$A$1068,A1249,'Nacional · base'!$B$7:$B$1068,B1249,'Nacional · base'!$C$7:$C$1068,C1249)</f>
        <v>6134.4439410589202</v>
      </c>
      <c r="I1249">
        <f>IF(D1249="Canarias",IF(C1249="CABRERA MORALES FRANCISCO",IF(E1249&lt;=2000,'Nacional · supuestos'!$C$34,IF(E1249&lt;=5000,'Nacional · supuestos'!$C$35,'Nacional · supuestos'!$C$36)),IF(E1249&lt;=2000,'Nacional · supuestos'!$B$34,IF(E1249&lt;=5000,'Nacional · supuestos'!$B$35,'Nacional · supuestos'!$B$36))),0)</f>
        <v>0</v>
      </c>
      <c r="J1249">
        <f>IF(D1249="Canarias",MAX(E1249*I1249,IF(C1249="CABRERA MORALES FRANCISCO",'Nacional · supuestos'!$C$38,'Nacional · supuestos'!$B$38)),0)</f>
        <v>0</v>
      </c>
      <c r="K1249">
        <f>IF(D1249="Canarias",MAX(E1249*'Nacional · supuestos'!$B$41,'Nacional · supuestos'!$B$42),0)</f>
        <v>0</v>
      </c>
      <c r="L1249">
        <f>IF(D1249="Canarias",E1249*'Nacional · supuestos'!$B$43,0)</f>
        <v>0</v>
      </c>
      <c r="M1249">
        <f>IF(D1249="Canarias",E1249*'Nacional · supuestos'!$B$44,0)</f>
        <v>0</v>
      </c>
      <c r="N1249">
        <f>IF(D1249="Canarias",E1249*'Nacional · supuestos'!$B$45,0)</f>
        <v>0</v>
      </c>
      <c r="O1249">
        <f>IF(D1249="Canarias",'Nacional · supuestos'!$B$46,0)</f>
        <v>0</v>
      </c>
      <c r="P1249">
        <f>IF(D1249="Canarias",MAX(H1249*'Nacional · supuestos'!$B$47,'Nacional · supuestos'!$B$48),0)</f>
        <v>0</v>
      </c>
      <c r="Q1249">
        <f>IF(D1249="Resto nacional",E1249*'Nacional · supuestos'!$B$13*IF(A1249=2027,1+'Nacional · supuestos'!$B$6,1),0)</f>
        <v>175.31459940512721</v>
      </c>
      <c r="R1249">
        <f>IF(D1249="Canarias",SUM(J1249:P1249)*IF(A1249=2027,1+'Nacional · supuestos'!$B$6,1),0)</f>
        <v>0</v>
      </c>
      <c r="S1249">
        <f t="shared" si="22"/>
        <v>175.31459940512721</v>
      </c>
    </row>
    <row r="1250" spans="1:19">
      <c r="A1250">
        <v>2027</v>
      </c>
      <c r="B1250">
        <v>4</v>
      </c>
      <c r="C1250" t="s">
        <v>173</v>
      </c>
      <c r="D1250" t="s">
        <v>160</v>
      </c>
      <c r="E1250">
        <f>SUMIFS('Nacional · base'!$J$7:$J$1068,'Nacional · base'!$A$7:$A$1068,A1250,'Nacional · base'!$B$7:$B$1068,B1250,'Nacional · base'!$C$7:$C$1068,C1250)</f>
        <v>35987</v>
      </c>
      <c r="F1250">
        <f>SUMIFS('Nacional · base'!$K$7:$K$1068,'Nacional · base'!$A$7:$A$1068,A1250,'Nacional · base'!$B$7:$B$1068,B1250,'Nacional · base'!$C$7:$C$1068,C1250)</f>
        <v>45.348409090909087</v>
      </c>
      <c r="G1250">
        <f t="shared" si="21"/>
        <v>46</v>
      </c>
      <c r="H1250">
        <f>SUMIFS('Nacional · base'!$G$7:$G$1068,'Nacional · base'!$A$7:$A$1068,A1250,'Nacional · base'!$B$7:$B$1068,B1250,'Nacional · base'!$C$7:$C$1068,C1250)</f>
        <v>71507.096753778314</v>
      </c>
      <c r="I1250">
        <f>IF(D1250="Canarias",IF(C1250="CABRERA MORALES FRANCISCO",IF(E1250&lt;=2000,'Nacional · supuestos'!$C$34,IF(E1250&lt;=5000,'Nacional · supuestos'!$C$35,'Nacional · supuestos'!$C$36)),IF(E1250&lt;=2000,'Nacional · supuestos'!$B$34,IF(E1250&lt;=5000,'Nacional · supuestos'!$B$35,'Nacional · supuestos'!$B$36))),0)</f>
        <v>0</v>
      </c>
      <c r="J1250">
        <f>IF(D1250="Canarias",MAX(E1250*I1250,IF(C1250="CABRERA MORALES FRANCISCO",'Nacional · supuestos'!$C$38,'Nacional · supuestos'!$B$38)),0)</f>
        <v>0</v>
      </c>
      <c r="K1250">
        <f>IF(D1250="Canarias",MAX(E1250*'Nacional · supuestos'!$B$41,'Nacional · supuestos'!$B$42),0)</f>
        <v>0</v>
      </c>
      <c r="L1250">
        <f>IF(D1250="Canarias",E1250*'Nacional · supuestos'!$B$43,0)</f>
        <v>0</v>
      </c>
      <c r="M1250">
        <f>IF(D1250="Canarias",E1250*'Nacional · supuestos'!$B$44,0)</f>
        <v>0</v>
      </c>
      <c r="N1250">
        <f>IF(D1250="Canarias",E1250*'Nacional · supuestos'!$B$45,0)</f>
        <v>0</v>
      </c>
      <c r="O1250">
        <f>IF(D1250="Canarias",'Nacional · supuestos'!$B$46,0)</f>
        <v>0</v>
      </c>
      <c r="P1250">
        <f>IF(D1250="Canarias",MAX(H1250*'Nacional · supuestos'!$B$47,'Nacional · supuestos'!$B$48),0)</f>
        <v>0</v>
      </c>
      <c r="Q1250">
        <f>IF(D1250="Resto nacional",E1250*'Nacional · supuestos'!$B$13*IF(A1250=2027,1+'Nacional · supuestos'!$B$6,1),0)</f>
        <v>3510.0959657239982</v>
      </c>
      <c r="R1250">
        <f>IF(D1250="Canarias",SUM(J1250:P1250)*IF(A1250=2027,1+'Nacional · supuestos'!$B$6,1),0)</f>
        <v>0</v>
      </c>
      <c r="S1250">
        <f t="shared" si="22"/>
        <v>3510.0959657239982</v>
      </c>
    </row>
    <row r="1251" spans="1:19">
      <c r="A1251">
        <v>2027</v>
      </c>
      <c r="B1251">
        <v>4</v>
      </c>
      <c r="C1251" t="s">
        <v>174</v>
      </c>
      <c r="D1251" t="s">
        <v>160</v>
      </c>
      <c r="E1251">
        <f>SUMIFS('Nacional · base'!$J$7:$J$1068,'Nacional · base'!$A$7:$A$1068,A1251,'Nacional · base'!$B$7:$B$1068,B1251,'Nacional · base'!$C$7:$C$1068,C1251)</f>
        <v>10979.6</v>
      </c>
      <c r="F1251">
        <f>SUMIFS('Nacional · base'!$K$7:$K$1068,'Nacional · base'!$A$7:$A$1068,A1251,'Nacional · base'!$B$7:$B$1068,B1251,'Nacional · base'!$C$7:$C$1068,C1251)</f>
        <v>13.53125</v>
      </c>
      <c r="G1251">
        <f t="shared" si="21"/>
        <v>14</v>
      </c>
      <c r="H1251">
        <f>SUMIFS('Nacional · base'!$G$7:$G$1068,'Nacional · base'!$A$7:$A$1068,A1251,'Nacional · base'!$B$7:$B$1068,B1251,'Nacional · base'!$C$7:$C$1068,C1251)</f>
        <v>21850.9434174462</v>
      </c>
      <c r="I1251">
        <f>IF(D1251="Canarias",IF(C1251="CABRERA MORALES FRANCISCO",IF(E1251&lt;=2000,'Nacional · supuestos'!$C$34,IF(E1251&lt;=5000,'Nacional · supuestos'!$C$35,'Nacional · supuestos'!$C$36)),IF(E1251&lt;=2000,'Nacional · supuestos'!$B$34,IF(E1251&lt;=5000,'Nacional · supuestos'!$B$35,'Nacional · supuestos'!$B$36))),0)</f>
        <v>0</v>
      </c>
      <c r="J1251">
        <f>IF(D1251="Canarias",MAX(E1251*I1251,IF(C1251="CABRERA MORALES FRANCISCO",'Nacional · supuestos'!$C$38,'Nacional · supuestos'!$B$38)),0)</f>
        <v>0</v>
      </c>
      <c r="K1251">
        <f>IF(D1251="Canarias",MAX(E1251*'Nacional · supuestos'!$B$41,'Nacional · supuestos'!$B$42),0)</f>
        <v>0</v>
      </c>
      <c r="L1251">
        <f>IF(D1251="Canarias",E1251*'Nacional · supuestos'!$B$43,0)</f>
        <v>0</v>
      </c>
      <c r="M1251">
        <f>IF(D1251="Canarias",E1251*'Nacional · supuestos'!$B$44,0)</f>
        <v>0</v>
      </c>
      <c r="N1251">
        <f>IF(D1251="Canarias",E1251*'Nacional · supuestos'!$B$45,0)</f>
        <v>0</v>
      </c>
      <c r="O1251">
        <f>IF(D1251="Canarias",'Nacional · supuestos'!$B$46,0)</f>
        <v>0</v>
      </c>
      <c r="P1251">
        <f>IF(D1251="Canarias",MAX(H1251*'Nacional · supuestos'!$B$47,'Nacional · supuestos'!$B$48),0)</f>
        <v>0</v>
      </c>
      <c r="Q1251">
        <f>IF(D1251="Resto nacional",E1251*'Nacional · supuestos'!$B$13*IF(A1251=2027,1+'Nacional · supuestos'!$B$6,1),0)</f>
        <v>1070.9269921155753</v>
      </c>
      <c r="R1251">
        <f>IF(D1251="Canarias",SUM(J1251:P1251)*IF(A1251=2027,1+'Nacional · supuestos'!$B$6,1),0)</f>
        <v>0</v>
      </c>
      <c r="S1251">
        <f t="shared" si="22"/>
        <v>1070.9269921155753</v>
      </c>
    </row>
    <row r="1252" spans="1:19">
      <c r="A1252">
        <v>2027</v>
      </c>
      <c r="B1252">
        <v>4</v>
      </c>
      <c r="C1252" t="s">
        <v>175</v>
      </c>
      <c r="D1252" t="s">
        <v>160</v>
      </c>
      <c r="E1252">
        <f>SUMIFS('Nacional · base'!$J$7:$J$1068,'Nacional · base'!$A$7:$A$1068,A1252,'Nacional · base'!$B$7:$B$1068,B1252,'Nacional · base'!$C$7:$C$1068,C1252)</f>
        <v>7044.5999999999995</v>
      </c>
      <c r="F1252">
        <f>SUMIFS('Nacional · base'!$K$7:$K$1068,'Nacional · base'!$A$7:$A$1068,A1252,'Nacional · base'!$B$7:$B$1068,B1252,'Nacional · base'!$C$7:$C$1068,C1252)</f>
        <v>9.3729166666666668</v>
      </c>
      <c r="G1252">
        <f t="shared" si="21"/>
        <v>10</v>
      </c>
      <c r="H1252">
        <f>SUMIFS('Nacional · base'!$G$7:$G$1068,'Nacional · base'!$A$7:$A$1068,A1252,'Nacional · base'!$B$7:$B$1068,B1252,'Nacional · base'!$C$7:$C$1068,C1252)</f>
        <v>20387.862302473459</v>
      </c>
      <c r="I1252">
        <f>IF(D1252="Canarias",IF(C1252="CABRERA MORALES FRANCISCO",IF(E1252&lt;=2000,'Nacional · supuestos'!$C$34,IF(E1252&lt;=5000,'Nacional · supuestos'!$C$35,'Nacional · supuestos'!$C$36)),IF(E1252&lt;=2000,'Nacional · supuestos'!$B$34,IF(E1252&lt;=5000,'Nacional · supuestos'!$B$35,'Nacional · supuestos'!$B$36))),0)</f>
        <v>0</v>
      </c>
      <c r="J1252">
        <f>IF(D1252="Canarias",MAX(E1252*I1252,IF(C1252="CABRERA MORALES FRANCISCO",'Nacional · supuestos'!$C$38,'Nacional · supuestos'!$B$38)),0)</f>
        <v>0</v>
      </c>
      <c r="K1252">
        <f>IF(D1252="Canarias",MAX(E1252*'Nacional · supuestos'!$B$41,'Nacional · supuestos'!$B$42),0)</f>
        <v>0</v>
      </c>
      <c r="L1252">
        <f>IF(D1252="Canarias",E1252*'Nacional · supuestos'!$B$43,0)</f>
        <v>0</v>
      </c>
      <c r="M1252">
        <f>IF(D1252="Canarias",E1252*'Nacional · supuestos'!$B$44,0)</f>
        <v>0</v>
      </c>
      <c r="N1252">
        <f>IF(D1252="Canarias",E1252*'Nacional · supuestos'!$B$45,0)</f>
        <v>0</v>
      </c>
      <c r="O1252">
        <f>IF(D1252="Canarias",'Nacional · supuestos'!$B$46,0)</f>
        <v>0</v>
      </c>
      <c r="P1252">
        <f>IF(D1252="Canarias",MAX(H1252*'Nacional · supuestos'!$B$47,'Nacional · supuestos'!$B$48),0)</f>
        <v>0</v>
      </c>
      <c r="Q1252">
        <f>IF(D1252="Resto nacional",E1252*'Nacional · supuestos'!$B$13*IF(A1252=2027,1+'Nacional · supuestos'!$B$6,1),0)</f>
        <v>687.1154038997214</v>
      </c>
      <c r="R1252">
        <f>IF(D1252="Canarias",SUM(J1252:P1252)*IF(A1252=2027,1+'Nacional · supuestos'!$B$6,1),0)</f>
        <v>0</v>
      </c>
      <c r="S1252">
        <f t="shared" si="22"/>
        <v>687.1154038997214</v>
      </c>
    </row>
    <row r="1253" spans="1:19">
      <c r="A1253">
        <v>2027</v>
      </c>
      <c r="B1253">
        <v>4</v>
      </c>
      <c r="C1253" t="s">
        <v>182</v>
      </c>
      <c r="D1253" t="s">
        <v>160</v>
      </c>
      <c r="E1253">
        <f>SUMIFS('Nacional · base'!$J$7:$J$1068,'Nacional · base'!$A$7:$A$1068,A1253,'Nacional · base'!$B$7:$B$1068,B1253,'Nacional · base'!$C$7:$C$1068,C1253)</f>
        <v>56342.899999999994</v>
      </c>
      <c r="F1253">
        <f>SUMIFS('Nacional · base'!$K$7:$K$1068,'Nacional · base'!$A$7:$A$1068,A1253,'Nacional · base'!$B$7:$B$1068,B1253,'Nacional · base'!$C$7:$C$1068,C1253)</f>
        <v>63.092386363636365</v>
      </c>
      <c r="G1253">
        <f t="shared" si="21"/>
        <v>64</v>
      </c>
      <c r="H1253">
        <f>SUMIFS('Nacional · base'!$G$7:$G$1068,'Nacional · base'!$A$7:$A$1068,A1253,'Nacional · base'!$B$7:$B$1068,B1253,'Nacional · base'!$C$7:$C$1068,C1253)</f>
        <v>120614.99819181643</v>
      </c>
      <c r="I1253">
        <f>IF(D1253="Canarias",IF(C1253="CABRERA MORALES FRANCISCO",IF(E1253&lt;=2000,'Nacional · supuestos'!$C$34,IF(E1253&lt;=5000,'Nacional · supuestos'!$C$35,'Nacional · supuestos'!$C$36)),IF(E1253&lt;=2000,'Nacional · supuestos'!$B$34,IF(E1253&lt;=5000,'Nacional · supuestos'!$B$35,'Nacional · supuestos'!$B$36))),0)</f>
        <v>0</v>
      </c>
      <c r="J1253">
        <f>IF(D1253="Canarias",MAX(E1253*I1253,IF(C1253="CABRERA MORALES FRANCISCO",'Nacional · supuestos'!$C$38,'Nacional · supuestos'!$B$38)),0)</f>
        <v>0</v>
      </c>
      <c r="K1253">
        <f>IF(D1253="Canarias",MAX(E1253*'Nacional · supuestos'!$B$41,'Nacional · supuestos'!$B$42),0)</f>
        <v>0</v>
      </c>
      <c r="L1253">
        <f>IF(D1253="Canarias",E1253*'Nacional · supuestos'!$B$43,0)</f>
        <v>0</v>
      </c>
      <c r="M1253">
        <f>IF(D1253="Canarias",E1253*'Nacional · supuestos'!$B$44,0)</f>
        <v>0</v>
      </c>
      <c r="N1253">
        <f>IF(D1253="Canarias",E1253*'Nacional · supuestos'!$B$45,0)</f>
        <v>0</v>
      </c>
      <c r="O1253">
        <f>IF(D1253="Canarias",'Nacional · supuestos'!$B$46,0)</f>
        <v>0</v>
      </c>
      <c r="P1253">
        <f>IF(D1253="Canarias",MAX(H1253*'Nacional · supuestos'!$B$47,'Nacional · supuestos'!$B$48),0)</f>
        <v>0</v>
      </c>
      <c r="Q1253">
        <f>IF(D1253="Resto nacional",E1253*'Nacional · supuestos'!$B$13*IF(A1253=2027,1+'Nacional · supuestos'!$B$6,1),0)</f>
        <v>5495.5674545583297</v>
      </c>
      <c r="R1253">
        <f>IF(D1253="Canarias",SUM(J1253:P1253)*IF(A1253=2027,1+'Nacional · supuestos'!$B$6,1),0)</f>
        <v>0</v>
      </c>
      <c r="S1253">
        <f t="shared" si="22"/>
        <v>5495.5674545583297</v>
      </c>
    </row>
    <row r="1254" spans="1:19">
      <c r="A1254">
        <v>2027</v>
      </c>
      <c r="B1254">
        <v>4</v>
      </c>
      <c r="C1254" t="s">
        <v>183</v>
      </c>
      <c r="D1254" t="s">
        <v>164</v>
      </c>
      <c r="E1254">
        <f>SUMIFS('Nacional · base'!$J$7:$J$1068,'Nacional · base'!$A$7:$A$1068,A1254,'Nacional · base'!$B$7:$B$1068,B1254,'Nacional · base'!$C$7:$C$1068,C1254)</f>
        <v>3009</v>
      </c>
      <c r="F1254">
        <f>SUMIFS('Nacional · base'!$K$7:$K$1068,'Nacional · base'!$A$7:$A$1068,A1254,'Nacional · base'!$B$7:$B$1068,B1254,'Nacional · base'!$C$7:$C$1068,C1254)</f>
        <v>2.8729166666666668</v>
      </c>
      <c r="G1254">
        <f t="shared" si="21"/>
        <v>3</v>
      </c>
      <c r="H1254">
        <f>SUMIFS('Nacional · base'!$G$7:$G$1068,'Nacional · base'!$A$7:$A$1068,A1254,'Nacional · base'!$B$7:$B$1068,B1254,'Nacional · base'!$C$7:$C$1068,C1254)</f>
        <v>7566.0973732043358</v>
      </c>
      <c r="I1254">
        <f>IF(D1254="Canarias",IF(C1254="CABRERA MORALES FRANCISCO",IF(E1254&lt;=2000,'Nacional · supuestos'!$C$34,IF(E1254&lt;=5000,'Nacional · supuestos'!$C$35,'Nacional · supuestos'!$C$36)),IF(E1254&lt;=2000,'Nacional · supuestos'!$B$34,IF(E1254&lt;=5000,'Nacional · supuestos'!$B$35,'Nacional · supuestos'!$B$36))),0)</f>
        <v>0.108</v>
      </c>
      <c r="J1254">
        <f>IF(D1254="Canarias",MAX(E1254*I1254,IF(C1254="CABRERA MORALES FRANCISCO",'Nacional · supuestos'!$C$38,'Nacional · supuestos'!$B$38)),0)</f>
        <v>324.97199999999998</v>
      </c>
      <c r="K1254">
        <f>IF(D1254="Canarias",MAX(E1254*'Nacional · supuestos'!$B$41,'Nacional · supuestos'!$B$42),0)</f>
        <v>108.324</v>
      </c>
      <c r="L1254">
        <f>IF(D1254="Canarias",E1254*'Nacional · supuestos'!$B$43,0)</f>
        <v>36.108000000000004</v>
      </c>
      <c r="M1254">
        <f>IF(D1254="Canarias",E1254*'Nacional · supuestos'!$B$44,0)</f>
        <v>54.161999999999999</v>
      </c>
      <c r="N1254">
        <f>IF(D1254="Canarias",E1254*'Nacional · supuestos'!$B$45,0)</f>
        <v>66.197999999999993</v>
      </c>
      <c r="O1254">
        <f>IF(D1254="Canarias",'Nacional · supuestos'!$B$46,0)</f>
        <v>15</v>
      </c>
      <c r="P1254">
        <f>IF(D1254="Canarias",MAX(H1254*'Nacional · supuestos'!$B$47,'Nacional · supuestos'!$B$48),0)</f>
        <v>34.047438179419508</v>
      </c>
      <c r="Q1254">
        <f>IF(D1254="Resto nacional",E1254*'Nacional · supuestos'!$B$13*IF(A1254=2027,1+'Nacional · supuestos'!$B$6,1),0)</f>
        <v>0</v>
      </c>
      <c r="R1254">
        <f>IF(D1254="Canarias",SUM(J1254:P1254)*IF(A1254=2027,1+'Nacional · supuestos'!$B$6,1),0)</f>
        <v>702.69258199736146</v>
      </c>
      <c r="S1254">
        <f t="shared" si="22"/>
        <v>702.69258199736146</v>
      </c>
    </row>
    <row r="1255" spans="1:19">
      <c r="A1255">
        <v>2027</v>
      </c>
      <c r="B1255">
        <v>4</v>
      </c>
      <c r="C1255" t="s">
        <v>176</v>
      </c>
      <c r="D1255" t="s">
        <v>160</v>
      </c>
      <c r="E1255">
        <f>SUMIFS('Nacional · base'!$J$7:$J$1068,'Nacional · base'!$A$7:$A$1068,A1255,'Nacional · base'!$B$7:$B$1068,B1255,'Nacional · base'!$C$7:$C$1068,C1255)</f>
        <v>6696.4999999999991</v>
      </c>
      <c r="F1255">
        <f>SUMIFS('Nacional · base'!$K$7:$K$1068,'Nacional · base'!$A$7:$A$1068,A1255,'Nacional · base'!$B$7:$B$1068,B1255,'Nacional · base'!$C$7:$C$1068,C1255)</f>
        <v>8.8895833333333325</v>
      </c>
      <c r="G1255">
        <f t="shared" si="21"/>
        <v>9</v>
      </c>
      <c r="H1255">
        <f>SUMIFS('Nacional · base'!$G$7:$G$1068,'Nacional · base'!$A$7:$A$1068,A1255,'Nacional · base'!$B$7:$B$1068,B1255,'Nacional · base'!$C$7:$C$1068,C1255)</f>
        <v>15161.694030787219</v>
      </c>
      <c r="I1255">
        <f>IF(D1255="Canarias",IF(C1255="CABRERA MORALES FRANCISCO",IF(E1255&lt;=2000,'Nacional · supuestos'!$C$34,IF(E1255&lt;=5000,'Nacional · supuestos'!$C$35,'Nacional · supuestos'!$C$36)),IF(E1255&lt;=2000,'Nacional · supuestos'!$B$34,IF(E1255&lt;=5000,'Nacional · supuestos'!$B$35,'Nacional · supuestos'!$B$36))),0)</f>
        <v>0</v>
      </c>
      <c r="J1255">
        <f>IF(D1255="Canarias",MAX(E1255*I1255,IF(C1255="CABRERA MORALES FRANCISCO",'Nacional · supuestos'!$C$38,'Nacional · supuestos'!$B$38)),0)</f>
        <v>0</v>
      </c>
      <c r="K1255">
        <f>IF(D1255="Canarias",MAX(E1255*'Nacional · supuestos'!$B$41,'Nacional · supuestos'!$B$42),0)</f>
        <v>0</v>
      </c>
      <c r="L1255">
        <f>IF(D1255="Canarias",E1255*'Nacional · supuestos'!$B$43,0)</f>
        <v>0</v>
      </c>
      <c r="M1255">
        <f>IF(D1255="Canarias",E1255*'Nacional · supuestos'!$B$44,0)</f>
        <v>0</v>
      </c>
      <c r="N1255">
        <f>IF(D1255="Canarias",E1255*'Nacional · supuestos'!$B$45,0)</f>
        <v>0</v>
      </c>
      <c r="O1255">
        <f>IF(D1255="Canarias",'Nacional · supuestos'!$B$46,0)</f>
        <v>0</v>
      </c>
      <c r="P1255">
        <f>IF(D1255="Canarias",MAX(H1255*'Nacional · supuestos'!$B$47,'Nacional · supuestos'!$B$48),0)</f>
        <v>0</v>
      </c>
      <c r="Q1255">
        <f>IF(D1255="Resto nacional",E1255*'Nacional · supuestos'!$B$13*IF(A1255=2027,1+'Nacional · supuestos'!$B$6,1),0)</f>
        <v>653.16246518105845</v>
      </c>
      <c r="R1255">
        <f>IF(D1255="Canarias",SUM(J1255:P1255)*IF(A1255=2027,1+'Nacional · supuestos'!$B$6,1),0)</f>
        <v>0</v>
      </c>
      <c r="S1255">
        <f t="shared" si="22"/>
        <v>653.16246518105845</v>
      </c>
    </row>
    <row r="1256" spans="1:19">
      <c r="A1256">
        <v>2027</v>
      </c>
      <c r="B1256">
        <v>4</v>
      </c>
      <c r="C1256" t="s">
        <v>178</v>
      </c>
      <c r="D1256" t="s">
        <v>160</v>
      </c>
      <c r="E1256">
        <f>SUMIFS('Nacional · base'!$J$7:$J$1068,'Nacional · base'!$A$7:$A$1068,A1256,'Nacional · base'!$B$7:$B$1068,B1256,'Nacional · base'!$C$7:$C$1068,C1256)</f>
        <v>2301</v>
      </c>
      <c r="F1256">
        <f>SUMIFS('Nacional · base'!$K$7:$K$1068,'Nacional · base'!$A$7:$A$1068,A1256,'Nacional · base'!$B$7:$B$1068,B1256,'Nacional · base'!$C$7:$C$1068,C1256)</f>
        <v>3.0914772727272726</v>
      </c>
      <c r="G1256">
        <f t="shared" si="21"/>
        <v>4</v>
      </c>
      <c r="H1256">
        <f>SUMIFS('Nacional · base'!$G$7:$G$1068,'Nacional · base'!$A$7:$A$1068,A1256,'Nacional · base'!$B$7:$B$1068,B1256,'Nacional · base'!$C$7:$C$1068,C1256)</f>
        <v>9405.1640668110595</v>
      </c>
      <c r="I1256">
        <f>IF(D1256="Canarias",IF(C1256="CABRERA MORALES FRANCISCO",IF(E1256&lt;=2000,'Nacional · supuestos'!$C$34,IF(E1256&lt;=5000,'Nacional · supuestos'!$C$35,'Nacional · supuestos'!$C$36)),IF(E1256&lt;=2000,'Nacional · supuestos'!$B$34,IF(E1256&lt;=5000,'Nacional · supuestos'!$B$35,'Nacional · supuestos'!$B$36))),0)</f>
        <v>0</v>
      </c>
      <c r="J1256">
        <f>IF(D1256="Canarias",MAX(E1256*I1256,IF(C1256="CABRERA MORALES FRANCISCO",'Nacional · supuestos'!$C$38,'Nacional · supuestos'!$B$38)),0)</f>
        <v>0</v>
      </c>
      <c r="K1256">
        <f>IF(D1256="Canarias",MAX(E1256*'Nacional · supuestos'!$B$41,'Nacional · supuestos'!$B$42),0)</f>
        <v>0</v>
      </c>
      <c r="L1256">
        <f>IF(D1256="Canarias",E1256*'Nacional · supuestos'!$B$43,0)</f>
        <v>0</v>
      </c>
      <c r="M1256">
        <f>IF(D1256="Canarias",E1256*'Nacional · supuestos'!$B$44,0)</f>
        <v>0</v>
      </c>
      <c r="N1256">
        <f>IF(D1256="Canarias",E1256*'Nacional · supuestos'!$B$45,0)</f>
        <v>0</v>
      </c>
      <c r="O1256">
        <f>IF(D1256="Canarias",'Nacional · supuestos'!$B$46,0)</f>
        <v>0</v>
      </c>
      <c r="P1256">
        <f>IF(D1256="Canarias",MAX(H1256*'Nacional · supuestos'!$B$47,'Nacional · supuestos'!$B$48),0)</f>
        <v>0</v>
      </c>
      <c r="Q1256">
        <f>IF(D1256="Resto nacional",E1256*'Nacional · supuestos'!$B$13*IF(A1256=2027,1+'Nacional · supuestos'!$B$6,1),0)</f>
        <v>224.43467966573817</v>
      </c>
      <c r="R1256">
        <f>IF(D1256="Canarias",SUM(J1256:P1256)*IF(A1256=2027,1+'Nacional · supuestos'!$B$6,1),0)</f>
        <v>0</v>
      </c>
      <c r="S1256">
        <f t="shared" si="22"/>
        <v>224.43467966573817</v>
      </c>
    </row>
    <row r="1257" spans="1:19">
      <c r="A1257">
        <v>2027</v>
      </c>
      <c r="B1257">
        <v>4</v>
      </c>
      <c r="C1257" t="s">
        <v>192</v>
      </c>
      <c r="D1257" t="s">
        <v>160</v>
      </c>
      <c r="E1257">
        <f>SUMIFS('Nacional · base'!$J$7:$J$1068,'Nacional · base'!$A$7:$A$1068,A1257,'Nacional · base'!$B$7:$B$1068,B1257,'Nacional · base'!$C$7:$C$1068,C1257)</f>
        <v>1581.1999999999998</v>
      </c>
      <c r="F1257">
        <f>SUMIFS('Nacional · base'!$K$7:$K$1068,'Nacional · base'!$A$7:$A$1068,A1257,'Nacional · base'!$B$7:$B$1068,B1257,'Nacional · base'!$C$7:$C$1068,C1257)</f>
        <v>2.2333333333333334</v>
      </c>
      <c r="G1257">
        <f t="shared" si="21"/>
        <v>3</v>
      </c>
      <c r="H1257">
        <f>SUMIFS('Nacional · base'!$G$7:$G$1068,'Nacional · base'!$A$7:$A$1068,A1257,'Nacional · base'!$B$7:$B$1068,B1257,'Nacional · base'!$C$7:$C$1068,C1257)</f>
        <v>11336.376934942999</v>
      </c>
      <c r="I1257">
        <f>IF(D1257="Canarias",IF(C1257="CABRERA MORALES FRANCISCO",IF(E1257&lt;=2000,'Nacional · supuestos'!$C$34,IF(E1257&lt;=5000,'Nacional · supuestos'!$C$35,'Nacional · supuestos'!$C$36)),IF(E1257&lt;=2000,'Nacional · supuestos'!$B$34,IF(E1257&lt;=5000,'Nacional · supuestos'!$B$35,'Nacional · supuestos'!$B$36))),0)</f>
        <v>0</v>
      </c>
      <c r="J1257">
        <f>IF(D1257="Canarias",MAX(E1257*I1257,IF(C1257="CABRERA MORALES FRANCISCO",'Nacional · supuestos'!$C$38,'Nacional · supuestos'!$B$38)),0)</f>
        <v>0</v>
      </c>
      <c r="K1257">
        <f>IF(D1257="Canarias",MAX(E1257*'Nacional · supuestos'!$B$41,'Nacional · supuestos'!$B$42),0)</f>
        <v>0</v>
      </c>
      <c r="L1257">
        <f>IF(D1257="Canarias",E1257*'Nacional · supuestos'!$B$43,0)</f>
        <v>0</v>
      </c>
      <c r="M1257">
        <f>IF(D1257="Canarias",E1257*'Nacional · supuestos'!$B$44,0)</f>
        <v>0</v>
      </c>
      <c r="N1257">
        <f>IF(D1257="Canarias",E1257*'Nacional · supuestos'!$B$45,0)</f>
        <v>0</v>
      </c>
      <c r="O1257">
        <f>IF(D1257="Canarias",'Nacional · supuestos'!$B$46,0)</f>
        <v>0</v>
      </c>
      <c r="P1257">
        <f>IF(D1257="Canarias",MAX(H1257*'Nacional · supuestos'!$B$47,'Nacional · supuestos'!$B$48),0)</f>
        <v>0</v>
      </c>
      <c r="Q1257">
        <f>IF(D1257="Resto nacional",E1257*'Nacional · supuestos'!$B$13*IF(A1257=2027,1+'Nacional · supuestos'!$B$6,1),0)</f>
        <v>154.22690807799441</v>
      </c>
      <c r="R1257">
        <f>IF(D1257="Canarias",SUM(J1257:P1257)*IF(A1257=2027,1+'Nacional · supuestos'!$B$6,1),0)</f>
        <v>0</v>
      </c>
      <c r="S1257">
        <f t="shared" si="22"/>
        <v>154.22690807799441</v>
      </c>
    </row>
    <row r="1258" spans="1:19">
      <c r="A1258">
        <v>2027</v>
      </c>
      <c r="B1258">
        <v>4</v>
      </c>
      <c r="C1258" t="s">
        <v>189</v>
      </c>
      <c r="D1258" t="s">
        <v>160</v>
      </c>
      <c r="E1258">
        <f>SUMIFS('Nacional · base'!$J$7:$J$1068,'Nacional · base'!$A$7:$A$1068,A1258,'Nacional · base'!$B$7:$B$1068,B1258,'Nacional · base'!$C$7:$C$1068,C1258)</f>
        <v>802.4</v>
      </c>
      <c r="F1258">
        <f>SUMIFS('Nacional · base'!$K$7:$K$1068,'Nacional · base'!$A$7:$A$1068,A1258,'Nacional · base'!$B$7:$B$1068,B1258,'Nacional · base'!$C$7:$C$1068,C1258)</f>
        <v>1.0625</v>
      </c>
      <c r="G1258">
        <f t="shared" si="21"/>
        <v>2</v>
      </c>
      <c r="H1258">
        <f>SUMIFS('Nacional · base'!$G$7:$G$1068,'Nacional · base'!$A$7:$A$1068,A1258,'Nacional · base'!$B$7:$B$1068,B1258,'Nacional · base'!$C$7:$C$1068,C1258)</f>
        <v>2445.4177085537467</v>
      </c>
      <c r="I1258">
        <f>IF(D1258="Canarias",IF(C1258="CABRERA MORALES FRANCISCO",IF(E1258&lt;=2000,'Nacional · supuestos'!$C$34,IF(E1258&lt;=5000,'Nacional · supuestos'!$C$35,'Nacional · supuestos'!$C$36)),IF(E1258&lt;=2000,'Nacional · supuestos'!$B$34,IF(E1258&lt;=5000,'Nacional · supuestos'!$B$35,'Nacional · supuestos'!$B$36))),0)</f>
        <v>0</v>
      </c>
      <c r="J1258">
        <f>IF(D1258="Canarias",MAX(E1258*I1258,IF(C1258="CABRERA MORALES FRANCISCO",'Nacional · supuestos'!$C$38,'Nacional · supuestos'!$B$38)),0)</f>
        <v>0</v>
      </c>
      <c r="K1258">
        <f>IF(D1258="Canarias",MAX(E1258*'Nacional · supuestos'!$B$41,'Nacional · supuestos'!$B$42),0)</f>
        <v>0</v>
      </c>
      <c r="L1258">
        <f>IF(D1258="Canarias",E1258*'Nacional · supuestos'!$B$43,0)</f>
        <v>0</v>
      </c>
      <c r="M1258">
        <f>IF(D1258="Canarias",E1258*'Nacional · supuestos'!$B$44,0)</f>
        <v>0</v>
      </c>
      <c r="N1258">
        <f>IF(D1258="Canarias",E1258*'Nacional · supuestos'!$B$45,0)</f>
        <v>0</v>
      </c>
      <c r="O1258">
        <f>IF(D1258="Canarias",'Nacional · supuestos'!$B$46,0)</f>
        <v>0</v>
      </c>
      <c r="P1258">
        <f>IF(D1258="Canarias",MAX(H1258*'Nacional · supuestos'!$B$47,'Nacional · supuestos'!$B$48),0)</f>
        <v>0</v>
      </c>
      <c r="Q1258">
        <f>IF(D1258="Resto nacional",E1258*'Nacional · supuestos'!$B$13*IF(A1258=2027,1+'Nacional · supuestos'!$B$6,1),0)</f>
        <v>78.264401114206123</v>
      </c>
      <c r="R1258">
        <f>IF(D1258="Canarias",SUM(J1258:P1258)*IF(A1258=2027,1+'Nacional · supuestos'!$B$6,1),0)</f>
        <v>0</v>
      </c>
      <c r="S1258">
        <f t="shared" si="22"/>
        <v>78.264401114206123</v>
      </c>
    </row>
    <row r="1259" spans="1:19">
      <c r="A1259">
        <v>2027</v>
      </c>
      <c r="B1259">
        <v>4</v>
      </c>
      <c r="C1259" t="s">
        <v>179</v>
      </c>
      <c r="D1259" t="s">
        <v>160</v>
      </c>
      <c r="E1259">
        <f>SUMIFS('Nacional · base'!$J$7:$J$1068,'Nacional · base'!$A$7:$A$1068,A1259,'Nacional · base'!$B$7:$B$1068,B1259,'Nacional · base'!$C$7:$C$1068,C1259)</f>
        <v>2006</v>
      </c>
      <c r="F1259">
        <f>SUMIFS('Nacional · base'!$K$7:$K$1068,'Nacional · base'!$A$7:$A$1068,A1259,'Nacional · base'!$B$7:$B$1068,B1259,'Nacional · base'!$C$7:$C$1068,C1259)</f>
        <v>2.6666666666666665</v>
      </c>
      <c r="G1259">
        <f t="shared" si="21"/>
        <v>3</v>
      </c>
      <c r="H1259">
        <f>SUMIFS('Nacional · base'!$G$7:$G$1068,'Nacional · base'!$A$7:$A$1068,A1259,'Nacional · base'!$B$7:$B$1068,B1259,'Nacional · base'!$C$7:$C$1068,C1259)</f>
        <v>7873.0775586984018</v>
      </c>
      <c r="I1259">
        <f>IF(D1259="Canarias",IF(C1259="CABRERA MORALES FRANCISCO",IF(E1259&lt;=2000,'Nacional · supuestos'!$C$34,IF(E1259&lt;=5000,'Nacional · supuestos'!$C$35,'Nacional · supuestos'!$C$36)),IF(E1259&lt;=2000,'Nacional · supuestos'!$B$34,IF(E1259&lt;=5000,'Nacional · supuestos'!$B$35,'Nacional · supuestos'!$B$36))),0)</f>
        <v>0</v>
      </c>
      <c r="J1259">
        <f>IF(D1259="Canarias",MAX(E1259*I1259,IF(C1259="CABRERA MORALES FRANCISCO",'Nacional · supuestos'!$C$38,'Nacional · supuestos'!$B$38)),0)</f>
        <v>0</v>
      </c>
      <c r="K1259">
        <f>IF(D1259="Canarias",MAX(E1259*'Nacional · supuestos'!$B$41,'Nacional · supuestos'!$B$42),0)</f>
        <v>0</v>
      </c>
      <c r="L1259">
        <f>IF(D1259="Canarias",E1259*'Nacional · supuestos'!$B$43,0)</f>
        <v>0</v>
      </c>
      <c r="M1259">
        <f>IF(D1259="Canarias",E1259*'Nacional · supuestos'!$B$44,0)</f>
        <v>0</v>
      </c>
      <c r="N1259">
        <f>IF(D1259="Canarias",E1259*'Nacional · supuestos'!$B$45,0)</f>
        <v>0</v>
      </c>
      <c r="O1259">
        <f>IF(D1259="Canarias",'Nacional · supuestos'!$B$46,0)</f>
        <v>0</v>
      </c>
      <c r="P1259">
        <f>IF(D1259="Canarias",MAX(H1259*'Nacional · supuestos'!$B$47,'Nacional · supuestos'!$B$48),0)</f>
        <v>0</v>
      </c>
      <c r="Q1259">
        <f>IF(D1259="Resto nacional",E1259*'Nacional · supuestos'!$B$13*IF(A1259=2027,1+'Nacional · supuestos'!$B$6,1),0)</f>
        <v>195.66100278551534</v>
      </c>
      <c r="R1259">
        <f>IF(D1259="Canarias",SUM(J1259:P1259)*IF(A1259=2027,1+'Nacional · supuestos'!$B$6,1),0)</f>
        <v>0</v>
      </c>
      <c r="S1259">
        <f t="shared" si="22"/>
        <v>195.66100278551534</v>
      </c>
    </row>
    <row r="1260" spans="1:19">
      <c r="A1260">
        <v>2027</v>
      </c>
      <c r="B1260">
        <v>4</v>
      </c>
      <c r="C1260" t="s">
        <v>180</v>
      </c>
      <c r="D1260" t="s">
        <v>160</v>
      </c>
      <c r="E1260">
        <f>SUMIFS('Nacional · base'!$J$7:$J$1068,'Nacional · base'!$A$7:$A$1068,A1260,'Nacional · base'!$B$7:$B$1068,B1260,'Nacional · base'!$C$7:$C$1068,C1260)</f>
        <v>283.39999999999998</v>
      </c>
      <c r="F1260">
        <f>SUMIFS('Nacional · base'!$K$7:$K$1068,'Nacional · base'!$A$7:$A$1068,A1260,'Nacional · base'!$B$7:$B$1068,B1260,'Nacional · base'!$C$7:$C$1068,C1260)</f>
        <v>0.36878787878787883</v>
      </c>
      <c r="G1260">
        <f t="shared" si="21"/>
        <v>1</v>
      </c>
      <c r="H1260">
        <f>SUMIFS('Nacional · base'!$G$7:$G$1068,'Nacional · base'!$A$7:$A$1068,A1260,'Nacional · base'!$B$7:$B$1068,B1260,'Nacional · base'!$C$7:$C$1068,C1260)</f>
        <v>1253.1983973183048</v>
      </c>
      <c r="I1260">
        <f>IF(D1260="Canarias",IF(C1260="CABRERA MORALES FRANCISCO",IF(E1260&lt;=2000,'Nacional · supuestos'!$C$34,IF(E1260&lt;=5000,'Nacional · supuestos'!$C$35,'Nacional · supuestos'!$C$36)),IF(E1260&lt;=2000,'Nacional · supuestos'!$B$34,IF(E1260&lt;=5000,'Nacional · supuestos'!$B$35,'Nacional · supuestos'!$B$36))),0)</f>
        <v>0</v>
      </c>
      <c r="J1260">
        <f>IF(D1260="Canarias",MAX(E1260*I1260,IF(C1260="CABRERA MORALES FRANCISCO",'Nacional · supuestos'!$C$38,'Nacional · supuestos'!$B$38)),0)</f>
        <v>0</v>
      </c>
      <c r="K1260">
        <f>IF(D1260="Canarias",MAX(E1260*'Nacional · supuestos'!$B$41,'Nacional · supuestos'!$B$42),0)</f>
        <v>0</v>
      </c>
      <c r="L1260">
        <f>IF(D1260="Canarias",E1260*'Nacional · supuestos'!$B$43,0)</f>
        <v>0</v>
      </c>
      <c r="M1260">
        <f>IF(D1260="Canarias",E1260*'Nacional · supuestos'!$B$44,0)</f>
        <v>0</v>
      </c>
      <c r="N1260">
        <f>IF(D1260="Canarias",E1260*'Nacional · supuestos'!$B$45,0)</f>
        <v>0</v>
      </c>
      <c r="O1260">
        <f>IF(D1260="Canarias",'Nacional · supuestos'!$B$46,0)</f>
        <v>0</v>
      </c>
      <c r="P1260">
        <f>IF(D1260="Canarias",MAX(H1260*'Nacional · supuestos'!$B$47,'Nacional · supuestos'!$B$48),0)</f>
        <v>0</v>
      </c>
      <c r="Q1260">
        <f>IF(D1260="Resto nacional",E1260*'Nacional · supuestos'!$B$13*IF(A1260=2027,1+'Nacional · supuestos'!$B$6,1),0)</f>
        <v>27.642237382559841</v>
      </c>
      <c r="R1260">
        <f>IF(D1260="Canarias",SUM(J1260:P1260)*IF(A1260=2027,1+'Nacional · supuestos'!$B$6,1),0)</f>
        <v>0</v>
      </c>
      <c r="S1260">
        <f t="shared" si="22"/>
        <v>27.642237382559841</v>
      </c>
    </row>
    <row r="1261" spans="1:19">
      <c r="A1261">
        <v>2027</v>
      </c>
      <c r="B1261">
        <v>4</v>
      </c>
      <c r="C1261" t="s">
        <v>185</v>
      </c>
      <c r="D1261" t="s">
        <v>160</v>
      </c>
      <c r="E1261">
        <f>SUMIFS('Nacional · base'!$J$7:$J$1068,'Nacional · base'!$A$7:$A$1068,A1261,'Nacional · base'!$B$7:$B$1068,B1261,'Nacional · base'!$C$7:$C$1068,C1261)</f>
        <v>2596</v>
      </c>
      <c r="F1261">
        <f>SUMIFS('Nacional · base'!$K$7:$K$1068,'Nacional · base'!$A$7:$A$1068,A1261,'Nacional · base'!$B$7:$B$1068,B1261,'Nacional · base'!$C$7:$C$1068,C1261)</f>
        <v>3.4375</v>
      </c>
      <c r="G1261">
        <f t="shared" si="21"/>
        <v>4</v>
      </c>
      <c r="H1261">
        <f>SUMIFS('Nacional · base'!$G$7:$G$1068,'Nacional · base'!$A$7:$A$1068,A1261,'Nacional · base'!$B$7:$B$1068,B1261,'Nacional · base'!$C$7:$C$1068,C1261)</f>
        <v>7590.5932453914702</v>
      </c>
      <c r="I1261">
        <f>IF(D1261="Canarias",IF(C1261="CABRERA MORALES FRANCISCO",IF(E1261&lt;=2000,'Nacional · supuestos'!$C$34,IF(E1261&lt;=5000,'Nacional · supuestos'!$C$35,'Nacional · supuestos'!$C$36)),IF(E1261&lt;=2000,'Nacional · supuestos'!$B$34,IF(E1261&lt;=5000,'Nacional · supuestos'!$B$35,'Nacional · supuestos'!$B$36))),0)</f>
        <v>0</v>
      </c>
      <c r="J1261">
        <f>IF(D1261="Canarias",MAX(E1261*I1261,IF(C1261="CABRERA MORALES FRANCISCO",'Nacional · supuestos'!$C$38,'Nacional · supuestos'!$B$38)),0)</f>
        <v>0</v>
      </c>
      <c r="K1261">
        <f>IF(D1261="Canarias",MAX(E1261*'Nacional · supuestos'!$B$41,'Nacional · supuestos'!$B$42),0)</f>
        <v>0</v>
      </c>
      <c r="L1261">
        <f>IF(D1261="Canarias",E1261*'Nacional · supuestos'!$B$43,0)</f>
        <v>0</v>
      </c>
      <c r="M1261">
        <f>IF(D1261="Canarias",E1261*'Nacional · supuestos'!$B$44,0)</f>
        <v>0</v>
      </c>
      <c r="N1261">
        <f>IF(D1261="Canarias",E1261*'Nacional · supuestos'!$B$45,0)</f>
        <v>0</v>
      </c>
      <c r="O1261">
        <f>IF(D1261="Canarias",'Nacional · supuestos'!$B$46,0)</f>
        <v>0</v>
      </c>
      <c r="P1261">
        <f>IF(D1261="Canarias",MAX(H1261*'Nacional · supuestos'!$B$47,'Nacional · supuestos'!$B$48),0)</f>
        <v>0</v>
      </c>
      <c r="Q1261">
        <f>IF(D1261="Resto nacional",E1261*'Nacional · supuestos'!$B$13*IF(A1261=2027,1+'Nacional · supuestos'!$B$6,1),0)</f>
        <v>253.20835654596101</v>
      </c>
      <c r="R1261">
        <f>IF(D1261="Canarias",SUM(J1261:P1261)*IF(A1261=2027,1+'Nacional · supuestos'!$B$6,1),0)</f>
        <v>0</v>
      </c>
      <c r="S1261">
        <f t="shared" si="22"/>
        <v>253.20835654596101</v>
      </c>
    </row>
    <row r="1262" spans="1:19">
      <c r="A1262">
        <v>2027</v>
      </c>
      <c r="B1262">
        <v>4</v>
      </c>
      <c r="C1262" t="s">
        <v>209</v>
      </c>
      <c r="D1262" t="s">
        <v>160</v>
      </c>
      <c r="E1262">
        <f>SUMIFS('Nacional · base'!$J$7:$J$1068,'Nacional · base'!$A$7:$A$1068,A1262,'Nacional · base'!$B$7:$B$1068,B1262,'Nacional · base'!$C$7:$C$1068,C1262)</f>
        <v>4686.8</v>
      </c>
      <c r="F1262">
        <f>SUMIFS('Nacional · base'!$K$7:$K$1068,'Nacional · base'!$A$7:$A$1068,A1262,'Nacional · base'!$B$7:$B$1068,B1262,'Nacional · base'!$C$7:$C$1068,C1262)</f>
        <v>5.96875</v>
      </c>
      <c r="G1262">
        <f t="shared" si="21"/>
        <v>6</v>
      </c>
      <c r="H1262">
        <f>SUMIFS('Nacional · base'!$G$7:$G$1068,'Nacional · base'!$A$7:$A$1068,A1262,'Nacional · base'!$B$7:$B$1068,B1262,'Nacional · base'!$C$7:$C$1068,C1262)</f>
        <v>8992.5910365273576</v>
      </c>
      <c r="I1262">
        <f>IF(D1262="Canarias",IF(C1262="CABRERA MORALES FRANCISCO",IF(E1262&lt;=2000,'Nacional · supuestos'!$C$34,IF(E1262&lt;=5000,'Nacional · supuestos'!$C$35,'Nacional · supuestos'!$C$36)),IF(E1262&lt;=2000,'Nacional · supuestos'!$B$34,IF(E1262&lt;=5000,'Nacional · supuestos'!$B$35,'Nacional · supuestos'!$B$36))),0)</f>
        <v>0</v>
      </c>
      <c r="J1262">
        <f>IF(D1262="Canarias",MAX(E1262*I1262,IF(C1262="CABRERA MORALES FRANCISCO",'Nacional · supuestos'!$C$38,'Nacional · supuestos'!$B$38)),0)</f>
        <v>0</v>
      </c>
      <c r="K1262">
        <f>IF(D1262="Canarias",MAX(E1262*'Nacional · supuestos'!$B$41,'Nacional · supuestos'!$B$42),0)</f>
        <v>0</v>
      </c>
      <c r="L1262">
        <f>IF(D1262="Canarias",E1262*'Nacional · supuestos'!$B$43,0)</f>
        <v>0</v>
      </c>
      <c r="M1262">
        <f>IF(D1262="Canarias",E1262*'Nacional · supuestos'!$B$44,0)</f>
        <v>0</v>
      </c>
      <c r="N1262">
        <f>IF(D1262="Canarias",E1262*'Nacional · supuestos'!$B$45,0)</f>
        <v>0</v>
      </c>
      <c r="O1262">
        <f>IF(D1262="Canarias",'Nacional · supuestos'!$B$46,0)</f>
        <v>0</v>
      </c>
      <c r="P1262">
        <f>IF(D1262="Canarias",MAX(H1262*'Nacional · supuestos'!$B$47,'Nacional · supuestos'!$B$48),0)</f>
        <v>0</v>
      </c>
      <c r="Q1262">
        <f>IF(D1262="Resto nacional",E1262*'Nacional · supuestos'!$B$13*IF(A1262=2027,1+'Nacional · supuestos'!$B$6,1),0)</f>
        <v>457.14057221094379</v>
      </c>
      <c r="R1262">
        <f>IF(D1262="Canarias",SUM(J1262:P1262)*IF(A1262=2027,1+'Nacional · supuestos'!$B$6,1),0)</f>
        <v>0</v>
      </c>
      <c r="S1262">
        <f t="shared" si="22"/>
        <v>457.14057221094379</v>
      </c>
    </row>
    <row r="1263" spans="1:19">
      <c r="A1263">
        <v>2027</v>
      </c>
      <c r="B1263">
        <v>4</v>
      </c>
      <c r="C1263" t="s">
        <v>187</v>
      </c>
      <c r="D1263" t="s">
        <v>160</v>
      </c>
      <c r="E1263">
        <f>SUMIFS('Nacional · base'!$J$7:$J$1068,'Nacional · base'!$A$7:$A$1068,A1263,'Nacional · base'!$B$7:$B$1068,B1263,'Nacional · base'!$C$7:$C$1068,C1263)</f>
        <v>377.59999999999997</v>
      </c>
      <c r="F1263">
        <f>SUMIFS('Nacional · base'!$K$7:$K$1068,'Nacional · base'!$A$7:$A$1068,A1263,'Nacional · base'!$B$7:$B$1068,B1263,'Nacional · base'!$C$7:$C$1068,C1263)</f>
        <v>0.53333333333333333</v>
      </c>
      <c r="G1263">
        <f t="shared" si="21"/>
        <v>1</v>
      </c>
      <c r="H1263">
        <f>SUMIFS('Nacional · base'!$G$7:$G$1068,'Nacional · base'!$A$7:$A$1068,A1263,'Nacional · base'!$B$7:$B$1068,B1263,'Nacional · base'!$C$7:$C$1068,C1263)</f>
        <v>1694.4889288256488</v>
      </c>
      <c r="I1263">
        <f>IF(D1263="Canarias",IF(C1263="CABRERA MORALES FRANCISCO",IF(E1263&lt;=2000,'Nacional · supuestos'!$C$34,IF(E1263&lt;=5000,'Nacional · supuestos'!$C$35,'Nacional · supuestos'!$C$36)),IF(E1263&lt;=2000,'Nacional · supuestos'!$B$34,IF(E1263&lt;=5000,'Nacional · supuestos'!$B$35,'Nacional · supuestos'!$B$36))),0)</f>
        <v>0</v>
      </c>
      <c r="J1263">
        <f>IF(D1263="Canarias",MAX(E1263*I1263,IF(C1263="CABRERA MORALES FRANCISCO",'Nacional · supuestos'!$C$38,'Nacional · supuestos'!$B$38)),0)</f>
        <v>0</v>
      </c>
      <c r="K1263">
        <f>IF(D1263="Canarias",MAX(E1263*'Nacional · supuestos'!$B$41,'Nacional · supuestos'!$B$42),0)</f>
        <v>0</v>
      </c>
      <c r="L1263">
        <f>IF(D1263="Canarias",E1263*'Nacional · supuestos'!$B$43,0)</f>
        <v>0</v>
      </c>
      <c r="M1263">
        <f>IF(D1263="Canarias",E1263*'Nacional · supuestos'!$B$44,0)</f>
        <v>0</v>
      </c>
      <c r="N1263">
        <f>IF(D1263="Canarias",E1263*'Nacional · supuestos'!$B$45,0)</f>
        <v>0</v>
      </c>
      <c r="O1263">
        <f>IF(D1263="Canarias",'Nacional · supuestos'!$B$46,0)</f>
        <v>0</v>
      </c>
      <c r="P1263">
        <f>IF(D1263="Canarias",MAX(H1263*'Nacional · supuestos'!$B$47,'Nacional · supuestos'!$B$48),0)</f>
        <v>0</v>
      </c>
      <c r="Q1263">
        <f>IF(D1263="Resto nacional",E1263*'Nacional · supuestos'!$B$13*IF(A1263=2027,1+'Nacional · supuestos'!$B$6,1),0)</f>
        <v>36.830306406685239</v>
      </c>
      <c r="R1263">
        <f>IF(D1263="Canarias",SUM(J1263:P1263)*IF(A1263=2027,1+'Nacional · supuestos'!$B$6,1),0)</f>
        <v>0</v>
      </c>
      <c r="S1263">
        <f t="shared" si="22"/>
        <v>36.830306406685239</v>
      </c>
    </row>
    <row r="1264" spans="1:19">
      <c r="A1264">
        <v>2027</v>
      </c>
      <c r="B1264">
        <v>4</v>
      </c>
      <c r="C1264" t="s">
        <v>186</v>
      </c>
      <c r="D1264" t="s">
        <v>160</v>
      </c>
      <c r="E1264">
        <f>SUMIFS('Nacional · base'!$J$7:$J$1068,'Nacional · base'!$A$7:$A$1068,A1264,'Nacional · base'!$B$7:$B$1068,B1264,'Nacional · base'!$C$7:$C$1068,C1264)</f>
        <v>5061.0999999999995</v>
      </c>
      <c r="F1264">
        <f>SUMIFS('Nacional · base'!$K$7:$K$1068,'Nacional · base'!$A$7:$A$1068,A1264,'Nacional · base'!$B$7:$B$1068,B1264,'Nacional · base'!$C$7:$C$1068,C1264)</f>
        <v>5.5638257575757573</v>
      </c>
      <c r="G1264">
        <f t="shared" si="21"/>
        <v>6</v>
      </c>
      <c r="H1264">
        <f>SUMIFS('Nacional · base'!$G$7:$G$1068,'Nacional · base'!$A$7:$A$1068,A1264,'Nacional · base'!$B$7:$B$1068,B1264,'Nacional · base'!$C$7:$C$1068,C1264)</f>
        <v>9626.1481052651943</v>
      </c>
      <c r="I1264">
        <f>IF(D1264="Canarias",IF(C1264="CABRERA MORALES FRANCISCO",IF(E1264&lt;=2000,'Nacional · supuestos'!$C$34,IF(E1264&lt;=5000,'Nacional · supuestos'!$C$35,'Nacional · supuestos'!$C$36)),IF(E1264&lt;=2000,'Nacional · supuestos'!$B$34,IF(E1264&lt;=5000,'Nacional · supuestos'!$B$35,'Nacional · supuestos'!$B$36))),0)</f>
        <v>0</v>
      </c>
      <c r="J1264">
        <f>IF(D1264="Canarias",MAX(E1264*I1264,IF(C1264="CABRERA MORALES FRANCISCO",'Nacional · supuestos'!$C$38,'Nacional · supuestos'!$B$38)),0)</f>
        <v>0</v>
      </c>
      <c r="K1264">
        <f>IF(D1264="Canarias",MAX(E1264*'Nacional · supuestos'!$B$41,'Nacional · supuestos'!$B$42),0)</f>
        <v>0</v>
      </c>
      <c r="L1264">
        <f>IF(D1264="Canarias",E1264*'Nacional · supuestos'!$B$43,0)</f>
        <v>0</v>
      </c>
      <c r="M1264">
        <f>IF(D1264="Canarias",E1264*'Nacional · supuestos'!$B$44,0)</f>
        <v>0</v>
      </c>
      <c r="N1264">
        <f>IF(D1264="Canarias",E1264*'Nacional · supuestos'!$B$45,0)</f>
        <v>0</v>
      </c>
      <c r="O1264">
        <f>IF(D1264="Canarias",'Nacional · supuestos'!$B$46,0)</f>
        <v>0</v>
      </c>
      <c r="P1264">
        <f>IF(D1264="Canarias",MAX(H1264*'Nacional · supuestos'!$B$47,'Nacional · supuestos'!$B$48),0)</f>
        <v>0</v>
      </c>
      <c r="Q1264">
        <f>IF(D1264="Resto nacional",E1264*'Nacional · supuestos'!$B$13*IF(A1264=2027,1+'Nacional · supuestos'!$B$6,1),0)</f>
        <v>493.64900358812139</v>
      </c>
      <c r="R1264">
        <f>IF(D1264="Canarias",SUM(J1264:P1264)*IF(A1264=2027,1+'Nacional · supuestos'!$B$6,1),0)</f>
        <v>0</v>
      </c>
      <c r="S1264">
        <f t="shared" si="22"/>
        <v>493.64900358812139</v>
      </c>
    </row>
    <row r="1265" spans="1:19">
      <c r="A1265">
        <v>2027</v>
      </c>
      <c r="B1265">
        <v>5</v>
      </c>
      <c r="C1265" t="s">
        <v>159</v>
      </c>
      <c r="D1265" t="s">
        <v>160</v>
      </c>
      <c r="E1265">
        <f>SUMIFS('Nacional · base'!$J$7:$J$1068,'Nacional · base'!$A$7:$A$1068,A1265,'Nacional · base'!$B$7:$B$1068,B1265,'Nacional · base'!$C$7:$C$1068,C1265)</f>
        <v>1746.3999999999999</v>
      </c>
      <c r="F1265">
        <f>SUMIFS('Nacional · base'!$K$7:$K$1068,'Nacional · base'!$A$7:$A$1068,A1265,'Nacional · base'!$B$7:$B$1068,B1265,'Nacional · base'!$C$7:$C$1068,C1265)</f>
        <v>2.3125</v>
      </c>
      <c r="G1265">
        <f t="shared" si="21"/>
        <v>3</v>
      </c>
      <c r="H1265">
        <f>SUMIFS('Nacional · base'!$G$7:$G$1068,'Nacional · base'!$A$7:$A$1068,A1265,'Nacional · base'!$B$7:$B$1068,B1265,'Nacional · base'!$C$7:$C$1068,C1265)</f>
        <v>5013.835966813097</v>
      </c>
      <c r="I1265">
        <f>IF(D1265="Canarias",IF(C1265="CABRERA MORALES FRANCISCO",IF(E1265&lt;=2000,'Nacional · supuestos'!$C$34,IF(E1265&lt;=5000,'Nacional · supuestos'!$C$35,'Nacional · supuestos'!$C$36)),IF(E1265&lt;=2000,'Nacional · supuestos'!$B$34,IF(E1265&lt;=5000,'Nacional · supuestos'!$B$35,'Nacional · supuestos'!$B$36))),0)</f>
        <v>0</v>
      </c>
      <c r="J1265">
        <f>IF(D1265="Canarias",MAX(E1265*I1265,IF(C1265="CABRERA MORALES FRANCISCO",'Nacional · supuestos'!$C$38,'Nacional · supuestos'!$B$38)),0)</f>
        <v>0</v>
      </c>
      <c r="K1265">
        <f>IF(D1265="Canarias",MAX(E1265*'Nacional · supuestos'!$B$41,'Nacional · supuestos'!$B$42),0)</f>
        <v>0</v>
      </c>
      <c r="L1265">
        <f>IF(D1265="Canarias",E1265*'Nacional · supuestos'!$B$43,0)</f>
        <v>0</v>
      </c>
      <c r="M1265">
        <f>IF(D1265="Canarias",E1265*'Nacional · supuestos'!$B$44,0)</f>
        <v>0</v>
      </c>
      <c r="N1265">
        <f>IF(D1265="Canarias",E1265*'Nacional · supuestos'!$B$45,0)</f>
        <v>0</v>
      </c>
      <c r="O1265">
        <f>IF(D1265="Canarias",'Nacional · supuestos'!$B$46,0)</f>
        <v>0</v>
      </c>
      <c r="P1265">
        <f>IF(D1265="Canarias",MAX(H1265*'Nacional · supuestos'!$B$47,'Nacional · supuestos'!$B$48),0)</f>
        <v>0</v>
      </c>
      <c r="Q1265">
        <f>IF(D1265="Resto nacional",E1265*'Nacional · supuestos'!$B$13*IF(A1265=2027,1+'Nacional · supuestos'!$B$6,1),0)</f>
        <v>170.34016713091921</v>
      </c>
      <c r="R1265">
        <f>IF(D1265="Canarias",SUM(J1265:P1265)*IF(A1265=2027,1+'Nacional · supuestos'!$B$6,1),0)</f>
        <v>0</v>
      </c>
      <c r="S1265">
        <f t="shared" si="22"/>
        <v>170.34016713091921</v>
      </c>
    </row>
    <row r="1266" spans="1:19">
      <c r="A1266">
        <v>2027</v>
      </c>
      <c r="B1266">
        <v>5</v>
      </c>
      <c r="C1266" t="s">
        <v>194</v>
      </c>
      <c r="D1266" t="s">
        <v>160</v>
      </c>
      <c r="E1266">
        <f>SUMIFS('Nacional · base'!$J$7:$J$1068,'Nacional · base'!$A$7:$A$1068,A1266,'Nacional · base'!$B$7:$B$1068,B1266,'Nacional · base'!$C$7:$C$1068,C1266)</f>
        <v>1200</v>
      </c>
      <c r="F1266">
        <f>SUMIFS('Nacional · base'!$K$7:$K$1068,'Nacional · base'!$A$7:$A$1068,A1266,'Nacional · base'!$B$7:$B$1068,B1266,'Nacional · base'!$C$7:$C$1068,C1266)</f>
        <v>1.5</v>
      </c>
      <c r="G1266">
        <f t="shared" ref="G1266:G1329" si="23">ROUNDUP(F1266,0)</f>
        <v>2</v>
      </c>
      <c r="H1266">
        <f>SUMIFS('Nacional · base'!$G$7:$G$1068,'Nacional · base'!$A$7:$A$1068,A1266,'Nacional · base'!$B$7:$B$1068,B1266,'Nacional · base'!$C$7:$C$1068,C1266)</f>
        <v>2101.4331203940133</v>
      </c>
      <c r="I1266">
        <f>IF(D1266="Canarias",IF(C1266="CABRERA MORALES FRANCISCO",IF(E1266&lt;=2000,'Nacional · supuestos'!$C$34,IF(E1266&lt;=5000,'Nacional · supuestos'!$C$35,'Nacional · supuestos'!$C$36)),IF(E1266&lt;=2000,'Nacional · supuestos'!$B$34,IF(E1266&lt;=5000,'Nacional · supuestos'!$B$35,'Nacional · supuestos'!$B$36))),0)</f>
        <v>0</v>
      </c>
      <c r="J1266">
        <f>IF(D1266="Canarias",MAX(E1266*I1266,IF(C1266="CABRERA MORALES FRANCISCO",'Nacional · supuestos'!$C$38,'Nacional · supuestos'!$B$38)),0)</f>
        <v>0</v>
      </c>
      <c r="K1266">
        <f>IF(D1266="Canarias",MAX(E1266*'Nacional · supuestos'!$B$41,'Nacional · supuestos'!$B$42),0)</f>
        <v>0</v>
      </c>
      <c r="L1266">
        <f>IF(D1266="Canarias",E1266*'Nacional · supuestos'!$B$43,0)</f>
        <v>0</v>
      </c>
      <c r="M1266">
        <f>IF(D1266="Canarias",E1266*'Nacional · supuestos'!$B$44,0)</f>
        <v>0</v>
      </c>
      <c r="N1266">
        <f>IF(D1266="Canarias",E1266*'Nacional · supuestos'!$B$45,0)</f>
        <v>0</v>
      </c>
      <c r="O1266">
        <f>IF(D1266="Canarias",'Nacional · supuestos'!$B$46,0)</f>
        <v>0</v>
      </c>
      <c r="P1266">
        <f>IF(D1266="Canarias",MAX(H1266*'Nacional · supuestos'!$B$47,'Nacional · supuestos'!$B$48),0)</f>
        <v>0</v>
      </c>
      <c r="Q1266">
        <f>IF(D1266="Resto nacional",E1266*'Nacional · supuestos'!$B$13*IF(A1266=2027,1+'Nacional · supuestos'!$B$6,1),0)</f>
        <v>117.04546527548275</v>
      </c>
      <c r="R1266">
        <f>IF(D1266="Canarias",SUM(J1266:P1266)*IF(A1266=2027,1+'Nacional · supuestos'!$B$6,1),0)</f>
        <v>0</v>
      </c>
      <c r="S1266">
        <f t="shared" ref="S1266:S1329" si="24">Q1266+R1266</f>
        <v>117.04546527548275</v>
      </c>
    </row>
    <row r="1267" spans="1:19">
      <c r="A1267">
        <v>2027</v>
      </c>
      <c r="B1267">
        <v>5</v>
      </c>
      <c r="C1267" t="s">
        <v>195</v>
      </c>
      <c r="D1267" t="s">
        <v>160</v>
      </c>
      <c r="E1267">
        <f>SUMIFS('Nacional · base'!$J$7:$J$1068,'Nacional · base'!$A$7:$A$1068,A1267,'Nacional · base'!$B$7:$B$1068,B1267,'Nacional · base'!$C$7:$C$1068,C1267)</f>
        <v>1528.3199999999997</v>
      </c>
      <c r="F1267">
        <f>SUMIFS('Nacional · base'!$K$7:$K$1068,'Nacional · base'!$A$7:$A$1068,A1267,'Nacional · base'!$B$7:$B$1068,B1267,'Nacional · base'!$C$7:$C$1068,C1267)</f>
        <v>2.0473484848484849</v>
      </c>
      <c r="G1267">
        <f t="shared" si="23"/>
        <v>3</v>
      </c>
      <c r="H1267">
        <f>SUMIFS('Nacional · base'!$G$7:$G$1068,'Nacional · base'!$A$7:$A$1068,A1267,'Nacional · base'!$B$7:$B$1068,B1267,'Nacional · base'!$C$7:$C$1068,C1267)</f>
        <v>5442.6075440665072</v>
      </c>
      <c r="I1267">
        <f>IF(D1267="Canarias",IF(C1267="CABRERA MORALES FRANCISCO",IF(E1267&lt;=2000,'Nacional · supuestos'!$C$34,IF(E1267&lt;=5000,'Nacional · supuestos'!$C$35,'Nacional · supuestos'!$C$36)),IF(E1267&lt;=2000,'Nacional · supuestos'!$B$34,IF(E1267&lt;=5000,'Nacional · supuestos'!$B$35,'Nacional · supuestos'!$B$36))),0)</f>
        <v>0</v>
      </c>
      <c r="J1267">
        <f>IF(D1267="Canarias",MAX(E1267*I1267,IF(C1267="CABRERA MORALES FRANCISCO",'Nacional · supuestos'!$C$38,'Nacional · supuestos'!$B$38)),0)</f>
        <v>0</v>
      </c>
      <c r="K1267">
        <f>IF(D1267="Canarias",MAX(E1267*'Nacional · supuestos'!$B$41,'Nacional · supuestos'!$B$42),0)</f>
        <v>0</v>
      </c>
      <c r="L1267">
        <f>IF(D1267="Canarias",E1267*'Nacional · supuestos'!$B$43,0)</f>
        <v>0</v>
      </c>
      <c r="M1267">
        <f>IF(D1267="Canarias",E1267*'Nacional · supuestos'!$B$44,0)</f>
        <v>0</v>
      </c>
      <c r="N1267">
        <f>IF(D1267="Canarias",E1267*'Nacional · supuestos'!$B$45,0)</f>
        <v>0</v>
      </c>
      <c r="O1267">
        <f>IF(D1267="Canarias",'Nacional · supuestos'!$B$46,0)</f>
        <v>0</v>
      </c>
      <c r="P1267">
        <f>IF(D1267="Canarias",MAX(H1267*'Nacional · supuestos'!$B$47,'Nacional · supuestos'!$B$48),0)</f>
        <v>0</v>
      </c>
      <c r="Q1267">
        <f>IF(D1267="Resto nacional",E1267*'Nacional · supuestos'!$B$13*IF(A1267=2027,1+'Nacional · supuestos'!$B$6,1),0)</f>
        <v>149.0691045748548</v>
      </c>
      <c r="R1267">
        <f>IF(D1267="Canarias",SUM(J1267:P1267)*IF(A1267=2027,1+'Nacional · supuestos'!$B$6,1),0)</f>
        <v>0</v>
      </c>
      <c r="S1267">
        <f t="shared" si="24"/>
        <v>149.0691045748548</v>
      </c>
    </row>
    <row r="1268" spans="1:19">
      <c r="A1268">
        <v>2027</v>
      </c>
      <c r="B1268">
        <v>5</v>
      </c>
      <c r="C1268" t="s">
        <v>162</v>
      </c>
      <c r="D1268" t="s">
        <v>160</v>
      </c>
      <c r="E1268">
        <f>SUMIFS('Nacional · base'!$J$7:$J$1068,'Nacional · base'!$A$7:$A$1068,A1268,'Nacional · base'!$B$7:$B$1068,B1268,'Nacional · base'!$C$7:$C$1068,C1268)</f>
        <v>13944.2</v>
      </c>
      <c r="F1268">
        <f>SUMIFS('Nacional · base'!$K$7:$K$1068,'Nacional · base'!$A$7:$A$1068,A1268,'Nacional · base'!$B$7:$B$1068,B1268,'Nacional · base'!$C$7:$C$1068,C1268)</f>
        <v>17.585000000000001</v>
      </c>
      <c r="G1268">
        <f t="shared" si="23"/>
        <v>18</v>
      </c>
      <c r="H1268">
        <f>SUMIFS('Nacional · base'!$G$7:$G$1068,'Nacional · base'!$A$7:$A$1068,A1268,'Nacional · base'!$B$7:$B$1068,B1268,'Nacional · base'!$C$7:$C$1068,C1268)</f>
        <v>25238.338507096152</v>
      </c>
      <c r="I1268">
        <f>IF(D1268="Canarias",IF(C1268="CABRERA MORALES FRANCISCO",IF(E1268&lt;=2000,'Nacional · supuestos'!$C$34,IF(E1268&lt;=5000,'Nacional · supuestos'!$C$35,'Nacional · supuestos'!$C$36)),IF(E1268&lt;=2000,'Nacional · supuestos'!$B$34,IF(E1268&lt;=5000,'Nacional · supuestos'!$B$35,'Nacional · supuestos'!$B$36))),0)</f>
        <v>0</v>
      </c>
      <c r="J1268">
        <f>IF(D1268="Canarias",MAX(E1268*I1268,IF(C1268="CABRERA MORALES FRANCISCO",'Nacional · supuestos'!$C$38,'Nacional · supuestos'!$B$38)),0)</f>
        <v>0</v>
      </c>
      <c r="K1268">
        <f>IF(D1268="Canarias",MAX(E1268*'Nacional · supuestos'!$B$41,'Nacional · supuestos'!$B$42),0)</f>
        <v>0</v>
      </c>
      <c r="L1268">
        <f>IF(D1268="Canarias",E1268*'Nacional · supuestos'!$B$43,0)</f>
        <v>0</v>
      </c>
      <c r="M1268">
        <f>IF(D1268="Canarias",E1268*'Nacional · supuestos'!$B$44,0)</f>
        <v>0</v>
      </c>
      <c r="N1268">
        <f>IF(D1268="Canarias",E1268*'Nacional · supuestos'!$B$45,0)</f>
        <v>0</v>
      </c>
      <c r="O1268">
        <f>IF(D1268="Canarias",'Nacional · supuestos'!$B$46,0)</f>
        <v>0</v>
      </c>
      <c r="P1268">
        <f>IF(D1268="Canarias",MAX(H1268*'Nacional · supuestos'!$B$47,'Nacional · supuestos'!$B$48),0)</f>
        <v>0</v>
      </c>
      <c r="Q1268">
        <f>IF(D1268="Resto nacional",E1268*'Nacional · supuestos'!$B$13*IF(A1268=2027,1+'Nacional · supuestos'!$B$6,1),0)</f>
        <v>1360.0878140786556</v>
      </c>
      <c r="R1268">
        <f>IF(D1268="Canarias",SUM(J1268:P1268)*IF(A1268=2027,1+'Nacional · supuestos'!$B$6,1),0)</f>
        <v>0</v>
      </c>
      <c r="S1268">
        <f t="shared" si="24"/>
        <v>1360.0878140786556</v>
      </c>
    </row>
    <row r="1269" spans="1:19">
      <c r="A1269">
        <v>2027</v>
      </c>
      <c r="B1269">
        <v>5</v>
      </c>
      <c r="C1269" t="s">
        <v>163</v>
      </c>
      <c r="D1269" t="s">
        <v>164</v>
      </c>
      <c r="E1269">
        <f>SUMIFS('Nacional · base'!$J$7:$J$1068,'Nacional · base'!$A$7:$A$1068,A1269,'Nacional · base'!$B$7:$B$1068,B1269,'Nacional · base'!$C$7:$C$1068,C1269)</f>
        <v>4124.0999999999995</v>
      </c>
      <c r="F1269">
        <f>SUMIFS('Nacional · base'!$K$7:$K$1068,'Nacional · base'!$A$7:$A$1068,A1269,'Nacional · base'!$B$7:$B$1068,B1269,'Nacional · base'!$C$7:$C$1068,C1269)</f>
        <v>5.4145833333333337</v>
      </c>
      <c r="G1269">
        <f t="shared" si="23"/>
        <v>6</v>
      </c>
      <c r="H1269">
        <f>SUMIFS('Nacional · base'!$G$7:$G$1068,'Nacional · base'!$A$7:$A$1068,A1269,'Nacional · base'!$B$7:$B$1068,B1269,'Nacional · base'!$C$7:$C$1068,C1269)</f>
        <v>10300.46213581226</v>
      </c>
      <c r="I1269">
        <f>IF(D1269="Canarias",IF(C1269="CABRERA MORALES FRANCISCO",IF(E1269&lt;=2000,'Nacional · supuestos'!$C$34,IF(E1269&lt;=5000,'Nacional · supuestos'!$C$35,'Nacional · supuestos'!$C$36)),IF(E1269&lt;=2000,'Nacional · supuestos'!$B$34,IF(E1269&lt;=5000,'Nacional · supuestos'!$B$35,'Nacional · supuestos'!$B$36))),0)</f>
        <v>0.108</v>
      </c>
      <c r="J1269">
        <f>IF(D1269="Canarias",MAX(E1269*I1269,IF(C1269="CABRERA MORALES FRANCISCO",'Nacional · supuestos'!$C$38,'Nacional · supuestos'!$B$38)),0)</f>
        <v>445.40279999999996</v>
      </c>
      <c r="K1269">
        <f>IF(D1269="Canarias",MAX(E1269*'Nacional · supuestos'!$B$41,'Nacional · supuestos'!$B$42),0)</f>
        <v>148.46759999999998</v>
      </c>
      <c r="L1269">
        <f>IF(D1269="Canarias",E1269*'Nacional · supuestos'!$B$43,0)</f>
        <v>49.489199999999997</v>
      </c>
      <c r="M1269">
        <f>IF(D1269="Canarias",E1269*'Nacional · supuestos'!$B$44,0)</f>
        <v>74.233799999999988</v>
      </c>
      <c r="N1269">
        <f>IF(D1269="Canarias",E1269*'Nacional · supuestos'!$B$45,0)</f>
        <v>90.730199999999982</v>
      </c>
      <c r="O1269">
        <f>IF(D1269="Canarias",'Nacional · supuestos'!$B$46,0)</f>
        <v>15</v>
      </c>
      <c r="P1269">
        <f>IF(D1269="Canarias",MAX(H1269*'Nacional · supuestos'!$B$47,'Nacional · supuestos'!$B$48),0)</f>
        <v>46.352079611155169</v>
      </c>
      <c r="Q1269">
        <f>IF(D1269="Resto nacional",E1269*'Nacional · supuestos'!$B$13*IF(A1269=2027,1+'Nacional · supuestos'!$B$6,1),0)</f>
        <v>0</v>
      </c>
      <c r="R1269">
        <f>IF(D1269="Canarias",SUM(J1269:P1269)*IF(A1269=2027,1+'Nacional · supuestos'!$B$6,1),0)</f>
        <v>956.64324757227064</v>
      </c>
      <c r="S1269">
        <f t="shared" si="24"/>
        <v>956.64324757227064</v>
      </c>
    </row>
    <row r="1270" spans="1:19">
      <c r="A1270">
        <v>2027</v>
      </c>
      <c r="B1270">
        <v>5</v>
      </c>
      <c r="C1270" t="s">
        <v>167</v>
      </c>
      <c r="D1270" t="s">
        <v>160</v>
      </c>
      <c r="E1270">
        <f>SUMIFS('Nacional · base'!$J$7:$J$1068,'Nacional · base'!$A$7:$A$1068,A1270,'Nacional · base'!$B$7:$B$1068,B1270,'Nacional · base'!$C$7:$C$1068,C1270)</f>
        <v>247.8</v>
      </c>
      <c r="F1270">
        <f>SUMIFS('Nacional · base'!$K$7:$K$1068,'Nacional · base'!$A$7:$A$1068,A1270,'Nacional · base'!$B$7:$B$1068,B1270,'Nacional · base'!$C$7:$C$1068,C1270)</f>
        <v>0.34166666666666667</v>
      </c>
      <c r="G1270">
        <f t="shared" si="23"/>
        <v>1</v>
      </c>
      <c r="H1270">
        <f>SUMIFS('Nacional · base'!$G$7:$G$1068,'Nacional · base'!$A$7:$A$1068,A1270,'Nacional · base'!$B$7:$B$1068,B1270,'Nacional · base'!$C$7:$C$1068,C1270)</f>
        <v>1022.6766043742888</v>
      </c>
      <c r="I1270">
        <f>IF(D1270="Canarias",IF(C1270="CABRERA MORALES FRANCISCO",IF(E1270&lt;=2000,'Nacional · supuestos'!$C$34,IF(E1270&lt;=5000,'Nacional · supuestos'!$C$35,'Nacional · supuestos'!$C$36)),IF(E1270&lt;=2000,'Nacional · supuestos'!$B$34,IF(E1270&lt;=5000,'Nacional · supuestos'!$B$35,'Nacional · supuestos'!$B$36))),0)</f>
        <v>0</v>
      </c>
      <c r="J1270">
        <f>IF(D1270="Canarias",MAX(E1270*I1270,IF(C1270="CABRERA MORALES FRANCISCO",'Nacional · supuestos'!$C$38,'Nacional · supuestos'!$B$38)),0)</f>
        <v>0</v>
      </c>
      <c r="K1270">
        <f>IF(D1270="Canarias",MAX(E1270*'Nacional · supuestos'!$B$41,'Nacional · supuestos'!$B$42),0)</f>
        <v>0</v>
      </c>
      <c r="L1270">
        <f>IF(D1270="Canarias",E1270*'Nacional · supuestos'!$B$43,0)</f>
        <v>0</v>
      </c>
      <c r="M1270">
        <f>IF(D1270="Canarias",E1270*'Nacional · supuestos'!$B$44,0)</f>
        <v>0</v>
      </c>
      <c r="N1270">
        <f>IF(D1270="Canarias",E1270*'Nacional · supuestos'!$B$45,0)</f>
        <v>0</v>
      </c>
      <c r="O1270">
        <f>IF(D1270="Canarias",'Nacional · supuestos'!$B$46,0)</f>
        <v>0</v>
      </c>
      <c r="P1270">
        <f>IF(D1270="Canarias",MAX(H1270*'Nacional · supuestos'!$B$47,'Nacional · supuestos'!$B$48),0)</f>
        <v>0</v>
      </c>
      <c r="Q1270">
        <f>IF(D1270="Resto nacional",E1270*'Nacional · supuestos'!$B$13*IF(A1270=2027,1+'Nacional · supuestos'!$B$6,1),0)</f>
        <v>24.169888579387187</v>
      </c>
      <c r="R1270">
        <f>IF(D1270="Canarias",SUM(J1270:P1270)*IF(A1270=2027,1+'Nacional · supuestos'!$B$6,1),0)</f>
        <v>0</v>
      </c>
      <c r="S1270">
        <f t="shared" si="24"/>
        <v>24.169888579387187</v>
      </c>
    </row>
    <row r="1271" spans="1:19">
      <c r="A1271">
        <v>2027</v>
      </c>
      <c r="B1271">
        <v>5</v>
      </c>
      <c r="C1271" t="s">
        <v>191</v>
      </c>
      <c r="D1271" t="s">
        <v>160</v>
      </c>
      <c r="E1271">
        <f>SUMIFS('Nacional · base'!$J$7:$J$1068,'Nacional · base'!$A$7:$A$1068,A1271,'Nacional · base'!$B$7:$B$1068,B1271,'Nacional · base'!$C$7:$C$1068,C1271)</f>
        <v>4709.8999999999996</v>
      </c>
      <c r="F1271">
        <f>SUMIFS('Nacional · base'!$K$7:$K$1068,'Nacional · base'!$A$7:$A$1068,A1271,'Nacional · base'!$B$7:$B$1068,B1271,'Nacional · base'!$C$7:$C$1068,C1271)</f>
        <v>6.314166666666666</v>
      </c>
      <c r="G1271">
        <f t="shared" si="23"/>
        <v>7</v>
      </c>
      <c r="H1271">
        <f>SUMIFS('Nacional · base'!$G$7:$G$1068,'Nacional · base'!$A$7:$A$1068,A1271,'Nacional · base'!$B$7:$B$1068,B1271,'Nacional · base'!$C$7:$C$1068,C1271)</f>
        <v>15099.25561614853</v>
      </c>
      <c r="I1271">
        <f>IF(D1271="Canarias",IF(C1271="CABRERA MORALES FRANCISCO",IF(E1271&lt;=2000,'Nacional · supuestos'!$C$34,IF(E1271&lt;=5000,'Nacional · supuestos'!$C$35,'Nacional · supuestos'!$C$36)),IF(E1271&lt;=2000,'Nacional · supuestos'!$B$34,IF(E1271&lt;=5000,'Nacional · supuestos'!$B$35,'Nacional · supuestos'!$B$36))),0)</f>
        <v>0</v>
      </c>
      <c r="J1271">
        <f>IF(D1271="Canarias",MAX(E1271*I1271,IF(C1271="CABRERA MORALES FRANCISCO",'Nacional · supuestos'!$C$38,'Nacional · supuestos'!$B$38)),0)</f>
        <v>0</v>
      </c>
      <c r="K1271">
        <f>IF(D1271="Canarias",MAX(E1271*'Nacional · supuestos'!$B$41,'Nacional · supuestos'!$B$42),0)</f>
        <v>0</v>
      </c>
      <c r="L1271">
        <f>IF(D1271="Canarias",E1271*'Nacional · supuestos'!$B$43,0)</f>
        <v>0</v>
      </c>
      <c r="M1271">
        <f>IF(D1271="Canarias",E1271*'Nacional · supuestos'!$B$44,0)</f>
        <v>0</v>
      </c>
      <c r="N1271">
        <f>IF(D1271="Canarias",E1271*'Nacional · supuestos'!$B$45,0)</f>
        <v>0</v>
      </c>
      <c r="O1271">
        <f>IF(D1271="Canarias",'Nacional · supuestos'!$B$46,0)</f>
        <v>0</v>
      </c>
      <c r="P1271">
        <f>IF(D1271="Canarias",MAX(H1271*'Nacional · supuestos'!$B$47,'Nacional · supuestos'!$B$48),0)</f>
        <v>0</v>
      </c>
      <c r="Q1271">
        <f>IF(D1271="Resto nacional",E1271*'Nacional · supuestos'!$B$13*IF(A1271=2027,1+'Nacional · supuestos'!$B$6,1),0)</f>
        <v>459.39369741749681</v>
      </c>
      <c r="R1271">
        <f>IF(D1271="Canarias",SUM(J1271:P1271)*IF(A1271=2027,1+'Nacional · supuestos'!$B$6,1),0)</f>
        <v>0</v>
      </c>
      <c r="S1271">
        <f t="shared" si="24"/>
        <v>459.39369741749681</v>
      </c>
    </row>
    <row r="1272" spans="1:19">
      <c r="A1272">
        <v>2027</v>
      </c>
      <c r="B1272">
        <v>5</v>
      </c>
      <c r="C1272" t="s">
        <v>168</v>
      </c>
      <c r="D1272" t="s">
        <v>160</v>
      </c>
      <c r="E1272">
        <f>SUMIFS('Nacional · base'!$J$7:$J$1068,'Nacional · base'!$A$7:$A$1068,A1272,'Nacional · base'!$B$7:$B$1068,B1272,'Nacional · base'!$C$7:$C$1068,C1272)</f>
        <v>12981.3</v>
      </c>
      <c r="F1272">
        <f>SUMIFS('Nacional · base'!$K$7:$K$1068,'Nacional · base'!$A$7:$A$1068,A1272,'Nacional · base'!$B$7:$B$1068,B1272,'Nacional · base'!$C$7:$C$1068,C1272)</f>
        <v>16.997499999999999</v>
      </c>
      <c r="G1272">
        <f t="shared" si="23"/>
        <v>17</v>
      </c>
      <c r="H1272">
        <f>SUMIFS('Nacional · base'!$G$7:$G$1068,'Nacional · base'!$A$7:$A$1068,A1272,'Nacional · base'!$B$7:$B$1068,B1272,'Nacional · base'!$C$7:$C$1068,C1272)</f>
        <v>39033.537302826095</v>
      </c>
      <c r="I1272">
        <f>IF(D1272="Canarias",IF(C1272="CABRERA MORALES FRANCISCO",IF(E1272&lt;=2000,'Nacional · supuestos'!$C$34,IF(E1272&lt;=5000,'Nacional · supuestos'!$C$35,'Nacional · supuestos'!$C$36)),IF(E1272&lt;=2000,'Nacional · supuestos'!$B$34,IF(E1272&lt;=5000,'Nacional · supuestos'!$B$35,'Nacional · supuestos'!$B$36))),0)</f>
        <v>0</v>
      </c>
      <c r="J1272">
        <f>IF(D1272="Canarias",MAX(E1272*I1272,IF(C1272="CABRERA MORALES FRANCISCO",'Nacional · supuestos'!$C$38,'Nacional · supuestos'!$B$38)),0)</f>
        <v>0</v>
      </c>
      <c r="K1272">
        <f>IF(D1272="Canarias",MAX(E1272*'Nacional · supuestos'!$B$41,'Nacional · supuestos'!$B$42),0)</f>
        <v>0</v>
      </c>
      <c r="L1272">
        <f>IF(D1272="Canarias",E1272*'Nacional · supuestos'!$B$43,0)</f>
        <v>0</v>
      </c>
      <c r="M1272">
        <f>IF(D1272="Canarias",E1272*'Nacional · supuestos'!$B$44,0)</f>
        <v>0</v>
      </c>
      <c r="N1272">
        <f>IF(D1272="Canarias",E1272*'Nacional · supuestos'!$B$45,0)</f>
        <v>0</v>
      </c>
      <c r="O1272">
        <f>IF(D1272="Canarias",'Nacional · supuestos'!$B$46,0)</f>
        <v>0</v>
      </c>
      <c r="P1272">
        <f>IF(D1272="Canarias",MAX(H1272*'Nacional · supuestos'!$B$47,'Nacional · supuestos'!$B$48),0)</f>
        <v>0</v>
      </c>
      <c r="Q1272">
        <f>IF(D1272="Resto nacional",E1272*'Nacional · supuestos'!$B$13*IF(A1272=2027,1+'Nacional · supuestos'!$B$6,1),0)</f>
        <v>1266.1685819838535</v>
      </c>
      <c r="R1272">
        <f>IF(D1272="Canarias",SUM(J1272:P1272)*IF(A1272=2027,1+'Nacional · supuestos'!$B$6,1),0)</f>
        <v>0</v>
      </c>
      <c r="S1272">
        <f t="shared" si="24"/>
        <v>1266.1685819838535</v>
      </c>
    </row>
    <row r="1273" spans="1:19">
      <c r="A1273">
        <v>2027</v>
      </c>
      <c r="B1273">
        <v>5</v>
      </c>
      <c r="C1273" t="s">
        <v>169</v>
      </c>
      <c r="D1273" t="s">
        <v>160</v>
      </c>
      <c r="E1273">
        <f>SUMIFS('Nacional · base'!$J$7:$J$1068,'Nacional · base'!$A$7:$A$1068,A1273,'Nacional · base'!$B$7:$B$1068,B1273,'Nacional · base'!$C$7:$C$1068,C1273)</f>
        <v>53.099999999999994</v>
      </c>
      <c r="F1273">
        <f>SUMIFS('Nacional · base'!$K$7:$K$1068,'Nacional · base'!$A$7:$A$1068,A1273,'Nacional · base'!$B$7:$B$1068,B1273,'Nacional · base'!$C$7:$C$1068,C1273)</f>
        <v>7.4999999999999997E-2</v>
      </c>
      <c r="G1273">
        <f t="shared" si="23"/>
        <v>1</v>
      </c>
      <c r="H1273">
        <f>SUMIFS('Nacional · base'!$G$7:$G$1068,'Nacional · base'!$A$7:$A$1068,A1273,'Nacional · base'!$B$7:$B$1068,B1273,'Nacional · base'!$C$7:$C$1068,C1273)</f>
        <v>258.92658090569097</v>
      </c>
      <c r="I1273">
        <f>IF(D1273="Canarias",IF(C1273="CABRERA MORALES FRANCISCO",IF(E1273&lt;=2000,'Nacional · supuestos'!$C$34,IF(E1273&lt;=5000,'Nacional · supuestos'!$C$35,'Nacional · supuestos'!$C$36)),IF(E1273&lt;=2000,'Nacional · supuestos'!$B$34,IF(E1273&lt;=5000,'Nacional · supuestos'!$B$35,'Nacional · supuestos'!$B$36))),0)</f>
        <v>0</v>
      </c>
      <c r="J1273">
        <f>IF(D1273="Canarias",MAX(E1273*I1273,IF(C1273="CABRERA MORALES FRANCISCO",'Nacional · supuestos'!$C$38,'Nacional · supuestos'!$B$38)),0)</f>
        <v>0</v>
      </c>
      <c r="K1273">
        <f>IF(D1273="Canarias",MAX(E1273*'Nacional · supuestos'!$B$41,'Nacional · supuestos'!$B$42),0)</f>
        <v>0</v>
      </c>
      <c r="L1273">
        <f>IF(D1273="Canarias",E1273*'Nacional · supuestos'!$B$43,0)</f>
        <v>0</v>
      </c>
      <c r="M1273">
        <f>IF(D1273="Canarias",E1273*'Nacional · supuestos'!$B$44,0)</f>
        <v>0</v>
      </c>
      <c r="N1273">
        <f>IF(D1273="Canarias",E1273*'Nacional · supuestos'!$B$45,0)</f>
        <v>0</v>
      </c>
      <c r="O1273">
        <f>IF(D1273="Canarias",'Nacional · supuestos'!$B$46,0)</f>
        <v>0</v>
      </c>
      <c r="P1273">
        <f>IF(D1273="Canarias",MAX(H1273*'Nacional · supuestos'!$B$47,'Nacional · supuestos'!$B$48),0)</f>
        <v>0</v>
      </c>
      <c r="Q1273">
        <f>IF(D1273="Resto nacional",E1273*'Nacional · supuestos'!$B$13*IF(A1273=2027,1+'Nacional · supuestos'!$B$6,1),0)</f>
        <v>5.1792618384401115</v>
      </c>
      <c r="R1273">
        <f>IF(D1273="Canarias",SUM(J1273:P1273)*IF(A1273=2027,1+'Nacional · supuestos'!$B$6,1),0)</f>
        <v>0</v>
      </c>
      <c r="S1273">
        <f t="shared" si="24"/>
        <v>5.1792618384401115</v>
      </c>
    </row>
    <row r="1274" spans="1:19">
      <c r="A1274">
        <v>2027</v>
      </c>
      <c r="B1274">
        <v>5</v>
      </c>
      <c r="C1274" t="s">
        <v>170</v>
      </c>
      <c r="D1274" t="s">
        <v>160</v>
      </c>
      <c r="E1274">
        <f>SUMIFS('Nacional · base'!$J$7:$J$1068,'Nacional · base'!$A$7:$A$1068,A1274,'Nacional · base'!$B$7:$B$1068,B1274,'Nacional · base'!$C$7:$C$1068,C1274)</f>
        <v>10785.199999999999</v>
      </c>
      <c r="F1274">
        <f>SUMIFS('Nacional · base'!$K$7:$K$1068,'Nacional · base'!$A$7:$A$1068,A1274,'Nacional · base'!$B$7:$B$1068,B1274,'Nacional · base'!$C$7:$C$1068,C1274)</f>
        <v>13.966666666666667</v>
      </c>
      <c r="G1274">
        <f t="shared" si="23"/>
        <v>14</v>
      </c>
      <c r="H1274">
        <f>SUMIFS('Nacional · base'!$G$7:$G$1068,'Nacional · base'!$A$7:$A$1068,A1274,'Nacional · base'!$B$7:$B$1068,B1274,'Nacional · base'!$C$7:$C$1068,C1274)</f>
        <v>30667.841719627126</v>
      </c>
      <c r="I1274">
        <f>IF(D1274="Canarias",IF(C1274="CABRERA MORALES FRANCISCO",IF(E1274&lt;=2000,'Nacional · supuestos'!$C$34,IF(E1274&lt;=5000,'Nacional · supuestos'!$C$35,'Nacional · supuestos'!$C$36)),IF(E1274&lt;=2000,'Nacional · supuestos'!$B$34,IF(E1274&lt;=5000,'Nacional · supuestos'!$B$35,'Nacional · supuestos'!$B$36))),0)</f>
        <v>0</v>
      </c>
      <c r="J1274">
        <f>IF(D1274="Canarias",MAX(E1274*I1274,IF(C1274="CABRERA MORALES FRANCISCO",'Nacional · supuestos'!$C$38,'Nacional · supuestos'!$B$38)),0)</f>
        <v>0</v>
      </c>
      <c r="K1274">
        <f>IF(D1274="Canarias",MAX(E1274*'Nacional · supuestos'!$B$41,'Nacional · supuestos'!$B$42),0)</f>
        <v>0</v>
      </c>
      <c r="L1274">
        <f>IF(D1274="Canarias",E1274*'Nacional · supuestos'!$B$43,0)</f>
        <v>0</v>
      </c>
      <c r="M1274">
        <f>IF(D1274="Canarias",E1274*'Nacional · supuestos'!$B$44,0)</f>
        <v>0</v>
      </c>
      <c r="N1274">
        <f>IF(D1274="Canarias",E1274*'Nacional · supuestos'!$B$45,0)</f>
        <v>0</v>
      </c>
      <c r="O1274">
        <f>IF(D1274="Canarias",'Nacional · supuestos'!$B$46,0)</f>
        <v>0</v>
      </c>
      <c r="P1274">
        <f>IF(D1274="Canarias",MAX(H1274*'Nacional · supuestos'!$B$47,'Nacional · supuestos'!$B$48),0)</f>
        <v>0</v>
      </c>
      <c r="Q1274">
        <f>IF(D1274="Resto nacional",E1274*'Nacional · supuestos'!$B$13*IF(A1274=2027,1+'Nacional · supuestos'!$B$6,1),0)</f>
        <v>1051.9656267409471</v>
      </c>
      <c r="R1274">
        <f>IF(D1274="Canarias",SUM(J1274:P1274)*IF(A1274=2027,1+'Nacional · supuestos'!$B$6,1),0)</f>
        <v>0</v>
      </c>
      <c r="S1274">
        <f t="shared" si="24"/>
        <v>1051.9656267409471</v>
      </c>
    </row>
    <row r="1275" spans="1:19">
      <c r="A1275">
        <v>2027</v>
      </c>
      <c r="B1275">
        <v>5</v>
      </c>
      <c r="C1275" t="s">
        <v>201</v>
      </c>
      <c r="D1275" t="s">
        <v>160</v>
      </c>
      <c r="E1275">
        <f>SUMIFS('Nacional · base'!$J$7:$J$1068,'Nacional · base'!$A$7:$A$1068,A1275,'Nacional · base'!$B$7:$B$1068,B1275,'Nacional · base'!$C$7:$C$1068,C1275)</f>
        <v>562</v>
      </c>
      <c r="F1275">
        <f>SUMIFS('Nacional · base'!$K$7:$K$1068,'Nacional · base'!$A$7:$A$1068,A1275,'Nacional · base'!$B$7:$B$1068,B1275,'Nacional · base'!$C$7:$C$1068,C1275)</f>
        <v>0.77625</v>
      </c>
      <c r="G1275">
        <f t="shared" si="23"/>
        <v>1</v>
      </c>
      <c r="H1275">
        <f>SUMIFS('Nacional · base'!$G$7:$G$1068,'Nacional · base'!$A$7:$A$1068,A1275,'Nacional · base'!$B$7:$B$1068,B1275,'Nacional · base'!$C$7:$C$1068,C1275)</f>
        <v>2113.7331753645731</v>
      </c>
      <c r="I1275">
        <f>IF(D1275="Canarias",IF(C1275="CABRERA MORALES FRANCISCO",IF(E1275&lt;=2000,'Nacional · supuestos'!$C$34,IF(E1275&lt;=5000,'Nacional · supuestos'!$C$35,'Nacional · supuestos'!$C$36)),IF(E1275&lt;=2000,'Nacional · supuestos'!$B$34,IF(E1275&lt;=5000,'Nacional · supuestos'!$B$35,'Nacional · supuestos'!$B$36))),0)</f>
        <v>0</v>
      </c>
      <c r="J1275">
        <f>IF(D1275="Canarias",MAX(E1275*I1275,IF(C1275="CABRERA MORALES FRANCISCO",'Nacional · supuestos'!$C$38,'Nacional · supuestos'!$B$38)),0)</f>
        <v>0</v>
      </c>
      <c r="K1275">
        <f>IF(D1275="Canarias",MAX(E1275*'Nacional · supuestos'!$B$41,'Nacional · supuestos'!$B$42),0)</f>
        <v>0</v>
      </c>
      <c r="L1275">
        <f>IF(D1275="Canarias",E1275*'Nacional · supuestos'!$B$43,0)</f>
        <v>0</v>
      </c>
      <c r="M1275">
        <f>IF(D1275="Canarias",E1275*'Nacional · supuestos'!$B$44,0)</f>
        <v>0</v>
      </c>
      <c r="N1275">
        <f>IF(D1275="Canarias",E1275*'Nacional · supuestos'!$B$45,0)</f>
        <v>0</v>
      </c>
      <c r="O1275">
        <f>IF(D1275="Canarias",'Nacional · supuestos'!$B$46,0)</f>
        <v>0</v>
      </c>
      <c r="P1275">
        <f>IF(D1275="Canarias",MAX(H1275*'Nacional · supuestos'!$B$47,'Nacional · supuestos'!$B$48),0)</f>
        <v>0</v>
      </c>
      <c r="Q1275">
        <f>IF(D1275="Resto nacional",E1275*'Nacional · supuestos'!$B$13*IF(A1275=2027,1+'Nacional · supuestos'!$B$6,1),0)</f>
        <v>54.81629290401775</v>
      </c>
      <c r="R1275">
        <f>IF(D1275="Canarias",SUM(J1275:P1275)*IF(A1275=2027,1+'Nacional · supuestos'!$B$6,1),0)</f>
        <v>0</v>
      </c>
      <c r="S1275">
        <f t="shared" si="24"/>
        <v>54.81629290401775</v>
      </c>
    </row>
    <row r="1276" spans="1:19">
      <c r="A1276">
        <v>2027</v>
      </c>
      <c r="B1276">
        <v>5</v>
      </c>
      <c r="C1276" t="s">
        <v>210</v>
      </c>
      <c r="D1276" t="s">
        <v>160</v>
      </c>
      <c r="E1276">
        <f>SUMIFS('Nacional · base'!$J$7:$J$1068,'Nacional · base'!$A$7:$A$1068,A1276,'Nacional · base'!$B$7:$B$1068,B1276,'Nacional · base'!$C$7:$C$1068,C1276)</f>
        <v>2649.1</v>
      </c>
      <c r="F1276">
        <f>SUMIFS('Nacional · base'!$K$7:$K$1068,'Nacional · base'!$A$7:$A$1068,A1276,'Nacional · base'!$B$7:$B$1068,B1276,'Nacional · base'!$C$7:$C$1068,C1276)</f>
        <v>3.5541666666666667</v>
      </c>
      <c r="G1276">
        <f t="shared" si="23"/>
        <v>4</v>
      </c>
      <c r="H1276">
        <f>SUMIFS('Nacional · base'!$G$7:$G$1068,'Nacional · base'!$A$7:$A$1068,A1276,'Nacional · base'!$B$7:$B$1068,B1276,'Nacional · base'!$C$7:$C$1068,C1276)</f>
        <v>8329.7095338370145</v>
      </c>
      <c r="I1276">
        <f>IF(D1276="Canarias",IF(C1276="CABRERA MORALES FRANCISCO",IF(E1276&lt;=2000,'Nacional · supuestos'!$C$34,IF(E1276&lt;=5000,'Nacional · supuestos'!$C$35,'Nacional · supuestos'!$C$36)),IF(E1276&lt;=2000,'Nacional · supuestos'!$B$34,IF(E1276&lt;=5000,'Nacional · supuestos'!$B$35,'Nacional · supuestos'!$B$36))),0)</f>
        <v>0</v>
      </c>
      <c r="J1276">
        <f>IF(D1276="Canarias",MAX(E1276*I1276,IF(C1276="CABRERA MORALES FRANCISCO",'Nacional · supuestos'!$C$38,'Nacional · supuestos'!$B$38)),0)</f>
        <v>0</v>
      </c>
      <c r="K1276">
        <f>IF(D1276="Canarias",MAX(E1276*'Nacional · supuestos'!$B$41,'Nacional · supuestos'!$B$42),0)</f>
        <v>0</v>
      </c>
      <c r="L1276">
        <f>IF(D1276="Canarias",E1276*'Nacional · supuestos'!$B$43,0)</f>
        <v>0</v>
      </c>
      <c r="M1276">
        <f>IF(D1276="Canarias",E1276*'Nacional · supuestos'!$B$44,0)</f>
        <v>0</v>
      </c>
      <c r="N1276">
        <f>IF(D1276="Canarias",E1276*'Nacional · supuestos'!$B$45,0)</f>
        <v>0</v>
      </c>
      <c r="O1276">
        <f>IF(D1276="Canarias",'Nacional · supuestos'!$B$46,0)</f>
        <v>0</v>
      </c>
      <c r="P1276">
        <f>IF(D1276="Canarias",MAX(H1276*'Nacional · supuestos'!$B$47,'Nacional · supuestos'!$B$48),0)</f>
        <v>0</v>
      </c>
      <c r="Q1276">
        <f>IF(D1276="Resto nacional",E1276*'Nacional · supuestos'!$B$13*IF(A1276=2027,1+'Nacional · supuestos'!$B$6,1),0)</f>
        <v>258.38761838440109</v>
      </c>
      <c r="R1276">
        <f>IF(D1276="Canarias",SUM(J1276:P1276)*IF(A1276=2027,1+'Nacional · supuestos'!$B$6,1),0)</f>
        <v>0</v>
      </c>
      <c r="S1276">
        <f t="shared" si="24"/>
        <v>258.38761838440109</v>
      </c>
    </row>
    <row r="1277" spans="1:19">
      <c r="A1277">
        <v>2027</v>
      </c>
      <c r="B1277">
        <v>5</v>
      </c>
      <c r="C1277" t="s">
        <v>211</v>
      </c>
      <c r="D1277" t="s">
        <v>160</v>
      </c>
      <c r="E1277">
        <f>SUMIFS('Nacional · base'!$J$7:$J$1068,'Nacional · base'!$A$7:$A$1068,A1277,'Nacional · base'!$B$7:$B$1068,B1277,'Nacional · base'!$C$7:$C$1068,C1277)</f>
        <v>760</v>
      </c>
      <c r="F1277">
        <f>SUMIFS('Nacional · base'!$K$7:$K$1068,'Nacional · base'!$A$7:$A$1068,A1277,'Nacional · base'!$B$7:$B$1068,B1277,'Nacional · base'!$C$7:$C$1068,C1277)</f>
        <v>0.95</v>
      </c>
      <c r="G1277">
        <f t="shared" si="23"/>
        <v>1</v>
      </c>
      <c r="H1277">
        <f>SUMIFS('Nacional · base'!$G$7:$G$1068,'Nacional · base'!$A$7:$A$1068,A1277,'Nacional · base'!$B$7:$B$1068,B1277,'Nacional · base'!$C$7:$C$1068,C1277)</f>
        <v>3755.0608496564441</v>
      </c>
      <c r="I1277">
        <f>IF(D1277="Canarias",IF(C1277="CABRERA MORALES FRANCISCO",IF(E1277&lt;=2000,'Nacional · supuestos'!$C$34,IF(E1277&lt;=5000,'Nacional · supuestos'!$C$35,'Nacional · supuestos'!$C$36)),IF(E1277&lt;=2000,'Nacional · supuestos'!$B$34,IF(E1277&lt;=5000,'Nacional · supuestos'!$B$35,'Nacional · supuestos'!$B$36))),0)</f>
        <v>0</v>
      </c>
      <c r="J1277">
        <f>IF(D1277="Canarias",MAX(E1277*I1277,IF(C1277="CABRERA MORALES FRANCISCO",'Nacional · supuestos'!$C$38,'Nacional · supuestos'!$B$38)),0)</f>
        <v>0</v>
      </c>
      <c r="K1277">
        <f>IF(D1277="Canarias",MAX(E1277*'Nacional · supuestos'!$B$41,'Nacional · supuestos'!$B$42),0)</f>
        <v>0</v>
      </c>
      <c r="L1277">
        <f>IF(D1277="Canarias",E1277*'Nacional · supuestos'!$B$43,0)</f>
        <v>0</v>
      </c>
      <c r="M1277">
        <f>IF(D1277="Canarias",E1277*'Nacional · supuestos'!$B$44,0)</f>
        <v>0</v>
      </c>
      <c r="N1277">
        <f>IF(D1277="Canarias",E1277*'Nacional · supuestos'!$B$45,0)</f>
        <v>0</v>
      </c>
      <c r="O1277">
        <f>IF(D1277="Canarias",'Nacional · supuestos'!$B$46,0)</f>
        <v>0</v>
      </c>
      <c r="P1277">
        <f>IF(D1277="Canarias",MAX(H1277*'Nacional · supuestos'!$B$47,'Nacional · supuestos'!$B$48),0)</f>
        <v>0</v>
      </c>
      <c r="Q1277">
        <f>IF(D1277="Resto nacional",E1277*'Nacional · supuestos'!$B$13*IF(A1277=2027,1+'Nacional · supuestos'!$B$6,1),0)</f>
        <v>74.128794674472402</v>
      </c>
      <c r="R1277">
        <f>IF(D1277="Canarias",SUM(J1277:P1277)*IF(A1277=2027,1+'Nacional · supuestos'!$B$6,1),0)</f>
        <v>0</v>
      </c>
      <c r="S1277">
        <f t="shared" si="24"/>
        <v>74.128794674472402</v>
      </c>
    </row>
    <row r="1278" spans="1:19">
      <c r="A1278">
        <v>2027</v>
      </c>
      <c r="B1278">
        <v>5</v>
      </c>
      <c r="C1278" t="s">
        <v>202</v>
      </c>
      <c r="D1278" t="s">
        <v>160</v>
      </c>
      <c r="E1278">
        <f>SUMIFS('Nacional · base'!$J$7:$J$1068,'Nacional · base'!$A$7:$A$1068,A1278,'Nacional · base'!$B$7:$B$1068,B1278,'Nacional · base'!$C$7:$C$1068,C1278)</f>
        <v>1628.3999999999999</v>
      </c>
      <c r="F1278">
        <f>SUMIFS('Nacional · base'!$K$7:$K$1068,'Nacional · base'!$A$7:$A$1068,A1278,'Nacional · base'!$B$7:$B$1068,B1278,'Nacional · base'!$C$7:$C$1068,C1278)</f>
        <v>2.15625</v>
      </c>
      <c r="G1278">
        <f t="shared" si="23"/>
        <v>3</v>
      </c>
      <c r="H1278">
        <f>SUMIFS('Nacional · base'!$G$7:$G$1068,'Nacional · base'!$A$7:$A$1068,A1278,'Nacional · base'!$B$7:$B$1068,B1278,'Nacional · base'!$C$7:$C$1068,C1278)</f>
        <v>4377.5687164715764</v>
      </c>
      <c r="I1278">
        <f>IF(D1278="Canarias",IF(C1278="CABRERA MORALES FRANCISCO",IF(E1278&lt;=2000,'Nacional · supuestos'!$C$34,IF(E1278&lt;=5000,'Nacional · supuestos'!$C$35,'Nacional · supuestos'!$C$36)),IF(E1278&lt;=2000,'Nacional · supuestos'!$B$34,IF(E1278&lt;=5000,'Nacional · supuestos'!$B$35,'Nacional · supuestos'!$B$36))),0)</f>
        <v>0</v>
      </c>
      <c r="J1278">
        <f>IF(D1278="Canarias",MAX(E1278*I1278,IF(C1278="CABRERA MORALES FRANCISCO",'Nacional · supuestos'!$C$38,'Nacional · supuestos'!$B$38)),0)</f>
        <v>0</v>
      </c>
      <c r="K1278">
        <f>IF(D1278="Canarias",MAX(E1278*'Nacional · supuestos'!$B$41,'Nacional · supuestos'!$B$42),0)</f>
        <v>0</v>
      </c>
      <c r="L1278">
        <f>IF(D1278="Canarias",E1278*'Nacional · supuestos'!$B$43,0)</f>
        <v>0</v>
      </c>
      <c r="M1278">
        <f>IF(D1278="Canarias",E1278*'Nacional · supuestos'!$B$44,0)</f>
        <v>0</v>
      </c>
      <c r="N1278">
        <f>IF(D1278="Canarias",E1278*'Nacional · supuestos'!$B$45,0)</f>
        <v>0</v>
      </c>
      <c r="O1278">
        <f>IF(D1278="Canarias",'Nacional · supuestos'!$B$46,0)</f>
        <v>0</v>
      </c>
      <c r="P1278">
        <f>IF(D1278="Canarias",MAX(H1278*'Nacional · supuestos'!$B$47,'Nacional · supuestos'!$B$48),0)</f>
        <v>0</v>
      </c>
      <c r="Q1278">
        <f>IF(D1278="Resto nacional",E1278*'Nacional · supuestos'!$B$13*IF(A1278=2027,1+'Nacional · supuestos'!$B$6,1),0)</f>
        <v>158.83069637883008</v>
      </c>
      <c r="R1278">
        <f>IF(D1278="Canarias",SUM(J1278:P1278)*IF(A1278=2027,1+'Nacional · supuestos'!$B$6,1),0)</f>
        <v>0</v>
      </c>
      <c r="S1278">
        <f t="shared" si="24"/>
        <v>158.83069637883008</v>
      </c>
    </row>
    <row r="1279" spans="1:19">
      <c r="A1279">
        <v>2027</v>
      </c>
      <c r="B1279">
        <v>5</v>
      </c>
      <c r="C1279" t="s">
        <v>171</v>
      </c>
      <c r="D1279" t="s">
        <v>164</v>
      </c>
      <c r="E1279">
        <f>SUMIFS('Nacional · base'!$J$7:$J$1068,'Nacional · base'!$A$7:$A$1068,A1279,'Nacional · base'!$B$7:$B$1068,B1279,'Nacional · base'!$C$7:$C$1068,C1279)</f>
        <v>25897.9</v>
      </c>
      <c r="F1279">
        <f>SUMIFS('Nacional · base'!$K$7:$K$1068,'Nacional · base'!$A$7:$A$1068,A1279,'Nacional · base'!$B$7:$B$1068,B1279,'Nacional · base'!$C$7:$C$1068,C1279)</f>
        <v>34.17583333333333</v>
      </c>
      <c r="G1279">
        <f t="shared" si="23"/>
        <v>35</v>
      </c>
      <c r="H1279">
        <f>SUMIFS('Nacional · base'!$G$7:$G$1068,'Nacional · base'!$A$7:$A$1068,A1279,'Nacional · base'!$B$7:$B$1068,B1279,'Nacional · base'!$C$7:$C$1068,C1279)</f>
        <v>57858.098752633596</v>
      </c>
      <c r="I1279">
        <f>IF(D1279="Canarias",IF(C1279="CABRERA MORALES FRANCISCO",IF(E1279&lt;=2000,'Nacional · supuestos'!$C$34,IF(E1279&lt;=5000,'Nacional · supuestos'!$C$35,'Nacional · supuestos'!$C$36)),IF(E1279&lt;=2000,'Nacional · supuestos'!$B$34,IF(E1279&lt;=5000,'Nacional · supuestos'!$B$35,'Nacional · supuestos'!$B$36))),0)</f>
        <v>0.19800000000000001</v>
      </c>
      <c r="J1279">
        <f>IF(D1279="Canarias",MAX(E1279*I1279,IF(C1279="CABRERA MORALES FRANCISCO",'Nacional · supuestos'!$C$38,'Nacional · supuestos'!$B$38)),0)</f>
        <v>5127.784200000001</v>
      </c>
      <c r="K1279">
        <f>IF(D1279="Canarias",MAX(E1279*'Nacional · supuestos'!$B$41,'Nacional · supuestos'!$B$42),0)</f>
        <v>932.32439999999997</v>
      </c>
      <c r="L1279">
        <f>IF(D1279="Canarias",E1279*'Nacional · supuestos'!$B$43,0)</f>
        <v>310.77480000000003</v>
      </c>
      <c r="M1279">
        <f>IF(D1279="Canarias",E1279*'Nacional · supuestos'!$B$44,0)</f>
        <v>466.16219999999998</v>
      </c>
      <c r="N1279">
        <f>IF(D1279="Canarias",E1279*'Nacional · supuestos'!$B$45,0)</f>
        <v>569.75379999999996</v>
      </c>
      <c r="O1279">
        <f>IF(D1279="Canarias",'Nacional · supuestos'!$B$46,0)</f>
        <v>15</v>
      </c>
      <c r="P1279">
        <f>IF(D1279="Canarias",MAX(H1279*'Nacional · supuestos'!$B$47,'Nacional · supuestos'!$B$48),0)</f>
        <v>260.36144438685113</v>
      </c>
      <c r="Q1279">
        <f>IF(D1279="Resto nacional",E1279*'Nacional · supuestos'!$B$13*IF(A1279=2027,1+'Nacional · supuestos'!$B$6,1),0)</f>
        <v>0</v>
      </c>
      <c r="R1279">
        <f>IF(D1279="Canarias",SUM(J1279:P1279)*IF(A1279=2027,1+'Nacional · supuestos'!$B$6,1),0)</f>
        <v>8450.3769288255389</v>
      </c>
      <c r="S1279">
        <f t="shared" si="24"/>
        <v>8450.3769288255389</v>
      </c>
    </row>
    <row r="1280" spans="1:19">
      <c r="A1280">
        <v>2027</v>
      </c>
      <c r="B1280">
        <v>5</v>
      </c>
      <c r="C1280" t="s">
        <v>172</v>
      </c>
      <c r="D1280" t="s">
        <v>160</v>
      </c>
      <c r="E1280">
        <f>SUMIFS('Nacional · base'!$J$7:$J$1068,'Nacional · base'!$A$7:$A$1068,A1280,'Nacional · base'!$B$7:$B$1068,B1280,'Nacional · base'!$C$7:$C$1068,C1280)</f>
        <v>9312.5999999999985</v>
      </c>
      <c r="F1280">
        <f>SUMIFS('Nacional · base'!$K$7:$K$1068,'Nacional · base'!$A$7:$A$1068,A1280,'Nacional · base'!$B$7:$B$1068,B1280,'Nacional · base'!$C$7:$C$1068,C1280)</f>
        <v>12.632916666666667</v>
      </c>
      <c r="G1280">
        <f t="shared" si="23"/>
        <v>13</v>
      </c>
      <c r="H1280">
        <f>SUMIFS('Nacional · base'!$G$7:$G$1068,'Nacional · base'!$A$7:$A$1068,A1280,'Nacional · base'!$B$7:$B$1068,B1280,'Nacional · base'!$C$7:$C$1068,C1280)</f>
        <v>45964.21546064283</v>
      </c>
      <c r="I1280">
        <f>IF(D1280="Canarias",IF(C1280="CABRERA MORALES FRANCISCO",IF(E1280&lt;=2000,'Nacional · supuestos'!$C$34,IF(E1280&lt;=5000,'Nacional · supuestos'!$C$35,'Nacional · supuestos'!$C$36)),IF(E1280&lt;=2000,'Nacional · supuestos'!$B$34,IF(E1280&lt;=5000,'Nacional · supuestos'!$B$35,'Nacional · supuestos'!$B$36))),0)</f>
        <v>0</v>
      </c>
      <c r="J1280">
        <f>IF(D1280="Canarias",MAX(E1280*I1280,IF(C1280="CABRERA MORALES FRANCISCO",'Nacional · supuestos'!$C$38,'Nacional · supuestos'!$B$38)),0)</f>
        <v>0</v>
      </c>
      <c r="K1280">
        <f>IF(D1280="Canarias",MAX(E1280*'Nacional · supuestos'!$B$41,'Nacional · supuestos'!$B$42),0)</f>
        <v>0</v>
      </c>
      <c r="L1280">
        <f>IF(D1280="Canarias",E1280*'Nacional · supuestos'!$B$43,0)</f>
        <v>0</v>
      </c>
      <c r="M1280">
        <f>IF(D1280="Canarias",E1280*'Nacional · supuestos'!$B$44,0)</f>
        <v>0</v>
      </c>
      <c r="N1280">
        <f>IF(D1280="Canarias",E1280*'Nacional · supuestos'!$B$45,0)</f>
        <v>0</v>
      </c>
      <c r="O1280">
        <f>IF(D1280="Canarias",'Nacional · supuestos'!$B$46,0)</f>
        <v>0</v>
      </c>
      <c r="P1280">
        <f>IF(D1280="Canarias",MAX(H1280*'Nacional · supuestos'!$B$47,'Nacional · supuestos'!$B$48),0)</f>
        <v>0</v>
      </c>
      <c r="Q1280">
        <f>IF(D1280="Resto nacional",E1280*'Nacional · supuestos'!$B$13*IF(A1280=2027,1+'Nacional · supuestos'!$B$6,1),0)</f>
        <v>908.33133327038365</v>
      </c>
      <c r="R1280">
        <f>IF(D1280="Canarias",SUM(J1280:P1280)*IF(A1280=2027,1+'Nacional · supuestos'!$B$6,1),0)</f>
        <v>0</v>
      </c>
      <c r="S1280">
        <f t="shared" si="24"/>
        <v>908.33133327038365</v>
      </c>
    </row>
    <row r="1281" spans="1:19">
      <c r="A1281">
        <v>2027</v>
      </c>
      <c r="B1281">
        <v>5</v>
      </c>
      <c r="C1281" t="s">
        <v>203</v>
      </c>
      <c r="D1281" t="s">
        <v>160</v>
      </c>
      <c r="E1281">
        <f>SUMIFS('Nacional · base'!$J$7:$J$1068,'Nacional · base'!$A$7:$A$1068,A1281,'Nacional · base'!$B$7:$B$1068,B1281,'Nacional · base'!$C$7:$C$1068,C1281)</f>
        <v>1282</v>
      </c>
      <c r="F1281">
        <f>SUMIFS('Nacional · base'!$K$7:$K$1068,'Nacional · base'!$A$7:$A$1068,A1281,'Nacional · base'!$B$7:$B$1068,B1281,'Nacional · base'!$C$7:$C$1068,C1281)</f>
        <v>1.6812499999999999</v>
      </c>
      <c r="G1281">
        <f t="shared" si="23"/>
        <v>2</v>
      </c>
      <c r="H1281">
        <f>SUMIFS('Nacional · base'!$G$7:$G$1068,'Nacional · base'!$A$7:$A$1068,A1281,'Nacional · base'!$B$7:$B$1068,B1281,'Nacional · base'!$C$7:$C$1068,C1281)</f>
        <v>3601.6228757864055</v>
      </c>
      <c r="I1281">
        <f>IF(D1281="Canarias",IF(C1281="CABRERA MORALES FRANCISCO",IF(E1281&lt;=2000,'Nacional · supuestos'!$C$34,IF(E1281&lt;=5000,'Nacional · supuestos'!$C$35,'Nacional · supuestos'!$C$36)),IF(E1281&lt;=2000,'Nacional · supuestos'!$B$34,IF(E1281&lt;=5000,'Nacional · supuestos'!$B$35,'Nacional · supuestos'!$B$36))),0)</f>
        <v>0</v>
      </c>
      <c r="J1281">
        <f>IF(D1281="Canarias",MAX(E1281*I1281,IF(C1281="CABRERA MORALES FRANCISCO",'Nacional · supuestos'!$C$38,'Nacional · supuestos'!$B$38)),0)</f>
        <v>0</v>
      </c>
      <c r="K1281">
        <f>IF(D1281="Canarias",MAX(E1281*'Nacional · supuestos'!$B$41,'Nacional · supuestos'!$B$42),0)</f>
        <v>0</v>
      </c>
      <c r="L1281">
        <f>IF(D1281="Canarias",E1281*'Nacional · supuestos'!$B$43,0)</f>
        <v>0</v>
      </c>
      <c r="M1281">
        <f>IF(D1281="Canarias",E1281*'Nacional · supuestos'!$B$44,0)</f>
        <v>0</v>
      </c>
      <c r="N1281">
        <f>IF(D1281="Canarias",E1281*'Nacional · supuestos'!$B$45,0)</f>
        <v>0</v>
      </c>
      <c r="O1281">
        <f>IF(D1281="Canarias",'Nacional · supuestos'!$B$46,0)</f>
        <v>0</v>
      </c>
      <c r="P1281">
        <f>IF(D1281="Canarias",MAX(H1281*'Nacional · supuestos'!$B$47,'Nacional · supuestos'!$B$48),0)</f>
        <v>0</v>
      </c>
      <c r="Q1281">
        <f>IF(D1281="Resto nacional",E1281*'Nacional · supuestos'!$B$13*IF(A1281=2027,1+'Nacional · supuestos'!$B$6,1),0)</f>
        <v>125.0435720693074</v>
      </c>
      <c r="R1281">
        <f>IF(D1281="Canarias",SUM(J1281:P1281)*IF(A1281=2027,1+'Nacional · supuestos'!$B$6,1),0)</f>
        <v>0</v>
      </c>
      <c r="S1281">
        <f t="shared" si="24"/>
        <v>125.0435720693074</v>
      </c>
    </row>
    <row r="1282" spans="1:19">
      <c r="A1282">
        <v>2027</v>
      </c>
      <c r="B1282">
        <v>5</v>
      </c>
      <c r="C1282" t="s">
        <v>173</v>
      </c>
      <c r="D1282" t="s">
        <v>160</v>
      </c>
      <c r="E1282">
        <f>SUMIFS('Nacional · base'!$J$7:$J$1068,'Nacional · base'!$A$7:$A$1068,A1282,'Nacional · base'!$B$7:$B$1068,B1282,'Nacional · base'!$C$7:$C$1068,C1282)</f>
        <v>40366.559999999998</v>
      </c>
      <c r="F1282">
        <f>SUMIFS('Nacional · base'!$K$7:$K$1068,'Nacional · base'!$A$7:$A$1068,A1282,'Nacional · base'!$B$7:$B$1068,B1282,'Nacional · base'!$C$7:$C$1068,C1282)</f>
        <v>46.203825757575757</v>
      </c>
      <c r="G1282">
        <f t="shared" si="23"/>
        <v>47</v>
      </c>
      <c r="H1282">
        <f>SUMIFS('Nacional · base'!$G$7:$G$1068,'Nacional · base'!$A$7:$A$1068,A1282,'Nacional · base'!$B$7:$B$1068,B1282,'Nacional · base'!$C$7:$C$1068,C1282)</f>
        <v>88852.959892150961</v>
      </c>
      <c r="I1282">
        <f>IF(D1282="Canarias",IF(C1282="CABRERA MORALES FRANCISCO",IF(E1282&lt;=2000,'Nacional · supuestos'!$C$34,IF(E1282&lt;=5000,'Nacional · supuestos'!$C$35,'Nacional · supuestos'!$C$36)),IF(E1282&lt;=2000,'Nacional · supuestos'!$B$34,IF(E1282&lt;=5000,'Nacional · supuestos'!$B$35,'Nacional · supuestos'!$B$36))),0)</f>
        <v>0</v>
      </c>
      <c r="J1282">
        <f>IF(D1282="Canarias",MAX(E1282*I1282,IF(C1282="CABRERA MORALES FRANCISCO",'Nacional · supuestos'!$C$38,'Nacional · supuestos'!$B$38)),0)</f>
        <v>0</v>
      </c>
      <c r="K1282">
        <f>IF(D1282="Canarias",MAX(E1282*'Nacional · supuestos'!$B$41,'Nacional · supuestos'!$B$42),0)</f>
        <v>0</v>
      </c>
      <c r="L1282">
        <f>IF(D1282="Canarias",E1282*'Nacional · supuestos'!$B$43,0)</f>
        <v>0</v>
      </c>
      <c r="M1282">
        <f>IF(D1282="Canarias",E1282*'Nacional · supuestos'!$B$44,0)</f>
        <v>0</v>
      </c>
      <c r="N1282">
        <f>IF(D1282="Canarias",E1282*'Nacional · supuestos'!$B$45,0)</f>
        <v>0</v>
      </c>
      <c r="O1282">
        <f>IF(D1282="Canarias",'Nacional · supuestos'!$B$46,0)</f>
        <v>0</v>
      </c>
      <c r="P1282">
        <f>IF(D1282="Canarias",MAX(H1282*'Nacional · supuestos'!$B$47,'Nacional · supuestos'!$B$48),0)</f>
        <v>0</v>
      </c>
      <c r="Q1282">
        <f>IF(D1282="Resto nacional",E1282*'Nacional · supuestos'!$B$13*IF(A1282=2027,1+'Nacional · supuestos'!$B$6,1),0)</f>
        <v>3937.2689973089091</v>
      </c>
      <c r="R1282">
        <f>IF(D1282="Canarias",SUM(J1282:P1282)*IF(A1282=2027,1+'Nacional · supuestos'!$B$6,1),0)</f>
        <v>0</v>
      </c>
      <c r="S1282">
        <f t="shared" si="24"/>
        <v>3937.2689973089091</v>
      </c>
    </row>
    <row r="1283" spans="1:19">
      <c r="A1283">
        <v>2027</v>
      </c>
      <c r="B1283">
        <v>5</v>
      </c>
      <c r="C1283" t="s">
        <v>174</v>
      </c>
      <c r="D1283" t="s">
        <v>160</v>
      </c>
      <c r="E1283">
        <f>SUMIFS('Nacional · base'!$J$7:$J$1068,'Nacional · base'!$A$7:$A$1068,A1283,'Nacional · base'!$B$7:$B$1068,B1283,'Nacional · base'!$C$7:$C$1068,C1283)</f>
        <v>8280</v>
      </c>
      <c r="F1283">
        <f>SUMIFS('Nacional · base'!$K$7:$K$1068,'Nacional · base'!$A$7:$A$1068,A1283,'Nacional · base'!$B$7:$B$1068,B1283,'Nacional · base'!$C$7:$C$1068,C1283)</f>
        <v>10.625</v>
      </c>
      <c r="G1283">
        <f t="shared" si="23"/>
        <v>11</v>
      </c>
      <c r="H1283">
        <f>SUMIFS('Nacional · base'!$G$7:$G$1068,'Nacional · base'!$A$7:$A$1068,A1283,'Nacional · base'!$B$7:$B$1068,B1283,'Nacional · base'!$C$7:$C$1068,C1283)</f>
        <v>23603.180061981086</v>
      </c>
      <c r="I1283">
        <f>IF(D1283="Canarias",IF(C1283="CABRERA MORALES FRANCISCO",IF(E1283&lt;=2000,'Nacional · supuestos'!$C$34,IF(E1283&lt;=5000,'Nacional · supuestos'!$C$35,'Nacional · supuestos'!$C$36)),IF(E1283&lt;=2000,'Nacional · supuestos'!$B$34,IF(E1283&lt;=5000,'Nacional · supuestos'!$B$35,'Nacional · supuestos'!$B$36))),0)</f>
        <v>0</v>
      </c>
      <c r="J1283">
        <f>IF(D1283="Canarias",MAX(E1283*I1283,IF(C1283="CABRERA MORALES FRANCISCO",'Nacional · supuestos'!$C$38,'Nacional · supuestos'!$B$38)),0)</f>
        <v>0</v>
      </c>
      <c r="K1283">
        <f>IF(D1283="Canarias",MAX(E1283*'Nacional · supuestos'!$B$41,'Nacional · supuestos'!$B$42),0)</f>
        <v>0</v>
      </c>
      <c r="L1283">
        <f>IF(D1283="Canarias",E1283*'Nacional · supuestos'!$B$43,0)</f>
        <v>0</v>
      </c>
      <c r="M1283">
        <f>IF(D1283="Canarias",E1283*'Nacional · supuestos'!$B$44,0)</f>
        <v>0</v>
      </c>
      <c r="N1283">
        <f>IF(D1283="Canarias",E1283*'Nacional · supuestos'!$B$45,0)</f>
        <v>0</v>
      </c>
      <c r="O1283">
        <f>IF(D1283="Canarias",'Nacional · supuestos'!$B$46,0)</f>
        <v>0</v>
      </c>
      <c r="P1283">
        <f>IF(D1283="Canarias",MAX(H1283*'Nacional · supuestos'!$B$47,'Nacional · supuestos'!$B$48),0)</f>
        <v>0</v>
      </c>
      <c r="Q1283">
        <f>IF(D1283="Resto nacional",E1283*'Nacional · supuestos'!$B$13*IF(A1283=2027,1+'Nacional · supuestos'!$B$6,1),0)</f>
        <v>807.61371040083088</v>
      </c>
      <c r="R1283">
        <f>IF(D1283="Canarias",SUM(J1283:P1283)*IF(A1283=2027,1+'Nacional · supuestos'!$B$6,1),0)</f>
        <v>0</v>
      </c>
      <c r="S1283">
        <f t="shared" si="24"/>
        <v>807.61371040083088</v>
      </c>
    </row>
    <row r="1284" spans="1:19">
      <c r="A1284">
        <v>2027</v>
      </c>
      <c r="B1284">
        <v>5</v>
      </c>
      <c r="C1284" t="s">
        <v>175</v>
      </c>
      <c r="D1284" t="s">
        <v>160</v>
      </c>
      <c r="E1284">
        <f>SUMIFS('Nacional · base'!$J$7:$J$1068,'Nacional · base'!$A$7:$A$1068,A1284,'Nacional · base'!$B$7:$B$1068,B1284,'Nacional · base'!$C$7:$C$1068,C1284)</f>
        <v>843.69999999999993</v>
      </c>
      <c r="F1284">
        <f>SUMIFS('Nacional · base'!$K$7:$K$1068,'Nacional · base'!$A$7:$A$1068,A1284,'Nacional · base'!$B$7:$B$1068,B1284,'Nacional · base'!$C$7:$C$1068,C1284)</f>
        <v>1.1916666666666667</v>
      </c>
      <c r="G1284">
        <f t="shared" si="23"/>
        <v>2</v>
      </c>
      <c r="H1284">
        <f>SUMIFS('Nacional · base'!$G$7:$G$1068,'Nacional · base'!$A$7:$A$1068,A1284,'Nacional · base'!$B$7:$B$1068,B1284,'Nacional · base'!$C$7:$C$1068,C1284)</f>
        <v>10232.968190105161</v>
      </c>
      <c r="I1284">
        <f>IF(D1284="Canarias",IF(C1284="CABRERA MORALES FRANCISCO",IF(E1284&lt;=2000,'Nacional · supuestos'!$C$34,IF(E1284&lt;=5000,'Nacional · supuestos'!$C$35,'Nacional · supuestos'!$C$36)),IF(E1284&lt;=2000,'Nacional · supuestos'!$B$34,IF(E1284&lt;=5000,'Nacional · supuestos'!$B$35,'Nacional · supuestos'!$B$36))),0)</f>
        <v>0</v>
      </c>
      <c r="J1284">
        <f>IF(D1284="Canarias",MAX(E1284*I1284,IF(C1284="CABRERA MORALES FRANCISCO",'Nacional · supuestos'!$C$38,'Nacional · supuestos'!$B$38)),0)</f>
        <v>0</v>
      </c>
      <c r="K1284">
        <f>IF(D1284="Canarias",MAX(E1284*'Nacional · supuestos'!$B$41,'Nacional · supuestos'!$B$42),0)</f>
        <v>0</v>
      </c>
      <c r="L1284">
        <f>IF(D1284="Canarias",E1284*'Nacional · supuestos'!$B$43,0)</f>
        <v>0</v>
      </c>
      <c r="M1284">
        <f>IF(D1284="Canarias",E1284*'Nacional · supuestos'!$B$44,0)</f>
        <v>0</v>
      </c>
      <c r="N1284">
        <f>IF(D1284="Canarias",E1284*'Nacional · supuestos'!$B$45,0)</f>
        <v>0</v>
      </c>
      <c r="O1284">
        <f>IF(D1284="Canarias",'Nacional · supuestos'!$B$46,0)</f>
        <v>0</v>
      </c>
      <c r="P1284">
        <f>IF(D1284="Canarias",MAX(H1284*'Nacional · supuestos'!$B$47,'Nacional · supuestos'!$B$48),0)</f>
        <v>0</v>
      </c>
      <c r="Q1284">
        <f>IF(D1284="Resto nacional",E1284*'Nacional · supuestos'!$B$13*IF(A1284=2027,1+'Nacional · supuestos'!$B$6,1),0)</f>
        <v>82.292715877437331</v>
      </c>
      <c r="R1284">
        <f>IF(D1284="Canarias",SUM(J1284:P1284)*IF(A1284=2027,1+'Nacional · supuestos'!$B$6,1),0)</f>
        <v>0</v>
      </c>
      <c r="S1284">
        <f t="shared" si="24"/>
        <v>82.292715877437331</v>
      </c>
    </row>
    <row r="1285" spans="1:19">
      <c r="A1285">
        <v>2027</v>
      </c>
      <c r="B1285">
        <v>5</v>
      </c>
      <c r="C1285" t="s">
        <v>182</v>
      </c>
      <c r="D1285" t="s">
        <v>160</v>
      </c>
      <c r="E1285">
        <f>SUMIFS('Nacional · base'!$J$7:$J$1068,'Nacional · base'!$A$7:$A$1068,A1285,'Nacional · base'!$B$7:$B$1068,B1285,'Nacional · base'!$C$7:$C$1068,C1285)</f>
        <v>45570.720000000001</v>
      </c>
      <c r="F1285">
        <f>SUMIFS('Nacional · base'!$K$7:$K$1068,'Nacional · base'!$A$7:$A$1068,A1285,'Nacional · base'!$B$7:$B$1068,B1285,'Nacional · base'!$C$7:$C$1068,C1285)</f>
        <v>50.252651515151513</v>
      </c>
      <c r="G1285">
        <f t="shared" si="23"/>
        <v>51</v>
      </c>
      <c r="H1285">
        <f>SUMIFS('Nacional · base'!$G$7:$G$1068,'Nacional · base'!$A$7:$A$1068,A1285,'Nacional · base'!$B$7:$B$1068,B1285,'Nacional · base'!$C$7:$C$1068,C1285)</f>
        <v>85012.500525244104</v>
      </c>
      <c r="I1285">
        <f>IF(D1285="Canarias",IF(C1285="CABRERA MORALES FRANCISCO",IF(E1285&lt;=2000,'Nacional · supuestos'!$C$34,IF(E1285&lt;=5000,'Nacional · supuestos'!$C$35,'Nacional · supuestos'!$C$36)),IF(E1285&lt;=2000,'Nacional · supuestos'!$B$34,IF(E1285&lt;=5000,'Nacional · supuestos'!$B$35,'Nacional · supuestos'!$B$36))),0)</f>
        <v>0</v>
      </c>
      <c r="J1285">
        <f>IF(D1285="Canarias",MAX(E1285*I1285,IF(C1285="CABRERA MORALES FRANCISCO",'Nacional · supuestos'!$C$38,'Nacional · supuestos'!$B$38)),0)</f>
        <v>0</v>
      </c>
      <c r="K1285">
        <f>IF(D1285="Canarias",MAX(E1285*'Nacional · supuestos'!$B$41,'Nacional · supuestos'!$B$42),0)</f>
        <v>0</v>
      </c>
      <c r="L1285">
        <f>IF(D1285="Canarias",E1285*'Nacional · supuestos'!$B$43,0)</f>
        <v>0</v>
      </c>
      <c r="M1285">
        <f>IF(D1285="Canarias",E1285*'Nacional · supuestos'!$B$44,0)</f>
        <v>0</v>
      </c>
      <c r="N1285">
        <f>IF(D1285="Canarias",E1285*'Nacional · supuestos'!$B$45,0)</f>
        <v>0</v>
      </c>
      <c r="O1285">
        <f>IF(D1285="Canarias",'Nacional · supuestos'!$B$46,0)</f>
        <v>0</v>
      </c>
      <c r="P1285">
        <f>IF(D1285="Canarias",MAX(H1285*'Nacional · supuestos'!$B$47,'Nacional · supuestos'!$B$48),0)</f>
        <v>0</v>
      </c>
      <c r="Q1285">
        <f>IF(D1285="Resto nacional",E1285*'Nacional · supuestos'!$B$13*IF(A1285=2027,1+'Nacional · supuestos'!$B$6,1),0)</f>
        <v>4444.8717711156223</v>
      </c>
      <c r="R1285">
        <f>IF(D1285="Canarias",SUM(J1285:P1285)*IF(A1285=2027,1+'Nacional · supuestos'!$B$6,1),0)</f>
        <v>0</v>
      </c>
      <c r="S1285">
        <f t="shared" si="24"/>
        <v>4444.8717711156223</v>
      </c>
    </row>
    <row r="1286" spans="1:19">
      <c r="A1286">
        <v>2027</v>
      </c>
      <c r="B1286">
        <v>5</v>
      </c>
      <c r="C1286" t="s">
        <v>183</v>
      </c>
      <c r="D1286" t="s">
        <v>164</v>
      </c>
      <c r="E1286">
        <f>SUMIFS('Nacional · base'!$J$7:$J$1068,'Nacional · base'!$A$7:$A$1068,A1286,'Nacional · base'!$B$7:$B$1068,B1286,'Nacional · base'!$C$7:$C$1068,C1286)</f>
        <v>20681.5</v>
      </c>
      <c r="F1286">
        <f>SUMIFS('Nacional · base'!$K$7:$K$1068,'Nacional · base'!$A$7:$A$1068,A1286,'Nacional · base'!$B$7:$B$1068,B1286,'Nacional · base'!$C$7:$C$1068,C1286)</f>
        <v>21.611174242424244</v>
      </c>
      <c r="G1286">
        <f t="shared" si="23"/>
        <v>22</v>
      </c>
      <c r="H1286">
        <f>SUMIFS('Nacional · base'!$G$7:$G$1068,'Nacional · base'!$A$7:$A$1068,A1286,'Nacional · base'!$B$7:$B$1068,B1286,'Nacional · base'!$C$7:$C$1068,C1286)</f>
        <v>47979.939767631819</v>
      </c>
      <c r="I1286">
        <f>IF(D1286="Canarias",IF(C1286="CABRERA MORALES FRANCISCO",IF(E1286&lt;=2000,'Nacional · supuestos'!$C$34,IF(E1286&lt;=5000,'Nacional · supuestos'!$C$35,'Nacional · supuestos'!$C$36)),IF(E1286&lt;=2000,'Nacional · supuestos'!$B$34,IF(E1286&lt;=5000,'Nacional · supuestos'!$B$35,'Nacional · supuestos'!$B$36))),0)</f>
        <v>0.104</v>
      </c>
      <c r="J1286">
        <f>IF(D1286="Canarias",MAX(E1286*I1286,IF(C1286="CABRERA MORALES FRANCISCO",'Nacional · supuestos'!$C$38,'Nacional · supuestos'!$B$38)),0)</f>
        <v>2150.8759999999997</v>
      </c>
      <c r="K1286">
        <f>IF(D1286="Canarias",MAX(E1286*'Nacional · supuestos'!$B$41,'Nacional · supuestos'!$B$42),0)</f>
        <v>744.53399999999999</v>
      </c>
      <c r="L1286">
        <f>IF(D1286="Canarias",E1286*'Nacional · supuestos'!$B$43,0)</f>
        <v>248.178</v>
      </c>
      <c r="M1286">
        <f>IF(D1286="Canarias",E1286*'Nacional · supuestos'!$B$44,0)</f>
        <v>372.267</v>
      </c>
      <c r="N1286">
        <f>IF(D1286="Canarias",E1286*'Nacional · supuestos'!$B$45,0)</f>
        <v>454.99299999999999</v>
      </c>
      <c r="O1286">
        <f>IF(D1286="Canarias",'Nacional · supuestos'!$B$46,0)</f>
        <v>15</v>
      </c>
      <c r="P1286">
        <f>IF(D1286="Canarias",MAX(H1286*'Nacional · supuestos'!$B$47,'Nacional · supuestos'!$B$48),0)</f>
        <v>215.90972895434317</v>
      </c>
      <c r="Q1286">
        <f>IF(D1286="Resto nacional",E1286*'Nacional · supuestos'!$B$13*IF(A1286=2027,1+'Nacional · supuestos'!$B$6,1),0)</f>
        <v>0</v>
      </c>
      <c r="R1286">
        <f>IF(D1286="Canarias",SUM(J1286:P1286)*IF(A1286=2027,1+'Nacional · supuestos'!$B$6,1),0)</f>
        <v>4621.9335018497768</v>
      </c>
      <c r="S1286">
        <f t="shared" si="24"/>
        <v>4621.9335018497768</v>
      </c>
    </row>
    <row r="1287" spans="1:19">
      <c r="A1287">
        <v>2027</v>
      </c>
      <c r="B1287">
        <v>5</v>
      </c>
      <c r="C1287" t="s">
        <v>176</v>
      </c>
      <c r="D1287" t="s">
        <v>160</v>
      </c>
      <c r="E1287">
        <f>SUMIFS('Nacional · base'!$J$7:$J$1068,'Nacional · base'!$A$7:$A$1068,A1287,'Nacional · base'!$B$7:$B$1068,B1287,'Nacional · base'!$C$7:$C$1068,C1287)</f>
        <v>1145.78</v>
      </c>
      <c r="F1287">
        <f>SUMIFS('Nacional · base'!$K$7:$K$1068,'Nacional · base'!$A$7:$A$1068,A1287,'Nacional · base'!$B$7:$B$1068,B1287,'Nacional · base'!$C$7:$C$1068,C1287)</f>
        <v>1.5570075757575759</v>
      </c>
      <c r="G1287">
        <f t="shared" si="23"/>
        <v>2</v>
      </c>
      <c r="H1287">
        <f>SUMIFS('Nacional · base'!$G$7:$G$1068,'Nacional · base'!$A$7:$A$1068,A1287,'Nacional · base'!$B$7:$B$1068,B1287,'Nacional · base'!$C$7:$C$1068,C1287)</f>
        <v>3311.5083588875659</v>
      </c>
      <c r="I1287">
        <f>IF(D1287="Canarias",IF(C1287="CABRERA MORALES FRANCISCO",IF(E1287&lt;=2000,'Nacional · supuestos'!$C$34,IF(E1287&lt;=5000,'Nacional · supuestos'!$C$35,'Nacional · supuestos'!$C$36)),IF(E1287&lt;=2000,'Nacional · supuestos'!$B$34,IF(E1287&lt;=5000,'Nacional · supuestos'!$B$35,'Nacional · supuestos'!$B$36))),0)</f>
        <v>0</v>
      </c>
      <c r="J1287">
        <f>IF(D1287="Canarias",MAX(E1287*I1287,IF(C1287="CABRERA MORALES FRANCISCO",'Nacional · supuestos'!$C$38,'Nacional · supuestos'!$B$38)),0)</f>
        <v>0</v>
      </c>
      <c r="K1287">
        <f>IF(D1287="Canarias",MAX(E1287*'Nacional · supuestos'!$B$41,'Nacional · supuestos'!$B$42),0)</f>
        <v>0</v>
      </c>
      <c r="L1287">
        <f>IF(D1287="Canarias",E1287*'Nacional · supuestos'!$B$43,0)</f>
        <v>0</v>
      </c>
      <c r="M1287">
        <f>IF(D1287="Canarias",E1287*'Nacional · supuestos'!$B$44,0)</f>
        <v>0</v>
      </c>
      <c r="N1287">
        <f>IF(D1287="Canarias",E1287*'Nacional · supuestos'!$B$45,0)</f>
        <v>0</v>
      </c>
      <c r="O1287">
        <f>IF(D1287="Canarias",'Nacional · supuestos'!$B$46,0)</f>
        <v>0</v>
      </c>
      <c r="P1287">
        <f>IF(D1287="Canarias",MAX(H1287*'Nacional · supuestos'!$B$47,'Nacional · supuestos'!$B$48),0)</f>
        <v>0</v>
      </c>
      <c r="Q1287">
        <f>IF(D1287="Resto nacional",E1287*'Nacional · supuestos'!$B$13*IF(A1287=2027,1+'Nacional · supuestos'!$B$6,1),0)</f>
        <v>111.75696100278553</v>
      </c>
      <c r="R1287">
        <f>IF(D1287="Canarias",SUM(J1287:P1287)*IF(A1287=2027,1+'Nacional · supuestos'!$B$6,1),0)</f>
        <v>0</v>
      </c>
      <c r="S1287">
        <f t="shared" si="24"/>
        <v>111.75696100278553</v>
      </c>
    </row>
    <row r="1288" spans="1:19">
      <c r="A1288">
        <v>2027</v>
      </c>
      <c r="B1288">
        <v>5</v>
      </c>
      <c r="C1288" t="s">
        <v>204</v>
      </c>
      <c r="D1288" t="s">
        <v>160</v>
      </c>
      <c r="E1288">
        <f>SUMIFS('Nacional · base'!$J$7:$J$1068,'Nacional · base'!$A$7:$A$1068,A1288,'Nacional · base'!$B$7:$B$1068,B1288,'Nacional · base'!$C$7:$C$1068,C1288)</f>
        <v>3486.2999999999997</v>
      </c>
      <c r="F1288">
        <f>SUMIFS('Nacional · base'!$K$7:$K$1068,'Nacional · base'!$A$7:$A$1068,A1288,'Nacional · base'!$B$7:$B$1068,B1288,'Nacional · base'!$C$7:$C$1068,C1288)</f>
        <v>3.8333333333333335</v>
      </c>
      <c r="G1288">
        <f t="shared" si="23"/>
        <v>4</v>
      </c>
      <c r="H1288">
        <f>SUMIFS('Nacional · base'!$G$7:$G$1068,'Nacional · base'!$A$7:$A$1068,A1288,'Nacional · base'!$B$7:$B$1068,B1288,'Nacional · base'!$C$7:$C$1068,C1288)</f>
        <v>9106.2101883740579</v>
      </c>
      <c r="I1288">
        <f>IF(D1288="Canarias",IF(C1288="CABRERA MORALES FRANCISCO",IF(E1288&lt;=2000,'Nacional · supuestos'!$C$34,IF(E1288&lt;=5000,'Nacional · supuestos'!$C$35,'Nacional · supuestos'!$C$36)),IF(E1288&lt;=2000,'Nacional · supuestos'!$B$34,IF(E1288&lt;=5000,'Nacional · supuestos'!$B$35,'Nacional · supuestos'!$B$36))),0)</f>
        <v>0</v>
      </c>
      <c r="J1288">
        <f>IF(D1288="Canarias",MAX(E1288*I1288,IF(C1288="CABRERA MORALES FRANCISCO",'Nacional · supuestos'!$C$38,'Nacional · supuestos'!$B$38)),0)</f>
        <v>0</v>
      </c>
      <c r="K1288">
        <f>IF(D1288="Canarias",MAX(E1288*'Nacional · supuestos'!$B$41,'Nacional · supuestos'!$B$42),0)</f>
        <v>0</v>
      </c>
      <c r="L1288">
        <f>IF(D1288="Canarias",E1288*'Nacional · supuestos'!$B$43,0)</f>
        <v>0</v>
      </c>
      <c r="M1288">
        <f>IF(D1288="Canarias",E1288*'Nacional · supuestos'!$B$44,0)</f>
        <v>0</v>
      </c>
      <c r="N1288">
        <f>IF(D1288="Canarias",E1288*'Nacional · supuestos'!$B$45,0)</f>
        <v>0</v>
      </c>
      <c r="O1288">
        <f>IF(D1288="Canarias",'Nacional · supuestos'!$B$46,0)</f>
        <v>0</v>
      </c>
      <c r="P1288">
        <f>IF(D1288="Canarias",MAX(H1288*'Nacional · supuestos'!$B$47,'Nacional · supuestos'!$B$48),0)</f>
        <v>0</v>
      </c>
      <c r="Q1288">
        <f>IF(D1288="Resto nacional",E1288*'Nacional · supuestos'!$B$13*IF(A1288=2027,1+'Nacional · supuestos'!$B$6,1),0)</f>
        <v>340.04633799159626</v>
      </c>
      <c r="R1288">
        <f>IF(D1288="Canarias",SUM(J1288:P1288)*IF(A1288=2027,1+'Nacional · supuestos'!$B$6,1),0)</f>
        <v>0</v>
      </c>
      <c r="S1288">
        <f t="shared" si="24"/>
        <v>340.04633799159626</v>
      </c>
    </row>
    <row r="1289" spans="1:19">
      <c r="A1289">
        <v>2027</v>
      </c>
      <c r="B1289">
        <v>5</v>
      </c>
      <c r="C1289" t="s">
        <v>178</v>
      </c>
      <c r="D1289" t="s">
        <v>160</v>
      </c>
      <c r="E1289">
        <f>SUMIFS('Nacional · base'!$J$7:$J$1068,'Nacional · base'!$A$7:$A$1068,A1289,'Nacional · base'!$B$7:$B$1068,B1289,'Nacional · base'!$C$7:$C$1068,C1289)</f>
        <v>873.19999999999993</v>
      </c>
      <c r="F1289">
        <f>SUMIFS('Nacional · base'!$K$7:$K$1068,'Nacional · base'!$A$7:$A$1068,A1289,'Nacional · base'!$B$7:$B$1068,B1289,'Nacional · base'!$C$7:$C$1068,C1289)</f>
        <v>1.2333333333333334</v>
      </c>
      <c r="G1289">
        <f t="shared" si="23"/>
        <v>2</v>
      </c>
      <c r="H1289">
        <f>SUMIFS('Nacional · base'!$G$7:$G$1068,'Nacional · base'!$A$7:$A$1068,A1289,'Nacional · base'!$B$7:$B$1068,B1289,'Nacional · base'!$C$7:$C$1068,C1289)</f>
        <v>9823.6349364655598</v>
      </c>
      <c r="I1289">
        <f>IF(D1289="Canarias",IF(C1289="CABRERA MORALES FRANCISCO",IF(E1289&lt;=2000,'Nacional · supuestos'!$C$34,IF(E1289&lt;=5000,'Nacional · supuestos'!$C$35,'Nacional · supuestos'!$C$36)),IF(E1289&lt;=2000,'Nacional · supuestos'!$B$34,IF(E1289&lt;=5000,'Nacional · supuestos'!$B$35,'Nacional · supuestos'!$B$36))),0)</f>
        <v>0</v>
      </c>
      <c r="J1289">
        <f>IF(D1289="Canarias",MAX(E1289*I1289,IF(C1289="CABRERA MORALES FRANCISCO",'Nacional · supuestos'!$C$38,'Nacional · supuestos'!$B$38)),0)</f>
        <v>0</v>
      </c>
      <c r="K1289">
        <f>IF(D1289="Canarias",MAX(E1289*'Nacional · supuestos'!$B$41,'Nacional · supuestos'!$B$42),0)</f>
        <v>0</v>
      </c>
      <c r="L1289">
        <f>IF(D1289="Canarias",E1289*'Nacional · supuestos'!$B$43,0)</f>
        <v>0</v>
      </c>
      <c r="M1289">
        <f>IF(D1289="Canarias",E1289*'Nacional · supuestos'!$B$44,0)</f>
        <v>0</v>
      </c>
      <c r="N1289">
        <f>IF(D1289="Canarias",E1289*'Nacional · supuestos'!$B$45,0)</f>
        <v>0</v>
      </c>
      <c r="O1289">
        <f>IF(D1289="Canarias",'Nacional · supuestos'!$B$46,0)</f>
        <v>0</v>
      </c>
      <c r="P1289">
        <f>IF(D1289="Canarias",MAX(H1289*'Nacional · supuestos'!$B$47,'Nacional · supuestos'!$B$48),0)</f>
        <v>0</v>
      </c>
      <c r="Q1289">
        <f>IF(D1289="Resto nacional",E1289*'Nacional · supuestos'!$B$13*IF(A1289=2027,1+'Nacional · supuestos'!$B$6,1),0)</f>
        <v>85.170083565459606</v>
      </c>
      <c r="R1289">
        <f>IF(D1289="Canarias",SUM(J1289:P1289)*IF(A1289=2027,1+'Nacional · supuestos'!$B$6,1),0)</f>
        <v>0</v>
      </c>
      <c r="S1289">
        <f t="shared" si="24"/>
        <v>85.170083565459606</v>
      </c>
    </row>
    <row r="1290" spans="1:19">
      <c r="A1290">
        <v>2027</v>
      </c>
      <c r="B1290">
        <v>5</v>
      </c>
      <c r="C1290" t="s">
        <v>212</v>
      </c>
      <c r="D1290" t="s">
        <v>160</v>
      </c>
      <c r="E1290">
        <f>SUMIFS('Nacional · base'!$J$7:$J$1068,'Nacional · base'!$A$7:$A$1068,A1290,'Nacional · base'!$B$7:$B$1068,B1290,'Nacional · base'!$C$7:$C$1068,C1290)</f>
        <v>1108</v>
      </c>
      <c r="F1290">
        <f>SUMIFS('Nacional · base'!$K$7:$K$1068,'Nacional · base'!$A$7:$A$1068,A1290,'Nacional · base'!$B$7:$B$1068,B1290,'Nacional · base'!$C$7:$C$1068,C1290)</f>
        <v>1.4770833333333333</v>
      </c>
      <c r="G1290">
        <f t="shared" si="23"/>
        <v>2</v>
      </c>
      <c r="H1290">
        <f>SUMIFS('Nacional · base'!$G$7:$G$1068,'Nacional · base'!$A$7:$A$1068,A1290,'Nacional · base'!$B$7:$B$1068,B1290,'Nacional · base'!$C$7:$C$1068,C1290)</f>
        <v>3440.158594859306</v>
      </c>
      <c r="I1290">
        <f>IF(D1290="Canarias",IF(C1290="CABRERA MORALES FRANCISCO",IF(E1290&lt;=2000,'Nacional · supuestos'!$C$34,IF(E1290&lt;=5000,'Nacional · supuestos'!$C$35,'Nacional · supuestos'!$C$36)),IF(E1290&lt;=2000,'Nacional · supuestos'!$B$34,IF(E1290&lt;=5000,'Nacional · supuestos'!$B$35,'Nacional · supuestos'!$B$36))),0)</f>
        <v>0</v>
      </c>
      <c r="J1290">
        <f>IF(D1290="Canarias",MAX(E1290*I1290,IF(C1290="CABRERA MORALES FRANCISCO",'Nacional · supuestos'!$C$38,'Nacional · supuestos'!$B$38)),0)</f>
        <v>0</v>
      </c>
      <c r="K1290">
        <f>IF(D1290="Canarias",MAX(E1290*'Nacional · supuestos'!$B$41,'Nacional · supuestos'!$B$42),0)</f>
        <v>0</v>
      </c>
      <c r="L1290">
        <f>IF(D1290="Canarias",E1290*'Nacional · supuestos'!$B$43,0)</f>
        <v>0</v>
      </c>
      <c r="M1290">
        <f>IF(D1290="Canarias",E1290*'Nacional · supuestos'!$B$44,0)</f>
        <v>0</v>
      </c>
      <c r="N1290">
        <f>IF(D1290="Canarias",E1290*'Nacional · supuestos'!$B$45,0)</f>
        <v>0</v>
      </c>
      <c r="O1290">
        <f>IF(D1290="Canarias",'Nacional · supuestos'!$B$46,0)</f>
        <v>0</v>
      </c>
      <c r="P1290">
        <f>IF(D1290="Canarias",MAX(H1290*'Nacional · supuestos'!$B$47,'Nacional · supuestos'!$B$48),0)</f>
        <v>0</v>
      </c>
      <c r="Q1290">
        <f>IF(D1290="Resto nacional",E1290*'Nacional · supuestos'!$B$13*IF(A1290=2027,1+'Nacional · supuestos'!$B$6,1),0)</f>
        <v>108.07197960436241</v>
      </c>
      <c r="R1290">
        <f>IF(D1290="Canarias",SUM(J1290:P1290)*IF(A1290=2027,1+'Nacional · supuestos'!$B$6,1),0)</f>
        <v>0</v>
      </c>
      <c r="S1290">
        <f t="shared" si="24"/>
        <v>108.07197960436241</v>
      </c>
    </row>
    <row r="1291" spans="1:19">
      <c r="A1291">
        <v>2027</v>
      </c>
      <c r="B1291">
        <v>5</v>
      </c>
      <c r="C1291" t="s">
        <v>192</v>
      </c>
      <c r="D1291" t="s">
        <v>160</v>
      </c>
      <c r="E1291">
        <f>SUMIFS('Nacional · base'!$J$7:$J$1068,'Nacional · base'!$A$7:$A$1068,A1291,'Nacional · base'!$B$7:$B$1068,B1291,'Nacional · base'!$C$7:$C$1068,C1291)</f>
        <v>749.3</v>
      </c>
      <c r="F1291">
        <f>SUMIFS('Nacional · base'!$K$7:$K$1068,'Nacional · base'!$A$7:$A$1068,A1291,'Nacional · base'!$B$7:$B$1068,B1291,'Nacional · base'!$C$7:$C$1068,C1291)</f>
        <v>1.0583333333333333</v>
      </c>
      <c r="G1291">
        <f t="shared" si="23"/>
        <v>2</v>
      </c>
      <c r="H1291">
        <f>SUMIFS('Nacional · base'!$G$7:$G$1068,'Nacional · base'!$A$7:$A$1068,A1291,'Nacional · base'!$B$7:$B$1068,B1291,'Nacional · base'!$C$7:$C$1068,C1291)</f>
        <v>2051.9201872498088</v>
      </c>
      <c r="I1291">
        <f>IF(D1291="Canarias",IF(C1291="CABRERA MORALES FRANCISCO",IF(E1291&lt;=2000,'Nacional · supuestos'!$C$34,IF(E1291&lt;=5000,'Nacional · supuestos'!$C$35,'Nacional · supuestos'!$C$36)),IF(E1291&lt;=2000,'Nacional · supuestos'!$B$34,IF(E1291&lt;=5000,'Nacional · supuestos'!$B$35,'Nacional · supuestos'!$B$36))),0)</f>
        <v>0</v>
      </c>
      <c r="J1291">
        <f>IF(D1291="Canarias",MAX(E1291*I1291,IF(C1291="CABRERA MORALES FRANCISCO",'Nacional · supuestos'!$C$38,'Nacional · supuestos'!$B$38)),0)</f>
        <v>0</v>
      </c>
      <c r="K1291">
        <f>IF(D1291="Canarias",MAX(E1291*'Nacional · supuestos'!$B$41,'Nacional · supuestos'!$B$42),0)</f>
        <v>0</v>
      </c>
      <c r="L1291">
        <f>IF(D1291="Canarias",E1291*'Nacional · supuestos'!$B$43,0)</f>
        <v>0</v>
      </c>
      <c r="M1291">
        <f>IF(D1291="Canarias",E1291*'Nacional · supuestos'!$B$44,0)</f>
        <v>0</v>
      </c>
      <c r="N1291">
        <f>IF(D1291="Canarias",E1291*'Nacional · supuestos'!$B$45,0)</f>
        <v>0</v>
      </c>
      <c r="O1291">
        <f>IF(D1291="Canarias",'Nacional · supuestos'!$B$46,0)</f>
        <v>0</v>
      </c>
      <c r="P1291">
        <f>IF(D1291="Canarias",MAX(H1291*'Nacional · supuestos'!$B$47,'Nacional · supuestos'!$B$48),0)</f>
        <v>0</v>
      </c>
      <c r="Q1291">
        <f>IF(D1291="Resto nacional",E1291*'Nacional · supuestos'!$B$13*IF(A1291=2027,1+'Nacional · supuestos'!$B$6,1),0)</f>
        <v>73.085139275766025</v>
      </c>
      <c r="R1291">
        <f>IF(D1291="Canarias",SUM(J1291:P1291)*IF(A1291=2027,1+'Nacional · supuestos'!$B$6,1),0)</f>
        <v>0</v>
      </c>
      <c r="S1291">
        <f t="shared" si="24"/>
        <v>73.085139275766025</v>
      </c>
    </row>
    <row r="1292" spans="1:19">
      <c r="A1292">
        <v>2027</v>
      </c>
      <c r="B1292">
        <v>5</v>
      </c>
      <c r="C1292" t="s">
        <v>179</v>
      </c>
      <c r="D1292" t="s">
        <v>160</v>
      </c>
      <c r="E1292">
        <f>SUMIFS('Nacional · base'!$J$7:$J$1068,'Nacional · base'!$A$7:$A$1068,A1292,'Nacional · base'!$B$7:$B$1068,B1292,'Nacional · base'!$C$7:$C$1068,C1292)</f>
        <v>944</v>
      </c>
      <c r="F1292">
        <f>SUMIFS('Nacional · base'!$K$7:$K$1068,'Nacional · base'!$A$7:$A$1068,A1292,'Nacional · base'!$B$7:$B$1068,B1292,'Nacional · base'!$C$7:$C$1068,C1292)</f>
        <v>1.25</v>
      </c>
      <c r="G1292">
        <f t="shared" si="23"/>
        <v>2</v>
      </c>
      <c r="H1292">
        <f>SUMIFS('Nacional · base'!$G$7:$G$1068,'Nacional · base'!$A$7:$A$1068,A1292,'Nacional · base'!$B$7:$B$1068,B1292,'Nacional · base'!$C$7:$C$1068,C1292)</f>
        <v>2876.9620100632319</v>
      </c>
      <c r="I1292">
        <f>IF(D1292="Canarias",IF(C1292="CABRERA MORALES FRANCISCO",IF(E1292&lt;=2000,'Nacional · supuestos'!$C$34,IF(E1292&lt;=5000,'Nacional · supuestos'!$C$35,'Nacional · supuestos'!$C$36)),IF(E1292&lt;=2000,'Nacional · supuestos'!$B$34,IF(E1292&lt;=5000,'Nacional · supuestos'!$B$35,'Nacional · supuestos'!$B$36))),0)</f>
        <v>0</v>
      </c>
      <c r="J1292">
        <f>IF(D1292="Canarias",MAX(E1292*I1292,IF(C1292="CABRERA MORALES FRANCISCO",'Nacional · supuestos'!$C$38,'Nacional · supuestos'!$B$38)),0)</f>
        <v>0</v>
      </c>
      <c r="K1292">
        <f>IF(D1292="Canarias",MAX(E1292*'Nacional · supuestos'!$B$41,'Nacional · supuestos'!$B$42),0)</f>
        <v>0</v>
      </c>
      <c r="L1292">
        <f>IF(D1292="Canarias",E1292*'Nacional · supuestos'!$B$43,0)</f>
        <v>0</v>
      </c>
      <c r="M1292">
        <f>IF(D1292="Canarias",E1292*'Nacional · supuestos'!$B$44,0)</f>
        <v>0</v>
      </c>
      <c r="N1292">
        <f>IF(D1292="Canarias",E1292*'Nacional · supuestos'!$B$45,0)</f>
        <v>0</v>
      </c>
      <c r="O1292">
        <f>IF(D1292="Canarias",'Nacional · supuestos'!$B$46,0)</f>
        <v>0</v>
      </c>
      <c r="P1292">
        <f>IF(D1292="Canarias",MAX(H1292*'Nacional · supuestos'!$B$47,'Nacional · supuestos'!$B$48),0)</f>
        <v>0</v>
      </c>
      <c r="Q1292">
        <f>IF(D1292="Resto nacional",E1292*'Nacional · supuestos'!$B$13*IF(A1292=2027,1+'Nacional · supuestos'!$B$6,1),0)</f>
        <v>92.075766016713104</v>
      </c>
      <c r="R1292">
        <f>IF(D1292="Canarias",SUM(J1292:P1292)*IF(A1292=2027,1+'Nacional · supuestos'!$B$6,1),0)</f>
        <v>0</v>
      </c>
      <c r="S1292">
        <f t="shared" si="24"/>
        <v>92.075766016713104</v>
      </c>
    </row>
    <row r="1293" spans="1:19">
      <c r="A1293">
        <v>2027</v>
      </c>
      <c r="B1293">
        <v>5</v>
      </c>
      <c r="C1293" t="s">
        <v>205</v>
      </c>
      <c r="D1293" t="s">
        <v>160</v>
      </c>
      <c r="E1293">
        <f>SUMIFS('Nacional · base'!$J$7:$J$1068,'Nacional · base'!$A$7:$A$1068,A1293,'Nacional · base'!$B$7:$B$1068,B1293,'Nacional · base'!$C$7:$C$1068,C1293)</f>
        <v>257</v>
      </c>
      <c r="F1293">
        <f>SUMIFS('Nacional · base'!$K$7:$K$1068,'Nacional · base'!$A$7:$A$1068,A1293,'Nacional · base'!$B$7:$B$1068,B1293,'Nacional · base'!$C$7:$C$1068,C1293)</f>
        <v>0.35</v>
      </c>
      <c r="G1293">
        <f t="shared" si="23"/>
        <v>1</v>
      </c>
      <c r="H1293">
        <f>SUMIFS('Nacional · base'!$G$7:$G$1068,'Nacional · base'!$A$7:$A$1068,A1293,'Nacional · base'!$B$7:$B$1068,B1293,'Nacional · base'!$C$7:$C$1068,C1293)</f>
        <v>652.31986445564144</v>
      </c>
      <c r="I1293">
        <f>IF(D1293="Canarias",IF(C1293="CABRERA MORALES FRANCISCO",IF(E1293&lt;=2000,'Nacional · supuestos'!$C$34,IF(E1293&lt;=5000,'Nacional · supuestos'!$C$35,'Nacional · supuestos'!$C$36)),IF(E1293&lt;=2000,'Nacional · supuestos'!$B$34,IF(E1293&lt;=5000,'Nacional · supuestos'!$B$35,'Nacional · supuestos'!$B$36))),0)</f>
        <v>0</v>
      </c>
      <c r="J1293">
        <f>IF(D1293="Canarias",MAX(E1293*I1293,IF(C1293="CABRERA MORALES FRANCISCO",'Nacional · supuestos'!$C$38,'Nacional · supuestos'!$B$38)),0)</f>
        <v>0</v>
      </c>
      <c r="K1293">
        <f>IF(D1293="Canarias",MAX(E1293*'Nacional · supuestos'!$B$41,'Nacional · supuestos'!$B$42),0)</f>
        <v>0</v>
      </c>
      <c r="L1293">
        <f>IF(D1293="Canarias",E1293*'Nacional · supuestos'!$B$43,0)</f>
        <v>0</v>
      </c>
      <c r="M1293">
        <f>IF(D1293="Canarias",E1293*'Nacional · supuestos'!$B$44,0)</f>
        <v>0</v>
      </c>
      <c r="N1293">
        <f>IF(D1293="Canarias",E1293*'Nacional · supuestos'!$B$45,0)</f>
        <v>0</v>
      </c>
      <c r="O1293">
        <f>IF(D1293="Canarias",'Nacional · supuestos'!$B$46,0)</f>
        <v>0</v>
      </c>
      <c r="P1293">
        <f>IF(D1293="Canarias",MAX(H1293*'Nacional · supuestos'!$B$47,'Nacional · supuestos'!$B$48),0)</f>
        <v>0</v>
      </c>
      <c r="Q1293">
        <f>IF(D1293="Resto nacional",E1293*'Nacional · supuestos'!$B$13*IF(A1293=2027,1+'Nacional · supuestos'!$B$6,1),0)</f>
        <v>25.06723714649922</v>
      </c>
      <c r="R1293">
        <f>IF(D1293="Canarias",SUM(J1293:P1293)*IF(A1293=2027,1+'Nacional · supuestos'!$B$6,1),0)</f>
        <v>0</v>
      </c>
      <c r="S1293">
        <f t="shared" si="24"/>
        <v>25.06723714649922</v>
      </c>
    </row>
    <row r="1294" spans="1:19">
      <c r="A1294">
        <v>2027</v>
      </c>
      <c r="B1294">
        <v>5</v>
      </c>
      <c r="C1294" t="s">
        <v>199</v>
      </c>
      <c r="D1294" t="s">
        <v>160</v>
      </c>
      <c r="E1294">
        <f>SUMIFS('Nacional · base'!$J$7:$J$1068,'Nacional · base'!$A$7:$A$1068,A1294,'Nacional · base'!$B$7:$B$1068,B1294,'Nacional · base'!$C$7:$C$1068,C1294)</f>
        <v>992.5</v>
      </c>
      <c r="F1294">
        <f>SUMIFS('Nacional · base'!$K$7:$K$1068,'Nacional · base'!$A$7:$A$1068,A1294,'Nacional · base'!$B$7:$B$1068,B1294,'Nacional · base'!$C$7:$C$1068,C1294)</f>
        <v>1.3583333333333334</v>
      </c>
      <c r="G1294">
        <f t="shared" si="23"/>
        <v>2</v>
      </c>
      <c r="H1294">
        <f>SUMIFS('Nacional · base'!$G$7:$G$1068,'Nacional · base'!$A$7:$A$1068,A1294,'Nacional · base'!$B$7:$B$1068,B1294,'Nacional · base'!$C$7:$C$1068,C1294)</f>
        <v>4529.6515995397731</v>
      </c>
      <c r="I1294">
        <f>IF(D1294="Canarias",IF(C1294="CABRERA MORALES FRANCISCO",IF(E1294&lt;=2000,'Nacional · supuestos'!$C$34,IF(E1294&lt;=5000,'Nacional · supuestos'!$C$35,'Nacional · supuestos'!$C$36)),IF(E1294&lt;=2000,'Nacional · supuestos'!$B$34,IF(E1294&lt;=5000,'Nacional · supuestos'!$B$35,'Nacional · supuestos'!$B$36))),0)</f>
        <v>0</v>
      </c>
      <c r="J1294">
        <f>IF(D1294="Canarias",MAX(E1294*I1294,IF(C1294="CABRERA MORALES FRANCISCO",'Nacional · supuestos'!$C$38,'Nacional · supuestos'!$B$38)),0)</f>
        <v>0</v>
      </c>
      <c r="K1294">
        <f>IF(D1294="Canarias",MAX(E1294*'Nacional · supuestos'!$B$41,'Nacional · supuestos'!$B$42),0)</f>
        <v>0</v>
      </c>
      <c r="L1294">
        <f>IF(D1294="Canarias",E1294*'Nacional · supuestos'!$B$43,0)</f>
        <v>0</v>
      </c>
      <c r="M1294">
        <f>IF(D1294="Canarias",E1294*'Nacional · supuestos'!$B$44,0)</f>
        <v>0</v>
      </c>
      <c r="N1294">
        <f>IF(D1294="Canarias",E1294*'Nacional · supuestos'!$B$45,0)</f>
        <v>0</v>
      </c>
      <c r="O1294">
        <f>IF(D1294="Canarias",'Nacional · supuestos'!$B$46,0)</f>
        <v>0</v>
      </c>
      <c r="P1294">
        <f>IF(D1294="Canarias",MAX(H1294*'Nacional · supuestos'!$B$47,'Nacional · supuestos'!$B$48),0)</f>
        <v>0</v>
      </c>
      <c r="Q1294">
        <f>IF(D1294="Resto nacional",E1294*'Nacional · supuestos'!$B$13*IF(A1294=2027,1+'Nacional · supuestos'!$B$6,1),0)</f>
        <v>96.806353571597185</v>
      </c>
      <c r="R1294">
        <f>IF(D1294="Canarias",SUM(J1294:P1294)*IF(A1294=2027,1+'Nacional · supuestos'!$B$6,1),0)</f>
        <v>0</v>
      </c>
      <c r="S1294">
        <f t="shared" si="24"/>
        <v>96.806353571597185</v>
      </c>
    </row>
    <row r="1295" spans="1:19">
      <c r="A1295">
        <v>2027</v>
      </c>
      <c r="B1295">
        <v>5</v>
      </c>
      <c r="C1295" t="s">
        <v>213</v>
      </c>
      <c r="D1295" t="s">
        <v>160</v>
      </c>
      <c r="E1295">
        <f>SUMIFS('Nacional · base'!$J$7:$J$1068,'Nacional · base'!$A$7:$A$1068,A1295,'Nacional · base'!$B$7:$B$1068,B1295,'Nacional · base'!$C$7:$C$1068,C1295)</f>
        <v>4956</v>
      </c>
      <c r="F1295">
        <f>SUMIFS('Nacional · base'!$K$7:$K$1068,'Nacional · base'!$A$7:$A$1068,A1295,'Nacional · base'!$B$7:$B$1068,B1295,'Nacional · base'!$C$7:$C$1068,C1295)</f>
        <v>6.5625</v>
      </c>
      <c r="G1295">
        <f t="shared" si="23"/>
        <v>7</v>
      </c>
      <c r="H1295">
        <f>SUMIFS('Nacional · base'!$G$7:$G$1068,'Nacional · base'!$A$7:$A$1068,A1295,'Nacional · base'!$B$7:$B$1068,B1295,'Nacional · base'!$C$7:$C$1068,C1295)</f>
        <v>13120.614569952142</v>
      </c>
      <c r="I1295">
        <f>IF(D1295="Canarias",IF(C1295="CABRERA MORALES FRANCISCO",IF(E1295&lt;=2000,'Nacional · supuestos'!$C$34,IF(E1295&lt;=5000,'Nacional · supuestos'!$C$35,'Nacional · supuestos'!$C$36)),IF(E1295&lt;=2000,'Nacional · supuestos'!$B$34,IF(E1295&lt;=5000,'Nacional · supuestos'!$B$35,'Nacional · supuestos'!$B$36))),0)</f>
        <v>0</v>
      </c>
      <c r="J1295">
        <f>IF(D1295="Canarias",MAX(E1295*I1295,IF(C1295="CABRERA MORALES FRANCISCO",'Nacional · supuestos'!$C$38,'Nacional · supuestos'!$B$38)),0)</f>
        <v>0</v>
      </c>
      <c r="K1295">
        <f>IF(D1295="Canarias",MAX(E1295*'Nacional · supuestos'!$B$41,'Nacional · supuestos'!$B$42),0)</f>
        <v>0</v>
      </c>
      <c r="L1295">
        <f>IF(D1295="Canarias",E1295*'Nacional · supuestos'!$B$43,0)</f>
        <v>0</v>
      </c>
      <c r="M1295">
        <f>IF(D1295="Canarias",E1295*'Nacional · supuestos'!$B$44,0)</f>
        <v>0</v>
      </c>
      <c r="N1295">
        <f>IF(D1295="Canarias",E1295*'Nacional · supuestos'!$B$45,0)</f>
        <v>0</v>
      </c>
      <c r="O1295">
        <f>IF(D1295="Canarias",'Nacional · supuestos'!$B$46,0)</f>
        <v>0</v>
      </c>
      <c r="P1295">
        <f>IF(D1295="Canarias",MAX(H1295*'Nacional · supuestos'!$B$47,'Nacional · supuestos'!$B$48),0)</f>
        <v>0</v>
      </c>
      <c r="Q1295">
        <f>IF(D1295="Resto nacional",E1295*'Nacional · supuestos'!$B$13*IF(A1295=2027,1+'Nacional · supuestos'!$B$6,1),0)</f>
        <v>483.39777158774376</v>
      </c>
      <c r="R1295">
        <f>IF(D1295="Canarias",SUM(J1295:P1295)*IF(A1295=2027,1+'Nacional · supuestos'!$B$6,1),0)</f>
        <v>0</v>
      </c>
      <c r="S1295">
        <f t="shared" si="24"/>
        <v>483.39777158774376</v>
      </c>
    </row>
    <row r="1296" spans="1:19">
      <c r="A1296">
        <v>2027</v>
      </c>
      <c r="B1296">
        <v>5</v>
      </c>
      <c r="C1296" t="s">
        <v>180</v>
      </c>
      <c r="D1296" t="s">
        <v>160</v>
      </c>
      <c r="E1296">
        <f>SUMIFS('Nacional · base'!$J$7:$J$1068,'Nacional · base'!$A$7:$A$1068,A1296,'Nacional · base'!$B$7:$B$1068,B1296,'Nacional · base'!$C$7:$C$1068,C1296)</f>
        <v>2747.98</v>
      </c>
      <c r="F1296">
        <f>SUMIFS('Nacional · base'!$K$7:$K$1068,'Nacional · base'!$A$7:$A$1068,A1296,'Nacional · base'!$B$7:$B$1068,B1296,'Nacional · base'!$C$7:$C$1068,C1296)</f>
        <v>3.5558712121212124</v>
      </c>
      <c r="G1296">
        <f t="shared" si="23"/>
        <v>4</v>
      </c>
      <c r="H1296">
        <f>SUMIFS('Nacional · base'!$G$7:$G$1068,'Nacional · base'!$A$7:$A$1068,A1296,'Nacional · base'!$B$7:$B$1068,B1296,'Nacional · base'!$C$7:$C$1068,C1296)</f>
        <v>9017.1807226930796</v>
      </c>
      <c r="I1296">
        <f>IF(D1296="Canarias",IF(C1296="CABRERA MORALES FRANCISCO",IF(E1296&lt;=2000,'Nacional · supuestos'!$C$34,IF(E1296&lt;=5000,'Nacional · supuestos'!$C$35,'Nacional · supuestos'!$C$36)),IF(E1296&lt;=2000,'Nacional · supuestos'!$B$34,IF(E1296&lt;=5000,'Nacional · supuestos'!$B$35,'Nacional · supuestos'!$B$36))),0)</f>
        <v>0</v>
      </c>
      <c r="J1296">
        <f>IF(D1296="Canarias",MAX(E1296*I1296,IF(C1296="CABRERA MORALES FRANCISCO",'Nacional · supuestos'!$C$38,'Nacional · supuestos'!$B$38)),0)</f>
        <v>0</v>
      </c>
      <c r="K1296">
        <f>IF(D1296="Canarias",MAX(E1296*'Nacional · supuestos'!$B$41,'Nacional · supuestos'!$B$42),0)</f>
        <v>0</v>
      </c>
      <c r="L1296">
        <f>IF(D1296="Canarias",E1296*'Nacional · supuestos'!$B$43,0)</f>
        <v>0</v>
      </c>
      <c r="M1296">
        <f>IF(D1296="Canarias",E1296*'Nacional · supuestos'!$B$44,0)</f>
        <v>0</v>
      </c>
      <c r="N1296">
        <f>IF(D1296="Canarias",E1296*'Nacional · supuestos'!$B$45,0)</f>
        <v>0</v>
      </c>
      <c r="O1296">
        <f>IF(D1296="Canarias",'Nacional · supuestos'!$B$46,0)</f>
        <v>0</v>
      </c>
      <c r="P1296">
        <f>IF(D1296="Canarias",MAX(H1296*'Nacional · supuestos'!$B$47,'Nacional · supuestos'!$B$48),0)</f>
        <v>0</v>
      </c>
      <c r="Q1296">
        <f>IF(D1296="Resto nacional",E1296*'Nacional · supuestos'!$B$13*IF(A1296=2027,1+'Nacional · supuestos'!$B$6,1),0)</f>
        <v>268.03216472310089</v>
      </c>
      <c r="R1296">
        <f>IF(D1296="Canarias",SUM(J1296:P1296)*IF(A1296=2027,1+'Nacional · supuestos'!$B$6,1),0)</f>
        <v>0</v>
      </c>
      <c r="S1296">
        <f t="shared" si="24"/>
        <v>268.03216472310089</v>
      </c>
    </row>
    <row r="1297" spans="1:19">
      <c r="A1297">
        <v>2027</v>
      </c>
      <c r="B1297">
        <v>5</v>
      </c>
      <c r="C1297" t="s">
        <v>185</v>
      </c>
      <c r="D1297" t="s">
        <v>160</v>
      </c>
      <c r="E1297">
        <f>SUMIFS('Nacional · base'!$J$7:$J$1068,'Nacional · base'!$A$7:$A$1068,A1297,'Nacional · base'!$B$7:$B$1068,B1297,'Nacional · base'!$C$7:$C$1068,C1297)</f>
        <v>1298</v>
      </c>
      <c r="F1297">
        <f>SUMIFS('Nacional · base'!$K$7:$K$1068,'Nacional · base'!$A$7:$A$1068,A1297,'Nacional · base'!$B$7:$B$1068,B1297,'Nacional · base'!$C$7:$C$1068,C1297)</f>
        <v>1.71875</v>
      </c>
      <c r="G1297">
        <f t="shared" si="23"/>
        <v>2</v>
      </c>
      <c r="H1297">
        <f>SUMIFS('Nacional · base'!$G$7:$G$1068,'Nacional · base'!$A$7:$A$1068,A1297,'Nacional · base'!$B$7:$B$1068,B1297,'Nacional · base'!$C$7:$C$1068,C1297)</f>
        <v>3795.2966226957351</v>
      </c>
      <c r="I1297">
        <f>IF(D1297="Canarias",IF(C1297="CABRERA MORALES FRANCISCO",IF(E1297&lt;=2000,'Nacional · supuestos'!$C$34,IF(E1297&lt;=5000,'Nacional · supuestos'!$C$35,'Nacional · supuestos'!$C$36)),IF(E1297&lt;=2000,'Nacional · supuestos'!$B$34,IF(E1297&lt;=5000,'Nacional · supuestos'!$B$35,'Nacional · supuestos'!$B$36))),0)</f>
        <v>0</v>
      </c>
      <c r="J1297">
        <f>IF(D1297="Canarias",MAX(E1297*I1297,IF(C1297="CABRERA MORALES FRANCISCO",'Nacional · supuestos'!$C$38,'Nacional · supuestos'!$B$38)),0)</f>
        <v>0</v>
      </c>
      <c r="K1297">
        <f>IF(D1297="Canarias",MAX(E1297*'Nacional · supuestos'!$B$41,'Nacional · supuestos'!$B$42),0)</f>
        <v>0</v>
      </c>
      <c r="L1297">
        <f>IF(D1297="Canarias",E1297*'Nacional · supuestos'!$B$43,0)</f>
        <v>0</v>
      </c>
      <c r="M1297">
        <f>IF(D1297="Canarias",E1297*'Nacional · supuestos'!$B$44,0)</f>
        <v>0</v>
      </c>
      <c r="N1297">
        <f>IF(D1297="Canarias",E1297*'Nacional · supuestos'!$B$45,0)</f>
        <v>0</v>
      </c>
      <c r="O1297">
        <f>IF(D1297="Canarias",'Nacional · supuestos'!$B$46,0)</f>
        <v>0</v>
      </c>
      <c r="P1297">
        <f>IF(D1297="Canarias",MAX(H1297*'Nacional · supuestos'!$B$47,'Nacional · supuestos'!$B$48),0)</f>
        <v>0</v>
      </c>
      <c r="Q1297">
        <f>IF(D1297="Resto nacional",E1297*'Nacional · supuestos'!$B$13*IF(A1297=2027,1+'Nacional · supuestos'!$B$6,1),0)</f>
        <v>126.6041782729805</v>
      </c>
      <c r="R1297">
        <f>IF(D1297="Canarias",SUM(J1297:P1297)*IF(A1297=2027,1+'Nacional · supuestos'!$B$6,1),0)</f>
        <v>0</v>
      </c>
      <c r="S1297">
        <f t="shared" si="24"/>
        <v>126.6041782729805</v>
      </c>
    </row>
    <row r="1298" spans="1:19">
      <c r="A1298">
        <v>2027</v>
      </c>
      <c r="B1298">
        <v>5</v>
      </c>
      <c r="C1298" t="s">
        <v>209</v>
      </c>
      <c r="D1298" t="s">
        <v>160</v>
      </c>
      <c r="E1298">
        <f>SUMIFS('Nacional · base'!$J$7:$J$1068,'Nacional · base'!$A$7:$A$1068,A1298,'Nacional · base'!$B$7:$B$1068,B1298,'Nacional · base'!$C$7:$C$1068,C1298)</f>
        <v>3406</v>
      </c>
      <c r="F1298">
        <f>SUMIFS('Nacional · base'!$K$7:$K$1068,'Nacional · base'!$A$7:$A$1068,A1298,'Nacional · base'!$B$7:$B$1068,B1298,'Nacional · base'!$C$7:$C$1068,C1298)</f>
        <v>4.40625</v>
      </c>
      <c r="G1298">
        <f t="shared" si="23"/>
        <v>5</v>
      </c>
      <c r="H1298">
        <f>SUMIFS('Nacional · base'!$G$7:$G$1068,'Nacional · base'!$A$7:$A$1068,A1298,'Nacional · base'!$B$7:$B$1068,B1298,'Nacional · base'!$C$7:$C$1068,C1298)</f>
        <v>8583.353614371259</v>
      </c>
      <c r="I1298">
        <f>IF(D1298="Canarias",IF(C1298="CABRERA MORALES FRANCISCO",IF(E1298&lt;=2000,'Nacional · supuestos'!$C$34,IF(E1298&lt;=5000,'Nacional · supuestos'!$C$35,'Nacional · supuestos'!$C$36)),IF(E1298&lt;=2000,'Nacional · supuestos'!$B$34,IF(E1298&lt;=5000,'Nacional · supuestos'!$B$35,'Nacional · supuestos'!$B$36))),0)</f>
        <v>0</v>
      </c>
      <c r="J1298">
        <f>IF(D1298="Canarias",MAX(E1298*I1298,IF(C1298="CABRERA MORALES FRANCISCO",'Nacional · supuestos'!$C$38,'Nacional · supuestos'!$B$38)),0)</f>
        <v>0</v>
      </c>
      <c r="K1298">
        <f>IF(D1298="Canarias",MAX(E1298*'Nacional · supuestos'!$B$41,'Nacional · supuestos'!$B$42),0)</f>
        <v>0</v>
      </c>
      <c r="L1298">
        <f>IF(D1298="Canarias",E1298*'Nacional · supuestos'!$B$43,0)</f>
        <v>0</v>
      </c>
      <c r="M1298">
        <f>IF(D1298="Canarias",E1298*'Nacional · supuestos'!$B$44,0)</f>
        <v>0</v>
      </c>
      <c r="N1298">
        <f>IF(D1298="Canarias",E1298*'Nacional · supuestos'!$B$45,0)</f>
        <v>0</v>
      </c>
      <c r="O1298">
        <f>IF(D1298="Canarias",'Nacional · supuestos'!$B$46,0)</f>
        <v>0</v>
      </c>
      <c r="P1298">
        <f>IF(D1298="Canarias",MAX(H1298*'Nacional · supuestos'!$B$47,'Nacional · supuestos'!$B$48),0)</f>
        <v>0</v>
      </c>
      <c r="Q1298">
        <f>IF(D1298="Resto nacional",E1298*'Nacional · supuestos'!$B$13*IF(A1298=2027,1+'Nacional · supuestos'!$B$6,1),0)</f>
        <v>332.2140456069119</v>
      </c>
      <c r="R1298">
        <f>IF(D1298="Canarias",SUM(J1298:P1298)*IF(A1298=2027,1+'Nacional · supuestos'!$B$6,1),0)</f>
        <v>0</v>
      </c>
      <c r="S1298">
        <f t="shared" si="24"/>
        <v>332.2140456069119</v>
      </c>
    </row>
    <row r="1299" spans="1:19">
      <c r="A1299">
        <v>2027</v>
      </c>
      <c r="B1299">
        <v>5</v>
      </c>
      <c r="C1299" t="s">
        <v>181</v>
      </c>
      <c r="D1299" t="s">
        <v>160</v>
      </c>
      <c r="E1299">
        <f>SUMIFS('Nacional · base'!$J$7:$J$1068,'Nacional · base'!$A$7:$A$1068,A1299,'Nacional · base'!$B$7:$B$1068,B1299,'Nacional · base'!$C$7:$C$1068,C1299)</f>
        <v>3353.2</v>
      </c>
      <c r="F1299">
        <f>SUMIFS('Nacional · base'!$K$7:$K$1068,'Nacional · base'!$A$7:$A$1068,A1299,'Nacional · base'!$B$7:$B$1068,B1299,'Nacional · base'!$C$7:$C$1068,C1299)</f>
        <v>4.2562499999999996</v>
      </c>
      <c r="G1299">
        <f t="shared" si="23"/>
        <v>5</v>
      </c>
      <c r="H1299">
        <f>SUMIFS('Nacional · base'!$G$7:$G$1068,'Nacional · base'!$A$7:$A$1068,A1299,'Nacional · base'!$B$7:$B$1068,B1299,'Nacional · base'!$C$7:$C$1068,C1299)</f>
        <v>7721.3073888921699</v>
      </c>
      <c r="I1299">
        <f>IF(D1299="Canarias",IF(C1299="CABRERA MORALES FRANCISCO",IF(E1299&lt;=2000,'Nacional · supuestos'!$C$34,IF(E1299&lt;=5000,'Nacional · supuestos'!$C$35,'Nacional · supuestos'!$C$36)),IF(E1299&lt;=2000,'Nacional · supuestos'!$B$34,IF(E1299&lt;=5000,'Nacional · supuestos'!$B$35,'Nacional · supuestos'!$B$36))),0)</f>
        <v>0</v>
      </c>
      <c r="J1299">
        <f>IF(D1299="Canarias",MAX(E1299*I1299,IF(C1299="CABRERA MORALES FRANCISCO",'Nacional · supuestos'!$C$38,'Nacional · supuestos'!$B$38)),0)</f>
        <v>0</v>
      </c>
      <c r="K1299">
        <f>IF(D1299="Canarias",MAX(E1299*'Nacional · supuestos'!$B$41,'Nacional · supuestos'!$B$42),0)</f>
        <v>0</v>
      </c>
      <c r="L1299">
        <f>IF(D1299="Canarias",E1299*'Nacional · supuestos'!$B$43,0)</f>
        <v>0</v>
      </c>
      <c r="M1299">
        <f>IF(D1299="Canarias",E1299*'Nacional · supuestos'!$B$44,0)</f>
        <v>0</v>
      </c>
      <c r="N1299">
        <f>IF(D1299="Canarias",E1299*'Nacional · supuestos'!$B$45,0)</f>
        <v>0</v>
      </c>
      <c r="O1299">
        <f>IF(D1299="Canarias",'Nacional · supuestos'!$B$46,0)</f>
        <v>0</v>
      </c>
      <c r="P1299">
        <f>IF(D1299="Canarias",MAX(H1299*'Nacional · supuestos'!$B$47,'Nacional · supuestos'!$B$48),0)</f>
        <v>0</v>
      </c>
      <c r="Q1299">
        <f>IF(D1299="Resto nacional",E1299*'Nacional · supuestos'!$B$13*IF(A1299=2027,1+'Nacional · supuestos'!$B$6,1),0)</f>
        <v>327.0640451347906</v>
      </c>
      <c r="R1299">
        <f>IF(D1299="Canarias",SUM(J1299:P1299)*IF(A1299=2027,1+'Nacional · supuestos'!$B$6,1),0)</f>
        <v>0</v>
      </c>
      <c r="S1299">
        <f t="shared" si="24"/>
        <v>327.0640451347906</v>
      </c>
    </row>
    <row r="1300" spans="1:19">
      <c r="A1300">
        <v>2027</v>
      </c>
      <c r="B1300">
        <v>5</v>
      </c>
      <c r="C1300" t="s">
        <v>186</v>
      </c>
      <c r="D1300" t="s">
        <v>160</v>
      </c>
      <c r="E1300">
        <f>SUMIFS('Nacional · base'!$J$7:$J$1068,'Nacional · base'!$A$7:$A$1068,A1300,'Nacional · base'!$B$7:$B$1068,B1300,'Nacional · base'!$C$7:$C$1068,C1300)</f>
        <v>7394.4</v>
      </c>
      <c r="F1300">
        <f>SUMIFS('Nacional · base'!$K$7:$K$1068,'Nacional · base'!$A$7:$A$1068,A1300,'Nacional · base'!$B$7:$B$1068,B1300,'Nacional · base'!$C$7:$C$1068,C1300)</f>
        <v>8.7535984848484851</v>
      </c>
      <c r="G1300">
        <f t="shared" si="23"/>
        <v>9</v>
      </c>
      <c r="H1300">
        <f>SUMIFS('Nacional · base'!$G$7:$G$1068,'Nacional · base'!$A$7:$A$1068,A1300,'Nacional · base'!$B$7:$B$1068,B1300,'Nacional · base'!$C$7:$C$1068,C1300)</f>
        <v>19033.657521540979</v>
      </c>
      <c r="I1300">
        <f>IF(D1300="Canarias",IF(C1300="CABRERA MORALES FRANCISCO",IF(E1300&lt;=2000,'Nacional · supuestos'!$C$34,IF(E1300&lt;=5000,'Nacional · supuestos'!$C$35,'Nacional · supuestos'!$C$36)),IF(E1300&lt;=2000,'Nacional · supuestos'!$B$34,IF(E1300&lt;=5000,'Nacional · supuestos'!$B$35,'Nacional · supuestos'!$B$36))),0)</f>
        <v>0</v>
      </c>
      <c r="J1300">
        <f>IF(D1300="Canarias",MAX(E1300*I1300,IF(C1300="CABRERA MORALES FRANCISCO",'Nacional · supuestos'!$C$38,'Nacional · supuestos'!$B$38)),0)</f>
        <v>0</v>
      </c>
      <c r="K1300">
        <f>IF(D1300="Canarias",MAX(E1300*'Nacional · supuestos'!$B$41,'Nacional · supuestos'!$B$42),0)</f>
        <v>0</v>
      </c>
      <c r="L1300">
        <f>IF(D1300="Canarias",E1300*'Nacional · supuestos'!$B$43,0)</f>
        <v>0</v>
      </c>
      <c r="M1300">
        <f>IF(D1300="Canarias",E1300*'Nacional · supuestos'!$B$44,0)</f>
        <v>0</v>
      </c>
      <c r="N1300">
        <f>IF(D1300="Canarias",E1300*'Nacional · supuestos'!$B$45,0)</f>
        <v>0</v>
      </c>
      <c r="O1300">
        <f>IF(D1300="Canarias",'Nacional · supuestos'!$B$46,0)</f>
        <v>0</v>
      </c>
      <c r="P1300">
        <f>IF(D1300="Canarias",MAX(H1300*'Nacional · supuestos'!$B$47,'Nacional · supuestos'!$B$48),0)</f>
        <v>0</v>
      </c>
      <c r="Q1300">
        <f>IF(D1300="Resto nacional",E1300*'Nacional · supuestos'!$B$13*IF(A1300=2027,1+'Nacional · supuestos'!$B$6,1),0)</f>
        <v>721.2341570275247</v>
      </c>
      <c r="R1300">
        <f>IF(D1300="Canarias",SUM(J1300:P1300)*IF(A1300=2027,1+'Nacional · supuestos'!$B$6,1),0)</f>
        <v>0</v>
      </c>
      <c r="S1300">
        <f t="shared" si="24"/>
        <v>721.2341570275247</v>
      </c>
    </row>
    <row r="1301" spans="1:19">
      <c r="A1301">
        <v>2027</v>
      </c>
      <c r="B1301">
        <v>6</v>
      </c>
      <c r="C1301" t="s">
        <v>194</v>
      </c>
      <c r="D1301" t="s">
        <v>160</v>
      </c>
      <c r="E1301">
        <f>SUMIFS('Nacional · base'!$J$7:$J$1068,'Nacional · base'!$A$7:$A$1068,A1301,'Nacional · base'!$B$7:$B$1068,B1301,'Nacional · base'!$C$7:$C$1068,C1301)</f>
        <v>891</v>
      </c>
      <c r="F1301">
        <f>SUMIFS('Nacional · base'!$K$7:$K$1068,'Nacional · base'!$A$7:$A$1068,A1301,'Nacional · base'!$B$7:$B$1068,B1301,'Nacional · base'!$C$7:$C$1068,C1301)</f>
        <v>1.1549242424242425</v>
      </c>
      <c r="G1301">
        <f t="shared" si="23"/>
        <v>2</v>
      </c>
      <c r="H1301">
        <f>SUMIFS('Nacional · base'!$G$7:$G$1068,'Nacional · base'!$A$7:$A$1068,A1301,'Nacional · base'!$B$7:$B$1068,B1301,'Nacional · base'!$C$7:$C$1068,C1301)</f>
        <v>1732.9526600471461</v>
      </c>
      <c r="I1301">
        <f>IF(D1301="Canarias",IF(C1301="CABRERA MORALES FRANCISCO",IF(E1301&lt;=2000,'Nacional · supuestos'!$C$34,IF(E1301&lt;=5000,'Nacional · supuestos'!$C$35,'Nacional · supuestos'!$C$36)),IF(E1301&lt;=2000,'Nacional · supuestos'!$B$34,IF(E1301&lt;=5000,'Nacional · supuestos'!$B$35,'Nacional · supuestos'!$B$36))),0)</f>
        <v>0</v>
      </c>
      <c r="J1301">
        <f>IF(D1301="Canarias",MAX(E1301*I1301,IF(C1301="CABRERA MORALES FRANCISCO",'Nacional · supuestos'!$C$38,'Nacional · supuestos'!$B$38)),0)</f>
        <v>0</v>
      </c>
      <c r="K1301">
        <f>IF(D1301="Canarias",MAX(E1301*'Nacional · supuestos'!$B$41,'Nacional · supuestos'!$B$42),0)</f>
        <v>0</v>
      </c>
      <c r="L1301">
        <f>IF(D1301="Canarias",E1301*'Nacional · supuestos'!$B$43,0)</f>
        <v>0</v>
      </c>
      <c r="M1301">
        <f>IF(D1301="Canarias",E1301*'Nacional · supuestos'!$B$44,0)</f>
        <v>0</v>
      </c>
      <c r="N1301">
        <f>IF(D1301="Canarias",E1301*'Nacional · supuestos'!$B$45,0)</f>
        <v>0</v>
      </c>
      <c r="O1301">
        <f>IF(D1301="Canarias",'Nacional · supuestos'!$B$46,0)</f>
        <v>0</v>
      </c>
      <c r="P1301">
        <f>IF(D1301="Canarias",MAX(H1301*'Nacional · supuestos'!$B$47,'Nacional · supuestos'!$B$48),0)</f>
        <v>0</v>
      </c>
      <c r="Q1301">
        <f>IF(D1301="Resto nacional",E1301*'Nacional · supuestos'!$B$13*IF(A1301=2027,1+'Nacional · supuestos'!$B$6,1),0)</f>
        <v>86.906257967045931</v>
      </c>
      <c r="R1301">
        <f>IF(D1301="Canarias",SUM(J1301:P1301)*IF(A1301=2027,1+'Nacional · supuestos'!$B$6,1),0)</f>
        <v>0</v>
      </c>
      <c r="S1301">
        <f t="shared" si="24"/>
        <v>86.906257967045931</v>
      </c>
    </row>
    <row r="1302" spans="1:19">
      <c r="A1302">
        <v>2027</v>
      </c>
      <c r="B1302">
        <v>6</v>
      </c>
      <c r="C1302" t="s">
        <v>195</v>
      </c>
      <c r="D1302" t="s">
        <v>160</v>
      </c>
      <c r="E1302">
        <f>SUMIFS('Nacional · base'!$J$7:$J$1068,'Nacional · base'!$A$7:$A$1068,A1302,'Nacional · base'!$B$7:$B$1068,B1302,'Nacional · base'!$C$7:$C$1068,C1302)</f>
        <v>696.96</v>
      </c>
      <c r="F1302">
        <f>SUMIFS('Nacional · base'!$K$7:$K$1068,'Nacional · base'!$A$7:$A$1068,A1302,'Nacional · base'!$B$7:$B$1068,B1302,'Nacional · base'!$C$7:$C$1068,C1302)</f>
        <v>0.84071969696969695</v>
      </c>
      <c r="G1302">
        <f t="shared" si="23"/>
        <v>1</v>
      </c>
      <c r="H1302">
        <f>SUMIFS('Nacional · base'!$G$7:$G$1068,'Nacional · base'!$A$7:$A$1068,A1302,'Nacional · base'!$B$7:$B$1068,B1302,'Nacional · base'!$C$7:$C$1068,C1302)</f>
        <v>2218.4347873576171</v>
      </c>
      <c r="I1302">
        <f>IF(D1302="Canarias",IF(C1302="CABRERA MORALES FRANCISCO",IF(E1302&lt;=2000,'Nacional · supuestos'!$C$34,IF(E1302&lt;=5000,'Nacional · supuestos'!$C$35,'Nacional · supuestos'!$C$36)),IF(E1302&lt;=2000,'Nacional · supuestos'!$B$34,IF(E1302&lt;=5000,'Nacional · supuestos'!$B$35,'Nacional · supuestos'!$B$36))),0)</f>
        <v>0</v>
      </c>
      <c r="J1302">
        <f>IF(D1302="Canarias",MAX(E1302*I1302,IF(C1302="CABRERA MORALES FRANCISCO",'Nacional · supuestos'!$C$38,'Nacional · supuestos'!$B$38)),0)</f>
        <v>0</v>
      </c>
      <c r="K1302">
        <f>IF(D1302="Canarias",MAX(E1302*'Nacional · supuestos'!$B$41,'Nacional · supuestos'!$B$42),0)</f>
        <v>0</v>
      </c>
      <c r="L1302">
        <f>IF(D1302="Canarias",E1302*'Nacional · supuestos'!$B$43,0)</f>
        <v>0</v>
      </c>
      <c r="M1302">
        <f>IF(D1302="Canarias",E1302*'Nacional · supuestos'!$B$44,0)</f>
        <v>0</v>
      </c>
      <c r="N1302">
        <f>IF(D1302="Canarias",E1302*'Nacional · supuestos'!$B$45,0)</f>
        <v>0</v>
      </c>
      <c r="O1302">
        <f>IF(D1302="Canarias",'Nacional · supuestos'!$B$46,0)</f>
        <v>0</v>
      </c>
      <c r="P1302">
        <f>IF(D1302="Canarias",MAX(H1302*'Nacional · supuestos'!$B$47,'Nacional · supuestos'!$B$48),0)</f>
        <v>0</v>
      </c>
      <c r="Q1302">
        <f>IF(D1302="Resto nacional",E1302*'Nacional · supuestos'!$B$13*IF(A1302=2027,1+'Nacional · supuestos'!$B$6,1),0)</f>
        <v>67.980006232000378</v>
      </c>
      <c r="R1302">
        <f>IF(D1302="Canarias",SUM(J1302:P1302)*IF(A1302=2027,1+'Nacional · supuestos'!$B$6,1),0)</f>
        <v>0</v>
      </c>
      <c r="S1302">
        <f t="shared" si="24"/>
        <v>67.980006232000378</v>
      </c>
    </row>
    <row r="1303" spans="1:19">
      <c r="A1303">
        <v>2027</v>
      </c>
      <c r="B1303">
        <v>6</v>
      </c>
      <c r="C1303" t="s">
        <v>190</v>
      </c>
      <c r="D1303" t="s">
        <v>160</v>
      </c>
      <c r="E1303">
        <f>SUMIFS('Nacional · base'!$J$7:$J$1068,'Nacional · base'!$A$7:$A$1068,A1303,'Nacional · base'!$B$7:$B$1068,B1303,'Nacional · base'!$C$7:$C$1068,C1303)</f>
        <v>3080.4</v>
      </c>
      <c r="F1303">
        <f>SUMIFS('Nacional · base'!$K$7:$K$1068,'Nacional · base'!$A$7:$A$1068,A1303,'Nacional · base'!$B$7:$B$1068,B1303,'Nacional · base'!$C$7:$C$1068,C1303)</f>
        <v>4.2733333333333334</v>
      </c>
      <c r="G1303">
        <f t="shared" si="23"/>
        <v>5</v>
      </c>
      <c r="H1303">
        <f>SUMIFS('Nacional · base'!$G$7:$G$1068,'Nacional · base'!$A$7:$A$1068,A1303,'Nacional · base'!$B$7:$B$1068,B1303,'Nacional · base'!$C$7:$C$1068,C1303)</f>
        <v>12090.693441675699</v>
      </c>
      <c r="I1303">
        <f>IF(D1303="Canarias",IF(C1303="CABRERA MORALES FRANCISCO",IF(E1303&lt;=2000,'Nacional · supuestos'!$C$34,IF(E1303&lt;=5000,'Nacional · supuestos'!$C$35,'Nacional · supuestos'!$C$36)),IF(E1303&lt;=2000,'Nacional · supuestos'!$B$34,IF(E1303&lt;=5000,'Nacional · supuestos'!$B$35,'Nacional · supuestos'!$B$36))),0)</f>
        <v>0</v>
      </c>
      <c r="J1303">
        <f>IF(D1303="Canarias",MAX(E1303*I1303,IF(C1303="CABRERA MORALES FRANCISCO",'Nacional · supuestos'!$C$38,'Nacional · supuestos'!$B$38)),0)</f>
        <v>0</v>
      </c>
      <c r="K1303">
        <f>IF(D1303="Canarias",MAX(E1303*'Nacional · supuestos'!$B$41,'Nacional · supuestos'!$B$42),0)</f>
        <v>0</v>
      </c>
      <c r="L1303">
        <f>IF(D1303="Canarias",E1303*'Nacional · supuestos'!$B$43,0)</f>
        <v>0</v>
      </c>
      <c r="M1303">
        <f>IF(D1303="Canarias",E1303*'Nacional · supuestos'!$B$44,0)</f>
        <v>0</v>
      </c>
      <c r="N1303">
        <f>IF(D1303="Canarias",E1303*'Nacional · supuestos'!$B$45,0)</f>
        <v>0</v>
      </c>
      <c r="O1303">
        <f>IF(D1303="Canarias",'Nacional · supuestos'!$B$46,0)</f>
        <v>0</v>
      </c>
      <c r="P1303">
        <f>IF(D1303="Canarias",MAX(H1303*'Nacional · supuestos'!$B$47,'Nacional · supuestos'!$B$48),0)</f>
        <v>0</v>
      </c>
      <c r="Q1303">
        <f>IF(D1303="Resto nacional",E1303*'Nacional · supuestos'!$B$13*IF(A1303=2027,1+'Nacional · supuestos'!$B$6,1),0)</f>
        <v>300.45570936216421</v>
      </c>
      <c r="R1303">
        <f>IF(D1303="Canarias",SUM(J1303:P1303)*IF(A1303=2027,1+'Nacional · supuestos'!$B$6,1),0)</f>
        <v>0</v>
      </c>
      <c r="S1303">
        <f t="shared" si="24"/>
        <v>300.45570936216421</v>
      </c>
    </row>
    <row r="1304" spans="1:19">
      <c r="A1304">
        <v>2027</v>
      </c>
      <c r="B1304">
        <v>6</v>
      </c>
      <c r="C1304" t="s">
        <v>162</v>
      </c>
      <c r="D1304" t="s">
        <v>160</v>
      </c>
      <c r="E1304">
        <f>SUMIFS('Nacional · base'!$J$7:$J$1068,'Nacional · base'!$A$7:$A$1068,A1304,'Nacional · base'!$B$7:$B$1068,B1304,'Nacional · base'!$C$7:$C$1068,C1304)</f>
        <v>5582.4</v>
      </c>
      <c r="F1304">
        <f>SUMIFS('Nacional · base'!$K$7:$K$1068,'Nacional · base'!$A$7:$A$1068,A1304,'Nacional · base'!$B$7:$B$1068,B1304,'Nacional · base'!$C$7:$C$1068,C1304)</f>
        <v>6.5625</v>
      </c>
      <c r="G1304">
        <f t="shared" si="23"/>
        <v>7</v>
      </c>
      <c r="H1304">
        <f>SUMIFS('Nacional · base'!$G$7:$G$1068,'Nacional · base'!$A$7:$A$1068,A1304,'Nacional · base'!$B$7:$B$1068,B1304,'Nacional · base'!$C$7:$C$1068,C1304)</f>
        <v>9573.1953262393945</v>
      </c>
      <c r="I1304">
        <f>IF(D1304="Canarias",IF(C1304="CABRERA MORALES FRANCISCO",IF(E1304&lt;=2000,'Nacional · supuestos'!$C$34,IF(E1304&lt;=5000,'Nacional · supuestos'!$C$35,'Nacional · supuestos'!$C$36)),IF(E1304&lt;=2000,'Nacional · supuestos'!$B$34,IF(E1304&lt;=5000,'Nacional · supuestos'!$B$35,'Nacional · supuestos'!$B$36))),0)</f>
        <v>0</v>
      </c>
      <c r="J1304">
        <f>IF(D1304="Canarias",MAX(E1304*I1304,IF(C1304="CABRERA MORALES FRANCISCO",'Nacional · supuestos'!$C$38,'Nacional · supuestos'!$B$38)),0)</f>
        <v>0</v>
      </c>
      <c r="K1304">
        <f>IF(D1304="Canarias",MAX(E1304*'Nacional · supuestos'!$B$41,'Nacional · supuestos'!$B$42),0)</f>
        <v>0</v>
      </c>
      <c r="L1304">
        <f>IF(D1304="Canarias",E1304*'Nacional · supuestos'!$B$43,0)</f>
        <v>0</v>
      </c>
      <c r="M1304">
        <f>IF(D1304="Canarias",E1304*'Nacional · supuestos'!$B$44,0)</f>
        <v>0</v>
      </c>
      <c r="N1304">
        <f>IF(D1304="Canarias",E1304*'Nacional · supuestos'!$B$45,0)</f>
        <v>0</v>
      </c>
      <c r="O1304">
        <f>IF(D1304="Canarias",'Nacional · supuestos'!$B$46,0)</f>
        <v>0</v>
      </c>
      <c r="P1304">
        <f>IF(D1304="Canarias",MAX(H1304*'Nacional · supuestos'!$B$47,'Nacional · supuestos'!$B$48),0)</f>
        <v>0</v>
      </c>
      <c r="Q1304">
        <f>IF(D1304="Resto nacional",E1304*'Nacional · supuestos'!$B$13*IF(A1304=2027,1+'Nacional · supuestos'!$B$6,1),0)</f>
        <v>544.49550446154569</v>
      </c>
      <c r="R1304">
        <f>IF(D1304="Canarias",SUM(J1304:P1304)*IF(A1304=2027,1+'Nacional · supuestos'!$B$6,1),0)</f>
        <v>0</v>
      </c>
      <c r="S1304">
        <f t="shared" si="24"/>
        <v>544.49550446154569</v>
      </c>
    </row>
    <row r="1305" spans="1:19">
      <c r="A1305">
        <v>2027</v>
      </c>
      <c r="B1305">
        <v>6</v>
      </c>
      <c r="C1305" t="s">
        <v>163</v>
      </c>
      <c r="D1305" t="s">
        <v>164</v>
      </c>
      <c r="E1305">
        <f>SUMIFS('Nacional · base'!$J$7:$J$1068,'Nacional · base'!$A$7:$A$1068,A1305,'Nacional · base'!$B$7:$B$1068,B1305,'Nacional · base'!$C$7:$C$1068,C1305)</f>
        <v>2573.2799999999997</v>
      </c>
      <c r="F1305">
        <f>SUMIFS('Nacional · base'!$K$7:$K$1068,'Nacional · base'!$A$7:$A$1068,A1305,'Nacional · base'!$B$7:$B$1068,B1305,'Nacional · base'!$C$7:$C$1068,C1305)</f>
        <v>3.1340909090909093</v>
      </c>
      <c r="G1305">
        <f t="shared" si="23"/>
        <v>4</v>
      </c>
      <c r="H1305">
        <f>SUMIFS('Nacional · base'!$G$7:$G$1068,'Nacional · base'!$A$7:$A$1068,A1305,'Nacional · base'!$B$7:$B$1068,B1305,'Nacional · base'!$C$7:$C$1068,C1305)</f>
        <v>6303.1527458881728</v>
      </c>
      <c r="I1305">
        <f>IF(D1305="Canarias",IF(C1305="CABRERA MORALES FRANCISCO",IF(E1305&lt;=2000,'Nacional · supuestos'!$C$34,IF(E1305&lt;=5000,'Nacional · supuestos'!$C$35,'Nacional · supuestos'!$C$36)),IF(E1305&lt;=2000,'Nacional · supuestos'!$B$34,IF(E1305&lt;=5000,'Nacional · supuestos'!$B$35,'Nacional · supuestos'!$B$36))),0)</f>
        <v>0.108</v>
      </c>
      <c r="J1305">
        <f>IF(D1305="Canarias",MAX(E1305*I1305,IF(C1305="CABRERA MORALES FRANCISCO",'Nacional · supuestos'!$C$38,'Nacional · supuestos'!$B$38)),0)</f>
        <v>277.91423999999995</v>
      </c>
      <c r="K1305">
        <f>IF(D1305="Canarias",MAX(E1305*'Nacional · supuestos'!$B$41,'Nacional · supuestos'!$B$42),0)</f>
        <v>92.638079999999988</v>
      </c>
      <c r="L1305">
        <f>IF(D1305="Canarias",E1305*'Nacional · supuestos'!$B$43,0)</f>
        <v>30.879359999999998</v>
      </c>
      <c r="M1305">
        <f>IF(D1305="Canarias",E1305*'Nacional · supuestos'!$B$44,0)</f>
        <v>46.319039999999994</v>
      </c>
      <c r="N1305">
        <f>IF(D1305="Canarias",E1305*'Nacional · supuestos'!$B$45,0)</f>
        <v>56.612159999999989</v>
      </c>
      <c r="O1305">
        <f>IF(D1305="Canarias",'Nacional · supuestos'!$B$46,0)</f>
        <v>15</v>
      </c>
      <c r="P1305">
        <f>IF(D1305="Canarias",MAX(H1305*'Nacional · supuestos'!$B$47,'Nacional · supuestos'!$B$48),0)</f>
        <v>28.364187356496775</v>
      </c>
      <c r="Q1305">
        <f>IF(D1305="Resto nacional",E1305*'Nacional · supuestos'!$B$13*IF(A1305=2027,1+'Nacional · supuestos'!$B$6,1),0)</f>
        <v>0</v>
      </c>
      <c r="R1305">
        <f>IF(D1305="Canarias",SUM(J1305:P1305)*IF(A1305=2027,1+'Nacional · supuestos'!$B$6,1),0)</f>
        <v>602.49977409214648</v>
      </c>
      <c r="S1305">
        <f t="shared" si="24"/>
        <v>602.49977409214648</v>
      </c>
    </row>
    <row r="1306" spans="1:19">
      <c r="A1306">
        <v>2027</v>
      </c>
      <c r="B1306">
        <v>6</v>
      </c>
      <c r="C1306" t="s">
        <v>166</v>
      </c>
      <c r="D1306" t="s">
        <v>160</v>
      </c>
      <c r="E1306">
        <f>SUMIFS('Nacional · base'!$J$7:$J$1068,'Nacional · base'!$A$7:$A$1068,A1306,'Nacional · base'!$B$7:$B$1068,B1306,'Nacional · base'!$C$7:$C$1068,C1306)</f>
        <v>4790</v>
      </c>
      <c r="F1306">
        <f>SUMIFS('Nacional · base'!$K$7:$K$1068,'Nacional · base'!$A$7:$A$1068,A1306,'Nacional · base'!$B$7:$B$1068,B1306,'Nacional · base'!$C$7:$C$1068,C1306)</f>
        <v>6.03125</v>
      </c>
      <c r="G1306">
        <f t="shared" si="23"/>
        <v>7</v>
      </c>
      <c r="H1306">
        <f>SUMIFS('Nacional · base'!$G$7:$G$1068,'Nacional · base'!$A$7:$A$1068,A1306,'Nacional · base'!$B$7:$B$1068,B1306,'Nacional · base'!$C$7:$C$1068,C1306)</f>
        <v>10675.405336906369</v>
      </c>
      <c r="I1306">
        <f>IF(D1306="Canarias",IF(C1306="CABRERA MORALES FRANCISCO",IF(E1306&lt;=2000,'Nacional · supuestos'!$C$34,IF(E1306&lt;=5000,'Nacional · supuestos'!$C$35,'Nacional · supuestos'!$C$36)),IF(E1306&lt;=2000,'Nacional · supuestos'!$B$34,IF(E1306&lt;=5000,'Nacional · supuestos'!$B$35,'Nacional · supuestos'!$B$36))),0)</f>
        <v>0</v>
      </c>
      <c r="J1306">
        <f>IF(D1306="Canarias",MAX(E1306*I1306,IF(C1306="CABRERA MORALES FRANCISCO",'Nacional · supuestos'!$C$38,'Nacional · supuestos'!$B$38)),0)</f>
        <v>0</v>
      </c>
      <c r="K1306">
        <f>IF(D1306="Canarias",MAX(E1306*'Nacional · supuestos'!$B$41,'Nacional · supuestos'!$B$42),0)</f>
        <v>0</v>
      </c>
      <c r="L1306">
        <f>IF(D1306="Canarias",E1306*'Nacional · supuestos'!$B$43,0)</f>
        <v>0</v>
      </c>
      <c r="M1306">
        <f>IF(D1306="Canarias",E1306*'Nacional · supuestos'!$B$44,0)</f>
        <v>0</v>
      </c>
      <c r="N1306">
        <f>IF(D1306="Canarias",E1306*'Nacional · supuestos'!$B$45,0)</f>
        <v>0</v>
      </c>
      <c r="O1306">
        <f>IF(D1306="Canarias",'Nacional · supuestos'!$B$46,0)</f>
        <v>0</v>
      </c>
      <c r="P1306">
        <f>IF(D1306="Canarias",MAX(H1306*'Nacional · supuestos'!$B$47,'Nacional · supuestos'!$B$48),0)</f>
        <v>0</v>
      </c>
      <c r="Q1306">
        <f>IF(D1306="Resto nacional",E1306*'Nacional · supuestos'!$B$13*IF(A1306=2027,1+'Nacional · supuestos'!$B$6,1),0)</f>
        <v>467.20648222463529</v>
      </c>
      <c r="R1306">
        <f>IF(D1306="Canarias",SUM(J1306:P1306)*IF(A1306=2027,1+'Nacional · supuestos'!$B$6,1),0)</f>
        <v>0</v>
      </c>
      <c r="S1306">
        <f t="shared" si="24"/>
        <v>467.20648222463529</v>
      </c>
    </row>
    <row r="1307" spans="1:19">
      <c r="A1307">
        <v>2027</v>
      </c>
      <c r="B1307">
        <v>6</v>
      </c>
      <c r="C1307" t="s">
        <v>191</v>
      </c>
      <c r="D1307" t="s">
        <v>160</v>
      </c>
      <c r="E1307">
        <f>SUMIFS('Nacional · base'!$J$7:$J$1068,'Nacional · base'!$A$7:$A$1068,A1307,'Nacional · base'!$B$7:$B$1068,B1307,'Nacional · base'!$C$7:$C$1068,C1307)</f>
        <v>3034.5</v>
      </c>
      <c r="F1307">
        <f>SUMIFS('Nacional · base'!$K$7:$K$1068,'Nacional · base'!$A$7:$A$1068,A1307,'Nacional · base'!$B$7:$B$1068,B1307,'Nacional · base'!$C$7:$C$1068,C1307)</f>
        <v>4.0204545454545455</v>
      </c>
      <c r="G1307">
        <f t="shared" si="23"/>
        <v>5</v>
      </c>
      <c r="H1307">
        <f>SUMIFS('Nacional · base'!$G$7:$G$1068,'Nacional · base'!$A$7:$A$1068,A1307,'Nacional · base'!$B$7:$B$1068,B1307,'Nacional · base'!$C$7:$C$1068,C1307)</f>
        <v>7162.2803142556068</v>
      </c>
      <c r="I1307">
        <f>IF(D1307="Canarias",IF(C1307="CABRERA MORALES FRANCISCO",IF(E1307&lt;=2000,'Nacional · supuestos'!$C$34,IF(E1307&lt;=5000,'Nacional · supuestos'!$C$35,'Nacional · supuestos'!$C$36)),IF(E1307&lt;=2000,'Nacional · supuestos'!$B$34,IF(E1307&lt;=5000,'Nacional · supuestos'!$B$35,'Nacional · supuestos'!$B$36))),0)</f>
        <v>0</v>
      </c>
      <c r="J1307">
        <f>IF(D1307="Canarias",MAX(E1307*I1307,IF(C1307="CABRERA MORALES FRANCISCO",'Nacional · supuestos'!$C$38,'Nacional · supuestos'!$B$38)),0)</f>
        <v>0</v>
      </c>
      <c r="K1307">
        <f>IF(D1307="Canarias",MAX(E1307*'Nacional · supuestos'!$B$41,'Nacional · supuestos'!$B$42),0)</f>
        <v>0</v>
      </c>
      <c r="L1307">
        <f>IF(D1307="Canarias",E1307*'Nacional · supuestos'!$B$43,0)</f>
        <v>0</v>
      </c>
      <c r="M1307">
        <f>IF(D1307="Canarias",E1307*'Nacional · supuestos'!$B$44,0)</f>
        <v>0</v>
      </c>
      <c r="N1307">
        <f>IF(D1307="Canarias",E1307*'Nacional · supuestos'!$B$45,0)</f>
        <v>0</v>
      </c>
      <c r="O1307">
        <f>IF(D1307="Canarias",'Nacional · supuestos'!$B$46,0)</f>
        <v>0</v>
      </c>
      <c r="P1307">
        <f>IF(D1307="Canarias",MAX(H1307*'Nacional · supuestos'!$B$47,'Nacional · supuestos'!$B$48),0)</f>
        <v>0</v>
      </c>
      <c r="Q1307">
        <f>IF(D1307="Resto nacional",E1307*'Nacional · supuestos'!$B$13*IF(A1307=2027,1+'Nacional · supuestos'!$B$6,1),0)</f>
        <v>295.97872031537696</v>
      </c>
      <c r="R1307">
        <f>IF(D1307="Canarias",SUM(J1307:P1307)*IF(A1307=2027,1+'Nacional · supuestos'!$B$6,1),0)</f>
        <v>0</v>
      </c>
      <c r="S1307">
        <f t="shared" si="24"/>
        <v>295.97872031537696</v>
      </c>
    </row>
    <row r="1308" spans="1:19">
      <c r="A1308">
        <v>2027</v>
      </c>
      <c r="B1308">
        <v>6</v>
      </c>
      <c r="C1308" t="s">
        <v>168</v>
      </c>
      <c r="D1308" t="s">
        <v>160</v>
      </c>
      <c r="E1308">
        <f>SUMIFS('Nacional · base'!$J$7:$J$1068,'Nacional · base'!$A$7:$A$1068,A1308,'Nacional · base'!$B$7:$B$1068,B1308,'Nacional · base'!$C$7:$C$1068,C1308)</f>
        <v>2929.2</v>
      </c>
      <c r="F1308">
        <f>SUMIFS('Nacional · base'!$K$7:$K$1068,'Nacional · base'!$A$7:$A$1068,A1308,'Nacional · base'!$B$7:$B$1068,B1308,'Nacional · base'!$C$7:$C$1068,C1308)</f>
        <v>3.84375</v>
      </c>
      <c r="G1308">
        <f t="shared" si="23"/>
        <v>4</v>
      </c>
      <c r="H1308">
        <f>SUMIFS('Nacional · base'!$G$7:$G$1068,'Nacional · base'!$A$7:$A$1068,A1308,'Nacional · base'!$B$7:$B$1068,B1308,'Nacional · base'!$C$7:$C$1068,C1308)</f>
        <v>11960.8653190839</v>
      </c>
      <c r="I1308">
        <f>IF(D1308="Canarias",IF(C1308="CABRERA MORALES FRANCISCO",IF(E1308&lt;=2000,'Nacional · supuestos'!$C$34,IF(E1308&lt;=5000,'Nacional · supuestos'!$C$35,'Nacional · supuestos'!$C$36)),IF(E1308&lt;=2000,'Nacional · supuestos'!$B$34,IF(E1308&lt;=5000,'Nacional · supuestos'!$B$35,'Nacional · supuestos'!$B$36))),0)</f>
        <v>0</v>
      </c>
      <c r="J1308">
        <f>IF(D1308="Canarias",MAX(E1308*I1308,IF(C1308="CABRERA MORALES FRANCISCO",'Nacional · supuestos'!$C$38,'Nacional · supuestos'!$B$38)),0)</f>
        <v>0</v>
      </c>
      <c r="K1308">
        <f>IF(D1308="Canarias",MAX(E1308*'Nacional · supuestos'!$B$41,'Nacional · supuestos'!$B$42),0)</f>
        <v>0</v>
      </c>
      <c r="L1308">
        <f>IF(D1308="Canarias",E1308*'Nacional · supuestos'!$B$43,0)</f>
        <v>0</v>
      </c>
      <c r="M1308">
        <f>IF(D1308="Canarias",E1308*'Nacional · supuestos'!$B$44,0)</f>
        <v>0</v>
      </c>
      <c r="N1308">
        <f>IF(D1308="Canarias",E1308*'Nacional · supuestos'!$B$45,0)</f>
        <v>0</v>
      </c>
      <c r="O1308">
        <f>IF(D1308="Canarias",'Nacional · supuestos'!$B$46,0)</f>
        <v>0</v>
      </c>
      <c r="P1308">
        <f>IF(D1308="Canarias",MAX(H1308*'Nacional · supuestos'!$B$47,'Nacional · supuestos'!$B$48),0)</f>
        <v>0</v>
      </c>
      <c r="Q1308">
        <f>IF(D1308="Resto nacional",E1308*'Nacional · supuestos'!$B$13*IF(A1308=2027,1+'Nacional · supuestos'!$B$6,1),0)</f>
        <v>285.7079807374534</v>
      </c>
      <c r="R1308">
        <f>IF(D1308="Canarias",SUM(J1308:P1308)*IF(A1308=2027,1+'Nacional · supuestos'!$B$6,1),0)</f>
        <v>0</v>
      </c>
      <c r="S1308">
        <f t="shared" si="24"/>
        <v>285.7079807374534</v>
      </c>
    </row>
    <row r="1309" spans="1:19">
      <c r="A1309">
        <v>2027</v>
      </c>
      <c r="B1309">
        <v>6</v>
      </c>
      <c r="C1309" t="s">
        <v>214</v>
      </c>
      <c r="D1309" t="s">
        <v>160</v>
      </c>
      <c r="E1309">
        <f>SUMIFS('Nacional · base'!$J$7:$J$1068,'Nacional · base'!$A$7:$A$1068,A1309,'Nacional · base'!$B$7:$B$1068,B1309,'Nacional · base'!$C$7:$C$1068,C1309)</f>
        <v>70.8</v>
      </c>
      <c r="F1309">
        <f>SUMIFS('Nacional · base'!$K$7:$K$1068,'Nacional · base'!$A$7:$A$1068,A1309,'Nacional · base'!$B$7:$B$1068,B1309,'Nacional · base'!$C$7:$C$1068,C1309)</f>
        <v>0.1</v>
      </c>
      <c r="G1309">
        <f t="shared" si="23"/>
        <v>1</v>
      </c>
      <c r="H1309">
        <f>SUMIFS('Nacional · base'!$G$7:$G$1068,'Nacional · base'!$A$7:$A$1068,A1309,'Nacional · base'!$B$7:$B$1068,B1309,'Nacional · base'!$C$7:$C$1068,C1309)</f>
        <v>277.27242560754337</v>
      </c>
      <c r="I1309">
        <f>IF(D1309="Canarias",IF(C1309="CABRERA MORALES FRANCISCO",IF(E1309&lt;=2000,'Nacional · supuestos'!$C$34,IF(E1309&lt;=5000,'Nacional · supuestos'!$C$35,'Nacional · supuestos'!$C$36)),IF(E1309&lt;=2000,'Nacional · supuestos'!$B$34,IF(E1309&lt;=5000,'Nacional · supuestos'!$B$35,'Nacional · supuestos'!$B$36))),0)</f>
        <v>0</v>
      </c>
      <c r="J1309">
        <f>IF(D1309="Canarias",MAX(E1309*I1309,IF(C1309="CABRERA MORALES FRANCISCO",'Nacional · supuestos'!$C$38,'Nacional · supuestos'!$B$38)),0)</f>
        <v>0</v>
      </c>
      <c r="K1309">
        <f>IF(D1309="Canarias",MAX(E1309*'Nacional · supuestos'!$B$41,'Nacional · supuestos'!$B$42),0)</f>
        <v>0</v>
      </c>
      <c r="L1309">
        <f>IF(D1309="Canarias",E1309*'Nacional · supuestos'!$B$43,0)</f>
        <v>0</v>
      </c>
      <c r="M1309">
        <f>IF(D1309="Canarias",E1309*'Nacional · supuestos'!$B$44,0)</f>
        <v>0</v>
      </c>
      <c r="N1309">
        <f>IF(D1309="Canarias",E1309*'Nacional · supuestos'!$B$45,0)</f>
        <v>0</v>
      </c>
      <c r="O1309">
        <f>IF(D1309="Canarias",'Nacional · supuestos'!$B$46,0)</f>
        <v>0</v>
      </c>
      <c r="P1309">
        <f>IF(D1309="Canarias",MAX(H1309*'Nacional · supuestos'!$B$47,'Nacional · supuestos'!$B$48),0)</f>
        <v>0</v>
      </c>
      <c r="Q1309">
        <f>IF(D1309="Resto nacional",E1309*'Nacional · supuestos'!$B$13*IF(A1309=2027,1+'Nacional · supuestos'!$B$6,1),0)</f>
        <v>6.9056824512534822</v>
      </c>
      <c r="R1309">
        <f>IF(D1309="Canarias",SUM(J1309:P1309)*IF(A1309=2027,1+'Nacional · supuestos'!$B$6,1),0)</f>
        <v>0</v>
      </c>
      <c r="S1309">
        <f t="shared" si="24"/>
        <v>6.9056824512534822</v>
      </c>
    </row>
    <row r="1310" spans="1:19">
      <c r="A1310">
        <v>2027</v>
      </c>
      <c r="B1310">
        <v>6</v>
      </c>
      <c r="C1310" t="s">
        <v>170</v>
      </c>
      <c r="D1310" t="s">
        <v>160</v>
      </c>
      <c r="E1310">
        <f>SUMIFS('Nacional · base'!$J$7:$J$1068,'Nacional · base'!$A$7:$A$1068,A1310,'Nacional · base'!$B$7:$B$1068,B1310,'Nacional · base'!$C$7:$C$1068,C1310)</f>
        <v>3320.5</v>
      </c>
      <c r="F1310">
        <f>SUMIFS('Nacional · base'!$K$7:$K$1068,'Nacional · base'!$A$7:$A$1068,A1310,'Nacional · base'!$B$7:$B$1068,B1310,'Nacional · base'!$C$7:$C$1068,C1310)</f>
        <v>4.4399999999999995</v>
      </c>
      <c r="G1310">
        <f t="shared" si="23"/>
        <v>5</v>
      </c>
      <c r="H1310">
        <f>SUMIFS('Nacional · base'!$G$7:$G$1068,'Nacional · base'!$A$7:$A$1068,A1310,'Nacional · base'!$B$7:$B$1068,B1310,'Nacional · base'!$C$7:$C$1068,C1310)</f>
        <v>10759.455712538533</v>
      </c>
      <c r="I1310">
        <f>IF(D1310="Canarias",IF(C1310="CABRERA MORALES FRANCISCO",IF(E1310&lt;=2000,'Nacional · supuestos'!$C$34,IF(E1310&lt;=5000,'Nacional · supuestos'!$C$35,'Nacional · supuestos'!$C$36)),IF(E1310&lt;=2000,'Nacional · supuestos'!$B$34,IF(E1310&lt;=5000,'Nacional · supuestos'!$B$35,'Nacional · supuestos'!$B$36))),0)</f>
        <v>0</v>
      </c>
      <c r="J1310">
        <f>IF(D1310="Canarias",MAX(E1310*I1310,IF(C1310="CABRERA MORALES FRANCISCO",'Nacional · supuestos'!$C$38,'Nacional · supuestos'!$B$38)),0)</f>
        <v>0</v>
      </c>
      <c r="K1310">
        <f>IF(D1310="Canarias",MAX(E1310*'Nacional · supuestos'!$B$41,'Nacional · supuestos'!$B$42),0)</f>
        <v>0</v>
      </c>
      <c r="L1310">
        <f>IF(D1310="Canarias",E1310*'Nacional · supuestos'!$B$43,0)</f>
        <v>0</v>
      </c>
      <c r="M1310">
        <f>IF(D1310="Canarias",E1310*'Nacional · supuestos'!$B$44,0)</f>
        <v>0</v>
      </c>
      <c r="N1310">
        <f>IF(D1310="Canarias",E1310*'Nacional · supuestos'!$B$45,0)</f>
        <v>0</v>
      </c>
      <c r="O1310">
        <f>IF(D1310="Canarias",'Nacional · supuestos'!$B$46,0)</f>
        <v>0</v>
      </c>
      <c r="P1310">
        <f>IF(D1310="Canarias",MAX(H1310*'Nacional · supuestos'!$B$47,'Nacional · supuestos'!$B$48),0)</f>
        <v>0</v>
      </c>
      <c r="Q1310">
        <f>IF(D1310="Resto nacional",E1310*'Nacional · supuestos'!$B$13*IF(A1310=2027,1+'Nacional · supuestos'!$B$6,1),0)</f>
        <v>323.87455620603373</v>
      </c>
      <c r="R1310">
        <f>IF(D1310="Canarias",SUM(J1310:P1310)*IF(A1310=2027,1+'Nacional · supuestos'!$B$6,1),0)</f>
        <v>0</v>
      </c>
      <c r="S1310">
        <f t="shared" si="24"/>
        <v>323.87455620603373</v>
      </c>
    </row>
    <row r="1311" spans="1:19">
      <c r="A1311">
        <v>2027</v>
      </c>
      <c r="B1311">
        <v>6</v>
      </c>
      <c r="C1311" t="s">
        <v>201</v>
      </c>
      <c r="D1311" t="s">
        <v>160</v>
      </c>
      <c r="E1311">
        <f>SUMIFS('Nacional · base'!$J$7:$J$1068,'Nacional · base'!$A$7:$A$1068,A1311,'Nacional · base'!$B$7:$B$1068,B1311,'Nacional · base'!$C$7:$C$1068,C1311)</f>
        <v>996.8</v>
      </c>
      <c r="F1311">
        <f>SUMIFS('Nacional · base'!$K$7:$K$1068,'Nacional · base'!$A$7:$A$1068,A1311,'Nacional · base'!$B$7:$B$1068,B1311,'Nacional · base'!$C$7:$C$1068,C1311)</f>
        <v>1.3888257575757574</v>
      </c>
      <c r="G1311">
        <f t="shared" si="23"/>
        <v>2</v>
      </c>
      <c r="H1311">
        <f>SUMIFS('Nacional · base'!$G$7:$G$1068,'Nacional · base'!$A$7:$A$1068,A1311,'Nacional · base'!$B$7:$B$1068,B1311,'Nacional · base'!$C$7:$C$1068,C1311)</f>
        <v>4019.4946585644911</v>
      </c>
      <c r="I1311">
        <f>IF(D1311="Canarias",IF(C1311="CABRERA MORALES FRANCISCO",IF(E1311&lt;=2000,'Nacional · supuestos'!$C$34,IF(E1311&lt;=5000,'Nacional · supuestos'!$C$35,'Nacional · supuestos'!$C$36)),IF(E1311&lt;=2000,'Nacional · supuestos'!$B$34,IF(E1311&lt;=5000,'Nacional · supuestos'!$B$35,'Nacional · supuestos'!$B$36))),0)</f>
        <v>0</v>
      </c>
      <c r="J1311">
        <f>IF(D1311="Canarias",MAX(E1311*I1311,IF(C1311="CABRERA MORALES FRANCISCO",'Nacional · supuestos'!$C$38,'Nacional · supuestos'!$B$38)),0)</f>
        <v>0</v>
      </c>
      <c r="K1311">
        <f>IF(D1311="Canarias",MAX(E1311*'Nacional · supuestos'!$B$41,'Nacional · supuestos'!$B$42),0)</f>
        <v>0</v>
      </c>
      <c r="L1311">
        <f>IF(D1311="Canarias",E1311*'Nacional · supuestos'!$B$43,0)</f>
        <v>0</v>
      </c>
      <c r="M1311">
        <f>IF(D1311="Canarias",E1311*'Nacional · supuestos'!$B$44,0)</f>
        <v>0</v>
      </c>
      <c r="N1311">
        <f>IF(D1311="Canarias",E1311*'Nacional · supuestos'!$B$45,0)</f>
        <v>0</v>
      </c>
      <c r="O1311">
        <f>IF(D1311="Canarias",'Nacional · supuestos'!$B$46,0)</f>
        <v>0</v>
      </c>
      <c r="P1311">
        <f>IF(D1311="Canarias",MAX(H1311*'Nacional · supuestos'!$B$47,'Nacional · supuestos'!$B$48),0)</f>
        <v>0</v>
      </c>
      <c r="Q1311">
        <f>IF(D1311="Resto nacional",E1311*'Nacional · supuestos'!$B$13*IF(A1311=2027,1+'Nacional · supuestos'!$B$6,1),0)</f>
        <v>97.225766488834324</v>
      </c>
      <c r="R1311">
        <f>IF(D1311="Canarias",SUM(J1311:P1311)*IF(A1311=2027,1+'Nacional · supuestos'!$B$6,1),0)</f>
        <v>0</v>
      </c>
      <c r="S1311">
        <f t="shared" si="24"/>
        <v>97.225766488834324</v>
      </c>
    </row>
    <row r="1312" spans="1:19">
      <c r="A1312">
        <v>2027</v>
      </c>
      <c r="B1312">
        <v>6</v>
      </c>
      <c r="C1312" t="s">
        <v>215</v>
      </c>
      <c r="D1312" t="s">
        <v>160</v>
      </c>
      <c r="E1312">
        <f>SUMIFS('Nacional · base'!$J$7:$J$1068,'Nacional · base'!$A$7:$A$1068,A1312,'Nacional · base'!$B$7:$B$1068,B1312,'Nacional · base'!$C$7:$C$1068,C1312)</f>
        <v>975.19999999999993</v>
      </c>
      <c r="F1312">
        <f>SUMIFS('Nacional · base'!$K$7:$K$1068,'Nacional · base'!$A$7:$A$1068,A1312,'Nacional · base'!$B$7:$B$1068,B1312,'Nacional · base'!$C$7:$C$1068,C1312)</f>
        <v>1.2749999999999999</v>
      </c>
      <c r="G1312">
        <f t="shared" si="23"/>
        <v>2</v>
      </c>
      <c r="H1312">
        <f>SUMIFS('Nacional · base'!$G$7:$G$1068,'Nacional · base'!$A$7:$A$1068,A1312,'Nacional · base'!$B$7:$B$1068,B1312,'Nacional · base'!$C$7:$C$1068,C1312)</f>
        <v>2704.9697159833645</v>
      </c>
      <c r="I1312">
        <f>IF(D1312="Canarias",IF(C1312="CABRERA MORALES FRANCISCO",IF(E1312&lt;=2000,'Nacional · supuestos'!$C$34,IF(E1312&lt;=5000,'Nacional · supuestos'!$C$35,'Nacional · supuestos'!$C$36)),IF(E1312&lt;=2000,'Nacional · supuestos'!$B$34,IF(E1312&lt;=5000,'Nacional · supuestos'!$B$35,'Nacional · supuestos'!$B$36))),0)</f>
        <v>0</v>
      </c>
      <c r="J1312">
        <f>IF(D1312="Canarias",MAX(E1312*I1312,IF(C1312="CABRERA MORALES FRANCISCO",'Nacional · supuestos'!$C$38,'Nacional · supuestos'!$B$38)),0)</f>
        <v>0</v>
      </c>
      <c r="K1312">
        <f>IF(D1312="Canarias",MAX(E1312*'Nacional · supuestos'!$B$41,'Nacional · supuestos'!$B$42),0)</f>
        <v>0</v>
      </c>
      <c r="L1312">
        <f>IF(D1312="Canarias",E1312*'Nacional · supuestos'!$B$43,0)</f>
        <v>0</v>
      </c>
      <c r="M1312">
        <f>IF(D1312="Canarias",E1312*'Nacional · supuestos'!$B$44,0)</f>
        <v>0</v>
      </c>
      <c r="N1312">
        <f>IF(D1312="Canarias",E1312*'Nacional · supuestos'!$B$45,0)</f>
        <v>0</v>
      </c>
      <c r="O1312">
        <f>IF(D1312="Canarias",'Nacional · supuestos'!$B$46,0)</f>
        <v>0</v>
      </c>
      <c r="P1312">
        <f>IF(D1312="Canarias",MAX(H1312*'Nacional · supuestos'!$B$47,'Nacional · supuestos'!$B$48),0)</f>
        <v>0</v>
      </c>
      <c r="Q1312">
        <f>IF(D1312="Resto nacional",E1312*'Nacional · supuestos'!$B$13*IF(A1312=2027,1+'Nacional · supuestos'!$B$6,1),0)</f>
        <v>95.118948113875646</v>
      </c>
      <c r="R1312">
        <f>IF(D1312="Canarias",SUM(J1312:P1312)*IF(A1312=2027,1+'Nacional · supuestos'!$B$6,1),0)</f>
        <v>0</v>
      </c>
      <c r="S1312">
        <f t="shared" si="24"/>
        <v>95.118948113875646</v>
      </c>
    </row>
    <row r="1313" spans="1:19">
      <c r="A1313">
        <v>2027</v>
      </c>
      <c r="B1313">
        <v>6</v>
      </c>
      <c r="C1313" t="s">
        <v>216</v>
      </c>
      <c r="D1313" t="s">
        <v>160</v>
      </c>
      <c r="E1313">
        <f>SUMIFS('Nacional · base'!$J$7:$J$1068,'Nacional · base'!$A$7:$A$1068,A1313,'Nacional · base'!$B$7:$B$1068,B1313,'Nacional · base'!$C$7:$C$1068,C1313)</f>
        <v>2747.8</v>
      </c>
      <c r="F1313">
        <f>SUMIFS('Nacional · base'!$K$7:$K$1068,'Nacional · base'!$A$7:$A$1068,A1313,'Nacional · base'!$B$7:$B$1068,B1313,'Nacional · base'!$C$7:$C$1068,C1313)</f>
        <v>3.7949999999999999</v>
      </c>
      <c r="G1313">
        <f t="shared" si="23"/>
        <v>4</v>
      </c>
      <c r="H1313">
        <f>SUMIFS('Nacional · base'!$G$7:$G$1068,'Nacional · base'!$A$7:$A$1068,A1313,'Nacional · base'!$B$7:$B$1068,B1313,'Nacional · base'!$C$7:$C$1068,C1313)</f>
        <v>7857.0900931805245</v>
      </c>
      <c r="I1313">
        <f>IF(D1313="Canarias",IF(C1313="CABRERA MORALES FRANCISCO",IF(E1313&lt;=2000,'Nacional · supuestos'!$C$34,IF(E1313&lt;=5000,'Nacional · supuestos'!$C$35,'Nacional · supuestos'!$C$36)),IF(E1313&lt;=2000,'Nacional · supuestos'!$B$34,IF(E1313&lt;=5000,'Nacional · supuestos'!$B$35,'Nacional · supuestos'!$B$36))),0)</f>
        <v>0</v>
      </c>
      <c r="J1313">
        <f>IF(D1313="Canarias",MAX(E1313*I1313,IF(C1313="CABRERA MORALES FRANCISCO",'Nacional · supuestos'!$C$38,'Nacional · supuestos'!$B$38)),0)</f>
        <v>0</v>
      </c>
      <c r="K1313">
        <f>IF(D1313="Canarias",MAX(E1313*'Nacional · supuestos'!$B$41,'Nacional · supuestos'!$B$42),0)</f>
        <v>0</v>
      </c>
      <c r="L1313">
        <f>IF(D1313="Canarias",E1313*'Nacional · supuestos'!$B$43,0)</f>
        <v>0</v>
      </c>
      <c r="M1313">
        <f>IF(D1313="Canarias",E1313*'Nacional · supuestos'!$B$44,0)</f>
        <v>0</v>
      </c>
      <c r="N1313">
        <f>IF(D1313="Canarias",E1313*'Nacional · supuestos'!$B$45,0)</f>
        <v>0</v>
      </c>
      <c r="O1313">
        <f>IF(D1313="Canarias",'Nacional · supuestos'!$B$46,0)</f>
        <v>0</v>
      </c>
      <c r="P1313">
        <f>IF(D1313="Canarias",MAX(H1313*'Nacional · supuestos'!$B$47,'Nacional · supuestos'!$B$48),0)</f>
        <v>0</v>
      </c>
      <c r="Q1313">
        <f>IF(D1313="Resto nacional",E1313*'Nacional · supuestos'!$B$13*IF(A1313=2027,1+'Nacional · supuestos'!$B$6,1),0)</f>
        <v>268.01460790330958</v>
      </c>
      <c r="R1313">
        <f>IF(D1313="Canarias",SUM(J1313:P1313)*IF(A1313=2027,1+'Nacional · supuestos'!$B$6,1),0)</f>
        <v>0</v>
      </c>
      <c r="S1313">
        <f t="shared" si="24"/>
        <v>268.01460790330958</v>
      </c>
    </row>
    <row r="1314" spans="1:19">
      <c r="A1314">
        <v>2027</v>
      </c>
      <c r="B1314">
        <v>6</v>
      </c>
      <c r="C1314" t="s">
        <v>210</v>
      </c>
      <c r="D1314" t="s">
        <v>160</v>
      </c>
      <c r="E1314">
        <f>SUMIFS('Nacional · base'!$J$7:$J$1068,'Nacional · base'!$A$7:$A$1068,A1314,'Nacional · base'!$B$7:$B$1068,B1314,'Nacional · base'!$C$7:$C$1068,C1314)</f>
        <v>873.19999999999993</v>
      </c>
      <c r="F1314">
        <f>SUMIFS('Nacional · base'!$K$7:$K$1068,'Nacional · base'!$A$7:$A$1068,A1314,'Nacional · base'!$B$7:$B$1068,B1314,'Nacional · base'!$C$7:$C$1068,C1314)</f>
        <v>1.15625</v>
      </c>
      <c r="G1314">
        <f t="shared" si="23"/>
        <v>2</v>
      </c>
      <c r="H1314">
        <f>SUMIFS('Nacional · base'!$G$7:$G$1068,'Nacional · base'!$A$7:$A$1068,A1314,'Nacional · base'!$B$7:$B$1068,B1314,'Nacional · base'!$C$7:$C$1068,C1314)</f>
        <v>2375.7868888898979</v>
      </c>
      <c r="I1314">
        <f>IF(D1314="Canarias",IF(C1314="CABRERA MORALES FRANCISCO",IF(E1314&lt;=2000,'Nacional · supuestos'!$C$34,IF(E1314&lt;=5000,'Nacional · supuestos'!$C$35,'Nacional · supuestos'!$C$36)),IF(E1314&lt;=2000,'Nacional · supuestos'!$B$34,IF(E1314&lt;=5000,'Nacional · supuestos'!$B$35,'Nacional · supuestos'!$B$36))),0)</f>
        <v>0</v>
      </c>
      <c r="J1314">
        <f>IF(D1314="Canarias",MAX(E1314*I1314,IF(C1314="CABRERA MORALES FRANCISCO",'Nacional · supuestos'!$C$38,'Nacional · supuestos'!$B$38)),0)</f>
        <v>0</v>
      </c>
      <c r="K1314">
        <f>IF(D1314="Canarias",MAX(E1314*'Nacional · supuestos'!$B$41,'Nacional · supuestos'!$B$42),0)</f>
        <v>0</v>
      </c>
      <c r="L1314">
        <f>IF(D1314="Canarias",E1314*'Nacional · supuestos'!$B$43,0)</f>
        <v>0</v>
      </c>
      <c r="M1314">
        <f>IF(D1314="Canarias",E1314*'Nacional · supuestos'!$B$44,0)</f>
        <v>0</v>
      </c>
      <c r="N1314">
        <f>IF(D1314="Canarias",E1314*'Nacional · supuestos'!$B$45,0)</f>
        <v>0</v>
      </c>
      <c r="O1314">
        <f>IF(D1314="Canarias",'Nacional · supuestos'!$B$46,0)</f>
        <v>0</v>
      </c>
      <c r="P1314">
        <f>IF(D1314="Canarias",MAX(H1314*'Nacional · supuestos'!$B$47,'Nacional · supuestos'!$B$48),0)</f>
        <v>0</v>
      </c>
      <c r="Q1314">
        <f>IF(D1314="Resto nacional",E1314*'Nacional · supuestos'!$B$13*IF(A1314=2027,1+'Nacional · supuestos'!$B$6,1),0)</f>
        <v>85.170083565459606</v>
      </c>
      <c r="R1314">
        <f>IF(D1314="Canarias",SUM(J1314:P1314)*IF(A1314=2027,1+'Nacional · supuestos'!$B$6,1),0)</f>
        <v>0</v>
      </c>
      <c r="S1314">
        <f t="shared" si="24"/>
        <v>85.170083565459606</v>
      </c>
    </row>
    <row r="1315" spans="1:19">
      <c r="A1315">
        <v>2027</v>
      </c>
      <c r="B1315">
        <v>6</v>
      </c>
      <c r="C1315" t="s">
        <v>211</v>
      </c>
      <c r="D1315" t="s">
        <v>160</v>
      </c>
      <c r="E1315">
        <f>SUMIFS('Nacional · base'!$J$7:$J$1068,'Nacional · base'!$A$7:$A$1068,A1315,'Nacional · base'!$B$7:$B$1068,B1315,'Nacional · base'!$C$7:$C$1068,C1315)</f>
        <v>3131.2</v>
      </c>
      <c r="F1315">
        <f>SUMIFS('Nacional · base'!$K$7:$K$1068,'Nacional · base'!$A$7:$A$1068,A1315,'Nacional · base'!$B$7:$B$1068,B1315,'Nacional · base'!$C$7:$C$1068,C1315)</f>
        <v>3.7034090909090907</v>
      </c>
      <c r="G1315">
        <f t="shared" si="23"/>
        <v>4</v>
      </c>
      <c r="H1315">
        <f>SUMIFS('Nacional · base'!$G$7:$G$1068,'Nacional · base'!$A$7:$A$1068,A1315,'Nacional · base'!$B$7:$B$1068,B1315,'Nacional · base'!$C$7:$C$1068,C1315)</f>
        <v>12103.566804293194</v>
      </c>
      <c r="I1315">
        <f>IF(D1315="Canarias",IF(C1315="CABRERA MORALES FRANCISCO",IF(E1315&lt;=2000,'Nacional · supuestos'!$C$34,IF(E1315&lt;=5000,'Nacional · supuestos'!$C$35,'Nacional · supuestos'!$C$36)),IF(E1315&lt;=2000,'Nacional · supuestos'!$B$34,IF(E1315&lt;=5000,'Nacional · supuestos'!$B$35,'Nacional · supuestos'!$B$36))),0)</f>
        <v>0</v>
      </c>
      <c r="J1315">
        <f>IF(D1315="Canarias",MAX(E1315*I1315,IF(C1315="CABRERA MORALES FRANCISCO",'Nacional · supuestos'!$C$38,'Nacional · supuestos'!$B$38)),0)</f>
        <v>0</v>
      </c>
      <c r="K1315">
        <f>IF(D1315="Canarias",MAX(E1315*'Nacional · supuestos'!$B$41,'Nacional · supuestos'!$B$42),0)</f>
        <v>0</v>
      </c>
      <c r="L1315">
        <f>IF(D1315="Canarias",E1315*'Nacional · supuestos'!$B$43,0)</f>
        <v>0</v>
      </c>
      <c r="M1315">
        <f>IF(D1315="Canarias",E1315*'Nacional · supuestos'!$B$44,0)</f>
        <v>0</v>
      </c>
      <c r="N1315">
        <f>IF(D1315="Canarias",E1315*'Nacional · supuestos'!$B$45,0)</f>
        <v>0</v>
      </c>
      <c r="O1315">
        <f>IF(D1315="Canarias",'Nacional · supuestos'!$B$46,0)</f>
        <v>0</v>
      </c>
      <c r="P1315">
        <f>IF(D1315="Canarias",MAX(H1315*'Nacional · supuestos'!$B$47,'Nacional · supuestos'!$B$48),0)</f>
        <v>0</v>
      </c>
      <c r="Q1315">
        <f>IF(D1315="Resto nacional",E1315*'Nacional · supuestos'!$B$13*IF(A1315=2027,1+'Nacional · supuestos'!$B$6,1),0)</f>
        <v>305.4106340588263</v>
      </c>
      <c r="R1315">
        <f>IF(D1315="Canarias",SUM(J1315:P1315)*IF(A1315=2027,1+'Nacional · supuestos'!$B$6,1),0)</f>
        <v>0</v>
      </c>
      <c r="S1315">
        <f t="shared" si="24"/>
        <v>305.4106340588263</v>
      </c>
    </row>
    <row r="1316" spans="1:19">
      <c r="A1316">
        <v>2027</v>
      </c>
      <c r="B1316">
        <v>6</v>
      </c>
      <c r="C1316" t="s">
        <v>202</v>
      </c>
      <c r="D1316" t="s">
        <v>160</v>
      </c>
      <c r="E1316">
        <f>SUMIFS('Nacional · base'!$J$7:$J$1068,'Nacional · base'!$A$7:$A$1068,A1316,'Nacional · base'!$B$7:$B$1068,B1316,'Nacional · base'!$C$7:$C$1068,C1316)</f>
        <v>4936</v>
      </c>
      <c r="F1316">
        <f>SUMIFS('Nacional · base'!$K$7:$K$1068,'Nacional · base'!$A$7:$A$1068,A1316,'Nacional · base'!$B$7:$B$1068,B1316,'Nacional · base'!$C$7:$C$1068,C1316)</f>
        <v>6.3624999999999998</v>
      </c>
      <c r="G1316">
        <f t="shared" si="23"/>
        <v>7</v>
      </c>
      <c r="H1316">
        <f>SUMIFS('Nacional · base'!$G$7:$G$1068,'Nacional · base'!$A$7:$A$1068,A1316,'Nacional · base'!$B$7:$B$1068,B1316,'Nacional · base'!$C$7:$C$1068,C1316)</f>
        <v>11977.126408705997</v>
      </c>
      <c r="I1316">
        <f>IF(D1316="Canarias",IF(C1316="CABRERA MORALES FRANCISCO",IF(E1316&lt;=2000,'Nacional · supuestos'!$C$34,IF(E1316&lt;=5000,'Nacional · supuestos'!$C$35,'Nacional · supuestos'!$C$36)),IF(E1316&lt;=2000,'Nacional · supuestos'!$B$34,IF(E1316&lt;=5000,'Nacional · supuestos'!$B$35,'Nacional · supuestos'!$B$36))),0)</f>
        <v>0</v>
      </c>
      <c r="J1316">
        <f>IF(D1316="Canarias",MAX(E1316*I1316,IF(C1316="CABRERA MORALES FRANCISCO",'Nacional · supuestos'!$C$38,'Nacional · supuestos'!$B$38)),0)</f>
        <v>0</v>
      </c>
      <c r="K1316">
        <f>IF(D1316="Canarias",MAX(E1316*'Nacional · supuestos'!$B$41,'Nacional · supuestos'!$B$42),0)</f>
        <v>0</v>
      </c>
      <c r="L1316">
        <f>IF(D1316="Canarias",E1316*'Nacional · supuestos'!$B$43,0)</f>
        <v>0</v>
      </c>
      <c r="M1316">
        <f>IF(D1316="Canarias",E1316*'Nacional · supuestos'!$B$44,0)</f>
        <v>0</v>
      </c>
      <c r="N1316">
        <f>IF(D1316="Canarias",E1316*'Nacional · supuestos'!$B$45,0)</f>
        <v>0</v>
      </c>
      <c r="O1316">
        <f>IF(D1316="Canarias",'Nacional · supuestos'!$B$46,0)</f>
        <v>0</v>
      </c>
      <c r="P1316">
        <f>IF(D1316="Canarias",MAX(H1316*'Nacional · supuestos'!$B$47,'Nacional · supuestos'!$B$48),0)</f>
        <v>0</v>
      </c>
      <c r="Q1316">
        <f>IF(D1316="Resto nacional",E1316*'Nacional · supuestos'!$B$13*IF(A1316=2027,1+'Nacional · supuestos'!$B$6,1),0)</f>
        <v>481.44701383315237</v>
      </c>
      <c r="R1316">
        <f>IF(D1316="Canarias",SUM(J1316:P1316)*IF(A1316=2027,1+'Nacional · supuestos'!$B$6,1),0)</f>
        <v>0</v>
      </c>
      <c r="S1316">
        <f t="shared" si="24"/>
        <v>481.44701383315237</v>
      </c>
    </row>
    <row r="1317" spans="1:19">
      <c r="A1317">
        <v>2027</v>
      </c>
      <c r="B1317">
        <v>6</v>
      </c>
      <c r="C1317" t="s">
        <v>171</v>
      </c>
      <c r="D1317" t="s">
        <v>164</v>
      </c>
      <c r="E1317">
        <f>SUMIFS('Nacional · base'!$J$7:$J$1068,'Nacional · base'!$A$7:$A$1068,A1317,'Nacional · base'!$B$7:$B$1068,B1317,'Nacional · base'!$C$7:$C$1068,C1317)</f>
        <v>6017.9</v>
      </c>
      <c r="F1317">
        <f>SUMIFS('Nacional · base'!$K$7:$K$1068,'Nacional · base'!$A$7:$A$1068,A1317,'Nacional · base'!$B$7:$B$1068,B1317,'Nacional · base'!$C$7:$C$1068,C1317)</f>
        <v>8.0324999999999989</v>
      </c>
      <c r="G1317">
        <f t="shared" si="23"/>
        <v>9</v>
      </c>
      <c r="H1317">
        <f>SUMIFS('Nacional · base'!$G$7:$G$1068,'Nacional · base'!$A$7:$A$1068,A1317,'Nacional · base'!$B$7:$B$1068,B1317,'Nacional · base'!$C$7:$C$1068,C1317)</f>
        <v>14587.656719576416</v>
      </c>
      <c r="I1317">
        <f>IF(D1317="Canarias",IF(C1317="CABRERA MORALES FRANCISCO",IF(E1317&lt;=2000,'Nacional · supuestos'!$C$34,IF(E1317&lt;=5000,'Nacional · supuestos'!$C$35,'Nacional · supuestos'!$C$36)),IF(E1317&lt;=2000,'Nacional · supuestos'!$B$34,IF(E1317&lt;=5000,'Nacional · supuestos'!$B$35,'Nacional · supuestos'!$B$36))),0)</f>
        <v>0.19800000000000001</v>
      </c>
      <c r="J1317">
        <f>IF(D1317="Canarias",MAX(E1317*I1317,IF(C1317="CABRERA MORALES FRANCISCO",'Nacional · supuestos'!$C$38,'Nacional · supuestos'!$B$38)),0)</f>
        <v>1191.5442</v>
      </c>
      <c r="K1317">
        <f>IF(D1317="Canarias",MAX(E1317*'Nacional · supuestos'!$B$41,'Nacional · supuestos'!$B$42),0)</f>
        <v>216.64439999999996</v>
      </c>
      <c r="L1317">
        <f>IF(D1317="Canarias",E1317*'Nacional · supuestos'!$B$43,0)</f>
        <v>72.214799999999997</v>
      </c>
      <c r="M1317">
        <f>IF(D1317="Canarias",E1317*'Nacional · supuestos'!$B$44,0)</f>
        <v>108.32219999999998</v>
      </c>
      <c r="N1317">
        <f>IF(D1317="Canarias",E1317*'Nacional · supuestos'!$B$45,0)</f>
        <v>132.39379999999997</v>
      </c>
      <c r="O1317">
        <f>IF(D1317="Canarias",'Nacional · supuestos'!$B$46,0)</f>
        <v>15</v>
      </c>
      <c r="P1317">
        <f>IF(D1317="Canarias",MAX(H1317*'Nacional · supuestos'!$B$47,'Nacional · supuestos'!$B$48),0)</f>
        <v>65.644455238093869</v>
      </c>
      <c r="Q1317">
        <f>IF(D1317="Resto nacional",E1317*'Nacional · supuestos'!$B$13*IF(A1317=2027,1+'Nacional · supuestos'!$B$6,1),0)</f>
        <v>0</v>
      </c>
      <c r="R1317">
        <f>IF(D1317="Canarias",SUM(J1317:P1317)*IF(A1317=2027,1+'Nacional · supuestos'!$B$6,1),0)</f>
        <v>1981.9402407619034</v>
      </c>
      <c r="S1317">
        <f t="shared" si="24"/>
        <v>1981.9402407619034</v>
      </c>
    </row>
    <row r="1318" spans="1:19">
      <c r="A1318">
        <v>2027</v>
      </c>
      <c r="B1318">
        <v>6</v>
      </c>
      <c r="C1318" t="s">
        <v>172</v>
      </c>
      <c r="D1318" t="s">
        <v>160</v>
      </c>
      <c r="E1318">
        <f>SUMIFS('Nacional · base'!$J$7:$J$1068,'Nacional · base'!$A$7:$A$1068,A1318,'Nacional · base'!$B$7:$B$1068,B1318,'Nacional · base'!$C$7:$C$1068,C1318)</f>
        <v>6767.58</v>
      </c>
      <c r="F1318">
        <f>SUMIFS('Nacional · base'!$K$7:$K$1068,'Nacional · base'!$A$7:$A$1068,A1318,'Nacional · base'!$B$7:$B$1068,B1318,'Nacional · base'!$C$7:$C$1068,C1318)</f>
        <v>8.9922348484848484</v>
      </c>
      <c r="G1318">
        <f t="shared" si="23"/>
        <v>9</v>
      </c>
      <c r="H1318">
        <f>SUMIFS('Nacional · base'!$G$7:$G$1068,'Nacional · base'!$A$7:$A$1068,A1318,'Nacional · base'!$B$7:$B$1068,B1318,'Nacional · base'!$C$7:$C$1068,C1318)</f>
        <v>19474.739577540349</v>
      </c>
      <c r="I1318">
        <f>IF(D1318="Canarias",IF(C1318="CABRERA MORALES FRANCISCO",IF(E1318&lt;=2000,'Nacional · supuestos'!$C$34,IF(E1318&lt;=5000,'Nacional · supuestos'!$C$35,'Nacional · supuestos'!$C$36)),IF(E1318&lt;=2000,'Nacional · supuestos'!$B$34,IF(E1318&lt;=5000,'Nacional · supuestos'!$B$35,'Nacional · supuestos'!$B$36))),0)</f>
        <v>0</v>
      </c>
      <c r="J1318">
        <f>IF(D1318="Canarias",MAX(E1318*I1318,IF(C1318="CABRERA MORALES FRANCISCO",'Nacional · supuestos'!$C$38,'Nacional · supuestos'!$B$38)),0)</f>
        <v>0</v>
      </c>
      <c r="K1318">
        <f>IF(D1318="Canarias",MAX(E1318*'Nacional · supuestos'!$B$41,'Nacional · supuestos'!$B$42),0)</f>
        <v>0</v>
      </c>
      <c r="L1318">
        <f>IF(D1318="Canarias",E1318*'Nacional · supuestos'!$B$43,0)</f>
        <v>0</v>
      </c>
      <c r="M1318">
        <f>IF(D1318="Canarias",E1318*'Nacional · supuestos'!$B$44,0)</f>
        <v>0</v>
      </c>
      <c r="N1318">
        <f>IF(D1318="Canarias",E1318*'Nacional · supuestos'!$B$45,0)</f>
        <v>0</v>
      </c>
      <c r="O1318">
        <f>IF(D1318="Canarias",'Nacional · supuestos'!$B$46,0)</f>
        <v>0</v>
      </c>
      <c r="P1318">
        <f>IF(D1318="Canarias",MAX(H1318*'Nacional · supuestos'!$B$47,'Nacional · supuestos'!$B$48),0)</f>
        <v>0</v>
      </c>
      <c r="Q1318">
        <f>IF(D1318="Resto nacional",E1318*'Nacional · supuestos'!$B$13*IF(A1318=2027,1+'Nacional · supuestos'!$B$6,1),0)</f>
        <v>660.09545824087627</v>
      </c>
      <c r="R1318">
        <f>IF(D1318="Canarias",SUM(J1318:P1318)*IF(A1318=2027,1+'Nacional · supuestos'!$B$6,1),0)</f>
        <v>0</v>
      </c>
      <c r="S1318">
        <f t="shared" si="24"/>
        <v>660.09545824087627</v>
      </c>
    </row>
    <row r="1319" spans="1:19">
      <c r="A1319">
        <v>2027</v>
      </c>
      <c r="B1319">
        <v>6</v>
      </c>
      <c r="C1319" t="s">
        <v>203</v>
      </c>
      <c r="D1319" t="s">
        <v>160</v>
      </c>
      <c r="E1319">
        <f>SUMIFS('Nacional · base'!$J$7:$J$1068,'Nacional · base'!$A$7:$A$1068,A1319,'Nacional · base'!$B$7:$B$1068,B1319,'Nacional · base'!$C$7:$C$1068,C1319)</f>
        <v>2100</v>
      </c>
      <c r="F1319">
        <f>SUMIFS('Nacional · base'!$K$7:$K$1068,'Nacional · base'!$A$7:$A$1068,A1319,'Nacional · base'!$B$7:$B$1068,B1319,'Nacional · base'!$C$7:$C$1068,C1319)</f>
        <v>2.625</v>
      </c>
      <c r="G1319">
        <f t="shared" si="23"/>
        <v>3</v>
      </c>
      <c r="H1319">
        <f>SUMIFS('Nacional · base'!$G$7:$G$1068,'Nacional · base'!$A$7:$A$1068,A1319,'Nacional · base'!$B$7:$B$1068,B1319,'Nacional · base'!$C$7:$C$1068,C1319)</f>
        <v>3918.2971724013369</v>
      </c>
      <c r="I1319">
        <f>IF(D1319="Canarias",IF(C1319="CABRERA MORALES FRANCISCO",IF(E1319&lt;=2000,'Nacional · supuestos'!$C$34,IF(E1319&lt;=5000,'Nacional · supuestos'!$C$35,'Nacional · supuestos'!$C$36)),IF(E1319&lt;=2000,'Nacional · supuestos'!$B$34,IF(E1319&lt;=5000,'Nacional · supuestos'!$B$35,'Nacional · supuestos'!$B$36))),0)</f>
        <v>0</v>
      </c>
      <c r="J1319">
        <f>IF(D1319="Canarias",MAX(E1319*I1319,IF(C1319="CABRERA MORALES FRANCISCO",'Nacional · supuestos'!$C$38,'Nacional · supuestos'!$B$38)),0)</f>
        <v>0</v>
      </c>
      <c r="K1319">
        <f>IF(D1319="Canarias",MAX(E1319*'Nacional · supuestos'!$B$41,'Nacional · supuestos'!$B$42),0)</f>
        <v>0</v>
      </c>
      <c r="L1319">
        <f>IF(D1319="Canarias",E1319*'Nacional · supuestos'!$B$43,0)</f>
        <v>0</v>
      </c>
      <c r="M1319">
        <f>IF(D1319="Canarias",E1319*'Nacional · supuestos'!$B$44,0)</f>
        <v>0</v>
      </c>
      <c r="N1319">
        <f>IF(D1319="Canarias",E1319*'Nacional · supuestos'!$B$45,0)</f>
        <v>0</v>
      </c>
      <c r="O1319">
        <f>IF(D1319="Canarias",'Nacional · supuestos'!$B$46,0)</f>
        <v>0</v>
      </c>
      <c r="P1319">
        <f>IF(D1319="Canarias",MAX(H1319*'Nacional · supuestos'!$B$47,'Nacional · supuestos'!$B$48),0)</f>
        <v>0</v>
      </c>
      <c r="Q1319">
        <f>IF(D1319="Resto nacional",E1319*'Nacional · supuestos'!$B$13*IF(A1319=2027,1+'Nacional · supuestos'!$B$6,1),0)</f>
        <v>204.82956423209481</v>
      </c>
      <c r="R1319">
        <f>IF(D1319="Canarias",SUM(J1319:P1319)*IF(A1319=2027,1+'Nacional · supuestos'!$B$6,1),0)</f>
        <v>0</v>
      </c>
      <c r="S1319">
        <f t="shared" si="24"/>
        <v>204.82956423209481</v>
      </c>
    </row>
    <row r="1320" spans="1:19">
      <c r="A1320">
        <v>2027</v>
      </c>
      <c r="B1320">
        <v>6</v>
      </c>
      <c r="C1320" t="s">
        <v>173</v>
      </c>
      <c r="D1320" t="s">
        <v>160</v>
      </c>
      <c r="E1320">
        <f>SUMIFS('Nacional · base'!$J$7:$J$1068,'Nacional · base'!$A$7:$A$1068,A1320,'Nacional · base'!$B$7:$B$1068,B1320,'Nacional · base'!$C$7:$C$1068,C1320)</f>
        <v>25554.2</v>
      </c>
      <c r="F1320">
        <f>SUMIFS('Nacional · base'!$K$7:$K$1068,'Nacional · base'!$A$7:$A$1068,A1320,'Nacional · base'!$B$7:$B$1068,B1320,'Nacional · base'!$C$7:$C$1068,C1320)</f>
        <v>27.397083333333331</v>
      </c>
      <c r="G1320">
        <f t="shared" si="23"/>
        <v>28</v>
      </c>
      <c r="H1320">
        <f>SUMIFS('Nacional · base'!$G$7:$G$1068,'Nacional · base'!$A$7:$A$1068,A1320,'Nacional · base'!$B$7:$B$1068,B1320,'Nacional · base'!$C$7:$C$1068,C1320)</f>
        <v>54040.969058557144</v>
      </c>
      <c r="I1320">
        <f>IF(D1320="Canarias",IF(C1320="CABRERA MORALES FRANCISCO",IF(E1320&lt;=2000,'Nacional · supuestos'!$C$34,IF(E1320&lt;=5000,'Nacional · supuestos'!$C$35,'Nacional · supuestos'!$C$36)),IF(E1320&lt;=2000,'Nacional · supuestos'!$B$34,IF(E1320&lt;=5000,'Nacional · supuestos'!$B$35,'Nacional · supuestos'!$B$36))),0)</f>
        <v>0</v>
      </c>
      <c r="J1320">
        <f>IF(D1320="Canarias",MAX(E1320*I1320,IF(C1320="CABRERA MORALES FRANCISCO",'Nacional · supuestos'!$C$38,'Nacional · supuestos'!$B$38)),0)</f>
        <v>0</v>
      </c>
      <c r="K1320">
        <f>IF(D1320="Canarias",MAX(E1320*'Nacional · supuestos'!$B$41,'Nacional · supuestos'!$B$42),0)</f>
        <v>0</v>
      </c>
      <c r="L1320">
        <f>IF(D1320="Canarias",E1320*'Nacional · supuestos'!$B$43,0)</f>
        <v>0</v>
      </c>
      <c r="M1320">
        <f>IF(D1320="Canarias",E1320*'Nacional · supuestos'!$B$44,0)</f>
        <v>0</v>
      </c>
      <c r="N1320">
        <f>IF(D1320="Canarias",E1320*'Nacional · supuestos'!$B$45,0)</f>
        <v>0</v>
      </c>
      <c r="O1320">
        <f>IF(D1320="Canarias",'Nacional · supuestos'!$B$46,0)</f>
        <v>0</v>
      </c>
      <c r="P1320">
        <f>IF(D1320="Canarias",MAX(H1320*'Nacional · supuestos'!$B$47,'Nacional · supuestos'!$B$48),0)</f>
        <v>0</v>
      </c>
      <c r="Q1320">
        <f>IF(D1320="Resto nacional",E1320*'Nacional · supuestos'!$B$13*IF(A1320=2027,1+'Nacional · supuestos'!$B$6,1),0)</f>
        <v>2492.502690618951</v>
      </c>
      <c r="R1320">
        <f>IF(D1320="Canarias",SUM(J1320:P1320)*IF(A1320=2027,1+'Nacional · supuestos'!$B$6,1),0)</f>
        <v>0</v>
      </c>
      <c r="S1320">
        <f t="shared" si="24"/>
        <v>2492.502690618951</v>
      </c>
    </row>
    <row r="1321" spans="1:19">
      <c r="A1321">
        <v>2027</v>
      </c>
      <c r="B1321">
        <v>6</v>
      </c>
      <c r="C1321" t="s">
        <v>217</v>
      </c>
      <c r="D1321" t="s">
        <v>160</v>
      </c>
      <c r="E1321">
        <f>SUMIFS('Nacional · base'!$J$7:$J$1068,'Nacional · base'!$A$7:$A$1068,A1321,'Nacional · base'!$B$7:$B$1068,B1321,'Nacional · base'!$C$7:$C$1068,C1321)</f>
        <v>178</v>
      </c>
      <c r="F1321">
        <f>SUMIFS('Nacional · base'!$K$7:$K$1068,'Nacional · base'!$A$7:$A$1068,A1321,'Nacional · base'!$B$7:$B$1068,B1321,'Nacional · base'!$C$7:$C$1068,C1321)</f>
        <v>0.23499999999999999</v>
      </c>
      <c r="G1321">
        <f t="shared" si="23"/>
        <v>1</v>
      </c>
      <c r="H1321">
        <f>SUMIFS('Nacional · base'!$G$7:$G$1068,'Nacional · base'!$A$7:$A$1068,A1321,'Nacional · base'!$B$7:$B$1068,B1321,'Nacional · base'!$C$7:$C$1068,C1321)</f>
        <v>352.1151329707825</v>
      </c>
      <c r="I1321">
        <f>IF(D1321="Canarias",IF(C1321="CABRERA MORALES FRANCISCO",IF(E1321&lt;=2000,'Nacional · supuestos'!$C$34,IF(E1321&lt;=5000,'Nacional · supuestos'!$C$35,'Nacional · supuestos'!$C$36)),IF(E1321&lt;=2000,'Nacional · supuestos'!$B$34,IF(E1321&lt;=5000,'Nacional · supuestos'!$B$35,'Nacional · supuestos'!$B$36))),0)</f>
        <v>0</v>
      </c>
      <c r="J1321">
        <f>IF(D1321="Canarias",MAX(E1321*I1321,IF(C1321="CABRERA MORALES FRANCISCO",'Nacional · supuestos'!$C$38,'Nacional · supuestos'!$B$38)),0)</f>
        <v>0</v>
      </c>
      <c r="K1321">
        <f>IF(D1321="Canarias",MAX(E1321*'Nacional · supuestos'!$B$41,'Nacional · supuestos'!$B$42),0)</f>
        <v>0</v>
      </c>
      <c r="L1321">
        <f>IF(D1321="Canarias",E1321*'Nacional · supuestos'!$B$43,0)</f>
        <v>0</v>
      </c>
      <c r="M1321">
        <f>IF(D1321="Canarias",E1321*'Nacional · supuestos'!$B$44,0)</f>
        <v>0</v>
      </c>
      <c r="N1321">
        <f>IF(D1321="Canarias",E1321*'Nacional · supuestos'!$B$45,0)</f>
        <v>0</v>
      </c>
      <c r="O1321">
        <f>IF(D1321="Canarias",'Nacional · supuestos'!$B$46,0)</f>
        <v>0</v>
      </c>
      <c r="P1321">
        <f>IF(D1321="Canarias",MAX(H1321*'Nacional · supuestos'!$B$47,'Nacional · supuestos'!$B$48),0)</f>
        <v>0</v>
      </c>
      <c r="Q1321">
        <f>IF(D1321="Resto nacional",E1321*'Nacional · supuestos'!$B$13*IF(A1321=2027,1+'Nacional · supuestos'!$B$6,1),0)</f>
        <v>17.361744015863273</v>
      </c>
      <c r="R1321">
        <f>IF(D1321="Canarias",SUM(J1321:P1321)*IF(A1321=2027,1+'Nacional · supuestos'!$B$6,1),0)</f>
        <v>0</v>
      </c>
      <c r="S1321">
        <f t="shared" si="24"/>
        <v>17.361744015863273</v>
      </c>
    </row>
    <row r="1322" spans="1:19">
      <c r="A1322">
        <v>2027</v>
      </c>
      <c r="B1322">
        <v>6</v>
      </c>
      <c r="C1322" t="s">
        <v>174</v>
      </c>
      <c r="D1322" t="s">
        <v>160</v>
      </c>
      <c r="E1322">
        <f>SUMIFS('Nacional · base'!$J$7:$J$1068,'Nacional · base'!$A$7:$A$1068,A1322,'Nacional · base'!$B$7:$B$1068,B1322,'Nacional · base'!$C$7:$C$1068,C1322)</f>
        <v>51495.199999999997</v>
      </c>
      <c r="F1322">
        <f>SUMIFS('Nacional · base'!$K$7:$K$1068,'Nacional · base'!$A$7:$A$1068,A1322,'Nacional · base'!$B$7:$B$1068,B1322,'Nacional · base'!$C$7:$C$1068,C1322)</f>
        <v>59.462499999999999</v>
      </c>
      <c r="G1322">
        <f t="shared" si="23"/>
        <v>60</v>
      </c>
      <c r="H1322">
        <f>SUMIFS('Nacional · base'!$G$7:$G$1068,'Nacional · base'!$A$7:$A$1068,A1322,'Nacional · base'!$B$7:$B$1068,B1322,'Nacional · base'!$C$7:$C$1068,C1322)</f>
        <v>94051.640668110616</v>
      </c>
      <c r="I1322">
        <f>IF(D1322="Canarias",IF(C1322="CABRERA MORALES FRANCISCO",IF(E1322&lt;=2000,'Nacional · supuestos'!$C$34,IF(E1322&lt;=5000,'Nacional · supuestos'!$C$35,'Nacional · supuestos'!$C$36)),IF(E1322&lt;=2000,'Nacional · supuestos'!$B$34,IF(E1322&lt;=5000,'Nacional · supuestos'!$B$35,'Nacional · supuestos'!$B$36))),0)</f>
        <v>0</v>
      </c>
      <c r="J1322">
        <f>IF(D1322="Canarias",MAX(E1322*I1322,IF(C1322="CABRERA MORALES FRANCISCO",'Nacional · supuestos'!$C$38,'Nacional · supuestos'!$B$38)),0)</f>
        <v>0</v>
      </c>
      <c r="K1322">
        <f>IF(D1322="Canarias",MAX(E1322*'Nacional · supuestos'!$B$41,'Nacional · supuestos'!$B$42),0)</f>
        <v>0</v>
      </c>
      <c r="L1322">
        <f>IF(D1322="Canarias",E1322*'Nacional · supuestos'!$B$43,0)</f>
        <v>0</v>
      </c>
      <c r="M1322">
        <f>IF(D1322="Canarias",E1322*'Nacional · supuestos'!$B$44,0)</f>
        <v>0</v>
      </c>
      <c r="N1322">
        <f>IF(D1322="Canarias",E1322*'Nacional · supuestos'!$B$45,0)</f>
        <v>0</v>
      </c>
      <c r="O1322">
        <f>IF(D1322="Canarias",'Nacional · supuestos'!$B$46,0)</f>
        <v>0</v>
      </c>
      <c r="P1322">
        <f>IF(D1322="Canarias",MAX(H1322*'Nacional · supuestos'!$B$47,'Nacional · supuestos'!$B$48),0)</f>
        <v>0</v>
      </c>
      <c r="Q1322">
        <f>IF(D1322="Resto nacional",E1322*'Nacional · supuestos'!$B$13*IF(A1322=2027,1+'Nacional · supuestos'!$B$6,1),0)</f>
        <v>5022.7330362116991</v>
      </c>
      <c r="R1322">
        <f>IF(D1322="Canarias",SUM(J1322:P1322)*IF(A1322=2027,1+'Nacional · supuestos'!$B$6,1),0)</f>
        <v>0</v>
      </c>
      <c r="S1322">
        <f t="shared" si="24"/>
        <v>5022.7330362116991</v>
      </c>
    </row>
    <row r="1323" spans="1:19">
      <c r="A1323">
        <v>2027</v>
      </c>
      <c r="B1323">
        <v>6</v>
      </c>
      <c r="C1323" t="s">
        <v>218</v>
      </c>
      <c r="D1323" t="s">
        <v>160</v>
      </c>
      <c r="E1323">
        <f>SUMIFS('Nacional · base'!$J$7:$J$1068,'Nacional · base'!$A$7:$A$1068,A1323,'Nacional · base'!$B$7:$B$1068,B1323,'Nacional · base'!$C$7:$C$1068,C1323)</f>
        <v>920.4</v>
      </c>
      <c r="F1323">
        <f>SUMIFS('Nacional · base'!$K$7:$K$1068,'Nacional · base'!$A$7:$A$1068,A1323,'Nacional · base'!$B$7:$B$1068,B1323,'Nacional · base'!$C$7:$C$1068,C1323)</f>
        <v>1.21875</v>
      </c>
      <c r="G1323">
        <f t="shared" si="23"/>
        <v>2</v>
      </c>
      <c r="H1323">
        <f>SUMIFS('Nacional · base'!$G$7:$G$1068,'Nacional · base'!$A$7:$A$1068,A1323,'Nacional · base'!$B$7:$B$1068,B1323,'Nacional · base'!$C$7:$C$1068,C1323)</f>
        <v>3569.309172050188</v>
      </c>
      <c r="I1323">
        <f>IF(D1323="Canarias",IF(C1323="CABRERA MORALES FRANCISCO",IF(E1323&lt;=2000,'Nacional · supuestos'!$C$34,IF(E1323&lt;=5000,'Nacional · supuestos'!$C$35,'Nacional · supuestos'!$C$36)),IF(E1323&lt;=2000,'Nacional · supuestos'!$B$34,IF(E1323&lt;=5000,'Nacional · supuestos'!$B$35,'Nacional · supuestos'!$B$36))),0)</f>
        <v>0</v>
      </c>
      <c r="J1323">
        <f>IF(D1323="Canarias",MAX(E1323*I1323,IF(C1323="CABRERA MORALES FRANCISCO",'Nacional · supuestos'!$C$38,'Nacional · supuestos'!$B$38)),0)</f>
        <v>0</v>
      </c>
      <c r="K1323">
        <f>IF(D1323="Canarias",MAX(E1323*'Nacional · supuestos'!$B$41,'Nacional · supuestos'!$B$42),0)</f>
        <v>0</v>
      </c>
      <c r="L1323">
        <f>IF(D1323="Canarias",E1323*'Nacional · supuestos'!$B$43,0)</f>
        <v>0</v>
      </c>
      <c r="M1323">
        <f>IF(D1323="Canarias",E1323*'Nacional · supuestos'!$B$44,0)</f>
        <v>0</v>
      </c>
      <c r="N1323">
        <f>IF(D1323="Canarias",E1323*'Nacional · supuestos'!$B$45,0)</f>
        <v>0</v>
      </c>
      <c r="O1323">
        <f>IF(D1323="Canarias",'Nacional · supuestos'!$B$46,0)</f>
        <v>0</v>
      </c>
      <c r="P1323">
        <f>IF(D1323="Canarias",MAX(H1323*'Nacional · supuestos'!$B$47,'Nacional · supuestos'!$B$48),0)</f>
        <v>0</v>
      </c>
      <c r="Q1323">
        <f>IF(D1323="Resto nacional",E1323*'Nacional · supuestos'!$B$13*IF(A1323=2027,1+'Nacional · supuestos'!$B$6,1),0)</f>
        <v>89.773871866295266</v>
      </c>
      <c r="R1323">
        <f>IF(D1323="Canarias",SUM(J1323:P1323)*IF(A1323=2027,1+'Nacional · supuestos'!$B$6,1),0)</f>
        <v>0</v>
      </c>
      <c r="S1323">
        <f t="shared" si="24"/>
        <v>89.773871866295266</v>
      </c>
    </row>
    <row r="1324" spans="1:19">
      <c r="A1324">
        <v>2027</v>
      </c>
      <c r="B1324">
        <v>6</v>
      </c>
      <c r="C1324" t="s">
        <v>182</v>
      </c>
      <c r="D1324" t="s">
        <v>160</v>
      </c>
      <c r="E1324">
        <f>SUMIFS('Nacional · base'!$J$7:$J$1068,'Nacional · base'!$A$7:$A$1068,A1324,'Nacional · base'!$B$7:$B$1068,B1324,'Nacional · base'!$C$7:$C$1068,C1324)</f>
        <v>39936.199999999997</v>
      </c>
      <c r="F1324">
        <f>SUMIFS('Nacional · base'!$K$7:$K$1068,'Nacional · base'!$A$7:$A$1068,A1324,'Nacional · base'!$B$7:$B$1068,B1324,'Nacional · base'!$C$7:$C$1068,C1324)</f>
        <v>45.395416666666669</v>
      </c>
      <c r="G1324">
        <f t="shared" si="23"/>
        <v>46</v>
      </c>
      <c r="H1324">
        <f>SUMIFS('Nacional · base'!$G$7:$G$1068,'Nacional · base'!$A$7:$A$1068,A1324,'Nacional · base'!$B$7:$B$1068,B1324,'Nacional · base'!$C$7:$C$1068,C1324)</f>
        <v>96674.471033951588</v>
      </c>
      <c r="I1324">
        <f>IF(D1324="Canarias",IF(C1324="CABRERA MORALES FRANCISCO",IF(E1324&lt;=2000,'Nacional · supuestos'!$C$34,IF(E1324&lt;=5000,'Nacional · supuestos'!$C$35,'Nacional · supuestos'!$C$36)),IF(E1324&lt;=2000,'Nacional · supuestos'!$B$34,IF(E1324&lt;=5000,'Nacional · supuestos'!$B$35,'Nacional · supuestos'!$B$36))),0)</f>
        <v>0</v>
      </c>
      <c r="J1324">
        <f>IF(D1324="Canarias",MAX(E1324*I1324,IF(C1324="CABRERA MORALES FRANCISCO",'Nacional · supuestos'!$C$38,'Nacional · supuestos'!$B$38)),0)</f>
        <v>0</v>
      </c>
      <c r="K1324">
        <f>IF(D1324="Canarias",MAX(E1324*'Nacional · supuestos'!$B$41,'Nacional · supuestos'!$B$42),0)</f>
        <v>0</v>
      </c>
      <c r="L1324">
        <f>IF(D1324="Canarias",E1324*'Nacional · supuestos'!$B$43,0)</f>
        <v>0</v>
      </c>
      <c r="M1324">
        <f>IF(D1324="Canarias",E1324*'Nacional · supuestos'!$B$44,0)</f>
        <v>0</v>
      </c>
      <c r="N1324">
        <f>IF(D1324="Canarias",E1324*'Nacional · supuestos'!$B$45,0)</f>
        <v>0</v>
      </c>
      <c r="O1324">
        <f>IF(D1324="Canarias",'Nacional · supuestos'!$B$46,0)</f>
        <v>0</v>
      </c>
      <c r="P1324">
        <f>IF(D1324="Canarias",MAX(H1324*'Nacional · supuestos'!$B$47,'Nacional · supuestos'!$B$48),0)</f>
        <v>0</v>
      </c>
      <c r="Q1324">
        <f>IF(D1324="Resto nacional",E1324*'Nacional · supuestos'!$B$13*IF(A1324=2027,1+'Nacional · supuestos'!$B$6,1),0)</f>
        <v>3895.2925919456115</v>
      </c>
      <c r="R1324">
        <f>IF(D1324="Canarias",SUM(J1324:P1324)*IF(A1324=2027,1+'Nacional · supuestos'!$B$6,1),0)</f>
        <v>0</v>
      </c>
      <c r="S1324">
        <f t="shared" si="24"/>
        <v>3895.2925919456115</v>
      </c>
    </row>
    <row r="1325" spans="1:19">
      <c r="A1325">
        <v>2027</v>
      </c>
      <c r="B1325">
        <v>6</v>
      </c>
      <c r="C1325" t="s">
        <v>176</v>
      </c>
      <c r="D1325" t="s">
        <v>160</v>
      </c>
      <c r="E1325">
        <f>SUMIFS('Nacional · base'!$J$7:$J$1068,'Nacional · base'!$A$7:$A$1068,A1325,'Nacional · base'!$B$7:$B$1068,B1325,'Nacional · base'!$C$7:$C$1068,C1325)</f>
        <v>3291.02</v>
      </c>
      <c r="F1325">
        <f>SUMIFS('Nacional · base'!$K$7:$K$1068,'Nacional · base'!$A$7:$A$1068,A1325,'Nacional · base'!$B$7:$B$1068,B1325,'Nacional · base'!$C$7:$C$1068,C1325)</f>
        <v>4.4357954545454543</v>
      </c>
      <c r="G1325">
        <f t="shared" si="23"/>
        <v>5</v>
      </c>
      <c r="H1325">
        <f>SUMIFS('Nacional · base'!$G$7:$G$1068,'Nacional · base'!$A$7:$A$1068,A1325,'Nacional · base'!$B$7:$B$1068,B1325,'Nacional · base'!$C$7:$C$1068,C1325)</f>
        <v>7924.4250763127911</v>
      </c>
      <c r="I1325">
        <f>IF(D1325="Canarias",IF(C1325="CABRERA MORALES FRANCISCO",IF(E1325&lt;=2000,'Nacional · supuestos'!$C$34,IF(E1325&lt;=5000,'Nacional · supuestos'!$C$35,'Nacional · supuestos'!$C$36)),IF(E1325&lt;=2000,'Nacional · supuestos'!$B$34,IF(E1325&lt;=5000,'Nacional · supuestos'!$B$35,'Nacional · supuestos'!$B$36))),0)</f>
        <v>0</v>
      </c>
      <c r="J1325">
        <f>IF(D1325="Canarias",MAX(E1325*I1325,IF(C1325="CABRERA MORALES FRANCISCO",'Nacional · supuestos'!$C$38,'Nacional · supuestos'!$B$38)),0)</f>
        <v>0</v>
      </c>
      <c r="K1325">
        <f>IF(D1325="Canarias",MAX(E1325*'Nacional · supuestos'!$B$41,'Nacional · supuestos'!$B$42),0)</f>
        <v>0</v>
      </c>
      <c r="L1325">
        <f>IF(D1325="Canarias",E1325*'Nacional · supuestos'!$B$43,0)</f>
        <v>0</v>
      </c>
      <c r="M1325">
        <f>IF(D1325="Canarias",E1325*'Nacional · supuestos'!$B$44,0)</f>
        <v>0</v>
      </c>
      <c r="N1325">
        <f>IF(D1325="Canarias",E1325*'Nacional · supuestos'!$B$45,0)</f>
        <v>0</v>
      </c>
      <c r="O1325">
        <f>IF(D1325="Canarias",'Nacional · supuestos'!$B$46,0)</f>
        <v>0</v>
      </c>
      <c r="P1325">
        <f>IF(D1325="Canarias",MAX(H1325*'Nacional · supuestos'!$B$47,'Nacional · supuestos'!$B$48),0)</f>
        <v>0</v>
      </c>
      <c r="Q1325">
        <f>IF(D1325="Resto nacional",E1325*'Nacional · supuestos'!$B$13*IF(A1325=2027,1+'Nacional · supuestos'!$B$6,1),0)</f>
        <v>320.99913927576603</v>
      </c>
      <c r="R1325">
        <f>IF(D1325="Canarias",SUM(J1325:P1325)*IF(A1325=2027,1+'Nacional · supuestos'!$B$6,1),0)</f>
        <v>0</v>
      </c>
      <c r="S1325">
        <f t="shared" si="24"/>
        <v>320.99913927576603</v>
      </c>
    </row>
    <row r="1326" spans="1:19">
      <c r="A1326">
        <v>2027</v>
      </c>
      <c r="B1326">
        <v>6</v>
      </c>
      <c r="C1326" t="s">
        <v>219</v>
      </c>
      <c r="D1326" t="s">
        <v>160</v>
      </c>
      <c r="E1326">
        <f>SUMIFS('Nacional · base'!$J$7:$J$1068,'Nacional · base'!$A$7:$A$1068,A1326,'Nacional · base'!$B$7:$B$1068,B1326,'Nacional · base'!$C$7:$C$1068,C1326)</f>
        <v>3508.8</v>
      </c>
      <c r="F1326">
        <f>SUMIFS('Nacional · base'!$K$7:$K$1068,'Nacional · base'!$A$7:$A$1068,A1326,'Nacional · base'!$B$7:$B$1068,B1326,'Nacional · base'!$C$7:$C$1068,C1326)</f>
        <v>4.233257575757575</v>
      </c>
      <c r="G1326">
        <f t="shared" si="23"/>
        <v>5</v>
      </c>
      <c r="H1326">
        <f>SUMIFS('Nacional · base'!$G$7:$G$1068,'Nacional · base'!$A$7:$A$1068,A1326,'Nacional · base'!$B$7:$B$1068,B1326,'Nacional · base'!$C$7:$C$1068,C1326)</f>
        <v>15953.567400281725</v>
      </c>
      <c r="I1326">
        <f>IF(D1326="Canarias",IF(C1326="CABRERA MORALES FRANCISCO",IF(E1326&lt;=2000,'Nacional · supuestos'!$C$34,IF(E1326&lt;=5000,'Nacional · supuestos'!$C$35,'Nacional · supuestos'!$C$36)),IF(E1326&lt;=2000,'Nacional · supuestos'!$B$34,IF(E1326&lt;=5000,'Nacional · supuestos'!$B$35,'Nacional · supuestos'!$B$36))),0)</f>
        <v>0</v>
      </c>
      <c r="J1326">
        <f>IF(D1326="Canarias",MAX(E1326*I1326,IF(C1326="CABRERA MORALES FRANCISCO",'Nacional · supuestos'!$C$38,'Nacional · supuestos'!$B$38)),0)</f>
        <v>0</v>
      </c>
      <c r="K1326">
        <f>IF(D1326="Canarias",MAX(E1326*'Nacional · supuestos'!$B$41,'Nacional · supuestos'!$B$42),0)</f>
        <v>0</v>
      </c>
      <c r="L1326">
        <f>IF(D1326="Canarias",E1326*'Nacional · supuestos'!$B$43,0)</f>
        <v>0</v>
      </c>
      <c r="M1326">
        <f>IF(D1326="Canarias",E1326*'Nacional · supuestos'!$B$44,0)</f>
        <v>0</v>
      </c>
      <c r="N1326">
        <f>IF(D1326="Canarias",E1326*'Nacional · supuestos'!$B$45,0)</f>
        <v>0</v>
      </c>
      <c r="O1326">
        <f>IF(D1326="Canarias",'Nacional · supuestos'!$B$46,0)</f>
        <v>0</v>
      </c>
      <c r="P1326">
        <f>IF(D1326="Canarias",MAX(H1326*'Nacional · supuestos'!$B$47,'Nacional · supuestos'!$B$48),0)</f>
        <v>0</v>
      </c>
      <c r="Q1326">
        <f>IF(D1326="Resto nacional",E1326*'Nacional · supuestos'!$B$13*IF(A1326=2027,1+'Nacional · supuestos'!$B$6,1),0)</f>
        <v>342.24094046551158</v>
      </c>
      <c r="R1326">
        <f>IF(D1326="Canarias",SUM(J1326:P1326)*IF(A1326=2027,1+'Nacional · supuestos'!$B$6,1),0)</f>
        <v>0</v>
      </c>
      <c r="S1326">
        <f t="shared" si="24"/>
        <v>342.24094046551158</v>
      </c>
    </row>
    <row r="1327" spans="1:19">
      <c r="A1327">
        <v>2027</v>
      </c>
      <c r="B1327">
        <v>6</v>
      </c>
      <c r="C1327" t="s">
        <v>204</v>
      </c>
      <c r="D1327" t="s">
        <v>160</v>
      </c>
      <c r="E1327">
        <f>SUMIFS('Nacional · base'!$J$7:$J$1068,'Nacional · base'!$A$7:$A$1068,A1327,'Nacional · base'!$B$7:$B$1068,B1327,'Nacional · base'!$C$7:$C$1068,C1327)</f>
        <v>609.1</v>
      </c>
      <c r="F1327">
        <f>SUMIFS('Nacional · base'!$K$7:$K$1068,'Nacional · base'!$A$7:$A$1068,A1327,'Nacional · base'!$B$7:$B$1068,B1327,'Nacional · base'!$C$7:$C$1068,C1327)</f>
        <v>0.78750000000000009</v>
      </c>
      <c r="G1327">
        <f t="shared" si="23"/>
        <v>1</v>
      </c>
      <c r="H1327">
        <f>SUMIFS('Nacional · base'!$G$7:$G$1068,'Nacional · base'!$A$7:$A$1068,A1327,'Nacional · base'!$B$7:$B$1068,B1327,'Nacional · base'!$C$7:$C$1068,C1327)</f>
        <v>1624.3485023645255</v>
      </c>
      <c r="I1327">
        <f>IF(D1327="Canarias",IF(C1327="CABRERA MORALES FRANCISCO",IF(E1327&lt;=2000,'Nacional · supuestos'!$C$34,IF(E1327&lt;=5000,'Nacional · supuestos'!$C$35,'Nacional · supuestos'!$C$36)),IF(E1327&lt;=2000,'Nacional · supuestos'!$B$34,IF(E1327&lt;=5000,'Nacional · supuestos'!$B$35,'Nacional · supuestos'!$B$36))),0)</f>
        <v>0</v>
      </c>
      <c r="J1327">
        <f>IF(D1327="Canarias",MAX(E1327*I1327,IF(C1327="CABRERA MORALES FRANCISCO",'Nacional · supuestos'!$C$38,'Nacional · supuestos'!$B$38)),0)</f>
        <v>0</v>
      </c>
      <c r="K1327">
        <f>IF(D1327="Canarias",MAX(E1327*'Nacional · supuestos'!$B$41,'Nacional · supuestos'!$B$42),0)</f>
        <v>0</v>
      </c>
      <c r="L1327">
        <f>IF(D1327="Canarias",E1327*'Nacional · supuestos'!$B$43,0)</f>
        <v>0</v>
      </c>
      <c r="M1327">
        <f>IF(D1327="Canarias",E1327*'Nacional · supuestos'!$B$44,0)</f>
        <v>0</v>
      </c>
      <c r="N1327">
        <f>IF(D1327="Canarias",E1327*'Nacional · supuestos'!$B$45,0)</f>
        <v>0</v>
      </c>
      <c r="O1327">
        <f>IF(D1327="Canarias",'Nacional · supuestos'!$B$46,0)</f>
        <v>0</v>
      </c>
      <c r="P1327">
        <f>IF(D1327="Canarias",MAX(H1327*'Nacional · supuestos'!$B$47,'Nacional · supuestos'!$B$48),0)</f>
        <v>0</v>
      </c>
      <c r="Q1327">
        <f>IF(D1327="Resto nacional",E1327*'Nacional · supuestos'!$B$13*IF(A1327=2027,1+'Nacional · supuestos'!$B$6,1),0)</f>
        <v>59.410327416080449</v>
      </c>
      <c r="R1327">
        <f>IF(D1327="Canarias",SUM(J1327:P1327)*IF(A1327=2027,1+'Nacional · supuestos'!$B$6,1),0)</f>
        <v>0</v>
      </c>
      <c r="S1327">
        <f t="shared" si="24"/>
        <v>59.410327416080449</v>
      </c>
    </row>
    <row r="1328" spans="1:19">
      <c r="A1328">
        <v>2027</v>
      </c>
      <c r="B1328">
        <v>6</v>
      </c>
      <c r="C1328" t="s">
        <v>178</v>
      </c>
      <c r="D1328" t="s">
        <v>160</v>
      </c>
      <c r="E1328">
        <f>SUMIFS('Nacional · base'!$J$7:$J$1068,'Nacional · base'!$A$7:$A$1068,A1328,'Nacional · base'!$B$7:$B$1068,B1328,'Nacional · base'!$C$7:$C$1068,C1328)</f>
        <v>1677</v>
      </c>
      <c r="F1328">
        <f>SUMIFS('Nacional · base'!$K$7:$K$1068,'Nacional · base'!$A$7:$A$1068,A1328,'Nacional · base'!$B$7:$B$1068,B1328,'Nacional · base'!$C$7:$C$1068,C1328)</f>
        <v>2.2102272727272729</v>
      </c>
      <c r="G1328">
        <f t="shared" si="23"/>
        <v>3</v>
      </c>
      <c r="H1328">
        <f>SUMIFS('Nacional · base'!$G$7:$G$1068,'Nacional · base'!$A$7:$A$1068,A1328,'Nacional · base'!$B$7:$B$1068,B1328,'Nacional · base'!$C$7:$C$1068,C1328)</f>
        <v>4830.3775197945706</v>
      </c>
      <c r="I1328">
        <f>IF(D1328="Canarias",IF(C1328="CABRERA MORALES FRANCISCO",IF(E1328&lt;=2000,'Nacional · supuestos'!$C$34,IF(E1328&lt;=5000,'Nacional · supuestos'!$C$35,'Nacional · supuestos'!$C$36)),IF(E1328&lt;=2000,'Nacional · supuestos'!$B$34,IF(E1328&lt;=5000,'Nacional · supuestos'!$B$35,'Nacional · supuestos'!$B$36))),0)</f>
        <v>0</v>
      </c>
      <c r="J1328">
        <f>IF(D1328="Canarias",MAX(E1328*I1328,IF(C1328="CABRERA MORALES FRANCISCO",'Nacional · supuestos'!$C$38,'Nacional · supuestos'!$B$38)),0)</f>
        <v>0</v>
      </c>
      <c r="K1328">
        <f>IF(D1328="Canarias",MAX(E1328*'Nacional · supuestos'!$B$41,'Nacional · supuestos'!$B$42),0)</f>
        <v>0</v>
      </c>
      <c r="L1328">
        <f>IF(D1328="Canarias",E1328*'Nacional · supuestos'!$B$43,0)</f>
        <v>0</v>
      </c>
      <c r="M1328">
        <f>IF(D1328="Canarias",E1328*'Nacional · supuestos'!$B$44,0)</f>
        <v>0</v>
      </c>
      <c r="N1328">
        <f>IF(D1328="Canarias",E1328*'Nacional · supuestos'!$B$45,0)</f>
        <v>0</v>
      </c>
      <c r="O1328">
        <f>IF(D1328="Canarias",'Nacional · supuestos'!$B$46,0)</f>
        <v>0</v>
      </c>
      <c r="P1328">
        <f>IF(D1328="Canarias",MAX(H1328*'Nacional · supuestos'!$B$47,'Nacional · supuestos'!$B$48),0)</f>
        <v>0</v>
      </c>
      <c r="Q1328">
        <f>IF(D1328="Resto nacional",E1328*'Nacional · supuestos'!$B$13*IF(A1328=2027,1+'Nacional · supuestos'!$B$6,1),0)</f>
        <v>163.57103772248715</v>
      </c>
      <c r="R1328">
        <f>IF(D1328="Canarias",SUM(J1328:P1328)*IF(A1328=2027,1+'Nacional · supuestos'!$B$6,1),0)</f>
        <v>0</v>
      </c>
      <c r="S1328">
        <f t="shared" si="24"/>
        <v>163.57103772248715</v>
      </c>
    </row>
    <row r="1329" spans="1:19">
      <c r="A1329">
        <v>2027</v>
      </c>
      <c r="B1329">
        <v>6</v>
      </c>
      <c r="C1329" t="s">
        <v>192</v>
      </c>
      <c r="D1329" t="s">
        <v>160</v>
      </c>
      <c r="E1329">
        <f>SUMIFS('Nacional · base'!$J$7:$J$1068,'Nacional · base'!$A$7:$A$1068,A1329,'Nacional · base'!$B$7:$B$1068,B1329,'Nacional · base'!$C$7:$C$1068,C1329)</f>
        <v>772.9</v>
      </c>
      <c r="F1329">
        <f>SUMIFS('Nacional · base'!$K$7:$K$1068,'Nacional · base'!$A$7:$A$1068,A1329,'Nacional · base'!$B$7:$B$1068,B1329,'Nacional · base'!$C$7:$C$1068,C1329)</f>
        <v>1.0916666666666666</v>
      </c>
      <c r="G1329">
        <f t="shared" si="23"/>
        <v>2</v>
      </c>
      <c r="H1329">
        <f>SUMIFS('Nacional · base'!$G$7:$G$1068,'Nacional · base'!$A$7:$A$1068,A1329,'Nacional · base'!$B$7:$B$1068,B1329,'Nacional · base'!$C$7:$C$1068,C1329)</f>
        <v>1904.8928352500191</v>
      </c>
      <c r="I1329">
        <f>IF(D1329="Canarias",IF(C1329="CABRERA MORALES FRANCISCO",IF(E1329&lt;=2000,'Nacional · supuestos'!$C$34,IF(E1329&lt;=5000,'Nacional · supuestos'!$C$35,'Nacional · supuestos'!$C$36)),IF(E1329&lt;=2000,'Nacional · supuestos'!$B$34,IF(E1329&lt;=5000,'Nacional · supuestos'!$B$35,'Nacional · supuestos'!$B$36))),0)</f>
        <v>0</v>
      </c>
      <c r="J1329">
        <f>IF(D1329="Canarias",MAX(E1329*I1329,IF(C1329="CABRERA MORALES FRANCISCO",'Nacional · supuestos'!$C$38,'Nacional · supuestos'!$B$38)),0)</f>
        <v>0</v>
      </c>
      <c r="K1329">
        <f>IF(D1329="Canarias",MAX(E1329*'Nacional · supuestos'!$B$41,'Nacional · supuestos'!$B$42),0)</f>
        <v>0</v>
      </c>
      <c r="L1329">
        <f>IF(D1329="Canarias",E1329*'Nacional · supuestos'!$B$43,0)</f>
        <v>0</v>
      </c>
      <c r="M1329">
        <f>IF(D1329="Canarias",E1329*'Nacional · supuestos'!$B$44,0)</f>
        <v>0</v>
      </c>
      <c r="N1329">
        <f>IF(D1329="Canarias",E1329*'Nacional · supuestos'!$B$45,0)</f>
        <v>0</v>
      </c>
      <c r="O1329">
        <f>IF(D1329="Canarias",'Nacional · supuestos'!$B$46,0)</f>
        <v>0</v>
      </c>
      <c r="P1329">
        <f>IF(D1329="Canarias",MAX(H1329*'Nacional · supuestos'!$B$47,'Nacional · supuestos'!$B$48),0)</f>
        <v>0</v>
      </c>
      <c r="Q1329">
        <f>IF(D1329="Resto nacional",E1329*'Nacional · supuestos'!$B$13*IF(A1329=2027,1+'Nacional · supuestos'!$B$6,1),0)</f>
        <v>75.387033426183834</v>
      </c>
      <c r="R1329">
        <f>IF(D1329="Canarias",SUM(J1329:P1329)*IF(A1329=2027,1+'Nacional · supuestos'!$B$6,1),0)</f>
        <v>0</v>
      </c>
      <c r="S1329">
        <f t="shared" si="24"/>
        <v>75.387033426183834</v>
      </c>
    </row>
    <row r="1330" spans="1:19">
      <c r="A1330">
        <v>2027</v>
      </c>
      <c r="B1330">
        <v>6</v>
      </c>
      <c r="C1330" t="s">
        <v>205</v>
      </c>
      <c r="D1330" t="s">
        <v>160</v>
      </c>
      <c r="E1330">
        <f>SUMIFS('Nacional · base'!$J$7:$J$1068,'Nacional · base'!$A$7:$A$1068,A1330,'Nacional · base'!$B$7:$B$1068,B1330,'Nacional · base'!$C$7:$C$1068,C1330)</f>
        <v>265.5</v>
      </c>
      <c r="F1330">
        <f>SUMIFS('Nacional · base'!$K$7:$K$1068,'Nacional · base'!$A$7:$A$1068,A1330,'Nacional · base'!$B$7:$B$1068,B1330,'Nacional · base'!$C$7:$C$1068,C1330)</f>
        <v>0.38636363636363635</v>
      </c>
      <c r="G1330">
        <f t="shared" ref="G1330:G1393" si="25">ROUNDUP(F1330,0)</f>
        <v>1</v>
      </c>
      <c r="H1330">
        <f>SUMIFS('Nacional · base'!$G$7:$G$1068,'Nacional · base'!$A$7:$A$1068,A1330,'Nacional · base'!$B$7:$B$1068,B1330,'Nacional · base'!$C$7:$C$1068,C1330)</f>
        <v>923.80709471686214</v>
      </c>
      <c r="I1330">
        <f>IF(D1330="Canarias",IF(C1330="CABRERA MORALES FRANCISCO",IF(E1330&lt;=2000,'Nacional · supuestos'!$C$34,IF(E1330&lt;=5000,'Nacional · supuestos'!$C$35,'Nacional · supuestos'!$C$36)),IF(E1330&lt;=2000,'Nacional · supuestos'!$B$34,IF(E1330&lt;=5000,'Nacional · supuestos'!$B$35,'Nacional · supuestos'!$B$36))),0)</f>
        <v>0</v>
      </c>
      <c r="J1330">
        <f>IF(D1330="Canarias",MAX(E1330*I1330,IF(C1330="CABRERA MORALES FRANCISCO",'Nacional · supuestos'!$C$38,'Nacional · supuestos'!$B$38)),0)</f>
        <v>0</v>
      </c>
      <c r="K1330">
        <f>IF(D1330="Canarias",MAX(E1330*'Nacional · supuestos'!$B$41,'Nacional · supuestos'!$B$42),0)</f>
        <v>0</v>
      </c>
      <c r="L1330">
        <f>IF(D1330="Canarias",E1330*'Nacional · supuestos'!$B$43,0)</f>
        <v>0</v>
      </c>
      <c r="M1330">
        <f>IF(D1330="Canarias",E1330*'Nacional · supuestos'!$B$44,0)</f>
        <v>0</v>
      </c>
      <c r="N1330">
        <f>IF(D1330="Canarias",E1330*'Nacional · supuestos'!$B$45,0)</f>
        <v>0</v>
      </c>
      <c r="O1330">
        <f>IF(D1330="Canarias",'Nacional · supuestos'!$B$46,0)</f>
        <v>0</v>
      </c>
      <c r="P1330">
        <f>IF(D1330="Canarias",MAX(H1330*'Nacional · supuestos'!$B$47,'Nacional · supuestos'!$B$48),0)</f>
        <v>0</v>
      </c>
      <c r="Q1330">
        <f>IF(D1330="Resto nacional",E1330*'Nacional · supuestos'!$B$13*IF(A1330=2027,1+'Nacional · supuestos'!$B$6,1),0)</f>
        <v>25.896309192200555</v>
      </c>
      <c r="R1330">
        <f>IF(D1330="Canarias",SUM(J1330:P1330)*IF(A1330=2027,1+'Nacional · supuestos'!$B$6,1),0)</f>
        <v>0</v>
      </c>
      <c r="S1330">
        <f t="shared" ref="S1330:S1393" si="26">Q1330+R1330</f>
        <v>25.896309192200555</v>
      </c>
    </row>
    <row r="1331" spans="1:19">
      <c r="A1331">
        <v>2027</v>
      </c>
      <c r="B1331">
        <v>6</v>
      </c>
      <c r="C1331" t="s">
        <v>206</v>
      </c>
      <c r="D1331" t="s">
        <v>160</v>
      </c>
      <c r="E1331">
        <f>SUMIFS('Nacional · base'!$J$7:$J$1068,'Nacional · base'!$A$7:$A$1068,A1331,'Nacional · base'!$B$7:$B$1068,B1331,'Nacional · base'!$C$7:$C$1068,C1331)</f>
        <v>1229.0999999999999</v>
      </c>
      <c r="F1331">
        <f>SUMIFS('Nacional · base'!$K$7:$K$1068,'Nacional · base'!$A$7:$A$1068,A1331,'Nacional · base'!$B$7:$B$1068,B1331,'Nacional · base'!$C$7:$C$1068,C1331)</f>
        <v>1.5655303030303029</v>
      </c>
      <c r="G1331">
        <f t="shared" si="25"/>
        <v>2</v>
      </c>
      <c r="H1331">
        <f>SUMIFS('Nacional · base'!$G$7:$G$1068,'Nacional · base'!$A$7:$A$1068,A1331,'Nacional · base'!$B$7:$B$1068,B1331,'Nacional · base'!$C$7:$C$1068,C1331)</f>
        <v>3522.3500638786845</v>
      </c>
      <c r="I1331">
        <f>IF(D1331="Canarias",IF(C1331="CABRERA MORALES FRANCISCO",IF(E1331&lt;=2000,'Nacional · supuestos'!$C$34,IF(E1331&lt;=5000,'Nacional · supuestos'!$C$35,'Nacional · supuestos'!$C$36)),IF(E1331&lt;=2000,'Nacional · supuestos'!$B$34,IF(E1331&lt;=5000,'Nacional · supuestos'!$B$35,'Nacional · supuestos'!$B$36))),0)</f>
        <v>0</v>
      </c>
      <c r="J1331">
        <f>IF(D1331="Canarias",MAX(E1331*I1331,IF(C1331="CABRERA MORALES FRANCISCO",'Nacional · supuestos'!$C$38,'Nacional · supuestos'!$B$38)),0)</f>
        <v>0</v>
      </c>
      <c r="K1331">
        <f>IF(D1331="Canarias",MAX(E1331*'Nacional · supuestos'!$B$41,'Nacional · supuestos'!$B$42),0)</f>
        <v>0</v>
      </c>
      <c r="L1331">
        <f>IF(D1331="Canarias",E1331*'Nacional · supuestos'!$B$43,0)</f>
        <v>0</v>
      </c>
      <c r="M1331">
        <f>IF(D1331="Canarias",E1331*'Nacional · supuestos'!$B$44,0)</f>
        <v>0</v>
      </c>
      <c r="N1331">
        <f>IF(D1331="Canarias",E1331*'Nacional · supuestos'!$B$45,0)</f>
        <v>0</v>
      </c>
      <c r="O1331">
        <f>IF(D1331="Canarias",'Nacional · supuestos'!$B$46,0)</f>
        <v>0</v>
      </c>
      <c r="P1331">
        <f>IF(D1331="Canarias",MAX(H1331*'Nacional · supuestos'!$B$47,'Nacional · supuestos'!$B$48),0)</f>
        <v>0</v>
      </c>
      <c r="Q1331">
        <f>IF(D1331="Resto nacional",E1331*'Nacional · supuestos'!$B$13*IF(A1331=2027,1+'Nacional · supuestos'!$B$6,1),0)</f>
        <v>119.8838178084132</v>
      </c>
      <c r="R1331">
        <f>IF(D1331="Canarias",SUM(J1331:P1331)*IF(A1331=2027,1+'Nacional · supuestos'!$B$6,1),0)</f>
        <v>0</v>
      </c>
      <c r="S1331">
        <f t="shared" si="26"/>
        <v>119.8838178084132</v>
      </c>
    </row>
    <row r="1332" spans="1:19">
      <c r="A1332">
        <v>2027</v>
      </c>
      <c r="B1332">
        <v>6</v>
      </c>
      <c r="C1332" t="s">
        <v>213</v>
      </c>
      <c r="D1332" t="s">
        <v>160</v>
      </c>
      <c r="E1332">
        <f>SUMIFS('Nacional · base'!$J$7:$J$1068,'Nacional · base'!$A$7:$A$1068,A1332,'Nacional · base'!$B$7:$B$1068,B1332,'Nacional · base'!$C$7:$C$1068,C1332)</f>
        <v>873.19999999999993</v>
      </c>
      <c r="F1332">
        <f>SUMIFS('Nacional · base'!$K$7:$K$1068,'Nacional · base'!$A$7:$A$1068,A1332,'Nacional · base'!$B$7:$B$1068,B1332,'Nacional · base'!$C$7:$C$1068,C1332)</f>
        <v>1.15625</v>
      </c>
      <c r="G1332">
        <f t="shared" si="25"/>
        <v>2</v>
      </c>
      <c r="H1332">
        <f>SUMIFS('Nacional · base'!$G$7:$G$1068,'Nacional · base'!$A$7:$A$1068,A1332,'Nacional · base'!$B$7:$B$1068,B1332,'Nacional · base'!$C$7:$C$1068,C1332)</f>
        <v>2545.4859523820342</v>
      </c>
      <c r="I1332">
        <f>IF(D1332="Canarias",IF(C1332="CABRERA MORALES FRANCISCO",IF(E1332&lt;=2000,'Nacional · supuestos'!$C$34,IF(E1332&lt;=5000,'Nacional · supuestos'!$C$35,'Nacional · supuestos'!$C$36)),IF(E1332&lt;=2000,'Nacional · supuestos'!$B$34,IF(E1332&lt;=5000,'Nacional · supuestos'!$B$35,'Nacional · supuestos'!$B$36))),0)</f>
        <v>0</v>
      </c>
      <c r="J1332">
        <f>IF(D1332="Canarias",MAX(E1332*I1332,IF(C1332="CABRERA MORALES FRANCISCO",'Nacional · supuestos'!$C$38,'Nacional · supuestos'!$B$38)),0)</f>
        <v>0</v>
      </c>
      <c r="K1332">
        <f>IF(D1332="Canarias",MAX(E1332*'Nacional · supuestos'!$B$41,'Nacional · supuestos'!$B$42),0)</f>
        <v>0</v>
      </c>
      <c r="L1332">
        <f>IF(D1332="Canarias",E1332*'Nacional · supuestos'!$B$43,0)</f>
        <v>0</v>
      </c>
      <c r="M1332">
        <f>IF(D1332="Canarias",E1332*'Nacional · supuestos'!$B$44,0)</f>
        <v>0</v>
      </c>
      <c r="N1332">
        <f>IF(D1332="Canarias",E1332*'Nacional · supuestos'!$B$45,0)</f>
        <v>0</v>
      </c>
      <c r="O1332">
        <f>IF(D1332="Canarias",'Nacional · supuestos'!$B$46,0)</f>
        <v>0</v>
      </c>
      <c r="P1332">
        <f>IF(D1332="Canarias",MAX(H1332*'Nacional · supuestos'!$B$47,'Nacional · supuestos'!$B$48),0)</f>
        <v>0</v>
      </c>
      <c r="Q1332">
        <f>IF(D1332="Resto nacional",E1332*'Nacional · supuestos'!$B$13*IF(A1332=2027,1+'Nacional · supuestos'!$B$6,1),0)</f>
        <v>85.170083565459606</v>
      </c>
      <c r="R1332">
        <f>IF(D1332="Canarias",SUM(J1332:P1332)*IF(A1332=2027,1+'Nacional · supuestos'!$B$6,1),0)</f>
        <v>0</v>
      </c>
      <c r="S1332">
        <f t="shared" si="26"/>
        <v>85.170083565459606</v>
      </c>
    </row>
    <row r="1333" spans="1:19">
      <c r="A1333">
        <v>2027</v>
      </c>
      <c r="B1333">
        <v>6</v>
      </c>
      <c r="C1333" t="s">
        <v>180</v>
      </c>
      <c r="D1333" t="s">
        <v>160</v>
      </c>
      <c r="E1333">
        <f>SUMIFS('Nacional · base'!$J$7:$J$1068,'Nacional · base'!$A$7:$A$1068,A1333,'Nacional · base'!$B$7:$B$1068,B1333,'Nacional · base'!$C$7:$C$1068,C1333)</f>
        <v>7874</v>
      </c>
      <c r="F1333">
        <f>SUMIFS('Nacional · base'!$K$7:$K$1068,'Nacional · base'!$A$7:$A$1068,A1333,'Nacional · base'!$B$7:$B$1068,B1333,'Nacional · base'!$C$7:$C$1068,C1333)</f>
        <v>9.8033333333333346</v>
      </c>
      <c r="G1333">
        <f t="shared" si="25"/>
        <v>10</v>
      </c>
      <c r="H1333">
        <f>SUMIFS('Nacional · base'!$G$7:$G$1068,'Nacional · base'!$A$7:$A$1068,A1333,'Nacional · base'!$B$7:$B$1068,B1333,'Nacional · base'!$C$7:$C$1068,C1333)</f>
        <v>23787.749239165056</v>
      </c>
      <c r="I1333">
        <f>IF(D1333="Canarias",IF(C1333="CABRERA MORALES FRANCISCO",IF(E1333&lt;=2000,'Nacional · supuestos'!$C$34,IF(E1333&lt;=5000,'Nacional · supuestos'!$C$35,'Nacional · supuestos'!$C$36)),IF(E1333&lt;=2000,'Nacional · supuestos'!$B$34,IF(E1333&lt;=5000,'Nacional · supuestos'!$B$35,'Nacional · supuestos'!$B$36))),0)</f>
        <v>0</v>
      </c>
      <c r="J1333">
        <f>IF(D1333="Canarias",MAX(E1333*I1333,IF(C1333="CABRERA MORALES FRANCISCO",'Nacional · supuestos'!$C$38,'Nacional · supuestos'!$B$38)),0)</f>
        <v>0</v>
      </c>
      <c r="K1333">
        <f>IF(D1333="Canarias",MAX(E1333*'Nacional · supuestos'!$B$41,'Nacional · supuestos'!$B$42),0)</f>
        <v>0</v>
      </c>
      <c r="L1333">
        <f>IF(D1333="Canarias",E1333*'Nacional · supuestos'!$B$43,0)</f>
        <v>0</v>
      </c>
      <c r="M1333">
        <f>IF(D1333="Canarias",E1333*'Nacional · supuestos'!$B$44,0)</f>
        <v>0</v>
      </c>
      <c r="N1333">
        <f>IF(D1333="Canarias",E1333*'Nacional · supuestos'!$B$45,0)</f>
        <v>0</v>
      </c>
      <c r="O1333">
        <f>IF(D1333="Canarias",'Nacional · supuestos'!$B$46,0)</f>
        <v>0</v>
      </c>
      <c r="P1333">
        <f>IF(D1333="Canarias",MAX(H1333*'Nacional · supuestos'!$B$47,'Nacional · supuestos'!$B$48),0)</f>
        <v>0</v>
      </c>
      <c r="Q1333">
        <f>IF(D1333="Resto nacional",E1333*'Nacional · supuestos'!$B$13*IF(A1333=2027,1+'Nacional · supuestos'!$B$6,1),0)</f>
        <v>768.01332798262604</v>
      </c>
      <c r="R1333">
        <f>IF(D1333="Canarias",SUM(J1333:P1333)*IF(A1333=2027,1+'Nacional · supuestos'!$B$6,1),0)</f>
        <v>0</v>
      </c>
      <c r="S1333">
        <f t="shared" si="26"/>
        <v>768.01332798262604</v>
      </c>
    </row>
    <row r="1334" spans="1:19">
      <c r="A1334">
        <v>2027</v>
      </c>
      <c r="B1334">
        <v>6</v>
      </c>
      <c r="C1334" t="s">
        <v>220</v>
      </c>
      <c r="D1334" t="s">
        <v>160</v>
      </c>
      <c r="E1334">
        <f>SUMIFS('Nacional · base'!$J$7:$J$1068,'Nacional · base'!$A$7:$A$1068,A1334,'Nacional · base'!$B$7:$B$1068,B1334,'Nacional · base'!$C$7:$C$1068,C1334)</f>
        <v>802.4</v>
      </c>
      <c r="F1334">
        <f>SUMIFS('Nacional · base'!$K$7:$K$1068,'Nacional · base'!$A$7:$A$1068,A1334,'Nacional · base'!$B$7:$B$1068,B1334,'Nacional · base'!$C$7:$C$1068,C1334)</f>
        <v>1.0625</v>
      </c>
      <c r="G1334">
        <f t="shared" si="25"/>
        <v>2</v>
      </c>
      <c r="H1334">
        <f>SUMIFS('Nacional · base'!$G$7:$G$1068,'Nacional · base'!$A$7:$A$1068,A1334,'Nacional · base'!$B$7:$B$1068,B1334,'Nacional · base'!$C$7:$C$1068,C1334)</f>
        <v>2076.8330104528918</v>
      </c>
      <c r="I1334">
        <f>IF(D1334="Canarias",IF(C1334="CABRERA MORALES FRANCISCO",IF(E1334&lt;=2000,'Nacional · supuestos'!$C$34,IF(E1334&lt;=5000,'Nacional · supuestos'!$C$35,'Nacional · supuestos'!$C$36)),IF(E1334&lt;=2000,'Nacional · supuestos'!$B$34,IF(E1334&lt;=5000,'Nacional · supuestos'!$B$35,'Nacional · supuestos'!$B$36))),0)</f>
        <v>0</v>
      </c>
      <c r="J1334">
        <f>IF(D1334="Canarias",MAX(E1334*I1334,IF(C1334="CABRERA MORALES FRANCISCO",'Nacional · supuestos'!$C$38,'Nacional · supuestos'!$B$38)),0)</f>
        <v>0</v>
      </c>
      <c r="K1334">
        <f>IF(D1334="Canarias",MAX(E1334*'Nacional · supuestos'!$B$41,'Nacional · supuestos'!$B$42),0)</f>
        <v>0</v>
      </c>
      <c r="L1334">
        <f>IF(D1334="Canarias",E1334*'Nacional · supuestos'!$B$43,0)</f>
        <v>0</v>
      </c>
      <c r="M1334">
        <f>IF(D1334="Canarias",E1334*'Nacional · supuestos'!$B$44,0)</f>
        <v>0</v>
      </c>
      <c r="N1334">
        <f>IF(D1334="Canarias",E1334*'Nacional · supuestos'!$B$45,0)</f>
        <v>0</v>
      </c>
      <c r="O1334">
        <f>IF(D1334="Canarias",'Nacional · supuestos'!$B$46,0)</f>
        <v>0</v>
      </c>
      <c r="P1334">
        <f>IF(D1334="Canarias",MAX(H1334*'Nacional · supuestos'!$B$47,'Nacional · supuestos'!$B$48),0)</f>
        <v>0</v>
      </c>
      <c r="Q1334">
        <f>IF(D1334="Resto nacional",E1334*'Nacional · supuestos'!$B$13*IF(A1334=2027,1+'Nacional · supuestos'!$B$6,1),0)</f>
        <v>78.264401114206123</v>
      </c>
      <c r="R1334">
        <f>IF(D1334="Canarias",SUM(J1334:P1334)*IF(A1334=2027,1+'Nacional · supuestos'!$B$6,1),0)</f>
        <v>0</v>
      </c>
      <c r="S1334">
        <f t="shared" si="26"/>
        <v>78.264401114206123</v>
      </c>
    </row>
    <row r="1335" spans="1:19">
      <c r="A1335">
        <v>2027</v>
      </c>
      <c r="B1335">
        <v>6</v>
      </c>
      <c r="C1335" t="s">
        <v>209</v>
      </c>
      <c r="D1335" t="s">
        <v>160</v>
      </c>
      <c r="E1335">
        <f>SUMIFS('Nacional · base'!$J$7:$J$1068,'Nacional · base'!$A$7:$A$1068,A1335,'Nacional · base'!$B$7:$B$1068,B1335,'Nacional · base'!$C$7:$C$1068,C1335)</f>
        <v>2508.8000000000002</v>
      </c>
      <c r="F1335">
        <f>SUMIFS('Nacional · base'!$K$7:$K$1068,'Nacional · base'!$A$7:$A$1068,A1335,'Nacional · base'!$B$7:$B$1068,B1335,'Nacional · base'!$C$7:$C$1068,C1335)</f>
        <v>3.2374999999999998</v>
      </c>
      <c r="G1335">
        <f t="shared" si="25"/>
        <v>4</v>
      </c>
      <c r="H1335">
        <f>SUMIFS('Nacional · base'!$G$7:$G$1068,'Nacional · base'!$A$7:$A$1068,A1335,'Nacional · base'!$B$7:$B$1068,B1335,'Nacional · base'!$C$7:$C$1068,C1335)</f>
        <v>7091.502879297891</v>
      </c>
      <c r="I1335">
        <f>IF(D1335="Canarias",IF(C1335="CABRERA MORALES FRANCISCO",IF(E1335&lt;=2000,'Nacional · supuestos'!$C$34,IF(E1335&lt;=5000,'Nacional · supuestos'!$C$35,'Nacional · supuestos'!$C$36)),IF(E1335&lt;=2000,'Nacional · supuestos'!$B$34,IF(E1335&lt;=5000,'Nacional · supuestos'!$B$35,'Nacional · supuestos'!$B$36))),0)</f>
        <v>0</v>
      </c>
      <c r="J1335">
        <f>IF(D1335="Canarias",MAX(E1335*I1335,IF(C1335="CABRERA MORALES FRANCISCO",'Nacional · supuestos'!$C$38,'Nacional · supuestos'!$B$38)),0)</f>
        <v>0</v>
      </c>
      <c r="K1335">
        <f>IF(D1335="Canarias",MAX(E1335*'Nacional · supuestos'!$B$41,'Nacional · supuestos'!$B$42),0)</f>
        <v>0</v>
      </c>
      <c r="L1335">
        <f>IF(D1335="Canarias",E1335*'Nacional · supuestos'!$B$43,0)</f>
        <v>0</v>
      </c>
      <c r="M1335">
        <f>IF(D1335="Canarias",E1335*'Nacional · supuestos'!$B$44,0)</f>
        <v>0</v>
      </c>
      <c r="N1335">
        <f>IF(D1335="Canarias",E1335*'Nacional · supuestos'!$B$45,0)</f>
        <v>0</v>
      </c>
      <c r="O1335">
        <f>IF(D1335="Canarias",'Nacional · supuestos'!$B$46,0)</f>
        <v>0</v>
      </c>
      <c r="P1335">
        <f>IF(D1335="Canarias",MAX(H1335*'Nacional · supuestos'!$B$47,'Nacional · supuestos'!$B$48),0)</f>
        <v>0</v>
      </c>
      <c r="Q1335">
        <f>IF(D1335="Resto nacional",E1335*'Nacional · supuestos'!$B$13*IF(A1335=2027,1+'Nacional · supuestos'!$B$6,1),0)</f>
        <v>244.70305273594261</v>
      </c>
      <c r="R1335">
        <f>IF(D1335="Canarias",SUM(J1335:P1335)*IF(A1335=2027,1+'Nacional · supuestos'!$B$6,1),0)</f>
        <v>0</v>
      </c>
      <c r="S1335">
        <f t="shared" si="26"/>
        <v>244.70305273594261</v>
      </c>
    </row>
    <row r="1336" spans="1:19">
      <c r="A1336">
        <v>2027</v>
      </c>
      <c r="B1336">
        <v>6</v>
      </c>
      <c r="C1336" t="s">
        <v>181</v>
      </c>
      <c r="D1336" t="s">
        <v>160</v>
      </c>
      <c r="E1336">
        <f>SUMIFS('Nacional · base'!$J$7:$J$1068,'Nacional · base'!$A$7:$A$1068,A1336,'Nacional · base'!$B$7:$B$1068,B1336,'Nacional · base'!$C$7:$C$1068,C1336)</f>
        <v>9553.2000000000007</v>
      </c>
      <c r="F1336">
        <f>SUMIFS('Nacional · base'!$K$7:$K$1068,'Nacional · base'!$A$7:$A$1068,A1336,'Nacional · base'!$B$7:$B$1068,B1336,'Nacional · base'!$C$7:$C$1068,C1336)</f>
        <v>12.00625</v>
      </c>
      <c r="G1336">
        <f t="shared" si="25"/>
        <v>13</v>
      </c>
      <c r="H1336">
        <f>SUMIFS('Nacional · base'!$G$7:$G$1068,'Nacional · base'!$A$7:$A$1068,A1336,'Nacional · base'!$B$7:$B$1068,B1336,'Nacional · base'!$C$7:$C$1068,C1336)</f>
        <v>19530.819489185786</v>
      </c>
      <c r="I1336">
        <f>IF(D1336="Canarias",IF(C1336="CABRERA MORALES FRANCISCO",IF(E1336&lt;=2000,'Nacional · supuestos'!$C$34,IF(E1336&lt;=5000,'Nacional · supuestos'!$C$35,'Nacional · supuestos'!$C$36)),IF(E1336&lt;=2000,'Nacional · supuestos'!$B$34,IF(E1336&lt;=5000,'Nacional · supuestos'!$B$35,'Nacional · supuestos'!$B$36))),0)</f>
        <v>0</v>
      </c>
      <c r="J1336">
        <f>IF(D1336="Canarias",MAX(E1336*I1336,IF(C1336="CABRERA MORALES FRANCISCO",'Nacional · supuestos'!$C$38,'Nacional · supuestos'!$B$38)),0)</f>
        <v>0</v>
      </c>
      <c r="K1336">
        <f>IF(D1336="Canarias",MAX(E1336*'Nacional · supuestos'!$B$41,'Nacional · supuestos'!$B$42),0)</f>
        <v>0</v>
      </c>
      <c r="L1336">
        <f>IF(D1336="Canarias",E1336*'Nacional · supuestos'!$B$43,0)</f>
        <v>0</v>
      </c>
      <c r="M1336">
        <f>IF(D1336="Canarias",E1336*'Nacional · supuestos'!$B$44,0)</f>
        <v>0</v>
      </c>
      <c r="N1336">
        <f>IF(D1336="Canarias",E1336*'Nacional · supuestos'!$B$45,0)</f>
        <v>0</v>
      </c>
      <c r="O1336">
        <f>IF(D1336="Canarias",'Nacional · supuestos'!$B$46,0)</f>
        <v>0</v>
      </c>
      <c r="P1336">
        <f>IF(D1336="Canarias",MAX(H1336*'Nacional · supuestos'!$B$47,'Nacional · supuestos'!$B$48),0)</f>
        <v>0</v>
      </c>
      <c r="Q1336">
        <f>IF(D1336="Resto nacional",E1336*'Nacional · supuestos'!$B$13*IF(A1336=2027,1+'Nacional · supuestos'!$B$6,1),0)</f>
        <v>931.79894905811818</v>
      </c>
      <c r="R1336">
        <f>IF(D1336="Canarias",SUM(J1336:P1336)*IF(A1336=2027,1+'Nacional · supuestos'!$B$6,1),0)</f>
        <v>0</v>
      </c>
      <c r="S1336">
        <f t="shared" si="26"/>
        <v>931.79894905811818</v>
      </c>
    </row>
    <row r="1337" spans="1:19">
      <c r="A1337">
        <v>2027</v>
      </c>
      <c r="B1337">
        <v>6</v>
      </c>
      <c r="C1337" t="s">
        <v>186</v>
      </c>
      <c r="D1337" t="s">
        <v>160</v>
      </c>
      <c r="E1337">
        <f>SUMIFS('Nacional · base'!$J$7:$J$1068,'Nacional · base'!$A$7:$A$1068,A1337,'Nacional · base'!$B$7:$B$1068,B1337,'Nacional · base'!$C$7:$C$1068,C1337)</f>
        <v>11140.1</v>
      </c>
      <c r="F1337">
        <f>SUMIFS('Nacional · base'!$K$7:$K$1068,'Nacional · base'!$A$7:$A$1068,A1337,'Nacional · base'!$B$7:$B$1068,B1337,'Nacional · base'!$C$7:$C$1068,C1337)</f>
        <v>12.463636363636363</v>
      </c>
      <c r="G1337">
        <f t="shared" si="25"/>
        <v>13</v>
      </c>
      <c r="H1337">
        <f>SUMIFS('Nacional · base'!$G$7:$G$1068,'Nacional · base'!$A$7:$A$1068,A1337,'Nacional · base'!$B$7:$B$1068,B1337,'Nacional · base'!$C$7:$C$1068,C1337)</f>
        <v>20626.827353490491</v>
      </c>
      <c r="I1337">
        <f>IF(D1337="Canarias",IF(C1337="CABRERA MORALES FRANCISCO",IF(E1337&lt;=2000,'Nacional · supuestos'!$C$34,IF(E1337&lt;=5000,'Nacional · supuestos'!$C$35,'Nacional · supuestos'!$C$36)),IF(E1337&lt;=2000,'Nacional · supuestos'!$B$34,IF(E1337&lt;=5000,'Nacional · supuestos'!$B$35,'Nacional · supuestos'!$B$36))),0)</f>
        <v>0</v>
      </c>
      <c r="J1337">
        <f>IF(D1337="Canarias",MAX(E1337*I1337,IF(C1337="CABRERA MORALES FRANCISCO",'Nacional · supuestos'!$C$38,'Nacional · supuestos'!$B$38)),0)</f>
        <v>0</v>
      </c>
      <c r="K1337">
        <f>IF(D1337="Canarias",MAX(E1337*'Nacional · supuestos'!$B$41,'Nacional · supuestos'!$B$42),0)</f>
        <v>0</v>
      </c>
      <c r="L1337">
        <f>IF(D1337="Canarias",E1337*'Nacional · supuestos'!$B$43,0)</f>
        <v>0</v>
      </c>
      <c r="M1337">
        <f>IF(D1337="Canarias",E1337*'Nacional · supuestos'!$B$44,0)</f>
        <v>0</v>
      </c>
      <c r="N1337">
        <f>IF(D1337="Canarias",E1337*'Nacional · supuestos'!$B$45,0)</f>
        <v>0</v>
      </c>
      <c r="O1337">
        <f>IF(D1337="Canarias",'Nacional · supuestos'!$B$46,0)</f>
        <v>0</v>
      </c>
      <c r="P1337">
        <f>IF(D1337="Canarias",MAX(H1337*'Nacional · supuestos'!$B$47,'Nacional · supuestos'!$B$48),0)</f>
        <v>0</v>
      </c>
      <c r="Q1337">
        <f>IF(D1337="Resto nacional",E1337*'Nacional · supuestos'!$B$13*IF(A1337=2027,1+'Nacional · supuestos'!$B$6,1),0)</f>
        <v>1086.5818230961711</v>
      </c>
      <c r="R1337">
        <f>IF(D1337="Canarias",SUM(J1337:P1337)*IF(A1337=2027,1+'Nacional · supuestos'!$B$6,1),0)</f>
        <v>0</v>
      </c>
      <c r="S1337">
        <f t="shared" si="26"/>
        <v>1086.5818230961711</v>
      </c>
    </row>
    <row r="1338" spans="1:19">
      <c r="A1338">
        <v>2027</v>
      </c>
      <c r="B1338">
        <v>7</v>
      </c>
      <c r="C1338" t="s">
        <v>194</v>
      </c>
      <c r="D1338" t="s">
        <v>160</v>
      </c>
      <c r="E1338">
        <f>SUMIFS('Nacional · base'!$J$7:$J$1068,'Nacional · base'!$A$7:$A$1068,A1338,'Nacional · base'!$B$7:$B$1068,B1338,'Nacional · base'!$C$7:$C$1068,C1338)</f>
        <v>273</v>
      </c>
      <c r="F1338">
        <f>SUMIFS('Nacional · base'!$K$7:$K$1068,'Nacional · base'!$A$7:$A$1068,A1338,'Nacional · base'!$B$7:$B$1068,B1338,'Nacional · base'!$C$7:$C$1068,C1338)</f>
        <v>0.29715909090909087</v>
      </c>
      <c r="G1338">
        <f t="shared" si="25"/>
        <v>1</v>
      </c>
      <c r="H1338">
        <f>SUMIFS('Nacional · base'!$G$7:$G$1068,'Nacional · base'!$A$7:$A$1068,A1338,'Nacional · base'!$B$7:$B$1068,B1338,'Nacional · base'!$C$7:$C$1068,C1338)</f>
        <v>841.7719823284649</v>
      </c>
      <c r="I1338">
        <f>IF(D1338="Canarias",IF(C1338="CABRERA MORALES FRANCISCO",IF(E1338&lt;=2000,'Nacional · supuestos'!$C$34,IF(E1338&lt;=5000,'Nacional · supuestos'!$C$35,'Nacional · supuestos'!$C$36)),IF(E1338&lt;=2000,'Nacional · supuestos'!$B$34,IF(E1338&lt;=5000,'Nacional · supuestos'!$B$35,'Nacional · supuestos'!$B$36))),0)</f>
        <v>0</v>
      </c>
      <c r="J1338">
        <f>IF(D1338="Canarias",MAX(E1338*I1338,IF(C1338="CABRERA MORALES FRANCISCO",'Nacional · supuestos'!$C$38,'Nacional · supuestos'!$B$38)),0)</f>
        <v>0</v>
      </c>
      <c r="K1338">
        <f>IF(D1338="Canarias",MAX(E1338*'Nacional · supuestos'!$B$41,'Nacional · supuestos'!$B$42),0)</f>
        <v>0</v>
      </c>
      <c r="L1338">
        <f>IF(D1338="Canarias",E1338*'Nacional · supuestos'!$B$43,0)</f>
        <v>0</v>
      </c>
      <c r="M1338">
        <f>IF(D1338="Canarias",E1338*'Nacional · supuestos'!$B$44,0)</f>
        <v>0</v>
      </c>
      <c r="N1338">
        <f>IF(D1338="Canarias",E1338*'Nacional · supuestos'!$B$45,0)</f>
        <v>0</v>
      </c>
      <c r="O1338">
        <f>IF(D1338="Canarias",'Nacional · supuestos'!$B$46,0)</f>
        <v>0</v>
      </c>
      <c r="P1338">
        <f>IF(D1338="Canarias",MAX(H1338*'Nacional · supuestos'!$B$47,'Nacional · supuestos'!$B$48),0)</f>
        <v>0</v>
      </c>
      <c r="Q1338">
        <f>IF(D1338="Resto nacional",E1338*'Nacional · supuestos'!$B$13*IF(A1338=2027,1+'Nacional · supuestos'!$B$6,1),0)</f>
        <v>26.627843350172324</v>
      </c>
      <c r="R1338">
        <f>IF(D1338="Canarias",SUM(J1338:P1338)*IF(A1338=2027,1+'Nacional · supuestos'!$B$6,1),0)</f>
        <v>0</v>
      </c>
      <c r="S1338">
        <f t="shared" si="26"/>
        <v>26.627843350172324</v>
      </c>
    </row>
    <row r="1339" spans="1:19">
      <c r="A1339">
        <v>2027</v>
      </c>
      <c r="B1339">
        <v>7</v>
      </c>
      <c r="C1339" t="s">
        <v>195</v>
      </c>
      <c r="D1339" t="s">
        <v>160</v>
      </c>
      <c r="E1339">
        <f>SUMIFS('Nacional · base'!$J$7:$J$1068,'Nacional · base'!$A$7:$A$1068,A1339,'Nacional · base'!$B$7:$B$1068,B1339,'Nacional · base'!$C$7:$C$1068,C1339)</f>
        <v>778.62</v>
      </c>
      <c r="F1339">
        <f>SUMIFS('Nacional · base'!$K$7:$K$1068,'Nacional · base'!$A$7:$A$1068,A1339,'Nacional · base'!$B$7:$B$1068,B1339,'Nacional · base'!$C$7:$C$1068,C1339)</f>
        <v>0.89772727272727271</v>
      </c>
      <c r="G1339">
        <f t="shared" si="25"/>
        <v>1</v>
      </c>
      <c r="H1339">
        <f>SUMIFS('Nacional · base'!$G$7:$G$1068,'Nacional · base'!$A$7:$A$1068,A1339,'Nacional · base'!$B$7:$B$1068,B1339,'Nacional · base'!$C$7:$C$1068,C1339)</f>
        <v>2177.693461211486</v>
      </c>
      <c r="I1339">
        <f>IF(D1339="Canarias",IF(C1339="CABRERA MORALES FRANCISCO",IF(E1339&lt;=2000,'Nacional · supuestos'!$C$34,IF(E1339&lt;=5000,'Nacional · supuestos'!$C$35,'Nacional · supuestos'!$C$36)),IF(E1339&lt;=2000,'Nacional · supuestos'!$B$34,IF(E1339&lt;=5000,'Nacional · supuestos'!$B$35,'Nacional · supuestos'!$B$36))),0)</f>
        <v>0</v>
      </c>
      <c r="J1339">
        <f>IF(D1339="Canarias",MAX(E1339*I1339,IF(C1339="CABRERA MORALES FRANCISCO",'Nacional · supuestos'!$C$38,'Nacional · supuestos'!$B$38)),0)</f>
        <v>0</v>
      </c>
      <c r="K1339">
        <f>IF(D1339="Canarias",MAX(E1339*'Nacional · supuestos'!$B$41,'Nacional · supuestos'!$B$42),0)</f>
        <v>0</v>
      </c>
      <c r="L1339">
        <f>IF(D1339="Canarias",E1339*'Nacional · supuestos'!$B$43,0)</f>
        <v>0</v>
      </c>
      <c r="M1339">
        <f>IF(D1339="Canarias",E1339*'Nacional · supuestos'!$B$44,0)</f>
        <v>0</v>
      </c>
      <c r="N1339">
        <f>IF(D1339="Canarias",E1339*'Nacional · supuestos'!$B$45,0)</f>
        <v>0</v>
      </c>
      <c r="O1339">
        <f>IF(D1339="Canarias",'Nacional · supuestos'!$B$46,0)</f>
        <v>0</v>
      </c>
      <c r="P1339">
        <f>IF(D1339="Canarias",MAX(H1339*'Nacional · supuestos'!$B$47,'Nacional · supuestos'!$B$48),0)</f>
        <v>0</v>
      </c>
      <c r="Q1339">
        <f>IF(D1339="Resto nacional",E1339*'Nacional · supuestos'!$B$13*IF(A1339=2027,1+'Nacional · supuestos'!$B$6,1),0)</f>
        <v>75.944950143996991</v>
      </c>
      <c r="R1339">
        <f>IF(D1339="Canarias",SUM(J1339:P1339)*IF(A1339=2027,1+'Nacional · supuestos'!$B$6,1),0)</f>
        <v>0</v>
      </c>
      <c r="S1339">
        <f t="shared" si="26"/>
        <v>75.944950143996991</v>
      </c>
    </row>
    <row r="1340" spans="1:19">
      <c r="A1340">
        <v>2027</v>
      </c>
      <c r="B1340">
        <v>7</v>
      </c>
      <c r="C1340" t="s">
        <v>162</v>
      </c>
      <c r="D1340" t="s">
        <v>160</v>
      </c>
      <c r="E1340">
        <f>SUMIFS('Nacional · base'!$J$7:$J$1068,'Nacional · base'!$A$7:$A$1068,A1340,'Nacional · base'!$B$7:$B$1068,B1340,'Nacional · base'!$C$7:$C$1068,C1340)</f>
        <v>1911.6</v>
      </c>
      <c r="F1340">
        <f>SUMIFS('Nacional · base'!$K$7:$K$1068,'Nacional · base'!$A$7:$A$1068,A1340,'Nacional · base'!$B$7:$B$1068,B1340,'Nacional · base'!$C$7:$C$1068,C1340)</f>
        <v>2.53125</v>
      </c>
      <c r="G1340">
        <f t="shared" si="25"/>
        <v>3</v>
      </c>
      <c r="H1340">
        <f>SUMIFS('Nacional · base'!$G$7:$G$1068,'Nacional · base'!$A$7:$A$1068,A1340,'Nacional · base'!$B$7:$B$1068,B1340,'Nacional · base'!$C$7:$C$1068,C1340)</f>
        <v>5422.6564379532401</v>
      </c>
      <c r="I1340">
        <f>IF(D1340="Canarias",IF(C1340="CABRERA MORALES FRANCISCO",IF(E1340&lt;=2000,'Nacional · supuestos'!$C$34,IF(E1340&lt;=5000,'Nacional · supuestos'!$C$35,'Nacional · supuestos'!$C$36)),IF(E1340&lt;=2000,'Nacional · supuestos'!$B$34,IF(E1340&lt;=5000,'Nacional · supuestos'!$B$35,'Nacional · supuestos'!$B$36))),0)</f>
        <v>0</v>
      </c>
      <c r="J1340">
        <f>IF(D1340="Canarias",MAX(E1340*I1340,IF(C1340="CABRERA MORALES FRANCISCO",'Nacional · supuestos'!$C$38,'Nacional · supuestos'!$B$38)),0)</f>
        <v>0</v>
      </c>
      <c r="K1340">
        <f>IF(D1340="Canarias",MAX(E1340*'Nacional · supuestos'!$B$41,'Nacional · supuestos'!$B$42),0)</f>
        <v>0</v>
      </c>
      <c r="L1340">
        <f>IF(D1340="Canarias",E1340*'Nacional · supuestos'!$B$43,0)</f>
        <v>0</v>
      </c>
      <c r="M1340">
        <f>IF(D1340="Canarias",E1340*'Nacional · supuestos'!$B$44,0)</f>
        <v>0</v>
      </c>
      <c r="N1340">
        <f>IF(D1340="Canarias",E1340*'Nacional · supuestos'!$B$45,0)</f>
        <v>0</v>
      </c>
      <c r="O1340">
        <f>IF(D1340="Canarias",'Nacional · supuestos'!$B$46,0)</f>
        <v>0</v>
      </c>
      <c r="P1340">
        <f>IF(D1340="Canarias",MAX(H1340*'Nacional · supuestos'!$B$47,'Nacional · supuestos'!$B$48),0)</f>
        <v>0</v>
      </c>
      <c r="Q1340">
        <f>IF(D1340="Resto nacional",E1340*'Nacional · supuestos'!$B$13*IF(A1340=2027,1+'Nacional · supuestos'!$B$6,1),0)</f>
        <v>186.45342618384402</v>
      </c>
      <c r="R1340">
        <f>IF(D1340="Canarias",SUM(J1340:P1340)*IF(A1340=2027,1+'Nacional · supuestos'!$B$6,1),0)</f>
        <v>0</v>
      </c>
      <c r="S1340">
        <f t="shared" si="26"/>
        <v>186.45342618384402</v>
      </c>
    </row>
    <row r="1341" spans="1:19">
      <c r="A1341">
        <v>2027</v>
      </c>
      <c r="B1341">
        <v>7</v>
      </c>
      <c r="C1341" t="s">
        <v>163</v>
      </c>
      <c r="D1341" t="s">
        <v>164</v>
      </c>
      <c r="E1341">
        <f>SUMIFS('Nacional · base'!$J$7:$J$1068,'Nacional · base'!$A$7:$A$1068,A1341,'Nacional · base'!$B$7:$B$1068,B1341,'Nacional · base'!$C$7:$C$1068,C1341)</f>
        <v>4913.1000000000004</v>
      </c>
      <c r="F1341">
        <f>SUMIFS('Nacional · base'!$K$7:$K$1068,'Nacional · base'!$A$7:$A$1068,A1341,'Nacional · base'!$B$7:$B$1068,B1341,'Nacional · base'!$C$7:$C$1068,C1341)</f>
        <v>6.3875000000000002</v>
      </c>
      <c r="G1341">
        <f t="shared" si="25"/>
        <v>7</v>
      </c>
      <c r="H1341">
        <f>SUMIFS('Nacional · base'!$G$7:$G$1068,'Nacional · base'!$A$7:$A$1068,A1341,'Nacional · base'!$B$7:$B$1068,B1341,'Nacional · base'!$C$7:$C$1068,C1341)</f>
        <v>12911.774229837589</v>
      </c>
      <c r="I1341">
        <f>IF(D1341="Canarias",IF(C1341="CABRERA MORALES FRANCISCO",IF(E1341&lt;=2000,'Nacional · supuestos'!$C$34,IF(E1341&lt;=5000,'Nacional · supuestos'!$C$35,'Nacional · supuestos'!$C$36)),IF(E1341&lt;=2000,'Nacional · supuestos'!$B$34,IF(E1341&lt;=5000,'Nacional · supuestos'!$B$35,'Nacional · supuestos'!$B$36))),0)</f>
        <v>0.108</v>
      </c>
      <c r="J1341">
        <f>IF(D1341="Canarias",MAX(E1341*I1341,IF(C1341="CABRERA MORALES FRANCISCO",'Nacional · supuestos'!$C$38,'Nacional · supuestos'!$B$38)),0)</f>
        <v>530.61480000000006</v>
      </c>
      <c r="K1341">
        <f>IF(D1341="Canarias",MAX(E1341*'Nacional · supuestos'!$B$41,'Nacional · supuestos'!$B$42),0)</f>
        <v>176.8716</v>
      </c>
      <c r="L1341">
        <f>IF(D1341="Canarias",E1341*'Nacional · supuestos'!$B$43,0)</f>
        <v>58.957200000000007</v>
      </c>
      <c r="M1341">
        <f>IF(D1341="Canarias",E1341*'Nacional · supuestos'!$B$44,0)</f>
        <v>88.4358</v>
      </c>
      <c r="N1341">
        <f>IF(D1341="Canarias",E1341*'Nacional · supuestos'!$B$45,0)</f>
        <v>108.0882</v>
      </c>
      <c r="O1341">
        <f>IF(D1341="Canarias",'Nacional · supuestos'!$B$46,0)</f>
        <v>15</v>
      </c>
      <c r="P1341">
        <f>IF(D1341="Canarias",MAX(H1341*'Nacional · supuestos'!$B$47,'Nacional · supuestos'!$B$48),0)</f>
        <v>58.102984034269149</v>
      </c>
      <c r="Q1341">
        <f>IF(D1341="Resto nacional",E1341*'Nacional · supuestos'!$B$13*IF(A1341=2027,1+'Nacional · supuestos'!$B$6,1),0)</f>
        <v>0</v>
      </c>
      <c r="R1341">
        <f>IF(D1341="Canarias",SUM(J1341:P1341)*IF(A1341=2027,1+'Nacional · supuestos'!$B$6,1),0)</f>
        <v>1139.6776424376962</v>
      </c>
      <c r="S1341">
        <f t="shared" si="26"/>
        <v>1139.6776424376962</v>
      </c>
    </row>
    <row r="1342" spans="1:19">
      <c r="A1342">
        <v>2027</v>
      </c>
      <c r="B1342">
        <v>7</v>
      </c>
      <c r="C1342" t="s">
        <v>166</v>
      </c>
      <c r="D1342" t="s">
        <v>160</v>
      </c>
      <c r="E1342">
        <f>SUMIFS('Nacional · base'!$J$7:$J$1068,'Nacional · base'!$A$7:$A$1068,A1342,'Nacional · base'!$B$7:$B$1068,B1342,'Nacional · base'!$C$7:$C$1068,C1342)</f>
        <v>1180</v>
      </c>
      <c r="F1342">
        <f>SUMIFS('Nacional · base'!$K$7:$K$1068,'Nacional · base'!$A$7:$A$1068,A1342,'Nacional · base'!$B$7:$B$1068,B1342,'Nacional · base'!$C$7:$C$1068,C1342)</f>
        <v>1.4750000000000001</v>
      </c>
      <c r="G1342">
        <f t="shared" si="25"/>
        <v>2</v>
      </c>
      <c r="H1342">
        <f>SUMIFS('Nacional · base'!$G$7:$G$1068,'Nacional · base'!$A$7:$A$1068,A1342,'Nacional · base'!$B$7:$B$1068,B1342,'Nacional · base'!$C$7:$C$1068,C1342)</f>
        <v>2275.5101695536364</v>
      </c>
      <c r="I1342">
        <f>IF(D1342="Canarias",IF(C1342="CABRERA MORALES FRANCISCO",IF(E1342&lt;=2000,'Nacional · supuestos'!$C$34,IF(E1342&lt;=5000,'Nacional · supuestos'!$C$35,'Nacional · supuestos'!$C$36)),IF(E1342&lt;=2000,'Nacional · supuestos'!$B$34,IF(E1342&lt;=5000,'Nacional · supuestos'!$B$35,'Nacional · supuestos'!$B$36))),0)</f>
        <v>0</v>
      </c>
      <c r="J1342">
        <f>IF(D1342="Canarias",MAX(E1342*I1342,IF(C1342="CABRERA MORALES FRANCISCO",'Nacional · supuestos'!$C$38,'Nacional · supuestos'!$B$38)),0)</f>
        <v>0</v>
      </c>
      <c r="K1342">
        <f>IF(D1342="Canarias",MAX(E1342*'Nacional · supuestos'!$B$41,'Nacional · supuestos'!$B$42),0)</f>
        <v>0</v>
      </c>
      <c r="L1342">
        <f>IF(D1342="Canarias",E1342*'Nacional · supuestos'!$B$43,0)</f>
        <v>0</v>
      </c>
      <c r="M1342">
        <f>IF(D1342="Canarias",E1342*'Nacional · supuestos'!$B$44,0)</f>
        <v>0</v>
      </c>
      <c r="N1342">
        <f>IF(D1342="Canarias",E1342*'Nacional · supuestos'!$B$45,0)</f>
        <v>0</v>
      </c>
      <c r="O1342">
        <f>IF(D1342="Canarias",'Nacional · supuestos'!$B$46,0)</f>
        <v>0</v>
      </c>
      <c r="P1342">
        <f>IF(D1342="Canarias",MAX(H1342*'Nacional · supuestos'!$B$47,'Nacional · supuestos'!$B$48),0)</f>
        <v>0</v>
      </c>
      <c r="Q1342">
        <f>IF(D1342="Resto nacional",E1342*'Nacional · supuestos'!$B$13*IF(A1342=2027,1+'Nacional · supuestos'!$B$6,1),0)</f>
        <v>115.09470752089136</v>
      </c>
      <c r="R1342">
        <f>IF(D1342="Canarias",SUM(J1342:P1342)*IF(A1342=2027,1+'Nacional · supuestos'!$B$6,1),0)</f>
        <v>0</v>
      </c>
      <c r="S1342">
        <f t="shared" si="26"/>
        <v>115.09470752089136</v>
      </c>
    </row>
    <row r="1343" spans="1:19">
      <c r="A1343">
        <v>2027</v>
      </c>
      <c r="B1343">
        <v>7</v>
      </c>
      <c r="C1343" t="s">
        <v>191</v>
      </c>
      <c r="D1343" t="s">
        <v>160</v>
      </c>
      <c r="E1343">
        <f>SUMIFS('Nacional · base'!$J$7:$J$1068,'Nacional · base'!$A$7:$A$1068,A1343,'Nacional · base'!$B$7:$B$1068,B1343,'Nacional · base'!$C$7:$C$1068,C1343)</f>
        <v>1574.6999999999998</v>
      </c>
      <c r="F1343">
        <f>SUMIFS('Nacional · base'!$K$7:$K$1068,'Nacional · base'!$A$7:$A$1068,A1343,'Nacional · base'!$B$7:$B$1068,B1343,'Nacional · base'!$C$7:$C$1068,C1343)</f>
        <v>1.9958333333333333</v>
      </c>
      <c r="G1343">
        <f t="shared" si="25"/>
        <v>2</v>
      </c>
      <c r="H1343">
        <f>SUMIFS('Nacional · base'!$G$7:$G$1068,'Nacional · base'!$A$7:$A$1068,A1343,'Nacional · base'!$B$7:$B$1068,B1343,'Nacional · base'!$C$7:$C$1068,C1343)</f>
        <v>6270.7869232749617</v>
      </c>
      <c r="I1343">
        <f>IF(D1343="Canarias",IF(C1343="CABRERA MORALES FRANCISCO",IF(E1343&lt;=2000,'Nacional · supuestos'!$C$34,IF(E1343&lt;=5000,'Nacional · supuestos'!$C$35,'Nacional · supuestos'!$C$36)),IF(E1343&lt;=2000,'Nacional · supuestos'!$B$34,IF(E1343&lt;=5000,'Nacional · supuestos'!$B$35,'Nacional · supuestos'!$B$36))),0)</f>
        <v>0</v>
      </c>
      <c r="J1343">
        <f>IF(D1343="Canarias",MAX(E1343*I1343,IF(C1343="CABRERA MORALES FRANCISCO",'Nacional · supuestos'!$C$38,'Nacional · supuestos'!$B$38)),0)</f>
        <v>0</v>
      </c>
      <c r="K1343">
        <f>IF(D1343="Canarias",MAX(E1343*'Nacional · supuestos'!$B$41,'Nacional · supuestos'!$B$42),0)</f>
        <v>0</v>
      </c>
      <c r="L1343">
        <f>IF(D1343="Canarias",E1343*'Nacional · supuestos'!$B$43,0)</f>
        <v>0</v>
      </c>
      <c r="M1343">
        <f>IF(D1343="Canarias",E1343*'Nacional · supuestos'!$B$44,0)</f>
        <v>0</v>
      </c>
      <c r="N1343">
        <f>IF(D1343="Canarias",E1343*'Nacional · supuestos'!$B$45,0)</f>
        <v>0</v>
      </c>
      <c r="O1343">
        <f>IF(D1343="Canarias",'Nacional · supuestos'!$B$46,0)</f>
        <v>0</v>
      </c>
      <c r="P1343">
        <f>IF(D1343="Canarias",MAX(H1343*'Nacional · supuestos'!$B$47,'Nacional · supuestos'!$B$48),0)</f>
        <v>0</v>
      </c>
      <c r="Q1343">
        <f>IF(D1343="Resto nacional",E1343*'Nacional · supuestos'!$B$13*IF(A1343=2027,1+'Nacional · supuestos'!$B$6,1),0)</f>
        <v>153.59291180775222</v>
      </c>
      <c r="R1343">
        <f>IF(D1343="Canarias",SUM(J1343:P1343)*IF(A1343=2027,1+'Nacional · supuestos'!$B$6,1),0)</f>
        <v>0</v>
      </c>
      <c r="S1343">
        <f t="shared" si="26"/>
        <v>153.59291180775222</v>
      </c>
    </row>
    <row r="1344" spans="1:19">
      <c r="A1344">
        <v>2027</v>
      </c>
      <c r="B1344">
        <v>7</v>
      </c>
      <c r="C1344" t="s">
        <v>170</v>
      </c>
      <c r="D1344" t="s">
        <v>160</v>
      </c>
      <c r="E1344">
        <f>SUMIFS('Nacional · base'!$J$7:$J$1068,'Nacional · base'!$A$7:$A$1068,A1344,'Nacional · base'!$B$7:$B$1068,B1344,'Nacional · base'!$C$7:$C$1068,C1344)</f>
        <v>2973.6</v>
      </c>
      <c r="F1344">
        <f>SUMIFS('Nacional · base'!$K$7:$K$1068,'Nacional · base'!$A$7:$A$1068,A1344,'Nacional · base'!$B$7:$B$1068,B1344,'Nacional · base'!$C$7:$C$1068,C1344)</f>
        <v>3.375</v>
      </c>
      <c r="G1344">
        <f t="shared" si="25"/>
        <v>4</v>
      </c>
      <c r="H1344">
        <f>SUMIFS('Nacional · base'!$G$7:$G$1068,'Nacional · base'!$A$7:$A$1068,A1344,'Nacional · base'!$B$7:$B$1068,B1344,'Nacional · base'!$C$7:$C$1068,C1344)</f>
        <v>8211.2248326348199</v>
      </c>
      <c r="I1344">
        <f>IF(D1344="Canarias",IF(C1344="CABRERA MORALES FRANCISCO",IF(E1344&lt;=2000,'Nacional · supuestos'!$C$34,IF(E1344&lt;=5000,'Nacional · supuestos'!$C$35,'Nacional · supuestos'!$C$36)),IF(E1344&lt;=2000,'Nacional · supuestos'!$B$34,IF(E1344&lt;=5000,'Nacional · supuestos'!$B$35,'Nacional · supuestos'!$B$36))),0)</f>
        <v>0</v>
      </c>
      <c r="J1344">
        <f>IF(D1344="Canarias",MAX(E1344*I1344,IF(C1344="CABRERA MORALES FRANCISCO",'Nacional · supuestos'!$C$38,'Nacional · supuestos'!$B$38)),0)</f>
        <v>0</v>
      </c>
      <c r="K1344">
        <f>IF(D1344="Canarias",MAX(E1344*'Nacional · supuestos'!$B$41,'Nacional · supuestos'!$B$42),0)</f>
        <v>0</v>
      </c>
      <c r="L1344">
        <f>IF(D1344="Canarias",E1344*'Nacional · supuestos'!$B$43,0)</f>
        <v>0</v>
      </c>
      <c r="M1344">
        <f>IF(D1344="Canarias",E1344*'Nacional · supuestos'!$B$44,0)</f>
        <v>0</v>
      </c>
      <c r="N1344">
        <f>IF(D1344="Canarias",E1344*'Nacional · supuestos'!$B$45,0)</f>
        <v>0</v>
      </c>
      <c r="O1344">
        <f>IF(D1344="Canarias",'Nacional · supuestos'!$B$46,0)</f>
        <v>0</v>
      </c>
      <c r="P1344">
        <f>IF(D1344="Canarias",MAX(H1344*'Nacional · supuestos'!$B$47,'Nacional · supuestos'!$B$48),0)</f>
        <v>0</v>
      </c>
      <c r="Q1344">
        <f>IF(D1344="Resto nacional",E1344*'Nacional · supuestos'!$B$13*IF(A1344=2027,1+'Nacional · supuestos'!$B$6,1),0)</f>
        <v>290.03866295264623</v>
      </c>
      <c r="R1344">
        <f>IF(D1344="Canarias",SUM(J1344:P1344)*IF(A1344=2027,1+'Nacional · supuestos'!$B$6,1),0)</f>
        <v>0</v>
      </c>
      <c r="S1344">
        <f t="shared" si="26"/>
        <v>290.03866295264623</v>
      </c>
    </row>
    <row r="1345" spans="1:19">
      <c r="A1345">
        <v>2027</v>
      </c>
      <c r="B1345">
        <v>7</v>
      </c>
      <c r="C1345" t="s">
        <v>201</v>
      </c>
      <c r="D1345" t="s">
        <v>160</v>
      </c>
      <c r="E1345">
        <f>SUMIFS('Nacional · base'!$J$7:$J$1068,'Nacional · base'!$A$7:$A$1068,A1345,'Nacional · base'!$B$7:$B$1068,B1345,'Nacional · base'!$C$7:$C$1068,C1345)</f>
        <v>1062.2</v>
      </c>
      <c r="F1345">
        <f>SUMIFS('Nacional · base'!$K$7:$K$1068,'Nacional · base'!$A$7:$A$1068,A1345,'Nacional · base'!$B$7:$B$1068,B1345,'Nacional · base'!$C$7:$C$1068,C1345)</f>
        <v>1.4754166666666666</v>
      </c>
      <c r="G1345">
        <f t="shared" si="25"/>
        <v>2</v>
      </c>
      <c r="H1345">
        <f>SUMIFS('Nacional · base'!$G$7:$G$1068,'Nacional · base'!$A$7:$A$1068,A1345,'Nacional · base'!$B$7:$B$1068,B1345,'Nacional · base'!$C$7:$C$1068,C1345)</f>
        <v>4615.0744389327738</v>
      </c>
      <c r="I1345">
        <f>IF(D1345="Canarias",IF(C1345="CABRERA MORALES FRANCISCO",IF(E1345&lt;=2000,'Nacional · supuestos'!$C$34,IF(E1345&lt;=5000,'Nacional · supuestos'!$C$35,'Nacional · supuestos'!$C$36)),IF(E1345&lt;=2000,'Nacional · supuestos'!$B$34,IF(E1345&lt;=5000,'Nacional · supuestos'!$B$35,'Nacional · supuestos'!$B$36))),0)</f>
        <v>0</v>
      </c>
      <c r="J1345">
        <f>IF(D1345="Canarias",MAX(E1345*I1345,IF(C1345="CABRERA MORALES FRANCISCO",'Nacional · supuestos'!$C$38,'Nacional · supuestos'!$B$38)),0)</f>
        <v>0</v>
      </c>
      <c r="K1345">
        <f>IF(D1345="Canarias",MAX(E1345*'Nacional · supuestos'!$B$41,'Nacional · supuestos'!$B$42),0)</f>
        <v>0</v>
      </c>
      <c r="L1345">
        <f>IF(D1345="Canarias",E1345*'Nacional · supuestos'!$B$43,0)</f>
        <v>0</v>
      </c>
      <c r="M1345">
        <f>IF(D1345="Canarias",E1345*'Nacional · supuestos'!$B$44,0)</f>
        <v>0</v>
      </c>
      <c r="N1345">
        <f>IF(D1345="Canarias",E1345*'Nacional · supuestos'!$B$45,0)</f>
        <v>0</v>
      </c>
      <c r="O1345">
        <f>IF(D1345="Canarias",'Nacional · supuestos'!$B$46,0)</f>
        <v>0</v>
      </c>
      <c r="P1345">
        <f>IF(D1345="Canarias",MAX(H1345*'Nacional · supuestos'!$B$47,'Nacional · supuestos'!$B$48),0)</f>
        <v>0</v>
      </c>
      <c r="Q1345">
        <f>IF(D1345="Resto nacional",E1345*'Nacional · supuestos'!$B$13*IF(A1345=2027,1+'Nacional · supuestos'!$B$6,1),0)</f>
        <v>103.60474434634816</v>
      </c>
      <c r="R1345">
        <f>IF(D1345="Canarias",SUM(J1345:P1345)*IF(A1345=2027,1+'Nacional · supuestos'!$B$6,1),0)</f>
        <v>0</v>
      </c>
      <c r="S1345">
        <f t="shared" si="26"/>
        <v>103.60474434634816</v>
      </c>
    </row>
    <row r="1346" spans="1:19">
      <c r="A1346">
        <v>2027</v>
      </c>
      <c r="B1346">
        <v>7</v>
      </c>
      <c r="C1346" t="s">
        <v>215</v>
      </c>
      <c r="D1346" t="s">
        <v>160</v>
      </c>
      <c r="E1346">
        <f>SUMIFS('Nacional · base'!$J$7:$J$1068,'Nacional · base'!$A$7:$A$1068,A1346,'Nacional · base'!$B$7:$B$1068,B1346,'Nacional · base'!$C$7:$C$1068,C1346)</f>
        <v>236</v>
      </c>
      <c r="F1346">
        <f>SUMIFS('Nacional · base'!$K$7:$K$1068,'Nacional · base'!$A$7:$A$1068,A1346,'Nacional · base'!$B$7:$B$1068,B1346,'Nacional · base'!$C$7:$C$1068,C1346)</f>
        <v>0.3125</v>
      </c>
      <c r="G1346">
        <f t="shared" si="25"/>
        <v>1</v>
      </c>
      <c r="H1346">
        <f>SUMIFS('Nacional · base'!$G$7:$G$1068,'Nacional · base'!$A$7:$A$1068,A1346,'Nacional · base'!$B$7:$B$1068,B1346,'Nacional · base'!$C$7:$C$1068,C1346)</f>
        <v>836.40373799809345</v>
      </c>
      <c r="I1346">
        <f>IF(D1346="Canarias",IF(C1346="CABRERA MORALES FRANCISCO",IF(E1346&lt;=2000,'Nacional · supuestos'!$C$34,IF(E1346&lt;=5000,'Nacional · supuestos'!$C$35,'Nacional · supuestos'!$C$36)),IF(E1346&lt;=2000,'Nacional · supuestos'!$B$34,IF(E1346&lt;=5000,'Nacional · supuestos'!$B$35,'Nacional · supuestos'!$B$36))),0)</f>
        <v>0</v>
      </c>
      <c r="J1346">
        <f>IF(D1346="Canarias",MAX(E1346*I1346,IF(C1346="CABRERA MORALES FRANCISCO",'Nacional · supuestos'!$C$38,'Nacional · supuestos'!$B$38)),0)</f>
        <v>0</v>
      </c>
      <c r="K1346">
        <f>IF(D1346="Canarias",MAX(E1346*'Nacional · supuestos'!$B$41,'Nacional · supuestos'!$B$42),0)</f>
        <v>0</v>
      </c>
      <c r="L1346">
        <f>IF(D1346="Canarias",E1346*'Nacional · supuestos'!$B$43,0)</f>
        <v>0</v>
      </c>
      <c r="M1346">
        <f>IF(D1346="Canarias",E1346*'Nacional · supuestos'!$B$44,0)</f>
        <v>0</v>
      </c>
      <c r="N1346">
        <f>IF(D1346="Canarias",E1346*'Nacional · supuestos'!$B$45,0)</f>
        <v>0</v>
      </c>
      <c r="O1346">
        <f>IF(D1346="Canarias",'Nacional · supuestos'!$B$46,0)</f>
        <v>0</v>
      </c>
      <c r="P1346">
        <f>IF(D1346="Canarias",MAX(H1346*'Nacional · supuestos'!$B$47,'Nacional · supuestos'!$B$48),0)</f>
        <v>0</v>
      </c>
      <c r="Q1346">
        <f>IF(D1346="Resto nacional",E1346*'Nacional · supuestos'!$B$13*IF(A1346=2027,1+'Nacional · supuestos'!$B$6,1),0)</f>
        <v>23.018941504178276</v>
      </c>
      <c r="R1346">
        <f>IF(D1346="Canarias",SUM(J1346:P1346)*IF(A1346=2027,1+'Nacional · supuestos'!$B$6,1),0)</f>
        <v>0</v>
      </c>
      <c r="S1346">
        <f t="shared" si="26"/>
        <v>23.018941504178276</v>
      </c>
    </row>
    <row r="1347" spans="1:19">
      <c r="A1347">
        <v>2027</v>
      </c>
      <c r="B1347">
        <v>7</v>
      </c>
      <c r="C1347" t="s">
        <v>216</v>
      </c>
      <c r="D1347" t="s">
        <v>160</v>
      </c>
      <c r="E1347">
        <f>SUMIFS('Nacional · base'!$J$7:$J$1068,'Nacional · base'!$A$7:$A$1068,A1347,'Nacional · base'!$B$7:$B$1068,B1347,'Nacional · base'!$C$7:$C$1068,C1347)</f>
        <v>1844.7</v>
      </c>
      <c r="F1347">
        <f>SUMIFS('Nacional · base'!$K$7:$K$1068,'Nacional · base'!$A$7:$A$1068,A1347,'Nacional · base'!$B$7:$B$1068,B1347,'Nacional · base'!$C$7:$C$1068,C1347)</f>
        <v>2.4001136363636362</v>
      </c>
      <c r="G1347">
        <f t="shared" si="25"/>
        <v>3</v>
      </c>
      <c r="H1347">
        <f>SUMIFS('Nacional · base'!$G$7:$G$1068,'Nacional · base'!$A$7:$A$1068,A1347,'Nacional · base'!$B$7:$B$1068,B1347,'Nacional · base'!$C$7:$C$1068,C1347)</f>
        <v>8573.5031466194123</v>
      </c>
      <c r="I1347">
        <f>IF(D1347="Canarias",IF(C1347="CABRERA MORALES FRANCISCO",IF(E1347&lt;=2000,'Nacional · supuestos'!$C$34,IF(E1347&lt;=5000,'Nacional · supuestos'!$C$35,'Nacional · supuestos'!$C$36)),IF(E1347&lt;=2000,'Nacional · supuestos'!$B$34,IF(E1347&lt;=5000,'Nacional · supuestos'!$B$35,'Nacional · supuestos'!$B$36))),0)</f>
        <v>0</v>
      </c>
      <c r="J1347">
        <f>IF(D1347="Canarias",MAX(E1347*I1347,IF(C1347="CABRERA MORALES FRANCISCO",'Nacional · supuestos'!$C$38,'Nacional · supuestos'!$B$38)),0)</f>
        <v>0</v>
      </c>
      <c r="K1347">
        <f>IF(D1347="Canarias",MAX(E1347*'Nacional · supuestos'!$B$41,'Nacional · supuestos'!$B$42),0)</f>
        <v>0</v>
      </c>
      <c r="L1347">
        <f>IF(D1347="Canarias",E1347*'Nacional · supuestos'!$B$43,0)</f>
        <v>0</v>
      </c>
      <c r="M1347">
        <f>IF(D1347="Canarias",E1347*'Nacional · supuestos'!$B$44,0)</f>
        <v>0</v>
      </c>
      <c r="N1347">
        <f>IF(D1347="Canarias",E1347*'Nacional · supuestos'!$B$45,0)</f>
        <v>0</v>
      </c>
      <c r="O1347">
        <f>IF(D1347="Canarias",'Nacional · supuestos'!$B$46,0)</f>
        <v>0</v>
      </c>
      <c r="P1347">
        <f>IF(D1347="Canarias",MAX(H1347*'Nacional · supuestos'!$B$47,'Nacional · supuestos'!$B$48),0)</f>
        <v>0</v>
      </c>
      <c r="Q1347">
        <f>IF(D1347="Resto nacional",E1347*'Nacional · supuestos'!$B$13*IF(A1347=2027,1+'Nacional · supuestos'!$B$6,1),0)</f>
        <v>179.92814149473585</v>
      </c>
      <c r="R1347">
        <f>IF(D1347="Canarias",SUM(J1347:P1347)*IF(A1347=2027,1+'Nacional · supuestos'!$B$6,1),0)</f>
        <v>0</v>
      </c>
      <c r="S1347">
        <f t="shared" si="26"/>
        <v>179.92814149473585</v>
      </c>
    </row>
    <row r="1348" spans="1:19">
      <c r="A1348">
        <v>2027</v>
      </c>
      <c r="B1348">
        <v>7</v>
      </c>
      <c r="C1348" t="s">
        <v>211</v>
      </c>
      <c r="D1348" t="s">
        <v>160</v>
      </c>
      <c r="E1348">
        <f>SUMIFS('Nacional · base'!$J$7:$J$1068,'Nacional · base'!$A$7:$A$1068,A1348,'Nacional · base'!$B$7:$B$1068,B1348,'Nacional · base'!$C$7:$C$1068,C1348)</f>
        <v>1982.3999999999999</v>
      </c>
      <c r="F1348">
        <f>SUMIFS('Nacional · base'!$K$7:$K$1068,'Nacional · base'!$A$7:$A$1068,A1348,'Nacional · base'!$B$7:$B$1068,B1348,'Nacional · base'!$C$7:$C$1068,C1348)</f>
        <v>2.625</v>
      </c>
      <c r="G1348">
        <f t="shared" si="25"/>
        <v>3</v>
      </c>
      <c r="H1348">
        <f>SUMIFS('Nacional · base'!$G$7:$G$1068,'Nacional · base'!$A$7:$A$1068,A1348,'Nacional · base'!$B$7:$B$1068,B1348,'Nacional · base'!$C$7:$C$1068,C1348)</f>
        <v>10577.213372649865</v>
      </c>
      <c r="I1348">
        <f>IF(D1348="Canarias",IF(C1348="CABRERA MORALES FRANCISCO",IF(E1348&lt;=2000,'Nacional · supuestos'!$C$34,IF(E1348&lt;=5000,'Nacional · supuestos'!$C$35,'Nacional · supuestos'!$C$36)),IF(E1348&lt;=2000,'Nacional · supuestos'!$B$34,IF(E1348&lt;=5000,'Nacional · supuestos'!$B$35,'Nacional · supuestos'!$B$36))),0)</f>
        <v>0</v>
      </c>
      <c r="J1348">
        <f>IF(D1348="Canarias",MAX(E1348*I1348,IF(C1348="CABRERA MORALES FRANCISCO",'Nacional · supuestos'!$C$38,'Nacional · supuestos'!$B$38)),0)</f>
        <v>0</v>
      </c>
      <c r="K1348">
        <f>IF(D1348="Canarias",MAX(E1348*'Nacional · supuestos'!$B$41,'Nacional · supuestos'!$B$42),0)</f>
        <v>0</v>
      </c>
      <c r="L1348">
        <f>IF(D1348="Canarias",E1348*'Nacional · supuestos'!$B$43,0)</f>
        <v>0</v>
      </c>
      <c r="M1348">
        <f>IF(D1348="Canarias",E1348*'Nacional · supuestos'!$B$44,0)</f>
        <v>0</v>
      </c>
      <c r="N1348">
        <f>IF(D1348="Canarias",E1348*'Nacional · supuestos'!$B$45,0)</f>
        <v>0</v>
      </c>
      <c r="O1348">
        <f>IF(D1348="Canarias",'Nacional · supuestos'!$B$46,0)</f>
        <v>0</v>
      </c>
      <c r="P1348">
        <f>IF(D1348="Canarias",MAX(H1348*'Nacional · supuestos'!$B$47,'Nacional · supuestos'!$B$48),0)</f>
        <v>0</v>
      </c>
      <c r="Q1348">
        <f>IF(D1348="Resto nacional",E1348*'Nacional · supuestos'!$B$13*IF(A1348=2027,1+'Nacional · supuestos'!$B$6,1),0)</f>
        <v>193.35910863509747</v>
      </c>
      <c r="R1348">
        <f>IF(D1348="Canarias",SUM(J1348:P1348)*IF(A1348=2027,1+'Nacional · supuestos'!$B$6,1),0)</f>
        <v>0</v>
      </c>
      <c r="S1348">
        <f t="shared" si="26"/>
        <v>193.35910863509747</v>
      </c>
    </row>
    <row r="1349" spans="1:19">
      <c r="A1349">
        <v>2027</v>
      </c>
      <c r="B1349">
        <v>7</v>
      </c>
      <c r="C1349" t="s">
        <v>171</v>
      </c>
      <c r="D1349" t="s">
        <v>164</v>
      </c>
      <c r="E1349">
        <f>SUMIFS('Nacional · base'!$J$7:$J$1068,'Nacional · base'!$A$7:$A$1068,A1349,'Nacional · base'!$B$7:$B$1068,B1349,'Nacional · base'!$C$7:$C$1068,C1349)</f>
        <v>8822.7999999999993</v>
      </c>
      <c r="F1349">
        <f>SUMIFS('Nacional · base'!$K$7:$K$1068,'Nacional · base'!$A$7:$A$1068,A1349,'Nacional · base'!$B$7:$B$1068,B1349,'Nacional · base'!$C$7:$C$1068,C1349)</f>
        <v>11.756666666666668</v>
      </c>
      <c r="G1349">
        <f t="shared" si="25"/>
        <v>12</v>
      </c>
      <c r="H1349">
        <f>SUMIFS('Nacional · base'!$G$7:$G$1068,'Nacional · base'!$A$7:$A$1068,A1349,'Nacional · base'!$B$7:$B$1068,B1349,'Nacional · base'!$C$7:$C$1068,C1349)</f>
        <v>18740.593076204284</v>
      </c>
      <c r="I1349">
        <f>IF(D1349="Canarias",IF(C1349="CABRERA MORALES FRANCISCO",IF(E1349&lt;=2000,'Nacional · supuestos'!$C$34,IF(E1349&lt;=5000,'Nacional · supuestos'!$C$35,'Nacional · supuestos'!$C$36)),IF(E1349&lt;=2000,'Nacional · supuestos'!$B$34,IF(E1349&lt;=5000,'Nacional · supuestos'!$B$35,'Nacional · supuestos'!$B$36))),0)</f>
        <v>0.19800000000000001</v>
      </c>
      <c r="J1349">
        <f>IF(D1349="Canarias",MAX(E1349*I1349,IF(C1349="CABRERA MORALES FRANCISCO",'Nacional · supuestos'!$C$38,'Nacional · supuestos'!$B$38)),0)</f>
        <v>1746.9143999999999</v>
      </c>
      <c r="K1349">
        <f>IF(D1349="Canarias",MAX(E1349*'Nacional · supuestos'!$B$41,'Nacional · supuestos'!$B$42),0)</f>
        <v>317.62079999999997</v>
      </c>
      <c r="L1349">
        <f>IF(D1349="Canarias",E1349*'Nacional · supuestos'!$B$43,0)</f>
        <v>105.8736</v>
      </c>
      <c r="M1349">
        <f>IF(D1349="Canarias",E1349*'Nacional · supuestos'!$B$44,0)</f>
        <v>158.81039999999999</v>
      </c>
      <c r="N1349">
        <f>IF(D1349="Canarias",E1349*'Nacional · supuestos'!$B$45,0)</f>
        <v>194.10159999999996</v>
      </c>
      <c r="O1349">
        <f>IF(D1349="Canarias",'Nacional · supuestos'!$B$46,0)</f>
        <v>15</v>
      </c>
      <c r="P1349">
        <f>IF(D1349="Canarias",MAX(H1349*'Nacional · supuestos'!$B$47,'Nacional · supuestos'!$B$48),0)</f>
        <v>84.332668842919276</v>
      </c>
      <c r="Q1349">
        <f>IF(D1349="Resto nacional",E1349*'Nacional · supuestos'!$B$13*IF(A1349=2027,1+'Nacional · supuestos'!$B$6,1),0)</f>
        <v>0</v>
      </c>
      <c r="R1349">
        <f>IF(D1349="Canarias",SUM(J1349:P1349)*IF(A1349=2027,1+'Nacional · supuestos'!$B$6,1),0)</f>
        <v>2884.918815727211</v>
      </c>
      <c r="S1349">
        <f t="shared" si="26"/>
        <v>2884.918815727211</v>
      </c>
    </row>
    <row r="1350" spans="1:19">
      <c r="A1350">
        <v>2027</v>
      </c>
      <c r="B1350">
        <v>7</v>
      </c>
      <c r="C1350" t="s">
        <v>196</v>
      </c>
      <c r="D1350" t="s">
        <v>160</v>
      </c>
      <c r="E1350">
        <f>SUMIFS('Nacional · base'!$J$7:$J$1068,'Nacional · base'!$A$7:$A$1068,A1350,'Nacional · base'!$B$7:$B$1068,B1350,'Nacional · base'!$C$7:$C$1068,C1350)</f>
        <v>875.7</v>
      </c>
      <c r="F1350">
        <f>SUMIFS('Nacional · base'!$K$7:$K$1068,'Nacional · base'!$A$7:$A$1068,A1350,'Nacional · base'!$B$7:$B$1068,B1350,'Nacional · base'!$C$7:$C$1068,C1350)</f>
        <v>0.94303030303030311</v>
      </c>
      <c r="G1350">
        <f t="shared" si="25"/>
        <v>1</v>
      </c>
      <c r="H1350">
        <f>SUMIFS('Nacional · base'!$G$7:$G$1068,'Nacional · base'!$A$7:$A$1068,A1350,'Nacional · base'!$B$7:$B$1068,B1350,'Nacional · base'!$C$7:$C$1068,C1350)</f>
        <v>2610.8430241323831</v>
      </c>
      <c r="I1350">
        <f>IF(D1350="Canarias",IF(C1350="CABRERA MORALES FRANCISCO",IF(E1350&lt;=2000,'Nacional · supuestos'!$C$34,IF(E1350&lt;=5000,'Nacional · supuestos'!$C$35,'Nacional · supuestos'!$C$36)),IF(E1350&lt;=2000,'Nacional · supuestos'!$B$34,IF(E1350&lt;=5000,'Nacional · supuestos'!$B$35,'Nacional · supuestos'!$B$36))),0)</f>
        <v>0</v>
      </c>
      <c r="J1350">
        <f>IF(D1350="Canarias",MAX(E1350*I1350,IF(C1350="CABRERA MORALES FRANCISCO",'Nacional · supuestos'!$C$38,'Nacional · supuestos'!$B$38)),0)</f>
        <v>0</v>
      </c>
      <c r="K1350">
        <f>IF(D1350="Canarias",MAX(E1350*'Nacional · supuestos'!$B$41,'Nacional · supuestos'!$B$42),0)</f>
        <v>0</v>
      </c>
      <c r="L1350">
        <f>IF(D1350="Canarias",E1350*'Nacional · supuestos'!$B$43,0)</f>
        <v>0</v>
      </c>
      <c r="M1350">
        <f>IF(D1350="Canarias",E1350*'Nacional · supuestos'!$B$44,0)</f>
        <v>0</v>
      </c>
      <c r="N1350">
        <f>IF(D1350="Canarias",E1350*'Nacional · supuestos'!$B$45,0)</f>
        <v>0</v>
      </c>
      <c r="O1350">
        <f>IF(D1350="Canarias",'Nacional · supuestos'!$B$46,0)</f>
        <v>0</v>
      </c>
      <c r="P1350">
        <f>IF(D1350="Canarias",MAX(H1350*'Nacional · supuestos'!$B$47,'Nacional · supuestos'!$B$48),0)</f>
        <v>0</v>
      </c>
      <c r="Q1350">
        <f>IF(D1350="Resto nacional",E1350*'Nacional · supuestos'!$B$13*IF(A1350=2027,1+'Nacional · supuestos'!$B$6,1),0)</f>
        <v>85.413928284783537</v>
      </c>
      <c r="R1350">
        <f>IF(D1350="Canarias",SUM(J1350:P1350)*IF(A1350=2027,1+'Nacional · supuestos'!$B$6,1),0)</f>
        <v>0</v>
      </c>
      <c r="S1350">
        <f t="shared" si="26"/>
        <v>85.413928284783537</v>
      </c>
    </row>
    <row r="1351" spans="1:19">
      <c r="A1351">
        <v>2027</v>
      </c>
      <c r="B1351">
        <v>7</v>
      </c>
      <c r="C1351" t="s">
        <v>172</v>
      </c>
      <c r="D1351" t="s">
        <v>160</v>
      </c>
      <c r="E1351">
        <f>SUMIFS('Nacional · base'!$J$7:$J$1068,'Nacional · base'!$A$7:$A$1068,A1351,'Nacional · base'!$B$7:$B$1068,B1351,'Nacional · base'!$C$7:$C$1068,C1351)</f>
        <v>28835.579999999998</v>
      </c>
      <c r="F1351">
        <f>SUMIFS('Nacional · base'!$K$7:$K$1068,'Nacional · base'!$A$7:$A$1068,A1351,'Nacional · base'!$B$7:$B$1068,B1351,'Nacional · base'!$C$7:$C$1068,C1351)</f>
        <v>39.191022727272731</v>
      </c>
      <c r="G1351">
        <f t="shared" si="25"/>
        <v>40</v>
      </c>
      <c r="H1351">
        <f>SUMIFS('Nacional · base'!$G$7:$G$1068,'Nacional · base'!$A$7:$A$1068,A1351,'Nacional · base'!$B$7:$B$1068,B1351,'Nacional · base'!$C$7:$C$1068,C1351)</f>
        <v>103583.8809808082</v>
      </c>
      <c r="I1351">
        <f>IF(D1351="Canarias",IF(C1351="CABRERA MORALES FRANCISCO",IF(E1351&lt;=2000,'Nacional · supuestos'!$C$34,IF(E1351&lt;=5000,'Nacional · supuestos'!$C$35,'Nacional · supuestos'!$C$36)),IF(E1351&lt;=2000,'Nacional · supuestos'!$B$34,IF(E1351&lt;=5000,'Nacional · supuestos'!$B$35,'Nacional · supuestos'!$B$36))),0)</f>
        <v>0</v>
      </c>
      <c r="J1351">
        <f>IF(D1351="Canarias",MAX(E1351*I1351,IF(C1351="CABRERA MORALES FRANCISCO",'Nacional · supuestos'!$C$38,'Nacional · supuestos'!$B$38)),0)</f>
        <v>0</v>
      </c>
      <c r="K1351">
        <f>IF(D1351="Canarias",MAX(E1351*'Nacional · supuestos'!$B$41,'Nacional · supuestos'!$B$42),0)</f>
        <v>0</v>
      </c>
      <c r="L1351">
        <f>IF(D1351="Canarias",E1351*'Nacional · supuestos'!$B$43,0)</f>
        <v>0</v>
      </c>
      <c r="M1351">
        <f>IF(D1351="Canarias",E1351*'Nacional · supuestos'!$B$44,0)</f>
        <v>0</v>
      </c>
      <c r="N1351">
        <f>IF(D1351="Canarias",E1351*'Nacional · supuestos'!$B$45,0)</f>
        <v>0</v>
      </c>
      <c r="O1351">
        <f>IF(D1351="Canarias",'Nacional · supuestos'!$B$46,0)</f>
        <v>0</v>
      </c>
      <c r="P1351">
        <f>IF(D1351="Canarias",MAX(H1351*'Nacional · supuestos'!$B$47,'Nacional · supuestos'!$B$48),0)</f>
        <v>0</v>
      </c>
      <c r="Q1351">
        <f>IF(D1351="Resto nacional",E1351*'Nacional · supuestos'!$B$13*IF(A1351=2027,1+'Nacional · supuestos'!$B$6,1),0)</f>
        <v>2812.5615646570041</v>
      </c>
      <c r="R1351">
        <f>IF(D1351="Canarias",SUM(J1351:P1351)*IF(A1351=2027,1+'Nacional · supuestos'!$B$6,1),0)</f>
        <v>0</v>
      </c>
      <c r="S1351">
        <f t="shared" si="26"/>
        <v>2812.5615646570041</v>
      </c>
    </row>
    <row r="1352" spans="1:19">
      <c r="A1352">
        <v>2027</v>
      </c>
      <c r="B1352">
        <v>7</v>
      </c>
      <c r="C1352" t="s">
        <v>203</v>
      </c>
      <c r="D1352" t="s">
        <v>160</v>
      </c>
      <c r="E1352">
        <f>SUMIFS('Nacional · base'!$J$7:$J$1068,'Nacional · base'!$A$7:$A$1068,A1352,'Nacional · base'!$B$7:$B$1068,B1352,'Nacional · base'!$C$7:$C$1068,C1352)</f>
        <v>1706.1999999999998</v>
      </c>
      <c r="F1352">
        <f>SUMIFS('Nacional · base'!$K$7:$K$1068,'Nacional · base'!$A$7:$A$1068,A1352,'Nacional · base'!$B$7:$B$1068,B1352,'Nacional · base'!$C$7:$C$1068,C1352)</f>
        <v>2.2354166666666666</v>
      </c>
      <c r="G1352">
        <f t="shared" si="25"/>
        <v>3</v>
      </c>
      <c r="H1352">
        <f>SUMIFS('Nacional · base'!$G$7:$G$1068,'Nacional · base'!$A$7:$A$1068,A1352,'Nacional · base'!$B$7:$B$1068,B1352,'Nacional · base'!$C$7:$C$1068,C1352)</f>
        <v>5031.9733360069731</v>
      </c>
      <c r="I1352">
        <f>IF(D1352="Canarias",IF(C1352="CABRERA MORALES FRANCISCO",IF(E1352&lt;=2000,'Nacional · supuestos'!$C$34,IF(E1352&lt;=5000,'Nacional · supuestos'!$C$35,'Nacional · supuestos'!$C$36)),IF(E1352&lt;=2000,'Nacional · supuestos'!$B$34,IF(E1352&lt;=5000,'Nacional · supuestos'!$B$35,'Nacional · supuestos'!$B$36))),0)</f>
        <v>0</v>
      </c>
      <c r="J1352">
        <f>IF(D1352="Canarias",MAX(E1352*I1352,IF(C1352="CABRERA MORALES FRANCISCO",'Nacional · supuestos'!$C$38,'Nacional · supuestos'!$B$38)),0)</f>
        <v>0</v>
      </c>
      <c r="K1352">
        <f>IF(D1352="Canarias",MAX(E1352*'Nacional · supuestos'!$B$41,'Nacional · supuestos'!$B$42),0)</f>
        <v>0</v>
      </c>
      <c r="L1352">
        <f>IF(D1352="Canarias",E1352*'Nacional · supuestos'!$B$43,0)</f>
        <v>0</v>
      </c>
      <c r="M1352">
        <f>IF(D1352="Canarias",E1352*'Nacional · supuestos'!$B$44,0)</f>
        <v>0</v>
      </c>
      <c r="N1352">
        <f>IF(D1352="Canarias",E1352*'Nacional · supuestos'!$B$45,0)</f>
        <v>0</v>
      </c>
      <c r="O1352">
        <f>IF(D1352="Canarias",'Nacional · supuestos'!$B$46,0)</f>
        <v>0</v>
      </c>
      <c r="P1352">
        <f>IF(D1352="Canarias",MAX(H1352*'Nacional · supuestos'!$B$47,'Nacional · supuestos'!$B$48),0)</f>
        <v>0</v>
      </c>
      <c r="Q1352">
        <f>IF(D1352="Resto nacional",E1352*'Nacional · supuestos'!$B$13*IF(A1352=2027,1+'Nacional · supuestos'!$B$6,1),0)</f>
        <v>166.41914404419055</v>
      </c>
      <c r="R1352">
        <f>IF(D1352="Canarias",SUM(J1352:P1352)*IF(A1352=2027,1+'Nacional · supuestos'!$B$6,1),0)</f>
        <v>0</v>
      </c>
      <c r="S1352">
        <f t="shared" si="26"/>
        <v>166.41914404419055</v>
      </c>
    </row>
    <row r="1353" spans="1:19">
      <c r="A1353">
        <v>2027</v>
      </c>
      <c r="B1353">
        <v>7</v>
      </c>
      <c r="C1353" t="s">
        <v>173</v>
      </c>
      <c r="D1353" t="s">
        <v>160</v>
      </c>
      <c r="E1353">
        <f>SUMIFS('Nacional · base'!$J$7:$J$1068,'Nacional · base'!$A$7:$A$1068,A1353,'Nacional · base'!$B$7:$B$1068,B1353,'Nacional · base'!$C$7:$C$1068,C1353)</f>
        <v>9763.5</v>
      </c>
      <c r="F1353">
        <f>SUMIFS('Nacional · base'!$K$7:$K$1068,'Nacional · base'!$A$7:$A$1068,A1353,'Nacional · base'!$B$7:$B$1068,B1353,'Nacional · base'!$C$7:$C$1068,C1353)</f>
        <v>11.515833333333335</v>
      </c>
      <c r="G1353">
        <f t="shared" si="25"/>
        <v>12</v>
      </c>
      <c r="H1353">
        <f>SUMIFS('Nacional · base'!$G$7:$G$1068,'Nacional · base'!$A$7:$A$1068,A1353,'Nacional · base'!$B$7:$B$1068,B1353,'Nacional · base'!$C$7:$C$1068,C1353)</f>
        <v>24340.974884706728</v>
      </c>
      <c r="I1353">
        <f>IF(D1353="Canarias",IF(C1353="CABRERA MORALES FRANCISCO",IF(E1353&lt;=2000,'Nacional · supuestos'!$C$34,IF(E1353&lt;=5000,'Nacional · supuestos'!$C$35,'Nacional · supuestos'!$C$36)),IF(E1353&lt;=2000,'Nacional · supuestos'!$B$34,IF(E1353&lt;=5000,'Nacional · supuestos'!$B$35,'Nacional · supuestos'!$B$36))),0)</f>
        <v>0</v>
      </c>
      <c r="J1353">
        <f>IF(D1353="Canarias",MAX(E1353*I1353,IF(C1353="CABRERA MORALES FRANCISCO",'Nacional · supuestos'!$C$38,'Nacional · supuestos'!$B$38)),0)</f>
        <v>0</v>
      </c>
      <c r="K1353">
        <f>IF(D1353="Canarias",MAX(E1353*'Nacional · supuestos'!$B$41,'Nacional · supuestos'!$B$42),0)</f>
        <v>0</v>
      </c>
      <c r="L1353">
        <f>IF(D1353="Canarias",E1353*'Nacional · supuestos'!$B$43,0)</f>
        <v>0</v>
      </c>
      <c r="M1353">
        <f>IF(D1353="Canarias",E1353*'Nacional · supuestos'!$B$44,0)</f>
        <v>0</v>
      </c>
      <c r="N1353">
        <f>IF(D1353="Canarias",E1353*'Nacional · supuestos'!$B$45,0)</f>
        <v>0</v>
      </c>
      <c r="O1353">
        <f>IF(D1353="Canarias",'Nacional · supuestos'!$B$46,0)</f>
        <v>0</v>
      </c>
      <c r="P1353">
        <f>IF(D1353="Canarias",MAX(H1353*'Nacional · supuestos'!$B$47,'Nacional · supuestos'!$B$48),0)</f>
        <v>0</v>
      </c>
      <c r="Q1353">
        <f>IF(D1353="Resto nacional",E1353*'Nacional · supuestos'!$B$13*IF(A1353=2027,1+'Nacional · supuestos'!$B$6,1),0)</f>
        <v>952.31116684764652</v>
      </c>
      <c r="R1353">
        <f>IF(D1353="Canarias",SUM(J1353:P1353)*IF(A1353=2027,1+'Nacional · supuestos'!$B$6,1),0)</f>
        <v>0</v>
      </c>
      <c r="S1353">
        <f t="shared" si="26"/>
        <v>952.31116684764652</v>
      </c>
    </row>
    <row r="1354" spans="1:19">
      <c r="A1354">
        <v>2027</v>
      </c>
      <c r="B1354">
        <v>7</v>
      </c>
      <c r="C1354" t="s">
        <v>198</v>
      </c>
      <c r="D1354" t="s">
        <v>160</v>
      </c>
      <c r="E1354">
        <f>SUMIFS('Nacional · base'!$J$7:$J$1068,'Nacional · base'!$A$7:$A$1068,A1354,'Nacional · base'!$B$7:$B$1068,B1354,'Nacional · base'!$C$7:$C$1068,C1354)</f>
        <v>326.8</v>
      </c>
      <c r="F1354">
        <f>SUMIFS('Nacional · base'!$K$7:$K$1068,'Nacional · base'!$A$7:$A$1068,A1354,'Nacional · base'!$B$7:$B$1068,B1354,'Nacional · base'!$C$7:$C$1068,C1354)</f>
        <v>0.45833333333333337</v>
      </c>
      <c r="G1354">
        <f t="shared" si="25"/>
        <v>1</v>
      </c>
      <c r="H1354">
        <f>SUMIFS('Nacional · base'!$G$7:$G$1068,'Nacional · base'!$A$7:$A$1068,A1354,'Nacional · base'!$B$7:$B$1068,B1354,'Nacional · base'!$C$7:$C$1068,C1354)</f>
        <v>1332.2106148410558</v>
      </c>
      <c r="I1354">
        <f>IF(D1354="Canarias",IF(C1354="CABRERA MORALES FRANCISCO",IF(E1354&lt;=2000,'Nacional · supuestos'!$C$34,IF(E1354&lt;=5000,'Nacional · supuestos'!$C$35,'Nacional · supuestos'!$C$36)),IF(E1354&lt;=2000,'Nacional · supuestos'!$B$34,IF(E1354&lt;=5000,'Nacional · supuestos'!$B$35,'Nacional · supuestos'!$B$36))),0)</f>
        <v>0</v>
      </c>
      <c r="J1354">
        <f>IF(D1354="Canarias",MAX(E1354*I1354,IF(C1354="CABRERA MORALES FRANCISCO",'Nacional · supuestos'!$C$38,'Nacional · supuestos'!$B$38)),0)</f>
        <v>0</v>
      </c>
      <c r="K1354">
        <f>IF(D1354="Canarias",MAX(E1354*'Nacional · supuestos'!$B$41,'Nacional · supuestos'!$B$42),0)</f>
        <v>0</v>
      </c>
      <c r="L1354">
        <f>IF(D1354="Canarias",E1354*'Nacional · supuestos'!$B$43,0)</f>
        <v>0</v>
      </c>
      <c r="M1354">
        <f>IF(D1354="Canarias",E1354*'Nacional · supuestos'!$B$44,0)</f>
        <v>0</v>
      </c>
      <c r="N1354">
        <f>IF(D1354="Canarias",E1354*'Nacional · supuestos'!$B$45,0)</f>
        <v>0</v>
      </c>
      <c r="O1354">
        <f>IF(D1354="Canarias",'Nacional · supuestos'!$B$46,0)</f>
        <v>0</v>
      </c>
      <c r="P1354">
        <f>IF(D1354="Canarias",MAX(H1354*'Nacional · supuestos'!$B$47,'Nacional · supuestos'!$B$48),0)</f>
        <v>0</v>
      </c>
      <c r="Q1354">
        <f>IF(D1354="Resto nacional",E1354*'Nacional · supuestos'!$B$13*IF(A1354=2027,1+'Nacional · supuestos'!$B$6,1),0)</f>
        <v>31.875381710023138</v>
      </c>
      <c r="R1354">
        <f>IF(D1354="Canarias",SUM(J1354:P1354)*IF(A1354=2027,1+'Nacional · supuestos'!$B$6,1),0)</f>
        <v>0</v>
      </c>
      <c r="S1354">
        <f t="shared" si="26"/>
        <v>31.875381710023138</v>
      </c>
    </row>
    <row r="1355" spans="1:19">
      <c r="A1355">
        <v>2027</v>
      </c>
      <c r="B1355">
        <v>7</v>
      </c>
      <c r="C1355" t="s">
        <v>174</v>
      </c>
      <c r="D1355" t="s">
        <v>160</v>
      </c>
      <c r="E1355">
        <f>SUMIFS('Nacional · base'!$J$7:$J$1068,'Nacional · base'!$A$7:$A$1068,A1355,'Nacional · base'!$B$7:$B$1068,B1355,'Nacional · base'!$C$7:$C$1068,C1355)</f>
        <v>2224.2999999999997</v>
      </c>
      <c r="F1355">
        <f>SUMIFS('Nacional · base'!$K$7:$K$1068,'Nacional · base'!$A$7:$A$1068,A1355,'Nacional · base'!$B$7:$B$1068,B1355,'Nacional · base'!$C$7:$C$1068,C1355)</f>
        <v>2.95</v>
      </c>
      <c r="G1355">
        <f t="shared" si="25"/>
        <v>3</v>
      </c>
      <c r="H1355">
        <f>SUMIFS('Nacional · base'!$G$7:$G$1068,'Nacional · base'!$A$7:$A$1068,A1355,'Nacional · base'!$B$7:$B$1068,B1355,'Nacional · base'!$C$7:$C$1068,C1355)</f>
        <v>6236.8575343519333</v>
      </c>
      <c r="I1355">
        <f>IF(D1355="Canarias",IF(C1355="CABRERA MORALES FRANCISCO",IF(E1355&lt;=2000,'Nacional · supuestos'!$C$34,IF(E1355&lt;=5000,'Nacional · supuestos'!$C$35,'Nacional · supuestos'!$C$36)),IF(E1355&lt;=2000,'Nacional · supuestos'!$B$34,IF(E1355&lt;=5000,'Nacional · supuestos'!$B$35,'Nacional · supuestos'!$B$36))),0)</f>
        <v>0</v>
      </c>
      <c r="J1355">
        <f>IF(D1355="Canarias",MAX(E1355*I1355,IF(C1355="CABRERA MORALES FRANCISCO",'Nacional · supuestos'!$C$38,'Nacional · supuestos'!$B$38)),0)</f>
        <v>0</v>
      </c>
      <c r="K1355">
        <f>IF(D1355="Canarias",MAX(E1355*'Nacional · supuestos'!$B$41,'Nacional · supuestos'!$B$42),0)</f>
        <v>0</v>
      </c>
      <c r="L1355">
        <f>IF(D1355="Canarias",E1355*'Nacional · supuestos'!$B$43,0)</f>
        <v>0</v>
      </c>
      <c r="M1355">
        <f>IF(D1355="Canarias",E1355*'Nacional · supuestos'!$B$44,0)</f>
        <v>0</v>
      </c>
      <c r="N1355">
        <f>IF(D1355="Canarias",E1355*'Nacional · supuestos'!$B$45,0)</f>
        <v>0</v>
      </c>
      <c r="O1355">
        <f>IF(D1355="Canarias",'Nacional · supuestos'!$B$46,0)</f>
        <v>0</v>
      </c>
      <c r="P1355">
        <f>IF(D1355="Canarias",MAX(H1355*'Nacional · supuestos'!$B$47,'Nacional · supuestos'!$B$48),0)</f>
        <v>0</v>
      </c>
      <c r="Q1355">
        <f>IF(D1355="Resto nacional",E1355*'Nacional · supuestos'!$B$13*IF(A1355=2027,1+'Nacional · supuestos'!$B$6,1),0)</f>
        <v>216.9535236768802</v>
      </c>
      <c r="R1355">
        <f>IF(D1355="Canarias",SUM(J1355:P1355)*IF(A1355=2027,1+'Nacional · supuestos'!$B$6,1),0)</f>
        <v>0</v>
      </c>
      <c r="S1355">
        <f t="shared" si="26"/>
        <v>216.9535236768802</v>
      </c>
    </row>
    <row r="1356" spans="1:19">
      <c r="A1356">
        <v>2027</v>
      </c>
      <c r="B1356">
        <v>7</v>
      </c>
      <c r="C1356" t="s">
        <v>175</v>
      </c>
      <c r="D1356" t="s">
        <v>160</v>
      </c>
      <c r="E1356">
        <f>SUMIFS('Nacional · base'!$J$7:$J$1068,'Nacional · base'!$A$7:$A$1068,A1356,'Nacional · base'!$B$7:$B$1068,B1356,'Nacional · base'!$C$7:$C$1068,C1356)</f>
        <v>7118.7</v>
      </c>
      <c r="F1356">
        <f>SUMIFS('Nacional · base'!$K$7:$K$1068,'Nacional · base'!$A$7:$A$1068,A1356,'Nacional · base'!$B$7:$B$1068,B1356,'Nacional · base'!$C$7:$C$1068,C1356)</f>
        <v>9.6344696969696972</v>
      </c>
      <c r="G1356">
        <f t="shared" si="25"/>
        <v>10</v>
      </c>
      <c r="H1356">
        <f>SUMIFS('Nacional · base'!$G$7:$G$1068,'Nacional · base'!$A$7:$A$1068,A1356,'Nacional · base'!$B$7:$B$1068,B1356,'Nacional · base'!$C$7:$C$1068,C1356)</f>
        <v>29433.145523641648</v>
      </c>
      <c r="I1356">
        <f>IF(D1356="Canarias",IF(C1356="CABRERA MORALES FRANCISCO",IF(E1356&lt;=2000,'Nacional · supuestos'!$C$34,IF(E1356&lt;=5000,'Nacional · supuestos'!$C$35,'Nacional · supuestos'!$C$36)),IF(E1356&lt;=2000,'Nacional · supuestos'!$B$34,IF(E1356&lt;=5000,'Nacional · supuestos'!$B$35,'Nacional · supuestos'!$B$36))),0)</f>
        <v>0</v>
      </c>
      <c r="J1356">
        <f>IF(D1356="Canarias",MAX(E1356*I1356,IF(C1356="CABRERA MORALES FRANCISCO",'Nacional · supuestos'!$C$38,'Nacional · supuestos'!$B$38)),0)</f>
        <v>0</v>
      </c>
      <c r="K1356">
        <f>IF(D1356="Canarias",MAX(E1356*'Nacional · supuestos'!$B$41,'Nacional · supuestos'!$B$42),0)</f>
        <v>0</v>
      </c>
      <c r="L1356">
        <f>IF(D1356="Canarias",E1356*'Nacional · supuestos'!$B$43,0)</f>
        <v>0</v>
      </c>
      <c r="M1356">
        <f>IF(D1356="Canarias",E1356*'Nacional · supuestos'!$B$44,0)</f>
        <v>0</v>
      </c>
      <c r="N1356">
        <f>IF(D1356="Canarias",E1356*'Nacional · supuestos'!$B$45,0)</f>
        <v>0</v>
      </c>
      <c r="O1356">
        <f>IF(D1356="Canarias",'Nacional · supuestos'!$B$46,0)</f>
        <v>0</v>
      </c>
      <c r="P1356">
        <f>IF(D1356="Canarias",MAX(H1356*'Nacional · supuestos'!$B$47,'Nacional · supuestos'!$B$48),0)</f>
        <v>0</v>
      </c>
      <c r="Q1356">
        <f>IF(D1356="Resto nacional",E1356*'Nacional · supuestos'!$B$13*IF(A1356=2027,1+'Nacional · supuestos'!$B$6,1),0)</f>
        <v>694.34296138048251</v>
      </c>
      <c r="R1356">
        <f>IF(D1356="Canarias",SUM(J1356:P1356)*IF(A1356=2027,1+'Nacional · supuestos'!$B$6,1),0)</f>
        <v>0</v>
      </c>
      <c r="S1356">
        <f t="shared" si="26"/>
        <v>694.34296138048251</v>
      </c>
    </row>
    <row r="1357" spans="1:19">
      <c r="A1357">
        <v>2027</v>
      </c>
      <c r="B1357">
        <v>7</v>
      </c>
      <c r="C1357" t="s">
        <v>218</v>
      </c>
      <c r="D1357" t="s">
        <v>160</v>
      </c>
      <c r="E1357">
        <f>SUMIFS('Nacional · base'!$J$7:$J$1068,'Nacional · base'!$A$7:$A$1068,A1357,'Nacional · base'!$B$7:$B$1068,B1357,'Nacional · base'!$C$7:$C$1068,C1357)</f>
        <v>920.4</v>
      </c>
      <c r="F1357">
        <f>SUMIFS('Nacional · base'!$K$7:$K$1068,'Nacional · base'!$A$7:$A$1068,A1357,'Nacional · base'!$B$7:$B$1068,B1357,'Nacional · base'!$C$7:$C$1068,C1357)</f>
        <v>1.21875</v>
      </c>
      <c r="G1357">
        <f t="shared" si="25"/>
        <v>2</v>
      </c>
      <c r="H1357">
        <f>SUMIFS('Nacional · base'!$G$7:$G$1068,'Nacional · base'!$A$7:$A$1068,A1357,'Nacional · base'!$B$7:$B$1068,B1357,'Nacional · base'!$C$7:$C$1068,C1357)</f>
        <v>1585.4562381544115</v>
      </c>
      <c r="I1357">
        <f>IF(D1357="Canarias",IF(C1357="CABRERA MORALES FRANCISCO",IF(E1357&lt;=2000,'Nacional · supuestos'!$C$34,IF(E1357&lt;=5000,'Nacional · supuestos'!$C$35,'Nacional · supuestos'!$C$36)),IF(E1357&lt;=2000,'Nacional · supuestos'!$B$34,IF(E1357&lt;=5000,'Nacional · supuestos'!$B$35,'Nacional · supuestos'!$B$36))),0)</f>
        <v>0</v>
      </c>
      <c r="J1357">
        <f>IF(D1357="Canarias",MAX(E1357*I1357,IF(C1357="CABRERA MORALES FRANCISCO",'Nacional · supuestos'!$C$38,'Nacional · supuestos'!$B$38)),0)</f>
        <v>0</v>
      </c>
      <c r="K1357">
        <f>IF(D1357="Canarias",MAX(E1357*'Nacional · supuestos'!$B$41,'Nacional · supuestos'!$B$42),0)</f>
        <v>0</v>
      </c>
      <c r="L1357">
        <f>IF(D1357="Canarias",E1357*'Nacional · supuestos'!$B$43,0)</f>
        <v>0</v>
      </c>
      <c r="M1357">
        <f>IF(D1357="Canarias",E1357*'Nacional · supuestos'!$B$44,0)</f>
        <v>0</v>
      </c>
      <c r="N1357">
        <f>IF(D1357="Canarias",E1357*'Nacional · supuestos'!$B$45,0)</f>
        <v>0</v>
      </c>
      <c r="O1357">
        <f>IF(D1357="Canarias",'Nacional · supuestos'!$B$46,0)</f>
        <v>0</v>
      </c>
      <c r="P1357">
        <f>IF(D1357="Canarias",MAX(H1357*'Nacional · supuestos'!$B$47,'Nacional · supuestos'!$B$48),0)</f>
        <v>0</v>
      </c>
      <c r="Q1357">
        <f>IF(D1357="Resto nacional",E1357*'Nacional · supuestos'!$B$13*IF(A1357=2027,1+'Nacional · supuestos'!$B$6,1),0)</f>
        <v>89.773871866295266</v>
      </c>
      <c r="R1357">
        <f>IF(D1357="Canarias",SUM(J1357:P1357)*IF(A1357=2027,1+'Nacional · supuestos'!$B$6,1),0)</f>
        <v>0</v>
      </c>
      <c r="S1357">
        <f t="shared" si="26"/>
        <v>89.773871866295266</v>
      </c>
    </row>
    <row r="1358" spans="1:19">
      <c r="A1358">
        <v>2027</v>
      </c>
      <c r="B1358">
        <v>7</v>
      </c>
      <c r="C1358" t="s">
        <v>182</v>
      </c>
      <c r="D1358" t="s">
        <v>160</v>
      </c>
      <c r="E1358">
        <f>SUMIFS('Nacional · base'!$J$7:$J$1068,'Nacional · base'!$A$7:$A$1068,A1358,'Nacional · base'!$B$7:$B$1068,B1358,'Nacional · base'!$C$7:$C$1068,C1358)</f>
        <v>30815.600000000002</v>
      </c>
      <c r="F1358">
        <f>SUMIFS('Nacional · base'!$K$7:$K$1068,'Nacional · base'!$A$7:$A$1068,A1358,'Nacional · base'!$B$7:$B$1068,B1358,'Nacional · base'!$C$7:$C$1068,C1358)</f>
        <v>30.282083333333333</v>
      </c>
      <c r="G1358">
        <f t="shared" si="25"/>
        <v>31</v>
      </c>
      <c r="H1358">
        <f>SUMIFS('Nacional · base'!$G$7:$G$1068,'Nacional · base'!$A$7:$A$1068,A1358,'Nacional · base'!$B$7:$B$1068,B1358,'Nacional · base'!$C$7:$C$1068,C1358)</f>
        <v>55465.690680062376</v>
      </c>
      <c r="I1358">
        <f>IF(D1358="Canarias",IF(C1358="CABRERA MORALES FRANCISCO",IF(E1358&lt;=2000,'Nacional · supuestos'!$C$34,IF(E1358&lt;=5000,'Nacional · supuestos'!$C$35,'Nacional · supuestos'!$C$36)),IF(E1358&lt;=2000,'Nacional · supuestos'!$B$34,IF(E1358&lt;=5000,'Nacional · supuestos'!$B$35,'Nacional · supuestos'!$B$36))),0)</f>
        <v>0</v>
      </c>
      <c r="J1358">
        <f>IF(D1358="Canarias",MAX(E1358*I1358,IF(C1358="CABRERA MORALES FRANCISCO",'Nacional · supuestos'!$C$38,'Nacional · supuestos'!$B$38)),0)</f>
        <v>0</v>
      </c>
      <c r="K1358">
        <f>IF(D1358="Canarias",MAX(E1358*'Nacional · supuestos'!$B$41,'Nacional · supuestos'!$B$42),0)</f>
        <v>0</v>
      </c>
      <c r="L1358">
        <f>IF(D1358="Canarias",E1358*'Nacional · supuestos'!$B$43,0)</f>
        <v>0</v>
      </c>
      <c r="M1358">
        <f>IF(D1358="Canarias",E1358*'Nacional · supuestos'!$B$44,0)</f>
        <v>0</v>
      </c>
      <c r="N1358">
        <f>IF(D1358="Canarias",E1358*'Nacional · supuestos'!$B$45,0)</f>
        <v>0</v>
      </c>
      <c r="O1358">
        <f>IF(D1358="Canarias",'Nacional · supuestos'!$B$46,0)</f>
        <v>0</v>
      </c>
      <c r="P1358">
        <f>IF(D1358="Canarias",MAX(H1358*'Nacional · supuestos'!$B$47,'Nacional · supuestos'!$B$48),0)</f>
        <v>0</v>
      </c>
      <c r="Q1358">
        <f>IF(D1358="Resto nacional",E1358*'Nacional · supuestos'!$B$13*IF(A1358=2027,1+'Nacional · supuestos'!$B$6,1),0)</f>
        <v>3005.6885331193052</v>
      </c>
      <c r="R1358">
        <f>IF(D1358="Canarias",SUM(J1358:P1358)*IF(A1358=2027,1+'Nacional · supuestos'!$B$6,1),0)</f>
        <v>0</v>
      </c>
      <c r="S1358">
        <f t="shared" si="26"/>
        <v>3005.6885331193052</v>
      </c>
    </row>
    <row r="1359" spans="1:19">
      <c r="A1359">
        <v>2027</v>
      </c>
      <c r="B1359">
        <v>7</v>
      </c>
      <c r="C1359" t="s">
        <v>183</v>
      </c>
      <c r="D1359" t="s">
        <v>164</v>
      </c>
      <c r="E1359">
        <f>SUMIFS('Nacional · base'!$J$7:$J$1068,'Nacional · base'!$A$7:$A$1068,A1359,'Nacional · base'!$B$7:$B$1068,B1359,'Nacional · base'!$C$7:$C$1068,C1359)</f>
        <v>2407.1999999999998</v>
      </c>
      <c r="F1359">
        <f>SUMIFS('Nacional · base'!$K$7:$K$1068,'Nacional · base'!$A$7:$A$1068,A1359,'Nacional · base'!$B$7:$B$1068,B1359,'Nacional · base'!$C$7:$C$1068,C1359)</f>
        <v>3.1875</v>
      </c>
      <c r="G1359">
        <f t="shared" si="25"/>
        <v>4</v>
      </c>
      <c r="H1359">
        <f>SUMIFS('Nacional · base'!$G$7:$G$1068,'Nacional · base'!$A$7:$A$1068,A1359,'Nacional · base'!$B$7:$B$1068,B1359,'Nacional · base'!$C$7:$C$1068,C1359)</f>
        <v>5698.8864860209051</v>
      </c>
      <c r="I1359">
        <f>IF(D1359="Canarias",IF(C1359="CABRERA MORALES FRANCISCO",IF(E1359&lt;=2000,'Nacional · supuestos'!$C$34,IF(E1359&lt;=5000,'Nacional · supuestos'!$C$35,'Nacional · supuestos'!$C$36)),IF(E1359&lt;=2000,'Nacional · supuestos'!$B$34,IF(E1359&lt;=5000,'Nacional · supuestos'!$B$35,'Nacional · supuestos'!$B$36))),0)</f>
        <v>0.108</v>
      </c>
      <c r="J1359">
        <f>IF(D1359="Canarias",MAX(E1359*I1359,IF(C1359="CABRERA MORALES FRANCISCO",'Nacional · supuestos'!$C$38,'Nacional · supuestos'!$B$38)),0)</f>
        <v>259.9776</v>
      </c>
      <c r="K1359">
        <f>IF(D1359="Canarias",MAX(E1359*'Nacional · supuestos'!$B$41,'Nacional · supuestos'!$B$42),0)</f>
        <v>86.659199999999984</v>
      </c>
      <c r="L1359">
        <f>IF(D1359="Canarias",E1359*'Nacional · supuestos'!$B$43,0)</f>
        <v>28.886399999999998</v>
      </c>
      <c r="M1359">
        <f>IF(D1359="Canarias",E1359*'Nacional · supuestos'!$B$44,0)</f>
        <v>43.329599999999992</v>
      </c>
      <c r="N1359">
        <f>IF(D1359="Canarias",E1359*'Nacional · supuestos'!$B$45,0)</f>
        <v>52.95839999999999</v>
      </c>
      <c r="O1359">
        <f>IF(D1359="Canarias",'Nacional · supuestos'!$B$46,0)</f>
        <v>15</v>
      </c>
      <c r="P1359">
        <f>IF(D1359="Canarias",MAX(H1359*'Nacional · supuestos'!$B$47,'Nacional · supuestos'!$B$48),0)</f>
        <v>25.644989187094072</v>
      </c>
      <c r="Q1359">
        <f>IF(D1359="Resto nacional",E1359*'Nacional · supuestos'!$B$13*IF(A1359=2027,1+'Nacional · supuestos'!$B$6,1),0)</f>
        <v>0</v>
      </c>
      <c r="R1359">
        <f>IF(D1359="Canarias",SUM(J1359:P1359)*IF(A1359=2027,1+'Nacional · supuestos'!$B$6,1),0)</f>
        <v>563.70180810580337</v>
      </c>
      <c r="S1359">
        <f t="shared" si="26"/>
        <v>563.70180810580337</v>
      </c>
    </row>
    <row r="1360" spans="1:19">
      <c r="A1360">
        <v>2027</v>
      </c>
      <c r="B1360">
        <v>7</v>
      </c>
      <c r="C1360" t="s">
        <v>176</v>
      </c>
      <c r="D1360" t="s">
        <v>160</v>
      </c>
      <c r="E1360">
        <f>SUMIFS('Nacional · base'!$J$7:$J$1068,'Nacional · base'!$A$7:$A$1068,A1360,'Nacional · base'!$B$7:$B$1068,B1360,'Nacional · base'!$C$7:$C$1068,C1360)</f>
        <v>14164.5</v>
      </c>
      <c r="F1360">
        <f>SUMIFS('Nacional · base'!$K$7:$K$1068,'Nacional · base'!$A$7:$A$1068,A1360,'Nacional · base'!$B$7:$B$1068,B1360,'Nacional · base'!$C$7:$C$1068,C1360)</f>
        <v>18.866666666666667</v>
      </c>
      <c r="G1360">
        <f t="shared" si="25"/>
        <v>19</v>
      </c>
      <c r="H1360">
        <f>SUMIFS('Nacional · base'!$G$7:$G$1068,'Nacional · base'!$A$7:$A$1068,A1360,'Nacional · base'!$B$7:$B$1068,B1360,'Nacional · base'!$C$7:$C$1068,C1360)</f>
        <v>38301.90210843151</v>
      </c>
      <c r="I1360">
        <f>IF(D1360="Canarias",IF(C1360="CABRERA MORALES FRANCISCO",IF(E1360&lt;=2000,'Nacional · supuestos'!$C$34,IF(E1360&lt;=5000,'Nacional · supuestos'!$C$35,'Nacional · supuestos'!$C$36)),IF(E1360&lt;=2000,'Nacional · supuestos'!$B$34,IF(E1360&lt;=5000,'Nacional · supuestos'!$B$35,'Nacional · supuestos'!$B$36))),0)</f>
        <v>0</v>
      </c>
      <c r="J1360">
        <f>IF(D1360="Canarias",MAX(E1360*I1360,IF(C1360="CABRERA MORALES FRANCISCO",'Nacional · supuestos'!$C$38,'Nacional · supuestos'!$B$38)),0)</f>
        <v>0</v>
      </c>
      <c r="K1360">
        <f>IF(D1360="Canarias",MAX(E1360*'Nacional · supuestos'!$B$41,'Nacional · supuestos'!$B$42),0)</f>
        <v>0</v>
      </c>
      <c r="L1360">
        <f>IF(D1360="Canarias",E1360*'Nacional · supuestos'!$B$43,0)</f>
        <v>0</v>
      </c>
      <c r="M1360">
        <f>IF(D1360="Canarias",E1360*'Nacional · supuestos'!$B$44,0)</f>
        <v>0</v>
      </c>
      <c r="N1360">
        <f>IF(D1360="Canarias",E1360*'Nacional · supuestos'!$B$45,0)</f>
        <v>0</v>
      </c>
      <c r="O1360">
        <f>IF(D1360="Canarias",'Nacional · supuestos'!$B$46,0)</f>
        <v>0</v>
      </c>
      <c r="P1360">
        <f>IF(D1360="Canarias",MAX(H1360*'Nacional · supuestos'!$B$47,'Nacional · supuestos'!$B$48),0)</f>
        <v>0</v>
      </c>
      <c r="Q1360">
        <f>IF(D1360="Resto nacional",E1360*'Nacional · supuestos'!$B$13*IF(A1360=2027,1+'Nacional · supuestos'!$B$6,1),0)</f>
        <v>1381.5754107454795</v>
      </c>
      <c r="R1360">
        <f>IF(D1360="Canarias",SUM(J1360:P1360)*IF(A1360=2027,1+'Nacional · supuestos'!$B$6,1),0)</f>
        <v>0</v>
      </c>
      <c r="S1360">
        <f t="shared" si="26"/>
        <v>1381.5754107454795</v>
      </c>
    </row>
    <row r="1361" spans="1:19">
      <c r="A1361">
        <v>2027</v>
      </c>
      <c r="B1361">
        <v>7</v>
      </c>
      <c r="C1361" t="s">
        <v>204</v>
      </c>
      <c r="D1361" t="s">
        <v>160</v>
      </c>
      <c r="E1361">
        <f>SUMIFS('Nacional · base'!$J$7:$J$1068,'Nacional · base'!$A$7:$A$1068,A1361,'Nacional · base'!$B$7:$B$1068,B1361,'Nacional · base'!$C$7:$C$1068,C1361)</f>
        <v>708</v>
      </c>
      <c r="F1361">
        <f>SUMIFS('Nacional · base'!$K$7:$K$1068,'Nacional · base'!$A$7:$A$1068,A1361,'Nacional · base'!$B$7:$B$1068,B1361,'Nacional · base'!$C$7:$C$1068,C1361)</f>
        <v>0.8125</v>
      </c>
      <c r="G1361">
        <f t="shared" si="25"/>
        <v>1</v>
      </c>
      <c r="H1361">
        <f>SUMIFS('Nacional · base'!$G$7:$G$1068,'Nacional · base'!$A$7:$A$1068,A1361,'Nacional · base'!$B$7:$B$1068,B1361,'Nacional · base'!$C$7:$C$1068,C1361)</f>
        <v>2080.5855695964538</v>
      </c>
      <c r="I1361">
        <f>IF(D1361="Canarias",IF(C1361="CABRERA MORALES FRANCISCO",IF(E1361&lt;=2000,'Nacional · supuestos'!$C$34,IF(E1361&lt;=5000,'Nacional · supuestos'!$C$35,'Nacional · supuestos'!$C$36)),IF(E1361&lt;=2000,'Nacional · supuestos'!$B$34,IF(E1361&lt;=5000,'Nacional · supuestos'!$B$35,'Nacional · supuestos'!$B$36))),0)</f>
        <v>0</v>
      </c>
      <c r="J1361">
        <f>IF(D1361="Canarias",MAX(E1361*I1361,IF(C1361="CABRERA MORALES FRANCISCO",'Nacional · supuestos'!$C$38,'Nacional · supuestos'!$B$38)),0)</f>
        <v>0</v>
      </c>
      <c r="K1361">
        <f>IF(D1361="Canarias",MAX(E1361*'Nacional · supuestos'!$B$41,'Nacional · supuestos'!$B$42),0)</f>
        <v>0</v>
      </c>
      <c r="L1361">
        <f>IF(D1361="Canarias",E1361*'Nacional · supuestos'!$B$43,0)</f>
        <v>0</v>
      </c>
      <c r="M1361">
        <f>IF(D1361="Canarias",E1361*'Nacional · supuestos'!$B$44,0)</f>
        <v>0</v>
      </c>
      <c r="N1361">
        <f>IF(D1361="Canarias",E1361*'Nacional · supuestos'!$B$45,0)</f>
        <v>0</v>
      </c>
      <c r="O1361">
        <f>IF(D1361="Canarias",'Nacional · supuestos'!$B$46,0)</f>
        <v>0</v>
      </c>
      <c r="P1361">
        <f>IF(D1361="Canarias",MAX(H1361*'Nacional · supuestos'!$B$47,'Nacional · supuestos'!$B$48),0)</f>
        <v>0</v>
      </c>
      <c r="Q1361">
        <f>IF(D1361="Resto nacional",E1361*'Nacional · supuestos'!$B$13*IF(A1361=2027,1+'Nacional · supuestos'!$B$6,1),0)</f>
        <v>69.056824512534831</v>
      </c>
      <c r="R1361">
        <f>IF(D1361="Canarias",SUM(J1361:P1361)*IF(A1361=2027,1+'Nacional · supuestos'!$B$6,1),0)</f>
        <v>0</v>
      </c>
      <c r="S1361">
        <f t="shared" si="26"/>
        <v>69.056824512534831</v>
      </c>
    </row>
    <row r="1362" spans="1:19">
      <c r="A1362">
        <v>2027</v>
      </c>
      <c r="B1362">
        <v>7</v>
      </c>
      <c r="C1362" t="s">
        <v>178</v>
      </c>
      <c r="D1362" t="s">
        <v>160</v>
      </c>
      <c r="E1362">
        <f>SUMIFS('Nacional · base'!$J$7:$J$1068,'Nacional · base'!$A$7:$A$1068,A1362,'Nacional · base'!$B$7:$B$1068,B1362,'Nacional · base'!$C$7:$C$1068,C1362)</f>
        <v>12429.8</v>
      </c>
      <c r="F1362">
        <f>SUMIFS('Nacional · base'!$K$7:$K$1068,'Nacional · base'!$A$7:$A$1068,A1362,'Nacional · base'!$B$7:$B$1068,B1362,'Nacional · base'!$C$7:$C$1068,C1362)</f>
        <v>16.542613636363637</v>
      </c>
      <c r="G1362">
        <f t="shared" si="25"/>
        <v>17</v>
      </c>
      <c r="H1362">
        <f>SUMIFS('Nacional · base'!$G$7:$G$1068,'Nacional · base'!$A$7:$A$1068,A1362,'Nacional · base'!$B$7:$B$1068,B1362,'Nacional · base'!$C$7:$C$1068,C1362)</f>
        <v>43411.970369726136</v>
      </c>
      <c r="I1362">
        <f>IF(D1362="Canarias",IF(C1362="CABRERA MORALES FRANCISCO",IF(E1362&lt;=2000,'Nacional · supuestos'!$C$34,IF(E1362&lt;=5000,'Nacional · supuestos'!$C$35,'Nacional · supuestos'!$C$36)),IF(E1362&lt;=2000,'Nacional · supuestos'!$B$34,IF(E1362&lt;=5000,'Nacional · supuestos'!$B$35,'Nacional · supuestos'!$B$36))),0)</f>
        <v>0</v>
      </c>
      <c r="J1362">
        <f>IF(D1362="Canarias",MAX(E1362*I1362,IF(C1362="CABRERA MORALES FRANCISCO",'Nacional · supuestos'!$C$38,'Nacional · supuestos'!$B$38)),0)</f>
        <v>0</v>
      </c>
      <c r="K1362">
        <f>IF(D1362="Canarias",MAX(E1362*'Nacional · supuestos'!$B$41,'Nacional · supuestos'!$B$42),0)</f>
        <v>0</v>
      </c>
      <c r="L1362">
        <f>IF(D1362="Canarias",E1362*'Nacional · supuestos'!$B$43,0)</f>
        <v>0</v>
      </c>
      <c r="M1362">
        <f>IF(D1362="Canarias",E1362*'Nacional · supuestos'!$B$44,0)</f>
        <v>0</v>
      </c>
      <c r="N1362">
        <f>IF(D1362="Canarias",E1362*'Nacional · supuestos'!$B$45,0)</f>
        <v>0</v>
      </c>
      <c r="O1362">
        <f>IF(D1362="Canarias",'Nacional · supuestos'!$B$46,0)</f>
        <v>0</v>
      </c>
      <c r="P1362">
        <f>IF(D1362="Canarias",MAX(H1362*'Nacional · supuestos'!$B$47,'Nacional · supuestos'!$B$48),0)</f>
        <v>0</v>
      </c>
      <c r="Q1362">
        <f>IF(D1362="Resto nacional",E1362*'Nacional · supuestos'!$B$13*IF(A1362=2027,1+'Nacional · supuestos'!$B$6,1),0)</f>
        <v>1212.3764369009962</v>
      </c>
      <c r="R1362">
        <f>IF(D1362="Canarias",SUM(J1362:P1362)*IF(A1362=2027,1+'Nacional · supuestos'!$B$6,1),0)</f>
        <v>0</v>
      </c>
      <c r="S1362">
        <f t="shared" si="26"/>
        <v>1212.3764369009962</v>
      </c>
    </row>
    <row r="1363" spans="1:19">
      <c r="A1363">
        <v>2027</v>
      </c>
      <c r="B1363">
        <v>7</v>
      </c>
      <c r="C1363" t="s">
        <v>205</v>
      </c>
      <c r="D1363" t="s">
        <v>160</v>
      </c>
      <c r="E1363">
        <f>SUMIFS('Nacional · base'!$J$7:$J$1068,'Nacional · base'!$A$7:$A$1068,A1363,'Nacional · base'!$B$7:$B$1068,B1363,'Nacional · base'!$C$7:$C$1068,C1363)</f>
        <v>860.16</v>
      </c>
      <c r="F1363">
        <f>SUMIFS('Nacional · base'!$K$7:$K$1068,'Nacional · base'!$A$7:$A$1068,A1363,'Nacional · base'!$B$7:$B$1068,B1363,'Nacional · base'!$C$7:$C$1068,C1363)</f>
        <v>1.2257575757575756</v>
      </c>
      <c r="G1363">
        <f t="shared" si="25"/>
        <v>2</v>
      </c>
      <c r="H1363">
        <f>SUMIFS('Nacional · base'!$G$7:$G$1068,'Nacional · base'!$A$7:$A$1068,A1363,'Nacional · base'!$B$7:$B$1068,B1363,'Nacional · base'!$C$7:$C$1068,C1363)</f>
        <v>2739.5349552057191</v>
      </c>
      <c r="I1363">
        <f>IF(D1363="Canarias",IF(C1363="CABRERA MORALES FRANCISCO",IF(E1363&lt;=2000,'Nacional · supuestos'!$C$34,IF(E1363&lt;=5000,'Nacional · supuestos'!$C$35,'Nacional · supuestos'!$C$36)),IF(E1363&lt;=2000,'Nacional · supuestos'!$B$34,IF(E1363&lt;=5000,'Nacional · supuestos'!$B$35,'Nacional · supuestos'!$B$36))),0)</f>
        <v>0</v>
      </c>
      <c r="J1363">
        <f>IF(D1363="Canarias",MAX(E1363*I1363,IF(C1363="CABRERA MORALES FRANCISCO",'Nacional · supuestos'!$C$38,'Nacional · supuestos'!$B$38)),0)</f>
        <v>0</v>
      </c>
      <c r="K1363">
        <f>IF(D1363="Canarias",MAX(E1363*'Nacional · supuestos'!$B$41,'Nacional · supuestos'!$B$42),0)</f>
        <v>0</v>
      </c>
      <c r="L1363">
        <f>IF(D1363="Canarias",E1363*'Nacional · supuestos'!$B$43,0)</f>
        <v>0</v>
      </c>
      <c r="M1363">
        <f>IF(D1363="Canarias",E1363*'Nacional · supuestos'!$B$44,0)</f>
        <v>0</v>
      </c>
      <c r="N1363">
        <f>IF(D1363="Canarias",E1363*'Nacional · supuestos'!$B$45,0)</f>
        <v>0</v>
      </c>
      <c r="O1363">
        <f>IF(D1363="Canarias",'Nacional · supuestos'!$B$46,0)</f>
        <v>0</v>
      </c>
      <c r="P1363">
        <f>IF(D1363="Canarias",MAX(H1363*'Nacional · supuestos'!$B$47,'Nacional · supuestos'!$B$48),0)</f>
        <v>0</v>
      </c>
      <c r="Q1363">
        <f>IF(D1363="Resto nacional",E1363*'Nacional · supuestos'!$B$13*IF(A1363=2027,1+'Nacional · supuestos'!$B$6,1),0)</f>
        <v>83.898189509466022</v>
      </c>
      <c r="R1363">
        <f>IF(D1363="Canarias",SUM(J1363:P1363)*IF(A1363=2027,1+'Nacional · supuestos'!$B$6,1),0)</f>
        <v>0</v>
      </c>
      <c r="S1363">
        <f t="shared" si="26"/>
        <v>83.898189509466022</v>
      </c>
    </row>
    <row r="1364" spans="1:19">
      <c r="A1364">
        <v>2027</v>
      </c>
      <c r="B1364">
        <v>7</v>
      </c>
      <c r="C1364" t="s">
        <v>193</v>
      </c>
      <c r="D1364" t="s">
        <v>160</v>
      </c>
      <c r="E1364">
        <f>SUMIFS('Nacional · base'!$J$7:$J$1068,'Nacional · base'!$A$7:$A$1068,A1364,'Nacional · base'!$B$7:$B$1068,B1364,'Nacional · base'!$C$7:$C$1068,C1364)</f>
        <v>755.19999999999993</v>
      </c>
      <c r="F1364">
        <f>SUMIFS('Nacional · base'!$K$7:$K$1068,'Nacional · base'!$A$7:$A$1068,A1364,'Nacional · base'!$B$7:$B$1068,B1364,'Nacional · base'!$C$7:$C$1068,C1364)</f>
        <v>1.0666666666666667</v>
      </c>
      <c r="G1364">
        <f t="shared" si="25"/>
        <v>2</v>
      </c>
      <c r="H1364">
        <f>SUMIFS('Nacional · base'!$G$7:$G$1068,'Nacional · base'!$A$7:$A$1068,A1364,'Nacional · base'!$B$7:$B$1068,B1364,'Nacional · base'!$C$7:$C$1068,C1364)</f>
        <v>2301.5696080505854</v>
      </c>
      <c r="I1364">
        <f>IF(D1364="Canarias",IF(C1364="CABRERA MORALES FRANCISCO",IF(E1364&lt;=2000,'Nacional · supuestos'!$C$34,IF(E1364&lt;=5000,'Nacional · supuestos'!$C$35,'Nacional · supuestos'!$C$36)),IF(E1364&lt;=2000,'Nacional · supuestos'!$B$34,IF(E1364&lt;=5000,'Nacional · supuestos'!$B$35,'Nacional · supuestos'!$B$36))),0)</f>
        <v>0</v>
      </c>
      <c r="J1364">
        <f>IF(D1364="Canarias",MAX(E1364*I1364,IF(C1364="CABRERA MORALES FRANCISCO",'Nacional · supuestos'!$C$38,'Nacional · supuestos'!$B$38)),0)</f>
        <v>0</v>
      </c>
      <c r="K1364">
        <f>IF(D1364="Canarias",MAX(E1364*'Nacional · supuestos'!$B$41,'Nacional · supuestos'!$B$42),0)</f>
        <v>0</v>
      </c>
      <c r="L1364">
        <f>IF(D1364="Canarias",E1364*'Nacional · supuestos'!$B$43,0)</f>
        <v>0</v>
      </c>
      <c r="M1364">
        <f>IF(D1364="Canarias",E1364*'Nacional · supuestos'!$B$44,0)</f>
        <v>0</v>
      </c>
      <c r="N1364">
        <f>IF(D1364="Canarias",E1364*'Nacional · supuestos'!$B$45,0)</f>
        <v>0</v>
      </c>
      <c r="O1364">
        <f>IF(D1364="Canarias",'Nacional · supuestos'!$B$46,0)</f>
        <v>0</v>
      </c>
      <c r="P1364">
        <f>IF(D1364="Canarias",MAX(H1364*'Nacional · supuestos'!$B$47,'Nacional · supuestos'!$B$48),0)</f>
        <v>0</v>
      </c>
      <c r="Q1364">
        <f>IF(D1364="Resto nacional",E1364*'Nacional · supuestos'!$B$13*IF(A1364=2027,1+'Nacional · supuestos'!$B$6,1),0)</f>
        <v>73.660612813370477</v>
      </c>
      <c r="R1364">
        <f>IF(D1364="Canarias",SUM(J1364:P1364)*IF(A1364=2027,1+'Nacional · supuestos'!$B$6,1),0)</f>
        <v>0</v>
      </c>
      <c r="S1364">
        <f t="shared" si="26"/>
        <v>73.660612813370477</v>
      </c>
    </row>
    <row r="1365" spans="1:19">
      <c r="A1365">
        <v>2027</v>
      </c>
      <c r="B1365">
        <v>7</v>
      </c>
      <c r="C1365" t="s">
        <v>213</v>
      </c>
      <c r="D1365" t="s">
        <v>160</v>
      </c>
      <c r="E1365">
        <f>SUMIFS('Nacional · base'!$J$7:$J$1068,'Nacional · base'!$A$7:$A$1068,A1365,'Nacional · base'!$B$7:$B$1068,B1365,'Nacional · base'!$C$7:$C$1068,C1365)</f>
        <v>2478</v>
      </c>
      <c r="F1365">
        <f>SUMIFS('Nacional · base'!$K$7:$K$1068,'Nacional · base'!$A$7:$A$1068,A1365,'Nacional · base'!$B$7:$B$1068,B1365,'Nacional · base'!$C$7:$C$1068,C1365)</f>
        <v>3.28125</v>
      </c>
      <c r="G1365">
        <f t="shared" si="25"/>
        <v>4</v>
      </c>
      <c r="H1365">
        <f>SUMIFS('Nacional · base'!$G$7:$G$1068,'Nacional · base'!$A$7:$A$1068,A1365,'Nacional · base'!$B$7:$B$1068,B1365,'Nacional · base'!$C$7:$C$1068,C1365)</f>
        <v>7478.8503731165511</v>
      </c>
      <c r="I1365">
        <f>IF(D1365="Canarias",IF(C1365="CABRERA MORALES FRANCISCO",IF(E1365&lt;=2000,'Nacional · supuestos'!$C$34,IF(E1365&lt;=5000,'Nacional · supuestos'!$C$35,'Nacional · supuestos'!$C$36)),IF(E1365&lt;=2000,'Nacional · supuestos'!$B$34,IF(E1365&lt;=5000,'Nacional · supuestos'!$B$35,'Nacional · supuestos'!$B$36))),0)</f>
        <v>0</v>
      </c>
      <c r="J1365">
        <f>IF(D1365="Canarias",MAX(E1365*I1365,IF(C1365="CABRERA MORALES FRANCISCO",'Nacional · supuestos'!$C$38,'Nacional · supuestos'!$B$38)),0)</f>
        <v>0</v>
      </c>
      <c r="K1365">
        <f>IF(D1365="Canarias",MAX(E1365*'Nacional · supuestos'!$B$41,'Nacional · supuestos'!$B$42),0)</f>
        <v>0</v>
      </c>
      <c r="L1365">
        <f>IF(D1365="Canarias",E1365*'Nacional · supuestos'!$B$43,0)</f>
        <v>0</v>
      </c>
      <c r="M1365">
        <f>IF(D1365="Canarias",E1365*'Nacional · supuestos'!$B$44,0)</f>
        <v>0</v>
      </c>
      <c r="N1365">
        <f>IF(D1365="Canarias",E1365*'Nacional · supuestos'!$B$45,0)</f>
        <v>0</v>
      </c>
      <c r="O1365">
        <f>IF(D1365="Canarias",'Nacional · supuestos'!$B$46,0)</f>
        <v>0</v>
      </c>
      <c r="P1365">
        <f>IF(D1365="Canarias",MAX(H1365*'Nacional · supuestos'!$B$47,'Nacional · supuestos'!$B$48),0)</f>
        <v>0</v>
      </c>
      <c r="Q1365">
        <f>IF(D1365="Resto nacional",E1365*'Nacional · supuestos'!$B$13*IF(A1365=2027,1+'Nacional · supuestos'!$B$6,1),0)</f>
        <v>241.69888579387188</v>
      </c>
      <c r="R1365">
        <f>IF(D1365="Canarias",SUM(J1365:P1365)*IF(A1365=2027,1+'Nacional · supuestos'!$B$6,1),0)</f>
        <v>0</v>
      </c>
      <c r="S1365">
        <f t="shared" si="26"/>
        <v>241.69888579387188</v>
      </c>
    </row>
    <row r="1366" spans="1:19">
      <c r="A1366">
        <v>2027</v>
      </c>
      <c r="B1366">
        <v>7</v>
      </c>
      <c r="C1366" t="s">
        <v>180</v>
      </c>
      <c r="D1366" t="s">
        <v>160</v>
      </c>
      <c r="E1366">
        <f>SUMIFS('Nacional · base'!$J$7:$J$1068,'Nacional · base'!$A$7:$A$1068,A1366,'Nacional · base'!$B$7:$B$1068,B1366,'Nacional · base'!$C$7:$C$1068,C1366)</f>
        <v>6762.32</v>
      </c>
      <c r="F1366">
        <f>SUMIFS('Nacional · base'!$K$7:$K$1068,'Nacional · base'!$A$7:$A$1068,A1366,'Nacional · base'!$B$7:$B$1068,B1366,'Nacional · base'!$C$7:$C$1068,C1366)</f>
        <v>6.7053030303030301</v>
      </c>
      <c r="G1366">
        <f t="shared" si="25"/>
        <v>7</v>
      </c>
      <c r="H1366">
        <f>SUMIFS('Nacional · base'!$G$7:$G$1068,'Nacional · base'!$A$7:$A$1068,A1366,'Nacional · base'!$B$7:$B$1068,B1366,'Nacional · base'!$C$7:$C$1068,C1366)</f>
        <v>19104.549618028082</v>
      </c>
      <c r="I1366">
        <f>IF(D1366="Canarias",IF(C1366="CABRERA MORALES FRANCISCO",IF(E1366&lt;=2000,'Nacional · supuestos'!$C$34,IF(E1366&lt;=5000,'Nacional · supuestos'!$C$35,'Nacional · supuestos'!$C$36)),IF(E1366&lt;=2000,'Nacional · supuestos'!$B$34,IF(E1366&lt;=5000,'Nacional · supuestos'!$B$35,'Nacional · supuestos'!$B$36))),0)</f>
        <v>0</v>
      </c>
      <c r="J1366">
        <f>IF(D1366="Canarias",MAX(E1366*I1366,IF(C1366="CABRERA MORALES FRANCISCO",'Nacional · supuestos'!$C$38,'Nacional · supuestos'!$B$38)),0)</f>
        <v>0</v>
      </c>
      <c r="K1366">
        <f>IF(D1366="Canarias",MAX(E1366*'Nacional · supuestos'!$B$41,'Nacional · supuestos'!$B$42),0)</f>
        <v>0</v>
      </c>
      <c r="L1366">
        <f>IF(D1366="Canarias",E1366*'Nacional · supuestos'!$B$43,0)</f>
        <v>0</v>
      </c>
      <c r="M1366">
        <f>IF(D1366="Canarias",E1366*'Nacional · supuestos'!$B$44,0)</f>
        <v>0</v>
      </c>
      <c r="N1366">
        <f>IF(D1366="Canarias",E1366*'Nacional · supuestos'!$B$45,0)</f>
        <v>0</v>
      </c>
      <c r="O1366">
        <f>IF(D1366="Canarias",'Nacional · supuestos'!$B$46,0)</f>
        <v>0</v>
      </c>
      <c r="P1366">
        <f>IF(D1366="Canarias",MAX(H1366*'Nacional · supuestos'!$B$47,'Nacional · supuestos'!$B$48),0)</f>
        <v>0</v>
      </c>
      <c r="Q1366">
        <f>IF(D1366="Resto nacional",E1366*'Nacional · supuestos'!$B$13*IF(A1366=2027,1+'Nacional · supuestos'!$B$6,1),0)</f>
        <v>659.58240895141864</v>
      </c>
      <c r="R1366">
        <f>IF(D1366="Canarias",SUM(J1366:P1366)*IF(A1366=2027,1+'Nacional · supuestos'!$B$6,1),0)</f>
        <v>0</v>
      </c>
      <c r="S1366">
        <f t="shared" si="26"/>
        <v>659.58240895141864</v>
      </c>
    </row>
    <row r="1367" spans="1:19">
      <c r="A1367">
        <v>2027</v>
      </c>
      <c r="B1367">
        <v>7</v>
      </c>
      <c r="C1367" t="s">
        <v>209</v>
      </c>
      <c r="D1367" t="s">
        <v>160</v>
      </c>
      <c r="E1367">
        <f>SUMIFS('Nacional · base'!$J$7:$J$1068,'Nacional · base'!$A$7:$A$1068,A1367,'Nacional · base'!$B$7:$B$1068,B1367,'Nacional · base'!$C$7:$C$1068,C1367)</f>
        <v>1822.4</v>
      </c>
      <c r="F1367">
        <f>SUMIFS('Nacional · base'!$K$7:$K$1068,'Nacional · base'!$A$7:$A$1068,A1367,'Nacional · base'!$B$7:$B$1068,B1367,'Nacional · base'!$C$7:$C$1068,C1367)</f>
        <v>2.3374999999999999</v>
      </c>
      <c r="G1367">
        <f t="shared" si="25"/>
        <v>3</v>
      </c>
      <c r="H1367">
        <f>SUMIFS('Nacional · base'!$G$7:$G$1068,'Nacional · base'!$A$7:$A$1068,A1367,'Nacional · base'!$B$7:$B$1068,B1367,'Nacional · base'!$C$7:$C$1068,C1367)</f>
        <v>3606.8347634857946</v>
      </c>
      <c r="I1367">
        <f>IF(D1367="Canarias",IF(C1367="CABRERA MORALES FRANCISCO",IF(E1367&lt;=2000,'Nacional · supuestos'!$C$34,IF(E1367&lt;=5000,'Nacional · supuestos'!$C$35,'Nacional · supuestos'!$C$36)),IF(E1367&lt;=2000,'Nacional · supuestos'!$B$34,IF(E1367&lt;=5000,'Nacional · supuestos'!$B$35,'Nacional · supuestos'!$B$36))),0)</f>
        <v>0</v>
      </c>
      <c r="J1367">
        <f>IF(D1367="Canarias",MAX(E1367*I1367,IF(C1367="CABRERA MORALES FRANCISCO",'Nacional · supuestos'!$C$38,'Nacional · supuestos'!$B$38)),0)</f>
        <v>0</v>
      </c>
      <c r="K1367">
        <f>IF(D1367="Canarias",MAX(E1367*'Nacional · supuestos'!$B$41,'Nacional · supuestos'!$B$42),0)</f>
        <v>0</v>
      </c>
      <c r="L1367">
        <f>IF(D1367="Canarias",E1367*'Nacional · supuestos'!$B$43,0)</f>
        <v>0</v>
      </c>
      <c r="M1367">
        <f>IF(D1367="Canarias",E1367*'Nacional · supuestos'!$B$44,0)</f>
        <v>0</v>
      </c>
      <c r="N1367">
        <f>IF(D1367="Canarias",E1367*'Nacional · supuestos'!$B$45,0)</f>
        <v>0</v>
      </c>
      <c r="O1367">
        <f>IF(D1367="Canarias",'Nacional · supuestos'!$B$46,0)</f>
        <v>0</v>
      </c>
      <c r="P1367">
        <f>IF(D1367="Canarias",MAX(H1367*'Nacional · supuestos'!$B$47,'Nacional · supuestos'!$B$48),0)</f>
        <v>0</v>
      </c>
      <c r="Q1367">
        <f>IF(D1367="Resto nacional",E1367*'Nacional · supuestos'!$B$13*IF(A1367=2027,1+'Nacional · supuestos'!$B$6,1),0)</f>
        <v>177.7530465983665</v>
      </c>
      <c r="R1367">
        <f>IF(D1367="Canarias",SUM(J1367:P1367)*IF(A1367=2027,1+'Nacional · supuestos'!$B$6,1),0)</f>
        <v>0</v>
      </c>
      <c r="S1367">
        <f t="shared" si="26"/>
        <v>177.7530465983665</v>
      </c>
    </row>
    <row r="1368" spans="1:19">
      <c r="A1368">
        <v>2027</v>
      </c>
      <c r="B1368">
        <v>7</v>
      </c>
      <c r="C1368" t="s">
        <v>181</v>
      </c>
      <c r="D1368" t="s">
        <v>160</v>
      </c>
      <c r="E1368">
        <f>SUMIFS('Nacional · base'!$J$7:$J$1068,'Nacional · base'!$A$7:$A$1068,A1368,'Nacional · base'!$B$7:$B$1068,B1368,'Nacional · base'!$C$7:$C$1068,C1368)</f>
        <v>2480</v>
      </c>
      <c r="F1368">
        <f>SUMIFS('Nacional · base'!$K$7:$K$1068,'Nacional · base'!$A$7:$A$1068,A1368,'Nacional · base'!$B$7:$B$1068,B1368,'Nacional · base'!$C$7:$C$1068,C1368)</f>
        <v>3.1</v>
      </c>
      <c r="G1368">
        <f t="shared" si="25"/>
        <v>4</v>
      </c>
      <c r="H1368">
        <f>SUMIFS('Nacional · base'!$G$7:$G$1068,'Nacional · base'!$A$7:$A$1068,A1368,'Nacional · base'!$B$7:$B$1068,B1368,'Nacional · base'!$C$7:$C$1068,C1368)</f>
        <v>4782.4281529601849</v>
      </c>
      <c r="I1368">
        <f>IF(D1368="Canarias",IF(C1368="CABRERA MORALES FRANCISCO",IF(E1368&lt;=2000,'Nacional · supuestos'!$C$34,IF(E1368&lt;=5000,'Nacional · supuestos'!$C$35,'Nacional · supuestos'!$C$36)),IF(E1368&lt;=2000,'Nacional · supuestos'!$B$34,IF(E1368&lt;=5000,'Nacional · supuestos'!$B$35,'Nacional · supuestos'!$B$36))),0)</f>
        <v>0</v>
      </c>
      <c r="J1368">
        <f>IF(D1368="Canarias",MAX(E1368*I1368,IF(C1368="CABRERA MORALES FRANCISCO",'Nacional · supuestos'!$C$38,'Nacional · supuestos'!$B$38)),0)</f>
        <v>0</v>
      </c>
      <c r="K1368">
        <f>IF(D1368="Canarias",MAX(E1368*'Nacional · supuestos'!$B$41,'Nacional · supuestos'!$B$42),0)</f>
        <v>0</v>
      </c>
      <c r="L1368">
        <f>IF(D1368="Canarias",E1368*'Nacional · supuestos'!$B$43,0)</f>
        <v>0</v>
      </c>
      <c r="M1368">
        <f>IF(D1368="Canarias",E1368*'Nacional · supuestos'!$B$44,0)</f>
        <v>0</v>
      </c>
      <c r="N1368">
        <f>IF(D1368="Canarias",E1368*'Nacional · supuestos'!$B$45,0)</f>
        <v>0</v>
      </c>
      <c r="O1368">
        <f>IF(D1368="Canarias",'Nacional · supuestos'!$B$46,0)</f>
        <v>0</v>
      </c>
      <c r="P1368">
        <f>IF(D1368="Canarias",MAX(H1368*'Nacional · supuestos'!$B$47,'Nacional · supuestos'!$B$48),0)</f>
        <v>0</v>
      </c>
      <c r="Q1368">
        <f>IF(D1368="Resto nacional",E1368*'Nacional · supuestos'!$B$13*IF(A1368=2027,1+'Nacional · supuestos'!$B$6,1),0)</f>
        <v>241.89396156933103</v>
      </c>
      <c r="R1368">
        <f>IF(D1368="Canarias",SUM(J1368:P1368)*IF(A1368=2027,1+'Nacional · supuestos'!$B$6,1),0)</f>
        <v>0</v>
      </c>
      <c r="S1368">
        <f t="shared" si="26"/>
        <v>241.89396156933103</v>
      </c>
    </row>
    <row r="1369" spans="1:19">
      <c r="A1369">
        <v>2027</v>
      </c>
      <c r="B1369">
        <v>7</v>
      </c>
      <c r="C1369" t="s">
        <v>186</v>
      </c>
      <c r="D1369" t="s">
        <v>160</v>
      </c>
      <c r="E1369">
        <f>SUMIFS('Nacional · base'!$J$7:$J$1068,'Nacional · base'!$A$7:$A$1068,A1369,'Nacional · base'!$B$7:$B$1068,B1369,'Nacional · base'!$C$7:$C$1068,C1369)</f>
        <v>12337.9</v>
      </c>
      <c r="F1369">
        <f>SUMIFS('Nacional · base'!$K$7:$K$1068,'Nacional · base'!$A$7:$A$1068,A1369,'Nacional · base'!$B$7:$B$1068,B1369,'Nacional · base'!$C$7:$C$1068,C1369)</f>
        <v>14.604999999999999</v>
      </c>
      <c r="G1369">
        <f t="shared" si="25"/>
        <v>15</v>
      </c>
      <c r="H1369">
        <f>SUMIFS('Nacional · base'!$G$7:$G$1068,'Nacional · base'!$A$7:$A$1068,A1369,'Nacional · base'!$B$7:$B$1068,B1369,'Nacional · base'!$C$7:$C$1068,C1369)</f>
        <v>22582.275499424588</v>
      </c>
      <c r="I1369">
        <f>IF(D1369="Canarias",IF(C1369="CABRERA MORALES FRANCISCO",IF(E1369&lt;=2000,'Nacional · supuestos'!$C$34,IF(E1369&lt;=5000,'Nacional · supuestos'!$C$35,'Nacional · supuestos'!$C$36)),IF(E1369&lt;=2000,'Nacional · supuestos'!$B$34,IF(E1369&lt;=5000,'Nacional · supuestos'!$B$35,'Nacional · supuestos'!$B$36))),0)</f>
        <v>0</v>
      </c>
      <c r="J1369">
        <f>IF(D1369="Canarias",MAX(E1369*I1369,IF(C1369="CABRERA MORALES FRANCISCO",'Nacional · supuestos'!$C$38,'Nacional · supuestos'!$B$38)),0)</f>
        <v>0</v>
      </c>
      <c r="K1369">
        <f>IF(D1369="Canarias",MAX(E1369*'Nacional · supuestos'!$B$41,'Nacional · supuestos'!$B$42),0)</f>
        <v>0</v>
      </c>
      <c r="L1369">
        <f>IF(D1369="Canarias",E1369*'Nacional · supuestos'!$B$43,0)</f>
        <v>0</v>
      </c>
      <c r="M1369">
        <f>IF(D1369="Canarias",E1369*'Nacional · supuestos'!$B$44,0)</f>
        <v>0</v>
      </c>
      <c r="N1369">
        <f>IF(D1369="Canarias",E1369*'Nacional · supuestos'!$B$45,0)</f>
        <v>0</v>
      </c>
      <c r="O1369">
        <f>IF(D1369="Canarias",'Nacional · supuestos'!$B$46,0)</f>
        <v>0</v>
      </c>
      <c r="P1369">
        <f>IF(D1369="Canarias",MAX(H1369*'Nacional · supuestos'!$B$47,'Nacional · supuestos'!$B$48),0)</f>
        <v>0</v>
      </c>
      <c r="Q1369">
        <f>IF(D1369="Resto nacional",E1369*'Nacional · supuestos'!$B$13*IF(A1369=2027,1+'Nacional · supuestos'!$B$6,1),0)</f>
        <v>1203.4127050186489</v>
      </c>
      <c r="R1369">
        <f>IF(D1369="Canarias",SUM(J1369:P1369)*IF(A1369=2027,1+'Nacional · supuestos'!$B$6,1),0)</f>
        <v>0</v>
      </c>
      <c r="S1369">
        <f t="shared" si="26"/>
        <v>1203.4127050186489</v>
      </c>
    </row>
    <row r="1370" spans="1:19">
      <c r="A1370">
        <v>2027</v>
      </c>
      <c r="B1370">
        <v>8</v>
      </c>
      <c r="C1370" t="s">
        <v>190</v>
      </c>
      <c r="D1370" t="s">
        <v>160</v>
      </c>
      <c r="E1370">
        <f>SUMIFS('Nacional · base'!$J$7:$J$1068,'Nacional · base'!$A$7:$A$1068,A1370,'Nacional · base'!$B$7:$B$1068,B1370,'Nacional · base'!$C$7:$C$1068,C1370)</f>
        <v>466.09999999999997</v>
      </c>
      <c r="F1370">
        <f>SUMIFS('Nacional · base'!$K$7:$K$1068,'Nacional · base'!$A$7:$A$1068,A1370,'Nacional · base'!$B$7:$B$1068,B1370,'Nacional · base'!$C$7:$C$1068,C1370)</f>
        <v>0.65833333333333333</v>
      </c>
      <c r="G1370">
        <f t="shared" si="25"/>
        <v>1</v>
      </c>
      <c r="H1370">
        <f>SUMIFS('Nacional · base'!$G$7:$G$1068,'Nacional · base'!$A$7:$A$1068,A1370,'Nacional · base'!$B$7:$B$1068,B1370,'Nacional · base'!$C$7:$C$1068,C1370)</f>
        <v>1730.8157860903959</v>
      </c>
      <c r="I1370">
        <f>IF(D1370="Canarias",IF(C1370="CABRERA MORALES FRANCISCO",IF(E1370&lt;=2000,'Nacional · supuestos'!$C$34,IF(E1370&lt;=5000,'Nacional · supuestos'!$C$35,'Nacional · supuestos'!$C$36)),IF(E1370&lt;=2000,'Nacional · supuestos'!$B$34,IF(E1370&lt;=5000,'Nacional · supuestos'!$B$35,'Nacional · supuestos'!$B$36))),0)</f>
        <v>0</v>
      </c>
      <c r="J1370">
        <f>IF(D1370="Canarias",MAX(E1370*I1370,IF(C1370="CABRERA MORALES FRANCISCO",'Nacional · supuestos'!$C$38,'Nacional · supuestos'!$B$38)),0)</f>
        <v>0</v>
      </c>
      <c r="K1370">
        <f>IF(D1370="Canarias",MAX(E1370*'Nacional · supuestos'!$B$41,'Nacional · supuestos'!$B$42),0)</f>
        <v>0</v>
      </c>
      <c r="L1370">
        <f>IF(D1370="Canarias",E1370*'Nacional · supuestos'!$B$43,0)</f>
        <v>0</v>
      </c>
      <c r="M1370">
        <f>IF(D1370="Canarias",E1370*'Nacional · supuestos'!$B$44,0)</f>
        <v>0</v>
      </c>
      <c r="N1370">
        <f>IF(D1370="Canarias",E1370*'Nacional · supuestos'!$B$45,0)</f>
        <v>0</v>
      </c>
      <c r="O1370">
        <f>IF(D1370="Canarias",'Nacional · supuestos'!$B$46,0)</f>
        <v>0</v>
      </c>
      <c r="P1370">
        <f>IF(D1370="Canarias",MAX(H1370*'Nacional · supuestos'!$B$47,'Nacional · supuestos'!$B$48),0)</f>
        <v>0</v>
      </c>
      <c r="Q1370">
        <f>IF(D1370="Resto nacional",E1370*'Nacional · supuestos'!$B$13*IF(A1370=2027,1+'Nacional · supuestos'!$B$6,1),0)</f>
        <v>45.462409470752092</v>
      </c>
      <c r="R1370">
        <f>IF(D1370="Canarias",SUM(J1370:P1370)*IF(A1370=2027,1+'Nacional · supuestos'!$B$6,1),0)</f>
        <v>0</v>
      </c>
      <c r="S1370">
        <f t="shared" si="26"/>
        <v>45.462409470752092</v>
      </c>
    </row>
    <row r="1371" spans="1:19">
      <c r="A1371">
        <v>2027</v>
      </c>
      <c r="B1371">
        <v>8</v>
      </c>
      <c r="C1371" t="s">
        <v>162</v>
      </c>
      <c r="D1371" t="s">
        <v>160</v>
      </c>
      <c r="E1371">
        <f>SUMIFS('Nacional · base'!$J$7:$J$1068,'Nacional · base'!$A$7:$A$1068,A1371,'Nacional · base'!$B$7:$B$1068,B1371,'Nacional · base'!$C$7:$C$1068,C1371)</f>
        <v>1012.4</v>
      </c>
      <c r="F1371">
        <f>SUMIFS('Nacional · base'!$K$7:$K$1068,'Nacional · base'!$A$7:$A$1068,A1371,'Nacional · base'!$B$7:$B$1068,B1371,'Nacional · base'!$C$7:$C$1068,C1371)</f>
        <v>1.3425</v>
      </c>
      <c r="G1371">
        <f t="shared" si="25"/>
        <v>2</v>
      </c>
      <c r="H1371">
        <f>SUMIFS('Nacional · base'!$G$7:$G$1068,'Nacional · base'!$A$7:$A$1068,A1371,'Nacional · base'!$B$7:$B$1068,B1371,'Nacional · base'!$C$7:$C$1068,C1371)</f>
        <v>3220.0084584370761</v>
      </c>
      <c r="I1371">
        <f>IF(D1371="Canarias",IF(C1371="CABRERA MORALES FRANCISCO",IF(E1371&lt;=2000,'Nacional · supuestos'!$C$34,IF(E1371&lt;=5000,'Nacional · supuestos'!$C$35,'Nacional · supuestos'!$C$36)),IF(E1371&lt;=2000,'Nacional · supuestos'!$B$34,IF(E1371&lt;=5000,'Nacional · supuestos'!$B$35,'Nacional · supuestos'!$B$36))),0)</f>
        <v>0</v>
      </c>
      <c r="J1371">
        <f>IF(D1371="Canarias",MAX(E1371*I1371,IF(C1371="CABRERA MORALES FRANCISCO",'Nacional · supuestos'!$C$38,'Nacional · supuestos'!$B$38)),0)</f>
        <v>0</v>
      </c>
      <c r="K1371">
        <f>IF(D1371="Canarias",MAX(E1371*'Nacional · supuestos'!$B$41,'Nacional · supuestos'!$B$42),0)</f>
        <v>0</v>
      </c>
      <c r="L1371">
        <f>IF(D1371="Canarias",E1371*'Nacional · supuestos'!$B$43,0)</f>
        <v>0</v>
      </c>
      <c r="M1371">
        <f>IF(D1371="Canarias",E1371*'Nacional · supuestos'!$B$44,0)</f>
        <v>0</v>
      </c>
      <c r="N1371">
        <f>IF(D1371="Canarias",E1371*'Nacional · supuestos'!$B$45,0)</f>
        <v>0</v>
      </c>
      <c r="O1371">
        <f>IF(D1371="Canarias",'Nacional · supuestos'!$B$46,0)</f>
        <v>0</v>
      </c>
      <c r="P1371">
        <f>IF(D1371="Canarias",MAX(H1371*'Nacional · supuestos'!$B$47,'Nacional · supuestos'!$B$48),0)</f>
        <v>0</v>
      </c>
      <c r="Q1371">
        <f>IF(D1371="Resto nacional",E1371*'Nacional · supuestos'!$B$13*IF(A1371=2027,1+'Nacional · supuestos'!$B$6,1),0)</f>
        <v>98.74735753741561</v>
      </c>
      <c r="R1371">
        <f>IF(D1371="Canarias",SUM(J1371:P1371)*IF(A1371=2027,1+'Nacional · supuestos'!$B$6,1),0)</f>
        <v>0</v>
      </c>
      <c r="S1371">
        <f t="shared" si="26"/>
        <v>98.74735753741561</v>
      </c>
    </row>
    <row r="1372" spans="1:19">
      <c r="A1372">
        <v>2027</v>
      </c>
      <c r="B1372">
        <v>8</v>
      </c>
      <c r="C1372" t="s">
        <v>163</v>
      </c>
      <c r="D1372" t="s">
        <v>164</v>
      </c>
      <c r="E1372">
        <f>SUMIFS('Nacional · base'!$J$7:$J$1068,'Nacional · base'!$A$7:$A$1068,A1372,'Nacional · base'!$B$7:$B$1068,B1372,'Nacional · base'!$C$7:$C$1068,C1372)</f>
        <v>3001.9599999999996</v>
      </c>
      <c r="F1372">
        <f>SUMIFS('Nacional · base'!$K$7:$K$1068,'Nacional · base'!$A$7:$A$1068,A1372,'Nacional · base'!$B$7:$B$1068,B1372,'Nacional · base'!$C$7:$C$1068,C1372)</f>
        <v>3.7518939393939399</v>
      </c>
      <c r="G1372">
        <f t="shared" si="25"/>
        <v>4</v>
      </c>
      <c r="H1372">
        <f>SUMIFS('Nacional · base'!$G$7:$G$1068,'Nacional · base'!$A$7:$A$1068,A1372,'Nacional · base'!$B$7:$B$1068,B1372,'Nacional · base'!$C$7:$C$1068,C1372)</f>
        <v>6737.1466346163697</v>
      </c>
      <c r="I1372">
        <f>IF(D1372="Canarias",IF(C1372="CABRERA MORALES FRANCISCO",IF(E1372&lt;=2000,'Nacional · supuestos'!$C$34,IF(E1372&lt;=5000,'Nacional · supuestos'!$C$35,'Nacional · supuestos'!$C$36)),IF(E1372&lt;=2000,'Nacional · supuestos'!$B$34,IF(E1372&lt;=5000,'Nacional · supuestos'!$B$35,'Nacional · supuestos'!$B$36))),0)</f>
        <v>0.108</v>
      </c>
      <c r="J1372">
        <f>IF(D1372="Canarias",MAX(E1372*I1372,IF(C1372="CABRERA MORALES FRANCISCO",'Nacional · supuestos'!$C$38,'Nacional · supuestos'!$B$38)),0)</f>
        <v>324.21167999999994</v>
      </c>
      <c r="K1372">
        <f>IF(D1372="Canarias",MAX(E1372*'Nacional · supuestos'!$B$41,'Nacional · supuestos'!$B$42),0)</f>
        <v>108.07055999999997</v>
      </c>
      <c r="L1372">
        <f>IF(D1372="Canarias",E1372*'Nacional · supuestos'!$B$43,0)</f>
        <v>36.023519999999998</v>
      </c>
      <c r="M1372">
        <f>IF(D1372="Canarias",E1372*'Nacional · supuestos'!$B$44,0)</f>
        <v>54.035279999999986</v>
      </c>
      <c r="N1372">
        <f>IF(D1372="Canarias",E1372*'Nacional · supuestos'!$B$45,0)</f>
        <v>66.043119999999988</v>
      </c>
      <c r="O1372">
        <f>IF(D1372="Canarias",'Nacional · supuestos'!$B$46,0)</f>
        <v>15</v>
      </c>
      <c r="P1372">
        <f>IF(D1372="Canarias",MAX(H1372*'Nacional · supuestos'!$B$47,'Nacional · supuestos'!$B$48),0)</f>
        <v>30.31715985577366</v>
      </c>
      <c r="Q1372">
        <f>IF(D1372="Resto nacional",E1372*'Nacional · supuestos'!$B$13*IF(A1372=2027,1+'Nacional · supuestos'!$B$6,1),0)</f>
        <v>0</v>
      </c>
      <c r="R1372">
        <f>IF(D1372="Canarias",SUM(J1372:P1372)*IF(A1372=2027,1+'Nacional · supuestos'!$B$6,1),0)</f>
        <v>697.07145184135084</v>
      </c>
      <c r="S1372">
        <f t="shared" si="26"/>
        <v>697.07145184135084</v>
      </c>
    </row>
    <row r="1373" spans="1:19">
      <c r="A1373">
        <v>2027</v>
      </c>
      <c r="B1373">
        <v>8</v>
      </c>
      <c r="C1373" t="s">
        <v>165</v>
      </c>
      <c r="D1373" t="s">
        <v>160</v>
      </c>
      <c r="E1373">
        <f>SUMIFS('Nacional · base'!$J$7:$J$1068,'Nacional · base'!$A$7:$A$1068,A1373,'Nacional · base'!$B$7:$B$1068,B1373,'Nacional · base'!$C$7:$C$1068,C1373)</f>
        <v>165.2</v>
      </c>
      <c r="F1373">
        <f>SUMIFS('Nacional · base'!$K$7:$K$1068,'Nacional · base'!$A$7:$A$1068,A1373,'Nacional · base'!$B$7:$B$1068,B1373,'Nacional · base'!$C$7:$C$1068,C1373)</f>
        <v>0.21875</v>
      </c>
      <c r="G1373">
        <f t="shared" si="25"/>
        <v>1</v>
      </c>
      <c r="H1373">
        <f>SUMIFS('Nacional · base'!$G$7:$G$1068,'Nacional · base'!$A$7:$A$1068,A1373,'Nacional · base'!$B$7:$B$1068,B1373,'Nacional · base'!$C$7:$C$1068,C1373)</f>
        <v>1663.63455364526</v>
      </c>
      <c r="I1373">
        <f>IF(D1373="Canarias",IF(C1373="CABRERA MORALES FRANCISCO",IF(E1373&lt;=2000,'Nacional · supuestos'!$C$34,IF(E1373&lt;=5000,'Nacional · supuestos'!$C$35,'Nacional · supuestos'!$C$36)),IF(E1373&lt;=2000,'Nacional · supuestos'!$B$34,IF(E1373&lt;=5000,'Nacional · supuestos'!$B$35,'Nacional · supuestos'!$B$36))),0)</f>
        <v>0</v>
      </c>
      <c r="J1373">
        <f>IF(D1373="Canarias",MAX(E1373*I1373,IF(C1373="CABRERA MORALES FRANCISCO",'Nacional · supuestos'!$C$38,'Nacional · supuestos'!$B$38)),0)</f>
        <v>0</v>
      </c>
      <c r="K1373">
        <f>IF(D1373="Canarias",MAX(E1373*'Nacional · supuestos'!$B$41,'Nacional · supuestos'!$B$42),0)</f>
        <v>0</v>
      </c>
      <c r="L1373">
        <f>IF(D1373="Canarias",E1373*'Nacional · supuestos'!$B$43,0)</f>
        <v>0</v>
      </c>
      <c r="M1373">
        <f>IF(D1373="Canarias",E1373*'Nacional · supuestos'!$B$44,0)</f>
        <v>0</v>
      </c>
      <c r="N1373">
        <f>IF(D1373="Canarias",E1373*'Nacional · supuestos'!$B$45,0)</f>
        <v>0</v>
      </c>
      <c r="O1373">
        <f>IF(D1373="Canarias",'Nacional · supuestos'!$B$46,0)</f>
        <v>0</v>
      </c>
      <c r="P1373">
        <f>IF(D1373="Canarias",MAX(H1373*'Nacional · supuestos'!$B$47,'Nacional · supuestos'!$B$48),0)</f>
        <v>0</v>
      </c>
      <c r="Q1373">
        <f>IF(D1373="Resto nacional",E1373*'Nacional · supuestos'!$B$13*IF(A1373=2027,1+'Nacional · supuestos'!$B$6,1),0)</f>
        <v>16.113259052924789</v>
      </c>
      <c r="R1373">
        <f>IF(D1373="Canarias",SUM(J1373:P1373)*IF(A1373=2027,1+'Nacional · supuestos'!$B$6,1),0)</f>
        <v>0</v>
      </c>
      <c r="S1373">
        <f t="shared" si="26"/>
        <v>16.113259052924789</v>
      </c>
    </row>
    <row r="1374" spans="1:19">
      <c r="A1374">
        <v>2027</v>
      </c>
      <c r="B1374">
        <v>8</v>
      </c>
      <c r="C1374" t="s">
        <v>191</v>
      </c>
      <c r="D1374" t="s">
        <v>160</v>
      </c>
      <c r="E1374">
        <f>SUMIFS('Nacional · base'!$J$7:$J$1068,'Nacional · base'!$A$7:$A$1068,A1374,'Nacional · base'!$B$7:$B$1068,B1374,'Nacional · base'!$C$7:$C$1068,C1374)</f>
        <v>1042.0999999999999</v>
      </c>
      <c r="F1374">
        <f>SUMIFS('Nacional · base'!$K$7:$K$1068,'Nacional · base'!$A$7:$A$1068,A1374,'Nacional · base'!$B$7:$B$1068,B1374,'Nacional · base'!$C$7:$C$1068,C1374)</f>
        <v>1.3728787878787878</v>
      </c>
      <c r="G1374">
        <f t="shared" si="25"/>
        <v>2</v>
      </c>
      <c r="H1374">
        <f>SUMIFS('Nacional · base'!$G$7:$G$1068,'Nacional · base'!$A$7:$A$1068,A1374,'Nacional · base'!$B$7:$B$1068,B1374,'Nacional · base'!$C$7:$C$1068,C1374)</f>
        <v>4264.5749911488019</v>
      </c>
      <c r="I1374">
        <f>IF(D1374="Canarias",IF(C1374="CABRERA MORALES FRANCISCO",IF(E1374&lt;=2000,'Nacional · supuestos'!$C$34,IF(E1374&lt;=5000,'Nacional · supuestos'!$C$35,'Nacional · supuestos'!$C$36)),IF(E1374&lt;=2000,'Nacional · supuestos'!$B$34,IF(E1374&lt;=5000,'Nacional · supuestos'!$B$35,'Nacional · supuestos'!$B$36))),0)</f>
        <v>0</v>
      </c>
      <c r="J1374">
        <f>IF(D1374="Canarias",MAX(E1374*I1374,IF(C1374="CABRERA MORALES FRANCISCO",'Nacional · supuestos'!$C$38,'Nacional · supuestos'!$B$38)),0)</f>
        <v>0</v>
      </c>
      <c r="K1374">
        <f>IF(D1374="Canarias",MAX(E1374*'Nacional · supuestos'!$B$41,'Nacional · supuestos'!$B$42),0)</f>
        <v>0</v>
      </c>
      <c r="L1374">
        <f>IF(D1374="Canarias",E1374*'Nacional · supuestos'!$B$43,0)</f>
        <v>0</v>
      </c>
      <c r="M1374">
        <f>IF(D1374="Canarias",E1374*'Nacional · supuestos'!$B$44,0)</f>
        <v>0</v>
      </c>
      <c r="N1374">
        <f>IF(D1374="Canarias",E1374*'Nacional · supuestos'!$B$45,0)</f>
        <v>0</v>
      </c>
      <c r="O1374">
        <f>IF(D1374="Canarias",'Nacional · supuestos'!$B$46,0)</f>
        <v>0</v>
      </c>
      <c r="P1374">
        <f>IF(D1374="Canarias",MAX(H1374*'Nacional · supuestos'!$B$47,'Nacional · supuestos'!$B$48),0)</f>
        <v>0</v>
      </c>
      <c r="Q1374">
        <f>IF(D1374="Resto nacional",E1374*'Nacional · supuestos'!$B$13*IF(A1374=2027,1+'Nacional · supuestos'!$B$6,1),0)</f>
        <v>101.64423280298379</v>
      </c>
      <c r="R1374">
        <f>IF(D1374="Canarias",SUM(J1374:P1374)*IF(A1374=2027,1+'Nacional · supuestos'!$B$6,1),0)</f>
        <v>0</v>
      </c>
      <c r="S1374">
        <f t="shared" si="26"/>
        <v>101.64423280298379</v>
      </c>
    </row>
    <row r="1375" spans="1:19">
      <c r="A1375">
        <v>2027</v>
      </c>
      <c r="B1375">
        <v>8</v>
      </c>
      <c r="C1375" t="s">
        <v>170</v>
      </c>
      <c r="D1375" t="s">
        <v>160</v>
      </c>
      <c r="E1375">
        <f>SUMIFS('Nacional · base'!$J$7:$J$1068,'Nacional · base'!$A$7:$A$1068,A1375,'Nacional · base'!$B$7:$B$1068,B1375,'Nacional · base'!$C$7:$C$1068,C1375)</f>
        <v>1675.6</v>
      </c>
      <c r="F1375">
        <f>SUMIFS('Nacional · base'!$K$7:$K$1068,'Nacional · base'!$A$7:$A$1068,A1375,'Nacional · base'!$B$7:$B$1068,B1375,'Nacional · base'!$C$7:$C$1068,C1375)</f>
        <v>2.21875</v>
      </c>
      <c r="G1375">
        <f t="shared" si="25"/>
        <v>3</v>
      </c>
      <c r="H1375">
        <f>SUMIFS('Nacional · base'!$G$7:$G$1068,'Nacional · base'!$A$7:$A$1068,A1375,'Nacional · base'!$B$7:$B$1068,B1375,'Nacional · base'!$C$7:$C$1068,C1375)</f>
        <v>4887.0828579639319</v>
      </c>
      <c r="I1375">
        <f>IF(D1375="Canarias",IF(C1375="CABRERA MORALES FRANCISCO",IF(E1375&lt;=2000,'Nacional · supuestos'!$C$34,IF(E1375&lt;=5000,'Nacional · supuestos'!$C$35,'Nacional · supuestos'!$C$36)),IF(E1375&lt;=2000,'Nacional · supuestos'!$B$34,IF(E1375&lt;=5000,'Nacional · supuestos'!$B$35,'Nacional · supuestos'!$B$36))),0)</f>
        <v>0</v>
      </c>
      <c r="J1375">
        <f>IF(D1375="Canarias",MAX(E1375*I1375,IF(C1375="CABRERA MORALES FRANCISCO",'Nacional · supuestos'!$C$38,'Nacional · supuestos'!$B$38)),0)</f>
        <v>0</v>
      </c>
      <c r="K1375">
        <f>IF(D1375="Canarias",MAX(E1375*'Nacional · supuestos'!$B$41,'Nacional · supuestos'!$B$42),0)</f>
        <v>0</v>
      </c>
      <c r="L1375">
        <f>IF(D1375="Canarias",E1375*'Nacional · supuestos'!$B$43,0)</f>
        <v>0</v>
      </c>
      <c r="M1375">
        <f>IF(D1375="Canarias",E1375*'Nacional · supuestos'!$B$44,0)</f>
        <v>0</v>
      </c>
      <c r="N1375">
        <f>IF(D1375="Canarias",E1375*'Nacional · supuestos'!$B$45,0)</f>
        <v>0</v>
      </c>
      <c r="O1375">
        <f>IF(D1375="Canarias",'Nacional · supuestos'!$B$46,0)</f>
        <v>0</v>
      </c>
      <c r="P1375">
        <f>IF(D1375="Canarias",MAX(H1375*'Nacional · supuestos'!$B$47,'Nacional · supuestos'!$B$48),0)</f>
        <v>0</v>
      </c>
      <c r="Q1375">
        <f>IF(D1375="Resto nacional",E1375*'Nacional · supuestos'!$B$13*IF(A1375=2027,1+'Nacional · supuestos'!$B$6,1),0)</f>
        <v>163.43448467966576</v>
      </c>
      <c r="R1375">
        <f>IF(D1375="Canarias",SUM(J1375:P1375)*IF(A1375=2027,1+'Nacional · supuestos'!$B$6,1),0)</f>
        <v>0</v>
      </c>
      <c r="S1375">
        <f t="shared" si="26"/>
        <v>163.43448467966576</v>
      </c>
    </row>
    <row r="1376" spans="1:19">
      <c r="A1376">
        <v>2027</v>
      </c>
      <c r="B1376">
        <v>8</v>
      </c>
      <c r="C1376" t="s">
        <v>201</v>
      </c>
      <c r="D1376" t="s">
        <v>160</v>
      </c>
      <c r="E1376">
        <f>SUMIFS('Nacional · base'!$J$7:$J$1068,'Nacional · base'!$A$7:$A$1068,A1376,'Nacional · base'!$B$7:$B$1068,B1376,'Nacional · base'!$C$7:$C$1068,C1376)</f>
        <v>860.54</v>
      </c>
      <c r="F1376">
        <f>SUMIFS('Nacional · base'!$K$7:$K$1068,'Nacional · base'!$A$7:$A$1068,A1376,'Nacional · base'!$B$7:$B$1068,B1376,'Nacional · base'!$C$7:$C$1068,C1376)</f>
        <v>1.2084469696969697</v>
      </c>
      <c r="G1376">
        <f t="shared" si="25"/>
        <v>2</v>
      </c>
      <c r="H1376">
        <f>SUMIFS('Nacional · base'!$G$7:$G$1068,'Nacional · base'!$A$7:$A$1068,A1376,'Nacional · base'!$B$7:$B$1068,B1376,'Nacional · base'!$C$7:$C$1068,C1376)</f>
        <v>4233.8457012731997</v>
      </c>
      <c r="I1376">
        <f>IF(D1376="Canarias",IF(C1376="CABRERA MORALES FRANCISCO",IF(E1376&lt;=2000,'Nacional · supuestos'!$C$34,IF(E1376&lt;=5000,'Nacional · supuestos'!$C$35,'Nacional · supuestos'!$C$36)),IF(E1376&lt;=2000,'Nacional · supuestos'!$B$34,IF(E1376&lt;=5000,'Nacional · supuestos'!$B$35,'Nacional · supuestos'!$B$36))),0)</f>
        <v>0</v>
      </c>
      <c r="J1376">
        <f>IF(D1376="Canarias",MAX(E1376*I1376,IF(C1376="CABRERA MORALES FRANCISCO",'Nacional · supuestos'!$C$38,'Nacional · supuestos'!$B$38)),0)</f>
        <v>0</v>
      </c>
      <c r="K1376">
        <f>IF(D1376="Canarias",MAX(E1376*'Nacional · supuestos'!$B$41,'Nacional · supuestos'!$B$42),0)</f>
        <v>0</v>
      </c>
      <c r="L1376">
        <f>IF(D1376="Canarias",E1376*'Nacional · supuestos'!$B$43,0)</f>
        <v>0</v>
      </c>
      <c r="M1376">
        <f>IF(D1376="Canarias",E1376*'Nacional · supuestos'!$B$44,0)</f>
        <v>0</v>
      </c>
      <c r="N1376">
        <f>IF(D1376="Canarias",E1376*'Nacional · supuestos'!$B$45,0)</f>
        <v>0</v>
      </c>
      <c r="O1376">
        <f>IF(D1376="Canarias",'Nacional · supuestos'!$B$46,0)</f>
        <v>0</v>
      </c>
      <c r="P1376">
        <f>IF(D1376="Canarias",MAX(H1376*'Nacional · supuestos'!$B$47,'Nacional · supuestos'!$B$48),0)</f>
        <v>0</v>
      </c>
      <c r="Q1376">
        <f>IF(D1376="Resto nacional",E1376*'Nacional · supuestos'!$B$13*IF(A1376=2027,1+'Nacional · supuestos'!$B$6,1),0)</f>
        <v>83.935253906803268</v>
      </c>
      <c r="R1376">
        <f>IF(D1376="Canarias",SUM(J1376:P1376)*IF(A1376=2027,1+'Nacional · supuestos'!$B$6,1),0)</f>
        <v>0</v>
      </c>
      <c r="S1376">
        <f t="shared" si="26"/>
        <v>83.935253906803268</v>
      </c>
    </row>
    <row r="1377" spans="1:19">
      <c r="A1377">
        <v>2027</v>
      </c>
      <c r="B1377">
        <v>8</v>
      </c>
      <c r="C1377" t="s">
        <v>216</v>
      </c>
      <c r="D1377" t="s">
        <v>160</v>
      </c>
      <c r="E1377">
        <f>SUMIFS('Nacional · base'!$J$7:$J$1068,'Nacional · base'!$A$7:$A$1068,A1377,'Nacional · base'!$B$7:$B$1068,B1377,'Nacional · base'!$C$7:$C$1068,C1377)</f>
        <v>6982.7999999999993</v>
      </c>
      <c r="F1377">
        <f>SUMIFS('Nacional · base'!$K$7:$K$1068,'Nacional · base'!$A$7:$A$1068,A1377,'Nacional · base'!$B$7:$B$1068,B1377,'Nacional · base'!$C$7:$C$1068,C1377)</f>
        <v>9.7316666666666656</v>
      </c>
      <c r="G1377">
        <f t="shared" si="25"/>
        <v>10</v>
      </c>
      <c r="H1377">
        <f>SUMIFS('Nacional · base'!$G$7:$G$1068,'Nacional · base'!$A$7:$A$1068,A1377,'Nacional · base'!$B$7:$B$1068,B1377,'Nacional · base'!$C$7:$C$1068,C1377)</f>
        <v>24696.112912543154</v>
      </c>
      <c r="I1377">
        <f>IF(D1377="Canarias",IF(C1377="CABRERA MORALES FRANCISCO",IF(E1377&lt;=2000,'Nacional · supuestos'!$C$34,IF(E1377&lt;=5000,'Nacional · supuestos'!$C$35,'Nacional · supuestos'!$C$36)),IF(E1377&lt;=2000,'Nacional · supuestos'!$B$34,IF(E1377&lt;=5000,'Nacional · supuestos'!$B$35,'Nacional · supuestos'!$B$36))),0)</f>
        <v>0</v>
      </c>
      <c r="J1377">
        <f>IF(D1377="Canarias",MAX(E1377*I1377,IF(C1377="CABRERA MORALES FRANCISCO",'Nacional · supuestos'!$C$38,'Nacional · supuestos'!$B$38)),0)</f>
        <v>0</v>
      </c>
      <c r="K1377">
        <f>IF(D1377="Canarias",MAX(E1377*'Nacional · supuestos'!$B$41,'Nacional · supuestos'!$B$42),0)</f>
        <v>0</v>
      </c>
      <c r="L1377">
        <f>IF(D1377="Canarias",E1377*'Nacional · supuestos'!$B$43,0)</f>
        <v>0</v>
      </c>
      <c r="M1377">
        <f>IF(D1377="Canarias",E1377*'Nacional · supuestos'!$B$44,0)</f>
        <v>0</v>
      </c>
      <c r="N1377">
        <f>IF(D1377="Canarias",E1377*'Nacional · supuestos'!$B$45,0)</f>
        <v>0</v>
      </c>
      <c r="O1377">
        <f>IF(D1377="Canarias",'Nacional · supuestos'!$B$46,0)</f>
        <v>0</v>
      </c>
      <c r="P1377">
        <f>IF(D1377="Canarias",MAX(H1377*'Nacional · supuestos'!$B$47,'Nacional · supuestos'!$B$48),0)</f>
        <v>0</v>
      </c>
      <c r="Q1377">
        <f>IF(D1377="Resto nacional",E1377*'Nacional · supuestos'!$B$13*IF(A1377=2027,1+'Nacional · supuestos'!$B$6,1),0)</f>
        <v>681.08756243803407</v>
      </c>
      <c r="R1377">
        <f>IF(D1377="Canarias",SUM(J1377:P1377)*IF(A1377=2027,1+'Nacional · supuestos'!$B$6,1),0)</f>
        <v>0</v>
      </c>
      <c r="S1377">
        <f t="shared" si="26"/>
        <v>681.08756243803407</v>
      </c>
    </row>
    <row r="1378" spans="1:19">
      <c r="A1378">
        <v>2027</v>
      </c>
      <c r="B1378">
        <v>8</v>
      </c>
      <c r="C1378" t="s">
        <v>171</v>
      </c>
      <c r="D1378" t="s">
        <v>164</v>
      </c>
      <c r="E1378">
        <f>SUMIFS('Nacional · base'!$J$7:$J$1068,'Nacional · base'!$A$7:$A$1068,A1378,'Nacional · base'!$B$7:$B$1068,B1378,'Nacional · base'!$C$7:$C$1068,C1378)</f>
        <v>24208.02</v>
      </c>
      <c r="F1378">
        <f>SUMIFS('Nacional · base'!$K$7:$K$1068,'Nacional · base'!$A$7:$A$1068,A1378,'Nacional · base'!$B$7:$B$1068,B1378,'Nacional · base'!$C$7:$C$1068,C1378)</f>
        <v>32.294545454545457</v>
      </c>
      <c r="G1378">
        <f t="shared" si="25"/>
        <v>33</v>
      </c>
      <c r="H1378">
        <f>SUMIFS('Nacional · base'!$G$7:$G$1068,'Nacional · base'!$A$7:$A$1068,A1378,'Nacional · base'!$B$7:$B$1068,B1378,'Nacional · base'!$C$7:$C$1068,C1378)</f>
        <v>68337.573121448819</v>
      </c>
      <c r="I1378">
        <f>IF(D1378="Canarias",IF(C1378="CABRERA MORALES FRANCISCO",IF(E1378&lt;=2000,'Nacional · supuestos'!$C$34,IF(E1378&lt;=5000,'Nacional · supuestos'!$C$35,'Nacional · supuestos'!$C$36)),IF(E1378&lt;=2000,'Nacional · supuestos'!$B$34,IF(E1378&lt;=5000,'Nacional · supuestos'!$B$35,'Nacional · supuestos'!$B$36))),0)</f>
        <v>0.19800000000000001</v>
      </c>
      <c r="J1378">
        <f>IF(D1378="Canarias",MAX(E1378*I1378,IF(C1378="CABRERA MORALES FRANCISCO",'Nacional · supuestos'!$C$38,'Nacional · supuestos'!$B$38)),0)</f>
        <v>4793.1879600000002</v>
      </c>
      <c r="K1378">
        <f>IF(D1378="Canarias",MAX(E1378*'Nacional · supuestos'!$B$41,'Nacional · supuestos'!$B$42),0)</f>
        <v>871.48871999999994</v>
      </c>
      <c r="L1378">
        <f>IF(D1378="Canarias",E1378*'Nacional · supuestos'!$B$43,0)</f>
        <v>290.49624</v>
      </c>
      <c r="M1378">
        <f>IF(D1378="Canarias",E1378*'Nacional · supuestos'!$B$44,0)</f>
        <v>435.74435999999997</v>
      </c>
      <c r="N1378">
        <f>IF(D1378="Canarias",E1378*'Nacional · supuestos'!$B$45,0)</f>
        <v>532.57643999999993</v>
      </c>
      <c r="O1378">
        <f>IF(D1378="Canarias",'Nacional · supuestos'!$B$46,0)</f>
        <v>15</v>
      </c>
      <c r="P1378">
        <f>IF(D1378="Canarias",MAX(H1378*'Nacional · supuestos'!$B$47,'Nacional · supuestos'!$B$48),0)</f>
        <v>307.51907904651966</v>
      </c>
      <c r="Q1378">
        <f>IF(D1378="Resto nacional",E1378*'Nacional · supuestos'!$B$13*IF(A1378=2027,1+'Nacional · supuestos'!$B$6,1),0)</f>
        <v>0</v>
      </c>
      <c r="R1378">
        <f>IF(D1378="Canarias",SUM(J1378:P1378)*IF(A1378=2027,1+'Nacional · supuestos'!$B$6,1),0)</f>
        <v>7970.6140789511728</v>
      </c>
      <c r="S1378">
        <f t="shared" si="26"/>
        <v>7970.6140789511728</v>
      </c>
    </row>
    <row r="1379" spans="1:19">
      <c r="A1379">
        <v>2027</v>
      </c>
      <c r="B1379">
        <v>8</v>
      </c>
      <c r="C1379" t="s">
        <v>172</v>
      </c>
      <c r="D1379" t="s">
        <v>160</v>
      </c>
      <c r="E1379">
        <f>SUMIFS('Nacional · base'!$J$7:$J$1068,'Nacional · base'!$A$7:$A$1068,A1379,'Nacional · base'!$B$7:$B$1068,B1379,'Nacional · base'!$C$7:$C$1068,C1379)</f>
        <v>11311.96</v>
      </c>
      <c r="F1379">
        <f>SUMIFS('Nacional · base'!$K$7:$K$1068,'Nacional · base'!$A$7:$A$1068,A1379,'Nacional · base'!$B$7:$B$1068,B1379,'Nacional · base'!$C$7:$C$1068,C1379)</f>
        <v>15.072727272727274</v>
      </c>
      <c r="G1379">
        <f t="shared" si="25"/>
        <v>16</v>
      </c>
      <c r="H1379">
        <f>SUMIFS('Nacional · base'!$G$7:$G$1068,'Nacional · base'!$A$7:$A$1068,A1379,'Nacional · base'!$B$7:$B$1068,B1379,'Nacional · base'!$C$7:$C$1068,C1379)</f>
        <v>39693.945194061547</v>
      </c>
      <c r="I1379">
        <f>IF(D1379="Canarias",IF(C1379="CABRERA MORALES FRANCISCO",IF(E1379&lt;=2000,'Nacional · supuestos'!$C$34,IF(E1379&lt;=5000,'Nacional · supuestos'!$C$35,'Nacional · supuestos'!$C$36)),IF(E1379&lt;=2000,'Nacional · supuestos'!$B$34,IF(E1379&lt;=5000,'Nacional · supuestos'!$B$35,'Nacional · supuestos'!$B$36))),0)</f>
        <v>0</v>
      </c>
      <c r="J1379">
        <f>IF(D1379="Canarias",MAX(E1379*I1379,IF(C1379="CABRERA MORALES FRANCISCO",'Nacional · supuestos'!$C$38,'Nacional · supuestos'!$B$38)),0)</f>
        <v>0</v>
      </c>
      <c r="K1379">
        <f>IF(D1379="Canarias",MAX(E1379*'Nacional · supuestos'!$B$41,'Nacional · supuestos'!$B$42),0)</f>
        <v>0</v>
      </c>
      <c r="L1379">
        <f>IF(D1379="Canarias",E1379*'Nacional · supuestos'!$B$43,0)</f>
        <v>0</v>
      </c>
      <c r="M1379">
        <f>IF(D1379="Canarias",E1379*'Nacional · supuestos'!$B$44,0)</f>
        <v>0</v>
      </c>
      <c r="N1379">
        <f>IF(D1379="Canarias",E1379*'Nacional · supuestos'!$B$45,0)</f>
        <v>0</v>
      </c>
      <c r="O1379">
        <f>IF(D1379="Canarias",'Nacional · supuestos'!$B$46,0)</f>
        <v>0</v>
      </c>
      <c r="P1379">
        <f>IF(D1379="Canarias",MAX(H1379*'Nacional · supuestos'!$B$47,'Nacional · supuestos'!$B$48),0)</f>
        <v>0</v>
      </c>
      <c r="Q1379">
        <f>IF(D1379="Resto nacional",E1379*'Nacional · supuestos'!$B$13*IF(A1379=2027,1+'Nacional · supuestos'!$B$6,1),0)</f>
        <v>1103.3446844813748</v>
      </c>
      <c r="R1379">
        <f>IF(D1379="Canarias",SUM(J1379:P1379)*IF(A1379=2027,1+'Nacional · supuestos'!$B$6,1),0)</f>
        <v>0</v>
      </c>
      <c r="S1379">
        <f t="shared" si="26"/>
        <v>1103.3446844813748</v>
      </c>
    </row>
    <row r="1380" spans="1:19">
      <c r="A1380">
        <v>2027</v>
      </c>
      <c r="B1380">
        <v>8</v>
      </c>
      <c r="C1380" t="s">
        <v>173</v>
      </c>
      <c r="D1380" t="s">
        <v>160</v>
      </c>
      <c r="E1380">
        <f>SUMIFS('Nacional · base'!$J$7:$J$1068,'Nacional · base'!$A$7:$A$1068,A1380,'Nacional · base'!$B$7:$B$1068,B1380,'Nacional · base'!$C$7:$C$1068,C1380)</f>
        <v>1014.8</v>
      </c>
      <c r="F1380">
        <f>SUMIFS('Nacional · base'!$K$7:$K$1068,'Nacional · base'!$A$7:$A$1068,A1380,'Nacional · base'!$B$7:$B$1068,B1380,'Nacional · base'!$C$7:$C$1068,C1380)</f>
        <v>1.34375</v>
      </c>
      <c r="G1380">
        <f t="shared" si="25"/>
        <v>2</v>
      </c>
      <c r="H1380">
        <f>SUMIFS('Nacional · base'!$G$7:$G$1068,'Nacional · base'!$A$7:$A$1068,A1380,'Nacional · base'!$B$7:$B$1068,B1380,'Nacional · base'!$C$7:$C$1068,C1380)</f>
        <v>3128.5919481897777</v>
      </c>
      <c r="I1380">
        <f>IF(D1380="Canarias",IF(C1380="CABRERA MORALES FRANCISCO",IF(E1380&lt;=2000,'Nacional · supuestos'!$C$34,IF(E1380&lt;=5000,'Nacional · supuestos'!$C$35,'Nacional · supuestos'!$C$36)),IF(E1380&lt;=2000,'Nacional · supuestos'!$B$34,IF(E1380&lt;=5000,'Nacional · supuestos'!$B$35,'Nacional · supuestos'!$B$36))),0)</f>
        <v>0</v>
      </c>
      <c r="J1380">
        <f>IF(D1380="Canarias",MAX(E1380*I1380,IF(C1380="CABRERA MORALES FRANCISCO",'Nacional · supuestos'!$C$38,'Nacional · supuestos'!$B$38)),0)</f>
        <v>0</v>
      </c>
      <c r="K1380">
        <f>IF(D1380="Canarias",MAX(E1380*'Nacional · supuestos'!$B$41,'Nacional · supuestos'!$B$42),0)</f>
        <v>0</v>
      </c>
      <c r="L1380">
        <f>IF(D1380="Canarias",E1380*'Nacional · supuestos'!$B$43,0)</f>
        <v>0</v>
      </c>
      <c r="M1380">
        <f>IF(D1380="Canarias",E1380*'Nacional · supuestos'!$B$44,0)</f>
        <v>0</v>
      </c>
      <c r="N1380">
        <f>IF(D1380="Canarias",E1380*'Nacional · supuestos'!$B$45,0)</f>
        <v>0</v>
      </c>
      <c r="O1380">
        <f>IF(D1380="Canarias",'Nacional · supuestos'!$B$46,0)</f>
        <v>0</v>
      </c>
      <c r="P1380">
        <f>IF(D1380="Canarias",MAX(H1380*'Nacional · supuestos'!$B$47,'Nacional · supuestos'!$B$48),0)</f>
        <v>0</v>
      </c>
      <c r="Q1380">
        <f>IF(D1380="Resto nacional",E1380*'Nacional · supuestos'!$B$13*IF(A1380=2027,1+'Nacional · supuestos'!$B$6,1),0)</f>
        <v>98.981448467966572</v>
      </c>
      <c r="R1380">
        <f>IF(D1380="Canarias",SUM(J1380:P1380)*IF(A1380=2027,1+'Nacional · supuestos'!$B$6,1),0)</f>
        <v>0</v>
      </c>
      <c r="S1380">
        <f t="shared" si="26"/>
        <v>98.981448467966572</v>
      </c>
    </row>
    <row r="1381" spans="1:19">
      <c r="A1381">
        <v>2027</v>
      </c>
      <c r="B1381">
        <v>8</v>
      </c>
      <c r="C1381" t="s">
        <v>198</v>
      </c>
      <c r="D1381" t="s">
        <v>160</v>
      </c>
      <c r="E1381">
        <f>SUMIFS('Nacional · base'!$J$7:$J$1068,'Nacional · base'!$A$7:$A$1068,A1381,'Nacional · base'!$B$7:$B$1068,B1381,'Nacional · base'!$C$7:$C$1068,C1381)</f>
        <v>300.89999999999998</v>
      </c>
      <c r="F1381">
        <f>SUMIFS('Nacional · base'!$K$7:$K$1068,'Nacional · base'!$A$7:$A$1068,A1381,'Nacional · base'!$B$7:$B$1068,B1381,'Nacional · base'!$C$7:$C$1068,C1381)</f>
        <v>0.42499999999999999</v>
      </c>
      <c r="G1381">
        <f t="shared" si="25"/>
        <v>1</v>
      </c>
      <c r="H1381">
        <f>SUMIFS('Nacional · base'!$G$7:$G$1068,'Nacional · base'!$A$7:$A$1068,A1381,'Nacional · base'!$B$7:$B$1068,B1381,'Nacional · base'!$C$7:$C$1068,C1381)</f>
        <v>1105.6498565485761</v>
      </c>
      <c r="I1381">
        <f>IF(D1381="Canarias",IF(C1381="CABRERA MORALES FRANCISCO",IF(E1381&lt;=2000,'Nacional · supuestos'!$C$34,IF(E1381&lt;=5000,'Nacional · supuestos'!$C$35,'Nacional · supuestos'!$C$36)),IF(E1381&lt;=2000,'Nacional · supuestos'!$B$34,IF(E1381&lt;=5000,'Nacional · supuestos'!$B$35,'Nacional · supuestos'!$B$36))),0)</f>
        <v>0</v>
      </c>
      <c r="J1381">
        <f>IF(D1381="Canarias",MAX(E1381*I1381,IF(C1381="CABRERA MORALES FRANCISCO",'Nacional · supuestos'!$C$38,'Nacional · supuestos'!$B$38)),0)</f>
        <v>0</v>
      </c>
      <c r="K1381">
        <f>IF(D1381="Canarias",MAX(E1381*'Nacional · supuestos'!$B$41,'Nacional · supuestos'!$B$42),0)</f>
        <v>0</v>
      </c>
      <c r="L1381">
        <f>IF(D1381="Canarias",E1381*'Nacional · supuestos'!$B$43,0)</f>
        <v>0</v>
      </c>
      <c r="M1381">
        <f>IF(D1381="Canarias",E1381*'Nacional · supuestos'!$B$44,0)</f>
        <v>0</v>
      </c>
      <c r="N1381">
        <f>IF(D1381="Canarias",E1381*'Nacional · supuestos'!$B$45,0)</f>
        <v>0</v>
      </c>
      <c r="O1381">
        <f>IF(D1381="Canarias",'Nacional · supuestos'!$B$46,0)</f>
        <v>0</v>
      </c>
      <c r="P1381">
        <f>IF(D1381="Canarias",MAX(H1381*'Nacional · supuestos'!$B$47,'Nacional · supuestos'!$B$48),0)</f>
        <v>0</v>
      </c>
      <c r="Q1381">
        <f>IF(D1381="Resto nacional",E1381*'Nacional · supuestos'!$B$13*IF(A1381=2027,1+'Nacional · supuestos'!$B$6,1),0)</f>
        <v>29.349150417827296</v>
      </c>
      <c r="R1381">
        <f>IF(D1381="Canarias",SUM(J1381:P1381)*IF(A1381=2027,1+'Nacional · supuestos'!$B$6,1),0)</f>
        <v>0</v>
      </c>
      <c r="S1381">
        <f t="shared" si="26"/>
        <v>29.349150417827296</v>
      </c>
    </row>
    <row r="1382" spans="1:19">
      <c r="A1382">
        <v>2027</v>
      </c>
      <c r="B1382">
        <v>8</v>
      </c>
      <c r="C1382" t="s">
        <v>217</v>
      </c>
      <c r="D1382" t="s">
        <v>160</v>
      </c>
      <c r="E1382">
        <f>SUMIFS('Nacional · base'!$J$7:$J$1068,'Nacional · base'!$A$7:$A$1068,A1382,'Nacional · base'!$B$7:$B$1068,B1382,'Nacional · base'!$C$7:$C$1068,C1382)</f>
        <v>430.4</v>
      </c>
      <c r="F1382">
        <f>SUMIFS('Nacional · base'!$K$7:$K$1068,'Nacional · base'!$A$7:$A$1068,A1382,'Nacional · base'!$B$7:$B$1068,B1382,'Nacional · base'!$C$7:$C$1068,C1382)</f>
        <v>0.56359848484848474</v>
      </c>
      <c r="G1382">
        <f t="shared" si="25"/>
        <v>1</v>
      </c>
      <c r="H1382">
        <f>SUMIFS('Nacional · base'!$G$7:$G$1068,'Nacional · base'!$A$7:$A$1068,A1382,'Nacional · base'!$B$7:$B$1068,B1382,'Nacional · base'!$C$7:$C$1068,C1382)</f>
        <v>1170.79845279095</v>
      </c>
      <c r="I1382">
        <f>IF(D1382="Canarias",IF(C1382="CABRERA MORALES FRANCISCO",IF(E1382&lt;=2000,'Nacional · supuestos'!$C$34,IF(E1382&lt;=5000,'Nacional · supuestos'!$C$35,'Nacional · supuestos'!$C$36)),IF(E1382&lt;=2000,'Nacional · supuestos'!$B$34,IF(E1382&lt;=5000,'Nacional · supuestos'!$B$35,'Nacional · supuestos'!$B$36))),0)</f>
        <v>0</v>
      </c>
      <c r="J1382">
        <f>IF(D1382="Canarias",MAX(E1382*I1382,IF(C1382="CABRERA MORALES FRANCISCO",'Nacional · supuestos'!$C$38,'Nacional · supuestos'!$B$38)),0)</f>
        <v>0</v>
      </c>
      <c r="K1382">
        <f>IF(D1382="Canarias",MAX(E1382*'Nacional · supuestos'!$B$41,'Nacional · supuestos'!$B$42),0)</f>
        <v>0</v>
      </c>
      <c r="L1382">
        <f>IF(D1382="Canarias",E1382*'Nacional · supuestos'!$B$43,0)</f>
        <v>0</v>
      </c>
      <c r="M1382">
        <f>IF(D1382="Canarias",E1382*'Nacional · supuestos'!$B$44,0)</f>
        <v>0</v>
      </c>
      <c r="N1382">
        <f>IF(D1382="Canarias",E1382*'Nacional · supuestos'!$B$45,0)</f>
        <v>0</v>
      </c>
      <c r="O1382">
        <f>IF(D1382="Canarias",'Nacional · supuestos'!$B$46,0)</f>
        <v>0</v>
      </c>
      <c r="P1382">
        <f>IF(D1382="Canarias",MAX(H1382*'Nacional · supuestos'!$B$47,'Nacional · supuestos'!$B$48),0)</f>
        <v>0</v>
      </c>
      <c r="Q1382">
        <f>IF(D1382="Resto nacional",E1382*'Nacional · supuestos'!$B$13*IF(A1382=2027,1+'Nacional · supuestos'!$B$6,1),0)</f>
        <v>41.980306878806473</v>
      </c>
      <c r="R1382">
        <f>IF(D1382="Canarias",SUM(J1382:P1382)*IF(A1382=2027,1+'Nacional · supuestos'!$B$6,1),0)</f>
        <v>0</v>
      </c>
      <c r="S1382">
        <f t="shared" si="26"/>
        <v>41.980306878806473</v>
      </c>
    </row>
    <row r="1383" spans="1:19">
      <c r="A1383">
        <v>2027</v>
      </c>
      <c r="B1383">
        <v>8</v>
      </c>
      <c r="C1383" t="s">
        <v>174</v>
      </c>
      <c r="D1383" t="s">
        <v>160</v>
      </c>
      <c r="E1383">
        <f>SUMIFS('Nacional · base'!$J$7:$J$1068,'Nacional · base'!$A$7:$A$1068,A1383,'Nacional · base'!$B$7:$B$1068,B1383,'Nacional · base'!$C$7:$C$1068,C1383)</f>
        <v>2572.4</v>
      </c>
      <c r="F1383">
        <f>SUMIFS('Nacional · base'!$K$7:$K$1068,'Nacional · base'!$A$7:$A$1068,A1383,'Nacional · base'!$B$7:$B$1068,B1383,'Nacional · base'!$C$7:$C$1068,C1383)</f>
        <v>3.40625</v>
      </c>
      <c r="G1383">
        <f t="shared" si="25"/>
        <v>4</v>
      </c>
      <c r="H1383">
        <f>SUMIFS('Nacional · base'!$G$7:$G$1068,'Nacional · base'!$A$7:$A$1068,A1383,'Nacional · base'!$B$7:$B$1068,B1383,'Nacional · base'!$C$7:$C$1068,C1383)</f>
        <v>5914.4501612676722</v>
      </c>
      <c r="I1383">
        <f>IF(D1383="Canarias",IF(C1383="CABRERA MORALES FRANCISCO",IF(E1383&lt;=2000,'Nacional · supuestos'!$C$34,IF(E1383&lt;=5000,'Nacional · supuestos'!$C$35,'Nacional · supuestos'!$C$36)),IF(E1383&lt;=2000,'Nacional · supuestos'!$B$34,IF(E1383&lt;=5000,'Nacional · supuestos'!$B$35,'Nacional · supuestos'!$B$36))),0)</f>
        <v>0</v>
      </c>
      <c r="J1383">
        <f>IF(D1383="Canarias",MAX(E1383*I1383,IF(C1383="CABRERA MORALES FRANCISCO",'Nacional · supuestos'!$C$38,'Nacional · supuestos'!$B$38)),0)</f>
        <v>0</v>
      </c>
      <c r="K1383">
        <f>IF(D1383="Canarias",MAX(E1383*'Nacional · supuestos'!$B$41,'Nacional · supuestos'!$B$42),0)</f>
        <v>0</v>
      </c>
      <c r="L1383">
        <f>IF(D1383="Canarias",E1383*'Nacional · supuestos'!$B$43,0)</f>
        <v>0</v>
      </c>
      <c r="M1383">
        <f>IF(D1383="Canarias",E1383*'Nacional · supuestos'!$B$44,0)</f>
        <v>0</v>
      </c>
      <c r="N1383">
        <f>IF(D1383="Canarias",E1383*'Nacional · supuestos'!$B$45,0)</f>
        <v>0</v>
      </c>
      <c r="O1383">
        <f>IF(D1383="Canarias",'Nacional · supuestos'!$B$46,0)</f>
        <v>0</v>
      </c>
      <c r="P1383">
        <f>IF(D1383="Canarias",MAX(H1383*'Nacional · supuestos'!$B$47,'Nacional · supuestos'!$B$48),0)</f>
        <v>0</v>
      </c>
      <c r="Q1383">
        <f>IF(D1383="Resto nacional",E1383*'Nacional · supuestos'!$B$13*IF(A1383=2027,1+'Nacional · supuestos'!$B$6,1),0)</f>
        <v>250.90646239554317</v>
      </c>
      <c r="R1383">
        <f>IF(D1383="Canarias",SUM(J1383:P1383)*IF(A1383=2027,1+'Nacional · supuestos'!$B$6,1),0)</f>
        <v>0</v>
      </c>
      <c r="S1383">
        <f t="shared" si="26"/>
        <v>250.90646239554317</v>
      </c>
    </row>
    <row r="1384" spans="1:19">
      <c r="A1384">
        <v>2027</v>
      </c>
      <c r="B1384">
        <v>8</v>
      </c>
      <c r="C1384" t="s">
        <v>175</v>
      </c>
      <c r="D1384" t="s">
        <v>160</v>
      </c>
      <c r="E1384">
        <f>SUMIFS('Nacional · base'!$J$7:$J$1068,'Nacional · base'!$A$7:$A$1068,A1384,'Nacional · base'!$B$7:$B$1068,B1384,'Nacional · base'!$C$7:$C$1068,C1384)</f>
        <v>4131.22</v>
      </c>
      <c r="F1384">
        <f>SUMIFS('Nacional · base'!$K$7:$K$1068,'Nacional · base'!$A$7:$A$1068,A1384,'Nacional · base'!$B$7:$B$1068,B1384,'Nacional · base'!$C$7:$C$1068,C1384)</f>
        <v>5.717234848484849</v>
      </c>
      <c r="G1384">
        <f t="shared" si="25"/>
        <v>6</v>
      </c>
      <c r="H1384">
        <f>SUMIFS('Nacional · base'!$G$7:$G$1068,'Nacional · base'!$A$7:$A$1068,A1384,'Nacional · base'!$B$7:$B$1068,B1384,'Nacional · base'!$C$7:$C$1068,C1384)</f>
        <v>25183.528650190099</v>
      </c>
      <c r="I1384">
        <f>IF(D1384="Canarias",IF(C1384="CABRERA MORALES FRANCISCO",IF(E1384&lt;=2000,'Nacional · supuestos'!$C$34,IF(E1384&lt;=5000,'Nacional · supuestos'!$C$35,'Nacional · supuestos'!$C$36)),IF(E1384&lt;=2000,'Nacional · supuestos'!$B$34,IF(E1384&lt;=5000,'Nacional · supuestos'!$B$35,'Nacional · supuestos'!$B$36))),0)</f>
        <v>0</v>
      </c>
      <c r="J1384">
        <f>IF(D1384="Canarias",MAX(E1384*I1384,IF(C1384="CABRERA MORALES FRANCISCO",'Nacional · supuestos'!$C$38,'Nacional · supuestos'!$B$38)),0)</f>
        <v>0</v>
      </c>
      <c r="K1384">
        <f>IF(D1384="Canarias",MAX(E1384*'Nacional · supuestos'!$B$41,'Nacional · supuestos'!$B$42),0)</f>
        <v>0</v>
      </c>
      <c r="L1384">
        <f>IF(D1384="Canarias",E1384*'Nacional · supuestos'!$B$43,0)</f>
        <v>0</v>
      </c>
      <c r="M1384">
        <f>IF(D1384="Canarias",E1384*'Nacional · supuestos'!$B$44,0)</f>
        <v>0</v>
      </c>
      <c r="N1384">
        <f>IF(D1384="Canarias",E1384*'Nacional · supuestos'!$B$45,0)</f>
        <v>0</v>
      </c>
      <c r="O1384">
        <f>IF(D1384="Canarias",'Nacional · supuestos'!$B$46,0)</f>
        <v>0</v>
      </c>
      <c r="P1384">
        <f>IF(D1384="Canarias",MAX(H1384*'Nacional · supuestos'!$B$47,'Nacional · supuestos'!$B$48),0)</f>
        <v>0</v>
      </c>
      <c r="Q1384">
        <f>IF(D1384="Resto nacional",E1384*'Nacional · supuestos'!$B$13*IF(A1384=2027,1+'Nacional · supuestos'!$B$6,1),0)</f>
        <v>402.95047254614991</v>
      </c>
      <c r="R1384">
        <f>IF(D1384="Canarias",SUM(J1384:P1384)*IF(A1384=2027,1+'Nacional · supuestos'!$B$6,1),0)</f>
        <v>0</v>
      </c>
      <c r="S1384">
        <f t="shared" si="26"/>
        <v>402.95047254614991</v>
      </c>
    </row>
    <row r="1385" spans="1:19">
      <c r="A1385">
        <v>2027</v>
      </c>
      <c r="B1385">
        <v>8</v>
      </c>
      <c r="C1385" t="s">
        <v>218</v>
      </c>
      <c r="D1385" t="s">
        <v>160</v>
      </c>
      <c r="E1385">
        <f>SUMIFS('Nacional · base'!$J$7:$J$1068,'Nacional · base'!$A$7:$A$1068,A1385,'Nacional · base'!$B$7:$B$1068,B1385,'Nacional · base'!$C$7:$C$1068,C1385)</f>
        <v>3832.4</v>
      </c>
      <c r="F1385">
        <f>SUMIFS('Nacional · base'!$K$7:$K$1068,'Nacional · base'!$A$7:$A$1068,A1385,'Nacional · base'!$B$7:$B$1068,B1385,'Nacional · base'!$C$7:$C$1068,C1385)</f>
        <v>3.3812500000000001</v>
      </c>
      <c r="G1385">
        <f t="shared" si="25"/>
        <v>4</v>
      </c>
      <c r="H1385">
        <f>SUMIFS('Nacional · base'!$G$7:$G$1068,'Nacional · base'!$A$7:$A$1068,A1385,'Nacional · base'!$B$7:$B$1068,B1385,'Nacional · base'!$C$7:$C$1068,C1385)</f>
        <v>11898.739617707171</v>
      </c>
      <c r="I1385">
        <f>IF(D1385="Canarias",IF(C1385="CABRERA MORALES FRANCISCO",IF(E1385&lt;=2000,'Nacional · supuestos'!$C$34,IF(E1385&lt;=5000,'Nacional · supuestos'!$C$35,'Nacional · supuestos'!$C$36)),IF(E1385&lt;=2000,'Nacional · supuestos'!$B$34,IF(E1385&lt;=5000,'Nacional · supuestos'!$B$35,'Nacional · supuestos'!$B$36))),0)</f>
        <v>0</v>
      </c>
      <c r="J1385">
        <f>IF(D1385="Canarias",MAX(E1385*I1385,IF(C1385="CABRERA MORALES FRANCISCO",'Nacional · supuestos'!$C$38,'Nacional · supuestos'!$B$38)),0)</f>
        <v>0</v>
      </c>
      <c r="K1385">
        <f>IF(D1385="Canarias",MAX(E1385*'Nacional · supuestos'!$B$41,'Nacional · supuestos'!$B$42),0)</f>
        <v>0</v>
      </c>
      <c r="L1385">
        <f>IF(D1385="Canarias",E1385*'Nacional · supuestos'!$B$43,0)</f>
        <v>0</v>
      </c>
      <c r="M1385">
        <f>IF(D1385="Canarias",E1385*'Nacional · supuestos'!$B$44,0)</f>
        <v>0</v>
      </c>
      <c r="N1385">
        <f>IF(D1385="Canarias",E1385*'Nacional · supuestos'!$B$45,0)</f>
        <v>0</v>
      </c>
      <c r="O1385">
        <f>IF(D1385="Canarias",'Nacional · supuestos'!$B$46,0)</f>
        <v>0</v>
      </c>
      <c r="P1385">
        <f>IF(D1385="Canarias",MAX(H1385*'Nacional · supuestos'!$B$47,'Nacional · supuestos'!$B$48),0)</f>
        <v>0</v>
      </c>
      <c r="Q1385">
        <f>IF(D1385="Resto nacional",E1385*'Nacional · supuestos'!$B$13*IF(A1385=2027,1+'Nacional · supuestos'!$B$6,1),0)</f>
        <v>373.80420093480006</v>
      </c>
      <c r="R1385">
        <f>IF(D1385="Canarias",SUM(J1385:P1385)*IF(A1385=2027,1+'Nacional · supuestos'!$B$6,1),0)</f>
        <v>0</v>
      </c>
      <c r="S1385">
        <f t="shared" si="26"/>
        <v>373.80420093480006</v>
      </c>
    </row>
    <row r="1386" spans="1:19">
      <c r="A1386">
        <v>2027</v>
      </c>
      <c r="B1386">
        <v>8</v>
      </c>
      <c r="C1386" t="s">
        <v>182</v>
      </c>
      <c r="D1386" t="s">
        <v>160</v>
      </c>
      <c r="E1386">
        <f>SUMIFS('Nacional · base'!$J$7:$J$1068,'Nacional · base'!$A$7:$A$1068,A1386,'Nacional · base'!$B$7:$B$1068,B1386,'Nacional · base'!$C$7:$C$1068,C1386)</f>
        <v>73191.399999999994</v>
      </c>
      <c r="F1386">
        <f>SUMIFS('Nacional · base'!$K$7:$K$1068,'Nacional · base'!$A$7:$A$1068,A1386,'Nacional · base'!$B$7:$B$1068,B1386,'Nacional · base'!$C$7:$C$1068,C1386)</f>
        <v>69.504166666666663</v>
      </c>
      <c r="G1386">
        <f t="shared" si="25"/>
        <v>70</v>
      </c>
      <c r="H1386">
        <f>SUMIFS('Nacional · base'!$G$7:$G$1068,'Nacional · base'!$A$7:$A$1068,A1386,'Nacional · base'!$B$7:$B$1068,B1386,'Nacional · base'!$C$7:$C$1068,C1386)</f>
        <v>121704.61382914869</v>
      </c>
      <c r="I1386">
        <f>IF(D1386="Canarias",IF(C1386="CABRERA MORALES FRANCISCO",IF(E1386&lt;=2000,'Nacional · supuestos'!$C$34,IF(E1386&lt;=5000,'Nacional · supuestos'!$C$35,'Nacional · supuestos'!$C$36)),IF(E1386&lt;=2000,'Nacional · supuestos'!$B$34,IF(E1386&lt;=5000,'Nacional · supuestos'!$B$35,'Nacional · supuestos'!$B$36))),0)</f>
        <v>0</v>
      </c>
      <c r="J1386">
        <f>IF(D1386="Canarias",MAX(E1386*I1386,IF(C1386="CABRERA MORALES FRANCISCO",'Nacional · supuestos'!$C$38,'Nacional · supuestos'!$B$38)),0)</f>
        <v>0</v>
      </c>
      <c r="K1386">
        <f>IF(D1386="Canarias",MAX(E1386*'Nacional · supuestos'!$B$41,'Nacional · supuestos'!$B$42),0)</f>
        <v>0</v>
      </c>
      <c r="L1386">
        <f>IF(D1386="Canarias",E1386*'Nacional · supuestos'!$B$43,0)</f>
        <v>0</v>
      </c>
      <c r="M1386">
        <f>IF(D1386="Canarias",E1386*'Nacional · supuestos'!$B$44,0)</f>
        <v>0</v>
      </c>
      <c r="N1386">
        <f>IF(D1386="Canarias",E1386*'Nacional · supuestos'!$B$45,0)</f>
        <v>0</v>
      </c>
      <c r="O1386">
        <f>IF(D1386="Canarias",'Nacional · supuestos'!$B$46,0)</f>
        <v>0</v>
      </c>
      <c r="P1386">
        <f>IF(D1386="Canarias",MAX(H1386*'Nacional · supuestos'!$B$47,'Nacional · supuestos'!$B$48),0)</f>
        <v>0</v>
      </c>
      <c r="Q1386">
        <f>IF(D1386="Resto nacional",E1386*'Nacional · supuestos'!$B$13*IF(A1386=2027,1+'Nacional · supuestos'!$B$6,1),0)</f>
        <v>7138.9345559699732</v>
      </c>
      <c r="R1386">
        <f>IF(D1386="Canarias",SUM(J1386:P1386)*IF(A1386=2027,1+'Nacional · supuestos'!$B$6,1),0)</f>
        <v>0</v>
      </c>
      <c r="S1386">
        <f t="shared" si="26"/>
        <v>7138.9345559699732</v>
      </c>
    </row>
    <row r="1387" spans="1:19">
      <c r="A1387">
        <v>2027</v>
      </c>
      <c r="B1387">
        <v>8</v>
      </c>
      <c r="C1387" t="s">
        <v>176</v>
      </c>
      <c r="D1387" t="s">
        <v>160</v>
      </c>
      <c r="E1387">
        <f>SUMIFS('Nacional · base'!$J$7:$J$1068,'Nacional · base'!$A$7:$A$1068,A1387,'Nacional · base'!$B$7:$B$1068,B1387,'Nacional · base'!$C$7:$C$1068,C1387)</f>
        <v>6421.6</v>
      </c>
      <c r="F1387">
        <f>SUMIFS('Nacional · base'!$K$7:$K$1068,'Nacional · base'!$A$7:$A$1068,A1387,'Nacional · base'!$B$7:$B$1068,B1387,'Nacional · base'!$C$7:$C$1068,C1387)</f>
        <v>7.3992424242424235</v>
      </c>
      <c r="G1387">
        <f t="shared" si="25"/>
        <v>8</v>
      </c>
      <c r="H1387">
        <f>SUMIFS('Nacional · base'!$G$7:$G$1068,'Nacional · base'!$A$7:$A$1068,A1387,'Nacional · base'!$B$7:$B$1068,B1387,'Nacional · base'!$C$7:$C$1068,C1387)</f>
        <v>18166.451527239493</v>
      </c>
      <c r="I1387">
        <f>IF(D1387="Canarias",IF(C1387="CABRERA MORALES FRANCISCO",IF(E1387&lt;=2000,'Nacional · supuestos'!$C$34,IF(E1387&lt;=5000,'Nacional · supuestos'!$C$35,'Nacional · supuestos'!$C$36)),IF(E1387&lt;=2000,'Nacional · supuestos'!$B$34,IF(E1387&lt;=5000,'Nacional · supuestos'!$B$35,'Nacional · supuestos'!$B$36))),0)</f>
        <v>0</v>
      </c>
      <c r="J1387">
        <f>IF(D1387="Canarias",MAX(E1387*I1387,IF(C1387="CABRERA MORALES FRANCISCO",'Nacional · supuestos'!$C$38,'Nacional · supuestos'!$B$38)),0)</f>
        <v>0</v>
      </c>
      <c r="K1387">
        <f>IF(D1387="Canarias",MAX(E1387*'Nacional · supuestos'!$B$41,'Nacional · supuestos'!$B$42),0)</f>
        <v>0</v>
      </c>
      <c r="L1387">
        <f>IF(D1387="Canarias",E1387*'Nacional · supuestos'!$B$43,0)</f>
        <v>0</v>
      </c>
      <c r="M1387">
        <f>IF(D1387="Canarias",E1387*'Nacional · supuestos'!$B$44,0)</f>
        <v>0</v>
      </c>
      <c r="N1387">
        <f>IF(D1387="Canarias",E1387*'Nacional · supuestos'!$B$45,0)</f>
        <v>0</v>
      </c>
      <c r="O1387">
        <f>IF(D1387="Canarias",'Nacional · supuestos'!$B$46,0)</f>
        <v>0</v>
      </c>
      <c r="P1387">
        <f>IF(D1387="Canarias",MAX(H1387*'Nacional · supuestos'!$B$47,'Nacional · supuestos'!$B$48),0)</f>
        <v>0</v>
      </c>
      <c r="Q1387">
        <f>IF(D1387="Resto nacional",E1387*'Nacional · supuestos'!$B$13*IF(A1387=2027,1+'Nacional · supuestos'!$B$6,1),0)</f>
        <v>626.3492998442</v>
      </c>
      <c r="R1387">
        <f>IF(D1387="Canarias",SUM(J1387:P1387)*IF(A1387=2027,1+'Nacional · supuestos'!$B$6,1),0)</f>
        <v>0</v>
      </c>
      <c r="S1387">
        <f t="shared" si="26"/>
        <v>626.3492998442</v>
      </c>
    </row>
    <row r="1388" spans="1:19">
      <c r="A1388">
        <v>2027</v>
      </c>
      <c r="B1388">
        <v>8</v>
      </c>
      <c r="C1388" t="s">
        <v>204</v>
      </c>
      <c r="D1388" t="s">
        <v>160</v>
      </c>
      <c r="E1388">
        <f>SUMIFS('Nacional · base'!$J$7:$J$1068,'Nacional · base'!$A$7:$A$1068,A1388,'Nacional · base'!$B$7:$B$1068,B1388,'Nacional · base'!$C$7:$C$1068,C1388)</f>
        <v>1109.2</v>
      </c>
      <c r="F1388">
        <f>SUMIFS('Nacional · base'!$K$7:$K$1068,'Nacional · base'!$A$7:$A$1068,A1388,'Nacional · base'!$B$7:$B$1068,B1388,'Nacional · base'!$C$7:$C$1068,C1388)</f>
        <v>1.28125</v>
      </c>
      <c r="G1388">
        <f t="shared" si="25"/>
        <v>2</v>
      </c>
      <c r="H1388">
        <f>SUMIFS('Nacional · base'!$G$7:$G$1068,'Nacional · base'!$A$7:$A$1068,A1388,'Nacional · base'!$B$7:$B$1068,B1388,'Nacional · base'!$C$7:$C$1068,C1388)</f>
        <v>3174.665035452384</v>
      </c>
      <c r="I1388">
        <f>IF(D1388="Canarias",IF(C1388="CABRERA MORALES FRANCISCO",IF(E1388&lt;=2000,'Nacional · supuestos'!$C$34,IF(E1388&lt;=5000,'Nacional · supuestos'!$C$35,'Nacional · supuestos'!$C$36)),IF(E1388&lt;=2000,'Nacional · supuestos'!$B$34,IF(E1388&lt;=5000,'Nacional · supuestos'!$B$35,'Nacional · supuestos'!$B$36))),0)</f>
        <v>0</v>
      </c>
      <c r="J1388">
        <f>IF(D1388="Canarias",MAX(E1388*I1388,IF(C1388="CABRERA MORALES FRANCISCO",'Nacional · supuestos'!$C$38,'Nacional · supuestos'!$B$38)),0)</f>
        <v>0</v>
      </c>
      <c r="K1388">
        <f>IF(D1388="Canarias",MAX(E1388*'Nacional · supuestos'!$B$41,'Nacional · supuestos'!$B$42),0)</f>
        <v>0</v>
      </c>
      <c r="L1388">
        <f>IF(D1388="Canarias",E1388*'Nacional · supuestos'!$B$43,0)</f>
        <v>0</v>
      </c>
      <c r="M1388">
        <f>IF(D1388="Canarias",E1388*'Nacional · supuestos'!$B$44,0)</f>
        <v>0</v>
      </c>
      <c r="N1388">
        <f>IF(D1388="Canarias",E1388*'Nacional · supuestos'!$B$45,0)</f>
        <v>0</v>
      </c>
      <c r="O1388">
        <f>IF(D1388="Canarias",'Nacional · supuestos'!$B$46,0)</f>
        <v>0</v>
      </c>
      <c r="P1388">
        <f>IF(D1388="Canarias",MAX(H1388*'Nacional · supuestos'!$B$47,'Nacional · supuestos'!$B$48),0)</f>
        <v>0</v>
      </c>
      <c r="Q1388">
        <f>IF(D1388="Resto nacional",E1388*'Nacional · supuestos'!$B$13*IF(A1388=2027,1+'Nacional · supuestos'!$B$6,1),0)</f>
        <v>108.18902506963789</v>
      </c>
      <c r="R1388">
        <f>IF(D1388="Canarias",SUM(J1388:P1388)*IF(A1388=2027,1+'Nacional · supuestos'!$B$6,1),0)</f>
        <v>0</v>
      </c>
      <c r="S1388">
        <f t="shared" si="26"/>
        <v>108.18902506963789</v>
      </c>
    </row>
    <row r="1389" spans="1:19">
      <c r="A1389">
        <v>2027</v>
      </c>
      <c r="B1389">
        <v>8</v>
      </c>
      <c r="C1389" t="s">
        <v>178</v>
      </c>
      <c r="D1389" t="s">
        <v>160</v>
      </c>
      <c r="E1389">
        <f>SUMIFS('Nacional · base'!$J$7:$J$1068,'Nacional · base'!$A$7:$A$1068,A1389,'Nacional · base'!$B$7:$B$1068,B1389,'Nacional · base'!$C$7:$C$1068,C1389)</f>
        <v>8077.1</v>
      </c>
      <c r="F1389">
        <f>SUMIFS('Nacional · base'!$K$7:$K$1068,'Nacional · base'!$A$7:$A$1068,A1389,'Nacional · base'!$B$7:$B$1068,B1389,'Nacional · base'!$C$7:$C$1068,C1389)</f>
        <v>10.932007575757575</v>
      </c>
      <c r="G1389">
        <f t="shared" si="25"/>
        <v>11</v>
      </c>
      <c r="H1389">
        <f>SUMIFS('Nacional · base'!$G$7:$G$1068,'Nacional · base'!$A$7:$A$1068,A1389,'Nacional · base'!$B$7:$B$1068,B1389,'Nacional · base'!$C$7:$C$1068,C1389)</f>
        <v>30940.173275695644</v>
      </c>
      <c r="I1389">
        <f>IF(D1389="Canarias",IF(C1389="CABRERA MORALES FRANCISCO",IF(E1389&lt;=2000,'Nacional · supuestos'!$C$34,IF(E1389&lt;=5000,'Nacional · supuestos'!$C$35,'Nacional · supuestos'!$C$36)),IF(E1389&lt;=2000,'Nacional · supuestos'!$B$34,IF(E1389&lt;=5000,'Nacional · supuestos'!$B$35,'Nacional · supuestos'!$B$36))),0)</f>
        <v>0</v>
      </c>
      <c r="J1389">
        <f>IF(D1389="Canarias",MAX(E1389*I1389,IF(C1389="CABRERA MORALES FRANCISCO",'Nacional · supuestos'!$C$38,'Nacional · supuestos'!$B$38)),0)</f>
        <v>0</v>
      </c>
      <c r="K1389">
        <f>IF(D1389="Canarias",MAX(E1389*'Nacional · supuestos'!$B$41,'Nacional · supuestos'!$B$42),0)</f>
        <v>0</v>
      </c>
      <c r="L1389">
        <f>IF(D1389="Canarias",E1389*'Nacional · supuestos'!$B$43,0)</f>
        <v>0</v>
      </c>
      <c r="M1389">
        <f>IF(D1389="Canarias",E1389*'Nacional · supuestos'!$B$44,0)</f>
        <v>0</v>
      </c>
      <c r="N1389">
        <f>IF(D1389="Canarias",E1389*'Nacional · supuestos'!$B$45,0)</f>
        <v>0</v>
      </c>
      <c r="O1389">
        <f>IF(D1389="Canarias",'Nacional · supuestos'!$B$46,0)</f>
        <v>0</v>
      </c>
      <c r="P1389">
        <f>IF(D1389="Canarias",MAX(H1389*'Nacional · supuestos'!$B$47,'Nacional · supuestos'!$B$48),0)</f>
        <v>0</v>
      </c>
      <c r="Q1389">
        <f>IF(D1389="Resto nacional",E1389*'Nacional · supuestos'!$B$13*IF(A1389=2027,1+'Nacional · supuestos'!$B$6,1),0)</f>
        <v>787.82327298050143</v>
      </c>
      <c r="R1389">
        <f>IF(D1389="Canarias",SUM(J1389:P1389)*IF(A1389=2027,1+'Nacional · supuestos'!$B$6,1),0)</f>
        <v>0</v>
      </c>
      <c r="S1389">
        <f t="shared" si="26"/>
        <v>787.82327298050143</v>
      </c>
    </row>
    <row r="1390" spans="1:19">
      <c r="A1390">
        <v>2027</v>
      </c>
      <c r="B1390">
        <v>8</v>
      </c>
      <c r="C1390" t="s">
        <v>212</v>
      </c>
      <c r="D1390" t="s">
        <v>160</v>
      </c>
      <c r="E1390">
        <f>SUMIFS('Nacional · base'!$J$7:$J$1068,'Nacional · base'!$A$7:$A$1068,A1390,'Nacional · base'!$B$7:$B$1068,B1390,'Nacional · base'!$C$7:$C$1068,C1390)</f>
        <v>681.8</v>
      </c>
      <c r="F1390">
        <f>SUMIFS('Nacional · base'!$K$7:$K$1068,'Nacional · base'!$A$7:$A$1068,A1390,'Nacional · base'!$B$7:$B$1068,B1390,'Nacional · base'!$C$7:$C$1068,C1390)</f>
        <v>0.81534090909090906</v>
      </c>
      <c r="G1390">
        <f t="shared" si="25"/>
        <v>1</v>
      </c>
      <c r="H1390">
        <f>SUMIFS('Nacional · base'!$G$7:$G$1068,'Nacional · base'!$A$7:$A$1068,A1390,'Nacional · base'!$B$7:$B$1068,B1390,'Nacional · base'!$C$7:$C$1068,C1390)</f>
        <v>1621.939452050141</v>
      </c>
      <c r="I1390">
        <f>IF(D1390="Canarias",IF(C1390="CABRERA MORALES FRANCISCO",IF(E1390&lt;=2000,'Nacional · supuestos'!$C$34,IF(E1390&lt;=5000,'Nacional · supuestos'!$C$35,'Nacional · supuestos'!$C$36)),IF(E1390&lt;=2000,'Nacional · supuestos'!$B$34,IF(E1390&lt;=5000,'Nacional · supuestos'!$B$35,'Nacional · supuestos'!$B$36))),0)</f>
        <v>0</v>
      </c>
      <c r="J1390">
        <f>IF(D1390="Canarias",MAX(E1390*I1390,IF(C1390="CABRERA MORALES FRANCISCO",'Nacional · supuestos'!$C$38,'Nacional · supuestos'!$B$38)),0)</f>
        <v>0</v>
      </c>
      <c r="K1390">
        <f>IF(D1390="Canarias",MAX(E1390*'Nacional · supuestos'!$B$41,'Nacional · supuestos'!$B$42),0)</f>
        <v>0</v>
      </c>
      <c r="L1390">
        <f>IF(D1390="Canarias",E1390*'Nacional · supuestos'!$B$43,0)</f>
        <v>0</v>
      </c>
      <c r="M1390">
        <f>IF(D1390="Canarias",E1390*'Nacional · supuestos'!$B$44,0)</f>
        <v>0</v>
      </c>
      <c r="N1390">
        <f>IF(D1390="Canarias",E1390*'Nacional · supuestos'!$B$45,0)</f>
        <v>0</v>
      </c>
      <c r="O1390">
        <f>IF(D1390="Canarias",'Nacional · supuestos'!$B$46,0)</f>
        <v>0</v>
      </c>
      <c r="P1390">
        <f>IF(D1390="Canarias",MAX(H1390*'Nacional · supuestos'!$B$47,'Nacional · supuestos'!$B$48),0)</f>
        <v>0</v>
      </c>
      <c r="Q1390">
        <f>IF(D1390="Resto nacional",E1390*'Nacional · supuestos'!$B$13*IF(A1390=2027,1+'Nacional · supuestos'!$B$6,1),0)</f>
        <v>66.501331854020108</v>
      </c>
      <c r="R1390">
        <f>IF(D1390="Canarias",SUM(J1390:P1390)*IF(A1390=2027,1+'Nacional · supuestos'!$B$6,1),0)</f>
        <v>0</v>
      </c>
      <c r="S1390">
        <f t="shared" si="26"/>
        <v>66.501331854020108</v>
      </c>
    </row>
    <row r="1391" spans="1:19">
      <c r="A1391">
        <v>2027</v>
      </c>
      <c r="B1391">
        <v>8</v>
      </c>
      <c r="C1391" t="s">
        <v>206</v>
      </c>
      <c r="D1391" t="s">
        <v>160</v>
      </c>
      <c r="E1391">
        <f>SUMIFS('Nacional · base'!$J$7:$J$1068,'Nacional · base'!$A$7:$A$1068,A1391,'Nacional · base'!$B$7:$B$1068,B1391,'Nacional · base'!$C$7:$C$1068,C1391)</f>
        <v>1036.1999999999998</v>
      </c>
      <c r="F1391">
        <f>SUMIFS('Nacional · base'!$K$7:$K$1068,'Nacional · base'!$A$7:$A$1068,A1391,'Nacional · base'!$B$7:$B$1068,B1391,'Nacional · base'!$C$7:$C$1068,C1391)</f>
        <v>1.3725000000000001</v>
      </c>
      <c r="G1391">
        <f t="shared" si="25"/>
        <v>2</v>
      </c>
      <c r="H1391">
        <f>SUMIFS('Nacional · base'!$G$7:$G$1068,'Nacional · base'!$A$7:$A$1068,A1391,'Nacional · base'!$B$7:$B$1068,B1391,'Nacional · base'!$C$7:$C$1068,C1391)</f>
        <v>3518.12843484218</v>
      </c>
      <c r="I1391">
        <f>IF(D1391="Canarias",IF(C1391="CABRERA MORALES FRANCISCO",IF(E1391&lt;=2000,'Nacional · supuestos'!$C$34,IF(E1391&lt;=5000,'Nacional · supuestos'!$C$35,'Nacional · supuestos'!$C$36)),IF(E1391&lt;=2000,'Nacional · supuestos'!$B$34,IF(E1391&lt;=5000,'Nacional · supuestos'!$B$35,'Nacional · supuestos'!$B$36))),0)</f>
        <v>0</v>
      </c>
      <c r="J1391">
        <f>IF(D1391="Canarias",MAX(E1391*I1391,IF(C1391="CABRERA MORALES FRANCISCO",'Nacional · supuestos'!$C$38,'Nacional · supuestos'!$B$38)),0)</f>
        <v>0</v>
      </c>
      <c r="K1391">
        <f>IF(D1391="Canarias",MAX(E1391*'Nacional · supuestos'!$B$41,'Nacional · supuestos'!$B$42),0)</f>
        <v>0</v>
      </c>
      <c r="L1391">
        <f>IF(D1391="Canarias",E1391*'Nacional · supuestos'!$B$43,0)</f>
        <v>0</v>
      </c>
      <c r="M1391">
        <f>IF(D1391="Canarias",E1391*'Nacional · supuestos'!$B$44,0)</f>
        <v>0</v>
      </c>
      <c r="N1391">
        <f>IF(D1391="Canarias",E1391*'Nacional · supuestos'!$B$45,0)</f>
        <v>0</v>
      </c>
      <c r="O1391">
        <f>IF(D1391="Canarias",'Nacional · supuestos'!$B$46,0)</f>
        <v>0</v>
      </c>
      <c r="P1391">
        <f>IF(D1391="Canarias",MAX(H1391*'Nacional · supuestos'!$B$47,'Nacional · supuestos'!$B$48),0)</f>
        <v>0</v>
      </c>
      <c r="Q1391">
        <f>IF(D1391="Resto nacional",E1391*'Nacional · supuestos'!$B$13*IF(A1391=2027,1+'Nacional · supuestos'!$B$6,1),0)</f>
        <v>101.06875926537933</v>
      </c>
      <c r="R1391">
        <f>IF(D1391="Canarias",SUM(J1391:P1391)*IF(A1391=2027,1+'Nacional · supuestos'!$B$6,1),0)</f>
        <v>0</v>
      </c>
      <c r="S1391">
        <f t="shared" si="26"/>
        <v>101.06875926537933</v>
      </c>
    </row>
    <row r="1392" spans="1:19">
      <c r="A1392">
        <v>2027</v>
      </c>
      <c r="B1392">
        <v>8</v>
      </c>
      <c r="C1392" t="s">
        <v>193</v>
      </c>
      <c r="D1392" t="s">
        <v>160</v>
      </c>
      <c r="E1392">
        <f>SUMIFS('Nacional · base'!$J$7:$J$1068,'Nacional · base'!$A$7:$A$1068,A1392,'Nacional · base'!$B$7:$B$1068,B1392,'Nacional · base'!$C$7:$C$1068,C1392)</f>
        <v>76.699999999999989</v>
      </c>
      <c r="F1392">
        <f>SUMIFS('Nacional · base'!$K$7:$K$1068,'Nacional · base'!$A$7:$A$1068,A1392,'Nacional · base'!$B$7:$B$1068,B1392,'Nacional · base'!$C$7:$C$1068,C1392)</f>
        <v>0.10625</v>
      </c>
      <c r="G1392">
        <f t="shared" si="25"/>
        <v>1</v>
      </c>
      <c r="H1392">
        <f>SUMIFS('Nacional · base'!$G$7:$G$1068,'Nacional · base'!$A$7:$A$1068,A1392,'Nacional · base'!$B$7:$B$1068,B1392,'Nacional · base'!$C$7:$C$1068,C1392)</f>
        <v>283.99576073975635</v>
      </c>
      <c r="I1392">
        <f>IF(D1392="Canarias",IF(C1392="CABRERA MORALES FRANCISCO",IF(E1392&lt;=2000,'Nacional · supuestos'!$C$34,IF(E1392&lt;=5000,'Nacional · supuestos'!$C$35,'Nacional · supuestos'!$C$36)),IF(E1392&lt;=2000,'Nacional · supuestos'!$B$34,IF(E1392&lt;=5000,'Nacional · supuestos'!$B$35,'Nacional · supuestos'!$B$36))),0)</f>
        <v>0</v>
      </c>
      <c r="J1392">
        <f>IF(D1392="Canarias",MAX(E1392*I1392,IF(C1392="CABRERA MORALES FRANCISCO",'Nacional · supuestos'!$C$38,'Nacional · supuestos'!$B$38)),0)</f>
        <v>0</v>
      </c>
      <c r="K1392">
        <f>IF(D1392="Canarias",MAX(E1392*'Nacional · supuestos'!$B$41,'Nacional · supuestos'!$B$42),0)</f>
        <v>0</v>
      </c>
      <c r="L1392">
        <f>IF(D1392="Canarias",E1392*'Nacional · supuestos'!$B$43,0)</f>
        <v>0</v>
      </c>
      <c r="M1392">
        <f>IF(D1392="Canarias",E1392*'Nacional · supuestos'!$B$44,0)</f>
        <v>0</v>
      </c>
      <c r="N1392">
        <f>IF(D1392="Canarias",E1392*'Nacional · supuestos'!$B$45,0)</f>
        <v>0</v>
      </c>
      <c r="O1392">
        <f>IF(D1392="Canarias",'Nacional · supuestos'!$B$46,0)</f>
        <v>0</v>
      </c>
      <c r="P1392">
        <f>IF(D1392="Canarias",MAX(H1392*'Nacional · supuestos'!$B$47,'Nacional · supuestos'!$B$48),0)</f>
        <v>0</v>
      </c>
      <c r="Q1392">
        <f>IF(D1392="Resto nacional",E1392*'Nacional · supuestos'!$B$13*IF(A1392=2027,1+'Nacional · supuestos'!$B$6,1),0)</f>
        <v>7.481155988857938</v>
      </c>
      <c r="R1392">
        <f>IF(D1392="Canarias",SUM(J1392:P1392)*IF(A1392=2027,1+'Nacional · supuestos'!$B$6,1),0)</f>
        <v>0</v>
      </c>
      <c r="S1392">
        <f t="shared" si="26"/>
        <v>7.481155988857938</v>
      </c>
    </row>
    <row r="1393" spans="1:19">
      <c r="A1393">
        <v>2027</v>
      </c>
      <c r="B1393">
        <v>8</v>
      </c>
      <c r="C1393" t="s">
        <v>213</v>
      </c>
      <c r="D1393" t="s">
        <v>160</v>
      </c>
      <c r="E1393">
        <f>SUMIFS('Nacional · base'!$J$7:$J$1068,'Nacional · base'!$A$7:$A$1068,A1393,'Nacional · base'!$B$7:$B$1068,B1393,'Nacional · base'!$C$7:$C$1068,C1393)</f>
        <v>802.4</v>
      </c>
      <c r="F1393">
        <f>SUMIFS('Nacional · base'!$K$7:$K$1068,'Nacional · base'!$A$7:$A$1068,A1393,'Nacional · base'!$B$7:$B$1068,B1393,'Nacional · base'!$C$7:$C$1068,C1393)</f>
        <v>1.0625</v>
      </c>
      <c r="G1393">
        <f t="shared" si="25"/>
        <v>2</v>
      </c>
      <c r="H1393">
        <f>SUMIFS('Nacional · base'!$G$7:$G$1068,'Nacional · base'!$A$7:$A$1068,A1393,'Nacional · base'!$B$7:$B$1068,B1393,'Nacional · base'!$C$7:$C$1068,C1393)</f>
        <v>2140.6265158934257</v>
      </c>
      <c r="I1393">
        <f>IF(D1393="Canarias",IF(C1393="CABRERA MORALES FRANCISCO",IF(E1393&lt;=2000,'Nacional · supuestos'!$C$34,IF(E1393&lt;=5000,'Nacional · supuestos'!$C$35,'Nacional · supuestos'!$C$36)),IF(E1393&lt;=2000,'Nacional · supuestos'!$B$34,IF(E1393&lt;=5000,'Nacional · supuestos'!$B$35,'Nacional · supuestos'!$B$36))),0)</f>
        <v>0</v>
      </c>
      <c r="J1393">
        <f>IF(D1393="Canarias",MAX(E1393*I1393,IF(C1393="CABRERA MORALES FRANCISCO",'Nacional · supuestos'!$C$38,'Nacional · supuestos'!$B$38)),0)</f>
        <v>0</v>
      </c>
      <c r="K1393">
        <f>IF(D1393="Canarias",MAX(E1393*'Nacional · supuestos'!$B$41,'Nacional · supuestos'!$B$42),0)</f>
        <v>0</v>
      </c>
      <c r="L1393">
        <f>IF(D1393="Canarias",E1393*'Nacional · supuestos'!$B$43,0)</f>
        <v>0</v>
      </c>
      <c r="M1393">
        <f>IF(D1393="Canarias",E1393*'Nacional · supuestos'!$B$44,0)</f>
        <v>0</v>
      </c>
      <c r="N1393">
        <f>IF(D1393="Canarias",E1393*'Nacional · supuestos'!$B$45,0)</f>
        <v>0</v>
      </c>
      <c r="O1393">
        <f>IF(D1393="Canarias",'Nacional · supuestos'!$B$46,0)</f>
        <v>0</v>
      </c>
      <c r="P1393">
        <f>IF(D1393="Canarias",MAX(H1393*'Nacional · supuestos'!$B$47,'Nacional · supuestos'!$B$48),0)</f>
        <v>0</v>
      </c>
      <c r="Q1393">
        <f>IF(D1393="Resto nacional",E1393*'Nacional · supuestos'!$B$13*IF(A1393=2027,1+'Nacional · supuestos'!$B$6,1),0)</f>
        <v>78.264401114206123</v>
      </c>
      <c r="R1393">
        <f>IF(D1393="Canarias",SUM(J1393:P1393)*IF(A1393=2027,1+'Nacional · supuestos'!$B$6,1),0)</f>
        <v>0</v>
      </c>
      <c r="S1393">
        <f t="shared" si="26"/>
        <v>78.264401114206123</v>
      </c>
    </row>
    <row r="1394" spans="1:19">
      <c r="A1394">
        <v>2027</v>
      </c>
      <c r="B1394">
        <v>8</v>
      </c>
      <c r="C1394" t="s">
        <v>180</v>
      </c>
      <c r="D1394" t="s">
        <v>160</v>
      </c>
      <c r="E1394">
        <f>SUMIFS('Nacional · base'!$J$7:$J$1068,'Nacional · base'!$A$7:$A$1068,A1394,'Nacional · base'!$B$7:$B$1068,B1394,'Nacional · base'!$C$7:$C$1068,C1394)</f>
        <v>333.94</v>
      </c>
      <c r="F1394">
        <f>SUMIFS('Nacional · base'!$K$7:$K$1068,'Nacional · base'!$A$7:$A$1068,A1394,'Nacional · base'!$B$7:$B$1068,B1394,'Nacional · base'!$C$7:$C$1068,C1394)</f>
        <v>0.46003787878787883</v>
      </c>
      <c r="G1394">
        <f t="shared" ref="G1394:G1457" si="27">ROUNDUP(F1394,0)</f>
        <v>1</v>
      </c>
      <c r="H1394">
        <f>SUMIFS('Nacional · base'!$G$7:$G$1068,'Nacional · base'!$A$7:$A$1068,A1394,'Nacional · base'!$B$7:$B$1068,B1394,'Nacional · base'!$C$7:$C$1068,C1394)</f>
        <v>1195.4402578336656</v>
      </c>
      <c r="I1394">
        <f>IF(D1394="Canarias",IF(C1394="CABRERA MORALES FRANCISCO",IF(E1394&lt;=2000,'Nacional · supuestos'!$C$34,IF(E1394&lt;=5000,'Nacional · supuestos'!$C$35,'Nacional · supuestos'!$C$36)),IF(E1394&lt;=2000,'Nacional · supuestos'!$B$34,IF(E1394&lt;=5000,'Nacional · supuestos'!$B$35,'Nacional · supuestos'!$B$36))),0)</f>
        <v>0</v>
      </c>
      <c r="J1394">
        <f>IF(D1394="Canarias",MAX(E1394*I1394,IF(C1394="CABRERA MORALES FRANCISCO",'Nacional · supuestos'!$C$38,'Nacional · supuestos'!$B$38)),0)</f>
        <v>0</v>
      </c>
      <c r="K1394">
        <f>IF(D1394="Canarias",MAX(E1394*'Nacional · supuestos'!$B$41,'Nacional · supuestos'!$B$42),0)</f>
        <v>0</v>
      </c>
      <c r="L1394">
        <f>IF(D1394="Canarias",E1394*'Nacional · supuestos'!$B$43,0)</f>
        <v>0</v>
      </c>
      <c r="M1394">
        <f>IF(D1394="Canarias",E1394*'Nacional · supuestos'!$B$44,0)</f>
        <v>0</v>
      </c>
      <c r="N1394">
        <f>IF(D1394="Canarias",E1394*'Nacional · supuestos'!$B$45,0)</f>
        <v>0</v>
      </c>
      <c r="O1394">
        <f>IF(D1394="Canarias",'Nacional · supuestos'!$B$46,0)</f>
        <v>0</v>
      </c>
      <c r="P1394">
        <f>IF(D1394="Canarias",MAX(H1394*'Nacional · supuestos'!$B$47,'Nacional · supuestos'!$B$48),0)</f>
        <v>0</v>
      </c>
      <c r="Q1394">
        <f>IF(D1394="Resto nacional",E1394*'Nacional · supuestos'!$B$13*IF(A1394=2027,1+'Nacional · supuestos'!$B$6,1),0)</f>
        <v>32.57180222841226</v>
      </c>
      <c r="R1394">
        <f>IF(D1394="Canarias",SUM(J1394:P1394)*IF(A1394=2027,1+'Nacional · supuestos'!$B$6,1),0)</f>
        <v>0</v>
      </c>
      <c r="S1394">
        <f t="shared" ref="S1394:S1457" si="28">Q1394+R1394</f>
        <v>32.57180222841226</v>
      </c>
    </row>
    <row r="1395" spans="1:19">
      <c r="A1395">
        <v>2027</v>
      </c>
      <c r="B1395">
        <v>8</v>
      </c>
      <c r="C1395" t="s">
        <v>185</v>
      </c>
      <c r="D1395" t="s">
        <v>160</v>
      </c>
      <c r="E1395">
        <f>SUMIFS('Nacional · base'!$J$7:$J$1068,'Nacional · base'!$A$7:$A$1068,A1395,'Nacional · base'!$B$7:$B$1068,B1395,'Nacional · base'!$C$7:$C$1068,C1395)</f>
        <v>82.6</v>
      </c>
      <c r="F1395">
        <f>SUMIFS('Nacional · base'!$K$7:$K$1068,'Nacional · base'!$A$7:$A$1068,A1395,'Nacional · base'!$B$7:$B$1068,B1395,'Nacional · base'!$C$7:$C$1068,C1395)</f>
        <v>0.11666666666666667</v>
      </c>
      <c r="G1395">
        <f t="shared" si="27"/>
        <v>1</v>
      </c>
      <c r="H1395">
        <f>SUMIFS('Nacional · base'!$G$7:$G$1068,'Nacional · base'!$A$7:$A$1068,A1395,'Nacional · base'!$B$7:$B$1068,B1395,'Nacional · base'!$C$7:$C$1068,C1395)</f>
        <v>412.98998129965679</v>
      </c>
      <c r="I1395">
        <f>IF(D1395="Canarias",IF(C1395="CABRERA MORALES FRANCISCO",IF(E1395&lt;=2000,'Nacional · supuestos'!$C$34,IF(E1395&lt;=5000,'Nacional · supuestos'!$C$35,'Nacional · supuestos'!$C$36)),IF(E1395&lt;=2000,'Nacional · supuestos'!$B$34,IF(E1395&lt;=5000,'Nacional · supuestos'!$B$35,'Nacional · supuestos'!$B$36))),0)</f>
        <v>0</v>
      </c>
      <c r="J1395">
        <f>IF(D1395="Canarias",MAX(E1395*I1395,IF(C1395="CABRERA MORALES FRANCISCO",'Nacional · supuestos'!$C$38,'Nacional · supuestos'!$B$38)),0)</f>
        <v>0</v>
      </c>
      <c r="K1395">
        <f>IF(D1395="Canarias",MAX(E1395*'Nacional · supuestos'!$B$41,'Nacional · supuestos'!$B$42),0)</f>
        <v>0</v>
      </c>
      <c r="L1395">
        <f>IF(D1395="Canarias",E1395*'Nacional · supuestos'!$B$43,0)</f>
        <v>0</v>
      </c>
      <c r="M1395">
        <f>IF(D1395="Canarias",E1395*'Nacional · supuestos'!$B$44,0)</f>
        <v>0</v>
      </c>
      <c r="N1395">
        <f>IF(D1395="Canarias",E1395*'Nacional · supuestos'!$B$45,0)</f>
        <v>0</v>
      </c>
      <c r="O1395">
        <f>IF(D1395="Canarias",'Nacional · supuestos'!$B$46,0)</f>
        <v>0</v>
      </c>
      <c r="P1395">
        <f>IF(D1395="Canarias",MAX(H1395*'Nacional · supuestos'!$B$47,'Nacional · supuestos'!$B$48),0)</f>
        <v>0</v>
      </c>
      <c r="Q1395">
        <f>IF(D1395="Resto nacional",E1395*'Nacional · supuestos'!$B$13*IF(A1395=2027,1+'Nacional · supuestos'!$B$6,1),0)</f>
        <v>8.0566295264623946</v>
      </c>
      <c r="R1395">
        <f>IF(D1395="Canarias",SUM(J1395:P1395)*IF(A1395=2027,1+'Nacional · supuestos'!$B$6,1),0)</f>
        <v>0</v>
      </c>
      <c r="S1395">
        <f t="shared" si="28"/>
        <v>8.0566295264623946</v>
      </c>
    </row>
    <row r="1396" spans="1:19">
      <c r="A1396">
        <v>2027</v>
      </c>
      <c r="B1396">
        <v>8</v>
      </c>
      <c r="C1396" t="s">
        <v>181</v>
      </c>
      <c r="D1396" t="s">
        <v>160</v>
      </c>
      <c r="E1396">
        <f>SUMIFS('Nacional · base'!$J$7:$J$1068,'Nacional · base'!$A$7:$A$1068,A1396,'Nacional · base'!$B$7:$B$1068,B1396,'Nacional · base'!$C$7:$C$1068,C1396)</f>
        <v>2480</v>
      </c>
      <c r="F1396">
        <f>SUMIFS('Nacional · base'!$K$7:$K$1068,'Nacional · base'!$A$7:$A$1068,A1396,'Nacional · base'!$B$7:$B$1068,B1396,'Nacional · base'!$C$7:$C$1068,C1396)</f>
        <v>3.1</v>
      </c>
      <c r="G1396">
        <f t="shared" si="27"/>
        <v>4</v>
      </c>
      <c r="H1396">
        <f>SUMIFS('Nacional · base'!$G$7:$G$1068,'Nacional · base'!$A$7:$A$1068,A1396,'Nacional · base'!$B$7:$B$1068,B1396,'Nacional · base'!$C$7:$C$1068,C1396)</f>
        <v>4782.4281529601849</v>
      </c>
      <c r="I1396">
        <f>IF(D1396="Canarias",IF(C1396="CABRERA MORALES FRANCISCO",IF(E1396&lt;=2000,'Nacional · supuestos'!$C$34,IF(E1396&lt;=5000,'Nacional · supuestos'!$C$35,'Nacional · supuestos'!$C$36)),IF(E1396&lt;=2000,'Nacional · supuestos'!$B$34,IF(E1396&lt;=5000,'Nacional · supuestos'!$B$35,'Nacional · supuestos'!$B$36))),0)</f>
        <v>0</v>
      </c>
      <c r="J1396">
        <f>IF(D1396="Canarias",MAX(E1396*I1396,IF(C1396="CABRERA MORALES FRANCISCO",'Nacional · supuestos'!$C$38,'Nacional · supuestos'!$B$38)),0)</f>
        <v>0</v>
      </c>
      <c r="K1396">
        <f>IF(D1396="Canarias",MAX(E1396*'Nacional · supuestos'!$B$41,'Nacional · supuestos'!$B$42),0)</f>
        <v>0</v>
      </c>
      <c r="L1396">
        <f>IF(D1396="Canarias",E1396*'Nacional · supuestos'!$B$43,0)</f>
        <v>0</v>
      </c>
      <c r="M1396">
        <f>IF(D1396="Canarias",E1396*'Nacional · supuestos'!$B$44,0)</f>
        <v>0</v>
      </c>
      <c r="N1396">
        <f>IF(D1396="Canarias",E1396*'Nacional · supuestos'!$B$45,0)</f>
        <v>0</v>
      </c>
      <c r="O1396">
        <f>IF(D1396="Canarias",'Nacional · supuestos'!$B$46,0)</f>
        <v>0</v>
      </c>
      <c r="P1396">
        <f>IF(D1396="Canarias",MAX(H1396*'Nacional · supuestos'!$B$47,'Nacional · supuestos'!$B$48),0)</f>
        <v>0</v>
      </c>
      <c r="Q1396">
        <f>IF(D1396="Resto nacional",E1396*'Nacional · supuestos'!$B$13*IF(A1396=2027,1+'Nacional · supuestos'!$B$6,1),0)</f>
        <v>241.89396156933103</v>
      </c>
      <c r="R1396">
        <f>IF(D1396="Canarias",SUM(J1396:P1396)*IF(A1396=2027,1+'Nacional · supuestos'!$B$6,1),0)</f>
        <v>0</v>
      </c>
      <c r="S1396">
        <f t="shared" si="28"/>
        <v>241.89396156933103</v>
      </c>
    </row>
    <row r="1397" spans="1:19">
      <c r="A1397">
        <v>2027</v>
      </c>
      <c r="B1397">
        <v>8</v>
      </c>
      <c r="C1397" t="s">
        <v>186</v>
      </c>
      <c r="D1397" t="s">
        <v>160</v>
      </c>
      <c r="E1397">
        <f>SUMIFS('Nacional · base'!$J$7:$J$1068,'Nacional · base'!$A$7:$A$1068,A1397,'Nacional · base'!$B$7:$B$1068,B1397,'Nacional · base'!$C$7:$C$1068,C1397)</f>
        <v>6659.7000000000007</v>
      </c>
      <c r="F1397">
        <f>SUMIFS('Nacional · base'!$K$7:$K$1068,'Nacional · base'!$A$7:$A$1068,A1397,'Nacional · base'!$B$7:$B$1068,B1397,'Nacional · base'!$C$7:$C$1068,C1397)</f>
        <v>8.5062499999999996</v>
      </c>
      <c r="G1397">
        <f t="shared" si="27"/>
        <v>9</v>
      </c>
      <c r="H1397">
        <f>SUMIFS('Nacional · base'!$G$7:$G$1068,'Nacional · base'!$A$7:$A$1068,A1397,'Nacional · base'!$B$7:$B$1068,B1397,'Nacional · base'!$C$7:$C$1068,C1397)</f>
        <v>14599.331348023048</v>
      </c>
      <c r="I1397">
        <f>IF(D1397="Canarias",IF(C1397="CABRERA MORALES FRANCISCO",IF(E1397&lt;=2000,'Nacional · supuestos'!$C$34,IF(E1397&lt;=5000,'Nacional · supuestos'!$C$35,'Nacional · supuestos'!$C$36)),IF(E1397&lt;=2000,'Nacional · supuestos'!$B$34,IF(E1397&lt;=5000,'Nacional · supuestos'!$B$35,'Nacional · supuestos'!$B$36))),0)</f>
        <v>0</v>
      </c>
      <c r="J1397">
        <f>IF(D1397="Canarias",MAX(E1397*I1397,IF(C1397="CABRERA MORALES FRANCISCO",'Nacional · supuestos'!$C$38,'Nacional · supuestos'!$B$38)),0)</f>
        <v>0</v>
      </c>
      <c r="K1397">
        <f>IF(D1397="Canarias",MAX(E1397*'Nacional · supuestos'!$B$41,'Nacional · supuestos'!$B$42),0)</f>
        <v>0</v>
      </c>
      <c r="L1397">
        <f>IF(D1397="Canarias",E1397*'Nacional · supuestos'!$B$43,0)</f>
        <v>0</v>
      </c>
      <c r="M1397">
        <f>IF(D1397="Canarias",E1397*'Nacional · supuestos'!$B$44,0)</f>
        <v>0</v>
      </c>
      <c r="N1397">
        <f>IF(D1397="Canarias",E1397*'Nacional · supuestos'!$B$45,0)</f>
        <v>0</v>
      </c>
      <c r="O1397">
        <f>IF(D1397="Canarias",'Nacional · supuestos'!$B$46,0)</f>
        <v>0</v>
      </c>
      <c r="P1397">
        <f>IF(D1397="Canarias",MAX(H1397*'Nacional · supuestos'!$B$47,'Nacional · supuestos'!$B$48),0)</f>
        <v>0</v>
      </c>
      <c r="Q1397">
        <f>IF(D1397="Resto nacional",E1397*'Nacional · supuestos'!$B$13*IF(A1397=2027,1+'Nacional · supuestos'!$B$6,1),0)</f>
        <v>649.57307091261043</v>
      </c>
      <c r="R1397">
        <f>IF(D1397="Canarias",SUM(J1397:P1397)*IF(A1397=2027,1+'Nacional · supuestos'!$B$6,1),0)</f>
        <v>0</v>
      </c>
      <c r="S1397">
        <f t="shared" si="28"/>
        <v>649.57307091261043</v>
      </c>
    </row>
    <row r="1398" spans="1:19">
      <c r="A1398">
        <v>2027</v>
      </c>
      <c r="B1398">
        <v>9</v>
      </c>
      <c r="C1398" t="s">
        <v>159</v>
      </c>
      <c r="D1398" t="s">
        <v>160</v>
      </c>
      <c r="E1398">
        <f>SUMIFS('Nacional · base'!$J$7:$J$1068,'Nacional · base'!$A$7:$A$1068,A1398,'Nacional · base'!$B$7:$B$1068,B1398,'Nacional · base'!$C$7:$C$1068,C1398)</f>
        <v>2501.6</v>
      </c>
      <c r="F1398">
        <f>SUMIFS('Nacional · base'!$K$7:$K$1068,'Nacional · base'!$A$7:$A$1068,A1398,'Nacional · base'!$B$7:$B$1068,B1398,'Nacional · base'!$C$7:$C$1068,C1398)</f>
        <v>3.3125</v>
      </c>
      <c r="G1398">
        <f t="shared" si="27"/>
        <v>4</v>
      </c>
      <c r="H1398">
        <f>SUMIFS('Nacional · base'!$G$7:$G$1068,'Nacional · base'!$A$7:$A$1068,A1398,'Nacional · base'!$B$7:$B$1068,B1398,'Nacional · base'!$C$7:$C$1068,C1398)</f>
        <v>5760.7118660364931</v>
      </c>
      <c r="I1398">
        <f>IF(D1398="Canarias",IF(C1398="CABRERA MORALES FRANCISCO",IF(E1398&lt;=2000,'Nacional · supuestos'!$C$34,IF(E1398&lt;=5000,'Nacional · supuestos'!$C$35,'Nacional · supuestos'!$C$36)),IF(E1398&lt;=2000,'Nacional · supuestos'!$B$34,IF(E1398&lt;=5000,'Nacional · supuestos'!$B$35,'Nacional · supuestos'!$B$36))),0)</f>
        <v>0</v>
      </c>
      <c r="J1398">
        <f>IF(D1398="Canarias",MAX(E1398*I1398,IF(C1398="CABRERA MORALES FRANCISCO",'Nacional · supuestos'!$C$38,'Nacional · supuestos'!$B$38)),0)</f>
        <v>0</v>
      </c>
      <c r="K1398">
        <f>IF(D1398="Canarias",MAX(E1398*'Nacional · supuestos'!$B$41,'Nacional · supuestos'!$B$42),0)</f>
        <v>0</v>
      </c>
      <c r="L1398">
        <f>IF(D1398="Canarias",E1398*'Nacional · supuestos'!$B$43,0)</f>
        <v>0</v>
      </c>
      <c r="M1398">
        <f>IF(D1398="Canarias",E1398*'Nacional · supuestos'!$B$44,0)</f>
        <v>0</v>
      </c>
      <c r="N1398">
        <f>IF(D1398="Canarias",E1398*'Nacional · supuestos'!$B$45,0)</f>
        <v>0</v>
      </c>
      <c r="O1398">
        <f>IF(D1398="Canarias",'Nacional · supuestos'!$B$46,0)</f>
        <v>0</v>
      </c>
      <c r="P1398">
        <f>IF(D1398="Canarias",MAX(H1398*'Nacional · supuestos'!$B$47,'Nacional · supuestos'!$B$48),0)</f>
        <v>0</v>
      </c>
      <c r="Q1398">
        <f>IF(D1398="Resto nacional",E1398*'Nacional · supuestos'!$B$13*IF(A1398=2027,1+'Nacional · supuestos'!$B$6,1),0)</f>
        <v>244.00077994428972</v>
      </c>
      <c r="R1398">
        <f>IF(D1398="Canarias",SUM(J1398:P1398)*IF(A1398=2027,1+'Nacional · supuestos'!$B$6,1),0)</f>
        <v>0</v>
      </c>
      <c r="S1398">
        <f t="shared" si="28"/>
        <v>244.00077994428972</v>
      </c>
    </row>
    <row r="1399" spans="1:19">
      <c r="A1399">
        <v>2027</v>
      </c>
      <c r="B1399">
        <v>9</v>
      </c>
      <c r="C1399" t="s">
        <v>161</v>
      </c>
      <c r="D1399" t="s">
        <v>160</v>
      </c>
      <c r="E1399">
        <f>SUMIFS('Nacional · base'!$J$7:$J$1068,'Nacional · base'!$A$7:$A$1068,A1399,'Nacional · base'!$B$7:$B$1068,B1399,'Nacional · base'!$C$7:$C$1068,C1399)</f>
        <v>695</v>
      </c>
      <c r="F1399">
        <f>SUMIFS('Nacional · base'!$K$7:$K$1068,'Nacional · base'!$A$7:$A$1068,A1399,'Nacional · base'!$B$7:$B$1068,B1399,'Nacional · base'!$C$7:$C$1068,C1399)</f>
        <v>0.92666666666666664</v>
      </c>
      <c r="G1399">
        <f t="shared" si="27"/>
        <v>1</v>
      </c>
      <c r="H1399">
        <f>SUMIFS('Nacional · base'!$G$7:$G$1068,'Nacional · base'!$A$7:$A$1068,A1399,'Nacional · base'!$B$7:$B$1068,B1399,'Nacional · base'!$C$7:$C$1068,C1399)</f>
        <v>4571.2945822578995</v>
      </c>
      <c r="I1399">
        <f>IF(D1399="Canarias",IF(C1399="CABRERA MORALES FRANCISCO",IF(E1399&lt;=2000,'Nacional · supuestos'!$C$34,IF(E1399&lt;=5000,'Nacional · supuestos'!$C$35,'Nacional · supuestos'!$C$36)),IF(E1399&lt;=2000,'Nacional · supuestos'!$B$34,IF(E1399&lt;=5000,'Nacional · supuestos'!$B$35,'Nacional · supuestos'!$B$36))),0)</f>
        <v>0</v>
      </c>
      <c r="J1399">
        <f>IF(D1399="Canarias",MAX(E1399*I1399,IF(C1399="CABRERA MORALES FRANCISCO",'Nacional · supuestos'!$C$38,'Nacional · supuestos'!$B$38)),0)</f>
        <v>0</v>
      </c>
      <c r="K1399">
        <f>IF(D1399="Canarias",MAX(E1399*'Nacional · supuestos'!$B$41,'Nacional · supuestos'!$B$42),0)</f>
        <v>0</v>
      </c>
      <c r="L1399">
        <f>IF(D1399="Canarias",E1399*'Nacional · supuestos'!$B$43,0)</f>
        <v>0</v>
      </c>
      <c r="M1399">
        <f>IF(D1399="Canarias",E1399*'Nacional · supuestos'!$B$44,0)</f>
        <v>0</v>
      </c>
      <c r="N1399">
        <f>IF(D1399="Canarias",E1399*'Nacional · supuestos'!$B$45,0)</f>
        <v>0</v>
      </c>
      <c r="O1399">
        <f>IF(D1399="Canarias",'Nacional · supuestos'!$B$46,0)</f>
        <v>0</v>
      </c>
      <c r="P1399">
        <f>IF(D1399="Canarias",MAX(H1399*'Nacional · supuestos'!$B$47,'Nacional · supuestos'!$B$48),0)</f>
        <v>0</v>
      </c>
      <c r="Q1399">
        <f>IF(D1399="Resto nacional",E1399*'Nacional · supuestos'!$B$13*IF(A1399=2027,1+'Nacional · supuestos'!$B$6,1),0)</f>
        <v>67.788831972050417</v>
      </c>
      <c r="R1399">
        <f>IF(D1399="Canarias",SUM(J1399:P1399)*IF(A1399=2027,1+'Nacional · supuestos'!$B$6,1),0)</f>
        <v>0</v>
      </c>
      <c r="S1399">
        <f t="shared" si="28"/>
        <v>67.788831972050417</v>
      </c>
    </row>
    <row r="1400" spans="1:19">
      <c r="A1400">
        <v>2027</v>
      </c>
      <c r="B1400">
        <v>9</v>
      </c>
      <c r="C1400" t="s">
        <v>162</v>
      </c>
      <c r="D1400" t="s">
        <v>160</v>
      </c>
      <c r="E1400">
        <f>SUMIFS('Nacional · base'!$J$7:$J$1068,'Nacional · base'!$A$7:$A$1068,A1400,'Nacional · base'!$B$7:$B$1068,B1400,'Nacional · base'!$C$7:$C$1068,C1400)</f>
        <v>13225</v>
      </c>
      <c r="F1400">
        <f>SUMIFS('Nacional · base'!$K$7:$K$1068,'Nacional · base'!$A$7:$A$1068,A1400,'Nacional · base'!$B$7:$B$1068,B1400,'Nacional · base'!$C$7:$C$1068,C1400)</f>
        <v>13.406666666666666</v>
      </c>
      <c r="G1400">
        <f t="shared" si="27"/>
        <v>14</v>
      </c>
      <c r="H1400">
        <f>SUMIFS('Nacional · base'!$G$7:$G$1068,'Nacional · base'!$A$7:$A$1068,A1400,'Nacional · base'!$B$7:$B$1068,B1400,'Nacional · base'!$C$7:$C$1068,C1400)</f>
        <v>24715.668258989626</v>
      </c>
      <c r="I1400">
        <f>IF(D1400="Canarias",IF(C1400="CABRERA MORALES FRANCISCO",IF(E1400&lt;=2000,'Nacional · supuestos'!$C$34,IF(E1400&lt;=5000,'Nacional · supuestos'!$C$35,'Nacional · supuestos'!$C$36)),IF(E1400&lt;=2000,'Nacional · supuestos'!$B$34,IF(E1400&lt;=5000,'Nacional · supuestos'!$B$35,'Nacional · supuestos'!$B$36))),0)</f>
        <v>0</v>
      </c>
      <c r="J1400">
        <f>IF(D1400="Canarias",MAX(E1400*I1400,IF(C1400="CABRERA MORALES FRANCISCO",'Nacional · supuestos'!$C$38,'Nacional · supuestos'!$B$38)),0)</f>
        <v>0</v>
      </c>
      <c r="K1400">
        <f>IF(D1400="Canarias",MAX(E1400*'Nacional · supuestos'!$B$41,'Nacional · supuestos'!$B$42),0)</f>
        <v>0</v>
      </c>
      <c r="L1400">
        <f>IF(D1400="Canarias",E1400*'Nacional · supuestos'!$B$43,0)</f>
        <v>0</v>
      </c>
      <c r="M1400">
        <f>IF(D1400="Canarias",E1400*'Nacional · supuestos'!$B$44,0)</f>
        <v>0</v>
      </c>
      <c r="N1400">
        <f>IF(D1400="Canarias",E1400*'Nacional · supuestos'!$B$45,0)</f>
        <v>0</v>
      </c>
      <c r="O1400">
        <f>IF(D1400="Canarias",'Nacional · supuestos'!$B$46,0)</f>
        <v>0</v>
      </c>
      <c r="P1400">
        <f>IF(D1400="Canarias",MAX(H1400*'Nacional · supuestos'!$B$47,'Nacional · supuestos'!$B$48),0)</f>
        <v>0</v>
      </c>
      <c r="Q1400">
        <f>IF(D1400="Resto nacional",E1400*'Nacional · supuestos'!$B$13*IF(A1400=2027,1+'Nacional · supuestos'!$B$6,1),0)</f>
        <v>1289.9385652235494</v>
      </c>
      <c r="R1400">
        <f>IF(D1400="Canarias",SUM(J1400:P1400)*IF(A1400=2027,1+'Nacional · supuestos'!$B$6,1),0)</f>
        <v>0</v>
      </c>
      <c r="S1400">
        <f t="shared" si="28"/>
        <v>1289.9385652235494</v>
      </c>
    </row>
    <row r="1401" spans="1:19">
      <c r="A1401">
        <v>2027</v>
      </c>
      <c r="B1401">
        <v>9</v>
      </c>
      <c r="C1401" t="s">
        <v>163</v>
      </c>
      <c r="D1401" t="s">
        <v>164</v>
      </c>
      <c r="E1401">
        <f>SUMIFS('Nacional · base'!$J$7:$J$1068,'Nacional · base'!$A$7:$A$1068,A1401,'Nacional · base'!$B$7:$B$1068,B1401,'Nacional · base'!$C$7:$C$1068,C1401)</f>
        <v>3028</v>
      </c>
      <c r="F1401">
        <f>SUMIFS('Nacional · base'!$K$7:$K$1068,'Nacional · base'!$A$7:$A$1068,A1401,'Nacional · base'!$B$7:$B$1068,B1401,'Nacional · base'!$C$7:$C$1068,C1401)</f>
        <v>3.4249999999999998</v>
      </c>
      <c r="G1401">
        <f t="shared" si="27"/>
        <v>4</v>
      </c>
      <c r="H1401">
        <f>SUMIFS('Nacional · base'!$G$7:$G$1068,'Nacional · base'!$A$7:$A$1068,A1401,'Nacional · base'!$B$7:$B$1068,B1401,'Nacional · base'!$C$7:$C$1068,C1401)</f>
        <v>6647.189684564355</v>
      </c>
      <c r="I1401">
        <f>IF(D1401="Canarias",IF(C1401="CABRERA MORALES FRANCISCO",IF(E1401&lt;=2000,'Nacional · supuestos'!$C$34,IF(E1401&lt;=5000,'Nacional · supuestos'!$C$35,'Nacional · supuestos'!$C$36)),IF(E1401&lt;=2000,'Nacional · supuestos'!$B$34,IF(E1401&lt;=5000,'Nacional · supuestos'!$B$35,'Nacional · supuestos'!$B$36))),0)</f>
        <v>0.108</v>
      </c>
      <c r="J1401">
        <f>IF(D1401="Canarias",MAX(E1401*I1401,IF(C1401="CABRERA MORALES FRANCISCO",'Nacional · supuestos'!$C$38,'Nacional · supuestos'!$B$38)),0)</f>
        <v>327.024</v>
      </c>
      <c r="K1401">
        <f>IF(D1401="Canarias",MAX(E1401*'Nacional · supuestos'!$B$41,'Nacional · supuestos'!$B$42),0)</f>
        <v>109.008</v>
      </c>
      <c r="L1401">
        <f>IF(D1401="Canarias",E1401*'Nacional · supuestos'!$B$43,0)</f>
        <v>36.335999999999999</v>
      </c>
      <c r="M1401">
        <f>IF(D1401="Canarias",E1401*'Nacional · supuestos'!$B$44,0)</f>
        <v>54.503999999999998</v>
      </c>
      <c r="N1401">
        <f>IF(D1401="Canarias",E1401*'Nacional · supuestos'!$B$45,0)</f>
        <v>66.616</v>
      </c>
      <c r="O1401">
        <f>IF(D1401="Canarias",'Nacional · supuestos'!$B$46,0)</f>
        <v>15</v>
      </c>
      <c r="P1401">
        <f>IF(D1401="Canarias",MAX(H1401*'Nacional · supuestos'!$B$47,'Nacional · supuestos'!$B$48),0)</f>
        <v>29.912353580539595</v>
      </c>
      <c r="Q1401">
        <f>IF(D1401="Resto nacional",E1401*'Nacional · supuestos'!$B$13*IF(A1401=2027,1+'Nacional · supuestos'!$B$6,1),0)</f>
        <v>0</v>
      </c>
      <c r="R1401">
        <f>IF(D1401="Canarias",SUM(J1401:P1401)*IF(A1401=2027,1+'Nacional · supuestos'!$B$6,1),0)</f>
        <v>702.24038893859358</v>
      </c>
      <c r="S1401">
        <f t="shared" si="28"/>
        <v>702.24038893859358</v>
      </c>
    </row>
    <row r="1402" spans="1:19">
      <c r="A1402">
        <v>2027</v>
      </c>
      <c r="B1402">
        <v>9</v>
      </c>
      <c r="C1402" t="s">
        <v>165</v>
      </c>
      <c r="D1402" t="s">
        <v>160</v>
      </c>
      <c r="E1402">
        <f>SUMIFS('Nacional · base'!$J$7:$J$1068,'Nacional · base'!$A$7:$A$1068,A1402,'Nacional · base'!$B$7:$B$1068,B1402,'Nacional · base'!$C$7:$C$1068,C1402)</f>
        <v>580</v>
      </c>
      <c r="F1402">
        <f>SUMIFS('Nacional · base'!$K$7:$K$1068,'Nacional · base'!$A$7:$A$1068,A1402,'Nacional · base'!$B$7:$B$1068,B1402,'Nacional · base'!$C$7:$C$1068,C1402)</f>
        <v>0.77333333333333332</v>
      </c>
      <c r="G1402">
        <f t="shared" si="27"/>
        <v>1</v>
      </c>
      <c r="H1402">
        <f>SUMIFS('Nacional · base'!$G$7:$G$1068,'Nacional · base'!$A$7:$A$1068,A1402,'Nacional · base'!$B$7:$B$1068,B1402,'Nacional · base'!$C$7:$C$1068,C1402)</f>
        <v>4083.9309634879482</v>
      </c>
      <c r="I1402">
        <f>IF(D1402="Canarias",IF(C1402="CABRERA MORALES FRANCISCO",IF(E1402&lt;=2000,'Nacional · supuestos'!$C$34,IF(E1402&lt;=5000,'Nacional · supuestos'!$C$35,'Nacional · supuestos'!$C$36)),IF(E1402&lt;=2000,'Nacional · supuestos'!$B$34,IF(E1402&lt;=5000,'Nacional · supuestos'!$B$35,'Nacional · supuestos'!$B$36))),0)</f>
        <v>0</v>
      </c>
      <c r="J1402">
        <f>IF(D1402="Canarias",MAX(E1402*I1402,IF(C1402="CABRERA MORALES FRANCISCO",'Nacional · supuestos'!$C$38,'Nacional · supuestos'!$B$38)),0)</f>
        <v>0</v>
      </c>
      <c r="K1402">
        <f>IF(D1402="Canarias",MAX(E1402*'Nacional · supuestos'!$B$41,'Nacional · supuestos'!$B$42),0)</f>
        <v>0</v>
      </c>
      <c r="L1402">
        <f>IF(D1402="Canarias",E1402*'Nacional · supuestos'!$B$43,0)</f>
        <v>0</v>
      </c>
      <c r="M1402">
        <f>IF(D1402="Canarias",E1402*'Nacional · supuestos'!$B$44,0)</f>
        <v>0</v>
      </c>
      <c r="N1402">
        <f>IF(D1402="Canarias",E1402*'Nacional · supuestos'!$B$45,0)</f>
        <v>0</v>
      </c>
      <c r="O1402">
        <f>IF(D1402="Canarias",'Nacional · supuestos'!$B$46,0)</f>
        <v>0</v>
      </c>
      <c r="P1402">
        <f>IF(D1402="Canarias",MAX(H1402*'Nacional · supuestos'!$B$47,'Nacional · supuestos'!$B$48),0)</f>
        <v>0</v>
      </c>
      <c r="Q1402">
        <f>IF(D1402="Resto nacional",E1402*'Nacional · supuestos'!$B$13*IF(A1402=2027,1+'Nacional · supuestos'!$B$6,1),0)</f>
        <v>56.571974883149991</v>
      </c>
      <c r="R1402">
        <f>IF(D1402="Canarias",SUM(J1402:P1402)*IF(A1402=2027,1+'Nacional · supuestos'!$B$6,1),0)</f>
        <v>0</v>
      </c>
      <c r="S1402">
        <f t="shared" si="28"/>
        <v>56.571974883149991</v>
      </c>
    </row>
    <row r="1403" spans="1:19">
      <c r="A1403">
        <v>2027</v>
      </c>
      <c r="B1403">
        <v>9</v>
      </c>
      <c r="C1403" t="s">
        <v>166</v>
      </c>
      <c r="D1403" t="s">
        <v>160</v>
      </c>
      <c r="E1403">
        <f>SUMIFS('Nacional · base'!$J$7:$J$1068,'Nacional · base'!$A$7:$A$1068,A1403,'Nacional · base'!$B$7:$B$1068,B1403,'Nacional · base'!$C$7:$C$1068,C1403)</f>
        <v>1140</v>
      </c>
      <c r="F1403">
        <f>SUMIFS('Nacional · base'!$K$7:$K$1068,'Nacional · base'!$A$7:$A$1068,A1403,'Nacional · base'!$B$7:$B$1068,B1403,'Nacional · base'!$C$7:$C$1068,C1403)</f>
        <v>1.425</v>
      </c>
      <c r="G1403">
        <f t="shared" si="27"/>
        <v>2</v>
      </c>
      <c r="H1403">
        <f>SUMIFS('Nacional · base'!$G$7:$G$1068,'Nacional · base'!$A$7:$A$1068,A1403,'Nacional · base'!$B$7:$B$1068,B1403,'Nacional · base'!$C$7:$C$1068,C1403)</f>
        <v>1936.9459446012677</v>
      </c>
      <c r="I1403">
        <f>IF(D1403="Canarias",IF(C1403="CABRERA MORALES FRANCISCO",IF(E1403&lt;=2000,'Nacional · supuestos'!$C$34,IF(E1403&lt;=5000,'Nacional · supuestos'!$C$35,'Nacional · supuestos'!$C$36)),IF(E1403&lt;=2000,'Nacional · supuestos'!$B$34,IF(E1403&lt;=5000,'Nacional · supuestos'!$B$35,'Nacional · supuestos'!$B$36))),0)</f>
        <v>0</v>
      </c>
      <c r="J1403">
        <f>IF(D1403="Canarias",MAX(E1403*I1403,IF(C1403="CABRERA MORALES FRANCISCO",'Nacional · supuestos'!$C$38,'Nacional · supuestos'!$B$38)),0)</f>
        <v>0</v>
      </c>
      <c r="K1403">
        <f>IF(D1403="Canarias",MAX(E1403*'Nacional · supuestos'!$B$41,'Nacional · supuestos'!$B$42),0)</f>
        <v>0</v>
      </c>
      <c r="L1403">
        <f>IF(D1403="Canarias",E1403*'Nacional · supuestos'!$B$43,0)</f>
        <v>0</v>
      </c>
      <c r="M1403">
        <f>IF(D1403="Canarias",E1403*'Nacional · supuestos'!$B$44,0)</f>
        <v>0</v>
      </c>
      <c r="N1403">
        <f>IF(D1403="Canarias",E1403*'Nacional · supuestos'!$B$45,0)</f>
        <v>0</v>
      </c>
      <c r="O1403">
        <f>IF(D1403="Canarias",'Nacional · supuestos'!$B$46,0)</f>
        <v>0</v>
      </c>
      <c r="P1403">
        <f>IF(D1403="Canarias",MAX(H1403*'Nacional · supuestos'!$B$47,'Nacional · supuestos'!$B$48),0)</f>
        <v>0</v>
      </c>
      <c r="Q1403">
        <f>IF(D1403="Resto nacional",E1403*'Nacional · supuestos'!$B$13*IF(A1403=2027,1+'Nacional · supuestos'!$B$6,1),0)</f>
        <v>111.19319201170862</v>
      </c>
      <c r="R1403">
        <f>IF(D1403="Canarias",SUM(J1403:P1403)*IF(A1403=2027,1+'Nacional · supuestos'!$B$6,1),0)</f>
        <v>0</v>
      </c>
      <c r="S1403">
        <f t="shared" si="28"/>
        <v>111.19319201170862</v>
      </c>
    </row>
    <row r="1404" spans="1:19">
      <c r="A1404">
        <v>2027</v>
      </c>
      <c r="B1404">
        <v>9</v>
      </c>
      <c r="C1404" t="s">
        <v>167</v>
      </c>
      <c r="D1404" t="s">
        <v>160</v>
      </c>
      <c r="E1404">
        <f>SUMIFS('Nacional · base'!$J$7:$J$1068,'Nacional · base'!$A$7:$A$1068,A1404,'Nacional · base'!$B$7:$B$1068,B1404,'Nacional · base'!$C$7:$C$1068,C1404)</f>
        <v>520</v>
      </c>
      <c r="F1404">
        <f>SUMIFS('Nacional · base'!$K$7:$K$1068,'Nacional · base'!$A$7:$A$1068,A1404,'Nacional · base'!$B$7:$B$1068,B1404,'Nacional · base'!$C$7:$C$1068,C1404)</f>
        <v>0.67500000000000004</v>
      </c>
      <c r="G1404">
        <f t="shared" si="27"/>
        <v>1</v>
      </c>
      <c r="H1404">
        <f>SUMIFS('Nacional · base'!$G$7:$G$1068,'Nacional · base'!$A$7:$A$1068,A1404,'Nacional · base'!$B$7:$B$1068,B1404,'Nacional · base'!$C$7:$C$1068,C1404)</f>
        <v>3057.8433449512499</v>
      </c>
      <c r="I1404">
        <f>IF(D1404="Canarias",IF(C1404="CABRERA MORALES FRANCISCO",IF(E1404&lt;=2000,'Nacional · supuestos'!$C$34,IF(E1404&lt;=5000,'Nacional · supuestos'!$C$35,'Nacional · supuestos'!$C$36)),IF(E1404&lt;=2000,'Nacional · supuestos'!$B$34,IF(E1404&lt;=5000,'Nacional · supuestos'!$B$35,'Nacional · supuestos'!$B$36))),0)</f>
        <v>0</v>
      </c>
      <c r="J1404">
        <f>IF(D1404="Canarias",MAX(E1404*I1404,IF(C1404="CABRERA MORALES FRANCISCO",'Nacional · supuestos'!$C$38,'Nacional · supuestos'!$B$38)),0)</f>
        <v>0</v>
      </c>
      <c r="K1404">
        <f>IF(D1404="Canarias",MAX(E1404*'Nacional · supuestos'!$B$41,'Nacional · supuestos'!$B$42),0)</f>
        <v>0</v>
      </c>
      <c r="L1404">
        <f>IF(D1404="Canarias",E1404*'Nacional · supuestos'!$B$43,0)</f>
        <v>0</v>
      </c>
      <c r="M1404">
        <f>IF(D1404="Canarias",E1404*'Nacional · supuestos'!$B$44,0)</f>
        <v>0</v>
      </c>
      <c r="N1404">
        <f>IF(D1404="Canarias",E1404*'Nacional · supuestos'!$B$45,0)</f>
        <v>0</v>
      </c>
      <c r="O1404">
        <f>IF(D1404="Canarias",'Nacional · supuestos'!$B$46,0)</f>
        <v>0</v>
      </c>
      <c r="P1404">
        <f>IF(D1404="Canarias",MAX(H1404*'Nacional · supuestos'!$B$47,'Nacional · supuestos'!$B$48),0)</f>
        <v>0</v>
      </c>
      <c r="Q1404">
        <f>IF(D1404="Resto nacional",E1404*'Nacional · supuestos'!$B$13*IF(A1404=2027,1+'Nacional · supuestos'!$B$6,1),0)</f>
        <v>50.719701619375854</v>
      </c>
      <c r="R1404">
        <f>IF(D1404="Canarias",SUM(J1404:P1404)*IF(A1404=2027,1+'Nacional · supuestos'!$B$6,1),0)</f>
        <v>0</v>
      </c>
      <c r="S1404">
        <f t="shared" si="28"/>
        <v>50.719701619375854</v>
      </c>
    </row>
    <row r="1405" spans="1:19">
      <c r="A1405">
        <v>2027</v>
      </c>
      <c r="B1405">
        <v>9</v>
      </c>
      <c r="C1405" t="s">
        <v>168</v>
      </c>
      <c r="D1405" t="s">
        <v>160</v>
      </c>
      <c r="E1405">
        <f>SUMIFS('Nacional · base'!$J$7:$J$1068,'Nacional · base'!$A$7:$A$1068,A1405,'Nacional · base'!$B$7:$B$1068,B1405,'Nacional · base'!$C$7:$C$1068,C1405)</f>
        <v>566.4</v>
      </c>
      <c r="F1405">
        <f>SUMIFS('Nacional · base'!$K$7:$K$1068,'Nacional · base'!$A$7:$A$1068,A1405,'Nacional · base'!$B$7:$B$1068,B1405,'Nacional · base'!$C$7:$C$1068,C1405)</f>
        <v>0.75</v>
      </c>
      <c r="G1405">
        <f t="shared" si="27"/>
        <v>1</v>
      </c>
      <c r="H1405">
        <f>SUMIFS('Nacional · base'!$G$7:$G$1068,'Nacional · base'!$A$7:$A$1068,A1405,'Nacional · base'!$B$7:$B$1068,B1405,'Nacional · base'!$C$7:$C$1068,C1405)</f>
        <v>1184.0296983638016</v>
      </c>
      <c r="I1405">
        <f>IF(D1405="Canarias",IF(C1405="CABRERA MORALES FRANCISCO",IF(E1405&lt;=2000,'Nacional · supuestos'!$C$34,IF(E1405&lt;=5000,'Nacional · supuestos'!$C$35,'Nacional · supuestos'!$C$36)),IF(E1405&lt;=2000,'Nacional · supuestos'!$B$34,IF(E1405&lt;=5000,'Nacional · supuestos'!$B$35,'Nacional · supuestos'!$B$36))),0)</f>
        <v>0</v>
      </c>
      <c r="J1405">
        <f>IF(D1405="Canarias",MAX(E1405*I1405,IF(C1405="CABRERA MORALES FRANCISCO",'Nacional · supuestos'!$C$38,'Nacional · supuestos'!$B$38)),0)</f>
        <v>0</v>
      </c>
      <c r="K1405">
        <f>IF(D1405="Canarias",MAX(E1405*'Nacional · supuestos'!$B$41,'Nacional · supuestos'!$B$42),0)</f>
        <v>0</v>
      </c>
      <c r="L1405">
        <f>IF(D1405="Canarias",E1405*'Nacional · supuestos'!$B$43,0)</f>
        <v>0</v>
      </c>
      <c r="M1405">
        <f>IF(D1405="Canarias",E1405*'Nacional · supuestos'!$B$44,0)</f>
        <v>0</v>
      </c>
      <c r="N1405">
        <f>IF(D1405="Canarias",E1405*'Nacional · supuestos'!$B$45,0)</f>
        <v>0</v>
      </c>
      <c r="O1405">
        <f>IF(D1405="Canarias",'Nacional · supuestos'!$B$46,0)</f>
        <v>0</v>
      </c>
      <c r="P1405">
        <f>IF(D1405="Canarias",MAX(H1405*'Nacional · supuestos'!$B$47,'Nacional · supuestos'!$B$48),0)</f>
        <v>0</v>
      </c>
      <c r="Q1405">
        <f>IF(D1405="Resto nacional",E1405*'Nacional · supuestos'!$B$13*IF(A1405=2027,1+'Nacional · supuestos'!$B$6,1),0)</f>
        <v>55.245459610027858</v>
      </c>
      <c r="R1405">
        <f>IF(D1405="Canarias",SUM(J1405:P1405)*IF(A1405=2027,1+'Nacional · supuestos'!$B$6,1),0)</f>
        <v>0</v>
      </c>
      <c r="S1405">
        <f t="shared" si="28"/>
        <v>55.245459610027858</v>
      </c>
    </row>
    <row r="1406" spans="1:19">
      <c r="A1406">
        <v>2027</v>
      </c>
      <c r="B1406">
        <v>9</v>
      </c>
      <c r="C1406" t="s">
        <v>169</v>
      </c>
      <c r="D1406" t="s">
        <v>160</v>
      </c>
      <c r="E1406">
        <f>SUMIFS('Nacional · base'!$J$7:$J$1068,'Nacional · base'!$A$7:$A$1068,A1406,'Nacional · base'!$B$7:$B$1068,B1406,'Nacional · base'!$C$7:$C$1068,C1406)</f>
        <v>955.8</v>
      </c>
      <c r="F1406">
        <f>SUMIFS('Nacional · base'!$K$7:$K$1068,'Nacional · base'!$A$7:$A$1068,A1406,'Nacional · base'!$B$7:$B$1068,B1406,'Nacional · base'!$C$7:$C$1068,C1406)</f>
        <v>1.3187500000000001</v>
      </c>
      <c r="G1406">
        <f t="shared" si="27"/>
        <v>2</v>
      </c>
      <c r="H1406">
        <f>SUMIFS('Nacional · base'!$G$7:$G$1068,'Nacional · base'!$A$7:$A$1068,A1406,'Nacional · base'!$B$7:$B$1068,B1406,'Nacional · base'!$C$7:$C$1068,C1406)</f>
        <v>4096.2803942367136</v>
      </c>
      <c r="I1406">
        <f>IF(D1406="Canarias",IF(C1406="CABRERA MORALES FRANCISCO",IF(E1406&lt;=2000,'Nacional · supuestos'!$C$34,IF(E1406&lt;=5000,'Nacional · supuestos'!$C$35,'Nacional · supuestos'!$C$36)),IF(E1406&lt;=2000,'Nacional · supuestos'!$B$34,IF(E1406&lt;=5000,'Nacional · supuestos'!$B$35,'Nacional · supuestos'!$B$36))),0)</f>
        <v>0</v>
      </c>
      <c r="J1406">
        <f>IF(D1406="Canarias",MAX(E1406*I1406,IF(C1406="CABRERA MORALES FRANCISCO",'Nacional · supuestos'!$C$38,'Nacional · supuestos'!$B$38)),0)</f>
        <v>0</v>
      </c>
      <c r="K1406">
        <f>IF(D1406="Canarias",MAX(E1406*'Nacional · supuestos'!$B$41,'Nacional · supuestos'!$B$42),0)</f>
        <v>0</v>
      </c>
      <c r="L1406">
        <f>IF(D1406="Canarias",E1406*'Nacional · supuestos'!$B$43,0)</f>
        <v>0</v>
      </c>
      <c r="M1406">
        <f>IF(D1406="Canarias",E1406*'Nacional · supuestos'!$B$44,0)</f>
        <v>0</v>
      </c>
      <c r="N1406">
        <f>IF(D1406="Canarias",E1406*'Nacional · supuestos'!$B$45,0)</f>
        <v>0</v>
      </c>
      <c r="O1406">
        <f>IF(D1406="Canarias",'Nacional · supuestos'!$B$46,0)</f>
        <v>0</v>
      </c>
      <c r="P1406">
        <f>IF(D1406="Canarias",MAX(H1406*'Nacional · supuestos'!$B$47,'Nacional · supuestos'!$B$48),0)</f>
        <v>0</v>
      </c>
      <c r="Q1406">
        <f>IF(D1406="Resto nacional",E1406*'Nacional · supuestos'!$B$13*IF(A1406=2027,1+'Nacional · supuestos'!$B$6,1),0)</f>
        <v>93.226713091922008</v>
      </c>
      <c r="R1406">
        <f>IF(D1406="Canarias",SUM(J1406:P1406)*IF(A1406=2027,1+'Nacional · supuestos'!$B$6,1),0)</f>
        <v>0</v>
      </c>
      <c r="S1406">
        <f t="shared" si="28"/>
        <v>93.226713091922008</v>
      </c>
    </row>
    <row r="1407" spans="1:19">
      <c r="A1407">
        <v>2027</v>
      </c>
      <c r="B1407">
        <v>9</v>
      </c>
      <c r="C1407" t="s">
        <v>170</v>
      </c>
      <c r="D1407" t="s">
        <v>160</v>
      </c>
      <c r="E1407">
        <f>SUMIFS('Nacional · base'!$J$7:$J$1068,'Nacional · base'!$A$7:$A$1068,A1407,'Nacional · base'!$B$7:$B$1068,B1407,'Nacional · base'!$C$7:$C$1068,C1407)</f>
        <v>7422.2</v>
      </c>
      <c r="F1407">
        <f>SUMIFS('Nacional · base'!$K$7:$K$1068,'Nacional · base'!$A$7:$A$1068,A1407,'Nacional · base'!$B$7:$B$1068,B1407,'Nacional · base'!$C$7:$C$1068,C1407)</f>
        <v>9.8604166666666675</v>
      </c>
      <c r="G1407">
        <f t="shared" si="27"/>
        <v>10</v>
      </c>
      <c r="H1407">
        <f>SUMIFS('Nacional · base'!$G$7:$G$1068,'Nacional · base'!$A$7:$A$1068,A1407,'Nacional · base'!$B$7:$B$1068,B1407,'Nacional · base'!$C$7:$C$1068,C1407)</f>
        <v>20754.987672018491</v>
      </c>
      <c r="I1407">
        <f>IF(D1407="Canarias",IF(C1407="CABRERA MORALES FRANCISCO",IF(E1407&lt;=2000,'Nacional · supuestos'!$C$34,IF(E1407&lt;=5000,'Nacional · supuestos'!$C$35,'Nacional · supuestos'!$C$36)),IF(E1407&lt;=2000,'Nacional · supuestos'!$B$34,IF(E1407&lt;=5000,'Nacional · supuestos'!$B$35,'Nacional · supuestos'!$B$36))),0)</f>
        <v>0</v>
      </c>
      <c r="J1407">
        <f>IF(D1407="Canarias",MAX(E1407*I1407,IF(C1407="CABRERA MORALES FRANCISCO",'Nacional · supuestos'!$C$38,'Nacional · supuestos'!$B$38)),0)</f>
        <v>0</v>
      </c>
      <c r="K1407">
        <f>IF(D1407="Canarias",MAX(E1407*'Nacional · supuestos'!$B$41,'Nacional · supuestos'!$B$42),0)</f>
        <v>0</v>
      </c>
      <c r="L1407">
        <f>IF(D1407="Canarias",E1407*'Nacional · supuestos'!$B$43,0)</f>
        <v>0</v>
      </c>
      <c r="M1407">
        <f>IF(D1407="Canarias",E1407*'Nacional · supuestos'!$B$44,0)</f>
        <v>0</v>
      </c>
      <c r="N1407">
        <f>IF(D1407="Canarias",E1407*'Nacional · supuestos'!$B$45,0)</f>
        <v>0</v>
      </c>
      <c r="O1407">
        <f>IF(D1407="Canarias",'Nacional · supuestos'!$B$46,0)</f>
        <v>0</v>
      </c>
      <c r="P1407">
        <f>IF(D1407="Canarias",MAX(H1407*'Nacional · supuestos'!$B$47,'Nacional · supuestos'!$B$48),0)</f>
        <v>0</v>
      </c>
      <c r="Q1407">
        <f>IF(D1407="Resto nacional",E1407*'Nacional · supuestos'!$B$13*IF(A1407=2027,1+'Nacional · supuestos'!$B$6,1),0)</f>
        <v>723.94571030640668</v>
      </c>
      <c r="R1407">
        <f>IF(D1407="Canarias",SUM(J1407:P1407)*IF(A1407=2027,1+'Nacional · supuestos'!$B$6,1),0)</f>
        <v>0</v>
      </c>
      <c r="S1407">
        <f t="shared" si="28"/>
        <v>723.94571030640668</v>
      </c>
    </row>
    <row r="1408" spans="1:19">
      <c r="A1408">
        <v>2027</v>
      </c>
      <c r="B1408">
        <v>9</v>
      </c>
      <c r="C1408" t="s">
        <v>171</v>
      </c>
      <c r="D1408" t="s">
        <v>164</v>
      </c>
      <c r="E1408">
        <f>SUMIFS('Nacional · base'!$J$7:$J$1068,'Nacional · base'!$A$7:$A$1068,A1408,'Nacional · base'!$B$7:$B$1068,B1408,'Nacional · base'!$C$7:$C$1068,C1408)</f>
        <v>6900</v>
      </c>
      <c r="F1408">
        <f>SUMIFS('Nacional · base'!$K$7:$K$1068,'Nacional · base'!$A$7:$A$1068,A1408,'Nacional · base'!$B$7:$B$1068,B1408,'Nacional · base'!$C$7:$C$1068,C1408)</f>
        <v>9.1999999999999993</v>
      </c>
      <c r="G1408">
        <f t="shared" si="27"/>
        <v>10</v>
      </c>
      <c r="H1408">
        <f>SUMIFS('Nacional · base'!$G$7:$G$1068,'Nacional · base'!$A$7:$A$1068,A1408,'Nacional · base'!$B$7:$B$1068,B1408,'Nacional · base'!$C$7:$C$1068,C1408)</f>
        <v>12398.599739522511</v>
      </c>
      <c r="I1408">
        <f>IF(D1408="Canarias",IF(C1408="CABRERA MORALES FRANCISCO",IF(E1408&lt;=2000,'Nacional · supuestos'!$C$34,IF(E1408&lt;=5000,'Nacional · supuestos'!$C$35,'Nacional · supuestos'!$C$36)),IF(E1408&lt;=2000,'Nacional · supuestos'!$B$34,IF(E1408&lt;=5000,'Nacional · supuestos'!$B$35,'Nacional · supuestos'!$B$36))),0)</f>
        <v>0.19800000000000001</v>
      </c>
      <c r="J1408">
        <f>IF(D1408="Canarias",MAX(E1408*I1408,IF(C1408="CABRERA MORALES FRANCISCO",'Nacional · supuestos'!$C$38,'Nacional · supuestos'!$B$38)),0)</f>
        <v>1366.2</v>
      </c>
      <c r="K1408">
        <f>IF(D1408="Canarias",MAX(E1408*'Nacional · supuestos'!$B$41,'Nacional · supuestos'!$B$42),0)</f>
        <v>248.39999999999998</v>
      </c>
      <c r="L1408">
        <f>IF(D1408="Canarias",E1408*'Nacional · supuestos'!$B$43,0)</f>
        <v>82.8</v>
      </c>
      <c r="M1408">
        <f>IF(D1408="Canarias",E1408*'Nacional · supuestos'!$B$44,0)</f>
        <v>124.19999999999999</v>
      </c>
      <c r="N1408">
        <f>IF(D1408="Canarias",E1408*'Nacional · supuestos'!$B$45,0)</f>
        <v>151.79999999999998</v>
      </c>
      <c r="O1408">
        <f>IF(D1408="Canarias",'Nacional · supuestos'!$B$46,0)</f>
        <v>15</v>
      </c>
      <c r="P1408">
        <f>IF(D1408="Canarias",MAX(H1408*'Nacional · supuestos'!$B$47,'Nacional · supuestos'!$B$48),0)</f>
        <v>55.793698827851294</v>
      </c>
      <c r="Q1408">
        <f>IF(D1408="Resto nacional",E1408*'Nacional · supuestos'!$B$13*IF(A1408=2027,1+'Nacional · supuestos'!$B$6,1),0)</f>
        <v>0</v>
      </c>
      <c r="R1408">
        <f>IF(D1408="Canarias",SUM(J1408:P1408)*IF(A1408=2027,1+'Nacional · supuestos'!$B$6,1),0)</f>
        <v>2248.6130687106365</v>
      </c>
      <c r="S1408">
        <f t="shared" si="28"/>
        <v>2248.6130687106365</v>
      </c>
    </row>
    <row r="1409" spans="1:19">
      <c r="A1409">
        <v>2027</v>
      </c>
      <c r="B1409">
        <v>9</v>
      </c>
      <c r="C1409" t="s">
        <v>172</v>
      </c>
      <c r="D1409" t="s">
        <v>160</v>
      </c>
      <c r="E1409">
        <f>SUMIFS('Nacional · base'!$J$7:$J$1068,'Nacional · base'!$A$7:$A$1068,A1409,'Nacional · base'!$B$7:$B$1068,B1409,'Nacional · base'!$C$7:$C$1068,C1409)</f>
        <v>13298.619999999999</v>
      </c>
      <c r="F1409">
        <f>SUMIFS('Nacional · base'!$K$7:$K$1068,'Nacional · base'!$A$7:$A$1068,A1409,'Nacional · base'!$B$7:$B$1068,B1409,'Nacional · base'!$C$7:$C$1068,C1409)</f>
        <v>17.738560606060609</v>
      </c>
      <c r="G1409">
        <f t="shared" si="27"/>
        <v>18</v>
      </c>
      <c r="H1409">
        <f>SUMIFS('Nacional · base'!$G$7:$G$1068,'Nacional · base'!$A$7:$A$1068,A1409,'Nacional · base'!$B$7:$B$1068,B1409,'Nacional · base'!$C$7:$C$1068,C1409)</f>
        <v>44460.106441643933</v>
      </c>
      <c r="I1409">
        <f>IF(D1409="Canarias",IF(C1409="CABRERA MORALES FRANCISCO",IF(E1409&lt;=2000,'Nacional · supuestos'!$C$34,IF(E1409&lt;=5000,'Nacional · supuestos'!$C$35,'Nacional · supuestos'!$C$36)),IF(E1409&lt;=2000,'Nacional · supuestos'!$B$34,IF(E1409&lt;=5000,'Nacional · supuestos'!$B$35,'Nacional · supuestos'!$B$36))),0)</f>
        <v>0</v>
      </c>
      <c r="J1409">
        <f>IF(D1409="Canarias",MAX(E1409*I1409,IF(C1409="CABRERA MORALES FRANCISCO",'Nacional · supuestos'!$C$38,'Nacional · supuestos'!$B$38)),0)</f>
        <v>0</v>
      </c>
      <c r="K1409">
        <f>IF(D1409="Canarias",MAX(E1409*'Nacional · supuestos'!$B$41,'Nacional · supuestos'!$B$42),0)</f>
        <v>0</v>
      </c>
      <c r="L1409">
        <f>IF(D1409="Canarias",E1409*'Nacional · supuestos'!$B$43,0)</f>
        <v>0</v>
      </c>
      <c r="M1409">
        <f>IF(D1409="Canarias",E1409*'Nacional · supuestos'!$B$44,0)</f>
        <v>0</v>
      </c>
      <c r="N1409">
        <f>IF(D1409="Canarias",E1409*'Nacional · supuestos'!$B$45,0)</f>
        <v>0</v>
      </c>
      <c r="O1409">
        <f>IF(D1409="Canarias",'Nacional · supuestos'!$B$46,0)</f>
        <v>0</v>
      </c>
      <c r="P1409">
        <f>IF(D1409="Canarias",MAX(H1409*'Nacional · supuestos'!$B$47,'Nacional · supuestos'!$B$48),0)</f>
        <v>0</v>
      </c>
      <c r="Q1409">
        <f>IF(D1409="Resto nacional",E1409*'Nacional · supuestos'!$B$13*IF(A1409=2027,1+'Nacional · supuestos'!$B$6,1),0)</f>
        <v>1297.1193045182004</v>
      </c>
      <c r="R1409">
        <f>IF(D1409="Canarias",SUM(J1409:P1409)*IF(A1409=2027,1+'Nacional · supuestos'!$B$6,1),0)</f>
        <v>0</v>
      </c>
      <c r="S1409">
        <f t="shared" si="28"/>
        <v>1297.1193045182004</v>
      </c>
    </row>
    <row r="1410" spans="1:19">
      <c r="A1410">
        <v>2027</v>
      </c>
      <c r="B1410">
        <v>9</v>
      </c>
      <c r="C1410" t="s">
        <v>173</v>
      </c>
      <c r="D1410" t="s">
        <v>160</v>
      </c>
      <c r="E1410">
        <f>SUMIFS('Nacional · base'!$J$7:$J$1068,'Nacional · base'!$A$7:$A$1068,A1410,'Nacional · base'!$B$7:$B$1068,B1410,'Nacional · base'!$C$7:$C$1068,C1410)</f>
        <v>997.09999999999991</v>
      </c>
      <c r="F1410">
        <f>SUMIFS('Nacional · base'!$K$7:$K$1068,'Nacional · base'!$A$7:$A$1068,A1410,'Nacional · base'!$B$7:$B$1068,B1410,'Nacional · base'!$C$7:$C$1068,C1410)</f>
        <v>1.3416666666666668</v>
      </c>
      <c r="G1410">
        <f t="shared" si="27"/>
        <v>2</v>
      </c>
      <c r="H1410">
        <f>SUMIFS('Nacional · base'!$G$7:$G$1068,'Nacional · base'!$A$7:$A$1068,A1410,'Nacional · base'!$B$7:$B$1068,B1410,'Nacional · base'!$C$7:$C$1068,C1410)</f>
        <v>3426.9204001028552</v>
      </c>
      <c r="I1410">
        <f>IF(D1410="Canarias",IF(C1410="CABRERA MORALES FRANCISCO",IF(E1410&lt;=2000,'Nacional · supuestos'!$C$34,IF(E1410&lt;=5000,'Nacional · supuestos'!$C$35,'Nacional · supuestos'!$C$36)),IF(E1410&lt;=2000,'Nacional · supuestos'!$B$34,IF(E1410&lt;=5000,'Nacional · supuestos'!$B$35,'Nacional · supuestos'!$B$36))),0)</f>
        <v>0</v>
      </c>
      <c r="J1410">
        <f>IF(D1410="Canarias",MAX(E1410*I1410,IF(C1410="CABRERA MORALES FRANCISCO",'Nacional · supuestos'!$C$38,'Nacional · supuestos'!$B$38)),0)</f>
        <v>0</v>
      </c>
      <c r="K1410">
        <f>IF(D1410="Canarias",MAX(E1410*'Nacional · supuestos'!$B$41,'Nacional · supuestos'!$B$42),0)</f>
        <v>0</v>
      </c>
      <c r="L1410">
        <f>IF(D1410="Canarias",E1410*'Nacional · supuestos'!$B$43,0)</f>
        <v>0</v>
      </c>
      <c r="M1410">
        <f>IF(D1410="Canarias",E1410*'Nacional · supuestos'!$B$44,0)</f>
        <v>0</v>
      </c>
      <c r="N1410">
        <f>IF(D1410="Canarias",E1410*'Nacional · supuestos'!$B$45,0)</f>
        <v>0</v>
      </c>
      <c r="O1410">
        <f>IF(D1410="Canarias",'Nacional · supuestos'!$B$46,0)</f>
        <v>0</v>
      </c>
      <c r="P1410">
        <f>IF(D1410="Canarias",MAX(H1410*'Nacional · supuestos'!$B$47,'Nacional · supuestos'!$B$48),0)</f>
        <v>0</v>
      </c>
      <c r="Q1410">
        <f>IF(D1410="Resto nacional",E1410*'Nacional · supuestos'!$B$13*IF(A1410=2027,1+'Nacional · supuestos'!$B$6,1),0)</f>
        <v>97.255027855153202</v>
      </c>
      <c r="R1410">
        <f>IF(D1410="Canarias",SUM(J1410:P1410)*IF(A1410=2027,1+'Nacional · supuestos'!$B$6,1),0)</f>
        <v>0</v>
      </c>
      <c r="S1410">
        <f t="shared" si="28"/>
        <v>97.255027855153202</v>
      </c>
    </row>
    <row r="1411" spans="1:19">
      <c r="A1411">
        <v>2027</v>
      </c>
      <c r="B1411">
        <v>9</v>
      </c>
      <c r="C1411" t="s">
        <v>174</v>
      </c>
      <c r="D1411" t="s">
        <v>160</v>
      </c>
      <c r="E1411">
        <f>SUMIFS('Nacional · base'!$J$7:$J$1068,'Nacional · base'!$A$7:$A$1068,A1411,'Nacional · base'!$B$7:$B$1068,B1411,'Nacional · base'!$C$7:$C$1068,C1411)</f>
        <v>13061.6</v>
      </c>
      <c r="F1411">
        <f>SUMIFS('Nacional · base'!$K$7:$K$1068,'Nacional · base'!$A$7:$A$1068,A1411,'Nacional · base'!$B$7:$B$1068,B1411,'Nacional · base'!$C$7:$C$1068,C1411)</f>
        <v>12.9375</v>
      </c>
      <c r="G1411">
        <f t="shared" si="27"/>
        <v>13</v>
      </c>
      <c r="H1411">
        <f>SUMIFS('Nacional · base'!$G$7:$G$1068,'Nacional · base'!$A$7:$A$1068,A1411,'Nacional · base'!$B$7:$B$1068,B1411,'Nacional · base'!$C$7:$C$1068,C1411)</f>
        <v>27282.559502182929</v>
      </c>
      <c r="I1411">
        <f>IF(D1411="Canarias",IF(C1411="CABRERA MORALES FRANCISCO",IF(E1411&lt;=2000,'Nacional · supuestos'!$C$34,IF(E1411&lt;=5000,'Nacional · supuestos'!$C$35,'Nacional · supuestos'!$C$36)),IF(E1411&lt;=2000,'Nacional · supuestos'!$B$34,IF(E1411&lt;=5000,'Nacional · supuestos'!$B$35,'Nacional · supuestos'!$B$36))),0)</f>
        <v>0</v>
      </c>
      <c r="J1411">
        <f>IF(D1411="Canarias",MAX(E1411*I1411,IF(C1411="CABRERA MORALES FRANCISCO",'Nacional · supuestos'!$C$38,'Nacional · supuestos'!$B$38)),0)</f>
        <v>0</v>
      </c>
      <c r="K1411">
        <f>IF(D1411="Canarias",MAX(E1411*'Nacional · supuestos'!$B$41,'Nacional · supuestos'!$B$42),0)</f>
        <v>0</v>
      </c>
      <c r="L1411">
        <f>IF(D1411="Canarias",E1411*'Nacional · supuestos'!$B$43,0)</f>
        <v>0</v>
      </c>
      <c r="M1411">
        <f>IF(D1411="Canarias",E1411*'Nacional · supuestos'!$B$44,0)</f>
        <v>0</v>
      </c>
      <c r="N1411">
        <f>IF(D1411="Canarias",E1411*'Nacional · supuestos'!$B$45,0)</f>
        <v>0</v>
      </c>
      <c r="O1411">
        <f>IF(D1411="Canarias",'Nacional · supuestos'!$B$46,0)</f>
        <v>0</v>
      </c>
      <c r="P1411">
        <f>IF(D1411="Canarias",MAX(H1411*'Nacional · supuestos'!$B$47,'Nacional · supuestos'!$B$48),0)</f>
        <v>0</v>
      </c>
      <c r="Q1411">
        <f>IF(D1411="Resto nacional",E1411*'Nacional · supuestos'!$B$13*IF(A1411=2027,1+'Nacional · supuestos'!$B$6,1),0)</f>
        <v>1274.000874368538</v>
      </c>
      <c r="R1411">
        <f>IF(D1411="Canarias",SUM(J1411:P1411)*IF(A1411=2027,1+'Nacional · supuestos'!$B$6,1),0)</f>
        <v>0</v>
      </c>
      <c r="S1411">
        <f t="shared" si="28"/>
        <v>1274.000874368538</v>
      </c>
    </row>
    <row r="1412" spans="1:19">
      <c r="A1412">
        <v>2027</v>
      </c>
      <c r="B1412">
        <v>9</v>
      </c>
      <c r="C1412" t="s">
        <v>175</v>
      </c>
      <c r="D1412" t="s">
        <v>160</v>
      </c>
      <c r="E1412">
        <f>SUMIFS('Nacional · base'!$J$7:$J$1068,'Nacional · base'!$A$7:$A$1068,A1412,'Nacional · base'!$B$7:$B$1068,B1412,'Nacional · base'!$C$7:$C$1068,C1412)</f>
        <v>8808.7000000000007</v>
      </c>
      <c r="F1412">
        <f>SUMIFS('Nacional · base'!$K$7:$K$1068,'Nacional · base'!$A$7:$A$1068,A1412,'Nacional · base'!$B$7:$B$1068,B1412,'Nacional · base'!$C$7:$C$1068,C1412)</f>
        <v>11.722916666666666</v>
      </c>
      <c r="G1412">
        <f t="shared" si="27"/>
        <v>12</v>
      </c>
      <c r="H1412">
        <f>SUMIFS('Nacional · base'!$G$7:$G$1068,'Nacional · base'!$A$7:$A$1068,A1412,'Nacional · base'!$B$7:$B$1068,B1412,'Nacional · base'!$C$7:$C$1068,C1412)</f>
        <v>30631.579857667803</v>
      </c>
      <c r="I1412">
        <f>IF(D1412="Canarias",IF(C1412="CABRERA MORALES FRANCISCO",IF(E1412&lt;=2000,'Nacional · supuestos'!$C$34,IF(E1412&lt;=5000,'Nacional · supuestos'!$C$35,'Nacional · supuestos'!$C$36)),IF(E1412&lt;=2000,'Nacional · supuestos'!$B$34,IF(E1412&lt;=5000,'Nacional · supuestos'!$B$35,'Nacional · supuestos'!$B$36))),0)</f>
        <v>0</v>
      </c>
      <c r="J1412">
        <f>IF(D1412="Canarias",MAX(E1412*I1412,IF(C1412="CABRERA MORALES FRANCISCO",'Nacional · supuestos'!$C$38,'Nacional · supuestos'!$B$38)),0)</f>
        <v>0</v>
      </c>
      <c r="K1412">
        <f>IF(D1412="Canarias",MAX(E1412*'Nacional · supuestos'!$B$41,'Nacional · supuestos'!$B$42),0)</f>
        <v>0</v>
      </c>
      <c r="L1412">
        <f>IF(D1412="Canarias",E1412*'Nacional · supuestos'!$B$43,0)</f>
        <v>0</v>
      </c>
      <c r="M1412">
        <f>IF(D1412="Canarias",E1412*'Nacional · supuestos'!$B$44,0)</f>
        <v>0</v>
      </c>
      <c r="N1412">
        <f>IF(D1412="Canarias",E1412*'Nacional · supuestos'!$B$45,0)</f>
        <v>0</v>
      </c>
      <c r="O1412">
        <f>IF(D1412="Canarias",'Nacional · supuestos'!$B$46,0)</f>
        <v>0</v>
      </c>
      <c r="P1412">
        <f>IF(D1412="Canarias",MAX(H1412*'Nacional · supuestos'!$B$47,'Nacional · supuestos'!$B$48),0)</f>
        <v>0</v>
      </c>
      <c r="Q1412">
        <f>IF(D1412="Resto nacional",E1412*'Nacional · supuestos'!$B$13*IF(A1412=2027,1+'Nacional · supuestos'!$B$6,1),0)</f>
        <v>859.18199164345413</v>
      </c>
      <c r="R1412">
        <f>IF(D1412="Canarias",SUM(J1412:P1412)*IF(A1412=2027,1+'Nacional · supuestos'!$B$6,1),0)</f>
        <v>0</v>
      </c>
      <c r="S1412">
        <f t="shared" si="28"/>
        <v>859.18199164345413</v>
      </c>
    </row>
    <row r="1413" spans="1:19">
      <c r="A1413">
        <v>2027</v>
      </c>
      <c r="B1413">
        <v>9</v>
      </c>
      <c r="C1413" t="s">
        <v>176</v>
      </c>
      <c r="D1413" t="s">
        <v>160</v>
      </c>
      <c r="E1413">
        <f>SUMIFS('Nacional · base'!$J$7:$J$1068,'Nacional · base'!$A$7:$A$1068,A1413,'Nacional · base'!$B$7:$B$1068,B1413,'Nacional · base'!$C$7:$C$1068,C1413)</f>
        <v>8417.4</v>
      </c>
      <c r="F1413">
        <f>SUMIFS('Nacional · base'!$K$7:$K$1068,'Nacional · base'!$A$7:$A$1068,A1413,'Nacional · base'!$B$7:$B$1068,B1413,'Nacional · base'!$C$7:$C$1068,C1413)</f>
        <v>8.9647727272727273</v>
      </c>
      <c r="G1413">
        <f t="shared" si="27"/>
        <v>9</v>
      </c>
      <c r="H1413">
        <f>SUMIFS('Nacional · base'!$G$7:$G$1068,'Nacional · base'!$A$7:$A$1068,A1413,'Nacional · base'!$B$7:$B$1068,B1413,'Nacional · base'!$C$7:$C$1068,C1413)</f>
        <v>21544.516266888822</v>
      </c>
      <c r="I1413">
        <f>IF(D1413="Canarias",IF(C1413="CABRERA MORALES FRANCISCO",IF(E1413&lt;=2000,'Nacional · supuestos'!$C$34,IF(E1413&lt;=5000,'Nacional · supuestos'!$C$35,'Nacional · supuestos'!$C$36)),IF(E1413&lt;=2000,'Nacional · supuestos'!$B$34,IF(E1413&lt;=5000,'Nacional · supuestos'!$B$35,'Nacional · supuestos'!$B$36))),0)</f>
        <v>0</v>
      </c>
      <c r="J1413">
        <f>IF(D1413="Canarias",MAX(E1413*I1413,IF(C1413="CABRERA MORALES FRANCISCO",'Nacional · supuestos'!$C$38,'Nacional · supuestos'!$B$38)),0)</f>
        <v>0</v>
      </c>
      <c r="K1413">
        <f>IF(D1413="Canarias",MAX(E1413*'Nacional · supuestos'!$B$41,'Nacional · supuestos'!$B$42),0)</f>
        <v>0</v>
      </c>
      <c r="L1413">
        <f>IF(D1413="Canarias",E1413*'Nacional · supuestos'!$B$43,0)</f>
        <v>0</v>
      </c>
      <c r="M1413">
        <f>IF(D1413="Canarias",E1413*'Nacional · supuestos'!$B$44,0)</f>
        <v>0</v>
      </c>
      <c r="N1413">
        <f>IF(D1413="Canarias",E1413*'Nacional · supuestos'!$B$45,0)</f>
        <v>0</v>
      </c>
      <c r="O1413">
        <f>IF(D1413="Canarias",'Nacional · supuestos'!$B$46,0)</f>
        <v>0</v>
      </c>
      <c r="P1413">
        <f>IF(D1413="Canarias",MAX(H1413*'Nacional · supuestos'!$B$47,'Nacional · supuestos'!$B$48),0)</f>
        <v>0</v>
      </c>
      <c r="Q1413">
        <f>IF(D1413="Resto nacional",E1413*'Nacional · supuestos'!$B$13*IF(A1413=2027,1+'Nacional · supuestos'!$B$6,1),0)</f>
        <v>821.01541617487374</v>
      </c>
      <c r="R1413">
        <f>IF(D1413="Canarias",SUM(J1413:P1413)*IF(A1413=2027,1+'Nacional · supuestos'!$B$6,1),0)</f>
        <v>0</v>
      </c>
      <c r="S1413">
        <f t="shared" si="28"/>
        <v>821.01541617487374</v>
      </c>
    </row>
    <row r="1414" spans="1:19">
      <c r="A1414">
        <v>2027</v>
      </c>
      <c r="B1414">
        <v>9</v>
      </c>
      <c r="C1414" t="s">
        <v>178</v>
      </c>
      <c r="D1414" t="s">
        <v>160</v>
      </c>
      <c r="E1414">
        <f>SUMIFS('Nacional · base'!$J$7:$J$1068,'Nacional · base'!$A$7:$A$1068,A1414,'Nacional · base'!$B$7:$B$1068,B1414,'Nacional · base'!$C$7:$C$1068,C1414)</f>
        <v>4578.8599999999997</v>
      </c>
      <c r="F1414">
        <f>SUMIFS('Nacional · base'!$K$7:$K$1068,'Nacional · base'!$A$7:$A$1068,A1414,'Nacional · base'!$B$7:$B$1068,B1414,'Nacional · base'!$C$7:$C$1068,C1414)</f>
        <v>5.7690909090909095</v>
      </c>
      <c r="G1414">
        <f t="shared" si="27"/>
        <v>6</v>
      </c>
      <c r="H1414">
        <f>SUMIFS('Nacional · base'!$G$7:$G$1068,'Nacional · base'!$A$7:$A$1068,A1414,'Nacional · base'!$B$7:$B$1068,B1414,'Nacional · base'!$C$7:$C$1068,C1414)</f>
        <v>17794.119029917121</v>
      </c>
      <c r="I1414">
        <f>IF(D1414="Canarias",IF(C1414="CABRERA MORALES FRANCISCO",IF(E1414&lt;=2000,'Nacional · supuestos'!$C$34,IF(E1414&lt;=5000,'Nacional · supuestos'!$C$35,'Nacional · supuestos'!$C$36)),IF(E1414&lt;=2000,'Nacional · supuestos'!$B$34,IF(E1414&lt;=5000,'Nacional · supuestos'!$B$35,'Nacional · supuestos'!$B$36))),0)</f>
        <v>0</v>
      </c>
      <c r="J1414">
        <f>IF(D1414="Canarias",MAX(E1414*I1414,IF(C1414="CABRERA MORALES FRANCISCO",'Nacional · supuestos'!$C$38,'Nacional · supuestos'!$B$38)),0)</f>
        <v>0</v>
      </c>
      <c r="K1414">
        <f>IF(D1414="Canarias",MAX(E1414*'Nacional · supuestos'!$B$41,'Nacional · supuestos'!$B$42),0)</f>
        <v>0</v>
      </c>
      <c r="L1414">
        <f>IF(D1414="Canarias",E1414*'Nacional · supuestos'!$B$43,0)</f>
        <v>0</v>
      </c>
      <c r="M1414">
        <f>IF(D1414="Canarias",E1414*'Nacional · supuestos'!$B$44,0)</f>
        <v>0</v>
      </c>
      <c r="N1414">
        <f>IF(D1414="Canarias",E1414*'Nacional · supuestos'!$B$45,0)</f>
        <v>0</v>
      </c>
      <c r="O1414">
        <f>IF(D1414="Canarias",'Nacional · supuestos'!$B$46,0)</f>
        <v>0</v>
      </c>
      <c r="P1414">
        <f>IF(D1414="Canarias",MAX(H1414*'Nacional · supuestos'!$B$47,'Nacional · supuestos'!$B$48),0)</f>
        <v>0</v>
      </c>
      <c r="Q1414">
        <f>IF(D1414="Resto nacional",E1414*'Nacional · supuestos'!$B$13*IF(A1414=2027,1+'Nacional · supuestos'!$B$6,1),0)</f>
        <v>446.61233260941407</v>
      </c>
      <c r="R1414">
        <f>IF(D1414="Canarias",SUM(J1414:P1414)*IF(A1414=2027,1+'Nacional · supuestos'!$B$6,1),0)</f>
        <v>0</v>
      </c>
      <c r="S1414">
        <f t="shared" si="28"/>
        <v>446.61233260941407</v>
      </c>
    </row>
    <row r="1415" spans="1:19">
      <c r="A1415">
        <v>2027</v>
      </c>
      <c r="B1415">
        <v>9</v>
      </c>
      <c r="C1415" t="s">
        <v>179</v>
      </c>
      <c r="D1415" t="s">
        <v>160</v>
      </c>
      <c r="E1415">
        <f>SUMIFS('Nacional · base'!$J$7:$J$1068,'Nacional · base'!$A$7:$A$1068,A1415,'Nacional · base'!$B$7:$B$1068,B1415,'Nacional · base'!$C$7:$C$1068,C1415)</f>
        <v>991.19999999999993</v>
      </c>
      <c r="F1415">
        <f>SUMIFS('Nacional · base'!$K$7:$K$1068,'Nacional · base'!$A$7:$A$1068,A1415,'Nacional · base'!$B$7:$B$1068,B1415,'Nacional · base'!$C$7:$C$1068,C1415)</f>
        <v>1.3208333333333333</v>
      </c>
      <c r="G1415">
        <f t="shared" si="27"/>
        <v>2</v>
      </c>
      <c r="H1415">
        <f>SUMIFS('Nacional · base'!$G$7:$G$1068,'Nacional · base'!$A$7:$A$1068,A1415,'Nacional · base'!$B$7:$B$1068,B1415,'Nacional · base'!$C$7:$C$1068,C1415)</f>
        <v>3994.807683828381</v>
      </c>
      <c r="I1415">
        <f>IF(D1415="Canarias",IF(C1415="CABRERA MORALES FRANCISCO",IF(E1415&lt;=2000,'Nacional · supuestos'!$C$34,IF(E1415&lt;=5000,'Nacional · supuestos'!$C$35,'Nacional · supuestos'!$C$36)),IF(E1415&lt;=2000,'Nacional · supuestos'!$B$34,IF(E1415&lt;=5000,'Nacional · supuestos'!$B$35,'Nacional · supuestos'!$B$36))),0)</f>
        <v>0</v>
      </c>
      <c r="J1415">
        <f>IF(D1415="Canarias",MAX(E1415*I1415,IF(C1415="CABRERA MORALES FRANCISCO",'Nacional · supuestos'!$C$38,'Nacional · supuestos'!$B$38)),0)</f>
        <v>0</v>
      </c>
      <c r="K1415">
        <f>IF(D1415="Canarias",MAX(E1415*'Nacional · supuestos'!$B$41,'Nacional · supuestos'!$B$42),0)</f>
        <v>0</v>
      </c>
      <c r="L1415">
        <f>IF(D1415="Canarias",E1415*'Nacional · supuestos'!$B$43,0)</f>
        <v>0</v>
      </c>
      <c r="M1415">
        <f>IF(D1415="Canarias",E1415*'Nacional · supuestos'!$B$44,0)</f>
        <v>0</v>
      </c>
      <c r="N1415">
        <f>IF(D1415="Canarias",E1415*'Nacional · supuestos'!$B$45,0)</f>
        <v>0</v>
      </c>
      <c r="O1415">
        <f>IF(D1415="Canarias",'Nacional · supuestos'!$B$46,0)</f>
        <v>0</v>
      </c>
      <c r="P1415">
        <f>IF(D1415="Canarias",MAX(H1415*'Nacional · supuestos'!$B$47,'Nacional · supuestos'!$B$48),0)</f>
        <v>0</v>
      </c>
      <c r="Q1415">
        <f>IF(D1415="Resto nacional",E1415*'Nacional · supuestos'!$B$13*IF(A1415=2027,1+'Nacional · supuestos'!$B$6,1),0)</f>
        <v>96.679554317548735</v>
      </c>
      <c r="R1415">
        <f>IF(D1415="Canarias",SUM(J1415:P1415)*IF(A1415=2027,1+'Nacional · supuestos'!$B$6,1),0)</f>
        <v>0</v>
      </c>
      <c r="S1415">
        <f t="shared" si="28"/>
        <v>96.679554317548735</v>
      </c>
    </row>
    <row r="1416" spans="1:19">
      <c r="A1416">
        <v>2027</v>
      </c>
      <c r="B1416">
        <v>9</v>
      </c>
      <c r="C1416" t="s">
        <v>180</v>
      </c>
      <c r="D1416" t="s">
        <v>160</v>
      </c>
      <c r="E1416">
        <f>SUMIFS('Nacional · base'!$J$7:$J$1068,'Nacional · base'!$A$7:$A$1068,A1416,'Nacional · base'!$B$7:$B$1068,B1416,'Nacional · base'!$C$7:$C$1068,C1416)</f>
        <v>1294.56</v>
      </c>
      <c r="F1416">
        <f>SUMIFS('Nacional · base'!$K$7:$K$1068,'Nacional · base'!$A$7:$A$1068,A1416,'Nacional · base'!$B$7:$B$1068,B1416,'Nacional · base'!$C$7:$C$1068,C1416)</f>
        <v>1.65</v>
      </c>
      <c r="G1416">
        <f t="shared" si="27"/>
        <v>2</v>
      </c>
      <c r="H1416">
        <f>SUMIFS('Nacional · base'!$G$7:$G$1068,'Nacional · base'!$A$7:$A$1068,A1416,'Nacional · base'!$B$7:$B$1068,B1416,'Nacional · base'!$C$7:$C$1068,C1416)</f>
        <v>3684.0178886350768</v>
      </c>
      <c r="I1416">
        <f>IF(D1416="Canarias",IF(C1416="CABRERA MORALES FRANCISCO",IF(E1416&lt;=2000,'Nacional · supuestos'!$C$34,IF(E1416&lt;=5000,'Nacional · supuestos'!$C$35,'Nacional · supuestos'!$C$36)),IF(E1416&lt;=2000,'Nacional · supuestos'!$B$34,IF(E1416&lt;=5000,'Nacional · supuestos'!$B$35,'Nacional · supuestos'!$B$36))),0)</f>
        <v>0</v>
      </c>
      <c r="J1416">
        <f>IF(D1416="Canarias",MAX(E1416*I1416,IF(C1416="CABRERA MORALES FRANCISCO",'Nacional · supuestos'!$C$38,'Nacional · supuestos'!$B$38)),0)</f>
        <v>0</v>
      </c>
      <c r="K1416">
        <f>IF(D1416="Canarias",MAX(E1416*'Nacional · supuestos'!$B$41,'Nacional · supuestos'!$B$42),0)</f>
        <v>0</v>
      </c>
      <c r="L1416">
        <f>IF(D1416="Canarias",E1416*'Nacional · supuestos'!$B$43,0)</f>
        <v>0</v>
      </c>
      <c r="M1416">
        <f>IF(D1416="Canarias",E1416*'Nacional · supuestos'!$B$44,0)</f>
        <v>0</v>
      </c>
      <c r="N1416">
        <f>IF(D1416="Canarias",E1416*'Nacional · supuestos'!$B$45,0)</f>
        <v>0</v>
      </c>
      <c r="O1416">
        <f>IF(D1416="Canarias",'Nacional · supuestos'!$B$46,0)</f>
        <v>0</v>
      </c>
      <c r="P1416">
        <f>IF(D1416="Canarias",MAX(H1416*'Nacional · supuestos'!$B$47,'Nacional · supuestos'!$B$48),0)</f>
        <v>0</v>
      </c>
      <c r="Q1416">
        <f>IF(D1416="Resto nacional",E1416*'Nacional · supuestos'!$B$13*IF(A1416=2027,1+'Nacional · supuestos'!$B$6,1),0)</f>
        <v>126.26864793919079</v>
      </c>
      <c r="R1416">
        <f>IF(D1416="Canarias",SUM(J1416:P1416)*IF(A1416=2027,1+'Nacional · supuestos'!$B$6,1),0)</f>
        <v>0</v>
      </c>
      <c r="S1416">
        <f t="shared" si="28"/>
        <v>126.26864793919079</v>
      </c>
    </row>
    <row r="1417" spans="1:19">
      <c r="A1417">
        <v>2027</v>
      </c>
      <c r="B1417">
        <v>9</v>
      </c>
      <c r="C1417" t="s">
        <v>181</v>
      </c>
      <c r="D1417" t="s">
        <v>160</v>
      </c>
      <c r="E1417">
        <f>SUMIFS('Nacional · base'!$J$7:$J$1068,'Nacional · base'!$A$7:$A$1068,A1417,'Nacional · base'!$B$7:$B$1068,B1417,'Nacional · base'!$C$7:$C$1068,C1417)</f>
        <v>1180</v>
      </c>
      <c r="F1417">
        <f>SUMIFS('Nacional · base'!$K$7:$K$1068,'Nacional · base'!$A$7:$A$1068,A1417,'Nacional · base'!$B$7:$B$1068,B1417,'Nacional · base'!$C$7:$C$1068,C1417)</f>
        <v>1.4750000000000001</v>
      </c>
      <c r="G1417">
        <f t="shared" si="27"/>
        <v>2</v>
      </c>
      <c r="H1417">
        <f>SUMIFS('Nacional · base'!$G$7:$G$1068,'Nacional · base'!$A$7:$A$1068,A1417,'Nacional · base'!$B$7:$B$1068,B1417,'Nacional · base'!$C$7:$C$1068,C1417)</f>
        <v>2275.5101695536364</v>
      </c>
      <c r="I1417">
        <f>IF(D1417="Canarias",IF(C1417="CABRERA MORALES FRANCISCO",IF(E1417&lt;=2000,'Nacional · supuestos'!$C$34,IF(E1417&lt;=5000,'Nacional · supuestos'!$C$35,'Nacional · supuestos'!$C$36)),IF(E1417&lt;=2000,'Nacional · supuestos'!$B$34,IF(E1417&lt;=5000,'Nacional · supuestos'!$B$35,'Nacional · supuestos'!$B$36))),0)</f>
        <v>0</v>
      </c>
      <c r="J1417">
        <f>IF(D1417="Canarias",MAX(E1417*I1417,IF(C1417="CABRERA MORALES FRANCISCO",'Nacional · supuestos'!$C$38,'Nacional · supuestos'!$B$38)),0)</f>
        <v>0</v>
      </c>
      <c r="K1417">
        <f>IF(D1417="Canarias",MAX(E1417*'Nacional · supuestos'!$B$41,'Nacional · supuestos'!$B$42),0)</f>
        <v>0</v>
      </c>
      <c r="L1417">
        <f>IF(D1417="Canarias",E1417*'Nacional · supuestos'!$B$43,0)</f>
        <v>0</v>
      </c>
      <c r="M1417">
        <f>IF(D1417="Canarias",E1417*'Nacional · supuestos'!$B$44,0)</f>
        <v>0</v>
      </c>
      <c r="N1417">
        <f>IF(D1417="Canarias",E1417*'Nacional · supuestos'!$B$45,0)</f>
        <v>0</v>
      </c>
      <c r="O1417">
        <f>IF(D1417="Canarias",'Nacional · supuestos'!$B$46,0)</f>
        <v>0</v>
      </c>
      <c r="P1417">
        <f>IF(D1417="Canarias",MAX(H1417*'Nacional · supuestos'!$B$47,'Nacional · supuestos'!$B$48),0)</f>
        <v>0</v>
      </c>
      <c r="Q1417">
        <f>IF(D1417="Resto nacional",E1417*'Nacional · supuestos'!$B$13*IF(A1417=2027,1+'Nacional · supuestos'!$B$6,1),0)</f>
        <v>115.09470752089136</v>
      </c>
      <c r="R1417">
        <f>IF(D1417="Canarias",SUM(J1417:P1417)*IF(A1417=2027,1+'Nacional · supuestos'!$B$6,1),0)</f>
        <v>0</v>
      </c>
      <c r="S1417">
        <f t="shared" si="28"/>
        <v>115.09470752089136</v>
      </c>
    </row>
    <row r="1418" spans="1:19">
      <c r="A1418">
        <v>2027</v>
      </c>
      <c r="B1418">
        <v>10</v>
      </c>
      <c r="C1418" t="s">
        <v>159</v>
      </c>
      <c r="D1418" t="s">
        <v>160</v>
      </c>
      <c r="E1418">
        <f>SUMIFS('Nacional · base'!$J$7:$J$1068,'Nacional · base'!$A$7:$A$1068,A1418,'Nacional · base'!$B$7:$B$1068,B1418,'Nacional · base'!$C$7:$C$1068,C1418)</f>
        <v>2454.4</v>
      </c>
      <c r="F1418">
        <f>SUMIFS('Nacional · base'!$K$7:$K$1068,'Nacional · base'!$A$7:$A$1068,A1418,'Nacional · base'!$B$7:$B$1068,B1418,'Nacional · base'!$C$7:$C$1068,C1418)</f>
        <v>3.25</v>
      </c>
      <c r="G1418">
        <f t="shared" si="27"/>
        <v>4</v>
      </c>
      <c r="H1418">
        <f>SUMIFS('Nacional · base'!$G$7:$G$1068,'Nacional · base'!$A$7:$A$1068,A1418,'Nacional · base'!$B$7:$B$1068,B1418,'Nacional · base'!$C$7:$C$1068,C1418)</f>
        <v>5639.9097853240883</v>
      </c>
      <c r="I1418">
        <f>IF(D1418="Canarias",IF(C1418="CABRERA MORALES FRANCISCO",IF(E1418&lt;=2000,'Nacional · supuestos'!$C$34,IF(E1418&lt;=5000,'Nacional · supuestos'!$C$35,'Nacional · supuestos'!$C$36)),IF(E1418&lt;=2000,'Nacional · supuestos'!$B$34,IF(E1418&lt;=5000,'Nacional · supuestos'!$B$35,'Nacional · supuestos'!$B$36))),0)</f>
        <v>0</v>
      </c>
      <c r="J1418">
        <f>IF(D1418="Canarias",MAX(E1418*I1418,IF(C1418="CABRERA MORALES FRANCISCO",'Nacional · supuestos'!$C$38,'Nacional · supuestos'!$B$38)),0)</f>
        <v>0</v>
      </c>
      <c r="K1418">
        <f>IF(D1418="Canarias",MAX(E1418*'Nacional · supuestos'!$B$41,'Nacional · supuestos'!$B$42),0)</f>
        <v>0</v>
      </c>
      <c r="L1418">
        <f>IF(D1418="Canarias",E1418*'Nacional · supuestos'!$B$43,0)</f>
        <v>0</v>
      </c>
      <c r="M1418">
        <f>IF(D1418="Canarias",E1418*'Nacional · supuestos'!$B$44,0)</f>
        <v>0</v>
      </c>
      <c r="N1418">
        <f>IF(D1418="Canarias",E1418*'Nacional · supuestos'!$B$45,0)</f>
        <v>0</v>
      </c>
      <c r="O1418">
        <f>IF(D1418="Canarias",'Nacional · supuestos'!$B$46,0)</f>
        <v>0</v>
      </c>
      <c r="P1418">
        <f>IF(D1418="Canarias",MAX(H1418*'Nacional · supuestos'!$B$47,'Nacional · supuestos'!$B$48),0)</f>
        <v>0</v>
      </c>
      <c r="Q1418">
        <f>IF(D1418="Resto nacional",E1418*'Nacional · supuestos'!$B$13*IF(A1418=2027,1+'Nacional · supuestos'!$B$6,1),0)</f>
        <v>239.39699164345407</v>
      </c>
      <c r="R1418">
        <f>IF(D1418="Canarias",SUM(J1418:P1418)*IF(A1418=2027,1+'Nacional · supuestos'!$B$6,1),0)</f>
        <v>0</v>
      </c>
      <c r="S1418">
        <f t="shared" si="28"/>
        <v>239.39699164345407</v>
      </c>
    </row>
    <row r="1419" spans="1:19">
      <c r="A1419">
        <v>2027</v>
      </c>
      <c r="B1419">
        <v>10</v>
      </c>
      <c r="C1419" t="s">
        <v>162</v>
      </c>
      <c r="D1419" t="s">
        <v>160</v>
      </c>
      <c r="E1419">
        <f>SUMIFS('Nacional · base'!$J$7:$J$1068,'Nacional · base'!$A$7:$A$1068,A1419,'Nacional · base'!$B$7:$B$1068,B1419,'Nacional · base'!$C$7:$C$1068,C1419)</f>
        <v>7040</v>
      </c>
      <c r="F1419">
        <f>SUMIFS('Nacional · base'!$K$7:$K$1068,'Nacional · base'!$A$7:$A$1068,A1419,'Nacional · base'!$B$7:$B$1068,B1419,'Nacional · base'!$C$7:$C$1068,C1419)</f>
        <v>6.4249999999999998</v>
      </c>
      <c r="G1419">
        <f t="shared" si="27"/>
        <v>7</v>
      </c>
      <c r="H1419">
        <f>SUMIFS('Nacional · base'!$G$7:$G$1068,'Nacional · base'!$A$7:$A$1068,A1419,'Nacional · base'!$B$7:$B$1068,B1419,'Nacional · base'!$C$7:$C$1068,C1419)</f>
        <v>9792.2730027648904</v>
      </c>
      <c r="I1419">
        <f>IF(D1419="Canarias",IF(C1419="CABRERA MORALES FRANCISCO",IF(E1419&lt;=2000,'Nacional · supuestos'!$C$34,IF(E1419&lt;=5000,'Nacional · supuestos'!$C$35,'Nacional · supuestos'!$C$36)),IF(E1419&lt;=2000,'Nacional · supuestos'!$B$34,IF(E1419&lt;=5000,'Nacional · supuestos'!$B$35,'Nacional · supuestos'!$B$36))),0)</f>
        <v>0</v>
      </c>
      <c r="J1419">
        <f>IF(D1419="Canarias",MAX(E1419*I1419,IF(C1419="CABRERA MORALES FRANCISCO",'Nacional · supuestos'!$C$38,'Nacional · supuestos'!$B$38)),0)</f>
        <v>0</v>
      </c>
      <c r="K1419">
        <f>IF(D1419="Canarias",MAX(E1419*'Nacional · supuestos'!$B$41,'Nacional · supuestos'!$B$42),0)</f>
        <v>0</v>
      </c>
      <c r="L1419">
        <f>IF(D1419="Canarias",E1419*'Nacional · supuestos'!$B$43,0)</f>
        <v>0</v>
      </c>
      <c r="M1419">
        <f>IF(D1419="Canarias",E1419*'Nacional · supuestos'!$B$44,0)</f>
        <v>0</v>
      </c>
      <c r="N1419">
        <f>IF(D1419="Canarias",E1419*'Nacional · supuestos'!$B$45,0)</f>
        <v>0</v>
      </c>
      <c r="O1419">
        <f>IF(D1419="Canarias",'Nacional · supuestos'!$B$46,0)</f>
        <v>0</v>
      </c>
      <c r="P1419">
        <f>IF(D1419="Canarias",MAX(H1419*'Nacional · supuestos'!$B$47,'Nacional · supuestos'!$B$48),0)</f>
        <v>0</v>
      </c>
      <c r="Q1419">
        <f>IF(D1419="Resto nacional",E1419*'Nacional · supuestos'!$B$13*IF(A1419=2027,1+'Nacional · supuestos'!$B$6,1),0)</f>
        <v>686.66672961616541</v>
      </c>
      <c r="R1419">
        <f>IF(D1419="Canarias",SUM(J1419:P1419)*IF(A1419=2027,1+'Nacional · supuestos'!$B$6,1),0)</f>
        <v>0</v>
      </c>
      <c r="S1419">
        <f t="shared" si="28"/>
        <v>686.66672961616541</v>
      </c>
    </row>
    <row r="1420" spans="1:19">
      <c r="A1420">
        <v>2027</v>
      </c>
      <c r="B1420">
        <v>10</v>
      </c>
      <c r="C1420" t="s">
        <v>163</v>
      </c>
      <c r="D1420" t="s">
        <v>164</v>
      </c>
      <c r="E1420">
        <f>SUMIFS('Nacional · base'!$J$7:$J$1068,'Nacional · base'!$A$7:$A$1068,A1420,'Nacional · base'!$B$7:$B$1068,B1420,'Nacional · base'!$C$7:$C$1068,C1420)</f>
        <v>13704.699999999999</v>
      </c>
      <c r="F1420">
        <f>SUMIFS('Nacional · base'!$K$7:$K$1068,'Nacional · base'!$A$7:$A$1068,A1420,'Nacional · base'!$B$7:$B$1068,B1420,'Nacional · base'!$C$7:$C$1068,C1420)</f>
        <v>15.862500000000001</v>
      </c>
      <c r="G1420">
        <f t="shared" si="27"/>
        <v>16</v>
      </c>
      <c r="H1420">
        <f>SUMIFS('Nacional · base'!$G$7:$G$1068,'Nacional · base'!$A$7:$A$1068,A1420,'Nacional · base'!$B$7:$B$1068,B1420,'Nacional · base'!$C$7:$C$1068,C1420)</f>
        <v>27730.758873978193</v>
      </c>
      <c r="I1420">
        <f>IF(D1420="Canarias",IF(C1420="CABRERA MORALES FRANCISCO",IF(E1420&lt;=2000,'Nacional · supuestos'!$C$34,IF(E1420&lt;=5000,'Nacional · supuestos'!$C$35,'Nacional · supuestos'!$C$36)),IF(E1420&lt;=2000,'Nacional · supuestos'!$B$34,IF(E1420&lt;=5000,'Nacional · supuestos'!$B$35,'Nacional · supuestos'!$B$36))),0)</f>
        <v>0.104</v>
      </c>
      <c r="J1420">
        <f>IF(D1420="Canarias",MAX(E1420*I1420,IF(C1420="CABRERA MORALES FRANCISCO",'Nacional · supuestos'!$C$38,'Nacional · supuestos'!$B$38)),0)</f>
        <v>1425.2887999999998</v>
      </c>
      <c r="K1420">
        <f>IF(D1420="Canarias",MAX(E1420*'Nacional · supuestos'!$B$41,'Nacional · supuestos'!$B$42),0)</f>
        <v>493.36919999999992</v>
      </c>
      <c r="L1420">
        <f>IF(D1420="Canarias",E1420*'Nacional · supuestos'!$B$43,0)</f>
        <v>164.4564</v>
      </c>
      <c r="M1420">
        <f>IF(D1420="Canarias",E1420*'Nacional · supuestos'!$B$44,0)</f>
        <v>246.68459999999996</v>
      </c>
      <c r="N1420">
        <f>IF(D1420="Canarias",E1420*'Nacional · supuestos'!$B$45,0)</f>
        <v>301.50339999999994</v>
      </c>
      <c r="O1420">
        <f>IF(D1420="Canarias",'Nacional · supuestos'!$B$46,0)</f>
        <v>15</v>
      </c>
      <c r="P1420">
        <f>IF(D1420="Canarias",MAX(H1420*'Nacional · supuestos'!$B$47,'Nacional · supuestos'!$B$48),0)</f>
        <v>124.78841493290186</v>
      </c>
      <c r="Q1420">
        <f>IF(D1420="Resto nacional",E1420*'Nacional · supuestos'!$B$13*IF(A1420=2027,1+'Nacional · supuestos'!$B$6,1),0)</f>
        <v>0</v>
      </c>
      <c r="R1420">
        <f>IF(D1420="Canarias",SUM(J1420:P1420)*IF(A1420=2027,1+'Nacional · supuestos'!$B$6,1),0)</f>
        <v>3048.199896426192</v>
      </c>
      <c r="S1420">
        <f t="shared" si="28"/>
        <v>3048.199896426192</v>
      </c>
    </row>
    <row r="1421" spans="1:19">
      <c r="A1421">
        <v>2027</v>
      </c>
      <c r="B1421">
        <v>10</v>
      </c>
      <c r="C1421" t="s">
        <v>166</v>
      </c>
      <c r="D1421" t="s">
        <v>160</v>
      </c>
      <c r="E1421">
        <f>SUMIFS('Nacional · base'!$J$7:$J$1068,'Nacional · base'!$A$7:$A$1068,A1421,'Nacional · base'!$B$7:$B$1068,B1421,'Nacional · base'!$C$7:$C$1068,C1421)</f>
        <v>7964</v>
      </c>
      <c r="F1421">
        <f>SUMIFS('Nacional · base'!$K$7:$K$1068,'Nacional · base'!$A$7:$A$1068,A1421,'Nacional · base'!$B$7:$B$1068,B1421,'Nacional · base'!$C$7:$C$1068,C1421)</f>
        <v>9.3145833333333332</v>
      </c>
      <c r="G1421">
        <f t="shared" si="27"/>
        <v>10</v>
      </c>
      <c r="H1421">
        <f>SUMIFS('Nacional · base'!$G$7:$G$1068,'Nacional · base'!$A$7:$A$1068,A1421,'Nacional · base'!$B$7:$B$1068,B1421,'Nacional · base'!$C$7:$C$1068,C1421)</f>
        <v>16398.058030836499</v>
      </c>
      <c r="I1421">
        <f>IF(D1421="Canarias",IF(C1421="CABRERA MORALES FRANCISCO",IF(E1421&lt;=2000,'Nacional · supuestos'!$C$34,IF(E1421&lt;=5000,'Nacional · supuestos'!$C$35,'Nacional · supuestos'!$C$36)),IF(E1421&lt;=2000,'Nacional · supuestos'!$B$34,IF(E1421&lt;=5000,'Nacional · supuestos'!$B$35,'Nacional · supuestos'!$B$36))),0)</f>
        <v>0</v>
      </c>
      <c r="J1421">
        <f>IF(D1421="Canarias",MAX(E1421*I1421,IF(C1421="CABRERA MORALES FRANCISCO",'Nacional · supuestos'!$C$38,'Nacional · supuestos'!$B$38)),0)</f>
        <v>0</v>
      </c>
      <c r="K1421">
        <f>IF(D1421="Canarias",MAX(E1421*'Nacional · supuestos'!$B$41,'Nacional · supuestos'!$B$42),0)</f>
        <v>0</v>
      </c>
      <c r="L1421">
        <f>IF(D1421="Canarias",E1421*'Nacional · supuestos'!$B$43,0)</f>
        <v>0</v>
      </c>
      <c r="M1421">
        <f>IF(D1421="Canarias",E1421*'Nacional · supuestos'!$B$44,0)</f>
        <v>0</v>
      </c>
      <c r="N1421">
        <f>IF(D1421="Canarias",E1421*'Nacional · supuestos'!$B$45,0)</f>
        <v>0</v>
      </c>
      <c r="O1421">
        <f>IF(D1421="Canarias",'Nacional · supuestos'!$B$46,0)</f>
        <v>0</v>
      </c>
      <c r="P1421">
        <f>IF(D1421="Canarias",MAX(H1421*'Nacional · supuestos'!$B$47,'Nacional · supuestos'!$B$48),0)</f>
        <v>0</v>
      </c>
      <c r="Q1421">
        <f>IF(D1421="Resto nacional",E1421*'Nacional · supuestos'!$B$13*IF(A1421=2027,1+'Nacional · supuestos'!$B$6,1),0)</f>
        <v>776.79173787828722</v>
      </c>
      <c r="R1421">
        <f>IF(D1421="Canarias",SUM(J1421:P1421)*IF(A1421=2027,1+'Nacional · supuestos'!$B$6,1),0)</f>
        <v>0</v>
      </c>
      <c r="S1421">
        <f t="shared" si="28"/>
        <v>776.79173787828722</v>
      </c>
    </row>
    <row r="1422" spans="1:19">
      <c r="A1422">
        <v>2027</v>
      </c>
      <c r="B1422">
        <v>10</v>
      </c>
      <c r="C1422" t="s">
        <v>167</v>
      </c>
      <c r="D1422" t="s">
        <v>160</v>
      </c>
      <c r="E1422">
        <f>SUMIFS('Nacional · base'!$J$7:$J$1068,'Nacional · base'!$A$7:$A$1068,A1422,'Nacional · base'!$B$7:$B$1068,B1422,'Nacional · base'!$C$7:$C$1068,C1422)</f>
        <v>123.89999999999999</v>
      </c>
      <c r="F1422">
        <f>SUMIFS('Nacional · base'!$K$7:$K$1068,'Nacional · base'!$A$7:$A$1068,A1422,'Nacional · base'!$B$7:$B$1068,B1422,'Nacional · base'!$C$7:$C$1068,C1422)</f>
        <v>0.17499999999999999</v>
      </c>
      <c r="G1422">
        <f t="shared" si="27"/>
        <v>1</v>
      </c>
      <c r="H1422">
        <f>SUMIFS('Nacional · base'!$G$7:$G$1068,'Nacional · base'!$A$7:$A$1068,A1422,'Nacional · base'!$B$7:$B$1068,B1422,'Nacional · base'!$C$7:$C$1068,C1422)</f>
        <v>568.04364035650667</v>
      </c>
      <c r="I1422">
        <f>IF(D1422="Canarias",IF(C1422="CABRERA MORALES FRANCISCO",IF(E1422&lt;=2000,'Nacional · supuestos'!$C$34,IF(E1422&lt;=5000,'Nacional · supuestos'!$C$35,'Nacional · supuestos'!$C$36)),IF(E1422&lt;=2000,'Nacional · supuestos'!$B$34,IF(E1422&lt;=5000,'Nacional · supuestos'!$B$35,'Nacional · supuestos'!$B$36))),0)</f>
        <v>0</v>
      </c>
      <c r="J1422">
        <f>IF(D1422="Canarias",MAX(E1422*I1422,IF(C1422="CABRERA MORALES FRANCISCO",'Nacional · supuestos'!$C$38,'Nacional · supuestos'!$B$38)),0)</f>
        <v>0</v>
      </c>
      <c r="K1422">
        <f>IF(D1422="Canarias",MAX(E1422*'Nacional · supuestos'!$B$41,'Nacional · supuestos'!$B$42),0)</f>
        <v>0</v>
      </c>
      <c r="L1422">
        <f>IF(D1422="Canarias",E1422*'Nacional · supuestos'!$B$43,0)</f>
        <v>0</v>
      </c>
      <c r="M1422">
        <f>IF(D1422="Canarias",E1422*'Nacional · supuestos'!$B$44,0)</f>
        <v>0</v>
      </c>
      <c r="N1422">
        <f>IF(D1422="Canarias",E1422*'Nacional · supuestos'!$B$45,0)</f>
        <v>0</v>
      </c>
      <c r="O1422">
        <f>IF(D1422="Canarias",'Nacional · supuestos'!$B$46,0)</f>
        <v>0</v>
      </c>
      <c r="P1422">
        <f>IF(D1422="Canarias",MAX(H1422*'Nacional · supuestos'!$B$47,'Nacional · supuestos'!$B$48),0)</f>
        <v>0</v>
      </c>
      <c r="Q1422">
        <f>IF(D1422="Resto nacional",E1422*'Nacional · supuestos'!$B$13*IF(A1422=2027,1+'Nacional · supuestos'!$B$6,1),0)</f>
        <v>12.084944289693592</v>
      </c>
      <c r="R1422">
        <f>IF(D1422="Canarias",SUM(J1422:P1422)*IF(A1422=2027,1+'Nacional · supuestos'!$B$6,1),0)</f>
        <v>0</v>
      </c>
      <c r="S1422">
        <f t="shared" si="28"/>
        <v>12.084944289693592</v>
      </c>
    </row>
    <row r="1423" spans="1:19">
      <c r="A1423">
        <v>2027</v>
      </c>
      <c r="B1423">
        <v>10</v>
      </c>
      <c r="C1423" t="s">
        <v>168</v>
      </c>
      <c r="D1423" t="s">
        <v>160</v>
      </c>
      <c r="E1423">
        <f>SUMIFS('Nacional · base'!$J$7:$J$1068,'Nacional · base'!$A$7:$A$1068,A1423,'Nacional · base'!$B$7:$B$1068,B1423,'Nacional · base'!$C$7:$C$1068,C1423)</f>
        <v>1203.5999999999999</v>
      </c>
      <c r="F1423">
        <f>SUMIFS('Nacional · base'!$K$7:$K$1068,'Nacional · base'!$A$7:$A$1068,A1423,'Nacional · base'!$B$7:$B$1068,B1423,'Nacional · base'!$C$7:$C$1068,C1423)</f>
        <v>1.59375</v>
      </c>
      <c r="G1423">
        <f t="shared" si="27"/>
        <v>2</v>
      </c>
      <c r="H1423">
        <f>SUMIFS('Nacional · base'!$G$7:$G$1068,'Nacional · base'!$A$7:$A$1068,A1423,'Nacional · base'!$B$7:$B$1068,B1423,'Nacional · base'!$C$7:$C$1068,C1423)</f>
        <v>2883.1328850993095</v>
      </c>
      <c r="I1423">
        <f>IF(D1423="Canarias",IF(C1423="CABRERA MORALES FRANCISCO",IF(E1423&lt;=2000,'Nacional · supuestos'!$C$34,IF(E1423&lt;=5000,'Nacional · supuestos'!$C$35,'Nacional · supuestos'!$C$36)),IF(E1423&lt;=2000,'Nacional · supuestos'!$B$34,IF(E1423&lt;=5000,'Nacional · supuestos'!$B$35,'Nacional · supuestos'!$B$36))),0)</f>
        <v>0</v>
      </c>
      <c r="J1423">
        <f>IF(D1423="Canarias",MAX(E1423*I1423,IF(C1423="CABRERA MORALES FRANCISCO",'Nacional · supuestos'!$C$38,'Nacional · supuestos'!$B$38)),0)</f>
        <v>0</v>
      </c>
      <c r="K1423">
        <f>IF(D1423="Canarias",MAX(E1423*'Nacional · supuestos'!$B$41,'Nacional · supuestos'!$B$42),0)</f>
        <v>0</v>
      </c>
      <c r="L1423">
        <f>IF(D1423="Canarias",E1423*'Nacional · supuestos'!$B$43,0)</f>
        <v>0</v>
      </c>
      <c r="M1423">
        <f>IF(D1423="Canarias",E1423*'Nacional · supuestos'!$B$44,0)</f>
        <v>0</v>
      </c>
      <c r="N1423">
        <f>IF(D1423="Canarias",E1423*'Nacional · supuestos'!$B$45,0)</f>
        <v>0</v>
      </c>
      <c r="O1423">
        <f>IF(D1423="Canarias",'Nacional · supuestos'!$B$46,0)</f>
        <v>0</v>
      </c>
      <c r="P1423">
        <f>IF(D1423="Canarias",MAX(H1423*'Nacional · supuestos'!$B$47,'Nacional · supuestos'!$B$48),0)</f>
        <v>0</v>
      </c>
      <c r="Q1423">
        <f>IF(D1423="Resto nacional",E1423*'Nacional · supuestos'!$B$13*IF(A1423=2027,1+'Nacional · supuestos'!$B$6,1),0)</f>
        <v>117.39660167130918</v>
      </c>
      <c r="R1423">
        <f>IF(D1423="Canarias",SUM(J1423:P1423)*IF(A1423=2027,1+'Nacional · supuestos'!$B$6,1),0)</f>
        <v>0</v>
      </c>
      <c r="S1423">
        <f t="shared" si="28"/>
        <v>117.39660167130918</v>
      </c>
    </row>
    <row r="1424" spans="1:19">
      <c r="A1424">
        <v>2027</v>
      </c>
      <c r="B1424">
        <v>10</v>
      </c>
      <c r="C1424" t="s">
        <v>169</v>
      </c>
      <c r="D1424" t="s">
        <v>160</v>
      </c>
      <c r="E1424">
        <f>SUMIFS('Nacional · base'!$J$7:$J$1068,'Nacional · base'!$A$7:$A$1068,A1424,'Nacional · base'!$B$7:$B$1068,B1424,'Nacional · base'!$C$7:$C$1068,C1424)</f>
        <v>719.8</v>
      </c>
      <c r="F1424">
        <f>SUMIFS('Nacional · base'!$K$7:$K$1068,'Nacional · base'!$A$7:$A$1068,A1424,'Nacional · base'!$B$7:$B$1068,B1424,'Nacional · base'!$C$7:$C$1068,C1424)</f>
        <v>0.98541666666666672</v>
      </c>
      <c r="G1424">
        <f t="shared" si="27"/>
        <v>1</v>
      </c>
      <c r="H1424">
        <f>SUMIFS('Nacional · base'!$G$7:$G$1068,'Nacional · base'!$A$7:$A$1068,A1424,'Nacional · base'!$B$7:$B$1068,B1424,'Nacional · base'!$C$7:$C$1068,C1424)</f>
        <v>3218.5985056594518</v>
      </c>
      <c r="I1424">
        <f>IF(D1424="Canarias",IF(C1424="CABRERA MORALES FRANCISCO",IF(E1424&lt;=2000,'Nacional · supuestos'!$C$34,IF(E1424&lt;=5000,'Nacional · supuestos'!$C$35,'Nacional · supuestos'!$C$36)),IF(E1424&lt;=2000,'Nacional · supuestos'!$B$34,IF(E1424&lt;=5000,'Nacional · supuestos'!$B$35,'Nacional · supuestos'!$B$36))),0)</f>
        <v>0</v>
      </c>
      <c r="J1424">
        <f>IF(D1424="Canarias",MAX(E1424*I1424,IF(C1424="CABRERA MORALES FRANCISCO",'Nacional · supuestos'!$C$38,'Nacional · supuestos'!$B$38)),0)</f>
        <v>0</v>
      </c>
      <c r="K1424">
        <f>IF(D1424="Canarias",MAX(E1424*'Nacional · supuestos'!$B$41,'Nacional · supuestos'!$B$42),0)</f>
        <v>0</v>
      </c>
      <c r="L1424">
        <f>IF(D1424="Canarias",E1424*'Nacional · supuestos'!$B$43,0)</f>
        <v>0</v>
      </c>
      <c r="M1424">
        <f>IF(D1424="Canarias",E1424*'Nacional · supuestos'!$B$44,0)</f>
        <v>0</v>
      </c>
      <c r="N1424">
        <f>IF(D1424="Canarias",E1424*'Nacional · supuestos'!$B$45,0)</f>
        <v>0</v>
      </c>
      <c r="O1424">
        <f>IF(D1424="Canarias",'Nacional · supuestos'!$B$46,0)</f>
        <v>0</v>
      </c>
      <c r="P1424">
        <f>IF(D1424="Canarias",MAX(H1424*'Nacional · supuestos'!$B$47,'Nacional · supuestos'!$B$48),0)</f>
        <v>0</v>
      </c>
      <c r="Q1424">
        <f>IF(D1424="Resto nacional",E1424*'Nacional · supuestos'!$B$13*IF(A1424=2027,1+'Nacional · supuestos'!$B$6,1),0)</f>
        <v>70.207771587743736</v>
      </c>
      <c r="R1424">
        <f>IF(D1424="Canarias",SUM(J1424:P1424)*IF(A1424=2027,1+'Nacional · supuestos'!$B$6,1),0)</f>
        <v>0</v>
      </c>
      <c r="S1424">
        <f t="shared" si="28"/>
        <v>70.207771587743736</v>
      </c>
    </row>
    <row r="1425" spans="1:19">
      <c r="A1425">
        <v>2027</v>
      </c>
      <c r="B1425">
        <v>10</v>
      </c>
      <c r="C1425" t="s">
        <v>170</v>
      </c>
      <c r="D1425" t="s">
        <v>160</v>
      </c>
      <c r="E1425">
        <f>SUMIFS('Nacional · base'!$J$7:$J$1068,'Nacional · base'!$A$7:$A$1068,A1425,'Nacional · base'!$B$7:$B$1068,B1425,'Nacional · base'!$C$7:$C$1068,C1425)</f>
        <v>5206.3999999999996</v>
      </c>
      <c r="F1425">
        <f>SUMIFS('Nacional · base'!$K$7:$K$1068,'Nacional · base'!$A$7:$A$1068,A1425,'Nacional · base'!$B$7:$B$1068,B1425,'Nacional · base'!$C$7:$C$1068,C1425)</f>
        <v>6.8987499999999997</v>
      </c>
      <c r="G1425">
        <f t="shared" si="27"/>
        <v>7</v>
      </c>
      <c r="H1425">
        <f>SUMIFS('Nacional · base'!$G$7:$G$1068,'Nacional · base'!$A$7:$A$1068,A1425,'Nacional · base'!$B$7:$B$1068,B1425,'Nacional · base'!$C$7:$C$1068,C1425)</f>
        <v>15292.700039999087</v>
      </c>
      <c r="I1425">
        <f>IF(D1425="Canarias",IF(C1425="CABRERA MORALES FRANCISCO",IF(E1425&lt;=2000,'Nacional · supuestos'!$C$34,IF(E1425&lt;=5000,'Nacional · supuestos'!$C$35,'Nacional · supuestos'!$C$36)),IF(E1425&lt;=2000,'Nacional · supuestos'!$B$34,IF(E1425&lt;=5000,'Nacional · supuestos'!$B$35,'Nacional · supuestos'!$B$36))),0)</f>
        <v>0</v>
      </c>
      <c r="J1425">
        <f>IF(D1425="Canarias",MAX(E1425*I1425,IF(C1425="CABRERA MORALES FRANCISCO",'Nacional · supuestos'!$C$38,'Nacional · supuestos'!$B$38)),0)</f>
        <v>0</v>
      </c>
      <c r="K1425">
        <f>IF(D1425="Canarias",MAX(E1425*'Nacional · supuestos'!$B$41,'Nacional · supuestos'!$B$42),0)</f>
        <v>0</v>
      </c>
      <c r="L1425">
        <f>IF(D1425="Canarias",E1425*'Nacional · supuestos'!$B$43,0)</f>
        <v>0</v>
      </c>
      <c r="M1425">
        <f>IF(D1425="Canarias",E1425*'Nacional · supuestos'!$B$44,0)</f>
        <v>0</v>
      </c>
      <c r="N1425">
        <f>IF(D1425="Canarias",E1425*'Nacional · supuestos'!$B$45,0)</f>
        <v>0</v>
      </c>
      <c r="O1425">
        <f>IF(D1425="Canarias",'Nacional · supuestos'!$B$46,0)</f>
        <v>0</v>
      </c>
      <c r="P1425">
        <f>IF(D1425="Canarias",MAX(H1425*'Nacional · supuestos'!$B$47,'Nacional · supuestos'!$B$48),0)</f>
        <v>0</v>
      </c>
      <c r="Q1425">
        <f>IF(D1425="Resto nacional",E1425*'Nacional · supuestos'!$B$13*IF(A1425=2027,1+'Nacional · supuestos'!$B$6,1),0)</f>
        <v>507.8212586752278</v>
      </c>
      <c r="R1425">
        <f>IF(D1425="Canarias",SUM(J1425:P1425)*IF(A1425=2027,1+'Nacional · supuestos'!$B$6,1),0)</f>
        <v>0</v>
      </c>
      <c r="S1425">
        <f t="shared" si="28"/>
        <v>507.8212586752278</v>
      </c>
    </row>
    <row r="1426" spans="1:19">
      <c r="A1426">
        <v>2027</v>
      </c>
      <c r="B1426">
        <v>10</v>
      </c>
      <c r="C1426" t="s">
        <v>171</v>
      </c>
      <c r="D1426" t="s">
        <v>164</v>
      </c>
      <c r="E1426">
        <f>SUMIFS('Nacional · base'!$J$7:$J$1068,'Nacional · base'!$A$7:$A$1068,A1426,'Nacional · base'!$B$7:$B$1068,B1426,'Nacional · base'!$C$7:$C$1068,C1426)</f>
        <v>9226.9</v>
      </c>
      <c r="F1426">
        <f>SUMIFS('Nacional · base'!$K$7:$K$1068,'Nacional · base'!$A$7:$A$1068,A1426,'Nacional · base'!$B$7:$B$1068,B1426,'Nacional · base'!$C$7:$C$1068,C1426)</f>
        <v>12.324999999999999</v>
      </c>
      <c r="G1426">
        <f t="shared" si="27"/>
        <v>13</v>
      </c>
      <c r="H1426">
        <f>SUMIFS('Nacional · base'!$G$7:$G$1068,'Nacional · base'!$A$7:$A$1068,A1426,'Nacional · base'!$B$7:$B$1068,B1426,'Nacional · base'!$C$7:$C$1068,C1426)</f>
        <v>16360.427195716135</v>
      </c>
      <c r="I1426">
        <f>IF(D1426="Canarias",IF(C1426="CABRERA MORALES FRANCISCO",IF(E1426&lt;=2000,'Nacional · supuestos'!$C$34,IF(E1426&lt;=5000,'Nacional · supuestos'!$C$35,'Nacional · supuestos'!$C$36)),IF(E1426&lt;=2000,'Nacional · supuestos'!$B$34,IF(E1426&lt;=5000,'Nacional · supuestos'!$B$35,'Nacional · supuestos'!$B$36))),0)</f>
        <v>0.19800000000000001</v>
      </c>
      <c r="J1426">
        <f>IF(D1426="Canarias",MAX(E1426*I1426,IF(C1426="CABRERA MORALES FRANCISCO",'Nacional · supuestos'!$C$38,'Nacional · supuestos'!$B$38)),0)</f>
        <v>1826.9262000000001</v>
      </c>
      <c r="K1426">
        <f>IF(D1426="Canarias",MAX(E1426*'Nacional · supuestos'!$B$41,'Nacional · supuestos'!$B$42),0)</f>
        <v>332.16839999999996</v>
      </c>
      <c r="L1426">
        <f>IF(D1426="Canarias",E1426*'Nacional · supuestos'!$B$43,0)</f>
        <v>110.72279999999999</v>
      </c>
      <c r="M1426">
        <f>IF(D1426="Canarias",E1426*'Nacional · supuestos'!$B$44,0)</f>
        <v>166.08419999999998</v>
      </c>
      <c r="N1426">
        <f>IF(D1426="Canarias",E1426*'Nacional · supuestos'!$B$45,0)</f>
        <v>202.99179999999998</v>
      </c>
      <c r="O1426">
        <f>IF(D1426="Canarias",'Nacional · supuestos'!$B$46,0)</f>
        <v>15</v>
      </c>
      <c r="P1426">
        <f>IF(D1426="Canarias",MAX(H1426*'Nacional · supuestos'!$B$47,'Nacional · supuestos'!$B$48),0)</f>
        <v>73.621922380722594</v>
      </c>
      <c r="Q1426">
        <f>IF(D1426="Resto nacional",E1426*'Nacional · supuestos'!$B$13*IF(A1426=2027,1+'Nacional · supuestos'!$B$6,1),0)</f>
        <v>0</v>
      </c>
      <c r="R1426">
        <f>IF(D1426="Canarias",SUM(J1426:P1426)*IF(A1426=2027,1+'Nacional · supuestos'!$B$6,1),0)</f>
        <v>3000.2668546187942</v>
      </c>
      <c r="S1426">
        <f t="shared" si="28"/>
        <v>3000.2668546187942</v>
      </c>
    </row>
    <row r="1427" spans="1:19">
      <c r="A1427">
        <v>2027</v>
      </c>
      <c r="B1427">
        <v>10</v>
      </c>
      <c r="C1427" t="s">
        <v>172</v>
      </c>
      <c r="D1427" t="s">
        <v>160</v>
      </c>
      <c r="E1427">
        <f>SUMIFS('Nacional · base'!$J$7:$J$1068,'Nacional · base'!$A$7:$A$1068,A1427,'Nacional · base'!$B$7:$B$1068,B1427,'Nacional · base'!$C$7:$C$1068,C1427)</f>
        <v>16971.5</v>
      </c>
      <c r="F1427">
        <f>SUMIFS('Nacional · base'!$K$7:$K$1068,'Nacional · base'!$A$7:$A$1068,A1427,'Nacional · base'!$B$7:$B$1068,B1427,'Nacional · base'!$C$7:$C$1068,C1427)</f>
        <v>22.52973484848485</v>
      </c>
      <c r="G1427">
        <f t="shared" si="27"/>
        <v>23</v>
      </c>
      <c r="H1427">
        <f>SUMIFS('Nacional · base'!$G$7:$G$1068,'Nacional · base'!$A$7:$A$1068,A1427,'Nacional · base'!$B$7:$B$1068,B1427,'Nacional · base'!$C$7:$C$1068,C1427)</f>
        <v>48084.635487529747</v>
      </c>
      <c r="I1427">
        <f>IF(D1427="Canarias",IF(C1427="CABRERA MORALES FRANCISCO",IF(E1427&lt;=2000,'Nacional · supuestos'!$C$34,IF(E1427&lt;=5000,'Nacional · supuestos'!$C$35,'Nacional · supuestos'!$C$36)),IF(E1427&lt;=2000,'Nacional · supuestos'!$B$34,IF(E1427&lt;=5000,'Nacional · supuestos'!$B$35,'Nacional · supuestos'!$B$36))),0)</f>
        <v>0</v>
      </c>
      <c r="J1427">
        <f>IF(D1427="Canarias",MAX(E1427*I1427,IF(C1427="CABRERA MORALES FRANCISCO",'Nacional · supuestos'!$C$38,'Nacional · supuestos'!$B$38)),0)</f>
        <v>0</v>
      </c>
      <c r="K1427">
        <f>IF(D1427="Canarias",MAX(E1427*'Nacional · supuestos'!$B$41,'Nacional · supuestos'!$B$42),0)</f>
        <v>0</v>
      </c>
      <c r="L1427">
        <f>IF(D1427="Canarias",E1427*'Nacional · supuestos'!$B$43,0)</f>
        <v>0</v>
      </c>
      <c r="M1427">
        <f>IF(D1427="Canarias",E1427*'Nacional · supuestos'!$B$44,0)</f>
        <v>0</v>
      </c>
      <c r="N1427">
        <f>IF(D1427="Canarias",E1427*'Nacional · supuestos'!$B$45,0)</f>
        <v>0</v>
      </c>
      <c r="O1427">
        <f>IF(D1427="Canarias",'Nacional · supuestos'!$B$46,0)</f>
        <v>0</v>
      </c>
      <c r="P1427">
        <f>IF(D1427="Canarias",MAX(H1427*'Nacional · supuestos'!$B$47,'Nacional · supuestos'!$B$48),0)</f>
        <v>0</v>
      </c>
      <c r="Q1427">
        <f>IF(D1427="Resto nacional",E1427*'Nacional · supuestos'!$B$13*IF(A1427=2027,1+'Nacional · supuestos'!$B$6,1),0)</f>
        <v>1655.3642616023797</v>
      </c>
      <c r="R1427">
        <f>IF(D1427="Canarias",SUM(J1427:P1427)*IF(A1427=2027,1+'Nacional · supuestos'!$B$6,1),0)</f>
        <v>0</v>
      </c>
      <c r="S1427">
        <f t="shared" si="28"/>
        <v>1655.3642616023797</v>
      </c>
    </row>
    <row r="1428" spans="1:19">
      <c r="A1428">
        <v>2027</v>
      </c>
      <c r="B1428">
        <v>10</v>
      </c>
      <c r="C1428" t="s">
        <v>173</v>
      </c>
      <c r="D1428" t="s">
        <v>160</v>
      </c>
      <c r="E1428">
        <f>SUMIFS('Nacional · base'!$J$7:$J$1068,'Nacional · base'!$A$7:$A$1068,A1428,'Nacional · base'!$B$7:$B$1068,B1428,'Nacional · base'!$C$7:$C$1068,C1428)</f>
        <v>7057.6</v>
      </c>
      <c r="F1428">
        <f>SUMIFS('Nacional · base'!$K$7:$K$1068,'Nacional · base'!$A$7:$A$1068,A1428,'Nacional · base'!$B$7:$B$1068,B1428,'Nacional · base'!$C$7:$C$1068,C1428)</f>
        <v>7.5125000000000002</v>
      </c>
      <c r="G1428">
        <f t="shared" si="27"/>
        <v>8</v>
      </c>
      <c r="H1428">
        <f>SUMIFS('Nacional · base'!$G$7:$G$1068,'Nacional · base'!$A$7:$A$1068,A1428,'Nacional · base'!$B$7:$B$1068,B1428,'Nacional · base'!$C$7:$C$1068,C1428)</f>
        <v>16202.93846767278</v>
      </c>
      <c r="I1428">
        <f>IF(D1428="Canarias",IF(C1428="CABRERA MORALES FRANCISCO",IF(E1428&lt;=2000,'Nacional · supuestos'!$C$34,IF(E1428&lt;=5000,'Nacional · supuestos'!$C$35,'Nacional · supuestos'!$C$36)),IF(E1428&lt;=2000,'Nacional · supuestos'!$B$34,IF(E1428&lt;=5000,'Nacional · supuestos'!$B$35,'Nacional · supuestos'!$B$36))),0)</f>
        <v>0</v>
      </c>
      <c r="J1428">
        <f>IF(D1428="Canarias",MAX(E1428*I1428,IF(C1428="CABRERA MORALES FRANCISCO",'Nacional · supuestos'!$C$38,'Nacional · supuestos'!$B$38)),0)</f>
        <v>0</v>
      </c>
      <c r="K1428">
        <f>IF(D1428="Canarias",MAX(E1428*'Nacional · supuestos'!$B$41,'Nacional · supuestos'!$B$42),0)</f>
        <v>0</v>
      </c>
      <c r="L1428">
        <f>IF(D1428="Canarias",E1428*'Nacional · supuestos'!$B$43,0)</f>
        <v>0</v>
      </c>
      <c r="M1428">
        <f>IF(D1428="Canarias",E1428*'Nacional · supuestos'!$B$44,0)</f>
        <v>0</v>
      </c>
      <c r="N1428">
        <f>IF(D1428="Canarias",E1428*'Nacional · supuestos'!$B$45,0)</f>
        <v>0</v>
      </c>
      <c r="O1428">
        <f>IF(D1428="Canarias",'Nacional · supuestos'!$B$46,0)</f>
        <v>0</v>
      </c>
      <c r="P1428">
        <f>IF(D1428="Canarias",MAX(H1428*'Nacional · supuestos'!$B$47,'Nacional · supuestos'!$B$48),0)</f>
        <v>0</v>
      </c>
      <c r="Q1428">
        <f>IF(D1428="Resto nacional",E1428*'Nacional · supuestos'!$B$13*IF(A1428=2027,1+'Nacional · supuestos'!$B$6,1),0)</f>
        <v>688.38339644020596</v>
      </c>
      <c r="R1428">
        <f>IF(D1428="Canarias",SUM(J1428:P1428)*IF(A1428=2027,1+'Nacional · supuestos'!$B$6,1),0)</f>
        <v>0</v>
      </c>
      <c r="S1428">
        <f t="shared" si="28"/>
        <v>688.38339644020596</v>
      </c>
    </row>
    <row r="1429" spans="1:19">
      <c r="A1429">
        <v>2027</v>
      </c>
      <c r="B1429">
        <v>10</v>
      </c>
      <c r="C1429" t="s">
        <v>174</v>
      </c>
      <c r="D1429" t="s">
        <v>160</v>
      </c>
      <c r="E1429">
        <f>SUMIFS('Nacional · base'!$J$7:$J$1068,'Nacional · base'!$A$7:$A$1068,A1429,'Nacional · base'!$B$7:$B$1068,B1429,'Nacional · base'!$C$7:$C$1068,C1429)</f>
        <v>28523.599999999999</v>
      </c>
      <c r="F1429">
        <f>SUMIFS('Nacional · base'!$K$7:$K$1068,'Nacional · base'!$A$7:$A$1068,A1429,'Nacional · base'!$B$7:$B$1068,B1429,'Nacional · base'!$C$7:$C$1068,C1429)</f>
        <v>31.631250000000001</v>
      </c>
      <c r="G1429">
        <f t="shared" si="27"/>
        <v>32</v>
      </c>
      <c r="H1429">
        <f>SUMIFS('Nacional · base'!$G$7:$G$1068,'Nacional · base'!$A$7:$A$1068,A1429,'Nacional · base'!$B$7:$B$1068,B1429,'Nacional · base'!$C$7:$C$1068,C1429)</f>
        <v>67783.438409584458</v>
      </c>
      <c r="I1429">
        <f>IF(D1429="Canarias",IF(C1429="CABRERA MORALES FRANCISCO",IF(E1429&lt;=2000,'Nacional · supuestos'!$C$34,IF(E1429&lt;=5000,'Nacional · supuestos'!$C$35,'Nacional · supuestos'!$C$36)),IF(E1429&lt;=2000,'Nacional · supuestos'!$B$34,IF(E1429&lt;=5000,'Nacional · supuestos'!$B$35,'Nacional · supuestos'!$B$36))),0)</f>
        <v>0</v>
      </c>
      <c r="J1429">
        <f>IF(D1429="Canarias",MAX(E1429*I1429,IF(C1429="CABRERA MORALES FRANCISCO",'Nacional · supuestos'!$C$38,'Nacional · supuestos'!$B$38)),0)</f>
        <v>0</v>
      </c>
      <c r="K1429">
        <f>IF(D1429="Canarias",MAX(E1429*'Nacional · supuestos'!$B$41,'Nacional · supuestos'!$B$42),0)</f>
        <v>0</v>
      </c>
      <c r="L1429">
        <f>IF(D1429="Canarias",E1429*'Nacional · supuestos'!$B$43,0)</f>
        <v>0</v>
      </c>
      <c r="M1429">
        <f>IF(D1429="Canarias",E1429*'Nacional · supuestos'!$B$44,0)</f>
        <v>0</v>
      </c>
      <c r="N1429">
        <f>IF(D1429="Canarias",E1429*'Nacional · supuestos'!$B$45,0)</f>
        <v>0</v>
      </c>
      <c r="O1429">
        <f>IF(D1429="Canarias",'Nacional · supuestos'!$B$46,0)</f>
        <v>0</v>
      </c>
      <c r="P1429">
        <f>IF(D1429="Canarias",MAX(H1429*'Nacional · supuestos'!$B$47,'Nacional · supuestos'!$B$48),0)</f>
        <v>0</v>
      </c>
      <c r="Q1429">
        <f>IF(D1429="Resto nacional",E1429*'Nacional · supuestos'!$B$13*IF(A1429=2027,1+'Nacional · supuestos'!$B$6,1),0)</f>
        <v>2782.1316944431328</v>
      </c>
      <c r="R1429">
        <f>IF(D1429="Canarias",SUM(J1429:P1429)*IF(A1429=2027,1+'Nacional · supuestos'!$B$6,1),0)</f>
        <v>0</v>
      </c>
      <c r="S1429">
        <f t="shared" si="28"/>
        <v>2782.1316944431328</v>
      </c>
    </row>
    <row r="1430" spans="1:19">
      <c r="A1430">
        <v>2027</v>
      </c>
      <c r="B1430">
        <v>10</v>
      </c>
      <c r="C1430" t="s">
        <v>175</v>
      </c>
      <c r="D1430" t="s">
        <v>160</v>
      </c>
      <c r="E1430">
        <f>SUMIFS('Nacional · base'!$J$7:$J$1068,'Nacional · base'!$A$7:$A$1068,A1430,'Nacional · base'!$B$7:$B$1068,B1430,'Nacional · base'!$C$7:$C$1068,C1430)</f>
        <v>12148.099999999999</v>
      </c>
      <c r="F1430">
        <f>SUMIFS('Nacional · base'!$K$7:$K$1068,'Nacional · base'!$A$7:$A$1068,A1430,'Nacional · base'!$B$7:$B$1068,B1430,'Nacional · base'!$C$7:$C$1068,C1430)</f>
        <v>16.258333333333333</v>
      </c>
      <c r="G1430">
        <f t="shared" si="27"/>
        <v>17</v>
      </c>
      <c r="H1430">
        <f>SUMIFS('Nacional · base'!$G$7:$G$1068,'Nacional · base'!$A$7:$A$1068,A1430,'Nacional · base'!$B$7:$B$1068,B1430,'Nacional · base'!$C$7:$C$1068,C1430)</f>
        <v>38480.265781933056</v>
      </c>
      <c r="I1430">
        <f>IF(D1430="Canarias",IF(C1430="CABRERA MORALES FRANCISCO",IF(E1430&lt;=2000,'Nacional · supuestos'!$C$34,IF(E1430&lt;=5000,'Nacional · supuestos'!$C$35,'Nacional · supuestos'!$C$36)),IF(E1430&lt;=2000,'Nacional · supuestos'!$B$34,IF(E1430&lt;=5000,'Nacional · supuestos'!$B$35,'Nacional · supuestos'!$B$36))),0)</f>
        <v>0</v>
      </c>
      <c r="J1430">
        <f>IF(D1430="Canarias",MAX(E1430*I1430,IF(C1430="CABRERA MORALES FRANCISCO",'Nacional · supuestos'!$C$38,'Nacional · supuestos'!$B$38)),0)</f>
        <v>0</v>
      </c>
      <c r="K1430">
        <f>IF(D1430="Canarias",MAX(E1430*'Nacional · supuestos'!$B$41,'Nacional · supuestos'!$B$42),0)</f>
        <v>0</v>
      </c>
      <c r="L1430">
        <f>IF(D1430="Canarias",E1430*'Nacional · supuestos'!$B$43,0)</f>
        <v>0</v>
      </c>
      <c r="M1430">
        <f>IF(D1430="Canarias",E1430*'Nacional · supuestos'!$B$44,0)</f>
        <v>0</v>
      </c>
      <c r="N1430">
        <f>IF(D1430="Canarias",E1430*'Nacional · supuestos'!$B$45,0)</f>
        <v>0</v>
      </c>
      <c r="O1430">
        <f>IF(D1430="Canarias",'Nacional · supuestos'!$B$46,0)</f>
        <v>0</v>
      </c>
      <c r="P1430">
        <f>IF(D1430="Canarias",MAX(H1430*'Nacional · supuestos'!$B$47,'Nacional · supuestos'!$B$48),0)</f>
        <v>0</v>
      </c>
      <c r="Q1430">
        <f>IF(D1430="Resto nacional",E1430*'Nacional · supuestos'!$B$13*IF(A1430=2027,1+'Nacional · supuestos'!$B$6,1),0)</f>
        <v>1184.9000139275763</v>
      </c>
      <c r="R1430">
        <f>IF(D1430="Canarias",SUM(J1430:P1430)*IF(A1430=2027,1+'Nacional · supuestos'!$B$6,1),0)</f>
        <v>0</v>
      </c>
      <c r="S1430">
        <f t="shared" si="28"/>
        <v>1184.9000139275763</v>
      </c>
    </row>
    <row r="1431" spans="1:19">
      <c r="A1431">
        <v>2027</v>
      </c>
      <c r="B1431">
        <v>10</v>
      </c>
      <c r="C1431" t="s">
        <v>182</v>
      </c>
      <c r="D1431" t="s">
        <v>160</v>
      </c>
      <c r="E1431">
        <f>SUMIFS('Nacional · base'!$J$7:$J$1068,'Nacional · base'!$A$7:$A$1068,A1431,'Nacional · base'!$B$7:$B$1068,B1431,'Nacional · base'!$C$7:$C$1068,C1431)</f>
        <v>17953.599999999999</v>
      </c>
      <c r="F1431">
        <f>SUMIFS('Nacional · base'!$K$7:$K$1068,'Nacional · base'!$A$7:$A$1068,A1431,'Nacional · base'!$B$7:$B$1068,B1431,'Nacional · base'!$C$7:$C$1068,C1431)</f>
        <v>18.649999999999999</v>
      </c>
      <c r="G1431">
        <f t="shared" si="27"/>
        <v>19</v>
      </c>
      <c r="H1431">
        <f>SUMIFS('Nacional · base'!$G$7:$G$1068,'Nacional · base'!$A$7:$A$1068,A1431,'Nacional · base'!$B$7:$B$1068,B1431,'Nacional · base'!$C$7:$C$1068,C1431)</f>
        <v>39037.734874677866</v>
      </c>
      <c r="I1431">
        <f>IF(D1431="Canarias",IF(C1431="CABRERA MORALES FRANCISCO",IF(E1431&lt;=2000,'Nacional · supuestos'!$C$34,IF(E1431&lt;=5000,'Nacional · supuestos'!$C$35,'Nacional · supuestos'!$C$36)),IF(E1431&lt;=2000,'Nacional · supuestos'!$B$34,IF(E1431&lt;=5000,'Nacional · supuestos'!$B$35,'Nacional · supuestos'!$B$36))),0)</f>
        <v>0</v>
      </c>
      <c r="J1431">
        <f>IF(D1431="Canarias",MAX(E1431*I1431,IF(C1431="CABRERA MORALES FRANCISCO",'Nacional · supuestos'!$C$38,'Nacional · supuestos'!$B$38)),0)</f>
        <v>0</v>
      </c>
      <c r="K1431">
        <f>IF(D1431="Canarias",MAX(E1431*'Nacional · supuestos'!$B$41,'Nacional · supuestos'!$B$42),0)</f>
        <v>0</v>
      </c>
      <c r="L1431">
        <f>IF(D1431="Canarias",E1431*'Nacional · supuestos'!$B$43,0)</f>
        <v>0</v>
      </c>
      <c r="M1431">
        <f>IF(D1431="Canarias",E1431*'Nacional · supuestos'!$B$44,0)</f>
        <v>0</v>
      </c>
      <c r="N1431">
        <f>IF(D1431="Canarias",E1431*'Nacional · supuestos'!$B$45,0)</f>
        <v>0</v>
      </c>
      <c r="O1431">
        <f>IF(D1431="Canarias",'Nacional · supuestos'!$B$46,0)</f>
        <v>0</v>
      </c>
      <c r="P1431">
        <f>IF(D1431="Canarias",MAX(H1431*'Nacional · supuestos'!$B$47,'Nacional · supuestos'!$B$48),0)</f>
        <v>0</v>
      </c>
      <c r="Q1431">
        <f>IF(D1431="Resto nacional",E1431*'Nacional · supuestos'!$B$13*IF(A1431=2027,1+'Nacional · supuestos'!$B$6,1),0)</f>
        <v>1751.156221141589</v>
      </c>
      <c r="R1431">
        <f>IF(D1431="Canarias",SUM(J1431:P1431)*IF(A1431=2027,1+'Nacional · supuestos'!$B$6,1),0)</f>
        <v>0</v>
      </c>
      <c r="S1431">
        <f t="shared" si="28"/>
        <v>1751.156221141589</v>
      </c>
    </row>
    <row r="1432" spans="1:19">
      <c r="A1432">
        <v>2027</v>
      </c>
      <c r="B1432">
        <v>10</v>
      </c>
      <c r="C1432" t="s">
        <v>183</v>
      </c>
      <c r="D1432" t="s">
        <v>164</v>
      </c>
      <c r="E1432">
        <f>SUMIFS('Nacional · base'!$J$7:$J$1068,'Nacional · base'!$A$7:$A$1068,A1432,'Nacional · base'!$B$7:$B$1068,B1432,'Nacional · base'!$C$7:$C$1068,C1432)</f>
        <v>16071.6</v>
      </c>
      <c r="F1432">
        <f>SUMIFS('Nacional · base'!$K$7:$K$1068,'Nacional · base'!$A$7:$A$1068,A1432,'Nacional · base'!$B$7:$B$1068,B1432,'Nacional · base'!$C$7:$C$1068,C1432)</f>
        <v>15.40625</v>
      </c>
      <c r="G1432">
        <f t="shared" si="27"/>
        <v>16</v>
      </c>
      <c r="H1432">
        <f>SUMIFS('Nacional · base'!$G$7:$G$1068,'Nacional · base'!$A$7:$A$1068,A1432,'Nacional · base'!$B$7:$B$1068,B1432,'Nacional · base'!$C$7:$C$1068,C1432)</f>
        <v>35505.540357072736</v>
      </c>
      <c r="I1432">
        <f>IF(D1432="Canarias",IF(C1432="CABRERA MORALES FRANCISCO",IF(E1432&lt;=2000,'Nacional · supuestos'!$C$34,IF(E1432&lt;=5000,'Nacional · supuestos'!$C$35,'Nacional · supuestos'!$C$36)),IF(E1432&lt;=2000,'Nacional · supuestos'!$B$34,IF(E1432&lt;=5000,'Nacional · supuestos'!$B$35,'Nacional · supuestos'!$B$36))),0)</f>
        <v>0.104</v>
      </c>
      <c r="J1432">
        <f>IF(D1432="Canarias",MAX(E1432*I1432,IF(C1432="CABRERA MORALES FRANCISCO",'Nacional · supuestos'!$C$38,'Nacional · supuestos'!$B$38)),0)</f>
        <v>1671.4464</v>
      </c>
      <c r="K1432">
        <f>IF(D1432="Canarias",MAX(E1432*'Nacional · supuestos'!$B$41,'Nacional · supuestos'!$B$42),0)</f>
        <v>578.57759999999996</v>
      </c>
      <c r="L1432">
        <f>IF(D1432="Canarias",E1432*'Nacional · supuestos'!$B$43,0)</f>
        <v>192.85920000000002</v>
      </c>
      <c r="M1432">
        <f>IF(D1432="Canarias",E1432*'Nacional · supuestos'!$B$44,0)</f>
        <v>289.28879999999998</v>
      </c>
      <c r="N1432">
        <f>IF(D1432="Canarias",E1432*'Nacional · supuestos'!$B$45,0)</f>
        <v>353.5752</v>
      </c>
      <c r="O1432">
        <f>IF(D1432="Canarias",'Nacional · supuestos'!$B$46,0)</f>
        <v>15</v>
      </c>
      <c r="P1432">
        <f>IF(D1432="Canarias",MAX(H1432*'Nacional · supuestos'!$B$47,'Nacional · supuestos'!$B$48),0)</f>
        <v>159.77493160682729</v>
      </c>
      <c r="Q1432">
        <f>IF(D1432="Resto nacional",E1432*'Nacional · supuestos'!$B$13*IF(A1432=2027,1+'Nacional · supuestos'!$B$6,1),0)</f>
        <v>0</v>
      </c>
      <c r="R1432">
        <f>IF(D1432="Canarias",SUM(J1432:P1432)*IF(A1432=2027,1+'Nacional · supuestos'!$B$6,1),0)</f>
        <v>3586.5743447675104</v>
      </c>
      <c r="S1432">
        <f t="shared" si="28"/>
        <v>3586.5743447675104</v>
      </c>
    </row>
    <row r="1433" spans="1:19">
      <c r="A1433">
        <v>2027</v>
      </c>
      <c r="B1433">
        <v>10</v>
      </c>
      <c r="C1433" t="s">
        <v>176</v>
      </c>
      <c r="D1433" t="s">
        <v>160</v>
      </c>
      <c r="E1433">
        <f>SUMIFS('Nacional · base'!$J$7:$J$1068,'Nacional · base'!$A$7:$A$1068,A1433,'Nacional · base'!$B$7:$B$1068,B1433,'Nacional · base'!$C$7:$C$1068,C1433)</f>
        <v>3941.2</v>
      </c>
      <c r="F1433">
        <f>SUMIFS('Nacional · base'!$K$7:$K$1068,'Nacional · base'!$A$7:$A$1068,A1433,'Nacional · base'!$B$7:$B$1068,B1433,'Nacional · base'!$C$7:$C$1068,C1433)</f>
        <v>5.21875</v>
      </c>
      <c r="G1433">
        <f t="shared" si="27"/>
        <v>6</v>
      </c>
      <c r="H1433">
        <f>SUMIFS('Nacional · base'!$G$7:$G$1068,'Nacional · base'!$A$7:$A$1068,A1433,'Nacional · base'!$B$7:$B$1068,B1433,'Nacional · base'!$C$7:$C$1068,C1433)</f>
        <v>10008.415886389426</v>
      </c>
      <c r="I1433">
        <f>IF(D1433="Canarias",IF(C1433="CABRERA MORALES FRANCISCO",IF(E1433&lt;=2000,'Nacional · supuestos'!$C$34,IF(E1433&lt;=5000,'Nacional · supuestos'!$C$35,'Nacional · supuestos'!$C$36)),IF(E1433&lt;=2000,'Nacional · supuestos'!$B$34,IF(E1433&lt;=5000,'Nacional · supuestos'!$B$35,'Nacional · supuestos'!$B$36))),0)</f>
        <v>0</v>
      </c>
      <c r="J1433">
        <f>IF(D1433="Canarias",MAX(E1433*I1433,IF(C1433="CABRERA MORALES FRANCISCO",'Nacional · supuestos'!$C$38,'Nacional · supuestos'!$B$38)),0)</f>
        <v>0</v>
      </c>
      <c r="K1433">
        <f>IF(D1433="Canarias",MAX(E1433*'Nacional · supuestos'!$B$41,'Nacional · supuestos'!$B$42),0)</f>
        <v>0</v>
      </c>
      <c r="L1433">
        <f>IF(D1433="Canarias",E1433*'Nacional · supuestos'!$B$43,0)</f>
        <v>0</v>
      </c>
      <c r="M1433">
        <f>IF(D1433="Canarias",E1433*'Nacional · supuestos'!$B$44,0)</f>
        <v>0</v>
      </c>
      <c r="N1433">
        <f>IF(D1433="Canarias",E1433*'Nacional · supuestos'!$B$45,0)</f>
        <v>0</v>
      </c>
      <c r="O1433">
        <f>IF(D1433="Canarias",'Nacional · supuestos'!$B$46,0)</f>
        <v>0</v>
      </c>
      <c r="P1433">
        <f>IF(D1433="Canarias",MAX(H1433*'Nacional · supuestos'!$B$47,'Nacional · supuestos'!$B$48),0)</f>
        <v>0</v>
      </c>
      <c r="Q1433">
        <f>IF(D1433="Resto nacional",E1433*'Nacional · supuestos'!$B$13*IF(A1433=2027,1+'Nacional · supuestos'!$B$6,1),0)</f>
        <v>384.41632311977713</v>
      </c>
      <c r="R1433">
        <f>IF(D1433="Canarias",SUM(J1433:P1433)*IF(A1433=2027,1+'Nacional · supuestos'!$B$6,1),0)</f>
        <v>0</v>
      </c>
      <c r="S1433">
        <f t="shared" si="28"/>
        <v>384.41632311977713</v>
      </c>
    </row>
    <row r="1434" spans="1:19">
      <c r="A1434">
        <v>2027</v>
      </c>
      <c r="B1434">
        <v>10</v>
      </c>
      <c r="C1434" t="s">
        <v>178</v>
      </c>
      <c r="D1434" t="s">
        <v>160</v>
      </c>
      <c r="E1434">
        <f>SUMIFS('Nacional · base'!$J$7:$J$1068,'Nacional · base'!$A$7:$A$1068,A1434,'Nacional · base'!$B$7:$B$1068,B1434,'Nacional · base'!$C$7:$C$1068,C1434)</f>
        <v>5705.4</v>
      </c>
      <c r="F1434">
        <f>SUMIFS('Nacional · base'!$K$7:$K$1068,'Nacional · base'!$A$7:$A$1068,A1434,'Nacional · base'!$B$7:$B$1068,B1434,'Nacional · base'!$C$7:$C$1068,C1434)</f>
        <v>7.5924242424242419</v>
      </c>
      <c r="G1434">
        <f t="shared" si="27"/>
        <v>8</v>
      </c>
      <c r="H1434">
        <f>SUMIFS('Nacional · base'!$G$7:$G$1068,'Nacional · base'!$A$7:$A$1068,A1434,'Nacional · base'!$B$7:$B$1068,B1434,'Nacional · base'!$C$7:$C$1068,C1434)</f>
        <v>21750.967033138615</v>
      </c>
      <c r="I1434">
        <f>IF(D1434="Canarias",IF(C1434="CABRERA MORALES FRANCISCO",IF(E1434&lt;=2000,'Nacional · supuestos'!$C$34,IF(E1434&lt;=5000,'Nacional · supuestos'!$C$35,'Nacional · supuestos'!$C$36)),IF(E1434&lt;=2000,'Nacional · supuestos'!$B$34,IF(E1434&lt;=5000,'Nacional · supuestos'!$B$35,'Nacional · supuestos'!$B$36))),0)</f>
        <v>0</v>
      </c>
      <c r="J1434">
        <f>IF(D1434="Canarias",MAX(E1434*I1434,IF(C1434="CABRERA MORALES FRANCISCO",'Nacional · supuestos'!$C$38,'Nacional · supuestos'!$B$38)),0)</f>
        <v>0</v>
      </c>
      <c r="K1434">
        <f>IF(D1434="Canarias",MAX(E1434*'Nacional · supuestos'!$B$41,'Nacional · supuestos'!$B$42),0)</f>
        <v>0</v>
      </c>
      <c r="L1434">
        <f>IF(D1434="Canarias",E1434*'Nacional · supuestos'!$B$43,0)</f>
        <v>0</v>
      </c>
      <c r="M1434">
        <f>IF(D1434="Canarias",E1434*'Nacional · supuestos'!$B$44,0)</f>
        <v>0</v>
      </c>
      <c r="N1434">
        <f>IF(D1434="Canarias",E1434*'Nacional · supuestos'!$B$45,0)</f>
        <v>0</v>
      </c>
      <c r="O1434">
        <f>IF(D1434="Canarias",'Nacional · supuestos'!$B$46,0)</f>
        <v>0</v>
      </c>
      <c r="P1434">
        <f>IF(D1434="Canarias",MAX(H1434*'Nacional · supuestos'!$B$47,'Nacional · supuestos'!$B$48),0)</f>
        <v>0</v>
      </c>
      <c r="Q1434">
        <f>IF(D1434="Resto nacional",E1434*'Nacional · supuestos'!$B$13*IF(A1434=2027,1+'Nacional · supuestos'!$B$6,1),0)</f>
        <v>556.49266465228266</v>
      </c>
      <c r="R1434">
        <f>IF(D1434="Canarias",SUM(J1434:P1434)*IF(A1434=2027,1+'Nacional · supuestos'!$B$6,1),0)</f>
        <v>0</v>
      </c>
      <c r="S1434">
        <f t="shared" si="28"/>
        <v>556.49266465228266</v>
      </c>
    </row>
    <row r="1435" spans="1:19">
      <c r="A1435">
        <v>2027</v>
      </c>
      <c r="B1435">
        <v>10</v>
      </c>
      <c r="C1435" t="s">
        <v>179</v>
      </c>
      <c r="D1435" t="s">
        <v>160</v>
      </c>
      <c r="E1435">
        <f>SUMIFS('Nacional · base'!$J$7:$J$1068,'Nacional · base'!$A$7:$A$1068,A1435,'Nacional · base'!$B$7:$B$1068,B1435,'Nacional · base'!$C$7:$C$1068,C1435)</f>
        <v>2927.9</v>
      </c>
      <c r="F1435">
        <f>SUMIFS('Nacional · base'!$K$7:$K$1068,'Nacional · base'!$A$7:$A$1068,A1435,'Nacional · base'!$B$7:$B$1068,B1435,'Nacional · base'!$C$7:$C$1068,C1435)</f>
        <v>3.8887499999999999</v>
      </c>
      <c r="G1435">
        <f t="shared" si="27"/>
        <v>4</v>
      </c>
      <c r="H1435">
        <f>SUMIFS('Nacional · base'!$G$7:$G$1068,'Nacional · base'!$A$7:$A$1068,A1435,'Nacional · base'!$B$7:$B$1068,B1435,'Nacional · base'!$C$7:$C$1068,C1435)</f>
        <v>10334.516610040077</v>
      </c>
      <c r="I1435">
        <f>IF(D1435="Canarias",IF(C1435="CABRERA MORALES FRANCISCO",IF(E1435&lt;=2000,'Nacional · supuestos'!$C$34,IF(E1435&lt;=5000,'Nacional · supuestos'!$C$35,'Nacional · supuestos'!$C$36)),IF(E1435&lt;=2000,'Nacional · supuestos'!$B$34,IF(E1435&lt;=5000,'Nacional · supuestos'!$B$35,'Nacional · supuestos'!$B$36))),0)</f>
        <v>0</v>
      </c>
      <c r="J1435">
        <f>IF(D1435="Canarias",MAX(E1435*I1435,IF(C1435="CABRERA MORALES FRANCISCO",'Nacional · supuestos'!$C$38,'Nacional · supuestos'!$B$38)),0)</f>
        <v>0</v>
      </c>
      <c r="K1435">
        <f>IF(D1435="Canarias",MAX(E1435*'Nacional · supuestos'!$B$41,'Nacional · supuestos'!$B$42),0)</f>
        <v>0</v>
      </c>
      <c r="L1435">
        <f>IF(D1435="Canarias",E1435*'Nacional · supuestos'!$B$43,0)</f>
        <v>0</v>
      </c>
      <c r="M1435">
        <f>IF(D1435="Canarias",E1435*'Nacional · supuestos'!$B$44,0)</f>
        <v>0</v>
      </c>
      <c r="N1435">
        <f>IF(D1435="Canarias",E1435*'Nacional · supuestos'!$B$45,0)</f>
        <v>0</v>
      </c>
      <c r="O1435">
        <f>IF(D1435="Canarias",'Nacional · supuestos'!$B$46,0)</f>
        <v>0</v>
      </c>
      <c r="P1435">
        <f>IF(D1435="Canarias",MAX(H1435*'Nacional · supuestos'!$B$47,'Nacional · supuestos'!$B$48),0)</f>
        <v>0</v>
      </c>
      <c r="Q1435">
        <f>IF(D1435="Resto nacional",E1435*'Nacional · supuestos'!$B$13*IF(A1435=2027,1+'Nacional · supuestos'!$B$6,1),0)</f>
        <v>285.58118148340498</v>
      </c>
      <c r="R1435">
        <f>IF(D1435="Canarias",SUM(J1435:P1435)*IF(A1435=2027,1+'Nacional · supuestos'!$B$6,1),0)</f>
        <v>0</v>
      </c>
      <c r="S1435">
        <f t="shared" si="28"/>
        <v>285.58118148340498</v>
      </c>
    </row>
    <row r="1436" spans="1:19">
      <c r="A1436">
        <v>2027</v>
      </c>
      <c r="B1436">
        <v>10</v>
      </c>
      <c r="C1436" t="s">
        <v>184</v>
      </c>
      <c r="D1436" t="s">
        <v>160</v>
      </c>
      <c r="E1436">
        <f>SUMIFS('Nacional · base'!$J$7:$J$1068,'Nacional · base'!$A$7:$A$1068,A1436,'Nacional · base'!$B$7:$B$1068,B1436,'Nacional · base'!$C$7:$C$1068,C1436)</f>
        <v>1180</v>
      </c>
      <c r="F1436">
        <f>SUMIFS('Nacional · base'!$K$7:$K$1068,'Nacional · base'!$A$7:$A$1068,A1436,'Nacional · base'!$B$7:$B$1068,B1436,'Nacional · base'!$C$7:$C$1068,C1436)</f>
        <v>1.25</v>
      </c>
      <c r="G1436">
        <f t="shared" si="27"/>
        <v>2</v>
      </c>
      <c r="H1436">
        <f>SUMIFS('Nacional · base'!$G$7:$G$1068,'Nacional · base'!$A$7:$A$1068,A1436,'Nacional · base'!$B$7:$B$1068,B1436,'Nacional · base'!$C$7:$C$1068,C1436)</f>
        <v>3491.9647585912421</v>
      </c>
      <c r="I1436">
        <f>IF(D1436="Canarias",IF(C1436="CABRERA MORALES FRANCISCO",IF(E1436&lt;=2000,'Nacional · supuestos'!$C$34,IF(E1436&lt;=5000,'Nacional · supuestos'!$C$35,'Nacional · supuestos'!$C$36)),IF(E1436&lt;=2000,'Nacional · supuestos'!$B$34,IF(E1436&lt;=5000,'Nacional · supuestos'!$B$35,'Nacional · supuestos'!$B$36))),0)</f>
        <v>0</v>
      </c>
      <c r="J1436">
        <f>IF(D1436="Canarias",MAX(E1436*I1436,IF(C1436="CABRERA MORALES FRANCISCO",'Nacional · supuestos'!$C$38,'Nacional · supuestos'!$B$38)),0)</f>
        <v>0</v>
      </c>
      <c r="K1436">
        <f>IF(D1436="Canarias",MAX(E1436*'Nacional · supuestos'!$B$41,'Nacional · supuestos'!$B$42),0)</f>
        <v>0</v>
      </c>
      <c r="L1436">
        <f>IF(D1436="Canarias",E1436*'Nacional · supuestos'!$B$43,0)</f>
        <v>0</v>
      </c>
      <c r="M1436">
        <f>IF(D1436="Canarias",E1436*'Nacional · supuestos'!$B$44,0)</f>
        <v>0</v>
      </c>
      <c r="N1436">
        <f>IF(D1436="Canarias",E1436*'Nacional · supuestos'!$B$45,0)</f>
        <v>0</v>
      </c>
      <c r="O1436">
        <f>IF(D1436="Canarias",'Nacional · supuestos'!$B$46,0)</f>
        <v>0</v>
      </c>
      <c r="P1436">
        <f>IF(D1436="Canarias",MAX(H1436*'Nacional · supuestos'!$B$47,'Nacional · supuestos'!$B$48),0)</f>
        <v>0</v>
      </c>
      <c r="Q1436">
        <f>IF(D1436="Resto nacional",E1436*'Nacional · supuestos'!$B$13*IF(A1436=2027,1+'Nacional · supuestos'!$B$6,1),0)</f>
        <v>115.09470752089136</v>
      </c>
      <c r="R1436">
        <f>IF(D1436="Canarias",SUM(J1436:P1436)*IF(A1436=2027,1+'Nacional · supuestos'!$B$6,1),0)</f>
        <v>0</v>
      </c>
      <c r="S1436">
        <f t="shared" si="28"/>
        <v>115.09470752089136</v>
      </c>
    </row>
    <row r="1437" spans="1:19">
      <c r="A1437">
        <v>2027</v>
      </c>
      <c r="B1437">
        <v>10</v>
      </c>
      <c r="C1437" t="s">
        <v>180</v>
      </c>
      <c r="D1437" t="s">
        <v>160</v>
      </c>
      <c r="E1437">
        <f>SUMIFS('Nacional · base'!$J$7:$J$1068,'Nacional · base'!$A$7:$A$1068,A1437,'Nacional · base'!$B$7:$B$1068,B1437,'Nacional · base'!$C$7:$C$1068,C1437)</f>
        <v>3138.7999999999997</v>
      </c>
      <c r="F1437">
        <f>SUMIFS('Nacional · base'!$K$7:$K$1068,'Nacional · base'!$A$7:$A$1068,A1437,'Nacional · base'!$B$7:$B$1068,B1437,'Nacional · base'!$C$7:$C$1068,C1437)</f>
        <v>4.0901893939393936</v>
      </c>
      <c r="G1437">
        <f t="shared" si="27"/>
        <v>5</v>
      </c>
      <c r="H1437">
        <f>SUMIFS('Nacional · base'!$G$7:$G$1068,'Nacional · base'!$A$7:$A$1068,A1437,'Nacional · base'!$B$7:$B$1068,B1437,'Nacional · base'!$C$7:$C$1068,C1437)</f>
        <v>8730.5268728540195</v>
      </c>
      <c r="I1437">
        <f>IF(D1437="Canarias",IF(C1437="CABRERA MORALES FRANCISCO",IF(E1437&lt;=2000,'Nacional · supuestos'!$C$34,IF(E1437&lt;=5000,'Nacional · supuestos'!$C$35,'Nacional · supuestos'!$C$36)),IF(E1437&lt;=2000,'Nacional · supuestos'!$B$34,IF(E1437&lt;=5000,'Nacional · supuestos'!$B$35,'Nacional · supuestos'!$B$36))),0)</f>
        <v>0</v>
      </c>
      <c r="J1437">
        <f>IF(D1437="Canarias",MAX(E1437*I1437,IF(C1437="CABRERA MORALES FRANCISCO",'Nacional · supuestos'!$C$38,'Nacional · supuestos'!$B$38)),0)</f>
        <v>0</v>
      </c>
      <c r="K1437">
        <f>IF(D1437="Canarias",MAX(E1437*'Nacional · supuestos'!$B$41,'Nacional · supuestos'!$B$42),0)</f>
        <v>0</v>
      </c>
      <c r="L1437">
        <f>IF(D1437="Canarias",E1437*'Nacional · supuestos'!$B$43,0)</f>
        <v>0</v>
      </c>
      <c r="M1437">
        <f>IF(D1437="Canarias",E1437*'Nacional · supuestos'!$B$44,0)</f>
        <v>0</v>
      </c>
      <c r="N1437">
        <f>IF(D1437="Canarias",E1437*'Nacional · supuestos'!$B$45,0)</f>
        <v>0</v>
      </c>
      <c r="O1437">
        <f>IF(D1437="Canarias",'Nacional · supuestos'!$B$46,0)</f>
        <v>0</v>
      </c>
      <c r="P1437">
        <f>IF(D1437="Canarias",MAX(H1437*'Nacional · supuestos'!$B$47,'Nacional · supuestos'!$B$48),0)</f>
        <v>0</v>
      </c>
      <c r="Q1437">
        <f>IF(D1437="Resto nacional",E1437*'Nacional · supuestos'!$B$13*IF(A1437=2027,1+'Nacional · supuestos'!$B$6,1),0)</f>
        <v>306.15192200557101</v>
      </c>
      <c r="R1437">
        <f>IF(D1437="Canarias",SUM(J1437:P1437)*IF(A1437=2027,1+'Nacional · supuestos'!$B$6,1),0)</f>
        <v>0</v>
      </c>
      <c r="S1437">
        <f t="shared" si="28"/>
        <v>306.15192200557101</v>
      </c>
    </row>
    <row r="1438" spans="1:19">
      <c r="A1438">
        <v>2027</v>
      </c>
      <c r="B1438">
        <v>10</v>
      </c>
      <c r="C1438" t="s">
        <v>185</v>
      </c>
      <c r="D1438" t="s">
        <v>160</v>
      </c>
      <c r="E1438">
        <f>SUMIFS('Nacional · base'!$J$7:$J$1068,'Nacional · base'!$A$7:$A$1068,A1438,'Nacional · base'!$B$7:$B$1068,B1438,'Nacional · base'!$C$7:$C$1068,C1438)</f>
        <v>3563.6</v>
      </c>
      <c r="F1438">
        <f>SUMIFS('Nacional · base'!$K$7:$K$1068,'Nacional · base'!$A$7:$A$1068,A1438,'Nacional · base'!$B$7:$B$1068,B1438,'Nacional · base'!$C$7:$C$1068,C1438)</f>
        <v>4.71875</v>
      </c>
      <c r="G1438">
        <f t="shared" si="27"/>
        <v>5</v>
      </c>
      <c r="H1438">
        <f>SUMIFS('Nacional · base'!$G$7:$G$1068,'Nacional · base'!$A$7:$A$1068,A1438,'Nacional · base'!$B$7:$B$1068,B1438,'Nacional · base'!$C$7:$C$1068,C1438)</f>
        <v>10419.814364128288</v>
      </c>
      <c r="I1438">
        <f>IF(D1438="Canarias",IF(C1438="CABRERA MORALES FRANCISCO",IF(E1438&lt;=2000,'Nacional · supuestos'!$C$34,IF(E1438&lt;=5000,'Nacional · supuestos'!$C$35,'Nacional · supuestos'!$C$36)),IF(E1438&lt;=2000,'Nacional · supuestos'!$B$34,IF(E1438&lt;=5000,'Nacional · supuestos'!$B$35,'Nacional · supuestos'!$B$36))),0)</f>
        <v>0</v>
      </c>
      <c r="J1438">
        <f>IF(D1438="Canarias",MAX(E1438*I1438,IF(C1438="CABRERA MORALES FRANCISCO",'Nacional · supuestos'!$C$38,'Nacional · supuestos'!$B$38)),0)</f>
        <v>0</v>
      </c>
      <c r="K1438">
        <f>IF(D1438="Canarias",MAX(E1438*'Nacional · supuestos'!$B$41,'Nacional · supuestos'!$B$42),0)</f>
        <v>0</v>
      </c>
      <c r="L1438">
        <f>IF(D1438="Canarias",E1438*'Nacional · supuestos'!$B$43,0)</f>
        <v>0</v>
      </c>
      <c r="M1438">
        <f>IF(D1438="Canarias",E1438*'Nacional · supuestos'!$B$44,0)</f>
        <v>0</v>
      </c>
      <c r="N1438">
        <f>IF(D1438="Canarias",E1438*'Nacional · supuestos'!$B$45,0)</f>
        <v>0</v>
      </c>
      <c r="O1438">
        <f>IF(D1438="Canarias",'Nacional · supuestos'!$B$46,0)</f>
        <v>0</v>
      </c>
      <c r="P1438">
        <f>IF(D1438="Canarias",MAX(H1438*'Nacional · supuestos'!$B$47,'Nacional · supuestos'!$B$48),0)</f>
        <v>0</v>
      </c>
      <c r="Q1438">
        <f>IF(D1438="Resto nacional",E1438*'Nacional · supuestos'!$B$13*IF(A1438=2027,1+'Nacional · supuestos'!$B$6,1),0)</f>
        <v>347.58601671309191</v>
      </c>
      <c r="R1438">
        <f>IF(D1438="Canarias",SUM(J1438:P1438)*IF(A1438=2027,1+'Nacional · supuestos'!$B$6,1),0)</f>
        <v>0</v>
      </c>
      <c r="S1438">
        <f t="shared" si="28"/>
        <v>347.58601671309191</v>
      </c>
    </row>
    <row r="1439" spans="1:19">
      <c r="A1439">
        <v>2027</v>
      </c>
      <c r="B1439">
        <v>10</v>
      </c>
      <c r="C1439" t="s">
        <v>181</v>
      </c>
      <c r="D1439" t="s">
        <v>160</v>
      </c>
      <c r="E1439">
        <f>SUMIFS('Nacional · base'!$J$7:$J$1068,'Nacional · base'!$A$7:$A$1068,A1439,'Nacional · base'!$B$7:$B$1068,B1439,'Nacional · base'!$C$7:$C$1068,C1439)</f>
        <v>1180</v>
      </c>
      <c r="F1439">
        <f>SUMIFS('Nacional · base'!$K$7:$K$1068,'Nacional · base'!$A$7:$A$1068,A1439,'Nacional · base'!$B$7:$B$1068,B1439,'Nacional · base'!$C$7:$C$1068,C1439)</f>
        <v>1.4750000000000001</v>
      </c>
      <c r="G1439">
        <f t="shared" si="27"/>
        <v>2</v>
      </c>
      <c r="H1439">
        <f>SUMIFS('Nacional · base'!$G$7:$G$1068,'Nacional · base'!$A$7:$A$1068,A1439,'Nacional · base'!$B$7:$B$1068,B1439,'Nacional · base'!$C$7:$C$1068,C1439)</f>
        <v>2275.5101695536364</v>
      </c>
      <c r="I1439">
        <f>IF(D1439="Canarias",IF(C1439="CABRERA MORALES FRANCISCO",IF(E1439&lt;=2000,'Nacional · supuestos'!$C$34,IF(E1439&lt;=5000,'Nacional · supuestos'!$C$35,'Nacional · supuestos'!$C$36)),IF(E1439&lt;=2000,'Nacional · supuestos'!$B$34,IF(E1439&lt;=5000,'Nacional · supuestos'!$B$35,'Nacional · supuestos'!$B$36))),0)</f>
        <v>0</v>
      </c>
      <c r="J1439">
        <f>IF(D1439="Canarias",MAX(E1439*I1439,IF(C1439="CABRERA MORALES FRANCISCO",'Nacional · supuestos'!$C$38,'Nacional · supuestos'!$B$38)),0)</f>
        <v>0</v>
      </c>
      <c r="K1439">
        <f>IF(D1439="Canarias",MAX(E1439*'Nacional · supuestos'!$B$41,'Nacional · supuestos'!$B$42),0)</f>
        <v>0</v>
      </c>
      <c r="L1439">
        <f>IF(D1439="Canarias",E1439*'Nacional · supuestos'!$B$43,0)</f>
        <v>0</v>
      </c>
      <c r="M1439">
        <f>IF(D1439="Canarias",E1439*'Nacional · supuestos'!$B$44,0)</f>
        <v>0</v>
      </c>
      <c r="N1439">
        <f>IF(D1439="Canarias",E1439*'Nacional · supuestos'!$B$45,0)</f>
        <v>0</v>
      </c>
      <c r="O1439">
        <f>IF(D1439="Canarias",'Nacional · supuestos'!$B$46,0)</f>
        <v>0</v>
      </c>
      <c r="P1439">
        <f>IF(D1439="Canarias",MAX(H1439*'Nacional · supuestos'!$B$47,'Nacional · supuestos'!$B$48),0)</f>
        <v>0</v>
      </c>
      <c r="Q1439">
        <f>IF(D1439="Resto nacional",E1439*'Nacional · supuestos'!$B$13*IF(A1439=2027,1+'Nacional · supuestos'!$B$6,1),0)</f>
        <v>115.09470752089136</v>
      </c>
      <c r="R1439">
        <f>IF(D1439="Canarias",SUM(J1439:P1439)*IF(A1439=2027,1+'Nacional · supuestos'!$B$6,1),0)</f>
        <v>0</v>
      </c>
      <c r="S1439">
        <f t="shared" si="28"/>
        <v>115.09470752089136</v>
      </c>
    </row>
    <row r="1440" spans="1:19">
      <c r="A1440">
        <v>2027</v>
      </c>
      <c r="B1440">
        <v>10</v>
      </c>
      <c r="C1440" t="s">
        <v>186</v>
      </c>
      <c r="D1440" t="s">
        <v>160</v>
      </c>
      <c r="E1440">
        <f>SUMIFS('Nacional · base'!$J$7:$J$1068,'Nacional · base'!$A$7:$A$1068,A1440,'Nacional · base'!$B$7:$B$1068,B1440,'Nacional · base'!$C$7:$C$1068,C1440)</f>
        <v>1203.5999999999999</v>
      </c>
      <c r="F1440">
        <f>SUMIFS('Nacional · base'!$K$7:$K$1068,'Nacional · base'!$A$7:$A$1068,A1440,'Nacional · base'!$B$7:$B$1068,B1440,'Nacional · base'!$C$7:$C$1068,C1440)</f>
        <v>1.59375</v>
      </c>
      <c r="G1440">
        <f t="shared" si="27"/>
        <v>2</v>
      </c>
      <c r="H1440">
        <f>SUMIFS('Nacional · base'!$G$7:$G$1068,'Nacional · base'!$A$7:$A$1068,A1440,'Nacional · base'!$B$7:$B$1068,B1440,'Nacional · base'!$C$7:$C$1068,C1440)</f>
        <v>2898.2265118767427</v>
      </c>
      <c r="I1440">
        <f>IF(D1440="Canarias",IF(C1440="CABRERA MORALES FRANCISCO",IF(E1440&lt;=2000,'Nacional · supuestos'!$C$34,IF(E1440&lt;=5000,'Nacional · supuestos'!$C$35,'Nacional · supuestos'!$C$36)),IF(E1440&lt;=2000,'Nacional · supuestos'!$B$34,IF(E1440&lt;=5000,'Nacional · supuestos'!$B$35,'Nacional · supuestos'!$B$36))),0)</f>
        <v>0</v>
      </c>
      <c r="J1440">
        <f>IF(D1440="Canarias",MAX(E1440*I1440,IF(C1440="CABRERA MORALES FRANCISCO",'Nacional · supuestos'!$C$38,'Nacional · supuestos'!$B$38)),0)</f>
        <v>0</v>
      </c>
      <c r="K1440">
        <f>IF(D1440="Canarias",MAX(E1440*'Nacional · supuestos'!$B$41,'Nacional · supuestos'!$B$42),0)</f>
        <v>0</v>
      </c>
      <c r="L1440">
        <f>IF(D1440="Canarias",E1440*'Nacional · supuestos'!$B$43,0)</f>
        <v>0</v>
      </c>
      <c r="M1440">
        <f>IF(D1440="Canarias",E1440*'Nacional · supuestos'!$B$44,0)</f>
        <v>0</v>
      </c>
      <c r="N1440">
        <f>IF(D1440="Canarias",E1440*'Nacional · supuestos'!$B$45,0)</f>
        <v>0</v>
      </c>
      <c r="O1440">
        <f>IF(D1440="Canarias",'Nacional · supuestos'!$B$46,0)</f>
        <v>0</v>
      </c>
      <c r="P1440">
        <f>IF(D1440="Canarias",MAX(H1440*'Nacional · supuestos'!$B$47,'Nacional · supuestos'!$B$48),0)</f>
        <v>0</v>
      </c>
      <c r="Q1440">
        <f>IF(D1440="Resto nacional",E1440*'Nacional · supuestos'!$B$13*IF(A1440=2027,1+'Nacional · supuestos'!$B$6,1),0)</f>
        <v>117.39660167130918</v>
      </c>
      <c r="R1440">
        <f>IF(D1440="Canarias",SUM(J1440:P1440)*IF(A1440=2027,1+'Nacional · supuestos'!$B$6,1),0)</f>
        <v>0</v>
      </c>
      <c r="S1440">
        <f t="shared" si="28"/>
        <v>117.39660167130918</v>
      </c>
    </row>
    <row r="1441" spans="1:19">
      <c r="A1441">
        <v>2027</v>
      </c>
      <c r="B1441">
        <v>11</v>
      </c>
      <c r="C1441" t="s">
        <v>162</v>
      </c>
      <c r="D1441" t="s">
        <v>160</v>
      </c>
      <c r="E1441">
        <f>SUMIFS('Nacional · base'!$J$7:$J$1068,'Nacional · base'!$A$7:$A$1068,A1441,'Nacional · base'!$B$7:$B$1068,B1441,'Nacional · base'!$C$7:$C$1068,C1441)</f>
        <v>12042.4</v>
      </c>
      <c r="F1441">
        <f>SUMIFS('Nacional · base'!$K$7:$K$1068,'Nacional · base'!$A$7:$A$1068,A1441,'Nacional · base'!$B$7:$B$1068,B1441,'Nacional · base'!$C$7:$C$1068,C1441)</f>
        <v>11.9625</v>
      </c>
      <c r="G1441">
        <f t="shared" si="27"/>
        <v>12</v>
      </c>
      <c r="H1441">
        <f>SUMIFS('Nacional · base'!$G$7:$G$1068,'Nacional · base'!$A$7:$A$1068,A1441,'Nacional · base'!$B$7:$B$1068,B1441,'Nacional · base'!$C$7:$C$1068,C1441)</f>
        <v>22047.59589068135</v>
      </c>
      <c r="I1441">
        <f>IF(D1441="Canarias",IF(C1441="CABRERA MORALES FRANCISCO",IF(E1441&lt;=2000,'Nacional · supuestos'!$C$34,IF(E1441&lt;=5000,'Nacional · supuestos'!$C$35,'Nacional · supuestos'!$C$36)),IF(E1441&lt;=2000,'Nacional · supuestos'!$B$34,IF(E1441&lt;=5000,'Nacional · supuestos'!$B$35,'Nacional · supuestos'!$B$36))),0)</f>
        <v>0</v>
      </c>
      <c r="J1441">
        <f>IF(D1441="Canarias",MAX(E1441*I1441,IF(C1441="CABRERA MORALES FRANCISCO",'Nacional · supuestos'!$C$38,'Nacional · supuestos'!$B$38)),0)</f>
        <v>0</v>
      </c>
      <c r="K1441">
        <f>IF(D1441="Canarias",MAX(E1441*'Nacional · supuestos'!$B$41,'Nacional · supuestos'!$B$42),0)</f>
        <v>0</v>
      </c>
      <c r="L1441">
        <f>IF(D1441="Canarias",E1441*'Nacional · supuestos'!$B$43,0)</f>
        <v>0</v>
      </c>
      <c r="M1441">
        <f>IF(D1441="Canarias",E1441*'Nacional · supuestos'!$B$44,0)</f>
        <v>0</v>
      </c>
      <c r="N1441">
        <f>IF(D1441="Canarias",E1441*'Nacional · supuestos'!$B$45,0)</f>
        <v>0</v>
      </c>
      <c r="O1441">
        <f>IF(D1441="Canarias",'Nacional · supuestos'!$B$46,0)</f>
        <v>0</v>
      </c>
      <c r="P1441">
        <f>IF(D1441="Canarias",MAX(H1441*'Nacional · supuestos'!$B$47,'Nacional · supuestos'!$B$48),0)</f>
        <v>0</v>
      </c>
      <c r="Q1441">
        <f>IF(D1441="Resto nacional",E1441*'Nacional · supuestos'!$B$13*IF(A1441=2027,1+'Nacional · supuestos'!$B$6,1),0)</f>
        <v>1174.5902591945612</v>
      </c>
      <c r="R1441">
        <f>IF(D1441="Canarias",SUM(J1441:P1441)*IF(A1441=2027,1+'Nacional · supuestos'!$B$6,1),0)</f>
        <v>0</v>
      </c>
      <c r="S1441">
        <f t="shared" si="28"/>
        <v>1174.5902591945612</v>
      </c>
    </row>
    <row r="1442" spans="1:19">
      <c r="A1442">
        <v>2027</v>
      </c>
      <c r="B1442">
        <v>11</v>
      </c>
      <c r="C1442" t="s">
        <v>163</v>
      </c>
      <c r="D1442" t="s">
        <v>164</v>
      </c>
      <c r="E1442">
        <f>SUMIFS('Nacional · base'!$J$7:$J$1068,'Nacional · base'!$A$7:$A$1068,A1442,'Nacional · base'!$B$7:$B$1068,B1442,'Nacional · base'!$C$7:$C$1068,C1442)</f>
        <v>15252.199999999999</v>
      </c>
      <c r="F1442">
        <f>SUMIFS('Nacional · base'!$K$7:$K$1068,'Nacional · base'!$A$7:$A$1068,A1442,'Nacional · base'!$B$7:$B$1068,B1442,'Nacional · base'!$C$7:$C$1068,C1442)</f>
        <v>17.816666666666666</v>
      </c>
      <c r="G1442">
        <f t="shared" si="27"/>
        <v>18</v>
      </c>
      <c r="H1442">
        <f>SUMIFS('Nacional · base'!$G$7:$G$1068,'Nacional · base'!$A$7:$A$1068,A1442,'Nacional · base'!$B$7:$B$1068,B1442,'Nacional · base'!$C$7:$C$1068,C1442)</f>
        <v>32410.128978233566</v>
      </c>
      <c r="I1442">
        <f>IF(D1442="Canarias",IF(C1442="CABRERA MORALES FRANCISCO",IF(E1442&lt;=2000,'Nacional · supuestos'!$C$34,IF(E1442&lt;=5000,'Nacional · supuestos'!$C$35,'Nacional · supuestos'!$C$36)),IF(E1442&lt;=2000,'Nacional · supuestos'!$B$34,IF(E1442&lt;=5000,'Nacional · supuestos'!$B$35,'Nacional · supuestos'!$B$36))),0)</f>
        <v>0.104</v>
      </c>
      <c r="J1442">
        <f>IF(D1442="Canarias",MAX(E1442*I1442,IF(C1442="CABRERA MORALES FRANCISCO",'Nacional · supuestos'!$C$38,'Nacional · supuestos'!$B$38)),0)</f>
        <v>1586.2287999999999</v>
      </c>
      <c r="K1442">
        <f>IF(D1442="Canarias",MAX(E1442*'Nacional · supuestos'!$B$41,'Nacional · supuestos'!$B$42),0)</f>
        <v>549.0791999999999</v>
      </c>
      <c r="L1442">
        <f>IF(D1442="Canarias",E1442*'Nacional · supuestos'!$B$43,0)</f>
        <v>183.0264</v>
      </c>
      <c r="M1442">
        <f>IF(D1442="Canarias",E1442*'Nacional · supuestos'!$B$44,0)</f>
        <v>274.53959999999995</v>
      </c>
      <c r="N1442">
        <f>IF(D1442="Canarias",E1442*'Nacional · supuestos'!$B$45,0)</f>
        <v>335.54839999999996</v>
      </c>
      <c r="O1442">
        <f>IF(D1442="Canarias",'Nacional · supuestos'!$B$46,0)</f>
        <v>15</v>
      </c>
      <c r="P1442">
        <f>IF(D1442="Canarias",MAX(H1442*'Nacional · supuestos'!$B$47,'Nacional · supuestos'!$B$48),0)</f>
        <v>145.84558040205104</v>
      </c>
      <c r="Q1442">
        <f>IF(D1442="Resto nacional",E1442*'Nacional · supuestos'!$B$13*IF(A1442=2027,1+'Nacional · supuestos'!$B$6,1),0)</f>
        <v>0</v>
      </c>
      <c r="R1442">
        <f>IF(D1442="Canarias",SUM(J1442:P1442)*IF(A1442=2027,1+'Nacional · supuestos'!$B$6,1),0)</f>
        <v>3398.1947784422568</v>
      </c>
      <c r="S1442">
        <f t="shared" si="28"/>
        <v>3398.1947784422568</v>
      </c>
    </row>
    <row r="1443" spans="1:19">
      <c r="A1443">
        <v>2027</v>
      </c>
      <c r="B1443">
        <v>11</v>
      </c>
      <c r="C1443" t="s">
        <v>166</v>
      </c>
      <c r="D1443" t="s">
        <v>160</v>
      </c>
      <c r="E1443">
        <f>SUMIFS('Nacional · base'!$J$7:$J$1068,'Nacional · base'!$A$7:$A$1068,A1443,'Nacional · base'!$B$7:$B$1068,B1443,'Nacional · base'!$C$7:$C$1068,C1443)</f>
        <v>7711.6</v>
      </c>
      <c r="F1443">
        <f>SUMIFS('Nacional · base'!$K$7:$K$1068,'Nacional · base'!$A$7:$A$1068,A1443,'Nacional · base'!$B$7:$B$1068,B1443,'Nacional · base'!$C$7:$C$1068,C1443)</f>
        <v>8.8312500000000007</v>
      </c>
      <c r="G1443">
        <f t="shared" si="27"/>
        <v>9</v>
      </c>
      <c r="H1443">
        <f>SUMIFS('Nacional · base'!$G$7:$G$1068,'Nacional · base'!$A$7:$A$1068,A1443,'Nacional · base'!$B$7:$B$1068,B1443,'Nacional · base'!$C$7:$C$1068,C1443)</f>
        <v>14772.366019642792</v>
      </c>
      <c r="I1443">
        <f>IF(D1443="Canarias",IF(C1443="CABRERA MORALES FRANCISCO",IF(E1443&lt;=2000,'Nacional · supuestos'!$C$34,IF(E1443&lt;=5000,'Nacional · supuestos'!$C$35,'Nacional · supuestos'!$C$36)),IF(E1443&lt;=2000,'Nacional · supuestos'!$B$34,IF(E1443&lt;=5000,'Nacional · supuestos'!$B$35,'Nacional · supuestos'!$B$36))),0)</f>
        <v>0</v>
      </c>
      <c r="J1443">
        <f>IF(D1443="Canarias",MAX(E1443*I1443,IF(C1443="CABRERA MORALES FRANCISCO",'Nacional · supuestos'!$C$38,'Nacional · supuestos'!$B$38)),0)</f>
        <v>0</v>
      </c>
      <c r="K1443">
        <f>IF(D1443="Canarias",MAX(E1443*'Nacional · supuestos'!$B$41,'Nacional · supuestos'!$B$42),0)</f>
        <v>0</v>
      </c>
      <c r="L1443">
        <f>IF(D1443="Canarias",E1443*'Nacional · supuestos'!$B$43,0)</f>
        <v>0</v>
      </c>
      <c r="M1443">
        <f>IF(D1443="Canarias",E1443*'Nacional · supuestos'!$B$44,0)</f>
        <v>0</v>
      </c>
      <c r="N1443">
        <f>IF(D1443="Canarias",E1443*'Nacional · supuestos'!$B$45,0)</f>
        <v>0</v>
      </c>
      <c r="O1443">
        <f>IF(D1443="Canarias",'Nacional · supuestos'!$B$46,0)</f>
        <v>0</v>
      </c>
      <c r="P1443">
        <f>IF(D1443="Canarias",MAX(H1443*'Nacional · supuestos'!$B$47,'Nacional · supuestos'!$B$48),0)</f>
        <v>0</v>
      </c>
      <c r="Q1443">
        <f>IF(D1443="Resto nacional",E1443*'Nacional · supuestos'!$B$13*IF(A1443=2027,1+'Nacional · supuestos'!$B$6,1),0)</f>
        <v>752.17317501534399</v>
      </c>
      <c r="R1443">
        <f>IF(D1443="Canarias",SUM(J1443:P1443)*IF(A1443=2027,1+'Nacional · supuestos'!$B$6,1),0)</f>
        <v>0</v>
      </c>
      <c r="S1443">
        <f t="shared" si="28"/>
        <v>752.17317501534399</v>
      </c>
    </row>
    <row r="1444" spans="1:19">
      <c r="A1444">
        <v>2027</v>
      </c>
      <c r="B1444">
        <v>11</v>
      </c>
      <c r="C1444" t="s">
        <v>167</v>
      </c>
      <c r="D1444" t="s">
        <v>160</v>
      </c>
      <c r="E1444">
        <f>SUMIFS('Nacional · base'!$J$7:$J$1068,'Nacional · base'!$A$7:$A$1068,A1444,'Nacional · base'!$B$7:$B$1068,B1444,'Nacional · base'!$C$7:$C$1068,C1444)</f>
        <v>236</v>
      </c>
      <c r="F1444">
        <f>SUMIFS('Nacional · base'!$K$7:$K$1068,'Nacional · base'!$A$7:$A$1068,A1444,'Nacional · base'!$B$7:$B$1068,B1444,'Nacional · base'!$C$7:$C$1068,C1444)</f>
        <v>0.3125</v>
      </c>
      <c r="G1444">
        <f t="shared" si="27"/>
        <v>1</v>
      </c>
      <c r="H1444">
        <f>SUMIFS('Nacional · base'!$G$7:$G$1068,'Nacional · base'!$A$7:$A$1068,A1444,'Nacional · base'!$B$7:$B$1068,B1444,'Nacional · base'!$C$7:$C$1068,C1444)</f>
        <v>793.99386323277201</v>
      </c>
      <c r="I1444">
        <f>IF(D1444="Canarias",IF(C1444="CABRERA MORALES FRANCISCO",IF(E1444&lt;=2000,'Nacional · supuestos'!$C$34,IF(E1444&lt;=5000,'Nacional · supuestos'!$C$35,'Nacional · supuestos'!$C$36)),IF(E1444&lt;=2000,'Nacional · supuestos'!$B$34,IF(E1444&lt;=5000,'Nacional · supuestos'!$B$35,'Nacional · supuestos'!$B$36))),0)</f>
        <v>0</v>
      </c>
      <c r="J1444">
        <f>IF(D1444="Canarias",MAX(E1444*I1444,IF(C1444="CABRERA MORALES FRANCISCO",'Nacional · supuestos'!$C$38,'Nacional · supuestos'!$B$38)),0)</f>
        <v>0</v>
      </c>
      <c r="K1444">
        <f>IF(D1444="Canarias",MAX(E1444*'Nacional · supuestos'!$B$41,'Nacional · supuestos'!$B$42),0)</f>
        <v>0</v>
      </c>
      <c r="L1444">
        <f>IF(D1444="Canarias",E1444*'Nacional · supuestos'!$B$43,0)</f>
        <v>0</v>
      </c>
      <c r="M1444">
        <f>IF(D1444="Canarias",E1444*'Nacional · supuestos'!$B$44,0)</f>
        <v>0</v>
      </c>
      <c r="N1444">
        <f>IF(D1444="Canarias",E1444*'Nacional · supuestos'!$B$45,0)</f>
        <v>0</v>
      </c>
      <c r="O1444">
        <f>IF(D1444="Canarias",'Nacional · supuestos'!$B$46,0)</f>
        <v>0</v>
      </c>
      <c r="P1444">
        <f>IF(D1444="Canarias",MAX(H1444*'Nacional · supuestos'!$B$47,'Nacional · supuestos'!$B$48),0)</f>
        <v>0</v>
      </c>
      <c r="Q1444">
        <f>IF(D1444="Resto nacional",E1444*'Nacional · supuestos'!$B$13*IF(A1444=2027,1+'Nacional · supuestos'!$B$6,1),0)</f>
        <v>23.018941504178276</v>
      </c>
      <c r="R1444">
        <f>IF(D1444="Canarias",SUM(J1444:P1444)*IF(A1444=2027,1+'Nacional · supuestos'!$B$6,1),0)</f>
        <v>0</v>
      </c>
      <c r="S1444">
        <f t="shared" si="28"/>
        <v>23.018941504178276</v>
      </c>
    </row>
    <row r="1445" spans="1:19">
      <c r="A1445">
        <v>2027</v>
      </c>
      <c r="B1445">
        <v>11</v>
      </c>
      <c r="C1445" t="s">
        <v>168</v>
      </c>
      <c r="D1445" t="s">
        <v>160</v>
      </c>
      <c r="E1445">
        <f>SUMIFS('Nacional · base'!$J$7:$J$1068,'Nacional · base'!$A$7:$A$1068,A1445,'Nacional · base'!$B$7:$B$1068,B1445,'Nacional · base'!$C$7:$C$1068,C1445)</f>
        <v>566.4</v>
      </c>
      <c r="F1445">
        <f>SUMIFS('Nacional · base'!$K$7:$K$1068,'Nacional · base'!$A$7:$A$1068,A1445,'Nacional · base'!$B$7:$B$1068,B1445,'Nacional · base'!$C$7:$C$1068,C1445)</f>
        <v>0.75</v>
      </c>
      <c r="G1445">
        <f t="shared" si="27"/>
        <v>1</v>
      </c>
      <c r="H1445">
        <f>SUMIFS('Nacional · base'!$G$7:$G$1068,'Nacional · base'!$A$7:$A$1068,A1445,'Nacional · base'!$B$7:$B$1068,B1445,'Nacional · base'!$C$7:$C$1068,C1445)</f>
        <v>1184.0296983638016</v>
      </c>
      <c r="I1445">
        <f>IF(D1445="Canarias",IF(C1445="CABRERA MORALES FRANCISCO",IF(E1445&lt;=2000,'Nacional · supuestos'!$C$34,IF(E1445&lt;=5000,'Nacional · supuestos'!$C$35,'Nacional · supuestos'!$C$36)),IF(E1445&lt;=2000,'Nacional · supuestos'!$B$34,IF(E1445&lt;=5000,'Nacional · supuestos'!$B$35,'Nacional · supuestos'!$B$36))),0)</f>
        <v>0</v>
      </c>
      <c r="J1445">
        <f>IF(D1445="Canarias",MAX(E1445*I1445,IF(C1445="CABRERA MORALES FRANCISCO",'Nacional · supuestos'!$C$38,'Nacional · supuestos'!$B$38)),0)</f>
        <v>0</v>
      </c>
      <c r="K1445">
        <f>IF(D1445="Canarias",MAX(E1445*'Nacional · supuestos'!$B$41,'Nacional · supuestos'!$B$42),0)</f>
        <v>0</v>
      </c>
      <c r="L1445">
        <f>IF(D1445="Canarias",E1445*'Nacional · supuestos'!$B$43,0)</f>
        <v>0</v>
      </c>
      <c r="M1445">
        <f>IF(D1445="Canarias",E1445*'Nacional · supuestos'!$B$44,0)</f>
        <v>0</v>
      </c>
      <c r="N1445">
        <f>IF(D1445="Canarias",E1445*'Nacional · supuestos'!$B$45,0)</f>
        <v>0</v>
      </c>
      <c r="O1445">
        <f>IF(D1445="Canarias",'Nacional · supuestos'!$B$46,0)</f>
        <v>0</v>
      </c>
      <c r="P1445">
        <f>IF(D1445="Canarias",MAX(H1445*'Nacional · supuestos'!$B$47,'Nacional · supuestos'!$B$48),0)</f>
        <v>0</v>
      </c>
      <c r="Q1445">
        <f>IF(D1445="Resto nacional",E1445*'Nacional · supuestos'!$B$13*IF(A1445=2027,1+'Nacional · supuestos'!$B$6,1),0)</f>
        <v>55.245459610027858</v>
      </c>
      <c r="R1445">
        <f>IF(D1445="Canarias",SUM(J1445:P1445)*IF(A1445=2027,1+'Nacional · supuestos'!$B$6,1),0)</f>
        <v>0</v>
      </c>
      <c r="S1445">
        <f t="shared" si="28"/>
        <v>55.245459610027858</v>
      </c>
    </row>
    <row r="1446" spans="1:19">
      <c r="A1446">
        <v>2027</v>
      </c>
      <c r="B1446">
        <v>11</v>
      </c>
      <c r="C1446" t="s">
        <v>170</v>
      </c>
      <c r="D1446" t="s">
        <v>160</v>
      </c>
      <c r="E1446">
        <f>SUMIFS('Nacional · base'!$J$7:$J$1068,'Nacional · base'!$A$7:$A$1068,A1446,'Nacional · base'!$B$7:$B$1068,B1446,'Nacional · base'!$C$7:$C$1068,C1446)</f>
        <v>4696.3999999999996</v>
      </c>
      <c r="F1446">
        <f>SUMIFS('Nacional · base'!$K$7:$K$1068,'Nacional · base'!$A$7:$A$1068,A1446,'Nacional · base'!$B$7:$B$1068,B1446,'Nacional · base'!$C$7:$C$1068,C1446)</f>
        <v>6.21875</v>
      </c>
      <c r="G1446">
        <f t="shared" si="27"/>
        <v>7</v>
      </c>
      <c r="H1446">
        <f>SUMIFS('Nacional · base'!$G$7:$G$1068,'Nacional · base'!$A$7:$A$1068,A1446,'Nacional · base'!$B$7:$B$1068,B1446,'Nacional · base'!$C$7:$C$1068,C1446)</f>
        <v>13434.370209455417</v>
      </c>
      <c r="I1446">
        <f>IF(D1446="Canarias",IF(C1446="CABRERA MORALES FRANCISCO",IF(E1446&lt;=2000,'Nacional · supuestos'!$C$34,IF(E1446&lt;=5000,'Nacional · supuestos'!$C$35,'Nacional · supuestos'!$C$36)),IF(E1446&lt;=2000,'Nacional · supuestos'!$B$34,IF(E1446&lt;=5000,'Nacional · supuestos'!$B$35,'Nacional · supuestos'!$B$36))),0)</f>
        <v>0</v>
      </c>
      <c r="J1446">
        <f>IF(D1446="Canarias",MAX(E1446*I1446,IF(C1446="CABRERA MORALES FRANCISCO",'Nacional · supuestos'!$C$38,'Nacional · supuestos'!$B$38)),0)</f>
        <v>0</v>
      </c>
      <c r="K1446">
        <f>IF(D1446="Canarias",MAX(E1446*'Nacional · supuestos'!$B$41,'Nacional · supuestos'!$B$42),0)</f>
        <v>0</v>
      </c>
      <c r="L1446">
        <f>IF(D1446="Canarias",E1446*'Nacional · supuestos'!$B$43,0)</f>
        <v>0</v>
      </c>
      <c r="M1446">
        <f>IF(D1446="Canarias",E1446*'Nacional · supuestos'!$B$44,0)</f>
        <v>0</v>
      </c>
      <c r="N1446">
        <f>IF(D1446="Canarias",E1446*'Nacional · supuestos'!$B$45,0)</f>
        <v>0</v>
      </c>
      <c r="O1446">
        <f>IF(D1446="Canarias",'Nacional · supuestos'!$B$46,0)</f>
        <v>0</v>
      </c>
      <c r="P1446">
        <f>IF(D1446="Canarias",MAX(H1446*'Nacional · supuestos'!$B$47,'Nacional · supuestos'!$B$48),0)</f>
        <v>0</v>
      </c>
      <c r="Q1446">
        <f>IF(D1446="Resto nacional",E1446*'Nacional · supuestos'!$B$13*IF(A1446=2027,1+'Nacional · supuestos'!$B$6,1),0)</f>
        <v>458.07693593314758</v>
      </c>
      <c r="R1446">
        <f>IF(D1446="Canarias",SUM(J1446:P1446)*IF(A1446=2027,1+'Nacional · supuestos'!$B$6,1),0)</f>
        <v>0</v>
      </c>
      <c r="S1446">
        <f t="shared" si="28"/>
        <v>458.07693593314758</v>
      </c>
    </row>
    <row r="1447" spans="1:19">
      <c r="A1447">
        <v>2027</v>
      </c>
      <c r="B1447">
        <v>11</v>
      </c>
      <c r="C1447" t="s">
        <v>171</v>
      </c>
      <c r="D1447" t="s">
        <v>164</v>
      </c>
      <c r="E1447">
        <f>SUMIFS('Nacional · base'!$J$7:$J$1068,'Nacional · base'!$A$7:$A$1068,A1447,'Nacional · base'!$B$7:$B$1068,B1447,'Nacional · base'!$C$7:$C$1068,C1447)</f>
        <v>20217.7</v>
      </c>
      <c r="F1447">
        <f>SUMIFS('Nacional · base'!$K$7:$K$1068,'Nacional · base'!$A$7:$A$1068,A1447,'Nacional · base'!$B$7:$B$1068,B1447,'Nacional · base'!$C$7:$C$1068,C1447)</f>
        <v>26.989166666666666</v>
      </c>
      <c r="G1447">
        <f t="shared" si="27"/>
        <v>27</v>
      </c>
      <c r="H1447">
        <f>SUMIFS('Nacional · base'!$G$7:$G$1068,'Nacional · base'!$A$7:$A$1068,A1447,'Nacional · base'!$B$7:$B$1068,B1447,'Nacional · base'!$C$7:$C$1068,C1447)</f>
        <v>47845.476506316998</v>
      </c>
      <c r="I1447">
        <f>IF(D1447="Canarias",IF(C1447="CABRERA MORALES FRANCISCO",IF(E1447&lt;=2000,'Nacional · supuestos'!$C$34,IF(E1447&lt;=5000,'Nacional · supuestos'!$C$35,'Nacional · supuestos'!$C$36)),IF(E1447&lt;=2000,'Nacional · supuestos'!$B$34,IF(E1447&lt;=5000,'Nacional · supuestos'!$B$35,'Nacional · supuestos'!$B$36))),0)</f>
        <v>0.19800000000000001</v>
      </c>
      <c r="J1447">
        <f>IF(D1447="Canarias",MAX(E1447*I1447,IF(C1447="CABRERA MORALES FRANCISCO",'Nacional · supuestos'!$C$38,'Nacional · supuestos'!$B$38)),0)</f>
        <v>4003.1046000000001</v>
      </c>
      <c r="K1447">
        <f>IF(D1447="Canarias",MAX(E1447*'Nacional · supuestos'!$B$41,'Nacional · supuestos'!$B$42),0)</f>
        <v>727.83719999999994</v>
      </c>
      <c r="L1447">
        <f>IF(D1447="Canarias",E1447*'Nacional · supuestos'!$B$43,0)</f>
        <v>242.61240000000001</v>
      </c>
      <c r="M1447">
        <f>IF(D1447="Canarias",E1447*'Nacional · supuestos'!$B$44,0)</f>
        <v>363.91859999999997</v>
      </c>
      <c r="N1447">
        <f>IF(D1447="Canarias",E1447*'Nacional · supuestos'!$B$45,0)</f>
        <v>444.7894</v>
      </c>
      <c r="O1447">
        <f>IF(D1447="Canarias",'Nacional · supuestos'!$B$46,0)</f>
        <v>15</v>
      </c>
      <c r="P1447">
        <f>IF(D1447="Canarias",MAX(H1447*'Nacional · supuestos'!$B$47,'Nacional · supuestos'!$B$48),0)</f>
        <v>215.30464427842648</v>
      </c>
      <c r="Q1447">
        <f>IF(D1447="Resto nacional",E1447*'Nacional · supuestos'!$B$13*IF(A1447=2027,1+'Nacional · supuestos'!$B$6,1),0)</f>
        <v>0</v>
      </c>
      <c r="R1447">
        <f>IF(D1447="Canarias",SUM(J1447:P1447)*IF(A1447=2027,1+'Nacional · supuestos'!$B$6,1),0)</f>
        <v>6613.8235287062698</v>
      </c>
      <c r="S1447">
        <f t="shared" si="28"/>
        <v>6613.8235287062698</v>
      </c>
    </row>
    <row r="1448" spans="1:19">
      <c r="A1448">
        <v>2027</v>
      </c>
      <c r="B1448">
        <v>11</v>
      </c>
      <c r="C1448" t="s">
        <v>172</v>
      </c>
      <c r="D1448" t="s">
        <v>160</v>
      </c>
      <c r="E1448">
        <f>SUMIFS('Nacional · base'!$J$7:$J$1068,'Nacional · base'!$A$7:$A$1068,A1448,'Nacional · base'!$B$7:$B$1068,B1448,'Nacional · base'!$C$7:$C$1068,C1448)</f>
        <v>12745.899999999998</v>
      </c>
      <c r="F1448">
        <f>SUMIFS('Nacional · base'!$K$7:$K$1068,'Nacional · base'!$A$7:$A$1068,A1448,'Nacional · base'!$B$7:$B$1068,B1448,'Nacional · base'!$C$7:$C$1068,C1448)</f>
        <v>16.854280303030304</v>
      </c>
      <c r="G1448">
        <f t="shared" si="27"/>
        <v>17</v>
      </c>
      <c r="H1448">
        <f>SUMIFS('Nacional · base'!$G$7:$G$1068,'Nacional · base'!$A$7:$A$1068,A1448,'Nacional · base'!$B$7:$B$1068,B1448,'Nacional · base'!$C$7:$C$1068,C1448)</f>
        <v>39984.602559969397</v>
      </c>
      <c r="I1448">
        <f>IF(D1448="Canarias",IF(C1448="CABRERA MORALES FRANCISCO",IF(E1448&lt;=2000,'Nacional · supuestos'!$C$34,IF(E1448&lt;=5000,'Nacional · supuestos'!$C$35,'Nacional · supuestos'!$C$36)),IF(E1448&lt;=2000,'Nacional · supuestos'!$B$34,IF(E1448&lt;=5000,'Nacional · supuestos'!$B$35,'Nacional · supuestos'!$B$36))),0)</f>
        <v>0</v>
      </c>
      <c r="J1448">
        <f>IF(D1448="Canarias",MAX(E1448*I1448,IF(C1448="CABRERA MORALES FRANCISCO",'Nacional · supuestos'!$C$38,'Nacional · supuestos'!$B$38)),0)</f>
        <v>0</v>
      </c>
      <c r="K1448">
        <f>IF(D1448="Canarias",MAX(E1448*'Nacional · supuestos'!$B$41,'Nacional · supuestos'!$B$42),0)</f>
        <v>0</v>
      </c>
      <c r="L1448">
        <f>IF(D1448="Canarias",E1448*'Nacional · supuestos'!$B$43,0)</f>
        <v>0</v>
      </c>
      <c r="M1448">
        <f>IF(D1448="Canarias",E1448*'Nacional · supuestos'!$B$44,0)</f>
        <v>0</v>
      </c>
      <c r="N1448">
        <f>IF(D1448="Canarias",E1448*'Nacional · supuestos'!$B$45,0)</f>
        <v>0</v>
      </c>
      <c r="O1448">
        <f>IF(D1448="Canarias",'Nacional · supuestos'!$B$46,0)</f>
        <v>0</v>
      </c>
      <c r="P1448">
        <f>IF(D1448="Canarias",MAX(H1448*'Nacional · supuestos'!$B$47,'Nacional · supuestos'!$B$48),0)</f>
        <v>0</v>
      </c>
      <c r="Q1448">
        <f>IF(D1448="Resto nacional",E1448*'Nacional · supuestos'!$B$13*IF(A1448=2027,1+'Nacional · supuestos'!$B$6,1),0)</f>
        <v>1243.2081632123129</v>
      </c>
      <c r="R1448">
        <f>IF(D1448="Canarias",SUM(J1448:P1448)*IF(A1448=2027,1+'Nacional · supuestos'!$B$6,1),0)</f>
        <v>0</v>
      </c>
      <c r="S1448">
        <f t="shared" si="28"/>
        <v>1243.2081632123129</v>
      </c>
    </row>
    <row r="1449" spans="1:19">
      <c r="A1449">
        <v>2027</v>
      </c>
      <c r="B1449">
        <v>11</v>
      </c>
      <c r="C1449" t="s">
        <v>173</v>
      </c>
      <c r="D1449" t="s">
        <v>160</v>
      </c>
      <c r="E1449">
        <f>SUMIFS('Nacional · base'!$J$7:$J$1068,'Nacional · base'!$A$7:$A$1068,A1449,'Nacional · base'!$B$7:$B$1068,B1449,'Nacional · base'!$C$7:$C$1068,C1449)</f>
        <v>4660</v>
      </c>
      <c r="F1449">
        <f>SUMIFS('Nacional · base'!$K$7:$K$1068,'Nacional · base'!$A$7:$A$1068,A1449,'Nacional · base'!$B$7:$B$1068,B1449,'Nacional · base'!$C$7:$C$1068,C1449)</f>
        <v>4.875</v>
      </c>
      <c r="G1449">
        <f t="shared" si="27"/>
        <v>5</v>
      </c>
      <c r="H1449">
        <f>SUMIFS('Nacional · base'!$G$7:$G$1068,'Nacional · base'!$A$7:$A$1068,A1449,'Nacional · base'!$B$7:$B$1068,B1449,'Nacional · base'!$C$7:$C$1068,C1449)</f>
        <v>8735.004747236213</v>
      </c>
      <c r="I1449">
        <f>IF(D1449="Canarias",IF(C1449="CABRERA MORALES FRANCISCO",IF(E1449&lt;=2000,'Nacional · supuestos'!$C$34,IF(E1449&lt;=5000,'Nacional · supuestos'!$C$35,'Nacional · supuestos'!$C$36)),IF(E1449&lt;=2000,'Nacional · supuestos'!$B$34,IF(E1449&lt;=5000,'Nacional · supuestos'!$B$35,'Nacional · supuestos'!$B$36))),0)</f>
        <v>0</v>
      </c>
      <c r="J1449">
        <f>IF(D1449="Canarias",MAX(E1449*I1449,IF(C1449="CABRERA MORALES FRANCISCO",'Nacional · supuestos'!$C$38,'Nacional · supuestos'!$B$38)),0)</f>
        <v>0</v>
      </c>
      <c r="K1449">
        <f>IF(D1449="Canarias",MAX(E1449*'Nacional · supuestos'!$B$41,'Nacional · supuestos'!$B$42),0)</f>
        <v>0</v>
      </c>
      <c r="L1449">
        <f>IF(D1449="Canarias",E1449*'Nacional · supuestos'!$B$43,0)</f>
        <v>0</v>
      </c>
      <c r="M1449">
        <f>IF(D1449="Canarias",E1449*'Nacional · supuestos'!$B$44,0)</f>
        <v>0</v>
      </c>
      <c r="N1449">
        <f>IF(D1449="Canarias",E1449*'Nacional · supuestos'!$B$45,0)</f>
        <v>0</v>
      </c>
      <c r="O1449">
        <f>IF(D1449="Canarias",'Nacional · supuestos'!$B$46,0)</f>
        <v>0</v>
      </c>
      <c r="P1449">
        <f>IF(D1449="Canarias",MAX(H1449*'Nacional · supuestos'!$B$47,'Nacional · supuestos'!$B$48),0)</f>
        <v>0</v>
      </c>
      <c r="Q1449">
        <f>IF(D1449="Resto nacional",E1449*'Nacional · supuestos'!$B$13*IF(A1449=2027,1+'Nacional · supuestos'!$B$6,1),0)</f>
        <v>454.52655681979132</v>
      </c>
      <c r="R1449">
        <f>IF(D1449="Canarias",SUM(J1449:P1449)*IF(A1449=2027,1+'Nacional · supuestos'!$B$6,1),0)</f>
        <v>0</v>
      </c>
      <c r="S1449">
        <f t="shared" si="28"/>
        <v>454.52655681979132</v>
      </c>
    </row>
    <row r="1450" spans="1:19">
      <c r="A1450">
        <v>2027</v>
      </c>
      <c r="B1450">
        <v>11</v>
      </c>
      <c r="C1450" t="s">
        <v>174</v>
      </c>
      <c r="D1450" t="s">
        <v>160</v>
      </c>
      <c r="E1450">
        <f>SUMIFS('Nacional · base'!$J$7:$J$1068,'Nacional · base'!$A$7:$A$1068,A1450,'Nacional · base'!$B$7:$B$1068,B1450,'Nacional · base'!$C$7:$C$1068,C1450)</f>
        <v>22200</v>
      </c>
      <c r="F1450">
        <f>SUMIFS('Nacional · base'!$K$7:$K$1068,'Nacional · base'!$A$7:$A$1068,A1450,'Nacional · base'!$B$7:$B$1068,B1450,'Nacional · base'!$C$7:$C$1068,C1450)</f>
        <v>25.225000000000001</v>
      </c>
      <c r="G1450">
        <f t="shared" si="27"/>
        <v>26</v>
      </c>
      <c r="H1450">
        <f>SUMIFS('Nacional · base'!$G$7:$G$1068,'Nacional · base'!$A$7:$A$1068,A1450,'Nacional · base'!$B$7:$B$1068,B1450,'Nacional · base'!$C$7:$C$1068,C1450)</f>
        <v>43835.441183170122</v>
      </c>
      <c r="I1450">
        <f>IF(D1450="Canarias",IF(C1450="CABRERA MORALES FRANCISCO",IF(E1450&lt;=2000,'Nacional · supuestos'!$C$34,IF(E1450&lt;=5000,'Nacional · supuestos'!$C$35,'Nacional · supuestos'!$C$36)),IF(E1450&lt;=2000,'Nacional · supuestos'!$B$34,IF(E1450&lt;=5000,'Nacional · supuestos'!$B$35,'Nacional · supuestos'!$B$36))),0)</f>
        <v>0</v>
      </c>
      <c r="J1450">
        <f>IF(D1450="Canarias",MAX(E1450*I1450,IF(C1450="CABRERA MORALES FRANCISCO",'Nacional · supuestos'!$C$38,'Nacional · supuestos'!$B$38)),0)</f>
        <v>0</v>
      </c>
      <c r="K1450">
        <f>IF(D1450="Canarias",MAX(E1450*'Nacional · supuestos'!$B$41,'Nacional · supuestos'!$B$42),0)</f>
        <v>0</v>
      </c>
      <c r="L1450">
        <f>IF(D1450="Canarias",E1450*'Nacional · supuestos'!$B$43,0)</f>
        <v>0</v>
      </c>
      <c r="M1450">
        <f>IF(D1450="Canarias",E1450*'Nacional · supuestos'!$B$44,0)</f>
        <v>0</v>
      </c>
      <c r="N1450">
        <f>IF(D1450="Canarias",E1450*'Nacional · supuestos'!$B$45,0)</f>
        <v>0</v>
      </c>
      <c r="O1450">
        <f>IF(D1450="Canarias",'Nacional · supuestos'!$B$46,0)</f>
        <v>0</v>
      </c>
      <c r="P1450">
        <f>IF(D1450="Canarias",MAX(H1450*'Nacional · supuestos'!$B$47,'Nacional · supuestos'!$B$48),0)</f>
        <v>0</v>
      </c>
      <c r="Q1450">
        <f>IF(D1450="Resto nacional",E1450*'Nacional · supuestos'!$B$13*IF(A1450=2027,1+'Nacional · supuestos'!$B$6,1),0)</f>
        <v>2165.3411075964309</v>
      </c>
      <c r="R1450">
        <f>IF(D1450="Canarias",SUM(J1450:P1450)*IF(A1450=2027,1+'Nacional · supuestos'!$B$6,1),0)</f>
        <v>0</v>
      </c>
      <c r="S1450">
        <f t="shared" si="28"/>
        <v>2165.3411075964309</v>
      </c>
    </row>
    <row r="1451" spans="1:19">
      <c r="A1451">
        <v>2027</v>
      </c>
      <c r="B1451">
        <v>11</v>
      </c>
      <c r="C1451" t="s">
        <v>175</v>
      </c>
      <c r="D1451" t="s">
        <v>160</v>
      </c>
      <c r="E1451">
        <f>SUMIFS('Nacional · base'!$J$7:$J$1068,'Nacional · base'!$A$7:$A$1068,A1451,'Nacional · base'!$B$7:$B$1068,B1451,'Nacional · base'!$C$7:$C$1068,C1451)</f>
        <v>10797.7</v>
      </c>
      <c r="F1451">
        <f>SUMIFS('Nacional · base'!$K$7:$K$1068,'Nacional · base'!$A$7:$A$1068,A1451,'Nacional · base'!$B$7:$B$1068,B1451,'Nacional · base'!$C$7:$C$1068,C1451)</f>
        <v>14.291704545454545</v>
      </c>
      <c r="G1451">
        <f t="shared" si="27"/>
        <v>15</v>
      </c>
      <c r="H1451">
        <f>SUMIFS('Nacional · base'!$G$7:$G$1068,'Nacional · base'!$A$7:$A$1068,A1451,'Nacional · base'!$B$7:$B$1068,B1451,'Nacional · base'!$C$7:$C$1068,C1451)</f>
        <v>30627.320595736284</v>
      </c>
      <c r="I1451">
        <f>IF(D1451="Canarias",IF(C1451="CABRERA MORALES FRANCISCO",IF(E1451&lt;=2000,'Nacional · supuestos'!$C$34,IF(E1451&lt;=5000,'Nacional · supuestos'!$C$35,'Nacional · supuestos'!$C$36)),IF(E1451&lt;=2000,'Nacional · supuestos'!$B$34,IF(E1451&lt;=5000,'Nacional · supuestos'!$B$35,'Nacional · supuestos'!$B$36))),0)</f>
        <v>0</v>
      </c>
      <c r="J1451">
        <f>IF(D1451="Canarias",MAX(E1451*I1451,IF(C1451="CABRERA MORALES FRANCISCO",'Nacional · supuestos'!$C$38,'Nacional · supuestos'!$B$38)),0)</f>
        <v>0</v>
      </c>
      <c r="K1451">
        <f>IF(D1451="Canarias",MAX(E1451*'Nacional · supuestos'!$B$41,'Nacional · supuestos'!$B$42),0)</f>
        <v>0</v>
      </c>
      <c r="L1451">
        <f>IF(D1451="Canarias",E1451*'Nacional · supuestos'!$B$43,0)</f>
        <v>0</v>
      </c>
      <c r="M1451">
        <f>IF(D1451="Canarias",E1451*'Nacional · supuestos'!$B$44,0)</f>
        <v>0</v>
      </c>
      <c r="N1451">
        <f>IF(D1451="Canarias",E1451*'Nacional · supuestos'!$B$45,0)</f>
        <v>0</v>
      </c>
      <c r="O1451">
        <f>IF(D1451="Canarias",'Nacional · supuestos'!$B$46,0)</f>
        <v>0</v>
      </c>
      <c r="P1451">
        <f>IF(D1451="Canarias",MAX(H1451*'Nacional · supuestos'!$B$47,'Nacional · supuestos'!$B$48),0)</f>
        <v>0</v>
      </c>
      <c r="Q1451">
        <f>IF(D1451="Resto nacional",E1451*'Nacional · supuestos'!$B$13*IF(A1451=2027,1+'Nacional · supuestos'!$B$6,1),0)</f>
        <v>1053.1848503375668</v>
      </c>
      <c r="R1451">
        <f>IF(D1451="Canarias",SUM(J1451:P1451)*IF(A1451=2027,1+'Nacional · supuestos'!$B$6,1),0)</f>
        <v>0</v>
      </c>
      <c r="S1451">
        <f t="shared" si="28"/>
        <v>1053.1848503375668</v>
      </c>
    </row>
    <row r="1452" spans="1:19">
      <c r="A1452">
        <v>2027</v>
      </c>
      <c r="B1452">
        <v>11</v>
      </c>
      <c r="C1452" t="s">
        <v>182</v>
      </c>
      <c r="D1452" t="s">
        <v>160</v>
      </c>
      <c r="E1452">
        <f>SUMIFS('Nacional · base'!$J$7:$J$1068,'Nacional · base'!$A$7:$A$1068,A1452,'Nacional · base'!$B$7:$B$1068,B1452,'Nacional · base'!$C$7:$C$1068,C1452)</f>
        <v>41694.6</v>
      </c>
      <c r="F1452">
        <f>SUMIFS('Nacional · base'!$K$7:$K$1068,'Nacional · base'!$A$7:$A$1068,A1452,'Nacional · base'!$B$7:$B$1068,B1452,'Nacional · base'!$C$7:$C$1068,C1452)</f>
        <v>43.649583333333339</v>
      </c>
      <c r="G1452">
        <f t="shared" si="27"/>
        <v>44</v>
      </c>
      <c r="H1452">
        <f>SUMIFS('Nacional · base'!$G$7:$G$1068,'Nacional · base'!$A$7:$A$1068,A1452,'Nacional · base'!$B$7:$B$1068,B1452,'Nacional · base'!$C$7:$C$1068,C1452)</f>
        <v>90784.443222083544</v>
      </c>
      <c r="I1452">
        <f>IF(D1452="Canarias",IF(C1452="CABRERA MORALES FRANCISCO",IF(E1452&lt;=2000,'Nacional · supuestos'!$C$34,IF(E1452&lt;=5000,'Nacional · supuestos'!$C$35,'Nacional · supuestos'!$C$36)),IF(E1452&lt;=2000,'Nacional · supuestos'!$B$34,IF(E1452&lt;=5000,'Nacional · supuestos'!$B$35,'Nacional · supuestos'!$B$36))),0)</f>
        <v>0</v>
      </c>
      <c r="J1452">
        <f>IF(D1452="Canarias",MAX(E1452*I1452,IF(C1452="CABRERA MORALES FRANCISCO",'Nacional · supuestos'!$C$38,'Nacional · supuestos'!$B$38)),0)</f>
        <v>0</v>
      </c>
      <c r="K1452">
        <f>IF(D1452="Canarias",MAX(E1452*'Nacional · supuestos'!$B$41,'Nacional · supuestos'!$B$42),0)</f>
        <v>0</v>
      </c>
      <c r="L1452">
        <f>IF(D1452="Canarias",E1452*'Nacional · supuestos'!$B$43,0)</f>
        <v>0</v>
      </c>
      <c r="M1452">
        <f>IF(D1452="Canarias",E1452*'Nacional · supuestos'!$B$44,0)</f>
        <v>0</v>
      </c>
      <c r="N1452">
        <f>IF(D1452="Canarias",E1452*'Nacional · supuestos'!$B$45,0)</f>
        <v>0</v>
      </c>
      <c r="O1452">
        <f>IF(D1452="Canarias",'Nacional · supuestos'!$B$46,0)</f>
        <v>0</v>
      </c>
      <c r="P1452">
        <f>IF(D1452="Canarias",MAX(H1452*'Nacional · supuestos'!$B$47,'Nacional · supuestos'!$B$48),0)</f>
        <v>0</v>
      </c>
      <c r="Q1452">
        <f>IF(D1452="Resto nacional",E1452*'Nacional · supuestos'!$B$13*IF(A1452=2027,1+'Nacional · supuestos'!$B$6,1),0)</f>
        <v>4066.8032137292857</v>
      </c>
      <c r="R1452">
        <f>IF(D1452="Canarias",SUM(J1452:P1452)*IF(A1452=2027,1+'Nacional · supuestos'!$B$6,1),0)</f>
        <v>0</v>
      </c>
      <c r="S1452">
        <f t="shared" si="28"/>
        <v>4066.8032137292857</v>
      </c>
    </row>
    <row r="1453" spans="1:19">
      <c r="A1453">
        <v>2027</v>
      </c>
      <c r="B1453">
        <v>11</v>
      </c>
      <c r="C1453" t="s">
        <v>183</v>
      </c>
      <c r="D1453" t="s">
        <v>164</v>
      </c>
      <c r="E1453">
        <f>SUMIFS('Nacional · base'!$J$7:$J$1068,'Nacional · base'!$A$7:$A$1068,A1453,'Nacional · base'!$B$7:$B$1068,B1453,'Nacional · base'!$C$7:$C$1068,C1453)</f>
        <v>16638</v>
      </c>
      <c r="F1453">
        <f>SUMIFS('Nacional · base'!$K$7:$K$1068,'Nacional · base'!$A$7:$A$1068,A1453,'Nacional · base'!$B$7:$B$1068,B1453,'Nacional · base'!$C$7:$C$1068,C1453)</f>
        <v>16.71875</v>
      </c>
      <c r="G1453">
        <f t="shared" si="27"/>
        <v>17</v>
      </c>
      <c r="H1453">
        <f>SUMIFS('Nacional · base'!$G$7:$G$1068,'Nacional · base'!$A$7:$A$1068,A1453,'Nacional · base'!$B$7:$B$1068,B1453,'Nacional · base'!$C$7:$C$1068,C1453)</f>
        <v>36908.641611479281</v>
      </c>
      <c r="I1453">
        <f>IF(D1453="Canarias",IF(C1453="CABRERA MORALES FRANCISCO",IF(E1453&lt;=2000,'Nacional · supuestos'!$C$34,IF(E1453&lt;=5000,'Nacional · supuestos'!$C$35,'Nacional · supuestos'!$C$36)),IF(E1453&lt;=2000,'Nacional · supuestos'!$B$34,IF(E1453&lt;=5000,'Nacional · supuestos'!$B$35,'Nacional · supuestos'!$B$36))),0)</f>
        <v>0.104</v>
      </c>
      <c r="J1453">
        <f>IF(D1453="Canarias",MAX(E1453*I1453,IF(C1453="CABRERA MORALES FRANCISCO",'Nacional · supuestos'!$C$38,'Nacional · supuestos'!$B$38)),0)</f>
        <v>1730.3519999999999</v>
      </c>
      <c r="K1453">
        <f>IF(D1453="Canarias",MAX(E1453*'Nacional · supuestos'!$B$41,'Nacional · supuestos'!$B$42),0)</f>
        <v>598.96799999999996</v>
      </c>
      <c r="L1453">
        <f>IF(D1453="Canarias",E1453*'Nacional · supuestos'!$B$43,0)</f>
        <v>199.65600000000001</v>
      </c>
      <c r="M1453">
        <f>IF(D1453="Canarias",E1453*'Nacional · supuestos'!$B$44,0)</f>
        <v>299.48399999999998</v>
      </c>
      <c r="N1453">
        <f>IF(D1453="Canarias",E1453*'Nacional · supuestos'!$B$45,0)</f>
        <v>366.036</v>
      </c>
      <c r="O1453">
        <f>IF(D1453="Canarias",'Nacional · supuestos'!$B$46,0)</f>
        <v>15</v>
      </c>
      <c r="P1453">
        <f>IF(D1453="Canarias",MAX(H1453*'Nacional · supuestos'!$B$47,'Nacional · supuestos'!$B$48),0)</f>
        <v>166.08888725165676</v>
      </c>
      <c r="Q1453">
        <f>IF(D1453="Resto nacional",E1453*'Nacional · supuestos'!$B$13*IF(A1453=2027,1+'Nacional · supuestos'!$B$6,1),0)</f>
        <v>0</v>
      </c>
      <c r="R1453">
        <f>IF(D1453="Canarias",SUM(J1453:P1453)*IF(A1453=2027,1+'Nacional · supuestos'!$B$6,1),0)</f>
        <v>3713.143375976822</v>
      </c>
      <c r="S1453">
        <f t="shared" si="28"/>
        <v>3713.143375976822</v>
      </c>
    </row>
    <row r="1454" spans="1:19">
      <c r="A1454">
        <v>2027</v>
      </c>
      <c r="B1454">
        <v>11</v>
      </c>
      <c r="C1454" t="s">
        <v>176</v>
      </c>
      <c r="D1454" t="s">
        <v>160</v>
      </c>
      <c r="E1454">
        <f>SUMIFS('Nacional · base'!$J$7:$J$1068,'Nacional · base'!$A$7:$A$1068,A1454,'Nacional · base'!$B$7:$B$1068,B1454,'Nacional · base'!$C$7:$C$1068,C1454)</f>
        <v>2478</v>
      </c>
      <c r="F1454">
        <f>SUMIFS('Nacional · base'!$K$7:$K$1068,'Nacional · base'!$A$7:$A$1068,A1454,'Nacional · base'!$B$7:$B$1068,B1454,'Nacional · base'!$C$7:$C$1068,C1454)</f>
        <v>3.28125</v>
      </c>
      <c r="G1454">
        <f t="shared" si="27"/>
        <v>4</v>
      </c>
      <c r="H1454">
        <f>SUMIFS('Nacional · base'!$G$7:$G$1068,'Nacional · base'!$A$7:$A$1068,A1454,'Nacional · base'!$B$7:$B$1068,B1454,'Nacional · base'!$C$7:$C$1068,C1454)</f>
        <v>5854.2952117074483</v>
      </c>
      <c r="I1454">
        <f>IF(D1454="Canarias",IF(C1454="CABRERA MORALES FRANCISCO",IF(E1454&lt;=2000,'Nacional · supuestos'!$C$34,IF(E1454&lt;=5000,'Nacional · supuestos'!$C$35,'Nacional · supuestos'!$C$36)),IF(E1454&lt;=2000,'Nacional · supuestos'!$B$34,IF(E1454&lt;=5000,'Nacional · supuestos'!$B$35,'Nacional · supuestos'!$B$36))),0)</f>
        <v>0</v>
      </c>
      <c r="J1454">
        <f>IF(D1454="Canarias",MAX(E1454*I1454,IF(C1454="CABRERA MORALES FRANCISCO",'Nacional · supuestos'!$C$38,'Nacional · supuestos'!$B$38)),0)</f>
        <v>0</v>
      </c>
      <c r="K1454">
        <f>IF(D1454="Canarias",MAX(E1454*'Nacional · supuestos'!$B$41,'Nacional · supuestos'!$B$42),0)</f>
        <v>0</v>
      </c>
      <c r="L1454">
        <f>IF(D1454="Canarias",E1454*'Nacional · supuestos'!$B$43,0)</f>
        <v>0</v>
      </c>
      <c r="M1454">
        <f>IF(D1454="Canarias",E1454*'Nacional · supuestos'!$B$44,0)</f>
        <v>0</v>
      </c>
      <c r="N1454">
        <f>IF(D1454="Canarias",E1454*'Nacional · supuestos'!$B$45,0)</f>
        <v>0</v>
      </c>
      <c r="O1454">
        <f>IF(D1454="Canarias",'Nacional · supuestos'!$B$46,0)</f>
        <v>0</v>
      </c>
      <c r="P1454">
        <f>IF(D1454="Canarias",MAX(H1454*'Nacional · supuestos'!$B$47,'Nacional · supuestos'!$B$48),0)</f>
        <v>0</v>
      </c>
      <c r="Q1454">
        <f>IF(D1454="Resto nacional",E1454*'Nacional · supuestos'!$B$13*IF(A1454=2027,1+'Nacional · supuestos'!$B$6,1),0)</f>
        <v>241.69888579387188</v>
      </c>
      <c r="R1454">
        <f>IF(D1454="Canarias",SUM(J1454:P1454)*IF(A1454=2027,1+'Nacional · supuestos'!$B$6,1),0)</f>
        <v>0</v>
      </c>
      <c r="S1454">
        <f t="shared" si="28"/>
        <v>241.69888579387188</v>
      </c>
    </row>
    <row r="1455" spans="1:19">
      <c r="A1455">
        <v>2027</v>
      </c>
      <c r="B1455">
        <v>11</v>
      </c>
      <c r="C1455" t="s">
        <v>178</v>
      </c>
      <c r="D1455" t="s">
        <v>160</v>
      </c>
      <c r="E1455">
        <f>SUMIFS('Nacional · base'!$J$7:$J$1068,'Nacional · base'!$A$7:$A$1068,A1455,'Nacional · base'!$B$7:$B$1068,B1455,'Nacional · base'!$C$7:$C$1068,C1455)</f>
        <v>3795.7</v>
      </c>
      <c r="F1455">
        <f>SUMIFS('Nacional · base'!$K$7:$K$1068,'Nacional · base'!$A$7:$A$1068,A1455,'Nacional · base'!$B$7:$B$1068,B1455,'Nacional · base'!$C$7:$C$1068,C1455)</f>
        <v>4.5495833333333335</v>
      </c>
      <c r="G1455">
        <f t="shared" si="27"/>
        <v>5</v>
      </c>
      <c r="H1455">
        <f>SUMIFS('Nacional · base'!$G$7:$G$1068,'Nacional · base'!$A$7:$A$1068,A1455,'Nacional · base'!$B$7:$B$1068,B1455,'Nacional · base'!$C$7:$C$1068,C1455)</f>
        <v>14217.807161479517</v>
      </c>
      <c r="I1455">
        <f>IF(D1455="Canarias",IF(C1455="CABRERA MORALES FRANCISCO",IF(E1455&lt;=2000,'Nacional · supuestos'!$C$34,IF(E1455&lt;=5000,'Nacional · supuestos'!$C$35,'Nacional · supuestos'!$C$36)),IF(E1455&lt;=2000,'Nacional · supuestos'!$B$34,IF(E1455&lt;=5000,'Nacional · supuestos'!$B$35,'Nacional · supuestos'!$B$36))),0)</f>
        <v>0</v>
      </c>
      <c r="J1455">
        <f>IF(D1455="Canarias",MAX(E1455*I1455,IF(C1455="CABRERA MORALES FRANCISCO",'Nacional · supuestos'!$C$38,'Nacional · supuestos'!$B$38)),0)</f>
        <v>0</v>
      </c>
      <c r="K1455">
        <f>IF(D1455="Canarias",MAX(E1455*'Nacional · supuestos'!$B$41,'Nacional · supuestos'!$B$42),0)</f>
        <v>0</v>
      </c>
      <c r="L1455">
        <f>IF(D1455="Canarias",E1455*'Nacional · supuestos'!$B$43,0)</f>
        <v>0</v>
      </c>
      <c r="M1455">
        <f>IF(D1455="Canarias",E1455*'Nacional · supuestos'!$B$44,0)</f>
        <v>0</v>
      </c>
      <c r="N1455">
        <f>IF(D1455="Canarias",E1455*'Nacional · supuestos'!$B$45,0)</f>
        <v>0</v>
      </c>
      <c r="O1455">
        <f>IF(D1455="Canarias",'Nacional · supuestos'!$B$46,0)</f>
        <v>0</v>
      </c>
      <c r="P1455">
        <f>IF(D1455="Canarias",MAX(H1455*'Nacional · supuestos'!$B$47,'Nacional · supuestos'!$B$48),0)</f>
        <v>0</v>
      </c>
      <c r="Q1455">
        <f>IF(D1455="Resto nacional",E1455*'Nacional · supuestos'!$B$13*IF(A1455=2027,1+'Nacional · supuestos'!$B$6,1),0)</f>
        <v>370.2245604551249</v>
      </c>
      <c r="R1455">
        <f>IF(D1455="Canarias",SUM(J1455:P1455)*IF(A1455=2027,1+'Nacional · supuestos'!$B$6,1),0)</f>
        <v>0</v>
      </c>
      <c r="S1455">
        <f t="shared" si="28"/>
        <v>370.2245604551249</v>
      </c>
    </row>
    <row r="1456" spans="1:19">
      <c r="A1456">
        <v>2027</v>
      </c>
      <c r="B1456">
        <v>11</v>
      </c>
      <c r="C1456" t="s">
        <v>180</v>
      </c>
      <c r="D1456" t="s">
        <v>160</v>
      </c>
      <c r="E1456">
        <f>SUMIFS('Nacional · base'!$J$7:$J$1068,'Nacional · base'!$A$7:$A$1068,A1456,'Nacional · base'!$B$7:$B$1068,B1456,'Nacional · base'!$C$7:$C$1068,C1456)</f>
        <v>2388.8599999999997</v>
      </c>
      <c r="F1456">
        <f>SUMIFS('Nacional · base'!$K$7:$K$1068,'Nacional · base'!$A$7:$A$1068,A1456,'Nacional · base'!$B$7:$B$1068,B1456,'Nacional · base'!$C$7:$C$1068,C1456)</f>
        <v>3.1229166666666668</v>
      </c>
      <c r="G1456">
        <f t="shared" si="27"/>
        <v>4</v>
      </c>
      <c r="H1456">
        <f>SUMIFS('Nacional · base'!$G$7:$G$1068,'Nacional · base'!$A$7:$A$1068,A1456,'Nacional · base'!$B$7:$B$1068,B1456,'Nacional · base'!$C$7:$C$1068,C1456)</f>
        <v>6784.8110585505792</v>
      </c>
      <c r="I1456">
        <f>IF(D1456="Canarias",IF(C1456="CABRERA MORALES FRANCISCO",IF(E1456&lt;=2000,'Nacional · supuestos'!$C$34,IF(E1456&lt;=5000,'Nacional · supuestos'!$C$35,'Nacional · supuestos'!$C$36)),IF(E1456&lt;=2000,'Nacional · supuestos'!$B$34,IF(E1456&lt;=5000,'Nacional · supuestos'!$B$35,'Nacional · supuestos'!$B$36))),0)</f>
        <v>0</v>
      </c>
      <c r="J1456">
        <f>IF(D1456="Canarias",MAX(E1456*I1456,IF(C1456="CABRERA MORALES FRANCISCO",'Nacional · supuestos'!$C$38,'Nacional · supuestos'!$B$38)),0)</f>
        <v>0</v>
      </c>
      <c r="K1456">
        <f>IF(D1456="Canarias",MAX(E1456*'Nacional · supuestos'!$B$41,'Nacional · supuestos'!$B$42),0)</f>
        <v>0</v>
      </c>
      <c r="L1456">
        <f>IF(D1456="Canarias",E1456*'Nacional · supuestos'!$B$43,0)</f>
        <v>0</v>
      </c>
      <c r="M1456">
        <f>IF(D1456="Canarias",E1456*'Nacional · supuestos'!$B$44,0)</f>
        <v>0</v>
      </c>
      <c r="N1456">
        <f>IF(D1456="Canarias",E1456*'Nacional · supuestos'!$B$45,0)</f>
        <v>0</v>
      </c>
      <c r="O1456">
        <f>IF(D1456="Canarias",'Nacional · supuestos'!$B$46,0)</f>
        <v>0</v>
      </c>
      <c r="P1456">
        <f>IF(D1456="Canarias",MAX(H1456*'Nacional · supuestos'!$B$47,'Nacional · supuestos'!$B$48),0)</f>
        <v>0</v>
      </c>
      <c r="Q1456">
        <f>IF(D1456="Resto nacional",E1456*'Nacional · supuestos'!$B$13*IF(A1456=2027,1+'Nacional · supuestos'!$B$6,1),0)</f>
        <v>233.00435848165807</v>
      </c>
      <c r="R1456">
        <f>IF(D1456="Canarias",SUM(J1456:P1456)*IF(A1456=2027,1+'Nacional · supuestos'!$B$6,1),0)</f>
        <v>0</v>
      </c>
      <c r="S1456">
        <f t="shared" si="28"/>
        <v>233.00435848165807</v>
      </c>
    </row>
    <row r="1457" spans="1:19">
      <c r="A1457">
        <v>2027</v>
      </c>
      <c r="B1457">
        <v>11</v>
      </c>
      <c r="C1457" t="s">
        <v>185</v>
      </c>
      <c r="D1457" t="s">
        <v>160</v>
      </c>
      <c r="E1457">
        <f>SUMIFS('Nacional · base'!$J$7:$J$1068,'Nacional · base'!$A$7:$A$1068,A1457,'Nacional · base'!$B$7:$B$1068,B1457,'Nacional · base'!$C$7:$C$1068,C1457)</f>
        <v>1652</v>
      </c>
      <c r="F1457">
        <f>SUMIFS('Nacional · base'!$K$7:$K$1068,'Nacional · base'!$A$7:$A$1068,A1457,'Nacional · base'!$B$7:$B$1068,B1457,'Nacional · base'!$C$7:$C$1068,C1457)</f>
        <v>2.1875</v>
      </c>
      <c r="G1457">
        <f t="shared" si="27"/>
        <v>3</v>
      </c>
      <c r="H1457">
        <f>SUMIFS('Nacional · base'!$G$7:$G$1068,'Nacional · base'!$A$7:$A$1068,A1457,'Nacional · base'!$B$7:$B$1068,B1457,'Nacional · base'!$C$7:$C$1068,C1457)</f>
        <v>4830.3775197945706</v>
      </c>
      <c r="I1457">
        <f>IF(D1457="Canarias",IF(C1457="CABRERA MORALES FRANCISCO",IF(E1457&lt;=2000,'Nacional · supuestos'!$C$34,IF(E1457&lt;=5000,'Nacional · supuestos'!$C$35,'Nacional · supuestos'!$C$36)),IF(E1457&lt;=2000,'Nacional · supuestos'!$B$34,IF(E1457&lt;=5000,'Nacional · supuestos'!$B$35,'Nacional · supuestos'!$B$36))),0)</f>
        <v>0</v>
      </c>
      <c r="J1457">
        <f>IF(D1457="Canarias",MAX(E1457*I1457,IF(C1457="CABRERA MORALES FRANCISCO",'Nacional · supuestos'!$C$38,'Nacional · supuestos'!$B$38)),0)</f>
        <v>0</v>
      </c>
      <c r="K1457">
        <f>IF(D1457="Canarias",MAX(E1457*'Nacional · supuestos'!$B$41,'Nacional · supuestos'!$B$42),0)</f>
        <v>0</v>
      </c>
      <c r="L1457">
        <f>IF(D1457="Canarias",E1457*'Nacional · supuestos'!$B$43,0)</f>
        <v>0</v>
      </c>
      <c r="M1457">
        <f>IF(D1457="Canarias",E1457*'Nacional · supuestos'!$B$44,0)</f>
        <v>0</v>
      </c>
      <c r="N1457">
        <f>IF(D1457="Canarias",E1457*'Nacional · supuestos'!$B$45,0)</f>
        <v>0</v>
      </c>
      <c r="O1457">
        <f>IF(D1457="Canarias",'Nacional · supuestos'!$B$46,0)</f>
        <v>0</v>
      </c>
      <c r="P1457">
        <f>IF(D1457="Canarias",MAX(H1457*'Nacional · supuestos'!$B$47,'Nacional · supuestos'!$B$48),0)</f>
        <v>0</v>
      </c>
      <c r="Q1457">
        <f>IF(D1457="Resto nacional",E1457*'Nacional · supuestos'!$B$13*IF(A1457=2027,1+'Nacional · supuestos'!$B$6,1),0)</f>
        <v>161.13259052924792</v>
      </c>
      <c r="R1457">
        <f>IF(D1457="Canarias",SUM(J1457:P1457)*IF(A1457=2027,1+'Nacional · supuestos'!$B$6,1),0)</f>
        <v>0</v>
      </c>
      <c r="S1457">
        <f t="shared" si="28"/>
        <v>161.13259052924792</v>
      </c>
    </row>
    <row r="1458" spans="1:19">
      <c r="A1458">
        <v>2027</v>
      </c>
      <c r="B1458">
        <v>11</v>
      </c>
      <c r="C1458" t="s">
        <v>187</v>
      </c>
      <c r="D1458" t="s">
        <v>160</v>
      </c>
      <c r="E1458">
        <f>SUMIFS('Nacional · base'!$J$7:$J$1068,'Nacional · base'!$A$7:$A$1068,A1458,'Nacional · base'!$B$7:$B$1068,B1458,'Nacional · base'!$C$7:$C$1068,C1458)</f>
        <v>778.8</v>
      </c>
      <c r="F1458">
        <f>SUMIFS('Nacional · base'!$K$7:$K$1068,'Nacional · base'!$A$7:$A$1068,A1458,'Nacional · base'!$B$7:$B$1068,B1458,'Nacional · base'!$C$7:$C$1068,C1458)</f>
        <v>1.03125</v>
      </c>
      <c r="G1458">
        <f t="shared" ref="G1458:G1521" si="29">ROUNDUP(F1458,0)</f>
        <v>2</v>
      </c>
      <c r="H1458">
        <f>SUMIFS('Nacional · base'!$G$7:$G$1068,'Nacional · base'!$A$7:$A$1068,A1458,'Nacional · base'!$B$7:$B$1068,B1458,'Nacional · base'!$C$7:$C$1068,C1458)</f>
        <v>2731.2376299882899</v>
      </c>
      <c r="I1458">
        <f>IF(D1458="Canarias",IF(C1458="CABRERA MORALES FRANCISCO",IF(E1458&lt;=2000,'Nacional · supuestos'!$C$34,IF(E1458&lt;=5000,'Nacional · supuestos'!$C$35,'Nacional · supuestos'!$C$36)),IF(E1458&lt;=2000,'Nacional · supuestos'!$B$34,IF(E1458&lt;=5000,'Nacional · supuestos'!$B$35,'Nacional · supuestos'!$B$36))),0)</f>
        <v>0</v>
      </c>
      <c r="J1458">
        <f>IF(D1458="Canarias",MAX(E1458*I1458,IF(C1458="CABRERA MORALES FRANCISCO",'Nacional · supuestos'!$C$38,'Nacional · supuestos'!$B$38)),0)</f>
        <v>0</v>
      </c>
      <c r="K1458">
        <f>IF(D1458="Canarias",MAX(E1458*'Nacional · supuestos'!$B$41,'Nacional · supuestos'!$B$42),0)</f>
        <v>0</v>
      </c>
      <c r="L1458">
        <f>IF(D1458="Canarias",E1458*'Nacional · supuestos'!$B$43,0)</f>
        <v>0</v>
      </c>
      <c r="M1458">
        <f>IF(D1458="Canarias",E1458*'Nacional · supuestos'!$B$44,0)</f>
        <v>0</v>
      </c>
      <c r="N1458">
        <f>IF(D1458="Canarias",E1458*'Nacional · supuestos'!$B$45,0)</f>
        <v>0</v>
      </c>
      <c r="O1458">
        <f>IF(D1458="Canarias",'Nacional · supuestos'!$B$46,0)</f>
        <v>0</v>
      </c>
      <c r="P1458">
        <f>IF(D1458="Canarias",MAX(H1458*'Nacional · supuestos'!$B$47,'Nacional · supuestos'!$B$48),0)</f>
        <v>0</v>
      </c>
      <c r="Q1458">
        <f>IF(D1458="Resto nacional",E1458*'Nacional · supuestos'!$B$13*IF(A1458=2027,1+'Nacional · supuestos'!$B$6,1),0)</f>
        <v>75.9625069637883</v>
      </c>
      <c r="R1458">
        <f>IF(D1458="Canarias",SUM(J1458:P1458)*IF(A1458=2027,1+'Nacional · supuestos'!$B$6,1),0)</f>
        <v>0</v>
      </c>
      <c r="S1458">
        <f t="shared" ref="S1458:S1521" si="30">Q1458+R1458</f>
        <v>75.9625069637883</v>
      </c>
    </row>
    <row r="1459" spans="1:19">
      <c r="A1459">
        <v>2027</v>
      </c>
      <c r="B1459">
        <v>12</v>
      </c>
      <c r="C1459" t="s">
        <v>159</v>
      </c>
      <c r="D1459" t="s">
        <v>160</v>
      </c>
      <c r="E1459">
        <f>SUMIFS('Nacional · base'!$J$7:$J$1068,'Nacional · base'!$A$7:$A$1068,A1459,'Nacional · base'!$B$7:$B$1068,B1459,'Nacional · base'!$C$7:$C$1068,C1459)</f>
        <v>2501.6</v>
      </c>
      <c r="F1459">
        <f>SUMIFS('Nacional · base'!$K$7:$K$1068,'Nacional · base'!$A$7:$A$1068,A1459,'Nacional · base'!$B$7:$B$1068,B1459,'Nacional · base'!$C$7:$C$1068,C1459)</f>
        <v>3.3125</v>
      </c>
      <c r="G1459">
        <f t="shared" si="29"/>
        <v>4</v>
      </c>
      <c r="H1459">
        <f>SUMIFS('Nacional · base'!$G$7:$G$1068,'Nacional · base'!$A$7:$A$1068,A1459,'Nacional · base'!$B$7:$B$1068,B1459,'Nacional · base'!$C$7:$C$1068,C1459)</f>
        <v>5760.7118660364931</v>
      </c>
      <c r="I1459">
        <f>IF(D1459="Canarias",IF(C1459="CABRERA MORALES FRANCISCO",IF(E1459&lt;=2000,'Nacional · supuestos'!$C$34,IF(E1459&lt;=5000,'Nacional · supuestos'!$C$35,'Nacional · supuestos'!$C$36)),IF(E1459&lt;=2000,'Nacional · supuestos'!$B$34,IF(E1459&lt;=5000,'Nacional · supuestos'!$B$35,'Nacional · supuestos'!$B$36))),0)</f>
        <v>0</v>
      </c>
      <c r="J1459">
        <f>IF(D1459="Canarias",MAX(E1459*I1459,IF(C1459="CABRERA MORALES FRANCISCO",'Nacional · supuestos'!$C$38,'Nacional · supuestos'!$B$38)),0)</f>
        <v>0</v>
      </c>
      <c r="K1459">
        <f>IF(D1459="Canarias",MAX(E1459*'Nacional · supuestos'!$B$41,'Nacional · supuestos'!$B$42),0)</f>
        <v>0</v>
      </c>
      <c r="L1459">
        <f>IF(D1459="Canarias",E1459*'Nacional · supuestos'!$B$43,0)</f>
        <v>0</v>
      </c>
      <c r="M1459">
        <f>IF(D1459="Canarias",E1459*'Nacional · supuestos'!$B$44,0)</f>
        <v>0</v>
      </c>
      <c r="N1459">
        <f>IF(D1459="Canarias",E1459*'Nacional · supuestos'!$B$45,0)</f>
        <v>0</v>
      </c>
      <c r="O1459">
        <f>IF(D1459="Canarias",'Nacional · supuestos'!$B$46,0)</f>
        <v>0</v>
      </c>
      <c r="P1459">
        <f>IF(D1459="Canarias",MAX(H1459*'Nacional · supuestos'!$B$47,'Nacional · supuestos'!$B$48),0)</f>
        <v>0</v>
      </c>
      <c r="Q1459">
        <f>IF(D1459="Resto nacional",E1459*'Nacional · supuestos'!$B$13*IF(A1459=2027,1+'Nacional · supuestos'!$B$6,1),0)</f>
        <v>244.00077994428972</v>
      </c>
      <c r="R1459">
        <f>IF(D1459="Canarias",SUM(J1459:P1459)*IF(A1459=2027,1+'Nacional · supuestos'!$B$6,1),0)</f>
        <v>0</v>
      </c>
      <c r="S1459">
        <f t="shared" si="30"/>
        <v>244.00077994428972</v>
      </c>
    </row>
    <row r="1460" spans="1:19">
      <c r="A1460">
        <v>2027</v>
      </c>
      <c r="B1460">
        <v>12</v>
      </c>
      <c r="C1460" t="s">
        <v>161</v>
      </c>
      <c r="D1460" t="s">
        <v>160</v>
      </c>
      <c r="E1460">
        <f>SUMIFS('Nacional · base'!$J$7:$J$1068,'Nacional · base'!$A$7:$A$1068,A1460,'Nacional · base'!$B$7:$B$1068,B1460,'Nacional · base'!$C$7:$C$1068,C1460)</f>
        <v>200</v>
      </c>
      <c r="F1460">
        <f>SUMIFS('Nacional · base'!$K$7:$K$1068,'Nacional · base'!$A$7:$A$1068,A1460,'Nacional · base'!$B$7:$B$1068,B1460,'Nacional · base'!$C$7:$C$1068,C1460)</f>
        <v>0.26666666666666666</v>
      </c>
      <c r="G1460">
        <f t="shared" si="29"/>
        <v>1</v>
      </c>
      <c r="H1460">
        <f>SUMIFS('Nacional · base'!$G$7:$G$1068,'Nacional · base'!$A$7:$A$1068,A1460,'Nacional · base'!$B$7:$B$1068,B1460,'Nacional · base'!$C$7:$C$1068,C1460)</f>
        <v>1315.4804553260142</v>
      </c>
      <c r="I1460">
        <f>IF(D1460="Canarias",IF(C1460="CABRERA MORALES FRANCISCO",IF(E1460&lt;=2000,'Nacional · supuestos'!$C$34,IF(E1460&lt;=5000,'Nacional · supuestos'!$C$35,'Nacional · supuestos'!$C$36)),IF(E1460&lt;=2000,'Nacional · supuestos'!$B$34,IF(E1460&lt;=5000,'Nacional · supuestos'!$B$35,'Nacional · supuestos'!$B$36))),0)</f>
        <v>0</v>
      </c>
      <c r="J1460">
        <f>IF(D1460="Canarias",MAX(E1460*I1460,IF(C1460="CABRERA MORALES FRANCISCO",'Nacional · supuestos'!$C$38,'Nacional · supuestos'!$B$38)),0)</f>
        <v>0</v>
      </c>
      <c r="K1460">
        <f>IF(D1460="Canarias",MAX(E1460*'Nacional · supuestos'!$B$41,'Nacional · supuestos'!$B$42),0)</f>
        <v>0</v>
      </c>
      <c r="L1460">
        <f>IF(D1460="Canarias",E1460*'Nacional · supuestos'!$B$43,0)</f>
        <v>0</v>
      </c>
      <c r="M1460">
        <f>IF(D1460="Canarias",E1460*'Nacional · supuestos'!$B$44,0)</f>
        <v>0</v>
      </c>
      <c r="N1460">
        <f>IF(D1460="Canarias",E1460*'Nacional · supuestos'!$B$45,0)</f>
        <v>0</v>
      </c>
      <c r="O1460">
        <f>IF(D1460="Canarias",'Nacional · supuestos'!$B$46,0)</f>
        <v>0</v>
      </c>
      <c r="P1460">
        <f>IF(D1460="Canarias",MAX(H1460*'Nacional · supuestos'!$B$47,'Nacional · supuestos'!$B$48),0)</f>
        <v>0</v>
      </c>
      <c r="Q1460">
        <f>IF(D1460="Resto nacional",E1460*'Nacional · supuestos'!$B$13*IF(A1460=2027,1+'Nacional · supuestos'!$B$6,1),0)</f>
        <v>19.507577545913794</v>
      </c>
      <c r="R1460">
        <f>IF(D1460="Canarias",SUM(J1460:P1460)*IF(A1460=2027,1+'Nacional · supuestos'!$B$6,1),0)</f>
        <v>0</v>
      </c>
      <c r="S1460">
        <f t="shared" si="30"/>
        <v>19.507577545913794</v>
      </c>
    </row>
    <row r="1461" spans="1:19">
      <c r="A1461">
        <v>2027</v>
      </c>
      <c r="B1461">
        <v>12</v>
      </c>
      <c r="C1461" t="s">
        <v>163</v>
      </c>
      <c r="D1461" t="s">
        <v>164</v>
      </c>
      <c r="E1461">
        <f>SUMIFS('Nacional · base'!$J$7:$J$1068,'Nacional · base'!$A$7:$A$1068,A1461,'Nacional · base'!$B$7:$B$1068,B1461,'Nacional · base'!$C$7:$C$1068,C1461)</f>
        <v>2666.8</v>
      </c>
      <c r="F1461">
        <f>SUMIFS('Nacional · base'!$K$7:$K$1068,'Nacional · base'!$A$7:$A$1068,A1461,'Nacional · base'!$B$7:$B$1068,B1461,'Nacional · base'!$C$7:$C$1068,C1461)</f>
        <v>3.03125</v>
      </c>
      <c r="G1461">
        <f t="shared" si="29"/>
        <v>4</v>
      </c>
      <c r="H1461">
        <f>SUMIFS('Nacional · base'!$G$7:$G$1068,'Nacional · base'!$A$7:$A$1068,A1461,'Nacional · base'!$B$7:$B$1068,B1461,'Nacional · base'!$C$7:$C$1068,C1461)</f>
        <v>6906.9418284816293</v>
      </c>
      <c r="I1461">
        <f>IF(D1461="Canarias",IF(C1461="CABRERA MORALES FRANCISCO",IF(E1461&lt;=2000,'Nacional · supuestos'!$C$34,IF(E1461&lt;=5000,'Nacional · supuestos'!$C$35,'Nacional · supuestos'!$C$36)),IF(E1461&lt;=2000,'Nacional · supuestos'!$B$34,IF(E1461&lt;=5000,'Nacional · supuestos'!$B$35,'Nacional · supuestos'!$B$36))),0)</f>
        <v>0.108</v>
      </c>
      <c r="J1461">
        <f>IF(D1461="Canarias",MAX(E1461*I1461,IF(C1461="CABRERA MORALES FRANCISCO",'Nacional · supuestos'!$C$38,'Nacional · supuestos'!$B$38)),0)</f>
        <v>288.01440000000002</v>
      </c>
      <c r="K1461">
        <f>IF(D1461="Canarias",MAX(E1461*'Nacional · supuestos'!$B$41,'Nacional · supuestos'!$B$42),0)</f>
        <v>96.004800000000003</v>
      </c>
      <c r="L1461">
        <f>IF(D1461="Canarias",E1461*'Nacional · supuestos'!$B$43,0)</f>
        <v>32.001600000000003</v>
      </c>
      <c r="M1461">
        <f>IF(D1461="Canarias",E1461*'Nacional · supuestos'!$B$44,0)</f>
        <v>48.002400000000002</v>
      </c>
      <c r="N1461">
        <f>IF(D1461="Canarias",E1461*'Nacional · supuestos'!$B$45,0)</f>
        <v>58.669600000000003</v>
      </c>
      <c r="O1461">
        <f>IF(D1461="Canarias",'Nacional · supuestos'!$B$46,0)</f>
        <v>15</v>
      </c>
      <c r="P1461">
        <f>IF(D1461="Canarias",MAX(H1461*'Nacional · supuestos'!$B$47,'Nacional · supuestos'!$B$48),0)</f>
        <v>31.081238228167329</v>
      </c>
      <c r="Q1461">
        <f>IF(D1461="Resto nacional",E1461*'Nacional · supuestos'!$B$13*IF(A1461=2027,1+'Nacional · supuestos'!$B$6,1),0)</f>
        <v>0</v>
      </c>
      <c r="R1461">
        <f>IF(D1461="Canarias",SUM(J1461:P1461)*IF(A1461=2027,1+'Nacional · supuestos'!$B$6,1),0)</f>
        <v>625.65144205098409</v>
      </c>
      <c r="S1461">
        <f t="shared" si="30"/>
        <v>625.65144205098409</v>
      </c>
    </row>
    <row r="1462" spans="1:19">
      <c r="A1462">
        <v>2027</v>
      </c>
      <c r="B1462">
        <v>12</v>
      </c>
      <c r="C1462" t="s">
        <v>165</v>
      </c>
      <c r="D1462" t="s">
        <v>160</v>
      </c>
      <c r="E1462">
        <f>SUMIFS('Nacional · base'!$J$7:$J$1068,'Nacional · base'!$A$7:$A$1068,A1462,'Nacional · base'!$B$7:$B$1068,B1462,'Nacional · base'!$C$7:$C$1068,C1462)</f>
        <v>870</v>
      </c>
      <c r="F1462">
        <f>SUMIFS('Nacional · base'!$K$7:$K$1068,'Nacional · base'!$A$7:$A$1068,A1462,'Nacional · base'!$B$7:$B$1068,B1462,'Nacional · base'!$C$7:$C$1068,C1462)</f>
        <v>1.1599999999999999</v>
      </c>
      <c r="G1462">
        <f t="shared" si="29"/>
        <v>2</v>
      </c>
      <c r="H1462">
        <f>SUMIFS('Nacional · base'!$G$7:$G$1068,'Nacional · base'!$A$7:$A$1068,A1462,'Nacional · base'!$B$7:$B$1068,B1462,'Nacional · base'!$C$7:$C$1068,C1462)</f>
        <v>6125.8964452319224</v>
      </c>
      <c r="I1462">
        <f>IF(D1462="Canarias",IF(C1462="CABRERA MORALES FRANCISCO",IF(E1462&lt;=2000,'Nacional · supuestos'!$C$34,IF(E1462&lt;=5000,'Nacional · supuestos'!$C$35,'Nacional · supuestos'!$C$36)),IF(E1462&lt;=2000,'Nacional · supuestos'!$B$34,IF(E1462&lt;=5000,'Nacional · supuestos'!$B$35,'Nacional · supuestos'!$B$36))),0)</f>
        <v>0</v>
      </c>
      <c r="J1462">
        <f>IF(D1462="Canarias",MAX(E1462*I1462,IF(C1462="CABRERA MORALES FRANCISCO",'Nacional · supuestos'!$C$38,'Nacional · supuestos'!$B$38)),0)</f>
        <v>0</v>
      </c>
      <c r="K1462">
        <f>IF(D1462="Canarias",MAX(E1462*'Nacional · supuestos'!$B$41,'Nacional · supuestos'!$B$42),0)</f>
        <v>0</v>
      </c>
      <c r="L1462">
        <f>IF(D1462="Canarias",E1462*'Nacional · supuestos'!$B$43,0)</f>
        <v>0</v>
      </c>
      <c r="M1462">
        <f>IF(D1462="Canarias",E1462*'Nacional · supuestos'!$B$44,0)</f>
        <v>0</v>
      </c>
      <c r="N1462">
        <f>IF(D1462="Canarias",E1462*'Nacional · supuestos'!$B$45,0)</f>
        <v>0</v>
      </c>
      <c r="O1462">
        <f>IF(D1462="Canarias",'Nacional · supuestos'!$B$46,0)</f>
        <v>0</v>
      </c>
      <c r="P1462">
        <f>IF(D1462="Canarias",MAX(H1462*'Nacional · supuestos'!$B$47,'Nacional · supuestos'!$B$48),0)</f>
        <v>0</v>
      </c>
      <c r="Q1462">
        <f>IF(D1462="Resto nacional",E1462*'Nacional · supuestos'!$B$13*IF(A1462=2027,1+'Nacional · supuestos'!$B$6,1),0)</f>
        <v>84.857962324724994</v>
      </c>
      <c r="R1462">
        <f>IF(D1462="Canarias",SUM(J1462:P1462)*IF(A1462=2027,1+'Nacional · supuestos'!$B$6,1),0)</f>
        <v>0</v>
      </c>
      <c r="S1462">
        <f t="shared" si="30"/>
        <v>84.857962324724994</v>
      </c>
    </row>
    <row r="1463" spans="1:19">
      <c r="A1463">
        <v>2027</v>
      </c>
      <c r="B1463">
        <v>12</v>
      </c>
      <c r="C1463" t="s">
        <v>166</v>
      </c>
      <c r="D1463" t="s">
        <v>160</v>
      </c>
      <c r="E1463">
        <f>SUMIFS('Nacional · base'!$J$7:$J$1068,'Nacional · base'!$A$7:$A$1068,A1463,'Nacional · base'!$B$7:$B$1068,B1463,'Nacional · base'!$C$7:$C$1068,C1463)</f>
        <v>2272.8000000000002</v>
      </c>
      <c r="F1463">
        <f>SUMIFS('Nacional · base'!$K$7:$K$1068,'Nacional · base'!$A$7:$A$1068,A1463,'Nacional · base'!$B$7:$B$1068,B1463,'Nacional · base'!$C$7:$C$1068,C1463)</f>
        <v>2.9249999999999998</v>
      </c>
      <c r="G1463">
        <f t="shared" si="29"/>
        <v>3</v>
      </c>
      <c r="H1463">
        <f>SUMIFS('Nacional · base'!$G$7:$G$1068,'Nacional · base'!$A$7:$A$1068,A1463,'Nacional · base'!$B$7:$B$1068,B1463,'Nacional · base'!$C$7:$C$1068,C1463)</f>
        <v>4669.2259521294354</v>
      </c>
      <c r="I1463">
        <f>IF(D1463="Canarias",IF(C1463="CABRERA MORALES FRANCISCO",IF(E1463&lt;=2000,'Nacional · supuestos'!$C$34,IF(E1463&lt;=5000,'Nacional · supuestos'!$C$35,'Nacional · supuestos'!$C$36)),IF(E1463&lt;=2000,'Nacional · supuestos'!$B$34,IF(E1463&lt;=5000,'Nacional · supuestos'!$B$35,'Nacional · supuestos'!$B$36))),0)</f>
        <v>0</v>
      </c>
      <c r="J1463">
        <f>IF(D1463="Canarias",MAX(E1463*I1463,IF(C1463="CABRERA MORALES FRANCISCO",'Nacional · supuestos'!$C$38,'Nacional · supuestos'!$B$38)),0)</f>
        <v>0</v>
      </c>
      <c r="K1463">
        <f>IF(D1463="Canarias",MAX(E1463*'Nacional · supuestos'!$B$41,'Nacional · supuestos'!$B$42),0)</f>
        <v>0</v>
      </c>
      <c r="L1463">
        <f>IF(D1463="Canarias",E1463*'Nacional · supuestos'!$B$43,0)</f>
        <v>0</v>
      </c>
      <c r="M1463">
        <f>IF(D1463="Canarias",E1463*'Nacional · supuestos'!$B$44,0)</f>
        <v>0</v>
      </c>
      <c r="N1463">
        <f>IF(D1463="Canarias",E1463*'Nacional · supuestos'!$B$45,0)</f>
        <v>0</v>
      </c>
      <c r="O1463">
        <f>IF(D1463="Canarias",'Nacional · supuestos'!$B$46,0)</f>
        <v>0</v>
      </c>
      <c r="P1463">
        <f>IF(D1463="Canarias",MAX(H1463*'Nacional · supuestos'!$B$47,'Nacional · supuestos'!$B$48),0)</f>
        <v>0</v>
      </c>
      <c r="Q1463">
        <f>IF(D1463="Resto nacional",E1463*'Nacional · supuestos'!$B$13*IF(A1463=2027,1+'Nacional · supuestos'!$B$6,1),0)</f>
        <v>221.68411123176432</v>
      </c>
      <c r="R1463">
        <f>IF(D1463="Canarias",SUM(J1463:P1463)*IF(A1463=2027,1+'Nacional · supuestos'!$B$6,1),0)</f>
        <v>0</v>
      </c>
      <c r="S1463">
        <f t="shared" si="30"/>
        <v>221.68411123176432</v>
      </c>
    </row>
    <row r="1464" spans="1:19">
      <c r="A1464">
        <v>2027</v>
      </c>
      <c r="B1464">
        <v>12</v>
      </c>
      <c r="C1464" t="s">
        <v>169</v>
      </c>
      <c r="D1464" t="s">
        <v>160</v>
      </c>
      <c r="E1464">
        <f>SUMIFS('Nacional · base'!$J$7:$J$1068,'Nacional · base'!$A$7:$A$1068,A1464,'Nacional · base'!$B$7:$B$1068,B1464,'Nacional · base'!$C$7:$C$1068,C1464)</f>
        <v>955.8</v>
      </c>
      <c r="F1464">
        <f>SUMIFS('Nacional · base'!$K$7:$K$1068,'Nacional · base'!$A$7:$A$1068,A1464,'Nacional · base'!$B$7:$B$1068,B1464,'Nacional · base'!$C$7:$C$1068,C1464)</f>
        <v>1.3187500000000001</v>
      </c>
      <c r="G1464">
        <f t="shared" si="29"/>
        <v>2</v>
      </c>
      <c r="H1464">
        <f>SUMIFS('Nacional · base'!$G$7:$G$1068,'Nacional · base'!$A$7:$A$1068,A1464,'Nacional · base'!$B$7:$B$1068,B1464,'Nacional · base'!$C$7:$C$1068,C1464)</f>
        <v>4096.2803942367136</v>
      </c>
      <c r="I1464">
        <f>IF(D1464="Canarias",IF(C1464="CABRERA MORALES FRANCISCO",IF(E1464&lt;=2000,'Nacional · supuestos'!$C$34,IF(E1464&lt;=5000,'Nacional · supuestos'!$C$35,'Nacional · supuestos'!$C$36)),IF(E1464&lt;=2000,'Nacional · supuestos'!$B$34,IF(E1464&lt;=5000,'Nacional · supuestos'!$B$35,'Nacional · supuestos'!$B$36))),0)</f>
        <v>0</v>
      </c>
      <c r="J1464">
        <f>IF(D1464="Canarias",MAX(E1464*I1464,IF(C1464="CABRERA MORALES FRANCISCO",'Nacional · supuestos'!$C$38,'Nacional · supuestos'!$B$38)),0)</f>
        <v>0</v>
      </c>
      <c r="K1464">
        <f>IF(D1464="Canarias",MAX(E1464*'Nacional · supuestos'!$B$41,'Nacional · supuestos'!$B$42),0)</f>
        <v>0</v>
      </c>
      <c r="L1464">
        <f>IF(D1464="Canarias",E1464*'Nacional · supuestos'!$B$43,0)</f>
        <v>0</v>
      </c>
      <c r="M1464">
        <f>IF(D1464="Canarias",E1464*'Nacional · supuestos'!$B$44,0)</f>
        <v>0</v>
      </c>
      <c r="N1464">
        <f>IF(D1464="Canarias",E1464*'Nacional · supuestos'!$B$45,0)</f>
        <v>0</v>
      </c>
      <c r="O1464">
        <f>IF(D1464="Canarias",'Nacional · supuestos'!$B$46,0)</f>
        <v>0</v>
      </c>
      <c r="P1464">
        <f>IF(D1464="Canarias",MAX(H1464*'Nacional · supuestos'!$B$47,'Nacional · supuestos'!$B$48),0)</f>
        <v>0</v>
      </c>
      <c r="Q1464">
        <f>IF(D1464="Resto nacional",E1464*'Nacional · supuestos'!$B$13*IF(A1464=2027,1+'Nacional · supuestos'!$B$6,1),0)</f>
        <v>93.226713091922008</v>
      </c>
      <c r="R1464">
        <f>IF(D1464="Canarias",SUM(J1464:P1464)*IF(A1464=2027,1+'Nacional · supuestos'!$B$6,1),0)</f>
        <v>0</v>
      </c>
      <c r="S1464">
        <f t="shared" si="30"/>
        <v>93.226713091922008</v>
      </c>
    </row>
    <row r="1465" spans="1:19">
      <c r="A1465">
        <v>2027</v>
      </c>
      <c r="B1465">
        <v>12</v>
      </c>
      <c r="C1465" t="s">
        <v>172</v>
      </c>
      <c r="D1465" t="s">
        <v>160</v>
      </c>
      <c r="E1465">
        <f>SUMIFS('Nacional · base'!$J$7:$J$1068,'Nacional · base'!$A$7:$A$1068,A1465,'Nacional · base'!$B$7:$B$1068,B1465,'Nacional · base'!$C$7:$C$1068,C1465)</f>
        <v>13919.479999999998</v>
      </c>
      <c r="F1465">
        <f>SUMIFS('Nacional · base'!$K$7:$K$1068,'Nacional · base'!$A$7:$A$1068,A1465,'Nacional · base'!$B$7:$B$1068,B1465,'Nacional · base'!$C$7:$C$1068,C1465)</f>
        <v>18.503787878787879</v>
      </c>
      <c r="G1465">
        <f t="shared" si="29"/>
        <v>19</v>
      </c>
      <c r="H1465">
        <f>SUMIFS('Nacional · base'!$G$7:$G$1068,'Nacional · base'!$A$7:$A$1068,A1465,'Nacional · base'!$B$7:$B$1068,B1465,'Nacional · base'!$C$7:$C$1068,C1465)</f>
        <v>48499.229581716019</v>
      </c>
      <c r="I1465">
        <f>IF(D1465="Canarias",IF(C1465="CABRERA MORALES FRANCISCO",IF(E1465&lt;=2000,'Nacional · supuestos'!$C$34,IF(E1465&lt;=5000,'Nacional · supuestos'!$C$35,'Nacional · supuestos'!$C$36)),IF(E1465&lt;=2000,'Nacional · supuestos'!$B$34,IF(E1465&lt;=5000,'Nacional · supuestos'!$B$35,'Nacional · supuestos'!$B$36))),0)</f>
        <v>0</v>
      </c>
      <c r="J1465">
        <f>IF(D1465="Canarias",MAX(E1465*I1465,IF(C1465="CABRERA MORALES FRANCISCO",'Nacional · supuestos'!$C$38,'Nacional · supuestos'!$B$38)),0)</f>
        <v>0</v>
      </c>
      <c r="K1465">
        <f>IF(D1465="Canarias",MAX(E1465*'Nacional · supuestos'!$B$41,'Nacional · supuestos'!$B$42),0)</f>
        <v>0</v>
      </c>
      <c r="L1465">
        <f>IF(D1465="Canarias",E1465*'Nacional · supuestos'!$B$43,0)</f>
        <v>0</v>
      </c>
      <c r="M1465">
        <f>IF(D1465="Canarias",E1465*'Nacional · supuestos'!$B$44,0)</f>
        <v>0</v>
      </c>
      <c r="N1465">
        <f>IF(D1465="Canarias",E1465*'Nacional · supuestos'!$B$45,0)</f>
        <v>0</v>
      </c>
      <c r="O1465">
        <f>IF(D1465="Canarias",'Nacional · supuestos'!$B$46,0)</f>
        <v>0</v>
      </c>
      <c r="P1465">
        <f>IF(D1465="Canarias",MAX(H1465*'Nacional · supuestos'!$B$47,'Nacional · supuestos'!$B$48),0)</f>
        <v>0</v>
      </c>
      <c r="Q1465">
        <f>IF(D1465="Resto nacional",E1465*'Nacional · supuestos'!$B$13*IF(A1465=2027,1+'Nacional · supuestos'!$B$6,1),0)</f>
        <v>1357.6766774939804</v>
      </c>
      <c r="R1465">
        <f>IF(D1465="Canarias",SUM(J1465:P1465)*IF(A1465=2027,1+'Nacional · supuestos'!$B$6,1),0)</f>
        <v>0</v>
      </c>
      <c r="S1465">
        <f t="shared" si="30"/>
        <v>1357.6766774939804</v>
      </c>
    </row>
    <row r="1466" spans="1:19">
      <c r="A1466">
        <v>2027</v>
      </c>
      <c r="B1466">
        <v>12</v>
      </c>
      <c r="C1466" t="s">
        <v>175</v>
      </c>
      <c r="D1466" t="s">
        <v>160</v>
      </c>
      <c r="E1466">
        <f>SUMIFS('Nacional · base'!$J$7:$J$1068,'Nacional · base'!$A$7:$A$1068,A1466,'Nacional · base'!$B$7:$B$1068,B1466,'Nacional · base'!$C$7:$C$1068,C1466)</f>
        <v>14845.72</v>
      </c>
      <c r="F1466">
        <f>SUMIFS('Nacional · base'!$K$7:$K$1068,'Nacional · base'!$A$7:$A$1068,A1466,'Nacional · base'!$B$7:$B$1068,B1466,'Nacional · base'!$C$7:$C$1068,C1466)</f>
        <v>19.921931818181818</v>
      </c>
      <c r="G1466">
        <f t="shared" si="29"/>
        <v>20</v>
      </c>
      <c r="H1466">
        <f>SUMIFS('Nacional · base'!$G$7:$G$1068,'Nacional · base'!$A$7:$A$1068,A1466,'Nacional · base'!$B$7:$B$1068,B1466,'Nacional · base'!$C$7:$C$1068,C1466)</f>
        <v>54555.1864773419</v>
      </c>
      <c r="I1466">
        <f>IF(D1466="Canarias",IF(C1466="CABRERA MORALES FRANCISCO",IF(E1466&lt;=2000,'Nacional · supuestos'!$C$34,IF(E1466&lt;=5000,'Nacional · supuestos'!$C$35,'Nacional · supuestos'!$C$36)),IF(E1466&lt;=2000,'Nacional · supuestos'!$B$34,IF(E1466&lt;=5000,'Nacional · supuestos'!$B$35,'Nacional · supuestos'!$B$36))),0)</f>
        <v>0</v>
      </c>
      <c r="J1466">
        <f>IF(D1466="Canarias",MAX(E1466*I1466,IF(C1466="CABRERA MORALES FRANCISCO",'Nacional · supuestos'!$C$38,'Nacional · supuestos'!$B$38)),0)</f>
        <v>0</v>
      </c>
      <c r="K1466">
        <f>IF(D1466="Canarias",MAX(E1466*'Nacional · supuestos'!$B$41,'Nacional · supuestos'!$B$42),0)</f>
        <v>0</v>
      </c>
      <c r="L1466">
        <f>IF(D1466="Canarias",E1466*'Nacional · supuestos'!$B$43,0)</f>
        <v>0</v>
      </c>
      <c r="M1466">
        <f>IF(D1466="Canarias",E1466*'Nacional · supuestos'!$B$44,0)</f>
        <v>0</v>
      </c>
      <c r="N1466">
        <f>IF(D1466="Canarias",E1466*'Nacional · supuestos'!$B$45,0)</f>
        <v>0</v>
      </c>
      <c r="O1466">
        <f>IF(D1466="Canarias",'Nacional · supuestos'!$B$46,0)</f>
        <v>0</v>
      </c>
      <c r="P1466">
        <f>IF(D1466="Canarias",MAX(H1466*'Nacional · supuestos'!$B$47,'Nacional · supuestos'!$B$48),0)</f>
        <v>0</v>
      </c>
      <c r="Q1466">
        <f>IF(D1466="Resto nacional",E1466*'Nacional · supuestos'!$B$13*IF(A1466=2027,1+'Nacional · supuestos'!$B$6,1),0)</f>
        <v>1448.0201706246164</v>
      </c>
      <c r="R1466">
        <f>IF(D1466="Canarias",SUM(J1466:P1466)*IF(A1466=2027,1+'Nacional · supuestos'!$B$6,1),0)</f>
        <v>0</v>
      </c>
      <c r="S1466">
        <f t="shared" si="30"/>
        <v>1448.0201706246164</v>
      </c>
    </row>
    <row r="1467" spans="1:19">
      <c r="A1467">
        <v>2027</v>
      </c>
      <c r="B1467">
        <v>12</v>
      </c>
      <c r="C1467" t="s">
        <v>188</v>
      </c>
      <c r="D1467" t="s">
        <v>160</v>
      </c>
      <c r="E1467">
        <f>SUMIFS('Nacional · base'!$J$7:$J$1068,'Nacional · base'!$A$7:$A$1068,A1467,'Nacional · base'!$B$7:$B$1068,B1467,'Nacional · base'!$C$7:$C$1068,C1467)</f>
        <v>778.8</v>
      </c>
      <c r="F1467">
        <f>SUMIFS('Nacional · base'!$K$7:$K$1068,'Nacional · base'!$A$7:$A$1068,A1467,'Nacional · base'!$B$7:$B$1068,B1467,'Nacional · base'!$C$7:$C$1068,C1467)</f>
        <v>1.03125</v>
      </c>
      <c r="G1467">
        <f t="shared" si="29"/>
        <v>2</v>
      </c>
      <c r="H1467">
        <f>SUMIFS('Nacional · base'!$G$7:$G$1068,'Nacional · base'!$A$7:$A$1068,A1467,'Nacional · base'!$B$7:$B$1068,B1467,'Nacional · base'!$C$7:$C$1068,C1467)</f>
        <v>2861.9517734889891</v>
      </c>
      <c r="I1467">
        <f>IF(D1467="Canarias",IF(C1467="CABRERA MORALES FRANCISCO",IF(E1467&lt;=2000,'Nacional · supuestos'!$C$34,IF(E1467&lt;=5000,'Nacional · supuestos'!$C$35,'Nacional · supuestos'!$C$36)),IF(E1467&lt;=2000,'Nacional · supuestos'!$B$34,IF(E1467&lt;=5000,'Nacional · supuestos'!$B$35,'Nacional · supuestos'!$B$36))),0)</f>
        <v>0</v>
      </c>
      <c r="J1467">
        <f>IF(D1467="Canarias",MAX(E1467*I1467,IF(C1467="CABRERA MORALES FRANCISCO",'Nacional · supuestos'!$C$38,'Nacional · supuestos'!$B$38)),0)</f>
        <v>0</v>
      </c>
      <c r="K1467">
        <f>IF(D1467="Canarias",MAX(E1467*'Nacional · supuestos'!$B$41,'Nacional · supuestos'!$B$42),0)</f>
        <v>0</v>
      </c>
      <c r="L1467">
        <f>IF(D1467="Canarias",E1467*'Nacional · supuestos'!$B$43,0)</f>
        <v>0</v>
      </c>
      <c r="M1467">
        <f>IF(D1467="Canarias",E1467*'Nacional · supuestos'!$B$44,0)</f>
        <v>0</v>
      </c>
      <c r="N1467">
        <f>IF(D1467="Canarias",E1467*'Nacional · supuestos'!$B$45,0)</f>
        <v>0</v>
      </c>
      <c r="O1467">
        <f>IF(D1467="Canarias",'Nacional · supuestos'!$B$46,0)</f>
        <v>0</v>
      </c>
      <c r="P1467">
        <f>IF(D1467="Canarias",MAX(H1467*'Nacional · supuestos'!$B$47,'Nacional · supuestos'!$B$48),0)</f>
        <v>0</v>
      </c>
      <c r="Q1467">
        <f>IF(D1467="Resto nacional",E1467*'Nacional · supuestos'!$B$13*IF(A1467=2027,1+'Nacional · supuestos'!$B$6,1),0)</f>
        <v>75.9625069637883</v>
      </c>
      <c r="R1467">
        <f>IF(D1467="Canarias",SUM(J1467:P1467)*IF(A1467=2027,1+'Nacional · supuestos'!$B$6,1),0)</f>
        <v>0</v>
      </c>
      <c r="S1467">
        <f t="shared" si="30"/>
        <v>75.9625069637883</v>
      </c>
    </row>
    <row r="1468" spans="1:19">
      <c r="A1468">
        <v>2027</v>
      </c>
      <c r="B1468">
        <v>12</v>
      </c>
      <c r="C1468" t="s">
        <v>178</v>
      </c>
      <c r="D1468" t="s">
        <v>160</v>
      </c>
      <c r="E1468">
        <f>SUMIFS('Nacional · base'!$J$7:$J$1068,'Nacional · base'!$A$7:$A$1068,A1468,'Nacional · base'!$B$7:$B$1068,B1468,'Nacional · base'!$C$7:$C$1068,C1468)</f>
        <v>4414.3999999999996</v>
      </c>
      <c r="F1468">
        <f>SUMIFS('Nacional · base'!$K$7:$K$1068,'Nacional · base'!$A$7:$A$1068,A1468,'Nacional · base'!$B$7:$B$1068,B1468,'Nacional · base'!$C$7:$C$1068,C1468)</f>
        <v>5.6049242424242429</v>
      </c>
      <c r="G1468">
        <f t="shared" si="29"/>
        <v>6</v>
      </c>
      <c r="H1468">
        <f>SUMIFS('Nacional · base'!$G$7:$G$1068,'Nacional · base'!$A$7:$A$1068,A1468,'Nacional · base'!$B$7:$B$1068,B1468,'Nacional · base'!$C$7:$C$1068,C1468)</f>
        <v>14625.185052250181</v>
      </c>
      <c r="I1468">
        <f>IF(D1468="Canarias",IF(C1468="CABRERA MORALES FRANCISCO",IF(E1468&lt;=2000,'Nacional · supuestos'!$C$34,IF(E1468&lt;=5000,'Nacional · supuestos'!$C$35,'Nacional · supuestos'!$C$36)),IF(E1468&lt;=2000,'Nacional · supuestos'!$B$34,IF(E1468&lt;=5000,'Nacional · supuestos'!$B$35,'Nacional · supuestos'!$B$36))),0)</f>
        <v>0</v>
      </c>
      <c r="J1468">
        <f>IF(D1468="Canarias",MAX(E1468*I1468,IF(C1468="CABRERA MORALES FRANCISCO",'Nacional · supuestos'!$C$38,'Nacional · supuestos'!$B$38)),0)</f>
        <v>0</v>
      </c>
      <c r="K1468">
        <f>IF(D1468="Canarias",MAX(E1468*'Nacional · supuestos'!$B$41,'Nacional · supuestos'!$B$42),0)</f>
        <v>0</v>
      </c>
      <c r="L1468">
        <f>IF(D1468="Canarias",E1468*'Nacional · supuestos'!$B$43,0)</f>
        <v>0</v>
      </c>
      <c r="M1468">
        <f>IF(D1468="Canarias",E1468*'Nacional · supuestos'!$B$44,0)</f>
        <v>0</v>
      </c>
      <c r="N1468">
        <f>IF(D1468="Canarias",E1468*'Nacional · supuestos'!$B$45,0)</f>
        <v>0</v>
      </c>
      <c r="O1468">
        <f>IF(D1468="Canarias",'Nacional · supuestos'!$B$46,0)</f>
        <v>0</v>
      </c>
      <c r="P1468">
        <f>IF(D1468="Canarias",MAX(H1468*'Nacional · supuestos'!$B$47,'Nacional · supuestos'!$B$48),0)</f>
        <v>0</v>
      </c>
      <c r="Q1468">
        <f>IF(D1468="Resto nacional",E1468*'Nacional · supuestos'!$B$13*IF(A1468=2027,1+'Nacional · supuestos'!$B$6,1),0)</f>
        <v>430.57125159340916</v>
      </c>
      <c r="R1468">
        <f>IF(D1468="Canarias",SUM(J1468:P1468)*IF(A1468=2027,1+'Nacional · supuestos'!$B$6,1),0)</f>
        <v>0</v>
      </c>
      <c r="S1468">
        <f t="shared" si="30"/>
        <v>430.57125159340916</v>
      </c>
    </row>
    <row r="1469" spans="1:19">
      <c r="A1469">
        <v>2027</v>
      </c>
      <c r="B1469">
        <v>12</v>
      </c>
      <c r="C1469" t="s">
        <v>189</v>
      </c>
      <c r="D1469" t="s">
        <v>160</v>
      </c>
      <c r="E1469">
        <f>SUMIFS('Nacional · base'!$J$7:$J$1068,'Nacional · base'!$A$7:$A$1068,A1469,'Nacional · base'!$B$7:$B$1068,B1469,'Nacional · base'!$C$7:$C$1068,C1469)</f>
        <v>1557.6</v>
      </c>
      <c r="F1469">
        <f>SUMIFS('Nacional · base'!$K$7:$K$1068,'Nacional · base'!$A$7:$A$1068,A1469,'Nacional · base'!$B$7:$B$1068,B1469,'Nacional · base'!$C$7:$C$1068,C1469)</f>
        <v>2.0625</v>
      </c>
      <c r="G1469">
        <f t="shared" si="29"/>
        <v>3</v>
      </c>
      <c r="H1469">
        <f>SUMIFS('Nacional · base'!$G$7:$G$1068,'Nacional · base'!$A$7:$A$1068,A1469,'Nacional · base'!$B$7:$B$1068,B1469,'Nacional · base'!$C$7:$C$1068,C1469)</f>
        <v>4746.9873166043326</v>
      </c>
      <c r="I1469">
        <f>IF(D1469="Canarias",IF(C1469="CABRERA MORALES FRANCISCO",IF(E1469&lt;=2000,'Nacional · supuestos'!$C$34,IF(E1469&lt;=5000,'Nacional · supuestos'!$C$35,'Nacional · supuestos'!$C$36)),IF(E1469&lt;=2000,'Nacional · supuestos'!$B$34,IF(E1469&lt;=5000,'Nacional · supuestos'!$B$35,'Nacional · supuestos'!$B$36))),0)</f>
        <v>0</v>
      </c>
      <c r="J1469">
        <f>IF(D1469="Canarias",MAX(E1469*I1469,IF(C1469="CABRERA MORALES FRANCISCO",'Nacional · supuestos'!$C$38,'Nacional · supuestos'!$B$38)),0)</f>
        <v>0</v>
      </c>
      <c r="K1469">
        <f>IF(D1469="Canarias",MAX(E1469*'Nacional · supuestos'!$B$41,'Nacional · supuestos'!$B$42),0)</f>
        <v>0</v>
      </c>
      <c r="L1469">
        <f>IF(D1469="Canarias",E1469*'Nacional · supuestos'!$B$43,0)</f>
        <v>0</v>
      </c>
      <c r="M1469">
        <f>IF(D1469="Canarias",E1469*'Nacional · supuestos'!$B$44,0)</f>
        <v>0</v>
      </c>
      <c r="N1469">
        <f>IF(D1469="Canarias",E1469*'Nacional · supuestos'!$B$45,0)</f>
        <v>0</v>
      </c>
      <c r="O1469">
        <f>IF(D1469="Canarias",'Nacional · supuestos'!$B$46,0)</f>
        <v>0</v>
      </c>
      <c r="P1469">
        <f>IF(D1469="Canarias",MAX(H1469*'Nacional · supuestos'!$B$47,'Nacional · supuestos'!$B$48),0)</f>
        <v>0</v>
      </c>
      <c r="Q1469">
        <f>IF(D1469="Resto nacional",E1469*'Nacional · supuestos'!$B$13*IF(A1469=2027,1+'Nacional · supuestos'!$B$6,1),0)</f>
        <v>151.9250139275766</v>
      </c>
      <c r="R1469">
        <f>IF(D1469="Canarias",SUM(J1469:P1469)*IF(A1469=2027,1+'Nacional · supuestos'!$B$6,1),0)</f>
        <v>0</v>
      </c>
      <c r="S1469">
        <f t="shared" si="30"/>
        <v>151.9250139275766</v>
      </c>
    </row>
    <row r="1470" spans="1:19">
      <c r="A1470">
        <v>2027</v>
      </c>
      <c r="B1470">
        <v>12</v>
      </c>
      <c r="C1470" t="s">
        <v>179</v>
      </c>
      <c r="D1470" t="s">
        <v>160</v>
      </c>
      <c r="E1470">
        <f>SUMIFS('Nacional · base'!$J$7:$J$1068,'Nacional · base'!$A$7:$A$1068,A1470,'Nacional · base'!$B$7:$B$1068,B1470,'Nacional · base'!$C$7:$C$1068,C1470)</f>
        <v>406.7</v>
      </c>
      <c r="F1470">
        <f>SUMIFS('Nacional · base'!$K$7:$K$1068,'Nacional · base'!$A$7:$A$1068,A1470,'Nacional · base'!$B$7:$B$1068,B1470,'Nacional · base'!$C$7:$C$1068,C1470)</f>
        <v>0.57166666666666666</v>
      </c>
      <c r="G1470">
        <f t="shared" si="29"/>
        <v>1</v>
      </c>
      <c r="H1470">
        <f>SUMIFS('Nacional · base'!$G$7:$G$1068,'Nacional · base'!$A$7:$A$1068,A1470,'Nacional · base'!$B$7:$B$1068,B1470,'Nacional · base'!$C$7:$C$1068,C1470)</f>
        <v>5162.0099341067526</v>
      </c>
      <c r="I1470">
        <f>IF(D1470="Canarias",IF(C1470="CABRERA MORALES FRANCISCO",IF(E1470&lt;=2000,'Nacional · supuestos'!$C$34,IF(E1470&lt;=5000,'Nacional · supuestos'!$C$35,'Nacional · supuestos'!$C$36)),IF(E1470&lt;=2000,'Nacional · supuestos'!$B$34,IF(E1470&lt;=5000,'Nacional · supuestos'!$B$35,'Nacional · supuestos'!$B$36))),0)</f>
        <v>0</v>
      </c>
      <c r="J1470">
        <f>IF(D1470="Canarias",MAX(E1470*I1470,IF(C1470="CABRERA MORALES FRANCISCO",'Nacional · supuestos'!$C$38,'Nacional · supuestos'!$B$38)),0)</f>
        <v>0</v>
      </c>
      <c r="K1470">
        <f>IF(D1470="Canarias",MAX(E1470*'Nacional · supuestos'!$B$41,'Nacional · supuestos'!$B$42),0)</f>
        <v>0</v>
      </c>
      <c r="L1470">
        <f>IF(D1470="Canarias",E1470*'Nacional · supuestos'!$B$43,0)</f>
        <v>0</v>
      </c>
      <c r="M1470">
        <f>IF(D1470="Canarias",E1470*'Nacional · supuestos'!$B$44,0)</f>
        <v>0</v>
      </c>
      <c r="N1470">
        <f>IF(D1470="Canarias",E1470*'Nacional · supuestos'!$B$45,0)</f>
        <v>0</v>
      </c>
      <c r="O1470">
        <f>IF(D1470="Canarias",'Nacional · supuestos'!$B$46,0)</f>
        <v>0</v>
      </c>
      <c r="P1470">
        <f>IF(D1470="Canarias",MAX(H1470*'Nacional · supuestos'!$B$47,'Nacional · supuestos'!$B$48),0)</f>
        <v>0</v>
      </c>
      <c r="Q1470">
        <f>IF(D1470="Resto nacional",E1470*'Nacional · supuestos'!$B$13*IF(A1470=2027,1+'Nacional · supuestos'!$B$6,1),0)</f>
        <v>39.668658939615696</v>
      </c>
      <c r="R1470">
        <f>IF(D1470="Canarias",SUM(J1470:P1470)*IF(A1470=2027,1+'Nacional · supuestos'!$B$6,1),0)</f>
        <v>0</v>
      </c>
      <c r="S1470">
        <f t="shared" si="30"/>
        <v>39.668658939615696</v>
      </c>
    </row>
    <row r="1471" spans="1:19">
      <c r="A1471">
        <v>2027</v>
      </c>
      <c r="B1471">
        <v>12</v>
      </c>
      <c r="C1471" t="s">
        <v>180</v>
      </c>
      <c r="D1471" t="s">
        <v>160</v>
      </c>
      <c r="E1471">
        <f>SUMIFS('Nacional · base'!$J$7:$J$1068,'Nacional · base'!$A$7:$A$1068,A1471,'Nacional · base'!$B$7:$B$1068,B1471,'Nacional · base'!$C$7:$C$1068,C1471)</f>
        <v>5107.5599999999995</v>
      </c>
      <c r="F1471">
        <f>SUMIFS('Nacional · base'!$K$7:$K$1068,'Nacional · base'!$A$7:$A$1068,A1471,'Nacional · base'!$B$7:$B$1068,B1471,'Nacional · base'!$C$7:$C$1068,C1471)</f>
        <v>6.6462499999999993</v>
      </c>
      <c r="G1471">
        <f t="shared" si="29"/>
        <v>7</v>
      </c>
      <c r="H1471">
        <f>SUMIFS('Nacional · base'!$G$7:$G$1068,'Nacional · base'!$A$7:$A$1068,A1471,'Nacional · base'!$B$7:$B$1068,B1471,'Nacional · base'!$C$7:$C$1068,C1471)</f>
        <v>17720.843774690726</v>
      </c>
      <c r="I1471">
        <f>IF(D1471="Canarias",IF(C1471="CABRERA MORALES FRANCISCO",IF(E1471&lt;=2000,'Nacional · supuestos'!$C$34,IF(E1471&lt;=5000,'Nacional · supuestos'!$C$35,'Nacional · supuestos'!$C$36)),IF(E1471&lt;=2000,'Nacional · supuestos'!$B$34,IF(E1471&lt;=5000,'Nacional · supuestos'!$B$35,'Nacional · supuestos'!$B$36))),0)</f>
        <v>0</v>
      </c>
      <c r="J1471">
        <f>IF(D1471="Canarias",MAX(E1471*I1471,IF(C1471="CABRERA MORALES FRANCISCO",'Nacional · supuestos'!$C$38,'Nacional · supuestos'!$B$38)),0)</f>
        <v>0</v>
      </c>
      <c r="K1471">
        <f>IF(D1471="Canarias",MAX(E1471*'Nacional · supuestos'!$B$41,'Nacional · supuestos'!$B$42),0)</f>
        <v>0</v>
      </c>
      <c r="L1471">
        <f>IF(D1471="Canarias",E1471*'Nacional · supuestos'!$B$43,0)</f>
        <v>0</v>
      </c>
      <c r="M1471">
        <f>IF(D1471="Canarias",E1471*'Nacional · supuestos'!$B$44,0)</f>
        <v>0</v>
      </c>
      <c r="N1471">
        <f>IF(D1471="Canarias",E1471*'Nacional · supuestos'!$B$45,0)</f>
        <v>0</v>
      </c>
      <c r="O1471">
        <f>IF(D1471="Canarias",'Nacional · supuestos'!$B$46,0)</f>
        <v>0</v>
      </c>
      <c r="P1471">
        <f>IF(D1471="Canarias",MAX(H1471*'Nacional · supuestos'!$B$47,'Nacional · supuestos'!$B$48),0)</f>
        <v>0</v>
      </c>
      <c r="Q1471">
        <f>IF(D1471="Resto nacional",E1471*'Nacional · supuestos'!$B$13*IF(A1471=2027,1+'Nacional · supuestos'!$B$6,1),0)</f>
        <v>498.1806138520372</v>
      </c>
      <c r="R1471">
        <f>IF(D1471="Canarias",SUM(J1471:P1471)*IF(A1471=2027,1+'Nacional · supuestos'!$B$6,1),0)</f>
        <v>0</v>
      </c>
      <c r="S1471">
        <f t="shared" si="30"/>
        <v>498.1806138520372</v>
      </c>
    </row>
    <row r="1472" spans="1:19">
      <c r="A1472">
        <v>2027</v>
      </c>
      <c r="B1472">
        <v>12</v>
      </c>
      <c r="C1472" t="s">
        <v>185</v>
      </c>
      <c r="D1472" t="s">
        <v>160</v>
      </c>
      <c r="E1472">
        <f>SUMIFS('Nacional · base'!$J$7:$J$1068,'Nacional · base'!$A$7:$A$1068,A1472,'Nacional · base'!$B$7:$B$1068,B1472,'Nacional · base'!$C$7:$C$1068,C1472)</f>
        <v>2147.6</v>
      </c>
      <c r="F1472">
        <f>SUMIFS('Nacional · base'!$K$7:$K$1068,'Nacional · base'!$A$7:$A$1068,A1472,'Nacional · base'!$B$7:$B$1068,B1472,'Nacional · base'!$C$7:$C$1068,C1472)</f>
        <v>2.78125</v>
      </c>
      <c r="G1472">
        <f t="shared" si="29"/>
        <v>3</v>
      </c>
      <c r="H1472">
        <f>SUMIFS('Nacional · base'!$G$7:$G$1068,'Nacional · base'!$A$7:$A$1068,A1472,'Nacional · base'!$B$7:$B$1068,B1472,'Nacional · base'!$C$7:$C$1068,C1472)</f>
        <v>6599.9176314914339</v>
      </c>
      <c r="I1472">
        <f>IF(D1472="Canarias",IF(C1472="CABRERA MORALES FRANCISCO",IF(E1472&lt;=2000,'Nacional · supuestos'!$C$34,IF(E1472&lt;=5000,'Nacional · supuestos'!$C$35,'Nacional · supuestos'!$C$36)),IF(E1472&lt;=2000,'Nacional · supuestos'!$B$34,IF(E1472&lt;=5000,'Nacional · supuestos'!$B$35,'Nacional · supuestos'!$B$36))),0)</f>
        <v>0</v>
      </c>
      <c r="J1472">
        <f>IF(D1472="Canarias",MAX(E1472*I1472,IF(C1472="CABRERA MORALES FRANCISCO",'Nacional · supuestos'!$C$38,'Nacional · supuestos'!$B$38)),0)</f>
        <v>0</v>
      </c>
      <c r="K1472">
        <f>IF(D1472="Canarias",MAX(E1472*'Nacional · supuestos'!$B$41,'Nacional · supuestos'!$B$42),0)</f>
        <v>0</v>
      </c>
      <c r="L1472">
        <f>IF(D1472="Canarias",E1472*'Nacional · supuestos'!$B$43,0)</f>
        <v>0</v>
      </c>
      <c r="M1472">
        <f>IF(D1472="Canarias",E1472*'Nacional · supuestos'!$B$44,0)</f>
        <v>0</v>
      </c>
      <c r="N1472">
        <f>IF(D1472="Canarias",E1472*'Nacional · supuestos'!$B$45,0)</f>
        <v>0</v>
      </c>
      <c r="O1472">
        <f>IF(D1472="Canarias",'Nacional · supuestos'!$B$46,0)</f>
        <v>0</v>
      </c>
      <c r="P1472">
        <f>IF(D1472="Canarias",MAX(H1472*'Nacional · supuestos'!$B$47,'Nacional · supuestos'!$B$48),0)</f>
        <v>0</v>
      </c>
      <c r="Q1472">
        <f>IF(D1472="Resto nacional",E1472*'Nacional · supuestos'!$B$13*IF(A1472=2027,1+'Nacional · supuestos'!$B$6,1),0)</f>
        <v>209.47236768802227</v>
      </c>
      <c r="R1472">
        <f>IF(D1472="Canarias",SUM(J1472:P1472)*IF(A1472=2027,1+'Nacional · supuestos'!$B$6,1),0)</f>
        <v>0</v>
      </c>
      <c r="S1472">
        <f t="shared" si="30"/>
        <v>209.47236768802227</v>
      </c>
    </row>
    <row r="1473" spans="1:19">
      <c r="A1473">
        <v>2027</v>
      </c>
      <c r="B1473">
        <v>12</v>
      </c>
      <c r="C1473" t="s">
        <v>181</v>
      </c>
      <c r="D1473" t="s">
        <v>160</v>
      </c>
      <c r="E1473">
        <f>SUMIFS('Nacional · base'!$J$7:$J$1068,'Nacional · base'!$A$7:$A$1068,A1473,'Nacional · base'!$B$7:$B$1068,B1473,'Nacional · base'!$C$7:$C$1068,C1473)</f>
        <v>1180</v>
      </c>
      <c r="F1473">
        <f>SUMIFS('Nacional · base'!$K$7:$K$1068,'Nacional · base'!$A$7:$A$1068,A1473,'Nacional · base'!$B$7:$B$1068,B1473,'Nacional · base'!$C$7:$C$1068,C1473)</f>
        <v>1</v>
      </c>
      <c r="G1473">
        <f t="shared" si="29"/>
        <v>1</v>
      </c>
      <c r="H1473">
        <f>SUMIFS('Nacional · base'!$G$7:$G$1068,'Nacional · base'!$A$7:$A$1068,A1473,'Nacional · base'!$B$7:$B$1068,B1473,'Nacional · base'!$C$7:$C$1068,C1473)</f>
        <v>3179.2514966278472</v>
      </c>
      <c r="I1473">
        <f>IF(D1473="Canarias",IF(C1473="CABRERA MORALES FRANCISCO",IF(E1473&lt;=2000,'Nacional · supuestos'!$C$34,IF(E1473&lt;=5000,'Nacional · supuestos'!$C$35,'Nacional · supuestos'!$C$36)),IF(E1473&lt;=2000,'Nacional · supuestos'!$B$34,IF(E1473&lt;=5000,'Nacional · supuestos'!$B$35,'Nacional · supuestos'!$B$36))),0)</f>
        <v>0</v>
      </c>
      <c r="J1473">
        <f>IF(D1473="Canarias",MAX(E1473*I1473,IF(C1473="CABRERA MORALES FRANCISCO",'Nacional · supuestos'!$C$38,'Nacional · supuestos'!$B$38)),0)</f>
        <v>0</v>
      </c>
      <c r="K1473">
        <f>IF(D1473="Canarias",MAX(E1473*'Nacional · supuestos'!$B$41,'Nacional · supuestos'!$B$42),0)</f>
        <v>0</v>
      </c>
      <c r="L1473">
        <f>IF(D1473="Canarias",E1473*'Nacional · supuestos'!$B$43,0)</f>
        <v>0</v>
      </c>
      <c r="M1473">
        <f>IF(D1473="Canarias",E1473*'Nacional · supuestos'!$B$44,0)</f>
        <v>0</v>
      </c>
      <c r="N1473">
        <f>IF(D1473="Canarias",E1473*'Nacional · supuestos'!$B$45,0)</f>
        <v>0</v>
      </c>
      <c r="O1473">
        <f>IF(D1473="Canarias",'Nacional · supuestos'!$B$46,0)</f>
        <v>0</v>
      </c>
      <c r="P1473">
        <f>IF(D1473="Canarias",MAX(H1473*'Nacional · supuestos'!$B$47,'Nacional · supuestos'!$B$48),0)</f>
        <v>0</v>
      </c>
      <c r="Q1473">
        <f>IF(D1473="Resto nacional",E1473*'Nacional · supuestos'!$B$13*IF(A1473=2027,1+'Nacional · supuestos'!$B$6,1),0)</f>
        <v>115.09470752089136</v>
      </c>
      <c r="R1473">
        <f>IF(D1473="Canarias",SUM(J1473:P1473)*IF(A1473=2027,1+'Nacional · supuestos'!$B$6,1),0)</f>
        <v>0</v>
      </c>
      <c r="S1473">
        <f t="shared" si="30"/>
        <v>115.09470752089136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61"/>
  <sheetViews>
    <sheetView showGridLines="0" workbookViewId="0"/>
  </sheetViews>
  <sheetFormatPr baseColWidth="10" defaultColWidth="8.6640625" defaultRowHeight="14"/>
  <cols>
    <col min="1" max="1" width="43" customWidth="1"/>
    <col min="2" max="19" width="28" customWidth="1"/>
  </cols>
  <sheetData>
    <row r="2" spans="1:2" ht="18">
      <c r="A2" s="3" t="s">
        <v>232</v>
      </c>
    </row>
    <row r="3" spans="1:2">
      <c r="A3" t="s">
        <v>233</v>
      </c>
    </row>
    <row r="4" spans="1:2">
      <c r="A4" t="s">
        <v>234</v>
      </c>
      <c r="B4" s="10">
        <v>1.18</v>
      </c>
    </row>
    <row r="5" spans="1:2">
      <c r="A5" t="s">
        <v>235</v>
      </c>
      <c r="B5" t="s">
        <v>236</v>
      </c>
    </row>
    <row r="6" spans="1:2">
      <c r="A6" t="s">
        <v>237</v>
      </c>
      <c r="B6" s="11">
        <f>B7+B8</f>
        <v>0.1</v>
      </c>
    </row>
    <row r="7" spans="1:2">
      <c r="A7" t="s">
        <v>238</v>
      </c>
      <c r="B7" s="12">
        <v>4.4999999999999998E-2</v>
      </c>
    </row>
    <row r="8" spans="1:2">
      <c r="A8" t="s">
        <v>239</v>
      </c>
      <c r="B8" s="12">
        <v>5.5E-2</v>
      </c>
    </row>
    <row r="11" spans="1:2">
      <c r="A11" t="s">
        <v>240</v>
      </c>
      <c r="B11" s="10">
        <v>82638</v>
      </c>
    </row>
    <row r="12" spans="1:2">
      <c r="A12" t="s">
        <v>241</v>
      </c>
      <c r="B12" s="10">
        <v>931964</v>
      </c>
    </row>
    <row r="13" spans="1:2">
      <c r="A13" t="s">
        <v>242</v>
      </c>
      <c r="B13">
        <f>B11/B12</f>
        <v>8.8670807026880863E-2</v>
      </c>
    </row>
    <row r="14" spans="1:2">
      <c r="A14" t="s">
        <v>243</v>
      </c>
      <c r="B14">
        <v>1077</v>
      </c>
    </row>
    <row r="15" spans="1:2">
      <c r="A15" t="s">
        <v>244</v>
      </c>
      <c r="B15">
        <f>B11/B14</f>
        <v>76.729805013927574</v>
      </c>
    </row>
    <row r="18" spans="1:4">
      <c r="A18" s="1" t="s">
        <v>93</v>
      </c>
      <c r="B18" s="1" t="s">
        <v>115</v>
      </c>
      <c r="C18" s="1" t="s">
        <v>116</v>
      </c>
      <c r="D18" s="1" t="s">
        <v>245</v>
      </c>
    </row>
    <row r="19" spans="1:4">
      <c r="A19" t="s">
        <v>103</v>
      </c>
      <c r="B19" s="10">
        <v>528</v>
      </c>
      <c r="C19" t="s">
        <v>118</v>
      </c>
      <c r="D19" t="s">
        <v>246</v>
      </c>
    </row>
    <row r="20" spans="1:4">
      <c r="A20" t="s">
        <v>99</v>
      </c>
      <c r="B20" s="10">
        <v>600</v>
      </c>
      <c r="C20" t="s">
        <v>118</v>
      </c>
      <c r="D20" t="s">
        <v>247</v>
      </c>
    </row>
    <row r="21" spans="1:4">
      <c r="A21" t="s">
        <v>104</v>
      </c>
      <c r="B21" s="10">
        <v>640</v>
      </c>
      <c r="C21" t="s">
        <v>118</v>
      </c>
      <c r="D21" t="s">
        <v>248</v>
      </c>
    </row>
    <row r="22" spans="1:4">
      <c r="A22" t="s">
        <v>105</v>
      </c>
      <c r="B22" s="10">
        <v>800</v>
      </c>
      <c r="C22" t="s">
        <v>118</v>
      </c>
      <c r="D22" t="s">
        <v>249</v>
      </c>
    </row>
    <row r="23" spans="1:4">
      <c r="A23" t="s">
        <v>98</v>
      </c>
      <c r="B23" s="10">
        <v>1000</v>
      </c>
      <c r="C23" t="s">
        <v>118</v>
      </c>
      <c r="D23" t="s">
        <v>123</v>
      </c>
    </row>
    <row r="24" spans="1:4">
      <c r="A24" t="s">
        <v>100</v>
      </c>
      <c r="B24" s="10">
        <v>1056</v>
      </c>
      <c r="C24" t="s">
        <v>124</v>
      </c>
      <c r="D24" t="s">
        <v>250</v>
      </c>
    </row>
    <row r="25" spans="1:4">
      <c r="A25" t="s">
        <v>102</v>
      </c>
      <c r="B25" s="10">
        <v>750</v>
      </c>
      <c r="C25" t="s">
        <v>124</v>
      </c>
      <c r="D25" t="s">
        <v>251</v>
      </c>
    </row>
    <row r="26" spans="1:4">
      <c r="A26" t="s">
        <v>101</v>
      </c>
      <c r="B26" s="10">
        <v>800</v>
      </c>
      <c r="C26" t="s">
        <v>124</v>
      </c>
      <c r="D26" t="s">
        <v>252</v>
      </c>
    </row>
    <row r="27" spans="1:4">
      <c r="A27" t="s">
        <v>106</v>
      </c>
      <c r="B27" s="10">
        <v>1000</v>
      </c>
      <c r="C27" t="s">
        <v>124</v>
      </c>
      <c r="D27" t="s">
        <v>128</v>
      </c>
    </row>
    <row r="28" spans="1:4">
      <c r="A28" t="s">
        <v>177</v>
      </c>
      <c r="B28" s="10">
        <v>1100</v>
      </c>
      <c r="C28" t="s">
        <v>124</v>
      </c>
      <c r="D28" t="s">
        <v>253</v>
      </c>
    </row>
    <row r="29" spans="1:4">
      <c r="A29" t="s">
        <v>254</v>
      </c>
      <c r="B29" s="10">
        <v>1100</v>
      </c>
      <c r="C29" t="s">
        <v>124</v>
      </c>
      <c r="D29" t="s">
        <v>255</v>
      </c>
    </row>
    <row r="30" spans="1:4">
      <c r="A30" t="s">
        <v>197</v>
      </c>
      <c r="B30" s="10">
        <v>1100</v>
      </c>
      <c r="C30" t="s">
        <v>124</v>
      </c>
      <c r="D30" t="s">
        <v>256</v>
      </c>
    </row>
    <row r="31" spans="1:4">
      <c r="A31" t="s">
        <v>257</v>
      </c>
      <c r="B31" s="10">
        <v>1100</v>
      </c>
      <c r="C31" t="s">
        <v>124</v>
      </c>
      <c r="D31" t="s">
        <v>258</v>
      </c>
    </row>
    <row r="33" spans="1:3">
      <c r="A33" s="1" t="s">
        <v>259</v>
      </c>
      <c r="B33" s="1" t="s">
        <v>260</v>
      </c>
      <c r="C33" s="1" t="s">
        <v>261</v>
      </c>
    </row>
    <row r="34" spans="1:3">
      <c r="A34" t="s">
        <v>262</v>
      </c>
      <c r="B34" s="10">
        <v>0.114</v>
      </c>
      <c r="C34" s="10">
        <v>0.20699999999999999</v>
      </c>
    </row>
    <row r="35" spans="1:3">
      <c r="A35" t="s">
        <v>263</v>
      </c>
      <c r="B35" s="10">
        <v>0.108</v>
      </c>
      <c r="C35" s="10">
        <v>0.20200000000000001</v>
      </c>
    </row>
    <row r="36" spans="1:3">
      <c r="A36" t="s">
        <v>264</v>
      </c>
      <c r="B36" s="10">
        <v>0.104</v>
      </c>
      <c r="C36" s="10">
        <v>0.19800000000000001</v>
      </c>
    </row>
    <row r="38" spans="1:3">
      <c r="A38" t="s">
        <v>265</v>
      </c>
      <c r="B38" s="10">
        <v>24</v>
      </c>
      <c r="C38" s="10">
        <v>38</v>
      </c>
    </row>
    <row r="41" spans="1:3">
      <c r="A41" t="s">
        <v>266</v>
      </c>
      <c r="B41" s="10">
        <v>3.5999999999999997E-2</v>
      </c>
    </row>
    <row r="42" spans="1:3">
      <c r="A42" t="s">
        <v>267</v>
      </c>
      <c r="B42" s="10">
        <v>9</v>
      </c>
    </row>
    <row r="43" spans="1:3">
      <c r="A43" t="s">
        <v>268</v>
      </c>
      <c r="B43" s="10">
        <v>1.2E-2</v>
      </c>
    </row>
    <row r="44" spans="1:3">
      <c r="A44" t="s">
        <v>269</v>
      </c>
      <c r="B44" s="10">
        <v>1.7999999999999999E-2</v>
      </c>
    </row>
    <row r="45" spans="1:3">
      <c r="A45" t="s">
        <v>270</v>
      </c>
      <c r="B45" s="10">
        <v>2.1999999999999999E-2</v>
      </c>
    </row>
    <row r="46" spans="1:3">
      <c r="A46" t="s">
        <v>271</v>
      </c>
      <c r="B46" s="10">
        <v>15</v>
      </c>
    </row>
    <row r="47" spans="1:3">
      <c r="A47" t="s">
        <v>272</v>
      </c>
      <c r="B47" s="13">
        <v>4.4999999999999997E-3</v>
      </c>
    </row>
    <row r="48" spans="1:3">
      <c r="A48" t="s">
        <v>273</v>
      </c>
      <c r="B48" s="10">
        <v>2.5</v>
      </c>
    </row>
    <row r="49" spans="1:2">
      <c r="A49" t="s">
        <v>274</v>
      </c>
      <c r="B49" s="10">
        <v>333</v>
      </c>
    </row>
    <row r="52" spans="1:2">
      <c r="A52" t="s">
        <v>275</v>
      </c>
    </row>
    <row r="53" spans="1:2">
      <c r="A53" t="s">
        <v>276</v>
      </c>
      <c r="B53" t="s">
        <v>277</v>
      </c>
    </row>
    <row r="54" spans="1:2">
      <c r="A54" t="s">
        <v>40</v>
      </c>
      <c r="B54" t="s">
        <v>278</v>
      </c>
    </row>
    <row r="55" spans="1:2">
      <c r="A55" t="s">
        <v>41</v>
      </c>
      <c r="B55" t="s">
        <v>279</v>
      </c>
    </row>
    <row r="56" spans="1:2">
      <c r="A56" t="s">
        <v>280</v>
      </c>
      <c r="B56" t="s">
        <v>281</v>
      </c>
    </row>
    <row r="57" spans="1:2">
      <c r="A57" t="s">
        <v>282</v>
      </c>
      <c r="B57" t="s">
        <v>283</v>
      </c>
    </row>
    <row r="58" spans="1:2">
      <c r="A58" t="s">
        <v>284</v>
      </c>
      <c r="B58" t="s">
        <v>285</v>
      </c>
    </row>
    <row r="59" spans="1:2">
      <c r="A59" t="s">
        <v>286</v>
      </c>
      <c r="B59" t="s">
        <v>287</v>
      </c>
    </row>
    <row r="60" spans="1:2">
      <c r="A60" t="s">
        <v>288</v>
      </c>
      <c r="B60" t="s">
        <v>289</v>
      </c>
    </row>
    <row r="61" spans="1:2">
      <c r="A61" t="s">
        <v>290</v>
      </c>
      <c r="B6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general</vt:lpstr>
      <vt:lpstr>Nacional 2026</vt:lpstr>
      <vt:lpstr>Nacional 2027</vt:lpstr>
      <vt:lpstr>Export · costes</vt:lpstr>
      <vt:lpstr>Export · detalle</vt:lpstr>
      <vt:lpstr>Export · países</vt:lpstr>
      <vt:lpstr>Export · base</vt:lpstr>
      <vt:lpstr>Export · supuestos</vt:lpstr>
      <vt:lpstr>Nacional · base</vt:lpstr>
      <vt:lpstr>Nacional ·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2026-09-29T09:13:56Z</dcterms:created>
  <dcterms:modified xsi:type="dcterms:W3CDTF">2026-09-29T09:13:56Z</dcterms:modified>
</cp:coreProperties>
</file>