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2" documentId="8_{309E3C04-ECE2-4337-9E44-68676A86EAA5}" xr6:coauthVersionLast="47" xr6:coauthVersionMax="47" xr10:uidLastSave="{2CBB943B-6139-447A-96D8-524149E3EBA5}"/>
  <bookViews>
    <workbookView xWindow="-25710" yWindow="-110" windowWidth="25820" windowHeight="13900" xr2:uid="{D8BA845C-EC83-4E1A-824C-FC7E28E401E2}"/>
  </bookViews>
  <sheets>
    <sheet name="Hoja2" sheetId="2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" i="2" l="1"/>
  <c r="O6" i="2"/>
  <c r="N6" i="2"/>
  <c r="M6" i="2"/>
  <c r="L6" i="2"/>
  <c r="K6" i="2"/>
  <c r="J6" i="2"/>
  <c r="I6" i="2"/>
  <c r="T6" i="2"/>
  <c r="S6" i="2"/>
  <c r="R6" i="2"/>
  <c r="Q6" i="2"/>
  <c r="C14" i="2"/>
  <c r="C15" i="2"/>
  <c r="C16" i="2"/>
  <c r="C17" i="2"/>
  <c r="C13" i="2"/>
  <c r="C12" i="2"/>
  <c r="C11" i="2"/>
  <c r="C10" i="2"/>
  <c r="C6" i="2"/>
  <c r="C7" i="2"/>
  <c r="C8" i="2"/>
  <c r="C5" i="2"/>
</calcChain>
</file>

<file path=xl/sharedStrings.xml><?xml version="1.0" encoding="utf-8"?>
<sst xmlns="http://schemas.openxmlformats.org/spreadsheetml/2006/main" count="63" uniqueCount="23">
  <si>
    <t>Etiquetas de fila</t>
  </si>
  <si>
    <t>Total general</t>
  </si>
  <si>
    <t>Suma de Haber</t>
  </si>
  <si>
    <t>2025</t>
  </si>
  <si>
    <t>2026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</si>
  <si>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</si>
  <si>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</si>
  <si>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</si>
  <si>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</si>
  <si>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</si>
  <si>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</si>
  <si>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</si>
  <si>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</si>
  <si>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</si>
  <si>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</si>
  <si>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</si>
  <si>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</si>
  <si>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12% unidades</t>
  </si>
  <si>
    <t>4,5% precios</t>
  </si>
  <si>
    <t>12,35% unidades</t>
  </si>
  <si>
    <t>16,85% total</t>
  </si>
  <si>
    <t>Suma de Debe</t>
  </si>
  <si>
    <t>2025 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</si>
</sst>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72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1" applyFont="1"/>
    <xf numFmtId="164" fontId="0" fillId="0" borderId="0" xfId="0" applyNumberFormat="1"/>
    <xf numFmtId="164" fontId="0" fillId="2" borderId="0" xfId="0" applyNumberFormat="1" applyFill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2" fontId="0" fillId="0" borderId="0" xfId="2" applyFont="1"/>
  </cellXfs>
  <cellStyles count="3">
    <cellStyle name="Millares" xfId="1" builtinId="3"/>
    <cellStyle name="Millares 2" xfId="2" xr:uid="{41B4020B-2DCE-4A56-A2EB-6D16EA0D03C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289.369282523148" createdVersion="8" refreshedVersion="8" minRefreshableVersion="3" recordCount="695" xr:uid="{81BFD178-987A-4231-A110-1009FE9F3393}">
  <cacheSource type="worksheet">
    <worksheetSource ref="A1:AN696" sheet="Hoja1"/>
  </cacheSource>
  <cacheFields count="43">
    <cacheField name="Emp" numFmtId="0">
      <sharedItems containsSemiMixedTypes="0" containsString="0" containsNumber="1" containsInteger="1" minValue="50" maxValue="50"/>
    </cacheField>
    <cacheField name="Fecha Asiento" numFmtId="14">
      <sharedItems containsSemiMixedTypes="0" containsNonDate="0" containsDate="1" containsString="0" minDate="2025-09-02T00:00:00" maxDate="2026-09-01T00:00:00" count="142">
        <d v="2025-09-02T00:00:00"/>
        <d v="2025-09-03T00:00:00"/>
        <d v="2025-09-04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8T00:00:00"/>
        <d v="2025-09-19T00:00:00"/>
        <d v="2025-09-22T00:00:00"/>
        <d v="2025-09-23T00:00:00"/>
        <d v="2025-09-24T00:00:00"/>
        <d v="2025-09-25T00:00:00"/>
        <d v="2025-09-29T00:00:00"/>
        <d v="2025-09-30T00:00:00"/>
        <d v="2025-10-03T00:00:00"/>
        <d v="2025-10-06T00:00:00"/>
        <d v="2025-10-07T00:00:00"/>
        <d v="2025-10-08T00:00:00"/>
        <d v="2025-10-15T00:00:00"/>
        <d v="2025-10-17T00:00:00"/>
        <d v="2025-10-21T00:00:00"/>
        <d v="2025-10-27T00:00:00"/>
        <d v="2025-10-28T00:00:00"/>
        <d v="2025-10-29T00:00:00"/>
        <d v="2025-10-31T00:00:00"/>
        <d v="2025-11-05T00:00:00"/>
        <d v="2025-11-06T00:00:00"/>
        <d v="2025-11-11T00:00:00"/>
        <d v="2025-11-12T00:00:00"/>
        <d v="2025-11-13T00:00:00"/>
        <d v="2025-11-18T00:00:00"/>
        <d v="2025-11-19T00:00:00"/>
        <d v="2025-11-26T00:00:00"/>
        <d v="2025-11-30T00:00:00"/>
        <d v="2025-12-03T00:00:00"/>
        <d v="2025-12-10T00:00:00"/>
        <d v="2025-12-11T00:00:00"/>
        <d v="2025-12-16T00:00:00"/>
        <d v="2025-12-17T00:00:00"/>
        <d v="2025-12-18T00:00:00"/>
        <d v="2025-12-19T00:00:00"/>
        <d v="2025-12-23T00:00:00"/>
        <d v="2025-12-30T00:00:00"/>
        <d v="2025-12-31T00:00:00"/>
        <d v="2026-01-05T00:00:00"/>
        <d v="2026-01-12T00:00:00"/>
        <d v="2026-01-13T00:00:00"/>
        <d v="2026-01-14T00:00:00"/>
        <d v="2026-01-20T00:00:00"/>
        <d v="2026-01-22T00:00:00"/>
        <d v="2026-01-23T00:00:00"/>
        <d v="2026-01-26T00:00:00"/>
        <d v="2026-01-27T00:00:00"/>
        <d v="2026-01-28T00:00:00"/>
        <d v="2026-01-30T00:00:00"/>
        <d v="2026-01-31T00:00:00"/>
        <d v="2026-02-04T00:00:00"/>
        <d v="2026-02-06T00:00:00"/>
        <d v="2026-02-11T00:00:00"/>
        <d v="2026-02-13T00:00:00"/>
        <d v="2026-02-18T00:00:00"/>
        <d v="2026-02-19T00:00:00"/>
        <d v="2026-02-20T00:00:00"/>
        <d v="2026-02-23T00:00:00"/>
        <d v="2026-02-25T00:00:00"/>
        <d v="2026-02-26T00:00:00"/>
        <d v="2026-02-27T00:00:00"/>
        <d v="2026-03-01T00:00:00"/>
        <d v="2026-03-04T00:00:00"/>
        <d v="2026-03-06T00:00:00"/>
        <d v="2026-03-11T00:00:00"/>
        <d v="2026-03-14T00:00:00"/>
        <d v="2026-03-16T00:00:00"/>
        <d v="2026-03-17T00:00:00"/>
        <d v="2026-03-18T00:00:00"/>
        <d v="2026-03-20T00:00:00"/>
        <d v="2026-03-24T00:00:00"/>
        <d v="2026-03-25T00:00:00"/>
        <d v="2026-03-26T00:00:00"/>
        <d v="2026-03-28T00:00:00"/>
        <d v="2026-03-31T00:00:00"/>
        <d v="2026-04-04T00:00:00"/>
        <d v="2026-04-16T00:00:00"/>
        <d v="2026-04-21T00:00:00"/>
        <d v="2026-04-23T00:00:00"/>
        <d v="2026-04-27T00:00:00"/>
        <d v="2026-04-29T00:00:00"/>
        <d v="2026-04-30T00:00:00"/>
        <d v="2026-05-15T00:00:00"/>
        <d v="2026-05-18T00:00:00"/>
        <d v="2026-05-19T00:00:00"/>
        <d v="2026-05-21T00:00:00"/>
        <d v="2026-05-22T00:00:00"/>
        <d v="2026-05-25T00:00:00"/>
        <d v="2026-05-26T00:00:00"/>
        <d v="2026-05-27T00:00:00"/>
        <d v="2026-05-29T00:00:00"/>
        <d v="2026-05-31T00:00:00"/>
        <d v="2026-06-03T00:00:00"/>
        <d v="2026-06-05T00:00:00"/>
        <d v="2026-06-09T00:00:00"/>
        <d v="2026-06-10T00:00:00"/>
        <d v="2026-06-12T00:00:00"/>
        <d v="2026-06-15T00:00:00"/>
        <d v="2026-06-17T00:00:00"/>
        <d v="2026-06-18T00:00:00"/>
        <d v="2026-06-19T00:00:00"/>
        <d v="2026-06-22T00:00:00"/>
        <d v="2026-06-23T00:00:00"/>
        <d v="2026-06-25T00:00:00"/>
        <d v="2026-06-26T00:00:00"/>
        <d v="2026-06-29T00:00:00"/>
        <d v="2026-06-30T00:00:00"/>
        <d v="2026-07-02T00:00:00"/>
        <d v="2026-07-03T00:00:00"/>
        <d v="2026-07-09T00:00:00"/>
        <d v="2026-07-14T00:00:00"/>
        <d v="2026-07-16T00:00:00"/>
        <d v="2026-07-17T00:00:00"/>
        <d v="2026-07-20T00:00:00"/>
        <d v="2026-07-21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4T00:00:00"/>
        <d v="2026-08-05T00:00:00"/>
        <d v="2026-08-06T00:00:00"/>
        <d v="2026-08-07T00:00:00"/>
        <d v="2026-08-11T00:00:00"/>
        <d v="2026-08-13T00:00:00"/>
        <d v="2026-08-17T00:00:00"/>
        <d v="2026-08-26T00:00:00"/>
        <d v="2026-08-27T00:00:00"/>
        <d v="2026-08-31T00:00:00"/>
      </sharedItems>
      <fieldGroup par="42"/>
    </cacheField>
    <cacheField name="Punt1" numFmtId="0">
      <sharedItems/>
    </cacheField>
    <cacheField name="Asiento" numFmtId="0">
      <sharedItems containsSemiMixedTypes="0" containsString="0" containsNumber="1" containsInteger="1" minValue="10" maxValue="63177"/>
    </cacheField>
    <cacheField name="Contrapartida" numFmtId="0">
      <sharedItems containsBlank="1"/>
    </cacheField>
    <cacheField name="Comentario" numFmtId="0">
      <sharedItems/>
    </cacheField>
    <cacheField name="Debe" numFmtId="0">
      <sharedItems containsSemiMixedTypes="0" containsString="0" containsNumber="1" minValue="0" maxValue="28528.36"/>
    </cacheField>
    <cacheField name="Haber" numFmtId="0">
      <sharedItems containsSemiMixedTypes="0" containsString="0" containsNumber="1" minValue="-4219.2" maxValue="4219.2"/>
    </cacheField>
    <cacheField name="Saldo" numFmtId="0">
      <sharedItems containsSemiMixedTypes="0" containsString="0" containsNumber="1" minValue="-28528.36" maxValue="0"/>
    </cacheField>
    <cacheField name="Metálico" numFmtId="0">
      <sharedItems/>
    </cacheField>
    <cacheField name="T Doc" numFmtId="0">
      <sharedItems containsNonDate="0" containsString="0" containsBlank="1"/>
    </cacheField>
    <cacheField name="Doc" numFmtId="0">
      <sharedItems containsBlank="1"/>
    </cacheField>
    <cacheField name="Diario" numFmtId="0">
      <sharedItems containsSemiMixedTypes="0" containsString="0" containsNumber="1" containsInteger="1" minValue="0" maxValue="0"/>
    </cacheField>
    <cacheField name="Canal" numFmtId="0">
      <sharedItems containsNonDate="0" containsString="0" containsBlank="1"/>
    </cacheField>
    <cacheField name="Deleg" numFmtId="0">
      <sharedItems containsBlank="1"/>
    </cacheField>
    <cacheField name="Dpto" numFmtId="0">
      <sharedItems containsNonDate="0" containsString="0" containsBlank="1"/>
    </cacheField>
    <cacheField name="Proy" numFmtId="0">
      <sharedItems containsNonDate="0" containsString="0" containsBlank="1"/>
    </cacheField>
    <cacheField name="Secc" numFmtId="0">
      <sharedItems containsNonDate="0" containsString="0" containsBlank="1"/>
    </cacheField>
    <cacheField name="E/R" numFmtId="0">
      <sharedItems containsNonDate="0" containsString="0" containsBlank="1"/>
    </cacheField>
    <cacheField name="Serie" numFmtId="0">
      <sharedItems containsNonDate="0" containsString="0" containsBlank="1"/>
    </cacheField>
    <cacheField name="Fact" numFmtId="0">
      <sharedItems containsNonDate="0" containsString="0" containsBlank="1"/>
    </cacheField>
    <cacheField name="Su factura nº" numFmtId="0">
      <sharedItems containsNonDate="0" containsString="0" containsBlank="1"/>
    </cacheField>
    <cacheField name="Fecha Vcto." numFmtId="14">
      <sharedItems containsNonDate="0" containsString="0" containsBlank="1"/>
    </cacheField>
    <cacheField name="Fecha Vcto. Cartera" numFmtId="14">
      <sharedItems containsNonDate="0" containsString="0" containsBlank="1"/>
    </cacheField>
    <cacheField name="Div" numFmtId="0">
      <sharedItems containsNonDate="0" containsString="0" containsBlank="1"/>
    </cacheField>
    <cacheField name="ImporteDiv" numFmtId="0">
      <sharedItems containsSemiMixedTypes="0" containsString="0" containsNumber="1" containsInteger="1" minValue="0" maxValue="0"/>
    </cacheField>
    <cacheField name="Imp. Cambio" numFmtId="0">
      <sharedItems containsSemiMixedTypes="0" containsString="0" containsNumber="1" containsInteger="1" minValue="0" maxValue="0"/>
    </cacheField>
    <cacheField name="Factor Cambio" numFmtId="0">
      <sharedItems containsSemiMixedTypes="0" containsString="0" containsNumber="1" containsInteger="1" minValue="0" maxValue="0"/>
    </cacheField>
    <cacheField name="Fecha Expedición" numFmtId="14">
      <sharedItems containsNonDate="0" containsString="0" containsBlank="1" count="1">
        <m/>
      </sharedItems>
    </cacheField>
    <cacheField name="Cod. Cuenta" numFmtId="0">
      <sharedItems/>
    </cacheField>
    <cacheField name="NIF" numFmtId="0">
      <sharedItems containsNonDate="0" containsString="0" containsBlank="1"/>
    </cacheField>
    <cacheField name="Id. factura ext." numFmtId="0">
      <sharedItems containsNonDate="0" containsString="0" containsBlank="1"/>
    </cacheField>
    <cacheField name="Punt2" numFmtId="0">
      <sharedItems/>
    </cacheField>
    <cacheField name="Punt3" numFmtId="0">
      <sharedItems/>
    </cacheField>
    <cacheField name="Punt4" numFmtId="0">
      <sharedItems/>
    </cacheField>
    <cacheField name="Punt5" numFmtId="0">
      <sharedItems/>
    </cacheField>
    <cacheField name="Punt6" numFmtId="0">
      <sharedItems/>
    </cacheField>
    <cacheField name="Punt7" numFmtId="0">
      <sharedItems/>
    </cacheField>
    <cacheField name="Punt8" numFmtId="0">
      <sharedItems/>
    </cacheField>
    <cacheField name="Punt9" numFmtId="0">
      <sharedItems/>
    </cacheField>
    <cacheField name="Meses (Fecha Asiento)" numFmtId="0" databaseField="0">
      <fieldGroup base="1">
        <rangePr groupBy="months" startDate="2025-09-02T00:00:00" endDate="2026-09-01T00:00:00"/>
        <groupItems count="14">
          <s v="&lt;02/09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9/2026"/>
        </groupItems>
      </fieldGroup>
    </cacheField>
    <cacheField name="Trimestres (Fecha Asiento)" numFmtId="0" databaseField="0">
      <fieldGroup base="1">
        <rangePr groupBy="quarters" startDate="2025-09-02T00:00:00" endDate="2026-09-01T00:00:00"/>
        <groupItems count="6">
          <s v="&lt;02/09/2025"/>
          <s v="Trim.1"/>
          <s v="Trim.2"/>
          <s v="Trim.3"/>
          <s v="Trim.4"/>
          <s v="&gt;01/09/2026"/>
        </groupItems>
      </fieldGroup>
    </cacheField>
    <cacheField name="Años (Fecha Asiento)" numFmtId="0" databaseField="0">
      <fieldGroup base="1">
        <rangePr groupBy="years" startDate="2025-09-02T00:00:00" endDate="2026-09-01T00:00:00"/>
        <groupItems count="4">
          <s v="&lt;02/09/2025"/>
          <s v="2025"/>
          <s v="2026"/>
          <s v="&gt;0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">
  <r>
    <n v="50"/>
    <x v="0"/>
    <s v="No"/>
    <n v="4692"/>
    <m/>
    <s v="N/FRA.: 749 AGROCAMP CANET S.L."/>
    <n v="0"/>
    <n v="34.47"/>
    <n v="-19029.689999999999"/>
    <s v="No"/>
    <m/>
    <s v="74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"/>
    <s v="No"/>
    <n v="4699"/>
    <m/>
    <s v="N/FRA.: 751 CABRERA MORALES FRANCISCO"/>
    <n v="0"/>
    <n v="38.21"/>
    <n v="-19067.900000000001"/>
    <s v="No"/>
    <m/>
    <s v="75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"/>
    <s v="No"/>
    <n v="4707"/>
    <m/>
    <s v="N/FRA.: 753 FITOXENT S.C.L.V."/>
    <n v="0"/>
    <n v="23.6"/>
    <n v="-19091.5"/>
    <s v="No"/>
    <m/>
    <s v="75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"/>
    <s v="No"/>
    <n v="4721"/>
    <m/>
    <s v="N/FRA.: 754 AGRITEC MEDINA, S.L.U."/>
    <n v="0"/>
    <n v="4.29"/>
    <n v="-19095.79"/>
    <s v="No"/>
    <m/>
    <s v="75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"/>
    <s v="No"/>
    <n v="4745"/>
    <m/>
    <s v="N/FRA.: 755 FITOXENT S.C.L.V."/>
    <n v="0"/>
    <n v="20.38"/>
    <n v="-19116.169999999998"/>
    <s v="No"/>
    <m/>
    <s v="75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"/>
    <s v="No"/>
    <n v="4746"/>
    <m/>
    <s v="N/FRA.: 756 FITOXENT S.C.L.V."/>
    <n v="0"/>
    <n v="22.81"/>
    <n v="-19138.98"/>
    <s v="No"/>
    <m/>
    <s v="75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"/>
    <s v="No"/>
    <n v="4749"/>
    <m/>
    <s v="N/FRA.: 757 FITOSANITARIOS DRAGO S.L.U"/>
    <n v="0"/>
    <n v="36.869999999999997"/>
    <n v="-19175.849999999999"/>
    <s v="No"/>
    <m/>
    <s v="75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"/>
    <s v="No"/>
    <n v="4812"/>
    <m/>
    <s v="N/FRA.: 759 AGRONEW FITO, S.L."/>
    <n v="0"/>
    <n v="27.28"/>
    <n v="-19203.13"/>
    <s v="No"/>
    <m/>
    <s v="75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"/>
    <s v="No"/>
    <n v="4828"/>
    <m/>
    <s v="N/FRA.: 761 CABRERA MORALES FRANCISCO"/>
    <n v="0"/>
    <n v="84.26"/>
    <n v="-19287.39"/>
    <s v="No"/>
    <m/>
    <s v="76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"/>
    <s v="No"/>
    <n v="4829"/>
    <m/>
    <s v="N/FRA.: 762 AGROQUIMICAS DRAGO S.L."/>
    <n v="0"/>
    <n v="62.48"/>
    <n v="-19349.87"/>
    <s v="No"/>
    <m/>
    <s v="76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"/>
    <s v="No"/>
    <n v="4861"/>
    <m/>
    <s v="N/FRA.: 763 FITOXENT S.C.L.V."/>
    <n v="0"/>
    <n v="35.89"/>
    <n v="-19385.759999999998"/>
    <s v="No"/>
    <m/>
    <s v="76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"/>
    <s v="No"/>
    <n v="4863"/>
    <m/>
    <s v="N/FRA.: 764 BARAHONA HERNAEZ, DAVID"/>
    <n v="0"/>
    <n v="3.88"/>
    <n v="-19389.64"/>
    <s v="No"/>
    <m/>
    <s v="76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"/>
    <s v="No"/>
    <n v="4864"/>
    <m/>
    <s v="N/FRA.: 765 AGROCAMP CANET S.L."/>
    <n v="0"/>
    <n v="5.21"/>
    <n v="-19394.849999999999"/>
    <s v="No"/>
    <m/>
    <s v="76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"/>
    <s v="No"/>
    <n v="4865"/>
    <m/>
    <s v="N/FRA.: 766 AGRONEW FITO, S.L."/>
    <n v="0"/>
    <n v="2.34"/>
    <n v="-19397.189999999999"/>
    <s v="No"/>
    <m/>
    <s v="76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"/>
    <s v="No"/>
    <n v="4866"/>
    <m/>
    <s v="N/FRA.: 767 BOSCO ABASCAL, S.L."/>
    <n v="0"/>
    <n v="1.24"/>
    <n v="-19398.43"/>
    <s v="No"/>
    <m/>
    <s v="76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"/>
    <s v="No"/>
    <n v="4872"/>
    <m/>
    <s v="N/FRA.: 769 AGROCAMP CANET S.L."/>
    <n v="0"/>
    <n v="5.85"/>
    <n v="-19404.28"/>
    <s v="No"/>
    <m/>
    <s v="76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"/>
    <s v="No"/>
    <n v="4879"/>
    <m/>
    <s v="N/FRA.: 771 BARDENAS COMERCIAL, S.L."/>
    <n v="0"/>
    <n v="8.34"/>
    <n v="-19412.62"/>
    <s v="No"/>
    <m/>
    <s v="77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"/>
    <s v="No"/>
    <n v="4880"/>
    <m/>
    <s v="N/FRA.: 772 AGROREBOLLO, S.L."/>
    <n v="0"/>
    <n v="5.85"/>
    <n v="-19418.47"/>
    <s v="No"/>
    <m/>
    <s v="77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"/>
    <s v="No"/>
    <n v="4910"/>
    <m/>
    <s v="N/FRA.: 774 AGROCAMP CANET S.L."/>
    <n v="0"/>
    <n v="5.56"/>
    <n v="-19424.03"/>
    <s v="No"/>
    <m/>
    <s v="77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"/>
    <s v="No"/>
    <n v="4911"/>
    <m/>
    <s v="N/FRA.: 775 ASOC. HORTICULTORES DE VILLA"/>
    <n v="0"/>
    <n v="6.29"/>
    <n v="-19430.32"/>
    <s v="No"/>
    <m/>
    <s v="77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"/>
    <s v="No"/>
    <n v="4912"/>
    <m/>
    <s v="N/FRA.: 776 VILLALTA SATIVUM, S.L."/>
    <n v="0"/>
    <n v="6.82"/>
    <n v="-19437.14"/>
    <s v="No"/>
    <m/>
    <s v="77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"/>
    <s v="No"/>
    <n v="4913"/>
    <m/>
    <s v="N/FRA.: 777 AGRONEW FITO, S.L."/>
    <n v="0"/>
    <n v="4.8"/>
    <n v="-19441.939999999999"/>
    <s v="No"/>
    <m/>
    <s v="77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"/>
    <s v="No"/>
    <n v="4914"/>
    <m/>
    <s v="N/FRA.: 778 AGROTÉCNICA DEL NORTE, S.L"/>
    <n v="0"/>
    <n v="16.68"/>
    <n v="-19458.62"/>
    <s v="No"/>
    <m/>
    <s v="77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"/>
    <s v="No"/>
    <n v="4915"/>
    <m/>
    <s v="N/FRA.: 779 BARDENAS COMERCIAL, S.L."/>
    <n v="0"/>
    <n v="5.56"/>
    <n v="-19464.18"/>
    <s v="No"/>
    <m/>
    <s v="77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"/>
    <s v="No"/>
    <n v="4916"/>
    <m/>
    <s v="N/FRA.: 780 AGROVEYCA,S.L"/>
    <n v="0"/>
    <n v="10.39"/>
    <n v="-19474.57"/>
    <s v="No"/>
    <m/>
    <s v="78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"/>
    <s v="No"/>
    <n v="4917"/>
    <m/>
    <s v="N/FRA.: 781 INIESTA DEL PINO DISTRIBUCIO"/>
    <n v="0"/>
    <n v="1.67"/>
    <n v="-19476.240000000002"/>
    <s v="No"/>
    <m/>
    <s v="78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"/>
    <s v="No"/>
    <n v="4921"/>
    <m/>
    <s v="N/FRA.: 782 SERVICIOS AGRÍCOLAS CAMPO RI"/>
    <n v="0"/>
    <n v="15.52"/>
    <n v="-19491.759999999998"/>
    <s v="No"/>
    <m/>
    <s v="78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"/>
    <s v="No"/>
    <n v="4925"/>
    <m/>
    <s v="N/FRA.: 785 FITOXENT S.C.L.V."/>
    <n v="0"/>
    <n v="23.51"/>
    <n v="-19515.27"/>
    <s v="No"/>
    <m/>
    <s v="78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"/>
    <s v="No"/>
    <n v="4972"/>
    <m/>
    <s v="N/FRA.: 788 AGRITEC MEDINA, S.L.U."/>
    <n v="0"/>
    <n v="-11.43"/>
    <n v="-19503.84"/>
    <s v="No"/>
    <m/>
    <s v="78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"/>
    <s v="No"/>
    <n v="4973"/>
    <m/>
    <s v="N/FRA.: 789 AGRITEC MEDINA, S.L.U."/>
    <n v="0"/>
    <n v="18.93"/>
    <n v="-19522.77"/>
    <s v="No"/>
    <m/>
    <s v="78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"/>
    <s v="No"/>
    <n v="4974"/>
    <m/>
    <s v="N/FRA.: 790 MARTINEZ S.C."/>
    <n v="0"/>
    <n v="1.61"/>
    <n v="-19524.38"/>
    <s v="No"/>
    <m/>
    <s v="79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"/>
    <s v="No"/>
    <n v="4975"/>
    <m/>
    <s v="N/FRA.: 791 INIESTA DEL PINO DISTRIBUCIO"/>
    <n v="0"/>
    <n v="15.52"/>
    <n v="-19539.900000000001"/>
    <s v="No"/>
    <m/>
    <s v="79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"/>
    <s v="No"/>
    <n v="4976"/>
    <m/>
    <s v="N/FRA.: 792 FITOXENT S.C.L.V."/>
    <n v="0"/>
    <n v="16.489999999999998"/>
    <n v="-19556.39"/>
    <s v="No"/>
    <m/>
    <s v="79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"/>
    <s v="No"/>
    <n v="4986"/>
    <m/>
    <s v="N/FRA.: 794 AGRONEW FITO, S.L."/>
    <n v="0"/>
    <n v="4.8"/>
    <n v="-19561.189999999999"/>
    <s v="No"/>
    <m/>
    <s v="79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"/>
    <s v="No"/>
    <n v="4987"/>
    <m/>
    <s v="N/FRA.: 795 AGROTÉCNICA DEL NORTE, S.L"/>
    <n v="0"/>
    <n v="8.34"/>
    <n v="-19569.53"/>
    <s v="No"/>
    <m/>
    <s v="79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"/>
    <s v="No"/>
    <n v="4988"/>
    <m/>
    <s v="N/FRA.: 796 MAJ AGROQUIMICOS S.L."/>
    <n v="0"/>
    <n v="6.21"/>
    <n v="-19575.740000000002"/>
    <s v="No"/>
    <m/>
    <s v="79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"/>
    <s v="No"/>
    <n v="4989"/>
    <m/>
    <s v="N/FRA.: 797 VILLALTA SATIVUM, S.L."/>
    <n v="0"/>
    <n v="6.82"/>
    <n v="-19582.560000000001"/>
    <s v="No"/>
    <m/>
    <s v="79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"/>
    <s v="No"/>
    <n v="4991"/>
    <m/>
    <s v="N/FRA.: 798 MARTINEZ S.C."/>
    <n v="0"/>
    <n v="-15.52"/>
    <n v="-19567.04"/>
    <s v="No"/>
    <m/>
    <s v="79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"/>
    <s v="No"/>
    <n v="5021"/>
    <m/>
    <s v="N/FRA.: 799 COOP.AGRIC. SAN ISIDRO S.C.A"/>
    <n v="0"/>
    <n v="64.400000000000006"/>
    <n v="-19631.439999999999"/>
    <s v="No"/>
    <m/>
    <s v="79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"/>
    <s v="No"/>
    <n v="5022"/>
    <m/>
    <s v="N/FRA.: 800 SERVIAGRI´ 97, S.L."/>
    <n v="0"/>
    <n v="10.42"/>
    <n v="-19641.86"/>
    <s v="No"/>
    <m/>
    <s v="80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"/>
    <s v="No"/>
    <n v="5023"/>
    <m/>
    <s v="N/FRA.: 801 GUIVARTO AGRICOLA, S.L."/>
    <n v="0"/>
    <n v="14.03"/>
    <n v="-19655.89"/>
    <s v="No"/>
    <m/>
    <s v="80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"/>
    <s v="No"/>
    <n v="5046"/>
    <m/>
    <s v="N/FRA.: 802 AGROGIMEDEL, S.L.U."/>
    <n v="0"/>
    <n v="5.46"/>
    <n v="-19661.349999999999"/>
    <s v="No"/>
    <m/>
    <s v="80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"/>
    <s v="No"/>
    <n v="5047"/>
    <m/>
    <s v="N/FRA.: 803 FITOXENT S.C.L.V."/>
    <n v="0"/>
    <n v="16.63"/>
    <n v="-19677.98"/>
    <s v="No"/>
    <m/>
    <s v="80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"/>
    <s v="No"/>
    <n v="5053"/>
    <m/>
    <s v="N/FRA.: 804 AGROQUIMICAS DRAGO S.L."/>
    <n v="0"/>
    <n v="38.380000000000003"/>
    <n v="-19716.36"/>
    <s v="No"/>
    <m/>
    <s v="80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"/>
    <s v="No"/>
    <n v="5054"/>
    <m/>
    <s v="N/FRA.: 805 CABRERA MORALES FRANCISCO"/>
    <n v="0"/>
    <n v="38.590000000000003"/>
    <n v="-19754.95"/>
    <s v="No"/>
    <m/>
    <s v="80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"/>
    <s v="No"/>
    <n v="5056"/>
    <m/>
    <s v="N/FRA.: 806 SALES AMPOSTA, JAUME"/>
    <n v="0"/>
    <n v="0.98"/>
    <n v="-19755.93"/>
    <s v="No"/>
    <m/>
    <s v="80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"/>
    <s v="No"/>
    <n v="5059"/>
    <m/>
    <s v="N/FRA.: 807 AGROQUIMICAS DRAGO S.L."/>
    <n v="0"/>
    <n v="4.8"/>
    <n v="-19760.73"/>
    <s v="No"/>
    <m/>
    <s v="80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5"/>
    <s v="No"/>
    <n v="5070"/>
    <m/>
    <s v="N/FRA.: 808 ALCADA EXPORT, S.L."/>
    <n v="0"/>
    <n v="1.51"/>
    <n v="-19762.240000000002"/>
    <s v="No"/>
    <m/>
    <s v="80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5"/>
    <s v="No"/>
    <n v="5071"/>
    <m/>
    <s v="N/FRA.: 809 AGRONEW FITO, S.L."/>
    <n v="0"/>
    <n v="9.6"/>
    <n v="-19771.84"/>
    <s v="No"/>
    <m/>
    <s v="80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5"/>
    <s v="No"/>
    <n v="5079"/>
    <m/>
    <s v="N/FRA.: 812 VILLALTA SATIVUM, S.L."/>
    <n v="0"/>
    <n v="10.25"/>
    <n v="-19782.09"/>
    <s v="No"/>
    <m/>
    <s v="81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5"/>
    <s v="No"/>
    <n v="5080"/>
    <m/>
    <s v="N/FRA.: 813 ALCADA EXPORT, S.L."/>
    <n v="0"/>
    <n v="1.95"/>
    <n v="-19784.04"/>
    <s v="No"/>
    <m/>
    <s v="81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6"/>
    <s v="No"/>
    <n v="5093"/>
    <m/>
    <s v="N/FRA.: 814 BOSCO ABASCAL, S.L."/>
    <n v="0"/>
    <n v="3.72"/>
    <n v="-19787.759999999998"/>
    <s v="No"/>
    <m/>
    <s v="81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6"/>
    <s v="No"/>
    <n v="5094"/>
    <m/>
    <s v="N/FRA.: 815 AGROCAMP CANET S.L."/>
    <n v="0"/>
    <n v="4.8499999999999996"/>
    <n v="-19792.61"/>
    <s v="No"/>
    <m/>
    <s v="81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06"/>
    <m/>
    <s v="N/FRA.: 818 AGRONEW FITO, S.L."/>
    <n v="0"/>
    <n v="31.05"/>
    <n v="-19823.66"/>
    <s v="No"/>
    <m/>
    <s v="81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07"/>
    <m/>
    <s v="N/FRA.: 819 AGRONEW FITO, S.L."/>
    <n v="0"/>
    <n v="4.8"/>
    <n v="-19828.46"/>
    <s v="No"/>
    <m/>
    <s v="81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08"/>
    <m/>
    <s v="N/FRA.: 820 SUMINISTROS AGRÍCOLAS SALAMP"/>
    <n v="0"/>
    <n v="2.4300000000000002"/>
    <n v="-19830.89"/>
    <s v="No"/>
    <m/>
    <s v="82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09"/>
    <m/>
    <s v="N/FRA.: 821 FITOXENT S.C.L.V."/>
    <n v="0"/>
    <n v="23.51"/>
    <n v="-19854.400000000001"/>
    <s v="No"/>
    <m/>
    <s v="82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10"/>
    <m/>
    <s v="N/FRA.: 822 AGRUPACION DE LABRADORES DEL"/>
    <n v="0"/>
    <n v="15.76"/>
    <n v="-19870.16"/>
    <s v="No"/>
    <m/>
    <s v="82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11"/>
    <m/>
    <s v="N/FRA.: 823 BOSCO ABASCAL, S.L."/>
    <n v="0"/>
    <n v="3.72"/>
    <n v="-19873.88"/>
    <s v="No"/>
    <m/>
    <s v="82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12"/>
    <m/>
    <s v="N/FRA.: 824 TRATAMIENTOS AGRICOLAS BRENE"/>
    <n v="0"/>
    <n v="6.82"/>
    <n v="-19880.7"/>
    <s v="No"/>
    <m/>
    <s v="82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21"/>
    <m/>
    <s v="N/FRA.: 825 ASESORAMIENTO TECNICO DE CUL"/>
    <n v="0"/>
    <n v="153.58000000000001"/>
    <n v="-20034.28"/>
    <s v="No"/>
    <m/>
    <s v="82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22"/>
    <m/>
    <s v="N/FRA.: 826 CAMPOEJIDO S.C.A."/>
    <n v="0"/>
    <n v="366.47"/>
    <n v="-20400.75"/>
    <s v="No"/>
    <m/>
    <s v="82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23"/>
    <m/>
    <s v="N/FRA.: 827 CODIMED EXPORT, S.L."/>
    <n v="0"/>
    <n v="131.41"/>
    <n v="-20532.16"/>
    <s v="No"/>
    <m/>
    <s v="82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24"/>
    <m/>
    <s v="N/FRA.: 828 COMERCIAL TÉCNICA FITOCARTHA"/>
    <n v="0"/>
    <n v="217.93"/>
    <n v="-20750.09"/>
    <s v="No"/>
    <m/>
    <s v="82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25"/>
    <m/>
    <s v="N/FRA.: 829 SAFIAGRO, S.A."/>
    <n v="0"/>
    <n v="15.52"/>
    <n v="-20765.61"/>
    <s v="No"/>
    <m/>
    <s v="82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26"/>
    <m/>
    <s v="N/FRA.: 830 GUIVARTO AGRICOLA, S.L."/>
    <n v="0"/>
    <n v="112.22"/>
    <n v="-20877.830000000002"/>
    <s v="No"/>
    <m/>
    <s v="83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28"/>
    <m/>
    <s v="N/FRA.: 831 FITOMURCIA S.L.             "/>
    <n v="0"/>
    <n v="192.94"/>
    <n v="-21070.77"/>
    <s v="No"/>
    <m/>
    <s v="83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29"/>
    <m/>
    <s v="N/FRA.: 832 ACTIV. PRODUC. Y COMERC. LA "/>
    <n v="0"/>
    <n v="46.56"/>
    <n v="-21117.33"/>
    <s v="No"/>
    <m/>
    <s v="83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30"/>
    <m/>
    <s v="N/FRA.: 833 FITOSANITARIOS DRAGO S.L.U"/>
    <n v="0"/>
    <n v="30.03"/>
    <n v="-21147.360000000001"/>
    <s v="No"/>
    <m/>
    <s v="83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7"/>
    <s v="No"/>
    <n v="5131"/>
    <m/>
    <s v="N/FRA.: 834 FITOSANITARIOS DRAGO S.L.U"/>
    <n v="0"/>
    <n v="4.8499999999999996"/>
    <n v="-21152.21"/>
    <s v="No"/>
    <m/>
    <s v="83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8"/>
    <s v="No"/>
    <n v="5198"/>
    <m/>
    <s v="N/FRA.: 836 ROMAROC PONIENTE, S.L."/>
    <n v="0"/>
    <n v="15.52"/>
    <n v="-21167.73"/>
    <s v="No"/>
    <m/>
    <s v="83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8"/>
    <s v="No"/>
    <n v="5199"/>
    <m/>
    <s v="N/FRA.: 837 FITOXENT S.C.L.V."/>
    <n v="0"/>
    <n v="31.04"/>
    <n v="-21198.77"/>
    <s v="No"/>
    <m/>
    <s v="83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9"/>
    <s v="No"/>
    <n v="5222"/>
    <m/>
    <s v="N/FRA.: 839 GUIVARTO AGRICOLA, S.L."/>
    <n v="0"/>
    <n v="19.46"/>
    <n v="-21218.23"/>
    <s v="No"/>
    <m/>
    <s v="83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9"/>
    <s v="No"/>
    <n v="5223"/>
    <m/>
    <s v="N/FRA.: 840 COOP.AGRIC. SAN ISIDRO S.C.A"/>
    <n v="0"/>
    <n v="23.28"/>
    <n v="-21241.51"/>
    <s v="No"/>
    <m/>
    <s v="84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0"/>
    <s v="No"/>
    <n v="5230"/>
    <m/>
    <s v="N/FRA.: 843 FRUITURE ADVISORS, S.L."/>
    <n v="0"/>
    <n v="2.4300000000000002"/>
    <n v="-21243.94"/>
    <s v="No"/>
    <m/>
    <s v="84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0"/>
    <s v="No"/>
    <n v="5231"/>
    <m/>
    <s v="N/FRA.: 844 AGROTRAPICHE, S.L.U"/>
    <n v="0"/>
    <n v="3.39"/>
    <n v="-21247.33"/>
    <s v="No"/>
    <m/>
    <s v="84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0"/>
    <s v="No"/>
    <n v="5232"/>
    <m/>
    <s v="N/FRA.: 845 ASOC. HORTICULTORES DE VILLA"/>
    <n v="0"/>
    <n v="3.93"/>
    <n v="-21251.26"/>
    <s v="No"/>
    <m/>
    <s v="84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1"/>
    <s v="No"/>
    <n v="5246"/>
    <m/>
    <s v="N/FRA.: 846 INIESTA DEL PINO DISTRIBUCIO"/>
    <n v="0"/>
    <n v="15.52"/>
    <n v="-21266.78"/>
    <s v="No"/>
    <m/>
    <s v="84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40"/>
    <m/>
    <s v="N/FRA.: 850 AGROTÉCNICA DEL NORTE, S.L"/>
    <n v="0"/>
    <n v="11.2"/>
    <n v="-21277.98"/>
    <s v="No"/>
    <m/>
    <s v="85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42"/>
    <m/>
    <s v="N/FRA.: 851 TRATAMIENTOS AGRICOLAS BRENE"/>
    <n v="0"/>
    <n v="6.82"/>
    <n v="-21284.799999999999"/>
    <s v="No"/>
    <m/>
    <s v="85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43"/>
    <m/>
    <s v="N/FRA.: 852 COOP.AGRIC. SAN ISIDRO S.C.A"/>
    <n v="0"/>
    <n v="101.16"/>
    <n v="-21385.96"/>
    <s v="No"/>
    <m/>
    <s v="85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44"/>
    <m/>
    <s v="N/FRA.: 853 AGRONEW FITO, S.L."/>
    <n v="0"/>
    <n v="15.52"/>
    <n v="-21401.48"/>
    <s v="No"/>
    <m/>
    <s v="85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45"/>
    <m/>
    <s v="N/FRA.: 854 SUCA, S.C.A."/>
    <n v="0"/>
    <n v="15.52"/>
    <n v="-21417"/>
    <s v="No"/>
    <m/>
    <s v="85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46"/>
    <m/>
    <s v="N/FRA.: 855 SUCA, S.C.A."/>
    <n v="0"/>
    <n v="15.52"/>
    <n v="-21432.52"/>
    <s v="No"/>
    <m/>
    <s v="85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47"/>
    <m/>
    <s v="N/FRA.: 856 AGROVEYCA,S.L"/>
    <n v="0"/>
    <n v="20.37"/>
    <n v="-21452.89"/>
    <s v="No"/>
    <m/>
    <s v="85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81"/>
    <m/>
    <s v="N/FRA.: 857 AGROQUIMICAS DRAGO S.L."/>
    <n v="0"/>
    <n v="36.520000000000003"/>
    <n v="-21489.41"/>
    <s v="No"/>
    <m/>
    <s v="85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82"/>
    <m/>
    <s v="N/FRA.: 858 FITOSANITARIOS DRAGO S.L.U"/>
    <n v="0"/>
    <n v="15.52"/>
    <n v="-21504.93"/>
    <s v="No"/>
    <m/>
    <s v="85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83"/>
    <m/>
    <s v="N/FRA.: 859 FITOSANITARIOS DRAGO S.L.U"/>
    <n v="0"/>
    <n v="20.87"/>
    <n v="-21525.8"/>
    <s v="No"/>
    <m/>
    <s v="85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399"/>
    <m/>
    <s v="N/FRA.: 860 AGROCAMP CANET S.L."/>
    <n v="0"/>
    <n v="15.52"/>
    <n v="-21541.32"/>
    <s v="No"/>
    <m/>
    <s v="86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400"/>
    <m/>
    <s v="N/FRA.: 861 INIESTA DEL PINO DISTRIBUCIO"/>
    <n v="0"/>
    <n v="4.4800000000000004"/>
    <n v="-21545.8"/>
    <s v="No"/>
    <m/>
    <s v="86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2"/>
    <s v="No"/>
    <n v="5401"/>
    <m/>
    <s v="N/FRA.: 862 FITOXENT S.C.L.V."/>
    <n v="0"/>
    <n v="16.670000000000002"/>
    <n v="-21562.47"/>
    <s v="No"/>
    <m/>
    <s v="86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3"/>
    <s v="No"/>
    <n v="5465"/>
    <m/>
    <s v="N/FRA.: 867 INIESTA DEL PINO DISTRIBUCIO"/>
    <n v="0"/>
    <n v="15.52"/>
    <n v="-21577.99"/>
    <s v="No"/>
    <m/>
    <s v="86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4"/>
    <s v="No"/>
    <n v="5503"/>
    <m/>
    <s v="N/FRA.: 869 CABRERA MORALES FRANCISCO"/>
    <n v="0"/>
    <n v="55.52"/>
    <n v="-21633.51"/>
    <s v="No"/>
    <m/>
    <s v="86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4"/>
    <s v="No"/>
    <n v="5504"/>
    <m/>
    <s v="N/FRA.: 870 FITOSANITARIOS DRAGO S.L.U"/>
    <n v="0"/>
    <n v="14.4"/>
    <n v="-21647.91"/>
    <s v="No"/>
    <m/>
    <s v="87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4"/>
    <s v="No"/>
    <n v="5505"/>
    <m/>
    <s v="N/FRA.: 871 INIESTA DEL PINO DISTRIBUCIO"/>
    <n v="0"/>
    <n v="15.52"/>
    <n v="-21663.43"/>
    <s v="No"/>
    <m/>
    <s v="87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4"/>
    <s v="No"/>
    <n v="5506"/>
    <m/>
    <s v="N/FRA.: 872 CABRERA MORALES FRANCISCO"/>
    <n v="0"/>
    <n v="18.04"/>
    <n v="-21681.47"/>
    <s v="No"/>
    <m/>
    <s v="87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5"/>
    <s v="No"/>
    <n v="5576"/>
    <m/>
    <s v="N/FRA.: 874 ACTIV. PRODUC. Y COMERC. LA "/>
    <n v="0"/>
    <n v="45.59"/>
    <n v="-21727.06"/>
    <s v="No"/>
    <m/>
    <s v="87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5"/>
    <s v="No"/>
    <n v="5577"/>
    <m/>
    <s v="N/FRA.: 875 COOP.AGRIC. SAN ISIDRO S.C.A"/>
    <n v="0"/>
    <n v="44.14"/>
    <n v="-21771.200000000001"/>
    <s v="No"/>
    <m/>
    <s v="87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5"/>
    <s v="No"/>
    <n v="5578"/>
    <m/>
    <s v="N/FRA.: 876 AGROTÉCNICA DEL NORTE, S.L"/>
    <n v="0"/>
    <n v="6.88"/>
    <n v="-21778.080000000002"/>
    <s v="No"/>
    <m/>
    <s v="87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5"/>
    <s v="No"/>
    <n v="5579"/>
    <m/>
    <s v="N/FRA.: 877 AGROSER BERNARDINO, S.L."/>
    <n v="0"/>
    <n v="27.14"/>
    <n v="-21805.22"/>
    <s v="No"/>
    <m/>
    <s v="87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5"/>
    <s v="No"/>
    <n v="5580"/>
    <m/>
    <s v="N/FRA.: 878 MUNDOHUERTO-CARMEN SOLAZ BLA"/>
    <n v="0"/>
    <n v="0.56000000000000005"/>
    <n v="-21805.78"/>
    <s v="No"/>
    <m/>
    <s v="87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5"/>
    <s v="No"/>
    <n v="5581"/>
    <m/>
    <s v="N/FRA.: 879 SUCA, S.C.A."/>
    <n v="0"/>
    <n v="31.04"/>
    <n v="-21836.82"/>
    <s v="No"/>
    <m/>
    <s v="87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6"/>
    <s v="No"/>
    <n v="5597"/>
    <m/>
    <s v="N/FRA.: 880 AGROSER BERNARDINO, S.L."/>
    <n v="0"/>
    <n v="6.82"/>
    <n v="-21843.64"/>
    <s v="No"/>
    <m/>
    <s v="88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6"/>
    <s v="No"/>
    <n v="5598"/>
    <m/>
    <s v="N/FRA.: 881 AGRUPACION DE LABRADORES DEL"/>
    <n v="0"/>
    <n v="15.76"/>
    <n v="-21859.4"/>
    <s v="No"/>
    <m/>
    <s v="88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6"/>
    <s v="No"/>
    <n v="5599"/>
    <m/>
    <s v="N/FRA.: 882 SUCA, S.C.A."/>
    <n v="0"/>
    <n v="4.8600000000000003"/>
    <n v="-21864.26"/>
    <s v="No"/>
    <m/>
    <s v="88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6"/>
    <s v="No"/>
    <n v="5601"/>
    <m/>
    <s v="N/FRA.: 883 GUIVARTO AGRICOLA, S.L."/>
    <n v="0"/>
    <n v="56.27"/>
    <n v="-21920.53"/>
    <s v="No"/>
    <m/>
    <s v="88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6"/>
    <s v="No"/>
    <n v="5606"/>
    <m/>
    <s v="N/FRA.: 884 AGROCAMP CANET S.L."/>
    <n v="0"/>
    <n v="19.02"/>
    <n v="-21939.55"/>
    <s v="No"/>
    <m/>
    <s v="88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6"/>
    <s v="No"/>
    <n v="5607"/>
    <m/>
    <s v="N/FRA.: 885 AGROQUIMICAS DRAGO S.L."/>
    <n v="0"/>
    <n v="31.08"/>
    <n v="-21970.63"/>
    <s v="No"/>
    <m/>
    <s v="88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6"/>
    <s v="No"/>
    <n v="5608"/>
    <m/>
    <s v="N/FRA.: 886 FITOSANITARIOS DRAGO S.L.U"/>
    <n v="0"/>
    <n v="26.14"/>
    <n v="-21996.77"/>
    <s v="No"/>
    <m/>
    <s v="88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7"/>
    <s v="No"/>
    <n v="5615"/>
    <m/>
    <s v="N/FRA.: 887 COOP.AGRIC. SAN ISIDRO S.C.A"/>
    <n v="0"/>
    <n v="109.81"/>
    <n v="-22106.58"/>
    <s v="No"/>
    <m/>
    <s v="88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7"/>
    <s v="No"/>
    <n v="5616"/>
    <m/>
    <s v="N/FRA.: 888 HORTOCAMPO, S.A."/>
    <n v="0"/>
    <n v="16.68"/>
    <n v="-22123.26"/>
    <s v="No"/>
    <m/>
    <s v="88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7"/>
    <s v="No"/>
    <n v="5617"/>
    <m/>
    <s v="N/FRA.: 889 SERVIAGRI´ 97, S.L."/>
    <n v="0"/>
    <n v="12.24"/>
    <n v="-22135.5"/>
    <s v="No"/>
    <m/>
    <s v="88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8"/>
    <s v="No"/>
    <n v="5648"/>
    <m/>
    <s v="N/FRA.: 891 CODIMED EXPORT, S.L."/>
    <n v="0"/>
    <n v="45.85"/>
    <n v="-22181.35"/>
    <s v="No"/>
    <m/>
    <s v="89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8"/>
    <s v="No"/>
    <n v="5651"/>
    <m/>
    <s v="N/FRA.: 894 GUIVARTO AGRICOLA, S.L."/>
    <n v="0"/>
    <n v="23.22"/>
    <n v="-22204.57"/>
    <s v="No"/>
    <m/>
    <s v="89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8"/>
    <s v="No"/>
    <n v="5657"/>
    <m/>
    <s v="N/FRA.: 896 ASESORAMIENTO TECNICO DE CUL"/>
    <n v="0"/>
    <n v="77.599999999999994"/>
    <n v="-22282.17"/>
    <s v="No"/>
    <m/>
    <s v="89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8"/>
    <s v="No"/>
    <n v="5658"/>
    <m/>
    <s v="N/FRA.: 897 GUIVARTO AGRICOLA, S.L."/>
    <n v="0"/>
    <n v="37.369999999999997"/>
    <n v="-22319.54"/>
    <s v="No"/>
    <m/>
    <s v="89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8"/>
    <s v="No"/>
    <n v="5663"/>
    <m/>
    <s v="N/FRA.: 893 FITOMURCIA S.L.             "/>
    <n v="0"/>
    <n v="156.76"/>
    <n v="-22476.3"/>
    <s v="No"/>
    <m/>
    <s v="89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8"/>
    <s v="No"/>
    <n v="5664"/>
    <m/>
    <s v="N/FRA.: 892 COMERCIAL TÉCNICA FITOCARTHA"/>
    <n v="0"/>
    <n v="149.13"/>
    <n v="-22625.43"/>
    <s v="No"/>
    <m/>
    <s v="89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9"/>
    <s v="No"/>
    <n v="5726"/>
    <m/>
    <s v="N/FRA.: 903 CABRERA MORALES FRANCISCO"/>
    <n v="0"/>
    <n v="35.78"/>
    <n v="-22661.21"/>
    <s v="No"/>
    <m/>
    <s v="90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9"/>
    <s v="No"/>
    <n v="5727"/>
    <m/>
    <s v="N/FRA.: 904 AGROQUIMICAS DRAGO S.L."/>
    <n v="0"/>
    <n v="65.42"/>
    <n v="-22726.63"/>
    <s v="No"/>
    <m/>
    <s v="90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9"/>
    <s v="No"/>
    <n v="5728"/>
    <m/>
    <s v="N/FRA.: 905 AGROQUIMICAS DRAGO S.L."/>
    <n v="0"/>
    <n v="1.46"/>
    <n v="-22728.09"/>
    <s v="No"/>
    <m/>
    <s v="90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29"/>
    <s v="No"/>
    <n v="5741"/>
    <m/>
    <s v="N/FRA.: 906 AGROCAMP CANET S.L."/>
    <n v="0"/>
    <n v="2.78"/>
    <n v="-22730.87"/>
    <s v="No"/>
    <m/>
    <s v="90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0"/>
    <s v="No"/>
    <n v="5752"/>
    <m/>
    <s v="N/FRA.: 907 COOP.AGRIC. SAN ISIDRO S.C.A"/>
    <n v="0"/>
    <n v="46.56"/>
    <n v="-22777.43"/>
    <s v="No"/>
    <m/>
    <s v="90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0"/>
    <s v="No"/>
    <n v="5753"/>
    <m/>
    <s v="N/FRA.: 908 AGROSER BERNARDINO, S.L."/>
    <n v="0"/>
    <n v="37.86"/>
    <n v="-22815.29"/>
    <s v="No"/>
    <m/>
    <s v="90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1"/>
    <s v="No"/>
    <n v="5867"/>
    <m/>
    <s v="N/FRA.: 909 AGROQUIMICAS DRAGO S.L."/>
    <n v="0"/>
    <n v="54.28"/>
    <n v="-22869.57"/>
    <s v="No"/>
    <m/>
    <s v="90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1"/>
    <s v="No"/>
    <n v="5868"/>
    <m/>
    <s v="N/FRA.: 910 CABRERA MORALES FRANCISCO"/>
    <n v="0"/>
    <n v="43.74"/>
    <n v="-22913.31"/>
    <s v="No"/>
    <m/>
    <s v="91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2"/>
    <s v="No"/>
    <n v="5876"/>
    <m/>
    <s v="N/FRA.: 911 AGROTÉCNICA DEL NORTE, S.L"/>
    <n v="0"/>
    <n v="8.84"/>
    <n v="-22922.15"/>
    <s v="No"/>
    <m/>
    <s v="91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3"/>
    <s v="No"/>
    <n v="5898"/>
    <m/>
    <s v="N/FRA.: 912 AGROCAMP CANET S.L."/>
    <n v="0"/>
    <n v="16.68"/>
    <n v="-22938.83"/>
    <s v="No"/>
    <m/>
    <s v="91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3"/>
    <s v="No"/>
    <n v="5901"/>
    <m/>
    <s v="N/FRA.: 913 ASOC. HORTICULTORES DE VILLA"/>
    <n v="0"/>
    <n v="4.4800000000000004"/>
    <n v="-22943.31"/>
    <s v="No"/>
    <m/>
    <s v="91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3"/>
    <s v="No"/>
    <n v="5902"/>
    <m/>
    <s v="N/FRA.: 914 AGRONEW FITO, S.L."/>
    <n v="0"/>
    <n v="9.6"/>
    <n v="-22952.91"/>
    <s v="No"/>
    <m/>
    <s v="91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4"/>
    <s v="No"/>
    <n v="5973"/>
    <m/>
    <s v="N/FRA.: 915 AGRONEW FITO, S.L."/>
    <n v="0"/>
    <n v="9.6"/>
    <n v="-22962.51"/>
    <s v="No"/>
    <m/>
    <s v="91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4"/>
    <s v="No"/>
    <n v="5974"/>
    <m/>
    <s v="N/FRA.: 916 GUIVARTO AGRICOLA, S.L."/>
    <n v="0"/>
    <n v="21.15"/>
    <n v="-22983.66"/>
    <s v="No"/>
    <m/>
    <s v="91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5"/>
    <s v="No"/>
    <n v="62330"/>
    <m/>
    <s v="N/FRA.: 917 FITOXENT S.C.L.V."/>
    <n v="0"/>
    <n v="20.89"/>
    <n v="-23004.55"/>
    <s v="No"/>
    <m/>
    <s v="91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6"/>
    <s v="No"/>
    <n v="62399"/>
    <m/>
    <s v="N/FRA.: 918 FITOMURCIA S.L.             "/>
    <n v="0"/>
    <n v="81.599999999999994"/>
    <n v="-23086.15"/>
    <s v="No"/>
    <m/>
    <s v="91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6"/>
    <s v="No"/>
    <n v="62400"/>
    <m/>
    <s v="N/FRA.: 919 AGRONEW FITO, S.L."/>
    <n v="0"/>
    <n v="8.52"/>
    <n v="-23094.67"/>
    <s v="No"/>
    <m/>
    <s v="91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6"/>
    <s v="No"/>
    <n v="62403"/>
    <m/>
    <s v="N/FRA.: 920 AGROSER BERNARDINO, S.L."/>
    <n v="0"/>
    <n v="25.81"/>
    <n v="-23120.48"/>
    <s v="No"/>
    <m/>
    <s v="92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6"/>
    <s v="No"/>
    <n v="62404"/>
    <m/>
    <s v="N/FRA.: 921 AGROSER BERNARDINO, S.L."/>
    <n v="0"/>
    <n v="16.420000000000002"/>
    <n v="-23136.9"/>
    <s v="No"/>
    <m/>
    <s v="92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6"/>
    <s v="No"/>
    <n v="62405"/>
    <m/>
    <s v="N/FRA.: 922 AGRO MAQUIEIRA, S.L.U."/>
    <n v="0"/>
    <n v="5.56"/>
    <n v="-23142.46"/>
    <s v="No"/>
    <m/>
    <s v="92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6"/>
    <s v="No"/>
    <n v="62406"/>
    <m/>
    <s v="N/FRA.: 923 SERVIAGRI´ 97, S.L."/>
    <n v="0"/>
    <n v="6.34"/>
    <n v="-23148.799999999999"/>
    <s v="No"/>
    <m/>
    <s v="92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6"/>
    <s v="No"/>
    <n v="62407"/>
    <m/>
    <s v="N/FRA.: 924 AGRITEC MEDINA, S.L.U."/>
    <n v="0"/>
    <n v="4.8499999999999996"/>
    <n v="-23153.65"/>
    <s v="No"/>
    <m/>
    <s v="92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6"/>
    <s v="No"/>
    <n v="62408"/>
    <m/>
    <s v="N/FRA.: 925 COOP.AGRIC. SAN ISIDRO S.C.A"/>
    <n v="0"/>
    <n v="20.09"/>
    <n v="-23173.74"/>
    <s v="No"/>
    <m/>
    <s v="92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02"/>
    <m/>
    <s v="N/FRA.: 933 ASESORAMIENTO TECNICO DE CUL"/>
    <n v="0"/>
    <n v="15.52"/>
    <n v="-23189.26"/>
    <s v="No"/>
    <m/>
    <s v="93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03"/>
    <m/>
    <s v="N/FRA.: 934 CAMPOEJIDO S.C.A."/>
    <n v="0"/>
    <n v="267.07"/>
    <n v="-23456.33"/>
    <s v="No"/>
    <m/>
    <s v="93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04"/>
    <m/>
    <s v="N/FRA.: 935 CODIMED EXPORT, S.L."/>
    <n v="0"/>
    <n v="21.22"/>
    <n v="-23477.55"/>
    <s v="No"/>
    <m/>
    <s v="93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05"/>
    <m/>
    <s v="N/FRA.: 936 COMERCIAL TÉCNICA FITOCARTHA"/>
    <n v="0"/>
    <n v="190.05"/>
    <n v="-23667.599999999999"/>
    <s v="No"/>
    <m/>
    <s v="93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06"/>
    <m/>
    <s v="N/FRA.: 937 FITOMURCIA S.L."/>
    <n v="0"/>
    <n v="46.88"/>
    <n v="-23714.48"/>
    <s v="No"/>
    <m/>
    <s v="93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08"/>
    <m/>
    <s v="N/FRA.: 939 COOP.AGRIC. SAN ISIDRO S.C.A"/>
    <n v="0"/>
    <n v="136.07"/>
    <n v="-23850.55"/>
    <s v="No"/>
    <m/>
    <s v="93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09"/>
    <m/>
    <s v="N/FRA.: 940 SUCA, S.C.A."/>
    <n v="0"/>
    <n v="31.04"/>
    <n v="-23881.59"/>
    <s v="No"/>
    <m/>
    <s v="94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10"/>
    <m/>
    <s v="N/FRA.: 941 AGRONEW FITO, S.L."/>
    <n v="0"/>
    <n v="9.6"/>
    <n v="-23891.19"/>
    <s v="No"/>
    <m/>
    <s v="94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7"/>
    <s v="No"/>
    <n v="62512"/>
    <m/>
    <s v="N/FRA.: 942 GUIVARTO AGRICOLA, S.L."/>
    <n v="0"/>
    <n v="34.21"/>
    <n v="-23925.4"/>
    <s v="No"/>
    <m/>
    <s v="94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8"/>
    <s v="No"/>
    <n v="62536"/>
    <m/>
    <s v="N/FRA.: 943 AGROQUIMICAS DRAGO S.L."/>
    <n v="0"/>
    <n v="42.7"/>
    <n v="-23968.1"/>
    <s v="No"/>
    <m/>
    <s v="94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9"/>
    <s v="No"/>
    <n v="62669"/>
    <m/>
    <s v="N/FRA.: 945 FITOSANITARIOS DRAGO S.L.U"/>
    <n v="0"/>
    <n v="77.98"/>
    <n v="-24046.08000000000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39"/>
    <s v="No"/>
    <n v="62670"/>
    <m/>
    <s v="N/FRA.: 947 LOPEZ FERNANDEZ, ALEJANDRO"/>
    <n v="0"/>
    <n v="5.49"/>
    <n v="-24051.57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83"/>
    <m/>
    <s v="N/FRA.: 948 AGROSER BERNARDINO, S.L."/>
    <n v="0"/>
    <n v="16.489999999999998"/>
    <n v="-24068.0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84"/>
    <m/>
    <s v="N/FRA.: 949 HORTOFRUTICOLA COSTA DE ALME"/>
    <n v="0"/>
    <n v="31.04"/>
    <n v="-24099.1"/>
    <s v="No"/>
    <m/>
    <s v="94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85"/>
    <m/>
    <s v="N/FRA.: 950 AGRICOLA DEL JUCAR DE CUENCA"/>
    <n v="0"/>
    <n v="0.56000000000000005"/>
    <n v="-24099.66"/>
    <s v="No"/>
    <m/>
    <s v="95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86"/>
    <m/>
    <s v="N/FRA.: 951 SERVIAGRI´ 97, S.L."/>
    <n v="0"/>
    <n v="16.11"/>
    <n v="-24115.77"/>
    <s v="No"/>
    <m/>
    <s v="95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87"/>
    <m/>
    <s v="N/FRA.: 952 GUIVARTO AGRICOLA, S.L."/>
    <n v="0"/>
    <n v="10.48"/>
    <n v="-24126.25"/>
    <s v="No"/>
    <m/>
    <s v="95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88"/>
    <m/>
    <s v="N/FRA.: 953 AGRONEW FITO, S.L."/>
    <n v="0"/>
    <n v="15.52"/>
    <n v="-24141.77"/>
    <s v="No"/>
    <m/>
    <s v="95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90"/>
    <m/>
    <s v="N/FRA.: 955 SUCA, S.C.A."/>
    <n v="0"/>
    <n v="4.8499999999999996"/>
    <n v="-24146.62"/>
    <s v="No"/>
    <m/>
    <s v="95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91"/>
    <m/>
    <s v="N/FRA.: 956 CITAL, S.L."/>
    <n v="0"/>
    <n v="15.52"/>
    <n v="-24162.14"/>
    <s v="No"/>
    <m/>
    <s v="95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92"/>
    <m/>
    <s v="N/FRA.: 957 COOP.AGRIC. SAN ISIDRO S.C.A"/>
    <n v="0"/>
    <n v="16.3"/>
    <n v="-24178.4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0"/>
    <s v="No"/>
    <n v="62693"/>
    <m/>
    <s v="N/FRA.: 958 TRATAMIENTOS AGRICOLAS BRENE"/>
    <n v="0"/>
    <n v="4.8"/>
    <n v="-24183.24"/>
    <s v="No"/>
    <m/>
    <s v="95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1"/>
    <s v="No"/>
    <n v="62705"/>
    <m/>
    <s v="N/FRA.: 960 CABRERA MORALES FRANCISCO"/>
    <n v="0"/>
    <n v="40.18"/>
    <n v="-24223.42"/>
    <s v="No"/>
    <m/>
    <s v="96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1"/>
    <s v="No"/>
    <n v="62706"/>
    <m/>
    <s v="N/FRA.: 961 AGROQUIMICAS DRAGO S.L."/>
    <n v="0"/>
    <n v="43.2"/>
    <n v="-24266.6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2"/>
    <s v="No"/>
    <n v="62730"/>
    <m/>
    <s v="N/FRA.: 963 AGROVEYCA,S.L"/>
    <n v="0"/>
    <n v="3172"/>
    <n v="-27438.62"/>
    <s v="No"/>
    <m/>
    <s v="96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2"/>
    <s v="No"/>
    <n v="62730"/>
    <m/>
    <s v="N/FRA.: 963 AGROVEYCA,S.L"/>
    <n v="0"/>
    <n v="16.78"/>
    <n v="-27455.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2"/>
    <s v="No"/>
    <n v="62736"/>
    <m/>
    <s v="N/FRA.: 964 AGRUPACION DE LABRADORES DEL"/>
    <n v="0"/>
    <n v="15.62"/>
    <n v="-27471.02"/>
    <s v="No"/>
    <m/>
    <s v="96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3"/>
    <s v="No"/>
    <n v="62802"/>
    <m/>
    <s v="N/FRA.: 969 FITOSANITARIOS DRAGO S.L.U"/>
    <n v="0"/>
    <n v="33.159999999999997"/>
    <n v="-27504.1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4"/>
    <s v="No"/>
    <n v="62807"/>
    <m/>
    <s v="N/FRA.: 970 INIESTA DEL PINO DISTRIBUCIO"/>
    <n v="0"/>
    <n v="5.56"/>
    <n v="-27509.74"/>
    <s v="No"/>
    <m/>
    <s v="97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5"/>
    <s v="No"/>
    <n v="62854"/>
    <m/>
    <s v="N/FRA.: 971 SUCA, S.C.A."/>
    <n v="0"/>
    <n v="4.8499999999999996"/>
    <n v="-27514.59"/>
    <s v="No"/>
    <m/>
    <s v="97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5"/>
    <s v="No"/>
    <n v="62855"/>
    <m/>
    <s v="N/FRA.: 972 UNICOM SERVICIOS Y GESTION S"/>
    <n v="0"/>
    <n v="15.52"/>
    <n v="-27530.11"/>
    <s v="No"/>
    <m/>
    <s v="97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5"/>
    <s v="No"/>
    <n v="62856"/>
    <m/>
    <s v="N/FRA.: 973 FRUITURE ADVISORS, S.L."/>
    <n v="0"/>
    <n v="36.72"/>
    <n v="-27566.83"/>
    <s v="No"/>
    <m/>
    <s v="97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5"/>
    <s v="No"/>
    <n v="62857"/>
    <m/>
    <s v="N/FRA.: 974 COOP.AGRIC. SAN ISIDRO S.C.A"/>
    <n v="0"/>
    <n v="208.48"/>
    <n v="-27775.31"/>
    <s v="No"/>
    <m/>
    <s v="97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5"/>
    <s v="No"/>
    <n v="62858"/>
    <m/>
    <s v="N/FRA.: 975 UNICOM SERVICIOS Y GESTION S"/>
    <n v="0"/>
    <n v="1.3"/>
    <n v="-27776.61"/>
    <s v="No"/>
    <m/>
    <s v="97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5"/>
    <s v="No"/>
    <n v="62860"/>
    <m/>
    <s v="N/FRA.: 976 ECO-PONIENTE, S.L.U."/>
    <n v="0"/>
    <n v="15.52"/>
    <n v="-27792.13"/>
    <s v="No"/>
    <m/>
    <s v="97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6"/>
    <s v="No"/>
    <n v="62928"/>
    <m/>
    <s v="N/FRA.: 977 INIESTA DEL PINO DISTRIBUCIO"/>
    <n v="0"/>
    <n v="5.2"/>
    <n v="-27797.33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6"/>
    <s v="No"/>
    <n v="62946"/>
    <m/>
    <s v="N/FRA.: 978 ACTIV. PRODUC. Y COMERC. LA "/>
    <n v="0"/>
    <n v="51.41"/>
    <n v="-27848.7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6"/>
    <s v="No"/>
    <n v="62947"/>
    <m/>
    <s v="N/FRA.: 979 SUCA, S.C.A."/>
    <n v="0"/>
    <n v="7.76"/>
    <n v="-27856.5"/>
    <s v="No"/>
    <m/>
    <s v="97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6"/>
    <s v="No"/>
    <n v="62948"/>
    <m/>
    <s v="N/FRA.: 980 MUNDOHUERTO-CARMEN SOLAZ BLA"/>
    <n v="0"/>
    <n v="0.69"/>
    <n v="-27857.19"/>
    <s v="No"/>
    <m/>
    <s v="98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6"/>
    <s v="No"/>
    <n v="62952"/>
    <m/>
    <s v="N/FRA.: 981 AGROSER BERNARDINO, S.L."/>
    <n v="0"/>
    <n v="9.25"/>
    <n v="-27866.44"/>
    <s v="No"/>
    <m/>
    <s v="98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2979"/>
    <m/>
    <s v="N/FRA.: 982 CAMPOEJIDO S.C.A."/>
    <n v="0"/>
    <n v="285.64999999999998"/>
    <n v="-28152.09"/>
    <s v="No"/>
    <m/>
    <s v="98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2980"/>
    <m/>
    <s v="N/FRA.: 983 CODIMED EXPORT, S.L."/>
    <n v="0"/>
    <n v="67.91"/>
    <n v="-28220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2981"/>
    <m/>
    <s v="N/FRA.: 984 COMERCIAL TÉCNICA FITOCARTHA"/>
    <n v="0"/>
    <n v="176.01"/>
    <n v="-28396.01"/>
    <s v="No"/>
    <m/>
    <s v="98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2982"/>
    <m/>
    <s v="N/FRA.: 985 FITOMURCIA S.L."/>
    <n v="0"/>
    <n v="63.92"/>
    <n v="-28459.93"/>
    <s v="No"/>
    <m/>
    <s v="98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2983"/>
    <m/>
    <s v="N/FRA.: 986 SUCA, S.C.A."/>
    <n v="0"/>
    <n v="4.8600000000000003"/>
    <n v="-28464.79"/>
    <s v="No"/>
    <m/>
    <s v="98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2984"/>
    <m/>
    <s v="N/FRA.: 987 AGRICOLA DEL JUCAR DE CUENCA"/>
    <n v="0"/>
    <n v="56.28"/>
    <n v="-28521.07"/>
    <s v="No"/>
    <m/>
    <s v="98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2985"/>
    <m/>
    <s v="N/FRA.: 988 AGROTÉCNICA DEL NORTE, S.L"/>
    <n v="0"/>
    <n v="2.4900000000000002"/>
    <n v="-28523.56"/>
    <s v="No"/>
    <m/>
    <s v="98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3177"/>
    <s v="129000000"/>
    <s v="Cierre ejercicio"/>
    <n v="0"/>
    <n v="4.8"/>
    <n v="-28528.36"/>
    <s v="No"/>
    <m/>
    <m/>
    <n v="0"/>
    <m/>
    <m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7"/>
    <s v="No"/>
    <n v="63177"/>
    <s v="129000000"/>
    <s v="Cierre ejercicio"/>
    <n v="28528.36"/>
    <n v="0"/>
    <n v="0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8"/>
    <s v="No"/>
    <n v="10"/>
    <m/>
    <s v="N/FRA.: 1 AGROQUIMICAS DRAGO S.L."/>
    <n v="0"/>
    <n v="39.75"/>
    <n v="-39.75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49"/>
    <s v="No"/>
    <n v="83"/>
    <m/>
    <s v="N/FRA.: 3 AGROTÉCNICA DEL NORTE, S.L"/>
    <n v="0"/>
    <n v="0.56000000000000005"/>
    <n v="-40.31"/>
    <s v="No"/>
    <m/>
    <s v="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0"/>
    <s v="No"/>
    <n v="84"/>
    <m/>
    <s v="N/FRA.: 8 CABRERA MORALES FRANCISCO"/>
    <n v="0"/>
    <n v="59.25"/>
    <n v="-99.56"/>
    <s v="No"/>
    <m/>
    <s v="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0"/>
    <s v="No"/>
    <n v="85"/>
    <m/>
    <s v="N/FRA.: 9 AGROQUIMICAS DRAGO S.L."/>
    <n v="0"/>
    <n v="28.8"/>
    <n v="-128.36000000000001"/>
    <s v="No"/>
    <m/>
    <s v="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1"/>
    <s v="No"/>
    <n v="102"/>
    <m/>
    <s v="N/FRA.: 10 AGROQUIMICAS DRAGO S.L."/>
    <n v="0"/>
    <n v="9.6"/>
    <n v="-137.95999999989999"/>
    <s v="No"/>
    <m/>
    <s v="1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2"/>
    <s v="No"/>
    <n v="145"/>
    <m/>
    <s v="N/FRA.: 14 INIESTA DEL PINO DISTRIBUCION"/>
    <n v="0"/>
    <n v="17.739999999999998"/>
    <n v="-155.69999999999999"/>
    <s v="No"/>
    <m/>
    <s v="1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2"/>
    <s v="No"/>
    <n v="146"/>
    <m/>
    <s v="N/FRA.: 15 CABRERA MORALES FRANCISCO"/>
    <n v="0"/>
    <n v="36.08"/>
    <n v="-191.77999999990001"/>
    <s v="No"/>
    <m/>
    <s v="1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2"/>
    <s v="No"/>
    <n v="147"/>
    <m/>
    <s v="N/FRA.: 16 FITOSANITARIOS DRAGO S.L.U"/>
    <n v="0"/>
    <n v="21.41"/>
    <n v="-213.18999999990001"/>
    <s v="No"/>
    <m/>
    <s v="1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36"/>
    <m/>
    <s v="N/FRA.: 19 AGRONEW FITO, S.L."/>
    <n v="0"/>
    <n v="4.8"/>
    <n v="-217.99"/>
    <s v="No"/>
    <m/>
    <s v="1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37"/>
    <m/>
    <s v="N/FRA.: 20 AGRONEW FITO, S.L."/>
    <n v="0"/>
    <n v="14.4"/>
    <n v="-232.3899999999"/>
    <s v="No"/>
    <m/>
    <s v="2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38"/>
    <m/>
    <s v="N/FRA.: 21 AGRONEW FITO, S.L."/>
    <n v="0"/>
    <n v="16.010000000000002"/>
    <n v="-248.4"/>
    <s v="No"/>
    <m/>
    <s v="2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39"/>
    <m/>
    <s v="N/FRA.: 22 AGRONEW FITO, S.L."/>
    <n v="0"/>
    <n v="15.52"/>
    <n v="-263.92"/>
    <s v="No"/>
    <m/>
    <s v="2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0"/>
    <m/>
    <s v="N/FRA.: 23 COOP.AGRIC. SAN ISIDRO S.C.A."/>
    <n v="0"/>
    <n v="27.96"/>
    <n v="-291.88"/>
    <s v="No"/>
    <m/>
    <s v="2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1"/>
    <m/>
    <s v="N/FRA.: 24 COOP.AGRIC. SAN ISIDRO S.C.A."/>
    <n v="0"/>
    <n v="23.86"/>
    <n v="-315.74"/>
    <s v="No"/>
    <m/>
    <s v="2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2"/>
    <m/>
    <s v="N/FRA.: 25 AGROCAMP CANET S.L."/>
    <n v="0"/>
    <n v="16.68"/>
    <n v="-332.42"/>
    <s v="No"/>
    <m/>
    <s v="2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3"/>
    <m/>
    <s v="N/FRA.: 26 AGRUPACION DE LABRADORES DEL "/>
    <n v="0"/>
    <n v="15.84"/>
    <n v="-348.2599999999"/>
    <s v="No"/>
    <m/>
    <s v="2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4"/>
    <m/>
    <s v="N/FRA.: 27 GUIVARTO AGRICOLA, S.L."/>
    <n v="0"/>
    <n v="20.239999999999998"/>
    <n v="-368.5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5"/>
    <m/>
    <s v="N/FRA.: 28 GUIVARTO AGRICOLA, S.L."/>
    <n v="0"/>
    <n v="40.1"/>
    <n v="-408.59999999989998"/>
    <s v="No"/>
    <m/>
    <s v="2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6"/>
    <m/>
    <s v="N/FRA.: 29 GUIVARTO AGRICOLA, S.L."/>
    <n v="0"/>
    <n v="23.35"/>
    <n v="-431.95"/>
    <s v="No"/>
    <m/>
    <s v="2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7"/>
    <m/>
    <s v="N/FRA.: 30 GUIVARTO AGRICOLA, S.L."/>
    <n v="0"/>
    <n v="42.62"/>
    <n v="-474.57"/>
    <s v="No"/>
    <m/>
    <s v="3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49"/>
    <m/>
    <s v="N/FRA.: 31 SUCA, S.C.A."/>
    <n v="0"/>
    <n v="31.04"/>
    <n v="-505.61"/>
    <s v="No"/>
    <m/>
    <s v="3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50"/>
    <m/>
    <s v="N/FRA.: 32 SUCA, S.C.A."/>
    <n v="0"/>
    <n v="15.52"/>
    <n v="-521.13"/>
    <s v="No"/>
    <m/>
    <s v="3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51"/>
    <m/>
    <s v="N/FRA.: 33 HORTOCAMPO, S.A."/>
    <n v="0"/>
    <n v="16.68"/>
    <n v="-537.80999999999995"/>
    <s v="No"/>
    <m/>
    <s v="3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3"/>
    <s v="No"/>
    <n v="252"/>
    <m/>
    <s v="N/FRA.: 34 AGROVEYCA,S.L"/>
    <n v="0"/>
    <n v="52.63"/>
    <n v="-590.43999999990001"/>
    <s v="No"/>
    <m/>
    <s v="3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4"/>
    <s v="No"/>
    <n v="278"/>
    <m/>
    <s v="N/FRA.: 38 SERVIAGRI´ 97, S.L."/>
    <n v="0"/>
    <n v="17.57"/>
    <n v="-608.00999999989995"/>
    <s v="No"/>
    <m/>
    <s v="3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4"/>
    <s v="No"/>
    <n v="279"/>
    <m/>
    <s v="N/FRA.: 39 ACTIV. PRODUC. Y COMERC. LA V"/>
    <n v="0"/>
    <n v="28.14"/>
    <n v="-636.15"/>
    <s v="No"/>
    <m/>
    <s v="3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4"/>
    <s v="No"/>
    <n v="287"/>
    <m/>
    <s v="N/FRA.: 40 FITOXENT S.C.L.V."/>
    <n v="0"/>
    <n v="17.63"/>
    <n v="-653.77999999990004"/>
    <s v="No"/>
    <m/>
    <s v="4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5"/>
    <s v="No"/>
    <n v="306"/>
    <m/>
    <s v="N/FRA.: 41 HORTOFRUTICOLA COSTA DE ALMER"/>
    <n v="0"/>
    <n v="31.04"/>
    <n v="-684.82"/>
    <s v="No"/>
    <m/>
    <s v="4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6"/>
    <s v="No"/>
    <n v="322"/>
    <m/>
    <s v="N/FRA.: 44 COOP.AGRIC. SAN ISIDRO S.C.A."/>
    <n v="0"/>
    <n v="42.16"/>
    <n v="-726.98"/>
    <s v="No"/>
    <m/>
    <s v="4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7"/>
    <s v="No"/>
    <n v="352"/>
    <m/>
    <s v="N/FRA.: 46 AGROQUIMICAS DRAGO S.L."/>
    <n v="0"/>
    <n v="32.75"/>
    <n v="-759.73"/>
    <s v="No"/>
    <m/>
    <s v="4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8"/>
    <s v="No"/>
    <n v="378"/>
    <m/>
    <s v="N/FRA.: 48 GUIVARTO AGRICOLA, S.L."/>
    <n v="0"/>
    <n v="25.93"/>
    <n v="-785.66"/>
    <s v="No"/>
    <m/>
    <s v="4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8"/>
    <s v="No"/>
    <n v="379"/>
    <m/>
    <s v="N/FRA.: 49 MUNDOHUERTO-CARMEN SOLAZ BLAN"/>
    <n v="0"/>
    <n v="0.13"/>
    <n v="-785.79"/>
    <s v="No"/>
    <m/>
    <s v="4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8"/>
    <s v="No"/>
    <n v="382"/>
    <m/>
    <s v="N/FRA.: 50 VILLALTA SATIVUM, S.L."/>
    <n v="0"/>
    <n v="17.170000000000002"/>
    <n v="-802.95999999989999"/>
    <s v="No"/>
    <m/>
    <s v="5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9"/>
    <s v="No"/>
    <n v="393"/>
    <m/>
    <s v="N/FRA.: 51 CAMPOEJIDO S.C.A."/>
    <n v="0"/>
    <n v="328.21"/>
    <n v="-1131.17"/>
    <s v="No"/>
    <m/>
    <s v="5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9"/>
    <s v="No"/>
    <n v="394"/>
    <m/>
    <s v="N/FRA.: 52 COMERCIAL TÉCNICA FITOCARTHAG"/>
    <n v="0"/>
    <n v="59.8"/>
    <n v="-1190.97"/>
    <s v="No"/>
    <m/>
    <s v="5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59"/>
    <s v="No"/>
    <n v="395"/>
    <m/>
    <s v="N/FRA.: 53 FITOMURCIA S.L.              "/>
    <n v="0"/>
    <n v="104.66"/>
    <n v="-1295.6300000000001"/>
    <s v="No"/>
    <m/>
    <s v="5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0"/>
    <s v="No"/>
    <n v="479"/>
    <m/>
    <s v="N/FRA.: 55 AGROQUIMICAS DRAGO S.L."/>
    <n v="0"/>
    <n v="4219.2"/>
    <n v="-5514.83"/>
    <s v="No"/>
    <m/>
    <s v="5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0"/>
    <s v="No"/>
    <n v="479"/>
    <m/>
    <s v="N/FRA.: 55 AGROQUIMICAS DRAGO S.L."/>
    <n v="0"/>
    <n v="29.41"/>
    <n v="-5544.2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0"/>
    <s v="No"/>
    <n v="483"/>
    <m/>
    <s v="N/FRA.: 56 GUIVARTO AGRICOLA, S.L."/>
    <n v="0"/>
    <n v="39.200000000000003"/>
    <n v="-5583.44"/>
    <s v="No"/>
    <m/>
    <s v="5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0"/>
    <s v="No"/>
    <n v="497"/>
    <m/>
    <s v="N/FRA.: 58 FITOXENT S.C.L.V."/>
    <n v="0"/>
    <n v="14.19"/>
    <n v="-5597.63"/>
    <s v="No"/>
    <m/>
    <s v="5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0"/>
    <s v="No"/>
    <n v="499"/>
    <m/>
    <s v="N/FRA.: 59 GUIVARTO AGRICOLA, S.L."/>
    <n v="0"/>
    <n v="14.76"/>
    <n v="-5612.39"/>
    <s v="No"/>
    <m/>
    <s v="5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0"/>
    <s v="No"/>
    <n v="500"/>
    <m/>
    <s v="N/FRA.: 60 FITOSANITARIOS DRAGO S.L.U"/>
    <n v="0"/>
    <n v="6.28"/>
    <n v="-5618.67"/>
    <s v="No"/>
    <m/>
    <s v="6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1"/>
    <s v="No"/>
    <n v="584"/>
    <m/>
    <s v="N/FRA.: 65 UNICOM SERVICIOS Y GESTION S."/>
    <n v="0"/>
    <n v="15.36"/>
    <n v="-5634.03"/>
    <s v="No"/>
    <m/>
    <s v="6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1"/>
    <s v="No"/>
    <n v="585"/>
    <m/>
    <s v="N/FRA.: 66 UNICOM SERVICIOS Y GESTION S."/>
    <n v="0"/>
    <n v="15.97"/>
    <n v="-5650"/>
    <s v="No"/>
    <m/>
    <s v="6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2"/>
    <s v="No"/>
    <n v="650"/>
    <m/>
    <s v="N/FRA.: 71 CABRERA MORALES FRANCISCO"/>
    <n v="0"/>
    <n v="59.51"/>
    <n v="-5709.51"/>
    <s v="No"/>
    <m/>
    <s v="7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3"/>
    <s v="No"/>
    <n v="703"/>
    <m/>
    <s v="N/FRA.: 78 INIESTA DEL PINO DISTRIBUCION"/>
    <n v="0"/>
    <n v="15.97"/>
    <n v="-5725.48"/>
    <s v="No"/>
    <m/>
    <s v="7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3"/>
    <s v="No"/>
    <n v="712"/>
    <m/>
    <s v="N/FRA.: 80 AGROCAMP CANET S.L."/>
    <n v="0"/>
    <n v="15.97"/>
    <n v="-5741.45"/>
    <s v="No"/>
    <m/>
    <s v="8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4"/>
    <s v="No"/>
    <n v="751"/>
    <m/>
    <s v="N/FRA.: 84 AGROSER BERNARDINO, S.L."/>
    <n v="0"/>
    <n v="15.97"/>
    <n v="-5757.42"/>
    <s v="No"/>
    <m/>
    <s v="8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4"/>
    <s v="No"/>
    <n v="752"/>
    <m/>
    <s v="N/FRA.: 85 COOP.AGRIC. SAN ISIDRO S.C.A."/>
    <n v="0"/>
    <n v="20.9"/>
    <n v="-5778.32"/>
    <s v="No"/>
    <m/>
    <s v="8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4"/>
    <s v="No"/>
    <n v="753"/>
    <m/>
    <s v="N/FRA.: 86 AGRONEW FITO, S.L."/>
    <n v="0"/>
    <n v="15.97"/>
    <n v="-5794.29"/>
    <s v="No"/>
    <m/>
    <s v="8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4"/>
    <s v="No"/>
    <n v="754"/>
    <m/>
    <s v="N/FRA.: 87 ACTIV. PRODUC. Y COMERC. LA V"/>
    <n v="0"/>
    <n v="19.43"/>
    <n v="-5813.72"/>
    <s v="No"/>
    <m/>
    <s v="8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4"/>
    <s v="No"/>
    <n v="755"/>
    <m/>
    <s v="N/FRA.: 88 FITOXENT S.C.L.V."/>
    <n v="0"/>
    <n v="12.19"/>
    <n v="-5825.91"/>
    <s v="No"/>
    <m/>
    <s v="8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5"/>
    <s v="No"/>
    <n v="756"/>
    <m/>
    <s v="N/FRA.: 89 AGROQUIMICAS DRAGO S.L."/>
    <n v="0"/>
    <n v="45.12"/>
    <n v="-5871.03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5"/>
    <s v="No"/>
    <n v="757"/>
    <m/>
    <s v="N/FRA.: 90 FITOSANITARIOS DRAGO S.L.U"/>
    <n v="0"/>
    <n v="33.14"/>
    <n v="-5904.17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6"/>
    <s v="No"/>
    <n v="797"/>
    <m/>
    <s v="N/FRA.: 91 AGRONEW FITO, S.L."/>
    <n v="0"/>
    <n v="4.99"/>
    <n v="-5909.16"/>
    <s v="No"/>
    <m/>
    <s v="9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6"/>
    <s v="No"/>
    <n v="798"/>
    <m/>
    <s v="N/FRA.: 92 CAMP-ALT S.L."/>
    <n v="0"/>
    <n v="5.09"/>
    <n v="-5914.25"/>
    <s v="No"/>
    <m/>
    <s v="9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6"/>
    <s v="No"/>
    <n v="799"/>
    <m/>
    <s v="N/FRA.: 93 SUCA, S.C.A."/>
    <n v="0"/>
    <n v="2"/>
    <n v="-5916.25"/>
    <s v="No"/>
    <m/>
    <s v="9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7"/>
    <s v="No"/>
    <n v="808"/>
    <m/>
    <s v="N/FRA.: 95 UNICOM SERVICIOS Y GESTION S."/>
    <n v="0"/>
    <n v="17.22"/>
    <n v="-5933.47"/>
    <s v="No"/>
    <m/>
    <s v="9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7"/>
    <s v="No"/>
    <n v="810"/>
    <m/>
    <s v="N/FRA.: 96 AGRONEW FITO, S.L."/>
    <n v="0"/>
    <n v="24.45"/>
    <n v="-5957.92"/>
    <s v="No"/>
    <m/>
    <s v="9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7"/>
    <s v="No"/>
    <n v="812"/>
    <m/>
    <s v="N/FRA.: 98 HORTOFRUTICOLA COSTA DE ALMER"/>
    <n v="0"/>
    <n v="15.97"/>
    <n v="-5973.89"/>
    <s v="No"/>
    <m/>
    <s v="9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7"/>
    <s v="No"/>
    <n v="813"/>
    <m/>
    <s v="N/FRA.: 97 PLANTALDIA SLU"/>
    <n v="0"/>
    <n v="34.96"/>
    <n v="-6008.85"/>
    <s v="No"/>
    <m/>
    <s v="9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8"/>
    <s v="No"/>
    <n v="870"/>
    <m/>
    <s v="N/FRA.: 100 AGRONEW FITO, S.L."/>
    <n v="0"/>
    <n v="4.8"/>
    <n v="-6013.65"/>
    <s v="No"/>
    <m/>
    <s v="10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8"/>
    <s v="No"/>
    <n v="871"/>
    <m/>
    <s v="N/FRA.: 101 GUIVARTO AGRICOLA, S.L."/>
    <n v="0"/>
    <n v="24.11"/>
    <n v="-6037.76"/>
    <s v="No"/>
    <m/>
    <s v="10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8"/>
    <s v="No"/>
    <n v="872"/>
    <m/>
    <s v="N/FRA.: 102 AGROVEYCA,S.L"/>
    <n v="0"/>
    <n v="27.7"/>
    <n v="-6065.46"/>
    <s v="No"/>
    <m/>
    <s v="10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8"/>
    <s v="No"/>
    <n v="873"/>
    <m/>
    <s v="N/FRA.: 99 ECO-PONIENTE, S.L.U."/>
    <n v="0"/>
    <n v="16"/>
    <n v="-6081.46"/>
    <s v="No"/>
    <m/>
    <s v="9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8"/>
    <s v="No"/>
    <n v="875"/>
    <m/>
    <s v="N/FRA.: 103 AGROCAMP CANET S.L."/>
    <n v="0"/>
    <n v="16"/>
    <n v="-6097.46"/>
    <s v="No"/>
    <m/>
    <s v="10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8"/>
    <s v="No"/>
    <n v="876"/>
    <m/>
    <s v="N/FRA.: 104 CABRERA MORALES FRANCISCO"/>
    <n v="0"/>
    <n v="62.3"/>
    <n v="-6159.76"/>
    <s v="No"/>
    <m/>
    <s v="10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9"/>
    <s v="No"/>
    <n v="894"/>
    <m/>
    <s v="N/FRA.: 107 SERVIAGRI´ 97, S.L."/>
    <n v="0"/>
    <n v="16.940000000000001"/>
    <n v="-6176.7"/>
    <s v="No"/>
    <m/>
    <s v="10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9"/>
    <s v="No"/>
    <n v="895"/>
    <m/>
    <s v="N/FRA.: 108 MUNDOHUERTO-CARMEN SOLAZ BLA"/>
    <n v="0"/>
    <n v="0.5"/>
    <n v="-6177.2"/>
    <s v="No"/>
    <m/>
    <s v="10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9"/>
    <s v="No"/>
    <n v="896"/>
    <m/>
    <s v="N/FRA.: 109 AGRONEW FITO, S.L."/>
    <n v="0"/>
    <n v="4.8"/>
    <n v="-6182"/>
    <s v="No"/>
    <m/>
    <s v="10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69"/>
    <s v="No"/>
    <n v="897"/>
    <m/>
    <s v="N/FRA.: 110 COMERCIAL NANCLARES, S.L."/>
    <n v="0"/>
    <n v="14.76"/>
    <n v="-6196.76"/>
    <s v="No"/>
    <m/>
    <s v="11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0"/>
    <s v="No"/>
    <n v="906"/>
    <m/>
    <s v="N/FRA.: 113 FITOXENT S.C.L.V."/>
    <n v="0"/>
    <n v="16"/>
    <n v="-6212.76"/>
    <s v="No"/>
    <m/>
    <s v="11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0"/>
    <s v="No"/>
    <n v="907"/>
    <m/>
    <s v="N/FRA.: 114 ASESORAMIENTO TECNICO DE CUL"/>
    <n v="0"/>
    <n v="34.4"/>
    <n v="-6247.16"/>
    <s v="No"/>
    <m/>
    <s v="11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0"/>
    <s v="No"/>
    <n v="914"/>
    <m/>
    <s v="N/FRA.: 117 COMERCIAL TÉCNICA FITOCARTHA"/>
    <n v="0"/>
    <n v="116.39"/>
    <n v="-6363.55"/>
    <s v="No"/>
    <m/>
    <s v="11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0"/>
    <s v="No"/>
    <n v="916"/>
    <m/>
    <s v="N/FRA.: 118 AGRITEC MEDINA, S.L.U."/>
    <n v="0"/>
    <n v="14"/>
    <n v="-6377.55"/>
    <s v="No"/>
    <m/>
    <s v="11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0"/>
    <s v="No"/>
    <n v="918"/>
    <m/>
    <s v="N/FRA.: 119 FITOMURCIA S.L."/>
    <n v="0"/>
    <n v="617.1"/>
    <n v="-6994.65"/>
    <s v="No"/>
    <m/>
    <s v="11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0"/>
    <s v="No"/>
    <n v="919"/>
    <m/>
    <s v="N/FRA.: 120 CODIMED EXPORT, S.L."/>
    <n v="0"/>
    <n v="183.48"/>
    <n v="-7178.13"/>
    <s v="No"/>
    <m/>
    <s v="12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0"/>
    <s v="No"/>
    <n v="920"/>
    <m/>
    <s v="N/FRA.: 116 CAMPOEJIDO S.C.A."/>
    <n v="0"/>
    <n v="214.62"/>
    <n v="-7392.75"/>
    <s v="No"/>
    <m/>
    <s v="11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1"/>
    <s v="No"/>
    <n v="1228"/>
    <m/>
    <s v="TRASPASO CUENTAS POR ERROR EN FEBRERO"/>
    <n v="0"/>
    <n v="-4219.2"/>
    <n v="-3173.55"/>
    <s v="No"/>
    <m/>
    <m/>
    <n v="0"/>
    <m/>
    <m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2"/>
    <s v="No"/>
    <n v="1116"/>
    <m/>
    <s v="N/FRA.: 137 FITOSANITARIOS DRAGO S.L.U"/>
    <n v="0"/>
    <n v="29.5"/>
    <n v="-3203.05"/>
    <s v="No"/>
    <m/>
    <s v="13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2"/>
    <s v="No"/>
    <n v="1117"/>
    <m/>
    <s v="N/FRA.: 138 FITOSANITARIOS DRAGO S.L.U"/>
    <n v="0"/>
    <n v="16"/>
    <n v="-3219.05"/>
    <s v="No"/>
    <m/>
    <s v="13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2"/>
    <s v="No"/>
    <n v="1118"/>
    <m/>
    <s v="N/FRA.: 139 AGROQUIMICAS DRAGO S.L."/>
    <n v="0"/>
    <n v="35.42"/>
    <n v="-3254.47"/>
    <s v="No"/>
    <m/>
    <s v="13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3"/>
    <s v="No"/>
    <n v="1173"/>
    <m/>
    <s v="N/FRA.: 141 TRATAMIENTOS AGRICOLAS BRENE"/>
    <n v="0"/>
    <n v="20.28"/>
    <n v="-3274.75"/>
    <s v="No"/>
    <m/>
    <s v="14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3"/>
    <s v="No"/>
    <n v="1174"/>
    <m/>
    <s v="N/FRA.: 142 AGRONEW FITO, S.L."/>
    <n v="0"/>
    <n v="10"/>
    <n v="-3284.75"/>
    <s v="No"/>
    <m/>
    <s v="14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3"/>
    <s v="No"/>
    <n v="1175"/>
    <m/>
    <s v="N/FRA.: 143 ASOC. HORTICULTORES DE VILLA"/>
    <n v="0"/>
    <n v="3.24"/>
    <n v="-3287.99"/>
    <s v="No"/>
    <m/>
    <s v="14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3"/>
    <s v="No"/>
    <n v="1176"/>
    <m/>
    <s v="N/FRA.: 144 ACTIV. PRODUC. Y COMERC. LA "/>
    <n v="0"/>
    <n v="25.68"/>
    <n v="-3313.67"/>
    <s v="No"/>
    <m/>
    <s v="14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3"/>
    <s v="No"/>
    <n v="1177"/>
    <m/>
    <s v="N/FRA.: 145 ACTIV. PRODUC. Y COMERC. LA "/>
    <n v="0"/>
    <n v="16.29"/>
    <n v="-3329.96"/>
    <s v="No"/>
    <m/>
    <s v="14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3"/>
    <s v="No"/>
    <n v="1178"/>
    <m/>
    <s v="N/FRA.: 146 GUIVARTO AGRICOLA, S.L."/>
    <n v="0"/>
    <n v="14.76"/>
    <n v="-3344.72"/>
    <s v="No"/>
    <m/>
    <s v="14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3"/>
    <s v="No"/>
    <n v="1179"/>
    <m/>
    <s v="N/FRA.: 147 SUCA, S.C.A."/>
    <n v="0"/>
    <n v="16"/>
    <n v="-3360.72"/>
    <s v="No"/>
    <m/>
    <s v="14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4"/>
    <s v="No"/>
    <n v="1222"/>
    <m/>
    <s v="N/FRA.: 150 CABRERA MORALES FRANCISCO"/>
    <n v="0"/>
    <n v="52.16"/>
    <n v="-3412.88"/>
    <s v="No"/>
    <m/>
    <s v="15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4"/>
    <s v="No"/>
    <n v="1223"/>
    <m/>
    <s v="N/FRA.: 151 AGROQUIMICAS DRAGO S.L."/>
    <n v="0"/>
    <n v="67.22"/>
    <n v="-3480.1"/>
    <s v="No"/>
    <m/>
    <s v="15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4"/>
    <s v="No"/>
    <n v="1224"/>
    <m/>
    <s v="N/FRA.: 152 AGROQUIMICAS DRAGO S.L."/>
    <n v="0"/>
    <n v="1"/>
    <n v="-3481.1"/>
    <s v="No"/>
    <m/>
    <s v="15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5"/>
    <s v="No"/>
    <n v="1245"/>
    <m/>
    <s v="N/FRA.: 156 AGRONEW FITO, S.L."/>
    <n v="0"/>
    <n v="5"/>
    <n v="-3486.1"/>
    <s v="No"/>
    <m/>
    <s v="15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5"/>
    <s v="No"/>
    <n v="1246"/>
    <m/>
    <s v="N/FRA.: 157 AGRONEW FITO, S.L."/>
    <n v="0"/>
    <n v="9.6"/>
    <n v="-3495.7"/>
    <s v="No"/>
    <m/>
    <s v="15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5"/>
    <s v="No"/>
    <n v="1247"/>
    <m/>
    <s v="N/FRA.: 158 AGROREBOLLO, S.L."/>
    <n v="0"/>
    <n v="5.85"/>
    <n v="-3501.55"/>
    <s v="No"/>
    <m/>
    <s v="15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5"/>
    <s v="No"/>
    <n v="1248"/>
    <m/>
    <s v="N/FRA.: 159 CITAL, S.L."/>
    <n v="0"/>
    <n v="20.92"/>
    <n v="-3522.47"/>
    <s v="No"/>
    <m/>
    <s v="15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5"/>
    <s v="No"/>
    <n v="1249"/>
    <m/>
    <s v="N/FRA.: 160 MAJ AGROQUIMICOS S.L."/>
    <n v="0"/>
    <n v="17"/>
    <n v="-3539.47"/>
    <s v="No"/>
    <m/>
    <s v="16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5"/>
    <s v="No"/>
    <n v="1250"/>
    <m/>
    <s v="N/FRA.: 161 SERVIAGRI´ 97, S.L."/>
    <n v="0"/>
    <n v="2.91"/>
    <n v="-3542.38"/>
    <s v="No"/>
    <m/>
    <s v="16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5"/>
    <s v="No"/>
    <n v="1251"/>
    <m/>
    <s v="N/FRA.: 162 SUCA, S.C.A."/>
    <n v="0"/>
    <n v="16"/>
    <n v="-3558.38"/>
    <s v="No"/>
    <m/>
    <s v="16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5"/>
    <s v="No"/>
    <n v="1252"/>
    <m/>
    <s v="N/FRA.: 163 AGROTÉCNICA DEL NORTE, S.L"/>
    <n v="0"/>
    <n v="12.76"/>
    <n v="-3571.14"/>
    <s v="No"/>
    <m/>
    <s v="16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6"/>
    <s v="No"/>
    <n v="1287"/>
    <m/>
    <s v="N/FRA.: 164 BOSCO ABASCAL, S.L."/>
    <n v="0"/>
    <n v="5.46"/>
    <n v="-3576.6"/>
    <s v="No"/>
    <m/>
    <s v="16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7"/>
    <s v="No"/>
    <n v="1311"/>
    <m/>
    <s v="N/FRA.: 165 INIESTA DEL PINO DISTRIBUCIO"/>
    <n v="0"/>
    <n v="16"/>
    <n v="-3592.6"/>
    <s v="No"/>
    <m/>
    <s v="16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8"/>
    <s v="No"/>
    <n v="1322"/>
    <m/>
    <s v="N/FRA.: 166 AGROQUIMICAS DRAGO S.L."/>
    <n v="0"/>
    <n v="50.89"/>
    <n v="-3643.49"/>
    <s v="No"/>
    <m/>
    <s v="16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79"/>
    <s v="No"/>
    <n v="1381"/>
    <m/>
    <s v="N/FRA.: 169 COOP.AGRIC. SAN ISIDRO S.C.A"/>
    <n v="0"/>
    <n v="71.38"/>
    <n v="-3714.87"/>
    <s v="No"/>
    <m/>
    <s v="16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0"/>
    <s v="No"/>
    <n v="1416"/>
    <m/>
    <s v="N/FRA.: 174 ROMAROC PONIENTE, S.L."/>
    <n v="0"/>
    <n v="10.08"/>
    <n v="-3724.95"/>
    <s v="No"/>
    <m/>
    <s v="17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1"/>
    <s v="No"/>
    <n v="1417"/>
    <m/>
    <s v="N/FRA.: 175 FITOSANITARIOS DRAGO S.L.U"/>
    <n v="0"/>
    <n v="14.4"/>
    <n v="-3739.35"/>
    <s v="No"/>
    <m/>
    <s v="17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2"/>
    <s v="No"/>
    <n v="1436"/>
    <m/>
    <s v="N/FRA.: 176 FITOSANITARIOS DRAGO S.L.U"/>
    <n v="0"/>
    <n v="5"/>
    <n v="-3744.35"/>
    <s v="No"/>
    <m/>
    <s v="17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2"/>
    <s v="No"/>
    <n v="1437"/>
    <m/>
    <s v="N/FRA.: 177 CABRERA MORALES FRANCISCO"/>
    <n v="0"/>
    <n v="38.840000000000003"/>
    <n v="-3783.19"/>
    <s v="No"/>
    <m/>
    <s v="17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39"/>
    <m/>
    <s v="N/FRA.: 179 ACTIV. PRODUC. Y COMERC. LA "/>
    <n v="0"/>
    <n v="18.190000000000001"/>
    <n v="-3801.38"/>
    <s v="No"/>
    <m/>
    <s v="17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0"/>
    <m/>
    <s v="N/FRA.: 180 ACTIV. PRODUC. Y COMERC. LA "/>
    <n v="0"/>
    <n v="0.65"/>
    <n v="-3802.03"/>
    <s v="No"/>
    <m/>
    <s v="18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1"/>
    <m/>
    <s v="N/FRA.: 181 AGROTÉCNICA DEL NORTE, S.L"/>
    <n v="0"/>
    <n v="2.46"/>
    <n v="-3804.49"/>
    <s v="No"/>
    <m/>
    <s v="18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2"/>
    <m/>
    <s v="N/FRA.: 182 AGRICOLA DEL JUCAR DE CUENCA"/>
    <n v="0"/>
    <n v="4.8"/>
    <n v="-3809.29"/>
    <s v="No"/>
    <m/>
    <s v="18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3"/>
    <m/>
    <s v="N/FRA.: 183 AGROVEYCA,S.L"/>
    <n v="0"/>
    <n v="17.48"/>
    <n v="-3826.77"/>
    <s v="No"/>
    <m/>
    <s v="18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4"/>
    <m/>
    <s v="N/FRA.: 184 AGROVEYCA,S.L"/>
    <n v="0"/>
    <n v="18.48"/>
    <n v="-3845.25"/>
    <s v="No"/>
    <m/>
    <s v="18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5"/>
    <m/>
    <s v="N/FRA.: 185 AGROVEYCA,S.L"/>
    <n v="0"/>
    <n v="18.46"/>
    <n v="-3863.71"/>
    <s v="No"/>
    <m/>
    <s v="18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6"/>
    <m/>
    <s v="N/FRA.: 186 AGROVEYCA,S.L"/>
    <n v="0"/>
    <n v="18.46"/>
    <n v="-3882.17"/>
    <s v="No"/>
    <m/>
    <s v="18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7"/>
    <m/>
    <s v="N/FRA.: 187 MARTINEZ S.C."/>
    <n v="0"/>
    <n v="11.29"/>
    <n v="-3893.46"/>
    <s v="No"/>
    <m/>
    <s v="18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8"/>
    <m/>
    <s v="N/FRA.: 188 GUIVARTO AGRICOLA, S.L."/>
    <n v="0"/>
    <n v="157.80000000000001"/>
    <n v="-4051.26"/>
    <s v="No"/>
    <m/>
    <s v="18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49"/>
    <m/>
    <s v="N/FRA.: 189 AGRONEW FITO, S.L."/>
    <n v="0"/>
    <n v="16"/>
    <n v="-4067.26"/>
    <s v="No"/>
    <m/>
    <s v="18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0"/>
    <m/>
    <s v="N/FRA.: 190 AGRONEW FITO, S.L."/>
    <n v="0"/>
    <n v="4.8"/>
    <n v="-4072.06"/>
    <s v="No"/>
    <m/>
    <s v="19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1"/>
    <m/>
    <s v="N/FRA.: 191 AGRONEW FITO, S.L."/>
    <n v="0"/>
    <n v="16.8"/>
    <n v="-4088.86"/>
    <s v="No"/>
    <m/>
    <s v="19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2"/>
    <m/>
    <s v="N/FRA.: 192 SUCA, S.C.A."/>
    <n v="0"/>
    <n v="16"/>
    <n v="-4104.8599999999997"/>
    <s v="No"/>
    <m/>
    <s v="19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3"/>
    <m/>
    <s v="N/FRA.: 193 MUNDOHUERTO-CARMEN SOLAZ BLA"/>
    <n v="0"/>
    <n v="0.5"/>
    <n v="-4105.3599999999997"/>
    <s v="No"/>
    <m/>
    <s v="19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4"/>
    <m/>
    <s v="N/FRA.: 194 AGROGIMEDEL, S.L.U."/>
    <n v="0"/>
    <n v="5.85"/>
    <n v="-4111.21"/>
    <s v="No"/>
    <m/>
    <s v="19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5"/>
    <m/>
    <s v="N/FRA.: 195 AGROTRAPICHE, S.L.U"/>
    <n v="0"/>
    <n v="5"/>
    <n v="-4116.21"/>
    <s v="No"/>
    <m/>
    <s v="19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6"/>
    <m/>
    <s v="N/FRA.: 196 BOSCO ABASCAL, S.L."/>
    <n v="0"/>
    <n v="16"/>
    <n v="-4132.21"/>
    <s v="No"/>
    <m/>
    <s v="19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7"/>
    <m/>
    <s v="N/FRA.: 197 BOSCO ABASCAL, S.L."/>
    <n v="0"/>
    <n v="9.36"/>
    <n v="-4141.57"/>
    <s v="No"/>
    <m/>
    <s v="19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8"/>
    <m/>
    <s v="N/FRA.: 198 SERVIAGRI´ 97, S.L."/>
    <n v="0"/>
    <n v="7.87"/>
    <n v="-4149.4399999999996"/>
    <s v="No"/>
    <m/>
    <s v="19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59"/>
    <m/>
    <s v="N/FRA.: 199 FRUITURE ADVISORS, S.L."/>
    <n v="0"/>
    <n v="7.38"/>
    <n v="-4156.82"/>
    <s v="No"/>
    <m/>
    <s v="19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3"/>
    <s v="No"/>
    <n v="1460"/>
    <m/>
    <s v="N/FRA.: 200 AGROREBOLLO, S.L."/>
    <n v="0"/>
    <n v="5.85"/>
    <n v="-4162.67"/>
    <s v="No"/>
    <m/>
    <s v="20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476"/>
    <m/>
    <s v="N/FRA.: 201 AGROQUIMICAS DRAGO S.L."/>
    <n v="0"/>
    <n v="29.1"/>
    <n v="-4191.7700000000004"/>
    <s v="No"/>
    <m/>
    <s v="20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483"/>
    <m/>
    <s v="N/FRA.: 204 INIESTA DEL PINO DISTRIBUCIO"/>
    <n v="0"/>
    <n v="16"/>
    <n v="-4207.7700000000004"/>
    <s v="No"/>
    <m/>
    <s v="20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05"/>
    <m/>
    <s v="N/FRA.: 205 INIESTA DEL PINO DISTRIBUCIO"/>
    <n v="0"/>
    <n v="16"/>
    <n v="-4223.7700000000004"/>
    <s v="No"/>
    <m/>
    <s v="20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06"/>
    <m/>
    <s v="N/FRA.: 206 INIESTA DEL PINO DISTRIBUCIO"/>
    <n v="0"/>
    <n v="2.46"/>
    <n v="-4226.2299999999996"/>
    <s v="No"/>
    <m/>
    <s v="20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07"/>
    <m/>
    <s v="N/FRA.: 210 VILLALTA SATIVUM, S.L."/>
    <n v="0"/>
    <n v="26.5"/>
    <n v="-4252.7299999999996"/>
    <s v="No"/>
    <m/>
    <s v="21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08"/>
    <m/>
    <s v="N/FRA.: 211 SERVIAGRI´ 97, S.L."/>
    <n v="0"/>
    <n v="7.86"/>
    <n v="-4260.59"/>
    <s v="No"/>
    <m/>
    <s v="21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09"/>
    <m/>
    <s v="N/FRA.: 212 SERVIAGRI´ 97, S.L."/>
    <n v="0"/>
    <n v="23.4"/>
    <n v="-4283.99"/>
    <s v="No"/>
    <m/>
    <s v="21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10"/>
    <m/>
    <s v="N/FRA.: 207 AGRONEW FITO, S.L."/>
    <n v="0"/>
    <n v="64"/>
    <n v="-4347.99"/>
    <s v="No"/>
    <m/>
    <s v="20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11"/>
    <m/>
    <s v="N/FRA.: 208 AGRONEW FITO, S.L."/>
    <n v="0"/>
    <n v="22.5"/>
    <n v="-4370.49"/>
    <s v="No"/>
    <m/>
    <s v="20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12"/>
    <m/>
    <s v="N/FRA.: 209 AGRONEW FITO, S.L."/>
    <n v="0"/>
    <n v="4.8"/>
    <n v="-4375.29"/>
    <s v="No"/>
    <m/>
    <s v="20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13"/>
    <m/>
    <s v="N/FRA.: 213 ASESORAMIENTO TECNICO DE CUL"/>
    <n v="0"/>
    <n v="32"/>
    <n v="-4407.29"/>
    <s v="No"/>
    <m/>
    <s v="21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15"/>
    <m/>
    <s v="N/FRA.: 215 CODIMED EXPORT, S.L."/>
    <n v="0"/>
    <n v="151.19"/>
    <n v="-4558.4799999999996"/>
    <s v="No"/>
    <m/>
    <s v="21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16"/>
    <m/>
    <s v="N/FRA.: 216 FITOMURCIA S.L.             "/>
    <n v="0"/>
    <n v="849.74"/>
    <n v="-5408.22"/>
    <s v="No"/>
    <m/>
    <s v="21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26"/>
    <m/>
    <s v="N/FRA.: 224 COMERCIAL TÉCNICA FITOCARTHA"/>
    <n v="0"/>
    <n v="143.52000000000001"/>
    <n v="-5551.74"/>
    <s v="No"/>
    <m/>
    <s v="22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4"/>
    <s v="No"/>
    <n v="1527"/>
    <m/>
    <s v="N/FRA.: 214 CAMPOEJIDO S.C.A."/>
    <n v="0"/>
    <n v="420.86"/>
    <n v="-5972.6"/>
    <s v="No"/>
    <m/>
    <s v="21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5"/>
    <s v="No"/>
    <n v="1671"/>
    <m/>
    <s v="N/FRA.: 229 AGRITEC MEDINA, S.L.U."/>
    <n v="0"/>
    <n v="3.87"/>
    <n v="-5976.47"/>
    <s v="No"/>
    <m/>
    <s v="22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5"/>
    <s v="No"/>
    <n v="1673"/>
    <m/>
    <s v="N/FRA.: 230 COOP.AGRIC. SAN ISIDRO S.C.A"/>
    <n v="0"/>
    <n v="64"/>
    <n v="-6040.47"/>
    <s v="No"/>
    <m/>
    <s v="23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6"/>
    <s v="No"/>
    <n v="1910"/>
    <m/>
    <s v="N/FRA.: 235 CABRERA MORALES FRANCISCO"/>
    <n v="0"/>
    <n v="44.41"/>
    <n v="-6084.88"/>
    <s v="No"/>
    <m/>
    <s v="23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6"/>
    <s v="No"/>
    <n v="1915"/>
    <m/>
    <s v="N/FRA.: 236 AGROQUIMICAS DRAGO S.L."/>
    <n v="0"/>
    <n v="9.48"/>
    <n v="-6094.36"/>
    <s v="No"/>
    <m/>
    <s v="23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7"/>
    <s v="No"/>
    <n v="2061"/>
    <m/>
    <s v="N/FRA.: 241 FITOXENT S.C.L.V."/>
    <n v="0"/>
    <n v="37"/>
    <n v="-6131.36"/>
    <s v="No"/>
    <m/>
    <s v="24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7"/>
    <s v="No"/>
    <n v="2062"/>
    <m/>
    <s v="N/FRA.: 242 INIESTA DEL PINO DISTRIBUCIO"/>
    <n v="0"/>
    <n v="16"/>
    <n v="-6147.36"/>
    <s v="No"/>
    <m/>
    <s v="24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7"/>
    <s v="No"/>
    <n v="2063"/>
    <m/>
    <s v="N/FRA.: 243 INIESTA DEL PINO DISTRIBUCIO"/>
    <n v="0"/>
    <n v="16"/>
    <n v="-6163.36"/>
    <s v="No"/>
    <m/>
    <s v="24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8"/>
    <s v="No"/>
    <n v="2114"/>
    <m/>
    <s v="N/FRA.: 247 FITOSANITARIOS DRAGO S.L.U"/>
    <n v="0"/>
    <n v="5"/>
    <n v="-6168.36"/>
    <s v="No"/>
    <m/>
    <s v="24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8"/>
    <s v="No"/>
    <n v="2118"/>
    <m/>
    <s v="N/FRA.: 248 FITOSANITARIOS DRAGO S.L.U"/>
    <n v="0"/>
    <n v="17.55"/>
    <n v="-6185.91"/>
    <s v="No"/>
    <m/>
    <s v="24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89"/>
    <s v="No"/>
    <n v="2203"/>
    <m/>
    <s v="N/FRA.: 256 AGROQUIMICAS DRAGO S.L."/>
    <n v="0"/>
    <n v="32.5"/>
    <n v="-6218.41"/>
    <s v="No"/>
    <m/>
    <s v="25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26"/>
    <m/>
    <s v="N/FRA.: 257 AGRONEW FITO, S.L."/>
    <n v="0"/>
    <n v="4.8"/>
    <n v="-6223.21"/>
    <s v="No"/>
    <m/>
    <s v="25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27"/>
    <m/>
    <s v="N/FRA.: 258 AGRONEW FITO, S.L."/>
    <n v="0"/>
    <n v="16"/>
    <n v="-6239.21"/>
    <s v="No"/>
    <m/>
    <s v="25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28"/>
    <m/>
    <s v="N/FRA.: 259 AGRONEW FITO, S.L."/>
    <n v="0"/>
    <n v="32"/>
    <n v="-6271.21"/>
    <s v="No"/>
    <m/>
    <s v="25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29"/>
    <m/>
    <s v="N/FRA.: 260 AGRONEW FITO, S.L."/>
    <n v="0"/>
    <n v="7.7"/>
    <n v="-6278.91"/>
    <s v="No"/>
    <m/>
    <s v="26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0"/>
    <m/>
    <s v="N/FRA.: 261 AGRONEW FITO, S.L."/>
    <n v="0"/>
    <n v="16"/>
    <n v="-6294.91"/>
    <s v="No"/>
    <m/>
    <s v="26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1"/>
    <m/>
    <s v="N/FRA.: 262 AGRONEW FITO, S.L."/>
    <n v="0"/>
    <n v="16"/>
    <n v="-6310.91"/>
    <s v="No"/>
    <m/>
    <s v="26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2"/>
    <m/>
    <s v="N/FRA.: 263 AGRONEW FITO, S.L."/>
    <n v="0"/>
    <n v="16"/>
    <n v="-6326.91"/>
    <s v="No"/>
    <m/>
    <s v="26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3"/>
    <m/>
    <s v="N/FRA.: 264 AGRONEW FITO, S.L."/>
    <n v="0"/>
    <n v="1.56"/>
    <n v="-6328.47"/>
    <s v="No"/>
    <m/>
    <s v="26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4"/>
    <m/>
    <s v="N/FRA.: 265 AGRONEW FITO, S.L."/>
    <n v="0"/>
    <n v="16"/>
    <n v="-6344.47"/>
    <s v="No"/>
    <m/>
    <s v="26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5"/>
    <m/>
    <s v="N/FRA.: 266 AGRONEW FITO, S.L."/>
    <n v="0"/>
    <n v="26.08"/>
    <n v="-6370.55"/>
    <s v="No"/>
    <m/>
    <s v="26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6"/>
    <m/>
    <s v="N/FRA.: 267 AGRONEW FITO, S.L."/>
    <n v="0"/>
    <n v="16"/>
    <n v="-6386.55"/>
    <s v="No"/>
    <m/>
    <s v="26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7"/>
    <m/>
    <s v="N/FRA.: 268 AGRONEW FITO, S.L."/>
    <n v="0"/>
    <n v="7.7"/>
    <n v="-6394.25"/>
    <s v="No"/>
    <m/>
    <s v="26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8"/>
    <m/>
    <s v="N/FRA.: 269 AGRONEW FITO, S.L."/>
    <n v="0"/>
    <n v="4.8"/>
    <n v="-6399.05"/>
    <s v="No"/>
    <m/>
    <s v="26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39"/>
    <m/>
    <s v="N/FRA.: 270 AGRONEW FITO, S.L."/>
    <n v="0"/>
    <n v="11.72"/>
    <n v="-6410.77"/>
    <s v="No"/>
    <m/>
    <s v="27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0"/>
    <m/>
    <s v="N/FRA.: 271 AGROVEYCA,S.L"/>
    <n v="0"/>
    <n v="13.68"/>
    <n v="-6424.45"/>
    <s v="No"/>
    <m/>
    <s v="27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1"/>
    <m/>
    <s v="N/FRA.: 272 AGROVEYCA,S.L"/>
    <n v="0"/>
    <n v="7.32"/>
    <n v="-6431.77"/>
    <s v="No"/>
    <m/>
    <s v="27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2"/>
    <m/>
    <s v="N/FRA.: 273 AGROVEYCA,S.L"/>
    <n v="0"/>
    <n v="32"/>
    <n v="-6463.77"/>
    <s v="No"/>
    <m/>
    <s v="27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3"/>
    <m/>
    <s v="N/FRA.: 274 AGROVEYCA,S.L"/>
    <n v="0"/>
    <n v="23.79"/>
    <n v="-6487.56"/>
    <s v="No"/>
    <m/>
    <s v="27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4"/>
    <m/>
    <s v="N/FRA.: 275 AGROVEYCA,S.L"/>
    <n v="0"/>
    <n v="10.4"/>
    <n v="-6497.96"/>
    <s v="No"/>
    <m/>
    <s v="27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5"/>
    <m/>
    <s v="N/FRA.: 276 AGROVEYCA,S.L"/>
    <n v="0"/>
    <n v="20.92"/>
    <n v="-6518.88"/>
    <s v="No"/>
    <m/>
    <s v="27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6"/>
    <m/>
    <s v="N/FRA.: 277 AGROVEYCA,S.L"/>
    <n v="0"/>
    <n v="48"/>
    <n v="-6566.88"/>
    <s v="No"/>
    <m/>
    <s v="27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7"/>
    <m/>
    <s v="N/FRA.: 278 AGROVEYCA,S.L"/>
    <n v="0"/>
    <n v="32"/>
    <n v="-6598.88"/>
    <s v="No"/>
    <m/>
    <s v="27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8"/>
    <m/>
    <s v="N/FRA.: 279 T.J AGRICULTURA S.L."/>
    <n v="0"/>
    <n v="28.8"/>
    <n v="-6627.68"/>
    <s v="No"/>
    <m/>
    <s v="27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49"/>
    <m/>
    <s v="N/FRA.: 280 T.J AGRICULTURA S.L."/>
    <n v="0"/>
    <n v="14.6"/>
    <n v="-6642.28"/>
    <s v="No"/>
    <m/>
    <s v="28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0"/>
    <m/>
    <s v="N/FRA.: 281 T.J AGRICULTURA S.L."/>
    <n v="0"/>
    <n v="4.2"/>
    <n v="-6646.48"/>
    <s v="No"/>
    <m/>
    <s v="28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1"/>
    <m/>
    <s v="N/FRA.: 282 AGRITEC MEDINA, S.L.U."/>
    <n v="0"/>
    <n v="12.56"/>
    <n v="-6659.04"/>
    <s v="No"/>
    <m/>
    <s v="28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2"/>
    <m/>
    <s v="N/FRA.: 283 AGRITEC MEDINA, S.L.U."/>
    <n v="0"/>
    <n v="9.58"/>
    <n v="-6668.62"/>
    <s v="No"/>
    <m/>
    <s v="28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3"/>
    <m/>
    <s v="N/FRA.: 284 AGRITEC MEDINA, S.L.U."/>
    <n v="0"/>
    <n v="17.97"/>
    <n v="-6686.59"/>
    <s v="No"/>
    <m/>
    <s v="28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4"/>
    <m/>
    <s v="N/FRA.: 285 AGRITEC MEDINA, S.L.U."/>
    <n v="0"/>
    <n v="1.48"/>
    <n v="-6688.07"/>
    <s v="No"/>
    <m/>
    <s v="28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5"/>
    <m/>
    <s v="N/FRA.: 286 CARDONA Y CELMA, S.L."/>
    <n v="0"/>
    <n v="44.7"/>
    <n v="-6732.77"/>
    <s v="No"/>
    <m/>
    <s v="28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7"/>
    <m/>
    <s v="N/FRA.: 287 ACTIV. PRODUC. Y COMERC. LA "/>
    <n v="0"/>
    <n v="24"/>
    <n v="-6756.77"/>
    <s v="No"/>
    <m/>
    <s v="28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8"/>
    <m/>
    <s v="N/FRA.: 288 ACTIV. PRODUC. Y COMERC. LA "/>
    <n v="0"/>
    <n v="20.5"/>
    <n v="-6777.27"/>
    <s v="No"/>
    <m/>
    <s v="28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59"/>
    <m/>
    <s v="N/FRA.: 289 AGROTÉCNICA DEL NORTE, S.L"/>
    <n v="0"/>
    <n v="53.92"/>
    <n v="-6831.19"/>
    <s v="No"/>
    <m/>
    <s v="28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0"/>
    <m/>
    <s v="N/FRA.: 290 CITAL, S.L."/>
    <n v="0"/>
    <n v="15.62"/>
    <n v="-6846.81"/>
    <s v="No"/>
    <m/>
    <s v="29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1"/>
    <m/>
    <s v="N/FRA.: 291 BOSCO ABASCAL, S.L."/>
    <n v="0"/>
    <n v="32"/>
    <n v="-6878.81"/>
    <s v="No"/>
    <m/>
    <s v="29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2"/>
    <m/>
    <s v="N/FRA.: 292 GUIVARTO AGRICOLA, S.L."/>
    <n v="0"/>
    <n v="26.46"/>
    <n v="-6905.27"/>
    <s v="No"/>
    <m/>
    <s v="29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3"/>
    <m/>
    <s v="N/FRA.: 293 GUIVARTO AGRICOLA, S.L."/>
    <n v="0"/>
    <n v="20.54"/>
    <n v="-6925.81"/>
    <s v="No"/>
    <m/>
    <s v="29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4"/>
    <m/>
    <s v="N/FRA.: 294 AGROSER BERNARDINO, S.L."/>
    <n v="0"/>
    <n v="16"/>
    <n v="-6941.81"/>
    <s v="No"/>
    <m/>
    <s v="29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5"/>
    <m/>
    <s v="N/FRA.: 295 AGROSER BERNARDINO, S.L."/>
    <n v="0"/>
    <n v="36.92"/>
    <n v="-6978.73"/>
    <s v="No"/>
    <m/>
    <s v="29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6"/>
    <m/>
    <s v="N/FRA.: 296 COOP.AGRIC. SAN ISIDRO S.C.A"/>
    <n v="0"/>
    <n v="20.92"/>
    <n v="-6999.65"/>
    <s v="No"/>
    <m/>
    <s v="29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7"/>
    <m/>
    <s v="N/FRA.: 297 COOP.AGRIC. SAN ISIDRO S.C.A"/>
    <n v="0"/>
    <n v="16"/>
    <n v="-7015.65"/>
    <s v="No"/>
    <m/>
    <s v="29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8"/>
    <m/>
    <s v="N/FRA.: 298 ANGEL FERRER, S.L."/>
    <n v="0"/>
    <n v="7.7"/>
    <n v="-7023.35"/>
    <s v="No"/>
    <m/>
    <s v="29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69"/>
    <m/>
    <s v="N/FRA.: 299 SUCA, S.C.A."/>
    <n v="0"/>
    <n v="16"/>
    <n v="-7039.35"/>
    <s v="No"/>
    <m/>
    <s v="29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70"/>
    <m/>
    <s v="N/FRA.: 300 SUCA, S.C.A."/>
    <n v="0"/>
    <n v="16"/>
    <n v="-7055.35"/>
    <s v="No"/>
    <m/>
    <s v="30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71"/>
    <m/>
    <s v="N/FRA.: 301 SUCA, S.C.A."/>
    <n v="0"/>
    <n v="16"/>
    <n v="-7071.35"/>
    <s v="No"/>
    <m/>
    <s v="30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73"/>
    <m/>
    <s v="N/FRA.: 303 INIESTA DEL PINO DISTRIBUCIO"/>
    <n v="0"/>
    <n v="1.97"/>
    <n v="-7073.32"/>
    <s v="No"/>
    <m/>
    <s v="30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74"/>
    <m/>
    <s v="N/FRA.: 302 AGROCAMP CANET S.L."/>
    <n v="0"/>
    <n v="2.46"/>
    <n v="-7075.78"/>
    <s v="No"/>
    <m/>
    <s v="30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75"/>
    <m/>
    <s v="N/FRA.: 304 FITOXENT S.C.L.V."/>
    <n v="0"/>
    <n v="68.92"/>
    <n v="-7144.7"/>
    <s v="No"/>
    <m/>
    <s v="30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0"/>
    <s v="No"/>
    <n v="2276"/>
    <m/>
    <s v="N/FRA.: 305 FITOXENT S.C.L.V."/>
    <n v="0"/>
    <n v="16"/>
    <n v="-7160.7"/>
    <s v="No"/>
    <m/>
    <s v="30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80"/>
    <m/>
    <s v="N/FRA.: 306 HORTOFRUTICOLA COSTA DE ALME"/>
    <n v="0"/>
    <n v="16"/>
    <n v="-7176.7"/>
    <s v="No"/>
    <m/>
    <s v="30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81"/>
    <m/>
    <s v="N/FRA.: 307 VILLALTA SATIVUM, S.L."/>
    <n v="0"/>
    <n v="9.6"/>
    <n v="-7186.3"/>
    <s v="No"/>
    <m/>
    <s v="30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82"/>
    <m/>
    <s v="N/FRA.: 308 VILLALTA SATIVUM, S.L."/>
    <n v="0"/>
    <n v="18.100000000000001"/>
    <n v="-7204.4"/>
    <s v="No"/>
    <m/>
    <s v="30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83"/>
    <m/>
    <s v="N/FRA.: 309 AGRONEW FITO, S.L."/>
    <n v="0"/>
    <n v="16"/>
    <n v="-7220.4"/>
    <s v="No"/>
    <m/>
    <s v="30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84"/>
    <m/>
    <s v="N/FRA.: 310 UNICOM SERVICIOS Y GESTION S"/>
    <n v="0"/>
    <n v="7.38"/>
    <n v="-7227.78"/>
    <s v="No"/>
    <m/>
    <s v="31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85"/>
    <m/>
    <s v="N/FRA.: 311 SERVIAGRI´ 97, S.L."/>
    <n v="0"/>
    <n v="3.91"/>
    <n v="-7231.69"/>
    <s v="No"/>
    <m/>
    <s v="31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88"/>
    <m/>
    <s v="N/FRA.: 312 AGRUPACION DE LABRADORES DEL"/>
    <n v="0"/>
    <n v="13.82"/>
    <n v="-7245.51"/>
    <s v="No"/>
    <m/>
    <s v="31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89"/>
    <m/>
    <s v="N/FRA.: 313 COOP.AGRIC. SAN ISIDRO S.C.A"/>
    <n v="0"/>
    <n v="36.92"/>
    <n v="-7282.43"/>
    <s v="No"/>
    <m/>
    <s v="31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0"/>
    <m/>
    <s v="N/FRA.: 314 ASOC. HORTICULTORES DE VILLA"/>
    <n v="0"/>
    <n v="8.02"/>
    <n v="-7290.45"/>
    <s v="No"/>
    <m/>
    <s v="31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1"/>
    <m/>
    <s v="N/FRA.: 315 HORTOCAMPO, S.A."/>
    <n v="0"/>
    <n v="29.52"/>
    <n v="-7319.97"/>
    <s v="No"/>
    <m/>
    <s v="31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2"/>
    <m/>
    <s v="N/FRA.: 316 AGROVEYCA,S.L"/>
    <n v="0"/>
    <n v="16"/>
    <n v="-7335.97"/>
    <s v="No"/>
    <m/>
    <s v="31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3"/>
    <m/>
    <s v="N/FRA.: 317 AGRICOLA DEL JUCAR DE CUENCA"/>
    <n v="0"/>
    <n v="16"/>
    <n v="-7351.97"/>
    <s v="No"/>
    <m/>
    <s v="31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4"/>
    <m/>
    <s v="N/FRA.: 318 AGRONEW FITO, S.L."/>
    <n v="0"/>
    <n v="7.7"/>
    <n v="-7359.67"/>
    <s v="No"/>
    <m/>
    <s v="31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5"/>
    <m/>
    <s v="N/FRA.: 319 AGRONEW FITO, S.L."/>
    <n v="0"/>
    <n v="7.7"/>
    <n v="-7367.37"/>
    <s v="No"/>
    <m/>
    <s v="31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6"/>
    <m/>
    <s v="N/FRA.: 320 AGRONEW FITO, S.L."/>
    <n v="0"/>
    <n v="30.8"/>
    <n v="-7398.17"/>
    <s v="No"/>
    <m/>
    <s v="32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7"/>
    <m/>
    <s v="N/FRA.: 321 VILLALTA SATIVUM, S.L."/>
    <n v="0"/>
    <n v="32"/>
    <n v="-7430.17"/>
    <s v="No"/>
    <m/>
    <s v="32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8"/>
    <m/>
    <s v="N/FRA.: 322 AGROSER BERNARDINO, S.L."/>
    <n v="0"/>
    <n v="9.6"/>
    <n v="-7439.77"/>
    <s v="No"/>
    <m/>
    <s v="32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299"/>
    <m/>
    <s v="N/FRA.: 323 AGROQUIMICAS DRAGO S.L."/>
    <n v="0"/>
    <n v="1.5"/>
    <n v="-7441.27"/>
    <s v="No"/>
    <m/>
    <s v="32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00"/>
    <m/>
    <s v="N/FRA.: 324 AGROQUIMICAS DRAGO S.L."/>
    <n v="0"/>
    <n v="43.03"/>
    <n v="-7484.3"/>
    <s v="No"/>
    <m/>
    <s v="32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01"/>
    <m/>
    <s v="N/FRA.: 325 COMERCIAL TÉCNICA FITOCARTHA"/>
    <n v="0"/>
    <n v="117.3"/>
    <n v="-7601.6"/>
    <s v="No"/>
    <m/>
    <s v="32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12"/>
    <m/>
    <s v="N/FRA.: 326 ASESORAMIENTO TECNICO DE CUL"/>
    <n v="0"/>
    <n v="77.040000000000006"/>
    <n v="-7678.64"/>
    <s v="No"/>
    <m/>
    <s v="32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13"/>
    <m/>
    <s v="N/FRA.: 327 CODIMED EXPORT, S.L."/>
    <n v="0"/>
    <n v="417.08"/>
    <n v="-8095.7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14"/>
    <m/>
    <s v="N/FRA.: 328 FITOMURCIA S.L.             "/>
    <n v="0"/>
    <n v="620.1"/>
    <n v="-8715.82"/>
    <s v="No"/>
    <m/>
    <s v="32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16"/>
    <m/>
    <s v="N/FRA.: 331 CAMPOEJIDO S.C.A."/>
    <n v="0"/>
    <n v="24.63"/>
    <n v="-8740.4500000000007"/>
    <s v="No"/>
    <m/>
    <s v="33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17"/>
    <m/>
    <s v="N/FRA.: 332 BOSCO ABASCAL, S.L."/>
    <n v="0"/>
    <n v="2.06"/>
    <n v="-8742.51"/>
    <s v="No"/>
    <m/>
    <s v="33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18"/>
    <m/>
    <s v="N/FRA.: 333 BOSCO ABASCAL, S.L."/>
    <n v="0"/>
    <n v="35.5"/>
    <n v="-8778.01"/>
    <s v="No"/>
    <m/>
    <s v="33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42"/>
    <m/>
    <s v="N/FRA.: 330 CAMPOEJIDO S.C.A."/>
    <n v="0"/>
    <n v="420.96"/>
    <n v="-9198.9699999999993"/>
    <s v="No"/>
    <m/>
    <s v="33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1"/>
    <s v="No"/>
    <n v="2351"/>
    <m/>
    <s v="N/FRA.: 329 CITAL, S.L."/>
    <n v="0"/>
    <n v="20"/>
    <n v="-9218.9699999999993"/>
    <s v="No"/>
    <m/>
    <s v="32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2"/>
    <s v="No"/>
    <n v="2469"/>
    <m/>
    <s v="N/FRA.: 344 FITOSANITARIOS DRAGO S.L.U"/>
    <n v="0"/>
    <n v="2.5"/>
    <n v="-9221.4699999999993"/>
    <s v="No"/>
    <m/>
    <s v="34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2"/>
    <s v="No"/>
    <n v="2528"/>
    <m/>
    <s v="N/FRA.: 345 FITOSANITARIOS DRAGO S.L.U"/>
    <n v="0"/>
    <n v="188.8"/>
    <n v="-9410.27"/>
    <s v="No"/>
    <m/>
    <s v="34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2"/>
    <s v="No"/>
    <n v="2529"/>
    <m/>
    <s v="N/FRA.: 346 CABRERA MORALES FRANCISCO"/>
    <n v="0"/>
    <n v="195.55"/>
    <n v="-9605.82"/>
    <s v="No"/>
    <m/>
    <s v="34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3"/>
    <s v="No"/>
    <n v="2484"/>
    <m/>
    <s v="N/FRA.: 350 AGRONEW FITO, S.L."/>
    <n v="0"/>
    <n v="16"/>
    <n v="-9621.82"/>
    <s v="No"/>
    <m/>
    <s v="35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3"/>
    <s v="No"/>
    <n v="2485"/>
    <m/>
    <s v="N/FRA.: 351 AGROVEYCA,S.L"/>
    <n v="0"/>
    <n v="16"/>
    <n v="-9637.82"/>
    <s v="No"/>
    <m/>
    <s v="35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3"/>
    <s v="No"/>
    <n v="2486"/>
    <m/>
    <s v="N/FRA.: 352 PLANTALDIA SLU"/>
    <n v="0"/>
    <n v="12.38"/>
    <n v="-9650.2000000000007"/>
    <s v="No"/>
    <m/>
    <s v="35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3"/>
    <s v="No"/>
    <n v="2487"/>
    <m/>
    <s v="N/FRA.: 353 AGROTÉCNICA DEL NORTE, S.L"/>
    <n v="0"/>
    <n v="14.65"/>
    <n v="-9664.85"/>
    <s v="No"/>
    <m/>
    <s v="35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3"/>
    <s v="No"/>
    <n v="2488"/>
    <m/>
    <s v="N/FRA.: 354 AGRUPACION DE LABRADORES DEL"/>
    <n v="0"/>
    <n v="0.98"/>
    <n v="-9665.83"/>
    <s v="No"/>
    <m/>
    <s v="35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3"/>
    <s v="No"/>
    <n v="2489"/>
    <m/>
    <s v="N/FRA.: 355 AGROVEYCA,S.L"/>
    <n v="0"/>
    <n v="16"/>
    <n v="-9681.83"/>
    <s v="No"/>
    <m/>
    <s v="35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3"/>
    <s v="No"/>
    <n v="2490"/>
    <m/>
    <s v="N/FRA.: 356 CITAL, S.L."/>
    <n v="0"/>
    <n v="5.4"/>
    <n v="-9687.23"/>
    <s v="No"/>
    <m/>
    <s v="35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497"/>
    <m/>
    <s v="N/FRA.: 357 AGROTÉCNICA DEL NORTE, S.L"/>
    <n v="0"/>
    <n v="14.81"/>
    <n v="-9702.0400000000009"/>
    <s v="No"/>
    <m/>
    <s v="35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498"/>
    <m/>
    <s v="N/FRA.: 358 T.J AGRICULTURA S.L."/>
    <n v="0"/>
    <n v="8.52"/>
    <n v="-9710.5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499"/>
    <m/>
    <s v="N/FRA.: 359 AGROVEYCA,S.L"/>
    <n v="0"/>
    <n v="16"/>
    <n v="-9726.56"/>
    <s v="No"/>
    <m/>
    <s v="35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500"/>
    <m/>
    <s v="N/FRA.: 360 AGROVEYCA,S.L"/>
    <n v="0"/>
    <n v="32"/>
    <n v="-9758.56"/>
    <s v="No"/>
    <m/>
    <s v="36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501"/>
    <m/>
    <s v="N/FRA.: 361 AGRONEW FITO, S.L."/>
    <n v="0"/>
    <n v="7.7"/>
    <n v="-9766.26"/>
    <s v="No"/>
    <m/>
    <s v="36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502"/>
    <m/>
    <s v="N/FRA.: 362 AGROTRAPICHE, S.L.U"/>
    <n v="0"/>
    <n v="4.95"/>
    <n v="-9771.2099999999991"/>
    <s v="No"/>
    <m/>
    <s v="36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503"/>
    <m/>
    <s v="N/FRA.: 363 T.J AGRICULTURA S.L."/>
    <n v="0"/>
    <n v="16.77"/>
    <n v="-9787.98"/>
    <s v="No"/>
    <m/>
    <s v="36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506"/>
    <m/>
    <s v="N/FRA.: 364 BARRIOS LÓPEZ, JUSTO"/>
    <n v="0"/>
    <n v="17.34"/>
    <n v="-9805.32"/>
    <s v="No"/>
    <m/>
    <s v="36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4"/>
    <s v="No"/>
    <n v="2507"/>
    <m/>
    <s v="N/FRA.: 365 AGRITEC MEDINA, S.L.U."/>
    <n v="0"/>
    <n v="5"/>
    <n v="-9810.32"/>
    <s v="No"/>
    <m/>
    <s v="36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5"/>
    <s v="No"/>
    <n v="2536"/>
    <m/>
    <s v="N/FRA.: 368 CABRERA MORALES FRANCISCO"/>
    <n v="0"/>
    <n v="5.38"/>
    <n v="-9815.7000000000007"/>
    <s v="No"/>
    <m/>
    <s v="36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5"/>
    <s v="No"/>
    <n v="2537"/>
    <m/>
    <s v="N/FRA.: 369 FITOSANITARIOS DRAGO S.L.U"/>
    <n v="0"/>
    <n v="32.04"/>
    <n v="-9847.74"/>
    <s v="No"/>
    <m/>
    <s v="36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6"/>
    <s v="No"/>
    <n v="2539"/>
    <m/>
    <s v="N/FRA.: 371 AGROQUIMICAS DRAGO S.L."/>
    <n v="0"/>
    <n v="39.950000000000003"/>
    <n v="-9887.69"/>
    <s v="No"/>
    <m/>
    <s v="37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74"/>
    <m/>
    <s v="N/FRA.: 372 SUCA, S.C.A."/>
    <n v="0"/>
    <n v="16"/>
    <n v="-9903.69"/>
    <s v="No"/>
    <m/>
    <s v="37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75"/>
    <m/>
    <s v="N/FRA.: 373 SUCA, S.C.A."/>
    <n v="0"/>
    <n v="8"/>
    <n v="-9911.69"/>
    <s v="No"/>
    <m/>
    <s v="37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79"/>
    <m/>
    <s v="N/FRA.: 374 AGROVEYCA,S.L"/>
    <n v="0"/>
    <n v="46.86"/>
    <n v="-9958.5499999999993"/>
    <s v="No"/>
    <m/>
    <s v="37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80"/>
    <m/>
    <s v="N/FRA.: 375 AGROVEYCA,S.L"/>
    <n v="0"/>
    <n v="6.48"/>
    <n v="-9965.0300000000007"/>
    <s v="No"/>
    <m/>
    <s v="37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81"/>
    <m/>
    <s v="N/FRA.: 376 AGROVEYCA,S.L"/>
    <n v="0"/>
    <n v="16"/>
    <n v="-9981.0300000000007"/>
    <s v="No"/>
    <m/>
    <s v="37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82"/>
    <m/>
    <s v="N/FRA.: 377 AGROVEYCA,S.L"/>
    <n v="0"/>
    <n v="17.46"/>
    <n v="-9998.49"/>
    <s v="No"/>
    <m/>
    <s v="37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83"/>
    <m/>
    <s v="N/FRA.: 380 AGRITEC MEDINA, S.L.U."/>
    <n v="0"/>
    <n v="5.37"/>
    <n v="-10003.86"/>
    <s v="No"/>
    <m/>
    <s v="38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84"/>
    <m/>
    <s v="N/FRA.: 381 AGRITEC MEDINA, S.L.U."/>
    <n v="0"/>
    <n v="16.16"/>
    <n v="-10020.02"/>
    <s v="No"/>
    <m/>
    <s v="38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85"/>
    <m/>
    <s v="N/FRA.: 379 AGRITEC MEDINA, S.L.U."/>
    <n v="0"/>
    <n v="0.98"/>
    <n v="-10021"/>
    <s v="No"/>
    <m/>
    <s v="37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7"/>
    <s v="No"/>
    <n v="2586"/>
    <m/>
    <s v="N/FRA.: 378 ASOC. HORTICULTORES DE VILLA"/>
    <n v="0"/>
    <n v="8.94"/>
    <n v="-10029.94"/>
    <s v="No"/>
    <m/>
    <s v="37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8"/>
    <s v="No"/>
    <n v="2597"/>
    <m/>
    <s v="N/FRA.: 385 FITOXENT S.C.L.V."/>
    <n v="0"/>
    <n v="23.52"/>
    <n v="-10053.45999999999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8"/>
    <s v="No"/>
    <n v="2598"/>
    <m/>
    <s v="N/FRA.: 386 SERVIAGRI´ 97, S.L."/>
    <n v="0"/>
    <n v="32"/>
    <n v="-10085.459999999999"/>
    <s v="No"/>
    <m/>
    <s v="38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8"/>
    <s v="No"/>
    <n v="2599"/>
    <m/>
    <s v="N/FRA.: 387 SERVIAGRI´ 97, S.L."/>
    <n v="0"/>
    <n v="16.149999999999999"/>
    <n v="-10101.61"/>
    <s v="No"/>
    <m/>
    <s v="38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8"/>
    <s v="No"/>
    <n v="2600"/>
    <m/>
    <s v="N/FRA.: 388 SERVIAGRI´ 97, S.L."/>
    <n v="0"/>
    <n v="1.8"/>
    <n v="-10103.41"/>
    <s v="No"/>
    <m/>
    <s v="38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8"/>
    <s v="No"/>
    <n v="2601"/>
    <m/>
    <s v="N/FRA.: 389 AGRONEW FITO, S.L."/>
    <n v="0"/>
    <n v="30.8"/>
    <n v="-10134.209999999999"/>
    <s v="No"/>
    <m/>
    <s v="38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8"/>
    <s v="No"/>
    <n v="2602"/>
    <m/>
    <s v="N/FRA.: 390 AGRONEW FITO, S.L."/>
    <n v="0"/>
    <n v="7.7"/>
    <n v="-10141.91"/>
    <s v="No"/>
    <m/>
    <s v="39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8"/>
    <s v="No"/>
    <n v="2603"/>
    <m/>
    <s v="N/FRA.: 391 AGRONEW FITO, S.L."/>
    <n v="0"/>
    <n v="23.1"/>
    <n v="-10165.01"/>
    <s v="No"/>
    <m/>
    <s v="39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8"/>
    <s v="No"/>
    <n v="2604"/>
    <m/>
    <s v="N/FRA.: 392 AGRONEW FITO, S.L."/>
    <n v="0"/>
    <n v="2.54"/>
    <n v="-10167.549999999999"/>
    <s v="No"/>
    <m/>
    <s v="39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9"/>
    <s v="No"/>
    <n v="2610"/>
    <m/>
    <s v="N/FRA.: 393 VILLALTA SATIVUM, S.L."/>
    <n v="0"/>
    <n v="39.409999999999997"/>
    <n v="-10206.959999999999"/>
    <s v="No"/>
    <m/>
    <s v="39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9"/>
    <s v="No"/>
    <n v="2611"/>
    <m/>
    <s v="N/FRA.: 395 TRATAMIENTOS AGRICOLAS BRENE"/>
    <n v="0"/>
    <n v="16"/>
    <n v="-10222.959999999999"/>
    <s v="No"/>
    <m/>
    <s v="39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9"/>
    <s v="No"/>
    <n v="2613"/>
    <m/>
    <s v="N/FRA.: 396 BOSCO ABASCAL, S.L."/>
    <n v="0"/>
    <n v="14"/>
    <n v="-10236.959999999999"/>
    <s v="No"/>
    <m/>
    <s v="39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9"/>
    <s v="No"/>
    <n v="2614"/>
    <m/>
    <s v="N/FRA.: 397 MAJ AGROQUIMICOS S.L."/>
    <n v="0"/>
    <n v="3.99"/>
    <n v="-10240.950000000001"/>
    <s v="No"/>
    <m/>
    <s v="39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9"/>
    <s v="No"/>
    <n v="2615"/>
    <m/>
    <s v="N/FRA.: 398 ACTIV. PRODUC. Y COMERC. LA "/>
    <n v="0"/>
    <n v="16"/>
    <n v="-10256.950000000001"/>
    <s v="No"/>
    <m/>
    <s v="39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9"/>
    <s v="No"/>
    <n v="2616"/>
    <m/>
    <s v="N/FRA.: 399 ACTIV. PRODUC. Y COMERC. LA "/>
    <n v="0"/>
    <n v="18"/>
    <n v="-10274.9500000000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9"/>
    <s v="No"/>
    <n v="2617"/>
    <m/>
    <s v="N/FRA.: 394 BARRIOS LÓPEZ, JUSTO"/>
    <n v="0"/>
    <n v="15"/>
    <n v="-10289.950000000001"/>
    <s v="No"/>
    <m/>
    <s v="39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99"/>
    <s v="No"/>
    <n v="2618"/>
    <m/>
    <s v="N/FRA.: 400 HORTICOLAS Y PATATAS HNOS. M"/>
    <n v="0"/>
    <n v="16.329999999999998"/>
    <n v="-10306.2800000000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52"/>
    <m/>
    <s v="N/FRA.: 415 GUIVARTO AGRICOLA, S.L."/>
    <n v="0"/>
    <n v="14.76"/>
    <n v="-10321.040000000001"/>
    <s v="No"/>
    <m/>
    <s v="41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53"/>
    <m/>
    <s v="N/FRA.: 416 T.J AGRICULTURA S.L."/>
    <n v="0"/>
    <n v="19"/>
    <n v="-10340.040000000001"/>
    <s v="No"/>
    <m/>
    <s v="41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54"/>
    <m/>
    <s v="N/FRA.: 417 COOP.AGRIC. SAN ISIDRO S.C.A"/>
    <n v="0"/>
    <n v="14.76"/>
    <n v="-10354.799999999999"/>
    <s v="No"/>
    <m/>
    <s v="41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55"/>
    <m/>
    <s v="N/FRA.: 418 FRUITURE ADVISORS, S.L."/>
    <n v="0"/>
    <n v="11.08"/>
    <n v="-10365.879999999999"/>
    <s v="No"/>
    <m/>
    <s v="41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56"/>
    <m/>
    <s v="N/FRA.: 419 BELLO ALIAGA ERNESTO"/>
    <n v="0"/>
    <n v="5.37"/>
    <n v="-10371.25"/>
    <s v="No"/>
    <m/>
    <s v="41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57"/>
    <m/>
    <s v="N/FRA.: 420 HORTOCAMPO, S.A."/>
    <n v="0"/>
    <n v="14.76"/>
    <n v="-10386.01"/>
    <s v="No"/>
    <m/>
    <s v="42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58"/>
    <m/>
    <s v="N/FRA.: 421 AGRICOLA DEL JUCAR DE CUENCA"/>
    <n v="0"/>
    <n v="7.7"/>
    <n v="-10393.709999999999"/>
    <s v="No"/>
    <m/>
    <s v="42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59"/>
    <m/>
    <s v="N/FRA.: 422 COMERCIAL TÉCNICA FITOCARTHA"/>
    <n v="0"/>
    <n v="141.13999999999999"/>
    <n v="-10534.85"/>
    <s v="No"/>
    <m/>
    <s v="42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60"/>
    <m/>
    <s v="N/FRA.: 423 AGROQUIMICAS DRAGO S.L."/>
    <n v="0"/>
    <n v="38.340000000000003"/>
    <n v="-10573.19"/>
    <s v="No"/>
    <m/>
    <s v="42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61"/>
    <m/>
    <s v="N/FRA.: 424 AGROQUIMICAS DRAGO S.L."/>
    <n v="0"/>
    <n v="2"/>
    <n v="-10575.19"/>
    <s v="No"/>
    <m/>
    <s v="42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62"/>
    <m/>
    <s v="N/FRA.: 425 CABRERA MORALES FRANCISCO"/>
    <n v="0"/>
    <n v="49.5"/>
    <n v="-10624.69"/>
    <s v="No"/>
    <m/>
    <s v="42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66"/>
    <m/>
    <s v="N/FRA.: 426 ASESORAMIENTO TECNICO DE CUL"/>
    <n v="0"/>
    <n v="191.92"/>
    <n v="-10816.61"/>
    <s v="No"/>
    <m/>
    <s v="42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67"/>
    <m/>
    <s v="N/FRA.: 427 CAMPOEJIDO S.C.A."/>
    <n v="0"/>
    <n v="170.82"/>
    <n v="-10987.43"/>
    <s v="No"/>
    <m/>
    <s v="42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68"/>
    <m/>
    <s v="N/FRA.: 428 VILLALTA SATIVUM, S.L."/>
    <n v="0"/>
    <n v="20.8"/>
    <n v="-11008.23"/>
    <s v="No"/>
    <m/>
    <s v="42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69"/>
    <m/>
    <s v="N/FRA.: 429 VILLALTA SATIVUM, S.L."/>
    <n v="0"/>
    <n v="4.8"/>
    <n v="-11013.03"/>
    <s v="No"/>
    <m/>
    <s v="42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70"/>
    <m/>
    <s v="N/FRA.: 430 VILLALTA SATIVUM, S.L."/>
    <n v="0"/>
    <n v="25"/>
    <n v="-11038.03"/>
    <s v="No"/>
    <m/>
    <s v="43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71"/>
    <m/>
    <s v="N/FRA.: 431 AGRONEW FITO, S.L."/>
    <n v="0"/>
    <n v="7"/>
    <n v="-11045.03"/>
    <s v="No"/>
    <m/>
    <s v="43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72"/>
    <m/>
    <s v="N/FRA.: 432 AGRONEW FITO, S.L."/>
    <n v="0"/>
    <n v="16"/>
    <n v="-11061.03"/>
    <s v="No"/>
    <m/>
    <s v="43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73"/>
    <m/>
    <s v="N/FRA.: 433 SAFIAGRO, S.A."/>
    <n v="0"/>
    <n v="96"/>
    <n v="-11157.03"/>
    <s v="No"/>
    <m/>
    <s v="43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74"/>
    <m/>
    <s v="N/FRA.: 434 BARRIOS LÓPEZ, JUSTO"/>
    <n v="0"/>
    <n v="16"/>
    <n v="-11173.03"/>
    <s v="No"/>
    <m/>
    <s v="43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75"/>
    <m/>
    <s v="N/FRA.: 435 BOSCO ABASCAL, S.L."/>
    <n v="0"/>
    <n v="16"/>
    <n v="-11189.03"/>
    <s v="No"/>
    <m/>
    <s v="43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676"/>
    <m/>
    <s v="N/FRA.: 436 TRATAMIENTOS AGRICOLAS BRENE"/>
    <n v="0"/>
    <n v="15.4"/>
    <n v="-11204.43"/>
    <s v="No"/>
    <m/>
    <s v="43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0"/>
    <s v="No"/>
    <n v="2727"/>
    <m/>
    <s v="N/FRA.: 437 FITOMURCIA S.L."/>
    <n v="0"/>
    <n v="461.65"/>
    <n v="-11666.08"/>
    <s v="No"/>
    <m/>
    <s v="43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681"/>
    <m/>
    <s v="N/FRA.: 438 CODIMED EXPORT, S.L."/>
    <n v="0"/>
    <n v="341.85"/>
    <n v="-12007.93"/>
    <s v="No"/>
    <m/>
    <s v="43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688"/>
    <m/>
    <s v="N/FRA.: 441 CITAL, S.L."/>
    <n v="0"/>
    <n v="17.5"/>
    <n v="-12025.43"/>
    <s v="No"/>
    <m/>
    <s v="44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690"/>
    <m/>
    <s v="N/FRA.: 442 VILLALTA SATIVUM, S.L."/>
    <n v="0"/>
    <n v="16.98"/>
    <n v="-12042.41"/>
    <s v="No"/>
    <m/>
    <s v="44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691"/>
    <m/>
    <s v="N/FRA.: 443 FRUITURE ADVISORS, S.L."/>
    <n v="0"/>
    <n v="18.52"/>
    <n v="-12060.93"/>
    <s v="No"/>
    <m/>
    <s v="44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693"/>
    <m/>
    <s v="N/FRA.: 444 INIESTA DEL PINO DISTRIBUCIO"/>
    <n v="0"/>
    <n v="16"/>
    <n v="-12076.93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694"/>
    <m/>
    <s v="N/FRA.: 445 AGROTÉCNICA DEL NORTE, S.L"/>
    <n v="0"/>
    <n v="20.61"/>
    <n v="-12097.54"/>
    <s v="No"/>
    <m/>
    <s v="44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695"/>
    <m/>
    <s v="N/FRA.: 446 AGROTÉCNICA DEL NORTE, S.L"/>
    <n v="0"/>
    <n v="3"/>
    <n v="-12100.54"/>
    <s v="No"/>
    <m/>
    <s v="44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711"/>
    <m/>
    <s v="N/FRA.: 447 AGROVEYCA,S.L"/>
    <n v="0"/>
    <n v="16"/>
    <n v="-12116.54"/>
    <s v="No"/>
    <m/>
    <s v="44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1"/>
    <s v="No"/>
    <n v="2712"/>
    <m/>
    <s v="N/FRA.: 448 AGROVEYCA,S.L"/>
    <n v="0"/>
    <n v="15.52"/>
    <n v="-12132.0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2"/>
    <s v="No"/>
    <n v="2729"/>
    <m/>
    <s v="N/FRA.: 453 BARRIOS LÓPEZ, JUSTO"/>
    <n v="0"/>
    <n v="16"/>
    <n v="-12148.06"/>
    <s v="No"/>
    <m/>
    <s v="45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2"/>
    <s v="No"/>
    <n v="2730"/>
    <m/>
    <s v="N/FRA.: 454 AGROCAMP CANET S.L."/>
    <n v="0"/>
    <n v="45.6"/>
    <n v="-12193.66"/>
    <s v="No"/>
    <m/>
    <s v="45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2"/>
    <s v="No"/>
    <n v="2731"/>
    <m/>
    <s v="N/FRA.: 455 AGROTÉCNICA DEL NORTE, S.L"/>
    <n v="0"/>
    <n v="7.38"/>
    <n v="-12201.04"/>
    <s v="No"/>
    <m/>
    <s v="45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2"/>
    <s v="No"/>
    <n v="2732"/>
    <m/>
    <s v="N/FRA.: 456 GUIVARTO AGRICOLA, S.L."/>
    <n v="0"/>
    <n v="32"/>
    <n v="-12233.04"/>
    <s v="No"/>
    <m/>
    <s v="45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2"/>
    <s v="No"/>
    <n v="2733"/>
    <m/>
    <s v="N/FRA.: 457 TRATAMIENTOS AGRICOLAS BRENE"/>
    <n v="0"/>
    <n v="16"/>
    <n v="-12249.04"/>
    <s v="No"/>
    <m/>
    <s v="45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2"/>
    <s v="No"/>
    <n v="2734"/>
    <m/>
    <s v="N/FRA.: 458 AGRONEW FITO, S.L."/>
    <n v="0"/>
    <n v="23.1"/>
    <n v="-12272.14"/>
    <s v="No"/>
    <m/>
    <s v="45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2"/>
    <s v="No"/>
    <n v="2735"/>
    <m/>
    <s v="N/FRA.: 459 AGRONEW FITO, S.L."/>
    <n v="0"/>
    <n v="4.8"/>
    <n v="-12276.94"/>
    <s v="No"/>
    <m/>
    <s v="45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2"/>
    <s v="No"/>
    <n v="2736"/>
    <m/>
    <s v="N/FRA.: 460 AGRITEC MEDINA, S.L.U."/>
    <n v="0"/>
    <n v="3.84"/>
    <n v="-12280.78"/>
    <s v="No"/>
    <m/>
    <s v="46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3"/>
    <s v="No"/>
    <n v="2749"/>
    <m/>
    <s v="N/FRA.: 462 GUIVARTO AGRICOLA, S.L."/>
    <n v="0"/>
    <n v="-1"/>
    <n v="-12279.78"/>
    <s v="No"/>
    <m/>
    <s v="46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3"/>
    <s v="No"/>
    <n v="2751"/>
    <m/>
    <s v="N/FRA.: 461 MAJ AGROQUIMICOS S.L."/>
    <n v="0"/>
    <n v="0.49"/>
    <n v="-12280.27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3"/>
    <s v="No"/>
    <n v="2752"/>
    <m/>
    <s v="N/FRA.: 463 FRUITURE ADVISORS, S.L."/>
    <n v="0"/>
    <n v="2"/>
    <n v="-12282.27"/>
    <s v="No"/>
    <m/>
    <s v="46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3"/>
    <s v="No"/>
    <n v="2753"/>
    <m/>
    <s v="N/FRA.: 464 AGRÍCOLA DE GOZÓN S.L"/>
    <n v="0"/>
    <n v="1.47"/>
    <n v="-12283.7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3"/>
    <s v="No"/>
    <n v="2754"/>
    <m/>
    <s v="N/FRA.: 465 COMERCIAL NORTE AGROCAMPO, S"/>
    <n v="0"/>
    <n v="2.95"/>
    <n v="-12286.69"/>
    <s v="No"/>
    <m/>
    <s v="46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4"/>
    <s v="No"/>
    <n v="2862"/>
    <m/>
    <s v="N/FRA.: 466 BOSCO ABASCAL, S.L."/>
    <n v="0"/>
    <n v="48"/>
    <n v="-12334.69"/>
    <s v="No"/>
    <m/>
    <s v="46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4"/>
    <s v="No"/>
    <n v="2863"/>
    <m/>
    <s v="N/FRA.: 467 AGROVEYCA,S.L"/>
    <n v="0"/>
    <n v="39.46"/>
    <n v="-12374.15"/>
    <s v="No"/>
    <m/>
    <s v="46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4"/>
    <s v="No"/>
    <n v="2864"/>
    <m/>
    <s v="N/FRA.: 468 BARAHONA HERNAEZ, DAVID"/>
    <n v="0"/>
    <n v="11.35"/>
    <n v="-12385.5"/>
    <s v="No"/>
    <m/>
    <s v="46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4"/>
    <s v="No"/>
    <n v="2865"/>
    <m/>
    <s v="N/FRA.: 469 EL PINAR BERRIES, S.L."/>
    <n v="0"/>
    <n v="16"/>
    <n v="-12401.5"/>
    <s v="No"/>
    <m/>
    <s v="46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4"/>
    <s v="No"/>
    <n v="2866"/>
    <m/>
    <s v="N/FRA.: 470 T.J AGRICULTURA S.L."/>
    <n v="0"/>
    <n v="16"/>
    <n v="-12417.5"/>
    <s v="No"/>
    <m/>
    <s v="47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4"/>
    <s v="No"/>
    <n v="2867"/>
    <m/>
    <s v="N/FRA.: 471 T.J AGRICULTURA S.L."/>
    <n v="0"/>
    <n v="16"/>
    <n v="-12433.5"/>
    <s v="No"/>
    <m/>
    <s v="47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5"/>
    <s v="No"/>
    <n v="2885"/>
    <m/>
    <s v="N/FRA.: 473 MARTINEZ S.C."/>
    <n v="0"/>
    <n v="19.559999999999999"/>
    <n v="-12453.06"/>
    <s v="No"/>
    <m/>
    <s v="47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5"/>
    <s v="No"/>
    <n v="2887"/>
    <m/>
    <s v="N/FRA.: 475 AGROTÉCNICA DEL NORTE, S.L"/>
    <n v="0"/>
    <n v="12.62"/>
    <n v="-12465.68"/>
    <s v="No"/>
    <m/>
    <s v="47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5"/>
    <s v="No"/>
    <n v="2892"/>
    <m/>
    <s v="N/FRA.: 474 FITOXENT S.C.L.V."/>
    <n v="0"/>
    <n v="25.84"/>
    <n v="-12491.5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6"/>
    <s v="No"/>
    <n v="3058"/>
    <m/>
    <s v="N/FRA.: 484 CABRERA MORALES FRANCISCO"/>
    <n v="0"/>
    <n v="37.9"/>
    <n v="-12529.42"/>
    <s v="No"/>
    <m/>
    <s v="48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6"/>
    <s v="No"/>
    <n v="3060"/>
    <m/>
    <s v="N/FRA.: 486 FITOXENT S.C.L.V."/>
    <n v="0"/>
    <n v="16"/>
    <n v="-12545.42"/>
    <s v="No"/>
    <m/>
    <s v="48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7"/>
    <s v="No"/>
    <n v="3287"/>
    <m/>
    <s v="N/FRA.: 489 VILLALTA SATIVUM, S.L."/>
    <n v="0"/>
    <n v="56.91"/>
    <n v="-12602.33"/>
    <s v="No"/>
    <m/>
    <s v="48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7"/>
    <s v="No"/>
    <n v="3288"/>
    <m/>
    <s v="N/FRA.: 490 BELLO ALIAGA ERNESTO"/>
    <n v="0"/>
    <n v="16"/>
    <n v="-12618.33"/>
    <s v="No"/>
    <m/>
    <s v="49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8"/>
    <s v="No"/>
    <n v="3290"/>
    <m/>
    <s v="N/FRA.: 493 AGROSER BERNARDINO, S.L."/>
    <n v="0"/>
    <n v="7.7"/>
    <n v="-12626.03"/>
    <s v="No"/>
    <m/>
    <s v="49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8"/>
    <s v="No"/>
    <n v="3291"/>
    <m/>
    <s v="N/FRA.: 494 AGRITEC MEDINA, S.L.U."/>
    <n v="0"/>
    <n v="4.42"/>
    <n v="-12630.45"/>
    <s v="No"/>
    <m/>
    <s v="49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8"/>
    <s v="No"/>
    <n v="3292"/>
    <m/>
    <s v="N/FRA.: 495 CITAL, S.L."/>
    <n v="0"/>
    <n v="5.6"/>
    <n v="-12636.05"/>
    <s v="No"/>
    <m/>
    <s v="49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8"/>
    <s v="No"/>
    <n v="3293"/>
    <m/>
    <s v="N/FRA.: 496 TRATAMIENTOS AGRICOLAS BRENE"/>
    <n v="0"/>
    <n v="15.4"/>
    <n v="-12651.45"/>
    <s v="No"/>
    <m/>
    <s v="49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8"/>
    <s v="No"/>
    <n v="3294"/>
    <m/>
    <s v="N/FRA.: 497 CITAL, S.L."/>
    <n v="0"/>
    <n v="8.4"/>
    <n v="-12659.85"/>
    <s v="No"/>
    <m/>
    <s v="49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8"/>
    <s v="No"/>
    <n v="3295"/>
    <m/>
    <s v="N/FRA.: 498 MAJ AGROQUIMICOS S.L."/>
    <n v="0"/>
    <n v="6.52"/>
    <n v="-12666.37"/>
    <s v="No"/>
    <m/>
    <s v="49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9"/>
    <s v="No"/>
    <n v="3299"/>
    <m/>
    <s v="N/FRA.: 499 ASOC. HORTICULTORES DE VILLA"/>
    <n v="0"/>
    <n v="12.1"/>
    <n v="-12678.47"/>
    <s v="No"/>
    <m/>
    <s v="49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9"/>
    <s v="No"/>
    <n v="3300"/>
    <m/>
    <s v="N/FRA.: 500 VILLALTA SATIVUM, S.L."/>
    <n v="0"/>
    <n v="5.19"/>
    <n v="-12683.66"/>
    <s v="No"/>
    <m/>
    <s v="50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9"/>
    <s v="No"/>
    <n v="3301"/>
    <m/>
    <s v="N/FRA.: 501 VILLALTA SATIVUM, S.L."/>
    <n v="0"/>
    <n v="51"/>
    <n v="-12734.66"/>
    <s v="No"/>
    <m/>
    <s v="50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9"/>
    <s v="No"/>
    <n v="3302"/>
    <m/>
    <s v="N/FRA.: 502 SERVIAGRI´ 97, S.L."/>
    <n v="0"/>
    <n v="0.72"/>
    <n v="-12735.38"/>
    <s v="No"/>
    <m/>
    <s v="50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9"/>
    <s v="No"/>
    <n v="3303"/>
    <m/>
    <s v="N/FRA.: 503 TRATAMIENTOS AGRICOLAS BRENE"/>
    <n v="0"/>
    <n v="15.4"/>
    <n v="-12750.78"/>
    <s v="No"/>
    <m/>
    <s v="50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9"/>
    <s v="No"/>
    <n v="3304"/>
    <m/>
    <s v="N/FRA.: 504 FITOXENT S.C.L.V."/>
    <n v="0"/>
    <n v="21.7"/>
    <n v="-12772.48"/>
    <s v="No"/>
    <m/>
    <s v="50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9"/>
    <s v="No"/>
    <n v="3305"/>
    <m/>
    <s v="N/FRA.: 505 AGROTÉCNICA DEL NORTE, S.L"/>
    <n v="0"/>
    <n v="11.24"/>
    <n v="-12783.72"/>
    <s v="No"/>
    <m/>
    <s v="50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09"/>
    <s v="No"/>
    <n v="3307"/>
    <m/>
    <s v="N/FRA.: 506 BARDENAS COMERCIAL, S.L."/>
    <n v="0"/>
    <n v="41.34"/>
    <n v="-12825.06"/>
    <s v="No"/>
    <m/>
    <s v="50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0"/>
    <s v="No"/>
    <n v="3337"/>
    <m/>
    <s v="N/FRA.: 507 AGROVEYCA,S.L"/>
    <n v="0"/>
    <n v="6.7"/>
    <n v="-12831.76"/>
    <s v="No"/>
    <m/>
    <s v="50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1"/>
    <s v="No"/>
    <n v="3361"/>
    <m/>
    <s v="N/FRA.: 508 SERVICIOS AGRÍCOLAS CAMPO RI"/>
    <n v="0"/>
    <n v="16"/>
    <n v="-12847.7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1"/>
    <s v="No"/>
    <n v="3391"/>
    <m/>
    <s v="N/FRA.: 510 BARAHONA HERNAEZ, DAVID"/>
    <n v="0"/>
    <n v="5"/>
    <n v="-12852.7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1"/>
    <s v="No"/>
    <n v="3392"/>
    <m/>
    <s v="N/FRA.: 511 TRATAMIENTOS AGRICOLAS BRENE"/>
    <n v="0"/>
    <n v="23.1"/>
    <n v="-12875.86"/>
    <s v="No"/>
    <m/>
    <s v="51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1"/>
    <s v="No"/>
    <n v="3396"/>
    <m/>
    <s v="N/FRA.: 513 AGROSER BERNARDINO, S.L."/>
    <n v="0"/>
    <n v="4.2"/>
    <n v="-12880.0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2"/>
    <s v="No"/>
    <n v="3401"/>
    <m/>
    <s v="N/FRA.: 516 SERVIAGRI´ 97, S.L."/>
    <n v="0"/>
    <n v="15.68"/>
    <n v="-12895.7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2"/>
    <s v="No"/>
    <n v="3402"/>
    <m/>
    <s v="N/FRA.: 517 AGROSER BERNARDINO, S.L."/>
    <n v="0"/>
    <n v="15.4"/>
    <n v="-12911.1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2"/>
    <s v="No"/>
    <n v="3403"/>
    <m/>
    <s v="N/FRA.: 518 SERVIAGRI´ 97, S.L."/>
    <n v="0"/>
    <n v="1.08"/>
    <n v="-12912.2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3"/>
    <s v="No"/>
    <n v="3467"/>
    <m/>
    <s v="N/FRA.: 523 BELLO ALIAGA ERNESTO"/>
    <n v="0"/>
    <n v="23.34"/>
    <n v="-12935.5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3"/>
    <s v="No"/>
    <n v="3468"/>
    <m/>
    <s v="N/FRA.: 524 FRUITURE ADVISORS, S.L."/>
    <n v="0"/>
    <n v="3.48"/>
    <n v="-12939.0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3"/>
    <s v="No"/>
    <n v="3469"/>
    <m/>
    <s v="N/FRA.: 525 VILLALTA SATIVUM, S.L."/>
    <n v="0"/>
    <n v="4.8"/>
    <n v="-12943.84"/>
    <s v="No"/>
    <m/>
    <s v="52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3"/>
    <s v="No"/>
    <n v="3470"/>
    <m/>
    <s v="N/FRA.: 526 FRUITURE ADVISORS, S.L."/>
    <n v="0"/>
    <n v="2.1"/>
    <n v="-12945.9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3"/>
    <s v="No"/>
    <n v="3471"/>
    <m/>
    <s v="N/FRA.: 527 HORTOCAMPO, S.A."/>
    <n v="0"/>
    <n v="14.76"/>
    <n v="-12960.7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3"/>
    <s v="No"/>
    <n v="3473"/>
    <m/>
    <s v="N/FRA.: 528 CABRERA MORALES FRANCISCO"/>
    <n v="0"/>
    <n v="32.630000000000003"/>
    <n v="-12993.33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3"/>
    <s v="No"/>
    <n v="3474"/>
    <m/>
    <s v="N/FRA.: 529 AGROQUIMICAS DRAGO S.L."/>
    <n v="0"/>
    <n v="6.87"/>
    <n v="-13000.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3"/>
    <s v="No"/>
    <n v="3475"/>
    <m/>
    <s v="N/FRA.: 530 AGROQUIMICAS DRAGO S.L."/>
    <n v="0"/>
    <n v="21.62"/>
    <n v="-13021.8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4"/>
    <s v="No"/>
    <n v="3478"/>
    <m/>
    <s v="N/FRA.: 531 SERVIAGRI´ 97, S.L."/>
    <n v="0"/>
    <n v="16"/>
    <n v="-13037.8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4"/>
    <s v="No"/>
    <n v="3479"/>
    <m/>
    <s v="N/FRA.: 532 SERVIAGRI´ 97, S.L."/>
    <n v="0"/>
    <n v="7.7"/>
    <n v="-13045.52"/>
    <s v="No"/>
    <m/>
    <s v="53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5"/>
    <s v="No"/>
    <n v="3502"/>
    <m/>
    <s v="N/FRA.: 540 AGROSER BERNARDINO, S.L."/>
    <n v="0"/>
    <n v="11.5"/>
    <n v="-13057.0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29"/>
    <m/>
    <s v="N/FRA.: 542 SERVIAGRI´ 97, S.L."/>
    <n v="0"/>
    <n v="23.79"/>
    <n v="-13080.8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30"/>
    <m/>
    <s v="N/FRA.: 543 ASOC. HORTICULTORES DE VILLA"/>
    <n v="0"/>
    <n v="4.9000000000000004"/>
    <n v="-13085.7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31"/>
    <m/>
    <s v="N/FRA.: 544 AGRONEW FITO, S.L."/>
    <n v="0"/>
    <n v="16"/>
    <n v="-13101.7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32"/>
    <m/>
    <s v="N/FRA.: 545 VILLALTA SATIVUM, S.L."/>
    <n v="0"/>
    <n v="21.68"/>
    <n v="-13123.39"/>
    <s v="No"/>
    <m/>
    <s v="54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33"/>
    <m/>
    <s v="N/FRA.: 546 AGRICOLA DEL JUCAR DE CUENCA"/>
    <n v="0"/>
    <n v="17.03"/>
    <n v="-13140.4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45"/>
    <m/>
    <s v="N/FRA.: 555 BOSCO ABASCAL, S.L."/>
    <n v="0"/>
    <n v="14.56"/>
    <n v="-13154.9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46"/>
    <m/>
    <s v="N/FRA.: 556 CODIMED EXPORT, S.L."/>
    <n v="0"/>
    <n v="136.16"/>
    <n v="-13291.1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54"/>
    <m/>
    <s v="N/FRA.: 557 CAMPOEJIDO S.C.A."/>
    <n v="0"/>
    <n v="129.91"/>
    <n v="-13421.05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55"/>
    <m/>
    <s v="N/FRA.: 558 ASESORAMIENTO TECNICO DE CUL"/>
    <n v="0"/>
    <n v="62.14"/>
    <n v="-13483.1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56"/>
    <m/>
    <s v="N/FRA.: 559 COMERCIAL TÉCNICA FITOCARTHA"/>
    <n v="0"/>
    <n v="505.53"/>
    <n v="-13988.7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61"/>
    <m/>
    <s v="N/FRA.: 560 FITOMURCIA S.L."/>
    <n v="0"/>
    <n v="73"/>
    <n v="-14061.7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62"/>
    <m/>
    <s v="N/FRA.: 561 FITOMURCIA S.L."/>
    <n v="0"/>
    <n v="362.46"/>
    <n v="-14424.1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63"/>
    <m/>
    <s v="N/FRA.: 562 SAFIAGRO, S.A."/>
    <n v="0"/>
    <n v="16"/>
    <n v="-14440.18"/>
    <s v="No"/>
    <m/>
    <s v="56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65"/>
    <m/>
    <s v="N/FRA.: 563 AGROTÉCNICA DEL NORTE, S.L"/>
    <n v="0"/>
    <n v="5.28"/>
    <n v="-14445.46"/>
    <s v="No"/>
    <m/>
    <s v="56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6"/>
    <s v="No"/>
    <n v="3567"/>
    <m/>
    <s v="N/FRA.: 7 MAJ AGROQUIMICOS S.L."/>
    <n v="0"/>
    <n v="-0.24"/>
    <n v="-14445.22"/>
    <s v="No"/>
    <m/>
    <s v="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7"/>
    <s v="No"/>
    <n v="3581"/>
    <m/>
    <s v="N/FRA.: 566 AGROQUIMICAS DRAGO S.L."/>
    <n v="0"/>
    <n v="62.81"/>
    <n v="-14508.03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8"/>
    <s v="No"/>
    <n v="3587"/>
    <m/>
    <s v="N/FRA.: 567 SERVIAGRI´ 97, S.L."/>
    <n v="0"/>
    <n v="41.16"/>
    <n v="-14549.19"/>
    <s v="No"/>
    <m/>
    <s v="56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8"/>
    <s v="No"/>
    <n v="3588"/>
    <m/>
    <s v="N/FRA.: 568 AGROTÉCNICA DEL NORTE, S.L"/>
    <n v="0"/>
    <n v="3.78"/>
    <n v="-14552.97"/>
    <s v="No"/>
    <m/>
    <s v="56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8"/>
    <s v="No"/>
    <n v="3589"/>
    <m/>
    <s v="N/FRA.: 569 VILLALTA SATIVUM, S.L."/>
    <n v="0"/>
    <n v="15.4"/>
    <n v="-14568.37"/>
    <s v="No"/>
    <m/>
    <s v="56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8"/>
    <s v="No"/>
    <n v="3590"/>
    <m/>
    <s v="N/FRA.: 570 FITOXENT S.C.L.V."/>
    <n v="0"/>
    <n v="203.54"/>
    <n v="-14771.9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19"/>
    <s v="No"/>
    <n v="3735"/>
    <m/>
    <s v="N/FRA.: 574 CABRERA MORALES FRANCISCO"/>
    <n v="0"/>
    <n v="46.61"/>
    <n v="-14818.5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88"/>
    <m/>
    <s v="N/FRA.: 580 BELLO ALIAGA ERNESTO"/>
    <n v="0"/>
    <n v="16"/>
    <n v="-14834.5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89"/>
    <m/>
    <s v="N/FRA.: 581 COMERCIAL NANCLARES, S.L."/>
    <n v="0"/>
    <n v="5.56"/>
    <n v="-14840.0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0"/>
    <m/>
    <s v="N/FRA.: 582 MAJ AGROQUIMICOS S.L."/>
    <n v="0"/>
    <n v="6.36"/>
    <n v="-14846.4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1"/>
    <m/>
    <s v="N/FRA.: 583 CITAL, S.L."/>
    <n v="0"/>
    <n v="10.28"/>
    <n v="-14856.7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2"/>
    <m/>
    <s v="N/FRA.: 584 BARAHONA HERNAEZ, DAVID"/>
    <n v="0"/>
    <n v="5"/>
    <n v="-14861.7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3"/>
    <m/>
    <s v="N/FRA.: 585 BARDENAS COMERCIAL, S.L."/>
    <n v="0"/>
    <n v="6.24"/>
    <n v="-14867.9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4"/>
    <m/>
    <s v="N/FRA.: 586 VILLALTA SATIVUM, S.L."/>
    <n v="0"/>
    <n v="23.7"/>
    <n v="-14891.6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5"/>
    <m/>
    <s v="N/FRA.: 587 AGROTÉCNICA DEL NORTE, S.L"/>
    <n v="0"/>
    <n v="6.15"/>
    <n v="-14897.8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6"/>
    <m/>
    <s v="N/FRA.: 588 AGRITEC MEDINA, S.L.U."/>
    <n v="0"/>
    <n v="3.45"/>
    <n v="-14901.2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8"/>
    <m/>
    <s v="N/FRA.: 589 VILLALTA SATIVUM, S.L."/>
    <n v="0"/>
    <n v="9.6"/>
    <n v="-14910.8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899"/>
    <m/>
    <s v="N/FRA.: 590 AGRITEC MEDINA, S.L.U."/>
    <n v="0"/>
    <n v="1.94"/>
    <n v="-14912.8"/>
    <s v="No"/>
    <m/>
    <s v="59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900"/>
    <m/>
    <s v="N/FRA.: 591 MAJ AGROQUIMICOS S.L."/>
    <n v="0"/>
    <n v="5.9"/>
    <n v="-14918.7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901"/>
    <m/>
    <s v="N/FRA.: 592 ASOC. HORTICULTORES DE VILLA"/>
    <n v="0"/>
    <n v="7.29"/>
    <n v="-14925.9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902"/>
    <m/>
    <s v="N/FRA.: 593 BELLO ALIAGA ERNESTO"/>
    <n v="0"/>
    <n v="16"/>
    <n v="-14941.9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903"/>
    <m/>
    <s v="N/FRA.: 594 VILLALTA SATIVUM, S.L."/>
    <n v="0"/>
    <n v="16"/>
    <n v="-14957.99"/>
    <s v="No"/>
    <m/>
    <s v="59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904"/>
    <m/>
    <s v="N/FRA.: 595 T.J AGRICULTURA S.L."/>
    <n v="0"/>
    <n v="14.2"/>
    <n v="-14972.1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0"/>
    <s v="No"/>
    <n v="3905"/>
    <m/>
    <s v="N/FRA.: 596 T.J AGRICULTURA S.L."/>
    <n v="0"/>
    <n v="7.1"/>
    <n v="-14979.2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1"/>
    <s v="No"/>
    <n v="3928"/>
    <m/>
    <s v="N/FRA.: 597 FRUITURE ADVISORS, S.L."/>
    <n v="0"/>
    <n v="5"/>
    <n v="-14984.2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1"/>
    <s v="No"/>
    <n v="3929"/>
    <m/>
    <s v="N/FRA.: 598 FRUITURE ADVISORS, S.L."/>
    <n v="0"/>
    <n v="6.72"/>
    <n v="-14991.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1"/>
    <s v="No"/>
    <n v="3930"/>
    <m/>
    <s v="N/FRA.: 599 CAMP-ALT S.L."/>
    <n v="0"/>
    <n v="7.84"/>
    <n v="-14998.85"/>
    <s v="No"/>
    <m/>
    <s v="59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1"/>
    <s v="No"/>
    <n v="3931"/>
    <m/>
    <s v="N/FRA.: 600 EL PINAR BERRIES, S.L."/>
    <n v="0"/>
    <n v="16"/>
    <n v="-15014.85"/>
    <s v="No"/>
    <m/>
    <s v="60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1"/>
    <s v="No"/>
    <n v="3933"/>
    <m/>
    <s v="N/FRA.: 601 AGRONEW FITO, S.L."/>
    <n v="0"/>
    <n v="16"/>
    <n v="-15030.85"/>
    <s v="No"/>
    <m/>
    <s v="60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1"/>
    <s v="No"/>
    <n v="3934"/>
    <m/>
    <s v="N/FRA.: 602 ASOC. HORTICULTORES DE VILLA"/>
    <n v="0"/>
    <n v="4.91"/>
    <n v="-15035.7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1"/>
    <s v="No"/>
    <n v="3936"/>
    <m/>
    <s v="N/FRA.: 603 FITOSANITARIOS DRAGO S.L.U"/>
    <n v="0"/>
    <n v="48"/>
    <n v="-15083.7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2"/>
    <s v="No"/>
    <n v="4001"/>
    <m/>
    <s v="N/FRA.: 606 AGROTÉCNICA DEL NORTE, S.L"/>
    <n v="0"/>
    <n v="5.66"/>
    <n v="-15089.4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2"/>
    <s v="No"/>
    <n v="4002"/>
    <m/>
    <s v="N/FRA.: 607 VILLALTA SATIVUM, S.L."/>
    <n v="0"/>
    <n v="15.4"/>
    <n v="-15104.82"/>
    <s v="No"/>
    <m/>
    <s v="60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3"/>
    <s v="No"/>
    <n v="4005"/>
    <m/>
    <s v="N/FRA.: 608 GUIVARTO AGRICOLA, S.L."/>
    <n v="0"/>
    <n v="233.89"/>
    <n v="-15338.71"/>
    <s v="No"/>
    <m/>
    <s v="60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3"/>
    <s v="No"/>
    <n v="4006"/>
    <m/>
    <s v="N/FRA.: 609 AGRITEC MEDINA, S.L.U."/>
    <n v="0"/>
    <n v="3.32"/>
    <n v="-15342.03"/>
    <s v="No"/>
    <m/>
    <s v="60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3"/>
    <s v="No"/>
    <n v="4007"/>
    <m/>
    <s v="N/FRA.: 610 AGROSER BERNARDINO, S.L."/>
    <n v="0"/>
    <n v="7.7"/>
    <n v="-15349.73"/>
    <s v="No"/>
    <m/>
    <s v="61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3"/>
    <s v="No"/>
    <n v="4008"/>
    <m/>
    <s v="N/FRA.: 611 TRATAMIENTOS AGRICOLAS BRENE"/>
    <n v="0"/>
    <n v="15.4"/>
    <n v="-15365.13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4"/>
    <s v="No"/>
    <n v="4079"/>
    <m/>
    <s v="N/FRA.: 612 MUNDOHUERTO-CARMEN SOLAZ BLA"/>
    <n v="0"/>
    <n v="14.76"/>
    <n v="-15379.8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4"/>
    <s v="No"/>
    <n v="4080"/>
    <m/>
    <s v="N/FRA.: 613 AGRONEW FITO, S.L."/>
    <n v="0"/>
    <n v="5"/>
    <n v="-15384.8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5"/>
    <s v="No"/>
    <n v="4119"/>
    <m/>
    <s v="N/FRA.: 614 CITAL, S.L."/>
    <n v="0"/>
    <n v="16"/>
    <n v="-15400.8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5"/>
    <s v="No"/>
    <n v="4120"/>
    <m/>
    <s v="N/FRA.: 615 VILLALTA SATIVUM, S.L."/>
    <n v="0"/>
    <n v="16.77"/>
    <n v="-15417.6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5"/>
    <s v="No"/>
    <n v="4121"/>
    <m/>
    <s v="N/FRA.: 616 AGROTÉCNICA DEL NORTE, S.L"/>
    <n v="0"/>
    <n v="4.92"/>
    <n v="-15422.5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6"/>
    <s v="No"/>
    <n v="4149"/>
    <m/>
    <s v="N/FRA.: 617 MAJ AGROQUIMICOS S.L."/>
    <n v="0"/>
    <n v="6.37"/>
    <n v="-15428.95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6"/>
    <s v="No"/>
    <n v="4150"/>
    <m/>
    <s v="N/FRA.: 618 AGRONEW FITO, S.L."/>
    <n v="0"/>
    <n v="16"/>
    <n v="-15444.95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6"/>
    <s v="No"/>
    <n v="4157"/>
    <m/>
    <s v="N/FRA.: 8 AGROTÉCNICA DEL NORTE, S.L"/>
    <n v="0"/>
    <n v="-0.37"/>
    <n v="-15444.5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6"/>
    <s v="No"/>
    <n v="4160"/>
    <m/>
    <s v="N/FRA.: 9 CODIMED EXPORT, S.L."/>
    <n v="0"/>
    <n v="-6.36"/>
    <n v="-15438.2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7"/>
    <s v="No"/>
    <n v="4220"/>
    <m/>
    <s v="N/FRA.: 12 UNICOM SERVICIOS Y GESTION S."/>
    <n v="0"/>
    <n v="-15.36"/>
    <n v="-15422.8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8"/>
    <s v="No"/>
    <n v="4233"/>
    <m/>
    <s v="N/FRA.: 620 BARDENAS COMERCIAL, S.L."/>
    <n v="0"/>
    <n v="19.68"/>
    <n v="-15442.5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9"/>
    <s v="No"/>
    <n v="4239"/>
    <m/>
    <s v="N/FRA.: 621 CABRERA MORALES FRANCISCO"/>
    <n v="0"/>
    <n v="45.7"/>
    <n v="-15488.2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9"/>
    <s v="No"/>
    <n v="4241"/>
    <m/>
    <s v="N/FRA.: 622 FITOMURCIA S.L."/>
    <n v="0"/>
    <n v="164.52"/>
    <n v="-15652.7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9"/>
    <s v="No"/>
    <n v="4242"/>
    <m/>
    <s v="N/FRA.: 623 COOP.AGRIC. SAN ISIDRO S.C.A"/>
    <n v="0"/>
    <n v="133.04"/>
    <n v="-15785.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9"/>
    <s v="No"/>
    <n v="4244"/>
    <m/>
    <s v="N/FRA.: 625 COMERCIAL TÉCNICA FITOCARTHA"/>
    <n v="0"/>
    <n v="43.48"/>
    <n v="-15829.2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9"/>
    <s v="No"/>
    <n v="4245"/>
    <m/>
    <s v="N/FRA.: 626 ASESORAMIENTO TECNICO DE CUL"/>
    <n v="0"/>
    <n v="37.299999999999997"/>
    <n v="-15866.5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9"/>
    <s v="No"/>
    <n v="4246"/>
    <m/>
    <s v="N/FRA.: 627 CODIMED EXPORT, S.L."/>
    <n v="0"/>
    <n v="83.58"/>
    <n v="-15950.1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29"/>
    <s v="No"/>
    <n v="4247"/>
    <m/>
    <s v="N/FRA.: 628 SAFIAGRO, S.A."/>
    <n v="0"/>
    <n v="48"/>
    <n v="-15998.1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0"/>
    <s v="No"/>
    <n v="4256"/>
    <m/>
    <s v="N/FRA.: 624 FITOXENT S.C.L.V."/>
    <n v="0"/>
    <n v="27.18"/>
    <n v="-16025.3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0"/>
    <s v="No"/>
    <n v="4258"/>
    <m/>
    <s v="N/FRA.: 14 FITOXENT S.C.L.V."/>
    <n v="0"/>
    <n v="-7.38"/>
    <n v="-16017.9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0"/>
    <s v="No"/>
    <n v="4260"/>
    <m/>
    <s v="N/FRA.: 630 ASOC. HORTICULTORES DE VILLA"/>
    <n v="0"/>
    <n v="4.8499999999999996"/>
    <n v="-16022.81"/>
    <s v="No"/>
    <m/>
    <s v="63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0"/>
    <s v="No"/>
    <n v="4261"/>
    <m/>
    <s v="N/FRA.: 631 FITOMURCIA S.L."/>
    <n v="0"/>
    <n v="23.7"/>
    <n v="-16046.5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0"/>
    <s v="No"/>
    <n v="4262"/>
    <m/>
    <s v="N/FRA.: 629 AGRICOLA DEL JUCAR DE CUENCA"/>
    <n v="0"/>
    <n v="3.76"/>
    <n v="-16050.27"/>
    <s v="No"/>
    <m/>
    <s v="629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1"/>
    <s v="No"/>
    <n v="4289"/>
    <m/>
    <s v="N/FRA.: 632 CAMPOEJIDO S.C.A."/>
    <n v="0"/>
    <n v="549.66"/>
    <n v="-16599.93"/>
    <s v="No"/>
    <m/>
    <s v="63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1"/>
    <s v="No"/>
    <n v="4290"/>
    <m/>
    <s v="N/FRA.: 633 SERVIAGRI´ 97, S.L."/>
    <n v="0"/>
    <n v="20.32"/>
    <n v="-16620.25"/>
    <s v="No"/>
    <m/>
    <s v="63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1"/>
    <s v="No"/>
    <n v="4292"/>
    <m/>
    <s v="N/FRA.: 635 CODIMED EXPORT, S.L."/>
    <n v="0"/>
    <n v="4.8"/>
    <n v="-16625.05"/>
    <s v="No"/>
    <m/>
    <s v="63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1"/>
    <s v="No"/>
    <n v="4293"/>
    <m/>
    <s v="N/FRA.: 634 FITOXENT S.C.L.V."/>
    <n v="0"/>
    <n v="30.76"/>
    <n v="-16655.810000000001"/>
    <s v="No"/>
    <m/>
    <s v="63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2"/>
    <s v="No"/>
    <n v="4372"/>
    <m/>
    <s v="N/FRA.: 642 VILLALTA SATIVUM, S.L."/>
    <n v="0"/>
    <n v="16.48"/>
    <n v="-16672.2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3"/>
    <s v="No"/>
    <n v="4412"/>
    <m/>
    <s v="N/FRA.: 645 COMERCIAL NORTE AGROCAMPO, S"/>
    <n v="0"/>
    <n v="7.74"/>
    <n v="-16680.03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3"/>
    <s v="No"/>
    <n v="4413"/>
    <m/>
    <s v="N/FRA.: 646 BARDENAS COMERCIAL, S.L."/>
    <n v="0"/>
    <n v="24.84"/>
    <n v="-16704.87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4"/>
    <s v="No"/>
    <n v="4431"/>
    <m/>
    <s v="N/FRA.: 647 TRATAMIENTOS AGRICOLAS BRENE"/>
    <n v="0"/>
    <n v="15.4"/>
    <n v="-16720.27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4"/>
    <s v="No"/>
    <n v="4432"/>
    <m/>
    <s v="N/FRA.: 648 CABRERA MORALES FRANCISCO"/>
    <n v="0"/>
    <n v="120.03"/>
    <n v="-16840.3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4"/>
    <s v="No"/>
    <n v="4433"/>
    <m/>
    <s v="N/FRA.: 649 MARTINEZ S.C."/>
    <n v="0"/>
    <n v="7.81"/>
    <n v="-16848.1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5"/>
    <s v="No"/>
    <n v="4454"/>
    <m/>
    <s v="N/FRA.: 650 MUNDOHUERTO-CARMEN SOLAZ BLA"/>
    <n v="0"/>
    <n v="0.5"/>
    <n v="-16848.61"/>
    <s v="No"/>
    <m/>
    <s v="65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5"/>
    <s v="No"/>
    <n v="4455"/>
    <m/>
    <s v="N/FRA.: 651 FRUITURE ADVISORS, S.L."/>
    <n v="0"/>
    <n v="13.08"/>
    <n v="-16861.68999999999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5"/>
    <s v="No"/>
    <n v="4456"/>
    <m/>
    <s v="N/FRA.: 652 BARDENAS COMERCIAL, S.L."/>
    <n v="0"/>
    <n v="19.68"/>
    <n v="-16881.37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5"/>
    <s v="No"/>
    <n v="4457"/>
    <m/>
    <s v="N/FRA.: 653 HORTICOLAS Y PATATAS HNOS. M"/>
    <n v="0"/>
    <n v="9.34"/>
    <n v="-16890.71"/>
    <s v="No"/>
    <m/>
    <s v="65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5"/>
    <s v="No"/>
    <n v="4458"/>
    <m/>
    <s v="N/FRA.: 654 COMERCIAL NANCLARES, S.L."/>
    <n v="0"/>
    <n v="5.4"/>
    <n v="-16896.1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6"/>
    <s v="No"/>
    <n v="4501"/>
    <m/>
    <s v="N/FRA.: 655 BARDENAS COMERCIAL, S.L."/>
    <n v="0"/>
    <n v="19.68"/>
    <n v="-16915.7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6"/>
    <s v="No"/>
    <n v="4502"/>
    <m/>
    <s v="N/FRA.: 656 VILLALTA SATIVUM, S.L."/>
    <n v="0"/>
    <n v="18.2"/>
    <n v="-16933.99000000000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6"/>
    <s v="No"/>
    <n v="4503"/>
    <m/>
    <s v="N/FRA.: 657 ASOC. HORTICULTORES DE VILLA"/>
    <n v="0"/>
    <n v="8.39"/>
    <n v="-16942.3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38"/>
    <m/>
    <s v="N/FRA.: 658 AGROQUIMICAS DRAGO S.L."/>
    <n v="0"/>
    <n v="54.84"/>
    <n v="-16997.22"/>
    <s v="No"/>
    <m/>
    <s v="65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39"/>
    <m/>
    <s v="N/FRA.: 659 CABRERA MORALES FRANCISCO"/>
    <n v="0"/>
    <n v="47.28"/>
    <n v="-17044.5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42"/>
    <m/>
    <s v="N/FRA.: 662 EL PINAR BERRIES, S.L."/>
    <n v="0"/>
    <n v="13.49"/>
    <n v="-17057.990000000002"/>
    <s v="No"/>
    <m/>
    <s v="66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43"/>
    <m/>
    <s v="N/FRA.: 663 AGROREBOLLO, S.L."/>
    <n v="0"/>
    <n v="2.5"/>
    <n v="-17060.490000000002"/>
    <s v="No"/>
    <m/>
    <s v="66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44"/>
    <m/>
    <s v="N/FRA.: 664 EL PINAR BERRIES, S.L."/>
    <n v="0"/>
    <n v="4.8"/>
    <n v="-17065.2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45"/>
    <m/>
    <s v="N/FRA.: 665 FITOXENT S.C.L.V."/>
    <n v="0"/>
    <n v="23.38"/>
    <n v="-17088.66999999999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46"/>
    <m/>
    <s v="N/FRA.: 666 ASOC. HORTICULTORES DE VILLA"/>
    <n v="0"/>
    <n v="6.28"/>
    <n v="-17094.95"/>
    <s v="No"/>
    <m/>
    <s v="66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47"/>
    <m/>
    <s v="N/FRA.: 667 FITOXENT S.C.L.V."/>
    <n v="0"/>
    <n v="32"/>
    <n v="-17126.95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48"/>
    <m/>
    <s v="N/FRA.: 661 FITOXENT S.C.L.V."/>
    <n v="0"/>
    <n v="25.9"/>
    <n v="-17152.849999999999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7"/>
    <s v="No"/>
    <n v="4549"/>
    <m/>
    <s v="N/FRA.: 668 AGRONEW FITO, S.L."/>
    <n v="0"/>
    <n v="16"/>
    <n v="-17168.849999999999"/>
    <s v="No"/>
    <m/>
    <s v="668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8"/>
    <s v="No"/>
    <n v="4576"/>
    <m/>
    <s v="N/FRA.: 670 FITOXENT S.C.L.V."/>
    <n v="0"/>
    <n v="9.9"/>
    <n v="-17178.75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03"/>
    <m/>
    <s v="N/FRA.: 673 AGRONEW FITO, S.L."/>
    <n v="0"/>
    <n v="1.56"/>
    <n v="-17180.3100000000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04"/>
    <m/>
    <s v="N/FRA.: 674 BARDENAS COMERCIAL, S.L."/>
    <n v="0"/>
    <n v="4.68"/>
    <n v="-17184.99000000000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05"/>
    <m/>
    <s v="N/FRA.: 675 MARTINEZ S.C."/>
    <n v="0"/>
    <n v="12.5"/>
    <n v="-17197.490000000002"/>
    <s v="No"/>
    <m/>
    <s v="675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06"/>
    <m/>
    <s v="N/FRA.: 676 GUIVARTO AGRICOLA, S.L."/>
    <n v="0"/>
    <n v="159.47"/>
    <n v="-17356.9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07"/>
    <m/>
    <s v="N/FRA.: 677 VILLALTA SATIVUM, S.L."/>
    <n v="0"/>
    <n v="25.18"/>
    <n v="-17382.14"/>
    <s v="No"/>
    <m/>
    <s v="677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08"/>
    <m/>
    <s v="N/FRA.: 678 AGROTÉCNICA DEL NORTE, S.L"/>
    <n v="0"/>
    <n v="6.48"/>
    <n v="-17388.6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09"/>
    <m/>
    <s v="N/FRA.: 679 BARDENAS COMERCIAL, S.L."/>
    <n v="0"/>
    <n v="14.76"/>
    <n v="-17403.3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10"/>
    <m/>
    <s v="N/FRA.: 680 AGROCAMP CANET S.L."/>
    <n v="0"/>
    <n v="7.38"/>
    <n v="-17410.75999999999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11"/>
    <m/>
    <s v="N/FRA.: 681 BARDENAS COMERCIAL, S.L."/>
    <n v="0"/>
    <n v="14.88"/>
    <n v="-17425.6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12"/>
    <m/>
    <s v="N/FRA.: 682 AGROTÉCNICA DEL NORTE, S.L"/>
    <n v="0"/>
    <n v="4.92"/>
    <n v="-17430.5600000000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13"/>
    <m/>
    <s v="N/FRA.: 683 SUCA, S.C.A."/>
    <n v="0"/>
    <n v="1.48"/>
    <n v="-17432.0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14"/>
    <m/>
    <s v="N/FRA.: 684 VILLALTA SATIVUM, S.L."/>
    <n v="0"/>
    <n v="5.6"/>
    <n v="-17437.6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39"/>
    <s v="No"/>
    <n v="4715"/>
    <m/>
    <s v="N/FRA.: 16 AGROTÉCNICA DEL NORTE, S.L"/>
    <n v="0"/>
    <n v="-0.49"/>
    <n v="-17437.1500000000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0"/>
    <s v="No"/>
    <n v="4725"/>
    <m/>
    <s v="N/FRA.: 685 ASESORAMIENTO TECNICO DE CUL"/>
    <n v="0"/>
    <n v="32.5"/>
    <n v="-17469.6500000000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0"/>
    <s v="No"/>
    <n v="4726"/>
    <m/>
    <s v="N/FRA.: 686 SAFIAGRO, S.A."/>
    <n v="0"/>
    <n v="16"/>
    <n v="-17485.650000000001"/>
    <s v="No"/>
    <m/>
    <s v="686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69"/>
    <m/>
    <s v="N/FRA.: 690 FRUITURE ADVISORS, S.L."/>
    <n v="0"/>
    <n v="5"/>
    <n v="-17490.6500000000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70"/>
    <m/>
    <s v="N/FRA.: 691 SERVIAGRI´ 97, S.L."/>
    <n v="0"/>
    <n v="6.6"/>
    <n v="-17497.25"/>
    <s v="No"/>
    <m/>
    <s v="69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71"/>
    <m/>
    <s v="N/FRA.: 692 BARDENAS COMERCIAL, S.L."/>
    <n v="0"/>
    <n v="14.76"/>
    <n v="-17512.009999999998"/>
    <s v="No"/>
    <m/>
    <s v="692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72"/>
    <m/>
    <s v="N/FRA.: 693 COOP.AGRIC. SAN ISIDRO S.C.A"/>
    <n v="0"/>
    <n v="73.33"/>
    <n v="-17585.3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73"/>
    <m/>
    <s v="N/FRA.: 694 MUNDOHUERTO-CARMEN SOLAZ BLA"/>
    <n v="0"/>
    <n v="0.98"/>
    <n v="-17586.3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77"/>
    <m/>
    <s v="N/FRA.: 695 COMERCIAL TÉCNICA FITOCARTHA"/>
    <n v="0"/>
    <n v="48"/>
    <n v="-17634.3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78"/>
    <m/>
    <s v="N/FRA.: 696 CAMPOEJIDO S.C.A."/>
    <n v="0"/>
    <n v="56.4"/>
    <n v="-17690.72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80"/>
    <m/>
    <s v="N/FRA.: 20 AGRONEW FITO, S.L."/>
    <n v="0"/>
    <n v="-1.56"/>
    <n v="-17689.16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91"/>
    <m/>
    <s v="N/FRA.: 700 VILLALTA SATIVUM, S.L."/>
    <n v="0"/>
    <n v="7.7"/>
    <n v="-17696.86"/>
    <s v="No"/>
    <m/>
    <s v="700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92"/>
    <m/>
    <s v="N/FRA.: 701 FITOMURCIA S.L."/>
    <n v="0"/>
    <n v="199.42"/>
    <n v="-17896.2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94"/>
    <m/>
    <s v="N/FRA.: 21 BARDENAS COMERCIAL, S.L."/>
    <n v="0"/>
    <n v="-4.68"/>
    <n v="-17891.599999999999"/>
    <s v="No"/>
    <m/>
    <s v="21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95"/>
    <m/>
    <s v="N/FRA.: 22 BARDENAS COMERCIAL, S.L."/>
    <n v="0"/>
    <n v="-14.76"/>
    <n v="-17876.84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96"/>
    <m/>
    <s v="N/FRA.: 23 BARDENAS COMERCIAL, S.L."/>
    <n v="0"/>
    <n v="-14.88"/>
    <n v="-17861.96"/>
    <s v="No"/>
    <m/>
    <s v="23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97"/>
    <m/>
    <s v="N/FRA.: 702 CABRERA MORALES FRANCISCO"/>
    <n v="0"/>
    <n v="141.84"/>
    <n v="-18003.8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799"/>
    <m/>
    <s v="N/FRA.: 704 FITOMURCIA S.L."/>
    <n v="0"/>
    <n v="184.4"/>
    <n v="-18188.2"/>
    <s v="No"/>
    <m/>
    <s v="704"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  <r>
    <n v="50"/>
    <x v="141"/>
    <s v="No"/>
    <n v="4832"/>
    <m/>
    <s v="N/FRA.: 708 CAMPOEJIDO S.C.A."/>
    <n v="0"/>
    <n v="162.19999999999999"/>
    <n v="-18350.400000000001"/>
    <s v="No"/>
    <m/>
    <m/>
    <n v="0"/>
    <m/>
    <s v="CEN"/>
    <m/>
    <m/>
    <m/>
    <m/>
    <m/>
    <m/>
    <m/>
    <m/>
    <m/>
    <m/>
    <n v="0"/>
    <n v="0"/>
    <n v="0"/>
    <x v="0"/>
    <s v="705000001"/>
    <m/>
    <m/>
    <s v="No"/>
    <s v="No"/>
    <s v="No"/>
    <s v="No"/>
    <s v="No"/>
    <s v="No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741BD-23F2-4E0A-B260-B385EA40E01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" firstHeaderRow="1" firstDataRow="1" firstDataCol="1"/>
  <pivotFields count="43">
    <pivotField showAll="0"/>
    <pivotField axis="axisRow" numFmtId="14"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42"/>
    <field x="40"/>
    <field x="1"/>
  </rowFields>
  <rowItems count="15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a de Habe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D0A4-EAC6-4200-9941-5E090B886D6A}">
  <dimension ref="A3:T36"/>
  <sheetViews>
    <sheetView tabSelected="1" topLeftCell="C1" workbookViewId="0">
      <selection activeCell="H12" sqref="H12"/>
    </sheetView>
  </sheetViews>
  <sheetFormatPr baseColWidth="10" defaultRowHeight="14.5" x14ac:dyDescent="0.35"/>
  <cols>
    <col min="1" max="1" width="16.54296875" bestFit="1" customWidth="1"/>
    <col min="2" max="2" width="13.453125" style="4" bestFit="1" customWidth="1"/>
    <col min="9" max="15" width="10.90625" style="4"/>
  </cols>
  <sheetData>
    <row r="3" spans="1:20" x14ac:dyDescent="0.35">
      <c r="A3" s="1" t="s">
        <v>0</v>
      </c>
      <c r="B3" s="4" t="s">
        <v>2</v>
      </c>
      <c r="E3" t="s">
        <v>17</v>
      </c>
    </row>
    <row r="4" spans="1:20" x14ac:dyDescent="0.35">
      <c r="A4" s="2" t="s">
        <v>3</v>
      </c>
      <c r="B4" s="4">
        <v>9533.14</v>
      </c>
      <c r="E4" t="s">
        <v>19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5</v>
      </c>
      <c r="R4" s="3" t="s">
        <v>6</v>
      </c>
      <c r="S4" s="3" t="s">
        <v>7</v>
      </c>
      <c r="T4" s="3" t="s">
        <v>8</v>
      </c>
    </row>
    <row r="5" spans="1:20" x14ac:dyDescent="0.35">
      <c r="A5" s="3" t="s">
        <v>5</v>
      </c>
      <c r="B5" s="4">
        <v>2156.9900000000002</v>
      </c>
      <c r="C5" s="5">
        <f>B5*1.1685</f>
        <v>2520.4428150000003</v>
      </c>
      <c r="E5" t="s">
        <v>18</v>
      </c>
      <c r="I5" s="4">
        <v>1295.6299999999999</v>
      </c>
      <c r="J5" s="4">
        <v>6097.12</v>
      </c>
      <c r="K5" s="4">
        <v>-1420.1499999999992</v>
      </c>
      <c r="L5" s="4">
        <v>3246.37</v>
      </c>
      <c r="M5" s="4">
        <v>2913.0899999999997</v>
      </c>
      <c r="N5" s="4">
        <v>2313.1600000000008</v>
      </c>
      <c r="O5" s="4">
        <v>2210.59</v>
      </c>
      <c r="P5" s="4">
        <v>1694.59</v>
      </c>
      <c r="Q5" s="4">
        <v>2156.9900000000002</v>
      </c>
      <c r="R5" s="4">
        <v>1473.2199999999998</v>
      </c>
      <c r="S5" s="4">
        <v>1299.97</v>
      </c>
      <c r="T5" s="4">
        <v>4602.9599999999991</v>
      </c>
    </row>
    <row r="6" spans="1:20" x14ac:dyDescent="0.35">
      <c r="A6" s="3" t="s">
        <v>6</v>
      </c>
      <c r="B6" s="4">
        <v>1473.2199999999998</v>
      </c>
      <c r="C6" s="5">
        <f t="shared" ref="C6:C8" si="0">B6*1.1685</f>
        <v>1721.4575699999998</v>
      </c>
      <c r="E6" t="s">
        <v>20</v>
      </c>
      <c r="H6" s="7">
        <v>705000001</v>
      </c>
      <c r="I6" s="5">
        <f>I5*1.1685</f>
        <v>1513.943655</v>
      </c>
      <c r="J6" s="6">
        <f>(J5-4219.2)*1.1685</f>
        <v>2194.3495200000002</v>
      </c>
      <c r="K6" s="6">
        <f>(K5+4219.2)*1.1685</f>
        <v>3270.689925000001</v>
      </c>
      <c r="L6" s="5">
        <f>L5*1.1685</f>
        <v>3793.3833450000002</v>
      </c>
      <c r="M6" s="5">
        <f>M5*1.1685</f>
        <v>3403.9456649999997</v>
      </c>
      <c r="N6" s="5">
        <f>N5*1.1685</f>
        <v>2702.9274600000012</v>
      </c>
      <c r="O6" s="5">
        <f>O5*1.1685</f>
        <v>2583.0744150000005</v>
      </c>
      <c r="P6" s="5">
        <f>P5*1.1685</f>
        <v>1980.1284150000001</v>
      </c>
      <c r="Q6" s="5">
        <f>Q5*1.1685</f>
        <v>2520.4428150000003</v>
      </c>
      <c r="R6" s="5">
        <f>R5*1.1685</f>
        <v>1721.4575699999998</v>
      </c>
      <c r="S6" s="5">
        <f>S5*1.1685</f>
        <v>1519.0149450000001</v>
      </c>
      <c r="T6" s="5">
        <f>T5*1.1685</f>
        <v>5378.558759999999</v>
      </c>
    </row>
    <row r="7" spans="1:20" x14ac:dyDescent="0.35">
      <c r="A7" s="3" t="s">
        <v>7</v>
      </c>
      <c r="B7" s="4">
        <v>1299.97</v>
      </c>
      <c r="C7" s="5">
        <f t="shared" si="0"/>
        <v>1519.0149450000001</v>
      </c>
      <c r="H7" s="7">
        <v>700001624</v>
      </c>
    </row>
    <row r="8" spans="1:20" x14ac:dyDescent="0.35">
      <c r="A8" s="3" t="s">
        <v>8</v>
      </c>
      <c r="B8" s="4">
        <v>4602.9599999999991</v>
      </c>
      <c r="C8" s="5">
        <f t="shared" si="0"/>
        <v>5378.558759999999</v>
      </c>
      <c r="H8" s="7">
        <v>629000007</v>
      </c>
    </row>
    <row r="9" spans="1:20" x14ac:dyDescent="0.35">
      <c r="A9" s="2" t="s">
        <v>4</v>
      </c>
      <c r="B9" s="4">
        <v>18350.400000000001</v>
      </c>
    </row>
    <row r="10" spans="1:20" x14ac:dyDescent="0.35">
      <c r="A10" s="3" t="s">
        <v>9</v>
      </c>
      <c r="B10" s="4">
        <v>1295.6299999999999</v>
      </c>
      <c r="C10" s="5">
        <f>B10*1.1685</f>
        <v>1513.943655</v>
      </c>
      <c r="H10" s="7">
        <v>629000007</v>
      </c>
      <c r="I10" s="4" t="s">
        <v>5</v>
      </c>
      <c r="J10" s="4" t="s">
        <v>6</v>
      </c>
      <c r="K10" s="4" t="s">
        <v>7</v>
      </c>
      <c r="L10" s="4" t="s">
        <v>8</v>
      </c>
      <c r="M10" s="4" t="s">
        <v>9</v>
      </c>
      <c r="N10" t="s">
        <v>10</v>
      </c>
      <c r="O10" t="s">
        <v>11</v>
      </c>
      <c r="P10" t="s">
        <v>12</v>
      </c>
      <c r="Q10" t="s">
        <v>13</v>
      </c>
      <c r="R10" t="s">
        <v>14</v>
      </c>
      <c r="S10" t="s">
        <v>15</v>
      </c>
      <c r="T10" t="s">
        <v>16</v>
      </c>
    </row>
    <row r="11" spans="1:20" x14ac:dyDescent="0.35">
      <c r="A11" s="3" t="s">
        <v>10</v>
      </c>
      <c r="B11" s="4">
        <v>6097.12</v>
      </c>
      <c r="C11" s="6">
        <f>(B11-4219.2)*1.1685</f>
        <v>2194.3495200000002</v>
      </c>
      <c r="H11" t="s">
        <v>22</v>
      </c>
      <c r="I11" s="4">
        <v>1554.6</v>
      </c>
      <c r="J11" s="4">
        <v>2447.29</v>
      </c>
      <c r="K11" s="4">
        <v>1341.43</v>
      </c>
      <c r="L11" s="4">
        <v>8422.31</v>
      </c>
      <c r="M11" s="4">
        <v>7569.69</v>
      </c>
      <c r="N11" s="4">
        <v>1361.0300000000002</v>
      </c>
      <c r="O11" s="4">
        <v>1388.1499999999999</v>
      </c>
      <c r="P11" s="4">
        <v>1276.52</v>
      </c>
      <c r="Q11" s="4">
        <v>971.18</v>
      </c>
      <c r="R11" s="4">
        <v>2098.5300000000002</v>
      </c>
      <c r="S11" s="4">
        <v>11636.859999999999</v>
      </c>
      <c r="T11" s="4">
        <v>79.8</v>
      </c>
    </row>
    <row r="12" spans="1:20" x14ac:dyDescent="0.35">
      <c r="A12" s="3" t="s">
        <v>11</v>
      </c>
      <c r="B12" s="4">
        <v>-1420.1499999999992</v>
      </c>
      <c r="C12" s="6">
        <f>(B12+4219.2)*1.1685</f>
        <v>3270.689925000001</v>
      </c>
    </row>
    <row r="13" spans="1:20" x14ac:dyDescent="0.35">
      <c r="A13" s="3" t="s">
        <v>12</v>
      </c>
      <c r="B13" s="4">
        <v>3246.37</v>
      </c>
      <c r="C13" s="5">
        <f>B13*1.1685</f>
        <v>3793.3833450000002</v>
      </c>
    </row>
    <row r="14" spans="1:20" x14ac:dyDescent="0.35">
      <c r="A14" s="3" t="s">
        <v>13</v>
      </c>
      <c r="B14" s="4">
        <v>2913.0899999999997</v>
      </c>
      <c r="C14" s="5">
        <f t="shared" ref="C14:C17" si="1">B14*1.1685</f>
        <v>3403.9456649999997</v>
      </c>
    </row>
    <row r="15" spans="1:20" x14ac:dyDescent="0.35">
      <c r="A15" s="3" t="s">
        <v>14</v>
      </c>
      <c r="B15" s="4">
        <v>2313.1600000000008</v>
      </c>
      <c r="C15" s="5">
        <f t="shared" si="1"/>
        <v>2702.9274600000012</v>
      </c>
    </row>
    <row r="16" spans="1:20" x14ac:dyDescent="0.35">
      <c r="A16" s="3" t="s">
        <v>15</v>
      </c>
      <c r="B16" s="4">
        <v>2210.59</v>
      </c>
      <c r="C16" s="5">
        <f t="shared" si="1"/>
        <v>2583.0744150000005</v>
      </c>
    </row>
    <row r="17" spans="1:3" x14ac:dyDescent="0.35">
      <c r="A17" s="3" t="s">
        <v>16</v>
      </c>
      <c r="B17" s="4">
        <v>1694.59</v>
      </c>
      <c r="C17" s="5">
        <f t="shared" si="1"/>
        <v>1980.1284150000001</v>
      </c>
    </row>
    <row r="18" spans="1:3" x14ac:dyDescent="0.35">
      <c r="A18" s="2" t="s">
        <v>1</v>
      </c>
      <c r="B18" s="4">
        <v>27883.54</v>
      </c>
    </row>
    <row r="21" spans="1:3" x14ac:dyDescent="0.35">
      <c r="A21" s="8" t="s">
        <v>0</v>
      </c>
      <c r="B21" s="11" t="s">
        <v>21</v>
      </c>
    </row>
    <row r="22" spans="1:3" x14ac:dyDescent="0.35">
      <c r="A22" s="9" t="s">
        <v>3</v>
      </c>
      <c r="B22" s="11">
        <v>13765.63</v>
      </c>
    </row>
    <row r="23" spans="1:3" x14ac:dyDescent="0.35">
      <c r="A23" s="10" t="s">
        <v>5</v>
      </c>
      <c r="B23" s="11">
        <v>1554.6</v>
      </c>
    </row>
    <row r="24" spans="1:3" x14ac:dyDescent="0.35">
      <c r="A24" s="10" t="s">
        <v>6</v>
      </c>
      <c r="B24" s="11">
        <v>2447.29</v>
      </c>
    </row>
    <row r="25" spans="1:3" x14ac:dyDescent="0.35">
      <c r="A25" s="10" t="s">
        <v>7</v>
      </c>
      <c r="B25" s="11">
        <v>1341.43</v>
      </c>
    </row>
    <row r="26" spans="1:3" x14ac:dyDescent="0.35">
      <c r="A26" s="10" t="s">
        <v>8</v>
      </c>
      <c r="B26" s="11">
        <v>8422.31</v>
      </c>
    </row>
    <row r="27" spans="1:3" x14ac:dyDescent="0.35">
      <c r="A27" s="9" t="s">
        <v>4</v>
      </c>
      <c r="B27" s="11">
        <v>26381.759999999998</v>
      </c>
    </row>
    <row r="28" spans="1:3" x14ac:dyDescent="0.35">
      <c r="A28" s="10" t="s">
        <v>9</v>
      </c>
      <c r="B28" s="11">
        <v>7569.69</v>
      </c>
    </row>
    <row r="29" spans="1:3" x14ac:dyDescent="0.35">
      <c r="A29" s="10" t="s">
        <v>10</v>
      </c>
      <c r="B29" s="11">
        <v>1361.0300000000002</v>
      </c>
    </row>
    <row r="30" spans="1:3" x14ac:dyDescent="0.35">
      <c r="A30" s="10" t="s">
        <v>11</v>
      </c>
      <c r="B30" s="11">
        <v>1388.1499999999999</v>
      </c>
    </row>
    <row r="31" spans="1:3" x14ac:dyDescent="0.35">
      <c r="A31" s="10" t="s">
        <v>12</v>
      </c>
      <c r="B31" s="11">
        <v>1276.52</v>
      </c>
    </row>
    <row r="32" spans="1:3" x14ac:dyDescent="0.35">
      <c r="A32" s="10" t="s">
        <v>13</v>
      </c>
      <c r="B32" s="11">
        <v>971.18</v>
      </c>
    </row>
    <row r="33" spans="1:2" x14ac:dyDescent="0.35">
      <c r="A33" s="10" t="s">
        <v>14</v>
      </c>
      <c r="B33" s="11">
        <v>2098.5300000000002</v>
      </c>
    </row>
    <row r="34" spans="1:2" x14ac:dyDescent="0.35">
      <c r="A34" s="10" t="s">
        <v>15</v>
      </c>
      <c r="B34" s="11">
        <v>11636.859999999999</v>
      </c>
    </row>
    <row r="35" spans="1:2" x14ac:dyDescent="0.35">
      <c r="A35" s="10" t="s">
        <v>16</v>
      </c>
      <c r="B35" s="11">
        <v>79.8</v>
      </c>
    </row>
    <row r="36" spans="1:2" x14ac:dyDescent="0.35">
      <c r="A36" s="9" t="s">
        <v>1</v>
      </c>
      <c r="B36" s="11">
        <v>40147.39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2026-09-24T06:51:12Z</dcterms:created>
  <dcterms:modified xsi:type="dcterms:W3CDTF">2026-09-24T09:45:09Z</dcterms:modified>
</cp:coreProperties>
</file>