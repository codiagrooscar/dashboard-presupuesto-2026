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3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DEFINITIVA V3)</t>
        </is>
      </c>
    </row>
    <row r="2" ht="20" customHeight="1">
      <c r="B2" s="2" t="inlineStr">
        <is>
          <t>Periodo: 2027 | Presupuestos Definitivos V3 (Salarios 1,806 M€, SS 420k €, Compras, Marketing V5, Mantenimiento, Regulatory, Tte neto exportación)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V3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1143732.5</v>
      </c>
      <c r="L5" s="8" t="n">
        <v>1852641.27</v>
      </c>
      <c r="M5" s="8" t="n">
        <v>1777134.1</v>
      </c>
      <c r="N5" s="8" t="n">
        <v>1430751.84</v>
      </c>
      <c r="O5" s="8" t="n">
        <v>2349031.43</v>
      </c>
      <c r="P5" s="8" t="n">
        <v>2329483.75</v>
      </c>
      <c r="Q5" s="8" t="n">
        <v>1477982.31</v>
      </c>
      <c r="R5" s="8" t="n">
        <v>943221.27</v>
      </c>
      <c r="S5" s="8" t="n">
        <v>547896.1800000001</v>
      </c>
      <c r="T5" s="8" t="n">
        <v>916296.91</v>
      </c>
      <c r="U5" s="8" t="n">
        <v>1416366.81</v>
      </c>
      <c r="V5" s="8" t="n">
        <v>1553621.92</v>
      </c>
      <c r="W5" s="9">
        <f>SUM(K5:V5)</f>
        <v/>
      </c>
      <c r="X5" s="10" t="inlineStr">
        <is>
          <t>Presupuesto de Ventas 2027 oficial (17.738.160,29 € brutos) - Distribución según estacionalidad comercial.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9">
        <f>SUM(K8:V8)</f>
        <v/>
      </c>
      <c r="X8" s="10" t="inlineStr">
        <is>
          <t>Neutralizado (0,00 €): El transporte de exportación (305.223,30 €) se repercute 100% al cliente en factura sin margen. Al excluirse el gasto en 624000002, se neutraliza el ingreso para reflejar el margen operativo real.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-25089.67</v>
      </c>
      <c r="L18" s="8" t="n">
        <v>-40640.76</v>
      </c>
      <c r="M18" s="8" t="n">
        <v>-38984.39</v>
      </c>
      <c r="N18" s="8" t="n">
        <v>-31385.92</v>
      </c>
      <c r="O18" s="8" t="n">
        <v>-51529.9</v>
      </c>
      <c r="P18" s="8" t="n">
        <v>-51101.09</v>
      </c>
      <c r="Q18" s="8" t="n">
        <v>-32422</v>
      </c>
      <c r="R18" s="8" t="n">
        <v>-20691.12</v>
      </c>
      <c r="S18" s="8" t="n">
        <v>-12019.01</v>
      </c>
      <c r="T18" s="8" t="n">
        <v>-20100.49</v>
      </c>
      <c r="U18" s="8" t="n">
        <v>-31070.36</v>
      </c>
      <c r="V18" s="8" t="n">
        <v>-34081.29</v>
      </c>
      <c r="W18" s="9">
        <f>SUM(K18:V18)</f>
        <v/>
      </c>
      <c r="X18" s="10" t="inlineStr">
        <is>
          <t>Provisión de rappels comerciales 2027: 2,19% s/ventas (-389.116,00 €), ajustando la Cifra Neta a 17.383.503,86 €.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-127379.94</v>
      </c>
      <c r="L43" s="8" t="n">
        <v>-127379.94</v>
      </c>
      <c r="M43" s="8" t="n">
        <v>-127379.94</v>
      </c>
      <c r="N43" s="8" t="n">
        <v>-127379.94</v>
      </c>
      <c r="O43" s="8" t="n">
        <v>-127379.94</v>
      </c>
      <c r="P43" s="8" t="n">
        <v>-127379.94</v>
      </c>
      <c r="Q43" s="8" t="n">
        <v>-127379.94</v>
      </c>
      <c r="R43" s="8" t="n">
        <v>-127379.94</v>
      </c>
      <c r="S43" s="8" t="n">
        <v>-127379.94</v>
      </c>
      <c r="T43" s="8" t="n">
        <v>-127379.94</v>
      </c>
      <c r="U43" s="8" t="n">
        <v>-127379.94</v>
      </c>
      <c r="V43" s="8" t="n">
        <v>-404896.66</v>
      </c>
      <c r="W43" s="9">
        <f>SUM(K43:V43)</f>
        <v/>
      </c>
      <c r="X43" s="10" t="inlineStr">
        <is>
          <t>Sueldos y salarios definitivos 2027 (V3): -1.806.076,00 € brutos. Reparto mensual proporcional al histórico: -127.379,94 €/mes (Ene-Nov) y -404.896,66 € en Dic (pagas extras y regularización).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-35002.8</v>
      </c>
      <c r="L44" s="8" t="n">
        <v>-35002.8</v>
      </c>
      <c r="M44" s="8" t="n">
        <v>-35002.8</v>
      </c>
      <c r="N44" s="8" t="n">
        <v>-35002.8</v>
      </c>
      <c r="O44" s="8" t="n">
        <v>-35002.8</v>
      </c>
      <c r="P44" s="8" t="n">
        <v>-35002.8</v>
      </c>
      <c r="Q44" s="8" t="n">
        <v>-35002.8</v>
      </c>
      <c r="R44" s="8" t="n">
        <v>-35002.8</v>
      </c>
      <c r="S44" s="8" t="n">
        <v>-35002.8</v>
      </c>
      <c r="T44" s="8" t="n">
        <v>-35002.8</v>
      </c>
      <c r="U44" s="8" t="n">
        <v>-35002.8</v>
      </c>
      <c r="V44" s="8" t="n">
        <v>-35002.8</v>
      </c>
      <c r="W44" s="9">
        <f>SUM(K44:V44)</f>
        <v/>
      </c>
      <c r="X44" s="10" t="inlineStr">
        <is>
          <t>Seguridad Social a cargo de la empresa definitiva 2027 (V3): -420.033,60 €. Reparto lineal uniforme: -35.002,80 €/mes.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-0</v>
      </c>
      <c r="L94" s="8" t="n">
        <v>-0</v>
      </c>
      <c r="M94" s="8" t="n">
        <v>-0</v>
      </c>
      <c r="N94" s="8" t="n">
        <v>-554.4</v>
      </c>
      <c r="O94" s="8" t="n">
        <v>-0</v>
      </c>
      <c r="P94" s="8" t="n">
        <v>-0</v>
      </c>
      <c r="Q94" s="8" t="n">
        <v>-0</v>
      </c>
      <c r="R94" s="8" t="n">
        <v>-1050</v>
      </c>
      <c r="S94" s="8" t="n">
        <v>-840</v>
      </c>
      <c r="T94" s="8" t="n">
        <v>-3150</v>
      </c>
      <c r="U94" s="8" t="n">
        <v>-0</v>
      </c>
      <c r="V94" s="8" t="n">
        <v>-0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-0</v>
      </c>
      <c r="M97" s="8" t="n">
        <v>-0</v>
      </c>
      <c r="N97" s="8" t="n">
        <v>-630</v>
      </c>
      <c r="O97" s="8" t="n">
        <v>-0</v>
      </c>
      <c r="P97" s="8" t="n">
        <v>-0</v>
      </c>
      <c r="Q97" s="8" t="n">
        <v>-0</v>
      </c>
      <c r="R97" s="8" t="n">
        <v>-0</v>
      </c>
      <c r="S97" s="8" t="n">
        <v>-3885</v>
      </c>
      <c r="T97" s="8" t="n">
        <v>-1155</v>
      </c>
      <c r="U97" s="8" t="n">
        <v>-0</v>
      </c>
      <c r="V97" s="8" t="n">
        <v>-0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-0</v>
      </c>
      <c r="M102" s="8" t="n">
        <v>-0</v>
      </c>
      <c r="N102" s="8" t="n">
        <v>-0</v>
      </c>
      <c r="O102" s="8" t="n">
        <v>-0</v>
      </c>
      <c r="P102" s="8" t="n">
        <v>-0</v>
      </c>
      <c r="Q102" s="8" t="n">
        <v>-0</v>
      </c>
      <c r="R102" s="8" t="n">
        <v>-0</v>
      </c>
      <c r="S102" s="8" t="n">
        <v>-0</v>
      </c>
      <c r="T102" s="8" t="n">
        <v>-0</v>
      </c>
      <c r="U102" s="8" t="n">
        <v>-0</v>
      </c>
      <c r="V102" s="8" t="n">
        <v>-0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-0</v>
      </c>
      <c r="O103" s="8" t="n">
        <v>-1610</v>
      </c>
      <c r="P103" s="8" t="n">
        <v>-1268</v>
      </c>
      <c r="Q103" s="8" t="n">
        <v>-0</v>
      </c>
      <c r="R103" s="8" t="n">
        <v>-0</v>
      </c>
      <c r="S103" s="8" t="n">
        <v>-0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9">
        <f>SUM(K130:V130)</f>
        <v/>
      </c>
      <c r="X130" s="10" t="inlineStr">
        <is>
          <t>REPERCUTIDO AL CLIENTE (0,00 €): Transporte exportación presupuestado en 305.223,30 € repercutido íntegramente al cliente en factura. No supone coste neto para Codiagro s/instrucciones expresas.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-0</v>
      </c>
      <c r="M158" s="8" t="n">
        <v>-0</v>
      </c>
      <c r="N158" s="8" t="n">
        <v>-0</v>
      </c>
      <c r="O158" s="8" t="n">
        <v>-0</v>
      </c>
      <c r="P158" s="8" t="n">
        <v>-0</v>
      </c>
      <c r="Q158" s="8" t="n">
        <v>-515</v>
      </c>
      <c r="R158" s="8" t="n">
        <v>-0</v>
      </c>
      <c r="S158" s="8" t="n">
        <v>-8625</v>
      </c>
      <c r="T158" s="8" t="n">
        <v>-0</v>
      </c>
      <c r="U158" s="8" t="n">
        <v>-0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-0</v>
      </c>
      <c r="M164" s="8" t="n">
        <v>-0</v>
      </c>
      <c r="N164" s="8" t="n">
        <v>-600</v>
      </c>
      <c r="O164" s="8" t="n">
        <v>-0</v>
      </c>
      <c r="P164" s="8" t="n">
        <v>-0</v>
      </c>
      <c r="Q164" s="8" t="n">
        <v>-600</v>
      </c>
      <c r="R164" s="8" t="n">
        <v>-0</v>
      </c>
      <c r="S164" s="8" t="n">
        <v>-0</v>
      </c>
      <c r="T164" s="8" t="n">
        <v>-0</v>
      </c>
      <c r="U164" s="8" t="n">
        <v>-600</v>
      </c>
      <c r="V164" s="8" t="n">
        <v>-0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-1846.33</v>
      </c>
      <c r="L169" s="8" t="n">
        <v>-1846.33</v>
      </c>
      <c r="M169" s="8" t="n">
        <v>-1846.33</v>
      </c>
      <c r="N169" s="8" t="n">
        <v>-1846.33</v>
      </c>
      <c r="O169" s="8" t="n">
        <v>-1846.33</v>
      </c>
      <c r="P169" s="8" t="n">
        <v>-1846.33</v>
      </c>
      <c r="Q169" s="8" t="n">
        <v>-1846.33</v>
      </c>
      <c r="R169" s="8" t="n">
        <v>-1846.33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-3200</v>
      </c>
      <c r="L173" s="8" t="n">
        <v>-3200</v>
      </c>
      <c r="M173" s="8" t="n">
        <v>-3200</v>
      </c>
      <c r="N173" s="8" t="n">
        <v>-3200</v>
      </c>
      <c r="O173" s="8" t="n">
        <v>-3200</v>
      </c>
      <c r="P173" s="8" t="n">
        <v>-3200</v>
      </c>
      <c r="Q173" s="8" t="n">
        <v>-3200</v>
      </c>
      <c r="R173" s="8" t="n">
        <v>-3200</v>
      </c>
      <c r="S173" s="8" t="n">
        <v>-3200</v>
      </c>
      <c r="T173" s="8" t="n">
        <v>-3200</v>
      </c>
      <c r="U173" s="8" t="n">
        <v>-3200</v>
      </c>
      <c r="V173" s="8" t="n">
        <v>-3200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-2300</v>
      </c>
      <c r="L174" s="8" t="n">
        <v>-2300</v>
      </c>
      <c r="M174" s="8" t="n">
        <v>-2300</v>
      </c>
      <c r="N174" s="8" t="n">
        <v>-2300</v>
      </c>
      <c r="O174" s="8" t="n">
        <v>-2300</v>
      </c>
      <c r="P174" s="8" t="n">
        <v>-2300</v>
      </c>
      <c r="Q174" s="8" t="n">
        <v>-2300</v>
      </c>
      <c r="R174" s="8" t="n">
        <v>-2300</v>
      </c>
      <c r="S174" s="8" t="n">
        <v>-2300</v>
      </c>
      <c r="T174" s="8" t="n">
        <v>-2300</v>
      </c>
      <c r="U174" s="8" t="n">
        <v>-2300</v>
      </c>
      <c r="V174" s="8" t="n">
        <v>-2300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-1092.45</v>
      </c>
      <c r="L175" s="8" t="n">
        <v>-1092.45</v>
      </c>
      <c r="M175" s="8" t="n">
        <v>-1092.45</v>
      </c>
      <c r="N175" s="8" t="n">
        <v>-1092.45</v>
      </c>
      <c r="O175" s="8" t="n">
        <v>-1092.45</v>
      </c>
      <c r="P175" s="8" t="n">
        <v>-1092.45</v>
      </c>
      <c r="Q175" s="8" t="n">
        <v>-1092.45</v>
      </c>
      <c r="R175" s="8" t="n">
        <v>-1092.45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-800.04</v>
      </c>
      <c r="L176" s="8" t="n">
        <v>-800.04</v>
      </c>
      <c r="M176" s="8" t="n">
        <v>-800.04</v>
      </c>
      <c r="N176" s="8" t="n">
        <v>-800.04</v>
      </c>
      <c r="O176" s="8" t="n">
        <v>-800.04</v>
      </c>
      <c r="P176" s="8" t="n">
        <v>-800.04</v>
      </c>
      <c r="Q176" s="8" t="n">
        <v>-800.04</v>
      </c>
      <c r="R176" s="8" t="n">
        <v>-800.04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-422.84</v>
      </c>
      <c r="L177" s="8" t="n">
        <v>-422.84</v>
      </c>
      <c r="M177" s="8" t="n">
        <v>-422.84</v>
      </c>
      <c r="N177" s="8" t="n">
        <v>-422.84</v>
      </c>
      <c r="O177" s="8" t="n">
        <v>-422.84</v>
      </c>
      <c r="P177" s="8" t="n">
        <v>-422.84</v>
      </c>
      <c r="Q177" s="8" t="n">
        <v>-422.84</v>
      </c>
      <c r="R177" s="8" t="n">
        <v>-422.84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-141.14</v>
      </c>
      <c r="L180" s="8" t="n">
        <v>-141.14</v>
      </c>
      <c r="M180" s="8" t="n">
        <v>-141.14</v>
      </c>
      <c r="N180" s="8" t="n">
        <v>-141.14</v>
      </c>
      <c r="O180" s="8" t="n">
        <v>-141.14</v>
      </c>
      <c r="P180" s="8" t="n">
        <v>-141.14</v>
      </c>
      <c r="Q180" s="8" t="n">
        <v>-141.14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1" workbookViewId="0">
      <selection activeCell="A1" sqref="A1"/>
    </sheetView>
  </sheetViews>
  <sheetFormatPr baseColWidth="8" defaultRowHeight="15" outlineLevelCol="0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DEFINITIVOS V3)</t>
        </is>
      </c>
    </row>
    <row r="2" ht="20" customHeight="1">
      <c r="B2" s="2" t="inlineStr">
        <is>
          <t>Comparativa P&amp;L V5 vs Presupuestos Definitivos V3 (Salarios 1,806 M€, SS 420k €, Salvedad Transporte Exportación e Inmovilizaciones)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V3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V3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17738160.29</v>
      </c>
      <c r="E5" s="12" t="n">
        <v>0</v>
      </c>
      <c r="F5" s="13" t="n">
        <v>0</v>
      </c>
      <c r="G5" s="10" t="inlineStr">
        <is>
          <t>Presupuesto de Ventas 2027 oficial (17,74 M€)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-389116</v>
      </c>
      <c r="E6" s="12" t="n">
        <v>0</v>
      </c>
      <c r="F6" s="13" t="n">
        <v>0</v>
      </c>
      <c r="G6" s="10" t="inlineStr">
        <is>
          <t>2,19% s/ventas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17383503.86</v>
      </c>
      <c r="E8" s="15" t="n">
        <v>0</v>
      </c>
      <c r="F8" s="16" t="n">
        <v>0</v>
      </c>
      <c r="G8" s="17" t="inlineStr">
        <is>
          <t>Cifra neta real de ventas de la compañía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0</v>
      </c>
      <c r="E9" s="12" t="n">
        <v>-195119.77</v>
      </c>
      <c r="F9" s="13" t="n">
        <v>-1</v>
      </c>
      <c r="G9" s="10" t="inlineStr">
        <is>
          <t>Neutralizado a 0 € al excluir el gasto de transporte exportación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10976257.36</v>
      </c>
      <c r="E11" s="15" t="n">
        <v>-412252.5599999987</v>
      </c>
      <c r="F11" s="16" t="n">
        <v>-0.03619899028897704</v>
      </c>
      <c r="G11" s="17" t="inlineStr">
        <is>
          <t>Margen sobre ventas: 63.1%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-2228609.6</v>
      </c>
      <c r="E12" s="12" t="n">
        <v>-115516.1200000001</v>
      </c>
      <c r="F12" s="13" t="n">
        <v>-0.05466682903209758</v>
      </c>
      <c r="G12" s="10" t="inlineStr">
        <is>
          <t>Salarios brutos 1.806.076 € (640) + SS empresa 420.033,60 € (642) + Formación 2.500 € (649)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-1705284.43</v>
      </c>
      <c r="E13" s="12" t="n">
        <v>264671.3600000001</v>
      </c>
      <c r="F13" s="13" t="n">
        <v>0.1343539592835229</v>
      </c>
      <c r="G13" s="10" t="inlineStr">
        <is>
          <t>Actualizado con presupuestos V3 de Transporte,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7042363.33</v>
      </c>
      <c r="E14" s="19" t="n">
        <v>-263097.3199999975</v>
      </c>
      <c r="F14" s="20" t="n">
        <v>-0.03601378921943788</v>
      </c>
      <c r="G14" s="21" t="inlineStr">
        <is>
          <t>Rentabilidad operativa sobre ventas: 40.51%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6811659.13</v>
      </c>
      <c r="E16" s="15" t="n">
        <v>-263097.3199999975</v>
      </c>
      <c r="F16" s="16" t="n">
        <v>-0.03718818052033404</v>
      </c>
      <c r="G16" s="17" t="inlineStr">
        <is>
          <t>Margen neto de explotación: 39.18%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6332728.81</v>
      </c>
      <c r="E18" s="15" t="n">
        <v>-263097.3199999975</v>
      </c>
      <c r="F18" s="16" t="n">
        <v>-0.03988845594388001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 (V3)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7042363.33</v>
      </c>
      <c r="D23" s="25" t="n">
        <v>0.4051175980812881</v>
      </c>
      <c r="E23" s="24" t="n">
        <v>6811659.13</v>
      </c>
      <c r="F23" s="25" t="n">
        <v>0.3918461539663385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6981153.33</v>
      </c>
      <c r="D24" s="28" t="n">
        <v>0.4015964437447998</v>
      </c>
      <c r="E24" s="27" t="n">
        <v>6750449.13</v>
      </c>
      <c r="F24" s="28" t="n">
        <v>0.3883249996298502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7224522.41</v>
      </c>
      <c r="D25" s="28" t="n">
        <v>0.4155964452381696</v>
      </c>
      <c r="E25" s="27" t="n">
        <v>6993818.21</v>
      </c>
      <c r="F25" s="28" t="n">
        <v>0.4023250011232201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0" t="n"/>
      <c r="D27" s="30" t="n"/>
      <c r="E27" s="30" t="n"/>
      <c r="F27" s="30" t="n"/>
      <c r="G27" s="30" t="n"/>
    </row>
    <row r="28">
      <c r="B28" s="30" t="n"/>
      <c r="C28" s="30" t="n"/>
      <c r="D28" s="30" t="n"/>
      <c r="E28" s="30" t="n"/>
      <c r="F28" s="30" t="n"/>
      <c r="G28" s="30" t="n"/>
    </row>
    <row r="29">
      <c r="B29" s="30" t="n"/>
      <c r="C29" s="30" t="n"/>
      <c r="D29" s="30" t="n"/>
      <c r="E29" s="30" t="n"/>
      <c r="F29" s="30" t="n"/>
      <c r="G29" s="30" t="n"/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7"/>
  <sheetViews>
    <sheetView showGridLines="1" workbookViewId="0">
      <selection activeCell="A1" sqref="A1"/>
    </sheetView>
  </sheetViews>
  <sheetFormatPr baseColWidth="8" defaultRowHeight="15" outlineLevelCol="0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V3)</t>
        </is>
      </c>
    </row>
    <row r="2" ht="20" customHeight="1">
      <c r="B2" s="2" t="inlineStr">
        <is>
          <t>Detalle cuenta a cuenta del impacto entre el P&amp;L anterior V5 y el nuevo Presupuesto Definitivo V3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V3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0</v>
      </c>
      <c r="G5" s="27" t="n">
        <v>-195119.77</v>
      </c>
      <c r="H5" s="10" t="inlineStr">
        <is>
          <t>Neutralizado al excluir el gasto en 624000002 (impacto neto neutro)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-389116</v>
      </c>
      <c r="G6" s="27" t="n">
        <v>-389116</v>
      </c>
      <c r="H6" s="10" t="inlineStr">
        <is>
          <t>Provisión 2,19% sobre ventas brutas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640000000</t>
        </is>
      </c>
      <c r="C12" s="30" t="inlineStr">
        <is>
          <t>Sueldos y salarios</t>
        </is>
      </c>
      <c r="D12" s="31" t="inlineStr">
        <is>
          <t>Personal</t>
        </is>
      </c>
      <c r="E12" s="27" t="n">
        <v>-1815728.88</v>
      </c>
      <c r="F12" s="27" t="n">
        <v>-1806076</v>
      </c>
      <c r="G12" s="27" t="n">
        <v>9652.880000000121</v>
      </c>
      <c r="H12" s="10" t="inlineStr">
        <is>
          <t>Salario bruto definitivo 2027 (-1.806.076,00 €)</t>
        </is>
      </c>
    </row>
    <row r="13" ht="19" customHeight="1">
      <c r="B13" s="31" t="inlineStr">
        <is>
          <t>642000000</t>
        </is>
      </c>
      <c r="C13" s="30" t="inlineStr">
        <is>
          <t>Seguridad Social a cargo empresa</t>
        </is>
      </c>
      <c r="D13" s="31" t="inlineStr">
        <is>
          <t>Personal</t>
        </is>
      </c>
      <c r="E13" s="27" t="n">
        <v>-294864.5999999999</v>
      </c>
      <c r="F13" s="27" t="n">
        <v>-420033.6</v>
      </c>
      <c r="G13" s="27" t="n">
        <v>-125169.0000000001</v>
      </c>
      <c r="H13" s="10" t="inlineStr">
        <is>
          <t>Seguridad Social definitiva 2027 (-420.033,60 €)</t>
        </is>
      </c>
    </row>
    <row r="14" ht="19" customHeight="1">
      <c r="B14" s="31" t="inlineStr">
        <is>
          <t>622000006</t>
        </is>
      </c>
      <c r="C14" s="30" t="inlineStr">
        <is>
          <t>REP. Y MANT. INSTALACIONES</t>
        </is>
      </c>
      <c r="D14" s="31" t="inlineStr">
        <is>
          <t>Mantenimiento</t>
        </is>
      </c>
      <c r="E14" s="27" t="n">
        <v>-17110.2</v>
      </c>
      <c r="F14" s="27" t="n">
        <v>-18848.14</v>
      </c>
      <c r="G14" s="27" t="n">
        <v>-1737.939999999999</v>
      </c>
      <c r="H14" s="10" t="inlineStr">
        <is>
          <t>Cubierta nave, puerta corredera e instalaciones</t>
        </is>
      </c>
    </row>
    <row r="15" ht="19" customHeight="1">
      <c r="B15" s="31" t="inlineStr">
        <is>
          <t>622010200</t>
        </is>
      </c>
      <c r="C15" s="30" t="inlineStr">
        <is>
          <t>ALCAPLANT</t>
        </is>
      </c>
      <c r="D15" s="31" t="inlineStr">
        <is>
          <t>Mantenimiento</t>
        </is>
      </c>
      <c r="E15" s="27" t="n">
        <v>-30331.56000000001</v>
      </c>
      <c r="F15" s="27" t="n">
        <v>-5594.4</v>
      </c>
      <c r="G15" s="27" t="n">
        <v>24737.16000000001</v>
      </c>
      <c r="H15" s="10" t="inlineStr">
        <is>
          <t>Mantenimiento preventivo molinos Alcaplant</t>
        </is>
      </c>
    </row>
    <row r="16" ht="19" customHeight="1">
      <c r="B16" s="31" t="inlineStr">
        <is>
          <t>622010201</t>
        </is>
      </c>
      <c r="C16" s="30" t="inlineStr">
        <is>
          <t>REPARACIONES ALCAPLANT</t>
        </is>
      </c>
      <c r="D16" s="31" t="inlineStr">
        <is>
          <t>Mantenimiento</t>
        </is>
      </c>
      <c r="E16" s="27" t="n">
        <v>-50245.68</v>
      </c>
      <c r="F16" s="27" t="n">
        <v>0</v>
      </c>
      <c r="G16" s="27" t="n">
        <v>50245.68</v>
      </c>
      <c r="H16" s="10" t="inlineStr">
        <is>
          <t>Integrado en cuenta matriz 622010200</t>
        </is>
      </c>
    </row>
    <row r="17" ht="19" customHeight="1">
      <c r="B17" s="31" t="inlineStr">
        <is>
          <t>622010300</t>
        </is>
      </c>
      <c r="C17" s="30" t="inlineStr">
        <is>
          <t>SOLIDOS</t>
        </is>
      </c>
      <c r="D17" s="31" t="inlineStr">
        <is>
          <t>Mantenimiento</t>
        </is>
      </c>
      <c r="E17" s="27" t="n">
        <v>-71268.96000000001</v>
      </c>
      <c r="F17" s="27" t="n">
        <v>-7035</v>
      </c>
      <c r="G17" s="27" t="n">
        <v>64233.96000000001</v>
      </c>
      <c r="H17" s="10" t="inlineStr">
        <is>
          <t>Presupuesto técnico línea sólidos</t>
        </is>
      </c>
    </row>
    <row r="18" ht="19" customHeight="1">
      <c r="B18" s="31" t="inlineStr">
        <is>
          <t>622010400</t>
        </is>
      </c>
      <c r="C18" s="30" t="inlineStr">
        <is>
          <t>LIQUIDOS</t>
        </is>
      </c>
      <c r="D18" s="31" t="inlineStr">
        <is>
          <t>Mantenimiento</t>
        </is>
      </c>
      <c r="E18" s="27" t="n">
        <v>-10990.8</v>
      </c>
      <c r="F18" s="27" t="n">
        <v>-6090</v>
      </c>
      <c r="G18" s="27" t="n">
        <v>4900.799999999997</v>
      </c>
      <c r="H18" s="10" t="inlineStr">
        <is>
          <t>Presupuesto técnico línea líquidos</t>
        </is>
      </c>
    </row>
    <row r="19" ht="19" customHeight="1">
      <c r="B19" s="31" t="inlineStr">
        <is>
          <t>622010500</t>
        </is>
      </c>
      <c r="C19" s="30" t="inlineStr">
        <is>
          <t>REPUESTOS MANT. VARIOS</t>
        </is>
      </c>
      <c r="D19" s="31" t="inlineStr">
        <is>
          <t>Mantenimiento</t>
        </is>
      </c>
      <c r="E19" s="27" t="n">
        <v>-9458.4</v>
      </c>
      <c r="F19" s="27" t="n">
        <v>-3255</v>
      </c>
      <c r="G19" s="27" t="n">
        <v>6203.4</v>
      </c>
      <c r="H19" s="10" t="inlineStr">
        <is>
          <t>Presupuesto consumibles taller</t>
        </is>
      </c>
    </row>
    <row r="20" ht="19" customHeight="1">
      <c r="B20" s="31" t="inlineStr">
        <is>
          <t>622010501</t>
        </is>
      </c>
      <c r="C20" s="30" t="inlineStr">
        <is>
          <t>REP. MANT. FONTANERIA</t>
        </is>
      </c>
      <c r="D20" s="31" t="inlineStr">
        <is>
          <t>Mantenimiento</t>
        </is>
      </c>
      <c r="E20" s="27" t="n">
        <v>-1457.28</v>
      </c>
      <c r="F20" s="27" t="n">
        <v>0</v>
      </c>
      <c r="G20" s="27" t="n">
        <v>1457.28</v>
      </c>
      <c r="H20" s="10" t="inlineStr">
        <is>
          <t>Integrado en 622010400 / 622010500</t>
        </is>
      </c>
    </row>
    <row r="21" ht="19" customHeight="1">
      <c r="B21" s="31" t="inlineStr">
        <is>
          <t>623000003</t>
        </is>
      </c>
      <c r="C21" s="30" t="inlineStr">
        <is>
          <t>SERV. NOTARIOS, REGISTROS</t>
        </is>
      </c>
      <c r="D21" s="31" t="inlineStr">
        <is>
          <t>Regulatory</t>
        </is>
      </c>
      <c r="E21" s="27" t="n">
        <v>-24000</v>
      </c>
      <c r="F21" s="27" t="n">
        <v>-550</v>
      </c>
      <c r="G21" s="27" t="n">
        <v>23450</v>
      </c>
      <c r="H21" s="10" t="inlineStr">
        <is>
          <t>Registros corriente (activación 25,9k € en 203)</t>
        </is>
      </c>
    </row>
    <row r="22" ht="19" customHeight="1">
      <c r="B22" s="31" t="inlineStr">
        <is>
          <t>623000004</t>
        </is>
      </c>
      <c r="C22" s="30" t="inlineStr">
        <is>
          <t>GTOS. BCS. OKO</t>
        </is>
      </c>
      <c r="D22" s="31" t="inlineStr">
        <is>
          <t>Regulatory</t>
        </is>
      </c>
      <c r="E22" s="27" t="n">
        <v>-15253.68</v>
      </c>
      <c r="F22" s="27" t="n">
        <v>-10193</v>
      </c>
      <c r="G22" s="27" t="n">
        <v>5060.679999999998</v>
      </c>
      <c r="H22" s="10" t="inlineStr">
        <is>
          <t>Certificaciones ecológicas según calendario</t>
        </is>
      </c>
    </row>
    <row r="23" ht="19" customHeight="1">
      <c r="B23" s="31" t="inlineStr">
        <is>
          <t>624000001</t>
        </is>
      </c>
      <c r="C23" s="30" t="inlineStr">
        <is>
          <t>TRANSPORTES NACIONAL</t>
        </is>
      </c>
      <c r="D23" s="31" t="inlineStr">
        <is>
          <t>Transporte</t>
        </is>
      </c>
      <c r="E23" s="27" t="n">
        <v>-212857.93</v>
      </c>
      <c r="F23" s="27" t="n">
        <v>-166472.15</v>
      </c>
      <c r="G23" s="27" t="n">
        <v>46385.78</v>
      </c>
      <c r="H23" s="10" t="inlineStr">
        <is>
          <t>Tarifas negociadas Campillo Palmera (-46.4k € ahorro)</t>
        </is>
      </c>
    </row>
    <row r="24" ht="19" customHeight="1">
      <c r="B24" s="31" t="inlineStr">
        <is>
          <t>624000002</t>
        </is>
      </c>
      <c r="C24" s="30" t="inlineStr">
        <is>
          <t>TRANSPORTE INTERNACIONAL</t>
        </is>
      </c>
      <c r="D24" s="31" t="inlineStr">
        <is>
          <t>Transporte</t>
        </is>
      </c>
      <c r="E24" s="27" t="n">
        <v>-150774.37</v>
      </c>
      <c r="F24" s="27" t="n">
        <v>0</v>
      </c>
      <c r="G24" s="27" t="n">
        <v>150774.37</v>
      </c>
      <c r="H24" s="10" t="inlineStr">
        <is>
          <t>Repercutido 100% al cliente en factura (0 € gasto neto Codiagro)</t>
        </is>
      </c>
    </row>
    <row r="25" ht="19" customHeight="1">
      <c r="B25" s="31" t="inlineStr">
        <is>
          <t>624000003</t>
        </is>
      </c>
      <c r="C25" s="30" t="inlineStr">
        <is>
          <t>TRANSPORTES CANARIAS</t>
        </is>
      </c>
      <c r="D25" s="31" t="inlineStr">
        <is>
          <t>Transporte</t>
        </is>
      </c>
      <c r="E25" s="27" t="n">
        <v>-88690.8</v>
      </c>
      <c r="F25" s="27" t="n">
        <v>-79198.28</v>
      </c>
      <c r="G25" s="27" t="n">
        <v>9492.520000000004</v>
      </c>
      <c r="H25" s="10" t="inlineStr">
        <is>
          <t>Tarifas insulares Sealine (-9.5k € ahorro)</t>
        </is>
      </c>
    </row>
    <row r="26" ht="19" customHeight="1">
      <c r="B26" s="31" t="inlineStr">
        <is>
          <t>624000004</t>
        </is>
      </c>
      <c r="C26" s="30" t="inlineStr">
        <is>
          <t>GTOS. FLETE REP. AL CLIENTE</t>
        </is>
      </c>
      <c r="D26" s="31" t="inlineStr">
        <is>
          <t>Transporte</t>
        </is>
      </c>
      <c r="E26" s="27" t="n">
        <v>-79821.73</v>
      </c>
      <c r="F26" s="27" t="n">
        <v>0</v>
      </c>
      <c r="G26" s="27" t="n">
        <v>79821.73</v>
      </c>
      <c r="H26" s="10" t="inlineStr">
        <is>
          <t>Repercutido 100% al cliente en factura</t>
        </is>
      </c>
    </row>
    <row r="27" ht="19" customHeight="1">
      <c r="B27" s="31" t="inlineStr">
        <is>
          <t>627000004</t>
        </is>
      </c>
      <c r="C27" s="30" t="inlineStr">
        <is>
          <t>627000004 - RELACIONES PUBLICAS</t>
        </is>
      </c>
      <c r="D27" s="31" t="inlineStr">
        <is>
          <t>Marketing</t>
        </is>
      </c>
      <c r="E27" s="27" t="n">
        <v>-2682.5</v>
      </c>
      <c r="F27" s="27" t="n">
        <v>0</v>
      </c>
      <c r="G27" s="27" t="n">
        <v>2682.5</v>
      </c>
      <c r="H27" s="10" t="inlineStr">
        <is>
          <t>Reclasificado en 627000008</t>
        </is>
      </c>
    </row>
    <row r="28" ht="19" customHeight="1">
      <c r="B28" s="31" t="inlineStr">
        <is>
          <t>627000005</t>
        </is>
      </c>
      <c r="C28" s="30" t="inlineStr">
        <is>
          <t>627000005 - INVITACIONES CLIENTES</t>
        </is>
      </c>
      <c r="D28" s="31" t="inlineStr">
        <is>
          <t>Marketing</t>
        </is>
      </c>
      <c r="E28" s="27" t="n">
        <v>-5087.5</v>
      </c>
      <c r="F28" s="27" t="n">
        <v>0</v>
      </c>
      <c r="G28" s="27" t="n">
        <v>5087.5</v>
      </c>
      <c r="H28" s="10" t="inlineStr">
        <is>
          <t>Reclasificado en 627000008</t>
        </is>
      </c>
    </row>
    <row r="29" ht="19" customHeight="1">
      <c r="B29" s="31" t="inlineStr">
        <is>
          <t>627000006</t>
        </is>
      </c>
      <c r="C29" s="30" t="inlineStr">
        <is>
          <t>PUBLICIDAD CATALOGOS Y FOLLETOS</t>
        </is>
      </c>
      <c r="D29" s="31" t="inlineStr">
        <is>
          <t>Marketing</t>
        </is>
      </c>
      <c r="E29" s="27" t="n">
        <v>-1236.75</v>
      </c>
      <c r="F29" s="27" t="n">
        <v>-25630</v>
      </c>
      <c r="G29" s="27" t="n">
        <v>-24393.25</v>
      </c>
      <c r="H29" s="10" t="inlineStr">
        <is>
          <t>Marketing corporativo transversal V5</t>
        </is>
      </c>
    </row>
    <row r="30" ht="19" customHeight="1">
      <c r="B30" s="31" t="inlineStr">
        <is>
          <t>627000007</t>
        </is>
      </c>
      <c r="C30" s="30" t="inlineStr">
        <is>
          <t>FERIAS</t>
        </is>
      </c>
      <c r="D30" s="31" t="inlineStr">
        <is>
          <t>Marketing</t>
        </is>
      </c>
      <c r="E30" s="27" t="n">
        <v>-3855.75</v>
      </c>
      <c r="F30" s="27" t="n">
        <v>-33769.99</v>
      </c>
      <c r="G30" s="27" t="n">
        <v>-29914.24</v>
      </c>
      <c r="H30" s="10" t="inlineStr">
        <is>
          <t>Ferias internacionales V5</t>
        </is>
      </c>
    </row>
    <row r="31" ht="19" customHeight="1">
      <c r="B31" s="31" t="inlineStr">
        <is>
          <t>627000008</t>
        </is>
      </c>
      <c r="C31" s="30" t="inlineStr">
        <is>
          <t>MARKETING</t>
        </is>
      </c>
      <c r="D31" s="31" t="inlineStr">
        <is>
          <t>Marketing</t>
        </is>
      </c>
      <c r="E31" s="27" t="n">
        <v>0</v>
      </c>
      <c r="F31" s="27" t="n">
        <v>-196299.99</v>
      </c>
      <c r="G31" s="27" t="n">
        <v>-196299.99</v>
      </c>
      <c r="H31" s="10" t="inlineStr">
        <is>
          <t>Activación comercial clientes y productos foco V5</t>
        </is>
      </c>
    </row>
    <row r="32" ht="19" customHeight="1">
      <c r="B32" s="31" t="inlineStr">
        <is>
          <t>627000009</t>
        </is>
      </c>
      <c r="C32" s="30" t="inlineStr">
        <is>
          <t>ARTICULOS PUBLICIDAD</t>
        </is>
      </c>
      <c r="D32" s="31" t="inlineStr">
        <is>
          <t>Marketing</t>
        </is>
      </c>
      <c r="E32" s="27" t="n">
        <v>-26500</v>
      </c>
      <c r="F32" s="27" t="n">
        <v>-10372.4</v>
      </c>
      <c r="G32" s="27" t="n">
        <v>16127.6</v>
      </c>
      <c r="H32" s="10" t="inlineStr">
        <is>
          <t>Fondo de reserva táctica comercial V5</t>
        </is>
      </c>
    </row>
    <row r="33" ht="19" customHeight="1">
      <c r="B33" s="31" t="inlineStr">
        <is>
          <t>627000010</t>
        </is>
      </c>
      <c r="C33" s="30" t="inlineStr">
        <is>
          <t>627000010 - RELACIONES PUBLICAS TEC. CLIENTES</t>
        </is>
      </c>
      <c r="D33" s="31" t="inlineStr">
        <is>
          <t>Marketing</t>
        </is>
      </c>
      <c r="E33" s="27" t="n">
        <v>-10334.5</v>
      </c>
      <c r="F33" s="27" t="n">
        <v>0</v>
      </c>
      <c r="G33" s="27" t="n">
        <v>10334.5</v>
      </c>
      <c r="H33" s="10" t="inlineStr">
        <is>
          <t>Reclasificado en 627000008</t>
        </is>
      </c>
    </row>
    <row r="34" ht="19" customHeight="1">
      <c r="B34" s="31" t="inlineStr">
        <is>
          <t>629000002</t>
        </is>
      </c>
      <c r="C34" s="30" t="inlineStr">
        <is>
          <t>OTROS GASTOS / SCRAP AEVAE</t>
        </is>
      </c>
      <c r="D34" s="31" t="inlineStr">
        <is>
          <t>Regulatory</t>
        </is>
      </c>
      <c r="E34" s="27" t="n">
        <v>-11379.84</v>
      </c>
      <c r="F34" s="27" t="n">
        <v>-25315</v>
      </c>
      <c r="G34" s="27" t="n">
        <v>-13935.16</v>
      </c>
      <c r="H34" s="10" t="inlineStr">
        <is>
          <t>Cuotas AEVAE según volumen puesto en mercado</t>
        </is>
      </c>
    </row>
    <row r="35" ht="19" customHeight="1">
      <c r="B35" s="31" t="inlineStr">
        <is>
          <t>629000005</t>
        </is>
      </c>
      <c r="C35" s="30" t="inlineStr">
        <is>
          <t>GTOS. ANALISIS LABORATORIOS</t>
        </is>
      </c>
      <c r="D35" s="31" t="inlineStr">
        <is>
          <t>Regulatory</t>
        </is>
      </c>
      <c r="E35" s="27" t="n">
        <v>-11295.24</v>
      </c>
      <c r="F35" s="27" t="n">
        <v>-6600</v>
      </c>
      <c r="G35" s="27" t="n">
        <v>4695.240000000003</v>
      </c>
      <c r="H35" s="10" t="inlineStr">
        <is>
          <t>Análisis reglamentarios externos</t>
        </is>
      </c>
    </row>
    <row r="36" ht="19" customHeight="1">
      <c r="B36" s="31" t="inlineStr">
        <is>
          <t>629000007</t>
        </is>
      </c>
      <c r="C36" s="30" t="inlineStr">
        <is>
          <t>GASTOS RETIRADA DE RESIDUOS</t>
        </is>
      </c>
      <c r="D36" s="31" t="inlineStr">
        <is>
          <t>Regulatory</t>
        </is>
      </c>
      <c r="E36" s="27" t="n">
        <v>-34000</v>
      </c>
      <c r="F36" s="27" t="n">
        <v>-74400</v>
      </c>
      <c r="G36" s="27" t="n">
        <v>-40400</v>
      </c>
      <c r="H36" s="10" t="inlineStr">
        <is>
          <t>Gasto mensual regularizado a 6.200 €/mes</t>
        </is>
      </c>
    </row>
    <row r="37" ht="19" customHeight="1">
      <c r="B37" s="31" t="inlineStr">
        <is>
          <t>629000008</t>
        </is>
      </c>
      <c r="C37" s="30" t="inlineStr">
        <is>
          <t>CUOTAS ASOCIACIONES</t>
        </is>
      </c>
      <c r="D37" s="31" t="inlineStr">
        <is>
          <t>Regulatory</t>
        </is>
      </c>
      <c r="E37" s="27" t="n">
        <v>-9621.839999999998</v>
      </c>
      <c r="F37" s="27" t="n">
        <v>-2400</v>
      </c>
      <c r="G37" s="27" t="n">
        <v>7221.839999999998</v>
      </c>
      <c r="H37" s="10" t="inlineStr">
        <is>
          <t>Alineado con cuota Quimacova (-7.2k € ahorro)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 outlineLevelCol="0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2026-09-29T12:45:55Z</dcterms:created>
  <dcterms:modified xmlns:dcterms="http://purl.org/dc/terms/" xmlns:xsi="http://www.w3.org/2001/XMLSchema-instance" xsi:type="dcterms:W3CDTF">2026-09-29T12:45:55Z</dcterms:modified>
</cp:coreProperties>
</file>