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antiguos/"/>
    </mc:Choice>
  </mc:AlternateContent>
  <xr:revisionPtr revIDLastSave="26" documentId="11_08FAA44957E12432A913A2D5A6EB3C03894B6B6C" xr6:coauthVersionLast="47" xr6:coauthVersionMax="47" xr10:uidLastSave="{50FE31A1-E92F-410B-A853-8AAD17010309}"/>
  <bookViews>
    <workbookView xWindow="-110" yWindow="-110" windowWidth="25820" windowHeight="13900" xr2:uid="{00000000-000D-0000-FFFF-FFFF00000000}"/>
  </bookViews>
  <sheets>
    <sheet name="Hoja1" sheetId="2" r:id="rId1"/>
    <sheet name="Previsión Matriz Horizontal" sheetId="1" r:id="rId2"/>
  </sheets>
  <definedNames>
    <definedName name="_xlnm._FilterDatabase" localSheetId="1" hidden="1">'Previsión Matriz Horizontal'!$A$1:$BM$1267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4" i="2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BI1266" i="1"/>
  <c r="BL1266" i="1" s="1"/>
  <c r="BH1266" i="1"/>
  <c r="BJ1266" i="1" s="1"/>
  <c r="AI1266" i="1"/>
  <c r="BM1266" i="1" s="1"/>
  <c r="AH1266" i="1"/>
  <c r="BK1266" i="1" s="1"/>
  <c r="BI1265" i="1"/>
  <c r="BL1265" i="1" s="1"/>
  <c r="BH1265" i="1"/>
  <c r="BJ1265" i="1" s="1"/>
  <c r="AI1265" i="1"/>
  <c r="BM1265" i="1" s="1"/>
  <c r="AH1265" i="1"/>
  <c r="BK1265" i="1" s="1"/>
  <c r="BI1264" i="1"/>
  <c r="BL1264" i="1" s="1"/>
  <c r="BH1264" i="1"/>
  <c r="BJ1264" i="1" s="1"/>
  <c r="AI1264" i="1"/>
  <c r="BM1264" i="1" s="1"/>
  <c r="AH1264" i="1"/>
  <c r="BK1264" i="1" s="1"/>
  <c r="BI1263" i="1"/>
  <c r="BL1263" i="1" s="1"/>
  <c r="BH1263" i="1"/>
  <c r="BJ1263" i="1" s="1"/>
  <c r="AI1263" i="1"/>
  <c r="BM1263" i="1" s="1"/>
  <c r="AH1263" i="1"/>
  <c r="BK1263" i="1" s="1"/>
  <c r="BI1262" i="1"/>
  <c r="BL1262" i="1" s="1"/>
  <c r="BH1262" i="1"/>
  <c r="BJ1262" i="1" s="1"/>
  <c r="AI1262" i="1"/>
  <c r="BM1262" i="1" s="1"/>
  <c r="AH1262" i="1"/>
  <c r="BK1262" i="1" s="1"/>
  <c r="BI1261" i="1"/>
  <c r="BL1261" i="1" s="1"/>
  <c r="BH1261" i="1"/>
  <c r="BJ1261" i="1" s="1"/>
  <c r="AI1261" i="1"/>
  <c r="BM1261" i="1" s="1"/>
  <c r="AH1261" i="1"/>
  <c r="BK1261" i="1" s="1"/>
  <c r="BI1260" i="1"/>
  <c r="BL1260" i="1" s="1"/>
  <c r="BH1260" i="1"/>
  <c r="BJ1260" i="1" s="1"/>
  <c r="AI1260" i="1"/>
  <c r="BM1260" i="1" s="1"/>
  <c r="AH1260" i="1"/>
  <c r="BK1260" i="1" s="1"/>
  <c r="BI1259" i="1"/>
  <c r="BL1259" i="1" s="1"/>
  <c r="BH1259" i="1"/>
  <c r="BJ1259" i="1" s="1"/>
  <c r="AI1259" i="1"/>
  <c r="BM1259" i="1" s="1"/>
  <c r="AH1259" i="1"/>
  <c r="BK1259" i="1" s="1"/>
  <c r="BI1258" i="1"/>
  <c r="BL1258" i="1" s="1"/>
  <c r="BH1258" i="1"/>
  <c r="BJ1258" i="1" s="1"/>
  <c r="AI1258" i="1"/>
  <c r="BM1258" i="1" s="1"/>
  <c r="AH1258" i="1"/>
  <c r="BK1258" i="1" s="1"/>
  <c r="BI1257" i="1"/>
  <c r="BL1257" i="1" s="1"/>
  <c r="BH1257" i="1"/>
  <c r="BJ1257" i="1" s="1"/>
  <c r="AI1257" i="1"/>
  <c r="BM1257" i="1" s="1"/>
  <c r="AH1257" i="1"/>
  <c r="BK1257" i="1" s="1"/>
  <c r="BI1256" i="1"/>
  <c r="BL1256" i="1" s="1"/>
  <c r="BH1256" i="1"/>
  <c r="BJ1256" i="1" s="1"/>
  <c r="AI1256" i="1"/>
  <c r="BM1256" i="1" s="1"/>
  <c r="AH1256" i="1"/>
  <c r="BK1256" i="1" s="1"/>
  <c r="BI1255" i="1"/>
  <c r="BL1255" i="1" s="1"/>
  <c r="BH1255" i="1"/>
  <c r="BJ1255" i="1" s="1"/>
  <c r="AI1255" i="1"/>
  <c r="BM1255" i="1" s="1"/>
  <c r="AH1255" i="1"/>
  <c r="BK1255" i="1" s="1"/>
  <c r="BI1254" i="1"/>
  <c r="BL1254" i="1" s="1"/>
  <c r="BH1254" i="1"/>
  <c r="BJ1254" i="1" s="1"/>
  <c r="AI1254" i="1"/>
  <c r="BM1254" i="1" s="1"/>
  <c r="AH1254" i="1"/>
  <c r="BK1254" i="1" s="1"/>
  <c r="BI1253" i="1"/>
  <c r="BL1253" i="1" s="1"/>
  <c r="BH1253" i="1"/>
  <c r="BJ1253" i="1" s="1"/>
  <c r="AI1253" i="1"/>
  <c r="BM1253" i="1" s="1"/>
  <c r="AH1253" i="1"/>
  <c r="BK1253" i="1" s="1"/>
  <c r="BI1252" i="1"/>
  <c r="BL1252" i="1" s="1"/>
  <c r="BH1252" i="1"/>
  <c r="BJ1252" i="1" s="1"/>
  <c r="AI1252" i="1"/>
  <c r="BM1252" i="1" s="1"/>
  <c r="AH1252" i="1"/>
  <c r="BK1252" i="1" s="1"/>
  <c r="BI1251" i="1"/>
  <c r="BL1251" i="1" s="1"/>
  <c r="BH1251" i="1"/>
  <c r="BJ1251" i="1" s="1"/>
  <c r="AI1251" i="1"/>
  <c r="BM1251" i="1" s="1"/>
  <c r="AH1251" i="1"/>
  <c r="BK1251" i="1" s="1"/>
  <c r="BI1250" i="1"/>
  <c r="BL1250" i="1" s="1"/>
  <c r="BH1250" i="1"/>
  <c r="BJ1250" i="1" s="1"/>
  <c r="AI1250" i="1"/>
  <c r="BM1250" i="1" s="1"/>
  <c r="AH1250" i="1"/>
  <c r="BK1250" i="1" s="1"/>
  <c r="BI1249" i="1"/>
  <c r="BL1249" i="1" s="1"/>
  <c r="BH1249" i="1"/>
  <c r="BJ1249" i="1" s="1"/>
  <c r="AI1249" i="1"/>
  <c r="BM1249" i="1" s="1"/>
  <c r="AH1249" i="1"/>
  <c r="BK1249" i="1" s="1"/>
  <c r="BI1248" i="1"/>
  <c r="BL1248" i="1" s="1"/>
  <c r="BH1248" i="1"/>
  <c r="BJ1248" i="1" s="1"/>
  <c r="AI1248" i="1"/>
  <c r="BM1248" i="1" s="1"/>
  <c r="AH1248" i="1"/>
  <c r="BK1248" i="1" s="1"/>
  <c r="BI1247" i="1"/>
  <c r="BL1247" i="1" s="1"/>
  <c r="BH1247" i="1"/>
  <c r="BJ1247" i="1" s="1"/>
  <c r="AI1247" i="1"/>
  <c r="BM1247" i="1" s="1"/>
  <c r="AH1247" i="1"/>
  <c r="BK1247" i="1" s="1"/>
  <c r="BI1246" i="1"/>
  <c r="BL1246" i="1" s="1"/>
  <c r="BH1246" i="1"/>
  <c r="BJ1246" i="1" s="1"/>
  <c r="AI1246" i="1"/>
  <c r="BM1246" i="1" s="1"/>
  <c r="AH1246" i="1"/>
  <c r="BK1246" i="1" s="1"/>
  <c r="BI1245" i="1"/>
  <c r="BL1245" i="1" s="1"/>
  <c r="BH1245" i="1"/>
  <c r="BJ1245" i="1" s="1"/>
  <c r="AI1245" i="1"/>
  <c r="BM1245" i="1" s="1"/>
  <c r="AH1245" i="1"/>
  <c r="BK1245" i="1" s="1"/>
  <c r="BI1244" i="1"/>
  <c r="BL1244" i="1" s="1"/>
  <c r="BH1244" i="1"/>
  <c r="BJ1244" i="1" s="1"/>
  <c r="AI1244" i="1"/>
  <c r="BM1244" i="1" s="1"/>
  <c r="AH1244" i="1"/>
  <c r="BK1244" i="1" s="1"/>
  <c r="BI1243" i="1"/>
  <c r="BL1243" i="1" s="1"/>
  <c r="BH1243" i="1"/>
  <c r="BJ1243" i="1" s="1"/>
  <c r="AI1243" i="1"/>
  <c r="BM1243" i="1" s="1"/>
  <c r="AH1243" i="1"/>
  <c r="BK1243" i="1" s="1"/>
  <c r="BI1242" i="1"/>
  <c r="BL1242" i="1" s="1"/>
  <c r="BH1242" i="1"/>
  <c r="BJ1242" i="1" s="1"/>
  <c r="AI1242" i="1"/>
  <c r="BM1242" i="1" s="1"/>
  <c r="AH1242" i="1"/>
  <c r="BK1242" i="1" s="1"/>
  <c r="BI1241" i="1"/>
  <c r="BL1241" i="1" s="1"/>
  <c r="BH1241" i="1"/>
  <c r="BJ1241" i="1" s="1"/>
  <c r="AI1241" i="1"/>
  <c r="BM1241" i="1" s="1"/>
  <c r="AH1241" i="1"/>
  <c r="BK1241" i="1" s="1"/>
  <c r="BI1240" i="1"/>
  <c r="BL1240" i="1" s="1"/>
  <c r="BH1240" i="1"/>
  <c r="BJ1240" i="1" s="1"/>
  <c r="AI1240" i="1"/>
  <c r="BM1240" i="1" s="1"/>
  <c r="AH1240" i="1"/>
  <c r="BK1240" i="1" s="1"/>
  <c r="BI1239" i="1"/>
  <c r="BL1239" i="1" s="1"/>
  <c r="BH1239" i="1"/>
  <c r="BJ1239" i="1" s="1"/>
  <c r="AI1239" i="1"/>
  <c r="BM1239" i="1" s="1"/>
  <c r="AH1239" i="1"/>
  <c r="BK1239" i="1" s="1"/>
  <c r="BI1238" i="1"/>
  <c r="BL1238" i="1" s="1"/>
  <c r="BH1238" i="1"/>
  <c r="BJ1238" i="1" s="1"/>
  <c r="AI1238" i="1"/>
  <c r="BM1238" i="1" s="1"/>
  <c r="AH1238" i="1"/>
  <c r="BK1238" i="1" s="1"/>
  <c r="BI1237" i="1"/>
  <c r="BL1237" i="1" s="1"/>
  <c r="BH1237" i="1"/>
  <c r="BJ1237" i="1" s="1"/>
  <c r="AI1237" i="1"/>
  <c r="BM1237" i="1" s="1"/>
  <c r="AH1237" i="1"/>
  <c r="BK1237" i="1" s="1"/>
  <c r="BI1236" i="1"/>
  <c r="BL1236" i="1" s="1"/>
  <c r="BH1236" i="1"/>
  <c r="BJ1236" i="1" s="1"/>
  <c r="AI1236" i="1"/>
  <c r="BM1236" i="1" s="1"/>
  <c r="AH1236" i="1"/>
  <c r="BK1236" i="1" s="1"/>
  <c r="BI1235" i="1"/>
  <c r="BL1235" i="1" s="1"/>
  <c r="BH1235" i="1"/>
  <c r="BJ1235" i="1" s="1"/>
  <c r="AI1235" i="1"/>
  <c r="BM1235" i="1" s="1"/>
  <c r="AH1235" i="1"/>
  <c r="BK1235" i="1" s="1"/>
  <c r="BI1234" i="1"/>
  <c r="BL1234" i="1" s="1"/>
  <c r="BH1234" i="1"/>
  <c r="BJ1234" i="1" s="1"/>
  <c r="AI1234" i="1"/>
  <c r="BM1234" i="1" s="1"/>
  <c r="AH1234" i="1"/>
  <c r="BK1234" i="1" s="1"/>
  <c r="BI1233" i="1"/>
  <c r="BL1233" i="1" s="1"/>
  <c r="BH1233" i="1"/>
  <c r="BJ1233" i="1" s="1"/>
  <c r="AI1233" i="1"/>
  <c r="BM1233" i="1" s="1"/>
  <c r="AH1233" i="1"/>
  <c r="BK1233" i="1" s="1"/>
  <c r="BI1232" i="1"/>
  <c r="BL1232" i="1" s="1"/>
  <c r="BH1232" i="1"/>
  <c r="BJ1232" i="1" s="1"/>
  <c r="AI1232" i="1"/>
  <c r="BM1232" i="1" s="1"/>
  <c r="AH1232" i="1"/>
  <c r="BK1232" i="1" s="1"/>
  <c r="BI1231" i="1"/>
  <c r="BL1231" i="1" s="1"/>
  <c r="BH1231" i="1"/>
  <c r="BJ1231" i="1" s="1"/>
  <c r="AI1231" i="1"/>
  <c r="BM1231" i="1" s="1"/>
  <c r="AH1231" i="1"/>
  <c r="BK1231" i="1" s="1"/>
  <c r="BI1230" i="1"/>
  <c r="BL1230" i="1" s="1"/>
  <c r="BH1230" i="1"/>
  <c r="BJ1230" i="1" s="1"/>
  <c r="AI1230" i="1"/>
  <c r="BM1230" i="1" s="1"/>
  <c r="AH1230" i="1"/>
  <c r="BK1230" i="1" s="1"/>
  <c r="BI1229" i="1"/>
  <c r="BL1229" i="1" s="1"/>
  <c r="BH1229" i="1"/>
  <c r="BJ1229" i="1" s="1"/>
  <c r="AI1229" i="1"/>
  <c r="BM1229" i="1" s="1"/>
  <c r="AH1229" i="1"/>
  <c r="BK1229" i="1" s="1"/>
  <c r="BI1228" i="1"/>
  <c r="BL1228" i="1" s="1"/>
  <c r="BH1228" i="1"/>
  <c r="BJ1228" i="1" s="1"/>
  <c r="AI1228" i="1"/>
  <c r="BM1228" i="1" s="1"/>
  <c r="AH1228" i="1"/>
  <c r="BK1228" i="1" s="1"/>
  <c r="BI1227" i="1"/>
  <c r="BL1227" i="1" s="1"/>
  <c r="BH1227" i="1"/>
  <c r="BJ1227" i="1" s="1"/>
  <c r="AI1227" i="1"/>
  <c r="BM1227" i="1" s="1"/>
  <c r="AH1227" i="1"/>
  <c r="BK1227" i="1" s="1"/>
  <c r="BI1226" i="1"/>
  <c r="BL1226" i="1" s="1"/>
  <c r="BH1226" i="1"/>
  <c r="BJ1226" i="1" s="1"/>
  <c r="AI1226" i="1"/>
  <c r="BM1226" i="1" s="1"/>
  <c r="AH1226" i="1"/>
  <c r="BK1226" i="1" s="1"/>
  <c r="BI1225" i="1"/>
  <c r="BL1225" i="1" s="1"/>
  <c r="BH1225" i="1"/>
  <c r="BJ1225" i="1" s="1"/>
  <c r="AI1225" i="1"/>
  <c r="BM1225" i="1" s="1"/>
  <c r="AH1225" i="1"/>
  <c r="BK1225" i="1" s="1"/>
  <c r="BI1224" i="1"/>
  <c r="BL1224" i="1" s="1"/>
  <c r="BH1224" i="1"/>
  <c r="BJ1224" i="1" s="1"/>
  <c r="AI1224" i="1"/>
  <c r="BM1224" i="1" s="1"/>
  <c r="AH1224" i="1"/>
  <c r="BK1224" i="1" s="1"/>
  <c r="BI1223" i="1"/>
  <c r="BL1223" i="1" s="1"/>
  <c r="BH1223" i="1"/>
  <c r="BJ1223" i="1" s="1"/>
  <c r="AI1223" i="1"/>
  <c r="BM1223" i="1" s="1"/>
  <c r="AH1223" i="1"/>
  <c r="BK1223" i="1" s="1"/>
  <c r="BI1222" i="1"/>
  <c r="BL1222" i="1" s="1"/>
  <c r="BH1222" i="1"/>
  <c r="BJ1222" i="1" s="1"/>
  <c r="AI1222" i="1"/>
  <c r="BM1222" i="1" s="1"/>
  <c r="AH1222" i="1"/>
  <c r="BK1222" i="1" s="1"/>
  <c r="BI1221" i="1"/>
  <c r="BL1221" i="1" s="1"/>
  <c r="BH1221" i="1"/>
  <c r="BJ1221" i="1" s="1"/>
  <c r="AI1221" i="1"/>
  <c r="BM1221" i="1" s="1"/>
  <c r="AH1221" i="1"/>
  <c r="BK1221" i="1" s="1"/>
  <c r="BI1220" i="1"/>
  <c r="BL1220" i="1" s="1"/>
  <c r="BH1220" i="1"/>
  <c r="BJ1220" i="1" s="1"/>
  <c r="AI1220" i="1"/>
  <c r="BM1220" i="1" s="1"/>
  <c r="AH1220" i="1"/>
  <c r="BK1220" i="1" s="1"/>
  <c r="BI1219" i="1"/>
  <c r="BL1219" i="1" s="1"/>
  <c r="BH1219" i="1"/>
  <c r="BJ1219" i="1" s="1"/>
  <c r="AI1219" i="1"/>
  <c r="BM1219" i="1" s="1"/>
  <c r="AH1219" i="1"/>
  <c r="BK1219" i="1" s="1"/>
  <c r="BI1218" i="1"/>
  <c r="BL1218" i="1" s="1"/>
  <c r="BH1218" i="1"/>
  <c r="BJ1218" i="1" s="1"/>
  <c r="AI1218" i="1"/>
  <c r="BM1218" i="1" s="1"/>
  <c r="AH1218" i="1"/>
  <c r="BK1218" i="1" s="1"/>
  <c r="BI1217" i="1"/>
  <c r="BL1217" i="1" s="1"/>
  <c r="BH1217" i="1"/>
  <c r="BJ1217" i="1" s="1"/>
  <c r="AI1217" i="1"/>
  <c r="BM1217" i="1" s="1"/>
  <c r="AH1217" i="1"/>
  <c r="BK1217" i="1" s="1"/>
  <c r="BI1216" i="1"/>
  <c r="BL1216" i="1" s="1"/>
  <c r="BH1216" i="1"/>
  <c r="BJ1216" i="1" s="1"/>
  <c r="AI1216" i="1"/>
  <c r="BM1216" i="1" s="1"/>
  <c r="AH1216" i="1"/>
  <c r="BK1216" i="1" s="1"/>
  <c r="BI1215" i="1"/>
  <c r="BL1215" i="1" s="1"/>
  <c r="BH1215" i="1"/>
  <c r="BJ1215" i="1" s="1"/>
  <c r="AI1215" i="1"/>
  <c r="BM1215" i="1" s="1"/>
  <c r="AH1215" i="1"/>
  <c r="BK1215" i="1" s="1"/>
  <c r="BI1214" i="1"/>
  <c r="BL1214" i="1" s="1"/>
  <c r="BH1214" i="1"/>
  <c r="BJ1214" i="1" s="1"/>
  <c r="AI1214" i="1"/>
  <c r="BM1214" i="1" s="1"/>
  <c r="AH1214" i="1"/>
  <c r="BK1214" i="1" s="1"/>
  <c r="BI1213" i="1"/>
  <c r="BL1213" i="1" s="1"/>
  <c r="BH1213" i="1"/>
  <c r="BJ1213" i="1" s="1"/>
  <c r="AI1213" i="1"/>
  <c r="BM1213" i="1" s="1"/>
  <c r="AH1213" i="1"/>
  <c r="BK1213" i="1" s="1"/>
  <c r="BI1212" i="1"/>
  <c r="BL1212" i="1" s="1"/>
  <c r="BH1212" i="1"/>
  <c r="BJ1212" i="1" s="1"/>
  <c r="AI1212" i="1"/>
  <c r="BM1212" i="1" s="1"/>
  <c r="AH1212" i="1"/>
  <c r="BK1212" i="1" s="1"/>
  <c r="BI1211" i="1"/>
  <c r="BL1211" i="1" s="1"/>
  <c r="BH1211" i="1"/>
  <c r="BJ1211" i="1" s="1"/>
  <c r="AI1211" i="1"/>
  <c r="BM1211" i="1" s="1"/>
  <c r="AH1211" i="1"/>
  <c r="BK1211" i="1" s="1"/>
  <c r="BI1210" i="1"/>
  <c r="BL1210" i="1" s="1"/>
  <c r="BH1210" i="1"/>
  <c r="BJ1210" i="1" s="1"/>
  <c r="AI1210" i="1"/>
  <c r="BM1210" i="1" s="1"/>
  <c r="AH1210" i="1"/>
  <c r="BK1210" i="1" s="1"/>
  <c r="BI1209" i="1"/>
  <c r="BL1209" i="1" s="1"/>
  <c r="BH1209" i="1"/>
  <c r="BJ1209" i="1" s="1"/>
  <c r="AI1209" i="1"/>
  <c r="BM1209" i="1" s="1"/>
  <c r="AH1209" i="1"/>
  <c r="BK1209" i="1" s="1"/>
  <c r="BI1208" i="1"/>
  <c r="BL1208" i="1" s="1"/>
  <c r="BH1208" i="1"/>
  <c r="BJ1208" i="1" s="1"/>
  <c r="AI1208" i="1"/>
  <c r="BM1208" i="1" s="1"/>
  <c r="AH1208" i="1"/>
  <c r="BK1208" i="1" s="1"/>
  <c r="BI1207" i="1"/>
  <c r="BL1207" i="1" s="1"/>
  <c r="BH1207" i="1"/>
  <c r="BJ1207" i="1" s="1"/>
  <c r="AI1207" i="1"/>
  <c r="BM1207" i="1" s="1"/>
  <c r="AH1207" i="1"/>
  <c r="BK1207" i="1" s="1"/>
  <c r="BI1206" i="1"/>
  <c r="BL1206" i="1" s="1"/>
  <c r="BH1206" i="1"/>
  <c r="BJ1206" i="1" s="1"/>
  <c r="AI1206" i="1"/>
  <c r="BM1206" i="1" s="1"/>
  <c r="AH1206" i="1"/>
  <c r="BK1206" i="1" s="1"/>
  <c r="BI1205" i="1"/>
  <c r="BL1205" i="1" s="1"/>
  <c r="BH1205" i="1"/>
  <c r="BJ1205" i="1" s="1"/>
  <c r="AI1205" i="1"/>
  <c r="BM1205" i="1" s="1"/>
  <c r="AH1205" i="1"/>
  <c r="BK1205" i="1" s="1"/>
  <c r="BI1204" i="1"/>
  <c r="BL1204" i="1" s="1"/>
  <c r="BH1204" i="1"/>
  <c r="BJ1204" i="1" s="1"/>
  <c r="AI1204" i="1"/>
  <c r="BM1204" i="1" s="1"/>
  <c r="AH1204" i="1"/>
  <c r="BK1204" i="1" s="1"/>
  <c r="BI1203" i="1"/>
  <c r="BL1203" i="1" s="1"/>
  <c r="BH1203" i="1"/>
  <c r="BJ1203" i="1" s="1"/>
  <c r="AI1203" i="1"/>
  <c r="BM1203" i="1" s="1"/>
  <c r="AH1203" i="1"/>
  <c r="BK1203" i="1" s="1"/>
  <c r="BI1202" i="1"/>
  <c r="BL1202" i="1" s="1"/>
  <c r="BH1202" i="1"/>
  <c r="BJ1202" i="1" s="1"/>
  <c r="AI1202" i="1"/>
  <c r="BM1202" i="1" s="1"/>
  <c r="AH1202" i="1"/>
  <c r="BK1202" i="1" s="1"/>
  <c r="BI1201" i="1"/>
  <c r="BL1201" i="1" s="1"/>
  <c r="BH1201" i="1"/>
  <c r="BJ1201" i="1" s="1"/>
  <c r="AI1201" i="1"/>
  <c r="BM1201" i="1" s="1"/>
  <c r="AH1201" i="1"/>
  <c r="BK1201" i="1" s="1"/>
  <c r="BI1200" i="1"/>
  <c r="BL1200" i="1" s="1"/>
  <c r="BH1200" i="1"/>
  <c r="BJ1200" i="1" s="1"/>
  <c r="AI1200" i="1"/>
  <c r="BM1200" i="1" s="1"/>
  <c r="AH1200" i="1"/>
  <c r="BK1200" i="1" s="1"/>
  <c r="BI1199" i="1"/>
  <c r="BL1199" i="1" s="1"/>
  <c r="BH1199" i="1"/>
  <c r="BJ1199" i="1" s="1"/>
  <c r="AI1199" i="1"/>
  <c r="BM1199" i="1" s="1"/>
  <c r="AH1199" i="1"/>
  <c r="BK1199" i="1" s="1"/>
  <c r="BI1198" i="1"/>
  <c r="BL1198" i="1" s="1"/>
  <c r="BH1198" i="1"/>
  <c r="BJ1198" i="1" s="1"/>
  <c r="AI1198" i="1"/>
  <c r="BM1198" i="1" s="1"/>
  <c r="AH1198" i="1"/>
  <c r="BK1198" i="1" s="1"/>
  <c r="BI1197" i="1"/>
  <c r="BL1197" i="1" s="1"/>
  <c r="BH1197" i="1"/>
  <c r="BJ1197" i="1" s="1"/>
  <c r="AI1197" i="1"/>
  <c r="BM1197" i="1" s="1"/>
  <c r="AH1197" i="1"/>
  <c r="BK1197" i="1" s="1"/>
  <c r="BI1196" i="1"/>
  <c r="BL1196" i="1" s="1"/>
  <c r="BH1196" i="1"/>
  <c r="BJ1196" i="1" s="1"/>
  <c r="AI1196" i="1"/>
  <c r="BM1196" i="1" s="1"/>
  <c r="AH1196" i="1"/>
  <c r="BK1196" i="1" s="1"/>
  <c r="BI1195" i="1"/>
  <c r="BL1195" i="1" s="1"/>
  <c r="BH1195" i="1"/>
  <c r="BJ1195" i="1" s="1"/>
  <c r="AI1195" i="1"/>
  <c r="BM1195" i="1" s="1"/>
  <c r="AH1195" i="1"/>
  <c r="BK1195" i="1" s="1"/>
  <c r="BI1194" i="1"/>
  <c r="BL1194" i="1" s="1"/>
  <c r="BH1194" i="1"/>
  <c r="BJ1194" i="1" s="1"/>
  <c r="AI1194" i="1"/>
  <c r="BM1194" i="1" s="1"/>
  <c r="AH1194" i="1"/>
  <c r="BK1194" i="1" s="1"/>
  <c r="BI1193" i="1"/>
  <c r="BL1193" i="1" s="1"/>
  <c r="BH1193" i="1"/>
  <c r="BJ1193" i="1" s="1"/>
  <c r="AI1193" i="1"/>
  <c r="BM1193" i="1" s="1"/>
  <c r="AH1193" i="1"/>
  <c r="BK1193" i="1" s="1"/>
  <c r="BI1192" i="1"/>
  <c r="BL1192" i="1" s="1"/>
  <c r="BH1192" i="1"/>
  <c r="BJ1192" i="1" s="1"/>
  <c r="AI1192" i="1"/>
  <c r="BM1192" i="1" s="1"/>
  <c r="AH1192" i="1"/>
  <c r="BK1192" i="1" s="1"/>
  <c r="BI1191" i="1"/>
  <c r="BL1191" i="1" s="1"/>
  <c r="BH1191" i="1"/>
  <c r="BJ1191" i="1" s="1"/>
  <c r="AI1191" i="1"/>
  <c r="BM1191" i="1" s="1"/>
  <c r="AH1191" i="1"/>
  <c r="BK1191" i="1" s="1"/>
  <c r="BI1190" i="1"/>
  <c r="BL1190" i="1" s="1"/>
  <c r="BH1190" i="1"/>
  <c r="BJ1190" i="1" s="1"/>
  <c r="AI1190" i="1"/>
  <c r="BM1190" i="1" s="1"/>
  <c r="AH1190" i="1"/>
  <c r="BK1190" i="1" s="1"/>
  <c r="BI1189" i="1"/>
  <c r="BL1189" i="1" s="1"/>
  <c r="BH1189" i="1"/>
  <c r="BJ1189" i="1" s="1"/>
  <c r="AI1189" i="1"/>
  <c r="BM1189" i="1" s="1"/>
  <c r="AH1189" i="1"/>
  <c r="BK1189" i="1" s="1"/>
  <c r="BI1188" i="1"/>
  <c r="BL1188" i="1" s="1"/>
  <c r="BH1188" i="1"/>
  <c r="BJ1188" i="1" s="1"/>
  <c r="AI1188" i="1"/>
  <c r="BM1188" i="1" s="1"/>
  <c r="AH1188" i="1"/>
  <c r="BK1188" i="1" s="1"/>
  <c r="BI1187" i="1"/>
  <c r="BL1187" i="1" s="1"/>
  <c r="BH1187" i="1"/>
  <c r="BJ1187" i="1" s="1"/>
  <c r="AI1187" i="1"/>
  <c r="BM1187" i="1" s="1"/>
  <c r="AH1187" i="1"/>
  <c r="BK1187" i="1" s="1"/>
  <c r="BI1186" i="1"/>
  <c r="BL1186" i="1" s="1"/>
  <c r="BH1186" i="1"/>
  <c r="BJ1186" i="1" s="1"/>
  <c r="AI1186" i="1"/>
  <c r="BM1186" i="1" s="1"/>
  <c r="AH1186" i="1"/>
  <c r="BK1186" i="1" s="1"/>
  <c r="BI1185" i="1"/>
  <c r="BL1185" i="1" s="1"/>
  <c r="BH1185" i="1"/>
  <c r="BJ1185" i="1" s="1"/>
  <c r="AI1185" i="1"/>
  <c r="BM1185" i="1" s="1"/>
  <c r="AH1185" i="1"/>
  <c r="BK1185" i="1" s="1"/>
  <c r="BI1184" i="1"/>
  <c r="BL1184" i="1" s="1"/>
  <c r="BH1184" i="1"/>
  <c r="BJ1184" i="1" s="1"/>
  <c r="AI1184" i="1"/>
  <c r="BM1184" i="1" s="1"/>
  <c r="AH1184" i="1"/>
  <c r="BK1184" i="1" s="1"/>
  <c r="BI1183" i="1"/>
  <c r="BL1183" i="1" s="1"/>
  <c r="BM1183" i="1" s="1"/>
  <c r="BH1183" i="1"/>
  <c r="BJ1183" i="1" s="1"/>
  <c r="BK1183" i="1" s="1"/>
  <c r="AI1183" i="1"/>
  <c r="AH1183" i="1"/>
  <c r="BI1182" i="1"/>
  <c r="BL1182" i="1" s="1"/>
  <c r="BH1182" i="1"/>
  <c r="BJ1182" i="1" s="1"/>
  <c r="AI1182" i="1"/>
  <c r="BM1182" i="1" s="1"/>
  <c r="AH1182" i="1"/>
  <c r="BI1181" i="1"/>
  <c r="BL1181" i="1" s="1"/>
  <c r="BH1181" i="1"/>
  <c r="BJ1181" i="1" s="1"/>
  <c r="AI1181" i="1"/>
  <c r="BM1181" i="1" s="1"/>
  <c r="AH1181" i="1"/>
  <c r="BK1181" i="1" s="1"/>
  <c r="BI1180" i="1"/>
  <c r="BL1180" i="1" s="1"/>
  <c r="BH1180" i="1"/>
  <c r="BJ1180" i="1" s="1"/>
  <c r="AI1180" i="1"/>
  <c r="BM1180" i="1" s="1"/>
  <c r="AH1180" i="1"/>
  <c r="BK1180" i="1" s="1"/>
  <c r="BI1179" i="1"/>
  <c r="BL1179" i="1" s="1"/>
  <c r="BH1179" i="1"/>
  <c r="BJ1179" i="1" s="1"/>
  <c r="AI1179" i="1"/>
  <c r="BM1179" i="1" s="1"/>
  <c r="AH1179" i="1"/>
  <c r="BK1179" i="1" s="1"/>
  <c r="BI1178" i="1"/>
  <c r="BL1178" i="1" s="1"/>
  <c r="BH1178" i="1"/>
  <c r="BJ1178" i="1" s="1"/>
  <c r="AI1178" i="1"/>
  <c r="BM1178" i="1" s="1"/>
  <c r="AH1178" i="1"/>
  <c r="BK1178" i="1" s="1"/>
  <c r="BI1177" i="1"/>
  <c r="BL1177" i="1" s="1"/>
  <c r="BH1177" i="1"/>
  <c r="BJ1177" i="1" s="1"/>
  <c r="AI1177" i="1"/>
  <c r="BM1177" i="1" s="1"/>
  <c r="AH1177" i="1"/>
  <c r="BK1177" i="1" s="1"/>
  <c r="BI1176" i="1"/>
  <c r="BL1176" i="1" s="1"/>
  <c r="BH1176" i="1"/>
  <c r="BJ1176" i="1" s="1"/>
  <c r="AI1176" i="1"/>
  <c r="BM1176" i="1" s="1"/>
  <c r="AH1176" i="1"/>
  <c r="BK1176" i="1" s="1"/>
  <c r="BI1175" i="1"/>
  <c r="BL1175" i="1" s="1"/>
  <c r="BH1175" i="1"/>
  <c r="BJ1175" i="1" s="1"/>
  <c r="AI1175" i="1"/>
  <c r="BM1175" i="1" s="1"/>
  <c r="AH1175" i="1"/>
  <c r="BK1175" i="1" s="1"/>
  <c r="BI1174" i="1"/>
  <c r="BL1174" i="1" s="1"/>
  <c r="BH1174" i="1"/>
  <c r="BJ1174" i="1" s="1"/>
  <c r="AI1174" i="1"/>
  <c r="BM1174" i="1" s="1"/>
  <c r="AH1174" i="1"/>
  <c r="BK1174" i="1" s="1"/>
  <c r="BI1173" i="1"/>
  <c r="BL1173" i="1" s="1"/>
  <c r="BH1173" i="1"/>
  <c r="BJ1173" i="1" s="1"/>
  <c r="AI1173" i="1"/>
  <c r="BM1173" i="1" s="1"/>
  <c r="AH1173" i="1"/>
  <c r="BK1173" i="1" s="1"/>
  <c r="BI1172" i="1"/>
  <c r="BL1172" i="1" s="1"/>
  <c r="BH1172" i="1"/>
  <c r="BJ1172" i="1" s="1"/>
  <c r="AI1172" i="1"/>
  <c r="BM1172" i="1" s="1"/>
  <c r="AH1172" i="1"/>
  <c r="BK1172" i="1" s="1"/>
  <c r="BI1171" i="1"/>
  <c r="BL1171" i="1" s="1"/>
  <c r="BH1171" i="1"/>
  <c r="BJ1171" i="1" s="1"/>
  <c r="AI1171" i="1"/>
  <c r="BM1171" i="1" s="1"/>
  <c r="AH1171" i="1"/>
  <c r="BK1171" i="1" s="1"/>
  <c r="BI1170" i="1"/>
  <c r="BL1170" i="1" s="1"/>
  <c r="BH1170" i="1"/>
  <c r="BJ1170" i="1" s="1"/>
  <c r="AI1170" i="1"/>
  <c r="BM1170" i="1" s="1"/>
  <c r="AH1170" i="1"/>
  <c r="BK1170" i="1" s="1"/>
  <c r="BI1169" i="1"/>
  <c r="BL1169" i="1" s="1"/>
  <c r="BH1169" i="1"/>
  <c r="BJ1169" i="1" s="1"/>
  <c r="AI1169" i="1"/>
  <c r="BM1169" i="1" s="1"/>
  <c r="AH1169" i="1"/>
  <c r="BK1169" i="1" s="1"/>
  <c r="BI1168" i="1"/>
  <c r="BL1168" i="1" s="1"/>
  <c r="BH1168" i="1"/>
  <c r="BJ1168" i="1" s="1"/>
  <c r="AI1168" i="1"/>
  <c r="BM1168" i="1" s="1"/>
  <c r="AH1168" i="1"/>
  <c r="BK1168" i="1" s="1"/>
  <c r="BI1167" i="1"/>
  <c r="BL1167" i="1" s="1"/>
  <c r="BH1167" i="1"/>
  <c r="BJ1167" i="1" s="1"/>
  <c r="AI1167" i="1"/>
  <c r="BM1167" i="1" s="1"/>
  <c r="AH1167" i="1"/>
  <c r="BK1167" i="1" s="1"/>
  <c r="BI1166" i="1"/>
  <c r="BL1166" i="1" s="1"/>
  <c r="BH1166" i="1"/>
  <c r="BJ1166" i="1" s="1"/>
  <c r="AI1166" i="1"/>
  <c r="BM1166" i="1" s="1"/>
  <c r="AH1166" i="1"/>
  <c r="BK1166" i="1" s="1"/>
  <c r="BI1165" i="1"/>
  <c r="BL1165" i="1" s="1"/>
  <c r="BH1165" i="1"/>
  <c r="BJ1165" i="1" s="1"/>
  <c r="AI1165" i="1"/>
  <c r="BM1165" i="1" s="1"/>
  <c r="AH1165" i="1"/>
  <c r="BK1165" i="1" s="1"/>
  <c r="BI1164" i="1"/>
  <c r="BL1164" i="1" s="1"/>
  <c r="BH1164" i="1"/>
  <c r="BJ1164" i="1" s="1"/>
  <c r="AI1164" i="1"/>
  <c r="BM1164" i="1" s="1"/>
  <c r="AH1164" i="1"/>
  <c r="BK1164" i="1" s="1"/>
  <c r="BI1163" i="1"/>
  <c r="BL1163" i="1" s="1"/>
  <c r="BH1163" i="1"/>
  <c r="BJ1163" i="1" s="1"/>
  <c r="AI1163" i="1"/>
  <c r="BM1163" i="1" s="1"/>
  <c r="AH1163" i="1"/>
  <c r="BK1163" i="1" s="1"/>
  <c r="BI1162" i="1"/>
  <c r="BL1162" i="1" s="1"/>
  <c r="BH1162" i="1"/>
  <c r="BJ1162" i="1" s="1"/>
  <c r="AI1162" i="1"/>
  <c r="BM1162" i="1" s="1"/>
  <c r="AH1162" i="1"/>
  <c r="BK1162" i="1" s="1"/>
  <c r="BI1161" i="1"/>
  <c r="BL1161" i="1" s="1"/>
  <c r="BH1161" i="1"/>
  <c r="BJ1161" i="1" s="1"/>
  <c r="AI1161" i="1"/>
  <c r="BM1161" i="1" s="1"/>
  <c r="AH1161" i="1"/>
  <c r="BK1161" i="1" s="1"/>
  <c r="BI1160" i="1"/>
  <c r="BL1160" i="1" s="1"/>
  <c r="BH1160" i="1"/>
  <c r="BJ1160" i="1" s="1"/>
  <c r="AI1160" i="1"/>
  <c r="BM1160" i="1" s="1"/>
  <c r="AH1160" i="1"/>
  <c r="BK1160" i="1" s="1"/>
  <c r="BI1159" i="1"/>
  <c r="BL1159" i="1" s="1"/>
  <c r="BH1159" i="1"/>
  <c r="BJ1159" i="1" s="1"/>
  <c r="AI1159" i="1"/>
  <c r="BM1159" i="1" s="1"/>
  <c r="AH1159" i="1"/>
  <c r="BK1159" i="1" s="1"/>
  <c r="BI1158" i="1"/>
  <c r="BL1158" i="1" s="1"/>
  <c r="BH1158" i="1"/>
  <c r="BJ1158" i="1" s="1"/>
  <c r="AI1158" i="1"/>
  <c r="BM1158" i="1" s="1"/>
  <c r="AH1158" i="1"/>
  <c r="BK1158" i="1" s="1"/>
  <c r="BI1157" i="1"/>
  <c r="BL1157" i="1" s="1"/>
  <c r="BH1157" i="1"/>
  <c r="BJ1157" i="1" s="1"/>
  <c r="AI1157" i="1"/>
  <c r="BM1157" i="1" s="1"/>
  <c r="AH1157" i="1"/>
  <c r="BK1157" i="1" s="1"/>
  <c r="BI1156" i="1"/>
  <c r="BL1156" i="1" s="1"/>
  <c r="BH1156" i="1"/>
  <c r="BJ1156" i="1" s="1"/>
  <c r="AI1156" i="1"/>
  <c r="BM1156" i="1" s="1"/>
  <c r="AH1156" i="1"/>
  <c r="BK1156" i="1" s="1"/>
  <c r="BI1155" i="1"/>
  <c r="BL1155" i="1" s="1"/>
  <c r="BH1155" i="1"/>
  <c r="BJ1155" i="1" s="1"/>
  <c r="AI1155" i="1"/>
  <c r="BM1155" i="1" s="1"/>
  <c r="AH1155" i="1"/>
  <c r="BK1155" i="1" s="1"/>
  <c r="BI1154" i="1"/>
  <c r="BL1154" i="1" s="1"/>
  <c r="BH1154" i="1"/>
  <c r="BJ1154" i="1" s="1"/>
  <c r="AI1154" i="1"/>
  <c r="BM1154" i="1" s="1"/>
  <c r="AH1154" i="1"/>
  <c r="BK1154" i="1" s="1"/>
  <c r="BI1153" i="1"/>
  <c r="BL1153" i="1" s="1"/>
  <c r="BH1153" i="1"/>
  <c r="BJ1153" i="1" s="1"/>
  <c r="AI1153" i="1"/>
  <c r="BM1153" i="1" s="1"/>
  <c r="AH1153" i="1"/>
  <c r="BK1153" i="1" s="1"/>
  <c r="BI1152" i="1"/>
  <c r="BL1152" i="1" s="1"/>
  <c r="BH1152" i="1"/>
  <c r="BJ1152" i="1" s="1"/>
  <c r="AI1152" i="1"/>
  <c r="BM1152" i="1" s="1"/>
  <c r="AH1152" i="1"/>
  <c r="BK1152" i="1" s="1"/>
  <c r="BI1151" i="1"/>
  <c r="BL1151" i="1" s="1"/>
  <c r="BH1151" i="1"/>
  <c r="BJ1151" i="1" s="1"/>
  <c r="AI1151" i="1"/>
  <c r="BM1151" i="1" s="1"/>
  <c r="AH1151" i="1"/>
  <c r="BK1151" i="1" s="1"/>
  <c r="BI1150" i="1"/>
  <c r="BL1150" i="1" s="1"/>
  <c r="BH1150" i="1"/>
  <c r="BJ1150" i="1" s="1"/>
  <c r="AI1150" i="1"/>
  <c r="BM1150" i="1" s="1"/>
  <c r="AH1150" i="1"/>
  <c r="BK1150" i="1" s="1"/>
  <c r="BI1149" i="1"/>
  <c r="BL1149" i="1" s="1"/>
  <c r="BH1149" i="1"/>
  <c r="BJ1149" i="1" s="1"/>
  <c r="AI1149" i="1"/>
  <c r="BM1149" i="1" s="1"/>
  <c r="AH1149" i="1"/>
  <c r="BK1149" i="1" s="1"/>
  <c r="BI1148" i="1"/>
  <c r="BL1148" i="1" s="1"/>
  <c r="BH1148" i="1"/>
  <c r="BJ1148" i="1" s="1"/>
  <c r="AI1148" i="1"/>
  <c r="BM1148" i="1" s="1"/>
  <c r="AH1148" i="1"/>
  <c r="BK1148" i="1" s="1"/>
  <c r="BI1147" i="1"/>
  <c r="BL1147" i="1" s="1"/>
  <c r="BH1147" i="1"/>
  <c r="BJ1147" i="1" s="1"/>
  <c r="AI1147" i="1"/>
  <c r="BM1147" i="1" s="1"/>
  <c r="AH1147" i="1"/>
  <c r="BK1147" i="1" s="1"/>
  <c r="BI1146" i="1"/>
  <c r="BL1146" i="1" s="1"/>
  <c r="BH1146" i="1"/>
  <c r="BJ1146" i="1" s="1"/>
  <c r="AI1146" i="1"/>
  <c r="BM1146" i="1" s="1"/>
  <c r="AH1146" i="1"/>
  <c r="BK1146" i="1" s="1"/>
  <c r="BI1145" i="1"/>
  <c r="BL1145" i="1" s="1"/>
  <c r="BH1145" i="1"/>
  <c r="BJ1145" i="1" s="1"/>
  <c r="AI1145" i="1"/>
  <c r="BM1145" i="1" s="1"/>
  <c r="AH1145" i="1"/>
  <c r="BK1145" i="1" s="1"/>
  <c r="BI1144" i="1"/>
  <c r="BL1144" i="1" s="1"/>
  <c r="BH1144" i="1"/>
  <c r="BJ1144" i="1" s="1"/>
  <c r="AI1144" i="1"/>
  <c r="BM1144" i="1" s="1"/>
  <c r="AH1144" i="1"/>
  <c r="BK1144" i="1" s="1"/>
  <c r="BI1143" i="1"/>
  <c r="BL1143" i="1" s="1"/>
  <c r="BH1143" i="1"/>
  <c r="BJ1143" i="1" s="1"/>
  <c r="AI1143" i="1"/>
  <c r="BM1143" i="1" s="1"/>
  <c r="AH1143" i="1"/>
  <c r="BK1143" i="1" s="1"/>
  <c r="BI1142" i="1"/>
  <c r="BL1142" i="1" s="1"/>
  <c r="BH1142" i="1"/>
  <c r="BJ1142" i="1" s="1"/>
  <c r="AI1142" i="1"/>
  <c r="BM1142" i="1" s="1"/>
  <c r="AH1142" i="1"/>
  <c r="BK1142" i="1" s="1"/>
  <c r="BI1141" i="1"/>
  <c r="BL1141" i="1" s="1"/>
  <c r="BH1141" i="1"/>
  <c r="BJ1141" i="1" s="1"/>
  <c r="AI1141" i="1"/>
  <c r="BM1141" i="1" s="1"/>
  <c r="AH1141" i="1"/>
  <c r="BK1141" i="1" s="1"/>
  <c r="BI1140" i="1"/>
  <c r="BL1140" i="1" s="1"/>
  <c r="BH1140" i="1"/>
  <c r="BJ1140" i="1" s="1"/>
  <c r="AI1140" i="1"/>
  <c r="BM1140" i="1" s="1"/>
  <c r="AH1140" i="1"/>
  <c r="BK1140" i="1" s="1"/>
  <c r="BI1139" i="1"/>
  <c r="BL1139" i="1" s="1"/>
  <c r="BH1139" i="1"/>
  <c r="BJ1139" i="1" s="1"/>
  <c r="AI1139" i="1"/>
  <c r="BM1139" i="1" s="1"/>
  <c r="AH1139" i="1"/>
  <c r="BK1139" i="1" s="1"/>
  <c r="BI1138" i="1"/>
  <c r="BL1138" i="1" s="1"/>
  <c r="BH1138" i="1"/>
  <c r="BJ1138" i="1" s="1"/>
  <c r="AI1138" i="1"/>
  <c r="BM1138" i="1" s="1"/>
  <c r="AH1138" i="1"/>
  <c r="BK1138" i="1" s="1"/>
  <c r="BI1137" i="1"/>
  <c r="BL1137" i="1" s="1"/>
  <c r="BH1137" i="1"/>
  <c r="BJ1137" i="1" s="1"/>
  <c r="AI1137" i="1"/>
  <c r="BM1137" i="1" s="1"/>
  <c r="AH1137" i="1"/>
  <c r="BK1137" i="1" s="1"/>
  <c r="BI1136" i="1"/>
  <c r="BL1136" i="1" s="1"/>
  <c r="BH1136" i="1"/>
  <c r="BJ1136" i="1" s="1"/>
  <c r="AI1136" i="1"/>
  <c r="BM1136" i="1" s="1"/>
  <c r="AH1136" i="1"/>
  <c r="BK1136" i="1" s="1"/>
  <c r="BI1135" i="1"/>
  <c r="BL1135" i="1" s="1"/>
  <c r="BH1135" i="1"/>
  <c r="BJ1135" i="1" s="1"/>
  <c r="AI1135" i="1"/>
  <c r="BM1135" i="1" s="1"/>
  <c r="AH1135" i="1"/>
  <c r="BK1135" i="1" s="1"/>
  <c r="BI1134" i="1"/>
  <c r="BL1134" i="1" s="1"/>
  <c r="BH1134" i="1"/>
  <c r="BJ1134" i="1" s="1"/>
  <c r="AI1134" i="1"/>
  <c r="BM1134" i="1" s="1"/>
  <c r="AH1134" i="1"/>
  <c r="BK1134" i="1" s="1"/>
  <c r="BI1133" i="1"/>
  <c r="BL1133" i="1" s="1"/>
  <c r="BH1133" i="1"/>
  <c r="BJ1133" i="1" s="1"/>
  <c r="AI1133" i="1"/>
  <c r="BM1133" i="1" s="1"/>
  <c r="AH1133" i="1"/>
  <c r="BK1133" i="1" s="1"/>
  <c r="BI1132" i="1"/>
  <c r="BL1132" i="1" s="1"/>
  <c r="BH1132" i="1"/>
  <c r="BJ1132" i="1" s="1"/>
  <c r="AI1132" i="1"/>
  <c r="BM1132" i="1" s="1"/>
  <c r="AH1132" i="1"/>
  <c r="BK1132" i="1" s="1"/>
  <c r="BI1131" i="1"/>
  <c r="BL1131" i="1" s="1"/>
  <c r="BH1131" i="1"/>
  <c r="BJ1131" i="1" s="1"/>
  <c r="AI1131" i="1"/>
  <c r="BM1131" i="1" s="1"/>
  <c r="AH1131" i="1"/>
  <c r="BK1131" i="1" s="1"/>
  <c r="BI1130" i="1"/>
  <c r="BL1130" i="1" s="1"/>
  <c r="BH1130" i="1"/>
  <c r="BJ1130" i="1" s="1"/>
  <c r="AI1130" i="1"/>
  <c r="BM1130" i="1" s="1"/>
  <c r="AH1130" i="1"/>
  <c r="BK1130" i="1" s="1"/>
  <c r="BI1129" i="1"/>
  <c r="BL1129" i="1" s="1"/>
  <c r="BH1129" i="1"/>
  <c r="BJ1129" i="1" s="1"/>
  <c r="AI1129" i="1"/>
  <c r="BM1129" i="1" s="1"/>
  <c r="AH1129" i="1"/>
  <c r="BK1129" i="1" s="1"/>
  <c r="BI1128" i="1"/>
  <c r="BL1128" i="1" s="1"/>
  <c r="BH1128" i="1"/>
  <c r="BJ1128" i="1" s="1"/>
  <c r="AI1128" i="1"/>
  <c r="BM1128" i="1" s="1"/>
  <c r="AH1128" i="1"/>
  <c r="BK1128" i="1" s="1"/>
  <c r="BI1127" i="1"/>
  <c r="BL1127" i="1" s="1"/>
  <c r="BH1127" i="1"/>
  <c r="BJ1127" i="1" s="1"/>
  <c r="AI1127" i="1"/>
  <c r="BM1127" i="1" s="1"/>
  <c r="AH1127" i="1"/>
  <c r="BK1127" i="1" s="1"/>
  <c r="BI1126" i="1"/>
  <c r="BL1126" i="1" s="1"/>
  <c r="BH1126" i="1"/>
  <c r="BJ1126" i="1" s="1"/>
  <c r="AI1126" i="1"/>
  <c r="BM1126" i="1" s="1"/>
  <c r="AH1126" i="1"/>
  <c r="BK1126" i="1" s="1"/>
  <c r="BI1125" i="1"/>
  <c r="BL1125" i="1" s="1"/>
  <c r="BH1125" i="1"/>
  <c r="BJ1125" i="1" s="1"/>
  <c r="AI1125" i="1"/>
  <c r="BM1125" i="1" s="1"/>
  <c r="AH1125" i="1"/>
  <c r="BK1125" i="1" s="1"/>
  <c r="BI1124" i="1"/>
  <c r="BL1124" i="1" s="1"/>
  <c r="BH1124" i="1"/>
  <c r="BJ1124" i="1" s="1"/>
  <c r="AI1124" i="1"/>
  <c r="BM1124" i="1" s="1"/>
  <c r="AH1124" i="1"/>
  <c r="BK1124" i="1" s="1"/>
  <c r="BI1123" i="1"/>
  <c r="BL1123" i="1" s="1"/>
  <c r="BH1123" i="1"/>
  <c r="BJ1123" i="1" s="1"/>
  <c r="AI1123" i="1"/>
  <c r="BM1123" i="1" s="1"/>
  <c r="AH1123" i="1"/>
  <c r="BK1123" i="1" s="1"/>
  <c r="BI1122" i="1"/>
  <c r="BL1122" i="1" s="1"/>
  <c r="BH1122" i="1"/>
  <c r="BJ1122" i="1" s="1"/>
  <c r="AI1122" i="1"/>
  <c r="BM1122" i="1" s="1"/>
  <c r="AH1122" i="1"/>
  <c r="BK1122" i="1" s="1"/>
  <c r="BI1121" i="1"/>
  <c r="BL1121" i="1" s="1"/>
  <c r="BH1121" i="1"/>
  <c r="BJ1121" i="1" s="1"/>
  <c r="AI1121" i="1"/>
  <c r="BM1121" i="1" s="1"/>
  <c r="AH1121" i="1"/>
  <c r="BK1121" i="1" s="1"/>
  <c r="BI1120" i="1"/>
  <c r="BL1120" i="1" s="1"/>
  <c r="BH1120" i="1"/>
  <c r="BJ1120" i="1" s="1"/>
  <c r="AI1120" i="1"/>
  <c r="BM1120" i="1" s="1"/>
  <c r="AH1120" i="1"/>
  <c r="BK1120" i="1" s="1"/>
  <c r="BI1119" i="1"/>
  <c r="BL1119" i="1" s="1"/>
  <c r="BH1119" i="1"/>
  <c r="BJ1119" i="1" s="1"/>
  <c r="AI1119" i="1"/>
  <c r="BM1119" i="1" s="1"/>
  <c r="AH1119" i="1"/>
  <c r="BK1119" i="1" s="1"/>
  <c r="BI1118" i="1"/>
  <c r="BL1118" i="1" s="1"/>
  <c r="BH1118" i="1"/>
  <c r="BJ1118" i="1" s="1"/>
  <c r="AI1118" i="1"/>
  <c r="BM1118" i="1" s="1"/>
  <c r="AH1118" i="1"/>
  <c r="BK1118" i="1" s="1"/>
  <c r="BI1117" i="1"/>
  <c r="BL1117" i="1" s="1"/>
  <c r="BH1117" i="1"/>
  <c r="BJ1117" i="1" s="1"/>
  <c r="AI1117" i="1"/>
  <c r="BM1117" i="1" s="1"/>
  <c r="AH1117" i="1"/>
  <c r="BK1117" i="1" s="1"/>
  <c r="BI1116" i="1"/>
  <c r="BL1116" i="1" s="1"/>
  <c r="BH1116" i="1"/>
  <c r="BJ1116" i="1" s="1"/>
  <c r="AI1116" i="1"/>
  <c r="BM1116" i="1" s="1"/>
  <c r="AH1116" i="1"/>
  <c r="BK1116" i="1" s="1"/>
  <c r="BI1115" i="1"/>
  <c r="BL1115" i="1" s="1"/>
  <c r="BH1115" i="1"/>
  <c r="BJ1115" i="1" s="1"/>
  <c r="AI1115" i="1"/>
  <c r="BM1115" i="1" s="1"/>
  <c r="AH1115" i="1"/>
  <c r="BK1115" i="1" s="1"/>
  <c r="BI1114" i="1"/>
  <c r="BL1114" i="1" s="1"/>
  <c r="BH1114" i="1"/>
  <c r="BJ1114" i="1" s="1"/>
  <c r="AI1114" i="1"/>
  <c r="BM1114" i="1" s="1"/>
  <c r="AH1114" i="1"/>
  <c r="BK1114" i="1" s="1"/>
  <c r="BI1113" i="1"/>
  <c r="BL1113" i="1" s="1"/>
  <c r="BH1113" i="1"/>
  <c r="BJ1113" i="1" s="1"/>
  <c r="AI1113" i="1"/>
  <c r="BM1113" i="1" s="1"/>
  <c r="AH1113" i="1"/>
  <c r="BK1113" i="1" s="1"/>
  <c r="BI1112" i="1"/>
  <c r="BL1112" i="1" s="1"/>
  <c r="BH1112" i="1"/>
  <c r="BJ1112" i="1" s="1"/>
  <c r="AI1112" i="1"/>
  <c r="BM1112" i="1" s="1"/>
  <c r="AH1112" i="1"/>
  <c r="BK1112" i="1" s="1"/>
  <c r="BI1111" i="1"/>
  <c r="BL1111" i="1" s="1"/>
  <c r="BH1111" i="1"/>
  <c r="BJ1111" i="1" s="1"/>
  <c r="AI1111" i="1"/>
  <c r="BM1111" i="1" s="1"/>
  <c r="AH1111" i="1"/>
  <c r="BK1111" i="1" s="1"/>
  <c r="BI1110" i="1"/>
  <c r="BL1110" i="1" s="1"/>
  <c r="BH1110" i="1"/>
  <c r="BJ1110" i="1" s="1"/>
  <c r="AI1110" i="1"/>
  <c r="BM1110" i="1" s="1"/>
  <c r="AH1110" i="1"/>
  <c r="BK1110" i="1" s="1"/>
  <c r="BI1109" i="1"/>
  <c r="BL1109" i="1" s="1"/>
  <c r="BH1109" i="1"/>
  <c r="BJ1109" i="1" s="1"/>
  <c r="AI1109" i="1"/>
  <c r="BM1109" i="1" s="1"/>
  <c r="AH1109" i="1"/>
  <c r="BK1109" i="1" s="1"/>
  <c r="BI1108" i="1"/>
  <c r="BL1108" i="1" s="1"/>
  <c r="BH1108" i="1"/>
  <c r="BJ1108" i="1" s="1"/>
  <c r="AI1108" i="1"/>
  <c r="BM1108" i="1" s="1"/>
  <c r="AH1108" i="1"/>
  <c r="BK1108" i="1" s="1"/>
  <c r="BI1107" i="1"/>
  <c r="BL1107" i="1" s="1"/>
  <c r="BH1107" i="1"/>
  <c r="BJ1107" i="1" s="1"/>
  <c r="AI1107" i="1"/>
  <c r="BM1107" i="1" s="1"/>
  <c r="AH1107" i="1"/>
  <c r="BK1107" i="1" s="1"/>
  <c r="BI1106" i="1"/>
  <c r="BL1106" i="1" s="1"/>
  <c r="BH1106" i="1"/>
  <c r="BJ1106" i="1" s="1"/>
  <c r="AI1106" i="1"/>
  <c r="BM1106" i="1" s="1"/>
  <c r="AH1106" i="1"/>
  <c r="BK1106" i="1" s="1"/>
  <c r="BI1105" i="1"/>
  <c r="BL1105" i="1" s="1"/>
  <c r="BH1105" i="1"/>
  <c r="BJ1105" i="1" s="1"/>
  <c r="AI1105" i="1"/>
  <c r="BM1105" i="1" s="1"/>
  <c r="AH1105" i="1"/>
  <c r="BK1105" i="1" s="1"/>
  <c r="BI1104" i="1"/>
  <c r="BL1104" i="1" s="1"/>
  <c r="BH1104" i="1"/>
  <c r="BJ1104" i="1" s="1"/>
  <c r="AI1104" i="1"/>
  <c r="BM1104" i="1" s="1"/>
  <c r="AH1104" i="1"/>
  <c r="BK1104" i="1" s="1"/>
  <c r="BI1103" i="1"/>
  <c r="BL1103" i="1" s="1"/>
  <c r="BH1103" i="1"/>
  <c r="BJ1103" i="1" s="1"/>
  <c r="AI1103" i="1"/>
  <c r="BM1103" i="1" s="1"/>
  <c r="AH1103" i="1"/>
  <c r="BK1103" i="1" s="1"/>
  <c r="BI1102" i="1"/>
  <c r="BL1102" i="1" s="1"/>
  <c r="BH1102" i="1"/>
  <c r="BJ1102" i="1" s="1"/>
  <c r="AI1102" i="1"/>
  <c r="BM1102" i="1" s="1"/>
  <c r="AH1102" i="1"/>
  <c r="BK1102" i="1" s="1"/>
  <c r="BI1101" i="1"/>
  <c r="BL1101" i="1" s="1"/>
  <c r="BH1101" i="1"/>
  <c r="BJ1101" i="1" s="1"/>
  <c r="AI1101" i="1"/>
  <c r="BM1101" i="1" s="1"/>
  <c r="AH1101" i="1"/>
  <c r="BK1101" i="1" s="1"/>
  <c r="BI1100" i="1"/>
  <c r="BL1100" i="1" s="1"/>
  <c r="BH1100" i="1"/>
  <c r="BJ1100" i="1" s="1"/>
  <c r="AI1100" i="1"/>
  <c r="BM1100" i="1" s="1"/>
  <c r="AH1100" i="1"/>
  <c r="BK1100" i="1" s="1"/>
  <c r="BI1099" i="1"/>
  <c r="BL1099" i="1" s="1"/>
  <c r="BH1099" i="1"/>
  <c r="BJ1099" i="1" s="1"/>
  <c r="AI1099" i="1"/>
  <c r="BM1099" i="1" s="1"/>
  <c r="AH1099" i="1"/>
  <c r="BK1099" i="1" s="1"/>
  <c r="BI1098" i="1"/>
  <c r="BL1098" i="1" s="1"/>
  <c r="BH1098" i="1"/>
  <c r="BJ1098" i="1" s="1"/>
  <c r="AI1098" i="1"/>
  <c r="BM1098" i="1" s="1"/>
  <c r="AH1098" i="1"/>
  <c r="BK1098" i="1" s="1"/>
  <c r="BI1097" i="1"/>
  <c r="BL1097" i="1" s="1"/>
  <c r="BH1097" i="1"/>
  <c r="BJ1097" i="1" s="1"/>
  <c r="AI1097" i="1"/>
  <c r="BM1097" i="1" s="1"/>
  <c r="AH1097" i="1"/>
  <c r="BK1097" i="1" s="1"/>
  <c r="BI1096" i="1"/>
  <c r="BL1096" i="1" s="1"/>
  <c r="BH1096" i="1"/>
  <c r="BJ1096" i="1" s="1"/>
  <c r="AI1096" i="1"/>
  <c r="BM1096" i="1" s="1"/>
  <c r="AH1096" i="1"/>
  <c r="BK1096" i="1" s="1"/>
  <c r="BI1095" i="1"/>
  <c r="BL1095" i="1" s="1"/>
  <c r="BH1095" i="1"/>
  <c r="BJ1095" i="1" s="1"/>
  <c r="AI1095" i="1"/>
  <c r="BM1095" i="1" s="1"/>
  <c r="AH1095" i="1"/>
  <c r="BK1095" i="1" s="1"/>
  <c r="BI1094" i="1"/>
  <c r="BL1094" i="1" s="1"/>
  <c r="BH1094" i="1"/>
  <c r="BJ1094" i="1" s="1"/>
  <c r="AI1094" i="1"/>
  <c r="BM1094" i="1" s="1"/>
  <c r="AH1094" i="1"/>
  <c r="BK1094" i="1" s="1"/>
  <c r="BI1093" i="1"/>
  <c r="BL1093" i="1" s="1"/>
  <c r="BH1093" i="1"/>
  <c r="BJ1093" i="1" s="1"/>
  <c r="AI1093" i="1"/>
  <c r="BM1093" i="1" s="1"/>
  <c r="AH1093" i="1"/>
  <c r="BK1093" i="1" s="1"/>
  <c r="BK1092" i="1"/>
  <c r="BJ1092" i="1"/>
  <c r="BI1092" i="1"/>
  <c r="BL1092" i="1" s="1"/>
  <c r="BM1092" i="1" s="1"/>
  <c r="BH1092" i="1"/>
  <c r="AI1092" i="1"/>
  <c r="AH1092" i="1"/>
  <c r="BI1091" i="1"/>
  <c r="BL1091" i="1" s="1"/>
  <c r="BH1091" i="1"/>
  <c r="BJ1091" i="1" s="1"/>
  <c r="AI1091" i="1"/>
  <c r="AH1091" i="1"/>
  <c r="BI1090" i="1"/>
  <c r="BL1090" i="1" s="1"/>
  <c r="BH1090" i="1"/>
  <c r="BJ1090" i="1" s="1"/>
  <c r="AI1090" i="1"/>
  <c r="BM1090" i="1" s="1"/>
  <c r="AH1090" i="1"/>
  <c r="BK1090" i="1" s="1"/>
  <c r="BI1089" i="1"/>
  <c r="BL1089" i="1" s="1"/>
  <c r="BH1089" i="1"/>
  <c r="BJ1089" i="1" s="1"/>
  <c r="AI1089" i="1"/>
  <c r="BM1089" i="1" s="1"/>
  <c r="AH1089" i="1"/>
  <c r="BK1089" i="1" s="1"/>
  <c r="BI1088" i="1"/>
  <c r="BL1088" i="1" s="1"/>
  <c r="BH1088" i="1"/>
  <c r="BJ1088" i="1" s="1"/>
  <c r="AI1088" i="1"/>
  <c r="BM1088" i="1" s="1"/>
  <c r="AH1088" i="1"/>
  <c r="BK1088" i="1" s="1"/>
  <c r="BI1087" i="1"/>
  <c r="BL1087" i="1" s="1"/>
  <c r="BH1087" i="1"/>
  <c r="BJ1087" i="1" s="1"/>
  <c r="AI1087" i="1"/>
  <c r="BM1087" i="1" s="1"/>
  <c r="AH1087" i="1"/>
  <c r="BK1087" i="1" s="1"/>
  <c r="BI1086" i="1"/>
  <c r="BL1086" i="1" s="1"/>
  <c r="BH1086" i="1"/>
  <c r="BJ1086" i="1" s="1"/>
  <c r="AI1086" i="1"/>
  <c r="BM1086" i="1" s="1"/>
  <c r="AH1086" i="1"/>
  <c r="BK1086" i="1" s="1"/>
  <c r="BI1085" i="1"/>
  <c r="BL1085" i="1" s="1"/>
  <c r="BH1085" i="1"/>
  <c r="BJ1085" i="1" s="1"/>
  <c r="AI1085" i="1"/>
  <c r="BM1085" i="1" s="1"/>
  <c r="AH1085" i="1"/>
  <c r="BK1085" i="1" s="1"/>
  <c r="BI1084" i="1"/>
  <c r="BL1084" i="1" s="1"/>
  <c r="BH1084" i="1"/>
  <c r="BJ1084" i="1" s="1"/>
  <c r="AI1084" i="1"/>
  <c r="BM1084" i="1" s="1"/>
  <c r="AH1084" i="1"/>
  <c r="BK1084" i="1" s="1"/>
  <c r="BI1083" i="1"/>
  <c r="BL1083" i="1" s="1"/>
  <c r="BH1083" i="1"/>
  <c r="BJ1083" i="1" s="1"/>
  <c r="AI1083" i="1"/>
  <c r="BM1083" i="1" s="1"/>
  <c r="AH1083" i="1"/>
  <c r="BK1083" i="1" s="1"/>
  <c r="BI1082" i="1"/>
  <c r="BL1082" i="1" s="1"/>
  <c r="BH1082" i="1"/>
  <c r="BJ1082" i="1" s="1"/>
  <c r="AI1082" i="1"/>
  <c r="BM1082" i="1" s="1"/>
  <c r="AH1082" i="1"/>
  <c r="BK1082" i="1" s="1"/>
  <c r="BI1081" i="1"/>
  <c r="BL1081" i="1" s="1"/>
  <c r="BH1081" i="1"/>
  <c r="BJ1081" i="1" s="1"/>
  <c r="AI1081" i="1"/>
  <c r="BM1081" i="1" s="1"/>
  <c r="AH1081" i="1"/>
  <c r="BK1081" i="1" s="1"/>
  <c r="BI1080" i="1"/>
  <c r="BL1080" i="1" s="1"/>
  <c r="BH1080" i="1"/>
  <c r="BJ1080" i="1" s="1"/>
  <c r="AI1080" i="1"/>
  <c r="BM1080" i="1" s="1"/>
  <c r="AH1080" i="1"/>
  <c r="BK1080" i="1" s="1"/>
  <c r="BI1079" i="1"/>
  <c r="BL1079" i="1" s="1"/>
  <c r="BH1079" i="1"/>
  <c r="BJ1079" i="1" s="1"/>
  <c r="AI1079" i="1"/>
  <c r="BM1079" i="1" s="1"/>
  <c r="AH1079" i="1"/>
  <c r="BK1079" i="1" s="1"/>
  <c r="BI1078" i="1"/>
  <c r="BL1078" i="1" s="1"/>
  <c r="BH1078" i="1"/>
  <c r="BJ1078" i="1" s="1"/>
  <c r="AI1078" i="1"/>
  <c r="BM1078" i="1" s="1"/>
  <c r="AH1078" i="1"/>
  <c r="BK1078" i="1" s="1"/>
  <c r="BI1077" i="1"/>
  <c r="BL1077" i="1" s="1"/>
  <c r="BH1077" i="1"/>
  <c r="BJ1077" i="1" s="1"/>
  <c r="AI1077" i="1"/>
  <c r="BM1077" i="1" s="1"/>
  <c r="AH1077" i="1"/>
  <c r="BK1077" i="1" s="1"/>
  <c r="BI1076" i="1"/>
  <c r="BL1076" i="1" s="1"/>
  <c r="BH1076" i="1"/>
  <c r="BJ1076" i="1" s="1"/>
  <c r="AI1076" i="1"/>
  <c r="BM1076" i="1" s="1"/>
  <c r="AH1076" i="1"/>
  <c r="BK1076" i="1" s="1"/>
  <c r="BI1075" i="1"/>
  <c r="BL1075" i="1" s="1"/>
  <c r="BH1075" i="1"/>
  <c r="BJ1075" i="1" s="1"/>
  <c r="AI1075" i="1"/>
  <c r="BM1075" i="1" s="1"/>
  <c r="AH1075" i="1"/>
  <c r="BK1075" i="1" s="1"/>
  <c r="BI1074" i="1"/>
  <c r="BL1074" i="1" s="1"/>
  <c r="BH1074" i="1"/>
  <c r="BJ1074" i="1" s="1"/>
  <c r="AI1074" i="1"/>
  <c r="BM1074" i="1" s="1"/>
  <c r="AH1074" i="1"/>
  <c r="BK1074" i="1" s="1"/>
  <c r="BI1073" i="1"/>
  <c r="BL1073" i="1" s="1"/>
  <c r="BH1073" i="1"/>
  <c r="BJ1073" i="1" s="1"/>
  <c r="AI1073" i="1"/>
  <c r="BM1073" i="1" s="1"/>
  <c r="AH1073" i="1"/>
  <c r="BK1073" i="1" s="1"/>
  <c r="BI1072" i="1"/>
  <c r="BL1072" i="1" s="1"/>
  <c r="BH1072" i="1"/>
  <c r="BJ1072" i="1" s="1"/>
  <c r="AI1072" i="1"/>
  <c r="BM1072" i="1" s="1"/>
  <c r="AH1072" i="1"/>
  <c r="BK1072" i="1" s="1"/>
  <c r="BI1071" i="1"/>
  <c r="BL1071" i="1" s="1"/>
  <c r="BH1071" i="1"/>
  <c r="BJ1071" i="1" s="1"/>
  <c r="AI1071" i="1"/>
  <c r="BM1071" i="1" s="1"/>
  <c r="AH1071" i="1"/>
  <c r="BK1071" i="1" s="1"/>
  <c r="BI1070" i="1"/>
  <c r="BL1070" i="1" s="1"/>
  <c r="BH1070" i="1"/>
  <c r="BJ1070" i="1" s="1"/>
  <c r="AI1070" i="1"/>
  <c r="BM1070" i="1" s="1"/>
  <c r="AH1070" i="1"/>
  <c r="BK1070" i="1" s="1"/>
  <c r="BI1069" i="1"/>
  <c r="BL1069" i="1" s="1"/>
  <c r="BH1069" i="1"/>
  <c r="BJ1069" i="1" s="1"/>
  <c r="AI1069" i="1"/>
  <c r="BM1069" i="1" s="1"/>
  <c r="AH1069" i="1"/>
  <c r="BK1069" i="1" s="1"/>
  <c r="BI1068" i="1"/>
  <c r="BL1068" i="1" s="1"/>
  <c r="BH1068" i="1"/>
  <c r="BJ1068" i="1" s="1"/>
  <c r="AI1068" i="1"/>
  <c r="BM1068" i="1" s="1"/>
  <c r="AH1068" i="1"/>
  <c r="BK1068" i="1" s="1"/>
  <c r="BI1067" i="1"/>
  <c r="BL1067" i="1" s="1"/>
  <c r="BH1067" i="1"/>
  <c r="BJ1067" i="1" s="1"/>
  <c r="AI1067" i="1"/>
  <c r="BM1067" i="1" s="1"/>
  <c r="AH1067" i="1"/>
  <c r="BK1067" i="1" s="1"/>
  <c r="BI1066" i="1"/>
  <c r="BL1066" i="1" s="1"/>
  <c r="BH1066" i="1"/>
  <c r="BJ1066" i="1" s="1"/>
  <c r="AI1066" i="1"/>
  <c r="BM1066" i="1" s="1"/>
  <c r="AH1066" i="1"/>
  <c r="BK1066" i="1" s="1"/>
  <c r="BI1065" i="1"/>
  <c r="BL1065" i="1" s="1"/>
  <c r="BH1065" i="1"/>
  <c r="BJ1065" i="1" s="1"/>
  <c r="AI1065" i="1"/>
  <c r="BM1065" i="1" s="1"/>
  <c r="AH1065" i="1"/>
  <c r="BK1065" i="1" s="1"/>
  <c r="BI1064" i="1"/>
  <c r="BL1064" i="1" s="1"/>
  <c r="BH1064" i="1"/>
  <c r="BJ1064" i="1" s="1"/>
  <c r="AI1064" i="1"/>
  <c r="BM1064" i="1" s="1"/>
  <c r="AH1064" i="1"/>
  <c r="BK1064" i="1" s="1"/>
  <c r="BI1063" i="1"/>
  <c r="BL1063" i="1" s="1"/>
  <c r="BH1063" i="1"/>
  <c r="BJ1063" i="1" s="1"/>
  <c r="AI1063" i="1"/>
  <c r="BM1063" i="1" s="1"/>
  <c r="AH1063" i="1"/>
  <c r="BK1063" i="1" s="1"/>
  <c r="BI1062" i="1"/>
  <c r="BL1062" i="1" s="1"/>
  <c r="BH1062" i="1"/>
  <c r="BJ1062" i="1" s="1"/>
  <c r="AI1062" i="1"/>
  <c r="BM1062" i="1" s="1"/>
  <c r="AH1062" i="1"/>
  <c r="BK1062" i="1" s="1"/>
  <c r="BI1061" i="1"/>
  <c r="BL1061" i="1" s="1"/>
  <c r="BH1061" i="1"/>
  <c r="BJ1061" i="1" s="1"/>
  <c r="AI1061" i="1"/>
  <c r="BM1061" i="1" s="1"/>
  <c r="AH1061" i="1"/>
  <c r="BK1061" i="1" s="1"/>
  <c r="BI1060" i="1"/>
  <c r="BL1060" i="1" s="1"/>
  <c r="BH1060" i="1"/>
  <c r="BJ1060" i="1" s="1"/>
  <c r="AI1060" i="1"/>
  <c r="BM1060" i="1" s="1"/>
  <c r="AH1060" i="1"/>
  <c r="BK1060" i="1" s="1"/>
  <c r="BI1059" i="1"/>
  <c r="BL1059" i="1" s="1"/>
  <c r="BH1059" i="1"/>
  <c r="BJ1059" i="1" s="1"/>
  <c r="AI1059" i="1"/>
  <c r="BM1059" i="1" s="1"/>
  <c r="AH1059" i="1"/>
  <c r="BK1059" i="1" s="1"/>
  <c r="BI1058" i="1"/>
  <c r="BL1058" i="1" s="1"/>
  <c r="BH1058" i="1"/>
  <c r="BJ1058" i="1" s="1"/>
  <c r="AI1058" i="1"/>
  <c r="BM1058" i="1" s="1"/>
  <c r="AH1058" i="1"/>
  <c r="BK1058" i="1" s="1"/>
  <c r="BI1057" i="1"/>
  <c r="BL1057" i="1" s="1"/>
  <c r="BH1057" i="1"/>
  <c r="BJ1057" i="1" s="1"/>
  <c r="AI1057" i="1"/>
  <c r="BM1057" i="1" s="1"/>
  <c r="AH1057" i="1"/>
  <c r="BK1057" i="1" s="1"/>
  <c r="BI1056" i="1"/>
  <c r="BL1056" i="1" s="1"/>
  <c r="BH1056" i="1"/>
  <c r="BJ1056" i="1" s="1"/>
  <c r="AI1056" i="1"/>
  <c r="BM1056" i="1" s="1"/>
  <c r="AH1056" i="1"/>
  <c r="BK1056" i="1" s="1"/>
  <c r="BI1055" i="1"/>
  <c r="BL1055" i="1" s="1"/>
  <c r="BH1055" i="1"/>
  <c r="BJ1055" i="1" s="1"/>
  <c r="AI1055" i="1"/>
  <c r="BM1055" i="1" s="1"/>
  <c r="AH1055" i="1"/>
  <c r="BK1055" i="1" s="1"/>
  <c r="BI1054" i="1"/>
  <c r="BL1054" i="1" s="1"/>
  <c r="BH1054" i="1"/>
  <c r="BJ1054" i="1" s="1"/>
  <c r="AI1054" i="1"/>
  <c r="BM1054" i="1" s="1"/>
  <c r="AH1054" i="1"/>
  <c r="BK1054" i="1" s="1"/>
  <c r="BI1053" i="1"/>
  <c r="BL1053" i="1" s="1"/>
  <c r="BH1053" i="1"/>
  <c r="BJ1053" i="1" s="1"/>
  <c r="AI1053" i="1"/>
  <c r="BM1053" i="1" s="1"/>
  <c r="AH1053" i="1"/>
  <c r="BK1053" i="1" s="1"/>
  <c r="BI1052" i="1"/>
  <c r="BL1052" i="1" s="1"/>
  <c r="BH1052" i="1"/>
  <c r="BJ1052" i="1" s="1"/>
  <c r="AI1052" i="1"/>
  <c r="BM1052" i="1" s="1"/>
  <c r="AH1052" i="1"/>
  <c r="BK1052" i="1" s="1"/>
  <c r="BI1051" i="1"/>
  <c r="BL1051" i="1" s="1"/>
  <c r="BH1051" i="1"/>
  <c r="BJ1051" i="1" s="1"/>
  <c r="AI1051" i="1"/>
  <c r="BM1051" i="1" s="1"/>
  <c r="AH1051" i="1"/>
  <c r="BK1051" i="1" s="1"/>
  <c r="BI1050" i="1"/>
  <c r="BL1050" i="1" s="1"/>
  <c r="BH1050" i="1"/>
  <c r="BJ1050" i="1" s="1"/>
  <c r="AI1050" i="1"/>
  <c r="BM1050" i="1" s="1"/>
  <c r="AH1050" i="1"/>
  <c r="BK1050" i="1" s="1"/>
  <c r="BI1049" i="1"/>
  <c r="BL1049" i="1" s="1"/>
  <c r="BH1049" i="1"/>
  <c r="BJ1049" i="1" s="1"/>
  <c r="AI1049" i="1"/>
  <c r="BM1049" i="1" s="1"/>
  <c r="AH1049" i="1"/>
  <c r="BK1049" i="1" s="1"/>
  <c r="BI1048" i="1"/>
  <c r="BL1048" i="1" s="1"/>
  <c r="BH1048" i="1"/>
  <c r="BJ1048" i="1" s="1"/>
  <c r="AI1048" i="1"/>
  <c r="BM1048" i="1" s="1"/>
  <c r="AH1048" i="1"/>
  <c r="BK1048" i="1" s="1"/>
  <c r="BI1047" i="1"/>
  <c r="BL1047" i="1" s="1"/>
  <c r="BH1047" i="1"/>
  <c r="BJ1047" i="1" s="1"/>
  <c r="AI1047" i="1"/>
  <c r="BM1047" i="1" s="1"/>
  <c r="AH1047" i="1"/>
  <c r="BK1047" i="1" s="1"/>
  <c r="BI1046" i="1"/>
  <c r="BL1046" i="1" s="1"/>
  <c r="BH1046" i="1"/>
  <c r="BJ1046" i="1" s="1"/>
  <c r="AI1046" i="1"/>
  <c r="BM1046" i="1" s="1"/>
  <c r="AH1046" i="1"/>
  <c r="BK1046" i="1" s="1"/>
  <c r="BI1045" i="1"/>
  <c r="BL1045" i="1" s="1"/>
  <c r="BH1045" i="1"/>
  <c r="BJ1045" i="1" s="1"/>
  <c r="AI1045" i="1"/>
  <c r="BM1045" i="1" s="1"/>
  <c r="AH1045" i="1"/>
  <c r="BK1045" i="1" s="1"/>
  <c r="BI1044" i="1"/>
  <c r="BL1044" i="1" s="1"/>
  <c r="BH1044" i="1"/>
  <c r="BJ1044" i="1" s="1"/>
  <c r="AI1044" i="1"/>
  <c r="BM1044" i="1" s="1"/>
  <c r="AH1044" i="1"/>
  <c r="BK1044" i="1" s="1"/>
  <c r="BI1043" i="1"/>
  <c r="BL1043" i="1" s="1"/>
  <c r="BH1043" i="1"/>
  <c r="BJ1043" i="1" s="1"/>
  <c r="AI1043" i="1"/>
  <c r="BM1043" i="1" s="1"/>
  <c r="AH1043" i="1"/>
  <c r="BK1043" i="1" s="1"/>
  <c r="BI1042" i="1"/>
  <c r="BL1042" i="1" s="1"/>
  <c r="BH1042" i="1"/>
  <c r="BJ1042" i="1" s="1"/>
  <c r="AI1042" i="1"/>
  <c r="BM1042" i="1" s="1"/>
  <c r="AH1042" i="1"/>
  <c r="BK1042" i="1" s="1"/>
  <c r="BI1041" i="1"/>
  <c r="BL1041" i="1" s="1"/>
  <c r="BH1041" i="1"/>
  <c r="BJ1041" i="1" s="1"/>
  <c r="AI1041" i="1"/>
  <c r="BM1041" i="1" s="1"/>
  <c r="AH1041" i="1"/>
  <c r="BK1041" i="1" s="1"/>
  <c r="BI1040" i="1"/>
  <c r="BL1040" i="1" s="1"/>
  <c r="BH1040" i="1"/>
  <c r="BJ1040" i="1" s="1"/>
  <c r="AI1040" i="1"/>
  <c r="BM1040" i="1" s="1"/>
  <c r="AH1040" i="1"/>
  <c r="BK1040" i="1" s="1"/>
  <c r="BI1039" i="1"/>
  <c r="BL1039" i="1" s="1"/>
  <c r="BH1039" i="1"/>
  <c r="BJ1039" i="1" s="1"/>
  <c r="AI1039" i="1"/>
  <c r="BM1039" i="1" s="1"/>
  <c r="AH1039" i="1"/>
  <c r="BK1039" i="1" s="1"/>
  <c r="BI1038" i="1"/>
  <c r="BL1038" i="1" s="1"/>
  <c r="BH1038" i="1"/>
  <c r="BJ1038" i="1" s="1"/>
  <c r="AI1038" i="1"/>
  <c r="BM1038" i="1" s="1"/>
  <c r="AH1038" i="1"/>
  <c r="BK1038" i="1" s="1"/>
  <c r="BI1037" i="1"/>
  <c r="BL1037" i="1" s="1"/>
  <c r="BH1037" i="1"/>
  <c r="BJ1037" i="1" s="1"/>
  <c r="AI1037" i="1"/>
  <c r="BM1037" i="1" s="1"/>
  <c r="AH1037" i="1"/>
  <c r="BK1037" i="1" s="1"/>
  <c r="BI1036" i="1"/>
  <c r="BL1036" i="1" s="1"/>
  <c r="BH1036" i="1"/>
  <c r="BJ1036" i="1" s="1"/>
  <c r="AI1036" i="1"/>
  <c r="BM1036" i="1" s="1"/>
  <c r="AH1036" i="1"/>
  <c r="BK1036" i="1" s="1"/>
  <c r="BI1035" i="1"/>
  <c r="BL1035" i="1" s="1"/>
  <c r="BH1035" i="1"/>
  <c r="BJ1035" i="1" s="1"/>
  <c r="AI1035" i="1"/>
  <c r="BM1035" i="1" s="1"/>
  <c r="AH1035" i="1"/>
  <c r="BK1035" i="1" s="1"/>
  <c r="BI1034" i="1"/>
  <c r="BL1034" i="1" s="1"/>
  <c r="BH1034" i="1"/>
  <c r="BJ1034" i="1" s="1"/>
  <c r="AI1034" i="1"/>
  <c r="BM1034" i="1" s="1"/>
  <c r="AH1034" i="1"/>
  <c r="BK1034" i="1" s="1"/>
  <c r="BI1033" i="1"/>
  <c r="BL1033" i="1" s="1"/>
  <c r="BH1033" i="1"/>
  <c r="BJ1033" i="1" s="1"/>
  <c r="AI1033" i="1"/>
  <c r="BM1033" i="1" s="1"/>
  <c r="AH1033" i="1"/>
  <c r="BK1033" i="1" s="1"/>
  <c r="BI1032" i="1"/>
  <c r="BL1032" i="1" s="1"/>
  <c r="BH1032" i="1"/>
  <c r="BJ1032" i="1" s="1"/>
  <c r="AI1032" i="1"/>
  <c r="BM1032" i="1" s="1"/>
  <c r="AH1032" i="1"/>
  <c r="BK1032" i="1" s="1"/>
  <c r="BI1031" i="1"/>
  <c r="BL1031" i="1" s="1"/>
  <c r="BH1031" i="1"/>
  <c r="BJ1031" i="1" s="1"/>
  <c r="AI1031" i="1"/>
  <c r="BM1031" i="1" s="1"/>
  <c r="AH1031" i="1"/>
  <c r="BK1031" i="1" s="1"/>
  <c r="BI1030" i="1"/>
  <c r="BL1030" i="1" s="1"/>
  <c r="BH1030" i="1"/>
  <c r="BJ1030" i="1" s="1"/>
  <c r="AI1030" i="1"/>
  <c r="BM1030" i="1" s="1"/>
  <c r="AH1030" i="1"/>
  <c r="BK1030" i="1" s="1"/>
  <c r="BI1029" i="1"/>
  <c r="BL1029" i="1" s="1"/>
  <c r="BH1029" i="1"/>
  <c r="BJ1029" i="1" s="1"/>
  <c r="AI1029" i="1"/>
  <c r="BM1029" i="1" s="1"/>
  <c r="AH1029" i="1"/>
  <c r="BK1029" i="1" s="1"/>
  <c r="BI1028" i="1"/>
  <c r="BL1028" i="1" s="1"/>
  <c r="BH1028" i="1"/>
  <c r="BJ1028" i="1" s="1"/>
  <c r="AI1028" i="1"/>
  <c r="BM1028" i="1" s="1"/>
  <c r="AH1028" i="1"/>
  <c r="BK1028" i="1" s="1"/>
  <c r="BI1027" i="1"/>
  <c r="BL1027" i="1" s="1"/>
  <c r="BH1027" i="1"/>
  <c r="BJ1027" i="1" s="1"/>
  <c r="AI1027" i="1"/>
  <c r="AH1027" i="1"/>
  <c r="BK1027" i="1" s="1"/>
  <c r="BI1026" i="1"/>
  <c r="BL1026" i="1" s="1"/>
  <c r="BH1026" i="1"/>
  <c r="BJ1026" i="1" s="1"/>
  <c r="AI1026" i="1"/>
  <c r="BM1026" i="1" s="1"/>
  <c r="AH1026" i="1"/>
  <c r="BK1026" i="1" s="1"/>
  <c r="BI1025" i="1"/>
  <c r="BL1025" i="1" s="1"/>
  <c r="BH1025" i="1"/>
  <c r="BJ1025" i="1" s="1"/>
  <c r="AI1025" i="1"/>
  <c r="BM1025" i="1" s="1"/>
  <c r="AH1025" i="1"/>
  <c r="BK1025" i="1" s="1"/>
  <c r="BI1024" i="1"/>
  <c r="BL1024" i="1" s="1"/>
  <c r="BH1024" i="1"/>
  <c r="BJ1024" i="1" s="1"/>
  <c r="AI1024" i="1"/>
  <c r="BM1024" i="1" s="1"/>
  <c r="AH1024" i="1"/>
  <c r="BK1024" i="1" s="1"/>
  <c r="BI1023" i="1"/>
  <c r="BL1023" i="1" s="1"/>
  <c r="BH1023" i="1"/>
  <c r="BJ1023" i="1" s="1"/>
  <c r="AI1023" i="1"/>
  <c r="BM1023" i="1" s="1"/>
  <c r="AH1023" i="1"/>
  <c r="BK1023" i="1" s="1"/>
  <c r="BI1022" i="1"/>
  <c r="BL1022" i="1" s="1"/>
  <c r="BH1022" i="1"/>
  <c r="BJ1022" i="1" s="1"/>
  <c r="AI1022" i="1"/>
  <c r="BM1022" i="1" s="1"/>
  <c r="AH1022" i="1"/>
  <c r="BK1022" i="1" s="1"/>
  <c r="BI1021" i="1"/>
  <c r="BL1021" i="1" s="1"/>
  <c r="BH1021" i="1"/>
  <c r="BJ1021" i="1" s="1"/>
  <c r="AI1021" i="1"/>
  <c r="BM1021" i="1" s="1"/>
  <c r="AH1021" i="1"/>
  <c r="BK1021" i="1" s="1"/>
  <c r="BI1020" i="1"/>
  <c r="BL1020" i="1" s="1"/>
  <c r="BH1020" i="1"/>
  <c r="BJ1020" i="1" s="1"/>
  <c r="AI1020" i="1"/>
  <c r="BM1020" i="1" s="1"/>
  <c r="AH1020" i="1"/>
  <c r="BK1020" i="1" s="1"/>
  <c r="BI1019" i="1"/>
  <c r="BL1019" i="1" s="1"/>
  <c r="BH1019" i="1"/>
  <c r="BJ1019" i="1" s="1"/>
  <c r="AI1019" i="1"/>
  <c r="BM1019" i="1" s="1"/>
  <c r="AH1019" i="1"/>
  <c r="BK1019" i="1" s="1"/>
  <c r="BI1018" i="1"/>
  <c r="BL1018" i="1" s="1"/>
  <c r="BH1018" i="1"/>
  <c r="BJ1018" i="1" s="1"/>
  <c r="AI1018" i="1"/>
  <c r="BM1018" i="1" s="1"/>
  <c r="AH1018" i="1"/>
  <c r="BK1018" i="1" s="1"/>
  <c r="BI1017" i="1"/>
  <c r="BL1017" i="1" s="1"/>
  <c r="BH1017" i="1"/>
  <c r="BJ1017" i="1" s="1"/>
  <c r="AI1017" i="1"/>
  <c r="BM1017" i="1" s="1"/>
  <c r="AH1017" i="1"/>
  <c r="BK1017" i="1" s="1"/>
  <c r="BI1016" i="1"/>
  <c r="BL1016" i="1" s="1"/>
  <c r="BH1016" i="1"/>
  <c r="BJ1016" i="1" s="1"/>
  <c r="AI1016" i="1"/>
  <c r="BM1016" i="1" s="1"/>
  <c r="AH1016" i="1"/>
  <c r="BK1016" i="1" s="1"/>
  <c r="BI1015" i="1"/>
  <c r="BL1015" i="1" s="1"/>
  <c r="BH1015" i="1"/>
  <c r="BJ1015" i="1" s="1"/>
  <c r="AI1015" i="1"/>
  <c r="BM1015" i="1" s="1"/>
  <c r="AH1015" i="1"/>
  <c r="BK1015" i="1" s="1"/>
  <c r="BI1014" i="1"/>
  <c r="BL1014" i="1" s="1"/>
  <c r="BH1014" i="1"/>
  <c r="BJ1014" i="1" s="1"/>
  <c r="AI1014" i="1"/>
  <c r="BM1014" i="1" s="1"/>
  <c r="AH1014" i="1"/>
  <c r="BK1014" i="1" s="1"/>
  <c r="BI1013" i="1"/>
  <c r="BL1013" i="1" s="1"/>
  <c r="BH1013" i="1"/>
  <c r="BJ1013" i="1" s="1"/>
  <c r="AI1013" i="1"/>
  <c r="BM1013" i="1" s="1"/>
  <c r="AH1013" i="1"/>
  <c r="BK1013" i="1" s="1"/>
  <c r="BI1012" i="1"/>
  <c r="BL1012" i="1" s="1"/>
  <c r="BH1012" i="1"/>
  <c r="BJ1012" i="1" s="1"/>
  <c r="AI1012" i="1"/>
  <c r="BM1012" i="1" s="1"/>
  <c r="AH1012" i="1"/>
  <c r="BK1012" i="1" s="1"/>
  <c r="BI1011" i="1"/>
  <c r="BL1011" i="1" s="1"/>
  <c r="BH1011" i="1"/>
  <c r="BJ1011" i="1" s="1"/>
  <c r="AI1011" i="1"/>
  <c r="BM1011" i="1" s="1"/>
  <c r="AH1011" i="1"/>
  <c r="BK1011" i="1" s="1"/>
  <c r="BI1010" i="1"/>
  <c r="BL1010" i="1" s="1"/>
  <c r="BH1010" i="1"/>
  <c r="BJ1010" i="1" s="1"/>
  <c r="AI1010" i="1"/>
  <c r="BM1010" i="1" s="1"/>
  <c r="AH1010" i="1"/>
  <c r="BK1010" i="1" s="1"/>
  <c r="BI1009" i="1"/>
  <c r="BL1009" i="1" s="1"/>
  <c r="BH1009" i="1"/>
  <c r="BJ1009" i="1" s="1"/>
  <c r="AI1009" i="1"/>
  <c r="BM1009" i="1" s="1"/>
  <c r="AH1009" i="1"/>
  <c r="BK1009" i="1" s="1"/>
  <c r="BI1008" i="1"/>
  <c r="BL1008" i="1" s="1"/>
  <c r="BH1008" i="1"/>
  <c r="BJ1008" i="1" s="1"/>
  <c r="AI1008" i="1"/>
  <c r="BM1008" i="1" s="1"/>
  <c r="AH1008" i="1"/>
  <c r="BK1008" i="1" s="1"/>
  <c r="BI1007" i="1"/>
  <c r="BL1007" i="1" s="1"/>
  <c r="BH1007" i="1"/>
  <c r="BJ1007" i="1" s="1"/>
  <c r="AI1007" i="1"/>
  <c r="BM1007" i="1" s="1"/>
  <c r="AH1007" i="1"/>
  <c r="BK1007" i="1" s="1"/>
  <c r="BI1006" i="1"/>
  <c r="BL1006" i="1" s="1"/>
  <c r="BH1006" i="1"/>
  <c r="BJ1006" i="1" s="1"/>
  <c r="AI1006" i="1"/>
  <c r="BM1006" i="1" s="1"/>
  <c r="AH1006" i="1"/>
  <c r="BK1006" i="1" s="1"/>
  <c r="BI1005" i="1"/>
  <c r="BL1005" i="1" s="1"/>
  <c r="BH1005" i="1"/>
  <c r="BJ1005" i="1" s="1"/>
  <c r="AI1005" i="1"/>
  <c r="BM1005" i="1" s="1"/>
  <c r="AH1005" i="1"/>
  <c r="BK1005" i="1" s="1"/>
  <c r="BI1004" i="1"/>
  <c r="BL1004" i="1" s="1"/>
  <c r="BH1004" i="1"/>
  <c r="BJ1004" i="1" s="1"/>
  <c r="AI1004" i="1"/>
  <c r="BM1004" i="1" s="1"/>
  <c r="AH1004" i="1"/>
  <c r="BK1004" i="1" s="1"/>
  <c r="BI1003" i="1"/>
  <c r="BL1003" i="1" s="1"/>
  <c r="BH1003" i="1"/>
  <c r="BJ1003" i="1" s="1"/>
  <c r="AI1003" i="1"/>
  <c r="AH1003" i="1"/>
  <c r="BK1003" i="1" s="1"/>
  <c r="BI1002" i="1"/>
  <c r="BL1002" i="1" s="1"/>
  <c r="BH1002" i="1"/>
  <c r="BJ1002" i="1" s="1"/>
  <c r="AI1002" i="1"/>
  <c r="BM1002" i="1" s="1"/>
  <c r="AH1002" i="1"/>
  <c r="BK1002" i="1" s="1"/>
  <c r="BL1001" i="1"/>
  <c r="BM1001" i="1" s="1"/>
  <c r="BJ1001" i="1"/>
  <c r="BK1001" i="1" s="1"/>
  <c r="BI1001" i="1"/>
  <c r="BH1001" i="1"/>
  <c r="AI1001" i="1"/>
  <c r="AH1001" i="1"/>
  <c r="BI1000" i="1"/>
  <c r="BL1000" i="1" s="1"/>
  <c r="BH1000" i="1"/>
  <c r="BJ1000" i="1" s="1"/>
  <c r="AI1000" i="1"/>
  <c r="AH1000" i="1"/>
  <c r="BK1000" i="1" s="1"/>
  <c r="BI999" i="1"/>
  <c r="BL999" i="1" s="1"/>
  <c r="BH999" i="1"/>
  <c r="BJ999" i="1" s="1"/>
  <c r="AI999" i="1"/>
  <c r="AH999" i="1"/>
  <c r="BK999" i="1" s="1"/>
  <c r="BI998" i="1"/>
  <c r="BL998" i="1" s="1"/>
  <c r="BH998" i="1"/>
  <c r="BJ998" i="1" s="1"/>
  <c r="AI998" i="1"/>
  <c r="AH998" i="1"/>
  <c r="BK998" i="1" s="1"/>
  <c r="BI997" i="1"/>
  <c r="BL997" i="1" s="1"/>
  <c r="BH997" i="1"/>
  <c r="BJ997" i="1" s="1"/>
  <c r="AI997" i="1"/>
  <c r="AH997" i="1"/>
  <c r="BK997" i="1" s="1"/>
  <c r="BI996" i="1"/>
  <c r="BL996" i="1" s="1"/>
  <c r="BH996" i="1"/>
  <c r="BJ996" i="1" s="1"/>
  <c r="AI996" i="1"/>
  <c r="BM996" i="1" s="1"/>
  <c r="AH996" i="1"/>
  <c r="BI995" i="1"/>
  <c r="BL995" i="1" s="1"/>
  <c r="BH995" i="1"/>
  <c r="BJ995" i="1" s="1"/>
  <c r="AI995" i="1"/>
  <c r="BM995" i="1" s="1"/>
  <c r="AH995" i="1"/>
  <c r="BK995" i="1" s="1"/>
  <c r="BI994" i="1"/>
  <c r="BL994" i="1" s="1"/>
  <c r="BH994" i="1"/>
  <c r="BJ994" i="1" s="1"/>
  <c r="AI994" i="1"/>
  <c r="AH994" i="1"/>
  <c r="BK994" i="1" s="1"/>
  <c r="BI993" i="1"/>
  <c r="BL993" i="1" s="1"/>
  <c r="BH993" i="1"/>
  <c r="BJ993" i="1" s="1"/>
  <c r="AI993" i="1"/>
  <c r="BM993" i="1" s="1"/>
  <c r="AH993" i="1"/>
  <c r="BK993" i="1" s="1"/>
  <c r="BI992" i="1"/>
  <c r="BL992" i="1" s="1"/>
  <c r="BH992" i="1"/>
  <c r="BJ992" i="1" s="1"/>
  <c r="AI992" i="1"/>
  <c r="AH992" i="1"/>
  <c r="BK992" i="1" s="1"/>
  <c r="BI991" i="1"/>
  <c r="BL991" i="1" s="1"/>
  <c r="BH991" i="1"/>
  <c r="BJ991" i="1" s="1"/>
  <c r="AI991" i="1"/>
  <c r="BM991" i="1" s="1"/>
  <c r="AH991" i="1"/>
  <c r="BK991" i="1" s="1"/>
  <c r="BI990" i="1"/>
  <c r="BL990" i="1" s="1"/>
  <c r="BH990" i="1"/>
  <c r="BJ990" i="1" s="1"/>
  <c r="AI990" i="1"/>
  <c r="BM990" i="1" s="1"/>
  <c r="AH990" i="1"/>
  <c r="BK990" i="1" s="1"/>
  <c r="BI989" i="1"/>
  <c r="BL989" i="1" s="1"/>
  <c r="BH989" i="1"/>
  <c r="BJ989" i="1" s="1"/>
  <c r="AI989" i="1"/>
  <c r="BM989" i="1" s="1"/>
  <c r="AH989" i="1"/>
  <c r="BK989" i="1" s="1"/>
  <c r="BI988" i="1"/>
  <c r="BL988" i="1" s="1"/>
  <c r="BH988" i="1"/>
  <c r="BJ988" i="1" s="1"/>
  <c r="AI988" i="1"/>
  <c r="BM988" i="1" s="1"/>
  <c r="AH988" i="1"/>
  <c r="BK988" i="1" s="1"/>
  <c r="BI987" i="1"/>
  <c r="BL987" i="1" s="1"/>
  <c r="BH987" i="1"/>
  <c r="BJ987" i="1" s="1"/>
  <c r="AI987" i="1"/>
  <c r="BM987" i="1" s="1"/>
  <c r="AH987" i="1"/>
  <c r="BK987" i="1" s="1"/>
  <c r="BI986" i="1"/>
  <c r="BL986" i="1" s="1"/>
  <c r="BH986" i="1"/>
  <c r="BJ986" i="1" s="1"/>
  <c r="AI986" i="1"/>
  <c r="BM986" i="1" s="1"/>
  <c r="AH986" i="1"/>
  <c r="BK986" i="1" s="1"/>
  <c r="BI985" i="1"/>
  <c r="BL985" i="1" s="1"/>
  <c r="BH985" i="1"/>
  <c r="BJ985" i="1" s="1"/>
  <c r="AI985" i="1"/>
  <c r="BM985" i="1" s="1"/>
  <c r="AH985" i="1"/>
  <c r="BK985" i="1" s="1"/>
  <c r="BI984" i="1"/>
  <c r="BL984" i="1" s="1"/>
  <c r="BH984" i="1"/>
  <c r="BJ984" i="1" s="1"/>
  <c r="AI984" i="1"/>
  <c r="BM984" i="1" s="1"/>
  <c r="AH984" i="1"/>
  <c r="BK984" i="1" s="1"/>
  <c r="BI983" i="1"/>
  <c r="BL983" i="1" s="1"/>
  <c r="BH983" i="1"/>
  <c r="BJ983" i="1" s="1"/>
  <c r="AI983" i="1"/>
  <c r="BM983" i="1" s="1"/>
  <c r="AH983" i="1"/>
  <c r="BK983" i="1" s="1"/>
  <c r="BI982" i="1"/>
  <c r="BL982" i="1" s="1"/>
  <c r="BH982" i="1"/>
  <c r="BJ982" i="1" s="1"/>
  <c r="AI982" i="1"/>
  <c r="BM982" i="1" s="1"/>
  <c r="AH982" i="1"/>
  <c r="BK982" i="1" s="1"/>
  <c r="BI981" i="1"/>
  <c r="BL981" i="1" s="1"/>
  <c r="BH981" i="1"/>
  <c r="BJ981" i="1" s="1"/>
  <c r="AI981" i="1"/>
  <c r="BM981" i="1" s="1"/>
  <c r="AH981" i="1"/>
  <c r="BK981" i="1" s="1"/>
  <c r="BI980" i="1"/>
  <c r="BL980" i="1" s="1"/>
  <c r="BH980" i="1"/>
  <c r="BJ980" i="1" s="1"/>
  <c r="AI980" i="1"/>
  <c r="BM980" i="1" s="1"/>
  <c r="AH980" i="1"/>
  <c r="BK980" i="1" s="1"/>
  <c r="BI979" i="1"/>
  <c r="BL979" i="1" s="1"/>
  <c r="BH979" i="1"/>
  <c r="BJ979" i="1" s="1"/>
  <c r="AI979" i="1"/>
  <c r="BM979" i="1" s="1"/>
  <c r="AH979" i="1"/>
  <c r="BK979" i="1" s="1"/>
  <c r="BI978" i="1"/>
  <c r="BL978" i="1" s="1"/>
  <c r="BH978" i="1"/>
  <c r="BJ978" i="1" s="1"/>
  <c r="AI978" i="1"/>
  <c r="BM978" i="1" s="1"/>
  <c r="AH978" i="1"/>
  <c r="BK978" i="1" s="1"/>
  <c r="BI977" i="1"/>
  <c r="BL977" i="1" s="1"/>
  <c r="BH977" i="1"/>
  <c r="BJ977" i="1" s="1"/>
  <c r="AI977" i="1"/>
  <c r="BM977" i="1" s="1"/>
  <c r="AH977" i="1"/>
  <c r="BK977" i="1" s="1"/>
  <c r="BI976" i="1"/>
  <c r="BL976" i="1" s="1"/>
  <c r="BH976" i="1"/>
  <c r="BJ976" i="1" s="1"/>
  <c r="AI976" i="1"/>
  <c r="BM976" i="1" s="1"/>
  <c r="AH976" i="1"/>
  <c r="BK976" i="1" s="1"/>
  <c r="BI975" i="1"/>
  <c r="BL975" i="1" s="1"/>
  <c r="BH975" i="1"/>
  <c r="BJ975" i="1" s="1"/>
  <c r="AI975" i="1"/>
  <c r="BM975" i="1" s="1"/>
  <c r="AH975" i="1"/>
  <c r="BK975" i="1" s="1"/>
  <c r="BI974" i="1"/>
  <c r="BL974" i="1" s="1"/>
  <c r="BH974" i="1"/>
  <c r="BJ974" i="1" s="1"/>
  <c r="AI974" i="1"/>
  <c r="BM974" i="1" s="1"/>
  <c r="AH974" i="1"/>
  <c r="BK974" i="1" s="1"/>
  <c r="BI973" i="1"/>
  <c r="BL973" i="1" s="1"/>
  <c r="BH973" i="1"/>
  <c r="BJ973" i="1" s="1"/>
  <c r="AI973" i="1"/>
  <c r="BM973" i="1" s="1"/>
  <c r="AH973" i="1"/>
  <c r="BK973" i="1" s="1"/>
  <c r="BI972" i="1"/>
  <c r="BL972" i="1" s="1"/>
  <c r="BH972" i="1"/>
  <c r="BJ972" i="1" s="1"/>
  <c r="AI972" i="1"/>
  <c r="BM972" i="1" s="1"/>
  <c r="AH972" i="1"/>
  <c r="BK972" i="1" s="1"/>
  <c r="BI971" i="1"/>
  <c r="BL971" i="1" s="1"/>
  <c r="BH971" i="1"/>
  <c r="BJ971" i="1" s="1"/>
  <c r="AI971" i="1"/>
  <c r="BM971" i="1" s="1"/>
  <c r="AH971" i="1"/>
  <c r="BK971" i="1" s="1"/>
  <c r="BI970" i="1"/>
  <c r="BL970" i="1" s="1"/>
  <c r="BH970" i="1"/>
  <c r="BJ970" i="1" s="1"/>
  <c r="AI970" i="1"/>
  <c r="BM970" i="1" s="1"/>
  <c r="AH970" i="1"/>
  <c r="BK970" i="1" s="1"/>
  <c r="BI969" i="1"/>
  <c r="BL969" i="1" s="1"/>
  <c r="BH969" i="1"/>
  <c r="BJ969" i="1" s="1"/>
  <c r="AI969" i="1"/>
  <c r="AH969" i="1"/>
  <c r="BK969" i="1" s="1"/>
  <c r="BI968" i="1"/>
  <c r="BL968" i="1" s="1"/>
  <c r="BH968" i="1"/>
  <c r="BJ968" i="1" s="1"/>
  <c r="AI968" i="1"/>
  <c r="BM968" i="1" s="1"/>
  <c r="AH968" i="1"/>
  <c r="BK968" i="1" s="1"/>
  <c r="BI967" i="1"/>
  <c r="BL967" i="1" s="1"/>
  <c r="BH967" i="1"/>
  <c r="BJ967" i="1" s="1"/>
  <c r="AI967" i="1"/>
  <c r="BM967" i="1" s="1"/>
  <c r="AH967" i="1"/>
  <c r="BK967" i="1" s="1"/>
  <c r="BI966" i="1"/>
  <c r="BL966" i="1" s="1"/>
  <c r="BH966" i="1"/>
  <c r="BJ966" i="1" s="1"/>
  <c r="AI966" i="1"/>
  <c r="BM966" i="1" s="1"/>
  <c r="AH966" i="1"/>
  <c r="BK966" i="1" s="1"/>
  <c r="BI965" i="1"/>
  <c r="BL965" i="1" s="1"/>
  <c r="BH965" i="1"/>
  <c r="BJ965" i="1" s="1"/>
  <c r="AI965" i="1"/>
  <c r="BM965" i="1" s="1"/>
  <c r="AH965" i="1"/>
  <c r="BK965" i="1" s="1"/>
  <c r="BI964" i="1"/>
  <c r="BL964" i="1" s="1"/>
  <c r="BH964" i="1"/>
  <c r="BJ964" i="1" s="1"/>
  <c r="AI964" i="1"/>
  <c r="BM964" i="1" s="1"/>
  <c r="AH964" i="1"/>
  <c r="BK964" i="1" s="1"/>
  <c r="BI963" i="1"/>
  <c r="BL963" i="1" s="1"/>
  <c r="BH963" i="1"/>
  <c r="BJ963" i="1" s="1"/>
  <c r="AI963" i="1"/>
  <c r="BM963" i="1" s="1"/>
  <c r="AH963" i="1"/>
  <c r="BK963" i="1" s="1"/>
  <c r="BI962" i="1"/>
  <c r="BL962" i="1" s="1"/>
  <c r="BH962" i="1"/>
  <c r="BJ962" i="1" s="1"/>
  <c r="AI962" i="1"/>
  <c r="BM962" i="1" s="1"/>
  <c r="AH962" i="1"/>
  <c r="BK962" i="1" s="1"/>
  <c r="BI961" i="1"/>
  <c r="BL961" i="1" s="1"/>
  <c r="BH961" i="1"/>
  <c r="BJ961" i="1" s="1"/>
  <c r="AI961" i="1"/>
  <c r="BM961" i="1" s="1"/>
  <c r="AH961" i="1"/>
  <c r="BK961" i="1" s="1"/>
  <c r="BI960" i="1"/>
  <c r="BL960" i="1" s="1"/>
  <c r="BH960" i="1"/>
  <c r="BJ960" i="1" s="1"/>
  <c r="AI960" i="1"/>
  <c r="AH960" i="1"/>
  <c r="BK960" i="1" s="1"/>
  <c r="BI959" i="1"/>
  <c r="BL959" i="1" s="1"/>
  <c r="BH959" i="1"/>
  <c r="BJ959" i="1" s="1"/>
  <c r="AI959" i="1"/>
  <c r="BM959" i="1" s="1"/>
  <c r="AH959" i="1"/>
  <c r="BK959" i="1" s="1"/>
  <c r="BI958" i="1"/>
  <c r="BL958" i="1" s="1"/>
  <c r="BH958" i="1"/>
  <c r="BJ958" i="1" s="1"/>
  <c r="AI958" i="1"/>
  <c r="BM958" i="1" s="1"/>
  <c r="AH958" i="1"/>
  <c r="BK958" i="1" s="1"/>
  <c r="BI957" i="1"/>
  <c r="BL957" i="1" s="1"/>
  <c r="BH957" i="1"/>
  <c r="BJ957" i="1" s="1"/>
  <c r="AI957" i="1"/>
  <c r="BM957" i="1" s="1"/>
  <c r="AH957" i="1"/>
  <c r="BK957" i="1" s="1"/>
  <c r="BI956" i="1"/>
  <c r="BL956" i="1" s="1"/>
  <c r="BH956" i="1"/>
  <c r="BJ956" i="1" s="1"/>
  <c r="AI956" i="1"/>
  <c r="BM956" i="1" s="1"/>
  <c r="AH956" i="1"/>
  <c r="BK956" i="1" s="1"/>
  <c r="BI955" i="1"/>
  <c r="BL955" i="1" s="1"/>
  <c r="BH955" i="1"/>
  <c r="BJ955" i="1" s="1"/>
  <c r="AI955" i="1"/>
  <c r="BM955" i="1" s="1"/>
  <c r="AH955" i="1"/>
  <c r="BK955" i="1" s="1"/>
  <c r="BI954" i="1"/>
  <c r="BL954" i="1" s="1"/>
  <c r="BH954" i="1"/>
  <c r="BJ954" i="1" s="1"/>
  <c r="AI954" i="1"/>
  <c r="BM954" i="1" s="1"/>
  <c r="AH954" i="1"/>
  <c r="BK954" i="1" s="1"/>
  <c r="BI953" i="1"/>
  <c r="BL953" i="1" s="1"/>
  <c r="BH953" i="1"/>
  <c r="BJ953" i="1" s="1"/>
  <c r="AI953" i="1"/>
  <c r="BM953" i="1" s="1"/>
  <c r="AH953" i="1"/>
  <c r="BK953" i="1" s="1"/>
  <c r="BI952" i="1"/>
  <c r="BL952" i="1" s="1"/>
  <c r="BH952" i="1"/>
  <c r="BJ952" i="1" s="1"/>
  <c r="AI952" i="1"/>
  <c r="BM952" i="1" s="1"/>
  <c r="AH952" i="1"/>
  <c r="BK952" i="1" s="1"/>
  <c r="BI951" i="1"/>
  <c r="BL951" i="1" s="1"/>
  <c r="BH951" i="1"/>
  <c r="BJ951" i="1" s="1"/>
  <c r="AI951" i="1"/>
  <c r="BM951" i="1" s="1"/>
  <c r="AH951" i="1"/>
  <c r="BK951" i="1" s="1"/>
  <c r="BI950" i="1"/>
  <c r="BL950" i="1" s="1"/>
  <c r="BH950" i="1"/>
  <c r="BJ950" i="1" s="1"/>
  <c r="AI950" i="1"/>
  <c r="BM950" i="1" s="1"/>
  <c r="AH950" i="1"/>
  <c r="BK950" i="1" s="1"/>
  <c r="BI949" i="1"/>
  <c r="BL949" i="1" s="1"/>
  <c r="BH949" i="1"/>
  <c r="BJ949" i="1" s="1"/>
  <c r="AI949" i="1"/>
  <c r="BM949" i="1" s="1"/>
  <c r="AH949" i="1"/>
  <c r="BK949" i="1" s="1"/>
  <c r="BI948" i="1"/>
  <c r="BL948" i="1" s="1"/>
  <c r="BH948" i="1"/>
  <c r="BJ948" i="1" s="1"/>
  <c r="AI948" i="1"/>
  <c r="BM948" i="1" s="1"/>
  <c r="AH948" i="1"/>
  <c r="BK948" i="1" s="1"/>
  <c r="BI947" i="1"/>
  <c r="BL947" i="1" s="1"/>
  <c r="BH947" i="1"/>
  <c r="BJ947" i="1" s="1"/>
  <c r="AI947" i="1"/>
  <c r="BM947" i="1" s="1"/>
  <c r="AH947" i="1"/>
  <c r="BK947" i="1" s="1"/>
  <c r="BI946" i="1"/>
  <c r="BL946" i="1" s="1"/>
  <c r="BH946" i="1"/>
  <c r="BJ946" i="1" s="1"/>
  <c r="AI946" i="1"/>
  <c r="BM946" i="1" s="1"/>
  <c r="AH946" i="1"/>
  <c r="BK946" i="1" s="1"/>
  <c r="BI945" i="1"/>
  <c r="BL945" i="1" s="1"/>
  <c r="BH945" i="1"/>
  <c r="BJ945" i="1" s="1"/>
  <c r="AI945" i="1"/>
  <c r="BM945" i="1" s="1"/>
  <c r="AH945" i="1"/>
  <c r="BK945" i="1" s="1"/>
  <c r="BI944" i="1"/>
  <c r="BL944" i="1" s="1"/>
  <c r="BH944" i="1"/>
  <c r="BJ944" i="1" s="1"/>
  <c r="AI944" i="1"/>
  <c r="BM944" i="1" s="1"/>
  <c r="AH944" i="1"/>
  <c r="BK944" i="1" s="1"/>
  <c r="BI943" i="1"/>
  <c r="BL943" i="1" s="1"/>
  <c r="BH943" i="1"/>
  <c r="BJ943" i="1" s="1"/>
  <c r="AI943" i="1"/>
  <c r="BM943" i="1" s="1"/>
  <c r="AH943" i="1"/>
  <c r="BK943" i="1" s="1"/>
  <c r="BI942" i="1"/>
  <c r="BL942" i="1" s="1"/>
  <c r="BH942" i="1"/>
  <c r="BJ942" i="1" s="1"/>
  <c r="AI942" i="1"/>
  <c r="BM942" i="1" s="1"/>
  <c r="AH942" i="1"/>
  <c r="BK942" i="1" s="1"/>
  <c r="BI941" i="1"/>
  <c r="BL941" i="1" s="1"/>
  <c r="BH941" i="1"/>
  <c r="BJ941" i="1" s="1"/>
  <c r="AI941" i="1"/>
  <c r="BM941" i="1" s="1"/>
  <c r="AH941" i="1"/>
  <c r="BK941" i="1" s="1"/>
  <c r="BI940" i="1"/>
  <c r="BL940" i="1" s="1"/>
  <c r="BH940" i="1"/>
  <c r="BJ940" i="1" s="1"/>
  <c r="AI940" i="1"/>
  <c r="BM940" i="1" s="1"/>
  <c r="AH940" i="1"/>
  <c r="BK940" i="1" s="1"/>
  <c r="BI939" i="1"/>
  <c r="BL939" i="1" s="1"/>
  <c r="BH939" i="1"/>
  <c r="BJ939" i="1" s="1"/>
  <c r="AI939" i="1"/>
  <c r="BM939" i="1" s="1"/>
  <c r="AH939" i="1"/>
  <c r="BK939" i="1" s="1"/>
  <c r="BI938" i="1"/>
  <c r="BL938" i="1" s="1"/>
  <c r="BH938" i="1"/>
  <c r="BJ938" i="1" s="1"/>
  <c r="AI938" i="1"/>
  <c r="BM938" i="1" s="1"/>
  <c r="AH938" i="1"/>
  <c r="BK938" i="1" s="1"/>
  <c r="BI937" i="1"/>
  <c r="BL937" i="1" s="1"/>
  <c r="BH937" i="1"/>
  <c r="BJ937" i="1" s="1"/>
  <c r="AI937" i="1"/>
  <c r="AH937" i="1"/>
  <c r="BK937" i="1" s="1"/>
  <c r="BI936" i="1"/>
  <c r="BL936" i="1" s="1"/>
  <c r="BH936" i="1"/>
  <c r="BJ936" i="1" s="1"/>
  <c r="AI936" i="1"/>
  <c r="BM936" i="1" s="1"/>
  <c r="AH936" i="1"/>
  <c r="BK936" i="1" s="1"/>
  <c r="BI935" i="1"/>
  <c r="BL935" i="1" s="1"/>
  <c r="BH935" i="1"/>
  <c r="BJ935" i="1" s="1"/>
  <c r="AI935" i="1"/>
  <c r="BM935" i="1" s="1"/>
  <c r="AH935" i="1"/>
  <c r="BK935" i="1" s="1"/>
  <c r="BI934" i="1"/>
  <c r="BL934" i="1" s="1"/>
  <c r="BH934" i="1"/>
  <c r="BJ934" i="1" s="1"/>
  <c r="AI934" i="1"/>
  <c r="BM934" i="1" s="1"/>
  <c r="AH934" i="1"/>
  <c r="BK934" i="1" s="1"/>
  <c r="BI933" i="1"/>
  <c r="BL933" i="1" s="1"/>
  <c r="BH933" i="1"/>
  <c r="BJ933" i="1" s="1"/>
  <c r="AI933" i="1"/>
  <c r="BM933" i="1" s="1"/>
  <c r="AH933" i="1"/>
  <c r="BK933" i="1" s="1"/>
  <c r="BI932" i="1"/>
  <c r="BL932" i="1" s="1"/>
  <c r="BH932" i="1"/>
  <c r="BJ932" i="1" s="1"/>
  <c r="AI932" i="1"/>
  <c r="BM932" i="1" s="1"/>
  <c r="AH932" i="1"/>
  <c r="BK932" i="1" s="1"/>
  <c r="BI931" i="1"/>
  <c r="BL931" i="1" s="1"/>
  <c r="BH931" i="1"/>
  <c r="BJ931" i="1" s="1"/>
  <c r="AI931" i="1"/>
  <c r="AH931" i="1"/>
  <c r="BK931" i="1" s="1"/>
  <c r="BI930" i="1"/>
  <c r="BL930" i="1" s="1"/>
  <c r="BH930" i="1"/>
  <c r="BJ930" i="1" s="1"/>
  <c r="AI930" i="1"/>
  <c r="BM930" i="1" s="1"/>
  <c r="AH930" i="1"/>
  <c r="BI929" i="1"/>
  <c r="BL929" i="1" s="1"/>
  <c r="BH929" i="1"/>
  <c r="BJ929" i="1" s="1"/>
  <c r="AI929" i="1"/>
  <c r="BM929" i="1" s="1"/>
  <c r="AH929" i="1"/>
  <c r="BK929" i="1" s="1"/>
  <c r="BI928" i="1"/>
  <c r="BL928" i="1" s="1"/>
  <c r="BH928" i="1"/>
  <c r="BJ928" i="1" s="1"/>
  <c r="AI928" i="1"/>
  <c r="BM928" i="1" s="1"/>
  <c r="AH928" i="1"/>
  <c r="BK928" i="1" s="1"/>
  <c r="BI927" i="1"/>
  <c r="BL927" i="1" s="1"/>
  <c r="BH927" i="1"/>
  <c r="BJ927" i="1" s="1"/>
  <c r="AI927" i="1"/>
  <c r="BM927" i="1" s="1"/>
  <c r="AH927" i="1"/>
  <c r="BK927" i="1" s="1"/>
  <c r="BI926" i="1"/>
  <c r="BL926" i="1" s="1"/>
  <c r="BH926" i="1"/>
  <c r="BJ926" i="1" s="1"/>
  <c r="AI926" i="1"/>
  <c r="BM926" i="1" s="1"/>
  <c r="AH926" i="1"/>
  <c r="BK926" i="1" s="1"/>
  <c r="BI925" i="1"/>
  <c r="BL925" i="1" s="1"/>
  <c r="BH925" i="1"/>
  <c r="BJ925" i="1" s="1"/>
  <c r="AI925" i="1"/>
  <c r="AH925" i="1"/>
  <c r="BK925" i="1" s="1"/>
  <c r="BI924" i="1"/>
  <c r="BL924" i="1" s="1"/>
  <c r="BH924" i="1"/>
  <c r="BJ924" i="1" s="1"/>
  <c r="AI924" i="1"/>
  <c r="BM924" i="1" s="1"/>
  <c r="AH924" i="1"/>
  <c r="BK924" i="1" s="1"/>
  <c r="BI923" i="1"/>
  <c r="BL923" i="1" s="1"/>
  <c r="BH923" i="1"/>
  <c r="BJ923" i="1" s="1"/>
  <c r="AI923" i="1"/>
  <c r="BM923" i="1" s="1"/>
  <c r="AH923" i="1"/>
  <c r="BK923" i="1" s="1"/>
  <c r="BI922" i="1"/>
  <c r="BL922" i="1" s="1"/>
  <c r="BH922" i="1"/>
  <c r="BJ922" i="1" s="1"/>
  <c r="AI922" i="1"/>
  <c r="BM922" i="1" s="1"/>
  <c r="AH922" i="1"/>
  <c r="BK922" i="1" s="1"/>
  <c r="BI921" i="1"/>
  <c r="BL921" i="1" s="1"/>
  <c r="BH921" i="1"/>
  <c r="BJ921" i="1" s="1"/>
  <c r="AI921" i="1"/>
  <c r="BM921" i="1" s="1"/>
  <c r="AH921" i="1"/>
  <c r="BK921" i="1" s="1"/>
  <c r="BI920" i="1"/>
  <c r="BL920" i="1" s="1"/>
  <c r="BH920" i="1"/>
  <c r="BJ920" i="1" s="1"/>
  <c r="AI920" i="1"/>
  <c r="BM920" i="1" s="1"/>
  <c r="AH920" i="1"/>
  <c r="BK920" i="1" s="1"/>
  <c r="BI919" i="1"/>
  <c r="BL919" i="1" s="1"/>
  <c r="BH919" i="1"/>
  <c r="BJ919" i="1" s="1"/>
  <c r="AI919" i="1"/>
  <c r="BM919" i="1" s="1"/>
  <c r="AH919" i="1"/>
  <c r="BK919" i="1" s="1"/>
  <c r="BI918" i="1"/>
  <c r="BL918" i="1" s="1"/>
  <c r="BH918" i="1"/>
  <c r="BJ918" i="1" s="1"/>
  <c r="AI918" i="1"/>
  <c r="AH918" i="1"/>
  <c r="BK918" i="1" s="1"/>
  <c r="BI917" i="1"/>
  <c r="BL917" i="1" s="1"/>
  <c r="BH917" i="1"/>
  <c r="BJ917" i="1" s="1"/>
  <c r="AI917" i="1"/>
  <c r="BM917" i="1" s="1"/>
  <c r="AH917" i="1"/>
  <c r="BK917" i="1" s="1"/>
  <c r="BI916" i="1"/>
  <c r="BL916" i="1" s="1"/>
  <c r="BH916" i="1"/>
  <c r="BJ916" i="1" s="1"/>
  <c r="AI916" i="1"/>
  <c r="BM916" i="1" s="1"/>
  <c r="AH916" i="1"/>
  <c r="BK916" i="1" s="1"/>
  <c r="BI915" i="1"/>
  <c r="BL915" i="1" s="1"/>
  <c r="BH915" i="1"/>
  <c r="BJ915" i="1" s="1"/>
  <c r="AI915" i="1"/>
  <c r="BM915" i="1" s="1"/>
  <c r="AH915" i="1"/>
  <c r="BK915" i="1" s="1"/>
  <c r="BI914" i="1"/>
  <c r="BL914" i="1" s="1"/>
  <c r="BH914" i="1"/>
  <c r="BJ914" i="1" s="1"/>
  <c r="AI914" i="1"/>
  <c r="BM914" i="1" s="1"/>
  <c r="AH914" i="1"/>
  <c r="BK914" i="1" s="1"/>
  <c r="BI913" i="1"/>
  <c r="BL913" i="1" s="1"/>
  <c r="BH913" i="1"/>
  <c r="BJ913" i="1" s="1"/>
  <c r="AI913" i="1"/>
  <c r="AH913" i="1"/>
  <c r="BK913" i="1" s="1"/>
  <c r="BI912" i="1"/>
  <c r="BL912" i="1" s="1"/>
  <c r="BH912" i="1"/>
  <c r="BJ912" i="1" s="1"/>
  <c r="AI912" i="1"/>
  <c r="BM912" i="1" s="1"/>
  <c r="AH912" i="1"/>
  <c r="BK912" i="1" s="1"/>
  <c r="BI911" i="1"/>
  <c r="BL911" i="1" s="1"/>
  <c r="BH911" i="1"/>
  <c r="BJ911" i="1" s="1"/>
  <c r="AI911" i="1"/>
  <c r="BM911" i="1" s="1"/>
  <c r="AH911" i="1"/>
  <c r="BK911" i="1" s="1"/>
  <c r="BM910" i="1"/>
  <c r="BL910" i="1"/>
  <c r="BI910" i="1"/>
  <c r="BH910" i="1"/>
  <c r="BJ910" i="1" s="1"/>
  <c r="BK910" i="1" s="1"/>
  <c r="AI910" i="1"/>
  <c r="AH910" i="1"/>
  <c r="BI909" i="1"/>
  <c r="BL909" i="1" s="1"/>
  <c r="BH909" i="1"/>
  <c r="BJ909" i="1" s="1"/>
  <c r="AI909" i="1"/>
  <c r="BM909" i="1" s="1"/>
  <c r="AH909" i="1"/>
  <c r="BK909" i="1" s="1"/>
  <c r="BI908" i="1"/>
  <c r="BL908" i="1" s="1"/>
  <c r="BH908" i="1"/>
  <c r="BJ908" i="1" s="1"/>
  <c r="AI908" i="1"/>
  <c r="BM908" i="1" s="1"/>
  <c r="AH908" i="1"/>
  <c r="BK908" i="1" s="1"/>
  <c r="BI907" i="1"/>
  <c r="BL907" i="1" s="1"/>
  <c r="BH907" i="1"/>
  <c r="BJ907" i="1" s="1"/>
  <c r="AI907" i="1"/>
  <c r="BM907" i="1" s="1"/>
  <c r="AH907" i="1"/>
  <c r="BK907" i="1" s="1"/>
  <c r="BI906" i="1"/>
  <c r="BL906" i="1" s="1"/>
  <c r="BH906" i="1"/>
  <c r="BJ906" i="1" s="1"/>
  <c r="AI906" i="1"/>
  <c r="BM906" i="1" s="1"/>
  <c r="AH906" i="1"/>
  <c r="BK906" i="1" s="1"/>
  <c r="BI905" i="1"/>
  <c r="BL905" i="1" s="1"/>
  <c r="BH905" i="1"/>
  <c r="BJ905" i="1" s="1"/>
  <c r="AI905" i="1"/>
  <c r="BM905" i="1" s="1"/>
  <c r="AH905" i="1"/>
  <c r="BK905" i="1" s="1"/>
  <c r="BI904" i="1"/>
  <c r="BL904" i="1" s="1"/>
  <c r="BH904" i="1"/>
  <c r="BJ904" i="1" s="1"/>
  <c r="AI904" i="1"/>
  <c r="BM904" i="1" s="1"/>
  <c r="AH904" i="1"/>
  <c r="BK904" i="1" s="1"/>
  <c r="BI903" i="1"/>
  <c r="BL903" i="1" s="1"/>
  <c r="BH903" i="1"/>
  <c r="BJ903" i="1" s="1"/>
  <c r="AI903" i="1"/>
  <c r="BM903" i="1" s="1"/>
  <c r="AH903" i="1"/>
  <c r="BK903" i="1" s="1"/>
  <c r="BI902" i="1"/>
  <c r="BL902" i="1" s="1"/>
  <c r="BH902" i="1"/>
  <c r="BJ902" i="1" s="1"/>
  <c r="AI902" i="1"/>
  <c r="BM902" i="1" s="1"/>
  <c r="AH902" i="1"/>
  <c r="BK902" i="1" s="1"/>
  <c r="BI901" i="1"/>
  <c r="BL901" i="1" s="1"/>
  <c r="BH901" i="1"/>
  <c r="BJ901" i="1" s="1"/>
  <c r="AI901" i="1"/>
  <c r="BM901" i="1" s="1"/>
  <c r="AH901" i="1"/>
  <c r="BK901" i="1" s="1"/>
  <c r="BI900" i="1"/>
  <c r="BL900" i="1" s="1"/>
  <c r="BH900" i="1"/>
  <c r="BJ900" i="1" s="1"/>
  <c r="AI900" i="1"/>
  <c r="BM900" i="1" s="1"/>
  <c r="AH900" i="1"/>
  <c r="BK900" i="1" s="1"/>
  <c r="BI899" i="1"/>
  <c r="BL899" i="1" s="1"/>
  <c r="BH899" i="1"/>
  <c r="BJ899" i="1" s="1"/>
  <c r="AI899" i="1"/>
  <c r="BM899" i="1" s="1"/>
  <c r="AH899" i="1"/>
  <c r="BK899" i="1" s="1"/>
  <c r="BI898" i="1"/>
  <c r="BL898" i="1" s="1"/>
  <c r="BH898" i="1"/>
  <c r="BJ898" i="1" s="1"/>
  <c r="AI898" i="1"/>
  <c r="BM898" i="1" s="1"/>
  <c r="AH898" i="1"/>
  <c r="BK898" i="1" s="1"/>
  <c r="BI897" i="1"/>
  <c r="BL897" i="1" s="1"/>
  <c r="BH897" i="1"/>
  <c r="BJ897" i="1" s="1"/>
  <c r="AI897" i="1"/>
  <c r="BM897" i="1" s="1"/>
  <c r="AH897" i="1"/>
  <c r="BK897" i="1" s="1"/>
  <c r="BI896" i="1"/>
  <c r="BL896" i="1" s="1"/>
  <c r="BH896" i="1"/>
  <c r="BJ896" i="1" s="1"/>
  <c r="AI896" i="1"/>
  <c r="BM896" i="1" s="1"/>
  <c r="AH896" i="1"/>
  <c r="BK896" i="1" s="1"/>
  <c r="BI895" i="1"/>
  <c r="BL895" i="1" s="1"/>
  <c r="BH895" i="1"/>
  <c r="BJ895" i="1" s="1"/>
  <c r="AI895" i="1"/>
  <c r="BM895" i="1" s="1"/>
  <c r="AH895" i="1"/>
  <c r="BK895" i="1" s="1"/>
  <c r="BI894" i="1"/>
  <c r="BL894" i="1" s="1"/>
  <c r="BH894" i="1"/>
  <c r="BJ894" i="1" s="1"/>
  <c r="AI894" i="1"/>
  <c r="BM894" i="1" s="1"/>
  <c r="AH894" i="1"/>
  <c r="BK894" i="1" s="1"/>
  <c r="BI893" i="1"/>
  <c r="BL893" i="1" s="1"/>
  <c r="BH893" i="1"/>
  <c r="BJ893" i="1" s="1"/>
  <c r="AI893" i="1"/>
  <c r="BM893" i="1" s="1"/>
  <c r="AH893" i="1"/>
  <c r="BK893" i="1" s="1"/>
  <c r="BI892" i="1"/>
  <c r="BL892" i="1" s="1"/>
  <c r="BH892" i="1"/>
  <c r="BJ892" i="1" s="1"/>
  <c r="AI892" i="1"/>
  <c r="BM892" i="1" s="1"/>
  <c r="AH892" i="1"/>
  <c r="BK892" i="1" s="1"/>
  <c r="BI891" i="1"/>
  <c r="BL891" i="1" s="1"/>
  <c r="BH891" i="1"/>
  <c r="BJ891" i="1" s="1"/>
  <c r="AI891" i="1"/>
  <c r="BM891" i="1" s="1"/>
  <c r="AH891" i="1"/>
  <c r="BK891" i="1" s="1"/>
  <c r="BI890" i="1"/>
  <c r="BL890" i="1" s="1"/>
  <c r="BH890" i="1"/>
  <c r="BJ890" i="1" s="1"/>
  <c r="AI890" i="1"/>
  <c r="BM890" i="1" s="1"/>
  <c r="AH890" i="1"/>
  <c r="BK890" i="1" s="1"/>
  <c r="BI889" i="1"/>
  <c r="BL889" i="1" s="1"/>
  <c r="BH889" i="1"/>
  <c r="BJ889" i="1" s="1"/>
  <c r="AI889" i="1"/>
  <c r="BM889" i="1" s="1"/>
  <c r="AH889" i="1"/>
  <c r="BK889" i="1" s="1"/>
  <c r="BI888" i="1"/>
  <c r="BL888" i="1" s="1"/>
  <c r="BH888" i="1"/>
  <c r="BJ888" i="1" s="1"/>
  <c r="AI888" i="1"/>
  <c r="BM888" i="1" s="1"/>
  <c r="AH888" i="1"/>
  <c r="BK888" i="1" s="1"/>
  <c r="BI887" i="1"/>
  <c r="BL887" i="1" s="1"/>
  <c r="BH887" i="1"/>
  <c r="BJ887" i="1" s="1"/>
  <c r="AI887" i="1"/>
  <c r="BM887" i="1" s="1"/>
  <c r="AH887" i="1"/>
  <c r="BK887" i="1" s="1"/>
  <c r="BI886" i="1"/>
  <c r="BL886" i="1" s="1"/>
  <c r="BH886" i="1"/>
  <c r="BJ886" i="1" s="1"/>
  <c r="AI886" i="1"/>
  <c r="BM886" i="1" s="1"/>
  <c r="AH886" i="1"/>
  <c r="BK886" i="1" s="1"/>
  <c r="BI885" i="1"/>
  <c r="BL885" i="1" s="1"/>
  <c r="BH885" i="1"/>
  <c r="BJ885" i="1" s="1"/>
  <c r="AI885" i="1"/>
  <c r="BM885" i="1" s="1"/>
  <c r="AH885" i="1"/>
  <c r="BK885" i="1" s="1"/>
  <c r="BI884" i="1"/>
  <c r="BL884" i="1" s="1"/>
  <c r="BH884" i="1"/>
  <c r="BJ884" i="1" s="1"/>
  <c r="AI884" i="1"/>
  <c r="BM884" i="1" s="1"/>
  <c r="AH884" i="1"/>
  <c r="BK884" i="1" s="1"/>
  <c r="BI883" i="1"/>
  <c r="BL883" i="1" s="1"/>
  <c r="BH883" i="1"/>
  <c r="BJ883" i="1" s="1"/>
  <c r="AI883" i="1"/>
  <c r="BM883" i="1" s="1"/>
  <c r="AH883" i="1"/>
  <c r="BK883" i="1" s="1"/>
  <c r="BI882" i="1"/>
  <c r="BL882" i="1" s="1"/>
  <c r="BH882" i="1"/>
  <c r="BJ882" i="1" s="1"/>
  <c r="AI882" i="1"/>
  <c r="BM882" i="1" s="1"/>
  <c r="AH882" i="1"/>
  <c r="BK882" i="1" s="1"/>
  <c r="BI881" i="1"/>
  <c r="BL881" i="1" s="1"/>
  <c r="BH881" i="1"/>
  <c r="BJ881" i="1" s="1"/>
  <c r="AI881" i="1"/>
  <c r="BM881" i="1" s="1"/>
  <c r="AH881" i="1"/>
  <c r="BK881" i="1" s="1"/>
  <c r="BI880" i="1"/>
  <c r="BL880" i="1" s="1"/>
  <c r="BH880" i="1"/>
  <c r="BJ880" i="1" s="1"/>
  <c r="AI880" i="1"/>
  <c r="BM880" i="1" s="1"/>
  <c r="AH880" i="1"/>
  <c r="BK880" i="1" s="1"/>
  <c r="BI879" i="1"/>
  <c r="BL879" i="1" s="1"/>
  <c r="BH879" i="1"/>
  <c r="BJ879" i="1" s="1"/>
  <c r="AI879" i="1"/>
  <c r="BM879" i="1" s="1"/>
  <c r="AH879" i="1"/>
  <c r="BK879" i="1" s="1"/>
  <c r="BI878" i="1"/>
  <c r="BL878" i="1" s="1"/>
  <c r="BH878" i="1"/>
  <c r="BJ878" i="1" s="1"/>
  <c r="AI878" i="1"/>
  <c r="BM878" i="1" s="1"/>
  <c r="AH878" i="1"/>
  <c r="BK878" i="1" s="1"/>
  <c r="BI877" i="1"/>
  <c r="BL877" i="1" s="1"/>
  <c r="BH877" i="1"/>
  <c r="BJ877" i="1" s="1"/>
  <c r="AI877" i="1"/>
  <c r="BM877" i="1" s="1"/>
  <c r="AH877" i="1"/>
  <c r="BK877" i="1" s="1"/>
  <c r="BI876" i="1"/>
  <c r="BL876" i="1" s="1"/>
  <c r="BH876" i="1"/>
  <c r="BJ876" i="1" s="1"/>
  <c r="AI876" i="1"/>
  <c r="BM876" i="1" s="1"/>
  <c r="AH876" i="1"/>
  <c r="BK876" i="1" s="1"/>
  <c r="BI875" i="1"/>
  <c r="BL875" i="1" s="1"/>
  <c r="BH875" i="1"/>
  <c r="BJ875" i="1" s="1"/>
  <c r="AI875" i="1"/>
  <c r="BM875" i="1" s="1"/>
  <c r="AH875" i="1"/>
  <c r="BK875" i="1" s="1"/>
  <c r="BI874" i="1"/>
  <c r="BL874" i="1" s="1"/>
  <c r="BH874" i="1"/>
  <c r="BJ874" i="1" s="1"/>
  <c r="AI874" i="1"/>
  <c r="BM874" i="1" s="1"/>
  <c r="AH874" i="1"/>
  <c r="BK874" i="1" s="1"/>
  <c r="BI873" i="1"/>
  <c r="BL873" i="1" s="1"/>
  <c r="BH873" i="1"/>
  <c r="BJ873" i="1" s="1"/>
  <c r="AI873" i="1"/>
  <c r="BM873" i="1" s="1"/>
  <c r="AH873" i="1"/>
  <c r="BK873" i="1" s="1"/>
  <c r="BI872" i="1"/>
  <c r="BL872" i="1" s="1"/>
  <c r="BH872" i="1"/>
  <c r="BJ872" i="1" s="1"/>
  <c r="AI872" i="1"/>
  <c r="BM872" i="1" s="1"/>
  <c r="AH872" i="1"/>
  <c r="BK872" i="1" s="1"/>
  <c r="BI871" i="1"/>
  <c r="BL871" i="1" s="1"/>
  <c r="BH871" i="1"/>
  <c r="BJ871" i="1" s="1"/>
  <c r="AI871" i="1"/>
  <c r="BM871" i="1" s="1"/>
  <c r="AH871" i="1"/>
  <c r="BK871" i="1" s="1"/>
  <c r="BI870" i="1"/>
  <c r="BL870" i="1" s="1"/>
  <c r="BH870" i="1"/>
  <c r="BJ870" i="1" s="1"/>
  <c r="AI870" i="1"/>
  <c r="BM870" i="1" s="1"/>
  <c r="AH870" i="1"/>
  <c r="BK870" i="1" s="1"/>
  <c r="BI869" i="1"/>
  <c r="BL869" i="1" s="1"/>
  <c r="BH869" i="1"/>
  <c r="BJ869" i="1" s="1"/>
  <c r="AI869" i="1"/>
  <c r="BM869" i="1" s="1"/>
  <c r="AH869" i="1"/>
  <c r="BK869" i="1" s="1"/>
  <c r="BI868" i="1"/>
  <c r="BL868" i="1" s="1"/>
  <c r="BH868" i="1"/>
  <c r="BJ868" i="1" s="1"/>
  <c r="AI868" i="1"/>
  <c r="BM868" i="1" s="1"/>
  <c r="AH868" i="1"/>
  <c r="BK868" i="1" s="1"/>
  <c r="BI867" i="1"/>
  <c r="BL867" i="1" s="1"/>
  <c r="BH867" i="1"/>
  <c r="BJ867" i="1" s="1"/>
  <c r="AI867" i="1"/>
  <c r="BM867" i="1" s="1"/>
  <c r="AH867" i="1"/>
  <c r="BK867" i="1" s="1"/>
  <c r="BI866" i="1"/>
  <c r="BL866" i="1" s="1"/>
  <c r="BH866" i="1"/>
  <c r="BJ866" i="1" s="1"/>
  <c r="AI866" i="1"/>
  <c r="BM866" i="1" s="1"/>
  <c r="AH866" i="1"/>
  <c r="BK866" i="1" s="1"/>
  <c r="BI865" i="1"/>
  <c r="BL865" i="1" s="1"/>
  <c r="BH865" i="1"/>
  <c r="BJ865" i="1" s="1"/>
  <c r="AI865" i="1"/>
  <c r="BM865" i="1" s="1"/>
  <c r="AH865" i="1"/>
  <c r="BK865" i="1" s="1"/>
  <c r="BI864" i="1"/>
  <c r="BL864" i="1" s="1"/>
  <c r="BH864" i="1"/>
  <c r="BJ864" i="1" s="1"/>
  <c r="AI864" i="1"/>
  <c r="BM864" i="1" s="1"/>
  <c r="AH864" i="1"/>
  <c r="BK864" i="1" s="1"/>
  <c r="BI863" i="1"/>
  <c r="BL863" i="1" s="1"/>
  <c r="BH863" i="1"/>
  <c r="BJ863" i="1" s="1"/>
  <c r="AI863" i="1"/>
  <c r="BM863" i="1" s="1"/>
  <c r="AH863" i="1"/>
  <c r="BK863" i="1" s="1"/>
  <c r="BI862" i="1"/>
  <c r="BL862" i="1" s="1"/>
  <c r="BH862" i="1"/>
  <c r="BJ862" i="1" s="1"/>
  <c r="AI862" i="1"/>
  <c r="BM862" i="1" s="1"/>
  <c r="AH862" i="1"/>
  <c r="BK862" i="1" s="1"/>
  <c r="BI861" i="1"/>
  <c r="BL861" i="1" s="1"/>
  <c r="BH861" i="1"/>
  <c r="BJ861" i="1" s="1"/>
  <c r="AI861" i="1"/>
  <c r="BM861" i="1" s="1"/>
  <c r="AH861" i="1"/>
  <c r="BK861" i="1" s="1"/>
  <c r="BI860" i="1"/>
  <c r="BL860" i="1" s="1"/>
  <c r="BH860" i="1"/>
  <c r="BJ860" i="1" s="1"/>
  <c r="AI860" i="1"/>
  <c r="BM860" i="1" s="1"/>
  <c r="AH860" i="1"/>
  <c r="BK860" i="1" s="1"/>
  <c r="BI859" i="1"/>
  <c r="BL859" i="1" s="1"/>
  <c r="BH859" i="1"/>
  <c r="BJ859" i="1" s="1"/>
  <c r="AI859" i="1"/>
  <c r="BM859" i="1" s="1"/>
  <c r="AH859" i="1"/>
  <c r="BK859" i="1" s="1"/>
  <c r="BI858" i="1"/>
  <c r="BL858" i="1" s="1"/>
  <c r="BH858" i="1"/>
  <c r="BJ858" i="1" s="1"/>
  <c r="AI858" i="1"/>
  <c r="BM858" i="1" s="1"/>
  <c r="AH858" i="1"/>
  <c r="BK858" i="1" s="1"/>
  <c r="BI857" i="1"/>
  <c r="BL857" i="1" s="1"/>
  <c r="BH857" i="1"/>
  <c r="BJ857" i="1" s="1"/>
  <c r="AI857" i="1"/>
  <c r="BM857" i="1" s="1"/>
  <c r="AH857" i="1"/>
  <c r="BK857" i="1" s="1"/>
  <c r="BI856" i="1"/>
  <c r="BL856" i="1" s="1"/>
  <c r="BH856" i="1"/>
  <c r="BJ856" i="1" s="1"/>
  <c r="AI856" i="1"/>
  <c r="BM856" i="1" s="1"/>
  <c r="AH856" i="1"/>
  <c r="BK856" i="1" s="1"/>
  <c r="BI855" i="1"/>
  <c r="BL855" i="1" s="1"/>
  <c r="BH855" i="1"/>
  <c r="BJ855" i="1" s="1"/>
  <c r="AI855" i="1"/>
  <c r="BM855" i="1" s="1"/>
  <c r="AH855" i="1"/>
  <c r="BK855" i="1" s="1"/>
  <c r="BI854" i="1"/>
  <c r="BL854" i="1" s="1"/>
  <c r="BH854" i="1"/>
  <c r="BJ854" i="1" s="1"/>
  <c r="AI854" i="1"/>
  <c r="BM854" i="1" s="1"/>
  <c r="AH854" i="1"/>
  <c r="BK854" i="1" s="1"/>
  <c r="BI853" i="1"/>
  <c r="BL853" i="1" s="1"/>
  <c r="BH853" i="1"/>
  <c r="BJ853" i="1" s="1"/>
  <c r="AI853" i="1"/>
  <c r="BM853" i="1" s="1"/>
  <c r="AH853" i="1"/>
  <c r="BK853" i="1" s="1"/>
  <c r="BI852" i="1"/>
  <c r="BL852" i="1" s="1"/>
  <c r="BH852" i="1"/>
  <c r="BJ852" i="1" s="1"/>
  <c r="AI852" i="1"/>
  <c r="BM852" i="1" s="1"/>
  <c r="AH852" i="1"/>
  <c r="BK852" i="1" s="1"/>
  <c r="BI851" i="1"/>
  <c r="BL851" i="1" s="1"/>
  <c r="BH851" i="1"/>
  <c r="BJ851" i="1" s="1"/>
  <c r="AI851" i="1"/>
  <c r="BM851" i="1" s="1"/>
  <c r="AH851" i="1"/>
  <c r="BK851" i="1" s="1"/>
  <c r="BI850" i="1"/>
  <c r="BL850" i="1" s="1"/>
  <c r="BH850" i="1"/>
  <c r="BJ850" i="1" s="1"/>
  <c r="AI850" i="1"/>
  <c r="BM850" i="1" s="1"/>
  <c r="AH850" i="1"/>
  <c r="BK850" i="1" s="1"/>
  <c r="BI849" i="1"/>
  <c r="BL849" i="1" s="1"/>
  <c r="BH849" i="1"/>
  <c r="BJ849" i="1" s="1"/>
  <c r="AI849" i="1"/>
  <c r="BM849" i="1" s="1"/>
  <c r="AH849" i="1"/>
  <c r="BK849" i="1" s="1"/>
  <c r="BI848" i="1"/>
  <c r="BL848" i="1" s="1"/>
  <c r="BH848" i="1"/>
  <c r="BJ848" i="1" s="1"/>
  <c r="AI848" i="1"/>
  <c r="BM848" i="1" s="1"/>
  <c r="AH848" i="1"/>
  <c r="BK848" i="1" s="1"/>
  <c r="BI847" i="1"/>
  <c r="BL847" i="1" s="1"/>
  <c r="BH847" i="1"/>
  <c r="BJ847" i="1" s="1"/>
  <c r="AI847" i="1"/>
  <c r="BM847" i="1" s="1"/>
  <c r="AH847" i="1"/>
  <c r="BK847" i="1" s="1"/>
  <c r="BI846" i="1"/>
  <c r="BL846" i="1" s="1"/>
  <c r="BH846" i="1"/>
  <c r="BJ846" i="1" s="1"/>
  <c r="AI846" i="1"/>
  <c r="BM846" i="1" s="1"/>
  <c r="AH846" i="1"/>
  <c r="BK846" i="1" s="1"/>
  <c r="BI845" i="1"/>
  <c r="BL845" i="1" s="1"/>
  <c r="BH845" i="1"/>
  <c r="BJ845" i="1" s="1"/>
  <c r="AI845" i="1"/>
  <c r="BM845" i="1" s="1"/>
  <c r="AH845" i="1"/>
  <c r="BK845" i="1" s="1"/>
  <c r="BI844" i="1"/>
  <c r="BL844" i="1" s="1"/>
  <c r="BH844" i="1"/>
  <c r="BJ844" i="1" s="1"/>
  <c r="AI844" i="1"/>
  <c r="BM844" i="1" s="1"/>
  <c r="AH844" i="1"/>
  <c r="BK844" i="1" s="1"/>
  <c r="BI843" i="1"/>
  <c r="BL843" i="1" s="1"/>
  <c r="BH843" i="1"/>
  <c r="BJ843" i="1" s="1"/>
  <c r="AI843" i="1"/>
  <c r="BM843" i="1" s="1"/>
  <c r="AH843" i="1"/>
  <c r="BK843" i="1" s="1"/>
  <c r="BI842" i="1"/>
  <c r="BL842" i="1" s="1"/>
  <c r="BH842" i="1"/>
  <c r="BJ842" i="1" s="1"/>
  <c r="AI842" i="1"/>
  <c r="BM842" i="1" s="1"/>
  <c r="AH842" i="1"/>
  <c r="BK842" i="1" s="1"/>
  <c r="BI841" i="1"/>
  <c r="BL841" i="1" s="1"/>
  <c r="BH841" i="1"/>
  <c r="BJ841" i="1" s="1"/>
  <c r="AI841" i="1"/>
  <c r="BM841" i="1" s="1"/>
  <c r="AH841" i="1"/>
  <c r="BK841" i="1" s="1"/>
  <c r="BI840" i="1"/>
  <c r="BL840" i="1" s="1"/>
  <c r="BH840" i="1"/>
  <c r="BJ840" i="1" s="1"/>
  <c r="AI840" i="1"/>
  <c r="BM840" i="1" s="1"/>
  <c r="AH840" i="1"/>
  <c r="BK840" i="1" s="1"/>
  <c r="BI839" i="1"/>
  <c r="BL839" i="1" s="1"/>
  <c r="BH839" i="1"/>
  <c r="BJ839" i="1" s="1"/>
  <c r="AI839" i="1"/>
  <c r="BM839" i="1" s="1"/>
  <c r="AH839" i="1"/>
  <c r="BK839" i="1" s="1"/>
  <c r="BI838" i="1"/>
  <c r="BL838" i="1" s="1"/>
  <c r="BH838" i="1"/>
  <c r="BJ838" i="1" s="1"/>
  <c r="AI838" i="1"/>
  <c r="BM838" i="1" s="1"/>
  <c r="AH838" i="1"/>
  <c r="BK838" i="1" s="1"/>
  <c r="BI837" i="1"/>
  <c r="BL837" i="1" s="1"/>
  <c r="BH837" i="1"/>
  <c r="BJ837" i="1" s="1"/>
  <c r="AI837" i="1"/>
  <c r="BM837" i="1" s="1"/>
  <c r="AH837" i="1"/>
  <c r="BK837" i="1" s="1"/>
  <c r="BI836" i="1"/>
  <c r="BL836" i="1" s="1"/>
  <c r="BH836" i="1"/>
  <c r="BJ836" i="1" s="1"/>
  <c r="AI836" i="1"/>
  <c r="BM836" i="1" s="1"/>
  <c r="AH836" i="1"/>
  <c r="BK836" i="1" s="1"/>
  <c r="BI835" i="1"/>
  <c r="BL835" i="1" s="1"/>
  <c r="BH835" i="1"/>
  <c r="BJ835" i="1" s="1"/>
  <c r="AI835" i="1"/>
  <c r="BM835" i="1" s="1"/>
  <c r="AH835" i="1"/>
  <c r="BK835" i="1" s="1"/>
  <c r="BI834" i="1"/>
  <c r="BL834" i="1" s="1"/>
  <c r="BH834" i="1"/>
  <c r="BJ834" i="1" s="1"/>
  <c r="AI834" i="1"/>
  <c r="BM834" i="1" s="1"/>
  <c r="AH834" i="1"/>
  <c r="BK834" i="1" s="1"/>
  <c r="BI833" i="1"/>
  <c r="BL833" i="1" s="1"/>
  <c r="BH833" i="1"/>
  <c r="BJ833" i="1" s="1"/>
  <c r="AI833" i="1"/>
  <c r="BM833" i="1" s="1"/>
  <c r="AH833" i="1"/>
  <c r="BK833" i="1" s="1"/>
  <c r="BI832" i="1"/>
  <c r="BL832" i="1" s="1"/>
  <c r="BH832" i="1"/>
  <c r="BJ832" i="1" s="1"/>
  <c r="AI832" i="1"/>
  <c r="BM832" i="1" s="1"/>
  <c r="AH832" i="1"/>
  <c r="BK832" i="1" s="1"/>
  <c r="BI831" i="1"/>
  <c r="BL831" i="1" s="1"/>
  <c r="BH831" i="1"/>
  <c r="BJ831" i="1" s="1"/>
  <c r="AI831" i="1"/>
  <c r="BM831" i="1" s="1"/>
  <c r="AH831" i="1"/>
  <c r="BK831" i="1" s="1"/>
  <c r="BI830" i="1"/>
  <c r="BL830" i="1" s="1"/>
  <c r="BH830" i="1"/>
  <c r="BJ830" i="1" s="1"/>
  <c r="AI830" i="1"/>
  <c r="BM830" i="1" s="1"/>
  <c r="AH830" i="1"/>
  <c r="BK830" i="1" s="1"/>
  <c r="BI829" i="1"/>
  <c r="BL829" i="1" s="1"/>
  <c r="BH829" i="1"/>
  <c r="BJ829" i="1" s="1"/>
  <c r="AI829" i="1"/>
  <c r="BM829" i="1" s="1"/>
  <c r="AH829" i="1"/>
  <c r="BK829" i="1" s="1"/>
  <c r="BI828" i="1"/>
  <c r="BL828" i="1" s="1"/>
  <c r="BH828" i="1"/>
  <c r="BJ828" i="1" s="1"/>
  <c r="AI828" i="1"/>
  <c r="BM828" i="1" s="1"/>
  <c r="AH828" i="1"/>
  <c r="BK828" i="1" s="1"/>
  <c r="BI827" i="1"/>
  <c r="BL827" i="1" s="1"/>
  <c r="BH827" i="1"/>
  <c r="BJ827" i="1" s="1"/>
  <c r="AI827" i="1"/>
  <c r="BM827" i="1" s="1"/>
  <c r="AH827" i="1"/>
  <c r="BK827" i="1" s="1"/>
  <c r="BI826" i="1"/>
  <c r="BL826" i="1" s="1"/>
  <c r="BH826" i="1"/>
  <c r="BJ826" i="1" s="1"/>
  <c r="AI826" i="1"/>
  <c r="BM826" i="1" s="1"/>
  <c r="AH826" i="1"/>
  <c r="BK826" i="1" s="1"/>
  <c r="BI825" i="1"/>
  <c r="BL825" i="1" s="1"/>
  <c r="BH825" i="1"/>
  <c r="BJ825" i="1" s="1"/>
  <c r="AI825" i="1"/>
  <c r="BM825" i="1" s="1"/>
  <c r="AH825" i="1"/>
  <c r="BK825" i="1" s="1"/>
  <c r="BI824" i="1"/>
  <c r="BL824" i="1" s="1"/>
  <c r="BH824" i="1"/>
  <c r="BJ824" i="1" s="1"/>
  <c r="AI824" i="1"/>
  <c r="BM824" i="1" s="1"/>
  <c r="AH824" i="1"/>
  <c r="BK824" i="1" s="1"/>
  <c r="BI823" i="1"/>
  <c r="BL823" i="1" s="1"/>
  <c r="BH823" i="1"/>
  <c r="BJ823" i="1" s="1"/>
  <c r="AI823" i="1"/>
  <c r="BM823" i="1" s="1"/>
  <c r="AH823" i="1"/>
  <c r="BK823" i="1" s="1"/>
  <c r="BI822" i="1"/>
  <c r="BL822" i="1" s="1"/>
  <c r="BH822" i="1"/>
  <c r="BJ822" i="1" s="1"/>
  <c r="AI822" i="1"/>
  <c r="BM822" i="1" s="1"/>
  <c r="AH822" i="1"/>
  <c r="BK822" i="1" s="1"/>
  <c r="BI821" i="1"/>
  <c r="BL821" i="1" s="1"/>
  <c r="BH821" i="1"/>
  <c r="BJ821" i="1" s="1"/>
  <c r="AI821" i="1"/>
  <c r="BM821" i="1" s="1"/>
  <c r="AH821" i="1"/>
  <c r="BK821" i="1" s="1"/>
  <c r="BI820" i="1"/>
  <c r="BL820" i="1" s="1"/>
  <c r="BH820" i="1"/>
  <c r="BJ820" i="1" s="1"/>
  <c r="AI820" i="1"/>
  <c r="BM820" i="1" s="1"/>
  <c r="AH820" i="1"/>
  <c r="BK820" i="1" s="1"/>
  <c r="BI819" i="1"/>
  <c r="BL819" i="1" s="1"/>
  <c r="BH819" i="1"/>
  <c r="BJ819" i="1" s="1"/>
  <c r="AI819" i="1"/>
  <c r="BM819" i="1" s="1"/>
  <c r="AH819" i="1"/>
  <c r="BI818" i="1"/>
  <c r="BL818" i="1" s="1"/>
  <c r="BH818" i="1"/>
  <c r="BJ818" i="1" s="1"/>
  <c r="AI818" i="1"/>
  <c r="BM818" i="1" s="1"/>
  <c r="AH818" i="1"/>
  <c r="BK818" i="1" s="1"/>
  <c r="BI817" i="1"/>
  <c r="BL817" i="1" s="1"/>
  <c r="BH817" i="1"/>
  <c r="BJ817" i="1" s="1"/>
  <c r="AI817" i="1"/>
  <c r="BM817" i="1" s="1"/>
  <c r="AH817" i="1"/>
  <c r="BK817" i="1" s="1"/>
  <c r="BI816" i="1"/>
  <c r="BL816" i="1" s="1"/>
  <c r="BH816" i="1"/>
  <c r="BJ816" i="1" s="1"/>
  <c r="AI816" i="1"/>
  <c r="BM816" i="1" s="1"/>
  <c r="AH816" i="1"/>
  <c r="BK816" i="1" s="1"/>
  <c r="BI815" i="1"/>
  <c r="BL815" i="1" s="1"/>
  <c r="BH815" i="1"/>
  <c r="BJ815" i="1" s="1"/>
  <c r="AI815" i="1"/>
  <c r="BM815" i="1" s="1"/>
  <c r="AH815" i="1"/>
  <c r="BK815" i="1" s="1"/>
  <c r="BI814" i="1"/>
  <c r="BL814" i="1" s="1"/>
  <c r="BH814" i="1"/>
  <c r="BJ814" i="1" s="1"/>
  <c r="AI814" i="1"/>
  <c r="BM814" i="1" s="1"/>
  <c r="AH814" i="1"/>
  <c r="BK814" i="1" s="1"/>
  <c r="BI813" i="1"/>
  <c r="BL813" i="1" s="1"/>
  <c r="BH813" i="1"/>
  <c r="BJ813" i="1" s="1"/>
  <c r="AI813" i="1"/>
  <c r="BM813" i="1" s="1"/>
  <c r="AH813" i="1"/>
  <c r="BK813" i="1" s="1"/>
  <c r="BI812" i="1"/>
  <c r="BL812" i="1" s="1"/>
  <c r="BH812" i="1"/>
  <c r="BJ812" i="1" s="1"/>
  <c r="AI812" i="1"/>
  <c r="BM812" i="1" s="1"/>
  <c r="AH812" i="1"/>
  <c r="BK812" i="1" s="1"/>
  <c r="BI811" i="1"/>
  <c r="BL811" i="1" s="1"/>
  <c r="BH811" i="1"/>
  <c r="BJ811" i="1" s="1"/>
  <c r="AI811" i="1"/>
  <c r="BM811" i="1" s="1"/>
  <c r="AH811" i="1"/>
  <c r="BK811" i="1" s="1"/>
  <c r="BI810" i="1"/>
  <c r="BL810" i="1" s="1"/>
  <c r="BH810" i="1"/>
  <c r="BJ810" i="1" s="1"/>
  <c r="AI810" i="1"/>
  <c r="BM810" i="1" s="1"/>
  <c r="AH810" i="1"/>
  <c r="BK810" i="1" s="1"/>
  <c r="BI809" i="1"/>
  <c r="BL809" i="1" s="1"/>
  <c r="BH809" i="1"/>
  <c r="BJ809" i="1" s="1"/>
  <c r="AI809" i="1"/>
  <c r="BM809" i="1" s="1"/>
  <c r="AH809" i="1"/>
  <c r="BK809" i="1" s="1"/>
  <c r="BI808" i="1"/>
  <c r="BL808" i="1" s="1"/>
  <c r="BH808" i="1"/>
  <c r="BJ808" i="1" s="1"/>
  <c r="AI808" i="1"/>
  <c r="BM808" i="1" s="1"/>
  <c r="AH808" i="1"/>
  <c r="BK808" i="1" s="1"/>
  <c r="BI807" i="1"/>
  <c r="BL807" i="1" s="1"/>
  <c r="BH807" i="1"/>
  <c r="BJ807" i="1" s="1"/>
  <c r="AI807" i="1"/>
  <c r="BM807" i="1" s="1"/>
  <c r="AH807" i="1"/>
  <c r="BK807" i="1" s="1"/>
  <c r="BI806" i="1"/>
  <c r="BL806" i="1" s="1"/>
  <c r="BH806" i="1"/>
  <c r="BJ806" i="1" s="1"/>
  <c r="AI806" i="1"/>
  <c r="BM806" i="1" s="1"/>
  <c r="AH806" i="1"/>
  <c r="BK806" i="1" s="1"/>
  <c r="BI805" i="1"/>
  <c r="BL805" i="1" s="1"/>
  <c r="BH805" i="1"/>
  <c r="BJ805" i="1" s="1"/>
  <c r="AI805" i="1"/>
  <c r="BM805" i="1" s="1"/>
  <c r="AH805" i="1"/>
  <c r="BK805" i="1" s="1"/>
  <c r="BI804" i="1"/>
  <c r="BL804" i="1" s="1"/>
  <c r="BH804" i="1"/>
  <c r="BJ804" i="1" s="1"/>
  <c r="AI804" i="1"/>
  <c r="BM804" i="1" s="1"/>
  <c r="AH804" i="1"/>
  <c r="BK804" i="1" s="1"/>
  <c r="BI803" i="1"/>
  <c r="BL803" i="1" s="1"/>
  <c r="BH803" i="1"/>
  <c r="BJ803" i="1" s="1"/>
  <c r="AI803" i="1"/>
  <c r="BM803" i="1" s="1"/>
  <c r="AH803" i="1"/>
  <c r="BK803" i="1" s="1"/>
  <c r="BI802" i="1"/>
  <c r="BL802" i="1" s="1"/>
  <c r="BH802" i="1"/>
  <c r="BJ802" i="1" s="1"/>
  <c r="AI802" i="1"/>
  <c r="BM802" i="1" s="1"/>
  <c r="AH802" i="1"/>
  <c r="BK802" i="1" s="1"/>
  <c r="BI801" i="1"/>
  <c r="BL801" i="1" s="1"/>
  <c r="BH801" i="1"/>
  <c r="BJ801" i="1" s="1"/>
  <c r="AI801" i="1"/>
  <c r="BM801" i="1" s="1"/>
  <c r="AH801" i="1"/>
  <c r="BK801" i="1" s="1"/>
  <c r="BI800" i="1"/>
  <c r="BL800" i="1" s="1"/>
  <c r="BH800" i="1"/>
  <c r="BJ800" i="1" s="1"/>
  <c r="AI800" i="1"/>
  <c r="BM800" i="1" s="1"/>
  <c r="AH800" i="1"/>
  <c r="BK800" i="1" s="1"/>
  <c r="BI799" i="1"/>
  <c r="BL799" i="1" s="1"/>
  <c r="BH799" i="1"/>
  <c r="BJ799" i="1" s="1"/>
  <c r="AI799" i="1"/>
  <c r="BM799" i="1" s="1"/>
  <c r="AH799" i="1"/>
  <c r="BK799" i="1" s="1"/>
  <c r="BI798" i="1"/>
  <c r="BL798" i="1" s="1"/>
  <c r="BH798" i="1"/>
  <c r="BJ798" i="1" s="1"/>
  <c r="AI798" i="1"/>
  <c r="BM798" i="1" s="1"/>
  <c r="AH798" i="1"/>
  <c r="BK798" i="1" s="1"/>
  <c r="BI797" i="1"/>
  <c r="BL797" i="1" s="1"/>
  <c r="BH797" i="1"/>
  <c r="BJ797" i="1" s="1"/>
  <c r="AI797" i="1"/>
  <c r="BM797" i="1" s="1"/>
  <c r="AH797" i="1"/>
  <c r="BK797" i="1" s="1"/>
  <c r="BI796" i="1"/>
  <c r="BL796" i="1" s="1"/>
  <c r="BH796" i="1"/>
  <c r="BJ796" i="1" s="1"/>
  <c r="AI796" i="1"/>
  <c r="BM796" i="1" s="1"/>
  <c r="AH796" i="1"/>
  <c r="BK796" i="1" s="1"/>
  <c r="BI795" i="1"/>
  <c r="BL795" i="1" s="1"/>
  <c r="BH795" i="1"/>
  <c r="BJ795" i="1" s="1"/>
  <c r="AI795" i="1"/>
  <c r="BM795" i="1" s="1"/>
  <c r="AH795" i="1"/>
  <c r="BK795" i="1" s="1"/>
  <c r="BI794" i="1"/>
  <c r="BL794" i="1" s="1"/>
  <c r="BH794" i="1"/>
  <c r="BJ794" i="1" s="1"/>
  <c r="AI794" i="1"/>
  <c r="BM794" i="1" s="1"/>
  <c r="AH794" i="1"/>
  <c r="BK794" i="1" s="1"/>
  <c r="BI793" i="1"/>
  <c r="BL793" i="1" s="1"/>
  <c r="BH793" i="1"/>
  <c r="BJ793" i="1" s="1"/>
  <c r="AI793" i="1"/>
  <c r="BM793" i="1" s="1"/>
  <c r="AH793" i="1"/>
  <c r="BK793" i="1" s="1"/>
  <c r="BI792" i="1"/>
  <c r="BL792" i="1" s="1"/>
  <c r="BH792" i="1"/>
  <c r="BJ792" i="1" s="1"/>
  <c r="AI792" i="1"/>
  <c r="BM792" i="1" s="1"/>
  <c r="AH792" i="1"/>
  <c r="BK792" i="1" s="1"/>
  <c r="BI791" i="1"/>
  <c r="BL791" i="1" s="1"/>
  <c r="BH791" i="1"/>
  <c r="BJ791" i="1" s="1"/>
  <c r="AI791" i="1"/>
  <c r="BM791" i="1" s="1"/>
  <c r="AH791" i="1"/>
  <c r="BK791" i="1" s="1"/>
  <c r="BI790" i="1"/>
  <c r="BL790" i="1" s="1"/>
  <c r="BH790" i="1"/>
  <c r="BJ790" i="1" s="1"/>
  <c r="AI790" i="1"/>
  <c r="BM790" i="1" s="1"/>
  <c r="AH790" i="1"/>
  <c r="BK790" i="1" s="1"/>
  <c r="BI789" i="1"/>
  <c r="BL789" i="1" s="1"/>
  <c r="BH789" i="1"/>
  <c r="BJ789" i="1" s="1"/>
  <c r="AI789" i="1"/>
  <c r="BM789" i="1" s="1"/>
  <c r="AH789" i="1"/>
  <c r="BK789" i="1" s="1"/>
  <c r="BI788" i="1"/>
  <c r="BL788" i="1" s="1"/>
  <c r="BH788" i="1"/>
  <c r="BJ788" i="1" s="1"/>
  <c r="AI788" i="1"/>
  <c r="BM788" i="1" s="1"/>
  <c r="AH788" i="1"/>
  <c r="BK788" i="1" s="1"/>
  <c r="BI787" i="1"/>
  <c r="BL787" i="1" s="1"/>
  <c r="BH787" i="1"/>
  <c r="BJ787" i="1" s="1"/>
  <c r="AI787" i="1"/>
  <c r="BM787" i="1" s="1"/>
  <c r="AH787" i="1"/>
  <c r="BK787" i="1" s="1"/>
  <c r="BI786" i="1"/>
  <c r="BL786" i="1" s="1"/>
  <c r="BH786" i="1"/>
  <c r="BJ786" i="1" s="1"/>
  <c r="AI786" i="1"/>
  <c r="BM786" i="1" s="1"/>
  <c r="AH786" i="1"/>
  <c r="BK786" i="1" s="1"/>
  <c r="BI785" i="1"/>
  <c r="BL785" i="1" s="1"/>
  <c r="BH785" i="1"/>
  <c r="BJ785" i="1" s="1"/>
  <c r="AI785" i="1"/>
  <c r="BM785" i="1" s="1"/>
  <c r="AH785" i="1"/>
  <c r="BK785" i="1" s="1"/>
  <c r="BI784" i="1"/>
  <c r="BL784" i="1" s="1"/>
  <c r="BH784" i="1"/>
  <c r="BJ784" i="1" s="1"/>
  <c r="AI784" i="1"/>
  <c r="BM784" i="1" s="1"/>
  <c r="AH784" i="1"/>
  <c r="BK784" i="1" s="1"/>
  <c r="BI783" i="1"/>
  <c r="BL783" i="1" s="1"/>
  <c r="BH783" i="1"/>
  <c r="BJ783" i="1" s="1"/>
  <c r="AI783" i="1"/>
  <c r="BM783" i="1" s="1"/>
  <c r="AH783" i="1"/>
  <c r="BK783" i="1" s="1"/>
  <c r="BI782" i="1"/>
  <c r="BL782" i="1" s="1"/>
  <c r="BH782" i="1"/>
  <c r="BJ782" i="1" s="1"/>
  <c r="AI782" i="1"/>
  <c r="BM782" i="1" s="1"/>
  <c r="AH782" i="1"/>
  <c r="BK782" i="1" s="1"/>
  <c r="BI781" i="1"/>
  <c r="BL781" i="1" s="1"/>
  <c r="BH781" i="1"/>
  <c r="BJ781" i="1" s="1"/>
  <c r="AI781" i="1"/>
  <c r="BM781" i="1" s="1"/>
  <c r="AH781" i="1"/>
  <c r="BK781" i="1" s="1"/>
  <c r="BI780" i="1"/>
  <c r="BL780" i="1" s="1"/>
  <c r="BH780" i="1"/>
  <c r="BJ780" i="1" s="1"/>
  <c r="AI780" i="1"/>
  <c r="BM780" i="1" s="1"/>
  <c r="AH780" i="1"/>
  <c r="BK780" i="1" s="1"/>
  <c r="BI779" i="1"/>
  <c r="BL779" i="1" s="1"/>
  <c r="BH779" i="1"/>
  <c r="BJ779" i="1" s="1"/>
  <c r="AI779" i="1"/>
  <c r="BM779" i="1" s="1"/>
  <c r="AH779" i="1"/>
  <c r="BK779" i="1" s="1"/>
  <c r="BI778" i="1"/>
  <c r="BL778" i="1" s="1"/>
  <c r="BH778" i="1"/>
  <c r="BJ778" i="1" s="1"/>
  <c r="AI778" i="1"/>
  <c r="BM778" i="1" s="1"/>
  <c r="AH778" i="1"/>
  <c r="BK778" i="1" s="1"/>
  <c r="BI777" i="1"/>
  <c r="BL777" i="1" s="1"/>
  <c r="BH777" i="1"/>
  <c r="BJ777" i="1" s="1"/>
  <c r="AI777" i="1"/>
  <c r="BM777" i="1" s="1"/>
  <c r="AH777" i="1"/>
  <c r="BK777" i="1" s="1"/>
  <c r="BI776" i="1"/>
  <c r="BL776" i="1" s="1"/>
  <c r="BH776" i="1"/>
  <c r="BJ776" i="1" s="1"/>
  <c r="AI776" i="1"/>
  <c r="BM776" i="1" s="1"/>
  <c r="AH776" i="1"/>
  <c r="BK776" i="1" s="1"/>
  <c r="BI775" i="1"/>
  <c r="BL775" i="1" s="1"/>
  <c r="BH775" i="1"/>
  <c r="BJ775" i="1" s="1"/>
  <c r="AI775" i="1"/>
  <c r="BM775" i="1" s="1"/>
  <c r="AH775" i="1"/>
  <c r="BK775" i="1" s="1"/>
  <c r="BI774" i="1"/>
  <c r="BL774" i="1" s="1"/>
  <c r="BH774" i="1"/>
  <c r="BJ774" i="1" s="1"/>
  <c r="AI774" i="1"/>
  <c r="BM774" i="1" s="1"/>
  <c r="AH774" i="1"/>
  <c r="BK774" i="1" s="1"/>
  <c r="BI773" i="1"/>
  <c r="BL773" i="1" s="1"/>
  <c r="BH773" i="1"/>
  <c r="BJ773" i="1" s="1"/>
  <c r="AI773" i="1"/>
  <c r="BM773" i="1" s="1"/>
  <c r="AH773" i="1"/>
  <c r="BK773" i="1" s="1"/>
  <c r="BI772" i="1"/>
  <c r="BL772" i="1" s="1"/>
  <c r="BH772" i="1"/>
  <c r="BJ772" i="1" s="1"/>
  <c r="AI772" i="1"/>
  <c r="BM772" i="1" s="1"/>
  <c r="AH772" i="1"/>
  <c r="BK772" i="1" s="1"/>
  <c r="BI771" i="1"/>
  <c r="BL771" i="1" s="1"/>
  <c r="BH771" i="1"/>
  <c r="BJ771" i="1" s="1"/>
  <c r="AI771" i="1"/>
  <c r="BM771" i="1" s="1"/>
  <c r="AH771" i="1"/>
  <c r="BK771" i="1" s="1"/>
  <c r="BI770" i="1"/>
  <c r="BL770" i="1" s="1"/>
  <c r="BH770" i="1"/>
  <c r="BJ770" i="1" s="1"/>
  <c r="AI770" i="1"/>
  <c r="BM770" i="1" s="1"/>
  <c r="AH770" i="1"/>
  <c r="BK770" i="1" s="1"/>
  <c r="BI769" i="1"/>
  <c r="BL769" i="1" s="1"/>
  <c r="BH769" i="1"/>
  <c r="BJ769" i="1" s="1"/>
  <c r="AI769" i="1"/>
  <c r="BM769" i="1" s="1"/>
  <c r="AH769" i="1"/>
  <c r="BK769" i="1" s="1"/>
  <c r="BI768" i="1"/>
  <c r="BL768" i="1" s="1"/>
  <c r="BH768" i="1"/>
  <c r="BJ768" i="1" s="1"/>
  <c r="AI768" i="1"/>
  <c r="BM768" i="1" s="1"/>
  <c r="AH768" i="1"/>
  <c r="BK768" i="1" s="1"/>
  <c r="BI767" i="1"/>
  <c r="BL767" i="1" s="1"/>
  <c r="BH767" i="1"/>
  <c r="BJ767" i="1" s="1"/>
  <c r="AI767" i="1"/>
  <c r="BM767" i="1" s="1"/>
  <c r="AH767" i="1"/>
  <c r="BK767" i="1" s="1"/>
  <c r="BI766" i="1"/>
  <c r="BL766" i="1" s="1"/>
  <c r="BH766" i="1"/>
  <c r="BJ766" i="1" s="1"/>
  <c r="AI766" i="1"/>
  <c r="BM766" i="1" s="1"/>
  <c r="AH766" i="1"/>
  <c r="BK766" i="1" s="1"/>
  <c r="BI765" i="1"/>
  <c r="BL765" i="1" s="1"/>
  <c r="BH765" i="1"/>
  <c r="BJ765" i="1" s="1"/>
  <c r="AI765" i="1"/>
  <c r="BM765" i="1" s="1"/>
  <c r="AH765" i="1"/>
  <c r="BK765" i="1" s="1"/>
  <c r="BI764" i="1"/>
  <c r="BL764" i="1" s="1"/>
  <c r="BH764" i="1"/>
  <c r="BJ764" i="1" s="1"/>
  <c r="AI764" i="1"/>
  <c r="BM764" i="1" s="1"/>
  <c r="AH764" i="1"/>
  <c r="BK764" i="1" s="1"/>
  <c r="BI763" i="1"/>
  <c r="BL763" i="1" s="1"/>
  <c r="BH763" i="1"/>
  <c r="BJ763" i="1" s="1"/>
  <c r="AI763" i="1"/>
  <c r="BM763" i="1" s="1"/>
  <c r="AH763" i="1"/>
  <c r="BK763" i="1" s="1"/>
  <c r="BI762" i="1"/>
  <c r="BL762" i="1" s="1"/>
  <c r="BH762" i="1"/>
  <c r="BJ762" i="1" s="1"/>
  <c r="AI762" i="1"/>
  <c r="BM762" i="1" s="1"/>
  <c r="AH762" i="1"/>
  <c r="BK762" i="1" s="1"/>
  <c r="BI761" i="1"/>
  <c r="BL761" i="1" s="1"/>
  <c r="BH761" i="1"/>
  <c r="BJ761" i="1" s="1"/>
  <c r="AI761" i="1"/>
  <c r="BM761" i="1" s="1"/>
  <c r="AH761" i="1"/>
  <c r="BK761" i="1" s="1"/>
  <c r="BI760" i="1"/>
  <c r="BL760" i="1" s="1"/>
  <c r="BH760" i="1"/>
  <c r="BJ760" i="1" s="1"/>
  <c r="AI760" i="1"/>
  <c r="BM760" i="1" s="1"/>
  <c r="AH760" i="1"/>
  <c r="BK760" i="1" s="1"/>
  <c r="BI759" i="1"/>
  <c r="BL759" i="1" s="1"/>
  <c r="BH759" i="1"/>
  <c r="BJ759" i="1" s="1"/>
  <c r="AI759" i="1"/>
  <c r="BM759" i="1" s="1"/>
  <c r="AH759" i="1"/>
  <c r="BK759" i="1" s="1"/>
  <c r="BI758" i="1"/>
  <c r="BL758" i="1" s="1"/>
  <c r="BH758" i="1"/>
  <c r="BJ758" i="1" s="1"/>
  <c r="AI758" i="1"/>
  <c r="BM758" i="1" s="1"/>
  <c r="AH758" i="1"/>
  <c r="BK758" i="1" s="1"/>
  <c r="BI757" i="1"/>
  <c r="BL757" i="1" s="1"/>
  <c r="BH757" i="1"/>
  <c r="BJ757" i="1" s="1"/>
  <c r="AI757" i="1"/>
  <c r="BM757" i="1" s="1"/>
  <c r="AH757" i="1"/>
  <c r="BK757" i="1" s="1"/>
  <c r="BI756" i="1"/>
  <c r="BL756" i="1" s="1"/>
  <c r="BH756" i="1"/>
  <c r="BJ756" i="1" s="1"/>
  <c r="AI756" i="1"/>
  <c r="BM756" i="1" s="1"/>
  <c r="AH756" i="1"/>
  <c r="BK756" i="1" s="1"/>
  <c r="BI755" i="1"/>
  <c r="BL755" i="1" s="1"/>
  <c r="BH755" i="1"/>
  <c r="BJ755" i="1" s="1"/>
  <c r="AI755" i="1"/>
  <c r="BM755" i="1" s="1"/>
  <c r="AH755" i="1"/>
  <c r="BK755" i="1" s="1"/>
  <c r="BI754" i="1"/>
  <c r="BL754" i="1" s="1"/>
  <c r="BH754" i="1"/>
  <c r="BJ754" i="1" s="1"/>
  <c r="AI754" i="1"/>
  <c r="BM754" i="1" s="1"/>
  <c r="AH754" i="1"/>
  <c r="BK754" i="1" s="1"/>
  <c r="BI753" i="1"/>
  <c r="BL753" i="1" s="1"/>
  <c r="BH753" i="1"/>
  <c r="BJ753" i="1" s="1"/>
  <c r="AI753" i="1"/>
  <c r="BM753" i="1" s="1"/>
  <c r="AH753" i="1"/>
  <c r="BK753" i="1" s="1"/>
  <c r="BI752" i="1"/>
  <c r="BL752" i="1" s="1"/>
  <c r="BH752" i="1"/>
  <c r="BJ752" i="1" s="1"/>
  <c r="AI752" i="1"/>
  <c r="BM752" i="1" s="1"/>
  <c r="AH752" i="1"/>
  <c r="BK752" i="1" s="1"/>
  <c r="BI751" i="1"/>
  <c r="BL751" i="1" s="1"/>
  <c r="BH751" i="1"/>
  <c r="BJ751" i="1" s="1"/>
  <c r="AI751" i="1"/>
  <c r="BM751" i="1" s="1"/>
  <c r="AH751" i="1"/>
  <c r="BK751" i="1" s="1"/>
  <c r="BI750" i="1"/>
  <c r="BL750" i="1" s="1"/>
  <c r="BH750" i="1"/>
  <c r="BJ750" i="1" s="1"/>
  <c r="AI750" i="1"/>
  <c r="BM750" i="1" s="1"/>
  <c r="AH750" i="1"/>
  <c r="BK750" i="1" s="1"/>
  <c r="BI749" i="1"/>
  <c r="BL749" i="1" s="1"/>
  <c r="BH749" i="1"/>
  <c r="BJ749" i="1" s="1"/>
  <c r="AI749" i="1"/>
  <c r="BM749" i="1" s="1"/>
  <c r="AH749" i="1"/>
  <c r="BK749" i="1" s="1"/>
  <c r="BI748" i="1"/>
  <c r="BL748" i="1" s="1"/>
  <c r="BH748" i="1"/>
  <c r="BJ748" i="1" s="1"/>
  <c r="AI748" i="1"/>
  <c r="BM748" i="1" s="1"/>
  <c r="AH748" i="1"/>
  <c r="BK748" i="1" s="1"/>
  <c r="BI747" i="1"/>
  <c r="BL747" i="1" s="1"/>
  <c r="BH747" i="1"/>
  <c r="BJ747" i="1" s="1"/>
  <c r="AI747" i="1"/>
  <c r="BM747" i="1" s="1"/>
  <c r="AH747" i="1"/>
  <c r="BK747" i="1" s="1"/>
  <c r="BI746" i="1"/>
  <c r="BL746" i="1" s="1"/>
  <c r="BH746" i="1"/>
  <c r="BJ746" i="1" s="1"/>
  <c r="AI746" i="1"/>
  <c r="BM746" i="1" s="1"/>
  <c r="AH746" i="1"/>
  <c r="BK746" i="1" s="1"/>
  <c r="BI745" i="1"/>
  <c r="BL745" i="1" s="1"/>
  <c r="BH745" i="1"/>
  <c r="BJ745" i="1" s="1"/>
  <c r="AI745" i="1"/>
  <c r="BM745" i="1" s="1"/>
  <c r="AH745" i="1"/>
  <c r="BK745" i="1" s="1"/>
  <c r="BI744" i="1"/>
  <c r="BL744" i="1" s="1"/>
  <c r="BH744" i="1"/>
  <c r="BJ744" i="1" s="1"/>
  <c r="AI744" i="1"/>
  <c r="BM744" i="1" s="1"/>
  <c r="AH744" i="1"/>
  <c r="BK744" i="1" s="1"/>
  <c r="BI743" i="1"/>
  <c r="BL743" i="1" s="1"/>
  <c r="BH743" i="1"/>
  <c r="BJ743" i="1" s="1"/>
  <c r="AI743" i="1"/>
  <c r="BM743" i="1" s="1"/>
  <c r="AH743" i="1"/>
  <c r="BK743" i="1" s="1"/>
  <c r="BI742" i="1"/>
  <c r="BL742" i="1" s="1"/>
  <c r="BH742" i="1"/>
  <c r="BJ742" i="1" s="1"/>
  <c r="AI742" i="1"/>
  <c r="BM742" i="1" s="1"/>
  <c r="AH742" i="1"/>
  <c r="BK742" i="1" s="1"/>
  <c r="BI741" i="1"/>
  <c r="BL741" i="1" s="1"/>
  <c r="BH741" i="1"/>
  <c r="BJ741" i="1" s="1"/>
  <c r="AI741" i="1"/>
  <c r="BM741" i="1" s="1"/>
  <c r="AH741" i="1"/>
  <c r="BK741" i="1" s="1"/>
  <c r="BI740" i="1"/>
  <c r="BL740" i="1" s="1"/>
  <c r="BH740" i="1"/>
  <c r="BJ740" i="1" s="1"/>
  <c r="AI740" i="1"/>
  <c r="BM740" i="1" s="1"/>
  <c r="AH740" i="1"/>
  <c r="BK740" i="1" s="1"/>
  <c r="BI739" i="1"/>
  <c r="BL739" i="1" s="1"/>
  <c r="BH739" i="1"/>
  <c r="BJ739" i="1" s="1"/>
  <c r="AI739" i="1"/>
  <c r="BM739" i="1" s="1"/>
  <c r="AH739" i="1"/>
  <c r="BK739" i="1" s="1"/>
  <c r="BI738" i="1"/>
  <c r="BL738" i="1" s="1"/>
  <c r="BH738" i="1"/>
  <c r="BJ738" i="1" s="1"/>
  <c r="AI738" i="1"/>
  <c r="BM738" i="1" s="1"/>
  <c r="AH738" i="1"/>
  <c r="BK738" i="1" s="1"/>
  <c r="BI737" i="1"/>
  <c r="BL737" i="1" s="1"/>
  <c r="BH737" i="1"/>
  <c r="BJ737" i="1" s="1"/>
  <c r="AI737" i="1"/>
  <c r="BM737" i="1" s="1"/>
  <c r="AH737" i="1"/>
  <c r="BK737" i="1" s="1"/>
  <c r="BI736" i="1"/>
  <c r="BL736" i="1" s="1"/>
  <c r="BH736" i="1"/>
  <c r="BJ736" i="1" s="1"/>
  <c r="AI736" i="1"/>
  <c r="BM736" i="1" s="1"/>
  <c r="AH736" i="1"/>
  <c r="BK736" i="1" s="1"/>
  <c r="BI735" i="1"/>
  <c r="BL735" i="1" s="1"/>
  <c r="BH735" i="1"/>
  <c r="BJ735" i="1" s="1"/>
  <c r="AI735" i="1"/>
  <c r="BM735" i="1" s="1"/>
  <c r="AH735" i="1"/>
  <c r="BK735" i="1" s="1"/>
  <c r="BI734" i="1"/>
  <c r="BL734" i="1" s="1"/>
  <c r="BH734" i="1"/>
  <c r="BJ734" i="1" s="1"/>
  <c r="AI734" i="1"/>
  <c r="BM734" i="1" s="1"/>
  <c r="AH734" i="1"/>
  <c r="BK734" i="1" s="1"/>
  <c r="BI733" i="1"/>
  <c r="BL733" i="1" s="1"/>
  <c r="BH733" i="1"/>
  <c r="BJ733" i="1" s="1"/>
  <c r="AI733" i="1"/>
  <c r="BM733" i="1" s="1"/>
  <c r="AH733" i="1"/>
  <c r="BK733" i="1" s="1"/>
  <c r="BI732" i="1"/>
  <c r="BL732" i="1" s="1"/>
  <c r="BH732" i="1"/>
  <c r="BJ732" i="1" s="1"/>
  <c r="AI732" i="1"/>
  <c r="BM732" i="1" s="1"/>
  <c r="AH732" i="1"/>
  <c r="BK732" i="1" s="1"/>
  <c r="BI731" i="1"/>
  <c r="BL731" i="1" s="1"/>
  <c r="BH731" i="1"/>
  <c r="BJ731" i="1" s="1"/>
  <c r="AI731" i="1"/>
  <c r="BM731" i="1" s="1"/>
  <c r="AH731" i="1"/>
  <c r="BK731" i="1" s="1"/>
  <c r="BI730" i="1"/>
  <c r="BL730" i="1" s="1"/>
  <c r="BH730" i="1"/>
  <c r="BJ730" i="1" s="1"/>
  <c r="AI730" i="1"/>
  <c r="BM730" i="1" s="1"/>
  <c r="AH730" i="1"/>
  <c r="BK730" i="1" s="1"/>
  <c r="BI729" i="1"/>
  <c r="BL729" i="1" s="1"/>
  <c r="BH729" i="1"/>
  <c r="BJ729" i="1" s="1"/>
  <c r="AI729" i="1"/>
  <c r="BM729" i="1" s="1"/>
  <c r="AH729" i="1"/>
  <c r="BK729" i="1" s="1"/>
  <c r="BI728" i="1"/>
  <c r="BL728" i="1" s="1"/>
  <c r="BH728" i="1"/>
  <c r="BJ728" i="1" s="1"/>
  <c r="AI728" i="1"/>
  <c r="AH728" i="1"/>
  <c r="BI727" i="1"/>
  <c r="BL727" i="1" s="1"/>
  <c r="BH727" i="1"/>
  <c r="BJ727" i="1" s="1"/>
  <c r="AI727" i="1"/>
  <c r="BM727" i="1" s="1"/>
  <c r="AH727" i="1"/>
  <c r="BK727" i="1" s="1"/>
  <c r="BI726" i="1"/>
  <c r="BL726" i="1" s="1"/>
  <c r="BH726" i="1"/>
  <c r="BJ726" i="1" s="1"/>
  <c r="AI726" i="1"/>
  <c r="BM726" i="1" s="1"/>
  <c r="AH726" i="1"/>
  <c r="BK726" i="1" s="1"/>
  <c r="BI725" i="1"/>
  <c r="BL725" i="1" s="1"/>
  <c r="BH725" i="1"/>
  <c r="BJ725" i="1" s="1"/>
  <c r="AI725" i="1"/>
  <c r="BM725" i="1" s="1"/>
  <c r="AH725" i="1"/>
  <c r="BK725" i="1" s="1"/>
  <c r="BI724" i="1"/>
  <c r="BL724" i="1" s="1"/>
  <c r="BH724" i="1"/>
  <c r="BJ724" i="1" s="1"/>
  <c r="AI724" i="1"/>
  <c r="BM724" i="1" s="1"/>
  <c r="AH724" i="1"/>
  <c r="BK724" i="1" s="1"/>
  <c r="BI723" i="1"/>
  <c r="BL723" i="1" s="1"/>
  <c r="BH723" i="1"/>
  <c r="BJ723" i="1" s="1"/>
  <c r="AI723" i="1"/>
  <c r="BM723" i="1" s="1"/>
  <c r="AH723" i="1"/>
  <c r="BK723" i="1" s="1"/>
  <c r="BI722" i="1"/>
  <c r="BL722" i="1" s="1"/>
  <c r="BH722" i="1"/>
  <c r="BJ722" i="1" s="1"/>
  <c r="AI722" i="1"/>
  <c r="BM722" i="1" s="1"/>
  <c r="AH722" i="1"/>
  <c r="BK722" i="1" s="1"/>
  <c r="BI721" i="1"/>
  <c r="BL721" i="1" s="1"/>
  <c r="BH721" i="1"/>
  <c r="BJ721" i="1" s="1"/>
  <c r="AI721" i="1"/>
  <c r="BM721" i="1" s="1"/>
  <c r="AH721" i="1"/>
  <c r="BK721" i="1" s="1"/>
  <c r="BI720" i="1"/>
  <c r="BL720" i="1" s="1"/>
  <c r="BH720" i="1"/>
  <c r="BJ720" i="1" s="1"/>
  <c r="AI720" i="1"/>
  <c r="BM720" i="1" s="1"/>
  <c r="AH720" i="1"/>
  <c r="BK720" i="1" s="1"/>
  <c r="BI719" i="1"/>
  <c r="BL719" i="1" s="1"/>
  <c r="BH719" i="1"/>
  <c r="BJ719" i="1" s="1"/>
  <c r="AI719" i="1"/>
  <c r="BM719" i="1" s="1"/>
  <c r="AH719" i="1"/>
  <c r="BK719" i="1" s="1"/>
  <c r="BI718" i="1"/>
  <c r="BL718" i="1" s="1"/>
  <c r="BH718" i="1"/>
  <c r="BJ718" i="1" s="1"/>
  <c r="AI718" i="1"/>
  <c r="BM718" i="1" s="1"/>
  <c r="AH718" i="1"/>
  <c r="BK718" i="1" s="1"/>
  <c r="BI717" i="1"/>
  <c r="BL717" i="1" s="1"/>
  <c r="BH717" i="1"/>
  <c r="BJ717" i="1" s="1"/>
  <c r="AI717" i="1"/>
  <c r="BM717" i="1" s="1"/>
  <c r="AH717" i="1"/>
  <c r="BK717" i="1" s="1"/>
  <c r="BI716" i="1"/>
  <c r="BL716" i="1" s="1"/>
  <c r="BH716" i="1"/>
  <c r="BJ716" i="1" s="1"/>
  <c r="AI716" i="1"/>
  <c r="BM716" i="1" s="1"/>
  <c r="AH716" i="1"/>
  <c r="BK716" i="1" s="1"/>
  <c r="BI715" i="1"/>
  <c r="BL715" i="1" s="1"/>
  <c r="BH715" i="1"/>
  <c r="BJ715" i="1" s="1"/>
  <c r="AI715" i="1"/>
  <c r="BM715" i="1" s="1"/>
  <c r="AH715" i="1"/>
  <c r="BK715" i="1" s="1"/>
  <c r="BI714" i="1"/>
  <c r="BL714" i="1" s="1"/>
  <c r="BH714" i="1"/>
  <c r="BJ714" i="1" s="1"/>
  <c r="AI714" i="1"/>
  <c r="BM714" i="1" s="1"/>
  <c r="AH714" i="1"/>
  <c r="BK714" i="1" s="1"/>
  <c r="BI713" i="1"/>
  <c r="BL713" i="1" s="1"/>
  <c r="BH713" i="1"/>
  <c r="BJ713" i="1" s="1"/>
  <c r="AI713" i="1"/>
  <c r="BM713" i="1" s="1"/>
  <c r="AH713" i="1"/>
  <c r="BK713" i="1" s="1"/>
  <c r="BI712" i="1"/>
  <c r="BL712" i="1" s="1"/>
  <c r="BH712" i="1"/>
  <c r="BJ712" i="1" s="1"/>
  <c r="AI712" i="1"/>
  <c r="BM712" i="1" s="1"/>
  <c r="AH712" i="1"/>
  <c r="BK712" i="1" s="1"/>
  <c r="BI711" i="1"/>
  <c r="BL711" i="1" s="1"/>
  <c r="BH711" i="1"/>
  <c r="BJ711" i="1" s="1"/>
  <c r="AI711" i="1"/>
  <c r="BM711" i="1" s="1"/>
  <c r="AH711" i="1"/>
  <c r="BK711" i="1" s="1"/>
  <c r="BI710" i="1"/>
  <c r="BL710" i="1" s="1"/>
  <c r="BH710" i="1"/>
  <c r="BJ710" i="1" s="1"/>
  <c r="AI710" i="1"/>
  <c r="BM710" i="1" s="1"/>
  <c r="AH710" i="1"/>
  <c r="BK710" i="1" s="1"/>
  <c r="BI709" i="1"/>
  <c r="BL709" i="1" s="1"/>
  <c r="BH709" i="1"/>
  <c r="BJ709" i="1" s="1"/>
  <c r="AI709" i="1"/>
  <c r="BM709" i="1" s="1"/>
  <c r="AH709" i="1"/>
  <c r="BK709" i="1" s="1"/>
  <c r="BI708" i="1"/>
  <c r="BL708" i="1" s="1"/>
  <c r="BH708" i="1"/>
  <c r="BJ708" i="1" s="1"/>
  <c r="AI708" i="1"/>
  <c r="BM708" i="1" s="1"/>
  <c r="AH708" i="1"/>
  <c r="BK708" i="1" s="1"/>
  <c r="BI707" i="1"/>
  <c r="BL707" i="1" s="1"/>
  <c r="BH707" i="1"/>
  <c r="BJ707" i="1" s="1"/>
  <c r="AI707" i="1"/>
  <c r="BM707" i="1" s="1"/>
  <c r="AH707" i="1"/>
  <c r="BK707" i="1" s="1"/>
  <c r="BI706" i="1"/>
  <c r="BL706" i="1" s="1"/>
  <c r="BH706" i="1"/>
  <c r="BJ706" i="1" s="1"/>
  <c r="AI706" i="1"/>
  <c r="BM706" i="1" s="1"/>
  <c r="AH706" i="1"/>
  <c r="BK706" i="1" s="1"/>
  <c r="BI705" i="1"/>
  <c r="BL705" i="1" s="1"/>
  <c r="BH705" i="1"/>
  <c r="BJ705" i="1" s="1"/>
  <c r="AI705" i="1"/>
  <c r="BM705" i="1" s="1"/>
  <c r="AH705" i="1"/>
  <c r="BK705" i="1" s="1"/>
  <c r="BI704" i="1"/>
  <c r="BL704" i="1" s="1"/>
  <c r="BH704" i="1"/>
  <c r="BJ704" i="1" s="1"/>
  <c r="AI704" i="1"/>
  <c r="BM704" i="1" s="1"/>
  <c r="AH704" i="1"/>
  <c r="BK704" i="1" s="1"/>
  <c r="BI703" i="1"/>
  <c r="BL703" i="1" s="1"/>
  <c r="BH703" i="1"/>
  <c r="BJ703" i="1" s="1"/>
  <c r="AI703" i="1"/>
  <c r="BM703" i="1" s="1"/>
  <c r="AH703" i="1"/>
  <c r="BK703" i="1" s="1"/>
  <c r="BI702" i="1"/>
  <c r="BL702" i="1" s="1"/>
  <c r="BH702" i="1"/>
  <c r="BJ702" i="1" s="1"/>
  <c r="AI702" i="1"/>
  <c r="BM702" i="1" s="1"/>
  <c r="AH702" i="1"/>
  <c r="BK702" i="1" s="1"/>
  <c r="BI701" i="1"/>
  <c r="BL701" i="1" s="1"/>
  <c r="BH701" i="1"/>
  <c r="BJ701" i="1" s="1"/>
  <c r="AI701" i="1"/>
  <c r="BM701" i="1" s="1"/>
  <c r="AH701" i="1"/>
  <c r="BK701" i="1" s="1"/>
  <c r="BI700" i="1"/>
  <c r="BL700" i="1" s="1"/>
  <c r="BH700" i="1"/>
  <c r="BJ700" i="1" s="1"/>
  <c r="AI700" i="1"/>
  <c r="BM700" i="1" s="1"/>
  <c r="AH700" i="1"/>
  <c r="BK700" i="1" s="1"/>
  <c r="BI699" i="1"/>
  <c r="BL699" i="1" s="1"/>
  <c r="BH699" i="1"/>
  <c r="BJ699" i="1" s="1"/>
  <c r="AI699" i="1"/>
  <c r="BM699" i="1" s="1"/>
  <c r="AH699" i="1"/>
  <c r="BK699" i="1" s="1"/>
  <c r="BI698" i="1"/>
  <c r="BL698" i="1" s="1"/>
  <c r="BH698" i="1"/>
  <c r="BJ698" i="1" s="1"/>
  <c r="AI698" i="1"/>
  <c r="BM698" i="1" s="1"/>
  <c r="AH698" i="1"/>
  <c r="BK698" i="1" s="1"/>
  <c r="BI697" i="1"/>
  <c r="BL697" i="1" s="1"/>
  <c r="BH697" i="1"/>
  <c r="BJ697" i="1" s="1"/>
  <c r="AI697" i="1"/>
  <c r="BM697" i="1" s="1"/>
  <c r="AH697" i="1"/>
  <c r="BK697" i="1" s="1"/>
  <c r="BI696" i="1"/>
  <c r="BL696" i="1" s="1"/>
  <c r="BH696" i="1"/>
  <c r="BJ696" i="1" s="1"/>
  <c r="AI696" i="1"/>
  <c r="BM696" i="1" s="1"/>
  <c r="AH696" i="1"/>
  <c r="BK696" i="1" s="1"/>
  <c r="BI695" i="1"/>
  <c r="BL695" i="1" s="1"/>
  <c r="BH695" i="1"/>
  <c r="BJ695" i="1" s="1"/>
  <c r="AI695" i="1"/>
  <c r="BM695" i="1" s="1"/>
  <c r="AH695" i="1"/>
  <c r="BK695" i="1" s="1"/>
  <c r="BI694" i="1"/>
  <c r="BL694" i="1" s="1"/>
  <c r="BH694" i="1"/>
  <c r="BJ694" i="1" s="1"/>
  <c r="AI694" i="1"/>
  <c r="BM694" i="1" s="1"/>
  <c r="AH694" i="1"/>
  <c r="BK694" i="1" s="1"/>
  <c r="BI693" i="1"/>
  <c r="BL693" i="1" s="1"/>
  <c r="BH693" i="1"/>
  <c r="BJ693" i="1" s="1"/>
  <c r="AI693" i="1"/>
  <c r="BM693" i="1" s="1"/>
  <c r="AH693" i="1"/>
  <c r="BK693" i="1" s="1"/>
  <c r="BI692" i="1"/>
  <c r="BL692" i="1" s="1"/>
  <c r="BH692" i="1"/>
  <c r="BJ692" i="1" s="1"/>
  <c r="AI692" i="1"/>
  <c r="BM692" i="1" s="1"/>
  <c r="AH692" i="1"/>
  <c r="BK692" i="1" s="1"/>
  <c r="BI691" i="1"/>
  <c r="BL691" i="1" s="1"/>
  <c r="BH691" i="1"/>
  <c r="BJ691" i="1" s="1"/>
  <c r="AI691" i="1"/>
  <c r="BM691" i="1" s="1"/>
  <c r="AH691" i="1"/>
  <c r="BK691" i="1" s="1"/>
  <c r="BI690" i="1"/>
  <c r="BL690" i="1" s="1"/>
  <c r="BH690" i="1"/>
  <c r="BJ690" i="1" s="1"/>
  <c r="AI690" i="1"/>
  <c r="BM690" i="1" s="1"/>
  <c r="AH690" i="1"/>
  <c r="BK690" i="1" s="1"/>
  <c r="BI689" i="1"/>
  <c r="BL689" i="1" s="1"/>
  <c r="BH689" i="1"/>
  <c r="BJ689" i="1" s="1"/>
  <c r="AI689" i="1"/>
  <c r="BM689" i="1" s="1"/>
  <c r="AH689" i="1"/>
  <c r="BK689" i="1" s="1"/>
  <c r="BI688" i="1"/>
  <c r="BL688" i="1" s="1"/>
  <c r="BH688" i="1"/>
  <c r="BJ688" i="1" s="1"/>
  <c r="AI688" i="1"/>
  <c r="BM688" i="1" s="1"/>
  <c r="AH688" i="1"/>
  <c r="BK688" i="1" s="1"/>
  <c r="BI687" i="1"/>
  <c r="BL687" i="1" s="1"/>
  <c r="BH687" i="1"/>
  <c r="BJ687" i="1" s="1"/>
  <c r="AI687" i="1"/>
  <c r="BM687" i="1" s="1"/>
  <c r="AH687" i="1"/>
  <c r="BK687" i="1" s="1"/>
  <c r="BI686" i="1"/>
  <c r="BL686" i="1" s="1"/>
  <c r="BH686" i="1"/>
  <c r="BJ686" i="1" s="1"/>
  <c r="AI686" i="1"/>
  <c r="BM686" i="1" s="1"/>
  <c r="AH686" i="1"/>
  <c r="BK686" i="1" s="1"/>
  <c r="BI685" i="1"/>
  <c r="BL685" i="1" s="1"/>
  <c r="BH685" i="1"/>
  <c r="BJ685" i="1" s="1"/>
  <c r="AI685" i="1"/>
  <c r="BM685" i="1" s="1"/>
  <c r="AH685" i="1"/>
  <c r="BK685" i="1" s="1"/>
  <c r="BI684" i="1"/>
  <c r="BL684" i="1" s="1"/>
  <c r="BH684" i="1"/>
  <c r="BJ684" i="1" s="1"/>
  <c r="AI684" i="1"/>
  <c r="BM684" i="1" s="1"/>
  <c r="AH684" i="1"/>
  <c r="BK684" i="1" s="1"/>
  <c r="BI683" i="1"/>
  <c r="BL683" i="1" s="1"/>
  <c r="BH683" i="1"/>
  <c r="BJ683" i="1" s="1"/>
  <c r="AI683" i="1"/>
  <c r="BM683" i="1" s="1"/>
  <c r="AH683" i="1"/>
  <c r="BK683" i="1" s="1"/>
  <c r="BI682" i="1"/>
  <c r="BL682" i="1" s="1"/>
  <c r="BH682" i="1"/>
  <c r="BJ682" i="1" s="1"/>
  <c r="AI682" i="1"/>
  <c r="BM682" i="1" s="1"/>
  <c r="AH682" i="1"/>
  <c r="BK682" i="1" s="1"/>
  <c r="BI681" i="1"/>
  <c r="BL681" i="1" s="1"/>
  <c r="BH681" i="1"/>
  <c r="BJ681" i="1" s="1"/>
  <c r="AI681" i="1"/>
  <c r="BM681" i="1" s="1"/>
  <c r="AH681" i="1"/>
  <c r="BK681" i="1" s="1"/>
  <c r="BI680" i="1"/>
  <c r="BL680" i="1" s="1"/>
  <c r="BH680" i="1"/>
  <c r="BJ680" i="1" s="1"/>
  <c r="AI680" i="1"/>
  <c r="BM680" i="1" s="1"/>
  <c r="AH680" i="1"/>
  <c r="BK680" i="1" s="1"/>
  <c r="BI679" i="1"/>
  <c r="BL679" i="1" s="1"/>
  <c r="BH679" i="1"/>
  <c r="BJ679" i="1" s="1"/>
  <c r="AI679" i="1"/>
  <c r="BM679" i="1" s="1"/>
  <c r="AH679" i="1"/>
  <c r="BK679" i="1" s="1"/>
  <c r="BI678" i="1"/>
  <c r="BL678" i="1" s="1"/>
  <c r="BH678" i="1"/>
  <c r="BJ678" i="1" s="1"/>
  <c r="AI678" i="1"/>
  <c r="BM678" i="1" s="1"/>
  <c r="AH678" i="1"/>
  <c r="BK678" i="1" s="1"/>
  <c r="BI677" i="1"/>
  <c r="BL677" i="1" s="1"/>
  <c r="BH677" i="1"/>
  <c r="BJ677" i="1" s="1"/>
  <c r="AI677" i="1"/>
  <c r="BM677" i="1" s="1"/>
  <c r="AH677" i="1"/>
  <c r="BK677" i="1" s="1"/>
  <c r="BI676" i="1"/>
  <c r="BL676" i="1" s="1"/>
  <c r="BH676" i="1"/>
  <c r="BJ676" i="1" s="1"/>
  <c r="AI676" i="1"/>
  <c r="BM676" i="1" s="1"/>
  <c r="AH676" i="1"/>
  <c r="BK676" i="1" s="1"/>
  <c r="BI675" i="1"/>
  <c r="BL675" i="1" s="1"/>
  <c r="BH675" i="1"/>
  <c r="BJ675" i="1" s="1"/>
  <c r="AI675" i="1"/>
  <c r="BM675" i="1" s="1"/>
  <c r="AH675" i="1"/>
  <c r="BK675" i="1" s="1"/>
  <c r="BI674" i="1"/>
  <c r="BL674" i="1" s="1"/>
  <c r="BH674" i="1"/>
  <c r="BJ674" i="1" s="1"/>
  <c r="AI674" i="1"/>
  <c r="BM674" i="1" s="1"/>
  <c r="AH674" i="1"/>
  <c r="BK674" i="1" s="1"/>
  <c r="BI673" i="1"/>
  <c r="BL673" i="1" s="1"/>
  <c r="BH673" i="1"/>
  <c r="BJ673" i="1" s="1"/>
  <c r="AI673" i="1"/>
  <c r="BM673" i="1" s="1"/>
  <c r="AH673" i="1"/>
  <c r="BK673" i="1" s="1"/>
  <c r="BI672" i="1"/>
  <c r="BL672" i="1" s="1"/>
  <c r="BH672" i="1"/>
  <c r="BJ672" i="1" s="1"/>
  <c r="AI672" i="1"/>
  <c r="BM672" i="1" s="1"/>
  <c r="AH672" i="1"/>
  <c r="BK672" i="1" s="1"/>
  <c r="BI671" i="1"/>
  <c r="BL671" i="1" s="1"/>
  <c r="BH671" i="1"/>
  <c r="BJ671" i="1" s="1"/>
  <c r="AI671" i="1"/>
  <c r="BM671" i="1" s="1"/>
  <c r="AH671" i="1"/>
  <c r="BK671" i="1" s="1"/>
  <c r="BI670" i="1"/>
  <c r="BL670" i="1" s="1"/>
  <c r="BH670" i="1"/>
  <c r="BJ670" i="1" s="1"/>
  <c r="AI670" i="1"/>
  <c r="BM670" i="1" s="1"/>
  <c r="AH670" i="1"/>
  <c r="BK670" i="1" s="1"/>
  <c r="BI669" i="1"/>
  <c r="BL669" i="1" s="1"/>
  <c r="BH669" i="1"/>
  <c r="BJ669" i="1" s="1"/>
  <c r="AI669" i="1"/>
  <c r="BM669" i="1" s="1"/>
  <c r="AH669" i="1"/>
  <c r="BK669" i="1" s="1"/>
  <c r="BI668" i="1"/>
  <c r="BL668" i="1" s="1"/>
  <c r="BH668" i="1"/>
  <c r="BJ668" i="1" s="1"/>
  <c r="AI668" i="1"/>
  <c r="BM668" i="1" s="1"/>
  <c r="AH668" i="1"/>
  <c r="BK668" i="1" s="1"/>
  <c r="BI667" i="1"/>
  <c r="BL667" i="1" s="1"/>
  <c r="BH667" i="1"/>
  <c r="BJ667" i="1" s="1"/>
  <c r="AI667" i="1"/>
  <c r="BM667" i="1" s="1"/>
  <c r="AH667" i="1"/>
  <c r="BK667" i="1" s="1"/>
  <c r="BI666" i="1"/>
  <c r="BL666" i="1" s="1"/>
  <c r="BH666" i="1"/>
  <c r="BJ666" i="1" s="1"/>
  <c r="AI666" i="1"/>
  <c r="BM666" i="1" s="1"/>
  <c r="AH666" i="1"/>
  <c r="BK666" i="1" s="1"/>
  <c r="BI665" i="1"/>
  <c r="BL665" i="1" s="1"/>
  <c r="BH665" i="1"/>
  <c r="BJ665" i="1" s="1"/>
  <c r="AI665" i="1"/>
  <c r="BM665" i="1" s="1"/>
  <c r="AH665" i="1"/>
  <c r="BK665" i="1" s="1"/>
  <c r="BI664" i="1"/>
  <c r="BL664" i="1" s="1"/>
  <c r="BH664" i="1"/>
  <c r="BJ664" i="1" s="1"/>
  <c r="AI664" i="1"/>
  <c r="BM664" i="1" s="1"/>
  <c r="AH664" i="1"/>
  <c r="BK664" i="1" s="1"/>
  <c r="BI663" i="1"/>
  <c r="BL663" i="1" s="1"/>
  <c r="BH663" i="1"/>
  <c r="BJ663" i="1" s="1"/>
  <c r="AI663" i="1"/>
  <c r="BM663" i="1" s="1"/>
  <c r="AH663" i="1"/>
  <c r="BK663" i="1" s="1"/>
  <c r="BI662" i="1"/>
  <c r="BL662" i="1" s="1"/>
  <c r="BH662" i="1"/>
  <c r="BJ662" i="1" s="1"/>
  <c r="AI662" i="1"/>
  <c r="BM662" i="1" s="1"/>
  <c r="AH662" i="1"/>
  <c r="BK662" i="1" s="1"/>
  <c r="BI661" i="1"/>
  <c r="BL661" i="1" s="1"/>
  <c r="BH661" i="1"/>
  <c r="BJ661" i="1" s="1"/>
  <c r="AI661" i="1"/>
  <c r="BM661" i="1" s="1"/>
  <c r="AH661" i="1"/>
  <c r="BK661" i="1" s="1"/>
  <c r="BI660" i="1"/>
  <c r="BL660" i="1" s="1"/>
  <c r="BH660" i="1"/>
  <c r="BJ660" i="1" s="1"/>
  <c r="AI660" i="1"/>
  <c r="BM660" i="1" s="1"/>
  <c r="AH660" i="1"/>
  <c r="BK660" i="1" s="1"/>
  <c r="BI659" i="1"/>
  <c r="BL659" i="1" s="1"/>
  <c r="BH659" i="1"/>
  <c r="BJ659" i="1" s="1"/>
  <c r="AI659" i="1"/>
  <c r="BM659" i="1" s="1"/>
  <c r="AH659" i="1"/>
  <c r="BK659" i="1" s="1"/>
  <c r="BI658" i="1"/>
  <c r="BL658" i="1" s="1"/>
  <c r="BH658" i="1"/>
  <c r="BJ658" i="1" s="1"/>
  <c r="AI658" i="1"/>
  <c r="BM658" i="1" s="1"/>
  <c r="AH658" i="1"/>
  <c r="BK658" i="1" s="1"/>
  <c r="BI657" i="1"/>
  <c r="BL657" i="1" s="1"/>
  <c r="BH657" i="1"/>
  <c r="BJ657" i="1" s="1"/>
  <c r="AI657" i="1"/>
  <c r="BM657" i="1" s="1"/>
  <c r="AH657" i="1"/>
  <c r="BK657" i="1" s="1"/>
  <c r="BI656" i="1"/>
  <c r="BL656" i="1" s="1"/>
  <c r="BH656" i="1"/>
  <c r="BJ656" i="1" s="1"/>
  <c r="AI656" i="1"/>
  <c r="BM656" i="1" s="1"/>
  <c r="AH656" i="1"/>
  <c r="BK656" i="1" s="1"/>
  <c r="BI655" i="1"/>
  <c r="BL655" i="1" s="1"/>
  <c r="BH655" i="1"/>
  <c r="BJ655" i="1" s="1"/>
  <c r="AI655" i="1"/>
  <c r="BM655" i="1" s="1"/>
  <c r="AH655" i="1"/>
  <c r="BK655" i="1" s="1"/>
  <c r="BI654" i="1"/>
  <c r="BL654" i="1" s="1"/>
  <c r="BH654" i="1"/>
  <c r="BJ654" i="1" s="1"/>
  <c r="AI654" i="1"/>
  <c r="BM654" i="1" s="1"/>
  <c r="AH654" i="1"/>
  <c r="BK654" i="1" s="1"/>
  <c r="BI653" i="1"/>
  <c r="BL653" i="1" s="1"/>
  <c r="BH653" i="1"/>
  <c r="BJ653" i="1" s="1"/>
  <c r="AI653" i="1"/>
  <c r="BM653" i="1" s="1"/>
  <c r="AH653" i="1"/>
  <c r="BK653" i="1" s="1"/>
  <c r="BI652" i="1"/>
  <c r="BL652" i="1" s="1"/>
  <c r="BH652" i="1"/>
  <c r="BJ652" i="1" s="1"/>
  <c r="AI652" i="1"/>
  <c r="BM652" i="1" s="1"/>
  <c r="AH652" i="1"/>
  <c r="BK652" i="1" s="1"/>
  <c r="BI651" i="1"/>
  <c r="BL651" i="1" s="1"/>
  <c r="BH651" i="1"/>
  <c r="BJ651" i="1" s="1"/>
  <c r="AI651" i="1"/>
  <c r="BM651" i="1" s="1"/>
  <c r="AH651" i="1"/>
  <c r="BK651" i="1" s="1"/>
  <c r="BI650" i="1"/>
  <c r="BL650" i="1" s="1"/>
  <c r="BH650" i="1"/>
  <c r="BJ650" i="1" s="1"/>
  <c r="AI650" i="1"/>
  <c r="BM650" i="1" s="1"/>
  <c r="AH650" i="1"/>
  <c r="BK650" i="1" s="1"/>
  <c r="BI649" i="1"/>
  <c r="BL649" i="1" s="1"/>
  <c r="BH649" i="1"/>
  <c r="BJ649" i="1" s="1"/>
  <c r="AI649" i="1"/>
  <c r="BM649" i="1" s="1"/>
  <c r="AH649" i="1"/>
  <c r="BK649" i="1" s="1"/>
  <c r="BI648" i="1"/>
  <c r="BL648" i="1" s="1"/>
  <c r="BH648" i="1"/>
  <c r="BJ648" i="1" s="1"/>
  <c r="AI648" i="1"/>
  <c r="BM648" i="1" s="1"/>
  <c r="AH648" i="1"/>
  <c r="BK648" i="1" s="1"/>
  <c r="BI647" i="1"/>
  <c r="BL647" i="1" s="1"/>
  <c r="BH647" i="1"/>
  <c r="BJ647" i="1" s="1"/>
  <c r="AI647" i="1"/>
  <c r="BM647" i="1" s="1"/>
  <c r="AH647" i="1"/>
  <c r="BK647" i="1" s="1"/>
  <c r="BI646" i="1"/>
  <c r="BL646" i="1" s="1"/>
  <c r="BH646" i="1"/>
  <c r="BJ646" i="1" s="1"/>
  <c r="AI646" i="1"/>
  <c r="BM646" i="1" s="1"/>
  <c r="AH646" i="1"/>
  <c r="BK646" i="1" s="1"/>
  <c r="BI645" i="1"/>
  <c r="BL645" i="1" s="1"/>
  <c r="BH645" i="1"/>
  <c r="BJ645" i="1" s="1"/>
  <c r="AI645" i="1"/>
  <c r="BM645" i="1" s="1"/>
  <c r="AH645" i="1"/>
  <c r="BK645" i="1" s="1"/>
  <c r="BI644" i="1"/>
  <c r="BL644" i="1" s="1"/>
  <c r="BH644" i="1"/>
  <c r="BJ644" i="1" s="1"/>
  <c r="AI644" i="1"/>
  <c r="BM644" i="1" s="1"/>
  <c r="AH644" i="1"/>
  <c r="BK644" i="1" s="1"/>
  <c r="BI643" i="1"/>
  <c r="BL643" i="1" s="1"/>
  <c r="BH643" i="1"/>
  <c r="BJ643" i="1" s="1"/>
  <c r="AI643" i="1"/>
  <c r="BM643" i="1" s="1"/>
  <c r="AH643" i="1"/>
  <c r="BK643" i="1" s="1"/>
  <c r="BI642" i="1"/>
  <c r="BL642" i="1" s="1"/>
  <c r="BH642" i="1"/>
  <c r="BJ642" i="1" s="1"/>
  <c r="AI642" i="1"/>
  <c r="BM642" i="1" s="1"/>
  <c r="AH642" i="1"/>
  <c r="BK642" i="1" s="1"/>
  <c r="BI641" i="1"/>
  <c r="BL641" i="1" s="1"/>
  <c r="BH641" i="1"/>
  <c r="BJ641" i="1" s="1"/>
  <c r="AI641" i="1"/>
  <c r="BM641" i="1" s="1"/>
  <c r="AH641" i="1"/>
  <c r="BK641" i="1" s="1"/>
  <c r="BI640" i="1"/>
  <c r="BL640" i="1" s="1"/>
  <c r="BH640" i="1"/>
  <c r="BJ640" i="1" s="1"/>
  <c r="AI640" i="1"/>
  <c r="BM640" i="1" s="1"/>
  <c r="AH640" i="1"/>
  <c r="BK640" i="1" s="1"/>
  <c r="BI639" i="1"/>
  <c r="BL639" i="1" s="1"/>
  <c r="BH639" i="1"/>
  <c r="BJ639" i="1" s="1"/>
  <c r="AI639" i="1"/>
  <c r="BM639" i="1" s="1"/>
  <c r="AH639" i="1"/>
  <c r="BK639" i="1" s="1"/>
  <c r="BI638" i="1"/>
  <c r="BL638" i="1" s="1"/>
  <c r="BH638" i="1"/>
  <c r="BJ638" i="1" s="1"/>
  <c r="AI638" i="1"/>
  <c r="AH638" i="1"/>
  <c r="BI637" i="1"/>
  <c r="BL637" i="1" s="1"/>
  <c r="BH637" i="1"/>
  <c r="BJ637" i="1" s="1"/>
  <c r="AI637" i="1"/>
  <c r="AH637" i="1"/>
  <c r="BI636" i="1"/>
  <c r="BL636" i="1" s="1"/>
  <c r="BH636" i="1"/>
  <c r="BJ636" i="1" s="1"/>
  <c r="AI636" i="1"/>
  <c r="BM636" i="1" s="1"/>
  <c r="AH636" i="1"/>
  <c r="BK636" i="1" s="1"/>
  <c r="BI635" i="1"/>
  <c r="BL635" i="1" s="1"/>
  <c r="BH635" i="1"/>
  <c r="BJ635" i="1" s="1"/>
  <c r="AI635" i="1"/>
  <c r="BM635" i="1" s="1"/>
  <c r="AH635" i="1"/>
  <c r="BK635" i="1" s="1"/>
  <c r="BI634" i="1"/>
  <c r="BL634" i="1" s="1"/>
  <c r="BH634" i="1"/>
  <c r="BJ634" i="1" s="1"/>
  <c r="AI634" i="1"/>
  <c r="BM634" i="1" s="1"/>
  <c r="AH634" i="1"/>
  <c r="BK634" i="1" s="1"/>
  <c r="BI633" i="1"/>
  <c r="BL633" i="1" s="1"/>
  <c r="BH633" i="1"/>
  <c r="BJ633" i="1" s="1"/>
  <c r="AI633" i="1"/>
  <c r="BM633" i="1" s="1"/>
  <c r="AH633" i="1"/>
  <c r="BK633" i="1" s="1"/>
  <c r="BI632" i="1"/>
  <c r="BL632" i="1" s="1"/>
  <c r="BH632" i="1"/>
  <c r="BJ632" i="1" s="1"/>
  <c r="AI632" i="1"/>
  <c r="BM632" i="1" s="1"/>
  <c r="AH632" i="1"/>
  <c r="BK632" i="1" s="1"/>
  <c r="BI631" i="1"/>
  <c r="BL631" i="1" s="1"/>
  <c r="BH631" i="1"/>
  <c r="BJ631" i="1" s="1"/>
  <c r="AI631" i="1"/>
  <c r="BM631" i="1" s="1"/>
  <c r="AH631" i="1"/>
  <c r="BK631" i="1" s="1"/>
  <c r="BI630" i="1"/>
  <c r="BL630" i="1" s="1"/>
  <c r="BH630" i="1"/>
  <c r="BJ630" i="1" s="1"/>
  <c r="AI630" i="1"/>
  <c r="BM630" i="1" s="1"/>
  <c r="AH630" i="1"/>
  <c r="BK630" i="1" s="1"/>
  <c r="BI629" i="1"/>
  <c r="BL629" i="1" s="1"/>
  <c r="BH629" i="1"/>
  <c r="BJ629" i="1" s="1"/>
  <c r="AI629" i="1"/>
  <c r="BM629" i="1" s="1"/>
  <c r="AH629" i="1"/>
  <c r="BK629" i="1" s="1"/>
  <c r="BI628" i="1"/>
  <c r="BL628" i="1" s="1"/>
  <c r="BH628" i="1"/>
  <c r="BJ628" i="1" s="1"/>
  <c r="AI628" i="1"/>
  <c r="BM628" i="1" s="1"/>
  <c r="AH628" i="1"/>
  <c r="BK628" i="1" s="1"/>
  <c r="BI627" i="1"/>
  <c r="BL627" i="1" s="1"/>
  <c r="BH627" i="1"/>
  <c r="BJ627" i="1" s="1"/>
  <c r="AI627" i="1"/>
  <c r="BM627" i="1" s="1"/>
  <c r="AH627" i="1"/>
  <c r="BK627" i="1" s="1"/>
  <c r="BI626" i="1"/>
  <c r="BL626" i="1" s="1"/>
  <c r="BH626" i="1"/>
  <c r="BJ626" i="1" s="1"/>
  <c r="AI626" i="1"/>
  <c r="BM626" i="1" s="1"/>
  <c r="AH626" i="1"/>
  <c r="BK626" i="1" s="1"/>
  <c r="BI625" i="1"/>
  <c r="BL625" i="1" s="1"/>
  <c r="BH625" i="1"/>
  <c r="BJ625" i="1" s="1"/>
  <c r="AI625" i="1"/>
  <c r="BM625" i="1" s="1"/>
  <c r="AH625" i="1"/>
  <c r="BK625" i="1" s="1"/>
  <c r="BI624" i="1"/>
  <c r="BL624" i="1" s="1"/>
  <c r="BH624" i="1"/>
  <c r="BJ624" i="1" s="1"/>
  <c r="AI624" i="1"/>
  <c r="BM624" i="1" s="1"/>
  <c r="AH624" i="1"/>
  <c r="BK624" i="1" s="1"/>
  <c r="BI623" i="1"/>
  <c r="BL623" i="1" s="1"/>
  <c r="BH623" i="1"/>
  <c r="BJ623" i="1" s="1"/>
  <c r="AI623" i="1"/>
  <c r="BM623" i="1" s="1"/>
  <c r="AH623" i="1"/>
  <c r="BK623" i="1" s="1"/>
  <c r="BI622" i="1"/>
  <c r="BL622" i="1" s="1"/>
  <c r="BH622" i="1"/>
  <c r="BJ622" i="1" s="1"/>
  <c r="AI622" i="1"/>
  <c r="BM622" i="1" s="1"/>
  <c r="AH622" i="1"/>
  <c r="BK622" i="1" s="1"/>
  <c r="BI621" i="1"/>
  <c r="BL621" i="1" s="1"/>
  <c r="BH621" i="1"/>
  <c r="BJ621" i="1" s="1"/>
  <c r="AI621" i="1"/>
  <c r="BM621" i="1" s="1"/>
  <c r="AH621" i="1"/>
  <c r="BK621" i="1" s="1"/>
  <c r="BI620" i="1"/>
  <c r="BL620" i="1" s="1"/>
  <c r="BH620" i="1"/>
  <c r="BJ620" i="1" s="1"/>
  <c r="AI620" i="1"/>
  <c r="BM620" i="1" s="1"/>
  <c r="AH620" i="1"/>
  <c r="BK620" i="1" s="1"/>
  <c r="BI619" i="1"/>
  <c r="BL619" i="1" s="1"/>
  <c r="BH619" i="1"/>
  <c r="BJ619" i="1" s="1"/>
  <c r="AI619" i="1"/>
  <c r="BM619" i="1" s="1"/>
  <c r="AH619" i="1"/>
  <c r="BK619" i="1" s="1"/>
  <c r="BI618" i="1"/>
  <c r="BL618" i="1" s="1"/>
  <c r="BH618" i="1"/>
  <c r="BJ618" i="1" s="1"/>
  <c r="AI618" i="1"/>
  <c r="BM618" i="1" s="1"/>
  <c r="AH618" i="1"/>
  <c r="BK618" i="1" s="1"/>
  <c r="BI617" i="1"/>
  <c r="BL617" i="1" s="1"/>
  <c r="BH617" i="1"/>
  <c r="BJ617" i="1" s="1"/>
  <c r="AI617" i="1"/>
  <c r="BM617" i="1" s="1"/>
  <c r="AH617" i="1"/>
  <c r="BK617" i="1" s="1"/>
  <c r="BI616" i="1"/>
  <c r="BL616" i="1" s="1"/>
  <c r="BH616" i="1"/>
  <c r="BJ616" i="1" s="1"/>
  <c r="AI616" i="1"/>
  <c r="BM616" i="1" s="1"/>
  <c r="AH616" i="1"/>
  <c r="BK616" i="1" s="1"/>
  <c r="BI615" i="1"/>
  <c r="BL615" i="1" s="1"/>
  <c r="BH615" i="1"/>
  <c r="BJ615" i="1" s="1"/>
  <c r="AI615" i="1"/>
  <c r="BM615" i="1" s="1"/>
  <c r="AH615" i="1"/>
  <c r="BK615" i="1" s="1"/>
  <c r="BI614" i="1"/>
  <c r="BL614" i="1" s="1"/>
  <c r="BH614" i="1"/>
  <c r="BJ614" i="1" s="1"/>
  <c r="AI614" i="1"/>
  <c r="BM614" i="1" s="1"/>
  <c r="AH614" i="1"/>
  <c r="BK614" i="1" s="1"/>
  <c r="BI613" i="1"/>
  <c r="BL613" i="1" s="1"/>
  <c r="BH613" i="1"/>
  <c r="BJ613" i="1" s="1"/>
  <c r="AI613" i="1"/>
  <c r="BM613" i="1" s="1"/>
  <c r="AH613" i="1"/>
  <c r="BK613" i="1" s="1"/>
  <c r="BI612" i="1"/>
  <c r="BL612" i="1" s="1"/>
  <c r="BH612" i="1"/>
  <c r="BJ612" i="1" s="1"/>
  <c r="AI612" i="1"/>
  <c r="BM612" i="1" s="1"/>
  <c r="AH612" i="1"/>
  <c r="BK612" i="1" s="1"/>
  <c r="BI611" i="1"/>
  <c r="BL611" i="1" s="1"/>
  <c r="BH611" i="1"/>
  <c r="BJ611" i="1" s="1"/>
  <c r="AI611" i="1"/>
  <c r="BM611" i="1" s="1"/>
  <c r="AH611" i="1"/>
  <c r="BK611" i="1" s="1"/>
  <c r="BI610" i="1"/>
  <c r="BL610" i="1" s="1"/>
  <c r="BH610" i="1"/>
  <c r="BJ610" i="1" s="1"/>
  <c r="AI610" i="1"/>
  <c r="BM610" i="1" s="1"/>
  <c r="AH610" i="1"/>
  <c r="BK610" i="1" s="1"/>
  <c r="BI609" i="1"/>
  <c r="BL609" i="1" s="1"/>
  <c r="BH609" i="1"/>
  <c r="BJ609" i="1" s="1"/>
  <c r="AI609" i="1"/>
  <c r="BM609" i="1" s="1"/>
  <c r="AH609" i="1"/>
  <c r="BK609" i="1" s="1"/>
  <c r="BI608" i="1"/>
  <c r="BL608" i="1" s="1"/>
  <c r="BH608" i="1"/>
  <c r="BJ608" i="1" s="1"/>
  <c r="AI608" i="1"/>
  <c r="BM608" i="1" s="1"/>
  <c r="AH608" i="1"/>
  <c r="BK608" i="1" s="1"/>
  <c r="BI607" i="1"/>
  <c r="BL607" i="1" s="1"/>
  <c r="BH607" i="1"/>
  <c r="BJ607" i="1" s="1"/>
  <c r="AI607" i="1"/>
  <c r="BM607" i="1" s="1"/>
  <c r="AH607" i="1"/>
  <c r="BK607" i="1" s="1"/>
  <c r="BI606" i="1"/>
  <c r="BL606" i="1" s="1"/>
  <c r="BH606" i="1"/>
  <c r="BJ606" i="1" s="1"/>
  <c r="AI606" i="1"/>
  <c r="BM606" i="1" s="1"/>
  <c r="AH606" i="1"/>
  <c r="BK606" i="1" s="1"/>
  <c r="BI605" i="1"/>
  <c r="BL605" i="1" s="1"/>
  <c r="BH605" i="1"/>
  <c r="BJ605" i="1" s="1"/>
  <c r="AI605" i="1"/>
  <c r="BM605" i="1" s="1"/>
  <c r="AH605" i="1"/>
  <c r="BK605" i="1" s="1"/>
  <c r="BI604" i="1"/>
  <c r="BL604" i="1" s="1"/>
  <c r="BH604" i="1"/>
  <c r="BJ604" i="1" s="1"/>
  <c r="AI604" i="1"/>
  <c r="BM604" i="1" s="1"/>
  <c r="AH604" i="1"/>
  <c r="BK604" i="1" s="1"/>
  <c r="BI603" i="1"/>
  <c r="BL603" i="1" s="1"/>
  <c r="BH603" i="1"/>
  <c r="BJ603" i="1" s="1"/>
  <c r="AI603" i="1"/>
  <c r="BM603" i="1" s="1"/>
  <c r="AH603" i="1"/>
  <c r="BK603" i="1" s="1"/>
  <c r="BI602" i="1"/>
  <c r="BL602" i="1" s="1"/>
  <c r="BH602" i="1"/>
  <c r="BJ602" i="1" s="1"/>
  <c r="AI602" i="1"/>
  <c r="BM602" i="1" s="1"/>
  <c r="AH602" i="1"/>
  <c r="BK602" i="1" s="1"/>
  <c r="BI601" i="1"/>
  <c r="BL601" i="1" s="1"/>
  <c r="BH601" i="1"/>
  <c r="BJ601" i="1" s="1"/>
  <c r="AI601" i="1"/>
  <c r="BM601" i="1" s="1"/>
  <c r="AH601" i="1"/>
  <c r="BK601" i="1" s="1"/>
  <c r="BI600" i="1"/>
  <c r="BL600" i="1" s="1"/>
  <c r="BH600" i="1"/>
  <c r="BJ600" i="1" s="1"/>
  <c r="AI600" i="1"/>
  <c r="BM600" i="1" s="1"/>
  <c r="AH600" i="1"/>
  <c r="BK600" i="1" s="1"/>
  <c r="BI599" i="1"/>
  <c r="BL599" i="1" s="1"/>
  <c r="BH599" i="1"/>
  <c r="BJ599" i="1" s="1"/>
  <c r="AI599" i="1"/>
  <c r="BM599" i="1" s="1"/>
  <c r="AH599" i="1"/>
  <c r="BK599" i="1" s="1"/>
  <c r="BI598" i="1"/>
  <c r="BL598" i="1" s="1"/>
  <c r="BH598" i="1"/>
  <c r="BJ598" i="1" s="1"/>
  <c r="AI598" i="1"/>
  <c r="BM598" i="1" s="1"/>
  <c r="AH598" i="1"/>
  <c r="BK598" i="1" s="1"/>
  <c r="BI597" i="1"/>
  <c r="BL597" i="1" s="1"/>
  <c r="BH597" i="1"/>
  <c r="BJ597" i="1" s="1"/>
  <c r="AI597" i="1"/>
  <c r="BM597" i="1" s="1"/>
  <c r="AH597" i="1"/>
  <c r="BK597" i="1" s="1"/>
  <c r="BI596" i="1"/>
  <c r="BL596" i="1" s="1"/>
  <c r="BH596" i="1"/>
  <c r="BJ596" i="1" s="1"/>
  <c r="AI596" i="1"/>
  <c r="BM596" i="1" s="1"/>
  <c r="AH596" i="1"/>
  <c r="BK596" i="1" s="1"/>
  <c r="BI595" i="1"/>
  <c r="BL595" i="1" s="1"/>
  <c r="BH595" i="1"/>
  <c r="BJ595" i="1" s="1"/>
  <c r="AI595" i="1"/>
  <c r="BM595" i="1" s="1"/>
  <c r="AH595" i="1"/>
  <c r="BK595" i="1" s="1"/>
  <c r="BI594" i="1"/>
  <c r="BL594" i="1" s="1"/>
  <c r="BH594" i="1"/>
  <c r="BJ594" i="1" s="1"/>
  <c r="AI594" i="1"/>
  <c r="BM594" i="1" s="1"/>
  <c r="AH594" i="1"/>
  <c r="BK594" i="1" s="1"/>
  <c r="BI593" i="1"/>
  <c r="BL593" i="1" s="1"/>
  <c r="BH593" i="1"/>
  <c r="BJ593" i="1" s="1"/>
  <c r="AI593" i="1"/>
  <c r="BM593" i="1" s="1"/>
  <c r="AH593" i="1"/>
  <c r="BK593" i="1" s="1"/>
  <c r="BI592" i="1"/>
  <c r="BL592" i="1" s="1"/>
  <c r="BH592" i="1"/>
  <c r="BJ592" i="1" s="1"/>
  <c r="AI592" i="1"/>
  <c r="BM592" i="1" s="1"/>
  <c r="AH592" i="1"/>
  <c r="BK592" i="1" s="1"/>
  <c r="BI591" i="1"/>
  <c r="BL591" i="1" s="1"/>
  <c r="BH591" i="1"/>
  <c r="BJ591" i="1" s="1"/>
  <c r="AI591" i="1"/>
  <c r="BM591" i="1" s="1"/>
  <c r="AH591" i="1"/>
  <c r="BK591" i="1" s="1"/>
  <c r="BI590" i="1"/>
  <c r="BL590" i="1" s="1"/>
  <c r="BH590" i="1"/>
  <c r="BJ590" i="1" s="1"/>
  <c r="AI590" i="1"/>
  <c r="BM590" i="1" s="1"/>
  <c r="AH590" i="1"/>
  <c r="BK590" i="1" s="1"/>
  <c r="BI589" i="1"/>
  <c r="BL589" i="1" s="1"/>
  <c r="BH589" i="1"/>
  <c r="BJ589" i="1" s="1"/>
  <c r="AI589" i="1"/>
  <c r="BM589" i="1" s="1"/>
  <c r="AH589" i="1"/>
  <c r="BK589" i="1" s="1"/>
  <c r="BI588" i="1"/>
  <c r="BL588" i="1" s="1"/>
  <c r="BH588" i="1"/>
  <c r="BJ588" i="1" s="1"/>
  <c r="AI588" i="1"/>
  <c r="BM588" i="1" s="1"/>
  <c r="AH588" i="1"/>
  <c r="BK588" i="1" s="1"/>
  <c r="BI587" i="1"/>
  <c r="BL587" i="1" s="1"/>
  <c r="BH587" i="1"/>
  <c r="BJ587" i="1" s="1"/>
  <c r="AI587" i="1"/>
  <c r="BM587" i="1" s="1"/>
  <c r="AH587" i="1"/>
  <c r="BK587" i="1" s="1"/>
  <c r="BI586" i="1"/>
  <c r="BL586" i="1" s="1"/>
  <c r="BH586" i="1"/>
  <c r="BJ586" i="1" s="1"/>
  <c r="AI586" i="1"/>
  <c r="BM586" i="1" s="1"/>
  <c r="AH586" i="1"/>
  <c r="BK586" i="1" s="1"/>
  <c r="BI585" i="1"/>
  <c r="BL585" i="1" s="1"/>
  <c r="BH585" i="1"/>
  <c r="BJ585" i="1" s="1"/>
  <c r="AI585" i="1"/>
  <c r="BM585" i="1" s="1"/>
  <c r="AH585" i="1"/>
  <c r="BK585" i="1" s="1"/>
  <c r="BI584" i="1"/>
  <c r="BL584" i="1" s="1"/>
  <c r="BH584" i="1"/>
  <c r="BJ584" i="1" s="1"/>
  <c r="AI584" i="1"/>
  <c r="BM584" i="1" s="1"/>
  <c r="AH584" i="1"/>
  <c r="BK584" i="1" s="1"/>
  <c r="BI583" i="1"/>
  <c r="BL583" i="1" s="1"/>
  <c r="BH583" i="1"/>
  <c r="BJ583" i="1" s="1"/>
  <c r="AI583" i="1"/>
  <c r="BM583" i="1" s="1"/>
  <c r="AH583" i="1"/>
  <c r="BK583" i="1" s="1"/>
  <c r="BI582" i="1"/>
  <c r="BL582" i="1" s="1"/>
  <c r="BH582" i="1"/>
  <c r="BJ582" i="1" s="1"/>
  <c r="AI582" i="1"/>
  <c r="BM582" i="1" s="1"/>
  <c r="AH582" i="1"/>
  <c r="BK582" i="1" s="1"/>
  <c r="BI581" i="1"/>
  <c r="BL581" i="1" s="1"/>
  <c r="BH581" i="1"/>
  <c r="BJ581" i="1" s="1"/>
  <c r="AI581" i="1"/>
  <c r="BM581" i="1" s="1"/>
  <c r="AH581" i="1"/>
  <c r="BK581" i="1" s="1"/>
  <c r="BI580" i="1"/>
  <c r="BL580" i="1" s="1"/>
  <c r="BH580" i="1"/>
  <c r="BJ580" i="1" s="1"/>
  <c r="AI580" i="1"/>
  <c r="BM580" i="1" s="1"/>
  <c r="AH580" i="1"/>
  <c r="BK580" i="1" s="1"/>
  <c r="BI579" i="1"/>
  <c r="BL579" i="1" s="1"/>
  <c r="BH579" i="1"/>
  <c r="BJ579" i="1" s="1"/>
  <c r="AI579" i="1"/>
  <c r="BM579" i="1" s="1"/>
  <c r="AH579" i="1"/>
  <c r="BK579" i="1" s="1"/>
  <c r="BI578" i="1"/>
  <c r="BL578" i="1" s="1"/>
  <c r="BH578" i="1"/>
  <c r="BJ578" i="1" s="1"/>
  <c r="AI578" i="1"/>
  <c r="BM578" i="1" s="1"/>
  <c r="AH578" i="1"/>
  <c r="BK578" i="1" s="1"/>
  <c r="BI577" i="1"/>
  <c r="BL577" i="1" s="1"/>
  <c r="BH577" i="1"/>
  <c r="BJ577" i="1" s="1"/>
  <c r="AI577" i="1"/>
  <c r="BM577" i="1" s="1"/>
  <c r="AH577" i="1"/>
  <c r="BK577" i="1" s="1"/>
  <c r="BI576" i="1"/>
  <c r="BL576" i="1" s="1"/>
  <c r="BH576" i="1"/>
  <c r="BJ576" i="1" s="1"/>
  <c r="AI576" i="1"/>
  <c r="BM576" i="1" s="1"/>
  <c r="AH576" i="1"/>
  <c r="BK576" i="1" s="1"/>
  <c r="BI575" i="1"/>
  <c r="BL575" i="1" s="1"/>
  <c r="BH575" i="1"/>
  <c r="BJ575" i="1" s="1"/>
  <c r="AI575" i="1"/>
  <c r="BM575" i="1" s="1"/>
  <c r="AH575" i="1"/>
  <c r="BI574" i="1"/>
  <c r="BL574" i="1" s="1"/>
  <c r="BH574" i="1"/>
  <c r="BJ574" i="1" s="1"/>
  <c r="AI574" i="1"/>
  <c r="BM574" i="1" s="1"/>
  <c r="AH574" i="1"/>
  <c r="BK574" i="1" s="1"/>
  <c r="BI573" i="1"/>
  <c r="BL573" i="1" s="1"/>
  <c r="BH573" i="1"/>
  <c r="BJ573" i="1" s="1"/>
  <c r="AI573" i="1"/>
  <c r="BM573" i="1" s="1"/>
  <c r="AH573" i="1"/>
  <c r="BK573" i="1" s="1"/>
  <c r="BI572" i="1"/>
  <c r="BL572" i="1" s="1"/>
  <c r="BH572" i="1"/>
  <c r="BJ572" i="1" s="1"/>
  <c r="AI572" i="1"/>
  <c r="BM572" i="1" s="1"/>
  <c r="AH572" i="1"/>
  <c r="BK572" i="1" s="1"/>
  <c r="BI571" i="1"/>
  <c r="BL571" i="1" s="1"/>
  <c r="BH571" i="1"/>
  <c r="BJ571" i="1" s="1"/>
  <c r="AI571" i="1"/>
  <c r="BM571" i="1" s="1"/>
  <c r="AH571" i="1"/>
  <c r="BK571" i="1" s="1"/>
  <c r="BI570" i="1"/>
  <c r="BL570" i="1" s="1"/>
  <c r="BH570" i="1"/>
  <c r="BJ570" i="1" s="1"/>
  <c r="AI570" i="1"/>
  <c r="BM570" i="1" s="1"/>
  <c r="AH570" i="1"/>
  <c r="BK570" i="1" s="1"/>
  <c r="BI569" i="1"/>
  <c r="BL569" i="1" s="1"/>
  <c r="BH569" i="1"/>
  <c r="BJ569" i="1" s="1"/>
  <c r="AI569" i="1"/>
  <c r="BM569" i="1" s="1"/>
  <c r="AH569" i="1"/>
  <c r="BK569" i="1" s="1"/>
  <c r="BI568" i="1"/>
  <c r="BL568" i="1" s="1"/>
  <c r="BH568" i="1"/>
  <c r="BJ568" i="1" s="1"/>
  <c r="AI568" i="1"/>
  <c r="BM568" i="1" s="1"/>
  <c r="AH568" i="1"/>
  <c r="BK568" i="1" s="1"/>
  <c r="BI567" i="1"/>
  <c r="BL567" i="1" s="1"/>
  <c r="BH567" i="1"/>
  <c r="BJ567" i="1" s="1"/>
  <c r="AI567" i="1"/>
  <c r="BM567" i="1" s="1"/>
  <c r="AH567" i="1"/>
  <c r="BK567" i="1" s="1"/>
  <c r="BI566" i="1"/>
  <c r="BL566" i="1" s="1"/>
  <c r="BH566" i="1"/>
  <c r="BJ566" i="1" s="1"/>
  <c r="AI566" i="1"/>
  <c r="BM566" i="1" s="1"/>
  <c r="AH566" i="1"/>
  <c r="BK566" i="1" s="1"/>
  <c r="BI565" i="1"/>
  <c r="BL565" i="1" s="1"/>
  <c r="BH565" i="1"/>
  <c r="BJ565" i="1" s="1"/>
  <c r="AI565" i="1"/>
  <c r="BM565" i="1" s="1"/>
  <c r="AH565" i="1"/>
  <c r="BK565" i="1" s="1"/>
  <c r="BI564" i="1"/>
  <c r="BL564" i="1" s="1"/>
  <c r="BH564" i="1"/>
  <c r="BJ564" i="1" s="1"/>
  <c r="AI564" i="1"/>
  <c r="BM564" i="1" s="1"/>
  <c r="AH564" i="1"/>
  <c r="BK564" i="1" s="1"/>
  <c r="BI563" i="1"/>
  <c r="BL563" i="1" s="1"/>
  <c r="BH563" i="1"/>
  <c r="BJ563" i="1" s="1"/>
  <c r="AI563" i="1"/>
  <c r="BM563" i="1" s="1"/>
  <c r="AH563" i="1"/>
  <c r="BK563" i="1" s="1"/>
  <c r="BI562" i="1"/>
  <c r="BL562" i="1" s="1"/>
  <c r="BH562" i="1"/>
  <c r="BJ562" i="1" s="1"/>
  <c r="AI562" i="1"/>
  <c r="BM562" i="1" s="1"/>
  <c r="AH562" i="1"/>
  <c r="BK562" i="1" s="1"/>
  <c r="BI561" i="1"/>
  <c r="BL561" i="1" s="1"/>
  <c r="BH561" i="1"/>
  <c r="BJ561" i="1" s="1"/>
  <c r="AI561" i="1"/>
  <c r="BM561" i="1" s="1"/>
  <c r="AH561" i="1"/>
  <c r="BK561" i="1" s="1"/>
  <c r="BI560" i="1"/>
  <c r="BL560" i="1" s="1"/>
  <c r="BH560" i="1"/>
  <c r="BJ560" i="1" s="1"/>
  <c r="AI560" i="1"/>
  <c r="BM560" i="1" s="1"/>
  <c r="AH560" i="1"/>
  <c r="BK560" i="1" s="1"/>
  <c r="BI559" i="1"/>
  <c r="BL559" i="1" s="1"/>
  <c r="BH559" i="1"/>
  <c r="BJ559" i="1" s="1"/>
  <c r="AI559" i="1"/>
  <c r="BM559" i="1" s="1"/>
  <c r="AH559" i="1"/>
  <c r="BK559" i="1" s="1"/>
  <c r="BI558" i="1"/>
  <c r="BL558" i="1" s="1"/>
  <c r="BH558" i="1"/>
  <c r="BJ558" i="1" s="1"/>
  <c r="AI558" i="1"/>
  <c r="BM558" i="1" s="1"/>
  <c r="AH558" i="1"/>
  <c r="BK558" i="1" s="1"/>
  <c r="BI557" i="1"/>
  <c r="BL557" i="1" s="1"/>
  <c r="BH557" i="1"/>
  <c r="BJ557" i="1" s="1"/>
  <c r="AI557" i="1"/>
  <c r="BM557" i="1" s="1"/>
  <c r="AH557" i="1"/>
  <c r="BK557" i="1" s="1"/>
  <c r="BI556" i="1"/>
  <c r="BL556" i="1" s="1"/>
  <c r="BH556" i="1"/>
  <c r="BJ556" i="1" s="1"/>
  <c r="AI556" i="1"/>
  <c r="BM556" i="1" s="1"/>
  <c r="AH556" i="1"/>
  <c r="BK556" i="1" s="1"/>
  <c r="BI555" i="1"/>
  <c r="BL555" i="1" s="1"/>
  <c r="BH555" i="1"/>
  <c r="BJ555" i="1" s="1"/>
  <c r="AI555" i="1"/>
  <c r="BM555" i="1" s="1"/>
  <c r="AH555" i="1"/>
  <c r="BK555" i="1" s="1"/>
  <c r="BI554" i="1"/>
  <c r="BL554" i="1" s="1"/>
  <c r="BH554" i="1"/>
  <c r="BJ554" i="1" s="1"/>
  <c r="AI554" i="1"/>
  <c r="BM554" i="1" s="1"/>
  <c r="AH554" i="1"/>
  <c r="BK554" i="1" s="1"/>
  <c r="BI553" i="1"/>
  <c r="BL553" i="1" s="1"/>
  <c r="BH553" i="1"/>
  <c r="BJ553" i="1" s="1"/>
  <c r="AI553" i="1"/>
  <c r="BM553" i="1" s="1"/>
  <c r="AH553" i="1"/>
  <c r="BK553" i="1" s="1"/>
  <c r="BI552" i="1"/>
  <c r="BL552" i="1" s="1"/>
  <c r="BH552" i="1"/>
  <c r="BJ552" i="1" s="1"/>
  <c r="AI552" i="1"/>
  <c r="BM552" i="1" s="1"/>
  <c r="AH552" i="1"/>
  <c r="BK552" i="1" s="1"/>
  <c r="BI551" i="1"/>
  <c r="BL551" i="1" s="1"/>
  <c r="BH551" i="1"/>
  <c r="BJ551" i="1" s="1"/>
  <c r="AI551" i="1"/>
  <c r="BM551" i="1" s="1"/>
  <c r="AH551" i="1"/>
  <c r="BK551" i="1" s="1"/>
  <c r="BI550" i="1"/>
  <c r="BL550" i="1" s="1"/>
  <c r="BH550" i="1"/>
  <c r="BJ550" i="1" s="1"/>
  <c r="AI550" i="1"/>
  <c r="BM550" i="1" s="1"/>
  <c r="AH550" i="1"/>
  <c r="BK550" i="1" s="1"/>
  <c r="BI549" i="1"/>
  <c r="BL549" i="1" s="1"/>
  <c r="BH549" i="1"/>
  <c r="BJ549" i="1" s="1"/>
  <c r="AI549" i="1"/>
  <c r="BM549" i="1" s="1"/>
  <c r="AH549" i="1"/>
  <c r="BK549" i="1" s="1"/>
  <c r="BI548" i="1"/>
  <c r="BL548" i="1" s="1"/>
  <c r="BH548" i="1"/>
  <c r="BJ548" i="1" s="1"/>
  <c r="AI548" i="1"/>
  <c r="BM548" i="1" s="1"/>
  <c r="AH548" i="1"/>
  <c r="BK548" i="1" s="1"/>
  <c r="BI547" i="1"/>
  <c r="BL547" i="1" s="1"/>
  <c r="BM547" i="1" s="1"/>
  <c r="BH547" i="1"/>
  <c r="BJ547" i="1" s="1"/>
  <c r="BK547" i="1" s="1"/>
  <c r="AI547" i="1"/>
  <c r="AH547" i="1"/>
  <c r="BI546" i="1"/>
  <c r="BL546" i="1" s="1"/>
  <c r="BH546" i="1"/>
  <c r="BJ546" i="1" s="1"/>
  <c r="AI546" i="1"/>
  <c r="AH546" i="1"/>
  <c r="BK546" i="1" s="1"/>
  <c r="BI545" i="1"/>
  <c r="BL545" i="1" s="1"/>
  <c r="BH545" i="1"/>
  <c r="BJ545" i="1" s="1"/>
  <c r="AI545" i="1"/>
  <c r="BM545" i="1" s="1"/>
  <c r="AH545" i="1"/>
  <c r="BK545" i="1" s="1"/>
  <c r="BI544" i="1"/>
  <c r="BL544" i="1" s="1"/>
  <c r="BH544" i="1"/>
  <c r="BJ544" i="1" s="1"/>
  <c r="AI544" i="1"/>
  <c r="BM544" i="1" s="1"/>
  <c r="AH544" i="1"/>
  <c r="BK544" i="1" s="1"/>
  <c r="BI543" i="1"/>
  <c r="BL543" i="1" s="1"/>
  <c r="BH543" i="1"/>
  <c r="BJ543" i="1" s="1"/>
  <c r="AI543" i="1"/>
  <c r="BM543" i="1" s="1"/>
  <c r="AH543" i="1"/>
  <c r="BK543" i="1" s="1"/>
  <c r="BI542" i="1"/>
  <c r="BL542" i="1" s="1"/>
  <c r="BH542" i="1"/>
  <c r="BJ542" i="1" s="1"/>
  <c r="AI542" i="1"/>
  <c r="BM542" i="1" s="1"/>
  <c r="AH542" i="1"/>
  <c r="BK542" i="1" s="1"/>
  <c r="BI541" i="1"/>
  <c r="BL541" i="1" s="1"/>
  <c r="BH541" i="1"/>
  <c r="BJ541" i="1" s="1"/>
  <c r="AI541" i="1"/>
  <c r="BM541" i="1" s="1"/>
  <c r="AH541" i="1"/>
  <c r="BK541" i="1" s="1"/>
  <c r="BI540" i="1"/>
  <c r="BL540" i="1" s="1"/>
  <c r="BH540" i="1"/>
  <c r="BJ540" i="1" s="1"/>
  <c r="AI540" i="1"/>
  <c r="BM540" i="1" s="1"/>
  <c r="AH540" i="1"/>
  <c r="BK540" i="1" s="1"/>
  <c r="BI539" i="1"/>
  <c r="BL539" i="1" s="1"/>
  <c r="BH539" i="1"/>
  <c r="BJ539" i="1" s="1"/>
  <c r="AI539" i="1"/>
  <c r="BM539" i="1" s="1"/>
  <c r="AH539" i="1"/>
  <c r="BK539" i="1" s="1"/>
  <c r="BI538" i="1"/>
  <c r="BL538" i="1" s="1"/>
  <c r="BH538" i="1"/>
  <c r="BJ538" i="1" s="1"/>
  <c r="AI538" i="1"/>
  <c r="BM538" i="1" s="1"/>
  <c r="AH538" i="1"/>
  <c r="BK538" i="1" s="1"/>
  <c r="BI537" i="1"/>
  <c r="BL537" i="1" s="1"/>
  <c r="BH537" i="1"/>
  <c r="BJ537" i="1" s="1"/>
  <c r="AI537" i="1"/>
  <c r="BM537" i="1" s="1"/>
  <c r="AH537" i="1"/>
  <c r="BK537" i="1" s="1"/>
  <c r="BI536" i="1"/>
  <c r="BL536" i="1" s="1"/>
  <c r="BH536" i="1"/>
  <c r="BJ536" i="1" s="1"/>
  <c r="AI536" i="1"/>
  <c r="BM536" i="1" s="1"/>
  <c r="AH536" i="1"/>
  <c r="BK536" i="1" s="1"/>
  <c r="BI535" i="1"/>
  <c r="BL535" i="1" s="1"/>
  <c r="BH535" i="1"/>
  <c r="BJ535" i="1" s="1"/>
  <c r="AI535" i="1"/>
  <c r="BM535" i="1" s="1"/>
  <c r="AH535" i="1"/>
  <c r="BK535" i="1" s="1"/>
  <c r="BI534" i="1"/>
  <c r="BL534" i="1" s="1"/>
  <c r="BH534" i="1"/>
  <c r="BJ534" i="1" s="1"/>
  <c r="AI534" i="1"/>
  <c r="BM534" i="1" s="1"/>
  <c r="AH534" i="1"/>
  <c r="BK534" i="1" s="1"/>
  <c r="BI533" i="1"/>
  <c r="BL533" i="1" s="1"/>
  <c r="BH533" i="1"/>
  <c r="BJ533" i="1" s="1"/>
  <c r="AI533" i="1"/>
  <c r="BM533" i="1" s="1"/>
  <c r="AH533" i="1"/>
  <c r="BK533" i="1" s="1"/>
  <c r="BI532" i="1"/>
  <c r="BL532" i="1" s="1"/>
  <c r="BH532" i="1"/>
  <c r="BJ532" i="1" s="1"/>
  <c r="AI532" i="1"/>
  <c r="BM532" i="1" s="1"/>
  <c r="AH532" i="1"/>
  <c r="BK532" i="1" s="1"/>
  <c r="BI531" i="1"/>
  <c r="BL531" i="1" s="1"/>
  <c r="BH531" i="1"/>
  <c r="BJ531" i="1" s="1"/>
  <c r="AI531" i="1"/>
  <c r="BM531" i="1" s="1"/>
  <c r="AH531" i="1"/>
  <c r="BK531" i="1" s="1"/>
  <c r="BI530" i="1"/>
  <c r="BL530" i="1" s="1"/>
  <c r="BH530" i="1"/>
  <c r="BJ530" i="1" s="1"/>
  <c r="AI530" i="1"/>
  <c r="BM530" i="1" s="1"/>
  <c r="AH530" i="1"/>
  <c r="BK530" i="1" s="1"/>
  <c r="BI529" i="1"/>
  <c r="BL529" i="1" s="1"/>
  <c r="BH529" i="1"/>
  <c r="BJ529" i="1" s="1"/>
  <c r="AI529" i="1"/>
  <c r="BM529" i="1" s="1"/>
  <c r="AH529" i="1"/>
  <c r="BK529" i="1" s="1"/>
  <c r="BI528" i="1"/>
  <c r="BL528" i="1" s="1"/>
  <c r="BH528" i="1"/>
  <c r="BJ528" i="1" s="1"/>
  <c r="AI528" i="1"/>
  <c r="BM528" i="1" s="1"/>
  <c r="AH528" i="1"/>
  <c r="BK528" i="1" s="1"/>
  <c r="BI527" i="1"/>
  <c r="BL527" i="1" s="1"/>
  <c r="BH527" i="1"/>
  <c r="BJ527" i="1" s="1"/>
  <c r="AI527" i="1"/>
  <c r="BM527" i="1" s="1"/>
  <c r="AH527" i="1"/>
  <c r="BK527" i="1" s="1"/>
  <c r="BI526" i="1"/>
  <c r="BL526" i="1" s="1"/>
  <c r="BH526" i="1"/>
  <c r="BJ526" i="1" s="1"/>
  <c r="AI526" i="1"/>
  <c r="BM526" i="1" s="1"/>
  <c r="AH526" i="1"/>
  <c r="BK526" i="1" s="1"/>
  <c r="BI525" i="1"/>
  <c r="BL525" i="1" s="1"/>
  <c r="BH525" i="1"/>
  <c r="BJ525" i="1" s="1"/>
  <c r="AI525" i="1"/>
  <c r="BM525" i="1" s="1"/>
  <c r="AH525" i="1"/>
  <c r="BK525" i="1" s="1"/>
  <c r="BI524" i="1"/>
  <c r="BL524" i="1" s="1"/>
  <c r="BH524" i="1"/>
  <c r="BJ524" i="1" s="1"/>
  <c r="AI524" i="1"/>
  <c r="BM524" i="1" s="1"/>
  <c r="AH524" i="1"/>
  <c r="BK524" i="1" s="1"/>
  <c r="BI523" i="1"/>
  <c r="BL523" i="1" s="1"/>
  <c r="BH523" i="1"/>
  <c r="BJ523" i="1" s="1"/>
  <c r="AI523" i="1"/>
  <c r="BM523" i="1" s="1"/>
  <c r="AH523" i="1"/>
  <c r="BK523" i="1" s="1"/>
  <c r="BI522" i="1"/>
  <c r="BL522" i="1" s="1"/>
  <c r="BH522" i="1"/>
  <c r="BJ522" i="1" s="1"/>
  <c r="AI522" i="1"/>
  <c r="BM522" i="1" s="1"/>
  <c r="AH522" i="1"/>
  <c r="BK522" i="1" s="1"/>
  <c r="BI521" i="1"/>
  <c r="BL521" i="1" s="1"/>
  <c r="BH521" i="1"/>
  <c r="BJ521" i="1" s="1"/>
  <c r="AI521" i="1"/>
  <c r="BM521" i="1" s="1"/>
  <c r="AH521" i="1"/>
  <c r="BK521" i="1" s="1"/>
  <c r="BI520" i="1"/>
  <c r="BL520" i="1" s="1"/>
  <c r="BH520" i="1"/>
  <c r="BJ520" i="1" s="1"/>
  <c r="AI520" i="1"/>
  <c r="BM520" i="1" s="1"/>
  <c r="AH520" i="1"/>
  <c r="BK520" i="1" s="1"/>
  <c r="BI519" i="1"/>
  <c r="BL519" i="1" s="1"/>
  <c r="BH519" i="1"/>
  <c r="BJ519" i="1" s="1"/>
  <c r="AI519" i="1"/>
  <c r="BM519" i="1" s="1"/>
  <c r="AH519" i="1"/>
  <c r="BK519" i="1" s="1"/>
  <c r="BI518" i="1"/>
  <c r="BL518" i="1" s="1"/>
  <c r="BH518" i="1"/>
  <c r="BJ518" i="1" s="1"/>
  <c r="AI518" i="1"/>
  <c r="BM518" i="1" s="1"/>
  <c r="AH518" i="1"/>
  <c r="BK518" i="1" s="1"/>
  <c r="BI517" i="1"/>
  <c r="BL517" i="1" s="1"/>
  <c r="BH517" i="1"/>
  <c r="BJ517" i="1" s="1"/>
  <c r="AI517" i="1"/>
  <c r="BM517" i="1" s="1"/>
  <c r="AH517" i="1"/>
  <c r="BK517" i="1" s="1"/>
  <c r="BI516" i="1"/>
  <c r="BL516" i="1" s="1"/>
  <c r="BH516" i="1"/>
  <c r="BJ516" i="1" s="1"/>
  <c r="AI516" i="1"/>
  <c r="BM516" i="1" s="1"/>
  <c r="AH516" i="1"/>
  <c r="BK516" i="1" s="1"/>
  <c r="BI515" i="1"/>
  <c r="BL515" i="1" s="1"/>
  <c r="BH515" i="1"/>
  <c r="BJ515" i="1" s="1"/>
  <c r="AI515" i="1"/>
  <c r="BM515" i="1" s="1"/>
  <c r="AH515" i="1"/>
  <c r="BK515" i="1" s="1"/>
  <c r="BI514" i="1"/>
  <c r="BL514" i="1" s="1"/>
  <c r="BH514" i="1"/>
  <c r="BJ514" i="1" s="1"/>
  <c r="AI514" i="1"/>
  <c r="BM514" i="1" s="1"/>
  <c r="AH514" i="1"/>
  <c r="BK514" i="1" s="1"/>
  <c r="BI513" i="1"/>
  <c r="BL513" i="1" s="1"/>
  <c r="BH513" i="1"/>
  <c r="BJ513" i="1" s="1"/>
  <c r="AI513" i="1"/>
  <c r="BM513" i="1" s="1"/>
  <c r="AH513" i="1"/>
  <c r="BK513" i="1" s="1"/>
  <c r="BI512" i="1"/>
  <c r="BL512" i="1" s="1"/>
  <c r="BH512" i="1"/>
  <c r="BJ512" i="1" s="1"/>
  <c r="AI512" i="1"/>
  <c r="BM512" i="1" s="1"/>
  <c r="AH512" i="1"/>
  <c r="BK512" i="1" s="1"/>
  <c r="BI511" i="1"/>
  <c r="BL511" i="1" s="1"/>
  <c r="BH511" i="1"/>
  <c r="BJ511" i="1" s="1"/>
  <c r="AI511" i="1"/>
  <c r="AH511" i="1"/>
  <c r="BK511" i="1" s="1"/>
  <c r="BI510" i="1"/>
  <c r="BL510" i="1" s="1"/>
  <c r="BH510" i="1"/>
  <c r="BJ510" i="1" s="1"/>
  <c r="AI510" i="1"/>
  <c r="BM510" i="1" s="1"/>
  <c r="AH510" i="1"/>
  <c r="BK510" i="1" s="1"/>
  <c r="BI509" i="1"/>
  <c r="BL509" i="1" s="1"/>
  <c r="BH509" i="1"/>
  <c r="BJ509" i="1" s="1"/>
  <c r="AI509" i="1"/>
  <c r="BM509" i="1" s="1"/>
  <c r="AH509" i="1"/>
  <c r="BK509" i="1" s="1"/>
  <c r="BI508" i="1"/>
  <c r="BL508" i="1" s="1"/>
  <c r="BH508" i="1"/>
  <c r="BJ508" i="1" s="1"/>
  <c r="AI508" i="1"/>
  <c r="BM508" i="1" s="1"/>
  <c r="AH508" i="1"/>
  <c r="BK508" i="1" s="1"/>
  <c r="BI507" i="1"/>
  <c r="BL507" i="1" s="1"/>
  <c r="BH507" i="1"/>
  <c r="BJ507" i="1" s="1"/>
  <c r="AI507" i="1"/>
  <c r="BM507" i="1" s="1"/>
  <c r="AH507" i="1"/>
  <c r="BK507" i="1" s="1"/>
  <c r="BI506" i="1"/>
  <c r="BL506" i="1" s="1"/>
  <c r="BH506" i="1"/>
  <c r="BJ506" i="1" s="1"/>
  <c r="AI506" i="1"/>
  <c r="BM506" i="1" s="1"/>
  <c r="AH506" i="1"/>
  <c r="BK506" i="1" s="1"/>
  <c r="BI505" i="1"/>
  <c r="BL505" i="1" s="1"/>
  <c r="BH505" i="1"/>
  <c r="BJ505" i="1" s="1"/>
  <c r="AI505" i="1"/>
  <c r="BM505" i="1" s="1"/>
  <c r="AH505" i="1"/>
  <c r="BK505" i="1" s="1"/>
  <c r="BI504" i="1"/>
  <c r="BL504" i="1" s="1"/>
  <c r="BH504" i="1"/>
  <c r="BJ504" i="1" s="1"/>
  <c r="AI504" i="1"/>
  <c r="BM504" i="1" s="1"/>
  <c r="AH504" i="1"/>
  <c r="BK504" i="1" s="1"/>
  <c r="BI503" i="1"/>
  <c r="BL503" i="1" s="1"/>
  <c r="BH503" i="1"/>
  <c r="BJ503" i="1" s="1"/>
  <c r="AI503" i="1"/>
  <c r="BM503" i="1" s="1"/>
  <c r="AH503" i="1"/>
  <c r="BK503" i="1" s="1"/>
  <c r="BI502" i="1"/>
  <c r="BL502" i="1" s="1"/>
  <c r="BH502" i="1"/>
  <c r="BJ502" i="1" s="1"/>
  <c r="AI502" i="1"/>
  <c r="BM502" i="1" s="1"/>
  <c r="AH502" i="1"/>
  <c r="BK502" i="1" s="1"/>
  <c r="BI501" i="1"/>
  <c r="BL501" i="1" s="1"/>
  <c r="BH501" i="1"/>
  <c r="BJ501" i="1" s="1"/>
  <c r="AI501" i="1"/>
  <c r="BM501" i="1" s="1"/>
  <c r="AH501" i="1"/>
  <c r="BK501" i="1" s="1"/>
  <c r="BI500" i="1"/>
  <c r="BL500" i="1" s="1"/>
  <c r="BH500" i="1"/>
  <c r="BJ500" i="1" s="1"/>
  <c r="AI500" i="1"/>
  <c r="BM500" i="1" s="1"/>
  <c r="AH500" i="1"/>
  <c r="BK500" i="1" s="1"/>
  <c r="BI499" i="1"/>
  <c r="BL499" i="1" s="1"/>
  <c r="BH499" i="1"/>
  <c r="BJ499" i="1" s="1"/>
  <c r="AI499" i="1"/>
  <c r="BM499" i="1" s="1"/>
  <c r="AH499" i="1"/>
  <c r="BK499" i="1" s="1"/>
  <c r="BI498" i="1"/>
  <c r="BL498" i="1" s="1"/>
  <c r="BH498" i="1"/>
  <c r="BJ498" i="1" s="1"/>
  <c r="AI498" i="1"/>
  <c r="BM498" i="1" s="1"/>
  <c r="AH498" i="1"/>
  <c r="BK498" i="1" s="1"/>
  <c r="BI497" i="1"/>
  <c r="BL497" i="1" s="1"/>
  <c r="BH497" i="1"/>
  <c r="BJ497" i="1" s="1"/>
  <c r="AI497" i="1"/>
  <c r="BM497" i="1" s="1"/>
  <c r="AH497" i="1"/>
  <c r="BK497" i="1" s="1"/>
  <c r="BI496" i="1"/>
  <c r="BL496" i="1" s="1"/>
  <c r="BH496" i="1"/>
  <c r="BJ496" i="1" s="1"/>
  <c r="AI496" i="1"/>
  <c r="BM496" i="1" s="1"/>
  <c r="AH496" i="1"/>
  <c r="BK496" i="1" s="1"/>
  <c r="BI495" i="1"/>
  <c r="BL495" i="1" s="1"/>
  <c r="BH495" i="1"/>
  <c r="BJ495" i="1" s="1"/>
  <c r="AI495" i="1"/>
  <c r="BM495" i="1" s="1"/>
  <c r="AH495" i="1"/>
  <c r="BK495" i="1" s="1"/>
  <c r="BI494" i="1"/>
  <c r="BL494" i="1" s="1"/>
  <c r="BH494" i="1"/>
  <c r="BJ494" i="1" s="1"/>
  <c r="AI494" i="1"/>
  <c r="BM494" i="1" s="1"/>
  <c r="AH494" i="1"/>
  <c r="BK494" i="1" s="1"/>
  <c r="BI493" i="1"/>
  <c r="BL493" i="1" s="1"/>
  <c r="BH493" i="1"/>
  <c r="BJ493" i="1" s="1"/>
  <c r="AI493" i="1"/>
  <c r="BM493" i="1" s="1"/>
  <c r="AH493" i="1"/>
  <c r="BK493" i="1" s="1"/>
  <c r="BI492" i="1"/>
  <c r="BL492" i="1" s="1"/>
  <c r="BH492" i="1"/>
  <c r="BJ492" i="1" s="1"/>
  <c r="AI492" i="1"/>
  <c r="BM492" i="1" s="1"/>
  <c r="AH492" i="1"/>
  <c r="BK492" i="1" s="1"/>
  <c r="BI491" i="1"/>
  <c r="BL491" i="1" s="1"/>
  <c r="BH491" i="1"/>
  <c r="BJ491" i="1" s="1"/>
  <c r="AI491" i="1"/>
  <c r="BM491" i="1" s="1"/>
  <c r="AH491" i="1"/>
  <c r="BK491" i="1" s="1"/>
  <c r="BI490" i="1"/>
  <c r="BL490" i="1" s="1"/>
  <c r="BH490" i="1"/>
  <c r="BJ490" i="1" s="1"/>
  <c r="AI490" i="1"/>
  <c r="BM490" i="1" s="1"/>
  <c r="AH490" i="1"/>
  <c r="BK490" i="1" s="1"/>
  <c r="BI489" i="1"/>
  <c r="BL489" i="1" s="1"/>
  <c r="BH489" i="1"/>
  <c r="BJ489" i="1" s="1"/>
  <c r="AI489" i="1"/>
  <c r="BM489" i="1" s="1"/>
  <c r="AH489" i="1"/>
  <c r="BK489" i="1" s="1"/>
  <c r="BI488" i="1"/>
  <c r="BL488" i="1" s="1"/>
  <c r="BH488" i="1"/>
  <c r="BJ488" i="1" s="1"/>
  <c r="AI488" i="1"/>
  <c r="AH488" i="1"/>
  <c r="BK488" i="1" s="1"/>
  <c r="BI487" i="1"/>
  <c r="BL487" i="1" s="1"/>
  <c r="BH487" i="1"/>
  <c r="BJ487" i="1" s="1"/>
  <c r="AI487" i="1"/>
  <c r="BM487" i="1" s="1"/>
  <c r="AH487" i="1"/>
  <c r="BK487" i="1" s="1"/>
  <c r="BI486" i="1"/>
  <c r="BL486" i="1" s="1"/>
  <c r="BH486" i="1"/>
  <c r="BJ486" i="1" s="1"/>
  <c r="AI486" i="1"/>
  <c r="BM486" i="1" s="1"/>
  <c r="AH486" i="1"/>
  <c r="BK486" i="1" s="1"/>
  <c r="BI485" i="1"/>
  <c r="BL485" i="1" s="1"/>
  <c r="BH485" i="1"/>
  <c r="BJ485" i="1" s="1"/>
  <c r="AI485" i="1"/>
  <c r="BM485" i="1" s="1"/>
  <c r="AH485" i="1"/>
  <c r="BK485" i="1" s="1"/>
  <c r="BI484" i="1"/>
  <c r="BL484" i="1" s="1"/>
  <c r="BH484" i="1"/>
  <c r="BJ484" i="1" s="1"/>
  <c r="AI484" i="1"/>
  <c r="BM484" i="1" s="1"/>
  <c r="AH484" i="1"/>
  <c r="BK484" i="1" s="1"/>
  <c r="BI483" i="1"/>
  <c r="BL483" i="1" s="1"/>
  <c r="BH483" i="1"/>
  <c r="BJ483" i="1" s="1"/>
  <c r="AI483" i="1"/>
  <c r="BM483" i="1" s="1"/>
  <c r="AH483" i="1"/>
  <c r="BK483" i="1" s="1"/>
  <c r="BI482" i="1"/>
  <c r="BL482" i="1" s="1"/>
  <c r="BH482" i="1"/>
  <c r="BJ482" i="1" s="1"/>
  <c r="AI482" i="1"/>
  <c r="BM482" i="1" s="1"/>
  <c r="AH482" i="1"/>
  <c r="BK482" i="1" s="1"/>
  <c r="BI481" i="1"/>
  <c r="BL481" i="1" s="1"/>
  <c r="BH481" i="1"/>
  <c r="BJ481" i="1" s="1"/>
  <c r="AI481" i="1"/>
  <c r="BM481" i="1" s="1"/>
  <c r="AH481" i="1"/>
  <c r="BK481" i="1" s="1"/>
  <c r="BI480" i="1"/>
  <c r="BL480" i="1" s="1"/>
  <c r="BH480" i="1"/>
  <c r="BJ480" i="1" s="1"/>
  <c r="AI480" i="1"/>
  <c r="BM480" i="1" s="1"/>
  <c r="AH480" i="1"/>
  <c r="BK480" i="1" s="1"/>
  <c r="BI479" i="1"/>
  <c r="BL479" i="1" s="1"/>
  <c r="BH479" i="1"/>
  <c r="BJ479" i="1" s="1"/>
  <c r="AI479" i="1"/>
  <c r="BM479" i="1" s="1"/>
  <c r="AH479" i="1"/>
  <c r="BK479" i="1" s="1"/>
  <c r="BI478" i="1"/>
  <c r="BL478" i="1" s="1"/>
  <c r="BH478" i="1"/>
  <c r="BJ478" i="1" s="1"/>
  <c r="AI478" i="1"/>
  <c r="BM478" i="1" s="1"/>
  <c r="AH478" i="1"/>
  <c r="BK478" i="1" s="1"/>
  <c r="BI477" i="1"/>
  <c r="BL477" i="1" s="1"/>
  <c r="BH477" i="1"/>
  <c r="BJ477" i="1" s="1"/>
  <c r="AI477" i="1"/>
  <c r="BM477" i="1" s="1"/>
  <c r="AH477" i="1"/>
  <c r="BK477" i="1" s="1"/>
  <c r="BI476" i="1"/>
  <c r="BL476" i="1" s="1"/>
  <c r="BH476" i="1"/>
  <c r="BJ476" i="1" s="1"/>
  <c r="AI476" i="1"/>
  <c r="BM476" i="1" s="1"/>
  <c r="AH476" i="1"/>
  <c r="BK476" i="1" s="1"/>
  <c r="BI475" i="1"/>
  <c r="BL475" i="1" s="1"/>
  <c r="BH475" i="1"/>
  <c r="BJ475" i="1" s="1"/>
  <c r="AI475" i="1"/>
  <c r="AH475" i="1"/>
  <c r="BK475" i="1" s="1"/>
  <c r="BI474" i="1"/>
  <c r="BL474" i="1" s="1"/>
  <c r="BH474" i="1"/>
  <c r="BJ474" i="1" s="1"/>
  <c r="AI474" i="1"/>
  <c r="BM474" i="1" s="1"/>
  <c r="AH474" i="1"/>
  <c r="BK474" i="1" s="1"/>
  <c r="BI473" i="1"/>
  <c r="BL473" i="1" s="1"/>
  <c r="BH473" i="1"/>
  <c r="BJ473" i="1" s="1"/>
  <c r="AI473" i="1"/>
  <c r="BM473" i="1" s="1"/>
  <c r="AH473" i="1"/>
  <c r="BK473" i="1" s="1"/>
  <c r="BI472" i="1"/>
  <c r="BL472" i="1" s="1"/>
  <c r="BH472" i="1"/>
  <c r="BJ472" i="1" s="1"/>
  <c r="AI472" i="1"/>
  <c r="BM472" i="1" s="1"/>
  <c r="AH472" i="1"/>
  <c r="BK472" i="1" s="1"/>
  <c r="BI471" i="1"/>
  <c r="BL471" i="1" s="1"/>
  <c r="BH471" i="1"/>
  <c r="BJ471" i="1" s="1"/>
  <c r="AI471" i="1"/>
  <c r="BM471" i="1" s="1"/>
  <c r="AH471" i="1"/>
  <c r="BK471" i="1" s="1"/>
  <c r="BI470" i="1"/>
  <c r="BL470" i="1" s="1"/>
  <c r="BH470" i="1"/>
  <c r="BJ470" i="1" s="1"/>
  <c r="AI470" i="1"/>
  <c r="BM470" i="1" s="1"/>
  <c r="AH470" i="1"/>
  <c r="BK470" i="1" s="1"/>
  <c r="BI469" i="1"/>
  <c r="BL469" i="1" s="1"/>
  <c r="BH469" i="1"/>
  <c r="BJ469" i="1" s="1"/>
  <c r="AI469" i="1"/>
  <c r="BM469" i="1" s="1"/>
  <c r="AH469" i="1"/>
  <c r="BK469" i="1" s="1"/>
  <c r="BI468" i="1"/>
  <c r="BL468" i="1" s="1"/>
  <c r="BH468" i="1"/>
  <c r="BJ468" i="1" s="1"/>
  <c r="AI468" i="1"/>
  <c r="BM468" i="1" s="1"/>
  <c r="AH468" i="1"/>
  <c r="BK468" i="1" s="1"/>
  <c r="BI467" i="1"/>
  <c r="BL467" i="1" s="1"/>
  <c r="BH467" i="1"/>
  <c r="BJ467" i="1" s="1"/>
  <c r="AI467" i="1"/>
  <c r="BM467" i="1" s="1"/>
  <c r="AH467" i="1"/>
  <c r="BK467" i="1" s="1"/>
  <c r="BI466" i="1"/>
  <c r="BL466" i="1" s="1"/>
  <c r="BH466" i="1"/>
  <c r="BJ466" i="1" s="1"/>
  <c r="AI466" i="1"/>
  <c r="BM466" i="1" s="1"/>
  <c r="AH466" i="1"/>
  <c r="BK466" i="1" s="1"/>
  <c r="BI465" i="1"/>
  <c r="BL465" i="1" s="1"/>
  <c r="BH465" i="1"/>
  <c r="BJ465" i="1" s="1"/>
  <c r="AI465" i="1"/>
  <c r="BM465" i="1" s="1"/>
  <c r="AH465" i="1"/>
  <c r="BK465" i="1" s="1"/>
  <c r="BI464" i="1"/>
  <c r="BL464" i="1" s="1"/>
  <c r="BH464" i="1"/>
  <c r="BJ464" i="1" s="1"/>
  <c r="AI464" i="1"/>
  <c r="BM464" i="1" s="1"/>
  <c r="AH464" i="1"/>
  <c r="BK464" i="1" s="1"/>
  <c r="BI463" i="1"/>
  <c r="BL463" i="1" s="1"/>
  <c r="BH463" i="1"/>
  <c r="BJ463" i="1" s="1"/>
  <c r="AI463" i="1"/>
  <c r="BM463" i="1" s="1"/>
  <c r="AH463" i="1"/>
  <c r="BK463" i="1" s="1"/>
  <c r="BI462" i="1"/>
  <c r="BL462" i="1" s="1"/>
  <c r="BH462" i="1"/>
  <c r="BJ462" i="1" s="1"/>
  <c r="AI462" i="1"/>
  <c r="BM462" i="1" s="1"/>
  <c r="AH462" i="1"/>
  <c r="BK462" i="1" s="1"/>
  <c r="BI461" i="1"/>
  <c r="BL461" i="1" s="1"/>
  <c r="BH461" i="1"/>
  <c r="BJ461" i="1" s="1"/>
  <c r="AI461" i="1"/>
  <c r="BM461" i="1" s="1"/>
  <c r="AH461" i="1"/>
  <c r="BK461" i="1" s="1"/>
  <c r="BI460" i="1"/>
  <c r="BL460" i="1" s="1"/>
  <c r="BH460" i="1"/>
  <c r="BJ460" i="1" s="1"/>
  <c r="AI460" i="1"/>
  <c r="BM460" i="1" s="1"/>
  <c r="AH460" i="1"/>
  <c r="BK460" i="1" s="1"/>
  <c r="BI459" i="1"/>
  <c r="BL459" i="1" s="1"/>
  <c r="BH459" i="1"/>
  <c r="BJ459" i="1" s="1"/>
  <c r="AI459" i="1"/>
  <c r="BM459" i="1" s="1"/>
  <c r="AH459" i="1"/>
  <c r="BK459" i="1" s="1"/>
  <c r="BI458" i="1"/>
  <c r="BL458" i="1" s="1"/>
  <c r="BH458" i="1"/>
  <c r="BJ458" i="1" s="1"/>
  <c r="AI458" i="1"/>
  <c r="BM458" i="1" s="1"/>
  <c r="AH458" i="1"/>
  <c r="BK458" i="1" s="1"/>
  <c r="BI457" i="1"/>
  <c r="BL457" i="1" s="1"/>
  <c r="BH457" i="1"/>
  <c r="BJ457" i="1" s="1"/>
  <c r="AI457" i="1"/>
  <c r="BM457" i="1" s="1"/>
  <c r="AH457" i="1"/>
  <c r="BK457" i="1" s="1"/>
  <c r="BJ456" i="1"/>
  <c r="BK456" i="1" s="1"/>
  <c r="BI456" i="1"/>
  <c r="BL456" i="1" s="1"/>
  <c r="BM456" i="1" s="1"/>
  <c r="BH456" i="1"/>
  <c r="AI456" i="1"/>
  <c r="AH456" i="1"/>
  <c r="BI455" i="1"/>
  <c r="BL455" i="1" s="1"/>
  <c r="BH455" i="1"/>
  <c r="BJ455" i="1" s="1"/>
  <c r="AI455" i="1"/>
  <c r="BM455" i="1" s="1"/>
  <c r="AH455" i="1"/>
  <c r="BK455" i="1" s="1"/>
  <c r="BI454" i="1"/>
  <c r="BL454" i="1" s="1"/>
  <c r="BH454" i="1"/>
  <c r="BJ454" i="1" s="1"/>
  <c r="AI454" i="1"/>
  <c r="BM454" i="1" s="1"/>
  <c r="AH454" i="1"/>
  <c r="BK454" i="1" s="1"/>
  <c r="BI453" i="1"/>
  <c r="BL453" i="1" s="1"/>
  <c r="BH453" i="1"/>
  <c r="BJ453" i="1" s="1"/>
  <c r="AI453" i="1"/>
  <c r="BM453" i="1" s="1"/>
  <c r="AH453" i="1"/>
  <c r="BK453" i="1" s="1"/>
  <c r="BI452" i="1"/>
  <c r="BL452" i="1" s="1"/>
  <c r="BH452" i="1"/>
  <c r="BJ452" i="1" s="1"/>
  <c r="AI452" i="1"/>
  <c r="BM452" i="1" s="1"/>
  <c r="AH452" i="1"/>
  <c r="BK452" i="1" s="1"/>
  <c r="BI451" i="1"/>
  <c r="BL451" i="1" s="1"/>
  <c r="BH451" i="1"/>
  <c r="BJ451" i="1" s="1"/>
  <c r="AI451" i="1"/>
  <c r="BM451" i="1" s="1"/>
  <c r="AH451" i="1"/>
  <c r="BK451" i="1" s="1"/>
  <c r="BI450" i="1"/>
  <c r="BL450" i="1" s="1"/>
  <c r="BH450" i="1"/>
  <c r="BJ450" i="1" s="1"/>
  <c r="AI450" i="1"/>
  <c r="BM450" i="1" s="1"/>
  <c r="AH450" i="1"/>
  <c r="BK450" i="1" s="1"/>
  <c r="BI449" i="1"/>
  <c r="BL449" i="1" s="1"/>
  <c r="BH449" i="1"/>
  <c r="BJ449" i="1" s="1"/>
  <c r="AI449" i="1"/>
  <c r="BM449" i="1" s="1"/>
  <c r="AH449" i="1"/>
  <c r="BK449" i="1" s="1"/>
  <c r="BI448" i="1"/>
  <c r="BL448" i="1" s="1"/>
  <c r="BH448" i="1"/>
  <c r="BJ448" i="1" s="1"/>
  <c r="AI448" i="1"/>
  <c r="BM448" i="1" s="1"/>
  <c r="AH448" i="1"/>
  <c r="BK448" i="1" s="1"/>
  <c r="BI447" i="1"/>
  <c r="BL447" i="1" s="1"/>
  <c r="BH447" i="1"/>
  <c r="BJ447" i="1" s="1"/>
  <c r="AI447" i="1"/>
  <c r="BM447" i="1" s="1"/>
  <c r="AH447" i="1"/>
  <c r="BK447" i="1" s="1"/>
  <c r="BI446" i="1"/>
  <c r="BL446" i="1" s="1"/>
  <c r="BH446" i="1"/>
  <c r="BJ446" i="1" s="1"/>
  <c r="AI446" i="1"/>
  <c r="BM446" i="1" s="1"/>
  <c r="AH446" i="1"/>
  <c r="BK446" i="1" s="1"/>
  <c r="BI445" i="1"/>
  <c r="BL445" i="1" s="1"/>
  <c r="BH445" i="1"/>
  <c r="BJ445" i="1" s="1"/>
  <c r="AI445" i="1"/>
  <c r="BM445" i="1" s="1"/>
  <c r="AH445" i="1"/>
  <c r="BK445" i="1" s="1"/>
  <c r="BI444" i="1"/>
  <c r="BL444" i="1" s="1"/>
  <c r="BH444" i="1"/>
  <c r="BJ444" i="1" s="1"/>
  <c r="AI444" i="1"/>
  <c r="AH444" i="1"/>
  <c r="BK444" i="1" s="1"/>
  <c r="BI443" i="1"/>
  <c r="BL443" i="1" s="1"/>
  <c r="BH443" i="1"/>
  <c r="BJ443" i="1" s="1"/>
  <c r="AI443" i="1"/>
  <c r="BM443" i="1" s="1"/>
  <c r="AH443" i="1"/>
  <c r="BK443" i="1" s="1"/>
  <c r="BI442" i="1"/>
  <c r="BL442" i="1" s="1"/>
  <c r="BH442" i="1"/>
  <c r="BJ442" i="1" s="1"/>
  <c r="AI442" i="1"/>
  <c r="BM442" i="1" s="1"/>
  <c r="AH442" i="1"/>
  <c r="BK442" i="1" s="1"/>
  <c r="BI441" i="1"/>
  <c r="BL441" i="1" s="1"/>
  <c r="BH441" i="1"/>
  <c r="BJ441" i="1" s="1"/>
  <c r="AI441" i="1"/>
  <c r="BM441" i="1" s="1"/>
  <c r="AH441" i="1"/>
  <c r="BK441" i="1" s="1"/>
  <c r="BI440" i="1"/>
  <c r="BL440" i="1" s="1"/>
  <c r="BH440" i="1"/>
  <c r="BJ440" i="1" s="1"/>
  <c r="AI440" i="1"/>
  <c r="BM440" i="1" s="1"/>
  <c r="AH440" i="1"/>
  <c r="BK440" i="1" s="1"/>
  <c r="BI439" i="1"/>
  <c r="BL439" i="1" s="1"/>
  <c r="BH439" i="1"/>
  <c r="BJ439" i="1" s="1"/>
  <c r="AI439" i="1"/>
  <c r="BM439" i="1" s="1"/>
  <c r="AH439" i="1"/>
  <c r="BK439" i="1" s="1"/>
  <c r="BI438" i="1"/>
  <c r="BL438" i="1" s="1"/>
  <c r="BH438" i="1"/>
  <c r="BJ438" i="1" s="1"/>
  <c r="AI438" i="1"/>
  <c r="AH438" i="1"/>
  <c r="BK438" i="1" s="1"/>
  <c r="BI437" i="1"/>
  <c r="BL437" i="1" s="1"/>
  <c r="BH437" i="1"/>
  <c r="BJ437" i="1" s="1"/>
  <c r="AI437" i="1"/>
  <c r="BM437" i="1" s="1"/>
  <c r="AH437" i="1"/>
  <c r="BK437" i="1" s="1"/>
  <c r="BI436" i="1"/>
  <c r="BL436" i="1" s="1"/>
  <c r="BH436" i="1"/>
  <c r="BJ436" i="1" s="1"/>
  <c r="AI436" i="1"/>
  <c r="BM436" i="1" s="1"/>
  <c r="AH436" i="1"/>
  <c r="BK436" i="1" s="1"/>
  <c r="BI435" i="1"/>
  <c r="BL435" i="1" s="1"/>
  <c r="BH435" i="1"/>
  <c r="BJ435" i="1" s="1"/>
  <c r="AI435" i="1"/>
  <c r="BM435" i="1" s="1"/>
  <c r="AH435" i="1"/>
  <c r="BK435" i="1" s="1"/>
  <c r="BI434" i="1"/>
  <c r="BL434" i="1" s="1"/>
  <c r="BH434" i="1"/>
  <c r="BJ434" i="1" s="1"/>
  <c r="AI434" i="1"/>
  <c r="BM434" i="1" s="1"/>
  <c r="AH434" i="1"/>
  <c r="BK434" i="1" s="1"/>
  <c r="BI433" i="1"/>
  <c r="BL433" i="1" s="1"/>
  <c r="BH433" i="1"/>
  <c r="BJ433" i="1" s="1"/>
  <c r="AI433" i="1"/>
  <c r="BM433" i="1" s="1"/>
  <c r="AH433" i="1"/>
  <c r="BK433" i="1" s="1"/>
  <c r="BI432" i="1"/>
  <c r="BL432" i="1" s="1"/>
  <c r="BH432" i="1"/>
  <c r="BJ432" i="1" s="1"/>
  <c r="AI432" i="1"/>
  <c r="BM432" i="1" s="1"/>
  <c r="AH432" i="1"/>
  <c r="BK432" i="1" s="1"/>
  <c r="BI431" i="1"/>
  <c r="BL431" i="1" s="1"/>
  <c r="BH431" i="1"/>
  <c r="BJ431" i="1" s="1"/>
  <c r="AI431" i="1"/>
  <c r="BM431" i="1" s="1"/>
  <c r="AH431" i="1"/>
  <c r="BK431" i="1" s="1"/>
  <c r="BI430" i="1"/>
  <c r="BL430" i="1" s="1"/>
  <c r="BH430" i="1"/>
  <c r="BJ430" i="1" s="1"/>
  <c r="AI430" i="1"/>
  <c r="BM430" i="1" s="1"/>
  <c r="AH430" i="1"/>
  <c r="BK430" i="1" s="1"/>
  <c r="BI429" i="1"/>
  <c r="BL429" i="1" s="1"/>
  <c r="BH429" i="1"/>
  <c r="BJ429" i="1" s="1"/>
  <c r="AI429" i="1"/>
  <c r="BM429" i="1" s="1"/>
  <c r="AH429" i="1"/>
  <c r="BK429" i="1" s="1"/>
  <c r="BI428" i="1"/>
  <c r="BL428" i="1" s="1"/>
  <c r="BH428" i="1"/>
  <c r="BJ428" i="1" s="1"/>
  <c r="AI428" i="1"/>
  <c r="BM428" i="1" s="1"/>
  <c r="AH428" i="1"/>
  <c r="BK428" i="1" s="1"/>
  <c r="BI427" i="1"/>
  <c r="BL427" i="1" s="1"/>
  <c r="BH427" i="1"/>
  <c r="BJ427" i="1" s="1"/>
  <c r="AI427" i="1"/>
  <c r="BM427" i="1" s="1"/>
  <c r="AH427" i="1"/>
  <c r="BI426" i="1"/>
  <c r="BL426" i="1" s="1"/>
  <c r="BH426" i="1"/>
  <c r="BJ426" i="1" s="1"/>
  <c r="AI426" i="1"/>
  <c r="AH426" i="1"/>
  <c r="BK426" i="1" s="1"/>
  <c r="BI425" i="1"/>
  <c r="BL425" i="1" s="1"/>
  <c r="BH425" i="1"/>
  <c r="BJ425" i="1" s="1"/>
  <c r="AI425" i="1"/>
  <c r="BM425" i="1" s="1"/>
  <c r="AH425" i="1"/>
  <c r="BK425" i="1" s="1"/>
  <c r="BI424" i="1"/>
  <c r="BL424" i="1" s="1"/>
  <c r="BH424" i="1"/>
  <c r="BJ424" i="1" s="1"/>
  <c r="AI424" i="1"/>
  <c r="BM424" i="1" s="1"/>
  <c r="AH424" i="1"/>
  <c r="BK424" i="1" s="1"/>
  <c r="BI423" i="1"/>
  <c r="BL423" i="1" s="1"/>
  <c r="BH423" i="1"/>
  <c r="BJ423" i="1" s="1"/>
  <c r="AI423" i="1"/>
  <c r="BM423" i="1" s="1"/>
  <c r="AH423" i="1"/>
  <c r="BK423" i="1" s="1"/>
  <c r="BI422" i="1"/>
  <c r="BL422" i="1" s="1"/>
  <c r="BH422" i="1"/>
  <c r="BJ422" i="1" s="1"/>
  <c r="AI422" i="1"/>
  <c r="BM422" i="1" s="1"/>
  <c r="AH422" i="1"/>
  <c r="BK422" i="1" s="1"/>
  <c r="BI421" i="1"/>
  <c r="BL421" i="1" s="1"/>
  <c r="BH421" i="1"/>
  <c r="BJ421" i="1" s="1"/>
  <c r="AI421" i="1"/>
  <c r="BM421" i="1" s="1"/>
  <c r="AH421" i="1"/>
  <c r="BI420" i="1"/>
  <c r="BL420" i="1" s="1"/>
  <c r="BH420" i="1"/>
  <c r="BJ420" i="1" s="1"/>
  <c r="AI420" i="1"/>
  <c r="BM420" i="1" s="1"/>
  <c r="AH420" i="1"/>
  <c r="BK420" i="1" s="1"/>
  <c r="BI419" i="1"/>
  <c r="BL419" i="1" s="1"/>
  <c r="BH419" i="1"/>
  <c r="BJ419" i="1" s="1"/>
  <c r="AI419" i="1"/>
  <c r="BM419" i="1" s="1"/>
  <c r="AH419" i="1"/>
  <c r="BK419" i="1" s="1"/>
  <c r="BI418" i="1"/>
  <c r="BL418" i="1" s="1"/>
  <c r="BH418" i="1"/>
  <c r="BJ418" i="1" s="1"/>
  <c r="AI418" i="1"/>
  <c r="BM418" i="1" s="1"/>
  <c r="AH418" i="1"/>
  <c r="BK418" i="1" s="1"/>
  <c r="BI417" i="1"/>
  <c r="BL417" i="1" s="1"/>
  <c r="BH417" i="1"/>
  <c r="BJ417" i="1" s="1"/>
  <c r="AI417" i="1"/>
  <c r="BM417" i="1" s="1"/>
  <c r="AH417" i="1"/>
  <c r="BK417" i="1" s="1"/>
  <c r="BI416" i="1"/>
  <c r="BL416" i="1" s="1"/>
  <c r="BH416" i="1"/>
  <c r="BJ416" i="1" s="1"/>
  <c r="AI416" i="1"/>
  <c r="BM416" i="1" s="1"/>
  <c r="AH416" i="1"/>
  <c r="BK416" i="1" s="1"/>
  <c r="BI415" i="1"/>
  <c r="BL415" i="1" s="1"/>
  <c r="BH415" i="1"/>
  <c r="BJ415" i="1" s="1"/>
  <c r="AI415" i="1"/>
  <c r="BM415" i="1" s="1"/>
  <c r="AH415" i="1"/>
  <c r="BK415" i="1" s="1"/>
  <c r="BI414" i="1"/>
  <c r="BL414" i="1" s="1"/>
  <c r="BH414" i="1"/>
  <c r="BJ414" i="1" s="1"/>
  <c r="AI414" i="1"/>
  <c r="BM414" i="1" s="1"/>
  <c r="AH414" i="1"/>
  <c r="BK414" i="1" s="1"/>
  <c r="BI413" i="1"/>
  <c r="BL413" i="1" s="1"/>
  <c r="BH413" i="1"/>
  <c r="BJ413" i="1" s="1"/>
  <c r="AI413" i="1"/>
  <c r="BM413" i="1" s="1"/>
  <c r="AH413" i="1"/>
  <c r="BK413" i="1" s="1"/>
  <c r="BI412" i="1"/>
  <c r="BL412" i="1" s="1"/>
  <c r="BH412" i="1"/>
  <c r="BJ412" i="1" s="1"/>
  <c r="AI412" i="1"/>
  <c r="BM412" i="1" s="1"/>
  <c r="AH412" i="1"/>
  <c r="BK412" i="1" s="1"/>
  <c r="BI411" i="1"/>
  <c r="BL411" i="1" s="1"/>
  <c r="BH411" i="1"/>
  <c r="BJ411" i="1" s="1"/>
  <c r="AI411" i="1"/>
  <c r="BM411" i="1" s="1"/>
  <c r="AH411" i="1"/>
  <c r="BK411" i="1" s="1"/>
  <c r="BI410" i="1"/>
  <c r="BL410" i="1" s="1"/>
  <c r="BH410" i="1"/>
  <c r="BJ410" i="1" s="1"/>
  <c r="AI410" i="1"/>
  <c r="BM410" i="1" s="1"/>
  <c r="AH410" i="1"/>
  <c r="BK410" i="1" s="1"/>
  <c r="BI409" i="1"/>
  <c r="BL409" i="1" s="1"/>
  <c r="BH409" i="1"/>
  <c r="BJ409" i="1" s="1"/>
  <c r="AI409" i="1"/>
  <c r="BM409" i="1" s="1"/>
  <c r="AH409" i="1"/>
  <c r="BK409" i="1" s="1"/>
  <c r="BI408" i="1"/>
  <c r="BL408" i="1" s="1"/>
  <c r="BH408" i="1"/>
  <c r="BJ408" i="1" s="1"/>
  <c r="AI408" i="1"/>
  <c r="BM408" i="1" s="1"/>
  <c r="AH408" i="1"/>
  <c r="BK408" i="1" s="1"/>
  <c r="BI407" i="1"/>
  <c r="BL407" i="1" s="1"/>
  <c r="BH407" i="1"/>
  <c r="BJ407" i="1" s="1"/>
  <c r="AI407" i="1"/>
  <c r="BM407" i="1" s="1"/>
  <c r="AH407" i="1"/>
  <c r="BK407" i="1" s="1"/>
  <c r="BI406" i="1"/>
  <c r="BL406" i="1" s="1"/>
  <c r="BH406" i="1"/>
  <c r="BJ406" i="1" s="1"/>
  <c r="AI406" i="1"/>
  <c r="BM406" i="1" s="1"/>
  <c r="AH406" i="1"/>
  <c r="BK406" i="1" s="1"/>
  <c r="BI405" i="1"/>
  <c r="BL405" i="1" s="1"/>
  <c r="BH405" i="1"/>
  <c r="BJ405" i="1" s="1"/>
  <c r="AI405" i="1"/>
  <c r="BM405" i="1" s="1"/>
  <c r="AH405" i="1"/>
  <c r="BK405" i="1" s="1"/>
  <c r="BI404" i="1"/>
  <c r="BL404" i="1" s="1"/>
  <c r="BH404" i="1"/>
  <c r="BJ404" i="1" s="1"/>
  <c r="AI404" i="1"/>
  <c r="BM404" i="1" s="1"/>
  <c r="AH404" i="1"/>
  <c r="BK404" i="1" s="1"/>
  <c r="BI403" i="1"/>
  <c r="BL403" i="1" s="1"/>
  <c r="BH403" i="1"/>
  <c r="BJ403" i="1" s="1"/>
  <c r="AI403" i="1"/>
  <c r="BM403" i="1" s="1"/>
  <c r="AH403" i="1"/>
  <c r="BK403" i="1" s="1"/>
  <c r="BI402" i="1"/>
  <c r="BL402" i="1" s="1"/>
  <c r="BH402" i="1"/>
  <c r="BJ402" i="1" s="1"/>
  <c r="AI402" i="1"/>
  <c r="BM402" i="1" s="1"/>
  <c r="AH402" i="1"/>
  <c r="BK402" i="1" s="1"/>
  <c r="BI401" i="1"/>
  <c r="BL401" i="1" s="1"/>
  <c r="BH401" i="1"/>
  <c r="BJ401" i="1" s="1"/>
  <c r="AI401" i="1"/>
  <c r="BM401" i="1" s="1"/>
  <c r="AH401" i="1"/>
  <c r="BK401" i="1" s="1"/>
  <c r="BI400" i="1"/>
  <c r="BL400" i="1" s="1"/>
  <c r="BH400" i="1"/>
  <c r="BJ400" i="1" s="1"/>
  <c r="AI400" i="1"/>
  <c r="BM400" i="1" s="1"/>
  <c r="AH400" i="1"/>
  <c r="BK400" i="1" s="1"/>
  <c r="BI399" i="1"/>
  <c r="BL399" i="1" s="1"/>
  <c r="BH399" i="1"/>
  <c r="BJ399" i="1" s="1"/>
  <c r="AI399" i="1"/>
  <c r="BM399" i="1" s="1"/>
  <c r="AH399" i="1"/>
  <c r="BK399" i="1" s="1"/>
  <c r="BI398" i="1"/>
  <c r="BL398" i="1" s="1"/>
  <c r="BH398" i="1"/>
  <c r="BJ398" i="1" s="1"/>
  <c r="AI398" i="1"/>
  <c r="BM398" i="1" s="1"/>
  <c r="AH398" i="1"/>
  <c r="BK398" i="1" s="1"/>
  <c r="BI397" i="1"/>
  <c r="BL397" i="1" s="1"/>
  <c r="BH397" i="1"/>
  <c r="BJ397" i="1" s="1"/>
  <c r="AI397" i="1"/>
  <c r="BM397" i="1" s="1"/>
  <c r="AH397" i="1"/>
  <c r="BK397" i="1" s="1"/>
  <c r="BI396" i="1"/>
  <c r="BL396" i="1" s="1"/>
  <c r="BH396" i="1"/>
  <c r="BJ396" i="1" s="1"/>
  <c r="AI396" i="1"/>
  <c r="BM396" i="1" s="1"/>
  <c r="AH396" i="1"/>
  <c r="BK396" i="1" s="1"/>
  <c r="BI395" i="1"/>
  <c r="BL395" i="1" s="1"/>
  <c r="BH395" i="1"/>
  <c r="BJ395" i="1" s="1"/>
  <c r="AI395" i="1"/>
  <c r="BM395" i="1" s="1"/>
  <c r="AH395" i="1"/>
  <c r="BK395" i="1" s="1"/>
  <c r="BI394" i="1"/>
  <c r="BL394" i="1" s="1"/>
  <c r="BH394" i="1"/>
  <c r="BJ394" i="1" s="1"/>
  <c r="AI394" i="1"/>
  <c r="BM394" i="1" s="1"/>
  <c r="AH394" i="1"/>
  <c r="BK394" i="1" s="1"/>
  <c r="BI393" i="1"/>
  <c r="BL393" i="1" s="1"/>
  <c r="BH393" i="1"/>
  <c r="BJ393" i="1" s="1"/>
  <c r="AI393" i="1"/>
  <c r="BM393" i="1" s="1"/>
  <c r="AH393" i="1"/>
  <c r="BK393" i="1" s="1"/>
  <c r="BI392" i="1"/>
  <c r="BL392" i="1" s="1"/>
  <c r="BH392" i="1"/>
  <c r="BJ392" i="1" s="1"/>
  <c r="AI392" i="1"/>
  <c r="BM392" i="1" s="1"/>
  <c r="AH392" i="1"/>
  <c r="BK392" i="1" s="1"/>
  <c r="BI391" i="1"/>
  <c r="BL391" i="1" s="1"/>
  <c r="BH391" i="1"/>
  <c r="BJ391" i="1" s="1"/>
  <c r="AI391" i="1"/>
  <c r="BM391" i="1" s="1"/>
  <c r="AH391" i="1"/>
  <c r="BK391" i="1" s="1"/>
  <c r="BI390" i="1"/>
  <c r="BL390" i="1" s="1"/>
  <c r="BH390" i="1"/>
  <c r="BJ390" i="1" s="1"/>
  <c r="AI390" i="1"/>
  <c r="BM390" i="1" s="1"/>
  <c r="AH390" i="1"/>
  <c r="BK390" i="1" s="1"/>
  <c r="BI389" i="1"/>
  <c r="BL389" i="1" s="1"/>
  <c r="BH389" i="1"/>
  <c r="BJ389" i="1" s="1"/>
  <c r="AI389" i="1"/>
  <c r="BM389" i="1" s="1"/>
  <c r="AH389" i="1"/>
  <c r="BK389" i="1" s="1"/>
  <c r="BI388" i="1"/>
  <c r="BL388" i="1" s="1"/>
  <c r="BH388" i="1"/>
  <c r="BJ388" i="1" s="1"/>
  <c r="AI388" i="1"/>
  <c r="BM388" i="1" s="1"/>
  <c r="AH388" i="1"/>
  <c r="BK388" i="1" s="1"/>
  <c r="BI387" i="1"/>
  <c r="BL387" i="1" s="1"/>
  <c r="BH387" i="1"/>
  <c r="BJ387" i="1" s="1"/>
  <c r="AI387" i="1"/>
  <c r="BM387" i="1" s="1"/>
  <c r="AH387" i="1"/>
  <c r="BK387" i="1" s="1"/>
  <c r="BI386" i="1"/>
  <c r="BL386" i="1" s="1"/>
  <c r="BH386" i="1"/>
  <c r="BJ386" i="1" s="1"/>
  <c r="AI386" i="1"/>
  <c r="BM386" i="1" s="1"/>
  <c r="AH386" i="1"/>
  <c r="BK386" i="1" s="1"/>
  <c r="BI385" i="1"/>
  <c r="BL385" i="1" s="1"/>
  <c r="BH385" i="1"/>
  <c r="BJ385" i="1" s="1"/>
  <c r="AI385" i="1"/>
  <c r="BM385" i="1" s="1"/>
  <c r="AH385" i="1"/>
  <c r="BK385" i="1" s="1"/>
  <c r="BI384" i="1"/>
  <c r="BL384" i="1" s="1"/>
  <c r="BH384" i="1"/>
  <c r="BJ384" i="1" s="1"/>
  <c r="AI384" i="1"/>
  <c r="BM384" i="1" s="1"/>
  <c r="AH384" i="1"/>
  <c r="BK384" i="1" s="1"/>
  <c r="BI383" i="1"/>
  <c r="BL383" i="1" s="1"/>
  <c r="BH383" i="1"/>
  <c r="BJ383" i="1" s="1"/>
  <c r="AI383" i="1"/>
  <c r="BM383" i="1" s="1"/>
  <c r="AH383" i="1"/>
  <c r="BK383" i="1" s="1"/>
  <c r="BI382" i="1"/>
  <c r="BL382" i="1" s="1"/>
  <c r="BH382" i="1"/>
  <c r="BJ382" i="1" s="1"/>
  <c r="AI382" i="1"/>
  <c r="BM382" i="1" s="1"/>
  <c r="AH382" i="1"/>
  <c r="BK382" i="1" s="1"/>
  <c r="BI381" i="1"/>
  <c r="BL381" i="1" s="1"/>
  <c r="BH381" i="1"/>
  <c r="BJ381" i="1" s="1"/>
  <c r="AI381" i="1"/>
  <c r="BM381" i="1" s="1"/>
  <c r="AH381" i="1"/>
  <c r="BK381" i="1" s="1"/>
  <c r="BI380" i="1"/>
  <c r="BL380" i="1" s="1"/>
  <c r="BH380" i="1"/>
  <c r="BJ380" i="1" s="1"/>
  <c r="AI380" i="1"/>
  <c r="BM380" i="1" s="1"/>
  <c r="AH380" i="1"/>
  <c r="BK380" i="1" s="1"/>
  <c r="BI379" i="1"/>
  <c r="BL379" i="1" s="1"/>
  <c r="BH379" i="1"/>
  <c r="BJ379" i="1" s="1"/>
  <c r="AI379" i="1"/>
  <c r="BM379" i="1" s="1"/>
  <c r="AH379" i="1"/>
  <c r="BK379" i="1" s="1"/>
  <c r="BI378" i="1"/>
  <c r="BL378" i="1" s="1"/>
  <c r="BH378" i="1"/>
  <c r="BJ378" i="1" s="1"/>
  <c r="AI378" i="1"/>
  <c r="BM378" i="1" s="1"/>
  <c r="AH378" i="1"/>
  <c r="BK378" i="1" s="1"/>
  <c r="BI377" i="1"/>
  <c r="BL377" i="1" s="1"/>
  <c r="BH377" i="1"/>
  <c r="BJ377" i="1" s="1"/>
  <c r="AI377" i="1"/>
  <c r="BM377" i="1" s="1"/>
  <c r="AH377" i="1"/>
  <c r="BK377" i="1" s="1"/>
  <c r="BI376" i="1"/>
  <c r="BL376" i="1" s="1"/>
  <c r="BH376" i="1"/>
  <c r="BJ376" i="1" s="1"/>
  <c r="AI376" i="1"/>
  <c r="BM376" i="1" s="1"/>
  <c r="AH376" i="1"/>
  <c r="BK376" i="1" s="1"/>
  <c r="BI375" i="1"/>
  <c r="BL375" i="1" s="1"/>
  <c r="BH375" i="1"/>
  <c r="BJ375" i="1" s="1"/>
  <c r="AI375" i="1"/>
  <c r="BM375" i="1" s="1"/>
  <c r="AH375" i="1"/>
  <c r="BK375" i="1" s="1"/>
  <c r="BI374" i="1"/>
  <c r="BL374" i="1" s="1"/>
  <c r="BH374" i="1"/>
  <c r="BJ374" i="1" s="1"/>
  <c r="AI374" i="1"/>
  <c r="BM374" i="1" s="1"/>
  <c r="AH374" i="1"/>
  <c r="BK374" i="1" s="1"/>
  <c r="BI373" i="1"/>
  <c r="BL373" i="1" s="1"/>
  <c r="BH373" i="1"/>
  <c r="BJ373" i="1" s="1"/>
  <c r="AI373" i="1"/>
  <c r="BM373" i="1" s="1"/>
  <c r="AH373" i="1"/>
  <c r="BK373" i="1" s="1"/>
  <c r="BI372" i="1"/>
  <c r="BL372" i="1" s="1"/>
  <c r="BH372" i="1"/>
  <c r="BJ372" i="1" s="1"/>
  <c r="AI372" i="1"/>
  <c r="BM372" i="1" s="1"/>
  <c r="AH372" i="1"/>
  <c r="BK372" i="1" s="1"/>
  <c r="BI371" i="1"/>
  <c r="BL371" i="1" s="1"/>
  <c r="BH371" i="1"/>
  <c r="BJ371" i="1" s="1"/>
  <c r="AI371" i="1"/>
  <c r="BM371" i="1" s="1"/>
  <c r="AH371" i="1"/>
  <c r="BI370" i="1"/>
  <c r="BL370" i="1" s="1"/>
  <c r="BH370" i="1"/>
  <c r="BJ370" i="1" s="1"/>
  <c r="AI370" i="1"/>
  <c r="BM370" i="1" s="1"/>
  <c r="AH370" i="1"/>
  <c r="BK370" i="1" s="1"/>
  <c r="BI369" i="1"/>
  <c r="BL369" i="1" s="1"/>
  <c r="BH369" i="1"/>
  <c r="BJ369" i="1" s="1"/>
  <c r="AI369" i="1"/>
  <c r="BM369" i="1" s="1"/>
  <c r="AH369" i="1"/>
  <c r="BK369" i="1" s="1"/>
  <c r="BI368" i="1"/>
  <c r="BL368" i="1" s="1"/>
  <c r="BH368" i="1"/>
  <c r="BJ368" i="1" s="1"/>
  <c r="AI368" i="1"/>
  <c r="BM368" i="1" s="1"/>
  <c r="AH368" i="1"/>
  <c r="BK368" i="1" s="1"/>
  <c r="BI367" i="1"/>
  <c r="BL367" i="1" s="1"/>
  <c r="BH367" i="1"/>
  <c r="BJ367" i="1" s="1"/>
  <c r="AI367" i="1"/>
  <c r="BM367" i="1" s="1"/>
  <c r="AH367" i="1"/>
  <c r="BK367" i="1" s="1"/>
  <c r="BI366" i="1"/>
  <c r="BL366" i="1" s="1"/>
  <c r="BH366" i="1"/>
  <c r="BJ366" i="1" s="1"/>
  <c r="AI366" i="1"/>
  <c r="BM366" i="1" s="1"/>
  <c r="AH366" i="1"/>
  <c r="BK366" i="1" s="1"/>
  <c r="BL365" i="1"/>
  <c r="BM365" i="1" s="1"/>
  <c r="BJ365" i="1"/>
  <c r="BK365" i="1" s="1"/>
  <c r="BI365" i="1"/>
  <c r="BH365" i="1"/>
  <c r="AI365" i="1"/>
  <c r="AH365" i="1"/>
  <c r="BI364" i="1"/>
  <c r="BL364" i="1" s="1"/>
  <c r="BH364" i="1"/>
  <c r="BJ364" i="1" s="1"/>
  <c r="AI364" i="1"/>
  <c r="BM364" i="1" s="1"/>
  <c r="AH364" i="1"/>
  <c r="BK364" i="1" s="1"/>
  <c r="BI363" i="1"/>
  <c r="BL363" i="1" s="1"/>
  <c r="BH363" i="1"/>
  <c r="BJ363" i="1" s="1"/>
  <c r="AI363" i="1"/>
  <c r="BM363" i="1" s="1"/>
  <c r="AH363" i="1"/>
  <c r="BK363" i="1" s="1"/>
  <c r="BI362" i="1"/>
  <c r="BL362" i="1" s="1"/>
  <c r="BH362" i="1"/>
  <c r="BJ362" i="1" s="1"/>
  <c r="AI362" i="1"/>
  <c r="BM362" i="1" s="1"/>
  <c r="AH362" i="1"/>
  <c r="BK362" i="1" s="1"/>
  <c r="BI361" i="1"/>
  <c r="BL361" i="1" s="1"/>
  <c r="BH361" i="1"/>
  <c r="BJ361" i="1" s="1"/>
  <c r="AI361" i="1"/>
  <c r="BM361" i="1" s="1"/>
  <c r="AH361" i="1"/>
  <c r="BK361" i="1" s="1"/>
  <c r="BI360" i="1"/>
  <c r="BL360" i="1" s="1"/>
  <c r="BH360" i="1"/>
  <c r="BJ360" i="1" s="1"/>
  <c r="AI360" i="1"/>
  <c r="BM360" i="1" s="1"/>
  <c r="AH360" i="1"/>
  <c r="BK360" i="1" s="1"/>
  <c r="BI359" i="1"/>
  <c r="BL359" i="1" s="1"/>
  <c r="BH359" i="1"/>
  <c r="BJ359" i="1" s="1"/>
  <c r="AI359" i="1"/>
  <c r="BM359" i="1" s="1"/>
  <c r="AH359" i="1"/>
  <c r="BK359" i="1" s="1"/>
  <c r="BI358" i="1"/>
  <c r="BL358" i="1" s="1"/>
  <c r="BH358" i="1"/>
  <c r="BJ358" i="1" s="1"/>
  <c r="AI358" i="1"/>
  <c r="BM358" i="1" s="1"/>
  <c r="AH358" i="1"/>
  <c r="BK358" i="1" s="1"/>
  <c r="BI357" i="1"/>
  <c r="BL357" i="1" s="1"/>
  <c r="BH357" i="1"/>
  <c r="BJ357" i="1" s="1"/>
  <c r="AI357" i="1"/>
  <c r="BM357" i="1" s="1"/>
  <c r="AH357" i="1"/>
  <c r="BK357" i="1" s="1"/>
  <c r="BI356" i="1"/>
  <c r="BL356" i="1" s="1"/>
  <c r="BH356" i="1"/>
  <c r="BJ356" i="1" s="1"/>
  <c r="AI356" i="1"/>
  <c r="BM356" i="1" s="1"/>
  <c r="AH356" i="1"/>
  <c r="BK356" i="1" s="1"/>
  <c r="BI355" i="1"/>
  <c r="BL355" i="1" s="1"/>
  <c r="BH355" i="1"/>
  <c r="BJ355" i="1" s="1"/>
  <c r="AI355" i="1"/>
  <c r="BM355" i="1" s="1"/>
  <c r="AH355" i="1"/>
  <c r="BK355" i="1" s="1"/>
  <c r="BI354" i="1"/>
  <c r="BL354" i="1" s="1"/>
  <c r="BH354" i="1"/>
  <c r="BJ354" i="1" s="1"/>
  <c r="AI354" i="1"/>
  <c r="BM354" i="1" s="1"/>
  <c r="AH354" i="1"/>
  <c r="BK354" i="1" s="1"/>
  <c r="BI353" i="1"/>
  <c r="BL353" i="1" s="1"/>
  <c r="BH353" i="1"/>
  <c r="BJ353" i="1" s="1"/>
  <c r="AI353" i="1"/>
  <c r="BM353" i="1" s="1"/>
  <c r="AH353" i="1"/>
  <c r="BK353" i="1" s="1"/>
  <c r="BI352" i="1"/>
  <c r="BL352" i="1" s="1"/>
  <c r="BH352" i="1"/>
  <c r="BJ352" i="1" s="1"/>
  <c r="AI352" i="1"/>
  <c r="BM352" i="1" s="1"/>
  <c r="AH352" i="1"/>
  <c r="BK352" i="1" s="1"/>
  <c r="BI351" i="1"/>
  <c r="BL351" i="1" s="1"/>
  <c r="BH351" i="1"/>
  <c r="BJ351" i="1" s="1"/>
  <c r="AI351" i="1"/>
  <c r="BM351" i="1" s="1"/>
  <c r="AH351" i="1"/>
  <c r="BK351" i="1" s="1"/>
  <c r="BI350" i="1"/>
  <c r="BL350" i="1" s="1"/>
  <c r="BH350" i="1"/>
  <c r="BJ350" i="1" s="1"/>
  <c r="AI350" i="1"/>
  <c r="BM350" i="1" s="1"/>
  <c r="AH350" i="1"/>
  <c r="BK350" i="1" s="1"/>
  <c r="BI349" i="1"/>
  <c r="BL349" i="1" s="1"/>
  <c r="BH349" i="1"/>
  <c r="BJ349" i="1" s="1"/>
  <c r="AI349" i="1"/>
  <c r="BM349" i="1" s="1"/>
  <c r="AH349" i="1"/>
  <c r="BK349" i="1" s="1"/>
  <c r="BI348" i="1"/>
  <c r="BL348" i="1" s="1"/>
  <c r="BH348" i="1"/>
  <c r="BJ348" i="1" s="1"/>
  <c r="AI348" i="1"/>
  <c r="BM348" i="1" s="1"/>
  <c r="AH348" i="1"/>
  <c r="BK348" i="1" s="1"/>
  <c r="BI347" i="1"/>
  <c r="BL347" i="1" s="1"/>
  <c r="BH347" i="1"/>
  <c r="BJ347" i="1" s="1"/>
  <c r="AI347" i="1"/>
  <c r="BM347" i="1" s="1"/>
  <c r="AH347" i="1"/>
  <c r="BK347" i="1" s="1"/>
  <c r="BI346" i="1"/>
  <c r="BL346" i="1" s="1"/>
  <c r="BH346" i="1"/>
  <c r="BJ346" i="1" s="1"/>
  <c r="AI346" i="1"/>
  <c r="BM346" i="1" s="1"/>
  <c r="AH346" i="1"/>
  <c r="BK346" i="1" s="1"/>
  <c r="BI345" i="1"/>
  <c r="BL345" i="1" s="1"/>
  <c r="BH345" i="1"/>
  <c r="BJ345" i="1" s="1"/>
  <c r="AI345" i="1"/>
  <c r="BM345" i="1" s="1"/>
  <c r="AH345" i="1"/>
  <c r="BK345" i="1" s="1"/>
  <c r="BI344" i="1"/>
  <c r="BL344" i="1" s="1"/>
  <c r="BH344" i="1"/>
  <c r="BJ344" i="1" s="1"/>
  <c r="AI344" i="1"/>
  <c r="BM344" i="1" s="1"/>
  <c r="AH344" i="1"/>
  <c r="BK344" i="1" s="1"/>
  <c r="BI343" i="1"/>
  <c r="BL343" i="1" s="1"/>
  <c r="BH343" i="1"/>
  <c r="BJ343" i="1" s="1"/>
  <c r="AI343" i="1"/>
  <c r="BM343" i="1" s="1"/>
  <c r="AH343" i="1"/>
  <c r="BK343" i="1" s="1"/>
  <c r="BI342" i="1"/>
  <c r="BL342" i="1" s="1"/>
  <c r="BH342" i="1"/>
  <c r="BJ342" i="1" s="1"/>
  <c r="AI342" i="1"/>
  <c r="BM342" i="1" s="1"/>
  <c r="AH342" i="1"/>
  <c r="BK342" i="1" s="1"/>
  <c r="BI341" i="1"/>
  <c r="BL341" i="1" s="1"/>
  <c r="BH341" i="1"/>
  <c r="BJ341" i="1" s="1"/>
  <c r="AI341" i="1"/>
  <c r="BM341" i="1" s="1"/>
  <c r="AH341" i="1"/>
  <c r="BK341" i="1" s="1"/>
  <c r="BI340" i="1"/>
  <c r="BL340" i="1" s="1"/>
  <c r="BH340" i="1"/>
  <c r="BJ340" i="1" s="1"/>
  <c r="AI340" i="1"/>
  <c r="BM340" i="1" s="1"/>
  <c r="AH340" i="1"/>
  <c r="BK340" i="1" s="1"/>
  <c r="BI339" i="1"/>
  <c r="BL339" i="1" s="1"/>
  <c r="BH339" i="1"/>
  <c r="BJ339" i="1" s="1"/>
  <c r="AI339" i="1"/>
  <c r="BM339" i="1" s="1"/>
  <c r="AH339" i="1"/>
  <c r="BK339" i="1" s="1"/>
  <c r="BI338" i="1"/>
  <c r="BL338" i="1" s="1"/>
  <c r="BH338" i="1"/>
  <c r="BJ338" i="1" s="1"/>
  <c r="AI338" i="1"/>
  <c r="BM338" i="1" s="1"/>
  <c r="AH338" i="1"/>
  <c r="BK338" i="1" s="1"/>
  <c r="BI337" i="1"/>
  <c r="BL337" i="1" s="1"/>
  <c r="BH337" i="1"/>
  <c r="BJ337" i="1" s="1"/>
  <c r="AI337" i="1"/>
  <c r="BM337" i="1" s="1"/>
  <c r="AH337" i="1"/>
  <c r="BK337" i="1" s="1"/>
  <c r="BI336" i="1"/>
  <c r="BL336" i="1" s="1"/>
  <c r="BH336" i="1"/>
  <c r="BJ336" i="1" s="1"/>
  <c r="AI336" i="1"/>
  <c r="BM336" i="1" s="1"/>
  <c r="AH336" i="1"/>
  <c r="BK336" i="1" s="1"/>
  <c r="BI335" i="1"/>
  <c r="BL335" i="1" s="1"/>
  <c r="BH335" i="1"/>
  <c r="BJ335" i="1" s="1"/>
  <c r="AI335" i="1"/>
  <c r="BM335" i="1" s="1"/>
  <c r="AH335" i="1"/>
  <c r="BK335" i="1" s="1"/>
  <c r="BI334" i="1"/>
  <c r="BL334" i="1" s="1"/>
  <c r="BH334" i="1"/>
  <c r="BJ334" i="1" s="1"/>
  <c r="AI334" i="1"/>
  <c r="BM334" i="1" s="1"/>
  <c r="AH334" i="1"/>
  <c r="BK334" i="1" s="1"/>
  <c r="BI333" i="1"/>
  <c r="BL333" i="1" s="1"/>
  <c r="BH333" i="1"/>
  <c r="BJ333" i="1" s="1"/>
  <c r="AI333" i="1"/>
  <c r="BM333" i="1" s="1"/>
  <c r="AH333" i="1"/>
  <c r="BK333" i="1" s="1"/>
  <c r="BI332" i="1"/>
  <c r="BL332" i="1" s="1"/>
  <c r="BH332" i="1"/>
  <c r="BJ332" i="1" s="1"/>
  <c r="AI332" i="1"/>
  <c r="BM332" i="1" s="1"/>
  <c r="AH332" i="1"/>
  <c r="BK332" i="1" s="1"/>
  <c r="BI331" i="1"/>
  <c r="BL331" i="1" s="1"/>
  <c r="BH331" i="1"/>
  <c r="BJ331" i="1" s="1"/>
  <c r="AI331" i="1"/>
  <c r="BM331" i="1" s="1"/>
  <c r="AH331" i="1"/>
  <c r="BK331" i="1" s="1"/>
  <c r="BI330" i="1"/>
  <c r="BL330" i="1" s="1"/>
  <c r="BH330" i="1"/>
  <c r="BJ330" i="1" s="1"/>
  <c r="AI330" i="1"/>
  <c r="BM330" i="1" s="1"/>
  <c r="AH330" i="1"/>
  <c r="BK330" i="1" s="1"/>
  <c r="BI329" i="1"/>
  <c r="BL329" i="1" s="1"/>
  <c r="BH329" i="1"/>
  <c r="BJ329" i="1" s="1"/>
  <c r="AI329" i="1"/>
  <c r="BM329" i="1" s="1"/>
  <c r="AH329" i="1"/>
  <c r="BK329" i="1" s="1"/>
  <c r="BI328" i="1"/>
  <c r="BL328" i="1" s="1"/>
  <c r="BH328" i="1"/>
  <c r="BJ328" i="1" s="1"/>
  <c r="AI328" i="1"/>
  <c r="BM328" i="1" s="1"/>
  <c r="AH328" i="1"/>
  <c r="BK328" i="1" s="1"/>
  <c r="BI327" i="1"/>
  <c r="BL327" i="1" s="1"/>
  <c r="BH327" i="1"/>
  <c r="BJ327" i="1" s="1"/>
  <c r="AI327" i="1"/>
  <c r="BM327" i="1" s="1"/>
  <c r="AH327" i="1"/>
  <c r="BK327" i="1" s="1"/>
  <c r="BI326" i="1"/>
  <c r="BL326" i="1" s="1"/>
  <c r="BH326" i="1"/>
  <c r="BJ326" i="1" s="1"/>
  <c r="AI326" i="1"/>
  <c r="BM326" i="1" s="1"/>
  <c r="AH326" i="1"/>
  <c r="BK326" i="1" s="1"/>
  <c r="BI325" i="1"/>
  <c r="BL325" i="1" s="1"/>
  <c r="BH325" i="1"/>
  <c r="BJ325" i="1" s="1"/>
  <c r="AI325" i="1"/>
  <c r="BM325" i="1" s="1"/>
  <c r="AH325" i="1"/>
  <c r="BK325" i="1" s="1"/>
  <c r="BI324" i="1"/>
  <c r="BL324" i="1" s="1"/>
  <c r="BH324" i="1"/>
  <c r="BJ324" i="1" s="1"/>
  <c r="AI324" i="1"/>
  <c r="BM324" i="1" s="1"/>
  <c r="AH324" i="1"/>
  <c r="BK324" i="1" s="1"/>
  <c r="BI323" i="1"/>
  <c r="BL323" i="1" s="1"/>
  <c r="BH323" i="1"/>
  <c r="BJ323" i="1" s="1"/>
  <c r="AI323" i="1"/>
  <c r="BM323" i="1" s="1"/>
  <c r="AH323" i="1"/>
  <c r="BK323" i="1" s="1"/>
  <c r="BI322" i="1"/>
  <c r="BL322" i="1" s="1"/>
  <c r="BH322" i="1"/>
  <c r="BJ322" i="1" s="1"/>
  <c r="AI322" i="1"/>
  <c r="BM322" i="1" s="1"/>
  <c r="AH322" i="1"/>
  <c r="BK322" i="1" s="1"/>
  <c r="BI321" i="1"/>
  <c r="BL321" i="1" s="1"/>
  <c r="BH321" i="1"/>
  <c r="BJ321" i="1" s="1"/>
  <c r="AI321" i="1"/>
  <c r="BM321" i="1" s="1"/>
  <c r="AH321" i="1"/>
  <c r="BK321" i="1" s="1"/>
  <c r="BI320" i="1"/>
  <c r="BL320" i="1" s="1"/>
  <c r="BH320" i="1"/>
  <c r="BJ320" i="1" s="1"/>
  <c r="AI320" i="1"/>
  <c r="BM320" i="1" s="1"/>
  <c r="AH320" i="1"/>
  <c r="BK320" i="1" s="1"/>
  <c r="BI319" i="1"/>
  <c r="BL319" i="1" s="1"/>
  <c r="BH319" i="1"/>
  <c r="BJ319" i="1" s="1"/>
  <c r="AI319" i="1"/>
  <c r="BM319" i="1" s="1"/>
  <c r="AH319" i="1"/>
  <c r="BK319" i="1" s="1"/>
  <c r="BI318" i="1"/>
  <c r="BL318" i="1" s="1"/>
  <c r="BH318" i="1"/>
  <c r="BJ318" i="1" s="1"/>
  <c r="AI318" i="1"/>
  <c r="BM318" i="1" s="1"/>
  <c r="AH318" i="1"/>
  <c r="BK318" i="1" s="1"/>
  <c r="BI317" i="1"/>
  <c r="BL317" i="1" s="1"/>
  <c r="BH317" i="1"/>
  <c r="BJ317" i="1" s="1"/>
  <c r="AI317" i="1"/>
  <c r="BM317" i="1" s="1"/>
  <c r="AH317" i="1"/>
  <c r="BK317" i="1" s="1"/>
  <c r="BI316" i="1"/>
  <c r="BL316" i="1" s="1"/>
  <c r="BH316" i="1"/>
  <c r="BJ316" i="1" s="1"/>
  <c r="AI316" i="1"/>
  <c r="BM316" i="1" s="1"/>
  <c r="AH316" i="1"/>
  <c r="BK316" i="1" s="1"/>
  <c r="BI315" i="1"/>
  <c r="BL315" i="1" s="1"/>
  <c r="BH315" i="1"/>
  <c r="BJ315" i="1" s="1"/>
  <c r="AI315" i="1"/>
  <c r="BM315" i="1" s="1"/>
  <c r="AH315" i="1"/>
  <c r="BK315" i="1" s="1"/>
  <c r="BI314" i="1"/>
  <c r="BL314" i="1" s="1"/>
  <c r="BH314" i="1"/>
  <c r="BJ314" i="1" s="1"/>
  <c r="AI314" i="1"/>
  <c r="BM314" i="1" s="1"/>
  <c r="AH314" i="1"/>
  <c r="BK314" i="1" s="1"/>
  <c r="BI313" i="1"/>
  <c r="BL313" i="1" s="1"/>
  <c r="BH313" i="1"/>
  <c r="BJ313" i="1" s="1"/>
  <c r="AI313" i="1"/>
  <c r="BM313" i="1" s="1"/>
  <c r="AH313" i="1"/>
  <c r="BK313" i="1" s="1"/>
  <c r="BI312" i="1"/>
  <c r="BL312" i="1" s="1"/>
  <c r="BH312" i="1"/>
  <c r="BJ312" i="1" s="1"/>
  <c r="AI312" i="1"/>
  <c r="BM312" i="1" s="1"/>
  <c r="AH312" i="1"/>
  <c r="BK312" i="1" s="1"/>
  <c r="BI311" i="1"/>
  <c r="BL311" i="1" s="1"/>
  <c r="BH311" i="1"/>
  <c r="BJ311" i="1" s="1"/>
  <c r="AI311" i="1"/>
  <c r="BM311" i="1" s="1"/>
  <c r="AH311" i="1"/>
  <c r="BK311" i="1" s="1"/>
  <c r="BI310" i="1"/>
  <c r="BL310" i="1" s="1"/>
  <c r="BH310" i="1"/>
  <c r="BJ310" i="1" s="1"/>
  <c r="AI310" i="1"/>
  <c r="BM310" i="1" s="1"/>
  <c r="AH310" i="1"/>
  <c r="BK310" i="1" s="1"/>
  <c r="BI309" i="1"/>
  <c r="BL309" i="1" s="1"/>
  <c r="BH309" i="1"/>
  <c r="BJ309" i="1" s="1"/>
  <c r="AI309" i="1"/>
  <c r="BM309" i="1" s="1"/>
  <c r="AH309" i="1"/>
  <c r="BK309" i="1" s="1"/>
  <c r="BI308" i="1"/>
  <c r="BL308" i="1" s="1"/>
  <c r="BH308" i="1"/>
  <c r="BJ308" i="1" s="1"/>
  <c r="AI308" i="1"/>
  <c r="BM308" i="1" s="1"/>
  <c r="AH308" i="1"/>
  <c r="BK308" i="1" s="1"/>
  <c r="BI307" i="1"/>
  <c r="BL307" i="1" s="1"/>
  <c r="BH307" i="1"/>
  <c r="BJ307" i="1" s="1"/>
  <c r="AI307" i="1"/>
  <c r="BM307" i="1" s="1"/>
  <c r="AH307" i="1"/>
  <c r="BK307" i="1" s="1"/>
  <c r="BI306" i="1"/>
  <c r="BL306" i="1" s="1"/>
  <c r="BH306" i="1"/>
  <c r="BJ306" i="1" s="1"/>
  <c r="AI306" i="1"/>
  <c r="BM306" i="1" s="1"/>
  <c r="AH306" i="1"/>
  <c r="BK306" i="1" s="1"/>
  <c r="BI305" i="1"/>
  <c r="BL305" i="1" s="1"/>
  <c r="BH305" i="1"/>
  <c r="BJ305" i="1" s="1"/>
  <c r="AI305" i="1"/>
  <c r="BM305" i="1" s="1"/>
  <c r="AH305" i="1"/>
  <c r="BK305" i="1" s="1"/>
  <c r="BI304" i="1"/>
  <c r="BL304" i="1" s="1"/>
  <c r="BH304" i="1"/>
  <c r="BJ304" i="1" s="1"/>
  <c r="AI304" i="1"/>
  <c r="BM304" i="1" s="1"/>
  <c r="AH304" i="1"/>
  <c r="BK304" i="1" s="1"/>
  <c r="BI303" i="1"/>
  <c r="BL303" i="1" s="1"/>
  <c r="BH303" i="1"/>
  <c r="BJ303" i="1" s="1"/>
  <c r="AI303" i="1"/>
  <c r="BM303" i="1" s="1"/>
  <c r="AH303" i="1"/>
  <c r="BK303" i="1" s="1"/>
  <c r="BI302" i="1"/>
  <c r="BL302" i="1" s="1"/>
  <c r="BH302" i="1"/>
  <c r="BJ302" i="1" s="1"/>
  <c r="AI302" i="1"/>
  <c r="BM302" i="1" s="1"/>
  <c r="AH302" i="1"/>
  <c r="BK302" i="1" s="1"/>
  <c r="BI301" i="1"/>
  <c r="BL301" i="1" s="1"/>
  <c r="BH301" i="1"/>
  <c r="BJ301" i="1" s="1"/>
  <c r="AI301" i="1"/>
  <c r="BM301" i="1" s="1"/>
  <c r="AH301" i="1"/>
  <c r="BK301" i="1" s="1"/>
  <c r="BI300" i="1"/>
  <c r="BL300" i="1" s="1"/>
  <c r="BH300" i="1"/>
  <c r="BJ300" i="1" s="1"/>
  <c r="AI300" i="1"/>
  <c r="BM300" i="1" s="1"/>
  <c r="AH300" i="1"/>
  <c r="BK300" i="1" s="1"/>
  <c r="BI299" i="1"/>
  <c r="BL299" i="1" s="1"/>
  <c r="BH299" i="1"/>
  <c r="BJ299" i="1" s="1"/>
  <c r="AI299" i="1"/>
  <c r="BM299" i="1" s="1"/>
  <c r="AH299" i="1"/>
  <c r="BK299" i="1" s="1"/>
  <c r="BI298" i="1"/>
  <c r="BL298" i="1" s="1"/>
  <c r="BH298" i="1"/>
  <c r="BJ298" i="1" s="1"/>
  <c r="AI298" i="1"/>
  <c r="BM298" i="1" s="1"/>
  <c r="AH298" i="1"/>
  <c r="BK298" i="1" s="1"/>
  <c r="BI297" i="1"/>
  <c r="BL297" i="1" s="1"/>
  <c r="BH297" i="1"/>
  <c r="BJ297" i="1" s="1"/>
  <c r="AI297" i="1"/>
  <c r="BM297" i="1" s="1"/>
  <c r="AH297" i="1"/>
  <c r="BK297" i="1" s="1"/>
  <c r="BI296" i="1"/>
  <c r="BL296" i="1" s="1"/>
  <c r="BH296" i="1"/>
  <c r="BJ296" i="1" s="1"/>
  <c r="AI296" i="1"/>
  <c r="BM296" i="1" s="1"/>
  <c r="AH296" i="1"/>
  <c r="BK296" i="1" s="1"/>
  <c r="BI295" i="1"/>
  <c r="BL295" i="1" s="1"/>
  <c r="BH295" i="1"/>
  <c r="BJ295" i="1" s="1"/>
  <c r="AI295" i="1"/>
  <c r="BM295" i="1" s="1"/>
  <c r="AH295" i="1"/>
  <c r="BK295" i="1" s="1"/>
  <c r="BI294" i="1"/>
  <c r="BL294" i="1" s="1"/>
  <c r="BH294" i="1"/>
  <c r="BJ294" i="1" s="1"/>
  <c r="AI294" i="1"/>
  <c r="BM294" i="1" s="1"/>
  <c r="AH294" i="1"/>
  <c r="BK294" i="1" s="1"/>
  <c r="BI293" i="1"/>
  <c r="BL293" i="1" s="1"/>
  <c r="BH293" i="1"/>
  <c r="BJ293" i="1" s="1"/>
  <c r="AI293" i="1"/>
  <c r="BM293" i="1" s="1"/>
  <c r="AH293" i="1"/>
  <c r="BK293" i="1" s="1"/>
  <c r="BI292" i="1"/>
  <c r="BL292" i="1" s="1"/>
  <c r="BH292" i="1"/>
  <c r="BJ292" i="1" s="1"/>
  <c r="AI292" i="1"/>
  <c r="BM292" i="1" s="1"/>
  <c r="AH292" i="1"/>
  <c r="BK292" i="1" s="1"/>
  <c r="BI291" i="1"/>
  <c r="BL291" i="1" s="1"/>
  <c r="BH291" i="1"/>
  <c r="BJ291" i="1" s="1"/>
  <c r="AI291" i="1"/>
  <c r="BM291" i="1" s="1"/>
  <c r="AH291" i="1"/>
  <c r="BK291" i="1" s="1"/>
  <c r="BI290" i="1"/>
  <c r="BL290" i="1" s="1"/>
  <c r="BH290" i="1"/>
  <c r="BJ290" i="1" s="1"/>
  <c r="AI290" i="1"/>
  <c r="BM290" i="1" s="1"/>
  <c r="AH290" i="1"/>
  <c r="BK290" i="1" s="1"/>
  <c r="BI289" i="1"/>
  <c r="BL289" i="1" s="1"/>
  <c r="BH289" i="1"/>
  <c r="BJ289" i="1" s="1"/>
  <c r="AI289" i="1"/>
  <c r="BM289" i="1" s="1"/>
  <c r="AH289" i="1"/>
  <c r="BK289" i="1" s="1"/>
  <c r="BI288" i="1"/>
  <c r="BL288" i="1" s="1"/>
  <c r="BH288" i="1"/>
  <c r="BJ288" i="1" s="1"/>
  <c r="AI288" i="1"/>
  <c r="BM288" i="1" s="1"/>
  <c r="AH288" i="1"/>
  <c r="BK288" i="1" s="1"/>
  <c r="BI287" i="1"/>
  <c r="BL287" i="1" s="1"/>
  <c r="BH287" i="1"/>
  <c r="BJ287" i="1" s="1"/>
  <c r="AI287" i="1"/>
  <c r="BM287" i="1" s="1"/>
  <c r="AH287" i="1"/>
  <c r="BK287" i="1" s="1"/>
  <c r="BI286" i="1"/>
  <c r="BL286" i="1" s="1"/>
  <c r="BH286" i="1"/>
  <c r="BJ286" i="1" s="1"/>
  <c r="AI286" i="1"/>
  <c r="BM286" i="1" s="1"/>
  <c r="AH286" i="1"/>
  <c r="BK286" i="1" s="1"/>
  <c r="BI285" i="1"/>
  <c r="BL285" i="1" s="1"/>
  <c r="BH285" i="1"/>
  <c r="BJ285" i="1" s="1"/>
  <c r="AI285" i="1"/>
  <c r="BM285" i="1" s="1"/>
  <c r="AH285" i="1"/>
  <c r="BK285" i="1" s="1"/>
  <c r="BI284" i="1"/>
  <c r="BL284" i="1" s="1"/>
  <c r="BH284" i="1"/>
  <c r="BJ284" i="1" s="1"/>
  <c r="AI284" i="1"/>
  <c r="BM284" i="1" s="1"/>
  <c r="AH284" i="1"/>
  <c r="BK284" i="1" s="1"/>
  <c r="BI283" i="1"/>
  <c r="BL283" i="1" s="1"/>
  <c r="BH283" i="1"/>
  <c r="BJ283" i="1" s="1"/>
  <c r="AI283" i="1"/>
  <c r="BM283" i="1" s="1"/>
  <c r="AH283" i="1"/>
  <c r="BK283" i="1" s="1"/>
  <c r="BI282" i="1"/>
  <c r="BL282" i="1" s="1"/>
  <c r="BH282" i="1"/>
  <c r="BJ282" i="1" s="1"/>
  <c r="AI282" i="1"/>
  <c r="BM282" i="1" s="1"/>
  <c r="AH282" i="1"/>
  <c r="BK282" i="1" s="1"/>
  <c r="BI281" i="1"/>
  <c r="BL281" i="1" s="1"/>
  <c r="BH281" i="1"/>
  <c r="BJ281" i="1" s="1"/>
  <c r="AI281" i="1"/>
  <c r="BM281" i="1" s="1"/>
  <c r="AH281" i="1"/>
  <c r="BK281" i="1" s="1"/>
  <c r="BI280" i="1"/>
  <c r="BL280" i="1" s="1"/>
  <c r="BH280" i="1"/>
  <c r="BJ280" i="1" s="1"/>
  <c r="AI280" i="1"/>
  <c r="BM280" i="1" s="1"/>
  <c r="AH280" i="1"/>
  <c r="BK280" i="1" s="1"/>
  <c r="BL279" i="1"/>
  <c r="BI279" i="1"/>
  <c r="BH279" i="1"/>
  <c r="BJ279" i="1" s="1"/>
  <c r="AI279" i="1"/>
  <c r="BM279" i="1" s="1"/>
  <c r="AH279" i="1"/>
  <c r="BK279" i="1" s="1"/>
  <c r="BI278" i="1"/>
  <c r="BL278" i="1" s="1"/>
  <c r="BH278" i="1"/>
  <c r="BJ278" i="1" s="1"/>
  <c r="AI278" i="1"/>
  <c r="BM278" i="1" s="1"/>
  <c r="AH278" i="1"/>
  <c r="BK278" i="1" s="1"/>
  <c r="BI277" i="1"/>
  <c r="BL277" i="1" s="1"/>
  <c r="BH277" i="1"/>
  <c r="BJ277" i="1" s="1"/>
  <c r="AI277" i="1"/>
  <c r="BM277" i="1" s="1"/>
  <c r="AH277" i="1"/>
  <c r="BK277" i="1" s="1"/>
  <c r="BI276" i="1"/>
  <c r="BL276" i="1" s="1"/>
  <c r="BH276" i="1"/>
  <c r="BJ276" i="1" s="1"/>
  <c r="AI276" i="1"/>
  <c r="BM276" i="1" s="1"/>
  <c r="AH276" i="1"/>
  <c r="BK276" i="1" s="1"/>
  <c r="BI275" i="1"/>
  <c r="BL275" i="1" s="1"/>
  <c r="BH275" i="1"/>
  <c r="BJ275" i="1" s="1"/>
  <c r="AI275" i="1"/>
  <c r="BM275" i="1" s="1"/>
  <c r="AH275" i="1"/>
  <c r="BK275" i="1" s="1"/>
  <c r="BL274" i="1"/>
  <c r="BM274" i="1" s="1"/>
  <c r="BI274" i="1"/>
  <c r="BH274" i="1"/>
  <c r="BJ274" i="1" s="1"/>
  <c r="BK274" i="1" s="1"/>
  <c r="AI274" i="1"/>
  <c r="AH274" i="1"/>
  <c r="BI273" i="1"/>
  <c r="BL273" i="1" s="1"/>
  <c r="BH273" i="1"/>
  <c r="BJ273" i="1" s="1"/>
  <c r="AI273" i="1"/>
  <c r="BM273" i="1" s="1"/>
  <c r="AH273" i="1"/>
  <c r="BK273" i="1" s="1"/>
  <c r="BI272" i="1"/>
  <c r="BL272" i="1" s="1"/>
  <c r="BH272" i="1"/>
  <c r="BJ272" i="1" s="1"/>
  <c r="AI272" i="1"/>
  <c r="BM272" i="1" s="1"/>
  <c r="AH272" i="1"/>
  <c r="BK272" i="1" s="1"/>
  <c r="BI271" i="1"/>
  <c r="BL271" i="1" s="1"/>
  <c r="BH271" i="1"/>
  <c r="BJ271" i="1" s="1"/>
  <c r="AI271" i="1"/>
  <c r="BM271" i="1" s="1"/>
  <c r="AH271" i="1"/>
  <c r="BK271" i="1" s="1"/>
  <c r="BI270" i="1"/>
  <c r="BL270" i="1" s="1"/>
  <c r="BH270" i="1"/>
  <c r="BJ270" i="1" s="1"/>
  <c r="AI270" i="1"/>
  <c r="BM270" i="1" s="1"/>
  <c r="AH270" i="1"/>
  <c r="BK270" i="1" s="1"/>
  <c r="BI269" i="1"/>
  <c r="BL269" i="1" s="1"/>
  <c r="BH269" i="1"/>
  <c r="BJ269" i="1" s="1"/>
  <c r="AI269" i="1"/>
  <c r="BM269" i="1" s="1"/>
  <c r="AH269" i="1"/>
  <c r="BK269" i="1" s="1"/>
  <c r="BI268" i="1"/>
  <c r="BL268" i="1" s="1"/>
  <c r="BH268" i="1"/>
  <c r="BJ268" i="1" s="1"/>
  <c r="AI268" i="1"/>
  <c r="BM268" i="1" s="1"/>
  <c r="AH268" i="1"/>
  <c r="BK268" i="1" s="1"/>
  <c r="BI267" i="1"/>
  <c r="BL267" i="1" s="1"/>
  <c r="BH267" i="1"/>
  <c r="BJ267" i="1" s="1"/>
  <c r="AI267" i="1"/>
  <c r="BM267" i="1" s="1"/>
  <c r="AH267" i="1"/>
  <c r="BK267" i="1" s="1"/>
  <c r="BI266" i="1"/>
  <c r="BL266" i="1" s="1"/>
  <c r="BH266" i="1"/>
  <c r="BJ266" i="1" s="1"/>
  <c r="AI266" i="1"/>
  <c r="BM266" i="1" s="1"/>
  <c r="AH266" i="1"/>
  <c r="BK266" i="1" s="1"/>
  <c r="BI265" i="1"/>
  <c r="BL265" i="1" s="1"/>
  <c r="BH265" i="1"/>
  <c r="BJ265" i="1" s="1"/>
  <c r="AI265" i="1"/>
  <c r="BM265" i="1" s="1"/>
  <c r="AH265" i="1"/>
  <c r="BK265" i="1" s="1"/>
  <c r="BI264" i="1"/>
  <c r="BL264" i="1" s="1"/>
  <c r="BH264" i="1"/>
  <c r="BJ264" i="1" s="1"/>
  <c r="AI264" i="1"/>
  <c r="BM264" i="1" s="1"/>
  <c r="AH264" i="1"/>
  <c r="BK264" i="1" s="1"/>
  <c r="BI263" i="1"/>
  <c r="BL263" i="1" s="1"/>
  <c r="BH263" i="1"/>
  <c r="BJ263" i="1" s="1"/>
  <c r="AI263" i="1"/>
  <c r="BM263" i="1" s="1"/>
  <c r="AH263" i="1"/>
  <c r="BK263" i="1" s="1"/>
  <c r="BI262" i="1"/>
  <c r="BL262" i="1" s="1"/>
  <c r="BH262" i="1"/>
  <c r="BJ262" i="1" s="1"/>
  <c r="AI262" i="1"/>
  <c r="BM262" i="1" s="1"/>
  <c r="AH262" i="1"/>
  <c r="BK262" i="1" s="1"/>
  <c r="BI261" i="1"/>
  <c r="BL261" i="1" s="1"/>
  <c r="BH261" i="1"/>
  <c r="BJ261" i="1" s="1"/>
  <c r="AI261" i="1"/>
  <c r="BM261" i="1" s="1"/>
  <c r="AH261" i="1"/>
  <c r="BK261" i="1" s="1"/>
  <c r="BI260" i="1"/>
  <c r="BL260" i="1" s="1"/>
  <c r="BH260" i="1"/>
  <c r="BJ260" i="1" s="1"/>
  <c r="AI260" i="1"/>
  <c r="BM260" i="1" s="1"/>
  <c r="AH260" i="1"/>
  <c r="BK260" i="1" s="1"/>
  <c r="BI259" i="1"/>
  <c r="BL259" i="1" s="1"/>
  <c r="BH259" i="1"/>
  <c r="BJ259" i="1" s="1"/>
  <c r="AI259" i="1"/>
  <c r="BM259" i="1" s="1"/>
  <c r="AH259" i="1"/>
  <c r="BK259" i="1" s="1"/>
  <c r="BI258" i="1"/>
  <c r="BL258" i="1" s="1"/>
  <c r="BH258" i="1"/>
  <c r="BJ258" i="1" s="1"/>
  <c r="AI258" i="1"/>
  <c r="BM258" i="1" s="1"/>
  <c r="AH258" i="1"/>
  <c r="BK258" i="1" s="1"/>
  <c r="BI257" i="1"/>
  <c r="BL257" i="1" s="1"/>
  <c r="BH257" i="1"/>
  <c r="BJ257" i="1" s="1"/>
  <c r="AI257" i="1"/>
  <c r="BM257" i="1" s="1"/>
  <c r="AH257" i="1"/>
  <c r="BK257" i="1" s="1"/>
  <c r="BI256" i="1"/>
  <c r="BL256" i="1" s="1"/>
  <c r="BH256" i="1"/>
  <c r="BJ256" i="1" s="1"/>
  <c r="AI256" i="1"/>
  <c r="BM256" i="1" s="1"/>
  <c r="AH256" i="1"/>
  <c r="BK256" i="1" s="1"/>
  <c r="BI255" i="1"/>
  <c r="BL255" i="1" s="1"/>
  <c r="BH255" i="1"/>
  <c r="BJ255" i="1" s="1"/>
  <c r="AI255" i="1"/>
  <c r="BM255" i="1" s="1"/>
  <c r="AH255" i="1"/>
  <c r="BK255" i="1" s="1"/>
  <c r="BI254" i="1"/>
  <c r="BL254" i="1" s="1"/>
  <c r="BH254" i="1"/>
  <c r="BJ254" i="1" s="1"/>
  <c r="AI254" i="1"/>
  <c r="BM254" i="1" s="1"/>
  <c r="AH254" i="1"/>
  <c r="BK254" i="1" s="1"/>
  <c r="BI253" i="1"/>
  <c r="BL253" i="1" s="1"/>
  <c r="BH253" i="1"/>
  <c r="BJ253" i="1" s="1"/>
  <c r="AI253" i="1"/>
  <c r="BM253" i="1" s="1"/>
  <c r="AH253" i="1"/>
  <c r="BK253" i="1" s="1"/>
  <c r="BI252" i="1"/>
  <c r="BL252" i="1" s="1"/>
  <c r="BH252" i="1"/>
  <c r="BJ252" i="1" s="1"/>
  <c r="AI252" i="1"/>
  <c r="BM252" i="1" s="1"/>
  <c r="AH252" i="1"/>
  <c r="BK252" i="1" s="1"/>
  <c r="BI251" i="1"/>
  <c r="BL251" i="1" s="1"/>
  <c r="BH251" i="1"/>
  <c r="BJ251" i="1" s="1"/>
  <c r="AI251" i="1"/>
  <c r="BM251" i="1" s="1"/>
  <c r="AH251" i="1"/>
  <c r="BK251" i="1" s="1"/>
  <c r="BI250" i="1"/>
  <c r="BL250" i="1" s="1"/>
  <c r="BH250" i="1"/>
  <c r="BJ250" i="1" s="1"/>
  <c r="AI250" i="1"/>
  <c r="BM250" i="1" s="1"/>
  <c r="AH250" i="1"/>
  <c r="BK250" i="1" s="1"/>
  <c r="BI249" i="1"/>
  <c r="BL249" i="1" s="1"/>
  <c r="BH249" i="1"/>
  <c r="BJ249" i="1" s="1"/>
  <c r="AI249" i="1"/>
  <c r="BM249" i="1" s="1"/>
  <c r="AH249" i="1"/>
  <c r="BK249" i="1" s="1"/>
  <c r="BI248" i="1"/>
  <c r="BL248" i="1" s="1"/>
  <c r="BH248" i="1"/>
  <c r="BJ248" i="1" s="1"/>
  <c r="AI248" i="1"/>
  <c r="BM248" i="1" s="1"/>
  <c r="AH248" i="1"/>
  <c r="BK248" i="1" s="1"/>
  <c r="BI247" i="1"/>
  <c r="BL247" i="1" s="1"/>
  <c r="BH247" i="1"/>
  <c r="BJ247" i="1" s="1"/>
  <c r="AI247" i="1"/>
  <c r="BM247" i="1" s="1"/>
  <c r="AH247" i="1"/>
  <c r="BK247" i="1" s="1"/>
  <c r="BI246" i="1"/>
  <c r="BL246" i="1" s="1"/>
  <c r="BH246" i="1"/>
  <c r="BJ246" i="1" s="1"/>
  <c r="AI246" i="1"/>
  <c r="BM246" i="1" s="1"/>
  <c r="AH246" i="1"/>
  <c r="BK246" i="1" s="1"/>
  <c r="BI245" i="1"/>
  <c r="BL245" i="1" s="1"/>
  <c r="BH245" i="1"/>
  <c r="BJ245" i="1" s="1"/>
  <c r="AI245" i="1"/>
  <c r="BM245" i="1" s="1"/>
  <c r="AH245" i="1"/>
  <c r="BK245" i="1" s="1"/>
  <c r="BI244" i="1"/>
  <c r="BL244" i="1" s="1"/>
  <c r="BH244" i="1"/>
  <c r="BJ244" i="1" s="1"/>
  <c r="AI244" i="1"/>
  <c r="BM244" i="1" s="1"/>
  <c r="AH244" i="1"/>
  <c r="BK244" i="1" s="1"/>
  <c r="BI243" i="1"/>
  <c r="BL243" i="1" s="1"/>
  <c r="BH243" i="1"/>
  <c r="BJ243" i="1" s="1"/>
  <c r="AI243" i="1"/>
  <c r="BM243" i="1" s="1"/>
  <c r="AH243" i="1"/>
  <c r="BK243" i="1" s="1"/>
  <c r="BI242" i="1"/>
  <c r="BL242" i="1" s="1"/>
  <c r="BH242" i="1"/>
  <c r="BJ242" i="1" s="1"/>
  <c r="AI242" i="1"/>
  <c r="BM242" i="1" s="1"/>
  <c r="AH242" i="1"/>
  <c r="BK242" i="1" s="1"/>
  <c r="BI241" i="1"/>
  <c r="BL241" i="1" s="1"/>
  <c r="BH241" i="1"/>
  <c r="BJ241" i="1" s="1"/>
  <c r="AI241" i="1"/>
  <c r="BM241" i="1" s="1"/>
  <c r="AH241" i="1"/>
  <c r="BK241" i="1" s="1"/>
  <c r="BI240" i="1"/>
  <c r="BL240" i="1" s="1"/>
  <c r="BH240" i="1"/>
  <c r="BJ240" i="1" s="1"/>
  <c r="AI240" i="1"/>
  <c r="BM240" i="1" s="1"/>
  <c r="AH240" i="1"/>
  <c r="BK240" i="1" s="1"/>
  <c r="BI239" i="1"/>
  <c r="BL239" i="1" s="1"/>
  <c r="BH239" i="1"/>
  <c r="BJ239" i="1" s="1"/>
  <c r="AI239" i="1"/>
  <c r="BM239" i="1" s="1"/>
  <c r="AH239" i="1"/>
  <c r="BK239" i="1" s="1"/>
  <c r="BI238" i="1"/>
  <c r="BL238" i="1" s="1"/>
  <c r="BH238" i="1"/>
  <c r="BJ238" i="1" s="1"/>
  <c r="AI238" i="1"/>
  <c r="BM238" i="1" s="1"/>
  <c r="AH238" i="1"/>
  <c r="BK238" i="1" s="1"/>
  <c r="BI237" i="1"/>
  <c r="BL237" i="1" s="1"/>
  <c r="BH237" i="1"/>
  <c r="BJ237" i="1" s="1"/>
  <c r="AI237" i="1"/>
  <c r="BM237" i="1" s="1"/>
  <c r="AH237" i="1"/>
  <c r="BK237" i="1" s="1"/>
  <c r="BI236" i="1"/>
  <c r="BL236" i="1" s="1"/>
  <c r="BH236" i="1"/>
  <c r="BJ236" i="1" s="1"/>
  <c r="AI236" i="1"/>
  <c r="BM236" i="1" s="1"/>
  <c r="AH236" i="1"/>
  <c r="BK236" i="1" s="1"/>
  <c r="BI235" i="1"/>
  <c r="BL235" i="1" s="1"/>
  <c r="BH235" i="1"/>
  <c r="BJ235" i="1" s="1"/>
  <c r="AI235" i="1"/>
  <c r="BM235" i="1" s="1"/>
  <c r="AH235" i="1"/>
  <c r="BK235" i="1" s="1"/>
  <c r="BI234" i="1"/>
  <c r="BL234" i="1" s="1"/>
  <c r="BH234" i="1"/>
  <c r="BJ234" i="1" s="1"/>
  <c r="AI234" i="1"/>
  <c r="BM234" i="1" s="1"/>
  <c r="AH234" i="1"/>
  <c r="BK234" i="1" s="1"/>
  <c r="BI233" i="1"/>
  <c r="BL233" i="1" s="1"/>
  <c r="BH233" i="1"/>
  <c r="BJ233" i="1" s="1"/>
  <c r="AI233" i="1"/>
  <c r="BM233" i="1" s="1"/>
  <c r="AH233" i="1"/>
  <c r="BK233" i="1" s="1"/>
  <c r="BI232" i="1"/>
  <c r="BL232" i="1" s="1"/>
  <c r="BH232" i="1"/>
  <c r="BJ232" i="1" s="1"/>
  <c r="AI232" i="1"/>
  <c r="BM232" i="1" s="1"/>
  <c r="AH232" i="1"/>
  <c r="BK232" i="1" s="1"/>
  <c r="BI231" i="1"/>
  <c r="BL231" i="1" s="1"/>
  <c r="BH231" i="1"/>
  <c r="BJ231" i="1" s="1"/>
  <c r="AI231" i="1"/>
  <c r="BM231" i="1" s="1"/>
  <c r="AH231" i="1"/>
  <c r="BK231" i="1" s="1"/>
  <c r="BI230" i="1"/>
  <c r="BL230" i="1" s="1"/>
  <c r="BH230" i="1"/>
  <c r="BJ230" i="1" s="1"/>
  <c r="AI230" i="1"/>
  <c r="BM230" i="1" s="1"/>
  <c r="AH230" i="1"/>
  <c r="BK230" i="1" s="1"/>
  <c r="BI229" i="1"/>
  <c r="BL229" i="1" s="1"/>
  <c r="BH229" i="1"/>
  <c r="BJ229" i="1" s="1"/>
  <c r="AI229" i="1"/>
  <c r="BM229" i="1" s="1"/>
  <c r="AH229" i="1"/>
  <c r="BK229" i="1" s="1"/>
  <c r="BI228" i="1"/>
  <c r="BL228" i="1" s="1"/>
  <c r="BH228" i="1"/>
  <c r="BJ228" i="1" s="1"/>
  <c r="AI228" i="1"/>
  <c r="BM228" i="1" s="1"/>
  <c r="AH228" i="1"/>
  <c r="BK228" i="1" s="1"/>
  <c r="BI227" i="1"/>
  <c r="BL227" i="1" s="1"/>
  <c r="BH227" i="1"/>
  <c r="BJ227" i="1" s="1"/>
  <c r="AI227" i="1"/>
  <c r="BM227" i="1" s="1"/>
  <c r="AH227" i="1"/>
  <c r="BK227" i="1" s="1"/>
  <c r="BI226" i="1"/>
  <c r="BL226" i="1" s="1"/>
  <c r="BH226" i="1"/>
  <c r="BJ226" i="1" s="1"/>
  <c r="AI226" i="1"/>
  <c r="BM226" i="1" s="1"/>
  <c r="AH226" i="1"/>
  <c r="BK226" i="1" s="1"/>
  <c r="BI225" i="1"/>
  <c r="BL225" i="1" s="1"/>
  <c r="BH225" i="1"/>
  <c r="BJ225" i="1" s="1"/>
  <c r="AI225" i="1"/>
  <c r="BM225" i="1" s="1"/>
  <c r="AH225" i="1"/>
  <c r="BK225" i="1" s="1"/>
  <c r="BI224" i="1"/>
  <c r="BL224" i="1" s="1"/>
  <c r="BH224" i="1"/>
  <c r="BJ224" i="1" s="1"/>
  <c r="AI224" i="1"/>
  <c r="BM224" i="1" s="1"/>
  <c r="AH224" i="1"/>
  <c r="BK224" i="1" s="1"/>
  <c r="BI223" i="1"/>
  <c r="BL223" i="1" s="1"/>
  <c r="BH223" i="1"/>
  <c r="BJ223" i="1" s="1"/>
  <c r="AI223" i="1"/>
  <c r="BM223" i="1" s="1"/>
  <c r="AH223" i="1"/>
  <c r="BK223" i="1" s="1"/>
  <c r="BI222" i="1"/>
  <c r="BL222" i="1" s="1"/>
  <c r="BH222" i="1"/>
  <c r="BJ222" i="1" s="1"/>
  <c r="AI222" i="1"/>
  <c r="BM222" i="1" s="1"/>
  <c r="AH222" i="1"/>
  <c r="BK222" i="1" s="1"/>
  <c r="BI221" i="1"/>
  <c r="BL221" i="1" s="1"/>
  <c r="BH221" i="1"/>
  <c r="BJ221" i="1" s="1"/>
  <c r="AI221" i="1"/>
  <c r="BM221" i="1" s="1"/>
  <c r="AH221" i="1"/>
  <c r="BK221" i="1" s="1"/>
  <c r="BI220" i="1"/>
  <c r="BL220" i="1" s="1"/>
  <c r="BH220" i="1"/>
  <c r="BJ220" i="1" s="1"/>
  <c r="AI220" i="1"/>
  <c r="BM220" i="1" s="1"/>
  <c r="AH220" i="1"/>
  <c r="BK220" i="1" s="1"/>
  <c r="BI219" i="1"/>
  <c r="BL219" i="1" s="1"/>
  <c r="BH219" i="1"/>
  <c r="BJ219" i="1" s="1"/>
  <c r="AI219" i="1"/>
  <c r="BM219" i="1" s="1"/>
  <c r="AH219" i="1"/>
  <c r="BK219" i="1" s="1"/>
  <c r="BI218" i="1"/>
  <c r="BL218" i="1" s="1"/>
  <c r="BH218" i="1"/>
  <c r="BJ218" i="1" s="1"/>
  <c r="AI218" i="1"/>
  <c r="BM218" i="1" s="1"/>
  <c r="AH218" i="1"/>
  <c r="BK218" i="1" s="1"/>
  <c r="BI217" i="1"/>
  <c r="BL217" i="1" s="1"/>
  <c r="BH217" i="1"/>
  <c r="BJ217" i="1" s="1"/>
  <c r="AI217" i="1"/>
  <c r="BM217" i="1" s="1"/>
  <c r="AH217" i="1"/>
  <c r="BK217" i="1" s="1"/>
  <c r="BI216" i="1"/>
  <c r="BL216" i="1" s="1"/>
  <c r="BH216" i="1"/>
  <c r="BJ216" i="1" s="1"/>
  <c r="AI216" i="1"/>
  <c r="BM216" i="1" s="1"/>
  <c r="AH216" i="1"/>
  <c r="BK216" i="1" s="1"/>
  <c r="BI215" i="1"/>
  <c r="BL215" i="1" s="1"/>
  <c r="BH215" i="1"/>
  <c r="BJ215" i="1" s="1"/>
  <c r="AI215" i="1"/>
  <c r="BM215" i="1" s="1"/>
  <c r="AH215" i="1"/>
  <c r="BK215" i="1" s="1"/>
  <c r="BI214" i="1"/>
  <c r="BL214" i="1" s="1"/>
  <c r="BH214" i="1"/>
  <c r="BJ214" i="1" s="1"/>
  <c r="AI214" i="1"/>
  <c r="BM214" i="1" s="1"/>
  <c r="AH214" i="1"/>
  <c r="BK214" i="1" s="1"/>
  <c r="BI213" i="1"/>
  <c r="BL213" i="1" s="1"/>
  <c r="BH213" i="1"/>
  <c r="BJ213" i="1" s="1"/>
  <c r="AI213" i="1"/>
  <c r="BM213" i="1" s="1"/>
  <c r="AH213" i="1"/>
  <c r="BK213" i="1" s="1"/>
  <c r="BI212" i="1"/>
  <c r="BL212" i="1" s="1"/>
  <c r="BH212" i="1"/>
  <c r="BJ212" i="1" s="1"/>
  <c r="AI212" i="1"/>
  <c r="BM212" i="1" s="1"/>
  <c r="AH212" i="1"/>
  <c r="BK212" i="1" s="1"/>
  <c r="BI211" i="1"/>
  <c r="BL211" i="1" s="1"/>
  <c r="BH211" i="1"/>
  <c r="BJ211" i="1" s="1"/>
  <c r="AI211" i="1"/>
  <c r="BM211" i="1" s="1"/>
  <c r="AH211" i="1"/>
  <c r="BK211" i="1" s="1"/>
  <c r="BI210" i="1"/>
  <c r="BL210" i="1" s="1"/>
  <c r="BH210" i="1"/>
  <c r="BJ210" i="1" s="1"/>
  <c r="AI210" i="1"/>
  <c r="BM210" i="1" s="1"/>
  <c r="AH210" i="1"/>
  <c r="BK210" i="1" s="1"/>
  <c r="BI209" i="1"/>
  <c r="BL209" i="1" s="1"/>
  <c r="BH209" i="1"/>
  <c r="BJ209" i="1" s="1"/>
  <c r="AI209" i="1"/>
  <c r="BM209" i="1" s="1"/>
  <c r="AH209" i="1"/>
  <c r="BK209" i="1" s="1"/>
  <c r="BI208" i="1"/>
  <c r="BL208" i="1" s="1"/>
  <c r="BH208" i="1"/>
  <c r="BJ208" i="1" s="1"/>
  <c r="AI208" i="1"/>
  <c r="BM208" i="1" s="1"/>
  <c r="AH208" i="1"/>
  <c r="BK208" i="1" s="1"/>
  <c r="BI207" i="1"/>
  <c r="BL207" i="1" s="1"/>
  <c r="BH207" i="1"/>
  <c r="BJ207" i="1" s="1"/>
  <c r="AI207" i="1"/>
  <c r="BM207" i="1" s="1"/>
  <c r="AH207" i="1"/>
  <c r="BK207" i="1" s="1"/>
  <c r="BI206" i="1"/>
  <c r="BL206" i="1" s="1"/>
  <c r="BH206" i="1"/>
  <c r="BJ206" i="1" s="1"/>
  <c r="AI206" i="1"/>
  <c r="BM206" i="1" s="1"/>
  <c r="AH206" i="1"/>
  <c r="BK206" i="1" s="1"/>
  <c r="BI205" i="1"/>
  <c r="BL205" i="1" s="1"/>
  <c r="BH205" i="1"/>
  <c r="BJ205" i="1" s="1"/>
  <c r="AI205" i="1"/>
  <c r="BM205" i="1" s="1"/>
  <c r="AH205" i="1"/>
  <c r="BK205" i="1" s="1"/>
  <c r="BI204" i="1"/>
  <c r="BL204" i="1" s="1"/>
  <c r="BH204" i="1"/>
  <c r="BJ204" i="1" s="1"/>
  <c r="AI204" i="1"/>
  <c r="BM204" i="1" s="1"/>
  <c r="AH204" i="1"/>
  <c r="BK204" i="1" s="1"/>
  <c r="BI203" i="1"/>
  <c r="BL203" i="1" s="1"/>
  <c r="BH203" i="1"/>
  <c r="BJ203" i="1" s="1"/>
  <c r="AI203" i="1"/>
  <c r="BM203" i="1" s="1"/>
  <c r="AH203" i="1"/>
  <c r="BK203" i="1" s="1"/>
  <c r="BI202" i="1"/>
  <c r="BL202" i="1" s="1"/>
  <c r="BH202" i="1"/>
  <c r="BJ202" i="1" s="1"/>
  <c r="AI202" i="1"/>
  <c r="BM202" i="1" s="1"/>
  <c r="AH202" i="1"/>
  <c r="BK202" i="1" s="1"/>
  <c r="BI201" i="1"/>
  <c r="BL201" i="1" s="1"/>
  <c r="BH201" i="1"/>
  <c r="BJ201" i="1" s="1"/>
  <c r="AI201" i="1"/>
  <c r="BM201" i="1" s="1"/>
  <c r="AH201" i="1"/>
  <c r="BK201" i="1" s="1"/>
  <c r="BI200" i="1"/>
  <c r="BL200" i="1" s="1"/>
  <c r="BH200" i="1"/>
  <c r="BJ200" i="1" s="1"/>
  <c r="AI200" i="1"/>
  <c r="BM200" i="1" s="1"/>
  <c r="AH200" i="1"/>
  <c r="BK200" i="1" s="1"/>
  <c r="BI199" i="1"/>
  <c r="BL199" i="1" s="1"/>
  <c r="BH199" i="1"/>
  <c r="BJ199" i="1" s="1"/>
  <c r="AI199" i="1"/>
  <c r="BM199" i="1" s="1"/>
  <c r="AH199" i="1"/>
  <c r="BK199" i="1" s="1"/>
  <c r="BI198" i="1"/>
  <c r="BL198" i="1" s="1"/>
  <c r="BH198" i="1"/>
  <c r="BJ198" i="1" s="1"/>
  <c r="AI198" i="1"/>
  <c r="BM198" i="1" s="1"/>
  <c r="AH198" i="1"/>
  <c r="BK198" i="1" s="1"/>
  <c r="BI197" i="1"/>
  <c r="BL197" i="1" s="1"/>
  <c r="BH197" i="1"/>
  <c r="BJ197" i="1" s="1"/>
  <c r="AI197" i="1"/>
  <c r="BM197" i="1" s="1"/>
  <c r="AH197" i="1"/>
  <c r="BK197" i="1" s="1"/>
  <c r="BI196" i="1"/>
  <c r="BL196" i="1" s="1"/>
  <c r="BH196" i="1"/>
  <c r="BJ196" i="1" s="1"/>
  <c r="AI196" i="1"/>
  <c r="BM196" i="1" s="1"/>
  <c r="AH196" i="1"/>
  <c r="BK196" i="1" s="1"/>
  <c r="BI195" i="1"/>
  <c r="BL195" i="1" s="1"/>
  <c r="BH195" i="1"/>
  <c r="BJ195" i="1" s="1"/>
  <c r="AI195" i="1"/>
  <c r="BM195" i="1" s="1"/>
  <c r="AH195" i="1"/>
  <c r="BK195" i="1" s="1"/>
  <c r="BI194" i="1"/>
  <c r="BL194" i="1" s="1"/>
  <c r="BH194" i="1"/>
  <c r="BJ194" i="1" s="1"/>
  <c r="AI194" i="1"/>
  <c r="BM194" i="1" s="1"/>
  <c r="AH194" i="1"/>
  <c r="BK194" i="1" s="1"/>
  <c r="BI193" i="1"/>
  <c r="BL193" i="1" s="1"/>
  <c r="BH193" i="1"/>
  <c r="BJ193" i="1" s="1"/>
  <c r="AI193" i="1"/>
  <c r="BM193" i="1" s="1"/>
  <c r="AH193" i="1"/>
  <c r="BK193" i="1" s="1"/>
  <c r="BI192" i="1"/>
  <c r="BL192" i="1" s="1"/>
  <c r="BH192" i="1"/>
  <c r="BJ192" i="1" s="1"/>
  <c r="AI192" i="1"/>
  <c r="BM192" i="1" s="1"/>
  <c r="AH192" i="1"/>
  <c r="BK192" i="1" s="1"/>
  <c r="BI191" i="1"/>
  <c r="BL191" i="1" s="1"/>
  <c r="BH191" i="1"/>
  <c r="BJ191" i="1" s="1"/>
  <c r="AI191" i="1"/>
  <c r="BM191" i="1" s="1"/>
  <c r="AH191" i="1"/>
  <c r="BK191" i="1" s="1"/>
  <c r="BI190" i="1"/>
  <c r="BL190" i="1" s="1"/>
  <c r="BH190" i="1"/>
  <c r="BJ190" i="1" s="1"/>
  <c r="AI190" i="1"/>
  <c r="BM190" i="1" s="1"/>
  <c r="AH190" i="1"/>
  <c r="BK190" i="1" s="1"/>
  <c r="BI189" i="1"/>
  <c r="BL189" i="1" s="1"/>
  <c r="BH189" i="1"/>
  <c r="BJ189" i="1" s="1"/>
  <c r="AI189" i="1"/>
  <c r="BM189" i="1" s="1"/>
  <c r="AH189" i="1"/>
  <c r="BK189" i="1" s="1"/>
  <c r="BI188" i="1"/>
  <c r="BL188" i="1" s="1"/>
  <c r="BH188" i="1"/>
  <c r="BJ188" i="1" s="1"/>
  <c r="AI188" i="1"/>
  <c r="BM188" i="1" s="1"/>
  <c r="AH188" i="1"/>
  <c r="BK188" i="1" s="1"/>
  <c r="BI187" i="1"/>
  <c r="BL187" i="1" s="1"/>
  <c r="BH187" i="1"/>
  <c r="BJ187" i="1" s="1"/>
  <c r="AI187" i="1"/>
  <c r="BM187" i="1" s="1"/>
  <c r="AH187" i="1"/>
  <c r="BK187" i="1" s="1"/>
  <c r="BI186" i="1"/>
  <c r="BL186" i="1" s="1"/>
  <c r="BH186" i="1"/>
  <c r="BJ186" i="1" s="1"/>
  <c r="AI186" i="1"/>
  <c r="BM186" i="1" s="1"/>
  <c r="AH186" i="1"/>
  <c r="BK186" i="1" s="1"/>
  <c r="BI185" i="1"/>
  <c r="BL185" i="1" s="1"/>
  <c r="BH185" i="1"/>
  <c r="BJ185" i="1" s="1"/>
  <c r="AI185" i="1"/>
  <c r="BM185" i="1" s="1"/>
  <c r="AH185" i="1"/>
  <c r="BK185" i="1" s="1"/>
  <c r="BI184" i="1"/>
  <c r="BL184" i="1" s="1"/>
  <c r="BH184" i="1"/>
  <c r="BJ184" i="1" s="1"/>
  <c r="AI184" i="1"/>
  <c r="BM184" i="1" s="1"/>
  <c r="AH184" i="1"/>
  <c r="BK184" i="1" s="1"/>
  <c r="BL183" i="1"/>
  <c r="BM183" i="1" s="1"/>
  <c r="BI183" i="1"/>
  <c r="BH183" i="1"/>
  <c r="BJ183" i="1" s="1"/>
  <c r="AI183" i="1"/>
  <c r="AH183" i="1"/>
  <c r="BK183" i="1" s="1"/>
  <c r="BI182" i="1"/>
  <c r="BL182" i="1" s="1"/>
  <c r="BH182" i="1"/>
  <c r="BJ182" i="1" s="1"/>
  <c r="AI182" i="1"/>
  <c r="BM182" i="1" s="1"/>
  <c r="AH182" i="1"/>
  <c r="BK182" i="1" s="1"/>
  <c r="BI181" i="1"/>
  <c r="BL181" i="1" s="1"/>
  <c r="BH181" i="1"/>
  <c r="BJ181" i="1" s="1"/>
  <c r="AI181" i="1"/>
  <c r="BM181" i="1" s="1"/>
  <c r="AH181" i="1"/>
  <c r="BK181" i="1" s="1"/>
  <c r="BI180" i="1"/>
  <c r="BL180" i="1" s="1"/>
  <c r="BH180" i="1"/>
  <c r="BJ180" i="1" s="1"/>
  <c r="AI180" i="1"/>
  <c r="BM180" i="1" s="1"/>
  <c r="AH180" i="1"/>
  <c r="BK180" i="1" s="1"/>
  <c r="BI179" i="1"/>
  <c r="BL179" i="1" s="1"/>
  <c r="BH179" i="1"/>
  <c r="BJ179" i="1" s="1"/>
  <c r="AI179" i="1"/>
  <c r="BM179" i="1" s="1"/>
  <c r="AH179" i="1"/>
  <c r="BK179" i="1" s="1"/>
  <c r="BI178" i="1"/>
  <c r="BL178" i="1" s="1"/>
  <c r="BH178" i="1"/>
  <c r="BJ178" i="1" s="1"/>
  <c r="AI178" i="1"/>
  <c r="BM178" i="1" s="1"/>
  <c r="AH178" i="1"/>
  <c r="BK178" i="1" s="1"/>
  <c r="BI177" i="1"/>
  <c r="BL177" i="1" s="1"/>
  <c r="BH177" i="1"/>
  <c r="BJ177" i="1" s="1"/>
  <c r="AI177" i="1"/>
  <c r="BM177" i="1" s="1"/>
  <c r="AH177" i="1"/>
  <c r="BK177" i="1" s="1"/>
  <c r="BI176" i="1"/>
  <c r="BL176" i="1" s="1"/>
  <c r="BH176" i="1"/>
  <c r="BJ176" i="1" s="1"/>
  <c r="AI176" i="1"/>
  <c r="BM176" i="1" s="1"/>
  <c r="AH176" i="1"/>
  <c r="BK176" i="1" s="1"/>
  <c r="BI175" i="1"/>
  <c r="BL175" i="1" s="1"/>
  <c r="BH175" i="1"/>
  <c r="BJ175" i="1" s="1"/>
  <c r="AI175" i="1"/>
  <c r="BM175" i="1" s="1"/>
  <c r="AH175" i="1"/>
  <c r="BK175" i="1" s="1"/>
  <c r="BI174" i="1"/>
  <c r="BL174" i="1" s="1"/>
  <c r="BH174" i="1"/>
  <c r="BJ174" i="1" s="1"/>
  <c r="AI174" i="1"/>
  <c r="BM174" i="1" s="1"/>
  <c r="AH174" i="1"/>
  <c r="BK174" i="1" s="1"/>
  <c r="BI173" i="1"/>
  <c r="BL173" i="1" s="1"/>
  <c r="BH173" i="1"/>
  <c r="BJ173" i="1" s="1"/>
  <c r="AI173" i="1"/>
  <c r="BM173" i="1" s="1"/>
  <c r="AH173" i="1"/>
  <c r="BK173" i="1" s="1"/>
  <c r="BI172" i="1"/>
  <c r="BL172" i="1" s="1"/>
  <c r="BH172" i="1"/>
  <c r="BJ172" i="1" s="1"/>
  <c r="AI172" i="1"/>
  <c r="BM172" i="1" s="1"/>
  <c r="AH172" i="1"/>
  <c r="BK172" i="1" s="1"/>
  <c r="BI171" i="1"/>
  <c r="BL171" i="1" s="1"/>
  <c r="BH171" i="1"/>
  <c r="BJ171" i="1" s="1"/>
  <c r="AI171" i="1"/>
  <c r="BM171" i="1" s="1"/>
  <c r="AH171" i="1"/>
  <c r="BK171" i="1" s="1"/>
  <c r="BI170" i="1"/>
  <c r="BL170" i="1" s="1"/>
  <c r="BH170" i="1"/>
  <c r="BJ170" i="1" s="1"/>
  <c r="AI170" i="1"/>
  <c r="BM170" i="1" s="1"/>
  <c r="AH170" i="1"/>
  <c r="BK170" i="1" s="1"/>
  <c r="BI169" i="1"/>
  <c r="BL169" i="1" s="1"/>
  <c r="BH169" i="1"/>
  <c r="BJ169" i="1" s="1"/>
  <c r="AI169" i="1"/>
  <c r="BM169" i="1" s="1"/>
  <c r="AH169" i="1"/>
  <c r="BK169" i="1" s="1"/>
  <c r="BI168" i="1"/>
  <c r="BL168" i="1" s="1"/>
  <c r="BH168" i="1"/>
  <c r="BJ168" i="1" s="1"/>
  <c r="AI168" i="1"/>
  <c r="BM168" i="1" s="1"/>
  <c r="AH168" i="1"/>
  <c r="BK168" i="1" s="1"/>
  <c r="BI167" i="1"/>
  <c r="BL167" i="1" s="1"/>
  <c r="BH167" i="1"/>
  <c r="BJ167" i="1" s="1"/>
  <c r="AI167" i="1"/>
  <c r="BM167" i="1" s="1"/>
  <c r="AH167" i="1"/>
  <c r="BK167" i="1" s="1"/>
  <c r="BI166" i="1"/>
  <c r="BL166" i="1" s="1"/>
  <c r="BH166" i="1"/>
  <c r="BJ166" i="1" s="1"/>
  <c r="AI166" i="1"/>
  <c r="BM166" i="1" s="1"/>
  <c r="AH166" i="1"/>
  <c r="BK166" i="1" s="1"/>
  <c r="BI165" i="1"/>
  <c r="BL165" i="1" s="1"/>
  <c r="BH165" i="1"/>
  <c r="BJ165" i="1" s="1"/>
  <c r="AI165" i="1"/>
  <c r="BM165" i="1" s="1"/>
  <c r="AH165" i="1"/>
  <c r="BK165" i="1" s="1"/>
  <c r="BI164" i="1"/>
  <c r="BL164" i="1" s="1"/>
  <c r="BH164" i="1"/>
  <c r="BJ164" i="1" s="1"/>
  <c r="AI164" i="1"/>
  <c r="BM164" i="1" s="1"/>
  <c r="AH164" i="1"/>
  <c r="BK164" i="1" s="1"/>
  <c r="BI163" i="1"/>
  <c r="BL163" i="1" s="1"/>
  <c r="BH163" i="1"/>
  <c r="BJ163" i="1" s="1"/>
  <c r="AI163" i="1"/>
  <c r="BM163" i="1" s="1"/>
  <c r="AH163" i="1"/>
  <c r="BK163" i="1" s="1"/>
  <c r="BI162" i="1"/>
  <c r="BL162" i="1" s="1"/>
  <c r="BH162" i="1"/>
  <c r="BJ162" i="1" s="1"/>
  <c r="AI162" i="1"/>
  <c r="BM162" i="1" s="1"/>
  <c r="AH162" i="1"/>
  <c r="BK162" i="1" s="1"/>
  <c r="BI161" i="1"/>
  <c r="BL161" i="1" s="1"/>
  <c r="BH161" i="1"/>
  <c r="BJ161" i="1" s="1"/>
  <c r="AI161" i="1"/>
  <c r="BM161" i="1" s="1"/>
  <c r="AH161" i="1"/>
  <c r="BK161" i="1" s="1"/>
  <c r="BI160" i="1"/>
  <c r="BL160" i="1" s="1"/>
  <c r="BH160" i="1"/>
  <c r="BJ160" i="1" s="1"/>
  <c r="AI160" i="1"/>
  <c r="BM160" i="1" s="1"/>
  <c r="AH160" i="1"/>
  <c r="BK160" i="1" s="1"/>
  <c r="BI159" i="1"/>
  <c r="BL159" i="1" s="1"/>
  <c r="BH159" i="1"/>
  <c r="BJ159" i="1" s="1"/>
  <c r="AI159" i="1"/>
  <c r="BM159" i="1" s="1"/>
  <c r="AH159" i="1"/>
  <c r="BK159" i="1" s="1"/>
  <c r="BI158" i="1"/>
  <c r="BL158" i="1" s="1"/>
  <c r="BH158" i="1"/>
  <c r="BJ158" i="1" s="1"/>
  <c r="AI158" i="1"/>
  <c r="BM158" i="1" s="1"/>
  <c r="AH158" i="1"/>
  <c r="BK158" i="1" s="1"/>
  <c r="BI157" i="1"/>
  <c r="BL157" i="1" s="1"/>
  <c r="BH157" i="1"/>
  <c r="BJ157" i="1" s="1"/>
  <c r="AI157" i="1"/>
  <c r="BM157" i="1" s="1"/>
  <c r="AH157" i="1"/>
  <c r="BK157" i="1" s="1"/>
  <c r="BI156" i="1"/>
  <c r="BL156" i="1" s="1"/>
  <c r="BH156" i="1"/>
  <c r="BJ156" i="1" s="1"/>
  <c r="AI156" i="1"/>
  <c r="BM156" i="1" s="1"/>
  <c r="AH156" i="1"/>
  <c r="BK156" i="1" s="1"/>
  <c r="BI155" i="1"/>
  <c r="BL155" i="1" s="1"/>
  <c r="BH155" i="1"/>
  <c r="BJ155" i="1" s="1"/>
  <c r="AI155" i="1"/>
  <c r="BM155" i="1" s="1"/>
  <c r="AH155" i="1"/>
  <c r="BK155" i="1" s="1"/>
  <c r="BI154" i="1"/>
  <c r="BL154" i="1" s="1"/>
  <c r="BH154" i="1"/>
  <c r="BJ154" i="1" s="1"/>
  <c r="AI154" i="1"/>
  <c r="BM154" i="1" s="1"/>
  <c r="AH154" i="1"/>
  <c r="BK154" i="1" s="1"/>
  <c r="BI153" i="1"/>
  <c r="BL153" i="1" s="1"/>
  <c r="BH153" i="1"/>
  <c r="BJ153" i="1" s="1"/>
  <c r="AI153" i="1"/>
  <c r="BM153" i="1" s="1"/>
  <c r="AH153" i="1"/>
  <c r="BK153" i="1" s="1"/>
  <c r="BI152" i="1"/>
  <c r="BL152" i="1" s="1"/>
  <c r="BH152" i="1"/>
  <c r="BJ152" i="1" s="1"/>
  <c r="AI152" i="1"/>
  <c r="BM152" i="1" s="1"/>
  <c r="AH152" i="1"/>
  <c r="BK152" i="1" s="1"/>
  <c r="BI151" i="1"/>
  <c r="BL151" i="1" s="1"/>
  <c r="BH151" i="1"/>
  <c r="BJ151" i="1" s="1"/>
  <c r="AI151" i="1"/>
  <c r="BM151" i="1" s="1"/>
  <c r="AH151" i="1"/>
  <c r="BK151" i="1" s="1"/>
  <c r="BI150" i="1"/>
  <c r="BL150" i="1" s="1"/>
  <c r="BH150" i="1"/>
  <c r="BJ150" i="1" s="1"/>
  <c r="AI150" i="1"/>
  <c r="BM150" i="1" s="1"/>
  <c r="AH150" i="1"/>
  <c r="BK150" i="1" s="1"/>
  <c r="BI149" i="1"/>
  <c r="BL149" i="1" s="1"/>
  <c r="BH149" i="1"/>
  <c r="BJ149" i="1" s="1"/>
  <c r="AI149" i="1"/>
  <c r="BM149" i="1" s="1"/>
  <c r="AH149" i="1"/>
  <c r="BK149" i="1" s="1"/>
  <c r="BI148" i="1"/>
  <c r="BL148" i="1" s="1"/>
  <c r="BH148" i="1"/>
  <c r="BJ148" i="1" s="1"/>
  <c r="AI148" i="1"/>
  <c r="BM148" i="1" s="1"/>
  <c r="AH148" i="1"/>
  <c r="BK148" i="1" s="1"/>
  <c r="BI147" i="1"/>
  <c r="BL147" i="1" s="1"/>
  <c r="BH147" i="1"/>
  <c r="BJ147" i="1" s="1"/>
  <c r="AI147" i="1"/>
  <c r="BM147" i="1" s="1"/>
  <c r="AH147" i="1"/>
  <c r="BK147" i="1" s="1"/>
  <c r="BI146" i="1"/>
  <c r="BL146" i="1" s="1"/>
  <c r="BH146" i="1"/>
  <c r="BJ146" i="1" s="1"/>
  <c r="AI146" i="1"/>
  <c r="BM146" i="1" s="1"/>
  <c r="AH146" i="1"/>
  <c r="BK146" i="1" s="1"/>
  <c r="BI145" i="1"/>
  <c r="BL145" i="1" s="1"/>
  <c r="BH145" i="1"/>
  <c r="BJ145" i="1" s="1"/>
  <c r="AI145" i="1"/>
  <c r="BM145" i="1" s="1"/>
  <c r="AH145" i="1"/>
  <c r="BK145" i="1" s="1"/>
  <c r="BI144" i="1"/>
  <c r="BL144" i="1" s="1"/>
  <c r="BH144" i="1"/>
  <c r="BJ144" i="1" s="1"/>
  <c r="AI144" i="1"/>
  <c r="BM144" i="1" s="1"/>
  <c r="AH144" i="1"/>
  <c r="BK144" i="1" s="1"/>
  <c r="BI143" i="1"/>
  <c r="BL143" i="1" s="1"/>
  <c r="BH143" i="1"/>
  <c r="BJ143" i="1" s="1"/>
  <c r="AI143" i="1"/>
  <c r="BM143" i="1" s="1"/>
  <c r="AH143" i="1"/>
  <c r="BK143" i="1" s="1"/>
  <c r="BI142" i="1"/>
  <c r="BL142" i="1" s="1"/>
  <c r="BH142" i="1"/>
  <c r="BJ142" i="1" s="1"/>
  <c r="AI142" i="1"/>
  <c r="BM142" i="1" s="1"/>
  <c r="AH142" i="1"/>
  <c r="BK142" i="1" s="1"/>
  <c r="BI141" i="1"/>
  <c r="BL141" i="1" s="1"/>
  <c r="BH141" i="1"/>
  <c r="BJ141" i="1" s="1"/>
  <c r="AI141" i="1"/>
  <c r="BM141" i="1" s="1"/>
  <c r="AH141" i="1"/>
  <c r="BK141" i="1" s="1"/>
  <c r="BI140" i="1"/>
  <c r="BL140" i="1" s="1"/>
  <c r="BH140" i="1"/>
  <c r="BJ140" i="1" s="1"/>
  <c r="AI140" i="1"/>
  <c r="BM140" i="1" s="1"/>
  <c r="AH140" i="1"/>
  <c r="BK140" i="1" s="1"/>
  <c r="BI139" i="1"/>
  <c r="BL139" i="1" s="1"/>
  <c r="BH139" i="1"/>
  <c r="BJ139" i="1" s="1"/>
  <c r="AI139" i="1"/>
  <c r="BM139" i="1" s="1"/>
  <c r="AH139" i="1"/>
  <c r="BK139" i="1" s="1"/>
  <c r="BI138" i="1"/>
  <c r="BL138" i="1" s="1"/>
  <c r="BH138" i="1"/>
  <c r="BJ138" i="1" s="1"/>
  <c r="AI138" i="1"/>
  <c r="BM138" i="1" s="1"/>
  <c r="AH138" i="1"/>
  <c r="BK138" i="1" s="1"/>
  <c r="BI137" i="1"/>
  <c r="BL137" i="1" s="1"/>
  <c r="BH137" i="1"/>
  <c r="BJ137" i="1" s="1"/>
  <c r="AI137" i="1"/>
  <c r="BM137" i="1" s="1"/>
  <c r="AH137" i="1"/>
  <c r="BK137" i="1" s="1"/>
  <c r="BI136" i="1"/>
  <c r="BL136" i="1" s="1"/>
  <c r="BH136" i="1"/>
  <c r="BJ136" i="1" s="1"/>
  <c r="AI136" i="1"/>
  <c r="BM136" i="1" s="1"/>
  <c r="AH136" i="1"/>
  <c r="BK136" i="1" s="1"/>
  <c r="BI135" i="1"/>
  <c r="BL135" i="1" s="1"/>
  <c r="BH135" i="1"/>
  <c r="BJ135" i="1" s="1"/>
  <c r="AI135" i="1"/>
  <c r="BM135" i="1" s="1"/>
  <c r="AH135" i="1"/>
  <c r="BK135" i="1" s="1"/>
  <c r="BI134" i="1"/>
  <c r="BL134" i="1" s="1"/>
  <c r="BH134" i="1"/>
  <c r="BJ134" i="1" s="1"/>
  <c r="AI134" i="1"/>
  <c r="BM134" i="1" s="1"/>
  <c r="AH134" i="1"/>
  <c r="BK134" i="1" s="1"/>
  <c r="BI133" i="1"/>
  <c r="BL133" i="1" s="1"/>
  <c r="BH133" i="1"/>
  <c r="BJ133" i="1" s="1"/>
  <c r="AI133" i="1"/>
  <c r="BM133" i="1" s="1"/>
  <c r="AH133" i="1"/>
  <c r="BK133" i="1" s="1"/>
  <c r="BI132" i="1"/>
  <c r="BL132" i="1" s="1"/>
  <c r="BH132" i="1"/>
  <c r="BJ132" i="1" s="1"/>
  <c r="AI132" i="1"/>
  <c r="BM132" i="1" s="1"/>
  <c r="AH132" i="1"/>
  <c r="BK132" i="1" s="1"/>
  <c r="BI131" i="1"/>
  <c r="BL131" i="1" s="1"/>
  <c r="BH131" i="1"/>
  <c r="BJ131" i="1" s="1"/>
  <c r="AI131" i="1"/>
  <c r="BM131" i="1" s="1"/>
  <c r="AH131" i="1"/>
  <c r="BK131" i="1" s="1"/>
  <c r="BI130" i="1"/>
  <c r="BL130" i="1" s="1"/>
  <c r="BH130" i="1"/>
  <c r="BJ130" i="1" s="1"/>
  <c r="AI130" i="1"/>
  <c r="BM130" i="1" s="1"/>
  <c r="AH130" i="1"/>
  <c r="BK130" i="1" s="1"/>
  <c r="BI129" i="1"/>
  <c r="BL129" i="1" s="1"/>
  <c r="BH129" i="1"/>
  <c r="BJ129" i="1" s="1"/>
  <c r="AI129" i="1"/>
  <c r="BM129" i="1" s="1"/>
  <c r="AH129" i="1"/>
  <c r="BK129" i="1" s="1"/>
  <c r="BI128" i="1"/>
  <c r="BL128" i="1" s="1"/>
  <c r="BH128" i="1"/>
  <c r="BJ128" i="1" s="1"/>
  <c r="AI128" i="1"/>
  <c r="BM128" i="1" s="1"/>
  <c r="AH128" i="1"/>
  <c r="BK128" i="1" s="1"/>
  <c r="BI127" i="1"/>
  <c r="BL127" i="1" s="1"/>
  <c r="BH127" i="1"/>
  <c r="BJ127" i="1" s="1"/>
  <c r="AI127" i="1"/>
  <c r="BM127" i="1" s="1"/>
  <c r="AH127" i="1"/>
  <c r="BK127" i="1" s="1"/>
  <c r="BI126" i="1"/>
  <c r="BL126" i="1" s="1"/>
  <c r="BH126" i="1"/>
  <c r="BJ126" i="1" s="1"/>
  <c r="AI126" i="1"/>
  <c r="BM126" i="1" s="1"/>
  <c r="AH126" i="1"/>
  <c r="BK126" i="1" s="1"/>
  <c r="BI125" i="1"/>
  <c r="BL125" i="1" s="1"/>
  <c r="BH125" i="1"/>
  <c r="BJ125" i="1" s="1"/>
  <c r="AI125" i="1"/>
  <c r="BM125" i="1" s="1"/>
  <c r="AH125" i="1"/>
  <c r="BK125" i="1" s="1"/>
  <c r="BI124" i="1"/>
  <c r="BL124" i="1" s="1"/>
  <c r="BH124" i="1"/>
  <c r="BJ124" i="1" s="1"/>
  <c r="AI124" i="1"/>
  <c r="BM124" i="1" s="1"/>
  <c r="AH124" i="1"/>
  <c r="BK124" i="1" s="1"/>
  <c r="BI123" i="1"/>
  <c r="BL123" i="1" s="1"/>
  <c r="BH123" i="1"/>
  <c r="BJ123" i="1" s="1"/>
  <c r="AI123" i="1"/>
  <c r="BM123" i="1" s="1"/>
  <c r="AH123" i="1"/>
  <c r="BK123" i="1" s="1"/>
  <c r="BI122" i="1"/>
  <c r="BL122" i="1" s="1"/>
  <c r="BH122" i="1"/>
  <c r="BJ122" i="1" s="1"/>
  <c r="AI122" i="1"/>
  <c r="BM122" i="1" s="1"/>
  <c r="AH122" i="1"/>
  <c r="BK122" i="1" s="1"/>
  <c r="BI121" i="1"/>
  <c r="BL121" i="1" s="1"/>
  <c r="BH121" i="1"/>
  <c r="BJ121" i="1" s="1"/>
  <c r="AI121" i="1"/>
  <c r="BM121" i="1" s="1"/>
  <c r="AH121" i="1"/>
  <c r="BK121" i="1" s="1"/>
  <c r="BI120" i="1"/>
  <c r="BL120" i="1" s="1"/>
  <c r="BH120" i="1"/>
  <c r="BJ120" i="1" s="1"/>
  <c r="AI120" i="1"/>
  <c r="BM120" i="1" s="1"/>
  <c r="AH120" i="1"/>
  <c r="BK120" i="1" s="1"/>
  <c r="BI119" i="1"/>
  <c r="BL119" i="1" s="1"/>
  <c r="BH119" i="1"/>
  <c r="BJ119" i="1" s="1"/>
  <c r="AI119" i="1"/>
  <c r="BM119" i="1" s="1"/>
  <c r="AH119" i="1"/>
  <c r="BK119" i="1" s="1"/>
  <c r="BI118" i="1"/>
  <c r="BL118" i="1" s="1"/>
  <c r="BH118" i="1"/>
  <c r="BJ118" i="1" s="1"/>
  <c r="AI118" i="1"/>
  <c r="BM118" i="1" s="1"/>
  <c r="AH118" i="1"/>
  <c r="BK118" i="1" s="1"/>
  <c r="BI117" i="1"/>
  <c r="BL117" i="1" s="1"/>
  <c r="BH117" i="1"/>
  <c r="BJ117" i="1" s="1"/>
  <c r="AI117" i="1"/>
  <c r="BM117" i="1" s="1"/>
  <c r="AH117" i="1"/>
  <c r="BK117" i="1" s="1"/>
  <c r="BI116" i="1"/>
  <c r="BL116" i="1" s="1"/>
  <c r="BH116" i="1"/>
  <c r="BJ116" i="1" s="1"/>
  <c r="AI116" i="1"/>
  <c r="BM116" i="1" s="1"/>
  <c r="AH116" i="1"/>
  <c r="BK116" i="1" s="1"/>
  <c r="BI115" i="1"/>
  <c r="BL115" i="1" s="1"/>
  <c r="BH115" i="1"/>
  <c r="BJ115" i="1" s="1"/>
  <c r="AI115" i="1"/>
  <c r="BM115" i="1" s="1"/>
  <c r="AH115" i="1"/>
  <c r="BK115" i="1" s="1"/>
  <c r="BI114" i="1"/>
  <c r="BL114" i="1" s="1"/>
  <c r="BH114" i="1"/>
  <c r="BJ114" i="1" s="1"/>
  <c r="AI114" i="1"/>
  <c r="BM114" i="1" s="1"/>
  <c r="AH114" i="1"/>
  <c r="BK114" i="1" s="1"/>
  <c r="BI113" i="1"/>
  <c r="BL113" i="1" s="1"/>
  <c r="BH113" i="1"/>
  <c r="BJ113" i="1" s="1"/>
  <c r="AI113" i="1"/>
  <c r="BM113" i="1" s="1"/>
  <c r="AH113" i="1"/>
  <c r="BK113" i="1" s="1"/>
  <c r="BI112" i="1"/>
  <c r="BL112" i="1" s="1"/>
  <c r="BH112" i="1"/>
  <c r="BJ112" i="1" s="1"/>
  <c r="AI112" i="1"/>
  <c r="BM112" i="1" s="1"/>
  <c r="AH112" i="1"/>
  <c r="BK112" i="1" s="1"/>
  <c r="BI111" i="1"/>
  <c r="BL111" i="1" s="1"/>
  <c r="BH111" i="1"/>
  <c r="BJ111" i="1" s="1"/>
  <c r="AI111" i="1"/>
  <c r="BM111" i="1" s="1"/>
  <c r="AH111" i="1"/>
  <c r="BK111" i="1" s="1"/>
  <c r="BI110" i="1"/>
  <c r="BL110" i="1" s="1"/>
  <c r="BH110" i="1"/>
  <c r="BJ110" i="1" s="1"/>
  <c r="AI110" i="1"/>
  <c r="BM110" i="1" s="1"/>
  <c r="AH110" i="1"/>
  <c r="BK110" i="1" s="1"/>
  <c r="BI109" i="1"/>
  <c r="BL109" i="1" s="1"/>
  <c r="BH109" i="1"/>
  <c r="BJ109" i="1" s="1"/>
  <c r="AI109" i="1"/>
  <c r="BM109" i="1" s="1"/>
  <c r="AH109" i="1"/>
  <c r="BK109" i="1" s="1"/>
  <c r="BI108" i="1"/>
  <c r="BL108" i="1" s="1"/>
  <c r="BH108" i="1"/>
  <c r="BJ108" i="1" s="1"/>
  <c r="AI108" i="1"/>
  <c r="BM108" i="1" s="1"/>
  <c r="AH108" i="1"/>
  <c r="BK108" i="1" s="1"/>
  <c r="BI107" i="1"/>
  <c r="BL107" i="1" s="1"/>
  <c r="BH107" i="1"/>
  <c r="BJ107" i="1" s="1"/>
  <c r="AI107" i="1"/>
  <c r="BM107" i="1" s="1"/>
  <c r="AH107" i="1"/>
  <c r="BK107" i="1" s="1"/>
  <c r="BI106" i="1"/>
  <c r="BL106" i="1" s="1"/>
  <c r="BH106" i="1"/>
  <c r="BJ106" i="1" s="1"/>
  <c r="AI106" i="1"/>
  <c r="BM106" i="1" s="1"/>
  <c r="AH106" i="1"/>
  <c r="BK106" i="1" s="1"/>
  <c r="BI105" i="1"/>
  <c r="BL105" i="1" s="1"/>
  <c r="BH105" i="1"/>
  <c r="BJ105" i="1" s="1"/>
  <c r="AI105" i="1"/>
  <c r="BM105" i="1" s="1"/>
  <c r="AH105" i="1"/>
  <c r="BK105" i="1" s="1"/>
  <c r="BI104" i="1"/>
  <c r="BL104" i="1" s="1"/>
  <c r="BH104" i="1"/>
  <c r="BJ104" i="1" s="1"/>
  <c r="AI104" i="1"/>
  <c r="BM104" i="1" s="1"/>
  <c r="AH104" i="1"/>
  <c r="BK104" i="1" s="1"/>
  <c r="BI103" i="1"/>
  <c r="BL103" i="1" s="1"/>
  <c r="BH103" i="1"/>
  <c r="BJ103" i="1" s="1"/>
  <c r="AI103" i="1"/>
  <c r="BM103" i="1" s="1"/>
  <c r="AH103" i="1"/>
  <c r="BK103" i="1" s="1"/>
  <c r="BI102" i="1"/>
  <c r="BL102" i="1" s="1"/>
  <c r="BH102" i="1"/>
  <c r="BJ102" i="1" s="1"/>
  <c r="AI102" i="1"/>
  <c r="AH102" i="1"/>
  <c r="BK102" i="1" s="1"/>
  <c r="BI101" i="1"/>
  <c r="BL101" i="1" s="1"/>
  <c r="BH101" i="1"/>
  <c r="BJ101" i="1" s="1"/>
  <c r="AI101" i="1"/>
  <c r="BM101" i="1" s="1"/>
  <c r="AH101" i="1"/>
  <c r="BK101" i="1" s="1"/>
  <c r="BI100" i="1"/>
  <c r="BL100" i="1" s="1"/>
  <c r="BH100" i="1"/>
  <c r="BJ100" i="1" s="1"/>
  <c r="AI100" i="1"/>
  <c r="AH100" i="1"/>
  <c r="BK100" i="1" s="1"/>
  <c r="BI99" i="1"/>
  <c r="BL99" i="1" s="1"/>
  <c r="BH99" i="1"/>
  <c r="BJ99" i="1" s="1"/>
  <c r="AI99" i="1"/>
  <c r="BM99" i="1" s="1"/>
  <c r="AH99" i="1"/>
  <c r="BK99" i="1" s="1"/>
  <c r="BI98" i="1"/>
  <c r="BL98" i="1" s="1"/>
  <c r="BH98" i="1"/>
  <c r="BJ98" i="1" s="1"/>
  <c r="AI98" i="1"/>
  <c r="BM98" i="1" s="1"/>
  <c r="AH98" i="1"/>
  <c r="BK98" i="1" s="1"/>
  <c r="BI97" i="1"/>
  <c r="BL97" i="1" s="1"/>
  <c r="BH97" i="1"/>
  <c r="BJ97" i="1" s="1"/>
  <c r="AI97" i="1"/>
  <c r="BM97" i="1" s="1"/>
  <c r="AH97" i="1"/>
  <c r="BK97" i="1" s="1"/>
  <c r="BI96" i="1"/>
  <c r="BL96" i="1" s="1"/>
  <c r="BH96" i="1"/>
  <c r="BJ96" i="1" s="1"/>
  <c r="AI96" i="1"/>
  <c r="BM96" i="1" s="1"/>
  <c r="AH96" i="1"/>
  <c r="BK96" i="1" s="1"/>
  <c r="BI95" i="1"/>
  <c r="BL95" i="1" s="1"/>
  <c r="BH95" i="1"/>
  <c r="BJ95" i="1" s="1"/>
  <c r="AI95" i="1"/>
  <c r="BM95" i="1" s="1"/>
  <c r="AH95" i="1"/>
  <c r="BK95" i="1" s="1"/>
  <c r="BI94" i="1"/>
  <c r="BL94" i="1" s="1"/>
  <c r="BH94" i="1"/>
  <c r="BJ94" i="1" s="1"/>
  <c r="AI94" i="1"/>
  <c r="BM94" i="1" s="1"/>
  <c r="AH94" i="1"/>
  <c r="BK94" i="1" s="1"/>
  <c r="BI93" i="1"/>
  <c r="BL93" i="1" s="1"/>
  <c r="BH93" i="1"/>
  <c r="BJ93" i="1" s="1"/>
  <c r="AI93" i="1"/>
  <c r="BM93" i="1" s="1"/>
  <c r="AH93" i="1"/>
  <c r="BK93" i="1" s="1"/>
  <c r="BI92" i="1"/>
  <c r="BL92" i="1" s="1"/>
  <c r="BM92" i="1" s="1"/>
  <c r="BH92" i="1"/>
  <c r="BJ92" i="1" s="1"/>
  <c r="AI92" i="1"/>
  <c r="AH92" i="1"/>
  <c r="BK92" i="1" s="1"/>
  <c r="BI91" i="1"/>
  <c r="BL91" i="1" s="1"/>
  <c r="BH91" i="1"/>
  <c r="BJ91" i="1" s="1"/>
  <c r="AI91" i="1"/>
  <c r="BM91" i="1" s="1"/>
  <c r="AH91" i="1"/>
  <c r="BK91" i="1" s="1"/>
  <c r="BI90" i="1"/>
  <c r="BL90" i="1" s="1"/>
  <c r="BH90" i="1"/>
  <c r="BJ90" i="1" s="1"/>
  <c r="AI90" i="1"/>
  <c r="BM90" i="1" s="1"/>
  <c r="AH90" i="1"/>
  <c r="BK90" i="1" s="1"/>
  <c r="BI89" i="1"/>
  <c r="BL89" i="1" s="1"/>
  <c r="BH89" i="1"/>
  <c r="BJ89" i="1" s="1"/>
  <c r="AI89" i="1"/>
  <c r="BM89" i="1" s="1"/>
  <c r="AH89" i="1"/>
  <c r="BK89" i="1" s="1"/>
  <c r="BI88" i="1"/>
  <c r="BL88" i="1" s="1"/>
  <c r="BH88" i="1"/>
  <c r="BJ88" i="1" s="1"/>
  <c r="AI88" i="1"/>
  <c r="BM88" i="1" s="1"/>
  <c r="AH88" i="1"/>
  <c r="BK88" i="1" s="1"/>
  <c r="BI87" i="1"/>
  <c r="BL87" i="1" s="1"/>
  <c r="BH87" i="1"/>
  <c r="BJ87" i="1" s="1"/>
  <c r="AI87" i="1"/>
  <c r="BM87" i="1" s="1"/>
  <c r="AH87" i="1"/>
  <c r="BK87" i="1" s="1"/>
  <c r="BI86" i="1"/>
  <c r="BL86" i="1" s="1"/>
  <c r="BH86" i="1"/>
  <c r="BJ86" i="1" s="1"/>
  <c r="AI86" i="1"/>
  <c r="BM86" i="1" s="1"/>
  <c r="AH86" i="1"/>
  <c r="BK86" i="1" s="1"/>
  <c r="BI85" i="1"/>
  <c r="BL85" i="1" s="1"/>
  <c r="BH85" i="1"/>
  <c r="BJ85" i="1" s="1"/>
  <c r="AI85" i="1"/>
  <c r="BM85" i="1" s="1"/>
  <c r="AH85" i="1"/>
  <c r="BK85" i="1" s="1"/>
  <c r="BI84" i="1"/>
  <c r="BL84" i="1" s="1"/>
  <c r="BH84" i="1"/>
  <c r="BJ84" i="1" s="1"/>
  <c r="AI84" i="1"/>
  <c r="BM84" i="1" s="1"/>
  <c r="AH84" i="1"/>
  <c r="BK84" i="1" s="1"/>
  <c r="BI83" i="1"/>
  <c r="BL83" i="1" s="1"/>
  <c r="BH83" i="1"/>
  <c r="BJ83" i="1" s="1"/>
  <c r="AI83" i="1"/>
  <c r="BM83" i="1" s="1"/>
  <c r="AH83" i="1"/>
  <c r="BK83" i="1" s="1"/>
  <c r="BI82" i="1"/>
  <c r="BL82" i="1" s="1"/>
  <c r="BH82" i="1"/>
  <c r="BJ82" i="1" s="1"/>
  <c r="AI82" i="1"/>
  <c r="BM82" i="1" s="1"/>
  <c r="AH82" i="1"/>
  <c r="BK82" i="1" s="1"/>
  <c r="BI81" i="1"/>
  <c r="BL81" i="1" s="1"/>
  <c r="BH81" i="1"/>
  <c r="BJ81" i="1" s="1"/>
  <c r="AI81" i="1"/>
  <c r="BM81" i="1" s="1"/>
  <c r="AH81" i="1"/>
  <c r="BK81" i="1" s="1"/>
  <c r="BI80" i="1"/>
  <c r="BL80" i="1" s="1"/>
  <c r="BH80" i="1"/>
  <c r="BJ80" i="1" s="1"/>
  <c r="AI80" i="1"/>
  <c r="BM80" i="1" s="1"/>
  <c r="AH80" i="1"/>
  <c r="BK80" i="1" s="1"/>
  <c r="BI79" i="1"/>
  <c r="BL79" i="1" s="1"/>
  <c r="BH79" i="1"/>
  <c r="BJ79" i="1" s="1"/>
  <c r="AI79" i="1"/>
  <c r="BM79" i="1" s="1"/>
  <c r="AH79" i="1"/>
  <c r="BK79" i="1" s="1"/>
  <c r="BI78" i="1"/>
  <c r="BL78" i="1" s="1"/>
  <c r="BH78" i="1"/>
  <c r="BJ78" i="1" s="1"/>
  <c r="AI78" i="1"/>
  <c r="BM78" i="1" s="1"/>
  <c r="AH78" i="1"/>
  <c r="BK78" i="1" s="1"/>
  <c r="BI77" i="1"/>
  <c r="BL77" i="1" s="1"/>
  <c r="BH77" i="1"/>
  <c r="BJ77" i="1" s="1"/>
  <c r="AI77" i="1"/>
  <c r="BM77" i="1" s="1"/>
  <c r="AH77" i="1"/>
  <c r="BK77" i="1" s="1"/>
  <c r="BI76" i="1"/>
  <c r="BL76" i="1" s="1"/>
  <c r="BH76" i="1"/>
  <c r="BJ76" i="1" s="1"/>
  <c r="AI76" i="1"/>
  <c r="BM76" i="1" s="1"/>
  <c r="AH76" i="1"/>
  <c r="BK76" i="1" s="1"/>
  <c r="BI75" i="1"/>
  <c r="BL75" i="1" s="1"/>
  <c r="BH75" i="1"/>
  <c r="BJ75" i="1" s="1"/>
  <c r="AI75" i="1"/>
  <c r="BM75" i="1" s="1"/>
  <c r="AH75" i="1"/>
  <c r="BK75" i="1" s="1"/>
  <c r="BI74" i="1"/>
  <c r="BL74" i="1" s="1"/>
  <c r="BH74" i="1"/>
  <c r="BJ74" i="1" s="1"/>
  <c r="AI74" i="1"/>
  <c r="BM74" i="1" s="1"/>
  <c r="AH74" i="1"/>
  <c r="BK74" i="1" s="1"/>
  <c r="BI73" i="1"/>
  <c r="BL73" i="1" s="1"/>
  <c r="BH73" i="1"/>
  <c r="BJ73" i="1" s="1"/>
  <c r="AI73" i="1"/>
  <c r="BM73" i="1" s="1"/>
  <c r="AH73" i="1"/>
  <c r="BK73" i="1" s="1"/>
  <c r="BI72" i="1"/>
  <c r="BL72" i="1" s="1"/>
  <c r="BH72" i="1"/>
  <c r="BJ72" i="1" s="1"/>
  <c r="AI72" i="1"/>
  <c r="BM72" i="1" s="1"/>
  <c r="AH72" i="1"/>
  <c r="BK72" i="1" s="1"/>
  <c r="BI71" i="1"/>
  <c r="BL71" i="1" s="1"/>
  <c r="BH71" i="1"/>
  <c r="BJ71" i="1" s="1"/>
  <c r="AI71" i="1"/>
  <c r="BM71" i="1" s="1"/>
  <c r="AH71" i="1"/>
  <c r="BK71" i="1" s="1"/>
  <c r="BI70" i="1"/>
  <c r="BL70" i="1" s="1"/>
  <c r="BH70" i="1"/>
  <c r="BJ70" i="1" s="1"/>
  <c r="AI70" i="1"/>
  <c r="BM70" i="1" s="1"/>
  <c r="AH70" i="1"/>
  <c r="BK70" i="1" s="1"/>
  <c r="BI69" i="1"/>
  <c r="BL69" i="1" s="1"/>
  <c r="BH69" i="1"/>
  <c r="BJ69" i="1" s="1"/>
  <c r="AI69" i="1"/>
  <c r="BM69" i="1" s="1"/>
  <c r="AH69" i="1"/>
  <c r="BK69" i="1" s="1"/>
  <c r="BI68" i="1"/>
  <c r="BL68" i="1" s="1"/>
  <c r="BH68" i="1"/>
  <c r="BJ68" i="1" s="1"/>
  <c r="AI68" i="1"/>
  <c r="BM68" i="1" s="1"/>
  <c r="AH68" i="1"/>
  <c r="BK68" i="1" s="1"/>
  <c r="BI67" i="1"/>
  <c r="BL67" i="1" s="1"/>
  <c r="BH67" i="1"/>
  <c r="BJ67" i="1" s="1"/>
  <c r="AI67" i="1"/>
  <c r="BM67" i="1" s="1"/>
  <c r="AH67" i="1"/>
  <c r="BK67" i="1" s="1"/>
  <c r="BI66" i="1"/>
  <c r="BL66" i="1" s="1"/>
  <c r="BH66" i="1"/>
  <c r="BJ66" i="1" s="1"/>
  <c r="AI66" i="1"/>
  <c r="BM66" i="1" s="1"/>
  <c r="AH66" i="1"/>
  <c r="BK66" i="1" s="1"/>
  <c r="BI65" i="1"/>
  <c r="BL65" i="1" s="1"/>
  <c r="BH65" i="1"/>
  <c r="BJ65" i="1" s="1"/>
  <c r="AI65" i="1"/>
  <c r="BM65" i="1" s="1"/>
  <c r="AH65" i="1"/>
  <c r="BK65" i="1" s="1"/>
  <c r="BI64" i="1"/>
  <c r="BL64" i="1" s="1"/>
  <c r="BH64" i="1"/>
  <c r="BJ64" i="1" s="1"/>
  <c r="AI64" i="1"/>
  <c r="BM64" i="1" s="1"/>
  <c r="AH64" i="1"/>
  <c r="BK64" i="1" s="1"/>
  <c r="BI63" i="1"/>
  <c r="BL63" i="1" s="1"/>
  <c r="BH63" i="1"/>
  <c r="BJ63" i="1" s="1"/>
  <c r="AI63" i="1"/>
  <c r="BM63" i="1" s="1"/>
  <c r="AH63" i="1"/>
  <c r="BK63" i="1" s="1"/>
  <c r="BI62" i="1"/>
  <c r="BL62" i="1" s="1"/>
  <c r="BH62" i="1"/>
  <c r="BJ62" i="1" s="1"/>
  <c r="AI62" i="1"/>
  <c r="BM62" i="1" s="1"/>
  <c r="AH62" i="1"/>
  <c r="BK62" i="1" s="1"/>
  <c r="BI61" i="1"/>
  <c r="BL61" i="1" s="1"/>
  <c r="BH61" i="1"/>
  <c r="BJ61" i="1" s="1"/>
  <c r="AI61" i="1"/>
  <c r="BM61" i="1" s="1"/>
  <c r="AH61" i="1"/>
  <c r="BK61" i="1" s="1"/>
  <c r="BI60" i="1"/>
  <c r="BL60" i="1" s="1"/>
  <c r="BH60" i="1"/>
  <c r="BJ60" i="1" s="1"/>
  <c r="AI60" i="1"/>
  <c r="BM60" i="1" s="1"/>
  <c r="AH60" i="1"/>
  <c r="BK60" i="1" s="1"/>
  <c r="BI59" i="1"/>
  <c r="BL59" i="1" s="1"/>
  <c r="BH59" i="1"/>
  <c r="BJ59" i="1" s="1"/>
  <c r="AI59" i="1"/>
  <c r="BM59" i="1" s="1"/>
  <c r="AH59" i="1"/>
  <c r="BK59" i="1" s="1"/>
  <c r="BI58" i="1"/>
  <c r="BL58" i="1" s="1"/>
  <c r="BH58" i="1"/>
  <c r="BJ58" i="1" s="1"/>
  <c r="AI58" i="1"/>
  <c r="BM58" i="1" s="1"/>
  <c r="AH58" i="1"/>
  <c r="BK58" i="1" s="1"/>
  <c r="BI57" i="1"/>
  <c r="BL57" i="1" s="1"/>
  <c r="BH57" i="1"/>
  <c r="BJ57" i="1" s="1"/>
  <c r="AI57" i="1"/>
  <c r="BM57" i="1" s="1"/>
  <c r="AH57" i="1"/>
  <c r="BK57" i="1" s="1"/>
  <c r="BI56" i="1"/>
  <c r="BL56" i="1" s="1"/>
  <c r="BH56" i="1"/>
  <c r="BJ56" i="1" s="1"/>
  <c r="AI56" i="1"/>
  <c r="BM56" i="1" s="1"/>
  <c r="AH56" i="1"/>
  <c r="BK56" i="1" s="1"/>
  <c r="BI55" i="1"/>
  <c r="BL55" i="1" s="1"/>
  <c r="BH55" i="1"/>
  <c r="BJ55" i="1" s="1"/>
  <c r="AI55" i="1"/>
  <c r="BM55" i="1" s="1"/>
  <c r="AH55" i="1"/>
  <c r="BK55" i="1" s="1"/>
  <c r="BI54" i="1"/>
  <c r="BL54" i="1" s="1"/>
  <c r="BH54" i="1"/>
  <c r="BJ54" i="1" s="1"/>
  <c r="AI54" i="1"/>
  <c r="BM54" i="1" s="1"/>
  <c r="AH54" i="1"/>
  <c r="BK54" i="1" s="1"/>
  <c r="BI53" i="1"/>
  <c r="BL53" i="1" s="1"/>
  <c r="BH53" i="1"/>
  <c r="BJ53" i="1" s="1"/>
  <c r="AI53" i="1"/>
  <c r="BM53" i="1" s="1"/>
  <c r="AH53" i="1"/>
  <c r="BK53" i="1" s="1"/>
  <c r="BI52" i="1"/>
  <c r="BL52" i="1" s="1"/>
  <c r="BH52" i="1"/>
  <c r="BJ52" i="1" s="1"/>
  <c r="AI52" i="1"/>
  <c r="BM52" i="1" s="1"/>
  <c r="AH52" i="1"/>
  <c r="BK52" i="1" s="1"/>
  <c r="BI51" i="1"/>
  <c r="BL51" i="1" s="1"/>
  <c r="BH51" i="1"/>
  <c r="BJ51" i="1" s="1"/>
  <c r="AI51" i="1"/>
  <c r="BM51" i="1" s="1"/>
  <c r="AH51" i="1"/>
  <c r="BK51" i="1" s="1"/>
  <c r="BI50" i="1"/>
  <c r="BL50" i="1" s="1"/>
  <c r="BH50" i="1"/>
  <c r="BJ50" i="1" s="1"/>
  <c r="AI50" i="1"/>
  <c r="BM50" i="1" s="1"/>
  <c r="AH50" i="1"/>
  <c r="BK50" i="1" s="1"/>
  <c r="BI49" i="1"/>
  <c r="BL49" i="1" s="1"/>
  <c r="BH49" i="1"/>
  <c r="BJ49" i="1" s="1"/>
  <c r="AI49" i="1"/>
  <c r="BM49" i="1" s="1"/>
  <c r="AH49" i="1"/>
  <c r="BK49" i="1" s="1"/>
  <c r="BI48" i="1"/>
  <c r="BL48" i="1" s="1"/>
  <c r="BH48" i="1"/>
  <c r="BJ48" i="1" s="1"/>
  <c r="AI48" i="1"/>
  <c r="BM48" i="1" s="1"/>
  <c r="AH48" i="1"/>
  <c r="BK48" i="1" s="1"/>
  <c r="BI47" i="1"/>
  <c r="BL47" i="1" s="1"/>
  <c r="BH47" i="1"/>
  <c r="BJ47" i="1" s="1"/>
  <c r="AI47" i="1"/>
  <c r="BM47" i="1" s="1"/>
  <c r="AH47" i="1"/>
  <c r="BK47" i="1" s="1"/>
  <c r="BI46" i="1"/>
  <c r="BL46" i="1" s="1"/>
  <c r="BH46" i="1"/>
  <c r="BJ46" i="1" s="1"/>
  <c r="AI46" i="1"/>
  <c r="BM46" i="1" s="1"/>
  <c r="AH46" i="1"/>
  <c r="BK46" i="1" s="1"/>
  <c r="BI45" i="1"/>
  <c r="BL45" i="1" s="1"/>
  <c r="BH45" i="1"/>
  <c r="BJ45" i="1" s="1"/>
  <c r="AI45" i="1"/>
  <c r="BM45" i="1" s="1"/>
  <c r="AH45" i="1"/>
  <c r="BK45" i="1" s="1"/>
  <c r="BI44" i="1"/>
  <c r="BL44" i="1" s="1"/>
  <c r="BH44" i="1"/>
  <c r="BJ44" i="1" s="1"/>
  <c r="AI44" i="1"/>
  <c r="BM44" i="1" s="1"/>
  <c r="AH44" i="1"/>
  <c r="BK44" i="1" s="1"/>
  <c r="BI43" i="1"/>
  <c r="BL43" i="1" s="1"/>
  <c r="BH43" i="1"/>
  <c r="BJ43" i="1" s="1"/>
  <c r="AI43" i="1"/>
  <c r="BM43" i="1" s="1"/>
  <c r="AH43" i="1"/>
  <c r="BK43" i="1" s="1"/>
  <c r="BI42" i="1"/>
  <c r="BL42" i="1" s="1"/>
  <c r="BH42" i="1"/>
  <c r="BJ42" i="1" s="1"/>
  <c r="AI42" i="1"/>
  <c r="BM42" i="1" s="1"/>
  <c r="AH42" i="1"/>
  <c r="BK42" i="1" s="1"/>
  <c r="BI41" i="1"/>
  <c r="BL41" i="1" s="1"/>
  <c r="BH41" i="1"/>
  <c r="BJ41" i="1" s="1"/>
  <c r="AI41" i="1"/>
  <c r="BM41" i="1" s="1"/>
  <c r="AH41" i="1"/>
  <c r="BK41" i="1" s="1"/>
  <c r="BI40" i="1"/>
  <c r="BL40" i="1" s="1"/>
  <c r="BH40" i="1"/>
  <c r="BJ40" i="1" s="1"/>
  <c r="AI40" i="1"/>
  <c r="BM40" i="1" s="1"/>
  <c r="AH40" i="1"/>
  <c r="BK40" i="1" s="1"/>
  <c r="BI39" i="1"/>
  <c r="BL39" i="1" s="1"/>
  <c r="BH39" i="1"/>
  <c r="BJ39" i="1" s="1"/>
  <c r="AI39" i="1"/>
  <c r="BM39" i="1" s="1"/>
  <c r="AH39" i="1"/>
  <c r="BK39" i="1" s="1"/>
  <c r="BI38" i="1"/>
  <c r="BL38" i="1" s="1"/>
  <c r="BH38" i="1"/>
  <c r="BJ38" i="1" s="1"/>
  <c r="AI38" i="1"/>
  <c r="BM38" i="1" s="1"/>
  <c r="AH38" i="1"/>
  <c r="BK38" i="1" s="1"/>
  <c r="BI37" i="1"/>
  <c r="BL37" i="1" s="1"/>
  <c r="BH37" i="1"/>
  <c r="BJ37" i="1" s="1"/>
  <c r="AI37" i="1"/>
  <c r="BM37" i="1" s="1"/>
  <c r="AH37" i="1"/>
  <c r="BI36" i="1"/>
  <c r="BL36" i="1" s="1"/>
  <c r="BH36" i="1"/>
  <c r="BJ36" i="1" s="1"/>
  <c r="AI36" i="1"/>
  <c r="BM36" i="1" s="1"/>
  <c r="AH36" i="1"/>
  <c r="BK36" i="1" s="1"/>
  <c r="BI35" i="1"/>
  <c r="BL35" i="1" s="1"/>
  <c r="BH35" i="1"/>
  <c r="BJ35" i="1" s="1"/>
  <c r="AI35" i="1"/>
  <c r="BM35" i="1" s="1"/>
  <c r="AH35" i="1"/>
  <c r="BK35" i="1" s="1"/>
  <c r="BI34" i="1"/>
  <c r="BL34" i="1" s="1"/>
  <c r="BH34" i="1"/>
  <c r="BJ34" i="1" s="1"/>
  <c r="AI34" i="1"/>
  <c r="AH34" i="1"/>
  <c r="BK34" i="1" s="1"/>
  <c r="BI33" i="1"/>
  <c r="BL33" i="1" s="1"/>
  <c r="BH33" i="1"/>
  <c r="BJ33" i="1" s="1"/>
  <c r="AI33" i="1"/>
  <c r="BM33" i="1" s="1"/>
  <c r="AH33" i="1"/>
  <c r="BK33" i="1" s="1"/>
  <c r="BI32" i="1"/>
  <c r="BL32" i="1" s="1"/>
  <c r="BH32" i="1"/>
  <c r="BJ32" i="1" s="1"/>
  <c r="AI32" i="1"/>
  <c r="BM32" i="1" s="1"/>
  <c r="AH32" i="1"/>
  <c r="BK32" i="1" s="1"/>
  <c r="BI31" i="1"/>
  <c r="BL31" i="1" s="1"/>
  <c r="BH31" i="1"/>
  <c r="BJ31" i="1" s="1"/>
  <c r="AI31" i="1"/>
  <c r="BM31" i="1" s="1"/>
  <c r="AH31" i="1"/>
  <c r="BK31" i="1" s="1"/>
  <c r="BI30" i="1"/>
  <c r="BL30" i="1" s="1"/>
  <c r="BH30" i="1"/>
  <c r="BJ30" i="1" s="1"/>
  <c r="AI30" i="1"/>
  <c r="BM30" i="1" s="1"/>
  <c r="AH30" i="1"/>
  <c r="BK30" i="1" s="1"/>
  <c r="BI29" i="1"/>
  <c r="BL29" i="1" s="1"/>
  <c r="BH29" i="1"/>
  <c r="BJ29" i="1" s="1"/>
  <c r="AI29" i="1"/>
  <c r="BM29" i="1" s="1"/>
  <c r="AH29" i="1"/>
  <c r="BK29" i="1" s="1"/>
  <c r="BI28" i="1"/>
  <c r="BL28" i="1" s="1"/>
  <c r="BH28" i="1"/>
  <c r="BJ28" i="1" s="1"/>
  <c r="AI28" i="1"/>
  <c r="BM28" i="1" s="1"/>
  <c r="AH28" i="1"/>
  <c r="BK28" i="1" s="1"/>
  <c r="BI27" i="1"/>
  <c r="BL27" i="1" s="1"/>
  <c r="BH27" i="1"/>
  <c r="BJ27" i="1" s="1"/>
  <c r="AI27" i="1"/>
  <c r="BM27" i="1" s="1"/>
  <c r="AH27" i="1"/>
  <c r="BK27" i="1" s="1"/>
  <c r="BI26" i="1"/>
  <c r="BL26" i="1" s="1"/>
  <c r="BH26" i="1"/>
  <c r="BJ26" i="1" s="1"/>
  <c r="AI26" i="1"/>
  <c r="BM26" i="1" s="1"/>
  <c r="AH26" i="1"/>
  <c r="BK26" i="1" s="1"/>
  <c r="BI25" i="1"/>
  <c r="BL25" i="1" s="1"/>
  <c r="BH25" i="1"/>
  <c r="BJ25" i="1" s="1"/>
  <c r="AI25" i="1"/>
  <c r="BM25" i="1" s="1"/>
  <c r="AH25" i="1"/>
  <c r="BK25" i="1" s="1"/>
  <c r="BI24" i="1"/>
  <c r="BL24" i="1" s="1"/>
  <c r="BH24" i="1"/>
  <c r="BJ24" i="1" s="1"/>
  <c r="AI24" i="1"/>
  <c r="BM24" i="1" s="1"/>
  <c r="AH24" i="1"/>
  <c r="BK24" i="1" s="1"/>
  <c r="BI23" i="1"/>
  <c r="BL23" i="1" s="1"/>
  <c r="BH23" i="1"/>
  <c r="BJ23" i="1" s="1"/>
  <c r="AI23" i="1"/>
  <c r="BM23" i="1" s="1"/>
  <c r="AH23" i="1"/>
  <c r="BK23" i="1" s="1"/>
  <c r="BI22" i="1"/>
  <c r="BL22" i="1" s="1"/>
  <c r="BH22" i="1"/>
  <c r="BJ22" i="1" s="1"/>
  <c r="AI22" i="1"/>
  <c r="BM22" i="1" s="1"/>
  <c r="AH22" i="1"/>
  <c r="BK22" i="1" s="1"/>
  <c r="BI21" i="1"/>
  <c r="BL21" i="1" s="1"/>
  <c r="BH21" i="1"/>
  <c r="BJ21" i="1" s="1"/>
  <c r="AI21" i="1"/>
  <c r="BM21" i="1" s="1"/>
  <c r="AH21" i="1"/>
  <c r="BK21" i="1" s="1"/>
  <c r="BI20" i="1"/>
  <c r="BL20" i="1" s="1"/>
  <c r="BH20" i="1"/>
  <c r="BJ20" i="1" s="1"/>
  <c r="AI20" i="1"/>
  <c r="BM20" i="1" s="1"/>
  <c r="AH20" i="1"/>
  <c r="BK20" i="1" s="1"/>
  <c r="BI19" i="1"/>
  <c r="BL19" i="1" s="1"/>
  <c r="BH19" i="1"/>
  <c r="BJ19" i="1" s="1"/>
  <c r="AI19" i="1"/>
  <c r="BM19" i="1" s="1"/>
  <c r="AH19" i="1"/>
  <c r="BK19" i="1" s="1"/>
  <c r="BI18" i="1"/>
  <c r="BL18" i="1" s="1"/>
  <c r="BH18" i="1"/>
  <c r="BJ18" i="1" s="1"/>
  <c r="AI18" i="1"/>
  <c r="BM18" i="1" s="1"/>
  <c r="AH18" i="1"/>
  <c r="BK18" i="1" s="1"/>
  <c r="BI17" i="1"/>
  <c r="BL17" i="1" s="1"/>
  <c r="BH17" i="1"/>
  <c r="BJ17" i="1" s="1"/>
  <c r="AI17" i="1"/>
  <c r="BM17" i="1" s="1"/>
  <c r="AH17" i="1"/>
  <c r="BK17" i="1" s="1"/>
  <c r="BI16" i="1"/>
  <c r="BL16" i="1" s="1"/>
  <c r="BH16" i="1"/>
  <c r="BJ16" i="1" s="1"/>
  <c r="AI16" i="1"/>
  <c r="BM16" i="1" s="1"/>
  <c r="AH16" i="1"/>
  <c r="BK16" i="1" s="1"/>
  <c r="BI15" i="1"/>
  <c r="BL15" i="1" s="1"/>
  <c r="BH15" i="1"/>
  <c r="BJ15" i="1" s="1"/>
  <c r="AI15" i="1"/>
  <c r="BM15" i="1" s="1"/>
  <c r="AH15" i="1"/>
  <c r="BK15" i="1" s="1"/>
  <c r="BI14" i="1"/>
  <c r="BL14" i="1" s="1"/>
  <c r="BH14" i="1"/>
  <c r="BJ14" i="1" s="1"/>
  <c r="AI14" i="1"/>
  <c r="BM14" i="1" s="1"/>
  <c r="AH14" i="1"/>
  <c r="BK14" i="1" s="1"/>
  <c r="BI13" i="1"/>
  <c r="BL13" i="1" s="1"/>
  <c r="BH13" i="1"/>
  <c r="BJ13" i="1" s="1"/>
  <c r="AI13" i="1"/>
  <c r="BM13" i="1" s="1"/>
  <c r="AH13" i="1"/>
  <c r="BK13" i="1" s="1"/>
  <c r="BI12" i="1"/>
  <c r="BL12" i="1" s="1"/>
  <c r="BH12" i="1"/>
  <c r="BJ12" i="1" s="1"/>
  <c r="AI12" i="1"/>
  <c r="BM12" i="1" s="1"/>
  <c r="AH12" i="1"/>
  <c r="BK12" i="1" s="1"/>
  <c r="BI11" i="1"/>
  <c r="BL11" i="1" s="1"/>
  <c r="BH11" i="1"/>
  <c r="BJ11" i="1" s="1"/>
  <c r="AI11" i="1"/>
  <c r="BM11" i="1" s="1"/>
  <c r="AH11" i="1"/>
  <c r="BK11" i="1" s="1"/>
  <c r="BI10" i="1"/>
  <c r="BL10" i="1" s="1"/>
  <c r="BH10" i="1"/>
  <c r="BJ10" i="1" s="1"/>
  <c r="AI10" i="1"/>
  <c r="BM10" i="1" s="1"/>
  <c r="AH10" i="1"/>
  <c r="BK10" i="1" s="1"/>
  <c r="BI9" i="1"/>
  <c r="BL9" i="1" s="1"/>
  <c r="BH9" i="1"/>
  <c r="BJ9" i="1" s="1"/>
  <c r="AI9" i="1"/>
  <c r="BM9" i="1" s="1"/>
  <c r="AH9" i="1"/>
  <c r="BK9" i="1" s="1"/>
  <c r="BI8" i="1"/>
  <c r="BL8" i="1" s="1"/>
  <c r="BH8" i="1"/>
  <c r="BJ8" i="1" s="1"/>
  <c r="AI8" i="1"/>
  <c r="BM8" i="1" s="1"/>
  <c r="AH8" i="1"/>
  <c r="BK8" i="1" s="1"/>
  <c r="BI7" i="1"/>
  <c r="BL7" i="1" s="1"/>
  <c r="BH7" i="1"/>
  <c r="BJ7" i="1" s="1"/>
  <c r="AI7" i="1"/>
  <c r="BM7" i="1" s="1"/>
  <c r="AH7" i="1"/>
  <c r="BK7" i="1" s="1"/>
  <c r="BI6" i="1"/>
  <c r="BL6" i="1" s="1"/>
  <c r="BH6" i="1"/>
  <c r="BJ6" i="1" s="1"/>
  <c r="AI6" i="1"/>
  <c r="BM6" i="1" s="1"/>
  <c r="AH6" i="1"/>
  <c r="BK6" i="1" s="1"/>
  <c r="BI5" i="1"/>
  <c r="BL5" i="1" s="1"/>
  <c r="BH5" i="1"/>
  <c r="BJ5" i="1" s="1"/>
  <c r="AI5" i="1"/>
  <c r="BM5" i="1" s="1"/>
  <c r="AH5" i="1"/>
  <c r="BK5" i="1" s="1"/>
  <c r="BI4" i="1"/>
  <c r="BL4" i="1" s="1"/>
  <c r="BH4" i="1"/>
  <c r="BJ4" i="1" s="1"/>
  <c r="AI4" i="1"/>
  <c r="BM4" i="1" s="1"/>
  <c r="AH4" i="1"/>
  <c r="BK4" i="1" s="1"/>
  <c r="BI3" i="1"/>
  <c r="BL3" i="1" s="1"/>
  <c r="BH3" i="1"/>
  <c r="BJ3" i="1" s="1"/>
  <c r="AI3" i="1"/>
  <c r="BM3" i="1" s="1"/>
  <c r="AH3" i="1"/>
  <c r="BI2" i="1"/>
  <c r="BH2" i="1"/>
  <c r="AI2" i="1"/>
  <c r="AH2" i="1"/>
  <c r="AI1267" i="1" l="1"/>
  <c r="BM638" i="1"/>
  <c r="BK638" i="1"/>
  <c r="AH1267" i="1"/>
  <c r="BI1267" i="1"/>
  <c r="BL2" i="1"/>
  <c r="BH1267" i="1"/>
  <c r="BJ2" i="1"/>
  <c r="BM998" i="1"/>
  <c r="BM997" i="1"/>
  <c r="BM969" i="1"/>
  <c r="BM937" i="1"/>
  <c r="BM931" i="1"/>
  <c r="BK930" i="1"/>
  <c r="BK1182" i="1"/>
  <c r="BM1027" i="1"/>
  <c r="BM1003" i="1"/>
  <c r="BM1000" i="1"/>
  <c r="BM999" i="1"/>
  <c r="BK996" i="1"/>
  <c r="BM992" i="1"/>
  <c r="BM960" i="1"/>
  <c r="BM925" i="1"/>
  <c r="BK371" i="1"/>
  <c r="BM1091" i="1"/>
  <c r="BK1091" i="1"/>
  <c r="BM994" i="1"/>
  <c r="BK819" i="1"/>
  <c r="BM444" i="1"/>
  <c r="BK427" i="1"/>
  <c r="BK421" i="1"/>
  <c r="BM728" i="1"/>
  <c r="BK728" i="1"/>
  <c r="BK575" i="1"/>
  <c r="BM511" i="1"/>
  <c r="BM438" i="1"/>
  <c r="BM426" i="1"/>
  <c r="BM637" i="1"/>
  <c r="BK637" i="1"/>
  <c r="BM488" i="1"/>
  <c r="BM475" i="1"/>
  <c r="BM546" i="1"/>
  <c r="BM102" i="1"/>
  <c r="BM100" i="1"/>
  <c r="BM34" i="1"/>
  <c r="BK3" i="1"/>
  <c r="BM918" i="1"/>
  <c r="BM913" i="1"/>
  <c r="BK37" i="1"/>
  <c r="BM2" i="1" l="1"/>
  <c r="BL1267" i="1"/>
  <c r="BM1267" i="1" s="1"/>
  <c r="BK2" i="1"/>
  <c r="BJ1267" i="1"/>
  <c r="BK1267" i="1" s="1"/>
</calcChain>
</file>

<file path=xl/sharedStrings.xml><?xml version="1.0" encoding="utf-8"?>
<sst xmlns="http://schemas.openxmlformats.org/spreadsheetml/2006/main" count="7662" uniqueCount="977">
  <si>
    <t>Comercial</t>
  </si>
  <si>
    <t>País</t>
  </si>
  <si>
    <t>Cliente</t>
  </si>
  <si>
    <t>Clasificación Cliente</t>
  </si>
  <si>
    <t>Código Artículo</t>
  </si>
  <si>
    <t>Descripción Artículo</t>
  </si>
  <si>
    <t>Tamaño Envase</t>
  </si>
  <si>
    <t>Precio Medio 2026 (€/u)</t>
  </si>
  <si>
    <t>Precio Medio 2027 (€/u)</t>
  </si>
  <si>
    <t>Ene-26 (u)</t>
  </si>
  <si>
    <t>Ene-26 (€)</t>
  </si>
  <si>
    <t>Feb-26 (u)</t>
  </si>
  <si>
    <t>Feb-26 (€)</t>
  </si>
  <si>
    <t>Mar-26 (u)</t>
  </si>
  <si>
    <t>Mar-26 (€)</t>
  </si>
  <si>
    <t>Abr-26 (u)</t>
  </si>
  <si>
    <t>Abr-26 (€)</t>
  </si>
  <si>
    <t>May-26 (u)</t>
  </si>
  <si>
    <t>May-26 (€)</t>
  </si>
  <si>
    <t>Jun-26 (u)</t>
  </si>
  <si>
    <t>Jun-26 (€)</t>
  </si>
  <si>
    <t>Jul-26 (u)</t>
  </si>
  <si>
    <t>Jul-26 (€)</t>
  </si>
  <si>
    <t>Ago-26 (u)</t>
  </si>
  <si>
    <t>Ago-26 (€)</t>
  </si>
  <si>
    <t>Sep-26 (u)</t>
  </si>
  <si>
    <t>Sep-26 (€)</t>
  </si>
  <si>
    <t>Oct-26 (u)</t>
  </si>
  <si>
    <t>Oct-26 (€)</t>
  </si>
  <si>
    <t>Nov-26 (u)</t>
  </si>
  <si>
    <t>Nov-26 (€)</t>
  </si>
  <si>
    <t>Dic-26 (u)</t>
  </si>
  <si>
    <t>Dic-26 (€)</t>
  </si>
  <si>
    <t>Total 2026 (u)</t>
  </si>
  <si>
    <t>Total 2026 (€)</t>
  </si>
  <si>
    <t>Ene-27 (u)</t>
  </si>
  <si>
    <t>Ene-27 (€)</t>
  </si>
  <si>
    <t>Feb-27 (u)</t>
  </si>
  <si>
    <t>Feb-27 (€)</t>
  </si>
  <si>
    <t>Mar-27 (u)</t>
  </si>
  <si>
    <t>Mar-27 (€)</t>
  </si>
  <si>
    <t>Abr-27 (u)</t>
  </si>
  <si>
    <t>Abr-27 (€)</t>
  </si>
  <si>
    <t>May-27 (u)</t>
  </si>
  <si>
    <t>May-27 (€)</t>
  </si>
  <si>
    <t>Jun-27 (u)</t>
  </si>
  <si>
    <t>Jun-27 (€)</t>
  </si>
  <si>
    <t>Jul-27 (u)</t>
  </si>
  <si>
    <t>Jul-27 (€)</t>
  </si>
  <si>
    <t>Ago-27 (u)</t>
  </si>
  <si>
    <t>Ago-27 (€)</t>
  </si>
  <si>
    <t>Sep-27 (u)</t>
  </si>
  <si>
    <t>Sep-27 (€)</t>
  </si>
  <si>
    <t>Oct-27 (u)</t>
  </si>
  <si>
    <t>Oct-27 (€)</t>
  </si>
  <si>
    <t>Nov-27 (u)</t>
  </si>
  <si>
    <t>Nov-27 (€)</t>
  </si>
  <si>
    <t>Dic-27 (u)</t>
  </si>
  <si>
    <t>Dic-27 (€)</t>
  </si>
  <si>
    <t>Total 2027 (u)</t>
  </si>
  <si>
    <t>Total 2027 (€)</t>
  </si>
  <si>
    <t>Dif. Uds (27 vs 26)</t>
  </si>
  <si>
    <t>% Var. Uds</t>
  </si>
  <si>
    <t>Dif. € (27 vs 26)</t>
  </si>
  <si>
    <t>% Crec. €</t>
  </si>
  <si>
    <t>Alfonso</t>
  </si>
  <si>
    <t>ESPAÑA</t>
  </si>
  <si>
    <t>ACTIV. PRODUC. Y COMERC. LA VEGUILLA, SL</t>
  </si>
  <si>
    <t>Consolidado/estratégico</t>
  </si>
  <si>
    <t>A-50(2)0020</t>
  </si>
  <si>
    <t>CODIORGAN A-50, 20 KG</t>
  </si>
  <si>
    <t>BIO0020</t>
  </si>
  <si>
    <t>BIORAD-20, 20 L</t>
  </si>
  <si>
    <t>BROTA0020</t>
  </si>
  <si>
    <t>BROTAMEC, 20 L</t>
  </si>
  <si>
    <t>FU0020</t>
  </si>
  <si>
    <t>FULVIGIN, 20 L</t>
  </si>
  <si>
    <t>PIV0020</t>
  </si>
  <si>
    <t>PGR IV, 20 L</t>
  </si>
  <si>
    <t>PT0020</t>
  </si>
  <si>
    <t>AGROPOTASION, 20 L</t>
  </si>
  <si>
    <t>AGRICOLA DEL JUCAR DE CUENCA, S.L.</t>
  </si>
  <si>
    <t>AGXK0020</t>
  </si>
  <si>
    <t>AGROXILATO-K, 20 L</t>
  </si>
  <si>
    <t>AMIMG0020</t>
  </si>
  <si>
    <t>AMINOSOIL MG, 20 L</t>
  </si>
  <si>
    <t>AN0020</t>
  </si>
  <si>
    <t>ALCAPLANT NEW, 20 KG</t>
  </si>
  <si>
    <t>BR-590005</t>
  </si>
  <si>
    <t>BR-59, 5 KG</t>
  </si>
  <si>
    <t>C-CU0020</t>
  </si>
  <si>
    <t>CODICOBRE, 20 L</t>
  </si>
  <si>
    <t>C-L0020</t>
  </si>
  <si>
    <t>CODIBOR-L, 20 L</t>
  </si>
  <si>
    <t>S0020</t>
  </si>
  <si>
    <t>SALWAX STAR, 20 L</t>
  </si>
  <si>
    <t>S1000</t>
  </si>
  <si>
    <t>SAL-WAX STAR, 1000 L</t>
  </si>
  <si>
    <t>START20005</t>
  </si>
  <si>
    <t>RADISOL STARTER, 5 L</t>
  </si>
  <si>
    <t>AGRITEC MEDINA, S.L.U.</t>
  </si>
  <si>
    <t>Con potencial</t>
  </si>
  <si>
    <t>A-50(2)0005</t>
  </si>
  <si>
    <t>CODIORGAN-A50, 5 KG</t>
  </si>
  <si>
    <t>AGFEL0001</t>
  </si>
  <si>
    <t>AGROXILATO-FE-L, 1 L</t>
  </si>
  <si>
    <t>AGFEL0005</t>
  </si>
  <si>
    <t>AGROXILATO-FE-L, 5 L</t>
  </si>
  <si>
    <t>AGRMG0005</t>
  </si>
  <si>
    <t>AGROXIGREEN-MG, 5 L</t>
  </si>
  <si>
    <t>AGXK0005</t>
  </si>
  <si>
    <t>AGROXILATO-K, 5 L</t>
  </si>
  <si>
    <t>AMIMG0005</t>
  </si>
  <si>
    <t>AMINOSOIL-MG, 5L</t>
  </si>
  <si>
    <t>AN0005</t>
  </si>
  <si>
    <t>ALCAPLANT NEW, 5 KG</t>
  </si>
  <si>
    <t>AQUOM0005</t>
  </si>
  <si>
    <t>AQUOM, 5 L</t>
  </si>
  <si>
    <t>BR-59AE0005</t>
  </si>
  <si>
    <t>BR-59 AE, 5 KG</t>
  </si>
  <si>
    <t>C-CU0005</t>
  </si>
  <si>
    <t>CODICOBRE, 5 L</t>
  </si>
  <si>
    <t>C-CUAE0005</t>
  </si>
  <si>
    <t>CUPRAMEC, 5 L</t>
  </si>
  <si>
    <t>FROST-P0020</t>
  </si>
  <si>
    <t>CODIFROST PLUS, 20 L</t>
  </si>
  <si>
    <t>HST0020</t>
  </si>
  <si>
    <t>HIDROSTRESS-40, 20 L</t>
  </si>
  <si>
    <t>PT0005</t>
  </si>
  <si>
    <t>AGROPOTASION, 5 L</t>
  </si>
  <si>
    <t>SAL-WAX STAR, 20 L</t>
  </si>
  <si>
    <t>WHITE0020</t>
  </si>
  <si>
    <t>AGROWHITE, 20 KG</t>
  </si>
  <si>
    <t>AGROCAMP CANET S.L.</t>
  </si>
  <si>
    <t>Baja aportación</t>
  </si>
  <si>
    <t>AGROXIGREEN-Mg, 5 L</t>
  </si>
  <si>
    <t>AVAN0020</t>
  </si>
  <si>
    <t>FLORAMEC AVANCE, 20 L</t>
  </si>
  <si>
    <t>BROTA0005</t>
  </si>
  <si>
    <t>BROTAMEC, 5 L</t>
  </si>
  <si>
    <t>TRI0005</t>
  </si>
  <si>
    <t>TRIFENO-94, 5L</t>
  </si>
  <si>
    <t>AGROTÉCNICA DEL NORTE, S.L</t>
  </si>
  <si>
    <t>C-GLB0001</t>
  </si>
  <si>
    <t>CODIORGAN GLB, 1 KG</t>
  </si>
  <si>
    <t>CSIL0020</t>
  </si>
  <si>
    <t>FITOKONTROL-K, 20 L</t>
  </si>
  <si>
    <t>FTK0005</t>
  </si>
  <si>
    <t>FITOKONTROL CA FLOW, 5 KG</t>
  </si>
  <si>
    <t>FU0005</t>
  </si>
  <si>
    <t>FULVIGIN, 5 L</t>
  </si>
  <si>
    <t>N0005</t>
  </si>
  <si>
    <t>NUTRICALE, 5 L</t>
  </si>
  <si>
    <t>AGROVEYCA,S.L</t>
  </si>
  <si>
    <t>AGRMGN0020</t>
  </si>
  <si>
    <t>AGROXIGREEN-MG, 20 L</t>
  </si>
  <si>
    <t>AQUOM0020</t>
  </si>
  <si>
    <t>AQUOM, 20 L</t>
  </si>
  <si>
    <t>C-CUAE0020</t>
  </si>
  <si>
    <t>CUPRAMEC, 20 L</t>
  </si>
  <si>
    <t>FROST-P0005</t>
  </si>
  <si>
    <t>CODIFROST PLUS, 5 L</t>
  </si>
  <si>
    <t>RUN0005</t>
  </si>
  <si>
    <t>RUN STRESS, 5 L</t>
  </si>
  <si>
    <t>RUN0020</t>
  </si>
  <si>
    <t>RUN STRESS, 20 L</t>
  </si>
  <si>
    <t>AGRÍCOLA DE GOZÓN S.L</t>
  </si>
  <si>
    <t>BEY0005</t>
  </si>
  <si>
    <t>BERRY-FLOR, 5 L</t>
  </si>
  <si>
    <t>ANGEL FERRER, S.L.</t>
  </si>
  <si>
    <t>ASOC. HORTICULTORES DE VILLA DEL PRADO</t>
  </si>
  <si>
    <t>CODIORGAN A-50, 5 KG</t>
  </si>
  <si>
    <t>AQUOM0001</t>
  </si>
  <si>
    <t>AQUOM, 1 L</t>
  </si>
  <si>
    <t>AVAN0005</t>
  </si>
  <si>
    <t>FLORAMEC AVANCE, 5 L</t>
  </si>
  <si>
    <t>B0005</t>
  </si>
  <si>
    <t>BOROCAL, 5 L</t>
  </si>
  <si>
    <t>BIO0005</t>
  </si>
  <si>
    <t>BIORAD-20, 5L</t>
  </si>
  <si>
    <t>C-GLB0005</t>
  </si>
  <si>
    <t>CODIORGAN GLB, 5 KG</t>
  </si>
  <si>
    <t>HST0005</t>
  </si>
  <si>
    <t>HIDROSTRESS-40, 5 L</t>
  </si>
  <si>
    <t>PHD0005</t>
  </si>
  <si>
    <t>PH-DOWNER, 5 L</t>
  </si>
  <si>
    <t>PIV0005</t>
  </si>
  <si>
    <t>PGR IV, 5 L</t>
  </si>
  <si>
    <t>S0005</t>
  </si>
  <si>
    <t>SAL-WAX STAR, 5 L</t>
  </si>
  <si>
    <t>SALWAX STAR, 5 L</t>
  </si>
  <si>
    <t>BARAHONA HERNAEZ, DAVID</t>
  </si>
  <si>
    <t>CODIORGAN-A50, 20 KG</t>
  </si>
  <si>
    <t>G30020</t>
  </si>
  <si>
    <t>GREEN-UP, 20 L</t>
  </si>
  <si>
    <t>BARDENAS COMERCIAL, S.L.</t>
  </si>
  <si>
    <t>CBROT0005</t>
  </si>
  <si>
    <t>CODIBROT, 5 L</t>
  </si>
  <si>
    <t>BARRIOS LÓPEZ, JUSTO</t>
  </si>
  <si>
    <t>BELLO ALIAGA ERNESTO</t>
  </si>
  <si>
    <t>CAMP-ALT S.L.</t>
  </si>
  <si>
    <t>C-L0005</t>
  </si>
  <si>
    <t>CODIBOR-L, 5 L</t>
  </si>
  <si>
    <t>CBASI0005</t>
  </si>
  <si>
    <t>BIOCULTURE BASI, 5 KG</t>
  </si>
  <si>
    <t>SPCE2B0001</t>
  </si>
  <si>
    <t>SPRINTENE CON BORO, 1 L</t>
  </si>
  <si>
    <t>CARDONA Y CELMA, S.L.</t>
  </si>
  <si>
    <t>CITAL, S.L.</t>
  </si>
  <si>
    <t>AGFE0001</t>
  </si>
  <si>
    <t>AGROXILATO-FE, 1 KG</t>
  </si>
  <si>
    <t>COMERCIAL NANCLARES, S.L.</t>
  </si>
  <si>
    <t>COMERCIAL NORTE AGROCAMPO, S.L.</t>
  </si>
  <si>
    <t>FRUCTUL, SRL</t>
  </si>
  <si>
    <t>A-500001</t>
  </si>
  <si>
    <t>CODIORGAN-A50, 1 KG</t>
  </si>
  <si>
    <t>AGXCR0020</t>
  </si>
  <si>
    <t>AGROXILATO-K, (0-5-20), 20 LtS.</t>
  </si>
  <si>
    <t>SS0005</t>
  </si>
  <si>
    <t>SALWAX-CA, 5 KG</t>
  </si>
  <si>
    <t>FRUITURE ADVISORS, S.L.</t>
  </si>
  <si>
    <t>AGXK0200</t>
  </si>
  <si>
    <t>AGROXILATO-K, 200 L</t>
  </si>
  <si>
    <t>B0020</t>
  </si>
  <si>
    <t>BOROCAL, 20 L</t>
  </si>
  <si>
    <t>G30005</t>
  </si>
  <si>
    <t>GREEN-UP, 5 L</t>
  </si>
  <si>
    <t>G30200</t>
  </si>
  <si>
    <t>GREEN-UP, 200 L</t>
  </si>
  <si>
    <t>N0020</t>
  </si>
  <si>
    <t>NUTRICALE, 20 L</t>
  </si>
  <si>
    <t>PT0200</t>
  </si>
  <si>
    <t>AGROPOTASION, 200 L</t>
  </si>
  <si>
    <t>PT1000</t>
  </si>
  <si>
    <t>AGROPOTASION, 1000 L</t>
  </si>
  <si>
    <t>S0200</t>
  </si>
  <si>
    <t>SAL-WAX STAR, 200 L</t>
  </si>
  <si>
    <t>HORTICOLAS Y PATATAS HNOS. MORAN, S.A.T.</t>
  </si>
  <si>
    <t>MAJ AGROQUIMICOS S.L.</t>
  </si>
  <si>
    <t>AGMGL0005</t>
  </si>
  <si>
    <t>AGROXILATO-MG-L, 5 L</t>
  </si>
  <si>
    <t>B0001</t>
  </si>
  <si>
    <t>BOROCAL,1 L</t>
  </si>
  <si>
    <t>CSIL0001</t>
  </si>
  <si>
    <t>FITOKONTROL-K, 1 L</t>
  </si>
  <si>
    <t>CSIL0005</t>
  </si>
  <si>
    <t>FITOKONTROL-K, 5 L</t>
  </si>
  <si>
    <t>JF0005</t>
  </si>
  <si>
    <t>CODIGIN-FOS, 5 L</t>
  </si>
  <si>
    <t>PT0001</t>
  </si>
  <si>
    <t>AGROPOTASION, 1 L</t>
  </si>
  <si>
    <t>MARTINEZ S.C.</t>
  </si>
  <si>
    <t>MUNDOHUERTO-CARMEN SOLAZ BLANCO</t>
  </si>
  <si>
    <t>SS0020</t>
  </si>
  <si>
    <t>SAL-WAX-Ca sólido, 20 KG</t>
  </si>
  <si>
    <t>PLANTALDIA SLU</t>
  </si>
  <si>
    <t>SAFIAGRO, S.A.</t>
  </si>
  <si>
    <t>T.J AGRICULTURA S.L.</t>
  </si>
  <si>
    <t>TRANSPORTES CAMPILLO, S.A.</t>
  </si>
  <si>
    <t>VILLALTA SATIVUM, S.L.</t>
  </si>
  <si>
    <t>BIO1000</t>
  </si>
  <si>
    <t>BIORAD-20, 1000 L</t>
  </si>
  <si>
    <t>C-L0001</t>
  </si>
  <si>
    <t>CODIBOR-L, 1 L</t>
  </si>
  <si>
    <t>CPLUS0020</t>
  </si>
  <si>
    <t>CALCIPLUS, 20 L</t>
  </si>
  <si>
    <t>FLOR0020</t>
  </si>
  <si>
    <t>FLORAMEC, 20 L</t>
  </si>
  <si>
    <t>SALWAX STAR, 1000 L</t>
  </si>
  <si>
    <t>García</t>
  </si>
  <si>
    <t>ARABIA SAUDÍ</t>
  </si>
  <si>
    <t>DOTRA GULF TRADING COMPANY</t>
  </si>
  <si>
    <t>En desarrollo/nuevo</t>
  </si>
  <si>
    <t>AQUOMAR0005SA</t>
  </si>
  <si>
    <t>AQUOM ARABIA, 5 L</t>
  </si>
  <si>
    <t>BIO0005SA</t>
  </si>
  <si>
    <t>SPAR0001SA</t>
  </si>
  <si>
    <t>SPRINTENE ARABIA, 1 L</t>
  </si>
  <si>
    <t>SSEG0005SA</t>
  </si>
  <si>
    <t>SALWAX CALCIO EGIPTO, 5 KG</t>
  </si>
  <si>
    <t>EGIPTO</t>
  </si>
  <si>
    <t>DIPLOMATS ORCHARDS FOR TRADE AGENCIES</t>
  </si>
  <si>
    <t>A-50EG0001EG</t>
  </si>
  <si>
    <t>CODIORGAN-A50</t>
  </si>
  <si>
    <t>CODIORGAN-A50 EGIPTO, 1 KG</t>
  </si>
  <si>
    <t>AGRMG20005EG</t>
  </si>
  <si>
    <t>C-SET</t>
  </si>
  <si>
    <t>AGXK0005EG</t>
  </si>
  <si>
    <t>AGROXILATO+K</t>
  </si>
  <si>
    <t>AVAN0001EG</t>
  </si>
  <si>
    <t>CODI-FLOR AVANCE, 1 L</t>
  </si>
  <si>
    <t>FLORAMEC AVANCE</t>
  </si>
  <si>
    <t>C-CU20001EG</t>
  </si>
  <si>
    <t>CODICOBRE</t>
  </si>
  <si>
    <t>SPCE2B0001EG</t>
  </si>
  <si>
    <t>NEW SPRINTENE</t>
  </si>
  <si>
    <t>SSEG0005EG</t>
  </si>
  <si>
    <t>SAL-WAX Ca</t>
  </si>
  <si>
    <t>SAL-WAX Ca, 5 KG</t>
  </si>
  <si>
    <t>SSEG0020EG</t>
  </si>
  <si>
    <t>SALWAX CALCIO EGIPTO, 20 KG</t>
  </si>
  <si>
    <t>DOTRA CHEMICALS</t>
  </si>
  <si>
    <t>AGZNP0001EG</t>
  </si>
  <si>
    <t>AGROXILATO-ZN PLUS</t>
  </si>
  <si>
    <t>AGROXILATO-ZN PLUS, 1 KG</t>
  </si>
  <si>
    <t>AN1000EG</t>
  </si>
  <si>
    <t>ALCAPLANT-NEW</t>
  </si>
  <si>
    <t>ALCAPLANT NEW, 1000 KG</t>
  </si>
  <si>
    <t>ALCAPLANT NEW</t>
  </si>
  <si>
    <t>SOLUTION OF CALCIUM HIDROXIDE</t>
  </si>
  <si>
    <t>CODICOBRE (EGIPTO)</t>
  </si>
  <si>
    <t>NEW SPRINTENE, 1 L</t>
  </si>
  <si>
    <t>SPRINTENE CON BORO</t>
  </si>
  <si>
    <t>AGROGIMEDEL, S.L.U.</t>
  </si>
  <si>
    <t>AGZNP0005</t>
  </si>
  <si>
    <t>AGROXILATO ZN PLUS, 5 KG</t>
  </si>
  <si>
    <t>AGROXILATO-ZN PLUS, 5 KG</t>
  </si>
  <si>
    <t>AGRONEW FITO, S.L.</t>
  </si>
  <si>
    <t>AGXK1000</t>
  </si>
  <si>
    <t>AGROXILATO-K, 1000 L</t>
  </si>
  <si>
    <t>AGZ-M0005</t>
  </si>
  <si>
    <t>AGROXILATO-ZN-MN, 5 KG</t>
  </si>
  <si>
    <t>ANAE0020</t>
  </si>
  <si>
    <t>ALCAPLANT NEW AE, 20 KG</t>
  </si>
  <si>
    <t>C-MB0020</t>
  </si>
  <si>
    <t>CODIFOL-MB, 20 L</t>
  </si>
  <si>
    <t>CZNMNES0005</t>
  </si>
  <si>
    <t>CODIFOL ZN-MN, 5 KG</t>
  </si>
  <si>
    <t>N0200</t>
  </si>
  <si>
    <t>NUTRICALE, 200 L</t>
  </si>
  <si>
    <t>AGROREBOLLO, S.L.</t>
  </si>
  <si>
    <t>AGROSER BERNARDINO, S.L.</t>
  </si>
  <si>
    <t>AVAN1000</t>
  </si>
  <si>
    <t>FLORAMEC AVANCE, 1000 L</t>
  </si>
  <si>
    <t>AGROTRAPICHE, S.L.U</t>
  </si>
  <si>
    <t>AGRUPACION DE LABRADORES DEL POZUELO, SA</t>
  </si>
  <si>
    <t>P-5X0005</t>
  </si>
  <si>
    <t>P.M.S. 5x, 5 L</t>
  </si>
  <si>
    <t>P-5X0020</t>
  </si>
  <si>
    <t>P.M.S. 5x, 20 L</t>
  </si>
  <si>
    <t>BOSCO ABASCAL, S.L.</t>
  </si>
  <si>
    <t>ECO-PONIENTE, S.L.U.</t>
  </si>
  <si>
    <t>AGXKAE0020</t>
  </si>
  <si>
    <t>BIOCULTURE POTASIO, 20 L</t>
  </si>
  <si>
    <t>EL PINAR BERRIES, S.L.</t>
  </si>
  <si>
    <t>HORTOFRUTICOLA COSTA DE ALMERÍA, S.L.</t>
  </si>
  <si>
    <t>INIESTA DEL PINO DISTRIBUCIONES S.L.U</t>
  </si>
  <si>
    <t>CALCIO0005</t>
  </si>
  <si>
    <t>CALCIAMEC, 5 KG</t>
  </si>
  <si>
    <t>ROMAROC PONIENTE, S.L.</t>
  </si>
  <si>
    <t>SERVIAGRI´ 97, S.L.</t>
  </si>
  <si>
    <t>ANAE0005</t>
  </si>
  <si>
    <t>ALCAPLANT NEW AE, 5 KG</t>
  </si>
  <si>
    <t>AVAN0001</t>
  </si>
  <si>
    <t>FLORAMEC AVANCE, 1 L</t>
  </si>
  <si>
    <t>PREZN0005</t>
  </si>
  <si>
    <t>PREZINC, 5 kg</t>
  </si>
  <si>
    <t>SSAE0005</t>
  </si>
  <si>
    <t>MAGNIFIC-VIETS-AE, 5 KG</t>
  </si>
  <si>
    <t>TRATAMIENTOS AGRICOLAS BRENES, S.L.</t>
  </si>
  <si>
    <t>UNICOM SERVICIOS Y GESTION S.L.</t>
  </si>
  <si>
    <t>FLORAMEC PLUS, 5 L</t>
  </si>
  <si>
    <t>GRECIA</t>
  </si>
  <si>
    <t>EMPHYTON POULTSIDIS GEORGIOS</t>
  </si>
  <si>
    <t>GRE10001GR</t>
  </si>
  <si>
    <t>TONAZ</t>
  </si>
  <si>
    <t>GRE10005GR</t>
  </si>
  <si>
    <t>GRE20001GR</t>
  </si>
  <si>
    <t>EGERSIS</t>
  </si>
  <si>
    <t>GRE20005GR</t>
  </si>
  <si>
    <t>VITA0001GR</t>
  </si>
  <si>
    <t>VITA-S</t>
  </si>
  <si>
    <t>VITA0005GR</t>
  </si>
  <si>
    <t>EMPHYTON SERVICE P.C.</t>
  </si>
  <si>
    <t>TONAZ, 5 L</t>
  </si>
  <si>
    <t>VITA-S, 5 L</t>
  </si>
  <si>
    <t>GEORGIOS POULTSIDIS</t>
  </si>
  <si>
    <t>EGERSIS, 5 L</t>
  </si>
  <si>
    <t>LÍBANO</t>
  </si>
  <si>
    <t>BELAGRI FOR AGRICULTURE-GEORGES BOU MON</t>
  </si>
  <si>
    <t>AGMG0005LB</t>
  </si>
  <si>
    <t>AGROXILATO-MG, 5 KG (EXPORT)</t>
  </si>
  <si>
    <t>AGXCR0020LB</t>
  </si>
  <si>
    <t>AN0020LB</t>
  </si>
  <si>
    <t>BC0005LB</t>
  </si>
  <si>
    <t>BITTER-CAL, 5 KG</t>
  </si>
  <si>
    <t>BPLUS0005LB</t>
  </si>
  <si>
    <t>BOROCAL PLUS, 5 KG</t>
  </si>
  <si>
    <t>MARRUECOS</t>
  </si>
  <si>
    <t>STE BBMAGRI, SARL</t>
  </si>
  <si>
    <t>A-50(2)0005MA</t>
  </si>
  <si>
    <t>A-50(2)0020MA</t>
  </si>
  <si>
    <t>CODIORGAN A-50</t>
  </si>
  <si>
    <t>AGNF0020MA</t>
  </si>
  <si>
    <t>CODIGREEN, 20 L</t>
  </si>
  <si>
    <t>AGRMG0005MA</t>
  </si>
  <si>
    <t>AGRMGN0020MA</t>
  </si>
  <si>
    <t>AGXCR0020MA</t>
  </si>
  <si>
    <t>GREEN MAX</t>
  </si>
  <si>
    <t>AGXK0020MA</t>
  </si>
  <si>
    <t>AGROXILATO-K</t>
  </si>
  <si>
    <t>AGXK0200MA</t>
  </si>
  <si>
    <t>AN0005MA</t>
  </si>
  <si>
    <t>AN0020MA</t>
  </si>
  <si>
    <t>AVAN0005MA</t>
  </si>
  <si>
    <t>AVAN0020MA</t>
  </si>
  <si>
    <t>BIO0020MA</t>
  </si>
  <si>
    <t>RADISOL-20</t>
  </si>
  <si>
    <t>RADISOL-20, 20 L</t>
  </si>
  <si>
    <t>BIO0200MA</t>
  </si>
  <si>
    <t>RADISOL-20, 200 L</t>
  </si>
  <si>
    <t>BIORAD-20, 200 L</t>
  </si>
  <si>
    <t>BM0005MA</t>
  </si>
  <si>
    <t>BOROCAL MAROC</t>
  </si>
  <si>
    <t>BR-590005MA</t>
  </si>
  <si>
    <t>BR-59</t>
  </si>
  <si>
    <t>C-CU0005MA</t>
  </si>
  <si>
    <t>C-CUAE0005MA</t>
  </si>
  <si>
    <t>C-M-P0005MA</t>
  </si>
  <si>
    <t>CODIFOL-MO-PLUS, 5 L</t>
  </si>
  <si>
    <t>C-MB0005MA</t>
  </si>
  <si>
    <t>CODIFOL-MB</t>
  </si>
  <si>
    <t>CALCIO0005MA</t>
  </si>
  <si>
    <t>CSIL0005MA</t>
  </si>
  <si>
    <t>CZNMNES0005MA</t>
  </si>
  <si>
    <t>CODIFOL ZN-MN</t>
  </si>
  <si>
    <t>F-MIX0005MA</t>
  </si>
  <si>
    <t>FITOLIN-MIX, 5 L</t>
  </si>
  <si>
    <t>F-MIX0020MA</t>
  </si>
  <si>
    <t>FITOLIN-MIX, 20 L</t>
  </si>
  <si>
    <t>FTK0005MA</t>
  </si>
  <si>
    <t>FITOKONTROL CA FLOW</t>
  </si>
  <si>
    <t>JF0005MA</t>
  </si>
  <si>
    <t>CODIGIN-FOS</t>
  </si>
  <si>
    <t>NI0005MA</t>
  </si>
  <si>
    <t>NUTRICALE</t>
  </si>
  <si>
    <t>PHD0005MA</t>
  </si>
  <si>
    <t>PHD0020MA</t>
  </si>
  <si>
    <t>PH-DOWNER</t>
  </si>
  <si>
    <t>PH-DOWNER, 20 L</t>
  </si>
  <si>
    <t>PT0005MA</t>
  </si>
  <si>
    <t>AGROPOTASION</t>
  </si>
  <si>
    <t>PT0020MA</t>
  </si>
  <si>
    <t>RUN0005MA</t>
  </si>
  <si>
    <t>SPCE2B0001MA</t>
  </si>
  <si>
    <t>SPCE2B0020MA</t>
  </si>
  <si>
    <t>SS0005MA</t>
  </si>
  <si>
    <t>SAL-WAX-Ca</t>
  </si>
  <si>
    <t>SS0020MA</t>
  </si>
  <si>
    <t>WHITE0020MA</t>
  </si>
  <si>
    <t>AGROWHITE</t>
  </si>
  <si>
    <t>RUMANÍA</t>
  </si>
  <si>
    <t>SC MARCOSER S.R.L.</t>
  </si>
  <si>
    <t>A-500001RO</t>
  </si>
  <si>
    <t>CODIORGAN  A-50</t>
  </si>
  <si>
    <t>A-500020RO</t>
  </si>
  <si>
    <t>AGFE0001RO</t>
  </si>
  <si>
    <t>AGROXILATO Fe</t>
  </si>
  <si>
    <t>AGFEL0001RO</t>
  </si>
  <si>
    <t>AGMG0001RO</t>
  </si>
  <si>
    <t>AGROXILATO Mg</t>
  </si>
  <si>
    <t>AGROXILATO-MG, 1 KG (EXPORT)</t>
  </si>
  <si>
    <t>AGNF0001RO</t>
  </si>
  <si>
    <t>CODIGREEN</t>
  </si>
  <si>
    <t>AGNF0020RO</t>
  </si>
  <si>
    <t>AGXCR0001RO</t>
  </si>
  <si>
    <t>AGROXILATO-K  (0-5-20)</t>
  </si>
  <si>
    <t>AGXCR0005RO</t>
  </si>
  <si>
    <t>AGROXILATO-K (0-5-20)</t>
  </si>
  <si>
    <t>AGXCR0020RO</t>
  </si>
  <si>
    <t>AGROXILATO-K, (0-5-20)</t>
  </si>
  <si>
    <t>AGXCR0200RO</t>
  </si>
  <si>
    <t>AGXCR1000RO</t>
  </si>
  <si>
    <t>AGROXILATO-K (0-5-20), 1000 Lts.</t>
  </si>
  <si>
    <t>AGXKAE0001RO</t>
  </si>
  <si>
    <t>BIOCULTURE POTASIO</t>
  </si>
  <si>
    <t>AN0020RO</t>
  </si>
  <si>
    <t>AO0005RO</t>
  </si>
  <si>
    <t>ALCAPLANT OMRI, 5 KG</t>
  </si>
  <si>
    <t>AVAN0001RO</t>
  </si>
  <si>
    <t>AVAN0200RO</t>
  </si>
  <si>
    <t>FLORAMEC AVANCE, 200 L</t>
  </si>
  <si>
    <t>B0001RO</t>
  </si>
  <si>
    <t>BOROCAL</t>
  </si>
  <si>
    <t>B0020RO</t>
  </si>
  <si>
    <t>B0200RO</t>
  </si>
  <si>
    <t>BOROCAL, 200 L</t>
  </si>
  <si>
    <t>B1000RO</t>
  </si>
  <si>
    <t>BOROCAL, 1000 L</t>
  </si>
  <si>
    <t>BIO0001RO</t>
  </si>
  <si>
    <t>BIORAD-20</t>
  </si>
  <si>
    <t>BIO0005RO</t>
  </si>
  <si>
    <t>BIO0020RO</t>
  </si>
  <si>
    <t>C-CU0001RO</t>
  </si>
  <si>
    <t>CODICOBRE, 1 L</t>
  </si>
  <si>
    <t>C-CU0020RO</t>
  </si>
  <si>
    <t>C-GLB0001RO</t>
  </si>
  <si>
    <t>C-GLB0005RO</t>
  </si>
  <si>
    <t>CODIORGAN GLB</t>
  </si>
  <si>
    <t>C-L0001RO</t>
  </si>
  <si>
    <t>CODIBOR-L</t>
  </si>
  <si>
    <t>CALCIO0001RO</t>
  </si>
  <si>
    <t>CALCIAMEC</t>
  </si>
  <si>
    <t>CALCIAMEC, 1 KG</t>
  </si>
  <si>
    <t>CALCIO0020RO</t>
  </si>
  <si>
    <t>CBROT0005RO</t>
  </si>
  <si>
    <t>CODIBROT</t>
  </si>
  <si>
    <t>FLOR0001RO</t>
  </si>
  <si>
    <t>FLORAMEC</t>
  </si>
  <si>
    <t>FLORAMEC, 1 LTR.</t>
  </si>
  <si>
    <t>FLOR0020RO</t>
  </si>
  <si>
    <t>FROST-P0001RO</t>
  </si>
  <si>
    <t>CODIFROST PLUS, 1 L</t>
  </si>
  <si>
    <t>G0001RO</t>
  </si>
  <si>
    <t>GREEN-UP</t>
  </si>
  <si>
    <t>GREEN-UP EXPORTACION</t>
  </si>
  <si>
    <t>GREEN-UP EXPORTACION, 1 L</t>
  </si>
  <si>
    <t>G0020RO</t>
  </si>
  <si>
    <t>GREEN-UP EXPORTACION, 20 L</t>
  </si>
  <si>
    <t>G0200RO</t>
  </si>
  <si>
    <t>GREEN-UP EXPORTACION, 200 L</t>
  </si>
  <si>
    <t>PHD0001RO</t>
  </si>
  <si>
    <t>PK500001RO</t>
  </si>
  <si>
    <t>POLIFRUIT K50</t>
  </si>
  <si>
    <t>POLIFRUIT K50, 1 L</t>
  </si>
  <si>
    <t>PK500020RO</t>
  </si>
  <si>
    <t>POLIFRUIT K50, 20 L</t>
  </si>
  <si>
    <t>PML0001RO</t>
  </si>
  <si>
    <t>POLIGREEN MIX L</t>
  </si>
  <si>
    <t>POLIGREEN MIX L, 1 L</t>
  </si>
  <si>
    <t>PT0001RO</t>
  </si>
  <si>
    <t>PT0005RO</t>
  </si>
  <si>
    <t>PT0020RO</t>
  </si>
  <si>
    <t>PT0200RO</t>
  </si>
  <si>
    <t>SPCE0001RO</t>
  </si>
  <si>
    <t>SPRINTENE</t>
  </si>
  <si>
    <t>SPRINTENE ABONO CE</t>
  </si>
  <si>
    <t>SPRINTENE ABONO CE, 1 L</t>
  </si>
  <si>
    <t>SPCE0020RO</t>
  </si>
  <si>
    <t>SPRINTENE ABONO CE, 20 L</t>
  </si>
  <si>
    <t>SPCE0200RO</t>
  </si>
  <si>
    <t>SPRINTENE ABONO CE, 200 L</t>
  </si>
  <si>
    <t>SPCE1000RO</t>
  </si>
  <si>
    <t>SPRINTENE ABONO CE, 1000 L</t>
  </si>
  <si>
    <t>SS0001RO</t>
  </si>
  <si>
    <t>SALWAX-CA</t>
  </si>
  <si>
    <t>SALWAX-CA, 1 KG</t>
  </si>
  <si>
    <t>SS0020RO</t>
  </si>
  <si>
    <t>SALWAX-CA, 20 KG</t>
  </si>
  <si>
    <t>SSAE0005RO</t>
  </si>
  <si>
    <t>MAGNIFIC-VIETS-AE</t>
  </si>
  <si>
    <t>WHITE0005RO</t>
  </si>
  <si>
    <t>WHITE0020RO</t>
  </si>
  <si>
    <t>Irene</t>
  </si>
  <si>
    <t>CAMPOEJIDO S.C.A.</t>
  </si>
  <si>
    <t>AGN0005</t>
  </si>
  <si>
    <t>AGROXILATO N, 5 L</t>
  </si>
  <si>
    <t>AGROXILATO-N, 5 L</t>
  </si>
  <si>
    <t>C-M-P0001</t>
  </si>
  <si>
    <t>CODIFOL Mo-PLUS, 1 L</t>
  </si>
  <si>
    <t>CODIFOL-MO-PLUS, 1 L</t>
  </si>
  <si>
    <t>C-MB0001</t>
  </si>
  <si>
    <t>CODIFOL-MB, 1 L</t>
  </si>
  <si>
    <t>C-MB0005</t>
  </si>
  <si>
    <t>CODIFOL-MB, 5 L</t>
  </si>
  <si>
    <t>HST0001</t>
  </si>
  <si>
    <t>HIDROSTRESS, 1 L</t>
  </si>
  <si>
    <t>HIDROSTRESS-40, 1 L</t>
  </si>
  <si>
    <t>HIDROSTRESS, 5 L</t>
  </si>
  <si>
    <t>PHD0001</t>
  </si>
  <si>
    <t>PH-DOWNER, 1 L</t>
  </si>
  <si>
    <t>TRI0001</t>
  </si>
  <si>
    <t>TRIFENO-94, 1 L</t>
  </si>
  <si>
    <t>COOP.AGRIC. SAN ISIDRO S.C.A.</t>
  </si>
  <si>
    <t>AGZ-M0001</t>
  </si>
  <si>
    <t>AGROXILATO-ZN-MN, 1 KG</t>
  </si>
  <si>
    <t>GUIVARTO AGRICOLA, S.L.</t>
  </si>
  <si>
    <t>AGN0020</t>
  </si>
  <si>
    <t>AGROXILATO N, 20 L</t>
  </si>
  <si>
    <t>BEY0020</t>
  </si>
  <si>
    <t>FLORAMEC PLUS 20 L</t>
  </si>
  <si>
    <t>BERRY-FLOR, 20 L</t>
  </si>
  <si>
    <t>HORTOCAMPO, S.A.</t>
  </si>
  <si>
    <t>CODECROP BROTIUM, 5 L</t>
  </si>
  <si>
    <t>CODECROP COBRIUM, 5 L</t>
  </si>
  <si>
    <t>CODECROP FOS, 5 L</t>
  </si>
  <si>
    <t>SERVICIOS AGRÍCOLAS CAMPO RIO, S.L.</t>
  </si>
  <si>
    <t>TERRASOIL PLUS, 20 L</t>
  </si>
  <si>
    <t>SUCA, S.C.A.</t>
  </si>
  <si>
    <t>Javier</t>
  </si>
  <si>
    <t>AGROQUIMICAS DRAGO S.L.</t>
  </si>
  <si>
    <t>AVAN0200</t>
  </si>
  <si>
    <t>BROTA0001</t>
  </si>
  <si>
    <t>BROTAMEC, 1 L</t>
  </si>
  <si>
    <t>C-CU0001</t>
  </si>
  <si>
    <t>C-M-P0005</t>
  </si>
  <si>
    <t>CODIFOL MO-PLUS, 5 L</t>
  </si>
  <si>
    <t>CALCIO0020</t>
  </si>
  <si>
    <t>CALCIAMEC, 20 KG</t>
  </si>
  <si>
    <t>CM3M0005</t>
  </si>
  <si>
    <t>TENSOLINE-MAX, 5 L</t>
  </si>
  <si>
    <t>CPLUS0200</t>
  </si>
  <si>
    <t>CALCIPLUS, 200 L</t>
  </si>
  <si>
    <t>CPLUS1000</t>
  </si>
  <si>
    <t>CALCIPLUS, 1000 L</t>
  </si>
  <si>
    <t>FLOR0200</t>
  </si>
  <si>
    <t>FLORAMEC, 200 L</t>
  </si>
  <si>
    <t>G30001</t>
  </si>
  <si>
    <t>GREEN-UP, 1 L</t>
  </si>
  <si>
    <t>GREEN- UP, 5 L</t>
  </si>
  <si>
    <t>JF0001</t>
  </si>
  <si>
    <t>DRAGO-FOS, 1 L</t>
  </si>
  <si>
    <t>DRAGO-FOS, 5 L</t>
  </si>
  <si>
    <t>JF0020</t>
  </si>
  <si>
    <t>DRAGO-FOS, 20 L</t>
  </si>
  <si>
    <t>CODIGIN-FOS, 20 L</t>
  </si>
  <si>
    <t>PHD0020</t>
  </si>
  <si>
    <t>PIV0200</t>
  </si>
  <si>
    <t>PGR IV, 200 Lts.</t>
  </si>
  <si>
    <t>SALWAX STAR, 200 L</t>
  </si>
  <si>
    <t>CABRERA MORALES FRANCISCO</t>
  </si>
  <si>
    <t>SAL-WAX-Ca sólido, 5 KG</t>
  </si>
  <si>
    <t>CODIMED EXPORT, S.L.</t>
  </si>
  <si>
    <t>AGROXILATO Fe, 1 KG</t>
  </si>
  <si>
    <t>AGXKAE1000</t>
  </si>
  <si>
    <t>BIOCULTURE POTASIO, 1000 l</t>
  </si>
  <si>
    <t>AGROXILATO Zn-Mn, 5 KG</t>
  </si>
  <si>
    <t>B0200</t>
  </si>
  <si>
    <t>B1000</t>
  </si>
  <si>
    <t>BIO0200</t>
  </si>
  <si>
    <t>BPLUS20005</t>
  </si>
  <si>
    <t>C-CU1000</t>
  </si>
  <si>
    <t>CODICOBRE, 1000 L</t>
  </si>
  <si>
    <t>JF1000</t>
  </si>
  <si>
    <t>CODIGIN-FOS, 1000 L</t>
  </si>
  <si>
    <t>PK500005</t>
  </si>
  <si>
    <t>POLIFRUIT K50, 5 L</t>
  </si>
  <si>
    <t>SPCE2B0020</t>
  </si>
  <si>
    <t>SPRINTENE CON BORO, 20 L</t>
  </si>
  <si>
    <t>FITOSANITARIOS DRAGO S.L.U</t>
  </si>
  <si>
    <t>FITOXENT S.C.L.V.</t>
  </si>
  <si>
    <t>AGMNP0005</t>
  </si>
  <si>
    <t>AGROXILATO MN PLUS, 5 KG</t>
  </si>
  <si>
    <t>CBROT0001</t>
  </si>
  <si>
    <t>CODIBROT, 1 L</t>
  </si>
  <si>
    <t>CBROT0020</t>
  </si>
  <si>
    <t>CODIBROT, 20 L</t>
  </si>
  <si>
    <t>FU0001</t>
  </si>
  <si>
    <t>FULVIGIN, 1 L</t>
  </si>
  <si>
    <t>HIDROSTRESS, 20 L</t>
  </si>
  <si>
    <t>N0001</t>
  </si>
  <si>
    <t>NUTRICALE, 1 L</t>
  </si>
  <si>
    <t>P-ZM3.50020</t>
  </si>
  <si>
    <t>POLIGREEN-ZNMN, 20 L</t>
  </si>
  <si>
    <t>Mehmet</t>
  </si>
  <si>
    <t>AZERBAIYÁN</t>
  </si>
  <si>
    <t>ZTB AQRO MMC</t>
  </si>
  <si>
    <t>A-500005AZ</t>
  </si>
  <si>
    <t>AGRMG0001AZ</t>
  </si>
  <si>
    <t>AGROXIGREEN-Mg</t>
  </si>
  <si>
    <t>AGXK0001AZ</t>
  </si>
  <si>
    <t>AGXK0005AZ</t>
  </si>
  <si>
    <t>AGXK0020AZ</t>
  </si>
  <si>
    <t>AMGF0001AZ</t>
  </si>
  <si>
    <t>AMINOGAL , 1 L  (Tap.Válv)</t>
  </si>
  <si>
    <t>AN0020AZ</t>
  </si>
  <si>
    <t>AVAN0005AZ</t>
  </si>
  <si>
    <t>BEY0020AZ</t>
  </si>
  <si>
    <t>BERRY-FLOR</t>
  </si>
  <si>
    <t>BIO0020AZ</t>
  </si>
  <si>
    <t>BR-590005AZ</t>
  </si>
  <si>
    <t>C-CU0005AZ</t>
  </si>
  <si>
    <t>C-L0005AZ</t>
  </si>
  <si>
    <t>C-L0020AZ</t>
  </si>
  <si>
    <t>CBROT0020AZ</t>
  </si>
  <si>
    <t>CM3M0001AZ</t>
  </si>
  <si>
    <t>TENSOLINE-MAX, 1 L</t>
  </si>
  <si>
    <t>CZNMNES0001AZ</t>
  </si>
  <si>
    <t>CODIFOL ZN-MN, 1 KG</t>
  </si>
  <si>
    <t>CZNMNES0005AZ</t>
  </si>
  <si>
    <t>FTK0005AZ</t>
  </si>
  <si>
    <t>FU0001AZ</t>
  </si>
  <si>
    <t>FULVIGIN</t>
  </si>
  <si>
    <t>FU0005AZ</t>
  </si>
  <si>
    <t>FU0020AZ</t>
  </si>
  <si>
    <t>HST0005AZ</t>
  </si>
  <si>
    <t>HIDROSTRESS-40</t>
  </si>
  <si>
    <t>NAZ</t>
  </si>
  <si>
    <t>AMINOG AL , 1L</t>
  </si>
  <si>
    <t>Aquom 5L</t>
  </si>
  <si>
    <t>RUN0001AZ</t>
  </si>
  <si>
    <t>RUN STRESS</t>
  </si>
  <si>
    <t>RUN STRESS, 1 L</t>
  </si>
  <si>
    <t>SS0020AZ</t>
  </si>
  <si>
    <t>GEORGIA</t>
  </si>
  <si>
    <t>BORN AGROCHEMISTRY, LLC</t>
  </si>
  <si>
    <t>A-500001GE</t>
  </si>
  <si>
    <t>A-500005GE</t>
  </si>
  <si>
    <t>AGXK0001GE</t>
  </si>
  <si>
    <t>AGXK0005GE</t>
  </si>
  <si>
    <t>AN0020GE</t>
  </si>
  <si>
    <t>BIO0020GE</t>
  </si>
  <si>
    <t>C-CU0001GE</t>
  </si>
  <si>
    <t>C-CU0005GE</t>
  </si>
  <si>
    <t>CM30005GE</t>
  </si>
  <si>
    <t>TENSOLINE, 5 L</t>
  </si>
  <si>
    <t>CZNMNES0001GE</t>
  </si>
  <si>
    <t>CZNMNES0005GE</t>
  </si>
  <si>
    <t>RUN0001GE</t>
  </si>
  <si>
    <t>RUN0005GE</t>
  </si>
  <si>
    <t>WHITE0005GE</t>
  </si>
  <si>
    <t>WHITE0020GE</t>
  </si>
  <si>
    <t>SERBIA</t>
  </si>
  <si>
    <t>PLANTA SANA, D.O.O.</t>
  </si>
  <si>
    <t>A-50(2)0001RS</t>
  </si>
  <si>
    <t>AN0005RS</t>
  </si>
  <si>
    <t>AVAN0001RS</t>
  </si>
  <si>
    <t>C-CU0001RS</t>
  </si>
  <si>
    <t>FTK0005RS</t>
  </si>
  <si>
    <t>FTK0020RS</t>
  </si>
  <si>
    <t>FITOKONTROL CA FLOW, 20 KG</t>
  </si>
  <si>
    <t>FU0001RS</t>
  </si>
  <si>
    <t>RUN0001RS</t>
  </si>
  <si>
    <t>TURQUÍA</t>
  </si>
  <si>
    <t>DOGA TARIM TIC.SAN.VE TUR. LTD. STI</t>
  </si>
  <si>
    <t>AN0005TR</t>
  </si>
  <si>
    <t>BIO0020TR</t>
  </si>
  <si>
    <t>BIO1000TR</t>
  </si>
  <si>
    <t>C-CU1000TR</t>
  </si>
  <si>
    <t>CZNMNES1000TR</t>
  </si>
  <si>
    <t>CODIFOL ZN-MN, 1000 KG</t>
  </si>
  <si>
    <t>ÇITAR ÇIÇEK TARIM TIC. LTD. STI</t>
  </si>
  <si>
    <t>A-501000TR</t>
  </si>
  <si>
    <t>CODIORGAN-A50, 1000 KG</t>
  </si>
  <si>
    <t>A-50TR</t>
  </si>
  <si>
    <t>CODIORGAN-A50, BB</t>
  </si>
  <si>
    <t>FTK0005TR</t>
  </si>
  <si>
    <t>CODIFLOW-Ca</t>
  </si>
  <si>
    <t>FU1000TR</t>
  </si>
  <si>
    <t>FULVIGIN, 1000 L</t>
  </si>
  <si>
    <t>RUN0001TR</t>
  </si>
  <si>
    <t>RUN1000TR</t>
  </si>
  <si>
    <t>CORDELIA</t>
  </si>
  <si>
    <t>RUN STRESS, 1000 L</t>
  </si>
  <si>
    <t>WHITE0005TR</t>
  </si>
  <si>
    <t>Pedro</t>
  </si>
  <si>
    <t>ASESORAMIENTO TECNICO DE CULTIVOS, S.L.</t>
  </si>
  <si>
    <t>AGXKC0020</t>
  </si>
  <si>
    <t>AGROXILATO-COMPLET, 20 L</t>
  </si>
  <si>
    <t>COMERCIAL TÉCNICA FITOCARTHAGO, S.L.</t>
  </si>
  <si>
    <t>BC0020</t>
  </si>
  <si>
    <t>BITTER-CAL, 20 KG</t>
  </si>
  <si>
    <t>FITOMURCIA S.L.</t>
  </si>
  <si>
    <t>AGRMG1000</t>
  </si>
  <si>
    <t>AGROXIGREEN-Mg, 1000 L</t>
  </si>
  <si>
    <t>AGXKAEP0005</t>
  </si>
  <si>
    <t>BIOCULTURE POTASIO PLUS, 5 L</t>
  </si>
  <si>
    <t>AGXKAEP0020</t>
  </si>
  <si>
    <t>BIOCULTURE POTASIO PLUS, 20 L</t>
  </si>
  <si>
    <t>AGXKC0200</t>
  </si>
  <si>
    <t>AGROXILATO-COMPLET, 200 L</t>
  </si>
  <si>
    <t>AGXKC1000</t>
  </si>
  <si>
    <t>AGROXILATO-COMPLET, 1000 L</t>
  </si>
  <si>
    <t>C-M-P0020</t>
  </si>
  <si>
    <t>CODIFOL MO-PLUS, 20 L</t>
  </si>
  <si>
    <t>P-5X1000</t>
  </si>
  <si>
    <t>P.M.S. 5x, 1000 L</t>
  </si>
  <si>
    <t>P-ZM3.50005</t>
  </si>
  <si>
    <t>POLIGREEN Zn-Mn 3.5, 5 L</t>
  </si>
  <si>
    <t>POLIGREEN Zn-Mn 3.5, 20 L</t>
  </si>
  <si>
    <t>P-ZM3.51000</t>
  </si>
  <si>
    <t>POLIGREEN ZNMN 3.5, 1000 L</t>
  </si>
  <si>
    <t>POLIGREEN-ZNMN, 1000 L</t>
  </si>
  <si>
    <t>SPCE2B0005</t>
  </si>
  <si>
    <t>SPRINTENE CON BORO, 5 L</t>
  </si>
  <si>
    <t>Ricardo</t>
  </si>
  <si>
    <t>CHILE</t>
  </si>
  <si>
    <t>BAYER, S.A.</t>
  </si>
  <si>
    <t>AN0020CL</t>
  </si>
  <si>
    <t>MAGNIFIC Ca FLOW</t>
  </si>
  <si>
    <t>MAGNIFIC Ca FLOW, 20 KG</t>
  </si>
  <si>
    <t>BAYCAL0020CL</t>
  </si>
  <si>
    <t>BAYFOLAN CALCIO</t>
  </si>
  <si>
    <t>BAYFOLAN-CALCIO, 20 L</t>
  </si>
  <si>
    <t>W330020CL</t>
  </si>
  <si>
    <t>BAYFOLAN SUN, 20 KG</t>
  </si>
  <si>
    <t>COLOMBIA</t>
  </si>
  <si>
    <t>CAMPO ABIERTO, S.A.S.</t>
  </si>
  <si>
    <t>AGXCR0001CO</t>
  </si>
  <si>
    <t>AGROXILATO-K  (0-5-20), 1 L</t>
  </si>
  <si>
    <t>AGXCR0005CO</t>
  </si>
  <si>
    <t>AGROXILATO-K (0-5-20), 5 Lts.</t>
  </si>
  <si>
    <t>AGXCR0020CO</t>
  </si>
  <si>
    <t>AN0005CO</t>
  </si>
  <si>
    <t>AN0020CO</t>
  </si>
  <si>
    <t>BPLUS0001CO</t>
  </si>
  <si>
    <t>BOROCAL PLUS, 1 KG</t>
  </si>
  <si>
    <t>BR-590005CO</t>
  </si>
  <si>
    <t>C-CU0001CO</t>
  </si>
  <si>
    <t>C-CU0005CO</t>
  </si>
  <si>
    <t>C-CU0020CO</t>
  </si>
  <si>
    <t>F-A0001CO</t>
  </si>
  <si>
    <t>FITOLIN-AGRO, 1 L</t>
  </si>
  <si>
    <t>F-A0005CO</t>
  </si>
  <si>
    <t>FITOLIN-AGRO, 5 L</t>
  </si>
  <si>
    <t>FLORCR0001CO</t>
  </si>
  <si>
    <t>FLORAMEC CR, 1 L</t>
  </si>
  <si>
    <t>FLORCR0005CO</t>
  </si>
  <si>
    <t>FLORAMEC CR, 5 L</t>
  </si>
  <si>
    <t>FLORCR0020CO</t>
  </si>
  <si>
    <t>G30001CO</t>
  </si>
  <si>
    <t>G30005CO</t>
  </si>
  <si>
    <t>SSEG0001CO</t>
  </si>
  <si>
    <t>SALWAX CALCIO</t>
  </si>
  <si>
    <t>SALWAX CALCIO EGIPTO, 1 KG</t>
  </si>
  <si>
    <t>SSEG0005CO</t>
  </si>
  <si>
    <t>COSTA RICA</t>
  </si>
  <si>
    <t>EUROFERTIL, S.A.</t>
  </si>
  <si>
    <t>A-500005CR</t>
  </si>
  <si>
    <t>A-500020CR</t>
  </si>
  <si>
    <t>AGMG0005CR</t>
  </si>
  <si>
    <t>AGMG0020CR</t>
  </si>
  <si>
    <t>AGROXILATO MG, 20 KG (EXPORT)</t>
  </si>
  <si>
    <t>AGXCR1000CR</t>
  </si>
  <si>
    <t>AGZN0001CR</t>
  </si>
  <si>
    <t>AGROXILATO Zn</t>
  </si>
  <si>
    <t>AGROXILATO-ZN 16 %, 1 KG (EXPORT)</t>
  </si>
  <si>
    <t>AGZN0005CR</t>
  </si>
  <si>
    <t>AGROXILATO-ZN 16%,  5 KG (EXPORT)</t>
  </si>
  <si>
    <t>AN0005CR</t>
  </si>
  <si>
    <t>ALCAPLANT</t>
  </si>
  <si>
    <t>AN0020CR</t>
  </si>
  <si>
    <t>B1000CR</t>
  </si>
  <si>
    <t>C-CU1000CR</t>
  </si>
  <si>
    <t>CODIR1000CR</t>
  </si>
  <si>
    <t>CODIRESIST</t>
  </si>
  <si>
    <t>CODIRESIST, 1000 L</t>
  </si>
  <si>
    <t>DECA0005CR</t>
  </si>
  <si>
    <t>DEFENS-CA-AE</t>
  </si>
  <si>
    <t>DEFENS-CA-AE, 5 KG</t>
  </si>
  <si>
    <t>F-A1000CR</t>
  </si>
  <si>
    <t>FITOLIN AGRO</t>
  </si>
  <si>
    <t>FITOLIN AGRO, 1000 L</t>
  </si>
  <si>
    <t>FLORCR1000CR</t>
  </si>
  <si>
    <t>FLORAMEC CR, 1000 L</t>
  </si>
  <si>
    <t>G1000CR</t>
  </si>
  <si>
    <t>TRANSLOCADOR</t>
  </si>
  <si>
    <t>GREEN-UP EXPORTACION, 1000 L</t>
  </si>
  <si>
    <t>NB1000CR</t>
  </si>
  <si>
    <t>NITROBALANCE</t>
  </si>
  <si>
    <t>NITROBALANCe</t>
  </si>
  <si>
    <t>PT1000CR</t>
  </si>
  <si>
    <t>POTASION PLUS</t>
  </si>
  <si>
    <t>SPCE0001CR</t>
  </si>
  <si>
    <t>SPCE0005CR</t>
  </si>
  <si>
    <t>SPCE0020CR</t>
  </si>
  <si>
    <t>SPCE20001CR</t>
  </si>
  <si>
    <t>SPRINTENE ZNMN 1L</t>
  </si>
  <si>
    <t>SPCE20005CR</t>
  </si>
  <si>
    <t>SPRINTENE ZNMN 5L</t>
  </si>
  <si>
    <t>SS0001CR</t>
  </si>
  <si>
    <t>SS0005CR</t>
  </si>
  <si>
    <t>SS0020CR</t>
  </si>
  <si>
    <t>SAL WAX MAX</t>
  </si>
  <si>
    <t>SAL WAX MAX, 20 KG</t>
  </si>
  <si>
    <t>DOMINICANA, REPÚBLICA</t>
  </si>
  <si>
    <t>JUAN JIMENEZ, SRL</t>
  </si>
  <si>
    <t>A-50(2)0001DO</t>
  </si>
  <si>
    <t>AGXK0001DO</t>
  </si>
  <si>
    <t>AGROXILATO-K, 1 L</t>
  </si>
  <si>
    <t>AN0005DO</t>
  </si>
  <si>
    <t>B0001DO</t>
  </si>
  <si>
    <t>BEY0001DO</t>
  </si>
  <si>
    <t>BERRY-FLOR, 1 L</t>
  </si>
  <si>
    <t>BIO0001DO</t>
  </si>
  <si>
    <t>BIORAD-20, 1L</t>
  </si>
  <si>
    <t>BIO0005DO</t>
  </si>
  <si>
    <t>BIO-RAD 20</t>
  </si>
  <si>
    <t>BIO0020DO</t>
  </si>
  <si>
    <t>C-CU0001DO</t>
  </si>
  <si>
    <t>C-L0001DO</t>
  </si>
  <si>
    <t>C-MB0001DO</t>
  </si>
  <si>
    <t>F-A0001DO</t>
  </si>
  <si>
    <t>FITOLIN-AGRO</t>
  </si>
  <si>
    <t>F-A0005DO</t>
  </si>
  <si>
    <t>FLOR0001DO</t>
  </si>
  <si>
    <t>FU0001DO</t>
  </si>
  <si>
    <t>G30001DO</t>
  </si>
  <si>
    <t>JF0001DO</t>
  </si>
  <si>
    <t>LP0001DO</t>
  </si>
  <si>
    <t>LAVAPLANT GRANEL</t>
  </si>
  <si>
    <t>LP0005DO</t>
  </si>
  <si>
    <t>LAVAPLANT, 5 L</t>
  </si>
  <si>
    <t>MPH0001DO</t>
  </si>
  <si>
    <t>MOJALINE</t>
  </si>
  <si>
    <t>MOJALINE NL, 1 L</t>
  </si>
  <si>
    <t>MOJALINE NL</t>
  </si>
  <si>
    <t>MPH0005DO</t>
  </si>
  <si>
    <t>MOJALINE NL, 5 L</t>
  </si>
  <si>
    <t>PK500001DO</t>
  </si>
  <si>
    <t>PT0001DO</t>
  </si>
  <si>
    <t>AGRO-POTASION</t>
  </si>
  <si>
    <t>PT0005DO</t>
  </si>
  <si>
    <t>RUN0001DO</t>
  </si>
  <si>
    <t>SPCE2B0001DO</t>
  </si>
  <si>
    <t>SS0001DO</t>
  </si>
  <si>
    <t>SAL-WAX</t>
  </si>
  <si>
    <t>SAL-WAX-Ca sólido</t>
  </si>
  <si>
    <t>START20001DO</t>
  </si>
  <si>
    <t>RADISOL</t>
  </si>
  <si>
    <t>RADISOL STARTER, 1 L</t>
  </si>
  <si>
    <t>RADISOL STARTER</t>
  </si>
  <si>
    <t>ECUADOR (incluidas las Islas Galápagos)</t>
  </si>
  <si>
    <t>ECUAQUIMICA</t>
  </si>
  <si>
    <t>AGMG0001EC</t>
  </si>
  <si>
    <t>AGZNP0001EC</t>
  </si>
  <si>
    <t>AN0005EC</t>
  </si>
  <si>
    <t>AN0020EC</t>
  </si>
  <si>
    <t>AQUOMB0001EC</t>
  </si>
  <si>
    <t>AQUOM-BORO, 1 L</t>
  </si>
  <si>
    <t>C-CU0001EC</t>
  </si>
  <si>
    <t>C-GLB0001EC</t>
  </si>
  <si>
    <t>C-L0001EC</t>
  </si>
  <si>
    <t>C-M-P0001EC</t>
  </si>
  <si>
    <t>G30001EC</t>
  </si>
  <si>
    <t>JF0001EC</t>
  </si>
  <si>
    <t>CODIGIN-FOS, 1 L</t>
  </si>
  <si>
    <t>TRI0001EC</t>
  </si>
  <si>
    <t>ITALIA</t>
  </si>
  <si>
    <t>AIFAR S.P.A</t>
  </si>
  <si>
    <t>AN0005IT</t>
  </si>
  <si>
    <t>FIORI1000IT</t>
  </si>
  <si>
    <t>RADIFIORI, 1000 L</t>
  </si>
  <si>
    <t>NETHERLANS</t>
  </si>
  <si>
    <t>LEKKERBIO B.V.</t>
  </si>
  <si>
    <t>AGXK0005MX</t>
  </si>
  <si>
    <t>AGXK0020MX</t>
  </si>
  <si>
    <t>AO0020MX</t>
  </si>
  <si>
    <t>ALCAPLANT OMRI, 20 KG</t>
  </si>
  <si>
    <t>ALCAPLANT OMRI</t>
  </si>
  <si>
    <t>AO1000MX</t>
  </si>
  <si>
    <t>ALCAPLANT OMRI, 1000 KG</t>
  </si>
  <si>
    <t>C-CU0020MX</t>
  </si>
  <si>
    <t>SS0005MX</t>
  </si>
  <si>
    <t>PANAMÁ</t>
  </si>
  <si>
    <t>SERVICIOS AGROPECUARIOS EL LLANO, S. A.</t>
  </si>
  <si>
    <t>A-500001PA</t>
  </si>
  <si>
    <t>AGXCR0001PA</t>
  </si>
  <si>
    <t>AGXCR0005PA</t>
  </si>
  <si>
    <t>AN0005PA</t>
  </si>
  <si>
    <t>BIO0001PA</t>
  </si>
  <si>
    <t>BIO0005PA</t>
  </si>
  <si>
    <t>BIO0020PA</t>
  </si>
  <si>
    <t>CODIR0001PA</t>
  </si>
  <si>
    <t>CODIRESIST, 1 L</t>
  </si>
  <si>
    <t>CODIR0005PA</t>
  </si>
  <si>
    <t>CODIRESIST, 5 L</t>
  </si>
  <si>
    <t>FLORCR0001PA</t>
  </si>
  <si>
    <t>FLORCR0005PA</t>
  </si>
  <si>
    <t>G0001PA</t>
  </si>
  <si>
    <t>G0005PA</t>
  </si>
  <si>
    <t>GREEN-UP EXPORTACION, 5 L</t>
  </si>
  <si>
    <t>PT0001PA</t>
  </si>
  <si>
    <t>SS0001PA</t>
  </si>
  <si>
    <t>PERÚ</t>
  </si>
  <si>
    <t>BCOMERCE E.I.R.L.</t>
  </si>
  <si>
    <t>AN0020PE</t>
  </si>
  <si>
    <t>HORTIFRUT - PERU, S.A.C.</t>
  </si>
  <si>
    <t>CSIL1000PE</t>
  </si>
  <si>
    <t>FITOKONTROL-K, 1000 L</t>
  </si>
  <si>
    <t>HORTIFRUT PERU, S.A.C.</t>
  </si>
  <si>
    <t>FITOKONTROL -K</t>
  </si>
  <si>
    <t>TOTAL GENERAL</t>
  </si>
  <si>
    <t>Suma de Oct-26 (u)</t>
  </si>
  <si>
    <t>Suma de Oct-26 (€)</t>
  </si>
  <si>
    <t>Pr medio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</si>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</sst>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\€"/>
  </numFmts>
  <fonts count="6" x14ac:knownFonts="1">
    <font>
      <sz val="11"/>
      <color theme="1"/>
      <name val="Calibri"/>
      <family val="2"/>
      <scheme val="minor"/>
    </font>
    <font>
      <b/>
      <sz val="8.5"/>
      <color rgb="FFFFFFFF"/>
      <name val="Segoe UI"/>
    </font>
    <font>
      <sz val="9"/>
      <name val="Segoe UI"/>
    </font>
    <font>
      <b/>
      <sz val="9"/>
      <name val="Segoe U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8EEF5"/>
        <bgColor rgb="FFE8EEF5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/>
    <xf numFmtId="3" fontId="3" fillId="5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0" fontId="3" fillId="5" borderId="3" xfId="0" applyNumberFormat="1" applyFont="1" applyFill="1" applyBorder="1" applyAlignment="1">
      <alignment horizontal="right"/>
    </xf>
    <xf numFmtId="43" fontId="5" fillId="0" borderId="0" xfId="1" applyFont="1" applyAlignment="1">
      <alignment horizontal="center"/>
    </xf>
    <xf numFmtId="0" fontId="0" fillId="0" borderId="4" xfId="0" applyBorder="1"/>
    <xf numFmtId="0" fontId="5" fillId="6" borderId="4" xfId="0" applyFont="1" applyFill="1" applyBorder="1"/>
    <xf numFmtId="3" fontId="0" fillId="0" borderId="4" xfId="0" applyNumberFormat="1" applyBorder="1"/>
    <xf numFmtId="164" fontId="0" fillId="0" borderId="4" xfId="0" applyNumberFormat="1" applyBorder="1"/>
  </cellXfs>
  <cellStyles count="2">
    <cellStyle name="Millares" xfId="1" builtinId="3"/>
    <cellStyle name="Normal" xfId="0" builtinId="0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323.348603935185" createdVersion="8" refreshedVersion="8" minRefreshableVersion="3" recordCount="1265" xr:uid="{5F5C93D6-64B3-47DD-A8D9-21289C2EB38E}">
  <cacheSource type="worksheet">
    <worksheetSource ref="A1:BM1266" sheet="Previsión Matriz Horizontal"/>
  </cacheSource>
  <cacheFields count="65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País" numFmtId="0">
      <sharedItems/>
    </cacheField>
    <cacheField name="Cliente" numFmtId="0">
      <sharedItems/>
    </cacheField>
    <cacheField name="Clasificación Cliente" numFmtId="0">
      <sharedItems/>
    </cacheField>
    <cacheField name="Código Artículo" numFmtId="0">
      <sharedItems/>
    </cacheField>
    <cacheField name="Descripción Artículo" numFmtId="0">
      <sharedItems/>
    </cacheField>
    <cacheField name="Tamaño Envase" numFmtId="3">
      <sharedItems containsSemiMixedTypes="0" containsString="0" containsNumber="1" containsInteger="1" minValue="1" maxValue="1000"/>
    </cacheField>
    <cacheField name="Precio Medio 2026 (€/u)" numFmtId="164">
      <sharedItems containsSemiMixedTypes="0" containsString="0" containsNumber="1" minValue="0" maxValue="28.500000000000011"/>
    </cacheField>
    <cacheField name="Precio Medio 2027 (€/u)" numFmtId="164">
      <sharedItems containsSemiMixedTypes="0" containsString="0" containsNumber="1" minValue="0" maxValue="29.70775988652251"/>
    </cacheField>
    <cacheField name="Ene-26 (u)" numFmtId="3">
      <sharedItems containsSemiMixedTypes="0" containsString="0" containsNumber="1" minValue="0" maxValue="43526.369664501377"/>
    </cacheField>
    <cacheField name="Ene-26 (€)" numFmtId="164">
      <sharedItems containsSemiMixedTypes="0" containsString="0" containsNumber="1" minValue="0" maxValue="160582.62699178429"/>
    </cacheField>
    <cacheField name="Feb-26 (u)" numFmtId="3">
      <sharedItems containsSemiMixedTypes="0" containsString="0" containsNumber="1" minValue="0" maxValue="43724.216799340022"/>
    </cacheField>
    <cacheField name="Feb-26 (€)" numFmtId="164">
      <sharedItems containsSemiMixedTypes="0" containsString="0" containsNumber="1" minValue="0" maxValue="118678.60383295979"/>
    </cacheField>
    <cacheField name="Mar-26 (u)" numFmtId="3">
      <sharedItems containsSemiMixedTypes="0" containsString="0" containsNumber="1" minValue="0" maxValue="274216.1288863587"/>
    </cacheField>
    <cacheField name="Mar-26 (€)" numFmtId="164">
      <sharedItems containsSemiMixedTypes="0" containsString="0" containsNumber="1" minValue="0" maxValue="274216.1288863587"/>
    </cacheField>
    <cacheField name="Abr-26 (u)" numFmtId="3">
      <sharedItems containsSemiMixedTypes="0" containsString="0" containsNumber="1" minValue="0" maxValue="91405.376295452908"/>
    </cacheField>
    <cacheField name="Abr-26 (€)" numFmtId="164">
      <sharedItems containsSemiMixedTypes="0" containsString="0" containsNumber="1" minValue="0" maxValue="109198.9562143011"/>
    </cacheField>
    <cacheField name="May-26 (u)" numFmtId="3">
      <sharedItems containsSemiMixedTypes="0" containsString="0" containsNumber="1" minValue="0" maxValue="274216.1288863587"/>
    </cacheField>
    <cacheField name="May-26 (€)" numFmtId="164">
      <sharedItems containsSemiMixedTypes="0" containsString="0" containsNumber="1" minValue="0" maxValue="274216.1288863587"/>
    </cacheField>
    <cacheField name="Jun-26 (u)" numFmtId="3">
      <sharedItems containsSemiMixedTypes="0" containsString="0" containsNumber="1" minValue="0" maxValue="251364.78481249549"/>
    </cacheField>
    <cacheField name="Jun-26 (€)" numFmtId="164">
      <sharedItems containsSemiMixedTypes="0" containsString="0" containsNumber="1" minValue="0" maxValue="251364.78481249549"/>
    </cacheField>
    <cacheField name="Jul-26 (u)" numFmtId="3">
      <sharedItems containsSemiMixedTypes="0" containsString="0" containsNumber="1" minValue="0" maxValue="182810.75259090579"/>
    </cacheField>
    <cacheField name="Jul-26 (€)" numFmtId="164">
      <sharedItems containsSemiMixedTypes="0" containsString="0" containsNumber="1" minValue="0" maxValue="173670.2149613605"/>
    </cacheField>
    <cacheField name="Ago-26 (u)" numFmtId="3">
      <sharedItems containsSemiMixedTypes="0" containsString="0" containsNumber="1" minValue="0" maxValue="41547.898316114952"/>
    </cacheField>
    <cacheField name="Ago-26 (€)" numFmtId="164">
      <sharedItems containsSemiMixedTypes="0" containsString="0" containsNumber="1" minValue="0" maxValue="138199.3101000954"/>
    </cacheField>
    <cacheField name="Sep-26 (u)" numFmtId="3">
      <sharedItems containsSemiMixedTypes="0" containsString="0" containsNumber="1" minValue="0" maxValue="20855.91506456456"/>
    </cacheField>
    <cacheField name="Sep-26 (€)" numFmtId="164">
      <sharedItems containsSemiMixedTypes="0" containsString="0" containsNumber="1" minValue="0" maxValue="73185.790611639415"/>
    </cacheField>
    <cacheField name="Oct-26 (u)" numFmtId="3">
      <sharedItems containsSemiMixedTypes="0" containsString="0" containsNumber="1" minValue="0" maxValue="20855.91506456456"/>
    </cacheField>
    <cacheField name="Oct-26 (€)" numFmtId="164">
      <sharedItems containsSemiMixedTypes="0" containsString="0" containsNumber="1" minValue="0" maxValue="73185.790611639415"/>
    </cacheField>
    <cacheField name="Nov-26 (u)" numFmtId="3">
      <sharedItems containsSemiMixedTypes="0" containsString="0" containsNumber="1" minValue="0" maxValue="28439.884178951681"/>
    </cacheField>
    <cacheField name="Nov-26 (€)" numFmtId="164">
      <sharedItems containsSemiMixedTypes="0" containsString="0" containsNumber="1" minValue="0" maxValue="116990.3959264458"/>
    </cacheField>
    <cacheField name="Dic-26 (u)" numFmtId="3">
      <sharedItems containsSemiMixedTypes="0" containsString="0" containsNumber="1" minValue="0" maxValue="208559.15064564571"/>
    </cacheField>
    <cacheField name="Dic-26 (€)" numFmtId="164">
      <sharedItems containsSemiMixedTypes="0" containsString="0" containsNumber="1" minValue="0" maxValue="291982.81090390391"/>
    </cacheField>
    <cacheField name="Total 2026 (u)" numFmtId="3">
      <sharedItems containsSemiMixedTypes="0" containsString="0" containsNumber="1" minValue="3.9569426967728529" maxValue="708391.66628975992"/>
    </cacheField>
    <cacheField name="Total 2026 (€)" numFmtId="164">
      <sharedItems containsSemiMixedTypes="0" containsString="0" containsNumber="1" minValue="0" maxValue="699251.1286602146"/>
    </cacheField>
    <cacheField name="Ene-27 (u)" numFmtId="3">
      <sharedItems containsSemiMixedTypes="0" containsString="0" containsNumber="1" containsInteger="1" minValue="0" maxValue="50260"/>
    </cacheField>
    <cacheField name="Ene-27 (€)" numFmtId="164">
      <sharedItems containsSemiMixedTypes="0" containsString="0" containsNumber="1" minValue="0" maxValue="184538.688922539"/>
    </cacheField>
    <cacheField name="Feb-27 (u)" numFmtId="3">
      <sharedItems containsSemiMixedTypes="0" containsString="0" containsNumber="1" containsInteger="1" minValue="0" maxValue="48000"/>
    </cacheField>
    <cacheField name="Feb-27 (€)" numFmtId="164">
      <sharedItems containsSemiMixedTypes="0" containsString="0" containsNumber="1" minValue="0" maxValue="136389.57649207269"/>
    </cacheField>
    <cacheField name="Mar-27 (u)" numFmtId="3">
      <sharedItems containsSemiMixedTypes="0" containsString="0" containsNumber="1" containsInteger="1" minValue="0" maxValue="302240"/>
    </cacheField>
    <cacheField name="Mar-27 (€)" numFmtId="164">
      <sharedItems containsSemiMixedTypes="0" containsString="0" containsNumber="1" minValue="0" maxValue="315131.57785591169"/>
    </cacheField>
    <cacheField name="Abr-27 (u)" numFmtId="3">
      <sharedItems containsSemiMixedTypes="0" containsString="0" containsNumber="1" containsInteger="1" minValue="0" maxValue="100740"/>
    </cacheField>
    <cacheField name="Abr-27 (€)" numFmtId="164">
      <sharedItems containsSemiMixedTypes="0" containsString="0" containsNumber="1" minValue="0" maxValue="137442.48204510339"/>
    </cacheField>
    <cacheField name="May-27 (u)" numFmtId="3">
      <sharedItems containsSemiMixedTypes="0" containsString="0" containsNumber="1" containsInteger="1" minValue="0" maxValue="302240"/>
    </cacheField>
    <cacheField name="May-27 (€)" numFmtId="164">
      <sharedItems containsSemiMixedTypes="0" containsString="0" containsNumber="1" minValue="0" maxValue="315131.57785591169"/>
    </cacheField>
    <cacheField name="Jun-27 (u)" numFmtId="3">
      <sharedItems containsSemiMixedTypes="0" containsString="0" containsNumber="1" containsInteger="1" minValue="0" maxValue="277060"/>
    </cacheField>
    <cacheField name="Jun-27 (€)" numFmtId="164">
      <sharedItems containsSemiMixedTypes="0" containsString="0" containsNumber="1" minValue="0" maxValue="288863.66385098652"/>
    </cacheField>
    <cacheField name="Jul-27 (u)" numFmtId="3">
      <sharedItems containsSemiMixedTypes="0" containsString="0" containsNumber="1" containsInteger="1" minValue="0" maxValue="201440"/>
    </cacheField>
    <cacheField name="Jul-27 (€)" numFmtId="164">
      <sharedItems containsSemiMixedTypes="0" containsString="0" containsNumber="1" minValue="0" maxValue="199636.14643743119"/>
    </cacheField>
    <cacheField name="Ago-27 (u)" numFmtId="3">
      <sharedItems containsSemiMixedTypes="0" containsString="0" containsNumber="1" containsInteger="1" minValue="0" maxValue="44000"/>
    </cacheField>
    <cacheField name="Ago-27 (€)" numFmtId="164">
      <sharedItems containsSemiMixedTypes="0" containsString="0" containsNumber="1" minValue="0" maxValue="158825.30493115401"/>
    </cacheField>
    <cacheField name="Sep-27 (u)" numFmtId="3">
      <sharedItems containsSemiMixedTypes="0" containsString="0" containsNumber="1" containsInteger="1" minValue="0" maxValue="24060"/>
    </cacheField>
    <cacheField name="Sep-27 (€)" numFmtId="164">
      <sharedItems containsSemiMixedTypes="0" containsString="0" containsNumber="1" minValue="0" maxValue="84113.445159833733"/>
    </cacheField>
    <cacheField name="Oct-27 (u)" numFmtId="3">
      <sharedItems containsSemiMixedTypes="0" containsString="0" containsNumber="1" containsInteger="1" minValue="0" maxValue="24060"/>
    </cacheField>
    <cacheField name="Oct-27 (€)" numFmtId="164">
      <sharedItems containsSemiMixedTypes="0" containsString="0" containsNumber="1" minValue="0" maxValue="84113.445159833733"/>
    </cacheField>
    <cacheField name="Nov-27 (u)" numFmtId="3">
      <sharedItems containsSemiMixedTypes="0" containsString="0" containsNumber="1" containsInteger="1" minValue="0" maxValue="31345"/>
    </cacheField>
    <cacheField name="Nov-27 (€)" numFmtId="164">
      <sharedItems containsSemiMixedTypes="0" containsString="0" containsNumber="1" minValue="0" maxValue="134452.25427921471"/>
    </cacheField>
    <cacheField name="Dic-27 (u)" numFmtId="3">
      <sharedItems containsSemiMixedTypes="0" containsString="0" containsNumber="1" containsInteger="1" minValue="0" maxValue="235360"/>
    </cacheField>
    <cacheField name="Dic-27 (€)" numFmtId="164">
      <sharedItems containsSemiMixedTypes="0" containsString="0" containsNumber="1" minValue="0" maxValue="343555.12861330452"/>
    </cacheField>
    <cacheField name="Total 2027 (u)" numFmtId="3">
      <sharedItems containsSemiMixedTypes="0" containsString="0" containsNumber="1" containsInteger="1" minValue="4" maxValue="780740"/>
    </cacheField>
    <cacheField name="Total 2027 (€)" numFmtId="164">
      <sharedItems containsSemiMixedTypes="0" containsString="0" containsNumber="1" minValue="0" maxValue="803631.38814432942"/>
    </cacheField>
    <cacheField name="Dif. Uds (27 vs 26)" numFmtId="3">
      <sharedItems containsSemiMixedTypes="0" containsString="0" containsNumber="1" minValue="4.305730322714707E-2" maxValue="72348.333710240084"/>
    </cacheField>
    <cacheField name="% Var. Uds" numFmtId="10">
      <sharedItems containsSemiMixedTypes="0" containsString="0" containsNumber="1" minValue="1.0881457359051988E-2" maxValue="0.51632218603857882"/>
    </cacheField>
    <cacheField name="Dif. € (27 vs 26)" numFmtId="164">
      <sharedItems containsSemiMixedTypes="0" containsString="0" containsNumber="1" minValue="0" maxValue="104380.25948411482"/>
    </cacheField>
    <cacheField name="% Crec. €" numFmtId="10">
      <sharedItems containsSemiMixedTypes="0" containsString="0" containsNumber="1" minValue="0" maxValue="0.5393823828325111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5">
  <r>
    <x v="0"/>
    <s v="ESPAÑA"/>
    <s v="ACTIV. PRODUC. Y COMERC. LA VEGUILLA, SL"/>
    <s v="Consolidado/estratégico"/>
    <s v="A-50(2)0020"/>
    <s v="CODIORGAN A-50, 20 KG"/>
    <n v="20"/>
    <n v="4.74"/>
    <n v="4.9408695390216382"/>
    <n v="0"/>
    <n v="0"/>
    <n v="455.04841012887812"/>
    <n v="2156.9294640108819"/>
    <n v="890.31210677389186"/>
    <n v="4220.0793861082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45.3605169027701"/>
    <n v="6377.0088501191285"/>
    <n v="0"/>
    <n v="0"/>
    <n v="540"/>
    <n v="2668.0695510716851"/>
    <n v="1080"/>
    <n v="5336.1391021433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"/>
    <n v="8004.2086532150533"/>
    <n v="274.63948309722991"/>
    <n v="0.20413820656004747"/>
    <n v="1627.1998030959248"/>
    <n v="0.25516662142714874"/>
  </r>
  <r>
    <x v="0"/>
    <s v="ESPAÑA"/>
    <s v="ACTIV. PRODUC. Y COMERC. LA VEGUILLA, SL"/>
    <s v="Consolidado/estratégico"/>
    <s v="BIO0020"/>
    <s v="BIORAD-20, 20 L"/>
    <n v="20"/>
    <n v="2.3571794871794869"/>
    <n v="2.457048986982564"/>
    <n v="494.61783709660659"/>
    <n v="1162.3519171770261"/>
    <n v="276.98598877409972"/>
    <n v="656.45679339461617"/>
    <n v="0"/>
    <n v="0"/>
    <n v="0"/>
    <n v="0"/>
    <n v="0"/>
    <n v="0"/>
    <n v="0"/>
    <n v="0"/>
    <n v="0"/>
    <n v="0"/>
    <n v="0"/>
    <n v="0"/>
    <n v="910.07629372645374"/>
    <n v="2145.213171340331"/>
    <n v="910.07629372645374"/>
    <n v="2145.213171340331"/>
    <n v="0"/>
    <n v="0"/>
    <n v="910.07629372645374"/>
    <n v="2145.213171340331"/>
    <n v="3501.8327070500673"/>
    <n v="8254.4482245926356"/>
    <n v="620"/>
    <n v="1518.7440756022211"/>
    <n v="340"/>
    <n v="839.94782163367802"/>
    <n v="0"/>
    <n v="0"/>
    <n v="0"/>
    <n v="0"/>
    <n v="0"/>
    <n v="0"/>
    <n v="0"/>
    <n v="0"/>
    <n v="0"/>
    <n v="0"/>
    <n v="0"/>
    <n v="0"/>
    <n v="1140"/>
    <n v="2801.0608885825782"/>
    <n v="1140"/>
    <n v="2801.0608885825782"/>
    <n v="0"/>
    <n v="0"/>
    <n v="1140"/>
    <n v="2801.0608885825782"/>
    <n v="4380"/>
    <n v="10761.874562983634"/>
    <n v="878.16729294993274"/>
    <n v="0.25077362810106885"/>
    <n v="2507.4263383909984"/>
    <n v="0.30376668072380358"/>
  </r>
  <r>
    <x v="0"/>
    <s v="ESPAÑA"/>
    <s v="ACTIV. PRODUC. Y COMERC. LA VEGUILLA, SL"/>
    <s v="Consolidado/estratégico"/>
    <s v="BROTA0020"/>
    <s v="BROTAMEC, 20 L"/>
    <n v="20"/>
    <n v="2.897272727272727"/>
    <n v="3.0199878563138189"/>
    <n v="494.61783709660659"/>
    <n v="1424.4993708382269"/>
    <n v="375.90955619342111"/>
    <n v="1097.655904084789"/>
    <n v="0"/>
    <n v="0"/>
    <n v="0"/>
    <n v="0"/>
    <n v="0"/>
    <n v="0"/>
    <n v="0"/>
    <n v="0"/>
    <n v="0"/>
    <n v="0"/>
    <n v="0"/>
    <n v="0"/>
    <n v="910.07629372645374"/>
    <n v="2636.7392255510981"/>
    <n v="872.15644815451822"/>
    <n v="2526.8750911531361"/>
    <n v="0"/>
    <n v="0"/>
    <n v="910.07629372645374"/>
    <n v="2636.7392255510981"/>
    <n v="3562.8364288974535"/>
    <n v="10322.508817178348"/>
    <n v="540"/>
    <n v="1621.105550018239"/>
    <n v="400"/>
    <n v="1217.4969665774829"/>
    <n v="0"/>
    <n v="0"/>
    <n v="0"/>
    <n v="0"/>
    <n v="0"/>
    <n v="0"/>
    <n v="0"/>
    <n v="0"/>
    <n v="0"/>
    <n v="0"/>
    <n v="0"/>
    <n v="0"/>
    <n v="980"/>
    <n v="2959.6509774539159"/>
    <n v="940"/>
    <n v="2838.848896741511"/>
    <n v="0"/>
    <n v="0"/>
    <n v="980"/>
    <n v="2959.6509774539159"/>
    <n v="3840"/>
    <n v="11596.753368245063"/>
    <n v="277.16357110254648"/>
    <n v="7.7792954190803773E-2"/>
    <n v="1274.2445510667148"/>
    <n v="0.12344329984452644"/>
  </r>
  <r>
    <x v="0"/>
    <s v="ESPAÑA"/>
    <s v="ACTIV. PRODUC. Y COMERC. LA VEGUILLA, SL"/>
    <s v="Consolidado/estratégico"/>
    <s v="FU0020"/>
    <s v="FULVIGIN, 20 L"/>
    <n v="20"/>
    <n v="2.84"/>
    <n v="2.9603522132534712"/>
    <n v="0"/>
    <n v="0"/>
    <n v="0"/>
    <n v="0"/>
    <n v="613.32611799979225"/>
    <n v="1741.84617511941"/>
    <n v="217.6318483225069"/>
    <n v="618.07444923591959"/>
    <n v="0"/>
    <n v="0"/>
    <n v="0"/>
    <n v="0"/>
    <n v="0"/>
    <n v="0"/>
    <n v="0"/>
    <n v="0"/>
    <n v="0"/>
    <n v="0"/>
    <n v="0"/>
    <n v="0"/>
    <n v="0"/>
    <n v="0"/>
    <n v="0"/>
    <n v="0"/>
    <n v="830.95796632229917"/>
    <n v="2359.9206243553294"/>
    <n v="0"/>
    <n v="0"/>
    <n v="0"/>
    <n v="0"/>
    <n v="660"/>
    <n v="1953.83246074729"/>
    <n v="240"/>
    <n v="710.48453118083296"/>
    <n v="0"/>
    <n v="0"/>
    <n v="0"/>
    <n v="0"/>
    <n v="0"/>
    <n v="0"/>
    <n v="0"/>
    <n v="0"/>
    <n v="0"/>
    <n v="0"/>
    <n v="0"/>
    <n v="0"/>
    <n v="0"/>
    <n v="0"/>
    <n v="0"/>
    <n v="0"/>
    <n v="900"/>
    <n v="2664.3169919281231"/>
    <n v="69.042033677700829"/>
    <n v="8.3087275741841632E-2"/>
    <n v="304.39636757279368"/>
    <n v="0.12898584996092699"/>
  </r>
  <r>
    <x v="0"/>
    <s v="ESPAÑA"/>
    <s v="ACTIV. PRODUC. Y COMERC. LA VEGUILLA, SL"/>
    <s v="Consolidado/estratégico"/>
    <s v="PIV0020"/>
    <s v="PGR IV, 20 L"/>
    <n v="20"/>
    <n v="2.5099999999999998"/>
    <n v="2.6163676250937362"/>
    <n v="0"/>
    <n v="0"/>
    <n v="0"/>
    <n v="0"/>
    <n v="613.32611799979225"/>
    <n v="1539.4485561794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.32611799979225"/>
    <n v="1539.4485561794779"/>
    <n v="0"/>
    <n v="0"/>
    <n v="0"/>
    <n v="0"/>
    <n v="660"/>
    <n v="1726.8026325618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1726.8026325618659"/>
    <n v="46.673882000207755"/>
    <n v="7.6099615898345879E-2"/>
    <n v="187.35407638238803"/>
    <n v="0.12170207028376023"/>
  </r>
  <r>
    <x v="0"/>
    <s v="ESPAÑA"/>
    <s v="ACTIV. PRODUC. Y COMERC. LA VEGUILLA, SL"/>
    <s v="Consolidado/estratégico"/>
    <s v="PT0020"/>
    <s v="AGROPOTASION, 20 L"/>
    <n v="20"/>
    <n v="3.2507920792079208"/>
    <n v="3.3885798589542531"/>
    <n v="158.2777078709141"/>
    <n v="517.56810473788926"/>
    <n v="0"/>
    <n v="0"/>
    <n v="949.66624722548465"/>
    <n v="3086.415303482825"/>
    <n v="1543.207651741413"/>
    <n v="5015.4248681595909"/>
    <n v="1345.3605169027701"/>
    <n v="4372.4216799340029"/>
    <n v="0"/>
    <n v="0"/>
    <n v="0"/>
    <n v="0"/>
    <n v="0"/>
    <n v="0"/>
    <n v="0"/>
    <n v="0"/>
    <n v="0"/>
    <n v="0"/>
    <n v="0"/>
    <n v="0"/>
    <n v="0"/>
    <n v="0"/>
    <n v="3996.5121237405815"/>
    <n v="12991.829956314308"/>
    <n v="180"/>
    <n v="613.54341997218069"/>
    <n v="0"/>
    <n v="0"/>
    <n v="1040"/>
    <n v="3523.2360847875821"/>
    <n v="1700"/>
    <n v="5759.1359078258538"/>
    <n v="1480"/>
    <n v="5013.835966813097"/>
    <n v="0"/>
    <n v="0"/>
    <n v="0"/>
    <n v="0"/>
    <n v="0"/>
    <n v="0"/>
    <n v="0"/>
    <n v="0"/>
    <n v="0"/>
    <n v="0"/>
    <n v="0"/>
    <n v="0"/>
    <n v="0"/>
    <n v="0"/>
    <n v="4400"/>
    <n v="14909.751379398713"/>
    <n v="403.4878762594185"/>
    <n v="0.10096000306431434"/>
    <n v="1917.9214230844045"/>
    <n v="0.14762519441322072"/>
  </r>
  <r>
    <x v="0"/>
    <s v="ESPAÑA"/>
    <s v="AGRICOLA DEL JUCAR DE CUENCA, S.L."/>
    <s v="Consolidado/estratégico"/>
    <s v="AGXK0020"/>
    <s v="AGROXILATO-K, 20 L"/>
    <n v="20"/>
    <n v="3.089999999999999"/>
    <n v="3.2209465982229659"/>
    <n v="0"/>
    <n v="0"/>
    <n v="0"/>
    <n v="0"/>
    <n v="0"/>
    <n v="0"/>
    <n v="633.11083148365651"/>
    <n v="1956.3124692844981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956.3124692844981"/>
    <n v="0"/>
    <n v="0"/>
    <n v="0"/>
    <n v="0"/>
    <n v="0"/>
    <n v="0"/>
    <n v="700"/>
    <n v="2254.662618756076"/>
    <n v="0"/>
    <n v="0"/>
    <n v="0"/>
    <n v="0"/>
    <n v="0"/>
    <n v="0"/>
    <n v="0"/>
    <n v="0"/>
    <n v="0"/>
    <n v="0"/>
    <n v="0"/>
    <n v="0"/>
    <n v="0"/>
    <n v="0"/>
    <n v="0"/>
    <n v="0"/>
    <n v="700"/>
    <n v="2254.662618756076"/>
    <n v="66.889168516343489"/>
    <n v="0.10565159398646334"/>
    <n v="298.35014947157788"/>
    <n v="0.15250638850177983"/>
  </r>
  <r>
    <x v="0"/>
    <s v="ESPAÑA"/>
    <s v="AGRICOLA DEL JUCAR DE CUENCA, S.L."/>
    <s v="Consolidado/estratégico"/>
    <s v="AMIMG0020"/>
    <s v="AMINOSOIL MG, 20 L"/>
    <n v="20"/>
    <n v="0"/>
    <n v="0"/>
    <n v="0"/>
    <n v="0"/>
    <n v="197.84713483864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0"/>
    <n v="0"/>
    <n v="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0"/>
    <n v="22.152865161357312"/>
    <n v="0.11196960309495725"/>
    <n v="0"/>
    <n v="0"/>
  </r>
  <r>
    <x v="0"/>
    <s v="ESPAÑA"/>
    <s v="AGRICOLA DEL JUCAR DE CUENCA, S.L."/>
    <s v="Consolidado/estratégico"/>
    <s v="AN0020"/>
    <s v="ALCAPLANT NEW, 20 KG"/>
    <n v="20"/>
    <n v="0.84000000000000008"/>
    <n v="0.87559713349750556"/>
    <n v="0"/>
    <n v="0"/>
    <n v="1088.159241612535"/>
    <n v="0"/>
    <n v="0"/>
    <n v="0"/>
    <n v="0"/>
    <n v="0"/>
    <n v="1088.159241612535"/>
    <n v="1828.107525909058"/>
    <n v="0"/>
    <n v="0"/>
    <n v="0"/>
    <n v="0"/>
    <n v="0"/>
    <n v="0"/>
    <n v="0"/>
    <n v="0"/>
    <n v="0"/>
    <n v="0"/>
    <n v="0"/>
    <n v="0"/>
    <n v="0"/>
    <n v="0"/>
    <n v="2176.3184832250699"/>
    <n v="1828.107525909058"/>
    <n v="0"/>
    <n v="0"/>
    <n v="1200"/>
    <n v="0"/>
    <n v="0"/>
    <n v="0"/>
    <n v="0"/>
    <n v="0"/>
    <n v="1200"/>
    <n v="2101.4331203940128"/>
    <n v="0"/>
    <n v="0"/>
    <n v="0"/>
    <n v="0"/>
    <n v="0"/>
    <n v="0"/>
    <n v="0"/>
    <n v="0"/>
    <n v="0"/>
    <n v="0"/>
    <n v="0"/>
    <n v="0"/>
    <n v="0"/>
    <n v="0"/>
    <n v="2400"/>
    <n v="2101.4331203940128"/>
    <n v="223.68151677493006"/>
    <n v="0.10277977166442023"/>
    <n v="273.32559448495476"/>
    <n v="0.14951286541476214"/>
  </r>
  <r>
    <x v="0"/>
    <s v="ESPAÑA"/>
    <s v="AGRICOLA DEL JUCAR DE CUENCA, S.L."/>
    <s v="Consolidado/estratégico"/>
    <s v="BIO0020"/>
    <s v="BIORAD-20, 20 L"/>
    <n v="20"/>
    <n v="0"/>
    <n v="0"/>
    <n v="0"/>
    <n v="0"/>
    <n v="395.69426967728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104.30573032271468"/>
    <n v="0.26360182169881524"/>
    <n v="0"/>
    <n v="0"/>
  </r>
  <r>
    <x v="0"/>
    <s v="ESPAÑA"/>
    <s v="AGRICOLA DEL JUCAR DE CUENCA, S.L."/>
    <s v="Consolidado/estratégico"/>
    <s v="BR-590005"/>
    <s v="BR-59, 5 KG"/>
    <n v="5"/>
    <n v="2.3649999999999989"/>
    <n v="2.465933593770437"/>
    <n v="0"/>
    <n v="0"/>
    <n v="0"/>
    <n v="0"/>
    <n v="0"/>
    <n v="0"/>
    <n v="0"/>
    <n v="0"/>
    <n v="0"/>
    <n v="0"/>
    <n v="59.354140451592791"/>
    <n v="134.14035742059971"/>
    <n v="138.49299438704989"/>
    <n v="333.7681164727901"/>
    <n v="0"/>
    <n v="0"/>
    <n v="0"/>
    <n v="0"/>
    <n v="0"/>
    <n v="0"/>
    <n v="0"/>
    <n v="0"/>
    <n v="0"/>
    <n v="0"/>
    <n v="197.84713483864269"/>
    <n v="467.90847389338978"/>
    <n v="0"/>
    <n v="0"/>
    <n v="0"/>
    <n v="0"/>
    <n v="0"/>
    <n v="0"/>
    <n v="0"/>
    <n v="0"/>
    <n v="0"/>
    <n v="0"/>
    <n v="65"/>
    <n v="153.12526060807571"/>
    <n v="155"/>
    <n v="389.38013002142043"/>
    <n v="0"/>
    <n v="0"/>
    <n v="0"/>
    <n v="0"/>
    <n v="0"/>
    <n v="0"/>
    <n v="0"/>
    <n v="0"/>
    <n v="0"/>
    <n v="0"/>
    <n v="220"/>
    <n v="542.50539062949611"/>
    <n v="22.152865161357312"/>
    <n v="0.11196960309495725"/>
    <n v="74.596916736106323"/>
    <n v="0.15942630000990921"/>
  </r>
  <r>
    <x v="0"/>
    <s v="ESPAÑA"/>
    <s v="AGRICOLA DEL JUCAR DE CUENCA, S.L."/>
    <s v="Consolidado/estratégico"/>
    <s v="BROTA0020"/>
    <s v="BROTAMEC, 20 L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s v="ESPAÑA"/>
    <s v="AGRICOLA DEL JUCAR DE CUENCA, S.L."/>
    <s v="Consolidado/estratégico"/>
    <s v="C-CU0020"/>
    <s v="CODICOBRE, 20 L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s v="ESPAÑA"/>
    <s v="AGRICOLA DEL JUCAR DE CUENCA, S.L."/>
    <s v="Consolidado/estratégico"/>
    <s v="C-L0020"/>
    <s v="CODIBOR-L, 20 L"/>
    <n v="20"/>
    <n v="4.34"/>
    <n v="4.5239185230704448"/>
    <n v="0"/>
    <n v="0"/>
    <n v="0"/>
    <n v="0"/>
    <n v="0"/>
    <n v="0"/>
    <n v="0"/>
    <n v="0"/>
    <n v="0"/>
    <n v="0"/>
    <n v="0"/>
    <n v="0"/>
    <n v="98.92356741932133"/>
    <n v="429.32828259985462"/>
    <n v="0"/>
    <n v="0"/>
    <n v="0"/>
    <n v="0"/>
    <n v="0"/>
    <n v="0"/>
    <n v="0"/>
    <n v="0"/>
    <n v="0"/>
    <n v="0"/>
    <n v="98.92356741932133"/>
    <n v="429.32828259985462"/>
    <n v="0"/>
    <n v="0"/>
    <n v="0"/>
    <n v="0"/>
    <n v="0"/>
    <n v="0"/>
    <n v="0"/>
    <n v="0"/>
    <n v="0"/>
    <n v="0"/>
    <n v="0"/>
    <n v="0"/>
    <n v="100"/>
    <n v="452.39185230704447"/>
    <n v="0"/>
    <n v="0"/>
    <n v="0"/>
    <n v="0"/>
    <n v="0"/>
    <n v="0"/>
    <n v="0"/>
    <n v="0"/>
    <n v="0"/>
    <n v="0"/>
    <n v="100"/>
    <n v="452.39185230704447"/>
    <n v="1.0764325806786701"/>
    <n v="1.0881457359052195E-2"/>
    <n v="23.063569707189856"/>
    <n v="5.3720126630198546E-2"/>
  </r>
  <r>
    <x v="0"/>
    <s v="ESPAÑA"/>
    <s v="AGRICOLA DEL JUCAR DE CUENCA, S.L."/>
    <s v="Consolidado/estratégico"/>
    <s v="PIV0020"/>
    <s v="PGR IV, 20 L"/>
    <n v="20"/>
    <n v="0"/>
    <n v="0"/>
    <n v="0"/>
    <n v="0"/>
    <n v="296.7707022579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23.22929774203601"/>
    <n v="7.8273554516322341E-2"/>
    <n v="0"/>
    <n v="0"/>
  </r>
  <r>
    <x v="0"/>
    <s v="ESPAÑA"/>
    <s v="AGRICOLA DEL JUCAR DE CUENCA, S.L."/>
    <s v="Consolidado/estratégico"/>
    <s v="S0020"/>
    <s v="SALWAX STAR, 20 L"/>
    <n v="20"/>
    <n v="2.08"/>
    <n v="2.1681452829462038"/>
    <n v="0"/>
    <n v="0"/>
    <n v="0"/>
    <n v="0"/>
    <n v="0"/>
    <n v="0"/>
    <n v="0"/>
    <n v="0"/>
    <n v="0"/>
    <n v="0"/>
    <n v="633.11083148365651"/>
    <n v="1316.870529486006"/>
    <n v="0"/>
    <n v="0"/>
    <n v="0"/>
    <n v="0"/>
    <n v="0"/>
    <n v="0"/>
    <n v="0"/>
    <n v="0"/>
    <n v="0"/>
    <n v="0"/>
    <n v="0"/>
    <n v="0"/>
    <n v="633.11083148365651"/>
    <n v="1316.870529486006"/>
    <n v="0"/>
    <n v="0"/>
    <n v="0"/>
    <n v="0"/>
    <n v="0"/>
    <n v="0"/>
    <n v="0"/>
    <n v="0"/>
    <n v="0"/>
    <n v="0"/>
    <n v="680"/>
    <n v="1474.3387924034189"/>
    <n v="0"/>
    <n v="0"/>
    <n v="0"/>
    <n v="0"/>
    <n v="0"/>
    <n v="0"/>
    <n v="0"/>
    <n v="0"/>
    <n v="0"/>
    <n v="0"/>
    <n v="0"/>
    <n v="0"/>
    <n v="680"/>
    <n v="1474.3387924034189"/>
    <n v="46.889168516343489"/>
    <n v="7.4061548443992958E-2"/>
    <n v="157.46826291741286"/>
    <n v="0.11957763454458582"/>
  </r>
  <r>
    <x v="0"/>
    <s v="ESPAÑA"/>
    <s v="AGRICOLA DEL JUCAR DE CUENCA, S.L."/>
    <s v="Consolidado/estratégico"/>
    <s v="S1000"/>
    <s v="SAL-WAX STAR, 1000 L"/>
    <n v="1000"/>
    <n v="1.8"/>
    <n v="1.8762795717803691"/>
    <n v="0"/>
    <n v="0"/>
    <n v="0"/>
    <n v="0"/>
    <n v="989.23567419321319"/>
    <n v="1780.6242135477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780.6242135477839"/>
    <n v="0"/>
    <n v="0"/>
    <n v="0"/>
    <n v="0"/>
    <n v="1000"/>
    <n v="1876.279571780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876.279571780369"/>
    <n v="10.764325806786815"/>
    <n v="1.0881457359052311E-2"/>
    <n v="95.655358232585058"/>
    <n v="5.3720126630198775E-2"/>
  </r>
  <r>
    <x v="0"/>
    <s v="ESPAÑA"/>
    <s v="AGRICOLA DEL JUCAR DE CUENCA, S.L."/>
    <s v="Consolidado/estratégico"/>
    <s v="START20005"/>
    <s v="RADISOL STARTER, 5 L"/>
    <n v="5"/>
    <n v="5.0599999999999996"/>
    <n v="5.2744303517825921"/>
    <n v="0"/>
    <n v="0"/>
    <n v="0"/>
    <n v="0"/>
    <n v="0"/>
    <n v="0"/>
    <n v="0"/>
    <n v="0"/>
    <n v="0"/>
    <n v="0"/>
    <n v="19.78471348386427"/>
    <n v="100.11065022835319"/>
    <n v="0"/>
    <n v="0"/>
    <n v="0"/>
    <n v="0"/>
    <n v="0"/>
    <n v="0"/>
    <n v="0"/>
    <n v="0"/>
    <n v="0"/>
    <n v="0"/>
    <n v="0"/>
    <n v="0"/>
    <n v="19.78471348386427"/>
    <n v="100.11065022835319"/>
    <n v="0"/>
    <n v="0"/>
    <n v="0"/>
    <n v="0"/>
    <n v="0"/>
    <n v="0"/>
    <n v="0"/>
    <n v="0"/>
    <n v="0"/>
    <n v="0"/>
    <n v="20"/>
    <n v="105.4886070356518"/>
    <n v="0"/>
    <n v="0"/>
    <n v="0"/>
    <n v="0"/>
    <n v="0"/>
    <n v="0"/>
    <n v="0"/>
    <n v="0"/>
    <n v="0"/>
    <n v="0"/>
    <n v="0"/>
    <n v="0"/>
    <n v="20"/>
    <n v="105.4886070356518"/>
    <n v="0.21528651613573047"/>
    <n v="1.0881457359052014E-2"/>
    <n v="5.3779568072986024"/>
    <n v="5.3720126630198081E-2"/>
  </r>
  <r>
    <x v="0"/>
    <s v="ESPAÑA"/>
    <s v="AGRITEC MEDINA, S.L.U."/>
    <s v="Con potencial"/>
    <s v="A-50(2)0005"/>
    <s v="CODIORGAN-A50, 5 KG"/>
    <n v="5"/>
    <n v="5.0999999999999996"/>
    <n v="5.3161254533777118"/>
    <n v="0"/>
    <n v="0"/>
    <n v="0"/>
    <n v="0"/>
    <n v="0"/>
    <n v="0"/>
    <n v="49.461783709660658"/>
    <n v="252.25509691926939"/>
    <n v="0"/>
    <n v="0"/>
    <n v="0"/>
    <n v="0"/>
    <n v="0"/>
    <n v="0"/>
    <n v="0"/>
    <n v="0"/>
    <n v="0"/>
    <n v="0"/>
    <n v="0"/>
    <n v="0"/>
    <n v="0"/>
    <n v="0"/>
    <n v="0"/>
    <n v="0"/>
    <n v="49.461783709660658"/>
    <n v="252.25509691926939"/>
    <n v="0"/>
    <n v="0"/>
    <n v="0"/>
    <n v="0"/>
    <n v="0"/>
    <n v="0"/>
    <n v="65"/>
    <n v="345.54815446955132"/>
    <n v="0"/>
    <n v="0"/>
    <n v="0"/>
    <n v="0"/>
    <n v="0"/>
    <n v="0"/>
    <n v="0"/>
    <n v="0"/>
    <n v="0"/>
    <n v="0"/>
    <n v="0"/>
    <n v="0"/>
    <n v="0"/>
    <n v="0"/>
    <n v="0"/>
    <n v="0"/>
    <n v="65"/>
    <n v="345.54815446955132"/>
    <n v="15.538216290339342"/>
    <n v="0.31414589456676806"/>
    <n v="93.293057550281929"/>
    <n v="0.36983616461925856"/>
  </r>
  <r>
    <x v="0"/>
    <s v="ESPAÑA"/>
    <s v="AGRITEC MEDINA, S.L.U."/>
    <s v="Con potencial"/>
    <s v="AGFEL0001"/>
    <s v="AGROXILATO-FE-L, 1 L"/>
    <n v="1"/>
    <n v="5.6980000000000004"/>
    <n v="5.9394672222247449"/>
    <n v="0"/>
    <n v="0"/>
    <n v="0"/>
    <n v="0"/>
    <n v="0"/>
    <n v="0"/>
    <n v="0"/>
    <n v="0"/>
    <n v="11.870828090318559"/>
    <n v="73.124301036362326"/>
    <n v="35.612484270955683"/>
    <n v="224.71477574973031"/>
    <n v="71.224968541911352"/>
    <n v="378.5607078002588"/>
    <n v="0"/>
    <n v="0"/>
    <n v="0"/>
    <n v="0"/>
    <n v="0"/>
    <n v="0"/>
    <n v="0"/>
    <n v="0"/>
    <n v="0"/>
    <n v="0"/>
    <n v="118.7082809031856"/>
    <n v="676.39978458635142"/>
    <n v="0"/>
    <n v="0"/>
    <n v="0"/>
    <n v="0"/>
    <n v="0"/>
    <n v="0"/>
    <n v="0"/>
    <n v="0"/>
    <n v="14"/>
    <n v="89.894639039077234"/>
    <n v="42"/>
    <n v="276.25089561846301"/>
    <n v="84"/>
    <n v="465.37987645392411"/>
    <n v="0"/>
    <n v="0"/>
    <n v="0"/>
    <n v="0"/>
    <n v="0"/>
    <n v="0"/>
    <n v="0"/>
    <n v="0"/>
    <n v="0"/>
    <n v="0"/>
    <n v="140"/>
    <n v="831.52541111146434"/>
    <n v="21.291719096814404"/>
    <n v="0.17936170025222756"/>
    <n v="155.12562652511292"/>
    <n v="0.22934014773523198"/>
  </r>
  <r>
    <x v="0"/>
    <s v="ESPAÑA"/>
    <s v="AGRITEC MEDINA, S.L.U."/>
    <s v="Con potencial"/>
    <s v="AGFEL0005"/>
    <s v="AGROXILATO-FE-L, 5 L"/>
    <n v="5"/>
    <n v="4.83"/>
    <n v="5.0346835176106577"/>
    <n v="0"/>
    <n v="0"/>
    <n v="0"/>
    <n v="0"/>
    <n v="0"/>
    <n v="0"/>
    <n v="59.354140451592791"/>
    <n v="286.68049838119322"/>
    <n v="29.677070225796399"/>
    <n v="143.34024919059661"/>
    <n v="0"/>
    <n v="0"/>
    <n v="0"/>
    <n v="0"/>
    <n v="0"/>
    <n v="0"/>
    <n v="0"/>
    <n v="0"/>
    <n v="0"/>
    <n v="0"/>
    <n v="0"/>
    <n v="0"/>
    <n v="0"/>
    <n v="0"/>
    <n v="89.031210677389197"/>
    <n v="430.0207475717898"/>
    <n v="0"/>
    <n v="0"/>
    <n v="0"/>
    <n v="0"/>
    <n v="0"/>
    <n v="0"/>
    <n v="70"/>
    <n v="352.42784623274599"/>
    <n v="35"/>
    <n v="176.213923116373"/>
    <n v="0"/>
    <n v="0"/>
    <n v="0"/>
    <n v="0"/>
    <n v="0"/>
    <n v="0"/>
    <n v="0"/>
    <n v="0"/>
    <n v="0"/>
    <n v="0"/>
    <n v="0"/>
    <n v="0"/>
    <n v="0"/>
    <n v="0"/>
    <n v="105"/>
    <n v="528.64176934911893"/>
    <n v="15.968789322610803"/>
    <n v="0.17936170025222756"/>
    <n v="98.621021777329133"/>
    <n v="0.2293401477352319"/>
  </r>
  <r>
    <x v="0"/>
    <s v="ESPAÑA"/>
    <s v="AGRITEC MEDINA, S.L.U."/>
    <s v="Con potencial"/>
    <s v="AGRMG0005"/>
    <s v="AGROXIGREEN-MG, 5 L"/>
    <n v="5"/>
    <n v="3.55"/>
    <n v="3.7004402665668379"/>
    <n v="0"/>
    <n v="0"/>
    <n v="0"/>
    <n v="0"/>
    <n v="0"/>
    <n v="0"/>
    <n v="39.569426967728532"/>
    <n v="140.4714657354363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40.47146573543631"/>
    <n v="0"/>
    <n v="0"/>
    <n v="0"/>
    <n v="0"/>
    <n v="0"/>
    <n v="0"/>
    <n v="50"/>
    <n v="185.0220133283419"/>
    <n v="0"/>
    <n v="0"/>
    <n v="0"/>
    <n v="0"/>
    <n v="0"/>
    <n v="0"/>
    <n v="0"/>
    <n v="0"/>
    <n v="0"/>
    <n v="0"/>
    <n v="0"/>
    <n v="0"/>
    <n v="0"/>
    <n v="0"/>
    <n v="0"/>
    <n v="0"/>
    <n v="50"/>
    <n v="185.0220133283419"/>
    <n v="10.430573032271468"/>
    <n v="0.26360182169881524"/>
    <n v="44.550547592905588"/>
    <n v="0.31715015828774795"/>
  </r>
  <r>
    <x v="0"/>
    <s v="ESPAÑA"/>
    <s v="AGRITEC MEDINA, S.L.U."/>
    <s v="Con potencial"/>
    <s v="AGXK0005"/>
    <s v="AGROXILATO-K, 5 L"/>
    <n v="5"/>
    <n v="3.5950000000000002"/>
    <n v="3.7473472558613481"/>
    <n v="0"/>
    <n v="0"/>
    <n v="0"/>
    <n v="0"/>
    <n v="0"/>
    <n v="0"/>
    <n v="19.78471348386427"/>
    <n v="72.609898485781855"/>
    <n v="19.78471348386427"/>
    <n v="69.642191463202224"/>
    <n v="0"/>
    <n v="0"/>
    <n v="0"/>
    <n v="0"/>
    <n v="0"/>
    <n v="0"/>
    <n v="0"/>
    <n v="0"/>
    <n v="0"/>
    <n v="0"/>
    <n v="0"/>
    <n v="0"/>
    <n v="0"/>
    <n v="0"/>
    <n v="39.569426967728539"/>
    <n v="142.25208994898406"/>
    <n v="0"/>
    <n v="0"/>
    <n v="0"/>
    <n v="0"/>
    <n v="0"/>
    <n v="0"/>
    <n v="25"/>
    <n v="95.638139283804918"/>
    <n v="25"/>
    <n v="91.729223509262482"/>
    <n v="0"/>
    <n v="0"/>
    <n v="0"/>
    <n v="0"/>
    <n v="0"/>
    <n v="0"/>
    <n v="0"/>
    <n v="0"/>
    <n v="0"/>
    <n v="0"/>
    <n v="0"/>
    <n v="0"/>
    <n v="0"/>
    <n v="0"/>
    <n v="50"/>
    <n v="187.3673627930674"/>
    <n v="10.430573032271461"/>
    <n v="0.26360182169881502"/>
    <n v="45.115272844083336"/>
    <n v="0.31715015828774851"/>
  </r>
  <r>
    <x v="0"/>
    <s v="ESPAÑA"/>
    <s v="AGRITEC MEDINA, S.L.U."/>
    <s v="Con potencial"/>
    <s v="AGXK0020"/>
    <s v="AGROXILATO-K, 20 L"/>
    <n v="20"/>
    <n v="3.2595652173913039"/>
    <n v="3.3953443789333209"/>
    <n v="0"/>
    <n v="0"/>
    <n v="0"/>
    <n v="0"/>
    <n v="0"/>
    <n v="0"/>
    <n v="59.354140451592791"/>
    <n v="201.21053613089961"/>
    <n v="395.69426967728532"/>
    <n v="1282.0494337544039"/>
    <n v="0"/>
    <n v="0"/>
    <n v="0"/>
    <n v="0"/>
    <n v="0"/>
    <n v="0"/>
    <n v="0"/>
    <n v="0"/>
    <n v="0"/>
    <n v="0"/>
    <n v="0"/>
    <n v="0"/>
    <n v="0"/>
    <n v="0"/>
    <n v="455.04841012887812"/>
    <n v="1483.2599698853035"/>
    <n v="0"/>
    <n v="0"/>
    <n v="0"/>
    <n v="0"/>
    <n v="0"/>
    <n v="0"/>
    <n v="60"/>
    <n v="212.01959161118171"/>
    <n v="460"/>
    <n v="1553.559485434145"/>
    <n v="0"/>
    <n v="0"/>
    <n v="0"/>
    <n v="0"/>
    <n v="0"/>
    <n v="0"/>
    <n v="0"/>
    <n v="0"/>
    <n v="0"/>
    <n v="0"/>
    <n v="0"/>
    <n v="0"/>
    <n v="0"/>
    <n v="0"/>
    <n v="520"/>
    <n v="1765.5790770453268"/>
    <n v="64.951589871121882"/>
    <n v="0.14273556049284161"/>
    <n v="282.31910716002335"/>
    <n v="0.19033690175152124"/>
  </r>
  <r>
    <x v="0"/>
    <s v="ESPAÑA"/>
    <s v="AGRITEC MEDINA, S.L.U."/>
    <s v="Con potencial"/>
    <s v="AMIMG0005"/>
    <s v="AMINOSOIL-MG, 5L"/>
    <n v="5"/>
    <n v="2.87"/>
    <n v="2.9916235394498099"/>
    <n v="0"/>
    <n v="0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45"/>
    <n v="134.62305927524139"/>
    <n v="0"/>
    <n v="0"/>
    <n v="0"/>
    <n v="0"/>
    <n v="0"/>
    <n v="0"/>
    <n v="0"/>
    <n v="0"/>
    <n v="0"/>
    <n v="0"/>
    <n v="0"/>
    <n v="0"/>
    <n v="0"/>
    <n v="0"/>
    <n v="45"/>
    <n v="134.62305927524139"/>
    <n v="5.430573032271468"/>
    <n v="0.13724163952893373"/>
    <n v="21.058803877860484"/>
    <n v="0.18543514245897266"/>
  </r>
  <r>
    <x v="0"/>
    <s v="ESPAÑA"/>
    <s v="AGRITEC MEDINA, S.L.U."/>
    <s v="Con potencial"/>
    <s v="AN0005"/>
    <s v="ALCAPLANT NEW, 5 KG"/>
    <n v="5"/>
    <n v="1.98"/>
    <n v="2.0628292073654282"/>
    <n v="0"/>
    <n v="0"/>
    <n v="0"/>
    <n v="0"/>
    <n v="0"/>
    <n v="0"/>
    <n v="59.354140451592791"/>
    <n v="119.3018223077015"/>
    <n v="19.78471348386427"/>
    <n v="38.778038428373961"/>
    <n v="19.78471348386427"/>
    <n v="36.997414214826172"/>
    <n v="19.78471348386427"/>
    <n v="39.96512123740581"/>
    <n v="0"/>
    <n v="0"/>
    <n v="0"/>
    <n v="0"/>
    <n v="0"/>
    <n v="0"/>
    <n v="0"/>
    <n v="0"/>
    <n v="0"/>
    <n v="0"/>
    <n v="118.7082809031856"/>
    <n v="235.04239618830744"/>
    <n v="0"/>
    <n v="0"/>
    <n v="0"/>
    <n v="0"/>
    <n v="0"/>
    <n v="0"/>
    <n v="70"/>
    <n v="146.66251986083219"/>
    <n v="25"/>
    <n v="51.076499454021153"/>
    <n v="25"/>
    <n v="48.73114998929568"/>
    <n v="25"/>
    <n v="52.640065763838123"/>
    <n v="0"/>
    <n v="0"/>
    <n v="0"/>
    <n v="0"/>
    <n v="0"/>
    <n v="0"/>
    <n v="0"/>
    <n v="0"/>
    <n v="0"/>
    <n v="0"/>
    <n v="145"/>
    <n v="299.11023506798716"/>
    <n v="26.291719096814404"/>
    <n v="0.22148176097552141"/>
    <n v="64.067838879679726"/>
    <n v="0.27257992565881989"/>
  </r>
  <r>
    <x v="0"/>
    <s v="ESPAÑA"/>
    <s v="AGRITEC MEDINA, S.L.U."/>
    <s v="Con potencial"/>
    <s v="AN0020"/>
    <s v="ALCAPLANT NEW, 20 KG"/>
    <n v="20"/>
    <n v="1.799729729729729"/>
    <n v="1.8755135388355411"/>
    <n v="0"/>
    <n v="0"/>
    <n v="0"/>
    <n v="0"/>
    <n v="0"/>
    <n v="0"/>
    <n v="514.40255058047092"/>
    <n v="920.18702413452695"/>
    <n v="0"/>
    <n v="0"/>
    <n v="158.2777078709141"/>
    <n v="288.65896972957961"/>
    <n v="59.354140451592791"/>
    <n v="108.6180770264148"/>
    <n v="0"/>
    <n v="0"/>
    <n v="0"/>
    <n v="0"/>
    <n v="0"/>
    <n v="0"/>
    <n v="0"/>
    <n v="0"/>
    <n v="0"/>
    <n v="0"/>
    <n v="732.03439890297784"/>
    <n v="1317.4640708905213"/>
    <n v="0"/>
    <n v="0"/>
    <n v="0"/>
    <n v="0"/>
    <n v="0"/>
    <n v="0"/>
    <n v="600"/>
    <n v="1118.7918318398069"/>
    <n v="0"/>
    <n v="0"/>
    <n v="180"/>
    <n v="342.18648690344469"/>
    <n v="60"/>
    <n v="114.4530538786025"/>
    <n v="0"/>
    <n v="0"/>
    <n v="0"/>
    <n v="0"/>
    <n v="0"/>
    <n v="0"/>
    <n v="0"/>
    <n v="0"/>
    <n v="0"/>
    <n v="0"/>
    <n v="840"/>
    <n v="1575.4313726218543"/>
    <n v="107.96560109702216"/>
    <n v="0.14748705970487005"/>
    <n v="257.96730173133301"/>
    <n v="0.19580594828439127"/>
  </r>
  <r>
    <x v="0"/>
    <s v="ESPAÑA"/>
    <s v="AGRITEC MEDINA, S.L.U."/>
    <s v="Con potencial"/>
    <s v="AQUOM0005"/>
    <s v="AQUOM, 5 L"/>
    <n v="5"/>
    <n v="13.45"/>
    <n v="14.019977911358859"/>
    <n v="0"/>
    <n v="0"/>
    <n v="0"/>
    <n v="0"/>
    <n v="0"/>
    <n v="0"/>
    <n v="19.78471348386427"/>
    <n v="266.10439635797428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66.10439635797428"/>
    <n v="0"/>
    <n v="0"/>
    <n v="0"/>
    <n v="0"/>
    <n v="0"/>
    <n v="0"/>
    <n v="25"/>
    <n v="350.49944778397162"/>
    <n v="0"/>
    <n v="0"/>
    <n v="0"/>
    <n v="0"/>
    <n v="0"/>
    <n v="0"/>
    <n v="0"/>
    <n v="0"/>
    <n v="0"/>
    <n v="0"/>
    <n v="0"/>
    <n v="0"/>
    <n v="0"/>
    <n v="0"/>
    <n v="0"/>
    <n v="0"/>
    <n v="25"/>
    <n v="350.49944778397162"/>
    <n v="5.2152865161357305"/>
    <n v="0.26360182169881502"/>
    <n v="84.395051425997337"/>
    <n v="0.31715015828774862"/>
  </r>
  <r>
    <x v="0"/>
    <s v="ESPAÑA"/>
    <s v="AGRITEC MEDINA, S.L.U."/>
    <s v="Con potencial"/>
    <s v="BIO0020"/>
    <s v="BIORAD-20, 20 L"/>
    <n v="20"/>
    <n v="2.4900000000000002"/>
    <n v="2.5955200742961759"/>
    <n v="0"/>
    <n v="0"/>
    <n v="197.84713483864269"/>
    <n v="492.6393657482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92.6393657482202"/>
    <n v="0"/>
    <n v="0"/>
    <n v="260"/>
    <n v="674.83521931700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"/>
    <n v="674.83521931700591"/>
    <n v="62.152865161357312"/>
    <n v="0.31414589456676767"/>
    <n v="182.19585356878571"/>
    <n v="0.36983616461925817"/>
  </r>
  <r>
    <x v="0"/>
    <s v="ESPAÑA"/>
    <s v="AGRITEC MEDINA, S.L.U."/>
    <s v="Con potencial"/>
    <s v="BR-59AE0005"/>
    <s v="BR-59 AE, 5 KG"/>
    <n v="5"/>
    <n v="2.6619999999999999"/>
    <n v="2.77480901115519"/>
    <n v="0"/>
    <n v="0"/>
    <n v="0"/>
    <n v="0"/>
    <n v="0"/>
    <n v="0"/>
    <n v="0"/>
    <n v="0"/>
    <n v="0"/>
    <n v="0"/>
    <n v="197.84713483864269"/>
    <n v="506.48866518692518"/>
    <n v="296.77070225796399"/>
    <n v="810.18401716424171"/>
    <n v="0"/>
    <n v="0"/>
    <n v="0"/>
    <n v="0"/>
    <n v="0"/>
    <n v="0"/>
    <n v="0"/>
    <n v="0"/>
    <n v="0"/>
    <n v="0"/>
    <n v="494.61783709660665"/>
    <n v="1316.6726823511669"/>
    <n v="0"/>
    <n v="0"/>
    <n v="0"/>
    <n v="0"/>
    <n v="0"/>
    <n v="0"/>
    <n v="0"/>
    <n v="0"/>
    <n v="0"/>
    <n v="0"/>
    <n v="230"/>
    <n v="613.75189548015601"/>
    <n v="345"/>
    <n v="981.763285934078"/>
    <n v="0"/>
    <n v="0"/>
    <n v="0"/>
    <n v="0"/>
    <n v="0"/>
    <n v="0"/>
    <n v="0"/>
    <n v="0"/>
    <n v="0"/>
    <n v="0"/>
    <n v="575"/>
    <n v="1595.5151814142341"/>
    <n v="80.38216290339335"/>
    <n v="0.16251367596291003"/>
    <n v="278.84249906306718"/>
    <n v="0.21177814562472838"/>
  </r>
  <r>
    <x v="0"/>
    <s v="ESPAÑA"/>
    <s v="AGRITEC MEDINA, S.L.U."/>
    <s v="Con potencial"/>
    <s v="BROTA0020"/>
    <s v="BROTAMEC, 20 L"/>
    <n v="20"/>
    <n v="3.07"/>
    <n v="3.200099047425407"/>
    <n v="0"/>
    <n v="0"/>
    <n v="197.84713483864269"/>
    <n v="607.39070395463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07.39070395463295"/>
    <n v="0"/>
    <n v="0"/>
    <n v="220"/>
    <n v="704.02179043358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704.02179043358956"/>
    <n v="22.152865161357312"/>
    <n v="0.11196960309495725"/>
    <n v="96.631086478956604"/>
    <n v="0.15909213929321867"/>
  </r>
  <r>
    <x v="0"/>
    <s v="ESPAÑA"/>
    <s v="AGRITEC MEDINA, S.L.U."/>
    <s v="Con potencial"/>
    <s v="C-CU0005"/>
    <s v="CODICOBRE, 5 L"/>
    <n v="5"/>
    <n v="4.1500000000000004"/>
    <n v="4.3258667904936283"/>
    <n v="0"/>
    <n v="0"/>
    <n v="0"/>
    <n v="0"/>
    <n v="0"/>
    <n v="0"/>
    <n v="118.7082809031856"/>
    <n v="498.57477979337949"/>
    <n v="0"/>
    <n v="0"/>
    <n v="39.569426967728532"/>
    <n v="158.2777078709141"/>
    <n v="0"/>
    <n v="0"/>
    <n v="0"/>
    <n v="0"/>
    <n v="0"/>
    <n v="0"/>
    <n v="0"/>
    <n v="0"/>
    <n v="0"/>
    <n v="0"/>
    <n v="0"/>
    <n v="0"/>
    <n v="158.27770787091413"/>
    <n v="656.85248766429356"/>
    <n v="0"/>
    <n v="0"/>
    <n v="0"/>
    <n v="0"/>
    <n v="0"/>
    <n v="0"/>
    <n v="135"/>
    <n v="591.02806511081621"/>
    <n v="0"/>
    <n v="0"/>
    <n v="45"/>
    <n v="187.62795717803689"/>
    <n v="0"/>
    <n v="0"/>
    <n v="0"/>
    <n v="0"/>
    <n v="0"/>
    <n v="0"/>
    <n v="0"/>
    <n v="0"/>
    <n v="0"/>
    <n v="0"/>
    <n v="0"/>
    <n v="0"/>
    <n v="180"/>
    <n v="778.65602228885314"/>
    <n v="21.722292129085872"/>
    <n v="0.13724163952893373"/>
    <n v="121.80353462455957"/>
    <n v="0.18543514245897375"/>
  </r>
  <r>
    <x v="0"/>
    <s v="ESPAÑA"/>
    <s v="AGRITEC MEDINA, S.L.U."/>
    <s v="Con potencial"/>
    <s v="C-CU0020"/>
    <s v="CODICOBRE, 20 L"/>
    <n v="20"/>
    <n v="3.91"/>
    <n v="4.0756961809229129"/>
    <n v="0"/>
    <n v="0"/>
    <n v="0"/>
    <n v="0"/>
    <n v="0"/>
    <n v="0"/>
    <n v="0"/>
    <n v="0"/>
    <n v="19.78471348386427"/>
    <n v="77.358229721909282"/>
    <n v="0"/>
    <n v="0"/>
    <n v="0"/>
    <n v="0"/>
    <n v="0"/>
    <n v="0"/>
    <n v="0"/>
    <n v="0"/>
    <n v="0"/>
    <n v="0"/>
    <n v="0"/>
    <n v="0"/>
    <n v="0"/>
    <n v="0"/>
    <n v="19.78471348386427"/>
    <n v="77.358229721909282"/>
    <n v="0"/>
    <n v="0"/>
    <n v="0"/>
    <n v="0"/>
    <n v="0"/>
    <n v="0"/>
    <n v="0"/>
    <n v="0"/>
    <n v="20"/>
    <n v="81.51392361845825"/>
    <n v="0"/>
    <n v="0"/>
    <n v="0"/>
    <n v="0"/>
    <n v="0"/>
    <n v="0"/>
    <n v="0"/>
    <n v="0"/>
    <n v="0"/>
    <n v="0"/>
    <n v="0"/>
    <n v="0"/>
    <n v="0"/>
    <n v="0"/>
    <n v="20"/>
    <n v="81.51392361845825"/>
    <n v="0.21528651613573047"/>
    <n v="1.0881457359052014E-2"/>
    <n v="4.1556938965489678"/>
    <n v="5.3720126630198706E-2"/>
  </r>
  <r>
    <x v="0"/>
    <s v="ESPAÑA"/>
    <s v="AGRITEC MEDINA, S.L.U."/>
    <s v="Con potencial"/>
    <s v="C-CUAE0005"/>
    <s v="CUPRAMEC, 5 L"/>
    <n v="5"/>
    <n v="4.4983333333333331"/>
    <n v="4.6889616335511253"/>
    <n v="0"/>
    <n v="0"/>
    <n v="0"/>
    <n v="0"/>
    <n v="0"/>
    <n v="0"/>
    <n v="0"/>
    <n v="0"/>
    <n v="39.569426967728532"/>
    <n v="182.81075259090579"/>
    <n v="59.354140451592791"/>
    <n v="261.1582179870083"/>
    <n v="19.78471348386427"/>
    <n v="90.020446351582407"/>
    <n v="0"/>
    <n v="0"/>
    <n v="0"/>
    <n v="0"/>
    <n v="0"/>
    <n v="0"/>
    <n v="0"/>
    <n v="0"/>
    <n v="0"/>
    <n v="0"/>
    <n v="118.7082809031856"/>
    <n v="533.98941692949654"/>
    <n v="0"/>
    <n v="0"/>
    <n v="0"/>
    <n v="0"/>
    <n v="0"/>
    <n v="0"/>
    <n v="0"/>
    <n v="0"/>
    <n v="50"/>
    <n v="240.789211711814"/>
    <n v="75"/>
    <n v="343.98458815973419"/>
    <n v="25"/>
    <n v="118.5704451611205"/>
    <n v="0"/>
    <n v="0"/>
    <n v="0"/>
    <n v="0"/>
    <n v="0"/>
    <n v="0"/>
    <n v="0"/>
    <n v="0"/>
    <n v="0"/>
    <n v="0"/>
    <n v="150"/>
    <n v="703.3442450326686"/>
    <n v="31.291719096814404"/>
    <n v="0.26360182169881524"/>
    <n v="169.35482810317205"/>
    <n v="0.31715015828774795"/>
  </r>
  <r>
    <x v="0"/>
    <s v="ESPAÑA"/>
    <s v="AGRITEC MEDINA, S.L.U."/>
    <s v="Con potencial"/>
    <s v="FROST-P0020"/>
    <s v="CODIFROST PLUS, 20 L"/>
    <n v="20"/>
    <n v="4.12"/>
    <n v="4.2945954642972888"/>
    <n v="0"/>
    <n v="0"/>
    <n v="0"/>
    <n v="0"/>
    <n v="0"/>
    <n v="0"/>
    <n v="118.7082809031856"/>
    <n v="489.07811732112458"/>
    <n v="0"/>
    <n v="0"/>
    <n v="0"/>
    <n v="0"/>
    <n v="0"/>
    <n v="0"/>
    <n v="0"/>
    <n v="0"/>
    <n v="0"/>
    <n v="0"/>
    <n v="0"/>
    <n v="0"/>
    <n v="0"/>
    <n v="0"/>
    <n v="0"/>
    <n v="0"/>
    <n v="118.7082809031856"/>
    <n v="489.07811732112458"/>
    <n v="0"/>
    <n v="0"/>
    <n v="0"/>
    <n v="0"/>
    <n v="0"/>
    <n v="0"/>
    <n v="140"/>
    <n v="601.24336500162042"/>
    <n v="0"/>
    <n v="0"/>
    <n v="0"/>
    <n v="0"/>
    <n v="0"/>
    <n v="0"/>
    <n v="0"/>
    <n v="0"/>
    <n v="0"/>
    <n v="0"/>
    <n v="0"/>
    <n v="0"/>
    <n v="0"/>
    <n v="0"/>
    <n v="0"/>
    <n v="0"/>
    <n v="140"/>
    <n v="601.24336500162042"/>
    <n v="21.291719096814404"/>
    <n v="0.17936170025222756"/>
    <n v="112.16524768049584"/>
    <n v="0.22934014773523201"/>
  </r>
  <r>
    <x v="0"/>
    <s v="ESPAÑA"/>
    <s v="AGRITEC MEDINA, S.L.U."/>
    <s v="Con potencial"/>
    <s v="HST0020"/>
    <s v="HIDROSTRESS-40, 20 L"/>
    <n v="20"/>
    <n v="6.3459999999999992"/>
    <n v="6.6157807224164857"/>
    <n v="0"/>
    <n v="0"/>
    <n v="0"/>
    <n v="0"/>
    <n v="0"/>
    <n v="0"/>
    <n v="751.81911238684211"/>
    <n v="4766.5331725325786"/>
    <n v="197.84713483864269"/>
    <n v="1254.350834876994"/>
    <n v="39.569426967728532"/>
    <n v="256.80558102055818"/>
    <n v="0"/>
    <n v="0"/>
    <n v="0"/>
    <n v="0"/>
    <n v="0"/>
    <n v="0"/>
    <n v="0"/>
    <n v="0"/>
    <n v="0"/>
    <n v="0"/>
    <n v="0"/>
    <n v="0"/>
    <n v="989.2356741932133"/>
    <n v="6277.6895884301302"/>
    <n v="0"/>
    <n v="0"/>
    <n v="0"/>
    <n v="0"/>
    <n v="0"/>
    <n v="0"/>
    <n v="1000"/>
    <n v="6608.6736028264086"/>
    <n v="260"/>
    <n v="1718.255136734866"/>
    <n v="60"/>
    <n v="405.90181402848651"/>
    <n v="0"/>
    <n v="0"/>
    <n v="0"/>
    <n v="0"/>
    <n v="0"/>
    <n v="0"/>
    <n v="0"/>
    <n v="0"/>
    <n v="0"/>
    <n v="0"/>
    <n v="0"/>
    <n v="0"/>
    <n v="1320"/>
    <n v="8732.8305535897598"/>
    <n v="330.7643258067867"/>
    <n v="0.3343635237139489"/>
    <n v="2455.1409651596296"/>
    <n v="0.39108989550622075"/>
  </r>
  <r>
    <x v="0"/>
    <s v="ESPAÑA"/>
    <s v="AGRITEC MEDINA, S.L.U."/>
    <s v="Con potencial"/>
    <s v="PT0005"/>
    <s v="AGROPOTASION, 5 L"/>
    <n v="5"/>
    <n v="3.6999999999999988"/>
    <n v="3.8567968975485361"/>
    <n v="0"/>
    <n v="0"/>
    <n v="0"/>
    <n v="0"/>
    <n v="0"/>
    <n v="0"/>
    <n v="0"/>
    <n v="0"/>
    <n v="19.78471348386427"/>
    <n v="73.203439890297773"/>
    <n v="0"/>
    <n v="0"/>
    <n v="0"/>
    <n v="0"/>
    <n v="0"/>
    <n v="0"/>
    <n v="0"/>
    <n v="0"/>
    <n v="0"/>
    <n v="0"/>
    <n v="0"/>
    <n v="0"/>
    <n v="0"/>
    <n v="0"/>
    <n v="19.78471348386427"/>
    <n v="73.203439890297773"/>
    <n v="0"/>
    <n v="0"/>
    <n v="0"/>
    <n v="0"/>
    <n v="0"/>
    <n v="0"/>
    <n v="0"/>
    <n v="0"/>
    <n v="25"/>
    <n v="96.419922438713385"/>
    <n v="0"/>
    <n v="0"/>
    <n v="0"/>
    <n v="0"/>
    <n v="0"/>
    <n v="0"/>
    <n v="0"/>
    <n v="0"/>
    <n v="0"/>
    <n v="0"/>
    <n v="0"/>
    <n v="0"/>
    <n v="0"/>
    <n v="0"/>
    <n v="25"/>
    <n v="96.419922438713385"/>
    <n v="5.2152865161357305"/>
    <n v="0.26360182169881502"/>
    <n v="23.216482548415613"/>
    <n v="0.3171501582877484"/>
  </r>
  <r>
    <x v="0"/>
    <s v="ESPAÑA"/>
    <s v="AGRITEC MEDINA, S.L.U."/>
    <s v="Con potencial"/>
    <s v="PT0020"/>
    <s v="AGROPOTASION, 20 L"/>
    <n v="20"/>
    <n v="1.826785714285714"/>
    <n v="1.888332062085208"/>
    <n v="0"/>
    <n v="0"/>
    <n v="257.20127529023551"/>
    <n v="0"/>
    <n v="0"/>
    <n v="0"/>
    <n v="0"/>
    <n v="0"/>
    <n v="296.77070225796399"/>
    <n v="1011.988094699657"/>
    <n v="0"/>
    <n v="0"/>
    <n v="0"/>
    <n v="0"/>
    <n v="0"/>
    <n v="0"/>
    <n v="0"/>
    <n v="0"/>
    <n v="0"/>
    <n v="0"/>
    <n v="0"/>
    <n v="0"/>
    <n v="0"/>
    <n v="0"/>
    <n v="553.97197754819945"/>
    <n v="1011.988094699657"/>
    <n v="0"/>
    <n v="0"/>
    <n v="300"/>
    <n v="0"/>
    <n v="0"/>
    <n v="0"/>
    <n v="0"/>
    <n v="0"/>
    <n v="340"/>
    <n v="1208.532519734533"/>
    <n v="0"/>
    <n v="0"/>
    <n v="0"/>
    <n v="0"/>
    <n v="0"/>
    <n v="0"/>
    <n v="0"/>
    <n v="0"/>
    <n v="0"/>
    <n v="0"/>
    <n v="0"/>
    <n v="0"/>
    <n v="0"/>
    <n v="0"/>
    <n v="640"/>
    <n v="1208.532519734533"/>
    <n v="86.028022451800553"/>
    <n v="0.15529309412463108"/>
    <n v="196.54442503487599"/>
    <n v="0.19421614351422528"/>
  </r>
  <r>
    <x v="0"/>
    <s v="ESPAÑA"/>
    <s v="AGRITEC MEDINA, S.L.U."/>
    <s v="Con potencial"/>
    <s v="S0020"/>
    <s v="SAL-WAX STAR, 20 L"/>
    <n v="20"/>
    <n v="2.1800000000000002"/>
    <n v="2.2723830369340021"/>
    <n v="0"/>
    <n v="0"/>
    <n v="158.2777078709141"/>
    <n v="345.04540315859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"/>
    <n v="345.04540315859282"/>
    <n v="0"/>
    <n v="0"/>
    <n v="180"/>
    <n v="409.02894664812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409.02894664812032"/>
    <n v="21.722292129085901"/>
    <n v="0.13724163952893392"/>
    <n v="63.983543489527506"/>
    <n v="0.18543514245897322"/>
  </r>
  <r>
    <x v="0"/>
    <s v="ESPAÑA"/>
    <s v="AGRITEC MEDINA, S.L.U."/>
    <s v="Con potencial"/>
    <s v="S0020"/>
    <s v="SALWAX STAR, 20 L"/>
    <n v="20"/>
    <n v="2.1936363636363638"/>
    <n v="2.286597276114156"/>
    <n v="0"/>
    <n v="0"/>
    <n v="0"/>
    <n v="0"/>
    <n v="0"/>
    <n v="0"/>
    <n v="435.26369664501379"/>
    <n v="954.8102727312895"/>
    <n v="0"/>
    <n v="0"/>
    <n v="0"/>
    <n v="0"/>
    <n v="0"/>
    <n v="0"/>
    <n v="0"/>
    <n v="0"/>
    <n v="0"/>
    <n v="0"/>
    <n v="0"/>
    <n v="0"/>
    <n v="0"/>
    <n v="0"/>
    <n v="0"/>
    <n v="0"/>
    <n v="435.26369664501379"/>
    <n v="954.8102727312895"/>
    <n v="0"/>
    <n v="0"/>
    <n v="0"/>
    <n v="0"/>
    <n v="0"/>
    <n v="0"/>
    <n v="500"/>
    <n v="1143.2986380570781"/>
    <n v="0"/>
    <n v="0"/>
    <n v="0"/>
    <n v="0"/>
    <n v="0"/>
    <n v="0"/>
    <n v="0"/>
    <n v="0"/>
    <n v="0"/>
    <n v="0"/>
    <n v="0"/>
    <n v="0"/>
    <n v="0"/>
    <n v="0"/>
    <n v="0"/>
    <n v="0"/>
    <n v="500"/>
    <n v="1143.2986380570781"/>
    <n v="64.736303354986205"/>
    <n v="0.14872892881710492"/>
    <n v="188.48836532578855"/>
    <n v="0.1974092348070437"/>
  </r>
  <r>
    <x v="0"/>
    <s v="ESPAÑA"/>
    <s v="AGRITEC MEDINA, S.L.U."/>
    <s v="Con potencial"/>
    <s v="START20005"/>
    <s v="RADISOL STARTER, 5 L"/>
    <n v="5"/>
    <n v="0"/>
    <n v="0"/>
    <n v="0"/>
    <n v="0"/>
    <n v="39.569426967728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5.430573032271468"/>
    <n v="0.13724163952893373"/>
    <n v="0"/>
    <n v="0"/>
  </r>
  <r>
    <x v="0"/>
    <s v="ESPAÑA"/>
    <s v="AGRITEC MEDINA, S.L.U."/>
    <s v="Con potencial"/>
    <s v="WHITE0020"/>
    <s v="AGROWHITE, 20 KG"/>
    <n v="20"/>
    <n v="1.94"/>
    <n v="2.0222124273632862"/>
    <n v="0"/>
    <n v="0"/>
    <n v="0"/>
    <n v="0"/>
    <n v="0"/>
    <n v="0"/>
    <n v="0"/>
    <n v="0"/>
    <n v="0"/>
    <n v="0"/>
    <n v="0"/>
    <n v="0"/>
    <n v="197.84713483864269"/>
    <n v="383.82344158696668"/>
    <n v="0"/>
    <n v="0"/>
    <n v="0"/>
    <n v="0"/>
    <n v="0"/>
    <n v="0"/>
    <n v="0"/>
    <n v="0"/>
    <n v="0"/>
    <n v="0"/>
    <n v="197.84713483864269"/>
    <n v="383.82344158696668"/>
    <n v="0"/>
    <n v="0"/>
    <n v="0"/>
    <n v="0"/>
    <n v="0"/>
    <n v="0"/>
    <n v="0"/>
    <n v="0"/>
    <n v="0"/>
    <n v="0"/>
    <n v="0"/>
    <n v="0"/>
    <n v="220"/>
    <n v="444.88673401992298"/>
    <n v="0"/>
    <n v="0"/>
    <n v="0"/>
    <n v="0"/>
    <n v="0"/>
    <n v="0"/>
    <n v="0"/>
    <n v="0"/>
    <n v="0"/>
    <n v="0"/>
    <n v="220"/>
    <n v="444.88673401992298"/>
    <n v="22.152865161357312"/>
    <n v="0.11196960309495725"/>
    <n v="61.063292432956302"/>
    <n v="0.15909213929321872"/>
  </r>
  <r>
    <x v="0"/>
    <s v="ESPAÑA"/>
    <s v="AGROCAMP CANET S.L."/>
    <s v="Baja aportación"/>
    <s v="A-50(2)0005"/>
    <s v="CODIORGAN-A50, 5 KG"/>
    <n v="5"/>
    <n v="4.9899999999999993"/>
    <n v="5.2014639239911329"/>
    <n v="0"/>
    <n v="0"/>
    <n v="0"/>
    <n v="0"/>
    <n v="0"/>
    <n v="0"/>
    <n v="0"/>
    <n v="0"/>
    <n v="0"/>
    <n v="0"/>
    <n v="791.38853935457064"/>
    <n v="3949.0288113793072"/>
    <n v="0"/>
    <n v="0"/>
    <n v="0"/>
    <n v="0"/>
    <n v="0"/>
    <n v="0"/>
    <n v="0"/>
    <n v="0"/>
    <n v="0"/>
    <n v="0"/>
    <n v="0"/>
    <n v="0"/>
    <n v="791.38853935457064"/>
    <n v="3949.0288113793072"/>
    <n v="0"/>
    <n v="0"/>
    <n v="0"/>
    <n v="0"/>
    <n v="0"/>
    <n v="0"/>
    <n v="0"/>
    <n v="0"/>
    <n v="0"/>
    <n v="0"/>
    <n v="980"/>
    <n v="5097.43464551131"/>
    <n v="0"/>
    <n v="0"/>
    <n v="0"/>
    <n v="0"/>
    <n v="0"/>
    <n v="0"/>
    <n v="0"/>
    <n v="0"/>
    <n v="0"/>
    <n v="0"/>
    <n v="0"/>
    <n v="0"/>
    <n v="980"/>
    <n v="5097.43464551131"/>
    <n v="188.61146064542936"/>
    <n v="0.23832978526483894"/>
    <n v="1148.4058341320028"/>
    <n v="0.29080715512199323"/>
  </r>
  <r>
    <x v="0"/>
    <s v="ESPAÑA"/>
    <s v="AGROCAMP CANET S.L."/>
    <s v="Baja aportación"/>
    <s v="AGRMG0005"/>
    <s v="AGROXIGREEN-MG, 5 L"/>
    <n v="5"/>
    <n v="3.47"/>
    <n v="3.617050063376599"/>
    <n v="0"/>
    <n v="0"/>
    <n v="0"/>
    <n v="0"/>
    <n v="0"/>
    <n v="0"/>
    <n v="0"/>
    <n v="0"/>
    <n v="0"/>
    <n v="0"/>
    <n v="791.38853935457064"/>
    <n v="2746.1182315603601"/>
    <n v="0"/>
    <n v="0"/>
    <n v="0"/>
    <n v="0"/>
    <n v="0"/>
    <n v="0"/>
    <n v="0"/>
    <n v="0"/>
    <n v="0"/>
    <n v="0"/>
    <n v="0"/>
    <n v="0"/>
    <n v="791.38853935457064"/>
    <n v="2746.1182315603601"/>
    <n v="0"/>
    <n v="0"/>
    <n v="0"/>
    <n v="0"/>
    <n v="0"/>
    <n v="0"/>
    <n v="0"/>
    <n v="0"/>
    <n v="0"/>
    <n v="0"/>
    <n v="935"/>
    <n v="3381.94180925712"/>
    <n v="0"/>
    <n v="0"/>
    <n v="0"/>
    <n v="0"/>
    <n v="0"/>
    <n v="0"/>
    <n v="0"/>
    <n v="0"/>
    <n v="0"/>
    <n v="0"/>
    <n v="0"/>
    <n v="0"/>
    <n v="935"/>
    <n v="3381.94180925712"/>
    <n v="143.61146064542936"/>
    <n v="0.18146770328839226"/>
    <n v="635.82357769675991"/>
    <n v="0.23153539799904438"/>
  </r>
  <r>
    <x v="0"/>
    <s v="ESPAÑA"/>
    <s v="AGROCAMP CANET S.L."/>
    <s v="Baja aportación"/>
    <s v="AGXK0020"/>
    <s v="AGROXILATO-K, 20 L"/>
    <n v="20"/>
    <n v="3.169999999999999"/>
    <n v="3.304336801413204"/>
    <n v="0"/>
    <n v="0"/>
    <n v="633.11083148365651"/>
    <n v="2006.9613358031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2006.9613358031911"/>
    <n v="0"/>
    <n v="0"/>
    <n v="680"/>
    <n v="2246.9490249609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2246.9490249609789"/>
    <n v="46.889168516343489"/>
    <n v="7.4061548443992958E-2"/>
    <n v="239.98768915778783"/>
    <n v="0.11957763454458585"/>
  </r>
  <r>
    <x v="0"/>
    <s v="ESPAÑA"/>
    <s v="AGROCAMP CANET S.L."/>
    <s v="Baja aportación"/>
    <s v="AVAN0020"/>
    <s v="FLORAMEC AVANCE, 20 L"/>
    <n v="20"/>
    <n v="4.8599999999999994"/>
    <n v="5.0659548438069946"/>
    <n v="0"/>
    <n v="0"/>
    <n v="633.11083148365651"/>
    <n v="3076.9186410105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3076.9186410105699"/>
    <n v="0"/>
    <n v="0"/>
    <n v="680"/>
    <n v="3444.8492937887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444.8492937887559"/>
    <n v="46.889168516343489"/>
    <n v="7.4061548443992958E-2"/>
    <n v="367.93065277818596"/>
    <n v="0.11957763454458595"/>
  </r>
  <r>
    <x v="0"/>
    <s v="ESPAÑA"/>
    <s v="AGROCAMP CANET S.L."/>
    <s v="Baja aportación"/>
    <s v="BROTA0005"/>
    <s v="BROTAMEC, 5 L"/>
    <n v="5"/>
    <n v="3.24"/>
    <n v="3.3773032292046632"/>
    <n v="593.54140451592798"/>
    <n v="1923.074150631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923.074150631606"/>
    <n v="635"/>
    <n v="2144.5875505449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2144.5875505449608"/>
    <n v="41.458595484072021"/>
    <n v="6.9849542371663575E-2"/>
    <n v="221.51339991335476"/>
    <n v="0.11518713401696022"/>
  </r>
  <r>
    <x v="0"/>
    <s v="ESPAÑA"/>
    <s v="AGROCAMP CANET S.L."/>
    <s v="Baja aportación"/>
    <s v="C-CU0005"/>
    <s v="CODICOBRE, 5 L"/>
    <n v="5"/>
    <n v="4.0999999999999996"/>
    <n v="4.2737479134997276"/>
    <n v="0"/>
    <n v="0"/>
    <n v="0"/>
    <n v="0"/>
    <n v="0"/>
    <n v="0"/>
    <n v="0"/>
    <n v="0"/>
    <n v="0"/>
    <n v="0"/>
    <n v="791.38853935457064"/>
    <n v="3244.6930113537401"/>
    <n v="0"/>
    <n v="0"/>
    <n v="0"/>
    <n v="0"/>
    <n v="0"/>
    <n v="0"/>
    <n v="0"/>
    <n v="0"/>
    <n v="0"/>
    <n v="0"/>
    <n v="0"/>
    <n v="0"/>
    <n v="791.38853935457064"/>
    <n v="3244.6930113537401"/>
    <n v="0"/>
    <n v="0"/>
    <n v="0"/>
    <n v="0"/>
    <n v="0"/>
    <n v="0"/>
    <n v="0"/>
    <n v="0"/>
    <n v="0"/>
    <n v="0"/>
    <n v="845"/>
    <n v="3611.3169869072708"/>
    <n v="0"/>
    <n v="0"/>
    <n v="0"/>
    <n v="0"/>
    <n v="0"/>
    <n v="0"/>
    <n v="0"/>
    <n v="0"/>
    <n v="0"/>
    <n v="0"/>
    <n v="0"/>
    <n v="0"/>
    <n v="845"/>
    <n v="3611.3169869072708"/>
    <n v="53.611460645429361"/>
    <n v="6.7743539335498884E-2"/>
    <n v="366.62397555353073"/>
    <n v="0.11299188375314714"/>
  </r>
  <r>
    <x v="0"/>
    <s v="ESPAÑA"/>
    <s v="AGROCAMP CANET S.L."/>
    <s v="Baja aportación"/>
    <s v="C-CUAE0005"/>
    <s v="CUPRAMEC, 5 L"/>
    <n v="5"/>
    <n v="4.2799999999999994"/>
    <n v="4.4613758706777649"/>
    <n v="0"/>
    <n v="0"/>
    <n v="0"/>
    <n v="0"/>
    <n v="0"/>
    <n v="0"/>
    <n v="0"/>
    <n v="0"/>
    <n v="0"/>
    <n v="0"/>
    <n v="0"/>
    <n v="0"/>
    <n v="0"/>
    <n v="0"/>
    <n v="296.77070225796399"/>
    <n v="1270.178605664086"/>
    <n v="0"/>
    <n v="0"/>
    <n v="0"/>
    <n v="0"/>
    <n v="0"/>
    <n v="0"/>
    <n v="0"/>
    <n v="0"/>
    <n v="296.77070225796399"/>
    <n v="1270.178605664086"/>
    <n v="0"/>
    <n v="0"/>
    <n v="0"/>
    <n v="0"/>
    <n v="0"/>
    <n v="0"/>
    <n v="0"/>
    <n v="0"/>
    <n v="0"/>
    <n v="0"/>
    <n v="0"/>
    <n v="0"/>
    <n v="0"/>
    <n v="0"/>
    <n v="350"/>
    <n v="1561.4815547372179"/>
    <n v="0"/>
    <n v="0"/>
    <n v="0"/>
    <n v="0"/>
    <n v="0"/>
    <n v="0"/>
    <n v="0"/>
    <n v="0"/>
    <n v="350"/>
    <n v="1561.4815547372179"/>
    <n v="53.22929774203601"/>
    <n v="0.17936170025222756"/>
    <n v="291.30294907313191"/>
    <n v="0.22934014773523156"/>
  </r>
  <r>
    <x v="0"/>
    <s v="ESPAÑA"/>
    <s v="AGROCAMP CANET S.L."/>
    <s v="Baja aportación"/>
    <s v="PT0005"/>
    <s v="AGROPOTASION, 5 L"/>
    <n v="5"/>
    <n v="3.609999999999999"/>
    <n v="3.762982918959517"/>
    <n v="0"/>
    <n v="0"/>
    <n v="0"/>
    <n v="0"/>
    <n v="0"/>
    <n v="0"/>
    <n v="0"/>
    <n v="0"/>
    <n v="0"/>
    <n v="0"/>
    <n v="0"/>
    <n v="0"/>
    <n v="0"/>
    <n v="0"/>
    <n v="39.569426967728532"/>
    <n v="142.84563135350001"/>
    <n v="0"/>
    <n v="0"/>
    <n v="0"/>
    <n v="0"/>
    <n v="0"/>
    <n v="0"/>
    <n v="0"/>
    <n v="0"/>
    <n v="39.569426967728532"/>
    <n v="142.84563135350001"/>
    <n v="0"/>
    <n v="0"/>
    <n v="0"/>
    <n v="0"/>
    <n v="0"/>
    <n v="0"/>
    <n v="0"/>
    <n v="0"/>
    <n v="0"/>
    <n v="0"/>
    <n v="0"/>
    <n v="0"/>
    <n v="0"/>
    <n v="0"/>
    <n v="45"/>
    <n v="169.33423135317821"/>
    <n v="0"/>
    <n v="0"/>
    <n v="0"/>
    <n v="0"/>
    <n v="0"/>
    <n v="0"/>
    <n v="0"/>
    <n v="0"/>
    <n v="45"/>
    <n v="169.33423135317821"/>
    <n v="5.430573032271468"/>
    <n v="0.13724163952893373"/>
    <n v="26.4885999996782"/>
    <n v="0.18543514245897291"/>
  </r>
  <r>
    <x v="0"/>
    <s v="ESPAÑA"/>
    <s v="AGROCAMP CANET S.L."/>
    <s v="Baja aportación"/>
    <s v="TRI0005"/>
    <s v="TRIFENO-94, 5L"/>
    <n v="5"/>
    <n v="10.94"/>
    <n v="11.403610286265129"/>
    <n v="0"/>
    <n v="0"/>
    <n v="0"/>
    <n v="0"/>
    <n v="0"/>
    <n v="0"/>
    <n v="98.92356741932133"/>
    <n v="1082.223827567375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1082.2238275673751"/>
    <n v="0"/>
    <n v="0"/>
    <n v="0"/>
    <n v="0"/>
    <n v="0"/>
    <n v="0"/>
    <n v="115"/>
    <n v="1311.41518292049"/>
    <n v="0"/>
    <n v="0"/>
    <n v="0"/>
    <n v="0"/>
    <n v="0"/>
    <n v="0"/>
    <n v="0"/>
    <n v="0"/>
    <n v="0"/>
    <n v="0"/>
    <n v="0"/>
    <n v="0"/>
    <n v="0"/>
    <n v="0"/>
    <n v="0"/>
    <n v="0"/>
    <n v="115"/>
    <n v="1311.41518292049"/>
    <n v="16.07643258067867"/>
    <n v="0.16251367596291003"/>
    <n v="229.19135535311489"/>
    <n v="0.21177814562472874"/>
  </r>
  <r>
    <x v="0"/>
    <s v="ESPAÑA"/>
    <s v="AGROTÉCNICA DEL NORTE, S.L"/>
    <s v="Con potencial"/>
    <s v="A-50(2)0005"/>
    <s v="CODIORGAN-A50, 5 KG"/>
    <n v="5"/>
    <n v="4.8600000000000003"/>
    <n v="5.0659548438069963"/>
    <n v="0"/>
    <n v="0"/>
    <n v="0"/>
    <n v="0"/>
    <n v="0"/>
    <n v="0"/>
    <n v="148.38535112898199"/>
    <n v="721.15280648685246"/>
    <n v="999.12803093514538"/>
    <n v="4855.762230344807"/>
    <n v="0"/>
    <n v="0"/>
    <n v="0"/>
    <n v="0"/>
    <n v="395.69426967728532"/>
    <n v="1923.074150631606"/>
    <n v="0"/>
    <n v="0"/>
    <n v="0"/>
    <n v="0"/>
    <n v="0"/>
    <n v="0"/>
    <n v="0"/>
    <n v="0"/>
    <n v="1543.2076517414127"/>
    <n v="7499.9891874632658"/>
    <n v="0"/>
    <n v="0"/>
    <n v="0"/>
    <n v="0"/>
    <n v="0"/>
    <n v="0"/>
    <n v="195"/>
    <n v="987.86119454236405"/>
    <n v="1320"/>
    <n v="6687.0603938252343"/>
    <n v="0"/>
    <n v="0"/>
    <n v="0"/>
    <n v="0"/>
    <n v="520"/>
    <n v="2634.2965187796381"/>
    <n v="0"/>
    <n v="0"/>
    <n v="0"/>
    <n v="0"/>
    <n v="0"/>
    <n v="0"/>
    <n v="0"/>
    <n v="0"/>
    <n v="2035"/>
    <n v="10309.218107147237"/>
    <n v="491.79234825858725"/>
    <n v="0.31868190110619948"/>
    <n v="2809.2289196839711"/>
    <n v="0.37456439595670155"/>
  </r>
  <r>
    <x v="0"/>
    <s v="ESPAÑA"/>
    <s v="AGROTÉCNICA DEL NORTE, S.L"/>
    <s v="Con potencial"/>
    <s v="AGRMG0005"/>
    <s v="AGROXIGREEN-MG, 5 L"/>
    <n v="5"/>
    <n v="3.379999999999999"/>
    <n v="3.5232360847875812"/>
    <n v="0"/>
    <n v="0"/>
    <n v="0"/>
    <n v="0"/>
    <n v="0"/>
    <n v="0"/>
    <n v="138.49299438704989"/>
    <n v="468.10632102822848"/>
    <n v="0"/>
    <n v="0"/>
    <n v="0"/>
    <n v="0"/>
    <n v="0"/>
    <n v="0"/>
    <n v="0"/>
    <n v="0"/>
    <n v="0"/>
    <n v="0"/>
    <n v="0"/>
    <n v="0"/>
    <n v="0"/>
    <n v="0"/>
    <n v="0"/>
    <n v="0"/>
    <n v="138.49299438704989"/>
    <n v="468.10632102822848"/>
    <n v="0"/>
    <n v="0"/>
    <n v="0"/>
    <n v="0"/>
    <n v="0"/>
    <n v="0"/>
    <n v="175"/>
    <n v="616.56631483782667"/>
    <n v="0"/>
    <n v="0"/>
    <n v="0"/>
    <n v="0"/>
    <n v="0"/>
    <n v="0"/>
    <n v="0"/>
    <n v="0"/>
    <n v="0"/>
    <n v="0"/>
    <n v="0"/>
    <n v="0"/>
    <n v="0"/>
    <n v="0"/>
    <n v="0"/>
    <n v="0"/>
    <n v="175"/>
    <n v="616.56631483782667"/>
    <n v="36.50700561295011"/>
    <n v="0.26360182169881496"/>
    <n v="148.45999380959819"/>
    <n v="0.31715015828774828"/>
  </r>
  <r>
    <x v="0"/>
    <s v="ESPAÑA"/>
    <s v="AGROTÉCNICA DEL NORTE, S.L"/>
    <s v="Con potencial"/>
    <s v="AGRMG0005"/>
    <s v="AGROXIGREEN-MG, 5 L"/>
    <n v="5"/>
    <n v="3.4175"/>
    <n v="3.5623252425330061"/>
    <n v="0"/>
    <n v="0"/>
    <n v="0"/>
    <n v="0"/>
    <n v="0"/>
    <n v="0"/>
    <n v="0"/>
    <n v="0"/>
    <n v="593.54140451592798"/>
    <n v="2006.169947263837"/>
    <n v="197.84713483864269"/>
    <n v="698.40038598040849"/>
    <n v="0"/>
    <n v="0"/>
    <n v="0"/>
    <n v="0"/>
    <n v="0"/>
    <n v="0"/>
    <n v="0"/>
    <n v="0"/>
    <n v="0"/>
    <n v="0"/>
    <n v="0"/>
    <n v="0"/>
    <n v="791.38853935457064"/>
    <n v="2704.5703332442454"/>
    <n v="0"/>
    <n v="0"/>
    <n v="0"/>
    <n v="0"/>
    <n v="0"/>
    <n v="0"/>
    <n v="0"/>
    <n v="0"/>
    <n v="750"/>
    <n v="2642.427063590686"/>
    <n v="250"/>
    <n v="919.89817894231953"/>
    <n v="0"/>
    <n v="0"/>
    <n v="0"/>
    <n v="0"/>
    <n v="0"/>
    <n v="0"/>
    <n v="0"/>
    <n v="0"/>
    <n v="0"/>
    <n v="0"/>
    <n v="0"/>
    <n v="0"/>
    <n v="1000"/>
    <n v="3562.3252425330056"/>
    <n v="208.61146064542936"/>
    <n v="0.26360182169881524"/>
    <n v="857.75490928876025"/>
    <n v="0.31715015828774817"/>
  </r>
  <r>
    <x v="0"/>
    <s v="ESPAÑA"/>
    <s v="AGROTÉCNICA DEL NORTE, S.L"/>
    <s v="Con potencial"/>
    <s v="AGXK0005"/>
    <s v="AGROXILATO-K, 5 L"/>
    <n v="5"/>
    <n v="3.492777777777778"/>
    <n v="3.6401581919714849"/>
    <n v="19.78471348386427"/>
    <n v="66.674484440622578"/>
    <n v="0"/>
    <n v="0"/>
    <n v="0"/>
    <n v="0"/>
    <n v="0"/>
    <n v="0"/>
    <n v="0"/>
    <n v="0"/>
    <n v="0"/>
    <n v="0"/>
    <n v="336.34012922569252"/>
    <n v="1177.190452289924"/>
    <n v="0"/>
    <n v="0"/>
    <n v="0"/>
    <n v="0"/>
    <n v="0"/>
    <n v="0"/>
    <n v="0"/>
    <n v="0"/>
    <n v="0"/>
    <n v="0"/>
    <n v="356.12484270955679"/>
    <n v="1243.8649367305466"/>
    <n v="25"/>
    <n v="87.820307734720032"/>
    <n v="0"/>
    <n v="0"/>
    <n v="0"/>
    <n v="0"/>
    <n v="0"/>
    <n v="0"/>
    <n v="0"/>
    <n v="0"/>
    <n v="0"/>
    <n v="0"/>
    <n v="390"/>
    <n v="1422.845341933446"/>
    <n v="0"/>
    <n v="0"/>
    <n v="0"/>
    <n v="0"/>
    <n v="0"/>
    <n v="0"/>
    <n v="0"/>
    <n v="0"/>
    <n v="0"/>
    <n v="0"/>
    <n v="415"/>
    <n v="1510.665649668166"/>
    <n v="58.875157290443212"/>
    <n v="0.16532168001112962"/>
    <n v="266.80071293761944"/>
    <n v="0.21449331439384034"/>
  </r>
  <r>
    <x v="0"/>
    <s v="ESPAÑA"/>
    <s v="AGROTÉCNICA DEL NORTE, S.L"/>
    <s v="Con potencial"/>
    <s v="AN0020"/>
    <s v="ALCAPLANT NEW, 20 KG"/>
    <n v="20"/>
    <n v="1.2676363636363639"/>
    <n v="1.3213556741871451"/>
    <n v="0"/>
    <n v="0"/>
    <n v="0"/>
    <n v="0"/>
    <n v="2176.318483225069"/>
    <n v="1861.3458445619499"/>
    <n v="0"/>
    <n v="0"/>
    <n v="1088.159241612535"/>
    <n v="1828.107525909058"/>
    <n v="1088.159241612535"/>
    <n v="1828.107525909058"/>
    <n v="0"/>
    <n v="0"/>
    <n v="0"/>
    <n v="0"/>
    <n v="0"/>
    <n v="0"/>
    <n v="0"/>
    <n v="0"/>
    <n v="0"/>
    <n v="0"/>
    <n v="0"/>
    <n v="0"/>
    <n v="4352.636966450139"/>
    <n v="5517.560896380066"/>
    <n v="0"/>
    <n v="0"/>
    <n v="0"/>
    <n v="0"/>
    <n v="2520"/>
    <n v="2246.6230450757821"/>
    <n v="0"/>
    <n v="0"/>
    <n v="1260"/>
    <n v="2206.5047764137139"/>
    <n v="1260"/>
    <n v="2206.5047764137139"/>
    <n v="0"/>
    <n v="0"/>
    <n v="0"/>
    <n v="0"/>
    <n v="0"/>
    <n v="0"/>
    <n v="0"/>
    <n v="0"/>
    <n v="0"/>
    <n v="0"/>
    <n v="0"/>
    <n v="0"/>
    <n v="5040"/>
    <n v="6659.6325979032099"/>
    <n v="687.36303354986103"/>
    <n v="0.15791876024764148"/>
    <n v="1142.0717015231439"/>
    <n v="0.20698850868550064"/>
  </r>
  <r>
    <x v="0"/>
    <s v="ESPAÑA"/>
    <s v="AGROTÉCNICA DEL NORTE, S.L"/>
    <s v="Con potencial"/>
    <s v="BR-590005"/>
    <s v="BR-59, 5 KG"/>
    <n v="5"/>
    <n v="2.2599999999999998"/>
    <n v="2.3557732401242411"/>
    <n v="0"/>
    <n v="0"/>
    <n v="0"/>
    <n v="0"/>
    <n v="0"/>
    <n v="0"/>
    <n v="0"/>
    <n v="0"/>
    <n v="0"/>
    <n v="0"/>
    <n v="0"/>
    <n v="0"/>
    <n v="0"/>
    <n v="0"/>
    <n v="98.92356741932133"/>
    <n v="223.56726236766619"/>
    <n v="0"/>
    <n v="0"/>
    <n v="0"/>
    <n v="0"/>
    <n v="0"/>
    <n v="0"/>
    <n v="0"/>
    <n v="0"/>
    <n v="98.92356741932133"/>
    <n v="223.56726236766619"/>
    <n v="0"/>
    <n v="0"/>
    <n v="0"/>
    <n v="0"/>
    <n v="0"/>
    <n v="0"/>
    <n v="0"/>
    <n v="0"/>
    <n v="0"/>
    <n v="0"/>
    <n v="0"/>
    <n v="0"/>
    <n v="0"/>
    <n v="0"/>
    <n v="115"/>
    <n v="270.91392261428769"/>
    <n v="0"/>
    <n v="0"/>
    <n v="0"/>
    <n v="0"/>
    <n v="0"/>
    <n v="0"/>
    <n v="0"/>
    <n v="0"/>
    <n v="115"/>
    <n v="270.91392261428769"/>
    <n v="16.07643258067867"/>
    <n v="0.16251367596291003"/>
    <n v="47.346660246621497"/>
    <n v="0.21177814562472852"/>
  </r>
  <r>
    <x v="0"/>
    <s v="ESPAÑA"/>
    <s v="AGROTÉCNICA DEL NORTE, S.L"/>
    <s v="Con potencial"/>
    <s v="C-CU0005"/>
    <s v="CODICOBRE, 5 L"/>
    <n v="5"/>
    <n v="4"/>
    <n v="4.1695101595119306"/>
    <n v="0"/>
    <n v="0"/>
    <n v="0"/>
    <n v="0"/>
    <n v="0"/>
    <n v="0"/>
    <n v="0"/>
    <n v="0"/>
    <n v="197.84713483864269"/>
    <n v="791.38853935457064"/>
    <n v="0"/>
    <n v="0"/>
    <n v="0"/>
    <n v="0"/>
    <n v="98.92356741932133"/>
    <n v="395.69426967728532"/>
    <n v="0"/>
    <n v="0"/>
    <n v="0"/>
    <n v="0"/>
    <n v="0"/>
    <n v="0"/>
    <n v="0"/>
    <n v="0"/>
    <n v="296.77070225796399"/>
    <n v="1187.082809031856"/>
    <n v="0"/>
    <n v="0"/>
    <n v="0"/>
    <n v="0"/>
    <n v="0"/>
    <n v="0"/>
    <n v="0"/>
    <n v="0"/>
    <n v="225"/>
    <n v="938.13978589018438"/>
    <n v="0"/>
    <n v="0"/>
    <n v="0"/>
    <n v="0"/>
    <n v="115"/>
    <n v="479.49366834387212"/>
    <n v="0"/>
    <n v="0"/>
    <n v="0"/>
    <n v="0"/>
    <n v="0"/>
    <n v="0"/>
    <n v="0"/>
    <n v="0"/>
    <n v="340"/>
    <n v="1417.6334542340564"/>
    <n v="43.22929774203601"/>
    <n v="0.14566565167359249"/>
    <n v="230.55064520220049"/>
    <n v="0.19421614351422517"/>
  </r>
  <r>
    <x v="0"/>
    <s v="ESPAÑA"/>
    <s v="AGROTÉCNICA DEL NORTE, S.L"/>
    <s v="Con potencial"/>
    <s v="C-GLB0001"/>
    <s v="CODIORGAN GLB, 1 KG"/>
    <n v="1"/>
    <n v="8.44"/>
    <n v="8.7976664365701733"/>
    <n v="0"/>
    <n v="0"/>
    <n v="0"/>
    <n v="0"/>
    <n v="0"/>
    <n v="0"/>
    <n v="0"/>
    <n v="0"/>
    <n v="0"/>
    <n v="0"/>
    <n v="0"/>
    <n v="0"/>
    <n v="261.1582179870083"/>
    <n v="2204.1753598103501"/>
    <n v="0"/>
    <n v="0"/>
    <n v="0"/>
    <n v="0"/>
    <n v="0"/>
    <n v="0"/>
    <n v="0"/>
    <n v="0"/>
    <n v="0"/>
    <n v="0"/>
    <n v="261.1582179870083"/>
    <n v="2204.1753598103501"/>
    <n v="0"/>
    <n v="0"/>
    <n v="0"/>
    <n v="0"/>
    <n v="0"/>
    <n v="0"/>
    <n v="0"/>
    <n v="0"/>
    <n v="0"/>
    <n v="0"/>
    <n v="0"/>
    <n v="0"/>
    <n v="330"/>
    <n v="2903.2299240681568"/>
    <n v="0"/>
    <n v="0"/>
    <n v="0"/>
    <n v="0"/>
    <n v="0"/>
    <n v="0"/>
    <n v="0"/>
    <n v="0"/>
    <n v="0"/>
    <n v="0"/>
    <n v="330"/>
    <n v="2903.2299240681568"/>
    <n v="68.8417820129917"/>
    <n v="0.2636018216988153"/>
    <n v="699.05456425780676"/>
    <n v="0.31715015828774817"/>
  </r>
  <r>
    <x v="0"/>
    <s v="ESPAÑA"/>
    <s v="AGROTÉCNICA DEL NORTE, S.L"/>
    <s v="Con potencial"/>
    <s v="CSIL0020"/>
    <s v="FITOKONTROL-K, 20 L"/>
    <n v="20"/>
    <n v="3.35"/>
    <n v="3.4919647585912421"/>
    <n v="0"/>
    <n v="0"/>
    <n v="0"/>
    <n v="0"/>
    <n v="0"/>
    <n v="0"/>
    <n v="1483.8535112898201"/>
    <n v="4970.9092628208964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4970.9092628208964"/>
    <n v="0"/>
    <n v="0"/>
    <n v="0"/>
    <n v="0"/>
    <n v="0"/>
    <n v="0"/>
    <n v="1660"/>
    <n v="5796.6614992614623"/>
    <n v="0"/>
    <n v="0"/>
    <n v="0"/>
    <n v="0"/>
    <n v="0"/>
    <n v="0"/>
    <n v="0"/>
    <n v="0"/>
    <n v="0"/>
    <n v="0"/>
    <n v="0"/>
    <n v="0"/>
    <n v="0"/>
    <n v="0"/>
    <n v="0"/>
    <n v="0"/>
    <n v="1660"/>
    <n v="5796.6614992614623"/>
    <n v="176.14648871017994"/>
    <n v="0.11870881281068435"/>
    <n v="825.75223644056587"/>
    <n v="0.16611694013742009"/>
  </r>
  <r>
    <x v="0"/>
    <s v="ESPAÑA"/>
    <s v="AGROTÉCNICA DEL NORTE, S.L"/>
    <s v="Con potencial"/>
    <s v="FTK0005"/>
    <s v="FITOKONTROL CA FLOW, 5 KG"/>
    <n v="5"/>
    <n v="2.839999999999999"/>
    <n v="2.9603522132534699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50"/>
    <n v="148.01761066267349"/>
    <n v="0"/>
    <n v="0"/>
    <n v="0"/>
    <n v="0"/>
    <n v="0"/>
    <n v="0"/>
    <n v="0"/>
    <n v="0"/>
    <n v="0"/>
    <n v="0"/>
    <n v="0"/>
    <n v="0"/>
    <n v="50"/>
    <n v="148.01761066267349"/>
    <n v="10.430573032271468"/>
    <n v="0.26360182169881524"/>
    <n v="35.640438074324493"/>
    <n v="0.31715015828774828"/>
  </r>
  <r>
    <x v="0"/>
    <s v="ESPAÑA"/>
    <s v="AGROTÉCNICA DEL NORTE, S.L"/>
    <s v="Con potencial"/>
    <s v="FU0005"/>
    <s v="FULVIGIN, 5 L"/>
    <n v="5"/>
    <n v="3.14"/>
    <n v="3.2730654752168649"/>
    <n v="0"/>
    <n v="0"/>
    <n v="0"/>
    <n v="0"/>
    <n v="0"/>
    <n v="0"/>
    <n v="79.138853935457064"/>
    <n v="248.49600135733519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48.49600135733519"/>
    <n v="0"/>
    <n v="0"/>
    <n v="0"/>
    <n v="0"/>
    <n v="0"/>
    <n v="0"/>
    <n v="90"/>
    <n v="294.57589276951779"/>
    <n v="0"/>
    <n v="0"/>
    <n v="0"/>
    <n v="0"/>
    <n v="0"/>
    <n v="0"/>
    <n v="0"/>
    <n v="0"/>
    <n v="0"/>
    <n v="0"/>
    <n v="0"/>
    <n v="0"/>
    <n v="0"/>
    <n v="0"/>
    <n v="0"/>
    <n v="0"/>
    <n v="90"/>
    <n v="294.57589276951779"/>
    <n v="10.861146064542936"/>
    <n v="0.13724163952893373"/>
    <n v="46.079891412182604"/>
    <n v="0.18543514245897302"/>
  </r>
  <r>
    <x v="0"/>
    <s v="ESPAÑA"/>
    <s v="AGROTÉCNICA DEL NORTE, S.L"/>
    <s v="Con potencial"/>
    <s v="N0005"/>
    <s v="NUTRICALE, 5 L"/>
    <n v="5"/>
    <n v="2.7293750000000001"/>
    <n v="2.8449718028049071"/>
    <n v="0"/>
    <n v="0"/>
    <n v="0"/>
    <n v="0"/>
    <n v="296.77070225796399"/>
    <n v="807.21631014166201"/>
    <n v="0"/>
    <n v="0"/>
    <n v="0"/>
    <n v="0"/>
    <n v="296.77070225796399"/>
    <n v="807.21631014166201"/>
    <n v="39.569426967728532"/>
    <n v="113.5642553973809"/>
    <n v="0"/>
    <n v="0"/>
    <n v="0"/>
    <n v="0"/>
    <n v="0"/>
    <n v="0"/>
    <n v="0"/>
    <n v="0"/>
    <n v="0"/>
    <n v="0"/>
    <n v="633.11083148365651"/>
    <n v="1727.996875680705"/>
    <n v="0"/>
    <n v="0"/>
    <n v="0"/>
    <n v="0"/>
    <n v="340"/>
    <n v="963.99074887915822"/>
    <n v="0"/>
    <n v="0"/>
    <n v="0"/>
    <n v="0"/>
    <n v="340"/>
    <n v="963.99074887915822"/>
    <n v="45"/>
    <n v="134.62305927524139"/>
    <n v="0"/>
    <n v="0"/>
    <n v="0"/>
    <n v="0"/>
    <n v="0"/>
    <n v="0"/>
    <n v="0"/>
    <n v="0"/>
    <n v="0"/>
    <n v="0"/>
    <n v="725"/>
    <n v="2062.6045570335577"/>
    <n v="91.889168516343489"/>
    <n v="0.14513915091455132"/>
    <n v="334.60768135285275"/>
    <n v="0.19363905459669403"/>
  </r>
  <r>
    <x v="0"/>
    <s v="ESPAÑA"/>
    <s v="AGROTÉCNICA DEL NORTE, S.L"/>
    <s v="Con potencial"/>
    <s v="PT0005"/>
    <s v="AGROPOTASION, 5 L"/>
    <n v="5"/>
    <n v="3.5519148936170208"/>
    <n v="3.7026219869991408"/>
    <n v="0"/>
    <n v="0"/>
    <n v="0"/>
    <n v="0"/>
    <n v="0"/>
    <n v="0"/>
    <n v="395.69426967728532"/>
    <n v="1392.843829264044"/>
    <n v="474.83312361274233"/>
    <n v="1671.412595116853"/>
    <n v="593.54140451592798"/>
    <n v="2089.2657438960659"/>
    <n v="197.84713483864269"/>
    <n v="726.09898485781855"/>
    <n v="197.84713483864269"/>
    <n v="726.09898485781855"/>
    <n v="0"/>
    <n v="0"/>
    <n v="0"/>
    <n v="0"/>
    <n v="0"/>
    <n v="0"/>
    <n v="0"/>
    <n v="0"/>
    <n v="1859.763067483241"/>
    <n v="6605.7201379925991"/>
    <n v="0"/>
    <n v="0"/>
    <n v="0"/>
    <n v="0"/>
    <n v="0"/>
    <n v="0"/>
    <n v="455"/>
    <n v="1669.471867868577"/>
    <n v="550"/>
    <n v="2018.042917203775"/>
    <n v="685"/>
    <n v="2513.380724153792"/>
    <n v="230"/>
    <n v="879.87088141100514"/>
    <n v="230"/>
    <n v="879.87088141100514"/>
    <n v="0"/>
    <n v="0"/>
    <n v="0"/>
    <n v="0"/>
    <n v="0"/>
    <n v="0"/>
    <n v="0"/>
    <n v="0"/>
    <n v="2150"/>
    <n v="7960.637272048154"/>
    <n v="290.236932516759"/>
    <n v="0.15606124112870332"/>
    <n v="1354.9171340555549"/>
    <n v="0.20511270622301875"/>
  </r>
  <r>
    <x v="0"/>
    <s v="ESPAÑA"/>
    <s v="AGROTÉCNICA DEL NORTE, S.L"/>
    <s v="Con potencial"/>
    <s v="S0020"/>
    <s v="SALWAX STAR, 20 L"/>
    <n v="20"/>
    <n v="2.08"/>
    <n v="2.1681452829462038"/>
    <n v="0"/>
    <n v="0"/>
    <n v="0"/>
    <n v="0"/>
    <n v="0"/>
    <n v="0"/>
    <n v="0"/>
    <n v="0"/>
    <n v="237.41656180637119"/>
    <n v="493.82644855725198"/>
    <n v="0"/>
    <n v="0"/>
    <n v="0"/>
    <n v="0"/>
    <n v="0"/>
    <n v="0"/>
    <n v="0"/>
    <n v="0"/>
    <n v="0"/>
    <n v="0"/>
    <n v="0"/>
    <n v="0"/>
    <n v="0"/>
    <n v="0"/>
    <n v="237.41656180637119"/>
    <n v="493.82644855725198"/>
    <n v="0"/>
    <n v="0"/>
    <n v="0"/>
    <n v="0"/>
    <n v="0"/>
    <n v="0"/>
    <n v="0"/>
    <n v="0"/>
    <n v="280"/>
    <n v="607.08067922493706"/>
    <n v="0"/>
    <n v="0"/>
    <n v="0"/>
    <n v="0"/>
    <n v="0"/>
    <n v="0"/>
    <n v="0"/>
    <n v="0"/>
    <n v="0"/>
    <n v="0"/>
    <n v="0"/>
    <n v="0"/>
    <n v="0"/>
    <n v="0"/>
    <n v="280"/>
    <n v="607.08067922493706"/>
    <n v="42.583438193628808"/>
    <n v="0.17936170025222756"/>
    <n v="113.25423066768508"/>
    <n v="0.22934014773523193"/>
  </r>
  <r>
    <x v="0"/>
    <s v="ESPAÑA"/>
    <s v="AGROTÉCNICA DEL NORTE, S.L"/>
    <s v="Con potencial"/>
    <s v="WHITE0020"/>
    <s v="AGROWHITE, 20 KG"/>
    <n v="20"/>
    <n v="1.89"/>
    <n v="1.9716264585162671"/>
    <n v="0"/>
    <n v="0"/>
    <n v="0"/>
    <n v="0"/>
    <n v="0"/>
    <n v="0"/>
    <n v="0"/>
    <n v="0"/>
    <n v="0"/>
    <n v="0"/>
    <n v="197.84713483864269"/>
    <n v="354.14637136117028"/>
    <n v="395.69426967728532"/>
    <n v="767.64688317393347"/>
    <n v="0"/>
    <n v="0"/>
    <n v="0"/>
    <n v="0"/>
    <n v="0"/>
    <n v="0"/>
    <n v="0"/>
    <n v="0"/>
    <n v="0"/>
    <n v="0"/>
    <n v="593.54140451592798"/>
    <n v="1121.7932545351036"/>
    <n v="0"/>
    <n v="0"/>
    <n v="0"/>
    <n v="0"/>
    <n v="0"/>
    <n v="0"/>
    <n v="0"/>
    <n v="0"/>
    <n v="0"/>
    <n v="0"/>
    <n v="220"/>
    <n v="410.48827520394963"/>
    <n v="460"/>
    <n v="930.21771658711179"/>
    <n v="0"/>
    <n v="0"/>
    <n v="0"/>
    <n v="0"/>
    <n v="0"/>
    <n v="0"/>
    <n v="0"/>
    <n v="0"/>
    <n v="0"/>
    <n v="0"/>
    <n v="680"/>
    <n v="1340.7059917910615"/>
    <n v="86.458595484072021"/>
    <n v="0.14566565167359249"/>
    <n v="218.91273725595784"/>
    <n v="0.19514534997509875"/>
  </r>
  <r>
    <x v="0"/>
    <s v="ESPAÑA"/>
    <s v="AGROVEYCA,S.L"/>
    <s v="Consolidado/estratégico"/>
    <s v="A-50(2)0005"/>
    <s v="CODIORGAN-A50, 5 KG"/>
    <n v="5"/>
    <n v="4.8564705882352941"/>
    <n v="5.0622794796038884"/>
    <n v="0"/>
    <n v="0"/>
    <n v="0"/>
    <n v="0"/>
    <n v="0"/>
    <n v="0"/>
    <n v="494.61783709660659"/>
    <n v="2403.8426882895078"/>
    <n v="1187.082809031856"/>
    <n v="5763.28703784966"/>
    <n v="0"/>
    <n v="0"/>
    <n v="0"/>
    <n v="0"/>
    <n v="0"/>
    <n v="0"/>
    <n v="0"/>
    <n v="0"/>
    <n v="0"/>
    <n v="0"/>
    <n v="0"/>
    <n v="0"/>
    <n v="0"/>
    <n v="0"/>
    <n v="1681.7006461284625"/>
    <n v="8167.1297261391683"/>
    <n v="0"/>
    <n v="0"/>
    <n v="0"/>
    <n v="0"/>
    <n v="0"/>
    <n v="0"/>
    <n v="625"/>
    <n v="3166.2217773793718"/>
    <n v="1495"/>
    <n v="7565.8107193808701"/>
    <n v="0"/>
    <n v="0"/>
    <n v="0"/>
    <n v="0"/>
    <n v="0"/>
    <n v="0"/>
    <n v="0"/>
    <n v="0"/>
    <n v="0"/>
    <n v="0"/>
    <n v="0"/>
    <n v="0"/>
    <n v="0"/>
    <n v="0"/>
    <n v="2120"/>
    <n v="10732.032496760243"/>
    <n v="438.29935387153751"/>
    <n v="0.26062864094187693"/>
    <n v="2564.9027706210745"/>
    <n v="0.31405191990669851"/>
  </r>
  <r>
    <x v="0"/>
    <s v="ESPAÑA"/>
    <s v="AGROVEYCA,S.L"/>
    <s v="Consolidado/estratégico"/>
    <s v="AGFEL0005"/>
    <s v="AGROXILATO-FE-L, 5 L"/>
    <n v="5"/>
    <n v="4.5999999999999996"/>
    <n v="4.7949366834387197"/>
    <n v="0"/>
    <n v="0"/>
    <n v="0"/>
    <n v="0"/>
    <n v="0"/>
    <n v="0"/>
    <n v="0"/>
    <n v="0"/>
    <n v="296.77070225796399"/>
    <n v="1365.145230386634"/>
    <n v="0"/>
    <n v="0"/>
    <n v="0"/>
    <n v="0"/>
    <n v="0"/>
    <n v="0"/>
    <n v="0"/>
    <n v="0"/>
    <n v="0"/>
    <n v="0"/>
    <n v="0"/>
    <n v="0"/>
    <n v="0"/>
    <n v="0"/>
    <n v="296.77070225796399"/>
    <n v="1365.145230386634"/>
    <n v="0"/>
    <n v="0"/>
    <n v="0"/>
    <n v="0"/>
    <n v="0"/>
    <n v="0"/>
    <n v="0"/>
    <n v="0"/>
    <n v="335"/>
    <n v="1606.303788951971"/>
    <n v="0"/>
    <n v="0"/>
    <n v="0"/>
    <n v="0"/>
    <n v="0"/>
    <n v="0"/>
    <n v="0"/>
    <n v="0"/>
    <n v="0"/>
    <n v="0"/>
    <n v="0"/>
    <n v="0"/>
    <n v="0"/>
    <n v="0"/>
    <n v="335"/>
    <n v="1606.303788951971"/>
    <n v="38.22929774203601"/>
    <n v="0.12881762738427496"/>
    <n v="241.15855856533699"/>
    <n v="0.17665414140372193"/>
  </r>
  <r>
    <x v="0"/>
    <s v="ESPAÑA"/>
    <s v="AGROVEYCA,S.L"/>
    <s v="Consolidado/estratégico"/>
    <s v="AGRMG0005"/>
    <s v="AGROXIGREEN-MG, 5 L"/>
    <n v="5"/>
    <n v="3.38"/>
    <n v="3.5232360847875821"/>
    <n v="0"/>
    <n v="0"/>
    <n v="0"/>
    <n v="0"/>
    <n v="197.84713483864269"/>
    <n v="668.72331575461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68.72331575461214"/>
    <n v="0"/>
    <n v="0"/>
    <n v="0"/>
    <n v="0"/>
    <n v="240"/>
    <n v="845.57666034901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845.57666034901956"/>
    <n v="42.152865161357312"/>
    <n v="0.21305774883086245"/>
    <n v="176.85334459440742"/>
    <n v="0.26446415195623851"/>
  </r>
  <r>
    <x v="0"/>
    <s v="ESPAÑA"/>
    <s v="AGROVEYCA,S.L"/>
    <s v="Consolidado/estratégico"/>
    <s v="AGRMGN0020"/>
    <s v="AGROXIGREEN-MG, 20 L"/>
    <n v="20"/>
    <n v="3.08"/>
    <n v="3.2105228228241849"/>
    <n v="0"/>
    <n v="0"/>
    <n v="0"/>
    <n v="0"/>
    <n v="633.11083148365651"/>
    <n v="1949.9813609696621"/>
    <n v="0"/>
    <n v="0"/>
    <n v="633.11083148365651"/>
    <n v="1949.9813609696621"/>
    <n v="633.11083148365651"/>
    <n v="1949.9813609696621"/>
    <n v="0"/>
    <n v="0"/>
    <n v="0"/>
    <n v="0"/>
    <n v="0"/>
    <n v="0"/>
    <n v="0"/>
    <n v="0"/>
    <n v="0"/>
    <n v="0"/>
    <n v="0"/>
    <n v="0"/>
    <n v="1899.3324944509695"/>
    <n v="5849.9440829089863"/>
    <n v="0"/>
    <n v="0"/>
    <n v="0"/>
    <n v="0"/>
    <n v="760"/>
    <n v="2439.9973453463808"/>
    <n v="0"/>
    <n v="0"/>
    <n v="760"/>
    <n v="2439.9973453463808"/>
    <n v="760"/>
    <n v="2439.9973453463808"/>
    <n v="0"/>
    <n v="0"/>
    <n v="0"/>
    <n v="0"/>
    <n v="0"/>
    <n v="0"/>
    <n v="0"/>
    <n v="0"/>
    <n v="0"/>
    <n v="0"/>
    <n v="0"/>
    <n v="0"/>
    <n v="2280"/>
    <n v="7319.9920360391425"/>
    <n v="380.66750554903047"/>
    <n v="0.20042173061387447"/>
    <n v="1470.0479531301562"/>
    <n v="0.2512926503733604"/>
  </r>
  <r>
    <x v="0"/>
    <s v="ESPAÑA"/>
    <s v="AGROVEYCA,S.L"/>
    <s v="Consolidado/estratégico"/>
    <s v="AGXK0020"/>
    <s v="AGROXILATO-K, 20 L"/>
    <n v="20"/>
    <n v="3.089999999999999"/>
    <n v="3.2209465982229659"/>
    <n v="0"/>
    <n v="0"/>
    <n v="0"/>
    <n v="0"/>
    <n v="0"/>
    <n v="0"/>
    <n v="2532.443325934626"/>
    <n v="7825.2498771379933"/>
    <n v="0"/>
    <n v="0"/>
    <n v="0"/>
    <n v="0"/>
    <n v="0"/>
    <n v="0"/>
    <n v="0"/>
    <n v="0"/>
    <n v="0"/>
    <n v="0"/>
    <n v="0"/>
    <n v="0"/>
    <n v="0"/>
    <n v="0"/>
    <n v="0"/>
    <n v="0"/>
    <n v="2532.443325934626"/>
    <n v="7825.2498771379933"/>
    <n v="0"/>
    <n v="0"/>
    <n v="0"/>
    <n v="0"/>
    <n v="0"/>
    <n v="0"/>
    <n v="2800"/>
    <n v="9018.6504750243057"/>
    <n v="0"/>
    <n v="0"/>
    <n v="0"/>
    <n v="0"/>
    <n v="0"/>
    <n v="0"/>
    <n v="0"/>
    <n v="0"/>
    <n v="0"/>
    <n v="0"/>
    <n v="0"/>
    <n v="0"/>
    <n v="0"/>
    <n v="0"/>
    <n v="0"/>
    <n v="0"/>
    <n v="2800"/>
    <n v="9018.6504750243057"/>
    <n v="267.55667406537395"/>
    <n v="0.10565159398646334"/>
    <n v="1193.4005978863124"/>
    <n v="0.15250638850177992"/>
  </r>
  <r>
    <x v="0"/>
    <s v="ESPAÑA"/>
    <s v="AGROVEYCA,S.L"/>
    <s v="Consolidado/estratégico"/>
    <s v="AN0020"/>
    <s v="ALCAPLANT NEW, 20 KG"/>
    <n v="20"/>
    <n v="1.6708695652173911"/>
    <n v="1.7416630872339709"/>
    <n v="989.23567419321319"/>
    <n v="1642.131219160734"/>
    <n v="1088.159241612535"/>
    <n v="1828.107525909058"/>
    <n v="0"/>
    <n v="0"/>
    <n v="593.54140451592798"/>
    <n v="997.14955958675898"/>
    <n v="1879.5477809671049"/>
    <n v="3135.8770871924862"/>
    <n v="0"/>
    <n v="0"/>
    <n v="0"/>
    <n v="0"/>
    <n v="0"/>
    <n v="0"/>
    <n v="0"/>
    <n v="0"/>
    <n v="0"/>
    <n v="0"/>
    <n v="0"/>
    <n v="0"/>
    <n v="0"/>
    <n v="0"/>
    <n v="4550.4841012887809"/>
    <n v="7603.2653918490369"/>
    <n v="1100"/>
    <n v="1903.381387817197"/>
    <n v="1200"/>
    <n v="2101.4331203940128"/>
    <n v="0"/>
    <n v="0"/>
    <n v="660"/>
    <n v="1155.788216216707"/>
    <n v="2080"/>
    <n v="3617.379235231298"/>
    <n v="0"/>
    <n v="0"/>
    <n v="0"/>
    <n v="0"/>
    <n v="0"/>
    <n v="0"/>
    <n v="0"/>
    <n v="0"/>
    <n v="0"/>
    <n v="0"/>
    <n v="0"/>
    <n v="0"/>
    <n v="0"/>
    <n v="0"/>
    <n v="5040"/>
    <n v="8777.9819596592151"/>
    <n v="489.51589871121905"/>
    <n v="0.10757446632383115"/>
    <n v="1174.7165678101783"/>
    <n v="0.15450158678789708"/>
  </r>
  <r>
    <x v="0"/>
    <s v="ESPAÑA"/>
    <s v="AGROVEYCA,S.L"/>
    <s v="Consolidado/estratégico"/>
    <s v="AQUOM0005"/>
    <s v="AQUOM, 5 L"/>
    <n v="5"/>
    <n v="12.81"/>
    <n v="13.35285628583696"/>
    <n v="0"/>
    <n v="0"/>
    <n v="0"/>
    <n v="0"/>
    <n v="39.569426967728532"/>
    <n v="506.88435945660251"/>
    <n v="0"/>
    <n v="0"/>
    <n v="39.569426967728532"/>
    <n v="506.88435945660251"/>
    <n v="98.92356741932133"/>
    <n v="1267.210898641506"/>
    <n v="0"/>
    <n v="0"/>
    <n v="0"/>
    <n v="0"/>
    <n v="0"/>
    <n v="0"/>
    <n v="0"/>
    <n v="0"/>
    <n v="0"/>
    <n v="0"/>
    <n v="0"/>
    <n v="0"/>
    <n v="178.06242135477839"/>
    <n v="2280.9796175547108"/>
    <n v="0"/>
    <n v="0"/>
    <n v="0"/>
    <n v="0"/>
    <n v="50"/>
    <n v="667.6428142918478"/>
    <n v="0"/>
    <n v="0"/>
    <n v="50"/>
    <n v="667.6428142918478"/>
    <n v="120"/>
    <n v="1602.342754300435"/>
    <n v="0"/>
    <n v="0"/>
    <n v="0"/>
    <n v="0"/>
    <n v="0"/>
    <n v="0"/>
    <n v="0"/>
    <n v="0"/>
    <n v="0"/>
    <n v="0"/>
    <n v="0"/>
    <n v="0"/>
    <n v="220"/>
    <n v="2937.6283828841306"/>
    <n v="41.937578645221606"/>
    <n v="0.23552178121661935"/>
    <n v="656.6487653294198"/>
    <n v="0.28788015477024298"/>
  </r>
  <r>
    <x v="0"/>
    <s v="ESPAÑA"/>
    <s v="AGROVEYCA,S.L"/>
    <s v="Consolidado/estratégico"/>
    <s v="AQUOM0020"/>
    <s v="AQUOM, 20 L"/>
    <n v="20"/>
    <n v="11.6"/>
    <n v="12.091579462584599"/>
    <n v="0"/>
    <n v="0"/>
    <n v="0"/>
    <n v="0"/>
    <n v="59.354140451592791"/>
    <n v="688.50802923847641"/>
    <n v="0"/>
    <n v="0"/>
    <n v="59.354140451592791"/>
    <n v="688.50802923847641"/>
    <n v="296.77070225796399"/>
    <n v="3442.5401461923821"/>
    <n v="0"/>
    <n v="0"/>
    <n v="0"/>
    <n v="0"/>
    <n v="0"/>
    <n v="0"/>
    <n v="0"/>
    <n v="0"/>
    <n v="0"/>
    <n v="0"/>
    <n v="0"/>
    <n v="0"/>
    <n v="415.47898316114959"/>
    <n v="4819.5562046693349"/>
    <n v="0"/>
    <n v="0"/>
    <n v="0"/>
    <n v="0"/>
    <n v="80"/>
    <n v="967.32635700676792"/>
    <n v="0"/>
    <n v="0"/>
    <n v="80"/>
    <n v="967.32635700676792"/>
    <n v="360"/>
    <n v="4352.968606530455"/>
    <n v="0"/>
    <n v="0"/>
    <n v="0"/>
    <n v="0"/>
    <n v="0"/>
    <n v="0"/>
    <n v="0"/>
    <n v="0"/>
    <n v="0"/>
    <n v="0"/>
    <n v="0"/>
    <n v="0"/>
    <n v="520"/>
    <n v="6287.6213205439908"/>
    <n v="104.52101683885041"/>
    <n v="0.25156751863501703"/>
    <n v="1468.0651158746559"/>
    <n v="0.30460587106596021"/>
  </r>
  <r>
    <x v="0"/>
    <s v="ESPAÑA"/>
    <s v="AGROVEYCA,S.L"/>
    <s v="Consolidado/estratégico"/>
    <s v="BIO0020"/>
    <s v="BIORAD-20, 20 L"/>
    <n v="20"/>
    <n v="2.3664444444444439"/>
    <n v="2.4667181274959731"/>
    <n v="316.55541574182831"/>
    <n v="743.90522699329631"/>
    <n v="0"/>
    <n v="0"/>
    <n v="633.11083148365651"/>
    <n v="1500.472670616266"/>
    <n v="197.84713483864269"/>
    <n v="468.89770956758309"/>
    <n v="633.11083148365651"/>
    <n v="1500.472670616266"/>
    <n v="0"/>
    <n v="0"/>
    <n v="0"/>
    <n v="0"/>
    <n v="0"/>
    <n v="0"/>
    <n v="379.19845571935571"/>
    <n v="897.35207887898218"/>
    <n v="284.39884178951678"/>
    <n v="673.01405915923658"/>
    <n v="379.19845571935571"/>
    <n v="897.35207887898218"/>
    <n v="0"/>
    <n v="0"/>
    <n v="2823.4199667760122"/>
    <n v="6681.4664947106112"/>
    <n v="400"/>
    <n v="979.83488748530362"/>
    <n v="0"/>
    <n v="0"/>
    <n v="800"/>
    <n v="1976.3478156086551"/>
    <n v="240"/>
    <n v="592.9043446825965"/>
    <n v="800"/>
    <n v="1976.3478156086551"/>
    <n v="0"/>
    <n v="0"/>
    <n v="0"/>
    <n v="0"/>
    <n v="0"/>
    <n v="0"/>
    <n v="480"/>
    <n v="1184.029698363802"/>
    <n v="360"/>
    <n v="888.02227377285112"/>
    <n v="480"/>
    <n v="1184.029698363802"/>
    <n v="0"/>
    <n v="0"/>
    <n v="3560"/>
    <n v="8781.5165338856641"/>
    <n v="736.58003322398781"/>
    <n v="0.2608822073554537"/>
    <n v="2100.0500391750529"/>
    <n v="0.31430974634648834"/>
  </r>
  <r>
    <x v="0"/>
    <s v="ESPAÑA"/>
    <s v="AGROVEYCA,S.L"/>
    <s v="Consolidado/estratégico"/>
    <s v="BR-590005"/>
    <s v="BR-59, 5 KG"/>
    <n v="5"/>
    <n v="2.58"/>
    <n v="2.689334052885195"/>
    <n v="0"/>
    <n v="0"/>
    <n v="0"/>
    <n v="0"/>
    <n v="0"/>
    <n v="0"/>
    <n v="0"/>
    <n v="0"/>
    <n v="197.84713483864269"/>
    <n v="510.44560788369802"/>
    <n v="0"/>
    <n v="0"/>
    <n v="0"/>
    <n v="0"/>
    <n v="0"/>
    <n v="0"/>
    <n v="0"/>
    <n v="0"/>
    <n v="0"/>
    <n v="0"/>
    <n v="0"/>
    <n v="0"/>
    <n v="0"/>
    <n v="0"/>
    <n v="197.84713483864269"/>
    <n v="510.44560788369802"/>
    <n v="0"/>
    <n v="0"/>
    <n v="0"/>
    <n v="0"/>
    <n v="0"/>
    <n v="0"/>
    <n v="0"/>
    <n v="0"/>
    <n v="220"/>
    <n v="591.65349163474298"/>
    <n v="0"/>
    <n v="0"/>
    <n v="0"/>
    <n v="0"/>
    <n v="0"/>
    <n v="0"/>
    <n v="0"/>
    <n v="0"/>
    <n v="0"/>
    <n v="0"/>
    <n v="0"/>
    <n v="0"/>
    <n v="0"/>
    <n v="0"/>
    <n v="220"/>
    <n v="591.65349163474298"/>
    <n v="22.152865161357312"/>
    <n v="0.11196960309495725"/>
    <n v="81.20788375104496"/>
    <n v="0.15909213929321867"/>
  </r>
  <r>
    <x v="0"/>
    <s v="ESPAÑA"/>
    <s v="AGROVEYCA,S.L"/>
    <s v="Consolidado/estratégico"/>
    <s v="BROTA0020"/>
    <s v="BROTAMEC, 20 L"/>
    <n v="20"/>
    <n v="2.899999999999999"/>
    <n v="3.022894865646149"/>
    <n v="633.11083148365651"/>
    <n v="1823.3591946729309"/>
    <n v="633.11083148365651"/>
    <n v="1848.683627932277"/>
    <n v="0"/>
    <n v="0"/>
    <n v="0"/>
    <n v="0"/>
    <n v="0"/>
    <n v="0"/>
    <n v="0"/>
    <n v="0"/>
    <n v="0"/>
    <n v="0"/>
    <n v="0"/>
    <n v="0"/>
    <n v="0"/>
    <n v="0"/>
    <n v="606.7175291509692"/>
    <n v="1759.480834537811"/>
    <n v="0"/>
    <n v="0"/>
    <n v="0"/>
    <n v="0"/>
    <n v="1872.9391921182823"/>
    <n v="5431.5236571430196"/>
    <n v="680"/>
    <n v="2041.3921740970411"/>
    <n v="680"/>
    <n v="2069.744843181722"/>
    <n v="0"/>
    <n v="0"/>
    <n v="0"/>
    <n v="0"/>
    <n v="0"/>
    <n v="0"/>
    <n v="0"/>
    <n v="0"/>
    <n v="0"/>
    <n v="0"/>
    <n v="0"/>
    <n v="0"/>
    <n v="0"/>
    <n v="0"/>
    <n v="660"/>
    <n v="1995.1106113264591"/>
    <n v="0"/>
    <n v="0"/>
    <n v="0"/>
    <n v="0"/>
    <n v="2020"/>
    <n v="6106.2476286052224"/>
    <n v="147.06080788171766"/>
    <n v="7.851873061366868E-2"/>
    <n v="674.72397146220283"/>
    <n v="0.1242237011294005"/>
  </r>
  <r>
    <x v="0"/>
    <s v="ESPAÑA"/>
    <s v="AGROVEYCA,S.L"/>
    <s v="Consolidado/estratégico"/>
    <s v="C-CU0020"/>
    <s v="CODICOBRE, 20 L"/>
    <n v="20"/>
    <n v="3.72"/>
    <n v="3.877644448346095"/>
    <n v="0"/>
    <n v="0"/>
    <n v="0"/>
    <n v="0"/>
    <n v="0"/>
    <n v="0"/>
    <n v="1365.145230386634"/>
    <n v="5078.3402570382796"/>
    <n v="2532.443325934626"/>
    <n v="9420.6891724768084"/>
    <n v="0"/>
    <n v="0"/>
    <n v="0"/>
    <n v="0"/>
    <n v="0"/>
    <n v="0"/>
    <n v="0"/>
    <n v="0"/>
    <n v="0"/>
    <n v="0"/>
    <n v="0"/>
    <n v="0"/>
    <n v="0"/>
    <n v="0"/>
    <n v="3897.5885563212601"/>
    <n v="14499.029429515089"/>
    <n v="0"/>
    <n v="0"/>
    <n v="0"/>
    <n v="0"/>
    <n v="0"/>
    <n v="0"/>
    <n v="1480"/>
    <n v="5738.9137835522224"/>
    <n v="2760"/>
    <n v="10702.298677435219"/>
    <n v="0"/>
    <n v="0"/>
    <n v="0"/>
    <n v="0"/>
    <n v="0"/>
    <n v="0"/>
    <n v="0"/>
    <n v="0"/>
    <n v="0"/>
    <n v="0"/>
    <n v="0"/>
    <n v="0"/>
    <n v="0"/>
    <n v="0"/>
    <n v="4240"/>
    <n v="16441.212460987441"/>
    <n v="342.41144367873994"/>
    <n v="8.7852126701112102E-2"/>
    <n v="1942.183031472352"/>
    <n v="0.13395262358173635"/>
  </r>
  <r>
    <x v="0"/>
    <s v="ESPAÑA"/>
    <s v="AGROVEYCA,S.L"/>
    <s v="Consolidado/estratégico"/>
    <s v="C-CUAE0005"/>
    <s v="CUPRAMEC, 5 L"/>
    <n v="5"/>
    <n v="4.4000000000000004"/>
    <n v="4.5864611754631239"/>
    <n v="0"/>
    <n v="0"/>
    <n v="0"/>
    <n v="0"/>
    <n v="59.354140451592791"/>
    <n v="261.1582179870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261.1582179870083"/>
    <n v="0"/>
    <n v="0"/>
    <n v="0"/>
    <n v="0"/>
    <n v="70"/>
    <n v="321.05228228241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321.05228228241867"/>
    <n v="10.645859548407209"/>
    <n v="0.1793617002522277"/>
    <n v="59.894064295410374"/>
    <n v="0.22934014773523187"/>
  </r>
  <r>
    <x v="0"/>
    <s v="ESPAÑA"/>
    <s v="AGROVEYCA,S.L"/>
    <s v="Consolidado/estratégico"/>
    <s v="C-CUAE0020"/>
    <s v="CUPRAMEC, 20 L"/>
    <n v="20"/>
    <n v="4.09"/>
    <n v="4.2633241381009492"/>
    <n v="0"/>
    <n v="0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760"/>
    <n v="3240.1263449567209"/>
    <n v="0"/>
    <n v="0"/>
    <n v="0"/>
    <n v="0"/>
    <n v="0"/>
    <n v="0"/>
    <n v="0"/>
    <n v="0"/>
    <n v="0"/>
    <n v="0"/>
    <n v="0"/>
    <n v="0"/>
    <n v="0"/>
    <n v="0"/>
    <n v="760"/>
    <n v="3240.1263449567209"/>
    <n v="126.88916851634349"/>
    <n v="0.20042173061387447"/>
    <n v="650.70304418856585"/>
    <n v="0.25129265037336079"/>
  </r>
  <r>
    <x v="0"/>
    <s v="ESPAÑA"/>
    <s v="AGROVEYCA,S.L"/>
    <s v="Consolidado/estratégico"/>
    <s v="CSIL0020"/>
    <s v="FITOKONTROL-K, 20 L"/>
    <n v="20"/>
    <n v="3.35"/>
    <n v="3.4919647585912421"/>
    <n v="0"/>
    <n v="0"/>
    <n v="0"/>
    <n v="0"/>
    <n v="0"/>
    <n v="0"/>
    <n v="0"/>
    <n v="0"/>
    <n v="593.54140451592798"/>
    <n v="1988.363705128359"/>
    <n v="0"/>
    <n v="0"/>
    <n v="0"/>
    <n v="0"/>
    <n v="0"/>
    <n v="0"/>
    <n v="0"/>
    <n v="0"/>
    <n v="0"/>
    <n v="0"/>
    <n v="0"/>
    <n v="0"/>
    <n v="0"/>
    <n v="0"/>
    <n v="593.54140451592798"/>
    <n v="1988.363705128359"/>
    <n v="0"/>
    <n v="0"/>
    <n v="0"/>
    <n v="0"/>
    <n v="0"/>
    <n v="0"/>
    <n v="0"/>
    <n v="0"/>
    <n v="640"/>
    <n v="2234.857445498395"/>
    <n v="0"/>
    <n v="0"/>
    <n v="0"/>
    <n v="0"/>
    <n v="0"/>
    <n v="0"/>
    <n v="0"/>
    <n v="0"/>
    <n v="0"/>
    <n v="0"/>
    <n v="0"/>
    <n v="0"/>
    <n v="0"/>
    <n v="0"/>
    <n v="640"/>
    <n v="2234.857445498395"/>
    <n v="46.458595484072021"/>
    <n v="7.8273554516322341E-2"/>
    <n v="246.49374037003599"/>
    <n v="0.12396813507221184"/>
  </r>
  <r>
    <x v="0"/>
    <s v="ESPAÑA"/>
    <s v="AGROVEYCA,S.L"/>
    <s v="Consolidado/estratégico"/>
    <s v="FROST-P0005"/>
    <s v="CODIFROST PLUS, 5 L"/>
    <n v="5"/>
    <n v="4.1999999999999993"/>
    <n v="4.3779856674875264"/>
    <n v="0"/>
    <n v="0"/>
    <n v="0"/>
    <n v="0"/>
    <n v="0"/>
    <n v="0"/>
    <n v="39.569426967728532"/>
    <n v="166.1915932644598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66.19159326445981"/>
    <n v="0"/>
    <n v="0"/>
    <n v="0"/>
    <n v="0"/>
    <n v="0"/>
    <n v="0"/>
    <n v="45"/>
    <n v="197.0093550369387"/>
    <n v="0"/>
    <n v="0"/>
    <n v="0"/>
    <n v="0"/>
    <n v="0"/>
    <n v="0"/>
    <n v="0"/>
    <n v="0"/>
    <n v="0"/>
    <n v="0"/>
    <n v="0"/>
    <n v="0"/>
    <n v="0"/>
    <n v="0"/>
    <n v="0"/>
    <n v="0"/>
    <n v="45"/>
    <n v="197.0093550369387"/>
    <n v="5.430573032271468"/>
    <n v="0.13724163952893373"/>
    <n v="30.817761772478889"/>
    <n v="0.18543514245897352"/>
  </r>
  <r>
    <x v="0"/>
    <s v="ESPAÑA"/>
    <s v="AGROVEYCA,S.L"/>
    <s v="Consolidado/estratégico"/>
    <s v="FROST-P0020"/>
    <s v="CODIFROST PLUS, 20 L"/>
    <n v="20"/>
    <n v="3.919999999999999"/>
    <n v="4.0861199563216921"/>
    <n v="0"/>
    <n v="0"/>
    <n v="0"/>
    <n v="0"/>
    <n v="0"/>
    <n v="0"/>
    <n v="98.92356741932133"/>
    <n v="387.78038428373958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87.78038428373958"/>
    <n v="0"/>
    <n v="0"/>
    <n v="0"/>
    <n v="0"/>
    <n v="0"/>
    <n v="0"/>
    <n v="100"/>
    <n v="408.61199563216923"/>
    <n v="0"/>
    <n v="0"/>
    <n v="0"/>
    <n v="0"/>
    <n v="0"/>
    <n v="0"/>
    <n v="0"/>
    <n v="0"/>
    <n v="0"/>
    <n v="0"/>
    <n v="0"/>
    <n v="0"/>
    <n v="0"/>
    <n v="0"/>
    <n v="0"/>
    <n v="0"/>
    <n v="100"/>
    <n v="408.61199563216923"/>
    <n v="1.0764325806786701"/>
    <n v="1.0881457359052195E-2"/>
    <n v="20.831611348429647"/>
    <n v="5.372012663019881E-2"/>
  </r>
  <r>
    <x v="0"/>
    <s v="ESPAÑA"/>
    <s v="AGROVEYCA,S.L"/>
    <s v="Consolidado/estratégico"/>
    <s v="FTK0005"/>
    <s v="FITOKONTROL CA FLOW, 5 KG"/>
    <n v="5"/>
    <n v="2.69"/>
    <n v="2.803995582271773"/>
    <n v="0"/>
    <n v="0"/>
    <n v="0"/>
    <n v="0"/>
    <n v="0"/>
    <n v="0"/>
    <n v="1384.9299438704991"/>
    <n v="3725.4615490116412"/>
    <n v="0"/>
    <n v="0"/>
    <n v="0"/>
    <n v="0"/>
    <n v="0"/>
    <n v="0"/>
    <n v="0"/>
    <n v="0"/>
    <n v="0"/>
    <n v="0"/>
    <n v="0"/>
    <n v="0"/>
    <n v="0"/>
    <n v="0"/>
    <n v="0"/>
    <n v="0"/>
    <n v="1384.9299438704991"/>
    <n v="3725.4615490116412"/>
    <n v="0"/>
    <n v="0"/>
    <n v="0"/>
    <n v="0"/>
    <n v="0"/>
    <n v="0"/>
    <n v="1745"/>
    <n v="4892.972291064244"/>
    <n v="0"/>
    <n v="0"/>
    <n v="0"/>
    <n v="0"/>
    <n v="0"/>
    <n v="0"/>
    <n v="0"/>
    <n v="0"/>
    <n v="0"/>
    <n v="0"/>
    <n v="0"/>
    <n v="0"/>
    <n v="0"/>
    <n v="0"/>
    <n v="0"/>
    <n v="0"/>
    <n v="1745"/>
    <n v="4892.972291064244"/>
    <n v="360.07005612950093"/>
    <n v="0.25999153077967535"/>
    <n v="1167.5107420526028"/>
    <n v="0.3133868721212118"/>
  </r>
  <r>
    <x v="0"/>
    <s v="ESPAÑA"/>
    <s v="AGROVEYCA,S.L"/>
    <s v="Consolidado/estratégico"/>
    <s v="PIV0020"/>
    <s v="PGR IV, 20 L"/>
    <n v="20"/>
    <n v="2.5099999999999998"/>
    <n v="2.6163676250937362"/>
    <n v="0"/>
    <n v="0"/>
    <n v="0"/>
    <n v="0"/>
    <n v="0"/>
    <n v="0"/>
    <n v="296.77070225796399"/>
    <n v="744.89446266748962"/>
    <n v="197.84713483864269"/>
    <n v="496.59630844499299"/>
    <n v="0"/>
    <n v="0"/>
    <n v="0"/>
    <n v="0"/>
    <n v="0"/>
    <n v="0"/>
    <n v="0"/>
    <n v="0"/>
    <n v="0"/>
    <n v="0"/>
    <n v="0"/>
    <n v="0"/>
    <n v="0"/>
    <n v="0"/>
    <n v="494.61783709660665"/>
    <n v="1241.4907711124827"/>
    <n v="0"/>
    <n v="0"/>
    <n v="0"/>
    <n v="0"/>
    <n v="0"/>
    <n v="0"/>
    <n v="320"/>
    <n v="837.23764002999565"/>
    <n v="220"/>
    <n v="575.60087752062191"/>
    <n v="0"/>
    <n v="0"/>
    <n v="0"/>
    <n v="0"/>
    <n v="0"/>
    <n v="0"/>
    <n v="0"/>
    <n v="0"/>
    <n v="0"/>
    <n v="0"/>
    <n v="0"/>
    <n v="0"/>
    <n v="0"/>
    <n v="0"/>
    <n v="540"/>
    <n v="1412.8385175506176"/>
    <n v="45.38216290339335"/>
    <n v="9.1751973947776372E-2"/>
    <n v="171.34774643813489"/>
    <n v="0.13801773676061446"/>
  </r>
  <r>
    <x v="0"/>
    <s v="ESPAÑA"/>
    <s v="AGROVEYCA,S.L"/>
    <s v="Consolidado/estratégico"/>
    <s v="PT0005"/>
    <s v="AGROPOTASION, 5 L"/>
    <n v="5"/>
    <n v="3.52"/>
    <n v="3.6691689403704988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220"/>
    <n v="807.2171668815098"/>
    <n v="0"/>
    <n v="0"/>
    <n v="0"/>
    <n v="0"/>
    <n v="0"/>
    <n v="0"/>
    <n v="0"/>
    <n v="0"/>
    <n v="0"/>
    <n v="0"/>
    <n v="0"/>
    <n v="0"/>
    <n v="0"/>
    <n v="0"/>
    <n v="0"/>
    <n v="0"/>
    <n v="220"/>
    <n v="807.2171668815098"/>
    <n v="22.152865161357312"/>
    <n v="0.11196960309495725"/>
    <n v="110.7952522494877"/>
    <n v="0.15909213929321867"/>
  </r>
  <r>
    <x v="0"/>
    <s v="ESPAÑA"/>
    <s v="AGROVEYCA,S.L"/>
    <s v="Consolidado/estratégico"/>
    <s v="PT0020"/>
    <s v="AGROPOTASION, 20 L"/>
    <n v="20"/>
    <n v="2.640625"/>
    <n v="2.7525281912402981"/>
    <n v="0"/>
    <n v="0"/>
    <n v="633.11083148365651"/>
    <n v="1671.808289386531"/>
    <n v="0"/>
    <n v="0"/>
    <n v="1266.221662967313"/>
    <n v="3343.6165787730611"/>
    <n v="0"/>
    <n v="0"/>
    <n v="633.11083148365651"/>
    <n v="1671.808289386531"/>
    <n v="0"/>
    <n v="0"/>
    <n v="0"/>
    <n v="0"/>
    <n v="0"/>
    <n v="0"/>
    <n v="0"/>
    <n v="0"/>
    <n v="0"/>
    <n v="0"/>
    <n v="0"/>
    <n v="0"/>
    <n v="2532.443325934626"/>
    <n v="6687.233157546123"/>
    <n v="0"/>
    <n v="0"/>
    <n v="700"/>
    <n v="1926.769733868209"/>
    <n v="0"/>
    <n v="0"/>
    <n v="1400"/>
    <n v="3853.539467736417"/>
    <n v="0"/>
    <n v="0"/>
    <n v="700"/>
    <n v="1926.769733868209"/>
    <n v="0"/>
    <n v="0"/>
    <n v="0"/>
    <n v="0"/>
    <n v="0"/>
    <n v="0"/>
    <n v="0"/>
    <n v="0"/>
    <n v="0"/>
    <n v="0"/>
    <n v="0"/>
    <n v="0"/>
    <n v="2800"/>
    <n v="7707.0789354728349"/>
    <n v="267.55667406537395"/>
    <n v="0.10565159398646334"/>
    <n v="1019.8457779267119"/>
    <n v="0.15250638850177969"/>
  </r>
  <r>
    <x v="0"/>
    <s v="ESPAÑA"/>
    <s v="AGROVEYCA,S.L"/>
    <s v="Consolidado/estratégico"/>
    <s v="RUN0005"/>
    <s v="RUN STRESS, 5 L"/>
    <n v="5"/>
    <n v="7.4499999999999993"/>
    <n v="7.7657126720909702"/>
    <n v="98.92356741932133"/>
    <n v="736.98057727394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736.98057727394382"/>
    <n v="125"/>
    <n v="970.71408401137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"/>
    <n v="970.71408401137126"/>
    <n v="26.07643258067867"/>
    <n v="0.26360182169881524"/>
    <n v="233.73350673742743"/>
    <n v="0.31715015828774834"/>
  </r>
  <r>
    <x v="0"/>
    <s v="ESPAÑA"/>
    <s v="AGROVEYCA,S.L"/>
    <s v="Consolidado/estratégico"/>
    <s v="RUN0020"/>
    <s v="RUN STRESS, 20 L"/>
    <n v="20"/>
    <n v="7.14"/>
    <n v="7.4425756347287964"/>
    <n v="197.84713483864269"/>
    <n v="1412.628542747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412.628542747909"/>
    <n v="240"/>
    <n v="1786.2181523349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786.2181523349111"/>
    <n v="42.152865161357312"/>
    <n v="0.21305774883086245"/>
    <n v="373.58960958700209"/>
    <n v="0.26446415195623801"/>
  </r>
  <r>
    <x v="0"/>
    <s v="ESPAÑA"/>
    <s v="AGROVEYCA,S.L"/>
    <s v="Consolidado/estratégico"/>
    <s v="S0020"/>
    <s v="SAL-WAX STAR, 20 L"/>
    <n v="20"/>
    <n v="1.228"/>
    <n v="1.277760933185313"/>
    <n v="633.11083148365651"/>
    <n v="1253.5594463376401"/>
    <n v="1266.221662967313"/>
    <n v="0"/>
    <n v="1266.221662967313"/>
    <n v="2633.7410589720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26"/>
    <n v="3887.3005053096513"/>
    <n v="680"/>
    <n v="1403.4571196917159"/>
    <n v="1380"/>
    <n v="0"/>
    <n v="1380"/>
    <n v="2992.0404904657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0"/>
    <n v="4395.4976101574775"/>
    <n v="274.44584258171744"/>
    <n v="8.6697566660981107E-2"/>
    <n v="508.19710484782627"/>
    <n v="0.13073265217177871"/>
  </r>
  <r>
    <x v="0"/>
    <s v="ESPAÑA"/>
    <s v="AGROVEYCA,S.L"/>
    <s v="Consolidado/estratégico"/>
    <s v="S0020"/>
    <s v="SALWAX STAR, 20 L"/>
    <n v="20"/>
    <n v="2.0299999999999998"/>
    <n v="2.116026405952304"/>
    <n v="0"/>
    <n v="0"/>
    <n v="0"/>
    <n v="0"/>
    <n v="0"/>
    <n v="0"/>
    <n v="1266.221662967313"/>
    <n v="2633.7410589720112"/>
    <n v="1266.221662967313"/>
    <n v="2507.1188926752802"/>
    <n v="0"/>
    <n v="0"/>
    <n v="0"/>
    <n v="0"/>
    <n v="0"/>
    <n v="0"/>
    <n v="0"/>
    <n v="0"/>
    <n v="0"/>
    <n v="0"/>
    <n v="0"/>
    <n v="0"/>
    <n v="0"/>
    <n v="0"/>
    <n v="2532.443325934626"/>
    <n v="5140.8599516472914"/>
    <n v="0"/>
    <n v="0"/>
    <n v="0"/>
    <n v="0"/>
    <n v="0"/>
    <n v="0"/>
    <n v="1380"/>
    <n v="2992.0404904657612"/>
    <n v="1380"/>
    <n v="2848.1923899625999"/>
    <n v="0"/>
    <n v="0"/>
    <n v="0"/>
    <n v="0"/>
    <n v="0"/>
    <n v="0"/>
    <n v="0"/>
    <n v="0"/>
    <n v="0"/>
    <n v="0"/>
    <n v="0"/>
    <n v="0"/>
    <n v="0"/>
    <n v="0"/>
    <n v="2760"/>
    <n v="5840.2328804283607"/>
    <n v="227.55667406537395"/>
    <n v="8.9856571215228151E-2"/>
    <n v="699.37292878106928"/>
    <n v="0.13604201152318271"/>
  </r>
  <r>
    <x v="0"/>
    <s v="ESPAÑA"/>
    <s v="AGROVEYCA,S.L"/>
    <s v="Consolidado/estratégico"/>
    <s v="WHITE0020"/>
    <s v="AGROWHITE, 20 KG"/>
    <n v="20"/>
    <n v="1.79"/>
    <n v="1.8658557963815889"/>
    <n v="0"/>
    <n v="0"/>
    <n v="0"/>
    <n v="0"/>
    <n v="0"/>
    <n v="0"/>
    <n v="0"/>
    <n v="0"/>
    <n v="0"/>
    <n v="0"/>
    <n v="593.54140451592798"/>
    <n v="1062.439114083511"/>
    <n v="0"/>
    <n v="0"/>
    <n v="0"/>
    <n v="0"/>
    <n v="0"/>
    <n v="0"/>
    <n v="0"/>
    <n v="0"/>
    <n v="0"/>
    <n v="0"/>
    <n v="0"/>
    <n v="0"/>
    <n v="593.54140451592798"/>
    <n v="1062.439114083511"/>
    <n v="0"/>
    <n v="0"/>
    <n v="0"/>
    <n v="0"/>
    <n v="0"/>
    <n v="0"/>
    <n v="0"/>
    <n v="0"/>
    <n v="0"/>
    <n v="0"/>
    <n v="640"/>
    <n v="1194.147709684217"/>
    <n v="0"/>
    <n v="0"/>
    <n v="0"/>
    <n v="0"/>
    <n v="0"/>
    <n v="0"/>
    <n v="0"/>
    <n v="0"/>
    <n v="0"/>
    <n v="0"/>
    <n v="0"/>
    <n v="0"/>
    <n v="640"/>
    <n v="1194.147709684217"/>
    <n v="46.458595484072021"/>
    <n v="7.8273554516322341E-2"/>
    <n v="131.70859560070608"/>
    <n v="0.12396813507221213"/>
  </r>
  <r>
    <x v="0"/>
    <s v="ESPAÑA"/>
    <s v="AGRÍCOLA DE GOZÓN S.L"/>
    <s v="Baja aportación"/>
    <s v="AGXK0005"/>
    <s v="AGROXILATO-K, 5 L"/>
    <n v="5"/>
    <n v="4.1999999999999993"/>
    <n v="4.3779856674875273"/>
    <n v="0"/>
    <n v="0"/>
    <n v="0"/>
    <n v="0"/>
    <n v="0"/>
    <n v="0"/>
    <n v="0"/>
    <n v="0"/>
    <n v="0"/>
    <n v="0"/>
    <n v="19.78471348386427"/>
    <n v="83.095796632229906"/>
    <n v="0"/>
    <n v="0"/>
    <n v="0"/>
    <n v="0"/>
    <n v="0"/>
    <n v="0"/>
    <n v="0"/>
    <n v="0"/>
    <n v="0"/>
    <n v="0"/>
    <n v="0"/>
    <n v="0"/>
    <n v="19.78471348386427"/>
    <n v="83.095796632229906"/>
    <n v="0"/>
    <n v="0"/>
    <n v="0"/>
    <n v="0"/>
    <n v="0"/>
    <n v="0"/>
    <n v="0"/>
    <n v="0"/>
    <n v="0"/>
    <n v="0"/>
    <n v="20"/>
    <n v="87.559713349750538"/>
    <n v="0"/>
    <n v="0"/>
    <n v="0"/>
    <n v="0"/>
    <n v="0"/>
    <n v="0"/>
    <n v="0"/>
    <n v="0"/>
    <n v="0"/>
    <n v="0"/>
    <n v="0"/>
    <n v="0"/>
    <n v="20"/>
    <n v="87.559713349750538"/>
    <n v="0.21528651613573047"/>
    <n v="1.0881457359052014E-2"/>
    <n v="4.4639167175206325"/>
    <n v="5.372012663019874E-2"/>
  </r>
  <r>
    <x v="0"/>
    <s v="ESPAÑA"/>
    <s v="AGRÍCOLA DE GOZÓN S.L"/>
    <s v="Baja aportación"/>
    <s v="BEY0005"/>
    <s v="BERRY-FLOR, 5 L"/>
    <n v="5"/>
    <n v="4.6900000000000004"/>
    <n v="4.8887506620277366"/>
    <n v="0"/>
    <n v="0"/>
    <n v="0"/>
    <n v="0"/>
    <n v="0"/>
    <n v="0"/>
    <n v="0"/>
    <n v="0"/>
    <n v="0"/>
    <n v="0"/>
    <n v="19.78471348386427"/>
    <n v="92.790306239323399"/>
    <n v="0"/>
    <n v="0"/>
    <n v="0"/>
    <n v="0"/>
    <n v="0"/>
    <n v="0"/>
    <n v="0"/>
    <n v="0"/>
    <n v="0"/>
    <n v="0"/>
    <n v="0"/>
    <n v="0"/>
    <n v="19.78471348386427"/>
    <n v="92.790306239323399"/>
    <n v="0"/>
    <n v="0"/>
    <n v="0"/>
    <n v="0"/>
    <n v="0"/>
    <n v="0"/>
    <n v="0"/>
    <n v="0"/>
    <n v="0"/>
    <n v="0"/>
    <n v="20"/>
    <n v="97.775013240554756"/>
    <n v="0"/>
    <n v="0"/>
    <n v="0"/>
    <n v="0"/>
    <n v="0"/>
    <n v="0"/>
    <n v="0"/>
    <n v="0"/>
    <n v="0"/>
    <n v="0"/>
    <n v="0"/>
    <n v="0"/>
    <n v="20"/>
    <n v="97.775013240554756"/>
    <n v="0.21528651613573047"/>
    <n v="1.0881457359052014E-2"/>
    <n v="4.9847070012313566"/>
    <n v="5.372012663019856E-2"/>
  </r>
  <r>
    <x v="0"/>
    <s v="ESPAÑA"/>
    <s v="AGRÍCOLA DE GOZÓN S.L"/>
    <s v="Baja aportación"/>
    <s v="PT0005"/>
    <s v="AGROPOTASION, 5 L"/>
    <n v="5"/>
    <n v="4.41"/>
    <n v="4.5968849508619032"/>
    <n v="0"/>
    <n v="0"/>
    <n v="0"/>
    <n v="0"/>
    <n v="0"/>
    <n v="0"/>
    <n v="0"/>
    <n v="0"/>
    <n v="0"/>
    <n v="0"/>
    <n v="19.78471348386427"/>
    <n v="87.250586463841415"/>
    <n v="0"/>
    <n v="0"/>
    <n v="0"/>
    <n v="0"/>
    <n v="0"/>
    <n v="0"/>
    <n v="0"/>
    <n v="0"/>
    <n v="0"/>
    <n v="0"/>
    <n v="0"/>
    <n v="0"/>
    <n v="19.78471348386427"/>
    <n v="87.250586463841415"/>
    <n v="0"/>
    <n v="0"/>
    <n v="0"/>
    <n v="0"/>
    <n v="0"/>
    <n v="0"/>
    <n v="0"/>
    <n v="0"/>
    <n v="0"/>
    <n v="0"/>
    <n v="20"/>
    <n v="91.93769901723806"/>
    <n v="0"/>
    <n v="0"/>
    <n v="0"/>
    <n v="0"/>
    <n v="0"/>
    <n v="0"/>
    <n v="0"/>
    <n v="0"/>
    <n v="0"/>
    <n v="0"/>
    <n v="0"/>
    <n v="0"/>
    <n v="20"/>
    <n v="91.93769901723806"/>
    <n v="0.21528651613573047"/>
    <n v="1.0881457359052014E-2"/>
    <n v="4.6871125533966449"/>
    <n v="5.3720126630198511E-2"/>
  </r>
  <r>
    <x v="0"/>
    <s v="ESPAÑA"/>
    <s v="ANGEL FERRER, S.L."/>
    <s v="Baja aportación"/>
    <s v="AN0020"/>
    <s v="ALCAPLANT NEW, 20 KG"/>
    <n v="20"/>
    <n v="2.1"/>
    <n v="2.1889928337437641"/>
    <n v="0"/>
    <n v="0"/>
    <n v="0"/>
    <n v="0"/>
    <n v="0"/>
    <n v="0"/>
    <n v="1088.159241612535"/>
    <n v="2285.134407386322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285.134407386322"/>
    <n v="0"/>
    <n v="0"/>
    <n v="0"/>
    <n v="0"/>
    <n v="0"/>
    <n v="0"/>
    <n v="1180"/>
    <n v="2583.0115438176408"/>
    <n v="0"/>
    <n v="0"/>
    <n v="0"/>
    <n v="0"/>
    <n v="0"/>
    <n v="0"/>
    <n v="0"/>
    <n v="0"/>
    <n v="0"/>
    <n v="0"/>
    <n v="0"/>
    <n v="0"/>
    <n v="0"/>
    <n v="0"/>
    <n v="0"/>
    <n v="0"/>
    <n v="1180"/>
    <n v="2583.0115438176408"/>
    <n v="91.84075838746503"/>
    <n v="8.4400108803346557E-2"/>
    <n v="297.87713643131883"/>
    <n v="0.13035431765784974"/>
  </r>
  <r>
    <x v="0"/>
    <s v="ESPAÑA"/>
    <s v="ASOC. HORTICULTORES DE VILLA DEL PRADO"/>
    <s v="Con potencial"/>
    <s v="A-50(2)0005"/>
    <s v="CODIORGAN A-50, 5 KG"/>
    <n v="5"/>
    <n v="5.4"/>
    <n v="5.6288387153411064"/>
    <n v="0"/>
    <n v="0"/>
    <n v="0"/>
    <n v="0"/>
    <n v="98.92356741932133"/>
    <n v="534.18726406433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534.18726406433518"/>
    <n v="0"/>
    <n v="0"/>
    <n v="0"/>
    <n v="0"/>
    <n v="130"/>
    <n v="731.74903299434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731.74903299434379"/>
    <n v="31.07643258067867"/>
    <n v="0.31414589456676784"/>
    <n v="197.56176893000861"/>
    <n v="0.36983616461925817"/>
  </r>
  <r>
    <x v="0"/>
    <s v="ESPAÑA"/>
    <s v="ASOC. HORTICULTORES DE VILLA DEL PRADO"/>
    <s v="Con potencial"/>
    <s v="A-50(2)0005"/>
    <s v="CODIORGAN-A50, 5 KG"/>
    <n v="5"/>
    <n v="5.2720000000000002"/>
    <n v="5.4945931230840932"/>
    <n v="0"/>
    <n v="0"/>
    <n v="0"/>
    <n v="0"/>
    <n v="0"/>
    <n v="0"/>
    <n v="123.65445927415161"/>
    <n v="667.73408008041895"/>
    <n v="49.461783709660658"/>
    <n v="259.67436447571839"/>
    <n v="74.192675564490997"/>
    <n v="360.57640324342623"/>
    <n v="98.92356741932133"/>
    <n v="534.18726406433518"/>
    <n v="24.730891854830329"/>
    <n v="133.5468160160838"/>
    <n v="0"/>
    <n v="0"/>
    <n v="0"/>
    <n v="0"/>
    <n v="0"/>
    <n v="0"/>
    <n v="0"/>
    <n v="0"/>
    <n v="370.9633778224549"/>
    <n v="1955.7189278799826"/>
    <n v="0"/>
    <n v="0"/>
    <n v="0"/>
    <n v="0"/>
    <n v="0"/>
    <n v="0"/>
    <n v="165"/>
    <n v="928.75838803128249"/>
    <n v="65"/>
    <n v="355.71133548336149"/>
    <n v="100"/>
    <n v="506.59548438069947"/>
    <n v="130"/>
    <n v="731.74903299434379"/>
    <n v="35"/>
    <n v="197.0093550369387"/>
    <n v="0"/>
    <n v="0"/>
    <n v="0"/>
    <n v="0"/>
    <n v="0"/>
    <n v="0"/>
    <n v="0"/>
    <n v="0"/>
    <n v="495"/>
    <n v="2719.8235959266262"/>
    <n v="124.0366221775451"/>
    <n v="0.33436352371394923"/>
    <n v="764.10466804664361"/>
    <n v="0.39070270126952245"/>
  </r>
  <r>
    <x v="0"/>
    <s v="ESPAÑA"/>
    <s v="ASOC. HORTICULTORES DE VILLA DEL PRADO"/>
    <s v="Con potencial"/>
    <s v="AGFEL0001"/>
    <s v="AGROXILATO-FE-L, 1 L"/>
    <n v="1"/>
    <n v="5.3900000000000006"/>
    <n v="5.6184149399423271"/>
    <n v="0"/>
    <n v="0"/>
    <n v="0"/>
    <n v="0"/>
    <n v="0"/>
    <n v="0"/>
    <n v="0"/>
    <n v="0"/>
    <n v="0"/>
    <n v="0"/>
    <n v="0"/>
    <n v="0"/>
    <n v="0"/>
    <n v="0"/>
    <n v="23.741656180637118"/>
    <n v="127.96752681363409"/>
    <n v="0"/>
    <n v="0"/>
    <n v="0"/>
    <n v="0"/>
    <n v="0"/>
    <n v="0"/>
    <n v="0"/>
    <n v="0"/>
    <n v="23.741656180637118"/>
    <n v="127.96752681363409"/>
    <n v="0"/>
    <n v="0"/>
    <n v="0"/>
    <n v="0"/>
    <n v="0"/>
    <n v="0"/>
    <n v="0"/>
    <n v="0"/>
    <n v="0"/>
    <n v="0"/>
    <n v="0"/>
    <n v="0"/>
    <n v="0"/>
    <n v="0"/>
    <n v="28"/>
    <n v="157.31561831838519"/>
    <n v="0"/>
    <n v="0"/>
    <n v="0"/>
    <n v="0"/>
    <n v="0"/>
    <n v="0"/>
    <n v="0"/>
    <n v="0"/>
    <n v="28"/>
    <n v="157.31561831838519"/>
    <n v="4.2583438193628815"/>
    <n v="0.17936170025222758"/>
    <n v="29.348091504751096"/>
    <n v="0.22934014773523193"/>
  </r>
  <r>
    <x v="0"/>
    <s v="ESPAÑA"/>
    <s v="ASOC. HORTICULTORES DE VILLA DEL PRADO"/>
    <s v="Con potencial"/>
    <s v="AGRMG0005"/>
    <s v="AGROXIGREEN-MG, 5 L"/>
    <n v="5"/>
    <n v="3.8"/>
    <n v="3.9610346515363339"/>
    <n v="0"/>
    <n v="0"/>
    <n v="0"/>
    <n v="0"/>
    <n v="0"/>
    <n v="0"/>
    <n v="0"/>
    <n v="0"/>
    <n v="0"/>
    <n v="0"/>
    <n v="0"/>
    <n v="0"/>
    <n v="39.569426967728532"/>
    <n v="150.36382247736839"/>
    <n v="0"/>
    <n v="0"/>
    <n v="0"/>
    <n v="0"/>
    <n v="0"/>
    <n v="0"/>
    <n v="0"/>
    <n v="0"/>
    <n v="0"/>
    <n v="0"/>
    <n v="39.569426967728532"/>
    <n v="150.36382247736839"/>
    <n v="0"/>
    <n v="0"/>
    <n v="0"/>
    <n v="0"/>
    <n v="0"/>
    <n v="0"/>
    <n v="0"/>
    <n v="0"/>
    <n v="0"/>
    <n v="0"/>
    <n v="0"/>
    <n v="0"/>
    <n v="50"/>
    <n v="198.0517325768167"/>
    <n v="0"/>
    <n v="0"/>
    <n v="0"/>
    <n v="0"/>
    <n v="0"/>
    <n v="0"/>
    <n v="0"/>
    <n v="0"/>
    <n v="0"/>
    <n v="0"/>
    <n v="50"/>
    <n v="198.0517325768167"/>
    <n v="10.430573032271468"/>
    <n v="0.26360182169881524"/>
    <n v="47.687910099448317"/>
    <n v="0.31715015828774862"/>
  </r>
  <r>
    <x v="0"/>
    <s v="ESPAÑA"/>
    <s v="ASOC. HORTICULTORES DE VILLA DEL PRADO"/>
    <s v="Con potencial"/>
    <s v="AGRMGN0020"/>
    <s v="AGROXIGREEN-MG, 20 L"/>
    <n v="20"/>
    <n v="3.080000000000001"/>
    <n v="3.210522822824188"/>
    <n v="0"/>
    <n v="0"/>
    <n v="0"/>
    <n v="0"/>
    <n v="0"/>
    <n v="0"/>
    <n v="0"/>
    <n v="0"/>
    <n v="0"/>
    <n v="0"/>
    <n v="59.354140451592791"/>
    <n v="182.81075259090579"/>
    <n v="0"/>
    <n v="0"/>
    <n v="0"/>
    <n v="0"/>
    <n v="0"/>
    <n v="0"/>
    <n v="0"/>
    <n v="0"/>
    <n v="0"/>
    <n v="0"/>
    <n v="0"/>
    <n v="0"/>
    <n v="59.354140451592791"/>
    <n v="182.81075259090579"/>
    <n v="0"/>
    <n v="0"/>
    <n v="0"/>
    <n v="0"/>
    <n v="0"/>
    <n v="0"/>
    <n v="0"/>
    <n v="0"/>
    <n v="0"/>
    <n v="0"/>
    <n v="80"/>
    <n v="256.84182582593502"/>
    <n v="0"/>
    <n v="0"/>
    <n v="0"/>
    <n v="0"/>
    <n v="0"/>
    <n v="0"/>
    <n v="0"/>
    <n v="0"/>
    <n v="0"/>
    <n v="0"/>
    <n v="0"/>
    <n v="0"/>
    <n v="80"/>
    <n v="256.84182582593502"/>
    <n v="20.645859548407209"/>
    <n v="0.34784194314540307"/>
    <n v="74.031073235029226"/>
    <n v="0.40496016884026559"/>
  </r>
  <r>
    <x v="0"/>
    <s v="ESPAÑA"/>
    <s v="ASOC. HORTICULTORES DE VILLA DEL PRADO"/>
    <s v="Con potencial"/>
    <s v="AGXK0005"/>
    <s v="AGROXILATO-K, 5 L"/>
    <n v="5"/>
    <n v="3.7324999999999999"/>
    <n v="3.89173063131742"/>
    <n v="0"/>
    <n v="0"/>
    <n v="0"/>
    <n v="0"/>
    <n v="0"/>
    <n v="0"/>
    <n v="19.78471348386427"/>
    <n v="74.58836983416829"/>
    <n v="39.569426967728532"/>
    <n v="143.24132562317729"/>
    <n v="39.569426967728532"/>
    <n v="149.17673966833661"/>
    <n v="0"/>
    <n v="0"/>
    <n v="59.354140451592798"/>
    <n v="223.76510950250491"/>
    <n v="0"/>
    <n v="0"/>
    <n v="0"/>
    <n v="0"/>
    <n v="0"/>
    <n v="0"/>
    <n v="0"/>
    <n v="0"/>
    <n v="158.27770787091413"/>
    <n v="590.77154462818703"/>
    <n v="0"/>
    <n v="0"/>
    <n v="0"/>
    <n v="0"/>
    <n v="0"/>
    <n v="0"/>
    <n v="25"/>
    <n v="98.244083133499885"/>
    <n v="45"/>
    <n v="169.8033012461234"/>
    <n v="45"/>
    <n v="176.83934964029979"/>
    <n v="0"/>
    <n v="0"/>
    <n v="70"/>
    <n v="275.0834327737997"/>
    <n v="0"/>
    <n v="0"/>
    <n v="0"/>
    <n v="0"/>
    <n v="0"/>
    <n v="0"/>
    <n v="0"/>
    <n v="0"/>
    <n v="185"/>
    <n v="719.9701667937228"/>
    <n v="26.722292129085872"/>
    <n v="0.16883168507140411"/>
    <n v="129.19862216553577"/>
    <n v="0.21869472783569713"/>
  </r>
  <r>
    <x v="0"/>
    <s v="ESPAÑA"/>
    <s v="ASOC. HORTICULTORES DE VILLA DEL PRADO"/>
    <s v="Con potencial"/>
    <s v="AMIMG0005"/>
    <s v="AMINOSOIL-MG, 5L"/>
    <n v="5"/>
    <n v="2.3250000000000002"/>
    <n v="2.4235277802163102"/>
    <n v="0"/>
    <n v="0"/>
    <n v="0"/>
    <n v="0"/>
    <n v="39.569426967728532"/>
    <n v="0"/>
    <n v="0"/>
    <n v="0"/>
    <n v="0"/>
    <n v="0"/>
    <n v="39.569426967728532"/>
    <n v="122.6652235999584"/>
    <n v="39.569426967728532"/>
    <n v="122.6652235999584"/>
    <n v="39.569426967728532"/>
    <n v="122.6652235999584"/>
    <n v="0"/>
    <n v="0"/>
    <n v="0"/>
    <n v="0"/>
    <n v="0"/>
    <n v="0"/>
    <n v="0"/>
    <n v="0"/>
    <n v="158.27770787091413"/>
    <n v="367.9956707998752"/>
    <n v="0"/>
    <n v="0"/>
    <n v="0"/>
    <n v="0"/>
    <n v="45"/>
    <n v="0"/>
    <n v="0"/>
    <n v="0"/>
    <n v="0"/>
    <n v="0"/>
    <n v="45"/>
    <n v="145.41166681297861"/>
    <n v="45"/>
    <n v="145.41166681297861"/>
    <n v="45"/>
    <n v="145.41166681297861"/>
    <n v="0"/>
    <n v="0"/>
    <n v="0"/>
    <n v="0"/>
    <n v="0"/>
    <n v="0"/>
    <n v="0"/>
    <n v="0"/>
    <n v="180"/>
    <n v="436.2350004389358"/>
    <n v="21.722292129085872"/>
    <n v="0.13724163952893373"/>
    <n v="68.2393296390606"/>
    <n v="0.18543514245897411"/>
  </r>
  <r>
    <x v="0"/>
    <s v="ESPAÑA"/>
    <s v="ASOC. HORTICULTORES DE VILLA DEL PRADO"/>
    <s v="Con potencial"/>
    <s v="AN0005"/>
    <s v="ALCAPLANT NEW, 5 KG"/>
    <n v="5"/>
    <n v="2.0950000000000002"/>
    <n v="2.183780946044374"/>
    <n v="0"/>
    <n v="0"/>
    <n v="0"/>
    <n v="0"/>
    <n v="0"/>
    <n v="0"/>
    <n v="0"/>
    <n v="0"/>
    <n v="19.78471348386427"/>
    <n v="39.96512123740581"/>
    <n v="0"/>
    <n v="0"/>
    <n v="0"/>
    <n v="0"/>
    <n v="19.78471348386427"/>
    <n v="42.932828259985463"/>
    <n v="0"/>
    <n v="0"/>
    <n v="0"/>
    <n v="0"/>
    <n v="0"/>
    <n v="0"/>
    <n v="0"/>
    <n v="0"/>
    <n v="39.569426967728539"/>
    <n v="82.897949497391267"/>
    <n v="0"/>
    <n v="0"/>
    <n v="0"/>
    <n v="0"/>
    <n v="0"/>
    <n v="0"/>
    <n v="0"/>
    <n v="0"/>
    <n v="25"/>
    <n v="52.640065763838123"/>
    <n v="0"/>
    <n v="0"/>
    <n v="0"/>
    <n v="0"/>
    <n v="25"/>
    <n v="56.548981538380559"/>
    <n v="0"/>
    <n v="0"/>
    <n v="0"/>
    <n v="0"/>
    <n v="0"/>
    <n v="0"/>
    <n v="0"/>
    <n v="0"/>
    <n v="50"/>
    <n v="109.18904730221868"/>
    <n v="10.430573032271461"/>
    <n v="0.26360182169881502"/>
    <n v="26.291097804827416"/>
    <n v="0.31715015828774845"/>
  </r>
  <r>
    <x v="0"/>
    <s v="ESPAÑA"/>
    <s v="ASOC. HORTICULTORES DE VILLA DEL PRADO"/>
    <s v="Con potencial"/>
    <s v="AQUOM0001"/>
    <s v="AQUOM, 1 L"/>
    <n v="1"/>
    <n v="14.585000000000001"/>
    <n v="15.20307641912038"/>
    <n v="0"/>
    <n v="0"/>
    <n v="0"/>
    <n v="0"/>
    <n v="0"/>
    <n v="0"/>
    <n v="11.870828090318559"/>
    <n v="180.67400353464839"/>
    <n v="0"/>
    <n v="0"/>
    <n v="11.870828090318559"/>
    <n v="165.59805185994389"/>
    <n v="0"/>
    <n v="0"/>
    <n v="0"/>
    <n v="0"/>
    <n v="0"/>
    <n v="0"/>
    <n v="0"/>
    <n v="0"/>
    <n v="0"/>
    <n v="0"/>
    <n v="0"/>
    <n v="0"/>
    <n v="23.741656180637118"/>
    <n v="346.27205539459226"/>
    <n v="0"/>
    <n v="0"/>
    <n v="0"/>
    <n v="0"/>
    <n v="0"/>
    <n v="0"/>
    <n v="15"/>
    <n v="237.9747923541434"/>
    <n v="0"/>
    <n v="0"/>
    <n v="15"/>
    <n v="218.11750021946779"/>
    <n v="0"/>
    <n v="0"/>
    <n v="0"/>
    <n v="0"/>
    <n v="0"/>
    <n v="0"/>
    <n v="0"/>
    <n v="0"/>
    <n v="0"/>
    <n v="0"/>
    <n v="0"/>
    <n v="0"/>
    <n v="30"/>
    <n v="456.09229257361119"/>
    <n v="6.2583438193628815"/>
    <n v="0.2636018216988153"/>
    <n v="109.82023717901893"/>
    <n v="0.31715015828774845"/>
  </r>
  <r>
    <x v="0"/>
    <s v="ESPAÑA"/>
    <s v="ASOC. HORTICULTORES DE VILLA DEL PRADO"/>
    <s v="Con potencial"/>
    <s v="AQUOM0005"/>
    <s v="AQUOM, 5 L"/>
    <n v="5"/>
    <n v="13.98"/>
    <n v="14.572438007494201"/>
    <n v="0"/>
    <n v="0"/>
    <n v="0"/>
    <n v="0"/>
    <n v="0"/>
    <n v="0"/>
    <n v="19.78471348386427"/>
    <n v="276.59029450442239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76.59029450442239"/>
    <n v="0"/>
    <n v="0"/>
    <n v="0"/>
    <n v="0"/>
    <n v="0"/>
    <n v="0"/>
    <n v="25"/>
    <n v="364.31095018735499"/>
    <n v="0"/>
    <n v="0"/>
    <n v="0"/>
    <n v="0"/>
    <n v="0"/>
    <n v="0"/>
    <n v="0"/>
    <n v="0"/>
    <n v="0"/>
    <n v="0"/>
    <n v="0"/>
    <n v="0"/>
    <n v="0"/>
    <n v="0"/>
    <n v="0"/>
    <n v="0"/>
    <n v="25"/>
    <n v="364.31095018735499"/>
    <n v="5.2152865161357305"/>
    <n v="0.26360182169881502"/>
    <n v="87.720655682932602"/>
    <n v="0.31715015828774873"/>
  </r>
  <r>
    <x v="0"/>
    <s v="ESPAÑA"/>
    <s v="ASOC. HORTICULTORES DE VILLA DEL PRADO"/>
    <s v="Con potencial"/>
    <s v="AVAN0005"/>
    <s v="FLORAMEC AVANCE, 5 L"/>
    <n v="5"/>
    <n v="5.3999999999999986"/>
    <n v="5.6317704021720134"/>
    <n v="0"/>
    <n v="0"/>
    <n v="0"/>
    <n v="0"/>
    <n v="19.78471348386427"/>
    <n v="110.39870123996261"/>
    <n v="19.78471348386427"/>
    <n v="110.39870123996261"/>
    <n v="39.569426967728532"/>
    <n v="214.86198843476589"/>
    <n v="118.7082809031856"/>
    <n v="618.47014350559698"/>
    <n v="79.138853935457064"/>
    <n v="441.59480495985042"/>
    <n v="0"/>
    <n v="0"/>
    <n v="0"/>
    <n v="0"/>
    <n v="0"/>
    <n v="0"/>
    <n v="0"/>
    <n v="0"/>
    <n v="0"/>
    <n v="0"/>
    <n v="276.98598877409972"/>
    <n v="1495.7243393801386"/>
    <n v="0"/>
    <n v="0"/>
    <n v="0"/>
    <n v="0"/>
    <n v="25"/>
    <n v="145.41166681297861"/>
    <n v="25"/>
    <n v="145.41166681297861"/>
    <n v="45"/>
    <n v="254.70495186918501"/>
    <n v="135"/>
    <n v="733.15624267317924"/>
    <n v="90"/>
    <n v="523.4820005267228"/>
    <n v="0"/>
    <n v="0"/>
    <n v="0"/>
    <n v="0"/>
    <n v="0"/>
    <n v="0"/>
    <n v="0"/>
    <n v="0"/>
    <n v="0"/>
    <n v="0"/>
    <n v="320"/>
    <n v="1802.1665286950442"/>
    <n v="43.014011225900276"/>
    <n v="0.15529309412463108"/>
    <n v="306.44218931490559"/>
    <n v="0.20487878765274492"/>
  </r>
  <r>
    <x v="0"/>
    <s v="ESPAÑA"/>
    <s v="ASOC. HORTICULTORES DE VILLA DEL PRADO"/>
    <s v="Con potencial"/>
    <s v="B0005"/>
    <s v="BOROCAL, 5 L"/>
    <n v="5"/>
    <n v="3.6850000000000001"/>
    <n v="3.8411612344503658"/>
    <n v="0"/>
    <n v="0"/>
    <n v="0"/>
    <n v="0"/>
    <n v="0"/>
    <n v="0"/>
    <n v="0"/>
    <n v="0"/>
    <n v="19.78471348386427"/>
    <n v="71.422815676749991"/>
    <n v="0"/>
    <n v="0"/>
    <n v="0"/>
    <n v="0"/>
    <n v="19.78471348386427"/>
    <n v="74.390522699329637"/>
    <n v="0"/>
    <n v="0"/>
    <n v="0"/>
    <n v="0"/>
    <n v="0"/>
    <n v="0"/>
    <n v="0"/>
    <n v="0"/>
    <n v="39.569426967728539"/>
    <n v="145.81333837607963"/>
    <n v="0"/>
    <n v="0"/>
    <n v="0"/>
    <n v="0"/>
    <n v="0"/>
    <n v="0"/>
    <n v="0"/>
    <n v="0"/>
    <n v="25"/>
    <n v="94.074572973987912"/>
    <n v="0"/>
    <n v="0"/>
    <n v="0"/>
    <n v="0"/>
    <n v="25"/>
    <n v="97.983488748530362"/>
    <n v="0"/>
    <n v="0"/>
    <n v="0"/>
    <n v="0"/>
    <n v="0"/>
    <n v="0"/>
    <n v="0"/>
    <n v="0"/>
    <n v="50"/>
    <n v="192.05806172251829"/>
    <n v="10.430573032271461"/>
    <n v="0.26360182169881502"/>
    <n v="46.244723346438661"/>
    <n v="0.31715015828774834"/>
  </r>
  <r>
    <x v="0"/>
    <s v="ESPAÑA"/>
    <s v="ASOC. HORTICULTORES DE VILLA DEL PRADO"/>
    <s v="Con potencial"/>
    <s v="BIO0005"/>
    <s v="BIORAD-20, 5L"/>
    <n v="5"/>
    <n v="2.98"/>
    <n v="3.1062850688363879"/>
    <n v="0"/>
    <n v="0"/>
    <n v="0"/>
    <n v="0"/>
    <n v="0"/>
    <n v="0"/>
    <n v="0"/>
    <n v="0"/>
    <n v="0"/>
    <n v="0"/>
    <n v="0"/>
    <n v="0"/>
    <n v="0"/>
    <n v="0"/>
    <n v="39.569426967728532"/>
    <n v="117.916892363831"/>
    <n v="0"/>
    <n v="0"/>
    <n v="0"/>
    <n v="0"/>
    <n v="0"/>
    <n v="0"/>
    <n v="0"/>
    <n v="0"/>
    <n v="39.569426967728532"/>
    <n v="117.916892363831"/>
    <n v="0"/>
    <n v="0"/>
    <n v="0"/>
    <n v="0"/>
    <n v="0"/>
    <n v="0"/>
    <n v="0"/>
    <n v="0"/>
    <n v="0"/>
    <n v="0"/>
    <n v="0"/>
    <n v="0"/>
    <n v="0"/>
    <n v="0"/>
    <n v="50"/>
    <n v="155.3142534418194"/>
    <n v="0"/>
    <n v="0"/>
    <n v="0"/>
    <n v="0"/>
    <n v="0"/>
    <n v="0"/>
    <n v="0"/>
    <n v="0"/>
    <n v="50"/>
    <n v="155.3142534418194"/>
    <n v="10.430573032271468"/>
    <n v="0.26360182169881524"/>
    <n v="37.397361077988407"/>
    <n v="0.31715015828774851"/>
  </r>
  <r>
    <x v="0"/>
    <s v="ESPAÑA"/>
    <s v="ASOC. HORTICULTORES DE VILLA DEL PRADO"/>
    <s v="Con potencial"/>
    <s v="BROTA0005"/>
    <s v="BROTAMEC, 5 L"/>
    <n v="5"/>
    <n v="3.456"/>
    <n v="3.6072053866110858"/>
    <n v="0"/>
    <n v="0"/>
    <n v="0"/>
    <n v="0"/>
    <n v="0"/>
    <n v="0"/>
    <n v="0"/>
    <n v="0"/>
    <n v="0"/>
    <n v="0"/>
    <n v="59.354140451592791"/>
    <n v="198.63852337799719"/>
    <n v="19.78471348386427"/>
    <n v="71.620662811588645"/>
    <n v="19.78471348386427"/>
    <n v="71.620662811588645"/>
    <n v="0"/>
    <n v="0"/>
    <n v="0"/>
    <n v="0"/>
    <n v="0"/>
    <n v="0"/>
    <n v="0"/>
    <n v="0"/>
    <n v="98.92356741932133"/>
    <n v="341.87984900117448"/>
    <n v="0"/>
    <n v="0"/>
    <n v="0"/>
    <n v="0"/>
    <n v="0"/>
    <n v="0"/>
    <n v="0"/>
    <n v="0"/>
    <n v="0"/>
    <n v="0"/>
    <n v="70"/>
    <n v="244.19431167541541"/>
    <n v="25"/>
    <n v="94.335167358957435"/>
    <n v="25"/>
    <n v="94.335167358957435"/>
    <n v="0"/>
    <n v="0"/>
    <n v="0"/>
    <n v="0"/>
    <n v="0"/>
    <n v="0"/>
    <n v="0"/>
    <n v="0"/>
    <n v="120"/>
    <n v="432.8646463933303"/>
    <n v="21.07643258067867"/>
    <n v="0.21305774883086265"/>
    <n v="90.984797392155826"/>
    <n v="0.26613091604542993"/>
  </r>
  <r>
    <x v="0"/>
    <s v="ESPAÑA"/>
    <s v="ASOC. HORTICULTORES DE VILLA DEL PRADO"/>
    <s v="Con potencial"/>
    <s v="C-CU0005"/>
    <s v="CODICOBRE, 5 L"/>
    <n v="5"/>
    <n v="3.686923076923077"/>
    <n v="3.8608505879813948"/>
    <n v="0"/>
    <n v="0"/>
    <n v="0"/>
    <n v="0"/>
    <n v="39.569426967728532"/>
    <n v="0"/>
    <n v="39.569426967728532"/>
    <n v="176.8753385457465"/>
    <n v="39.569426967728532"/>
    <n v="170.9399245005873"/>
    <n v="59.354140451592791"/>
    <n v="246.71537714378741"/>
    <n v="0"/>
    <n v="0"/>
    <n v="79.138853935457064"/>
    <n v="353.75067709149312"/>
    <n v="0"/>
    <n v="0"/>
    <n v="0"/>
    <n v="0"/>
    <n v="0"/>
    <n v="0"/>
    <n v="0"/>
    <n v="0"/>
    <n v="257.20127529023546"/>
    <n v="948.28131728161429"/>
    <n v="0"/>
    <n v="0"/>
    <n v="0"/>
    <n v="0"/>
    <n v="45"/>
    <n v="0"/>
    <n v="45"/>
    <n v="209.67424214645621"/>
    <n v="45"/>
    <n v="202.63819375227979"/>
    <n v="70"/>
    <n v="303.29711818649707"/>
    <n v="0"/>
    <n v="0"/>
    <n v="95"/>
    <n v="442.64562230918528"/>
    <n v="0"/>
    <n v="0"/>
    <n v="0"/>
    <n v="0"/>
    <n v="0"/>
    <n v="0"/>
    <n v="0"/>
    <n v="0"/>
    <n v="300"/>
    <n v="1158.2551763944184"/>
    <n v="42.798724709764542"/>
    <n v="0.16640168156813714"/>
    <n v="209.97385911280412"/>
    <n v="0.22142570488968885"/>
  </r>
  <r>
    <x v="0"/>
    <s v="ESPAÑA"/>
    <s v="ASOC. HORTICULTORES DE VILLA DEL PRADO"/>
    <s v="Con potencial"/>
    <s v="C-GLB0005"/>
    <s v="CODIORGAN GLB, 5 KG"/>
    <n v="5"/>
    <n v="9.1"/>
    <n v="9.4856356128896415"/>
    <n v="0"/>
    <n v="0"/>
    <n v="0"/>
    <n v="0"/>
    <n v="0"/>
    <n v="0"/>
    <n v="0"/>
    <n v="0"/>
    <n v="0"/>
    <n v="0"/>
    <n v="0"/>
    <n v="0"/>
    <n v="0"/>
    <n v="0"/>
    <n v="24.730891854830329"/>
    <n v="225.05111587895601"/>
    <n v="0"/>
    <n v="0"/>
    <n v="0"/>
    <n v="0"/>
    <n v="0"/>
    <n v="0"/>
    <n v="0"/>
    <n v="0"/>
    <n v="24.730891854830329"/>
    <n v="225.05111587895601"/>
    <n v="0"/>
    <n v="0"/>
    <n v="0"/>
    <n v="0"/>
    <n v="0"/>
    <n v="0"/>
    <n v="0"/>
    <n v="0"/>
    <n v="0"/>
    <n v="0"/>
    <n v="0"/>
    <n v="0"/>
    <n v="0"/>
    <n v="0"/>
    <n v="30"/>
    <n v="284.56906838668931"/>
    <n v="0"/>
    <n v="0"/>
    <n v="0"/>
    <n v="0"/>
    <n v="0"/>
    <n v="0"/>
    <n v="0"/>
    <n v="0"/>
    <n v="30"/>
    <n v="284.56906838668931"/>
    <n v="5.2691081451696711"/>
    <n v="0.21305774883086281"/>
    <n v="59.517952507733298"/>
    <n v="0.26446415195623868"/>
  </r>
  <r>
    <x v="0"/>
    <s v="ESPAÑA"/>
    <s v="ASOC. HORTICULTORES DE VILLA DEL PRADO"/>
    <s v="Con potencial"/>
    <s v="HST0005"/>
    <s v="HIDROSTRESS-40, 5 L"/>
    <n v="5"/>
    <n v="7.02"/>
    <n v="7.3174903299434382"/>
    <n v="0"/>
    <n v="0"/>
    <n v="0"/>
    <n v="0"/>
    <n v="0"/>
    <n v="0"/>
    <n v="39.569426967728532"/>
    <n v="277.77737731345428"/>
    <n v="0"/>
    <n v="0"/>
    <n v="0"/>
    <n v="0"/>
    <n v="98.92356741932133"/>
    <n v="694.4434432836357"/>
    <n v="59.354140451592798"/>
    <n v="416.66606597018142"/>
    <n v="0"/>
    <n v="0"/>
    <n v="0"/>
    <n v="0"/>
    <n v="0"/>
    <n v="0"/>
    <n v="0"/>
    <n v="0"/>
    <n v="197.84713483864266"/>
    <n v="1388.8868865672714"/>
    <n v="0"/>
    <n v="0"/>
    <n v="0"/>
    <n v="0"/>
    <n v="0"/>
    <n v="0"/>
    <n v="50"/>
    <n v="365.8745164971719"/>
    <n v="0"/>
    <n v="0"/>
    <n v="0"/>
    <n v="0"/>
    <n v="130"/>
    <n v="951.27374289264685"/>
    <n v="75"/>
    <n v="548.81177474575782"/>
    <n v="0"/>
    <n v="0"/>
    <n v="0"/>
    <n v="0"/>
    <n v="0"/>
    <n v="0"/>
    <n v="0"/>
    <n v="0"/>
    <n v="255"/>
    <n v="1865.9600341355767"/>
    <n v="57.15286516135734"/>
    <n v="0.28887385813279154"/>
    <n v="477.07314756830533"/>
    <n v="0.34349316145350334"/>
  </r>
  <r>
    <x v="0"/>
    <s v="ESPAÑA"/>
    <s v="ASOC. HORTICULTORES DE VILLA DEL PRADO"/>
    <s v="Con potencial"/>
    <s v="PHD0005"/>
    <s v="PH-DOWNER, 5 L"/>
    <n v="5"/>
    <n v="4.2399999999999993"/>
    <n v="4.4196807690826452"/>
    <n v="0"/>
    <n v="0"/>
    <n v="0"/>
    <n v="0"/>
    <n v="0"/>
    <n v="0"/>
    <n v="0"/>
    <n v="0"/>
    <n v="0"/>
    <n v="0"/>
    <n v="39.569426967728532"/>
    <n v="167.77437034316901"/>
    <n v="39.569426967728532"/>
    <n v="167.77437034316901"/>
    <n v="0"/>
    <n v="0"/>
    <n v="0"/>
    <n v="0"/>
    <n v="0"/>
    <n v="0"/>
    <n v="0"/>
    <n v="0"/>
    <n v="0"/>
    <n v="0"/>
    <n v="79.138853935457064"/>
    <n v="335.54874068633802"/>
    <n v="0"/>
    <n v="0"/>
    <n v="0"/>
    <n v="0"/>
    <n v="0"/>
    <n v="0"/>
    <n v="0"/>
    <n v="0"/>
    <n v="0"/>
    <n v="0"/>
    <n v="45"/>
    <n v="198.88563460871899"/>
    <n v="45"/>
    <n v="198.88563460871899"/>
    <n v="0"/>
    <n v="0"/>
    <n v="0"/>
    <n v="0"/>
    <n v="0"/>
    <n v="0"/>
    <n v="0"/>
    <n v="0"/>
    <n v="0"/>
    <n v="0"/>
    <n v="90"/>
    <n v="397.77126921743798"/>
    <n v="10.861146064542936"/>
    <n v="0.13724163952893373"/>
    <n v="62.222528531099954"/>
    <n v="0.18543514245897263"/>
  </r>
  <r>
    <x v="0"/>
    <s v="ESPAÑA"/>
    <s v="ASOC. HORTICULTORES DE VILLA DEL PRADO"/>
    <s v="Con potencial"/>
    <s v="PIV0005"/>
    <s v="PGR IV, 5 L"/>
    <n v="5"/>
    <n v="3.07"/>
    <n v="3.200099047425407"/>
    <n v="0"/>
    <n v="0"/>
    <n v="0"/>
    <n v="0"/>
    <n v="0"/>
    <n v="0"/>
    <n v="0"/>
    <n v="0"/>
    <n v="39.569426967728532"/>
    <n v="121.4781407909266"/>
    <n v="0"/>
    <n v="0"/>
    <n v="0"/>
    <n v="0"/>
    <n v="0"/>
    <n v="0"/>
    <n v="0"/>
    <n v="0"/>
    <n v="0"/>
    <n v="0"/>
    <n v="0"/>
    <n v="0"/>
    <n v="0"/>
    <n v="0"/>
    <n v="39.569426967728532"/>
    <n v="121.4781407909266"/>
    <n v="0"/>
    <n v="0"/>
    <n v="0"/>
    <n v="0"/>
    <n v="0"/>
    <n v="0"/>
    <n v="0"/>
    <n v="0"/>
    <n v="45"/>
    <n v="144.00445713414331"/>
    <n v="0"/>
    <n v="0"/>
    <n v="0"/>
    <n v="0"/>
    <n v="0"/>
    <n v="0"/>
    <n v="0"/>
    <n v="0"/>
    <n v="0"/>
    <n v="0"/>
    <n v="0"/>
    <n v="0"/>
    <n v="0"/>
    <n v="0"/>
    <n v="45"/>
    <n v="144.00445713414331"/>
    <n v="5.430573032271468"/>
    <n v="0.13724163952893373"/>
    <n v="22.526316343216706"/>
    <n v="0.18543514245897344"/>
  </r>
  <r>
    <x v="0"/>
    <s v="ESPAÑA"/>
    <s v="ASOC. HORTICULTORES DE VILLA DEL PRADO"/>
    <s v="Con potencial"/>
    <s v="PT0005"/>
    <s v="AGROPOTASION, 5 L"/>
    <n v="5"/>
    <n v="3.7842857142857151"/>
    <n v="3.9473534463254349"/>
    <n v="0"/>
    <n v="0"/>
    <n v="0"/>
    <n v="0"/>
    <n v="0"/>
    <n v="0"/>
    <n v="19.78471348386427"/>
    <n v="78.149618261263839"/>
    <n v="39.569426967728532"/>
    <n v="150.36382247736839"/>
    <n v="39.569426967728532"/>
    <n v="139.28438292640439"/>
    <n v="39.569426967728532"/>
    <n v="156.29923652252771"/>
    <n v="0"/>
    <n v="0"/>
    <n v="0"/>
    <n v="0"/>
    <n v="0"/>
    <n v="0"/>
    <n v="0"/>
    <n v="0"/>
    <n v="0"/>
    <n v="0"/>
    <n v="138.49299438704986"/>
    <n v="524.09706018756435"/>
    <n v="0"/>
    <n v="0"/>
    <n v="0"/>
    <n v="0"/>
    <n v="0"/>
    <n v="0"/>
    <n v="25"/>
    <n v="102.9347820629508"/>
    <n v="45"/>
    <n v="178.246559319135"/>
    <n v="45"/>
    <n v="165.11260231667251"/>
    <n v="45"/>
    <n v="185.28260771331139"/>
    <n v="0"/>
    <n v="0"/>
    <n v="0"/>
    <n v="0"/>
    <n v="0"/>
    <n v="0"/>
    <n v="0"/>
    <n v="0"/>
    <n v="0"/>
    <n v="0"/>
    <n v="160"/>
    <n v="631.57655141206965"/>
    <n v="21.507005612950138"/>
    <n v="0.15529309412463108"/>
    <n v="107.4794912245053"/>
    <n v="0.2050755468577527"/>
  </r>
  <r>
    <x v="0"/>
    <s v="ESPAÑA"/>
    <s v="ASOC. HORTICULTORES DE VILLA DEL PRADO"/>
    <s v="Con potencial"/>
    <s v="RUN0005"/>
    <s v="RUN STRESS, 5 L"/>
    <n v="5"/>
    <n v="8.1909523809523819"/>
    <n v="8.5368807896667569"/>
    <n v="0"/>
    <n v="0"/>
    <n v="0"/>
    <n v="0"/>
    <n v="79.138853935457064"/>
    <n v="660.80943036106646"/>
    <n v="19.78471348386427"/>
    <n v="165.20235759026659"/>
    <n v="39.569426967728532"/>
    <n v="324.46930113537388"/>
    <n v="79.138853935457064"/>
    <n v="600.66390137011911"/>
    <n v="79.138853935457064"/>
    <n v="660.80943036106646"/>
    <n v="118.7082809031856"/>
    <n v="991.21414554159969"/>
    <n v="0"/>
    <n v="0"/>
    <n v="0"/>
    <n v="0"/>
    <n v="0"/>
    <n v="0"/>
    <n v="0"/>
    <n v="0"/>
    <n v="415.47898316114959"/>
    <n v="3403.1685663594926"/>
    <n v="0"/>
    <n v="0"/>
    <n v="0"/>
    <n v="0"/>
    <n v="105"/>
    <n v="913.90450808802143"/>
    <n v="25"/>
    <n v="217.59631144952891"/>
    <n v="50"/>
    <n v="427.37479134997278"/>
    <n v="105"/>
    <n v="830.72278040575827"/>
    <n v="105"/>
    <n v="913.90450808802143"/>
    <n v="155"/>
    <n v="1349.097130987079"/>
    <n v="0"/>
    <n v="0"/>
    <n v="0"/>
    <n v="0"/>
    <n v="0"/>
    <n v="0"/>
    <n v="0"/>
    <n v="0"/>
    <n v="545"/>
    <n v="4652.6000303683822"/>
    <n v="129.52101683885041"/>
    <n v="0.3117390339540082"/>
    <n v="1249.4314640088896"/>
    <n v="0.36713769525247381"/>
  </r>
  <r>
    <x v="0"/>
    <s v="ESPAÑA"/>
    <s v="ASOC. HORTICULTORES DE VILLA DEL PRADO"/>
    <s v="Con potencial"/>
    <s v="S0005"/>
    <s v="SAL-WAX STAR, 5 L"/>
    <n v="5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10.645859548407209"/>
    <n v="0.1793617002522277"/>
    <n v="0"/>
    <n v="0"/>
  </r>
  <r>
    <x v="0"/>
    <s v="ESPAÑA"/>
    <s v="ASOC. HORTICULTORES DE VILLA DEL PRADO"/>
    <s v="Con potencial"/>
    <s v="S0005"/>
    <s v="SALWAX STAR, 5 L"/>
    <n v="5"/>
    <n v="2.6144444444444441"/>
    <n v="2.726198624417465"/>
    <n v="0"/>
    <n v="0"/>
    <n v="0"/>
    <n v="0"/>
    <n v="0"/>
    <n v="0"/>
    <n v="39.569426967728532"/>
    <n v="106.44175854318971"/>
    <n v="0"/>
    <n v="0"/>
    <n v="39.569426967728532"/>
    <n v="92.988153374162039"/>
    <n v="98.92356741932133"/>
    <n v="266.10439635797428"/>
    <n v="0"/>
    <n v="0"/>
    <n v="0"/>
    <n v="0"/>
    <n v="0"/>
    <n v="0"/>
    <n v="0"/>
    <n v="0"/>
    <n v="0"/>
    <n v="0"/>
    <n v="178.06242135477839"/>
    <n v="465.534308275326"/>
    <n v="0"/>
    <n v="0"/>
    <n v="0"/>
    <n v="0"/>
    <n v="0"/>
    <n v="0"/>
    <n v="45"/>
    <n v="126.1798012022298"/>
    <n v="0"/>
    <n v="0"/>
    <n v="45"/>
    <n v="110.2314248420967"/>
    <n v="115"/>
    <n v="322.45949196125389"/>
    <n v="0"/>
    <n v="0"/>
    <n v="0"/>
    <n v="0"/>
    <n v="0"/>
    <n v="0"/>
    <n v="0"/>
    <n v="0"/>
    <n v="0"/>
    <n v="0"/>
    <n v="205"/>
    <n v="558.87071800558033"/>
    <n v="26.937578645221606"/>
    <n v="0.15128165977003166"/>
    <n v="93.336409730254331"/>
    <n v="0.20049308519503009"/>
  </r>
  <r>
    <x v="0"/>
    <s v="ESPAÑA"/>
    <s v="ASOC. HORTICULTORES DE VILLA DEL PRADO"/>
    <s v="Con potencial"/>
    <s v="S0020"/>
    <s v="SALWAX STAR, 20 L"/>
    <n v="20"/>
    <n v="2.313333333333333"/>
    <n v="2.41258281604759"/>
    <n v="0"/>
    <n v="0"/>
    <n v="0"/>
    <n v="0"/>
    <n v="0"/>
    <n v="0"/>
    <n v="39.569426967728532"/>
    <n v="94.966624722548474"/>
    <n v="79.138853935457064"/>
    <n v="178.06242135477839"/>
    <n v="59.354140451592791"/>
    <n v="123.45661213931299"/>
    <n v="118.7082809031856"/>
    <n v="284.89987416764541"/>
    <n v="59.354140451592791"/>
    <n v="142.4499370838227"/>
    <n v="0"/>
    <n v="0"/>
    <n v="0"/>
    <n v="0"/>
    <n v="0"/>
    <n v="0"/>
    <n v="0"/>
    <n v="0"/>
    <n v="356.12484270955679"/>
    <n v="823.83546946810793"/>
    <n v="0"/>
    <n v="0"/>
    <n v="0"/>
    <n v="0"/>
    <n v="0"/>
    <n v="0"/>
    <n v="40"/>
    <n v="100.0682438282863"/>
    <n v="100"/>
    <n v="234.5349464725461"/>
    <n v="60"/>
    <n v="130.08871697677219"/>
    <n v="140"/>
    <n v="350.23885339900221"/>
    <n v="60"/>
    <n v="150.1023657424295"/>
    <n v="0"/>
    <n v="0"/>
    <n v="0"/>
    <n v="0"/>
    <n v="0"/>
    <n v="0"/>
    <n v="0"/>
    <n v="0"/>
    <n v="400"/>
    <n v="965.03312641903631"/>
    <n v="43.875157290443212"/>
    <n v="0.12320161928783577"/>
    <n v="141.19765695092838"/>
    <n v="0.17139060186628002"/>
  </r>
  <r>
    <x v="0"/>
    <s v="ESPAÑA"/>
    <s v="ASOC. HORTICULTORES DE VILLA DEL PRADO"/>
    <s v="Con potencial"/>
    <s v="TRI0005"/>
    <s v="TRIFENO-94, 5L"/>
    <n v="5"/>
    <n v="10.73"/>
    <n v="11.184711002890751"/>
    <n v="0"/>
    <n v="0"/>
    <n v="0"/>
    <n v="0"/>
    <n v="0"/>
    <n v="0"/>
    <n v="0"/>
    <n v="0"/>
    <n v="0"/>
    <n v="0"/>
    <n v="0"/>
    <n v="0"/>
    <n v="0"/>
    <n v="0"/>
    <n v="19.78471348386427"/>
    <n v="212.28997568186361"/>
    <n v="0"/>
    <n v="0"/>
    <n v="0"/>
    <n v="0"/>
    <n v="0"/>
    <n v="0"/>
    <n v="0"/>
    <n v="0"/>
    <n v="19.78471348386427"/>
    <n v="212.28997568186361"/>
    <n v="0"/>
    <n v="0"/>
    <n v="0"/>
    <n v="0"/>
    <n v="0"/>
    <n v="0"/>
    <n v="0"/>
    <n v="0"/>
    <n v="0"/>
    <n v="0"/>
    <n v="0"/>
    <n v="0"/>
    <n v="0"/>
    <n v="0"/>
    <n v="25"/>
    <n v="279.61777507226878"/>
    <n v="0"/>
    <n v="0"/>
    <n v="0"/>
    <n v="0"/>
    <n v="0"/>
    <n v="0"/>
    <n v="0"/>
    <n v="0"/>
    <n v="25"/>
    <n v="279.61777507226878"/>
    <n v="5.2152865161357305"/>
    <n v="0.26360182169881502"/>
    <n v="67.327799390405175"/>
    <n v="0.31715015828774779"/>
  </r>
  <r>
    <x v="0"/>
    <s v="ESPAÑA"/>
    <s v="BARAHONA HERNAEZ, DAVID"/>
    <s v="Baja aportación"/>
    <s v="A-50(2)0020"/>
    <s v="CODIORGAN-A50, 20 KG"/>
    <n v="20"/>
    <n v="4.74"/>
    <n v="4.9408695390216373"/>
    <n v="0"/>
    <n v="0"/>
    <n v="0"/>
    <n v="0"/>
    <n v="0"/>
    <n v="0"/>
    <n v="0"/>
    <n v="0"/>
    <n v="0"/>
    <n v="0"/>
    <n v="98.92356741932133"/>
    <n v="468.89770956758309"/>
    <n v="0"/>
    <n v="0"/>
    <n v="0"/>
    <n v="0"/>
    <n v="0"/>
    <n v="0"/>
    <n v="0"/>
    <n v="0"/>
    <n v="0"/>
    <n v="0"/>
    <n v="0"/>
    <n v="0"/>
    <n v="98.92356741932133"/>
    <n v="468.89770956758309"/>
    <n v="0"/>
    <n v="0"/>
    <n v="0"/>
    <n v="0"/>
    <n v="0"/>
    <n v="0"/>
    <n v="0"/>
    <n v="0"/>
    <n v="0"/>
    <n v="0"/>
    <n v="120"/>
    <n v="592.9043446825965"/>
    <n v="0"/>
    <n v="0"/>
    <n v="0"/>
    <n v="0"/>
    <n v="0"/>
    <n v="0"/>
    <n v="0"/>
    <n v="0"/>
    <n v="0"/>
    <n v="0"/>
    <n v="0"/>
    <n v="0"/>
    <n v="120"/>
    <n v="592.9043446825965"/>
    <n v="21.07643258067867"/>
    <n v="0.21305774883086265"/>
    <n v="124.00663511501341"/>
    <n v="0.26446415195623835"/>
  </r>
  <r>
    <x v="0"/>
    <s v="ESPAÑA"/>
    <s v="BARAHONA HERNAEZ, DAVID"/>
    <s v="Baja aportación"/>
    <s v="AGRMGN0020"/>
    <s v="AGROXIGREEN-MG, 20 L"/>
    <n v="20"/>
    <n v="3.48"/>
    <n v="3.62747383877538"/>
    <n v="0"/>
    <n v="0"/>
    <n v="0"/>
    <n v="0"/>
    <n v="0"/>
    <n v="0"/>
    <n v="0"/>
    <n v="0"/>
    <n v="0"/>
    <n v="0"/>
    <n v="98.92356741932133"/>
    <n v="344.25401461923821"/>
    <n v="0"/>
    <n v="0"/>
    <n v="0"/>
    <n v="0"/>
    <n v="0"/>
    <n v="0"/>
    <n v="0"/>
    <n v="0"/>
    <n v="0"/>
    <n v="0"/>
    <n v="0"/>
    <n v="0"/>
    <n v="98.92356741932133"/>
    <n v="344.25401461923821"/>
    <n v="0"/>
    <n v="0"/>
    <n v="0"/>
    <n v="0"/>
    <n v="0"/>
    <n v="0"/>
    <n v="0"/>
    <n v="0"/>
    <n v="0"/>
    <n v="0"/>
    <n v="120"/>
    <n v="435.29686065304548"/>
    <n v="0"/>
    <n v="0"/>
    <n v="0"/>
    <n v="0"/>
    <n v="0"/>
    <n v="0"/>
    <n v="0"/>
    <n v="0"/>
    <n v="0"/>
    <n v="0"/>
    <n v="0"/>
    <n v="0"/>
    <n v="120"/>
    <n v="435.29686065304548"/>
    <n v="21.07643258067867"/>
    <n v="0.21305774883086265"/>
    <n v="91.04284603380728"/>
    <n v="0.26446415195623824"/>
  </r>
  <r>
    <x v="0"/>
    <s v="ESPAÑA"/>
    <s v="BARAHONA HERNAEZ, DAVID"/>
    <s v="Baja aportación"/>
    <s v="AGXK0020"/>
    <s v="AGROXILATO-K, 20 L"/>
    <n v="20"/>
    <n v="2.99"/>
    <n v="3.116708844235168"/>
    <n v="0"/>
    <n v="0"/>
    <n v="0"/>
    <n v="0"/>
    <n v="0"/>
    <n v="0"/>
    <n v="0"/>
    <n v="0"/>
    <n v="0"/>
    <n v="0"/>
    <n v="0"/>
    <n v="0"/>
    <n v="39.569426967728532"/>
    <n v="118.3125866335083"/>
    <n v="0"/>
    <n v="0"/>
    <n v="0"/>
    <n v="0"/>
    <n v="0"/>
    <n v="0"/>
    <n v="0"/>
    <n v="0"/>
    <n v="0"/>
    <n v="0"/>
    <n v="39.569426967728532"/>
    <n v="118.3125866335083"/>
    <n v="0"/>
    <n v="0"/>
    <n v="0"/>
    <n v="0"/>
    <n v="0"/>
    <n v="0"/>
    <n v="0"/>
    <n v="0"/>
    <n v="0"/>
    <n v="0"/>
    <n v="0"/>
    <n v="0"/>
    <n v="40"/>
    <n v="124.66835376940671"/>
    <n v="0"/>
    <n v="0"/>
    <n v="0"/>
    <n v="0"/>
    <n v="0"/>
    <n v="0"/>
    <n v="0"/>
    <n v="0"/>
    <n v="0"/>
    <n v="0"/>
    <n v="40"/>
    <n v="124.66835376940671"/>
    <n v="0.43057303227146804"/>
    <n v="1.0881457359052195E-2"/>
    <n v="6.3557671358984038"/>
    <n v="5.372012663019856E-2"/>
  </r>
  <r>
    <x v="0"/>
    <s v="ESPAÑA"/>
    <s v="BARAHONA HERNAEZ, DAVID"/>
    <s v="Baja aportación"/>
    <s v="AN0020"/>
    <s v="ALCAPLANT NEW, 20 KG"/>
    <n v="20"/>
    <n v="1.68"/>
    <n v="1.7511942669950109"/>
    <n v="0"/>
    <n v="0"/>
    <n v="0"/>
    <n v="0"/>
    <n v="0"/>
    <n v="0"/>
    <n v="0"/>
    <n v="0"/>
    <n v="0"/>
    <n v="0"/>
    <n v="98.92356741932133"/>
    <n v="166.19159326445981"/>
    <n v="0"/>
    <n v="0"/>
    <n v="0"/>
    <n v="0"/>
    <n v="0"/>
    <n v="0"/>
    <n v="0"/>
    <n v="0"/>
    <n v="0"/>
    <n v="0"/>
    <n v="0"/>
    <n v="0"/>
    <n v="98.92356741932133"/>
    <n v="166.19159326445981"/>
    <n v="0"/>
    <n v="0"/>
    <n v="0"/>
    <n v="0"/>
    <n v="0"/>
    <n v="0"/>
    <n v="0"/>
    <n v="0"/>
    <n v="0"/>
    <n v="0"/>
    <n v="100"/>
    <n v="175.1194266995011"/>
    <n v="0"/>
    <n v="0"/>
    <n v="0"/>
    <n v="0"/>
    <n v="0"/>
    <n v="0"/>
    <n v="0"/>
    <n v="0"/>
    <n v="0"/>
    <n v="0"/>
    <n v="0"/>
    <n v="0"/>
    <n v="100"/>
    <n v="175.1194266995011"/>
    <n v="1.0764325806786701"/>
    <n v="1.0881457359052195E-2"/>
    <n v="8.9278334350412933"/>
    <n v="5.3720126630198907E-2"/>
  </r>
  <r>
    <x v="0"/>
    <s v="ESPAÑA"/>
    <s v="BARAHONA HERNAEZ, DAVID"/>
    <s v="Baja aportación"/>
    <s v="AVAN0020"/>
    <s v="FLORAMEC AVANCE, 20 L"/>
    <n v="20"/>
    <n v="4.59"/>
    <n v="4.7845129080399413"/>
    <n v="0"/>
    <n v="0"/>
    <n v="0"/>
    <n v="0"/>
    <n v="0"/>
    <n v="0"/>
    <n v="0"/>
    <n v="0"/>
    <n v="0"/>
    <n v="0"/>
    <n v="0"/>
    <n v="0"/>
    <n v="79.138853935457064"/>
    <n v="363.24733956374791"/>
    <n v="0"/>
    <n v="0"/>
    <n v="0"/>
    <n v="0"/>
    <n v="0"/>
    <n v="0"/>
    <n v="0"/>
    <n v="0"/>
    <n v="0"/>
    <n v="0"/>
    <n v="79.138853935457064"/>
    <n v="363.24733956374791"/>
    <n v="0"/>
    <n v="0"/>
    <n v="0"/>
    <n v="0"/>
    <n v="0"/>
    <n v="0"/>
    <n v="0"/>
    <n v="0"/>
    <n v="0"/>
    <n v="0"/>
    <n v="0"/>
    <n v="0"/>
    <n v="80"/>
    <n v="382.76103264319528"/>
    <n v="0"/>
    <n v="0"/>
    <n v="0"/>
    <n v="0"/>
    <n v="0"/>
    <n v="0"/>
    <n v="0"/>
    <n v="0"/>
    <n v="0"/>
    <n v="0"/>
    <n v="80"/>
    <n v="382.76103264319528"/>
    <n v="0.86114606454293607"/>
    <n v="1.0881457359052195E-2"/>
    <n v="19.513693079447364"/>
    <n v="5.372012663019881E-2"/>
  </r>
  <r>
    <x v="0"/>
    <s v="ESPAÑA"/>
    <s v="BARAHONA HERNAEZ, DAVID"/>
    <s v="Baja aportación"/>
    <s v="C-CU0020"/>
    <s v="CODICOBRE, 20 L"/>
    <n v="20"/>
    <n v="3.69"/>
    <n v="3.8463731221497559"/>
    <n v="0"/>
    <n v="0"/>
    <n v="0"/>
    <n v="0"/>
    <n v="0"/>
    <n v="0"/>
    <n v="0"/>
    <n v="0"/>
    <n v="0"/>
    <n v="0"/>
    <n v="98.92356741932133"/>
    <n v="367.99567079987531"/>
    <n v="59.354140451592791"/>
    <n v="216.04907124379781"/>
    <n v="0"/>
    <n v="0"/>
    <n v="0"/>
    <n v="0"/>
    <n v="0"/>
    <n v="0"/>
    <n v="0"/>
    <n v="0"/>
    <n v="0"/>
    <n v="0"/>
    <n v="158.27770787091413"/>
    <n v="584.04474204367307"/>
    <n v="0"/>
    <n v="0"/>
    <n v="0"/>
    <n v="0"/>
    <n v="0"/>
    <n v="0"/>
    <n v="0"/>
    <n v="0"/>
    <n v="0"/>
    <n v="0"/>
    <n v="100"/>
    <n v="387.76444483460949"/>
    <n v="60"/>
    <n v="227.6552547093514"/>
    <n v="0"/>
    <n v="0"/>
    <n v="0"/>
    <n v="0"/>
    <n v="0"/>
    <n v="0"/>
    <n v="0"/>
    <n v="0"/>
    <n v="0"/>
    <n v="0"/>
    <n v="160"/>
    <n v="615.41969954396086"/>
    <n v="1.7222921290858721"/>
    <n v="1.0881457359052195E-2"/>
    <n v="31.374957500287792"/>
    <n v="5.3720126630198595E-2"/>
  </r>
  <r>
    <x v="0"/>
    <s v="ESPAÑA"/>
    <s v="BARAHONA HERNAEZ, DAVID"/>
    <s v="Baja aportación"/>
    <s v="G30020"/>
    <s v="GREEN-UP, 20 L"/>
    <n v="20"/>
    <n v="4.8599999999999994"/>
    <n v="5.0659548438069946"/>
    <n v="0"/>
    <n v="0"/>
    <n v="0"/>
    <n v="0"/>
    <n v="0"/>
    <n v="0"/>
    <n v="0"/>
    <n v="0"/>
    <n v="0"/>
    <n v="0"/>
    <n v="0"/>
    <n v="0"/>
    <n v="19.78471348386427"/>
    <n v="96.153707531580324"/>
    <n v="0"/>
    <n v="0"/>
    <n v="0"/>
    <n v="0"/>
    <n v="0"/>
    <n v="0"/>
    <n v="0"/>
    <n v="0"/>
    <n v="0"/>
    <n v="0"/>
    <n v="19.78471348386427"/>
    <n v="96.153707531580324"/>
    <n v="0"/>
    <n v="0"/>
    <n v="0"/>
    <n v="0"/>
    <n v="0"/>
    <n v="0"/>
    <n v="0"/>
    <n v="0"/>
    <n v="0"/>
    <n v="0"/>
    <n v="0"/>
    <n v="0"/>
    <n v="20"/>
    <n v="101.31909687613989"/>
    <n v="0"/>
    <n v="0"/>
    <n v="0"/>
    <n v="0"/>
    <n v="0"/>
    <n v="0"/>
    <n v="0"/>
    <n v="0"/>
    <n v="0"/>
    <n v="0"/>
    <n v="20"/>
    <n v="101.31909687613989"/>
    <n v="0.21528651613573047"/>
    <n v="1.0881457359052014E-2"/>
    <n v="5.1653893445595713"/>
    <n v="5.3720126630198553E-2"/>
  </r>
  <r>
    <x v="0"/>
    <s v="ESPAÑA"/>
    <s v="BARAHONA HERNAEZ, DAVID"/>
    <s v="Baja aportación"/>
    <s v="PIV0020"/>
    <s v="PGR IV, 20 L"/>
    <n v="20"/>
    <n v="2.859999999999999"/>
    <n v="2.9811997640510302"/>
    <n v="0"/>
    <n v="0"/>
    <n v="0"/>
    <n v="0"/>
    <n v="0"/>
    <n v="0"/>
    <n v="0"/>
    <n v="0"/>
    <n v="0"/>
    <n v="0"/>
    <n v="98.92356741932133"/>
    <n v="282.92140281925901"/>
    <n v="0"/>
    <n v="0"/>
    <n v="0"/>
    <n v="0"/>
    <n v="0"/>
    <n v="0"/>
    <n v="0"/>
    <n v="0"/>
    <n v="0"/>
    <n v="0"/>
    <n v="0"/>
    <n v="0"/>
    <n v="98.92356741932133"/>
    <n v="282.92140281925901"/>
    <n v="0"/>
    <n v="0"/>
    <n v="0"/>
    <n v="0"/>
    <n v="0"/>
    <n v="0"/>
    <n v="0"/>
    <n v="0"/>
    <n v="0"/>
    <n v="0"/>
    <n v="100"/>
    <n v="298.11997640510299"/>
    <n v="0"/>
    <n v="0"/>
    <n v="0"/>
    <n v="0"/>
    <n v="0"/>
    <n v="0"/>
    <n v="0"/>
    <n v="0"/>
    <n v="0"/>
    <n v="0"/>
    <n v="0"/>
    <n v="0"/>
    <n v="100"/>
    <n v="298.11997640510299"/>
    <n v="1.0764325806786701"/>
    <n v="1.0881457359052195E-2"/>
    <n v="15.198573585843974"/>
    <n v="5.3720126630198435E-2"/>
  </r>
  <r>
    <x v="0"/>
    <s v="ESPAÑA"/>
    <s v="BARAHONA HERNAEZ, DAVID"/>
    <s v="Baja aportación"/>
    <s v="PT0020"/>
    <s v="AGROPOTASION, 20 L"/>
    <n v="20"/>
    <n v="3.25"/>
    <n v="3.3877270046034429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100"/>
    <n v="338.77270046034431"/>
    <n v="0"/>
    <n v="0"/>
    <n v="0"/>
    <n v="0"/>
    <n v="0"/>
    <n v="0"/>
    <n v="0"/>
    <n v="0"/>
    <n v="0"/>
    <n v="0"/>
    <n v="0"/>
    <n v="0"/>
    <n v="100"/>
    <n v="338.77270046034431"/>
    <n v="1.0764325806786701"/>
    <n v="1.0881457359052195E-2"/>
    <n v="17.271106347550017"/>
    <n v="5.3720126630198581E-2"/>
  </r>
  <r>
    <x v="0"/>
    <s v="ESPAÑA"/>
    <s v="BARAHONA HERNAEZ, DAVID"/>
    <s v="Baja aportación"/>
    <s v="S0020"/>
    <s v="SALWAX STAR, 20 L"/>
    <n v="20"/>
    <n v="2.08"/>
    <n v="2.1681452829462029"/>
    <n v="0"/>
    <n v="0"/>
    <n v="0"/>
    <n v="0"/>
    <n v="0"/>
    <n v="0"/>
    <n v="0"/>
    <n v="0"/>
    <n v="0"/>
    <n v="0"/>
    <n v="197.84713483864269"/>
    <n v="411.52204046437669"/>
    <n v="0"/>
    <n v="0"/>
    <n v="0"/>
    <n v="0"/>
    <n v="0"/>
    <n v="0"/>
    <n v="0"/>
    <n v="0"/>
    <n v="0"/>
    <n v="0"/>
    <n v="0"/>
    <n v="0"/>
    <n v="197.84713483864269"/>
    <n v="411.52204046437669"/>
    <n v="0"/>
    <n v="0"/>
    <n v="0"/>
    <n v="0"/>
    <n v="0"/>
    <n v="0"/>
    <n v="0"/>
    <n v="0"/>
    <n v="0"/>
    <n v="0"/>
    <n v="220"/>
    <n v="476.99196224816478"/>
    <n v="0"/>
    <n v="0"/>
    <n v="0"/>
    <n v="0"/>
    <n v="0"/>
    <n v="0"/>
    <n v="0"/>
    <n v="0"/>
    <n v="0"/>
    <n v="0"/>
    <n v="0"/>
    <n v="0"/>
    <n v="220"/>
    <n v="476.99196224816478"/>
    <n v="22.152865161357312"/>
    <n v="0.11196960309495725"/>
    <n v="65.469921783788095"/>
    <n v="0.15909213929321844"/>
  </r>
  <r>
    <x v="0"/>
    <s v="ESPAÑA"/>
    <s v="BARDENAS COMERCIAL, S.L."/>
    <s v="Con potencial"/>
    <s v="A-50(2)0005"/>
    <s v="CODIORGAN-A50, 5 KG"/>
    <n v="5"/>
    <n v="5.1150000000000002"/>
    <n v="5.3322107042326969"/>
    <n v="0"/>
    <n v="0"/>
    <n v="0"/>
    <n v="0"/>
    <n v="0"/>
    <n v="0"/>
    <n v="0"/>
    <n v="0"/>
    <n v="0"/>
    <n v="0"/>
    <n v="296.77070225796399"/>
    <n v="1513.5305815156159"/>
    <n v="296.77070225796399"/>
    <n v="1442.3056129737049"/>
    <n v="593.54140451592798"/>
    <n v="3116.0923737086218"/>
    <n v="0"/>
    <n v="0"/>
    <n v="0"/>
    <n v="0"/>
    <n v="0"/>
    <n v="0"/>
    <n v="0"/>
    <n v="0"/>
    <n v="1187.082809031856"/>
    <n v="6071.9285681979427"/>
    <n v="0"/>
    <n v="0"/>
    <n v="0"/>
    <n v="0"/>
    <n v="0"/>
    <n v="0"/>
    <n v="0"/>
    <n v="0"/>
    <n v="0"/>
    <n v="0"/>
    <n v="390"/>
    <n v="2073.2889268173071"/>
    <n v="390"/>
    <n v="1975.7223890847281"/>
    <n v="785"/>
    <n v="4295.8984362221363"/>
    <n v="0"/>
    <n v="0"/>
    <n v="0"/>
    <n v="0"/>
    <n v="0"/>
    <n v="0"/>
    <n v="0"/>
    <n v="0"/>
    <n v="1565"/>
    <n v="8344.9097521241711"/>
    <n v="377.91719096814404"/>
    <n v="0.31835790063909725"/>
    <n v="2272.9811839262284"/>
    <n v="0.3743425434599299"/>
  </r>
  <r>
    <x v="0"/>
    <s v="ESPAÑA"/>
    <s v="BARDENAS COMERCIAL, S.L."/>
    <s v="Con potencial"/>
    <s v="AGXK0005"/>
    <s v="AGROXILATO-K, 5 L"/>
    <n v="5"/>
    <n v="3.52"/>
    <n v="3.6691689403704988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0"/>
    <n v="0"/>
    <n v="197.84713483864269"/>
    <n v="696.42191463202209"/>
    <n v="0"/>
    <n v="0"/>
    <n v="0"/>
    <n v="0"/>
    <n v="0"/>
    <n v="0"/>
    <n v="0"/>
    <n v="0"/>
    <n v="0"/>
    <n v="0"/>
    <n v="230"/>
    <n v="843.90885628521471"/>
    <n v="0"/>
    <n v="0"/>
    <n v="0"/>
    <n v="0"/>
    <n v="0"/>
    <n v="0"/>
    <n v="0"/>
    <n v="0"/>
    <n v="0"/>
    <n v="0"/>
    <n v="0"/>
    <n v="0"/>
    <n v="230"/>
    <n v="843.90885628521471"/>
    <n v="32.152865161357312"/>
    <n v="0.16251367596290986"/>
    <n v="147.48694165319262"/>
    <n v="0.21177814562472849"/>
  </r>
  <r>
    <x v="0"/>
    <s v="ESPAÑA"/>
    <s v="BARDENAS COMERCIAL, S.L."/>
    <s v="Con potencial"/>
    <s v="AMIMG0005"/>
    <s v="AMINOSOIL-MG, 5L"/>
    <n v="5"/>
    <n v="0"/>
    <n v="0"/>
    <n v="0"/>
    <n v="0"/>
    <n v="0"/>
    <n v="0"/>
    <n v="0"/>
    <n v="0"/>
    <n v="0"/>
    <n v="0"/>
    <n v="0"/>
    <n v="0"/>
    <n v="197.84713483864269"/>
    <n v="0"/>
    <n v="0"/>
    <n v="0"/>
    <n v="0"/>
    <n v="0"/>
    <n v="0"/>
    <n v="0"/>
    <n v="0"/>
    <n v="0"/>
    <n v="0"/>
    <n v="0"/>
    <n v="0"/>
    <n v="0"/>
    <n v="197.84713483864269"/>
    <n v="0"/>
    <n v="0"/>
    <n v="0"/>
    <n v="0"/>
    <n v="0"/>
    <n v="0"/>
    <n v="0"/>
    <n v="0"/>
    <n v="0"/>
    <n v="0"/>
    <n v="0"/>
    <n v="225"/>
    <n v="0"/>
    <n v="0"/>
    <n v="0"/>
    <n v="0"/>
    <n v="0"/>
    <n v="0"/>
    <n v="0"/>
    <n v="0"/>
    <n v="0"/>
    <n v="0"/>
    <n v="0"/>
    <n v="0"/>
    <n v="0"/>
    <n v="225"/>
    <n v="0"/>
    <n v="27.152865161357312"/>
    <n v="0.13724163952893356"/>
    <n v="0"/>
    <n v="0"/>
  </r>
  <r>
    <x v="0"/>
    <s v="ESPAÑA"/>
    <s v="BARDENAS COMERCIAL, S.L."/>
    <s v="Con potencial"/>
    <s v="AN0005"/>
    <s v="ALCAPLANT NEW, 5 KG"/>
    <n v="5"/>
    <n v="1.87"/>
    <n v="1.9492459995718281"/>
    <n v="0"/>
    <n v="0"/>
    <n v="0"/>
    <n v="0"/>
    <n v="0"/>
    <n v="0"/>
    <n v="0"/>
    <n v="0"/>
    <n v="0"/>
    <n v="0"/>
    <n v="0"/>
    <n v="0"/>
    <n v="0"/>
    <n v="0"/>
    <n v="296.77070225796399"/>
    <n v="554.96121322239264"/>
    <n v="0"/>
    <n v="0"/>
    <n v="0"/>
    <n v="0"/>
    <n v="0"/>
    <n v="0"/>
    <n v="0"/>
    <n v="0"/>
    <n v="296.77070225796399"/>
    <n v="554.96121322239264"/>
    <n v="0"/>
    <n v="0"/>
    <n v="0"/>
    <n v="0"/>
    <n v="0"/>
    <n v="0"/>
    <n v="0"/>
    <n v="0"/>
    <n v="0"/>
    <n v="0"/>
    <n v="0"/>
    <n v="0"/>
    <n v="0"/>
    <n v="0"/>
    <n v="345"/>
    <n v="672.48986985228055"/>
    <n v="0"/>
    <n v="0"/>
    <n v="0"/>
    <n v="0"/>
    <n v="0"/>
    <n v="0"/>
    <n v="0"/>
    <n v="0"/>
    <n v="345"/>
    <n v="672.48986985228055"/>
    <n v="48.22929774203601"/>
    <n v="0.16251367596291003"/>
    <n v="117.52865662988791"/>
    <n v="0.21177814562472855"/>
  </r>
  <r>
    <x v="0"/>
    <s v="ESPAÑA"/>
    <s v="BARDENAS COMERCIAL, S.L."/>
    <s v="Con potencial"/>
    <s v="AN0020"/>
    <s v="ALCAPLANT NEW, 20 KG"/>
    <n v="20"/>
    <n v="1.76"/>
    <n v="1.8345844701852501"/>
    <n v="0"/>
    <n v="0"/>
    <n v="0"/>
    <n v="0"/>
    <n v="0"/>
    <n v="0"/>
    <n v="0"/>
    <n v="0"/>
    <n v="0"/>
    <n v="0"/>
    <n v="296.77070225796399"/>
    <n v="522.3164359740166"/>
    <n v="0"/>
    <n v="0"/>
    <n v="0"/>
    <n v="0"/>
    <n v="0"/>
    <n v="0"/>
    <n v="0"/>
    <n v="0"/>
    <n v="0"/>
    <n v="0"/>
    <n v="0"/>
    <n v="0"/>
    <n v="296.77070225796399"/>
    <n v="522.3164359740166"/>
    <n v="0"/>
    <n v="0"/>
    <n v="0"/>
    <n v="0"/>
    <n v="0"/>
    <n v="0"/>
    <n v="0"/>
    <n v="0"/>
    <n v="0"/>
    <n v="0"/>
    <n v="340"/>
    <n v="623.75871986298489"/>
    <n v="0"/>
    <n v="0"/>
    <n v="0"/>
    <n v="0"/>
    <n v="0"/>
    <n v="0"/>
    <n v="0"/>
    <n v="0"/>
    <n v="0"/>
    <n v="0"/>
    <n v="0"/>
    <n v="0"/>
    <n v="340"/>
    <n v="623.75871986298489"/>
    <n v="43.22929774203601"/>
    <n v="0.14566565167359249"/>
    <n v="101.44228388896829"/>
    <n v="0.19421614351422534"/>
  </r>
  <r>
    <x v="0"/>
    <s v="ESPAÑA"/>
    <s v="BARDENAS COMERCIAL, S.L."/>
    <s v="Con potencial"/>
    <s v="C-GLB0001"/>
    <s v="CODIORGAN GLB, 1 KG"/>
    <n v="1"/>
    <n v="8.2899999999999991"/>
    <n v="8.6413098055884756"/>
    <n v="0"/>
    <n v="0"/>
    <n v="0"/>
    <n v="0"/>
    <n v="0"/>
    <n v="0"/>
    <n v="0"/>
    <n v="0"/>
    <n v="0"/>
    <n v="0"/>
    <n v="0"/>
    <n v="0"/>
    <n v="296.77070225796399"/>
    <n v="2460.2291217185211"/>
    <n v="0"/>
    <n v="0"/>
    <n v="0"/>
    <n v="0"/>
    <n v="0"/>
    <n v="0"/>
    <n v="0"/>
    <n v="0"/>
    <n v="0"/>
    <n v="0"/>
    <n v="296.77070225796399"/>
    <n v="2460.2291217185211"/>
    <n v="0"/>
    <n v="0"/>
    <n v="0"/>
    <n v="0"/>
    <n v="0"/>
    <n v="0"/>
    <n v="0"/>
    <n v="0"/>
    <n v="0"/>
    <n v="0"/>
    <n v="0"/>
    <n v="0"/>
    <n v="375"/>
    <n v="3240.4911770956778"/>
    <n v="0"/>
    <n v="0"/>
    <n v="0"/>
    <n v="0"/>
    <n v="0"/>
    <n v="0"/>
    <n v="0"/>
    <n v="0"/>
    <n v="0"/>
    <n v="0"/>
    <n v="375"/>
    <n v="3240.4911770956778"/>
    <n v="78.22929774203601"/>
    <n v="0.26360182169881524"/>
    <n v="780.26205537715668"/>
    <n v="0.31715015828774817"/>
  </r>
  <r>
    <x v="0"/>
    <s v="ESPAÑA"/>
    <s v="BARDENAS COMERCIAL, S.L."/>
    <s v="Con potencial"/>
    <s v="CBROT0005"/>
    <s v="CODIBROT, 5 L"/>
    <n v="5"/>
    <n v="3.399999999999999"/>
    <n v="3.5440836355851411"/>
    <n v="0"/>
    <n v="0"/>
    <n v="0"/>
    <n v="0"/>
    <n v="0"/>
    <n v="0"/>
    <n v="0"/>
    <n v="0"/>
    <n v="0"/>
    <n v="0"/>
    <n v="0"/>
    <n v="0"/>
    <n v="0"/>
    <n v="0"/>
    <n v="296.77070225796399"/>
    <n v="1009.020387677077"/>
    <n v="0"/>
    <n v="0"/>
    <n v="0"/>
    <n v="0"/>
    <n v="0"/>
    <n v="0"/>
    <n v="0"/>
    <n v="0"/>
    <n v="296.77070225796399"/>
    <n v="1009.020387677077"/>
    <n v="0"/>
    <n v="0"/>
    <n v="0"/>
    <n v="0"/>
    <n v="0"/>
    <n v="0"/>
    <n v="0"/>
    <n v="0"/>
    <n v="0"/>
    <n v="0"/>
    <n v="0"/>
    <n v="0"/>
    <n v="0"/>
    <n v="0"/>
    <n v="340"/>
    <n v="1204.9884360989479"/>
    <n v="0"/>
    <n v="0"/>
    <n v="0"/>
    <n v="0"/>
    <n v="0"/>
    <n v="0"/>
    <n v="0"/>
    <n v="0"/>
    <n v="340"/>
    <n v="1204.9884360989479"/>
    <n v="43.22929774203601"/>
    <n v="0.14566565167359249"/>
    <n v="195.96804842187089"/>
    <n v="0.19421614351422575"/>
  </r>
  <r>
    <x v="0"/>
    <s v="ESPAÑA"/>
    <s v="BARDENAS COMERCIAL, S.L."/>
    <s v="Con potencial"/>
    <s v="FU0005"/>
    <s v="FULVIGIN, 5 L"/>
    <n v="5"/>
    <n v="3.14"/>
    <n v="3.2730654752168649"/>
    <n v="0"/>
    <n v="0"/>
    <n v="0"/>
    <n v="0"/>
    <n v="0"/>
    <n v="0"/>
    <n v="0"/>
    <n v="0"/>
    <n v="0"/>
    <n v="0"/>
    <n v="0"/>
    <n v="0"/>
    <n v="0"/>
    <n v="0"/>
    <n v="296.77070225796399"/>
    <n v="931.86000509000689"/>
    <n v="0"/>
    <n v="0"/>
    <n v="0"/>
    <n v="0"/>
    <n v="0"/>
    <n v="0"/>
    <n v="0"/>
    <n v="0"/>
    <n v="296.77070225796399"/>
    <n v="931.86000509000689"/>
    <n v="0"/>
    <n v="0"/>
    <n v="0"/>
    <n v="0"/>
    <n v="0"/>
    <n v="0"/>
    <n v="0"/>
    <n v="0"/>
    <n v="0"/>
    <n v="0"/>
    <n v="0"/>
    <n v="0"/>
    <n v="0"/>
    <n v="0"/>
    <n v="335"/>
    <n v="1096.4769341976501"/>
    <n v="0"/>
    <n v="0"/>
    <n v="0"/>
    <n v="0"/>
    <n v="0"/>
    <n v="0"/>
    <n v="0"/>
    <n v="0"/>
    <n v="335"/>
    <n v="1096.4769341976501"/>
    <n v="38.22929774203601"/>
    <n v="0.12881762738427496"/>
    <n v="164.61692910764316"/>
    <n v="0.17665414140372199"/>
  </r>
  <r>
    <x v="0"/>
    <s v="ESPAÑA"/>
    <s v="BARDENAS COMERCIAL, S.L."/>
    <s v="Con potencial"/>
    <s v="PT0005"/>
    <s v="AGROPOTASION, 5 L"/>
    <n v="5"/>
    <n v="3.5885106382978722"/>
    <n v="3.7406251327960409"/>
    <n v="0"/>
    <n v="0"/>
    <n v="0"/>
    <n v="0"/>
    <n v="0"/>
    <n v="0"/>
    <n v="0"/>
    <n v="0"/>
    <n v="0"/>
    <n v="0"/>
    <n v="791.38853935457064"/>
    <n v="2854.934155721613"/>
    <n v="791.38853935457064"/>
    <n v="2785.6876585280879"/>
    <n v="3066.6305899989611"/>
    <n v="11043.827066693029"/>
    <n v="0"/>
    <n v="0"/>
    <n v="0"/>
    <n v="0"/>
    <n v="0"/>
    <n v="0"/>
    <n v="0"/>
    <n v="0"/>
    <n v="4649.4076687081024"/>
    <n v="16684.448880942731"/>
    <n v="0"/>
    <n v="0"/>
    <n v="0"/>
    <n v="0"/>
    <n v="0"/>
    <n v="0"/>
    <n v="0"/>
    <n v="0"/>
    <n v="0"/>
    <n v="0"/>
    <n v="915"/>
    <n v="3440.744932225487"/>
    <n v="915"/>
    <n v="3357.2895804390059"/>
    <n v="3545"/>
    <n v="13307.82557611423"/>
    <n v="0"/>
    <n v="0"/>
    <n v="0"/>
    <n v="0"/>
    <n v="0"/>
    <n v="0"/>
    <n v="0"/>
    <n v="0"/>
    <n v="5375"/>
    <n v="20105.860088778725"/>
    <n v="725.59233129189761"/>
    <n v="0.15606124112870334"/>
    <n v="3421.411207835994"/>
    <n v="0.20506588094402026"/>
  </r>
  <r>
    <x v="0"/>
    <s v="ESPAÑA"/>
    <s v="BARDENAS COMERCIAL, S.L."/>
    <s v="Con potencial"/>
    <s v="RUN0020"/>
    <s v="RUN STRESS, 20 L"/>
    <n v="20"/>
    <n v="7.879999999999999"/>
    <n v="8.213935014238503"/>
    <n v="0"/>
    <n v="0"/>
    <n v="0"/>
    <n v="0"/>
    <n v="0"/>
    <n v="0"/>
    <n v="0"/>
    <n v="0"/>
    <n v="0"/>
    <n v="0"/>
    <n v="0"/>
    <n v="0"/>
    <n v="0"/>
    <n v="0"/>
    <n v="296.77070225796399"/>
    <n v="2338.5531337927559"/>
    <n v="0"/>
    <n v="0"/>
    <n v="0"/>
    <n v="0"/>
    <n v="0"/>
    <n v="0"/>
    <n v="0"/>
    <n v="0"/>
    <n v="296.77070225796399"/>
    <n v="2338.5531337927559"/>
    <n v="0"/>
    <n v="0"/>
    <n v="0"/>
    <n v="0"/>
    <n v="0"/>
    <n v="0"/>
    <n v="0"/>
    <n v="0"/>
    <n v="0"/>
    <n v="0"/>
    <n v="0"/>
    <n v="0"/>
    <n v="0"/>
    <n v="0"/>
    <n v="400"/>
    <n v="3285.574005695401"/>
    <n v="0"/>
    <n v="0"/>
    <n v="0"/>
    <n v="0"/>
    <n v="0"/>
    <n v="0"/>
    <n v="0"/>
    <n v="0"/>
    <n v="400"/>
    <n v="3285.574005695401"/>
    <n v="103.22929774203601"/>
    <n v="0.34784194314540295"/>
    <n v="947.02087190264501"/>
    <n v="0.40496016884026487"/>
  </r>
  <r>
    <x v="0"/>
    <s v="ESPAÑA"/>
    <s v="BARDENAS COMERCIAL, S.L."/>
    <s v="Con potencial"/>
    <s v="S0005"/>
    <s v="SALWAX STAR, 5 L"/>
    <n v="5"/>
    <n v="2.41"/>
    <n v="2.5121298711059379"/>
    <n v="0"/>
    <n v="0"/>
    <n v="0"/>
    <n v="0"/>
    <n v="0"/>
    <n v="0"/>
    <n v="0"/>
    <n v="0"/>
    <n v="0"/>
    <n v="0"/>
    <n v="296.77070225796399"/>
    <n v="733.02363457717104"/>
    <n v="0"/>
    <n v="0"/>
    <n v="296.77070225796399"/>
    <n v="697.41115030621529"/>
    <n v="0"/>
    <n v="0"/>
    <n v="0"/>
    <n v="0"/>
    <n v="0"/>
    <n v="0"/>
    <n v="0"/>
    <n v="0"/>
    <n v="593.54140451592798"/>
    <n v="1430.4347848833863"/>
    <n v="0"/>
    <n v="0"/>
    <n v="0"/>
    <n v="0"/>
    <n v="0"/>
    <n v="0"/>
    <n v="0"/>
    <n v="0"/>
    <n v="0"/>
    <n v="0"/>
    <n v="340"/>
    <n v="875.38865798952975"/>
    <n v="0"/>
    <n v="0"/>
    <n v="340"/>
    <n v="832.85965436250808"/>
    <n v="0"/>
    <n v="0"/>
    <n v="0"/>
    <n v="0"/>
    <n v="0"/>
    <n v="0"/>
    <n v="0"/>
    <n v="0"/>
    <n v="680"/>
    <n v="1708.2483123520378"/>
    <n v="86.458595484072021"/>
    <n v="0.14566565167359249"/>
    <n v="277.8135274686515"/>
    <n v="0.19421614351422511"/>
  </r>
  <r>
    <x v="0"/>
    <s v="ESPAÑA"/>
    <s v="BARRIOS LÓPEZ, JUSTO"/>
    <s v="Baja aportación"/>
    <s v="AGRMGN0020"/>
    <s v="AGROXIGREEN-MG, 20 L"/>
    <n v="20"/>
    <n v="3.1278723404255322"/>
    <n v="3.2607311837992481"/>
    <n v="0"/>
    <n v="0"/>
    <n v="0"/>
    <n v="0"/>
    <n v="0"/>
    <n v="0"/>
    <n v="0"/>
    <n v="0"/>
    <n v="1226.652235999584"/>
    <n v="3867.1200975561092"/>
    <n v="633.11083148365651"/>
    <n v="1949.9813609696621"/>
    <n v="0"/>
    <n v="0"/>
    <n v="0"/>
    <n v="0"/>
    <n v="0"/>
    <n v="0"/>
    <n v="0"/>
    <n v="0"/>
    <n v="0"/>
    <n v="0"/>
    <n v="0"/>
    <n v="0"/>
    <n v="1859.7630674832405"/>
    <n v="5817.1014585257708"/>
    <n v="0"/>
    <n v="0"/>
    <n v="0"/>
    <n v="0"/>
    <n v="0"/>
    <n v="0"/>
    <n v="0"/>
    <n v="0"/>
    <n v="1460"/>
    <n v="4797.8217154684471"/>
    <n v="740"/>
    <n v="2375.7868888898979"/>
    <n v="0"/>
    <n v="0"/>
    <n v="0"/>
    <n v="0"/>
    <n v="0"/>
    <n v="0"/>
    <n v="0"/>
    <n v="0"/>
    <n v="0"/>
    <n v="0"/>
    <n v="0"/>
    <n v="0"/>
    <n v="2200"/>
    <n v="7173.6086043583455"/>
    <n v="340.23693251675945"/>
    <n v="0.18294638627123158"/>
    <n v="1356.5071458325747"/>
    <n v="0.23319296654941868"/>
  </r>
  <r>
    <x v="0"/>
    <s v="ESPAÑA"/>
    <s v="BARRIOS LÓPEZ, JUSTO"/>
    <s v="Baja aportación"/>
    <s v="C-CU0005"/>
    <s v="CODICOBRE, 5 L"/>
    <n v="5"/>
    <n v="4.2"/>
    <n v="4.3779856674875282"/>
    <n v="0"/>
    <n v="0"/>
    <n v="0"/>
    <n v="0"/>
    <n v="0"/>
    <n v="0"/>
    <n v="0"/>
    <n v="0"/>
    <n v="197.84713483864269"/>
    <n v="830.95796632229917"/>
    <n v="0"/>
    <n v="0"/>
    <n v="0"/>
    <n v="0"/>
    <n v="0"/>
    <n v="0"/>
    <n v="0"/>
    <n v="0"/>
    <n v="0"/>
    <n v="0"/>
    <n v="0"/>
    <n v="0"/>
    <n v="0"/>
    <n v="0"/>
    <n v="197.84713483864269"/>
    <n v="830.95796632229917"/>
    <n v="0"/>
    <n v="0"/>
    <n v="0"/>
    <n v="0"/>
    <n v="0"/>
    <n v="0"/>
    <n v="0"/>
    <n v="0"/>
    <n v="210"/>
    <n v="919.37699017238083"/>
    <n v="0"/>
    <n v="0"/>
    <n v="0"/>
    <n v="0"/>
    <n v="0"/>
    <n v="0"/>
    <n v="0"/>
    <n v="0"/>
    <n v="0"/>
    <n v="0"/>
    <n v="0"/>
    <n v="0"/>
    <n v="0"/>
    <n v="0"/>
    <n v="210"/>
    <n v="919.37699017238083"/>
    <n v="12.152865161357312"/>
    <n v="6.142553022700465E-2"/>
    <n v="88.419023850081658"/>
    <n v="0.10640613296170874"/>
  </r>
  <r>
    <x v="0"/>
    <s v="ESPAÑA"/>
    <s v="BARRIOS LÓPEZ, JUSTO"/>
    <s v="Baja aportación"/>
    <s v="C-CU0020"/>
    <s v="CODICOBRE, 20 L"/>
    <n v="20"/>
    <n v="3.91"/>
    <n v="4.075696180922912"/>
    <n v="0"/>
    <n v="0"/>
    <n v="0"/>
    <n v="0"/>
    <n v="0"/>
    <n v="0"/>
    <n v="0"/>
    <n v="0"/>
    <n v="98.92356741932133"/>
    <n v="386.79114860954638"/>
    <n v="0"/>
    <n v="0"/>
    <n v="0"/>
    <n v="0"/>
    <n v="0"/>
    <n v="0"/>
    <n v="0"/>
    <n v="0"/>
    <n v="0"/>
    <n v="0"/>
    <n v="0"/>
    <n v="0"/>
    <n v="0"/>
    <n v="0"/>
    <n v="98.92356741932133"/>
    <n v="386.79114860954638"/>
    <n v="0"/>
    <n v="0"/>
    <n v="0"/>
    <n v="0"/>
    <n v="0"/>
    <n v="0"/>
    <n v="0"/>
    <n v="0"/>
    <n v="100"/>
    <n v="407.56961809229119"/>
    <n v="0"/>
    <n v="0"/>
    <n v="0"/>
    <n v="0"/>
    <n v="0"/>
    <n v="0"/>
    <n v="0"/>
    <n v="0"/>
    <n v="0"/>
    <n v="0"/>
    <n v="0"/>
    <n v="0"/>
    <n v="0"/>
    <n v="0"/>
    <n v="100"/>
    <n v="407.56961809229119"/>
    <n v="1.0764325806786701"/>
    <n v="1.0881457359052195E-2"/>
    <n v="20.778469482744811"/>
    <n v="5.3720126630198636E-2"/>
  </r>
  <r>
    <x v="0"/>
    <s v="ESPAÑA"/>
    <s v="BARRIOS LÓPEZ, JUSTO"/>
    <s v="Baja aportación"/>
    <s v="C-CUAE0005"/>
    <s v="CUPRAMEC, 5 L"/>
    <n v="5"/>
    <n v="4.6199999999999992"/>
    <n v="4.8157842342362791"/>
    <n v="0"/>
    <n v="0"/>
    <n v="0"/>
    <n v="0"/>
    <n v="0"/>
    <n v="0"/>
    <n v="0"/>
    <n v="0"/>
    <n v="197.84713483864269"/>
    <n v="914.05376295452902"/>
    <n v="0"/>
    <n v="0"/>
    <n v="0"/>
    <n v="0"/>
    <n v="0"/>
    <n v="0"/>
    <n v="0"/>
    <n v="0"/>
    <n v="0"/>
    <n v="0"/>
    <n v="0"/>
    <n v="0"/>
    <n v="0"/>
    <n v="0"/>
    <n v="197.84713483864269"/>
    <n v="914.05376295452902"/>
    <n v="0"/>
    <n v="0"/>
    <n v="0"/>
    <n v="0"/>
    <n v="0"/>
    <n v="0"/>
    <n v="0"/>
    <n v="0"/>
    <n v="235"/>
    <n v="1131.709295045526"/>
    <n v="0"/>
    <n v="0"/>
    <n v="0"/>
    <n v="0"/>
    <n v="0"/>
    <n v="0"/>
    <n v="0"/>
    <n v="0"/>
    <n v="0"/>
    <n v="0"/>
    <n v="0"/>
    <n v="0"/>
    <n v="0"/>
    <n v="0"/>
    <n v="235"/>
    <n v="1131.709295045526"/>
    <n v="37.152865161357312"/>
    <n v="0.18778571239688616"/>
    <n v="217.65553209099699"/>
    <n v="0.23812114879048377"/>
  </r>
  <r>
    <x v="0"/>
    <s v="ESPAÑA"/>
    <s v="BARRIOS LÓPEZ, JUSTO"/>
    <s v="Baja aportación"/>
    <s v="C-CUAE0020"/>
    <s v="CUPRAMEC, 20 L"/>
    <n v="20"/>
    <n v="4.29"/>
    <n v="4.471799646076545"/>
    <n v="0"/>
    <n v="0"/>
    <n v="0"/>
    <n v="0"/>
    <n v="0"/>
    <n v="0"/>
    <n v="0"/>
    <n v="0"/>
    <n v="197.84713483864269"/>
    <n v="848.76420845777693"/>
    <n v="0"/>
    <n v="0"/>
    <n v="0"/>
    <n v="0"/>
    <n v="0"/>
    <n v="0"/>
    <n v="0"/>
    <n v="0"/>
    <n v="0"/>
    <n v="0"/>
    <n v="0"/>
    <n v="0"/>
    <n v="0"/>
    <n v="0"/>
    <n v="197.84713483864269"/>
    <n v="848.76420845777693"/>
    <n v="0"/>
    <n v="0"/>
    <n v="0"/>
    <n v="0"/>
    <n v="0"/>
    <n v="0"/>
    <n v="0"/>
    <n v="0"/>
    <n v="240"/>
    <n v="1073.231915058371"/>
    <n v="0"/>
    <n v="0"/>
    <n v="0"/>
    <n v="0"/>
    <n v="0"/>
    <n v="0"/>
    <n v="0"/>
    <n v="0"/>
    <n v="0"/>
    <n v="0"/>
    <n v="0"/>
    <n v="0"/>
    <n v="0"/>
    <n v="0"/>
    <n v="240"/>
    <n v="1073.231915058371"/>
    <n v="42.152865161357312"/>
    <n v="0.21305774883086245"/>
    <n v="224.46770660059406"/>
    <n v="0.26446415195623857"/>
  </r>
  <r>
    <x v="0"/>
    <s v="ESPAÑA"/>
    <s v="BELLO ALIAGA ERNESTO"/>
    <s v="Con potencial"/>
    <s v="A-50(2)0020"/>
    <s v="CODIORGAN-A50, 20 KG"/>
    <n v="20"/>
    <n v="4.7399999999999993"/>
    <n v="4.9408695390216373"/>
    <n v="0"/>
    <n v="0"/>
    <n v="0"/>
    <n v="0"/>
    <n v="0"/>
    <n v="0"/>
    <n v="0"/>
    <n v="0"/>
    <n v="593.54140451592798"/>
    <n v="2813.3862574054979"/>
    <n v="0"/>
    <n v="0"/>
    <n v="0"/>
    <n v="0"/>
    <n v="0"/>
    <n v="0"/>
    <n v="0"/>
    <n v="0"/>
    <n v="0"/>
    <n v="0"/>
    <n v="0"/>
    <n v="0"/>
    <n v="0"/>
    <n v="0"/>
    <n v="593.54140451592798"/>
    <n v="2813.3862574054979"/>
    <n v="0"/>
    <n v="0"/>
    <n v="0"/>
    <n v="0"/>
    <n v="0"/>
    <n v="0"/>
    <n v="0"/>
    <n v="0"/>
    <n v="760"/>
    <n v="3755.0608496564441"/>
    <n v="0"/>
    <n v="0"/>
    <n v="0"/>
    <n v="0"/>
    <n v="0"/>
    <n v="0"/>
    <n v="0"/>
    <n v="0"/>
    <n v="0"/>
    <n v="0"/>
    <n v="0"/>
    <n v="0"/>
    <n v="0"/>
    <n v="0"/>
    <n v="760"/>
    <n v="3755.0608496564441"/>
    <n v="166.45859548407202"/>
    <n v="0.28044984598813277"/>
    <n v="941.67459225094626"/>
    <n v="0.3347121603982518"/>
  </r>
  <r>
    <x v="0"/>
    <s v="ESPAÑA"/>
    <s v="BELLO ALIAGA ERNESTO"/>
    <s v="Con potencial"/>
    <s v="BR-59AE0005"/>
    <s v="BR-59 AE, 5 KG"/>
    <n v="5"/>
    <n v="2.58"/>
    <n v="2.689334052885195"/>
    <n v="0"/>
    <n v="0"/>
    <n v="0"/>
    <n v="0"/>
    <n v="0"/>
    <n v="0"/>
    <n v="0"/>
    <n v="0"/>
    <n v="0"/>
    <n v="0"/>
    <n v="1088.159241612535"/>
    <n v="2807.4508433603391"/>
    <n v="0"/>
    <n v="0"/>
    <n v="0"/>
    <n v="0"/>
    <n v="0"/>
    <n v="0"/>
    <n v="0"/>
    <n v="0"/>
    <n v="0"/>
    <n v="0"/>
    <n v="0"/>
    <n v="0"/>
    <n v="1088.159241612535"/>
    <n v="2807.4508433603391"/>
    <n v="0"/>
    <n v="0"/>
    <n v="0"/>
    <n v="0"/>
    <n v="0"/>
    <n v="0"/>
    <n v="0"/>
    <n v="0"/>
    <n v="0"/>
    <n v="0"/>
    <n v="1255"/>
    <n v="3375.11423637092"/>
    <n v="0"/>
    <n v="0"/>
    <n v="0"/>
    <n v="0"/>
    <n v="0"/>
    <n v="0"/>
    <n v="0"/>
    <n v="0"/>
    <n v="0"/>
    <n v="0"/>
    <n v="0"/>
    <n v="0"/>
    <n v="1255"/>
    <n v="3375.11423637092"/>
    <n v="166.84075838746503"/>
    <n v="0.15332384453237283"/>
    <n v="567.66339301058088"/>
    <n v="0.20219887174627219"/>
  </r>
  <r>
    <x v="0"/>
    <s v="ESPAÑA"/>
    <s v="BELLO ALIAGA ERNESTO"/>
    <s v="Con potencial"/>
    <s v="C-CUAE0005"/>
    <s v="CUPRAMEC, 5 L"/>
    <n v="5"/>
    <n v="4.4000000000000004"/>
    <n v="4.5864611754631239"/>
    <n v="0"/>
    <n v="0"/>
    <n v="0"/>
    <n v="0"/>
    <n v="0"/>
    <n v="0"/>
    <n v="0"/>
    <n v="0"/>
    <n v="0"/>
    <n v="0"/>
    <n v="593.54140451592798"/>
    <n v="2611.5821798700831"/>
    <n v="0"/>
    <n v="0"/>
    <n v="0"/>
    <n v="0"/>
    <n v="0"/>
    <n v="0"/>
    <n v="0"/>
    <n v="0"/>
    <n v="0"/>
    <n v="0"/>
    <n v="0"/>
    <n v="0"/>
    <n v="593.54140451592798"/>
    <n v="2611.5821798700831"/>
    <n v="0"/>
    <n v="0"/>
    <n v="0"/>
    <n v="0"/>
    <n v="0"/>
    <n v="0"/>
    <n v="0"/>
    <n v="0"/>
    <n v="0"/>
    <n v="0"/>
    <n v="750"/>
    <n v="3439.8458815973431"/>
    <n v="0"/>
    <n v="0"/>
    <n v="0"/>
    <n v="0"/>
    <n v="0"/>
    <n v="0"/>
    <n v="0"/>
    <n v="0"/>
    <n v="0"/>
    <n v="0"/>
    <n v="0"/>
    <n v="0"/>
    <n v="750"/>
    <n v="3439.8458815973431"/>
    <n v="156.45859548407202"/>
    <n v="0.26360182169881524"/>
    <n v="828.26370172726001"/>
    <n v="0.31715015828774845"/>
  </r>
  <r>
    <x v="0"/>
    <s v="ESPAÑA"/>
    <s v="BELLO ALIAGA ERNESTO"/>
    <s v="Con potencial"/>
    <s v="HST0020"/>
    <s v="HIDROSTRESS-40, 20 L"/>
    <n v="20"/>
    <n v="6.0399999999999991"/>
    <n v="6.2959603408630151"/>
    <n v="0"/>
    <n v="0"/>
    <n v="0"/>
    <n v="0"/>
    <n v="0"/>
    <n v="0"/>
    <n v="0"/>
    <n v="0"/>
    <n v="0"/>
    <n v="0"/>
    <n v="633.11083148365651"/>
    <n v="3823.9894221612849"/>
    <n v="1266.221662967313"/>
    <n v="7647.9788443225698"/>
    <n v="0"/>
    <n v="0"/>
    <n v="0"/>
    <n v="0"/>
    <n v="0"/>
    <n v="0"/>
    <n v="0"/>
    <n v="0"/>
    <n v="0"/>
    <n v="0"/>
    <n v="1899.3324944509695"/>
    <n v="11471.968266483855"/>
    <n v="0"/>
    <n v="0"/>
    <n v="0"/>
    <n v="0"/>
    <n v="0"/>
    <n v="0"/>
    <n v="0"/>
    <n v="0"/>
    <n v="0"/>
    <n v="0"/>
    <n v="840"/>
    <n v="5288.6066863249334"/>
    <n v="1680"/>
    <n v="10577.213372649871"/>
    <n v="0"/>
    <n v="0"/>
    <n v="0"/>
    <n v="0"/>
    <n v="0"/>
    <n v="0"/>
    <n v="0"/>
    <n v="0"/>
    <n v="0"/>
    <n v="0"/>
    <n v="2520"/>
    <n v="15865.820058974805"/>
    <n v="620.66750554903047"/>
    <n v="0.32678191278375601"/>
    <n v="4393.8517924909502"/>
    <n v="0.38300766620213644"/>
  </r>
  <r>
    <x v="0"/>
    <s v="ESPAÑA"/>
    <s v="CAMP-ALT S.L."/>
    <s v="Baja aportación"/>
    <s v="BR-590005"/>
    <s v="BR-59, 5 KG"/>
    <n v="5"/>
    <n v="2.37"/>
    <n v="2.4704347695108191"/>
    <n v="0"/>
    <n v="0"/>
    <n v="98.92356741932133"/>
    <n v="234.44885478379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34.44885478379149"/>
    <n v="0"/>
    <n v="0"/>
    <n v="105"/>
    <n v="259.39565079863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259.39565079863598"/>
    <n v="6.0764325806786701"/>
    <n v="6.1425530227004803E-2"/>
    <n v="24.946796014844494"/>
    <n v="0.10640613296170888"/>
  </r>
  <r>
    <x v="0"/>
    <s v="ESPAÑA"/>
    <s v="CAMP-ALT S.L."/>
    <s v="Baja aportación"/>
    <s v="BR-59AE0005"/>
    <s v="BR-59 AE, 5 KG"/>
    <n v="5"/>
    <n v="2.4900000000000002"/>
    <n v="2.5955200742961768"/>
    <n v="0"/>
    <n v="0"/>
    <n v="0"/>
    <n v="0"/>
    <n v="0"/>
    <n v="0"/>
    <n v="0"/>
    <n v="0"/>
    <n v="0"/>
    <n v="0"/>
    <n v="0"/>
    <n v="0"/>
    <n v="494.61783709660659"/>
    <n v="1231.59841437055"/>
    <n v="0"/>
    <n v="0"/>
    <n v="0"/>
    <n v="0"/>
    <n v="0"/>
    <n v="0"/>
    <n v="0"/>
    <n v="0"/>
    <n v="0"/>
    <n v="0"/>
    <n v="494.61783709660659"/>
    <n v="1231.59841437055"/>
    <n v="0"/>
    <n v="0"/>
    <n v="0"/>
    <n v="0"/>
    <n v="0"/>
    <n v="0"/>
    <n v="0"/>
    <n v="0"/>
    <n v="0"/>
    <n v="0"/>
    <n v="0"/>
    <n v="0"/>
    <n v="535"/>
    <n v="1388.6032397484551"/>
    <n v="0"/>
    <n v="0"/>
    <n v="0"/>
    <n v="0"/>
    <n v="0"/>
    <n v="0"/>
    <n v="0"/>
    <n v="0"/>
    <n v="0"/>
    <n v="0"/>
    <n v="535"/>
    <n v="1388.6032397484551"/>
    <n v="40.382162903393407"/>
    <n v="8.1643159374185967E-2"/>
    <n v="157.00482537790504"/>
    <n v="0.12748053549431343"/>
  </r>
  <r>
    <x v="0"/>
    <s v="ESPAÑA"/>
    <s v="CAMP-ALT S.L."/>
    <s v="Baja aportación"/>
    <s v="C-CUAE0005"/>
    <s v="CUPRAMEC, 5 L"/>
    <n v="5"/>
    <n v="4.63"/>
    <n v="4.8262080096350592"/>
    <n v="0"/>
    <n v="0"/>
    <n v="0"/>
    <n v="0"/>
    <n v="0"/>
    <n v="0"/>
    <n v="0"/>
    <n v="0"/>
    <n v="0"/>
    <n v="0"/>
    <n v="0"/>
    <n v="0"/>
    <n v="98.92356741932133"/>
    <n v="458.01611715145771"/>
    <n v="0"/>
    <n v="0"/>
    <n v="0"/>
    <n v="0"/>
    <n v="0"/>
    <n v="0"/>
    <n v="0"/>
    <n v="0"/>
    <n v="0"/>
    <n v="0"/>
    <n v="98.92356741932133"/>
    <n v="458.01611715145771"/>
    <n v="0"/>
    <n v="0"/>
    <n v="0"/>
    <n v="0"/>
    <n v="0"/>
    <n v="0"/>
    <n v="0"/>
    <n v="0"/>
    <n v="0"/>
    <n v="0"/>
    <n v="0"/>
    <n v="0"/>
    <n v="115"/>
    <n v="555.01392110803181"/>
    <n v="0"/>
    <n v="0"/>
    <n v="0"/>
    <n v="0"/>
    <n v="0"/>
    <n v="0"/>
    <n v="0"/>
    <n v="0"/>
    <n v="0"/>
    <n v="0"/>
    <n v="115"/>
    <n v="555.01392110803181"/>
    <n v="16.07643258067867"/>
    <n v="0.16251367596291003"/>
    <n v="96.997803956574103"/>
    <n v="0.21177814562472846"/>
  </r>
  <r>
    <x v="0"/>
    <s v="ESPAÑA"/>
    <s v="CAMP-ALT S.L."/>
    <s v="Baja aportación"/>
    <s v="C-L0005"/>
    <s v="CODIBOR-L, 5 L"/>
    <n v="5"/>
    <n v="4.5299999999999994"/>
    <n v="4.7219702556472614"/>
    <n v="0"/>
    <n v="0"/>
    <n v="79.138853935457064"/>
    <n v="358.499008327620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358.49900832762052"/>
    <n v="0"/>
    <n v="0"/>
    <n v="85"/>
    <n v="401.3674717300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401.3674717300172"/>
    <n v="5.8611460645429361"/>
    <n v="7.4061548443992958E-2"/>
    <n v="42.868463402396685"/>
    <n v="0.11957763454458596"/>
  </r>
  <r>
    <x v="0"/>
    <s v="ESPAÑA"/>
    <s v="CAMP-ALT S.L."/>
    <s v="Baja aportación"/>
    <s v="CBASI0005"/>
    <s v="BIOCULTURE BASI, 5 KG"/>
    <n v="5"/>
    <n v="4.42"/>
    <n v="4.6073087262606833"/>
    <n v="0"/>
    <n v="0"/>
    <n v="0"/>
    <n v="0"/>
    <n v="0"/>
    <n v="0"/>
    <n v="0"/>
    <n v="0"/>
    <n v="0"/>
    <n v="0"/>
    <n v="0"/>
    <n v="0"/>
    <n v="98.92356741932133"/>
    <n v="437.24216799340019"/>
    <n v="0"/>
    <n v="0"/>
    <n v="0"/>
    <n v="0"/>
    <n v="0"/>
    <n v="0"/>
    <n v="0"/>
    <n v="0"/>
    <n v="0"/>
    <n v="0"/>
    <n v="98.92356741932133"/>
    <n v="437.24216799340019"/>
    <n v="0"/>
    <n v="0"/>
    <n v="0"/>
    <n v="0"/>
    <n v="0"/>
    <n v="0"/>
    <n v="0"/>
    <n v="0"/>
    <n v="0"/>
    <n v="0"/>
    <n v="0"/>
    <n v="0"/>
    <n v="105"/>
    <n v="483.76741625737179"/>
    <n v="0"/>
    <n v="0"/>
    <n v="0"/>
    <n v="0"/>
    <n v="0"/>
    <n v="0"/>
    <n v="0"/>
    <n v="0"/>
    <n v="0"/>
    <n v="0"/>
    <n v="105"/>
    <n v="483.76741625737179"/>
    <n v="6.0764325806786701"/>
    <n v="6.1425530227004803E-2"/>
    <n v="46.525248263971605"/>
    <n v="0.10640613296170891"/>
  </r>
  <r>
    <x v="0"/>
    <s v="ESPAÑA"/>
    <s v="CAMP-ALT S.L."/>
    <s v="Baja aportación"/>
    <s v="SPCE2B0001"/>
    <s v="SPRINTENE CON BORO, 1 L"/>
    <n v="1"/>
    <n v="13.16"/>
    <n v="13.71768842479425"/>
    <n v="0"/>
    <n v="0"/>
    <n v="35.612484270955683"/>
    <n v="468.66029300577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83"/>
    <n v="468.66029300577668"/>
    <n v="0"/>
    <n v="0"/>
    <n v="39"/>
    <n v="534.98984856697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534.98984856697587"/>
    <n v="3.387515729044317"/>
    <n v="9.5121578805639748E-2"/>
    <n v="66.329555561199186"/>
    <n v="0.14153013718271543"/>
  </r>
  <r>
    <x v="0"/>
    <s v="ESPAÑA"/>
    <s v="CAMP-ALT S.L."/>
    <s v="Baja aportación"/>
    <s v="WHITE0020"/>
    <s v="AGROWHITE, 20 KG"/>
    <n v="20"/>
    <n v="1.8028571428571429"/>
    <n v="1.8792577933228769"/>
    <n v="0"/>
    <n v="0"/>
    <n v="39.569426967728532"/>
    <n v="75.577605508361501"/>
    <n v="0"/>
    <n v="0"/>
    <n v="0"/>
    <n v="0"/>
    <n v="0"/>
    <n v="0"/>
    <n v="0"/>
    <n v="0"/>
    <n v="98.92356741932133"/>
    <n v="174.1054786580055"/>
    <n v="0"/>
    <n v="0"/>
    <n v="0"/>
    <n v="0"/>
    <n v="0"/>
    <n v="0"/>
    <n v="0"/>
    <n v="0"/>
    <n v="0"/>
    <n v="0"/>
    <n v="138.49299438704986"/>
    <n v="249.683084166367"/>
    <n v="0"/>
    <n v="0"/>
    <n v="40"/>
    <n v="79.637644046677892"/>
    <n v="0"/>
    <n v="0"/>
    <n v="0"/>
    <n v="0"/>
    <n v="0"/>
    <n v="0"/>
    <n v="0"/>
    <n v="0"/>
    <n v="100"/>
    <n v="183.45844701852491"/>
    <n v="0"/>
    <n v="0"/>
    <n v="0"/>
    <n v="0"/>
    <n v="0"/>
    <n v="0"/>
    <n v="0"/>
    <n v="0"/>
    <n v="0"/>
    <n v="0"/>
    <n v="140"/>
    <n v="263.09609106520281"/>
    <n v="1.5070056129501381"/>
    <n v="1.0881457359052195E-2"/>
    <n v="13.413006898835818"/>
    <n v="5.3720126630198789E-2"/>
  </r>
  <r>
    <x v="0"/>
    <s v="ESPAÑA"/>
    <s v="CARDONA Y CELMA, S.L."/>
    <s v="Con potencial"/>
    <s v="A-50(2)0005"/>
    <s v="CODIORGAN-A50, 5 KG"/>
    <n v="5"/>
    <n v="5.0999999999999996"/>
    <n v="5.3161254533777118"/>
    <n v="0"/>
    <n v="0"/>
    <n v="0"/>
    <n v="0"/>
    <n v="0"/>
    <n v="0"/>
    <n v="989.23567419321319"/>
    <n v="5045.1019383853873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5045.1019383853873"/>
    <n v="0"/>
    <n v="0"/>
    <n v="0"/>
    <n v="0"/>
    <n v="0"/>
    <n v="0"/>
    <n v="1305"/>
    <n v="6937.543716657914"/>
    <n v="0"/>
    <n v="0"/>
    <n v="0"/>
    <n v="0"/>
    <n v="0"/>
    <n v="0"/>
    <n v="0"/>
    <n v="0"/>
    <n v="0"/>
    <n v="0"/>
    <n v="0"/>
    <n v="0"/>
    <n v="0"/>
    <n v="0"/>
    <n v="0"/>
    <n v="0"/>
    <n v="1305"/>
    <n v="6937.543716657914"/>
    <n v="315.76432580678681"/>
    <n v="0.31920030185356324"/>
    <n v="1892.4417782725268"/>
    <n v="0.37510476525240949"/>
  </r>
  <r>
    <x v="0"/>
    <s v="ESPAÑA"/>
    <s v="CARDONA Y CELMA, S.L."/>
    <s v="Con potencial"/>
    <s v="AGRMG0005"/>
    <s v="AGROXIGREEN-MG, 5 L"/>
    <n v="5"/>
    <n v="3.55"/>
    <n v="3.7004402665668379"/>
    <n v="0"/>
    <n v="0"/>
    <n v="0"/>
    <n v="0"/>
    <n v="0"/>
    <n v="0"/>
    <n v="1483.8535112898201"/>
    <n v="5267.6799650788607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5267.6799650788607"/>
    <n v="0"/>
    <n v="0"/>
    <n v="0"/>
    <n v="0"/>
    <n v="0"/>
    <n v="0"/>
    <n v="1875"/>
    <n v="6938.3254998128223"/>
    <n v="0"/>
    <n v="0"/>
    <n v="0"/>
    <n v="0"/>
    <n v="0"/>
    <n v="0"/>
    <n v="0"/>
    <n v="0"/>
    <n v="0"/>
    <n v="0"/>
    <n v="0"/>
    <n v="0"/>
    <n v="0"/>
    <n v="0"/>
    <n v="0"/>
    <n v="0"/>
    <n v="1875"/>
    <n v="6938.3254998128223"/>
    <n v="391.14648871017994"/>
    <n v="0.26360182169881513"/>
    <n v="1670.6455347339615"/>
    <n v="0.3171501582877484"/>
  </r>
  <r>
    <x v="0"/>
    <s v="ESPAÑA"/>
    <s v="CITAL, S.L."/>
    <s v="Con potencial"/>
    <s v="AGFE0001"/>
    <s v="AGROXILATO-FE, 1 KG"/>
    <n v="1"/>
    <n v="10.95"/>
    <n v="11.41403406166391"/>
    <n v="0"/>
    <n v="0"/>
    <n v="0"/>
    <n v="0"/>
    <n v="0"/>
    <n v="0"/>
    <n v="47.483312361274237"/>
    <n v="519.94227035595293"/>
    <n v="0"/>
    <n v="0"/>
    <n v="0"/>
    <n v="0"/>
    <n v="0"/>
    <n v="0"/>
    <n v="0"/>
    <n v="0"/>
    <n v="0"/>
    <n v="0"/>
    <n v="0"/>
    <n v="0"/>
    <n v="0"/>
    <n v="0"/>
    <n v="0"/>
    <n v="0"/>
    <n v="47.483312361274237"/>
    <n v="519.94227035595293"/>
    <n v="0"/>
    <n v="0"/>
    <n v="0"/>
    <n v="0"/>
    <n v="0"/>
    <n v="0"/>
    <n v="51"/>
    <n v="582.11573714485939"/>
    <n v="0"/>
    <n v="0"/>
    <n v="0"/>
    <n v="0"/>
    <n v="0"/>
    <n v="0"/>
    <n v="0"/>
    <n v="0"/>
    <n v="0"/>
    <n v="0"/>
    <n v="0"/>
    <n v="0"/>
    <n v="0"/>
    <n v="0"/>
    <n v="0"/>
    <n v="0"/>
    <n v="51"/>
    <n v="582.11573714485939"/>
    <n v="3.5166876387257631"/>
    <n v="7.4061548443992986E-2"/>
    <n v="62.173466788906467"/>
    <n v="0.11957763454458599"/>
  </r>
  <r>
    <x v="0"/>
    <s v="ESPAÑA"/>
    <s v="CITAL, S.L."/>
    <s v="Con potencial"/>
    <s v="AGRMG0005"/>
    <s v="AGROXIGREEN-MG, 5 L"/>
    <n v="5"/>
    <n v="3.38"/>
    <n v="3.5232360847875821"/>
    <n v="0"/>
    <n v="0"/>
    <n v="0"/>
    <n v="0"/>
    <n v="197.84713483864269"/>
    <n v="668.723315754612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68.72331575461214"/>
    <n v="0"/>
    <n v="0"/>
    <n v="0"/>
    <n v="0"/>
    <n v="235"/>
    <n v="827.9604799250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827.9604799250817"/>
    <n v="37.152865161357312"/>
    <n v="0.18778571239688616"/>
    <n v="159.23716417046955"/>
    <n v="0.23812114879048363"/>
  </r>
  <r>
    <x v="0"/>
    <s v="ESPAÑA"/>
    <s v="CITAL, S.L."/>
    <s v="Con potencial"/>
    <s v="AN0020"/>
    <s v="ALCAPLANT NEW, 20 KG"/>
    <n v="20"/>
    <n v="1.68"/>
    <n v="1.7511942669950109"/>
    <n v="0"/>
    <n v="0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220"/>
    <n v="385.26273873890233"/>
    <n v="0"/>
    <n v="0"/>
    <n v="0"/>
    <n v="0"/>
    <n v="0"/>
    <n v="0"/>
    <n v="0"/>
    <n v="0"/>
    <n v="0"/>
    <n v="0"/>
    <n v="0"/>
    <n v="0"/>
    <n v="0"/>
    <n v="0"/>
    <n v="220"/>
    <n v="385.26273873890233"/>
    <n v="22.152865161357312"/>
    <n v="0.11196960309495725"/>
    <n v="52.879552209982705"/>
    <n v="0.1590921392932185"/>
  </r>
  <r>
    <x v="0"/>
    <s v="ESPAÑA"/>
    <s v="CITAL, S.L."/>
    <s v="Con potencial"/>
    <s v="AQUOM0005"/>
    <s v="AQUOM, 5 L"/>
    <n v="5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70"/>
    <n v="0"/>
    <n v="0"/>
    <n v="0"/>
    <n v="0"/>
    <n v="0"/>
    <n v="0"/>
    <n v="0"/>
    <n v="0"/>
    <n v="0"/>
    <n v="0"/>
    <n v="0"/>
    <n v="70"/>
    <n v="0"/>
    <n v="10.645859548407209"/>
    <n v="0.1793617002522277"/>
    <n v="0"/>
    <n v="0"/>
  </r>
  <r>
    <x v="0"/>
    <s v="ESPAÑA"/>
    <s v="CITAL, S.L."/>
    <s v="Con potencial"/>
    <s v="C-CU0020"/>
    <s v="CODICOBRE, 20 L"/>
    <n v="20"/>
    <n v="3.6863551401869161"/>
    <n v="3.8427755359501772"/>
    <n v="0"/>
    <n v="0"/>
    <n v="0"/>
    <n v="0"/>
    <n v="0"/>
    <n v="0"/>
    <n v="1187.082809031856"/>
    <n v="4344.7230810565916"/>
    <n v="692.46497193524931"/>
    <n v="2575.9696955991271"/>
    <n v="0"/>
    <n v="0"/>
    <n v="237.41656180637119"/>
    <n v="883.18960991970073"/>
    <n v="0"/>
    <n v="0"/>
    <n v="0"/>
    <n v="0"/>
    <n v="0"/>
    <n v="0"/>
    <n v="0"/>
    <n v="0"/>
    <n v="0"/>
    <n v="0"/>
    <n v="2116.9643427734763"/>
    <n v="7803.8823865754193"/>
    <n v="0"/>
    <n v="0"/>
    <n v="0"/>
    <n v="0"/>
    <n v="0"/>
    <n v="0"/>
    <n v="1260"/>
    <n v="4807.0282629013054"/>
    <n v="740"/>
    <n v="2869.4568917761098"/>
    <n v="0"/>
    <n v="0"/>
    <n v="260"/>
    <n v="1008.187556569985"/>
    <n v="0"/>
    <n v="0"/>
    <n v="0"/>
    <n v="0"/>
    <n v="0"/>
    <n v="0"/>
    <n v="0"/>
    <n v="0"/>
    <n v="0"/>
    <n v="0"/>
    <n v="2260"/>
    <n v="8684.6727112474"/>
    <n v="143.03565722652365"/>
    <n v="6.7566398893204718E-2"/>
    <n v="880.79032467198067"/>
    <n v="0.11286565853262406"/>
  </r>
  <r>
    <x v="0"/>
    <s v="ESPAÑA"/>
    <s v="CITAL, S.L."/>
    <s v="Con potencial"/>
    <s v="C-CUAE0020"/>
    <s v="CUPRAMEC, 20 L"/>
    <n v="20"/>
    <n v="4.09"/>
    <n v="4.2633241381009492"/>
    <n v="0"/>
    <n v="0"/>
    <n v="0"/>
    <n v="0"/>
    <n v="633.11083148365651"/>
    <n v="2589.4233007681551"/>
    <n v="0"/>
    <n v="0"/>
    <n v="0"/>
    <n v="0"/>
    <n v="0"/>
    <n v="0"/>
    <n v="633.11083148365651"/>
    <n v="2589.4233007681551"/>
    <n v="0"/>
    <n v="0"/>
    <n v="0"/>
    <n v="0"/>
    <n v="0"/>
    <n v="0"/>
    <n v="0"/>
    <n v="0"/>
    <n v="0"/>
    <n v="0"/>
    <n v="1266.221662967313"/>
    <n v="5178.8466015363101"/>
    <n v="0"/>
    <n v="0"/>
    <n v="0"/>
    <n v="0"/>
    <n v="740"/>
    <n v="3154.8598621947031"/>
    <n v="0"/>
    <n v="0"/>
    <n v="0"/>
    <n v="0"/>
    <n v="0"/>
    <n v="0"/>
    <n v="760"/>
    <n v="3240.1263449567209"/>
    <n v="0"/>
    <n v="0"/>
    <n v="0"/>
    <n v="0"/>
    <n v="0"/>
    <n v="0"/>
    <n v="0"/>
    <n v="0"/>
    <n v="0"/>
    <n v="0"/>
    <n v="1500"/>
    <n v="6394.9862071514235"/>
    <n v="233.77833703268698"/>
    <n v="0.18462670784263929"/>
    <n v="1216.1396056151134"/>
    <n v="0.23482827339476406"/>
  </r>
  <r>
    <x v="0"/>
    <s v="ESPAÑA"/>
    <s v="CITAL, S.L."/>
    <s v="Con potencial"/>
    <s v="PT0020"/>
    <s v="AGROPOTASION, 20 L"/>
    <n v="20"/>
    <n v="3.25"/>
    <n v="3.3877270046034429"/>
    <n v="0"/>
    <n v="0"/>
    <n v="0"/>
    <n v="0"/>
    <n v="0"/>
    <n v="0"/>
    <n v="197.84713483864269"/>
    <n v="643.00318822558859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643.00318822558859"/>
    <n v="0"/>
    <n v="0"/>
    <n v="0"/>
    <n v="0"/>
    <n v="0"/>
    <n v="0"/>
    <n v="220"/>
    <n v="745.29994101275747"/>
    <n v="0"/>
    <n v="0"/>
    <n v="0"/>
    <n v="0"/>
    <n v="0"/>
    <n v="0"/>
    <n v="0"/>
    <n v="0"/>
    <n v="0"/>
    <n v="0"/>
    <n v="0"/>
    <n v="0"/>
    <n v="0"/>
    <n v="0"/>
    <n v="0"/>
    <n v="0"/>
    <n v="220"/>
    <n v="745.29994101275747"/>
    <n v="22.152865161357312"/>
    <n v="0.11196960309495725"/>
    <n v="102.29675278716888"/>
    <n v="0.15909213929321842"/>
  </r>
  <r>
    <x v="0"/>
    <s v="ESPAÑA"/>
    <s v="CITAL, S.L."/>
    <s v="Con potencial"/>
    <s v="S0020"/>
    <s v="SALWAX STAR, 20 L"/>
    <n v="20"/>
    <n v="2.08"/>
    <n v="2.1681452829462038"/>
    <n v="0"/>
    <n v="0"/>
    <n v="0"/>
    <n v="0"/>
    <n v="0"/>
    <n v="0"/>
    <n v="0"/>
    <n v="0"/>
    <n v="158.2777078709141"/>
    <n v="329.2176323715014"/>
    <n v="0"/>
    <n v="0"/>
    <n v="0"/>
    <n v="0"/>
    <n v="0"/>
    <n v="0"/>
    <n v="0"/>
    <n v="0"/>
    <n v="0"/>
    <n v="0"/>
    <n v="0"/>
    <n v="0"/>
    <n v="0"/>
    <n v="0"/>
    <n v="158.2777078709141"/>
    <n v="329.2176323715014"/>
    <n v="0"/>
    <n v="0"/>
    <n v="0"/>
    <n v="0"/>
    <n v="0"/>
    <n v="0"/>
    <n v="0"/>
    <n v="0"/>
    <n v="160"/>
    <n v="346.90324527139268"/>
    <n v="0"/>
    <n v="0"/>
    <n v="0"/>
    <n v="0"/>
    <n v="0"/>
    <n v="0"/>
    <n v="0"/>
    <n v="0"/>
    <n v="0"/>
    <n v="0"/>
    <n v="0"/>
    <n v="0"/>
    <n v="0"/>
    <n v="0"/>
    <n v="160"/>
    <n v="346.90324527139268"/>
    <n v="1.7222921290859006"/>
    <n v="1.0881457359052377E-2"/>
    <n v="17.685612899891282"/>
    <n v="5.3720126630198775E-2"/>
  </r>
  <r>
    <x v="0"/>
    <s v="ESPAÑA"/>
    <s v="CITAL, S.L."/>
    <s v="Con potencial"/>
    <s v="WHITE0020"/>
    <s v="AGROWHITE, 20 KG"/>
    <n v="20"/>
    <n v="1.79"/>
    <n v="1.8658557963815889"/>
    <n v="0"/>
    <n v="0"/>
    <n v="0"/>
    <n v="0"/>
    <n v="0"/>
    <n v="0"/>
    <n v="0"/>
    <n v="0"/>
    <n v="0"/>
    <n v="0"/>
    <n v="1978.4713483864259"/>
    <n v="3541.463713611703"/>
    <n v="395.69426967728532"/>
    <n v="708.29274272234068"/>
    <n v="0"/>
    <n v="0"/>
    <n v="0"/>
    <n v="0"/>
    <n v="0"/>
    <n v="0"/>
    <n v="0"/>
    <n v="0"/>
    <n v="0"/>
    <n v="0"/>
    <n v="2374.165618063711"/>
    <n v="4249.7564563340438"/>
    <n v="0"/>
    <n v="0"/>
    <n v="0"/>
    <n v="0"/>
    <n v="0"/>
    <n v="0"/>
    <n v="0"/>
    <n v="0"/>
    <n v="0"/>
    <n v="0"/>
    <n v="2100"/>
    <n v="3918.2971724013369"/>
    <n v="420"/>
    <n v="783.65943448026724"/>
    <n v="0"/>
    <n v="0"/>
    <n v="0"/>
    <n v="0"/>
    <n v="0"/>
    <n v="0"/>
    <n v="0"/>
    <n v="0"/>
    <n v="0"/>
    <n v="0"/>
    <n v="2520"/>
    <n v="4701.9566068816039"/>
    <n v="145.83438193628899"/>
    <n v="6.1425530227005212E-2"/>
    <n v="452.20015054756004"/>
    <n v="0.10640613296170864"/>
  </r>
  <r>
    <x v="0"/>
    <s v="ESPAÑA"/>
    <s v="COMERCIAL NANCLARES, S.L."/>
    <s v="Con potencial"/>
    <s v="C-CU0005"/>
    <s v="CODICOBRE, 5 L"/>
    <n v="5"/>
    <n v="4.1709090909090909"/>
    <n v="4.3520284228670363"/>
    <n v="0"/>
    <n v="0"/>
    <n v="0"/>
    <n v="0"/>
    <n v="0"/>
    <n v="0"/>
    <n v="0"/>
    <n v="0"/>
    <n v="0"/>
    <n v="0"/>
    <n v="0"/>
    <n v="0"/>
    <n v="79.138853935457064"/>
    <n v="353.75067709149312"/>
    <n v="138.49299438704989"/>
    <n v="553.97197754819945"/>
    <n v="0"/>
    <n v="0"/>
    <n v="0"/>
    <n v="0"/>
    <n v="0"/>
    <n v="0"/>
    <n v="0"/>
    <n v="0"/>
    <n v="217.63184832250695"/>
    <n v="907.72265463969256"/>
    <n v="0"/>
    <n v="0"/>
    <n v="0"/>
    <n v="0"/>
    <n v="0"/>
    <n v="0"/>
    <n v="0"/>
    <n v="0"/>
    <n v="0"/>
    <n v="0"/>
    <n v="0"/>
    <n v="0"/>
    <n v="95"/>
    <n v="442.64562230918528"/>
    <n v="160"/>
    <n v="667.12162552190887"/>
    <n v="0"/>
    <n v="0"/>
    <n v="0"/>
    <n v="0"/>
    <n v="0"/>
    <n v="0"/>
    <n v="0"/>
    <n v="0"/>
    <n v="255"/>
    <n v="1109.7672478310942"/>
    <n v="37.368151677493046"/>
    <n v="0.1717035073934467"/>
    <n v="202.04459319140165"/>
    <n v="0.22258405930344477"/>
  </r>
  <r>
    <x v="0"/>
    <s v="ESPAÑA"/>
    <s v="COMERCIAL NANCLARES, S.L."/>
    <s v="Con potencial"/>
    <s v="C-CUAE0005"/>
    <s v="CUPRAMEC, 5 L"/>
    <n v="5"/>
    <n v="4.6999999999999993"/>
    <n v="4.8991744374265176"/>
    <n v="0"/>
    <n v="0"/>
    <n v="0"/>
    <n v="0"/>
    <n v="0"/>
    <n v="0"/>
    <n v="0"/>
    <n v="0"/>
    <n v="0"/>
    <n v="0"/>
    <n v="0"/>
    <n v="0"/>
    <n v="59.354140451592791"/>
    <n v="290.8352882128047"/>
    <n v="39.569426967728532"/>
    <n v="174.1054786580055"/>
    <n v="0"/>
    <n v="0"/>
    <n v="0"/>
    <n v="0"/>
    <n v="0"/>
    <n v="0"/>
    <n v="0"/>
    <n v="0"/>
    <n v="98.92356741932133"/>
    <n v="464.94076687081019"/>
    <n v="0"/>
    <n v="0"/>
    <n v="0"/>
    <n v="0"/>
    <n v="0"/>
    <n v="0"/>
    <n v="0"/>
    <n v="0"/>
    <n v="0"/>
    <n v="0"/>
    <n v="0"/>
    <n v="0"/>
    <n v="75"/>
    <n v="383.0737459051586"/>
    <n v="50"/>
    <n v="229.32305877315619"/>
    <n v="0"/>
    <n v="0"/>
    <n v="0"/>
    <n v="0"/>
    <n v="0"/>
    <n v="0"/>
    <n v="0"/>
    <n v="0"/>
    <n v="125"/>
    <n v="612.39680467831477"/>
    <n v="26.07643258067867"/>
    <n v="0.26360182169881524"/>
    <n v="147.45603780750457"/>
    <n v="0.3171501582877484"/>
  </r>
  <r>
    <x v="0"/>
    <s v="ESPAÑA"/>
    <s v="COMERCIAL NANCLARES, S.L."/>
    <s v="Con potencial"/>
    <s v="C-L0005"/>
    <s v="CODIBOR-L, 5 L"/>
    <n v="5"/>
    <n v="4.7"/>
    <n v="4.8994350318114872"/>
    <n v="0"/>
    <n v="0"/>
    <n v="593.54140451592798"/>
    <n v="2777.7737731345428"/>
    <n v="0"/>
    <n v="0"/>
    <n v="0"/>
    <n v="0"/>
    <n v="0"/>
    <n v="0"/>
    <n v="0"/>
    <n v="0"/>
    <n v="79.138853935457064"/>
    <n v="393.32010405922159"/>
    <n v="39.569426967728532"/>
    <n v="176.47964427606931"/>
    <n v="0"/>
    <n v="0"/>
    <n v="0"/>
    <n v="0"/>
    <n v="0"/>
    <n v="0"/>
    <n v="0"/>
    <n v="0"/>
    <n v="712.24968541911358"/>
    <n v="3347.5735214698338"/>
    <n v="0"/>
    <n v="0"/>
    <n v="665"/>
    <n v="3244.0873796082569"/>
    <n v="0"/>
    <n v="0"/>
    <n v="0"/>
    <n v="0"/>
    <n v="0"/>
    <n v="0"/>
    <n v="0"/>
    <n v="0"/>
    <n v="90"/>
    <n v="466.25547358742159"/>
    <n v="45"/>
    <n v="209.20517225351111"/>
    <n v="0"/>
    <n v="0"/>
    <n v="0"/>
    <n v="0"/>
    <n v="0"/>
    <n v="0"/>
    <n v="0"/>
    <n v="0"/>
    <n v="800"/>
    <n v="3919.5480254491895"/>
    <n v="87.750314580886425"/>
    <n v="0.12320161928783577"/>
    <n v="571.97450397935563"/>
    <n v="0.17086241730344917"/>
  </r>
  <r>
    <x v="0"/>
    <s v="ESPAÑA"/>
    <s v="COMERCIAL NANCLARES, S.L."/>
    <s v="Con potencial"/>
    <s v="WHITE0020"/>
    <s v="AGROWHITE, 20 KG"/>
    <n v="20"/>
    <n v="1.93"/>
    <n v="2.0117886519645061"/>
    <n v="0"/>
    <n v="0"/>
    <n v="0"/>
    <n v="0"/>
    <n v="0"/>
    <n v="0"/>
    <n v="0"/>
    <n v="0"/>
    <n v="0"/>
    <n v="0"/>
    <n v="0"/>
    <n v="0"/>
    <n v="19.78471348386427"/>
    <n v="38.184497023858029"/>
    <n v="0"/>
    <n v="0"/>
    <n v="0"/>
    <n v="0"/>
    <n v="0"/>
    <n v="0"/>
    <n v="0"/>
    <n v="0"/>
    <n v="0"/>
    <n v="0"/>
    <n v="19.78471348386427"/>
    <n v="38.184497023858029"/>
    <n v="0"/>
    <n v="0"/>
    <n v="0"/>
    <n v="0"/>
    <n v="0"/>
    <n v="0"/>
    <n v="0"/>
    <n v="0"/>
    <n v="0"/>
    <n v="0"/>
    <n v="0"/>
    <n v="0"/>
    <n v="20"/>
    <n v="40.235773039290123"/>
    <n v="0"/>
    <n v="0"/>
    <n v="0"/>
    <n v="0"/>
    <n v="0"/>
    <n v="0"/>
    <n v="0"/>
    <n v="0"/>
    <n v="0"/>
    <n v="0"/>
    <n v="20"/>
    <n v="40.235773039290123"/>
    <n v="0.21528651613573047"/>
    <n v="1.0881457359052014E-2"/>
    <n v="2.0512760154320944"/>
    <n v="5.3720126630198588E-2"/>
  </r>
  <r>
    <x v="0"/>
    <s v="ESPAÑA"/>
    <s v="COMERCIAL NORTE AGROCAMPO, S.L."/>
    <s v="Baja aportación"/>
    <s v="A-50(2)0020"/>
    <s v="CODIORGAN-A50, 20 KG"/>
    <n v="20"/>
    <n v="4.8899999999999997"/>
    <n v="5.097226170003335"/>
    <n v="0"/>
    <n v="0"/>
    <n v="0"/>
    <n v="0"/>
    <n v="0"/>
    <n v="0"/>
    <n v="0"/>
    <n v="0"/>
    <n v="0"/>
    <n v="0"/>
    <n v="0"/>
    <n v="0"/>
    <n v="0"/>
    <n v="0"/>
    <n v="19.78471348386427"/>
    <n v="96.747248936096256"/>
    <n v="0"/>
    <n v="0"/>
    <n v="0"/>
    <n v="0"/>
    <n v="0"/>
    <n v="0"/>
    <n v="0"/>
    <n v="0"/>
    <n v="19.78471348386427"/>
    <n v="96.747248936096256"/>
    <n v="0"/>
    <n v="0"/>
    <n v="0"/>
    <n v="0"/>
    <n v="0"/>
    <n v="0"/>
    <n v="0"/>
    <n v="0"/>
    <n v="0"/>
    <n v="0"/>
    <n v="0"/>
    <n v="0"/>
    <n v="0"/>
    <n v="0"/>
    <n v="20"/>
    <n v="101.9445234000667"/>
    <n v="0"/>
    <n v="0"/>
    <n v="0"/>
    <n v="0"/>
    <n v="0"/>
    <n v="0"/>
    <n v="0"/>
    <n v="0"/>
    <n v="20"/>
    <n v="101.9445234000667"/>
    <n v="0.21528651613573047"/>
    <n v="1.0881457359052014E-2"/>
    <n v="5.1972744639704445"/>
    <n v="5.3720126630198671E-2"/>
  </r>
  <r>
    <x v="0"/>
    <s v="ESPAÑA"/>
    <s v="COMERCIAL NORTE AGROCAMPO, S.L."/>
    <s v="Baja aportación"/>
    <s v="AN0005"/>
    <s v="ALCAPLANT NEW, 5 KG"/>
    <n v="5"/>
    <n v="1.9450000000000001"/>
    <n v="2.0274243150626758"/>
    <n v="0"/>
    <n v="0"/>
    <n v="0"/>
    <n v="0"/>
    <n v="0"/>
    <n v="0"/>
    <n v="0"/>
    <n v="0"/>
    <n v="0"/>
    <n v="0"/>
    <n v="19.78471348386427"/>
    <n v="36.997414214826172"/>
    <n v="0"/>
    <n v="0"/>
    <n v="19.78471348386427"/>
    <n v="39.96512123740581"/>
    <n v="0"/>
    <n v="0"/>
    <n v="0"/>
    <n v="0"/>
    <n v="0"/>
    <n v="0"/>
    <n v="0"/>
    <n v="0"/>
    <n v="39.569426967728539"/>
    <n v="76.962535452231975"/>
    <n v="0"/>
    <n v="0"/>
    <n v="0"/>
    <n v="0"/>
    <n v="0"/>
    <n v="0"/>
    <n v="0"/>
    <n v="0"/>
    <n v="0"/>
    <n v="0"/>
    <n v="20"/>
    <n v="38.984919991436549"/>
    <n v="0"/>
    <n v="0"/>
    <n v="20"/>
    <n v="42.112052611070489"/>
    <n v="0"/>
    <n v="0"/>
    <n v="0"/>
    <n v="0"/>
    <n v="0"/>
    <n v="0"/>
    <n v="0"/>
    <n v="0"/>
    <n v="40"/>
    <n v="81.096972602507037"/>
    <n v="0.43057303227146093"/>
    <n v="1.0881457359052014E-2"/>
    <n v="4.1344371502750619"/>
    <n v="5.3720126630198747E-2"/>
  </r>
  <r>
    <x v="0"/>
    <s v="ESPAÑA"/>
    <s v="COMERCIAL NORTE AGROCAMPO, S.L."/>
    <s v="Baja aportación"/>
    <s v="AN0020"/>
    <s v="ALCAPLANT NEW, 20 KG"/>
    <n v="20"/>
    <n v="1.7549999999999999"/>
    <n v="1.82937258248586"/>
    <n v="0"/>
    <n v="0"/>
    <n v="0"/>
    <n v="0"/>
    <n v="0"/>
    <n v="0"/>
    <n v="0"/>
    <n v="0"/>
    <n v="0"/>
    <n v="0"/>
    <n v="39.569426967728532"/>
    <n v="66.476637305783939"/>
    <n v="0"/>
    <n v="0"/>
    <n v="39.569426967728532"/>
    <n v="72.412051350943216"/>
    <n v="0"/>
    <n v="0"/>
    <n v="0"/>
    <n v="0"/>
    <n v="0"/>
    <n v="0"/>
    <n v="0"/>
    <n v="0"/>
    <n v="79.138853935457064"/>
    <n v="138.88868865672714"/>
    <n v="0"/>
    <n v="0"/>
    <n v="0"/>
    <n v="0"/>
    <n v="0"/>
    <n v="0"/>
    <n v="0"/>
    <n v="0"/>
    <n v="0"/>
    <n v="0"/>
    <n v="40"/>
    <n v="70.04777067980045"/>
    <n v="0"/>
    <n v="0"/>
    <n v="40"/>
    <n v="76.302035919068331"/>
    <n v="0"/>
    <n v="0"/>
    <n v="0"/>
    <n v="0"/>
    <n v="0"/>
    <n v="0"/>
    <n v="0"/>
    <n v="0"/>
    <n v="80"/>
    <n v="146.34980659886878"/>
    <n v="0.86114606454293607"/>
    <n v="1.0881457359052195E-2"/>
    <n v="7.4611179421416409"/>
    <n v="5.3720126630198824E-2"/>
  </r>
  <r>
    <x v="0"/>
    <s v="ESPAÑA"/>
    <s v="COMERCIAL NORTE AGROCAMPO, S.L."/>
    <s v="Baja aportación"/>
    <s v="B0005"/>
    <s v="BOROCAL, 5 L"/>
    <n v="5"/>
    <n v="3.2450000000000001"/>
    <n v="3.3825151169040528"/>
    <n v="0"/>
    <n v="0"/>
    <n v="0"/>
    <n v="0"/>
    <n v="0"/>
    <n v="0"/>
    <n v="0"/>
    <n v="0"/>
    <n v="0"/>
    <n v="0"/>
    <n v="19.78471348386427"/>
    <n v="66.080943036106646"/>
    <n v="0"/>
    <n v="0"/>
    <n v="19.78471348386427"/>
    <n v="62.321847474172444"/>
    <n v="0"/>
    <n v="0"/>
    <n v="0"/>
    <n v="0"/>
    <n v="0"/>
    <n v="0"/>
    <n v="0"/>
    <n v="0"/>
    <n v="39.569426967728539"/>
    <n v="128.40279051027909"/>
    <n v="0"/>
    <n v="0"/>
    <n v="0"/>
    <n v="0"/>
    <n v="0"/>
    <n v="0"/>
    <n v="0"/>
    <n v="0"/>
    <n v="0"/>
    <n v="0"/>
    <n v="20"/>
    <n v="69.630819663849223"/>
    <n v="0"/>
    <n v="0"/>
    <n v="20"/>
    <n v="65.6697850123129"/>
    <n v="0"/>
    <n v="0"/>
    <n v="0"/>
    <n v="0"/>
    <n v="0"/>
    <n v="0"/>
    <n v="0"/>
    <n v="0"/>
    <n v="40"/>
    <n v="135.30060467616212"/>
    <n v="0.43057303227146093"/>
    <n v="1.0881457359052014E-2"/>
    <n v="6.8978141658830339"/>
    <n v="5.3720126630198428E-2"/>
  </r>
  <r>
    <x v="0"/>
    <s v="ESPAÑA"/>
    <s v="COMERCIAL NORTE AGROCAMPO, S.L."/>
    <s v="Baja aportación"/>
    <s v="BR-590005"/>
    <s v="BR-59, 5 KG"/>
    <n v="5"/>
    <n v="2.41"/>
    <n v="2.5121298711059379"/>
    <n v="0"/>
    <n v="0"/>
    <n v="0"/>
    <n v="0"/>
    <n v="0"/>
    <n v="0"/>
    <n v="0"/>
    <n v="0"/>
    <n v="0"/>
    <n v="0"/>
    <n v="0"/>
    <n v="0"/>
    <n v="0"/>
    <n v="0"/>
    <n v="19.78471348386427"/>
    <n v="47.681159496112883"/>
    <n v="0"/>
    <n v="0"/>
    <n v="0"/>
    <n v="0"/>
    <n v="0"/>
    <n v="0"/>
    <n v="0"/>
    <n v="0"/>
    <n v="19.78471348386427"/>
    <n v="47.681159496112883"/>
    <n v="0"/>
    <n v="0"/>
    <n v="0"/>
    <n v="0"/>
    <n v="0"/>
    <n v="0"/>
    <n v="0"/>
    <n v="0"/>
    <n v="0"/>
    <n v="0"/>
    <n v="0"/>
    <n v="0"/>
    <n v="0"/>
    <n v="0"/>
    <n v="20"/>
    <n v="50.24259742211877"/>
    <n v="0"/>
    <n v="0"/>
    <n v="0"/>
    <n v="0"/>
    <n v="0"/>
    <n v="0"/>
    <n v="0"/>
    <n v="0"/>
    <n v="20"/>
    <n v="50.24259742211877"/>
    <n v="0.21528651613573047"/>
    <n v="1.0881457359052014E-2"/>
    <n v="2.5614379260058868"/>
    <n v="5.3720126630198733E-2"/>
  </r>
  <r>
    <x v="0"/>
    <s v="ESPAÑA"/>
    <s v="COMERCIAL NORTE AGROCAMPO, S.L."/>
    <s v="Baja aportación"/>
    <s v="BROTA0020"/>
    <s v="BROTAMEC, 20 L"/>
    <n v="20"/>
    <n v="3.07"/>
    <n v="3.200099047425407"/>
    <n v="0"/>
    <n v="0"/>
    <n v="0"/>
    <n v="0"/>
    <n v="0"/>
    <n v="0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60"/>
    <n v="192.0059428455244"/>
    <n v="0"/>
    <n v="0"/>
    <n v="0"/>
    <n v="0"/>
    <n v="0"/>
    <n v="0"/>
    <n v="0"/>
    <n v="0"/>
    <n v="60"/>
    <n v="192.0059428455244"/>
    <n v="0.64585954840720916"/>
    <n v="1.0881457359052316E-2"/>
    <n v="9.7887316591344984"/>
    <n v="5.3720126630198553E-2"/>
  </r>
  <r>
    <x v="0"/>
    <s v="ESPAÑA"/>
    <s v="COMERCIAL NORTE AGROCAMPO, S.L."/>
    <s v="Baja aportación"/>
    <s v="C-CU0005"/>
    <s v="CODICOBRE, 5 L"/>
    <n v="5"/>
    <n v="4.1499999999999986"/>
    <n v="4.3258667904936274"/>
    <n v="0"/>
    <n v="0"/>
    <n v="0"/>
    <n v="0"/>
    <n v="0"/>
    <n v="0"/>
    <n v="0"/>
    <n v="0"/>
    <n v="0"/>
    <n v="0"/>
    <n v="0"/>
    <n v="0"/>
    <n v="0"/>
    <n v="0"/>
    <n v="39.569426967728532"/>
    <n v="164.21312191607339"/>
    <n v="0"/>
    <n v="0"/>
    <n v="0"/>
    <n v="0"/>
    <n v="0"/>
    <n v="0"/>
    <n v="0"/>
    <n v="0"/>
    <n v="39.569426967728532"/>
    <n v="164.21312191607339"/>
    <n v="0"/>
    <n v="0"/>
    <n v="0"/>
    <n v="0"/>
    <n v="0"/>
    <n v="0"/>
    <n v="0"/>
    <n v="0"/>
    <n v="0"/>
    <n v="0"/>
    <n v="0"/>
    <n v="0"/>
    <n v="0"/>
    <n v="0"/>
    <n v="40"/>
    <n v="173.0346716197451"/>
    <n v="0"/>
    <n v="0"/>
    <n v="0"/>
    <n v="0"/>
    <n v="0"/>
    <n v="0"/>
    <n v="0"/>
    <n v="0"/>
    <n v="40"/>
    <n v="173.0346716197451"/>
    <n v="0.43057303227146804"/>
    <n v="1.0881457359052195E-2"/>
    <n v="8.8215497036717068"/>
    <n v="5.3720126630198622E-2"/>
  </r>
  <r>
    <x v="0"/>
    <s v="ESPAÑA"/>
    <s v="COMERCIAL NORTE AGROCAMPO, S.L."/>
    <s v="Baja aportación"/>
    <s v="PT0020"/>
    <s v="AGROPOTASION, 20 L"/>
    <n v="20"/>
    <n v="3.399999999999999"/>
    <n v="3.5440836355851402"/>
    <n v="0"/>
    <n v="0"/>
    <n v="0"/>
    <n v="0"/>
    <n v="0"/>
    <n v="0"/>
    <n v="0"/>
    <n v="0"/>
    <n v="0"/>
    <n v="0"/>
    <n v="0"/>
    <n v="0"/>
    <n v="0"/>
    <n v="0"/>
    <n v="79.138853935457064"/>
    <n v="269.07210338055398"/>
    <n v="0"/>
    <n v="0"/>
    <n v="0"/>
    <n v="0"/>
    <n v="0"/>
    <n v="0"/>
    <n v="0"/>
    <n v="0"/>
    <n v="79.138853935457064"/>
    <n v="269.07210338055398"/>
    <n v="0"/>
    <n v="0"/>
    <n v="0"/>
    <n v="0"/>
    <n v="0"/>
    <n v="0"/>
    <n v="0"/>
    <n v="0"/>
    <n v="0"/>
    <n v="0"/>
    <n v="0"/>
    <n v="0"/>
    <n v="0"/>
    <n v="0"/>
    <n v="80"/>
    <n v="283.52669084681122"/>
    <n v="0"/>
    <n v="0"/>
    <n v="0"/>
    <n v="0"/>
    <n v="0"/>
    <n v="0"/>
    <n v="0"/>
    <n v="0"/>
    <n v="80"/>
    <n v="283.52669084681122"/>
    <n v="0.86114606454293607"/>
    <n v="1.0881457359052195E-2"/>
    <n v="14.454587466257237"/>
    <n v="5.372012663019856E-2"/>
  </r>
  <r>
    <x v="0"/>
    <s v="ESPAÑA"/>
    <s v="COMERCIAL NORTE AGROCAMPO, S.L."/>
    <s v="Baja aportación"/>
    <s v="S0020"/>
    <s v="SALWAX STAR, 20 L"/>
    <n v="20"/>
    <n v="2.1549999999999998"/>
    <n v="2.2463235984370531"/>
    <n v="0"/>
    <n v="0"/>
    <n v="0"/>
    <n v="0"/>
    <n v="0"/>
    <n v="0"/>
    <n v="0"/>
    <n v="0"/>
    <n v="0"/>
    <n v="0"/>
    <n v="79.138853935457064"/>
    <n v="164.6088161857507"/>
    <n v="0"/>
    <n v="0"/>
    <n v="79.138853935457064"/>
    <n v="176.47964427606931"/>
    <n v="0"/>
    <n v="0"/>
    <n v="0"/>
    <n v="0"/>
    <n v="0"/>
    <n v="0"/>
    <n v="0"/>
    <n v="0"/>
    <n v="158.27770787091413"/>
    <n v="341.08846046181998"/>
    <n v="0"/>
    <n v="0"/>
    <n v="0"/>
    <n v="0"/>
    <n v="0"/>
    <n v="0"/>
    <n v="0"/>
    <n v="0"/>
    <n v="0"/>
    <n v="0"/>
    <n v="80"/>
    <n v="173.45162263569631"/>
    <n v="0"/>
    <n v="0"/>
    <n v="80"/>
    <n v="185.9601531142321"/>
    <n v="0"/>
    <n v="0"/>
    <n v="0"/>
    <n v="0"/>
    <n v="0"/>
    <n v="0"/>
    <n v="0"/>
    <n v="0"/>
    <n v="160"/>
    <n v="359.41177574992844"/>
    <n v="1.7222921290858721"/>
    <n v="1.0881457359052195E-2"/>
    <n v="18.323315288108461"/>
    <n v="5.3720126630198609E-2"/>
  </r>
  <r>
    <x v="0"/>
    <s v="ESPAÑA"/>
    <s v="FRUCTUL, SRL"/>
    <s v="Baja aportación"/>
    <s v="A-500001"/>
    <s v="CODIORGAN-A50, 1 KG"/>
    <n v="1"/>
    <n v="6.0699999999999994"/>
    <n v="6.3272316670593538"/>
    <n v="0"/>
    <n v="0"/>
    <n v="0"/>
    <n v="0"/>
    <n v="0"/>
    <n v="0"/>
    <n v="0"/>
    <n v="0"/>
    <n v="0"/>
    <n v="0"/>
    <n v="1044.632871948033"/>
    <n v="6340.9215327245611"/>
    <n v="0"/>
    <n v="0"/>
    <n v="0"/>
    <n v="0"/>
    <n v="0"/>
    <n v="0"/>
    <n v="0"/>
    <n v="0"/>
    <n v="0"/>
    <n v="0"/>
    <n v="0"/>
    <n v="0"/>
    <n v="1044.632871948033"/>
    <n v="6340.9215327245611"/>
    <n v="0"/>
    <n v="0"/>
    <n v="0"/>
    <n v="0"/>
    <n v="0"/>
    <n v="0"/>
    <n v="0"/>
    <n v="0"/>
    <n v="0"/>
    <n v="0"/>
    <n v="1114"/>
    <n v="7048.5360771041214"/>
    <n v="0"/>
    <n v="0"/>
    <n v="0"/>
    <n v="0"/>
    <n v="0"/>
    <n v="0"/>
    <n v="0"/>
    <n v="0"/>
    <n v="0"/>
    <n v="0"/>
    <n v="0"/>
    <n v="0"/>
    <n v="1114"/>
    <n v="7048.5360771041214"/>
    <n v="69.367128051967029"/>
    <n v="6.6403355585212542E-2"/>
    <n v="707.61454437956036"/>
    <n v="0.11159490631253928"/>
  </r>
  <r>
    <x v="0"/>
    <s v="ESPAÑA"/>
    <s v="FRUCTUL, SRL"/>
    <s v="Baja aportación"/>
    <s v="AGXCR0020"/>
    <s v="AGROXILATO-K, (0-5-20), 20 LtS."/>
    <n v="20"/>
    <n v="3.899999999999999"/>
    <n v="4.0652724055241318"/>
    <n v="0"/>
    <n v="0"/>
    <n v="0"/>
    <n v="0"/>
    <n v="0"/>
    <n v="0"/>
    <n v="0"/>
    <n v="0"/>
    <n v="0"/>
    <n v="0"/>
    <n v="1266.221662967313"/>
    <n v="4938.2644855725202"/>
    <n v="0"/>
    <n v="0"/>
    <n v="0"/>
    <n v="0"/>
    <n v="0"/>
    <n v="0"/>
    <n v="0"/>
    <n v="0"/>
    <n v="0"/>
    <n v="0"/>
    <n v="0"/>
    <n v="0"/>
    <n v="1266.221662967313"/>
    <n v="4938.2644855725202"/>
    <n v="0"/>
    <n v="0"/>
    <n v="0"/>
    <n v="0"/>
    <n v="0"/>
    <n v="0"/>
    <n v="0"/>
    <n v="0"/>
    <n v="0"/>
    <n v="0"/>
    <n v="1360"/>
    <n v="5528.7704715128193"/>
    <n v="0"/>
    <n v="0"/>
    <n v="0"/>
    <n v="0"/>
    <n v="0"/>
    <n v="0"/>
    <n v="0"/>
    <n v="0"/>
    <n v="0"/>
    <n v="0"/>
    <n v="0"/>
    <n v="0"/>
    <n v="1360"/>
    <n v="5528.7704715128193"/>
    <n v="93.778337032686977"/>
    <n v="7.4061548443992958E-2"/>
    <n v="590.50598594029907"/>
    <n v="0.11957763454458606"/>
  </r>
  <r>
    <x v="0"/>
    <s v="ESPAÑA"/>
    <s v="FRUCTUL, SRL"/>
    <s v="Baja aportación"/>
    <s v="SS0005"/>
    <s v="SALWAX-CA, 5 KG"/>
    <n v="5"/>
    <n v="4.0999999999999996"/>
    <n v="4.2737479134997276"/>
    <n v="0"/>
    <n v="0"/>
    <n v="0"/>
    <n v="0"/>
    <n v="0"/>
    <n v="0"/>
    <n v="0"/>
    <n v="0"/>
    <n v="0"/>
    <n v="0"/>
    <n v="741.92675564490992"/>
    <n v="3041.899698144131"/>
    <n v="0"/>
    <n v="0"/>
    <n v="0"/>
    <n v="0"/>
    <n v="0"/>
    <n v="0"/>
    <n v="0"/>
    <n v="0"/>
    <n v="0"/>
    <n v="0"/>
    <n v="0"/>
    <n v="0"/>
    <n v="741.92675564490992"/>
    <n v="3041.899698144131"/>
    <n v="0"/>
    <n v="0"/>
    <n v="0"/>
    <n v="0"/>
    <n v="0"/>
    <n v="0"/>
    <n v="0"/>
    <n v="0"/>
    <n v="0"/>
    <n v="0"/>
    <n v="790"/>
    <n v="3376.2608516647861"/>
    <n v="0"/>
    <n v="0"/>
    <n v="0"/>
    <n v="0"/>
    <n v="0"/>
    <n v="0"/>
    <n v="0"/>
    <n v="0"/>
    <n v="0"/>
    <n v="0"/>
    <n v="0"/>
    <n v="0"/>
    <n v="790"/>
    <n v="3376.2608516647861"/>
    <n v="48.073244355090083"/>
    <n v="6.4795135084868394E-2"/>
    <n v="334.36115352065508"/>
    <n v="0.10991853338380929"/>
  </r>
  <r>
    <x v="0"/>
    <s v="ESPAÑA"/>
    <s v="FRUITURE ADVISORS, S.L."/>
    <s v="Baja aportación"/>
    <s v="AGXK0200"/>
    <s v="AGROXILATO-K, 200 L"/>
    <n v="200"/>
    <n v="3.07"/>
    <n v="3.200099047425407"/>
    <n v="0"/>
    <n v="0"/>
    <n v="0"/>
    <n v="0"/>
    <n v="0"/>
    <n v="0"/>
    <n v="0"/>
    <n v="0"/>
    <n v="0"/>
    <n v="0"/>
    <n v="0"/>
    <n v="0"/>
    <n v="0"/>
    <n v="0"/>
    <n v="593.54140451592798"/>
    <n v="1822.1721118638991"/>
    <n v="0"/>
    <n v="0"/>
    <n v="0"/>
    <n v="0"/>
    <n v="0"/>
    <n v="0"/>
    <n v="0"/>
    <n v="0"/>
    <n v="593.54140451592798"/>
    <n v="1822.1721118638991"/>
    <n v="0"/>
    <n v="0"/>
    <n v="0"/>
    <n v="0"/>
    <n v="0"/>
    <n v="0"/>
    <n v="0"/>
    <n v="0"/>
    <n v="0"/>
    <n v="0"/>
    <n v="0"/>
    <n v="0"/>
    <n v="0"/>
    <n v="0"/>
    <n v="600"/>
    <n v="1920.059428455244"/>
    <n v="0"/>
    <n v="0"/>
    <n v="0"/>
    <n v="0"/>
    <n v="0"/>
    <n v="0"/>
    <n v="0"/>
    <n v="0"/>
    <n v="600"/>
    <n v="1920.059428455244"/>
    <n v="6.4585954840720206"/>
    <n v="1.0881457359052195E-2"/>
    <n v="97.88731659134487"/>
    <n v="5.3720126630198491E-2"/>
  </r>
  <r>
    <x v="0"/>
    <s v="ESPAÑA"/>
    <s v="FRUITURE ADVISORS, S.L."/>
    <s v="Baja aportación"/>
    <s v="AN0020"/>
    <s v="ALCAPLANT NEW, 20 KG"/>
    <n v="20"/>
    <n v="1.65"/>
    <n v="1.7199229407986709"/>
    <n v="0"/>
    <n v="0"/>
    <n v="0"/>
    <n v="0"/>
    <n v="356.12484270955679"/>
    <n v="587.60599047076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.12484270955679"/>
    <n v="587.60599047076869"/>
    <n v="0"/>
    <n v="0"/>
    <n v="0"/>
    <n v="0"/>
    <n v="380"/>
    <n v="653.57071750349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"/>
    <n v="653.57071750349508"/>
    <n v="23.875157290443212"/>
    <n v="6.7041538323443978E-2"/>
    <n v="65.964727032726387"/>
    <n v="0.11226013366520962"/>
  </r>
  <r>
    <x v="0"/>
    <s v="ESPAÑA"/>
    <s v="FRUITURE ADVISORS, S.L."/>
    <s v="Baja aportación"/>
    <s v="B0005"/>
    <s v="BOROCAL, 5 L"/>
    <n v="5"/>
    <n v="3.28"/>
    <n v="3.4189983307997842"/>
    <n v="0"/>
    <n v="0"/>
    <n v="0"/>
    <n v="0"/>
    <n v="0"/>
    <n v="0"/>
    <n v="0"/>
    <n v="0"/>
    <n v="59.354140451592791"/>
    <n v="194.6815806812244"/>
    <n v="0"/>
    <n v="0"/>
    <n v="0"/>
    <n v="0"/>
    <n v="0"/>
    <n v="0"/>
    <n v="0"/>
    <n v="0"/>
    <n v="0"/>
    <n v="0"/>
    <n v="0"/>
    <n v="0"/>
    <n v="0"/>
    <n v="0"/>
    <n v="59.354140451592791"/>
    <n v="194.6815806812244"/>
    <n v="0"/>
    <n v="0"/>
    <n v="0"/>
    <n v="0"/>
    <n v="0"/>
    <n v="0"/>
    <n v="0"/>
    <n v="0"/>
    <n v="65"/>
    <n v="222.23489150198591"/>
    <n v="0"/>
    <n v="0"/>
    <n v="0"/>
    <n v="0"/>
    <n v="0"/>
    <n v="0"/>
    <n v="0"/>
    <n v="0"/>
    <n v="0"/>
    <n v="0"/>
    <n v="0"/>
    <n v="0"/>
    <n v="0"/>
    <n v="0"/>
    <n v="65"/>
    <n v="222.23489150198591"/>
    <n v="5.6458595484072092"/>
    <n v="9.5121578805640011E-2"/>
    <n v="27.55331082076151"/>
    <n v="0.14153013718271512"/>
  </r>
  <r>
    <x v="0"/>
    <s v="ESPAÑA"/>
    <s v="FRUITURE ADVISORS, S.L."/>
    <s v="Baja aportación"/>
    <s v="B0020"/>
    <s v="BOROCAL, 20 L"/>
    <n v="20"/>
    <n v="3.0659999999999998"/>
    <n v="3.1912789297802862"/>
    <n v="0"/>
    <n v="0"/>
    <n v="0"/>
    <n v="0"/>
    <n v="0"/>
    <n v="0"/>
    <n v="0"/>
    <n v="0"/>
    <n v="296.77070225796399"/>
    <n v="875.47357166099368"/>
    <n v="0"/>
    <n v="0"/>
    <n v="197.84713483864269"/>
    <n v="641.02471687720231"/>
    <n v="0"/>
    <n v="0"/>
    <n v="0"/>
    <n v="0"/>
    <n v="0"/>
    <n v="0"/>
    <n v="0"/>
    <n v="0"/>
    <n v="0"/>
    <n v="0"/>
    <n v="494.61783709660665"/>
    <n v="1516.498288538196"/>
    <n v="0"/>
    <n v="0"/>
    <n v="0"/>
    <n v="0"/>
    <n v="0"/>
    <n v="0"/>
    <n v="0"/>
    <n v="0"/>
    <n v="320"/>
    <n v="984.00439764481553"/>
    <n v="0"/>
    <n v="0"/>
    <n v="200"/>
    <n v="675.4606458409329"/>
    <n v="0"/>
    <n v="0"/>
    <n v="0"/>
    <n v="0"/>
    <n v="0"/>
    <n v="0"/>
    <n v="0"/>
    <n v="0"/>
    <n v="0"/>
    <n v="0"/>
    <n v="520"/>
    <n v="1659.4650434857485"/>
    <n v="25.38216290339335"/>
    <n v="5.1316715653414287E-2"/>
    <n v="142.96675494755254"/>
    <n v="9.4274260662280757E-2"/>
  </r>
  <r>
    <x v="0"/>
    <s v="ESPAÑA"/>
    <s v="FRUITURE ADVISORS, S.L."/>
    <s v="Baja aportación"/>
    <s v="G30005"/>
    <s v="GREEN-UP, 5 L"/>
    <n v="5"/>
    <n v="5.6799999999999988"/>
    <n v="5.9207044265069397"/>
    <n v="0"/>
    <n v="0"/>
    <n v="0"/>
    <n v="0"/>
    <n v="0"/>
    <n v="0"/>
    <n v="0"/>
    <n v="0"/>
    <n v="0"/>
    <n v="0"/>
    <n v="39.569426967728532"/>
    <n v="224.754345176698"/>
    <n v="0"/>
    <n v="0"/>
    <n v="0"/>
    <n v="0"/>
    <n v="0"/>
    <n v="0"/>
    <n v="0"/>
    <n v="0"/>
    <n v="0"/>
    <n v="0"/>
    <n v="0"/>
    <n v="0"/>
    <n v="39.569426967728532"/>
    <n v="224.754345176698"/>
    <n v="0"/>
    <n v="0"/>
    <n v="0"/>
    <n v="0"/>
    <n v="0"/>
    <n v="0"/>
    <n v="0"/>
    <n v="0"/>
    <n v="0"/>
    <n v="0"/>
    <n v="45"/>
    <n v="266.43169919281229"/>
    <n v="0"/>
    <n v="0"/>
    <n v="0"/>
    <n v="0"/>
    <n v="0"/>
    <n v="0"/>
    <n v="0"/>
    <n v="0"/>
    <n v="0"/>
    <n v="0"/>
    <n v="0"/>
    <n v="0"/>
    <n v="45"/>
    <n v="266.43169919281229"/>
    <n v="5.430573032271468"/>
    <n v="0.13724163952893373"/>
    <n v="41.677354016114293"/>
    <n v="0.1854351424589735"/>
  </r>
  <r>
    <x v="0"/>
    <s v="ESPAÑA"/>
    <s v="FRUITURE ADVISORS, S.L."/>
    <s v="Baja aportación"/>
    <s v="G30200"/>
    <s v="GREEN-UP, 200 L"/>
    <n v="200"/>
    <n v="4.93"/>
    <n v="5.1389212715984547"/>
    <n v="0"/>
    <n v="0"/>
    <n v="0"/>
    <n v="0"/>
    <n v="0"/>
    <n v="0"/>
    <n v="0"/>
    <n v="0"/>
    <n v="395.69426967728532"/>
    <n v="1950.772749509016"/>
    <n v="0"/>
    <n v="0"/>
    <n v="0"/>
    <n v="0"/>
    <n v="0"/>
    <n v="0"/>
    <n v="0"/>
    <n v="0"/>
    <n v="0"/>
    <n v="0"/>
    <n v="0"/>
    <n v="0"/>
    <n v="0"/>
    <n v="0"/>
    <n v="395.69426967728532"/>
    <n v="1950.772749509016"/>
    <n v="0"/>
    <n v="0"/>
    <n v="0"/>
    <n v="0"/>
    <n v="0"/>
    <n v="0"/>
    <n v="0"/>
    <n v="0"/>
    <n v="400"/>
    <n v="2055.5685086393819"/>
    <n v="0"/>
    <n v="0"/>
    <n v="0"/>
    <n v="0"/>
    <n v="0"/>
    <n v="0"/>
    <n v="0"/>
    <n v="0"/>
    <n v="0"/>
    <n v="0"/>
    <n v="0"/>
    <n v="0"/>
    <n v="0"/>
    <n v="0"/>
    <n v="400"/>
    <n v="2055.5685086393819"/>
    <n v="4.3057303227146804"/>
    <n v="1.0881457359052195E-2"/>
    <n v="104.79575913036592"/>
    <n v="5.372012663019906E-2"/>
  </r>
  <r>
    <x v="0"/>
    <s v="ESPAÑA"/>
    <s v="FRUITURE ADVISORS, S.L."/>
    <s v="Baja aportación"/>
    <s v="N0020"/>
    <s v="NUTRICALE, 20 L"/>
    <n v="20"/>
    <n v="2.38"/>
    <n v="2.4808585449096001"/>
    <n v="0"/>
    <n v="0"/>
    <n v="0"/>
    <n v="0"/>
    <n v="59.354140451592791"/>
    <n v="141.2628542747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141.2628542747909"/>
    <n v="0"/>
    <n v="0"/>
    <n v="0"/>
    <n v="0"/>
    <n v="60"/>
    <n v="148.851512694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48.851512694576"/>
    <n v="0.64585954840720916"/>
    <n v="1.0881457359052316E-2"/>
    <n v="7.588658419785105"/>
    <n v="5.3720126630198928E-2"/>
  </r>
  <r>
    <x v="0"/>
    <s v="ESPAÑA"/>
    <s v="FRUITURE ADVISORS, S.L."/>
    <s v="Baja aportación"/>
    <s v="PT0020"/>
    <s v="AGROPOTASION, 20 L"/>
    <n v="20"/>
    <n v="3.4651999999999989"/>
    <n v="3.614948149818821"/>
    <n v="0"/>
    <n v="0"/>
    <n v="0"/>
    <n v="0"/>
    <n v="0"/>
    <n v="0"/>
    <n v="0"/>
    <n v="0"/>
    <n v="0"/>
    <n v="0"/>
    <n v="178.06242135477839"/>
    <n v="595.71772299915301"/>
    <n v="0"/>
    <n v="0"/>
    <n v="316.55541574182831"/>
    <n v="1118.2320061080079"/>
    <n v="0"/>
    <n v="0"/>
    <n v="0"/>
    <n v="0"/>
    <n v="0"/>
    <n v="0"/>
    <n v="0"/>
    <n v="0"/>
    <n v="494.61783709660671"/>
    <n v="1713.9497291071609"/>
    <n v="0"/>
    <n v="0"/>
    <n v="0"/>
    <n v="0"/>
    <n v="0"/>
    <n v="0"/>
    <n v="0"/>
    <n v="0"/>
    <n v="0"/>
    <n v="0"/>
    <n v="200"/>
    <n v="697.46639390502355"/>
    <n v="0"/>
    <n v="0"/>
    <n v="340"/>
    <n v="1254.6056069971401"/>
    <n v="0"/>
    <n v="0"/>
    <n v="0"/>
    <n v="0"/>
    <n v="0"/>
    <n v="0"/>
    <n v="0"/>
    <n v="0"/>
    <n v="540"/>
    <n v="1952.0720009021636"/>
    <n v="45.382162903393294"/>
    <n v="9.1751973947776247E-2"/>
    <n v="238.12227179500269"/>
    <n v="0.13893188799594869"/>
  </r>
  <r>
    <x v="0"/>
    <s v="ESPAÑA"/>
    <s v="FRUITURE ADVISORS, S.L."/>
    <s v="Baja aportación"/>
    <s v="PT0200"/>
    <s v="AGROPOTASION, 200 L"/>
    <n v="200"/>
    <n v="3.37"/>
    <n v="3.5128123093888011"/>
    <n v="0"/>
    <n v="0"/>
    <n v="0"/>
    <n v="0"/>
    <n v="0"/>
    <n v="0"/>
    <n v="0"/>
    <n v="0"/>
    <n v="0"/>
    <n v="0"/>
    <n v="0"/>
    <n v="0"/>
    <n v="395.69426967728532"/>
    <n v="1333.489688812452"/>
    <n v="0"/>
    <n v="0"/>
    <n v="0"/>
    <n v="0"/>
    <n v="0"/>
    <n v="0"/>
    <n v="0"/>
    <n v="0"/>
    <n v="0"/>
    <n v="0"/>
    <n v="395.69426967728532"/>
    <n v="1333.489688812452"/>
    <n v="0"/>
    <n v="0"/>
    <n v="0"/>
    <n v="0"/>
    <n v="0"/>
    <n v="0"/>
    <n v="0"/>
    <n v="0"/>
    <n v="0"/>
    <n v="0"/>
    <n v="0"/>
    <n v="0"/>
    <n v="400"/>
    <n v="1405.124923755521"/>
    <n v="0"/>
    <n v="0"/>
    <n v="0"/>
    <n v="0"/>
    <n v="0"/>
    <n v="0"/>
    <n v="0"/>
    <n v="0"/>
    <n v="0"/>
    <n v="0"/>
    <n v="400"/>
    <n v="1405.124923755521"/>
    <n v="4.3057303227146804"/>
    <n v="1.0881457359052195E-2"/>
    <n v="71.635234943069008"/>
    <n v="5.3720126630198574E-2"/>
  </r>
  <r>
    <x v="0"/>
    <s v="ESPAÑA"/>
    <s v="FRUITURE ADVISORS, S.L."/>
    <s v="Baja aportación"/>
    <s v="PT1000"/>
    <s v="AGROPOTASION, 1000 L"/>
    <n v="1000"/>
    <n v="3.04"/>
    <n v="3.1688277212290679"/>
    <n v="0"/>
    <n v="0"/>
    <n v="0"/>
    <n v="0"/>
    <n v="0"/>
    <n v="0"/>
    <n v="0"/>
    <n v="0"/>
    <n v="989.23567419321319"/>
    <n v="3007.276449547368"/>
    <n v="0"/>
    <n v="0"/>
    <n v="0"/>
    <n v="0"/>
    <n v="0"/>
    <n v="0"/>
    <n v="0"/>
    <n v="0"/>
    <n v="0"/>
    <n v="0"/>
    <n v="0"/>
    <n v="0"/>
    <n v="0"/>
    <n v="0"/>
    <n v="989.23567419321319"/>
    <n v="3007.276449547368"/>
    <n v="0"/>
    <n v="0"/>
    <n v="0"/>
    <n v="0"/>
    <n v="0"/>
    <n v="0"/>
    <n v="0"/>
    <n v="0"/>
    <n v="1000"/>
    <n v="3168.8277212290682"/>
    <n v="0"/>
    <n v="0"/>
    <n v="0"/>
    <n v="0"/>
    <n v="0"/>
    <n v="0"/>
    <n v="0"/>
    <n v="0"/>
    <n v="0"/>
    <n v="0"/>
    <n v="0"/>
    <n v="0"/>
    <n v="0"/>
    <n v="0"/>
    <n v="1000"/>
    <n v="3168.8277212290682"/>
    <n v="10.764325806786815"/>
    <n v="1.0881457359052311E-2"/>
    <n v="161.5512716817002"/>
    <n v="5.3720126630199115E-2"/>
  </r>
  <r>
    <x v="0"/>
    <s v="ESPAÑA"/>
    <s v="FRUITURE ADVISORS, S.L."/>
    <s v="Baja aportación"/>
    <s v="S0200"/>
    <s v="SAL-WAX STAR, 200 L"/>
    <n v="200"/>
    <n v="1.96"/>
    <n v="2.0430599781608461"/>
    <n v="0"/>
    <n v="0"/>
    <n v="0"/>
    <n v="0"/>
    <n v="197.84713483864269"/>
    <n v="387.78038428373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387.78038428373958"/>
    <n v="0"/>
    <n v="0"/>
    <n v="0"/>
    <n v="0"/>
    <n v="200"/>
    <n v="408.611995632169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408.61199563216923"/>
    <n v="2.1528651613573118"/>
    <n v="1.0881457359052051E-2"/>
    <n v="20.831611348429647"/>
    <n v="5.372012663019881E-2"/>
  </r>
  <r>
    <x v="0"/>
    <s v="ESPAÑA"/>
    <s v="FRUITURE ADVISORS, S.L."/>
    <s v="Baja aportación"/>
    <s v="WHITE0020"/>
    <s v="AGROWHITE, 20 KG"/>
    <n v="20"/>
    <n v="1.8825000000000001"/>
    <n v="1.962367693309115"/>
    <n v="0"/>
    <n v="0"/>
    <n v="0"/>
    <n v="0"/>
    <n v="0"/>
    <n v="0"/>
    <n v="0"/>
    <n v="0"/>
    <n v="1286.0063764511769"/>
    <n v="2391.971860199189"/>
    <n v="296.77070225796399"/>
    <n v="587.60599047076869"/>
    <n v="0"/>
    <n v="0"/>
    <n v="0"/>
    <n v="0"/>
    <n v="0"/>
    <n v="0"/>
    <n v="0"/>
    <n v="0"/>
    <n v="0"/>
    <n v="0"/>
    <n v="0"/>
    <n v="0"/>
    <n v="1582.7770787091408"/>
    <n v="2979.5778506699576"/>
    <n v="0"/>
    <n v="0"/>
    <n v="0"/>
    <n v="0"/>
    <n v="0"/>
    <n v="0"/>
    <n v="0"/>
    <n v="0"/>
    <n v="1380"/>
    <n v="2675.5746693588062"/>
    <n v="320"/>
    <n v="660.45040926668969"/>
    <n v="0"/>
    <n v="0"/>
    <n v="0"/>
    <n v="0"/>
    <n v="0"/>
    <n v="0"/>
    <n v="0"/>
    <n v="0"/>
    <n v="0"/>
    <n v="0"/>
    <n v="0"/>
    <n v="0"/>
    <n v="1700"/>
    <n v="3336.025078625496"/>
    <n v="117.22292129085918"/>
    <n v="7.4061548443993264E-2"/>
    <n v="356.44722795553844"/>
    <n v="0.11963011064651033"/>
  </r>
  <r>
    <x v="0"/>
    <s v="ESPAÑA"/>
    <s v="HORTICOLAS Y PATATAS HNOS. MORAN, S.A.T."/>
    <s v="Baja aportación"/>
    <s v="A-50(2)0020"/>
    <s v="CODIORGAN-A50, 20 KG"/>
    <n v="20"/>
    <n v="5.1199999999999992"/>
    <n v="5.3369730041752712"/>
    <n v="0"/>
    <n v="0"/>
    <n v="0"/>
    <n v="0"/>
    <n v="0"/>
    <n v="0"/>
    <n v="0"/>
    <n v="0"/>
    <n v="98.92356741932133"/>
    <n v="506.48866518692518"/>
    <n v="0"/>
    <n v="0"/>
    <n v="0"/>
    <n v="0"/>
    <n v="0"/>
    <n v="0"/>
    <n v="0"/>
    <n v="0"/>
    <n v="0"/>
    <n v="0"/>
    <n v="0"/>
    <n v="0"/>
    <n v="0"/>
    <n v="0"/>
    <n v="98.92356741932133"/>
    <n v="506.48866518692518"/>
    <n v="0"/>
    <n v="0"/>
    <n v="0"/>
    <n v="0"/>
    <n v="0"/>
    <n v="0"/>
    <n v="0"/>
    <n v="0"/>
    <n v="120"/>
    <n v="640.4367605010325"/>
    <n v="0"/>
    <n v="0"/>
    <n v="0"/>
    <n v="0"/>
    <n v="0"/>
    <n v="0"/>
    <n v="0"/>
    <n v="0"/>
    <n v="0"/>
    <n v="0"/>
    <n v="0"/>
    <n v="0"/>
    <n v="0"/>
    <n v="0"/>
    <n v="120"/>
    <n v="640.4367605010325"/>
    <n v="21.07643258067867"/>
    <n v="0.21305774883086265"/>
    <n v="133.94809531410732"/>
    <n v="0.26446415195623835"/>
  </r>
  <r>
    <x v="0"/>
    <s v="ESPAÑA"/>
    <s v="HORTICOLAS Y PATATAS HNOS. MORAN, S.A.T."/>
    <s v="Baja aportación"/>
    <s v="AMIMG0020"/>
    <s v="AMINOSOIL MG, 20 L"/>
    <n v="20"/>
    <n v="2.61"/>
    <n v="2.720605379081535"/>
    <n v="0"/>
    <n v="0"/>
    <n v="0"/>
    <n v="0"/>
    <n v="0"/>
    <n v="0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0"/>
    <n v="0"/>
    <n v="0"/>
    <n v="0"/>
    <n v="0"/>
    <n v="0"/>
    <n v="120"/>
    <n v="326.47264548978421"/>
    <n v="0"/>
    <n v="0"/>
    <n v="0"/>
    <n v="0"/>
    <n v="0"/>
    <n v="0"/>
    <n v="0"/>
    <n v="0"/>
    <n v="120"/>
    <n v="326.47264548978421"/>
    <n v="1.2917190968144041"/>
    <n v="1.0881457359052195E-2"/>
    <n v="16.644032332469806"/>
    <n v="5.3720126630198789E-2"/>
  </r>
  <r>
    <x v="0"/>
    <s v="ESPAÑA"/>
    <s v="HORTICOLAS Y PATATAS HNOS. MORAN, S.A.T."/>
    <s v="Baja aportación"/>
    <s v="AN0020"/>
    <s v="ALCAPLANT NEW, 20 KG"/>
    <n v="20"/>
    <n v="1.81"/>
    <n v="1.886703347179149"/>
    <n v="0"/>
    <n v="0"/>
    <n v="0"/>
    <n v="0"/>
    <n v="0"/>
    <n v="0"/>
    <n v="0"/>
    <n v="0"/>
    <n v="257.20127529023551"/>
    <n v="465.53430827532623"/>
    <n v="0"/>
    <n v="0"/>
    <n v="0"/>
    <n v="0"/>
    <n v="0"/>
    <n v="0"/>
    <n v="0"/>
    <n v="0"/>
    <n v="0"/>
    <n v="0"/>
    <n v="0"/>
    <n v="0"/>
    <n v="0"/>
    <n v="0"/>
    <n v="257.20127529023551"/>
    <n v="465.53430827532623"/>
    <n v="0"/>
    <n v="0"/>
    <n v="0"/>
    <n v="0"/>
    <n v="0"/>
    <n v="0"/>
    <n v="0"/>
    <n v="0"/>
    <n v="280"/>
    <n v="528.27693721016169"/>
    <n v="0"/>
    <n v="0"/>
    <n v="0"/>
    <n v="0"/>
    <n v="0"/>
    <n v="0"/>
    <n v="0"/>
    <n v="0"/>
    <n v="0"/>
    <n v="0"/>
    <n v="0"/>
    <n v="0"/>
    <n v="0"/>
    <n v="0"/>
    <n v="280"/>
    <n v="528.27693721016169"/>
    <n v="22.798724709764485"/>
    <n v="8.864156946359443E-2"/>
    <n v="62.742628934835466"/>
    <n v="0.13477552098636783"/>
  </r>
  <r>
    <x v="0"/>
    <s v="ESPAÑA"/>
    <s v="HORTICOLAS Y PATATAS HNOS. MORAN, S.A.T."/>
    <s v="Baja aportación"/>
    <s v="BR-590005"/>
    <s v="BR-59, 5 KG"/>
    <n v="5"/>
    <n v="2.44"/>
    <n v="2.5434011973022779"/>
    <n v="0"/>
    <n v="0"/>
    <n v="0"/>
    <n v="0"/>
    <n v="0"/>
    <n v="0"/>
    <n v="0"/>
    <n v="0"/>
    <n v="0"/>
    <n v="0"/>
    <n v="0"/>
    <n v="0"/>
    <n v="0"/>
    <n v="0"/>
    <n v="158.2777078709141"/>
    <n v="386.19760720503052"/>
    <n v="0"/>
    <n v="0"/>
    <n v="0"/>
    <n v="0"/>
    <n v="0"/>
    <n v="0"/>
    <n v="0"/>
    <n v="0"/>
    <n v="158.2777078709141"/>
    <n v="386.19760720503052"/>
    <n v="0"/>
    <n v="0"/>
    <n v="0"/>
    <n v="0"/>
    <n v="0"/>
    <n v="0"/>
    <n v="0"/>
    <n v="0"/>
    <n v="0"/>
    <n v="0"/>
    <n v="0"/>
    <n v="0"/>
    <n v="0"/>
    <n v="0"/>
    <n v="175"/>
    <n v="445.09520952789859"/>
    <n v="0"/>
    <n v="0"/>
    <n v="0"/>
    <n v="0"/>
    <n v="0"/>
    <n v="0"/>
    <n v="0"/>
    <n v="0"/>
    <n v="175"/>
    <n v="445.09520952789859"/>
    <n v="16.722292129085901"/>
    <n v="0.10565159398646354"/>
    <n v="58.897602322868067"/>
    <n v="0.15250638850177961"/>
  </r>
  <r>
    <x v="0"/>
    <s v="ESPAÑA"/>
    <s v="HORTICOLAS Y PATATAS HNOS. MORAN, S.A.T."/>
    <s v="Baja aportación"/>
    <s v="C-CU0005"/>
    <s v="CODICOBRE, 5 L"/>
    <n v="5"/>
    <n v="4.3199999999999994"/>
    <n v="4.5030709722728854"/>
    <n v="0"/>
    <n v="0"/>
    <n v="0"/>
    <n v="0"/>
    <n v="0"/>
    <n v="0"/>
    <n v="0"/>
    <n v="0"/>
    <n v="138.49299438704989"/>
    <n v="598.28973575205532"/>
    <n v="0"/>
    <n v="0"/>
    <n v="0"/>
    <n v="0"/>
    <n v="0"/>
    <n v="0"/>
    <n v="0"/>
    <n v="0"/>
    <n v="0"/>
    <n v="0"/>
    <n v="0"/>
    <n v="0"/>
    <n v="0"/>
    <n v="0"/>
    <n v="138.49299438704989"/>
    <n v="598.28973575205532"/>
    <n v="0"/>
    <n v="0"/>
    <n v="0"/>
    <n v="0"/>
    <n v="0"/>
    <n v="0"/>
    <n v="0"/>
    <n v="0"/>
    <n v="150"/>
    <n v="675.46064584093267"/>
    <n v="0"/>
    <n v="0"/>
    <n v="0"/>
    <n v="0"/>
    <n v="0"/>
    <n v="0"/>
    <n v="0"/>
    <n v="0"/>
    <n v="0"/>
    <n v="0"/>
    <n v="0"/>
    <n v="0"/>
    <n v="0"/>
    <n v="0"/>
    <n v="150"/>
    <n v="675.46064584093267"/>
    <n v="11.50700561295011"/>
    <n v="8.308727574184141E-2"/>
    <n v="77.170910088877349"/>
    <n v="0.12898584996092713"/>
  </r>
  <r>
    <x v="0"/>
    <s v="ESPAÑA"/>
    <s v="HORTICOLAS Y PATATAS HNOS. MORAN, S.A.T."/>
    <s v="Baja aportación"/>
    <s v="FU0005"/>
    <s v="FULVIGIN, 5 L"/>
    <n v="5"/>
    <n v="3.39"/>
    <n v="3.5336598601863609"/>
    <n v="0"/>
    <n v="0"/>
    <n v="0"/>
    <n v="0"/>
    <n v="0"/>
    <n v="0"/>
    <n v="0"/>
    <n v="0"/>
    <n v="158.2777078709141"/>
    <n v="536.56142968239885"/>
    <n v="0"/>
    <n v="0"/>
    <n v="0"/>
    <n v="0"/>
    <n v="0"/>
    <n v="0"/>
    <n v="0"/>
    <n v="0"/>
    <n v="0"/>
    <n v="0"/>
    <n v="0"/>
    <n v="0"/>
    <n v="0"/>
    <n v="0"/>
    <n v="158.2777078709141"/>
    <n v="536.56142968239885"/>
    <n v="0"/>
    <n v="0"/>
    <n v="0"/>
    <n v="0"/>
    <n v="0"/>
    <n v="0"/>
    <n v="0"/>
    <n v="0"/>
    <n v="165"/>
    <n v="583.05387693074954"/>
    <n v="0"/>
    <n v="0"/>
    <n v="0"/>
    <n v="0"/>
    <n v="0"/>
    <n v="0"/>
    <n v="0"/>
    <n v="0"/>
    <n v="0"/>
    <n v="0"/>
    <n v="0"/>
    <n v="0"/>
    <n v="0"/>
    <n v="0"/>
    <n v="165"/>
    <n v="583.05387693074954"/>
    <n v="6.7222921290859006"/>
    <n v="4.247150290152276E-2"/>
    <n v="46.492447248350686"/>
    <n v="8.6648880587392327E-2"/>
  </r>
  <r>
    <x v="0"/>
    <s v="ESPAÑA"/>
    <s v="HORTICOLAS Y PATATAS HNOS. MORAN, S.A.T."/>
    <s v="Baja aportación"/>
    <s v="FU0020"/>
    <s v="FULVIGIN, 20 L"/>
    <n v="20"/>
    <n v="3.07"/>
    <n v="3.200099047425407"/>
    <n v="0"/>
    <n v="0"/>
    <n v="0"/>
    <n v="0"/>
    <n v="0"/>
    <n v="0"/>
    <n v="0"/>
    <n v="0"/>
    <n v="0"/>
    <n v="0"/>
    <n v="0"/>
    <n v="0"/>
    <n v="0"/>
    <n v="0"/>
    <n v="138.49299438704989"/>
    <n v="425.17349276824308"/>
    <n v="0"/>
    <n v="0"/>
    <n v="0"/>
    <n v="0"/>
    <n v="0"/>
    <n v="0"/>
    <n v="0"/>
    <n v="0"/>
    <n v="138.49299438704989"/>
    <n v="425.17349276824308"/>
    <n v="0"/>
    <n v="0"/>
    <n v="0"/>
    <n v="0"/>
    <n v="0"/>
    <n v="0"/>
    <n v="0"/>
    <n v="0"/>
    <n v="0"/>
    <n v="0"/>
    <n v="0"/>
    <n v="0"/>
    <n v="0"/>
    <n v="0"/>
    <n v="140"/>
    <n v="448.01386663955702"/>
    <n v="0"/>
    <n v="0"/>
    <n v="0"/>
    <n v="0"/>
    <n v="0"/>
    <n v="0"/>
    <n v="0"/>
    <n v="0"/>
    <n v="140"/>
    <n v="448.01386663955702"/>
    <n v="1.5070056129501097"/>
    <n v="1.0881457359051988E-2"/>
    <n v="22.840373871313943"/>
    <n v="5.3720126630198824E-2"/>
  </r>
  <r>
    <x v="0"/>
    <s v="ESPAÑA"/>
    <s v="HORTICOLAS Y PATATAS HNOS. MORAN, S.A.T."/>
    <s v="Baja aportación"/>
    <s v="PIV0005"/>
    <s v="PGR IV, 5 L"/>
    <n v="5"/>
    <n v="3.07"/>
    <n v="3.200099047425407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59.354140451592791"/>
    <n v="182.2172111863899"/>
    <n v="0"/>
    <n v="0"/>
    <n v="0"/>
    <n v="0"/>
    <n v="0"/>
    <n v="0"/>
    <n v="0"/>
    <n v="0"/>
    <n v="65"/>
    <n v="208.0064380826515"/>
    <n v="0"/>
    <n v="0"/>
    <n v="0"/>
    <n v="0"/>
    <n v="0"/>
    <n v="0"/>
    <n v="0"/>
    <n v="0"/>
    <n v="0"/>
    <n v="0"/>
    <n v="0"/>
    <n v="0"/>
    <n v="0"/>
    <n v="0"/>
    <n v="65"/>
    <n v="208.0064380826515"/>
    <n v="5.6458595484072092"/>
    <n v="9.5121578805640011E-2"/>
    <n v="25.789226896261596"/>
    <n v="0.14153013718271545"/>
  </r>
  <r>
    <x v="0"/>
    <s v="ESPAÑA"/>
    <s v="HORTICOLAS Y PATATAS HNOS. MORAN, S.A.T."/>
    <s v="Baja aportación"/>
    <s v="PT0020"/>
    <s v="AGROPOTASION, 20 L"/>
    <n v="20"/>
    <n v="3.51"/>
    <n v="3.6587451649717191"/>
    <n v="0"/>
    <n v="0"/>
    <n v="0"/>
    <n v="0"/>
    <n v="0"/>
    <n v="0"/>
    <n v="0"/>
    <n v="0"/>
    <n v="197.84713483864269"/>
    <n v="694.4434432836357"/>
    <n v="0"/>
    <n v="0"/>
    <n v="0"/>
    <n v="0"/>
    <n v="0"/>
    <n v="0"/>
    <n v="0"/>
    <n v="0"/>
    <n v="0"/>
    <n v="0"/>
    <n v="0"/>
    <n v="0"/>
    <n v="0"/>
    <n v="0"/>
    <n v="197.84713483864269"/>
    <n v="694.4434432836357"/>
    <n v="0"/>
    <n v="0"/>
    <n v="0"/>
    <n v="0"/>
    <n v="0"/>
    <n v="0"/>
    <n v="0"/>
    <n v="0"/>
    <n v="220"/>
    <n v="804.92393629377807"/>
    <n v="0"/>
    <n v="0"/>
    <n v="0"/>
    <n v="0"/>
    <n v="0"/>
    <n v="0"/>
    <n v="0"/>
    <n v="0"/>
    <n v="0"/>
    <n v="0"/>
    <n v="0"/>
    <n v="0"/>
    <n v="0"/>
    <n v="0"/>
    <n v="220"/>
    <n v="804.92393629377807"/>
    <n v="22.152865161357312"/>
    <n v="0.11196960309495725"/>
    <n v="110.48049301014237"/>
    <n v="0.15909213929321839"/>
  </r>
  <r>
    <x v="0"/>
    <s v="ESPAÑA"/>
    <s v="HORTICOLAS Y PATATAS HNOS. MORAN, S.A.T."/>
    <s v="Baja aportación"/>
    <s v="WHITE0020"/>
    <s v="AGROWHITE, 20 KG"/>
    <n v="20"/>
    <n v="1.929999999999999"/>
    <n v="2.0117886519645061"/>
    <n v="0"/>
    <n v="0"/>
    <n v="0"/>
    <n v="0"/>
    <n v="0"/>
    <n v="0"/>
    <n v="0"/>
    <n v="0"/>
    <n v="0"/>
    <n v="0"/>
    <n v="0"/>
    <n v="0"/>
    <n v="0"/>
    <n v="0"/>
    <n v="197.84713483864269"/>
    <n v="381.84497023858017"/>
    <n v="0"/>
    <n v="0"/>
    <n v="0"/>
    <n v="0"/>
    <n v="0"/>
    <n v="0"/>
    <n v="0"/>
    <n v="0"/>
    <n v="197.84713483864269"/>
    <n v="381.84497023858017"/>
    <n v="0"/>
    <n v="0"/>
    <n v="0"/>
    <n v="0"/>
    <n v="0"/>
    <n v="0"/>
    <n v="0"/>
    <n v="0"/>
    <n v="0"/>
    <n v="0"/>
    <n v="0"/>
    <n v="0"/>
    <n v="0"/>
    <n v="0"/>
    <n v="200"/>
    <n v="402.3577303929012"/>
    <n v="0"/>
    <n v="0"/>
    <n v="0"/>
    <n v="0"/>
    <n v="0"/>
    <n v="0"/>
    <n v="0"/>
    <n v="0"/>
    <n v="200"/>
    <n v="402.3577303929012"/>
    <n v="2.1528651613573118"/>
    <n v="1.0881457359052051E-2"/>
    <n v="20.512760154321029"/>
    <n v="5.3720126630198824E-2"/>
  </r>
  <r>
    <x v="0"/>
    <s v="ESPAÑA"/>
    <s v="MAJ AGROQUIMICOS S.L."/>
    <s v="Baja aportación"/>
    <s v="AGMGL0005"/>
    <s v="AGROXILATO-MG-L, 5 L"/>
    <n v="5"/>
    <n v="5.56"/>
    <n v="5.7956191217215833"/>
    <n v="0"/>
    <n v="0"/>
    <n v="0"/>
    <n v="0"/>
    <n v="0"/>
    <n v="0"/>
    <n v="0"/>
    <n v="0"/>
    <n v="19.78471348386427"/>
    <n v="110.0030069702853"/>
    <n v="0"/>
    <n v="0"/>
    <n v="0"/>
    <n v="0"/>
    <n v="0"/>
    <n v="0"/>
    <n v="0"/>
    <n v="0"/>
    <n v="0"/>
    <n v="0"/>
    <n v="0"/>
    <n v="0"/>
    <n v="0"/>
    <n v="0"/>
    <n v="19.78471348386427"/>
    <n v="110.0030069702853"/>
    <n v="0"/>
    <n v="0"/>
    <n v="0"/>
    <n v="0"/>
    <n v="0"/>
    <n v="0"/>
    <n v="0"/>
    <n v="0"/>
    <n v="20"/>
    <n v="115.91238243443171"/>
    <n v="0"/>
    <n v="0"/>
    <n v="0"/>
    <n v="0"/>
    <n v="0"/>
    <n v="0"/>
    <n v="0"/>
    <n v="0"/>
    <n v="0"/>
    <n v="0"/>
    <n v="0"/>
    <n v="0"/>
    <n v="0"/>
    <n v="0"/>
    <n v="20"/>
    <n v="115.91238243443171"/>
    <n v="0.21528651613573047"/>
    <n v="1.0881457359052014E-2"/>
    <n v="5.9093754641464074"/>
    <n v="5.3720126630199164E-2"/>
  </r>
  <r>
    <x v="0"/>
    <s v="ESPAÑA"/>
    <s v="MAJ AGROQUIMICOS S.L."/>
    <s v="Baja aportación"/>
    <s v="AGXK0005"/>
    <s v="AGROXILATO-K, 5 L"/>
    <n v="5"/>
    <n v="3.5"/>
    <n v="3.6483213895729389"/>
    <n v="0"/>
    <n v="0"/>
    <n v="0"/>
    <n v="0"/>
    <n v="0"/>
    <n v="0"/>
    <n v="0"/>
    <n v="0"/>
    <n v="0"/>
    <n v="0"/>
    <n v="0"/>
    <n v="0"/>
    <n v="19.78471348386427"/>
    <n v="69.246497193524931"/>
    <n v="0"/>
    <n v="0"/>
    <n v="0"/>
    <n v="0"/>
    <n v="0"/>
    <n v="0"/>
    <n v="0"/>
    <n v="0"/>
    <n v="0"/>
    <n v="0"/>
    <n v="19.78471348386427"/>
    <n v="69.246497193524931"/>
    <n v="0"/>
    <n v="0"/>
    <n v="0"/>
    <n v="0"/>
    <n v="0"/>
    <n v="0"/>
    <n v="0"/>
    <n v="0"/>
    <n v="0"/>
    <n v="0"/>
    <n v="0"/>
    <n v="0"/>
    <n v="20"/>
    <n v="72.966427791458784"/>
    <n v="0"/>
    <n v="0"/>
    <n v="0"/>
    <n v="0"/>
    <n v="0"/>
    <n v="0"/>
    <n v="0"/>
    <n v="0"/>
    <n v="0"/>
    <n v="0"/>
    <n v="20"/>
    <n v="72.966427791458784"/>
    <n v="0.21528651613573047"/>
    <n v="1.0881457359052014E-2"/>
    <n v="3.7199305979338533"/>
    <n v="5.3720126630198629E-2"/>
  </r>
  <r>
    <x v="0"/>
    <s v="ESPAÑA"/>
    <s v="MAJ AGROQUIMICOS S.L."/>
    <s v="Baja aportación"/>
    <s v="AN0020"/>
    <s v="ALCAPLANT NEW, 20 KG"/>
    <n v="20"/>
    <n v="1.6936363636363629"/>
    <n v="1.765408506175165"/>
    <n v="0"/>
    <n v="0"/>
    <n v="0"/>
    <n v="0"/>
    <n v="118.7082809031856"/>
    <n v="199.4299119173518"/>
    <n v="0"/>
    <n v="0"/>
    <n v="79.138853935457064"/>
    <n v="132.95327461156791"/>
    <n v="0"/>
    <n v="0"/>
    <n v="19.78471348386427"/>
    <n v="36.206025675471608"/>
    <n v="0"/>
    <n v="0"/>
    <n v="0"/>
    <n v="0"/>
    <n v="0"/>
    <n v="0"/>
    <n v="0"/>
    <n v="0"/>
    <n v="0"/>
    <n v="0"/>
    <n v="217.63184832250693"/>
    <n v="368.58921220439134"/>
    <n v="0"/>
    <n v="0"/>
    <n v="0"/>
    <n v="0"/>
    <n v="120"/>
    <n v="210.14331203940131"/>
    <n v="0"/>
    <n v="0"/>
    <n v="80"/>
    <n v="140.0955413596009"/>
    <n v="0"/>
    <n v="0"/>
    <n v="20"/>
    <n v="38.151017959534173"/>
    <n v="0"/>
    <n v="0"/>
    <n v="0"/>
    <n v="0"/>
    <n v="0"/>
    <n v="0"/>
    <n v="0"/>
    <n v="0"/>
    <n v="0"/>
    <n v="0"/>
    <n v="220"/>
    <n v="388.38987135853637"/>
    <n v="2.3681516774930742"/>
    <n v="1.0881457359052195E-2"/>
    <n v="19.800659154145023"/>
    <n v="5.3720126630198539E-2"/>
  </r>
  <r>
    <x v="0"/>
    <s v="ESPAÑA"/>
    <s v="MAJ AGROQUIMICOS S.L."/>
    <s v="Baja aportación"/>
    <s v="AVAN0005"/>
    <s v="FLORAMEC AVANCE, 5 L"/>
    <n v="5"/>
    <n v="5.1050000000000004"/>
    <n v="5.3213373410771014"/>
    <n v="0"/>
    <n v="0"/>
    <n v="0"/>
    <n v="0"/>
    <n v="0"/>
    <n v="0"/>
    <n v="0"/>
    <n v="0"/>
    <n v="0"/>
    <n v="0"/>
    <n v="19.78471348386427"/>
    <n v="99.517108823837248"/>
    <n v="19.78471348386427"/>
    <n v="102.48481584641689"/>
    <n v="0"/>
    <n v="0"/>
    <n v="0"/>
    <n v="0"/>
    <n v="0"/>
    <n v="0"/>
    <n v="0"/>
    <n v="0"/>
    <n v="0"/>
    <n v="0"/>
    <n v="39.569426967728539"/>
    <n v="202.00192467025414"/>
    <n v="0"/>
    <n v="0"/>
    <n v="0"/>
    <n v="0"/>
    <n v="0"/>
    <n v="0"/>
    <n v="0"/>
    <n v="0"/>
    <n v="0"/>
    <n v="0"/>
    <n v="20"/>
    <n v="104.86318051172501"/>
    <n v="20"/>
    <n v="107.990313131359"/>
    <n v="0"/>
    <n v="0"/>
    <n v="0"/>
    <n v="0"/>
    <n v="0"/>
    <n v="0"/>
    <n v="0"/>
    <n v="0"/>
    <n v="0"/>
    <n v="0"/>
    <n v="40"/>
    <n v="212.85349364308399"/>
    <n v="0.43057303227146093"/>
    <n v="1.0881457359052014E-2"/>
    <n v="10.851568972829853"/>
    <n v="5.3720126630198407E-2"/>
  </r>
  <r>
    <x v="0"/>
    <s v="ESPAÑA"/>
    <s v="MAJ AGROQUIMICOS S.L."/>
    <s v="Baja aportación"/>
    <s v="B0001"/>
    <s v="BOROCAL,1 L"/>
    <n v="1"/>
    <n v="4.9800000000000004"/>
    <n v="5.1910401485923554"/>
    <n v="0"/>
    <n v="0"/>
    <n v="0"/>
    <n v="0"/>
    <n v="35.612484270955683"/>
    <n v="175.56954745581149"/>
    <n v="0"/>
    <n v="0"/>
    <n v="0"/>
    <n v="0"/>
    <n v="35.612484270955683"/>
    <n v="175.56954745581149"/>
    <n v="35.612484270955683"/>
    <n v="180.9114200964548"/>
    <n v="0"/>
    <n v="0"/>
    <n v="0"/>
    <n v="0"/>
    <n v="0"/>
    <n v="0"/>
    <n v="0"/>
    <n v="0"/>
    <n v="0"/>
    <n v="0"/>
    <n v="106.83745281286704"/>
    <n v="532.05051500807781"/>
    <n v="0"/>
    <n v="0"/>
    <n v="0"/>
    <n v="0"/>
    <n v="37"/>
    <n v="190.14008704914289"/>
    <n v="0"/>
    <n v="0"/>
    <n v="0"/>
    <n v="0"/>
    <n v="37"/>
    <n v="190.14008704914289"/>
    <n v="37"/>
    <n v="195.92528239546559"/>
    <n v="0"/>
    <n v="0"/>
    <n v="0"/>
    <n v="0"/>
    <n v="0"/>
    <n v="0"/>
    <n v="0"/>
    <n v="0"/>
    <n v="0"/>
    <n v="0"/>
    <n v="111"/>
    <n v="576.2054564937514"/>
    <n v="4.162547187132958"/>
    <n v="3.8961497841248034E-2"/>
    <n v="44.154941485673589"/>
    <n v="8.2990130147704511E-2"/>
  </r>
  <r>
    <x v="0"/>
    <s v="ESPAÑA"/>
    <s v="MAJ AGROQUIMICOS S.L."/>
    <s v="Baja aportación"/>
    <s v="B0005"/>
    <s v="BOROCAL, 5 L"/>
    <n v="5"/>
    <n v="3.379999999999999"/>
    <n v="3.523125193559935"/>
    <n v="0"/>
    <n v="0"/>
    <n v="0"/>
    <n v="0"/>
    <n v="98.92356741932133"/>
    <n v="330.40471518053317"/>
    <n v="0"/>
    <n v="0"/>
    <n v="0"/>
    <n v="0"/>
    <n v="108.81592416125341"/>
    <n v="363.4451866985865"/>
    <n v="237.41656180637119"/>
    <n v="810.77755856875751"/>
    <n v="0"/>
    <n v="0"/>
    <n v="0"/>
    <n v="0"/>
    <n v="0"/>
    <n v="0"/>
    <n v="0"/>
    <n v="0"/>
    <n v="0"/>
    <n v="0"/>
    <n v="445.15605338694593"/>
    <n v="1504.6274604478772"/>
    <n v="0"/>
    <n v="0"/>
    <n v="0"/>
    <n v="0"/>
    <n v="105"/>
    <n v="365.56180323520852"/>
    <n v="0"/>
    <n v="0"/>
    <n v="0"/>
    <n v="0"/>
    <n v="115"/>
    <n v="400.37721306713308"/>
    <n v="250"/>
    <n v="889.92982467082766"/>
    <n v="0"/>
    <n v="0"/>
    <n v="0"/>
    <n v="0"/>
    <n v="0"/>
    <n v="0"/>
    <n v="0"/>
    <n v="0"/>
    <n v="0"/>
    <n v="0"/>
    <n v="470"/>
    <n v="1655.8688409731692"/>
    <n v="24.843946613054072"/>
    <n v="5.580952213056576E-2"/>
    <n v="151.24138052529202"/>
    <n v="0.1005174932007904"/>
  </r>
  <r>
    <x v="0"/>
    <s v="ESPAÑA"/>
    <s v="MAJ AGROQUIMICOS S.L."/>
    <s v="Baja aportación"/>
    <s v="BIO0005"/>
    <s v="BIORAD-20, 5L"/>
    <n v="5"/>
    <n v="2.62"/>
    <n v="2.7310291544803151"/>
    <n v="0"/>
    <n v="0"/>
    <n v="0"/>
    <n v="0"/>
    <n v="98.92356741932133"/>
    <n v="259.17974663862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59.17974663862191"/>
    <n v="0"/>
    <n v="0"/>
    <n v="0"/>
    <n v="0"/>
    <n v="120"/>
    <n v="327.72349853763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327.72349853763768"/>
    <n v="21.07643258067867"/>
    <n v="0.21305774883086265"/>
    <n v="68.543751899015774"/>
    <n v="0.26446415195623801"/>
  </r>
  <r>
    <x v="0"/>
    <s v="ESPAÑA"/>
    <s v="MAJ AGROQUIMICOS S.L."/>
    <s v="Baja aportación"/>
    <s v="C-L0005"/>
    <s v="CODIBOR-L, 5 L"/>
    <n v="5"/>
    <n v="4.46"/>
    <n v="4.6490038278558021"/>
    <n v="0"/>
    <n v="0"/>
    <n v="0"/>
    <n v="0"/>
    <n v="0"/>
    <n v="0"/>
    <n v="0"/>
    <n v="0"/>
    <n v="0"/>
    <n v="0"/>
    <n v="19.78471348386427"/>
    <n v="88.239822138034626"/>
    <n v="0"/>
    <n v="0"/>
    <n v="0"/>
    <n v="0"/>
    <n v="0"/>
    <n v="0"/>
    <n v="0"/>
    <n v="0"/>
    <n v="0"/>
    <n v="0"/>
    <n v="0"/>
    <n v="0"/>
    <n v="19.78471348386427"/>
    <n v="88.239822138034626"/>
    <n v="0"/>
    <n v="0"/>
    <n v="0"/>
    <n v="0"/>
    <n v="0"/>
    <n v="0"/>
    <n v="0"/>
    <n v="0"/>
    <n v="0"/>
    <n v="0"/>
    <n v="20"/>
    <n v="92.98007655711605"/>
    <n v="0"/>
    <n v="0"/>
    <n v="0"/>
    <n v="0"/>
    <n v="0"/>
    <n v="0"/>
    <n v="0"/>
    <n v="0"/>
    <n v="0"/>
    <n v="0"/>
    <n v="0"/>
    <n v="0"/>
    <n v="20"/>
    <n v="92.98007655711605"/>
    <n v="0.21528651613573047"/>
    <n v="1.0881457359052014E-2"/>
    <n v="4.740254419081424"/>
    <n v="5.3720126630198622E-2"/>
  </r>
  <r>
    <x v="0"/>
    <s v="ESPAÑA"/>
    <s v="MAJ AGROQUIMICOS S.L."/>
    <s v="Baja aportación"/>
    <s v="CSIL0001"/>
    <s v="FITOKONTROL-K, 1 L"/>
    <n v="1"/>
    <n v="4.71"/>
    <n v="4.9095982128252986"/>
    <n v="0"/>
    <n v="0"/>
    <n v="0"/>
    <n v="0"/>
    <n v="0"/>
    <n v="0"/>
    <n v="0"/>
    <n v="0"/>
    <n v="0"/>
    <n v="0"/>
    <n v="0"/>
    <n v="0"/>
    <n v="23.741656180637118"/>
    <n v="111.8232006108008"/>
    <n v="0"/>
    <n v="0"/>
    <n v="0"/>
    <n v="0"/>
    <n v="0"/>
    <n v="0"/>
    <n v="0"/>
    <n v="0"/>
    <n v="0"/>
    <n v="0"/>
    <n v="23.741656180637118"/>
    <n v="111.8232006108008"/>
    <n v="0"/>
    <n v="0"/>
    <n v="0"/>
    <n v="0"/>
    <n v="0"/>
    <n v="0"/>
    <n v="0"/>
    <n v="0"/>
    <n v="0"/>
    <n v="0"/>
    <n v="0"/>
    <n v="0"/>
    <n v="25"/>
    <n v="122.7399553206325"/>
    <n v="0"/>
    <n v="0"/>
    <n v="0"/>
    <n v="0"/>
    <n v="0"/>
    <n v="0"/>
    <n v="0"/>
    <n v="0"/>
    <n v="0"/>
    <n v="0"/>
    <n v="25"/>
    <n v="122.7399553206325"/>
    <n v="1.2583438193628815"/>
    <n v="5.3001518082346072E-2"/>
    <n v="10.916754709831707"/>
    <n v="9.7625131906457691E-2"/>
  </r>
  <r>
    <x v="0"/>
    <s v="ESPAÑA"/>
    <s v="MAJ AGROQUIMICOS S.L."/>
    <s v="Baja aportación"/>
    <s v="CSIL0005"/>
    <s v="FITOKONTROL-K, 5 L"/>
    <n v="5"/>
    <n v="3.76"/>
    <n v="3.9193395499412151"/>
    <n v="0"/>
    <n v="0"/>
    <n v="0"/>
    <n v="0"/>
    <n v="0"/>
    <n v="0"/>
    <n v="0"/>
    <n v="0"/>
    <n v="0"/>
    <n v="0"/>
    <n v="0"/>
    <n v="0"/>
    <n v="39.569426967728532"/>
    <n v="148.7810453986593"/>
    <n v="0"/>
    <n v="0"/>
    <n v="0"/>
    <n v="0"/>
    <n v="0"/>
    <n v="0"/>
    <n v="0"/>
    <n v="0"/>
    <n v="0"/>
    <n v="0"/>
    <n v="39.569426967728532"/>
    <n v="148.7810453986593"/>
    <n v="0"/>
    <n v="0"/>
    <n v="0"/>
    <n v="0"/>
    <n v="0"/>
    <n v="0"/>
    <n v="0"/>
    <n v="0"/>
    <n v="0"/>
    <n v="0"/>
    <n v="0"/>
    <n v="0"/>
    <n v="40"/>
    <n v="156.77358199764859"/>
    <n v="0"/>
    <n v="0"/>
    <n v="0"/>
    <n v="0"/>
    <n v="0"/>
    <n v="0"/>
    <n v="0"/>
    <n v="0"/>
    <n v="0"/>
    <n v="0"/>
    <n v="40"/>
    <n v="156.77358199764859"/>
    <n v="0.43057303227146804"/>
    <n v="1.0881457359052195E-2"/>
    <n v="7.9925365989892896"/>
    <n v="5.3720126630198498E-2"/>
  </r>
  <r>
    <x v="0"/>
    <s v="ESPAÑA"/>
    <s v="MAJ AGROQUIMICOS S.L."/>
    <s v="Baja aportación"/>
    <s v="JF0005"/>
    <s v="CODIGIN-FOS, 5 L"/>
    <n v="5"/>
    <n v="2.839999999999999"/>
    <n v="2.9603522132534699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0"/>
    <n v="0"/>
    <n v="0"/>
    <n v="0"/>
    <n v="0"/>
    <n v="0"/>
    <n v="39.569426967728532"/>
    <n v="112.377172588349"/>
    <n v="0"/>
    <n v="0"/>
    <n v="0"/>
    <n v="0"/>
    <n v="0"/>
    <n v="0"/>
    <n v="0"/>
    <n v="0"/>
    <n v="45"/>
    <n v="133.21584959640609"/>
    <n v="0"/>
    <n v="0"/>
    <n v="0"/>
    <n v="0"/>
    <n v="0"/>
    <n v="0"/>
    <n v="0"/>
    <n v="0"/>
    <n v="0"/>
    <n v="0"/>
    <n v="0"/>
    <n v="0"/>
    <n v="0"/>
    <n v="0"/>
    <n v="45"/>
    <n v="133.21584959640609"/>
    <n v="5.430573032271468"/>
    <n v="0.13724163952893373"/>
    <n v="20.83867700805709"/>
    <n v="0.18543514245897297"/>
  </r>
  <r>
    <x v="0"/>
    <s v="ESPAÑA"/>
    <s v="MAJ AGROQUIMICOS S.L."/>
    <s v="Baja aportación"/>
    <s v="PT0001"/>
    <s v="AGROPOTASION, 1 L"/>
    <n v="1"/>
    <n v="4.58"/>
    <n v="4.7740891326411603"/>
    <n v="0"/>
    <n v="0"/>
    <n v="0"/>
    <n v="0"/>
    <n v="71.224968541911352"/>
    <n v="326.21035592195398"/>
    <n v="0"/>
    <n v="0"/>
    <n v="0"/>
    <n v="0"/>
    <n v="11.870828090318559"/>
    <n v="54.368392653659001"/>
    <n v="0"/>
    <n v="0"/>
    <n v="0"/>
    <n v="0"/>
    <n v="0"/>
    <n v="0"/>
    <n v="0"/>
    <n v="0"/>
    <n v="0"/>
    <n v="0"/>
    <n v="0"/>
    <n v="0"/>
    <n v="83.095796632229906"/>
    <n v="380.57874857561296"/>
    <n v="0"/>
    <n v="0"/>
    <n v="0"/>
    <n v="0"/>
    <n v="77"/>
    <n v="367.6048632133693"/>
    <n v="0"/>
    <n v="0"/>
    <n v="0"/>
    <n v="0"/>
    <n v="13"/>
    <n v="62.063158724335082"/>
    <n v="0"/>
    <n v="0"/>
    <n v="0"/>
    <n v="0"/>
    <n v="0"/>
    <n v="0"/>
    <n v="0"/>
    <n v="0"/>
    <n v="0"/>
    <n v="0"/>
    <n v="0"/>
    <n v="0"/>
    <n v="90"/>
    <n v="429.6680219377044"/>
    <n v="6.9042033677700942"/>
    <n v="8.3087275741841785E-2"/>
    <n v="49.089273362091433"/>
    <n v="0.12898584996092716"/>
  </r>
  <r>
    <x v="0"/>
    <s v="ESPAÑA"/>
    <s v="MAJ AGROQUIMICOS S.L."/>
    <s v="Baja aportación"/>
    <s v="PT0005"/>
    <s v="AGROPOTASION, 5 L"/>
    <n v="5"/>
    <n v="3.5603846153846148"/>
    <n v="3.7110501808120251"/>
    <n v="0"/>
    <n v="0"/>
    <n v="0"/>
    <n v="0"/>
    <n v="197.84713483864269"/>
    <n v="696.42191463202209"/>
    <n v="0"/>
    <n v="0"/>
    <n v="39.569426967728532"/>
    <n v="139.28438292640439"/>
    <n v="19.78471348386427"/>
    <n v="69.642191463202224"/>
    <n v="257.20127529023551"/>
    <n v="926.12243817968624"/>
    <n v="0"/>
    <n v="0"/>
    <n v="0"/>
    <n v="0"/>
    <n v="0"/>
    <n v="0"/>
    <n v="0"/>
    <n v="0"/>
    <n v="0"/>
    <n v="0"/>
    <n v="514.40255058047103"/>
    <n v="1831.4709272013151"/>
    <n v="0"/>
    <n v="0"/>
    <n v="0"/>
    <n v="0"/>
    <n v="215"/>
    <n v="788.87132217965723"/>
    <n v="0"/>
    <n v="0"/>
    <n v="45"/>
    <n v="165.11260231667251"/>
    <n v="20"/>
    <n v="73.383378807409997"/>
    <n v="280"/>
    <n v="1050.8207979509939"/>
    <n v="0"/>
    <n v="0"/>
    <n v="0"/>
    <n v="0"/>
    <n v="0"/>
    <n v="0"/>
    <n v="0"/>
    <n v="0"/>
    <n v="0"/>
    <n v="0"/>
    <n v="560"/>
    <n v="2078.1881012547337"/>
    <n v="45.597449419528971"/>
    <n v="8.864156946359443E-2"/>
    <n v="246.7171740534186"/>
    <n v="0.13470985009324118"/>
  </r>
  <r>
    <x v="0"/>
    <s v="ESPAÑA"/>
    <s v="MAJ AGROQUIMICOS S.L."/>
    <s v="Baja aportación"/>
    <s v="S0005"/>
    <s v="SAL-WAX STAR, 5 L"/>
    <n v="5"/>
    <n v="2.35"/>
    <n v="2.4495872187132588"/>
    <n v="0"/>
    <n v="0"/>
    <n v="0"/>
    <n v="0"/>
    <n v="19.78471348386427"/>
    <n v="46.494076687081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46.494076687081019"/>
    <n v="0"/>
    <n v="0"/>
    <n v="0"/>
    <n v="0"/>
    <n v="20"/>
    <n v="48.991744374265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48.991744374265181"/>
    <n v="0.21528651613573047"/>
    <n v="1.0881457359052014E-2"/>
    <n v="2.4976676871841619"/>
    <n v="5.3720126630198706E-2"/>
  </r>
  <r>
    <x v="0"/>
    <s v="ESPAÑA"/>
    <s v="MAJ AGROQUIMICOS S.L."/>
    <s v="Baja aportación"/>
    <s v="S0005"/>
    <s v="SALWAX STAR, 5 L"/>
    <n v="5"/>
    <n v="2.4249999999999998"/>
    <n v="2.5277655342041081"/>
    <n v="0"/>
    <n v="0"/>
    <n v="0"/>
    <n v="0"/>
    <n v="0"/>
    <n v="0"/>
    <n v="0"/>
    <n v="0"/>
    <n v="39.569426967728532"/>
    <n v="92.988153374162039"/>
    <n v="0"/>
    <n v="0"/>
    <n v="39.569426967728532"/>
    <n v="98.92356741932133"/>
    <n v="0"/>
    <n v="0"/>
    <n v="0"/>
    <n v="0"/>
    <n v="0"/>
    <n v="0"/>
    <n v="0"/>
    <n v="0"/>
    <n v="0"/>
    <n v="0"/>
    <n v="79.138853935457064"/>
    <n v="191.91172079348337"/>
    <n v="0"/>
    <n v="0"/>
    <n v="0"/>
    <n v="0"/>
    <n v="0"/>
    <n v="0"/>
    <n v="0"/>
    <n v="0"/>
    <n v="40"/>
    <n v="97.983488748530362"/>
    <n v="0"/>
    <n v="0"/>
    <n v="40"/>
    <n v="104.2377539877983"/>
    <n v="0"/>
    <n v="0"/>
    <n v="0"/>
    <n v="0"/>
    <n v="0"/>
    <n v="0"/>
    <n v="0"/>
    <n v="0"/>
    <n v="0"/>
    <n v="0"/>
    <n v="80"/>
    <n v="202.22124273632866"/>
    <n v="0.86114606454293607"/>
    <n v="1.0881457359052195E-2"/>
    <n v="10.309521942845294"/>
    <n v="5.3720126630198858E-2"/>
  </r>
  <r>
    <x v="0"/>
    <s v="ESPAÑA"/>
    <s v="MARTINEZ S.C."/>
    <s v="Baja aportación"/>
    <s v="A-50(2)0005"/>
    <s v="CODIORGAN-A50, 5 KG"/>
    <n v="5"/>
    <n v="5.25"/>
    <n v="5.4724820843594104"/>
    <n v="0"/>
    <n v="0"/>
    <n v="0"/>
    <n v="0"/>
    <n v="0"/>
    <n v="0"/>
    <n v="0"/>
    <n v="0"/>
    <n v="0"/>
    <n v="0"/>
    <n v="79.138853935457064"/>
    <n v="415.47898316114959"/>
    <n v="0"/>
    <n v="0"/>
    <n v="0"/>
    <n v="0"/>
    <n v="0"/>
    <n v="0"/>
    <n v="0"/>
    <n v="0"/>
    <n v="0"/>
    <n v="0"/>
    <n v="0"/>
    <n v="0"/>
    <n v="79.138853935457064"/>
    <n v="415.47898316114959"/>
    <n v="0"/>
    <n v="0"/>
    <n v="0"/>
    <n v="0"/>
    <n v="0"/>
    <n v="0"/>
    <n v="0"/>
    <n v="0"/>
    <n v="0"/>
    <n v="0"/>
    <n v="100"/>
    <n v="547.24820843594091"/>
    <n v="0"/>
    <n v="0"/>
    <n v="0"/>
    <n v="0"/>
    <n v="0"/>
    <n v="0"/>
    <n v="0"/>
    <n v="0"/>
    <n v="0"/>
    <n v="0"/>
    <n v="0"/>
    <n v="0"/>
    <n v="100"/>
    <n v="547.24820843594091"/>
    <n v="20.861146064542936"/>
    <n v="0.26360182169881524"/>
    <n v="131.76922527479132"/>
    <n v="0.31715015828774834"/>
  </r>
  <r>
    <x v="0"/>
    <s v="ESPAÑA"/>
    <s v="MARTINEZ S.C."/>
    <s v="Baja aportación"/>
    <s v="A-50(2)0020"/>
    <s v="CODIORGAN A-50, 20 KG"/>
    <n v="20"/>
    <n v="5.1199999999999992"/>
    <n v="5.3369730041752712"/>
    <n v="0"/>
    <n v="0"/>
    <n v="0"/>
    <n v="0"/>
    <n v="197.84713483864269"/>
    <n v="1012.97733037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012.97733037385"/>
    <n v="0"/>
    <n v="0"/>
    <n v="0"/>
    <n v="0"/>
    <n v="240"/>
    <n v="1280.873521002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280.873521002065"/>
    <n v="42.152865161357312"/>
    <n v="0.21305774883086245"/>
    <n v="267.89619062821498"/>
    <n v="0.26446415195623879"/>
  </r>
  <r>
    <x v="0"/>
    <s v="ESPAÑA"/>
    <s v="MARTINEZ S.C."/>
    <s v="Baja aportación"/>
    <s v="AGXK0020"/>
    <s v="AGROXILATO-K, 20 L"/>
    <n v="20"/>
    <n v="3.49"/>
    <n v="3.6378976141741601"/>
    <n v="0"/>
    <n v="0"/>
    <n v="0"/>
    <n v="0"/>
    <n v="0"/>
    <n v="0"/>
    <n v="0"/>
    <n v="0"/>
    <n v="0"/>
    <n v="0"/>
    <n v="0"/>
    <n v="0"/>
    <n v="0"/>
    <n v="0"/>
    <n v="593.54140451592798"/>
    <n v="2071.459501760588"/>
    <n v="0"/>
    <n v="0"/>
    <n v="0"/>
    <n v="0"/>
    <n v="0"/>
    <n v="0"/>
    <n v="0"/>
    <n v="0"/>
    <n v="593.54140451592798"/>
    <n v="2071.459501760588"/>
    <n v="0"/>
    <n v="0"/>
    <n v="0"/>
    <n v="0"/>
    <n v="0"/>
    <n v="0"/>
    <n v="0"/>
    <n v="0"/>
    <n v="0"/>
    <n v="0"/>
    <n v="0"/>
    <n v="0"/>
    <n v="0"/>
    <n v="0"/>
    <n v="640"/>
    <n v="2328.2544730714631"/>
    <n v="0"/>
    <n v="0"/>
    <n v="0"/>
    <n v="0"/>
    <n v="0"/>
    <n v="0"/>
    <n v="0"/>
    <n v="0"/>
    <n v="640"/>
    <n v="2328.2544730714631"/>
    <n v="46.458595484072021"/>
    <n v="7.8273554516322341E-2"/>
    <n v="256.7949713108751"/>
    <n v="0.12396813507221276"/>
  </r>
  <r>
    <x v="0"/>
    <s v="ESPAÑA"/>
    <s v="MARTINEZ S.C."/>
    <s v="Baja aportación"/>
    <s v="AN0020"/>
    <s v="ALCAPLANT NEW, 20 KG"/>
    <n v="20"/>
    <n v="1.81"/>
    <n v="1.8867033471791479"/>
    <n v="0"/>
    <n v="0"/>
    <n v="0"/>
    <n v="0"/>
    <n v="0"/>
    <n v="0"/>
    <n v="0"/>
    <n v="0"/>
    <n v="0"/>
    <n v="0"/>
    <n v="98.92356741932133"/>
    <n v="179.05165702897159"/>
    <n v="0"/>
    <n v="0"/>
    <n v="0"/>
    <n v="0"/>
    <n v="0"/>
    <n v="0"/>
    <n v="0"/>
    <n v="0"/>
    <n v="0"/>
    <n v="0"/>
    <n v="0"/>
    <n v="0"/>
    <n v="98.92356741932133"/>
    <n v="179.05165702897159"/>
    <n v="0"/>
    <n v="0"/>
    <n v="0"/>
    <n v="0"/>
    <n v="0"/>
    <n v="0"/>
    <n v="0"/>
    <n v="0"/>
    <n v="0"/>
    <n v="0"/>
    <n v="100"/>
    <n v="188.67033471791481"/>
    <n v="0"/>
    <n v="0"/>
    <n v="0"/>
    <n v="0"/>
    <n v="0"/>
    <n v="0"/>
    <n v="0"/>
    <n v="0"/>
    <n v="0"/>
    <n v="0"/>
    <n v="0"/>
    <n v="0"/>
    <n v="100"/>
    <n v="188.67033471791481"/>
    <n v="1.0764325806786701"/>
    <n v="1.0881457359052195E-2"/>
    <n v="9.6186776889432224"/>
    <n v="5.3720126630198484E-2"/>
  </r>
  <r>
    <x v="0"/>
    <s v="ESPAÑA"/>
    <s v="MARTINEZ S.C."/>
    <s v="Baja aportación"/>
    <s v="BIO0020"/>
    <s v="BIORAD-20, 20 L"/>
    <n v="20"/>
    <n v="2.56"/>
    <n v="2.668486502087636"/>
    <n v="0"/>
    <n v="0"/>
    <n v="0"/>
    <n v="0"/>
    <n v="0"/>
    <n v="0"/>
    <n v="0"/>
    <n v="0"/>
    <n v="0"/>
    <n v="0"/>
    <n v="158.2777078709141"/>
    <n v="405.19093214954017"/>
    <n v="0"/>
    <n v="0"/>
    <n v="0"/>
    <n v="0"/>
    <n v="0"/>
    <n v="0"/>
    <n v="0"/>
    <n v="0"/>
    <n v="0"/>
    <n v="0"/>
    <n v="0"/>
    <n v="0"/>
    <n v="158.2777078709141"/>
    <n v="405.19093214954017"/>
    <n v="0"/>
    <n v="0"/>
    <n v="0"/>
    <n v="0"/>
    <n v="0"/>
    <n v="0"/>
    <n v="0"/>
    <n v="0"/>
    <n v="0"/>
    <n v="0"/>
    <n v="200"/>
    <n v="533.69730041752712"/>
    <n v="0"/>
    <n v="0"/>
    <n v="0"/>
    <n v="0"/>
    <n v="0"/>
    <n v="0"/>
    <n v="0"/>
    <n v="0"/>
    <n v="0"/>
    <n v="0"/>
    <n v="0"/>
    <n v="0"/>
    <n v="200"/>
    <n v="533.69730041752712"/>
    <n v="41.722292129085901"/>
    <n v="0.26360182169881546"/>
    <n v="128.50636826798694"/>
    <n v="0.31715015828774828"/>
  </r>
  <r>
    <x v="0"/>
    <s v="ESPAÑA"/>
    <s v="MARTINEZ S.C."/>
    <s v="Baja aportación"/>
    <s v="BR-590005"/>
    <s v="BR-59, 5 KG"/>
    <n v="5"/>
    <n v="2.44"/>
    <n v="2.543401197302277"/>
    <n v="0"/>
    <n v="0"/>
    <n v="0"/>
    <n v="0"/>
    <n v="0"/>
    <n v="0"/>
    <n v="0"/>
    <n v="0"/>
    <n v="0"/>
    <n v="0"/>
    <n v="138.49299438704989"/>
    <n v="337.92290630440158"/>
    <n v="0"/>
    <n v="0"/>
    <n v="0"/>
    <n v="0"/>
    <n v="0"/>
    <n v="0"/>
    <n v="0"/>
    <n v="0"/>
    <n v="0"/>
    <n v="0"/>
    <n v="0"/>
    <n v="0"/>
    <n v="138.49299438704989"/>
    <n v="337.92290630440158"/>
    <n v="0"/>
    <n v="0"/>
    <n v="0"/>
    <n v="0"/>
    <n v="0"/>
    <n v="0"/>
    <n v="0"/>
    <n v="0"/>
    <n v="0"/>
    <n v="0"/>
    <n v="150"/>
    <n v="381.51017959534158"/>
    <n v="0"/>
    <n v="0"/>
    <n v="0"/>
    <n v="0"/>
    <n v="0"/>
    <n v="0"/>
    <n v="0"/>
    <n v="0"/>
    <n v="0"/>
    <n v="0"/>
    <n v="0"/>
    <n v="0"/>
    <n v="150"/>
    <n v="381.51017959534158"/>
    <n v="11.50700561295011"/>
    <n v="8.308727574184141E-2"/>
    <n v="43.587273290940004"/>
    <n v="0.12898584996092721"/>
  </r>
  <r>
    <x v="0"/>
    <s v="ESPAÑA"/>
    <s v="MARTINEZ S.C."/>
    <s v="Baja aportación"/>
    <s v="BROTA0005"/>
    <s v="BROTAMEC, 5 L"/>
    <n v="5"/>
    <n v="3.47"/>
    <n v="3.6170500633765998"/>
    <n v="0"/>
    <n v="0"/>
    <n v="0"/>
    <n v="0"/>
    <n v="0"/>
    <n v="0"/>
    <n v="0"/>
    <n v="0"/>
    <n v="0"/>
    <n v="0"/>
    <n v="59.354140451592791"/>
    <n v="205.95886736702701"/>
    <n v="0"/>
    <n v="0"/>
    <n v="0"/>
    <n v="0"/>
    <n v="0"/>
    <n v="0"/>
    <n v="0"/>
    <n v="0"/>
    <n v="0"/>
    <n v="0"/>
    <n v="0"/>
    <n v="0"/>
    <n v="59.354140451592791"/>
    <n v="205.95886736702701"/>
    <n v="0"/>
    <n v="0"/>
    <n v="0"/>
    <n v="0"/>
    <n v="0"/>
    <n v="0"/>
    <n v="0"/>
    <n v="0"/>
    <n v="0"/>
    <n v="0"/>
    <n v="65"/>
    <n v="235.108254119479"/>
    <n v="0"/>
    <n v="0"/>
    <n v="0"/>
    <n v="0"/>
    <n v="0"/>
    <n v="0"/>
    <n v="0"/>
    <n v="0"/>
    <n v="0"/>
    <n v="0"/>
    <n v="0"/>
    <n v="0"/>
    <n v="65"/>
    <n v="235.108254119479"/>
    <n v="5.6458595484072092"/>
    <n v="9.5121578805640011E-2"/>
    <n v="29.149386752451989"/>
    <n v="0.14153013718271526"/>
  </r>
  <r>
    <x v="0"/>
    <s v="ESPAÑA"/>
    <s v="MARTINEZ S.C."/>
    <s v="Baja aportación"/>
    <s v="C-CU0020"/>
    <s v="CODICOBRE, 20 L"/>
    <n v="20"/>
    <n v="4.0199999999999996"/>
    <n v="4.1903577103094909"/>
    <n v="0"/>
    <n v="0"/>
    <n v="0"/>
    <n v="0"/>
    <n v="0"/>
    <n v="0"/>
    <n v="0"/>
    <n v="0"/>
    <n v="0"/>
    <n v="0"/>
    <n v="118.7082809031856"/>
    <n v="477.20728923080611"/>
    <n v="0"/>
    <n v="0"/>
    <n v="0"/>
    <n v="0"/>
    <n v="0"/>
    <n v="0"/>
    <n v="0"/>
    <n v="0"/>
    <n v="0"/>
    <n v="0"/>
    <n v="0"/>
    <n v="0"/>
    <n v="118.7082809031856"/>
    <n v="477.20728923080611"/>
    <n v="0"/>
    <n v="0"/>
    <n v="0"/>
    <n v="0"/>
    <n v="0"/>
    <n v="0"/>
    <n v="0"/>
    <n v="0"/>
    <n v="0"/>
    <n v="0"/>
    <n v="120"/>
    <n v="502.8429252371389"/>
    <n v="0"/>
    <n v="0"/>
    <n v="0"/>
    <n v="0"/>
    <n v="0"/>
    <n v="0"/>
    <n v="0"/>
    <n v="0"/>
    <n v="0"/>
    <n v="0"/>
    <n v="0"/>
    <n v="0"/>
    <n v="120"/>
    <n v="502.8429252371389"/>
    <n v="1.2917190968144041"/>
    <n v="1.0881457359052195E-2"/>
    <n v="25.635636006332788"/>
    <n v="5.3720126630198761E-2"/>
  </r>
  <r>
    <x v="0"/>
    <s v="ESPAÑA"/>
    <s v="MARTINEZ S.C."/>
    <s v="Baja aportación"/>
    <s v="C-GLB0005"/>
    <s v="CODIORGAN GLB, 5 KG"/>
    <n v="5"/>
    <n v="9.1"/>
    <n v="9.4856356128896415"/>
    <n v="0"/>
    <n v="0"/>
    <n v="0"/>
    <n v="0"/>
    <n v="0"/>
    <n v="0"/>
    <n v="0"/>
    <n v="0"/>
    <n v="0"/>
    <n v="0"/>
    <n v="0"/>
    <n v="0"/>
    <n v="0"/>
    <n v="0"/>
    <n v="39.569426967728532"/>
    <n v="360.08178540632957"/>
    <n v="0"/>
    <n v="0"/>
    <n v="0"/>
    <n v="0"/>
    <n v="0"/>
    <n v="0"/>
    <n v="0"/>
    <n v="0"/>
    <n v="39.569426967728532"/>
    <n v="360.08178540632957"/>
    <n v="0"/>
    <n v="0"/>
    <n v="0"/>
    <n v="0"/>
    <n v="0"/>
    <n v="0"/>
    <n v="0"/>
    <n v="0"/>
    <n v="0"/>
    <n v="0"/>
    <n v="0"/>
    <n v="0"/>
    <n v="0"/>
    <n v="0"/>
    <n v="45"/>
    <n v="426.85360258003391"/>
    <n v="0"/>
    <n v="0"/>
    <n v="0"/>
    <n v="0"/>
    <n v="0"/>
    <n v="0"/>
    <n v="0"/>
    <n v="0"/>
    <n v="45"/>
    <n v="426.85360258003391"/>
    <n v="5.430573032271468"/>
    <n v="0.13724163952893373"/>
    <n v="66.771817173704335"/>
    <n v="0.18543514245897375"/>
  </r>
  <r>
    <x v="0"/>
    <s v="ESPAÑA"/>
    <s v="MARTINEZ S.C."/>
    <s v="Baja aportación"/>
    <s v="PT0020"/>
    <s v="AGROPOTASION, 20 L"/>
    <n v="20"/>
    <n v="3.5474999999999999"/>
    <n v="3.695972934253076"/>
    <n v="0"/>
    <n v="0"/>
    <n v="0"/>
    <n v="0"/>
    <n v="395.69426967728532"/>
    <n v="1388.8868865672709"/>
    <n v="0"/>
    <n v="0"/>
    <n v="0"/>
    <n v="0"/>
    <n v="197.84713483864269"/>
    <n v="694.4434432836357"/>
    <n v="0"/>
    <n v="0"/>
    <n v="197.84713483864269"/>
    <n v="724.12051350943204"/>
    <n v="0"/>
    <n v="0"/>
    <n v="0"/>
    <n v="0"/>
    <n v="0"/>
    <n v="0"/>
    <n v="0"/>
    <n v="0"/>
    <n v="791.38853935457064"/>
    <n v="2807.4508433603387"/>
    <n v="0"/>
    <n v="0"/>
    <n v="0"/>
    <n v="0"/>
    <n v="420"/>
    <n v="1536.672969288122"/>
    <n v="0"/>
    <n v="0"/>
    <n v="0"/>
    <n v="0"/>
    <n v="220"/>
    <n v="804.92393629377807"/>
    <n v="0"/>
    <n v="0"/>
    <n v="200"/>
    <n v="763.02035919068339"/>
    <n v="0"/>
    <n v="0"/>
    <n v="0"/>
    <n v="0"/>
    <n v="0"/>
    <n v="0"/>
    <n v="0"/>
    <n v="0"/>
    <n v="840"/>
    <n v="3104.6172647725834"/>
    <n v="48.611460645429361"/>
    <n v="6.1425530227004803E-2"/>
    <n v="297.16642141224474"/>
    <n v="0.10584919843389158"/>
  </r>
  <r>
    <x v="0"/>
    <s v="ESPAÑA"/>
    <s v="MARTINEZ S.C."/>
    <s v="Baja aportación"/>
    <s v="S0020"/>
    <s v="SALWAX STAR, 20 L"/>
    <n v="20"/>
    <n v="2.25"/>
    <n v="2.3453494647254609"/>
    <n v="0"/>
    <n v="0"/>
    <n v="0"/>
    <n v="0"/>
    <n v="0"/>
    <n v="0"/>
    <n v="0"/>
    <n v="0"/>
    <n v="0"/>
    <n v="0"/>
    <n v="138.49299438704989"/>
    <n v="311.60923737086222"/>
    <n v="0"/>
    <n v="0"/>
    <n v="0"/>
    <n v="0"/>
    <n v="0"/>
    <n v="0"/>
    <n v="0"/>
    <n v="0"/>
    <n v="0"/>
    <n v="0"/>
    <n v="0"/>
    <n v="0"/>
    <n v="138.49299438704989"/>
    <n v="311.60923737086222"/>
    <n v="0"/>
    <n v="0"/>
    <n v="0"/>
    <n v="0"/>
    <n v="0"/>
    <n v="0"/>
    <n v="0"/>
    <n v="0"/>
    <n v="0"/>
    <n v="0"/>
    <n v="140"/>
    <n v="328.3489250615645"/>
    <n v="0"/>
    <n v="0"/>
    <n v="0"/>
    <n v="0"/>
    <n v="0"/>
    <n v="0"/>
    <n v="0"/>
    <n v="0"/>
    <n v="0"/>
    <n v="0"/>
    <n v="0"/>
    <n v="0"/>
    <n v="140"/>
    <n v="328.3489250615645"/>
    <n v="1.5070056129501097"/>
    <n v="1.0881457359051988E-2"/>
    <n v="16.739687690702283"/>
    <n v="5.3720126630198442E-2"/>
  </r>
  <r>
    <x v="0"/>
    <s v="ESPAÑA"/>
    <s v="MUNDOHUERTO-CARMEN SOLAZ BLANCO"/>
    <s v="Baja aportación"/>
    <s v="AVAN0020"/>
    <s v="FLORAMEC AVANCE, 20 L"/>
    <n v="20"/>
    <n v="4.8599999999999994"/>
    <n v="5.0659548438069946"/>
    <n v="0"/>
    <n v="0"/>
    <n v="19.78471348386427"/>
    <n v="96.153707531580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96.153707531580324"/>
    <n v="0"/>
    <n v="0"/>
    <n v="20"/>
    <n v="101.31909687613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1.31909687613989"/>
    <n v="0.21528651613573047"/>
    <n v="1.0881457359052014E-2"/>
    <n v="5.1653893445595713"/>
    <n v="5.3720126630198553E-2"/>
  </r>
  <r>
    <x v="0"/>
    <s v="ESPAÑA"/>
    <s v="MUNDOHUERTO-CARMEN SOLAZ BLANCO"/>
    <s v="Baja aportación"/>
    <s v="FROST-P0020"/>
    <s v="CODIFROST PLUS, 20 L"/>
    <n v="20"/>
    <n v="3.92"/>
    <n v="4.0861199563216921"/>
    <n v="0"/>
    <n v="0"/>
    <n v="0"/>
    <n v="0"/>
    <n v="19.78471348386427"/>
    <n v="77.556076856747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77.556076856747922"/>
    <n v="0"/>
    <n v="0"/>
    <n v="0"/>
    <n v="0"/>
    <n v="20"/>
    <n v="81.722399126433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1.722399126433842"/>
    <n v="0.21528651613573047"/>
    <n v="1.0881457359052014E-2"/>
    <n v="4.1663222696859208"/>
    <n v="5.3720126630198699E-2"/>
  </r>
  <r>
    <x v="0"/>
    <s v="ESPAÑA"/>
    <s v="MUNDOHUERTO-CARMEN SOLAZ BLANCO"/>
    <s v="Baja aportación"/>
    <s v="HST0020"/>
    <s v="HIDROSTRESS-40, 20 L"/>
    <n v="20"/>
    <n v="5.8599999999999994"/>
    <n v="6.1083323836849779"/>
    <n v="0"/>
    <n v="0"/>
    <n v="0"/>
    <n v="0"/>
    <n v="0"/>
    <n v="0"/>
    <n v="0"/>
    <n v="0"/>
    <n v="0"/>
    <n v="0"/>
    <n v="0"/>
    <n v="0"/>
    <n v="0"/>
    <n v="0"/>
    <n v="19.78471348386427"/>
    <n v="115.9384210154446"/>
    <n v="0"/>
    <n v="0"/>
    <n v="0"/>
    <n v="0"/>
    <n v="0"/>
    <n v="0"/>
    <n v="0"/>
    <n v="0"/>
    <n v="19.78471348386427"/>
    <n v="115.9384210154446"/>
    <n v="0"/>
    <n v="0"/>
    <n v="0"/>
    <n v="0"/>
    <n v="0"/>
    <n v="0"/>
    <n v="0"/>
    <n v="0"/>
    <n v="0"/>
    <n v="0"/>
    <n v="0"/>
    <n v="0"/>
    <n v="0"/>
    <n v="0"/>
    <n v="20"/>
    <n v="122.1666476736996"/>
    <n v="0"/>
    <n v="0"/>
    <n v="0"/>
    <n v="0"/>
    <n v="0"/>
    <n v="0"/>
    <n v="0"/>
    <n v="0"/>
    <n v="20"/>
    <n v="122.1666476736996"/>
    <n v="0.21528651613573047"/>
    <n v="1.0881457359052014E-2"/>
    <n v="6.2282266582549966"/>
    <n v="5.3720126630198893E-2"/>
  </r>
  <r>
    <x v="0"/>
    <s v="ESPAÑA"/>
    <s v="MUNDOHUERTO-CARMEN SOLAZ BLANCO"/>
    <s v="Baja aportación"/>
    <s v="PT0005"/>
    <s v="AGROPOTASION, 5 L"/>
    <n v="5"/>
    <n v="3.45"/>
    <n v="3.59620251257904"/>
    <n v="0"/>
    <n v="0"/>
    <n v="0"/>
    <n v="0"/>
    <n v="0"/>
    <n v="0"/>
    <n v="0"/>
    <n v="0"/>
    <n v="0"/>
    <n v="0"/>
    <n v="0"/>
    <n v="0"/>
    <n v="593.54140451592798"/>
    <n v="2047.717845579951"/>
    <n v="39.569426967728532"/>
    <n v="136.51452303866341"/>
    <n v="0"/>
    <n v="0"/>
    <n v="0"/>
    <n v="0"/>
    <n v="0"/>
    <n v="0"/>
    <n v="0"/>
    <n v="0"/>
    <n v="633.11083148365651"/>
    <n v="2184.2323686186146"/>
    <n v="0"/>
    <n v="0"/>
    <n v="0"/>
    <n v="0"/>
    <n v="0"/>
    <n v="0"/>
    <n v="0"/>
    <n v="0"/>
    <n v="0"/>
    <n v="0"/>
    <n v="0"/>
    <n v="0"/>
    <n v="640"/>
    <n v="2301.569608050585"/>
    <n v="45"/>
    <n v="161.82911306605681"/>
    <n v="0"/>
    <n v="0"/>
    <n v="0"/>
    <n v="0"/>
    <n v="0"/>
    <n v="0"/>
    <n v="0"/>
    <n v="0"/>
    <n v="685"/>
    <n v="2463.3987211166418"/>
    <n v="51.889168516343489"/>
    <n v="8.1959059829610548E-2"/>
    <n v="279.16635249802721"/>
    <n v="0.12780982303388436"/>
  </r>
  <r>
    <x v="0"/>
    <s v="ESPAÑA"/>
    <s v="MUNDOHUERTO-CARMEN SOLAZ BLANCO"/>
    <s v="Baja aportación"/>
    <s v="SS0020"/>
    <s v="SAL-WAX-Ca sólido, 20 KG"/>
    <n v="20"/>
    <n v="3.859999999999999"/>
    <n v="4.0235773039290121"/>
    <n v="19.78471348386427"/>
    <n v="76.368994047716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76.368994047716058"/>
    <n v="20"/>
    <n v="80.471546078580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0.471546078580246"/>
    <n v="0.21528651613573047"/>
    <n v="1.0881457359052014E-2"/>
    <n v="4.1025520308641887"/>
    <n v="5.3720126630198588E-2"/>
  </r>
  <r>
    <x v="0"/>
    <s v="ESPAÑA"/>
    <s v="PLANTALDIA SLU"/>
    <s v="Baja aportación"/>
    <s v="A-50(2)0005"/>
    <s v="CODIORGAN A-50, 5 KG"/>
    <n v="5"/>
    <n v="4.8599999999999994"/>
    <n v="5.0659548438069946"/>
    <n v="0"/>
    <n v="0"/>
    <n v="346.23248596762471"/>
    <n v="1682.6898818026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6.23248596762471"/>
    <n v="1682.6898818026559"/>
    <n v="0"/>
    <n v="0"/>
    <n v="430"/>
    <n v="2178.3605828370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"/>
    <n v="2178.3605828370082"/>
    <n v="83.767514032375288"/>
    <n v="0.2419400761839782"/>
    <n v="495.67070103435231"/>
    <n v="0.29457044128852972"/>
  </r>
  <r>
    <x v="0"/>
    <s v="ESPAÑA"/>
    <s v="PLANTALDIA SLU"/>
    <s v="Baja aportación"/>
    <s v="A-50(2)0005"/>
    <s v="CODIORGAN-A50, 5 KG"/>
    <n v="5"/>
    <n v="4.8600000000000003"/>
    <n v="5.0659548438069946"/>
    <n v="0"/>
    <n v="0"/>
    <n v="0"/>
    <n v="0"/>
    <n v="0"/>
    <n v="0"/>
    <n v="0"/>
    <n v="0"/>
    <n v="445.15605338694593"/>
    <n v="2163.4584194605568"/>
    <n v="0"/>
    <n v="0"/>
    <n v="0"/>
    <n v="0"/>
    <n v="0"/>
    <n v="0"/>
    <n v="0"/>
    <n v="0"/>
    <n v="0"/>
    <n v="0"/>
    <n v="0"/>
    <n v="0"/>
    <n v="0"/>
    <n v="0"/>
    <n v="445.15605338694593"/>
    <n v="2163.4584194605568"/>
    <n v="0"/>
    <n v="0"/>
    <n v="0"/>
    <n v="0"/>
    <n v="0"/>
    <n v="0"/>
    <n v="0"/>
    <n v="0"/>
    <n v="550"/>
    <n v="2786.2751640938482"/>
    <n v="0"/>
    <n v="0"/>
    <n v="0"/>
    <n v="0"/>
    <n v="0"/>
    <n v="0"/>
    <n v="0"/>
    <n v="0"/>
    <n v="0"/>
    <n v="0"/>
    <n v="0"/>
    <n v="0"/>
    <n v="0"/>
    <n v="0"/>
    <n v="550"/>
    <n v="2786.2751640938482"/>
    <n v="104.84394661305407"/>
    <n v="0.23552178121661951"/>
    <n v="622.81674463329136"/>
    <n v="0.28788015477024342"/>
  </r>
  <r>
    <x v="0"/>
    <s v="ESPAÑA"/>
    <s v="PLANTALDIA SLU"/>
    <s v="Baja aportación"/>
    <s v="BR-590005"/>
    <s v="BR-59, 5 KG"/>
    <n v="5"/>
    <n v="2.2599999999999998"/>
    <n v="2.3557732401242411"/>
    <n v="0"/>
    <n v="0"/>
    <n v="1088.159241612535"/>
    <n v="2459.2398860443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459.2398860443282"/>
    <n v="0"/>
    <n v="0"/>
    <n v="1175"/>
    <n v="2768.0335571459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5"/>
    <n v="2768.0335571459832"/>
    <n v="86.84075838746503"/>
    <n v="7.9805193088078138E-2"/>
    <n v="308.79367110165504"/>
    <n v="0.12556468071862145"/>
  </r>
  <r>
    <x v="0"/>
    <s v="ESPAÑA"/>
    <s v="PLANTALDIA SLU"/>
    <s v="Baja aportación"/>
    <s v="C-CU0005"/>
    <s v="CODICOBRE, 5 L"/>
    <n v="5"/>
    <n v="4"/>
    <n v="4.1695101595119306"/>
    <n v="0"/>
    <n v="0"/>
    <n v="296.77070225796399"/>
    <n v="1187.0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187.082809031856"/>
    <n v="0"/>
    <n v="0"/>
    <n v="315"/>
    <n v="1313.395700246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"/>
    <n v="1313.395700246258"/>
    <n v="18.22929774203601"/>
    <n v="6.1425530227004803E-2"/>
    <n v="126.31289121440204"/>
    <n v="0.10640613296170846"/>
  </r>
  <r>
    <x v="0"/>
    <s v="ESPAÑA"/>
    <s v="PLANTALDIA SLU"/>
    <s v="Baja aportación"/>
    <s v="C-L0005"/>
    <s v="CODIBOR-L, 5 L"/>
    <n v="5"/>
    <n v="4.46"/>
    <n v="4.6490038278558021"/>
    <n v="0"/>
    <n v="0"/>
    <n v="593.54140451592798"/>
    <n v="2647.1946641410391"/>
    <n v="0"/>
    <n v="0"/>
    <n v="0"/>
    <n v="0"/>
    <n v="356.12484270955679"/>
    <n v="1588.316798484623"/>
    <n v="0"/>
    <n v="0"/>
    <n v="0"/>
    <n v="0"/>
    <n v="0"/>
    <n v="0"/>
    <n v="0"/>
    <n v="0"/>
    <n v="0"/>
    <n v="0"/>
    <n v="0"/>
    <n v="0"/>
    <n v="0"/>
    <n v="0"/>
    <n v="949.66624722548477"/>
    <n v="4235.5114626256618"/>
    <n v="0"/>
    <n v="0"/>
    <n v="625"/>
    <n v="2905.6273924098759"/>
    <n v="0"/>
    <n v="0"/>
    <n v="0"/>
    <n v="0"/>
    <n v="375"/>
    <n v="1743.3764354459261"/>
    <n v="0"/>
    <n v="0"/>
    <n v="0"/>
    <n v="0"/>
    <n v="0"/>
    <n v="0"/>
    <n v="0"/>
    <n v="0"/>
    <n v="0"/>
    <n v="0"/>
    <n v="0"/>
    <n v="0"/>
    <n v="0"/>
    <n v="0"/>
    <n v="1000"/>
    <n v="4649.0038278558022"/>
    <n v="50.333752774515233"/>
    <n v="5.3001518082346037E-2"/>
    <n v="413.49236523014042"/>
    <n v="9.76251319064569E-2"/>
  </r>
  <r>
    <x v="0"/>
    <s v="ESPAÑA"/>
    <s v="SAFIAGRO, S.A."/>
    <s v="Baja aportación"/>
    <s v="AGRMGN0020"/>
    <s v="AGROXIGREEN-MG, 20 L"/>
    <n v="20"/>
    <n v="3.3"/>
    <n v="3.4398458815973432"/>
    <n v="0"/>
    <n v="0"/>
    <n v="0"/>
    <n v="0"/>
    <n v="0"/>
    <n v="0"/>
    <n v="0"/>
    <n v="0"/>
    <n v="1266.221662967313"/>
    <n v="4178.5314877921328"/>
    <n v="633.11083148365651"/>
    <n v="2089.2657438960659"/>
    <n v="633.11083148365651"/>
    <n v="2089.2657438960659"/>
    <n v="0"/>
    <n v="0"/>
    <n v="0"/>
    <n v="0"/>
    <n v="0"/>
    <n v="0"/>
    <n v="0"/>
    <n v="0"/>
    <n v="0"/>
    <n v="0"/>
    <n v="2532.443325934626"/>
    <n v="8357.0629755842638"/>
    <n v="0"/>
    <n v="0"/>
    <n v="0"/>
    <n v="0"/>
    <n v="0"/>
    <n v="0"/>
    <n v="0"/>
    <n v="0"/>
    <n v="1500"/>
    <n v="5159.768822396014"/>
    <n v="740"/>
    <n v="2545.4859523820342"/>
    <n v="740"/>
    <n v="2545.4859523820342"/>
    <n v="0"/>
    <n v="0"/>
    <n v="0"/>
    <n v="0"/>
    <n v="0"/>
    <n v="0"/>
    <n v="0"/>
    <n v="0"/>
    <n v="0"/>
    <n v="0"/>
    <n v="2980"/>
    <n v="10250.740727160082"/>
    <n v="447.55667406537395"/>
    <n v="0.1767291964570217"/>
    <n v="1893.6777515758185"/>
    <n v="0.22659608490546604"/>
  </r>
  <r>
    <x v="0"/>
    <s v="ESPAÑA"/>
    <s v="SAFIAGRO, S.A."/>
    <s v="Baja aportación"/>
    <s v="AGXK0020"/>
    <s v="AGROXILATO-K, 20 L"/>
    <n v="20"/>
    <n v="3.31"/>
    <n v="3.450269656996122"/>
    <n v="0"/>
    <n v="0"/>
    <n v="0"/>
    <n v="0"/>
    <n v="0"/>
    <n v="0"/>
    <n v="0"/>
    <n v="0"/>
    <n v="1266.221662967313"/>
    <n v="4191.1937044218057"/>
    <n v="0"/>
    <n v="0"/>
    <n v="0"/>
    <n v="0"/>
    <n v="0"/>
    <n v="0"/>
    <n v="0"/>
    <n v="0"/>
    <n v="0"/>
    <n v="0"/>
    <n v="0"/>
    <n v="0"/>
    <n v="0"/>
    <n v="0"/>
    <n v="1266.221662967313"/>
    <n v="4191.1937044218057"/>
    <n v="0"/>
    <n v="0"/>
    <n v="0"/>
    <n v="0"/>
    <n v="0"/>
    <n v="0"/>
    <n v="0"/>
    <n v="0"/>
    <n v="1360"/>
    <n v="4692.3667335147256"/>
    <n v="0"/>
    <n v="0"/>
    <n v="0"/>
    <n v="0"/>
    <n v="0"/>
    <n v="0"/>
    <n v="0"/>
    <n v="0"/>
    <n v="0"/>
    <n v="0"/>
    <n v="0"/>
    <n v="0"/>
    <n v="0"/>
    <n v="0"/>
    <n v="1360"/>
    <n v="4692.3667335147256"/>
    <n v="93.778337032686977"/>
    <n v="7.4061548443992958E-2"/>
    <n v="501.17302909291993"/>
    <n v="0.11957763454458592"/>
  </r>
  <r>
    <x v="0"/>
    <s v="ESPAÑA"/>
    <s v="SAFIAGRO, S.A."/>
    <s v="Baja aportación"/>
    <s v="PT0020"/>
    <s v="AGROPOTASION, 20 L"/>
    <n v="20"/>
    <n v="3.3266666666666662"/>
    <n v="3.4676426159940892"/>
    <n v="0"/>
    <n v="0"/>
    <n v="0"/>
    <n v="0"/>
    <n v="0"/>
    <n v="0"/>
    <n v="0"/>
    <n v="0"/>
    <n v="0"/>
    <n v="0"/>
    <n v="0"/>
    <n v="0"/>
    <n v="1266.221662967313"/>
    <n v="4406.4513871262488"/>
    <n v="633.11083148365651"/>
    <n v="1911.994711080642"/>
    <n v="0"/>
    <n v="0"/>
    <n v="0"/>
    <n v="0"/>
    <n v="0"/>
    <n v="0"/>
    <n v="0"/>
    <n v="0"/>
    <n v="1899.3324944509695"/>
    <n v="6318.4460982068904"/>
    <n v="0"/>
    <n v="0"/>
    <n v="0"/>
    <n v="0"/>
    <n v="0"/>
    <n v="0"/>
    <n v="0"/>
    <n v="0"/>
    <n v="0"/>
    <n v="0"/>
    <n v="0"/>
    <n v="0"/>
    <n v="1360"/>
    <n v="4933.364420734516"/>
    <n v="680"/>
    <n v="2140.6265158934252"/>
    <n v="0"/>
    <n v="0"/>
    <n v="0"/>
    <n v="0"/>
    <n v="0"/>
    <n v="0"/>
    <n v="0"/>
    <n v="0"/>
    <n v="2040"/>
    <n v="7073.9909366279408"/>
    <n v="140.66750554903047"/>
    <n v="7.4061548443992958E-2"/>
    <n v="755.54483842105037"/>
    <n v="0.11957763454458624"/>
  </r>
  <r>
    <x v="0"/>
    <s v="ESPAÑA"/>
    <s v="SAFIAGRO, S.A."/>
    <s v="Baja aportación"/>
    <s v="S0020"/>
    <s v="SALWAX STAR, 20 L"/>
    <n v="20"/>
    <n v="2.339999999999999"/>
    <n v="2.4391634433144791"/>
    <n v="0"/>
    <n v="0"/>
    <n v="0"/>
    <n v="0"/>
    <n v="0"/>
    <n v="0"/>
    <n v="0"/>
    <n v="0"/>
    <n v="1266.221662967313"/>
    <n v="2962.9586913435119"/>
    <n v="0"/>
    <n v="0"/>
    <n v="0"/>
    <n v="0"/>
    <n v="0"/>
    <n v="0"/>
    <n v="0"/>
    <n v="0"/>
    <n v="0"/>
    <n v="0"/>
    <n v="0"/>
    <n v="0"/>
    <n v="0"/>
    <n v="0"/>
    <n v="1266.221662967313"/>
    <n v="2962.9586913435119"/>
    <n v="0"/>
    <n v="0"/>
    <n v="0"/>
    <n v="0"/>
    <n v="0"/>
    <n v="0"/>
    <n v="0"/>
    <n v="0"/>
    <n v="1340"/>
    <n v="3268.479014041402"/>
    <n v="0"/>
    <n v="0"/>
    <n v="0"/>
    <n v="0"/>
    <n v="0"/>
    <n v="0"/>
    <n v="0"/>
    <n v="0"/>
    <n v="0"/>
    <n v="0"/>
    <n v="0"/>
    <n v="0"/>
    <n v="0"/>
    <n v="0"/>
    <n v="1340"/>
    <n v="3268.479014041402"/>
    <n v="73.778337032686977"/>
    <n v="5.8266525672757766E-2"/>
    <n v="305.52032269789015"/>
    <n v="0.10311325756598931"/>
  </r>
  <r>
    <x v="0"/>
    <s v="ESPAÑA"/>
    <s v="T.J AGRICULTURA S.L."/>
    <s v="Con potencial"/>
    <s v="A-50(2)0020"/>
    <s v="CODIORGAN-A50, 20 KG"/>
    <n v="20"/>
    <n v="5.1199999999999992"/>
    <n v="5.3369730041752703"/>
    <n v="0"/>
    <n v="0"/>
    <n v="0"/>
    <n v="0"/>
    <n v="0"/>
    <n v="0"/>
    <n v="0"/>
    <n v="0"/>
    <n v="197.84713483864269"/>
    <n v="1012.97733037385"/>
    <n v="0"/>
    <n v="0"/>
    <n v="0"/>
    <n v="0"/>
    <n v="0"/>
    <n v="0"/>
    <n v="0"/>
    <n v="0"/>
    <n v="0"/>
    <n v="0"/>
    <n v="0"/>
    <n v="0"/>
    <n v="0"/>
    <n v="0"/>
    <n v="197.84713483864269"/>
    <n v="1012.97733037385"/>
    <n v="0"/>
    <n v="0"/>
    <n v="0"/>
    <n v="0"/>
    <n v="0"/>
    <n v="0"/>
    <n v="0"/>
    <n v="0"/>
    <n v="260"/>
    <n v="1387.61298108557"/>
    <n v="0"/>
    <n v="0"/>
    <n v="0"/>
    <n v="0"/>
    <n v="0"/>
    <n v="0"/>
    <n v="0"/>
    <n v="0"/>
    <n v="0"/>
    <n v="0"/>
    <n v="0"/>
    <n v="0"/>
    <n v="0"/>
    <n v="0"/>
    <n v="260"/>
    <n v="1387.61298108557"/>
    <n v="62.152865161357312"/>
    <n v="0.31414589456676767"/>
    <n v="374.63565071172002"/>
    <n v="0.36983616461925833"/>
  </r>
  <r>
    <x v="0"/>
    <s v="ESPAÑA"/>
    <s v="T.J AGRICULTURA S.L."/>
    <s v="Con potencial"/>
    <s v="AGRMGN0020"/>
    <s v="AGROXIGREEN-MG, 20 L"/>
    <n v="20"/>
    <n v="3.330000000000001"/>
    <n v="3.4711172077936832"/>
    <n v="0"/>
    <n v="0"/>
    <n v="0"/>
    <n v="0"/>
    <n v="0"/>
    <n v="0"/>
    <n v="0"/>
    <n v="0"/>
    <n v="435.26369664501379"/>
    <n v="1449.4281098278959"/>
    <n v="0"/>
    <n v="0"/>
    <n v="0"/>
    <n v="0"/>
    <n v="0"/>
    <n v="0"/>
    <n v="0"/>
    <n v="0"/>
    <n v="0"/>
    <n v="0"/>
    <n v="0"/>
    <n v="0"/>
    <n v="0"/>
    <n v="0"/>
    <n v="435.26369664501379"/>
    <n v="1449.4281098278959"/>
    <n v="0"/>
    <n v="0"/>
    <n v="0"/>
    <n v="0"/>
    <n v="0"/>
    <n v="0"/>
    <n v="0"/>
    <n v="0"/>
    <n v="560"/>
    <n v="1943.8256363644621"/>
    <n v="0"/>
    <n v="0"/>
    <n v="0"/>
    <n v="0"/>
    <n v="0"/>
    <n v="0"/>
    <n v="0"/>
    <n v="0"/>
    <n v="0"/>
    <n v="0"/>
    <n v="0"/>
    <n v="0"/>
    <n v="0"/>
    <n v="0"/>
    <n v="560"/>
    <n v="1943.8256363644621"/>
    <n v="124.73630335498621"/>
    <n v="0.28657640027515752"/>
    <n v="494.39752653656615"/>
    <n v="0.34109834298388941"/>
  </r>
  <r>
    <x v="0"/>
    <s v="ESPAÑA"/>
    <s v="T.J AGRICULTURA S.L."/>
    <s v="Con potencial"/>
    <s v="AMIMG0020"/>
    <s v="AMINOSOIL MG, 20 L"/>
    <n v="20"/>
    <n v="2.61"/>
    <n v="2.720605379081535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0"/>
    <n v="0"/>
    <n v="0"/>
    <n v="0"/>
    <n v="0"/>
    <n v="0"/>
    <n v="118.7082809031856"/>
    <n v="309.82861315731441"/>
    <n v="0"/>
    <n v="0"/>
    <n v="0"/>
    <n v="0"/>
    <n v="0"/>
    <n v="0"/>
    <n v="0"/>
    <n v="0"/>
    <n v="140"/>
    <n v="380.88475307141488"/>
    <n v="0"/>
    <n v="0"/>
    <n v="0"/>
    <n v="0"/>
    <n v="0"/>
    <n v="0"/>
    <n v="0"/>
    <n v="0"/>
    <n v="0"/>
    <n v="0"/>
    <n v="0"/>
    <n v="0"/>
    <n v="0"/>
    <n v="0"/>
    <n v="140"/>
    <n v="380.88475307141488"/>
    <n v="21.291719096814404"/>
    <n v="0.17936170025222756"/>
    <n v="71.05613991410047"/>
    <n v="0.22934014773523181"/>
  </r>
  <r>
    <x v="0"/>
    <s v="ESPAÑA"/>
    <s v="T.J AGRICULTURA S.L."/>
    <s v="Con potencial"/>
    <s v="AN0020"/>
    <s v="ALCAPLANT NEW, 20 KG"/>
    <n v="20"/>
    <n v="1.795087719298246"/>
    <n v="1.8711157938135889"/>
    <n v="0"/>
    <n v="0"/>
    <n v="0"/>
    <n v="0"/>
    <n v="0"/>
    <n v="0"/>
    <n v="2769.8598877409968"/>
    <n v="5013.446396811205"/>
    <n v="989.23567419321319"/>
    <n v="1790.5165702897159"/>
    <n v="989.23567419321319"/>
    <n v="1661.9159326445979"/>
    <n v="890.31210677389197"/>
    <n v="1655.9805185994389"/>
    <n v="0"/>
    <n v="0"/>
    <n v="0"/>
    <n v="0"/>
    <n v="0"/>
    <n v="0"/>
    <n v="0"/>
    <n v="0"/>
    <n v="0"/>
    <n v="0"/>
    <n v="5638.643342901315"/>
    <n v="10121.859418344959"/>
    <n v="0"/>
    <n v="0"/>
    <n v="0"/>
    <n v="0"/>
    <n v="0"/>
    <n v="0"/>
    <n v="3200"/>
    <n v="6037.4507109732758"/>
    <n v="1140"/>
    <n v="2150.8418157842289"/>
    <n v="1140"/>
    <n v="1996.3614643743131"/>
    <n v="1020"/>
    <n v="1977.5986686565091"/>
    <n v="0"/>
    <n v="0"/>
    <n v="0"/>
    <n v="0"/>
    <n v="0"/>
    <n v="0"/>
    <n v="0"/>
    <n v="0"/>
    <n v="0"/>
    <n v="0"/>
    <n v="6500"/>
    <n v="12162.252659788326"/>
    <n v="861.35665709868499"/>
    <n v="0.15275955663751584"/>
    <n v="2040.3932414433675"/>
    <n v="0.2015828472923995"/>
  </r>
  <r>
    <x v="0"/>
    <s v="ESPAÑA"/>
    <s v="T.J AGRICULTURA S.L."/>
    <s v="Con potencial"/>
    <s v="AQUOM0020"/>
    <s v="AQUOM, 20 L"/>
    <n v="20"/>
    <n v="11.6"/>
    <n v="12.091579462584599"/>
    <n v="0"/>
    <n v="0"/>
    <n v="0"/>
    <n v="0"/>
    <n v="0"/>
    <n v="0"/>
    <n v="0"/>
    <n v="0"/>
    <n v="0"/>
    <n v="0"/>
    <n v="197.84713483864269"/>
    <n v="2295.0267641282549"/>
    <n v="0"/>
    <n v="0"/>
    <n v="0"/>
    <n v="0"/>
    <n v="0"/>
    <n v="0"/>
    <n v="0"/>
    <n v="0"/>
    <n v="0"/>
    <n v="0"/>
    <n v="0"/>
    <n v="0"/>
    <n v="197.84713483864269"/>
    <n v="2295.0267641282549"/>
    <n v="0"/>
    <n v="0"/>
    <n v="0"/>
    <n v="0"/>
    <n v="0"/>
    <n v="0"/>
    <n v="0"/>
    <n v="0"/>
    <n v="0"/>
    <n v="0"/>
    <n v="260"/>
    <n v="3143.8106602719949"/>
    <n v="0"/>
    <n v="0"/>
    <n v="0"/>
    <n v="0"/>
    <n v="0"/>
    <n v="0"/>
    <n v="0"/>
    <n v="0"/>
    <n v="0"/>
    <n v="0"/>
    <n v="0"/>
    <n v="0"/>
    <n v="260"/>
    <n v="3143.8106602719949"/>
    <n v="62.152865161357312"/>
    <n v="0.31414589456676767"/>
    <n v="848.78389614374009"/>
    <n v="0.36983616461925795"/>
  </r>
  <r>
    <x v="0"/>
    <s v="ESPAÑA"/>
    <s v="T.J AGRICULTURA S.L."/>
    <s v="Con potencial"/>
    <s v="C-CU0020"/>
    <s v="CODICOBRE, 20 L"/>
    <n v="20"/>
    <n v="4.0199999999999996"/>
    <n v="4.19035771030949"/>
    <n v="0"/>
    <n v="0"/>
    <n v="0"/>
    <n v="0"/>
    <n v="0"/>
    <n v="0"/>
    <n v="0"/>
    <n v="0"/>
    <n v="98.92356741932133"/>
    <n v="397.67274102567171"/>
    <n v="0"/>
    <n v="0"/>
    <n v="0"/>
    <n v="0"/>
    <n v="0"/>
    <n v="0"/>
    <n v="0"/>
    <n v="0"/>
    <n v="0"/>
    <n v="0"/>
    <n v="0"/>
    <n v="0"/>
    <n v="0"/>
    <n v="0"/>
    <n v="98.92356741932133"/>
    <n v="397.67274102567171"/>
    <n v="0"/>
    <n v="0"/>
    <n v="0"/>
    <n v="0"/>
    <n v="0"/>
    <n v="0"/>
    <n v="0"/>
    <n v="0"/>
    <n v="120"/>
    <n v="502.84292523713879"/>
    <n v="0"/>
    <n v="0"/>
    <n v="0"/>
    <n v="0"/>
    <n v="0"/>
    <n v="0"/>
    <n v="0"/>
    <n v="0"/>
    <n v="0"/>
    <n v="0"/>
    <n v="0"/>
    <n v="0"/>
    <n v="0"/>
    <n v="0"/>
    <n v="120"/>
    <n v="502.84292523713879"/>
    <n v="21.07643258067867"/>
    <n v="0.21305774883086265"/>
    <n v="105.17018421146707"/>
    <n v="0.26446415195623835"/>
  </r>
  <r>
    <x v="0"/>
    <s v="ESPAÑA"/>
    <s v="T.J AGRICULTURA S.L."/>
    <s v="Con potencial"/>
    <s v="PIV0020"/>
    <s v="PGR IV, 20 L"/>
    <n v="20"/>
    <n v="2.71"/>
    <n v="2.824843133069332"/>
    <n v="0"/>
    <n v="0"/>
    <n v="0"/>
    <n v="0"/>
    <n v="0"/>
    <n v="0"/>
    <n v="0"/>
    <n v="0"/>
    <n v="276.98598877409972"/>
    <n v="750.63202957781016"/>
    <n v="0"/>
    <n v="0"/>
    <n v="0"/>
    <n v="0"/>
    <n v="0"/>
    <n v="0"/>
    <n v="0"/>
    <n v="0"/>
    <n v="0"/>
    <n v="0"/>
    <n v="0"/>
    <n v="0"/>
    <n v="0"/>
    <n v="0"/>
    <n v="276.98598877409972"/>
    <n v="750.63202957781016"/>
    <n v="0"/>
    <n v="0"/>
    <n v="0"/>
    <n v="0"/>
    <n v="0"/>
    <n v="0"/>
    <n v="0"/>
    <n v="0"/>
    <n v="320"/>
    <n v="903.94980258218641"/>
    <n v="0"/>
    <n v="0"/>
    <n v="0"/>
    <n v="0"/>
    <n v="0"/>
    <n v="0"/>
    <n v="0"/>
    <n v="0"/>
    <n v="0"/>
    <n v="0"/>
    <n v="0"/>
    <n v="0"/>
    <n v="0"/>
    <n v="0"/>
    <n v="320"/>
    <n v="903.94980258218641"/>
    <n v="43.014011225900276"/>
    <n v="0.15529309412463108"/>
    <n v="153.31777300437625"/>
    <n v="0.20425157329165555"/>
  </r>
  <r>
    <x v="0"/>
    <s v="ESPAÑA"/>
    <s v="T.J AGRICULTURA S.L."/>
    <s v="Con potencial"/>
    <s v="S0020"/>
    <s v="SALWAX STAR, 20 L"/>
    <n v="20"/>
    <n v="2.2149006622516558"/>
    <n v="2.3085596692003549"/>
    <n v="0"/>
    <n v="0"/>
    <n v="0"/>
    <n v="0"/>
    <n v="0"/>
    <n v="0"/>
    <n v="1107.9439550963989"/>
    <n v="2492.8738989668968"/>
    <n v="494.61783709660659"/>
    <n v="1112.8901334673651"/>
    <n v="791.38853935457064"/>
    <n v="1646.088161857507"/>
    <n v="593.54140451592798"/>
    <n v="1365.145230386634"/>
    <n v="0"/>
    <n v="0"/>
    <n v="0"/>
    <n v="0"/>
    <n v="0"/>
    <n v="0"/>
    <n v="0"/>
    <n v="0"/>
    <n v="0"/>
    <n v="0"/>
    <n v="2987.4917360635036"/>
    <n v="6616.9974246784022"/>
    <n v="0"/>
    <n v="0"/>
    <n v="0"/>
    <n v="0"/>
    <n v="0"/>
    <n v="0"/>
    <n v="1260"/>
    <n v="2955.1403255540808"/>
    <n v="560"/>
    <n v="1313.395700246258"/>
    <n v="900"/>
    <n v="1951.330754651583"/>
    <n v="680"/>
    <n v="1629.2360948292869"/>
    <n v="0"/>
    <n v="0"/>
    <n v="0"/>
    <n v="0"/>
    <n v="0"/>
    <n v="0"/>
    <n v="0"/>
    <n v="0"/>
    <n v="0"/>
    <n v="0"/>
    <n v="3400"/>
    <n v="7849.1028752812081"/>
    <n v="412.50826393649641"/>
    <n v="0.13807846192740997"/>
    <n v="1232.1054506028058"/>
    <n v="0.18620310263498227"/>
  </r>
  <r>
    <x v="0"/>
    <s v="ESPAÑA"/>
    <s v="TRANSPORTES CAMPILLO, S.A."/>
    <s v="Baja aportación"/>
    <s v="A-50(2)0005"/>
    <s v="CODIORGAN A-50, 5 KG"/>
    <n v="5"/>
    <n v="4.8599999999999994"/>
    <n v="5.0659548438069946"/>
    <n v="0"/>
    <n v="0"/>
    <n v="24.730891854830329"/>
    <n v="120.1921344144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20.1921344144754"/>
    <n v="0"/>
    <n v="0"/>
    <n v="30"/>
    <n v="151.97864531420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1.97864531420981"/>
    <n v="5.2691081451696711"/>
    <n v="0.21305774883086281"/>
    <n v="31.786510899734409"/>
    <n v="0.26446415195623801"/>
  </r>
  <r>
    <x v="0"/>
    <s v="ESPAÑA"/>
    <s v="VILLALTA SATIVUM, S.L."/>
    <s v="Consolidado/estratégico"/>
    <s v="A-50(2)0005"/>
    <s v="CODIORGAN A-50, 5 KG"/>
    <n v="5"/>
    <n v="4.8499999999999996"/>
    <n v="5.0555310684082144"/>
    <n v="49.461783709660658"/>
    <n v="239.88965099185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461783709660658"/>
    <n v="239.88965099185421"/>
    <n v="60"/>
    <n v="303.33186410449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303.33186410449292"/>
    <n v="10.538216290339342"/>
    <n v="0.21305774883086281"/>
    <n v="63.442213112638711"/>
    <n v="0.26446415195623835"/>
  </r>
  <r>
    <x v="0"/>
    <s v="ESPAÑA"/>
    <s v="VILLALTA SATIVUM, S.L."/>
    <s v="Consolidado/estratégico"/>
    <s v="A-50(2)0005"/>
    <s v="CODIORGAN-A50, 5 KG"/>
    <n v="5"/>
    <n v="4.8599999999999994"/>
    <n v="5.0659548438069946"/>
    <n v="0"/>
    <n v="0"/>
    <n v="0"/>
    <n v="0"/>
    <n v="0"/>
    <n v="0"/>
    <n v="0"/>
    <n v="0"/>
    <n v="0"/>
    <n v="0"/>
    <n v="98.92356741932133"/>
    <n v="480.76853765790162"/>
    <n v="49.461783709660658"/>
    <n v="240.38426882895081"/>
    <n v="0"/>
    <n v="0"/>
    <n v="0"/>
    <n v="0"/>
    <n v="0"/>
    <n v="0"/>
    <n v="0"/>
    <n v="0"/>
    <n v="0"/>
    <n v="0"/>
    <n v="148.38535112898199"/>
    <n v="721.15280648685246"/>
    <n v="0"/>
    <n v="0"/>
    <n v="0"/>
    <n v="0"/>
    <n v="0"/>
    <n v="0"/>
    <n v="0"/>
    <n v="0"/>
    <n v="0"/>
    <n v="0"/>
    <n v="125"/>
    <n v="633.24435547587439"/>
    <n v="60"/>
    <n v="303.95729062841968"/>
    <n v="0"/>
    <n v="0"/>
    <n v="0"/>
    <n v="0"/>
    <n v="0"/>
    <n v="0"/>
    <n v="0"/>
    <n v="0"/>
    <n v="0"/>
    <n v="0"/>
    <n v="185"/>
    <n v="937.20164610429401"/>
    <n v="36.614648871018005"/>
    <n v="0.24675379740949771"/>
    <n v="216.04883961744156"/>
    <n v="0.29958815617724482"/>
  </r>
  <r>
    <x v="0"/>
    <s v="ESPAÑA"/>
    <s v="VILLALTA SATIVUM, S.L."/>
    <s v="Consolidado/estratégico"/>
    <s v="A-50(2)0020"/>
    <s v="CODIORGAN-A50, 20 KG"/>
    <n v="20"/>
    <n v="4.7399999999999993"/>
    <n v="4.9408695390216364"/>
    <n v="0"/>
    <n v="0"/>
    <n v="0"/>
    <n v="0"/>
    <n v="0"/>
    <n v="0"/>
    <n v="0"/>
    <n v="0"/>
    <n v="0"/>
    <n v="0"/>
    <n v="39.569426967728532"/>
    <n v="187.55908382703319"/>
    <n v="0"/>
    <n v="0"/>
    <n v="0"/>
    <n v="0"/>
    <n v="0"/>
    <n v="0"/>
    <n v="0"/>
    <n v="0"/>
    <n v="0"/>
    <n v="0"/>
    <n v="0"/>
    <n v="0"/>
    <n v="39.569426967728532"/>
    <n v="187.55908382703319"/>
    <n v="0"/>
    <n v="0"/>
    <n v="0"/>
    <n v="0"/>
    <n v="0"/>
    <n v="0"/>
    <n v="0"/>
    <n v="0"/>
    <n v="0"/>
    <n v="0"/>
    <n v="40"/>
    <n v="197.63478156086549"/>
    <n v="0"/>
    <n v="0"/>
    <n v="0"/>
    <n v="0"/>
    <n v="0"/>
    <n v="0"/>
    <n v="0"/>
    <n v="0"/>
    <n v="0"/>
    <n v="0"/>
    <n v="0"/>
    <n v="0"/>
    <n v="40"/>
    <n v="197.63478156086549"/>
    <n v="0.43057303227146804"/>
    <n v="1.0881457359052195E-2"/>
    <n v="10.0756977338323"/>
    <n v="5.3720126630198824E-2"/>
  </r>
  <r>
    <x v="0"/>
    <s v="ESPAÑA"/>
    <s v="VILLALTA SATIVUM, S.L."/>
    <s v="Consolidado/estratégico"/>
    <s v="AGFE0001"/>
    <s v="AGROXILATO-FE, 1 KG"/>
    <n v="1"/>
    <n v="10.95"/>
    <n v="11.41403406166391"/>
    <n v="0"/>
    <n v="0"/>
    <n v="0"/>
    <n v="0"/>
    <n v="0"/>
    <n v="0"/>
    <n v="47.483312361274237"/>
    <n v="519.94227035595293"/>
    <n v="0"/>
    <n v="0"/>
    <n v="0"/>
    <n v="0"/>
    <n v="0"/>
    <n v="0"/>
    <n v="0"/>
    <n v="0"/>
    <n v="0"/>
    <n v="0"/>
    <n v="0"/>
    <n v="0"/>
    <n v="0"/>
    <n v="0"/>
    <n v="0"/>
    <n v="0"/>
    <n v="47.483312361274237"/>
    <n v="519.94227035595293"/>
    <n v="0"/>
    <n v="0"/>
    <n v="0"/>
    <n v="0"/>
    <n v="0"/>
    <n v="0"/>
    <n v="52"/>
    <n v="593.52977120652338"/>
    <n v="0"/>
    <n v="0"/>
    <n v="0"/>
    <n v="0"/>
    <n v="0"/>
    <n v="0"/>
    <n v="0"/>
    <n v="0"/>
    <n v="0"/>
    <n v="0"/>
    <n v="0"/>
    <n v="0"/>
    <n v="0"/>
    <n v="0"/>
    <n v="0"/>
    <n v="0"/>
    <n v="52"/>
    <n v="593.52977120652338"/>
    <n v="4.5166876387257631"/>
    <n v="9.5121578805639914E-2"/>
    <n v="73.58750085057045"/>
    <n v="0.14153013718271526"/>
  </r>
  <r>
    <x v="0"/>
    <s v="ESPAÑA"/>
    <s v="VILLALTA SATIVUM, S.L."/>
    <s v="Consolidado/estratégico"/>
    <s v="AGFEL0001"/>
    <s v="AGROXILATO-FE-L, 1 L"/>
    <n v="1"/>
    <n v="5.87"/>
    <n v="6.1187561590837589"/>
    <n v="0"/>
    <n v="0"/>
    <n v="0"/>
    <n v="0"/>
    <n v="0"/>
    <n v="0"/>
    <n v="0"/>
    <n v="0"/>
    <n v="59.354140451592791"/>
    <n v="348.40880445084969"/>
    <n v="0"/>
    <n v="0"/>
    <n v="0"/>
    <n v="0"/>
    <n v="0"/>
    <n v="0"/>
    <n v="0"/>
    <n v="0"/>
    <n v="0"/>
    <n v="0"/>
    <n v="0"/>
    <n v="0"/>
    <n v="0"/>
    <n v="0"/>
    <n v="59.354140451592791"/>
    <n v="348.40880445084969"/>
    <n v="0"/>
    <n v="0"/>
    <n v="0"/>
    <n v="0"/>
    <n v="0"/>
    <n v="0"/>
    <n v="0"/>
    <n v="0"/>
    <n v="67"/>
    <n v="409.95666265861178"/>
    <n v="0"/>
    <n v="0"/>
    <n v="0"/>
    <n v="0"/>
    <n v="0"/>
    <n v="0"/>
    <n v="0"/>
    <n v="0"/>
    <n v="0"/>
    <n v="0"/>
    <n v="0"/>
    <n v="0"/>
    <n v="0"/>
    <n v="0"/>
    <n v="67"/>
    <n v="409.95666265861178"/>
    <n v="7.6458595484072092"/>
    <n v="0.12881762738427507"/>
    <n v="61.54785820776209"/>
    <n v="0.1766541414037219"/>
  </r>
  <r>
    <x v="0"/>
    <s v="ESPAÑA"/>
    <s v="VILLALTA SATIVUM, S.L."/>
    <s v="Consolidado/estratégico"/>
    <s v="AGFEL0005"/>
    <s v="AGROXILATO-FE-L, 5 L"/>
    <n v="5"/>
    <n v="4.6000000000000014"/>
    <n v="4.7949366834387206"/>
    <n v="0"/>
    <n v="0"/>
    <n v="0"/>
    <n v="0"/>
    <n v="0"/>
    <n v="0"/>
    <n v="59.354140451592791"/>
    <n v="273.02904607732683"/>
    <n v="113.7621025322195"/>
    <n v="523.3056716482098"/>
    <n v="19.78471348386427"/>
    <n v="91.009682025775618"/>
    <n v="0"/>
    <n v="0"/>
    <n v="0"/>
    <n v="0"/>
    <n v="0"/>
    <n v="0"/>
    <n v="0"/>
    <n v="0"/>
    <n v="0"/>
    <n v="0"/>
    <n v="0"/>
    <n v="0"/>
    <n v="192.90095646767656"/>
    <n v="887.34439975131227"/>
    <n v="0"/>
    <n v="0"/>
    <n v="0"/>
    <n v="0"/>
    <n v="0"/>
    <n v="0"/>
    <n v="65"/>
    <n v="311.67088442351678"/>
    <n v="130"/>
    <n v="623.34176884703379"/>
    <n v="20"/>
    <n v="95.898733668774398"/>
    <n v="0"/>
    <n v="0"/>
    <n v="0"/>
    <n v="0"/>
    <n v="0"/>
    <n v="0"/>
    <n v="0"/>
    <n v="0"/>
    <n v="0"/>
    <n v="0"/>
    <n v="0"/>
    <n v="0"/>
    <n v="215"/>
    <n v="1030.911386939325"/>
    <n v="22.099043532323435"/>
    <n v="0.11456160683177566"/>
    <n v="143.56698718801272"/>
    <n v="0.16179398577175771"/>
  </r>
  <r>
    <x v="0"/>
    <s v="ESPAÑA"/>
    <s v="VILLALTA SATIVUM, S.L."/>
    <s v="Consolidado/estratégico"/>
    <s v="AMIMG0005"/>
    <s v="AMINOSOIL-MG, 5L"/>
    <n v="5"/>
    <n v="2.73"/>
    <n v="2.8456906838668932"/>
    <n v="0"/>
    <n v="0"/>
    <n v="0"/>
    <n v="0"/>
    <n v="0"/>
    <n v="0"/>
    <n v="0"/>
    <n v="0"/>
    <n v="0"/>
    <n v="0"/>
    <n v="98.92356741932133"/>
    <n v="270.06133905474718"/>
    <n v="0"/>
    <n v="0"/>
    <n v="0"/>
    <n v="0"/>
    <n v="0"/>
    <n v="0"/>
    <n v="0"/>
    <n v="0"/>
    <n v="0"/>
    <n v="0"/>
    <n v="0"/>
    <n v="0"/>
    <n v="98.92356741932133"/>
    <n v="270.06133905474718"/>
    <n v="0"/>
    <n v="0"/>
    <n v="0"/>
    <n v="0"/>
    <n v="0"/>
    <n v="0"/>
    <n v="0"/>
    <n v="0"/>
    <n v="0"/>
    <n v="0"/>
    <n v="110"/>
    <n v="313.0259752253582"/>
    <n v="0"/>
    <n v="0"/>
    <n v="0"/>
    <n v="0"/>
    <n v="0"/>
    <n v="0"/>
    <n v="0"/>
    <n v="0"/>
    <n v="0"/>
    <n v="0"/>
    <n v="0"/>
    <n v="0"/>
    <n v="110"/>
    <n v="313.0259752253582"/>
    <n v="11.07643258067867"/>
    <n v="0.11196960309495742"/>
    <n v="42.964636170611016"/>
    <n v="0.15909213929321875"/>
  </r>
  <r>
    <x v="0"/>
    <s v="ESPAÑA"/>
    <s v="VILLALTA SATIVUM, S.L."/>
    <s v="Consolidado/estratégico"/>
    <s v="AN0020"/>
    <s v="ALCAPLANT NEW, 20 KG"/>
    <n v="20"/>
    <n v="1.6733333333333329"/>
    <n v="1.744679407370773"/>
    <n v="98.92356741932133"/>
    <n v="164.21312191607339"/>
    <n v="0"/>
    <n v="0"/>
    <n v="0"/>
    <n v="0"/>
    <n v="0"/>
    <n v="0"/>
    <n v="197.84713483864269"/>
    <n v="332.38318652891962"/>
    <n v="0"/>
    <n v="0"/>
    <n v="0"/>
    <n v="0"/>
    <n v="0"/>
    <n v="0"/>
    <n v="0"/>
    <n v="0"/>
    <n v="0"/>
    <n v="0"/>
    <n v="0"/>
    <n v="0"/>
    <n v="0"/>
    <n v="0"/>
    <n v="296.77070225796399"/>
    <n v="496.59630844499304"/>
    <n v="100"/>
    <n v="173.0346716197451"/>
    <n v="0"/>
    <n v="0"/>
    <n v="0"/>
    <n v="0"/>
    <n v="0"/>
    <n v="0"/>
    <n v="220"/>
    <n v="385.26273873890233"/>
    <n v="0"/>
    <n v="0"/>
    <n v="0"/>
    <n v="0"/>
    <n v="0"/>
    <n v="0"/>
    <n v="0"/>
    <n v="0"/>
    <n v="0"/>
    <n v="0"/>
    <n v="0"/>
    <n v="0"/>
    <n v="0"/>
    <n v="0"/>
    <n v="320"/>
    <n v="558.29741035864743"/>
    <n v="23.22929774203601"/>
    <n v="7.8273554516322341E-2"/>
    <n v="61.701101913654384"/>
    <n v="0.12424800761580548"/>
  </r>
  <r>
    <x v="0"/>
    <s v="ESPAÑA"/>
    <s v="VILLALTA SATIVUM, S.L."/>
    <s v="Consolidado/estratégico"/>
    <s v="AQUOM0005"/>
    <s v="AQUOM, 5 L"/>
    <n v="5"/>
    <n v="12.81"/>
    <n v="13.35285628583696"/>
    <n v="0"/>
    <n v="0"/>
    <n v="0"/>
    <n v="0"/>
    <n v="0"/>
    <n v="0"/>
    <n v="0"/>
    <n v="0"/>
    <n v="39.569426967728532"/>
    <n v="506.88435945660251"/>
    <n v="0"/>
    <n v="0"/>
    <n v="0"/>
    <n v="0"/>
    <n v="59.354140451592791"/>
    <n v="760.32653918490371"/>
    <n v="0"/>
    <n v="0"/>
    <n v="0"/>
    <n v="0"/>
    <n v="0"/>
    <n v="0"/>
    <n v="0"/>
    <n v="0"/>
    <n v="98.92356741932133"/>
    <n v="1267.2108986415062"/>
    <n v="0"/>
    <n v="0"/>
    <n v="0"/>
    <n v="0"/>
    <n v="0"/>
    <n v="0"/>
    <n v="0"/>
    <n v="0"/>
    <n v="50"/>
    <n v="667.6428142918478"/>
    <n v="0"/>
    <n v="0"/>
    <n v="0"/>
    <n v="0"/>
    <n v="70"/>
    <n v="934.69994000858719"/>
    <n v="0"/>
    <n v="0"/>
    <n v="0"/>
    <n v="0"/>
    <n v="0"/>
    <n v="0"/>
    <n v="0"/>
    <n v="0"/>
    <n v="120"/>
    <n v="1602.342754300435"/>
    <n v="21.07643258067867"/>
    <n v="0.21305774883086265"/>
    <n v="335.13185565892877"/>
    <n v="0.26446415195623846"/>
  </r>
  <r>
    <x v="0"/>
    <s v="ESPAÑA"/>
    <s v="VILLALTA SATIVUM, S.L."/>
    <s v="Consolidado/estratégico"/>
    <s v="AVAN0020"/>
    <s v="FLORAMEC AVANCE, 20 L"/>
    <n v="20"/>
    <n v="4.74"/>
    <n v="4.9408695390216373"/>
    <n v="0"/>
    <n v="0"/>
    <n v="0"/>
    <n v="0"/>
    <n v="415.47898316114959"/>
    <n v="1969.370380183849"/>
    <n v="0"/>
    <n v="0"/>
    <n v="1266.221662967313"/>
    <n v="6001.890682465063"/>
    <n v="1266.221662967313"/>
    <n v="6001.890682465063"/>
    <n v="0"/>
    <n v="0"/>
    <n v="276.98598877409972"/>
    <n v="1312.913586789233"/>
    <n v="0"/>
    <n v="0"/>
    <n v="0"/>
    <n v="0"/>
    <n v="0"/>
    <n v="0"/>
    <n v="0"/>
    <n v="0"/>
    <n v="3224.9082978698752"/>
    <n v="15286.065331903208"/>
    <n v="0"/>
    <n v="0"/>
    <n v="0"/>
    <n v="0"/>
    <n v="460"/>
    <n v="2272.799987949953"/>
    <n v="0"/>
    <n v="0"/>
    <n v="1400"/>
    <n v="6917.2173546302911"/>
    <n v="1400"/>
    <n v="6917.2173546302911"/>
    <n v="0"/>
    <n v="0"/>
    <n v="300"/>
    <n v="1482.2608617064909"/>
    <n v="0"/>
    <n v="0"/>
    <n v="0"/>
    <n v="0"/>
    <n v="0"/>
    <n v="0"/>
    <n v="0"/>
    <n v="0"/>
    <n v="3560"/>
    <n v="17589.495558917028"/>
    <n v="335.09170213012476"/>
    <n v="0.10390735834301409"/>
    <n v="2303.4302270138196"/>
    <n v="0.15068823644279353"/>
  </r>
  <r>
    <x v="0"/>
    <s v="ESPAÑA"/>
    <s v="VILLALTA SATIVUM, S.L."/>
    <s v="Consolidado/estratégico"/>
    <s v="BIO0020"/>
    <s v="BIORAD-20, 20 L"/>
    <n v="20"/>
    <n v="2.37"/>
    <n v="2.4704347695108191"/>
    <n v="0"/>
    <n v="0"/>
    <n v="0"/>
    <n v="0"/>
    <n v="0"/>
    <n v="0"/>
    <n v="633.11083148365651"/>
    <n v="1500.472670616266"/>
    <n v="0"/>
    <n v="0"/>
    <n v="633.11083148365651"/>
    <n v="1500.472670616266"/>
    <n v="0"/>
    <n v="0"/>
    <n v="118.7082809031856"/>
    <n v="281.33862574054979"/>
    <n v="0"/>
    <n v="0"/>
    <n v="284.39884178951678"/>
    <n v="674.02525504115476"/>
    <n v="0"/>
    <n v="0"/>
    <n v="0"/>
    <n v="0"/>
    <n v="1669.3287856600155"/>
    <n v="3956.3092220142366"/>
    <n v="0"/>
    <n v="0"/>
    <n v="0"/>
    <n v="0"/>
    <n v="0"/>
    <n v="0"/>
    <n v="800"/>
    <n v="1976.3478156086551"/>
    <n v="0"/>
    <n v="0"/>
    <n v="800"/>
    <n v="1976.3478156086551"/>
    <n v="0"/>
    <n v="0"/>
    <n v="140"/>
    <n v="345.86086773151459"/>
    <n v="0"/>
    <n v="0"/>
    <n v="360"/>
    <n v="889.35651702389475"/>
    <n v="0"/>
    <n v="0"/>
    <n v="0"/>
    <n v="0"/>
    <n v="2100"/>
    <n v="5187.9130159727192"/>
    <n v="430.67121433998454"/>
    <n v="0.25799064752226553"/>
    <n v="1231.6037939584826"/>
    <n v="0.3113011963537694"/>
  </r>
  <r>
    <x v="0"/>
    <s v="ESPAÑA"/>
    <s v="VILLALTA SATIVUM, S.L."/>
    <s v="Consolidado/estratégico"/>
    <s v="BIO1000"/>
    <s v="BIORAD-20, 1000 L"/>
    <n v="1000"/>
    <n v="2.1"/>
    <n v="2.1889928337437641"/>
    <n v="0"/>
    <n v="0"/>
    <n v="0"/>
    <n v="0"/>
    <n v="0"/>
    <n v="0"/>
    <n v="0"/>
    <n v="0"/>
    <n v="0"/>
    <n v="0"/>
    <n v="989.23567419321319"/>
    <n v="2077.394915805748"/>
    <n v="0"/>
    <n v="0"/>
    <n v="0"/>
    <n v="0"/>
    <n v="0"/>
    <n v="0"/>
    <n v="0"/>
    <n v="0"/>
    <n v="0"/>
    <n v="0"/>
    <n v="0"/>
    <n v="0"/>
    <n v="989.23567419321319"/>
    <n v="2077.394915805748"/>
    <n v="0"/>
    <n v="0"/>
    <n v="0"/>
    <n v="0"/>
    <n v="0"/>
    <n v="0"/>
    <n v="0"/>
    <n v="0"/>
    <n v="0"/>
    <n v="0"/>
    <n v="1000"/>
    <n v="2188.9928337437641"/>
    <n v="0"/>
    <n v="0"/>
    <n v="0"/>
    <n v="0"/>
    <n v="0"/>
    <n v="0"/>
    <n v="0"/>
    <n v="0"/>
    <n v="0"/>
    <n v="0"/>
    <n v="0"/>
    <n v="0"/>
    <n v="1000"/>
    <n v="2188.9928337437641"/>
    <n v="10.764325806786815"/>
    <n v="1.0881457359052311E-2"/>
    <n v="111.59791793801605"/>
    <n v="5.3720126630198844E-2"/>
  </r>
  <r>
    <x v="0"/>
    <s v="ESPAÑA"/>
    <s v="VILLALTA SATIVUM, S.L."/>
    <s v="Consolidado/estratégico"/>
    <s v="BROTA0005"/>
    <s v="BROTAMEC, 5 L"/>
    <n v="5"/>
    <n v="3.21"/>
    <n v="3.3460319030083241"/>
    <n v="0"/>
    <n v="0"/>
    <n v="0"/>
    <n v="0"/>
    <n v="0"/>
    <n v="0"/>
    <n v="0"/>
    <n v="0"/>
    <n v="316.55541574182831"/>
    <n v="1016.142884531269"/>
    <n v="0"/>
    <n v="0"/>
    <n v="0"/>
    <n v="0"/>
    <n v="0"/>
    <n v="0"/>
    <n v="0"/>
    <n v="0"/>
    <n v="0"/>
    <n v="0"/>
    <n v="0"/>
    <n v="0"/>
    <n v="0"/>
    <n v="0"/>
    <n v="316.55541574182831"/>
    <n v="1016.142884531269"/>
    <n v="0"/>
    <n v="0"/>
    <n v="0"/>
    <n v="0"/>
    <n v="0"/>
    <n v="0"/>
    <n v="0"/>
    <n v="0"/>
    <n v="345"/>
    <n v="1154.3810065378721"/>
    <n v="0"/>
    <n v="0"/>
    <n v="0"/>
    <n v="0"/>
    <n v="0"/>
    <n v="0"/>
    <n v="0"/>
    <n v="0"/>
    <n v="0"/>
    <n v="0"/>
    <n v="0"/>
    <n v="0"/>
    <n v="0"/>
    <n v="0"/>
    <n v="345"/>
    <n v="1154.3810065378721"/>
    <n v="28.444584258171687"/>
    <n v="8.9856571215227957E-2"/>
    <n v="138.23812200660302"/>
    <n v="0.13604201152318271"/>
  </r>
  <r>
    <x v="0"/>
    <s v="ESPAÑA"/>
    <s v="VILLALTA SATIVUM, S.L."/>
    <s v="Consolidado/estratégico"/>
    <s v="BROTA0020"/>
    <s v="BROTAMEC, 20 L"/>
    <n v="20"/>
    <n v="2.919999999999999"/>
    <n v="3.0437424164437088"/>
    <n v="0"/>
    <n v="0"/>
    <n v="0"/>
    <n v="0"/>
    <n v="0"/>
    <n v="0"/>
    <n v="0"/>
    <n v="0"/>
    <n v="0"/>
    <n v="0"/>
    <n v="633.11083148365651"/>
    <n v="1848.683627932277"/>
    <n v="0"/>
    <n v="0"/>
    <n v="316.55541574182831"/>
    <n v="924.34181396613837"/>
    <n v="0"/>
    <n v="0"/>
    <n v="606.7175291509692"/>
    <n v="1771.6151851208299"/>
    <n v="0"/>
    <n v="0"/>
    <n v="0"/>
    <n v="0"/>
    <n v="1556.3837763764541"/>
    <n v="4544.6406270192456"/>
    <n v="0"/>
    <n v="0"/>
    <n v="0"/>
    <n v="0"/>
    <n v="0"/>
    <n v="0"/>
    <n v="0"/>
    <n v="0"/>
    <n v="0"/>
    <n v="0"/>
    <n v="680"/>
    <n v="2069.744843181722"/>
    <n v="0"/>
    <n v="0"/>
    <n v="340"/>
    <n v="1034.872421590861"/>
    <n v="0"/>
    <n v="0"/>
    <n v="660"/>
    <n v="2008.8699948528481"/>
    <n v="0"/>
    <n v="0"/>
    <n v="0"/>
    <n v="0"/>
    <n v="1680"/>
    <n v="5113.4872596254309"/>
    <n v="123.61622362354592"/>
    <n v="7.9425284110418506E-2"/>
    <n v="568.84663260618527"/>
    <n v="0.12516867213311042"/>
  </r>
  <r>
    <x v="0"/>
    <s v="ESPAÑA"/>
    <s v="VILLALTA SATIVUM, S.L."/>
    <s v="Consolidado/estratégico"/>
    <s v="C-CU0020"/>
    <s v="CODICOBRE, 20 L"/>
    <n v="20"/>
    <n v="3.629999999999999"/>
    <n v="3.7838304697570759"/>
    <n v="316.55541574182831"/>
    <n v="1149.0961591428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49.0961591428361"/>
    <n v="340"/>
    <n v="1286.5023597174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286.5023597174061"/>
    <n v="23.444584258171687"/>
    <n v="7.4061548443992764E-2"/>
    <n v="137.40620057456999"/>
    <n v="0.11957763454458643"/>
  </r>
  <r>
    <x v="0"/>
    <s v="ESPAÑA"/>
    <s v="VILLALTA SATIVUM, S.L."/>
    <s v="Consolidado/estratégico"/>
    <s v="C-L0001"/>
    <s v="CODIBOR-L, 1 L"/>
    <n v="1"/>
    <n v="5.6700000000000008"/>
    <n v="5.9102806511081623"/>
    <n v="0"/>
    <n v="0"/>
    <n v="0"/>
    <n v="0"/>
    <n v="0"/>
    <n v="0"/>
    <n v="0"/>
    <n v="0"/>
    <n v="11.870828090318559"/>
    <n v="67.307595272106241"/>
    <n v="0"/>
    <n v="0"/>
    <n v="0"/>
    <n v="0"/>
    <n v="0"/>
    <n v="0"/>
    <n v="0"/>
    <n v="0"/>
    <n v="0"/>
    <n v="0"/>
    <n v="0"/>
    <n v="0"/>
    <n v="0"/>
    <n v="0"/>
    <n v="11.870828090318559"/>
    <n v="67.307595272106241"/>
    <n v="0"/>
    <n v="0"/>
    <n v="0"/>
    <n v="0"/>
    <n v="0"/>
    <n v="0"/>
    <n v="0"/>
    <n v="0"/>
    <n v="13"/>
    <n v="76.83364846440611"/>
    <n v="0"/>
    <n v="0"/>
    <n v="0"/>
    <n v="0"/>
    <n v="0"/>
    <n v="0"/>
    <n v="0"/>
    <n v="0"/>
    <n v="0"/>
    <n v="0"/>
    <n v="0"/>
    <n v="0"/>
    <n v="0"/>
    <n v="0"/>
    <n v="13"/>
    <n v="76.83364846440611"/>
    <n v="1.1291719096814408"/>
    <n v="9.5121578805639914E-2"/>
    <n v="9.5260531922998695"/>
    <n v="0.1415301371827152"/>
  </r>
  <r>
    <x v="0"/>
    <s v="ESPAÑA"/>
    <s v="VILLALTA SATIVUM, S.L."/>
    <s v="Consolidado/estratégico"/>
    <s v="C-L0005"/>
    <s v="CODIBOR-L, 5 L"/>
    <n v="5"/>
    <n v="4.4599999999999991"/>
    <n v="4.6490038278558021"/>
    <n v="0"/>
    <n v="0"/>
    <n v="0"/>
    <n v="0"/>
    <n v="0"/>
    <n v="0"/>
    <n v="0"/>
    <n v="0"/>
    <n v="98.92356741932133"/>
    <n v="441.19911069017309"/>
    <n v="0"/>
    <n v="0"/>
    <n v="0"/>
    <n v="0"/>
    <n v="59.354140451592791"/>
    <n v="264.71946641410392"/>
    <n v="0"/>
    <n v="0"/>
    <n v="0"/>
    <n v="0"/>
    <n v="0"/>
    <n v="0"/>
    <n v="0"/>
    <n v="0"/>
    <n v="158.27770787091413"/>
    <n v="705.91857710427701"/>
    <n v="0"/>
    <n v="0"/>
    <n v="0"/>
    <n v="0"/>
    <n v="0"/>
    <n v="0"/>
    <n v="0"/>
    <n v="0"/>
    <n v="105"/>
    <n v="488.14540192485919"/>
    <n v="0"/>
    <n v="0"/>
    <n v="0"/>
    <n v="0"/>
    <n v="65"/>
    <n v="302.18524881062717"/>
    <n v="0"/>
    <n v="0"/>
    <n v="0"/>
    <n v="0"/>
    <n v="0"/>
    <n v="0"/>
    <n v="0"/>
    <n v="0"/>
    <n v="170"/>
    <n v="790.33065073548642"/>
    <n v="11.722292129085872"/>
    <n v="7.4061548443992958E-2"/>
    <n v="84.41207363120941"/>
    <n v="0.11957763454458603"/>
  </r>
  <r>
    <x v="0"/>
    <s v="ESPAÑA"/>
    <s v="VILLALTA SATIVUM, S.L."/>
    <s v="Consolidado/estratégico"/>
    <s v="CPLUS0020"/>
    <s v="CALCIPLUS, 20 L"/>
    <n v="20"/>
    <n v="2.36"/>
    <n v="2.4600109941120389"/>
    <n v="0"/>
    <n v="0"/>
    <n v="0"/>
    <n v="0"/>
    <n v="0"/>
    <n v="0"/>
    <n v="0"/>
    <n v="0"/>
    <n v="0"/>
    <n v="0"/>
    <n v="0"/>
    <n v="0"/>
    <n v="0"/>
    <n v="0"/>
    <n v="197.84713483864269"/>
    <n v="466.91923821919659"/>
    <n v="0"/>
    <n v="0"/>
    <n v="0"/>
    <n v="0"/>
    <n v="0"/>
    <n v="0"/>
    <n v="0"/>
    <n v="0"/>
    <n v="197.84713483864269"/>
    <n v="466.91923821919659"/>
    <n v="0"/>
    <n v="0"/>
    <n v="0"/>
    <n v="0"/>
    <n v="0"/>
    <n v="0"/>
    <n v="0"/>
    <n v="0"/>
    <n v="0"/>
    <n v="0"/>
    <n v="0"/>
    <n v="0"/>
    <n v="0"/>
    <n v="0"/>
    <n v="220"/>
    <n v="541.20241870464861"/>
    <n v="0"/>
    <n v="0"/>
    <n v="0"/>
    <n v="0"/>
    <n v="0"/>
    <n v="0"/>
    <n v="0"/>
    <n v="0"/>
    <n v="220"/>
    <n v="541.20241870464861"/>
    <n v="22.152865161357312"/>
    <n v="0.11196960309495725"/>
    <n v="74.283180485452021"/>
    <n v="0.15909213929321878"/>
  </r>
  <r>
    <x v="0"/>
    <s v="ESPAÑA"/>
    <s v="VILLALTA SATIVUM, S.L."/>
    <s v="Consolidado/estratégico"/>
    <s v="CSIL0020"/>
    <s v="FITOKONTROL-K, 20 L"/>
    <n v="20"/>
    <n v="0"/>
    <n v="0"/>
    <n v="0"/>
    <n v="0"/>
    <n v="0"/>
    <n v="0"/>
    <n v="0"/>
    <n v="0"/>
    <n v="0"/>
    <n v="0"/>
    <n v="0"/>
    <n v="0"/>
    <n v="2018.0407753541549"/>
    <n v="0"/>
    <n v="0"/>
    <n v="0"/>
    <n v="0"/>
    <n v="0"/>
    <n v="0"/>
    <n v="0"/>
    <n v="0"/>
    <n v="0"/>
    <n v="0"/>
    <n v="0"/>
    <n v="0"/>
    <n v="0"/>
    <n v="2018.0407753541549"/>
    <n v="0"/>
    <n v="0"/>
    <n v="0"/>
    <n v="0"/>
    <n v="0"/>
    <n v="0"/>
    <n v="0"/>
    <n v="0"/>
    <n v="0"/>
    <n v="0"/>
    <n v="0"/>
    <n v="2160"/>
    <n v="0"/>
    <n v="0"/>
    <n v="0"/>
    <n v="0"/>
    <n v="0"/>
    <n v="0"/>
    <n v="0"/>
    <n v="0"/>
    <n v="0"/>
    <n v="0"/>
    <n v="0"/>
    <n v="0"/>
    <n v="0"/>
    <n v="2160"/>
    <n v="0"/>
    <n v="141.9592246458451"/>
    <n v="7.0345072497820099E-2"/>
    <n v="0"/>
    <n v="0"/>
  </r>
  <r>
    <x v="0"/>
    <s v="ESPAÑA"/>
    <s v="VILLALTA SATIVUM, S.L."/>
    <s v="Consolidado/estratégico"/>
    <s v="FLOR0020"/>
    <s v="FLORAMEC, 20 L"/>
    <n v="20"/>
    <n v="2.63"/>
    <n v="2.7414529298790939"/>
    <n v="0"/>
    <n v="0"/>
    <n v="0"/>
    <n v="0"/>
    <n v="0"/>
    <n v="0"/>
    <n v="0"/>
    <n v="0"/>
    <n v="0"/>
    <n v="0"/>
    <n v="0"/>
    <n v="0"/>
    <n v="0"/>
    <n v="0"/>
    <n v="98.92356741932133"/>
    <n v="260.1689823128151"/>
    <n v="0"/>
    <n v="0"/>
    <n v="0"/>
    <n v="0"/>
    <n v="0"/>
    <n v="0"/>
    <n v="0"/>
    <n v="0"/>
    <n v="98.92356741932133"/>
    <n v="260.1689823128151"/>
    <n v="0"/>
    <n v="0"/>
    <n v="0"/>
    <n v="0"/>
    <n v="0"/>
    <n v="0"/>
    <n v="0"/>
    <n v="0"/>
    <n v="0"/>
    <n v="0"/>
    <n v="0"/>
    <n v="0"/>
    <n v="0"/>
    <n v="0"/>
    <n v="100"/>
    <n v="274.14529298790939"/>
    <n v="0"/>
    <n v="0"/>
    <n v="0"/>
    <n v="0"/>
    <n v="0"/>
    <n v="0"/>
    <n v="0"/>
    <n v="0"/>
    <n v="100"/>
    <n v="274.14529298790939"/>
    <n v="1.0764325806786701"/>
    <n v="1.0881457359052195E-2"/>
    <n v="13.976310675094282"/>
    <n v="5.3720126630198428E-2"/>
  </r>
  <r>
    <x v="0"/>
    <s v="ESPAÑA"/>
    <s v="VILLALTA SATIVUM, S.L."/>
    <s v="Consolidado/estratégico"/>
    <s v="FTK0005"/>
    <s v="FITOKONTROL CA FLOW, 5 KG"/>
    <n v="5"/>
    <n v="2.69"/>
    <n v="2.803995582271773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125"/>
    <n v="350.49944778397162"/>
    <n v="0"/>
    <n v="0"/>
    <n v="0"/>
    <n v="0"/>
    <n v="0"/>
    <n v="0"/>
    <n v="0"/>
    <n v="0"/>
    <n v="0"/>
    <n v="0"/>
    <n v="0"/>
    <n v="0"/>
    <n v="125"/>
    <n v="350.49944778397162"/>
    <n v="26.07643258067867"/>
    <n v="0.26360182169881524"/>
    <n v="84.395051425997337"/>
    <n v="0.31715015828774862"/>
  </r>
  <r>
    <x v="0"/>
    <s v="ESPAÑA"/>
    <s v="VILLALTA SATIVUM, S.L."/>
    <s v="Consolidado/estratégico"/>
    <s v="PT0001"/>
    <s v="AGROPOTASION, 1 L"/>
    <n v="1"/>
    <n v="4.5999999999999996"/>
    <n v="4.7949366834387197"/>
    <n v="11.870828090318559"/>
    <n v="54.605809215465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54.605809215465371"/>
    <n v="13"/>
    <n v="62.334176884703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2.334176884703361"/>
    <n v="1.1291719096814408"/>
    <n v="9.5121578805639914E-2"/>
    <n v="7.7283676692379899"/>
    <n v="0.14153013718271523"/>
  </r>
  <r>
    <x v="0"/>
    <s v="ESPAÑA"/>
    <s v="VILLALTA SATIVUM, S.L."/>
    <s v="Consolidado/estratégico"/>
    <s v="PT0005"/>
    <s v="AGROPOTASION, 5 L"/>
    <n v="5"/>
    <n v="3.52"/>
    <n v="3.6691689403704988"/>
    <n v="0"/>
    <n v="0"/>
    <n v="0"/>
    <n v="0"/>
    <n v="0"/>
    <n v="0"/>
    <n v="0"/>
    <n v="0"/>
    <n v="98.92356741932133"/>
    <n v="348.21095731601099"/>
    <n v="0"/>
    <n v="0"/>
    <n v="39.569426967728532"/>
    <n v="139.28438292640439"/>
    <n v="0"/>
    <n v="0"/>
    <n v="0"/>
    <n v="0"/>
    <n v="0"/>
    <n v="0"/>
    <n v="0"/>
    <n v="0"/>
    <n v="0"/>
    <n v="0"/>
    <n v="138.49299438704986"/>
    <n v="487.49534024241541"/>
    <n v="0"/>
    <n v="0"/>
    <n v="0"/>
    <n v="0"/>
    <n v="0"/>
    <n v="0"/>
    <n v="0"/>
    <n v="0"/>
    <n v="110"/>
    <n v="403.6085834407549"/>
    <n v="0"/>
    <n v="0"/>
    <n v="45"/>
    <n v="165.11260231667251"/>
    <n v="0"/>
    <n v="0"/>
    <n v="0"/>
    <n v="0"/>
    <n v="0"/>
    <n v="0"/>
    <n v="0"/>
    <n v="0"/>
    <n v="0"/>
    <n v="0"/>
    <n v="155"/>
    <n v="568.72118575742741"/>
    <n v="16.507005612950138"/>
    <n v="0.11919018493323635"/>
    <n v="81.225845515011997"/>
    <n v="0.16661871162629177"/>
  </r>
  <r>
    <x v="0"/>
    <s v="ESPAÑA"/>
    <s v="VILLALTA SATIVUM, S.L."/>
    <s v="Consolidado/estratégico"/>
    <s v="PT0020"/>
    <s v="AGROPOTASION, 20 L"/>
    <n v="20"/>
    <n v="3.25"/>
    <n v="3.3877270046034429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100"/>
    <n v="338.77270046034431"/>
    <n v="0"/>
    <n v="0"/>
    <n v="0"/>
    <n v="0"/>
    <n v="0"/>
    <n v="0"/>
    <n v="0"/>
    <n v="0"/>
    <n v="0"/>
    <n v="0"/>
    <n v="0"/>
    <n v="0"/>
    <n v="0"/>
    <n v="0"/>
    <n v="100"/>
    <n v="338.77270046034431"/>
    <n v="1.0764325806786701"/>
    <n v="1.0881457359052195E-2"/>
    <n v="17.271106347550017"/>
    <n v="5.3720126630198581E-2"/>
  </r>
  <r>
    <x v="0"/>
    <s v="ESPAÑA"/>
    <s v="VILLALTA SATIVUM, S.L."/>
    <s v="Consolidado/estratégico"/>
    <s v="S0020"/>
    <s v="SAL-WAX STAR, 20 L"/>
    <n v="20"/>
    <n v="2.0466666666666669"/>
    <n v="2.133399364950272"/>
    <n v="316.55541574182831"/>
    <n v="626.77972316881994"/>
    <n v="0"/>
    <n v="0"/>
    <n v="633.11083148365651"/>
    <n v="1316.870529486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77"/>
    <n v="1943.6502526548261"/>
    <n v="340"/>
    <n v="701.72855984585794"/>
    <n v="0"/>
    <n v="0"/>
    <n v="680"/>
    <n v="1474.3387924034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"/>
    <n v="2176.0673522492771"/>
    <n v="70.333752774515233"/>
    <n v="7.4061548443992958E-2"/>
    <n v="232.41709959445097"/>
    <n v="0.11957763454458596"/>
  </r>
  <r>
    <x v="0"/>
    <s v="ESPAÑA"/>
    <s v="VILLALTA SATIVUM, S.L."/>
    <s v="Consolidado/estratégico"/>
    <s v="S0020"/>
    <s v="SALWAX STAR, 20 L"/>
    <n v="20"/>
    <n v="2.08"/>
    <n v="2.1681452829462038"/>
    <n v="0"/>
    <n v="0"/>
    <n v="0"/>
    <n v="0"/>
    <n v="0"/>
    <n v="0"/>
    <n v="1266.221662967313"/>
    <n v="2633.7410589720112"/>
    <n v="1622.34650567687"/>
    <n v="3374.4807318078888"/>
    <n v="0"/>
    <n v="0"/>
    <n v="1266.221662967313"/>
    <n v="2633.7410589720112"/>
    <n v="633.11083148365651"/>
    <n v="1316.870529486006"/>
    <n v="0"/>
    <n v="0"/>
    <n v="0"/>
    <n v="0"/>
    <n v="0"/>
    <n v="0"/>
    <n v="0"/>
    <n v="0"/>
    <n v="4787.9006630951526"/>
    <n v="9958.8333792379181"/>
    <n v="0"/>
    <n v="0"/>
    <n v="0"/>
    <n v="0"/>
    <n v="0"/>
    <n v="0"/>
    <n v="1380"/>
    <n v="2992.0404904657612"/>
    <n v="1760"/>
    <n v="3815.9356979853178"/>
    <n v="0"/>
    <n v="0"/>
    <n v="1360"/>
    <n v="2948.6775848068378"/>
    <n v="680"/>
    <n v="1474.3387924034189"/>
    <n v="0"/>
    <n v="0"/>
    <n v="0"/>
    <n v="0"/>
    <n v="0"/>
    <n v="0"/>
    <n v="0"/>
    <n v="0"/>
    <n v="5180"/>
    <n v="11230.992565661336"/>
    <n v="392.09933690484741"/>
    <n v="8.1893791140473168E-2"/>
    <n v="1272.1591864234179"/>
    <n v="0.1277417884182703"/>
  </r>
  <r>
    <x v="0"/>
    <s v="ESPAÑA"/>
    <s v="VILLALTA SATIVUM, S.L."/>
    <s v="Consolidado/estratégico"/>
    <s v="S1000"/>
    <s v="SALWAX STAR, 1000 L"/>
    <n v="1000"/>
    <n v="1.8"/>
    <n v="1.8762795717803691"/>
    <n v="0"/>
    <n v="0"/>
    <n v="0"/>
    <n v="0"/>
    <n v="0"/>
    <n v="0"/>
    <n v="1978.4713483864259"/>
    <n v="3561.248427095567"/>
    <n v="1978.4713483864259"/>
    <n v="3561.248427095567"/>
    <n v="2967.7070225796401"/>
    <n v="5341.8726406433516"/>
    <n v="1978.4713483864259"/>
    <n v="3561.248427095567"/>
    <n v="0"/>
    <n v="0"/>
    <n v="0"/>
    <n v="0"/>
    <n v="0"/>
    <n v="0"/>
    <n v="0"/>
    <n v="0"/>
    <n v="0"/>
    <n v="0"/>
    <n v="8903.1210677389172"/>
    <n v="16025.617921930052"/>
    <n v="0"/>
    <n v="0"/>
    <n v="0"/>
    <n v="0"/>
    <n v="0"/>
    <n v="0"/>
    <n v="2000"/>
    <n v="3752.559143560738"/>
    <n v="2000"/>
    <n v="3752.559143560738"/>
    <n v="3000"/>
    <n v="5628.8387153411068"/>
    <n v="2000"/>
    <n v="3752.559143560738"/>
    <n v="0"/>
    <n v="0"/>
    <n v="0"/>
    <n v="0"/>
    <n v="0"/>
    <n v="0"/>
    <n v="0"/>
    <n v="0"/>
    <n v="0"/>
    <n v="0"/>
    <n v="9000"/>
    <n v="16886.516146023321"/>
    <n v="96.878932261082809"/>
    <n v="1.0881457359052479E-2"/>
    <n v="860.89822409326916"/>
    <n v="5.3720126630199011E-2"/>
  </r>
  <r>
    <x v="0"/>
    <s v="ESPAÑA"/>
    <s v="VILLALTA SATIVUM, S.L."/>
    <s v="Consolidado/estratégico"/>
    <s v="TRI0005"/>
    <s v="TRIFENO-94, 5L"/>
    <n v="5"/>
    <n v="9.7999999999999989"/>
    <n v="10.21529989080423"/>
    <n v="0"/>
    <n v="0"/>
    <n v="0"/>
    <n v="0"/>
    <n v="0"/>
    <n v="0"/>
    <n v="0"/>
    <n v="0"/>
    <n v="0"/>
    <n v="0"/>
    <n v="19.78471348386427"/>
    <n v="193.89019214186979"/>
    <n v="0"/>
    <n v="0"/>
    <n v="0"/>
    <n v="0"/>
    <n v="0"/>
    <n v="0"/>
    <n v="0"/>
    <n v="0"/>
    <n v="0"/>
    <n v="0"/>
    <n v="0"/>
    <n v="0"/>
    <n v="19.78471348386427"/>
    <n v="193.89019214186979"/>
    <n v="0"/>
    <n v="0"/>
    <n v="0"/>
    <n v="0"/>
    <n v="0"/>
    <n v="0"/>
    <n v="0"/>
    <n v="0"/>
    <n v="0"/>
    <n v="0"/>
    <n v="25"/>
    <n v="255.38249727010569"/>
    <n v="0"/>
    <n v="0"/>
    <n v="0"/>
    <n v="0"/>
    <n v="0"/>
    <n v="0"/>
    <n v="0"/>
    <n v="0"/>
    <n v="0"/>
    <n v="0"/>
    <n v="0"/>
    <n v="0"/>
    <n v="25"/>
    <n v="255.38249727010569"/>
    <n v="5.2152865161357305"/>
    <n v="0.26360182169881502"/>
    <n v="61.492305128235898"/>
    <n v="0.31715015828774812"/>
  </r>
  <r>
    <x v="0"/>
    <s v="ESPAÑA"/>
    <s v="VILLALTA SATIVUM, S.L."/>
    <s v="Consolidado/estratégico"/>
    <s v="WHITE0020"/>
    <s v="AGROWHITE, 20 KG"/>
    <n v="20"/>
    <n v="1.79"/>
    <n v="1.8658557963815889"/>
    <n v="0"/>
    <n v="0"/>
    <n v="0"/>
    <n v="0"/>
    <n v="0"/>
    <n v="0"/>
    <n v="0"/>
    <n v="0"/>
    <n v="0"/>
    <n v="0"/>
    <n v="0"/>
    <n v="0"/>
    <n v="7617.1146912877412"/>
    <n v="13634.635297405061"/>
    <n v="4055.8662641921742"/>
    <n v="7260.0006129039921"/>
    <n v="0"/>
    <n v="0"/>
    <n v="0"/>
    <n v="0"/>
    <n v="0"/>
    <n v="0"/>
    <n v="0"/>
    <n v="0"/>
    <n v="11672.980955479916"/>
    <n v="20894.635910309051"/>
    <n v="0"/>
    <n v="0"/>
    <n v="0"/>
    <n v="0"/>
    <n v="0"/>
    <n v="0"/>
    <n v="0"/>
    <n v="0"/>
    <n v="0"/>
    <n v="0"/>
    <n v="0"/>
    <n v="0"/>
    <n v="8260"/>
    <n v="15411.96887811192"/>
    <n v="4400"/>
    <n v="8209.7655040789905"/>
    <n v="0"/>
    <n v="0"/>
    <n v="0"/>
    <n v="0"/>
    <n v="0"/>
    <n v="0"/>
    <n v="0"/>
    <n v="0"/>
    <n v="12660"/>
    <n v="23621.734382190909"/>
    <n v="987.01904452008421"/>
    <n v="8.4555868658101871E-2"/>
    <n v="2727.0984718818581"/>
    <n v="0.13051667823206026"/>
  </r>
  <r>
    <x v="1"/>
    <s v="ARABIA SAUDÍ"/>
    <s v="DOTRA GULF TRADING COMPANY"/>
    <s v="En desarrollo/nuevo"/>
    <s v="AQUOMAR0005SA"/>
    <s v="AQUOM ARABIA, 5 L"/>
    <n v="5"/>
    <n v="9.879999999999999"/>
    <n v="10.29869009399447"/>
    <n v="0"/>
    <n v="0"/>
    <n v="0"/>
    <n v="0"/>
    <n v="0"/>
    <n v="0"/>
    <n v="395.69426967728532"/>
    <n v="3909.4593844115789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3909.4593844115789"/>
    <n v="0"/>
    <n v="0"/>
    <n v="0"/>
    <n v="0"/>
    <n v="0"/>
    <n v="0"/>
    <n v="545"/>
    <n v="5612.786101226985"/>
    <n v="0"/>
    <n v="0"/>
    <n v="0"/>
    <n v="0"/>
    <n v="0"/>
    <n v="0"/>
    <n v="0"/>
    <n v="0"/>
    <n v="0"/>
    <n v="0"/>
    <n v="0"/>
    <n v="0"/>
    <n v="0"/>
    <n v="0"/>
    <n v="0"/>
    <n v="0"/>
    <n v="545"/>
    <n v="5612.786101226985"/>
    <n v="149.30573032271468"/>
    <n v="0.37732598565170861"/>
    <n v="1703.3267168154061"/>
    <n v="0.4356936725336456"/>
  </r>
  <r>
    <x v="1"/>
    <s v="ARABIA SAUDÍ"/>
    <s v="DOTRA GULF TRADING COMPANY"/>
    <s v="En desarrollo/nuevo"/>
    <s v="BIO0005SA"/>
    <s v="BIORAD-20, 5L"/>
    <n v="5"/>
    <n v="2.62"/>
    <n v="2.7310291544803138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570"/>
    <n v="1556.6866180537791"/>
    <n v="0"/>
    <n v="0"/>
    <n v="0"/>
    <n v="0"/>
    <n v="0"/>
    <n v="0"/>
    <n v="0"/>
    <n v="0"/>
    <n v="0"/>
    <n v="0"/>
    <n v="0"/>
    <n v="0"/>
    <n v="0"/>
    <n v="0"/>
    <n v="0"/>
    <n v="0"/>
    <n v="570"/>
    <n v="1556.6866180537791"/>
    <n v="174.30573032271468"/>
    <n v="0.44050607673664938"/>
    <n v="519.96763149929211"/>
    <n v="0.50155118044803371"/>
  </r>
  <r>
    <x v="1"/>
    <s v="ARABIA SAUDÍ"/>
    <s v="DOTRA GULF TRADING COMPANY"/>
    <s v="En desarrollo/nuevo"/>
    <s v="SPAR0001SA"/>
    <s v="SPRINTENE ARABIA, 1 L"/>
    <n v="1"/>
    <n v="12.55"/>
    <n v="13.08183812546868"/>
    <n v="0"/>
    <n v="0"/>
    <n v="0"/>
    <n v="0"/>
    <n v="0"/>
    <n v="0"/>
    <n v="391.73732698051242"/>
    <n v="4916.3034536054311"/>
    <n v="0"/>
    <n v="0"/>
    <n v="0"/>
    <n v="0"/>
    <n v="0"/>
    <n v="0"/>
    <n v="0"/>
    <n v="0"/>
    <n v="0"/>
    <n v="0"/>
    <n v="0"/>
    <n v="0"/>
    <n v="0"/>
    <n v="0"/>
    <n v="0"/>
    <n v="0"/>
    <n v="391.73732698051242"/>
    <n v="4916.3034536054311"/>
    <n v="0"/>
    <n v="0"/>
    <n v="0"/>
    <n v="0"/>
    <n v="0"/>
    <n v="0"/>
    <n v="541"/>
    <n v="7077.2744258785578"/>
    <n v="0"/>
    <n v="0"/>
    <n v="0"/>
    <n v="0"/>
    <n v="0"/>
    <n v="0"/>
    <n v="0"/>
    <n v="0"/>
    <n v="0"/>
    <n v="0"/>
    <n v="0"/>
    <n v="0"/>
    <n v="0"/>
    <n v="0"/>
    <n v="0"/>
    <n v="0"/>
    <n v="541"/>
    <n v="7077.2744258785578"/>
    <n v="149.26267301948758"/>
    <n v="0.3810274455334528"/>
    <n v="2160.9709722731268"/>
    <n v="0.43955199117913529"/>
  </r>
  <r>
    <x v="1"/>
    <s v="ARABIA SAUDÍ"/>
    <s v="DOTRA GULF TRADING COMPANY"/>
    <s v="En desarrollo/nuevo"/>
    <s v="SSEG0005SA"/>
    <s v="SALWAX CALCIO EGIPTO, 5 KG"/>
    <n v="5"/>
    <n v="3.87"/>
    <n v="4.0356615037275976"/>
    <n v="0"/>
    <n v="0"/>
    <n v="0"/>
    <n v="0"/>
    <n v="0"/>
    <n v="0"/>
    <n v="19290.095646767659"/>
    <n v="74652.670152990831"/>
    <n v="0"/>
    <n v="0"/>
    <n v="0"/>
    <n v="0"/>
    <n v="0"/>
    <n v="0"/>
    <n v="0"/>
    <n v="0"/>
    <n v="0"/>
    <n v="0"/>
    <n v="0"/>
    <n v="0"/>
    <n v="0"/>
    <n v="0"/>
    <n v="0"/>
    <n v="0"/>
    <n v="19290.095646767659"/>
    <n v="74652.670152990831"/>
    <n v="0"/>
    <n v="0"/>
    <n v="0"/>
    <n v="0"/>
    <n v="0"/>
    <n v="0"/>
    <n v="24295"/>
    <n v="98046.396233061998"/>
    <n v="0"/>
    <n v="0"/>
    <n v="0"/>
    <n v="0"/>
    <n v="0"/>
    <n v="0"/>
    <n v="0"/>
    <n v="0"/>
    <n v="0"/>
    <n v="0"/>
    <n v="0"/>
    <n v="0"/>
    <n v="0"/>
    <n v="0"/>
    <n v="0"/>
    <n v="0"/>
    <n v="24295"/>
    <n v="98046.396233061998"/>
    <n v="5004.9043532323412"/>
    <n v="0.25945461571990636"/>
    <n v="23393.726080071167"/>
    <n v="0.31336757321779385"/>
  </r>
  <r>
    <x v="1"/>
    <s v="EGIPTO"/>
    <s v="DIPLOMATS ORCHARDS FOR TRADE AGENCIES"/>
    <s v="Consolidado/estratégico"/>
    <s v="A-50EG0001EG"/>
    <s v="CODIORGAN-A50"/>
    <n v="1"/>
    <n v="5.57"/>
    <n v="5.8076472195567046"/>
    <n v="0"/>
    <n v="0"/>
    <n v="0"/>
    <n v="0"/>
    <n v="0"/>
    <n v="0"/>
    <n v="0"/>
    <n v="0"/>
    <n v="3133.8986158440989"/>
    <n v="17455.81529025163"/>
    <n v="0"/>
    <n v="0"/>
    <n v="0"/>
    <n v="0"/>
    <n v="0"/>
    <n v="0"/>
    <n v="0"/>
    <n v="0"/>
    <n v="0"/>
    <n v="0"/>
    <n v="0"/>
    <n v="0"/>
    <n v="0"/>
    <n v="0"/>
    <n v="3133.8986158440989"/>
    <n v="17455.81529025163"/>
    <n v="0"/>
    <n v="0"/>
    <n v="0"/>
    <n v="0"/>
    <n v="0"/>
    <n v="0"/>
    <n v="0"/>
    <n v="0"/>
    <n v="3619"/>
    <n v="21017.875287575709"/>
    <n v="0"/>
    <n v="0"/>
    <n v="0"/>
    <n v="0"/>
    <n v="0"/>
    <n v="0"/>
    <n v="0"/>
    <n v="0"/>
    <n v="0"/>
    <n v="0"/>
    <n v="0"/>
    <n v="0"/>
    <n v="0"/>
    <n v="0"/>
    <n v="3619"/>
    <n v="21017.875287575709"/>
    <n v="485.10138415590109"/>
    <n v="0.15479166483030646"/>
    <n v="3562.0599973240787"/>
    <n v="0.20406150833374972"/>
  </r>
  <r>
    <x v="1"/>
    <s v="EGIPTO"/>
    <s v="DIPLOMATS ORCHARDS FOR TRADE AGENCIES"/>
    <s v="Consolidado/estratégico"/>
    <s v="A-50EG0001EG"/>
    <s v="CODIORGAN-A50 EGIPTO, 1 KG"/>
    <n v="1"/>
    <n v="5.57"/>
    <n v="5.8071035553039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9.9806964919462"/>
    <n v="26401.69247946014"/>
    <n v="4739.9806964919462"/>
    <n v="26401.69247946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74"/>
    <n v="31788.08486173398"/>
    <n v="5474"/>
    <n v="31788.08486173398"/>
    <n v="734.01930350805378"/>
    <n v="0.154857023795751"/>
    <n v="5386.3923822738398"/>
    <n v="0.20401693514399954"/>
  </r>
  <r>
    <x v="1"/>
    <s v="EGIPTO"/>
    <s v="DIPLOMATS ORCHARDS FOR TRADE AGENCIES"/>
    <s v="Consolidado/estratégico"/>
    <s v="AGRMG20005EG"/>
    <s v="C-SET"/>
    <n v="5"/>
    <n v="3.16"/>
    <n v="3.293913026014426"/>
    <n v="4748.3312361274238"/>
    <n v="15004.726706162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8.3312361274238"/>
    <n v="15004.726706162661"/>
    <n v="5235"/>
    <n v="17243.634691185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35"/>
    <n v="17243.634691185522"/>
    <n v="486.66876387257616"/>
    <n v="0.1024925894322163"/>
    <n v="2238.9079850228609"/>
    <n v="0.14921351310606068"/>
  </r>
  <r>
    <x v="1"/>
    <s v="EGIPTO"/>
    <s v="DIPLOMATS ORCHARDS FOR TRADE AGENCIES"/>
    <s v="Consolidado/estratégico"/>
    <s v="AGXK0005EG"/>
    <s v="AGROXILATO+K"/>
    <n v="5"/>
    <n v="3.29"/>
    <n v="3.4303581477150962"/>
    <n v="16619.159326445981"/>
    <n v="54677.03418400728"/>
    <n v="16619.159326445981"/>
    <n v="54677.03418400728"/>
    <n v="0"/>
    <n v="0"/>
    <n v="0"/>
    <n v="0"/>
    <n v="0"/>
    <n v="0"/>
    <n v="33238.318652891961"/>
    <n v="109354.0683680146"/>
    <n v="0"/>
    <n v="0"/>
    <n v="0"/>
    <n v="0"/>
    <n v="0"/>
    <n v="0"/>
    <n v="0"/>
    <n v="0"/>
    <n v="0"/>
    <n v="0"/>
    <n v="0"/>
    <n v="0"/>
    <n v="66476.637305783923"/>
    <n v="218708.13673602918"/>
    <n v="18320"/>
    <n v="62844.160096088657"/>
    <n v="18320"/>
    <n v="62844.160096088657"/>
    <n v="0"/>
    <n v="0"/>
    <n v="0"/>
    <n v="0"/>
    <n v="0"/>
    <n v="0"/>
    <n v="36635"/>
    <n v="125671.1730816463"/>
    <n v="0"/>
    <n v="0"/>
    <n v="0"/>
    <n v="0"/>
    <n v="0"/>
    <n v="0"/>
    <n v="0"/>
    <n v="0"/>
    <n v="0"/>
    <n v="0"/>
    <n v="0"/>
    <n v="0"/>
    <n v="73275"/>
    <n v="251359.49327382361"/>
    <n v="6798.3626942160772"/>
    <n v="0.10226694624977027"/>
    <n v="32651.356537794432"/>
    <n v="0.14929191490119612"/>
  </r>
  <r>
    <x v="1"/>
    <s v="EGIPTO"/>
    <s v="DIPLOMATS ORCHARDS FOR TRADE AGENCIES"/>
    <s v="Consolidado/estratégico"/>
    <s v="AVAN0001EG"/>
    <s v="CODI-FLOR AVANCE, 1 L"/>
    <n v="1"/>
    <n v="6.14"/>
    <n v="6.4018899262266658"/>
    <n v="0"/>
    <n v="0"/>
    <n v="0"/>
    <n v="0"/>
    <n v="0"/>
    <n v="0"/>
    <n v="0"/>
    <n v="0"/>
    <n v="0"/>
    <n v="0"/>
    <n v="0"/>
    <n v="0"/>
    <n v="3133.8986158440989"/>
    <n v="19242.13750128277"/>
    <n v="0"/>
    <n v="0"/>
    <n v="0"/>
    <n v="0"/>
    <n v="0"/>
    <n v="0"/>
    <n v="0"/>
    <n v="0"/>
    <n v="0"/>
    <n v="0"/>
    <n v="3133.8986158440989"/>
    <n v="19242.13750128277"/>
    <n v="0"/>
    <n v="0"/>
    <n v="0"/>
    <n v="0"/>
    <n v="0"/>
    <n v="0"/>
    <n v="0"/>
    <n v="0"/>
    <n v="0"/>
    <n v="0"/>
    <n v="0"/>
    <n v="0"/>
    <n v="3783"/>
    <n v="24218.349590915481"/>
    <n v="0"/>
    <n v="0"/>
    <n v="0"/>
    <n v="0"/>
    <n v="0"/>
    <n v="0"/>
    <n v="0"/>
    <n v="0"/>
    <n v="0"/>
    <n v="0"/>
    <n v="3783"/>
    <n v="24218.349590915481"/>
    <n v="649.10138415590109"/>
    <n v="0.20712264936530791"/>
    <n v="4976.2120896327106"/>
    <n v="0.25861015125273756"/>
  </r>
  <r>
    <x v="1"/>
    <s v="EGIPTO"/>
    <s v="DIPLOMATS ORCHARDS FOR TRADE AGENCIES"/>
    <s v="Consolidado/estratégico"/>
    <s v="AVAN0001EG"/>
    <s v="FLORAMEC AVANCE"/>
    <n v="1"/>
    <n v="6.1400000000000006"/>
    <n v="6.4020624112198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17462.088885876328"/>
    <n v="0"/>
    <n v="0"/>
    <n v="0"/>
    <n v="0"/>
    <n v="2843.9884178951679"/>
    <n v="17462.088885876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3"/>
    <n v="21978.280257717699"/>
    <n v="0"/>
    <n v="0"/>
    <n v="0"/>
    <n v="0"/>
    <n v="3433"/>
    <n v="21978.280257717699"/>
    <n v="589.01158210483209"/>
    <n v="0.20710758820205"/>
    <n v="4516.1913718413707"/>
    <n v="0.25862835777305843"/>
  </r>
  <r>
    <x v="1"/>
    <s v="EGIPTO"/>
    <s v="DIPLOMATS ORCHARDS FOR TRADE AGENCIES"/>
    <s v="Consolidado/estratégico"/>
    <s v="C-CU20001EG"/>
    <s v="CODICOBRE"/>
    <n v="1"/>
    <n v="5.23"/>
    <n v="5.4524349497318054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6811"/>
    <n v="37136.534442623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11"/>
    <n v="37136.534442623321"/>
    <n v="543.20276831180126"/>
    <n v="8.6665657524069656E-2"/>
    <n v="4355.9549208940371"/>
    <n v="0.13288218159799775"/>
  </r>
  <r>
    <x v="1"/>
    <s v="EGIPTO"/>
    <s v="DIPLOMATS ORCHARDS FOR TRADE AGENCIES"/>
    <s v="Consolidado/estratégico"/>
    <s v="SPCE2B0001EG"/>
    <s v="NEW SPRINTENE"/>
    <n v="1"/>
    <n v="12.55"/>
    <n v="13.08381383601925"/>
    <n v="0"/>
    <n v="0"/>
    <n v="0"/>
    <n v="0"/>
    <n v="7834.7465396102489"/>
    <n v="98326.069072108628"/>
    <n v="0"/>
    <n v="0"/>
    <n v="10185.17050149332"/>
    <n v="127823.8897937412"/>
    <n v="0"/>
    <n v="0"/>
    <n v="0"/>
    <n v="0"/>
    <n v="0"/>
    <n v="0"/>
    <n v="0"/>
    <n v="0"/>
    <n v="0"/>
    <n v="0"/>
    <n v="0"/>
    <n v="0"/>
    <n v="0"/>
    <n v="0"/>
    <n v="18019.917041103567"/>
    <n v="226149.95886584983"/>
    <n v="0"/>
    <n v="0"/>
    <n v="0"/>
    <n v="0"/>
    <n v="8637"/>
    <n v="113000.9177277985"/>
    <n v="0"/>
    <n v="0"/>
    <n v="11227"/>
    <n v="146895.96031088781"/>
    <n v="0"/>
    <n v="0"/>
    <n v="0"/>
    <n v="0"/>
    <n v="0"/>
    <n v="0"/>
    <n v="0"/>
    <n v="0"/>
    <n v="0"/>
    <n v="0"/>
    <n v="0"/>
    <n v="0"/>
    <n v="0"/>
    <n v="0"/>
    <n v="19864"/>
    <n v="259896.87803868629"/>
    <n v="1844.0829588964334"/>
    <n v="0.10233581845521632"/>
    <n v="33746.919172836468"/>
    <n v="0.14922363613099238"/>
  </r>
  <r>
    <x v="1"/>
    <s v="EGIPTO"/>
    <s v="DIPLOMATS ORCHARDS FOR TRADE AGENCIES"/>
    <s v="Consolidado/estratégico"/>
    <s v="SSEG0005EG"/>
    <s v="SAL-WAX Ca"/>
    <n v="5"/>
    <n v="3.86829268292683"/>
    <n v="4.0334241398184716"/>
    <n v="41547.898316114959"/>
    <n v="160582.62699178429"/>
    <n v="30666.305899989609"/>
    <n v="118678.60383295979"/>
    <n v="2967.7070225796401"/>
    <n v="11485.02617738321"/>
    <n v="0"/>
    <n v="0"/>
    <n v="4946.1783709660658"/>
    <n v="19141.710295638681"/>
    <n v="41547.898316114959"/>
    <n v="160790.36648336489"/>
    <n v="0"/>
    <n v="0"/>
    <n v="0"/>
    <n v="0"/>
    <n v="0"/>
    <n v="0"/>
    <n v="0"/>
    <n v="0"/>
    <n v="0"/>
    <n v="0"/>
    <n v="0"/>
    <n v="0"/>
    <n v="121675.98792576522"/>
    <n v="470678.3337811309"/>
    <n v="45790"/>
    <n v="184538.688922539"/>
    <n v="33800"/>
    <n v="136389.57649207269"/>
    <n v="3270"/>
    <n v="13191.18352940188"/>
    <n v="0"/>
    <n v="0"/>
    <n v="5455"/>
    <n v="22005.475887733111"/>
    <n v="45790"/>
    <n v="184777.4194386095"/>
    <n v="0"/>
    <n v="0"/>
    <n v="0"/>
    <n v="0"/>
    <n v="0"/>
    <n v="0"/>
    <n v="0"/>
    <n v="0"/>
    <n v="0"/>
    <n v="0"/>
    <n v="0"/>
    <n v="0"/>
    <n v="134105"/>
    <n v="540902.34427035623"/>
    <n v="12429.012074234779"/>
    <n v="0.10214843771655049"/>
    <n v="70224.010489225329"/>
    <n v="0.14919745705116744"/>
  </r>
  <r>
    <x v="1"/>
    <s v="EGIPTO"/>
    <s v="DIPLOMATS ORCHARDS FOR TRADE AGENCIES"/>
    <s v="Consolidado/estratégico"/>
    <s v="SSEG0005EG"/>
    <s v="SALWAX CALCIO EGIPTO, 5 KG"/>
    <n v="5"/>
    <n v="3.87"/>
    <n v="4.0340010793277923"/>
    <n v="0"/>
    <n v="0"/>
    <n v="0"/>
    <n v="0"/>
    <n v="0"/>
    <n v="0"/>
    <n v="10881.59241612535"/>
    <n v="42111.762650405093"/>
    <n v="0"/>
    <n v="0"/>
    <n v="0"/>
    <n v="0"/>
    <n v="0"/>
    <n v="0"/>
    <n v="0"/>
    <n v="0"/>
    <n v="0"/>
    <n v="0"/>
    <n v="0"/>
    <n v="0"/>
    <n v="0"/>
    <n v="0"/>
    <n v="0"/>
    <n v="0"/>
    <n v="10881.59241612535"/>
    <n v="42111.762650405093"/>
    <n v="0"/>
    <n v="0"/>
    <n v="0"/>
    <n v="0"/>
    <n v="0"/>
    <n v="0"/>
    <n v="11995"/>
    <n v="48387.842946536868"/>
    <n v="0"/>
    <n v="0"/>
    <n v="0"/>
    <n v="0"/>
    <n v="0"/>
    <n v="0"/>
    <n v="0"/>
    <n v="0"/>
    <n v="0"/>
    <n v="0"/>
    <n v="0"/>
    <n v="0"/>
    <n v="0"/>
    <n v="0"/>
    <n v="0"/>
    <n v="0"/>
    <n v="11995"/>
    <n v="48387.842946536868"/>
    <n v="1113.4075838746503"/>
    <n v="0.10232028009289339"/>
    <n v="6276.080296131775"/>
    <n v="0.14903390172083908"/>
  </r>
  <r>
    <x v="1"/>
    <s v="EGIPTO"/>
    <s v="DIPLOMATS ORCHARDS FOR TRADE AGENCIES"/>
    <s v="Consolidado/estratégico"/>
    <s v="SSEG0005EG"/>
    <s v="SAL-WAX Ca, 5 KG"/>
    <n v="5"/>
    <n v="3.87"/>
    <n v="4.0354616155621619"/>
    <n v="0"/>
    <n v="0"/>
    <n v="0"/>
    <n v="0"/>
    <n v="0"/>
    <n v="0"/>
    <n v="0"/>
    <n v="0"/>
    <n v="0"/>
    <n v="0"/>
    <n v="0"/>
    <n v="0"/>
    <n v="37590.955619342101"/>
    <n v="145476.99824685391"/>
    <n v="0"/>
    <n v="0"/>
    <n v="0"/>
    <n v="0"/>
    <n v="0"/>
    <n v="0"/>
    <n v="0"/>
    <n v="0"/>
    <n v="0"/>
    <n v="0"/>
    <n v="37590.955619342101"/>
    <n v="145476.99824685391"/>
    <n v="0"/>
    <n v="0"/>
    <n v="0"/>
    <n v="0"/>
    <n v="0"/>
    <n v="0"/>
    <n v="0"/>
    <n v="0"/>
    <n v="0"/>
    <n v="0"/>
    <n v="0"/>
    <n v="0"/>
    <n v="41430"/>
    <n v="167189.17473274039"/>
    <n v="0"/>
    <n v="0"/>
    <n v="0"/>
    <n v="0"/>
    <n v="0"/>
    <n v="0"/>
    <n v="0"/>
    <n v="0"/>
    <n v="0"/>
    <n v="0"/>
    <n v="41430"/>
    <n v="167189.17473274039"/>
    <n v="3839.0443806578987"/>
    <n v="0.10212680995751414"/>
    <n v="21712.176485886477"/>
    <n v="0.1492481749523315"/>
  </r>
  <r>
    <x v="1"/>
    <s v="EGIPTO"/>
    <s v="DIPLOMATS ORCHARDS FOR TRADE AGENCIES"/>
    <s v="Consolidado/estratégico"/>
    <s v="SSEG0020EG"/>
    <s v="SAL-WAX Ca"/>
    <n v="20"/>
    <n v="3.7484615384615392"/>
    <n v="3.907313247718081"/>
    <n v="14838.5351128982"/>
    <n v="55496.121322239262"/>
    <n v="10881.59241612535"/>
    <n v="40914.787484631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20.12752902355"/>
    <n v="96410.908806870561"/>
    <n v="16360"/>
    <n v="63779.329105990197"/>
    <n v="12000"/>
    <n v="47032.074599294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60"/>
    <n v="110811.40370528476"/>
    <n v="2639.8724709764501"/>
    <n v="0.10263838964241215"/>
    <n v="14400.494898414196"/>
    <n v="0.14936582464190989"/>
  </r>
  <r>
    <x v="1"/>
    <s v="EGIPTO"/>
    <s v="DIPLOMATS ORCHARDS FOR TRADE AGENCIES"/>
    <s v="Consolidado/estratégico"/>
    <s v="SSEG0020EG"/>
    <s v="SALWAX CALCIO EGIPTO, 20 KG"/>
    <n v="20"/>
    <n v="3.76"/>
    <n v="3.9193395499412151"/>
    <n v="0"/>
    <n v="0"/>
    <n v="0"/>
    <n v="0"/>
    <n v="0"/>
    <n v="0"/>
    <n v="9892.3567419321316"/>
    <n v="37195.261349664819"/>
    <n v="0"/>
    <n v="0"/>
    <n v="0"/>
    <n v="0"/>
    <n v="0"/>
    <n v="0"/>
    <n v="0"/>
    <n v="0"/>
    <n v="0"/>
    <n v="0"/>
    <n v="0"/>
    <n v="0"/>
    <n v="0"/>
    <n v="0"/>
    <n v="0"/>
    <n v="0"/>
    <n v="9892.3567419321316"/>
    <n v="37195.261349664819"/>
    <n v="0"/>
    <n v="0"/>
    <n v="0"/>
    <n v="0"/>
    <n v="0"/>
    <n v="0"/>
    <n v="10900"/>
    <n v="42720.801094359253"/>
    <n v="0"/>
    <n v="0"/>
    <n v="0"/>
    <n v="0"/>
    <n v="0"/>
    <n v="0"/>
    <n v="0"/>
    <n v="0"/>
    <n v="0"/>
    <n v="0"/>
    <n v="0"/>
    <n v="0"/>
    <n v="0"/>
    <n v="0"/>
    <n v="0"/>
    <n v="0"/>
    <n v="10900"/>
    <n v="42720.801094359253"/>
    <n v="1007.6432580678684"/>
    <n v="0.10186078852136704"/>
    <n v="5525.5397446944335"/>
    <n v="0.14855493802691686"/>
  </r>
  <r>
    <x v="1"/>
    <s v="EGIPTO"/>
    <s v="DOTRA CHEMICALS"/>
    <s v="Consolidado/estratégico"/>
    <s v="A-50EG0001EG"/>
    <s v="CODIORGAN-A50"/>
    <n v="1"/>
    <n v="5.5699999999999994"/>
    <n v="5.807246097389168"/>
    <n v="0"/>
    <n v="0"/>
    <n v="5223.1643597401662"/>
    <n v="29093.025483752721"/>
    <n v="0"/>
    <n v="0"/>
    <n v="0"/>
    <n v="0"/>
    <n v="3133.8986158440989"/>
    <n v="17455.81529025163"/>
    <n v="0"/>
    <n v="0"/>
    <n v="0"/>
    <n v="0"/>
    <n v="0"/>
    <n v="0"/>
    <n v="0"/>
    <n v="0"/>
    <n v="0"/>
    <n v="0"/>
    <n v="0"/>
    <n v="0"/>
    <n v="0"/>
    <n v="0"/>
    <n v="8357.0629755842656"/>
    <n v="46548.840774004348"/>
    <n v="0"/>
    <n v="0"/>
    <n v="6032"/>
    <n v="35027.85679832715"/>
    <n v="0"/>
    <n v="0"/>
    <n v="0"/>
    <n v="0"/>
    <n v="3619"/>
    <n v="21017.875287575709"/>
    <n v="0"/>
    <n v="0"/>
    <n v="0"/>
    <n v="0"/>
    <n v="0"/>
    <n v="0"/>
    <n v="0"/>
    <n v="0"/>
    <n v="0"/>
    <n v="0"/>
    <n v="0"/>
    <n v="0"/>
    <n v="0"/>
    <n v="0"/>
    <n v="9651"/>
    <n v="56045.732085902855"/>
    <n v="1293.9370244157344"/>
    <n v="0.15483155125144568"/>
    <n v="9496.8913118985074"/>
    <n v="0.2040199316242079"/>
  </r>
  <r>
    <x v="1"/>
    <s v="EGIPTO"/>
    <s v="DOTRA CHEMICALS"/>
    <s v="Consolidado/estratégico"/>
    <s v="A-50EG0001EG"/>
    <s v="CODIORGAN-A50 EGIPTO, 1 KG"/>
    <n v="1"/>
    <n v="5.2914999999999992"/>
    <n v="5.5168839109694776"/>
    <n v="0"/>
    <n v="0"/>
    <n v="0"/>
    <n v="0"/>
    <n v="0"/>
    <n v="0"/>
    <n v="0"/>
    <n v="0"/>
    <n v="0"/>
    <n v="0"/>
    <n v="0"/>
    <n v="0"/>
    <n v="0"/>
    <n v="0"/>
    <n v="4178.5314877921328"/>
    <n v="22110.699367652069"/>
    <n v="0"/>
    <n v="0"/>
    <n v="0"/>
    <n v="0"/>
    <n v="0"/>
    <n v="0"/>
    <n v="0"/>
    <n v="0"/>
    <n v="4178.5314877921328"/>
    <n v="22110.699367652069"/>
    <n v="0"/>
    <n v="0"/>
    <n v="0"/>
    <n v="0"/>
    <n v="0"/>
    <n v="0"/>
    <n v="0"/>
    <n v="0"/>
    <n v="0"/>
    <n v="0"/>
    <n v="0"/>
    <n v="0"/>
    <n v="0"/>
    <n v="0"/>
    <n v="4825"/>
    <n v="26618.964870427732"/>
    <n v="0"/>
    <n v="0"/>
    <n v="0"/>
    <n v="0"/>
    <n v="0"/>
    <n v="0"/>
    <n v="0"/>
    <n v="0"/>
    <n v="4825"/>
    <n v="26618.964870427732"/>
    <n v="646.46851220786721"/>
    <n v="0.15471189198802723"/>
    <n v="4508.2655027756628"/>
    <n v="0.2038952014955823"/>
  </r>
  <r>
    <x v="1"/>
    <s v="EGIPTO"/>
    <s v="DOTRA CHEMICALS"/>
    <s v="Consolidado/estratégico"/>
    <s v="AGXK0005EG"/>
    <s v="AGROXILATO+K"/>
    <n v="5"/>
    <n v="3.29"/>
    <n v="3.4303581690061868"/>
    <n v="0"/>
    <n v="0"/>
    <n v="16619.159326445981"/>
    <n v="54677.03418400728"/>
    <n v="0"/>
    <n v="0"/>
    <n v="0"/>
    <n v="0"/>
    <n v="0"/>
    <n v="0"/>
    <n v="33238.318652891961"/>
    <n v="109354.0683680146"/>
    <n v="0"/>
    <n v="0"/>
    <n v="0"/>
    <n v="0"/>
    <n v="0"/>
    <n v="0"/>
    <n v="0"/>
    <n v="0"/>
    <n v="0"/>
    <n v="0"/>
    <n v="0"/>
    <n v="0"/>
    <n v="49857.477979337942"/>
    <n v="164031.10255202188"/>
    <n v="0"/>
    <n v="0"/>
    <n v="18320"/>
    <n v="62844.160096088657"/>
    <n v="0"/>
    <n v="0"/>
    <n v="0"/>
    <n v="0"/>
    <n v="0"/>
    <n v="0"/>
    <n v="36635"/>
    <n v="125671.1730816463"/>
    <n v="0"/>
    <n v="0"/>
    <n v="0"/>
    <n v="0"/>
    <n v="0"/>
    <n v="0"/>
    <n v="0"/>
    <n v="0"/>
    <n v="0"/>
    <n v="0"/>
    <n v="0"/>
    <n v="0"/>
    <n v="54955"/>
    <n v="188515.33317773495"/>
    <n v="5097.5220206620579"/>
    <n v="0.10224187478505402"/>
    <n v="24484.230625713069"/>
    <n v="0.14926578096948401"/>
  </r>
  <r>
    <x v="1"/>
    <s v="EGIPTO"/>
    <s v="DOTRA CHEMICALS"/>
    <s v="Consolidado/estratégico"/>
    <s v="AGZNP0001EG"/>
    <s v="AGROXILATO-ZN PLUS"/>
    <n v="1"/>
    <n v="6.6199999999999992"/>
    <n v="6.9017098889394868"/>
    <n v="0"/>
    <n v="0"/>
    <n v="0"/>
    <n v="0"/>
    <n v="0"/>
    <n v="0"/>
    <n v="0"/>
    <n v="0"/>
    <n v="5223.1643597401662"/>
    <n v="34577.348061479897"/>
    <n v="0"/>
    <n v="0"/>
    <n v="0"/>
    <n v="0"/>
    <n v="0"/>
    <n v="0"/>
    <n v="0"/>
    <n v="0"/>
    <n v="0"/>
    <n v="0"/>
    <n v="0"/>
    <n v="0"/>
    <n v="0"/>
    <n v="0"/>
    <n v="5223.1643597401662"/>
    <n v="34577.348061479897"/>
    <n v="0"/>
    <n v="0"/>
    <n v="0"/>
    <n v="0"/>
    <n v="0"/>
    <n v="0"/>
    <n v="0"/>
    <n v="0"/>
    <n v="5895"/>
    <n v="40685.579795298283"/>
    <n v="0"/>
    <n v="0"/>
    <n v="0"/>
    <n v="0"/>
    <n v="0"/>
    <n v="0"/>
    <n v="0"/>
    <n v="0"/>
    <n v="0"/>
    <n v="0"/>
    <n v="0"/>
    <n v="0"/>
    <n v="0"/>
    <n v="0"/>
    <n v="5895"/>
    <n v="40685.579795298283"/>
    <n v="671.83564025983378"/>
    <n v="0.12862617256280542"/>
    <n v="6108.2317338183857"/>
    <n v="0.1766541414037221"/>
  </r>
  <r>
    <x v="1"/>
    <s v="EGIPTO"/>
    <s v="DOTRA CHEMICALS"/>
    <s v="Consolidado/estratégico"/>
    <s v="AGZNP0001EG"/>
    <s v="AGROXILATO-ZN PLUS, 1 KG"/>
    <n v="1"/>
    <n v="6.6199999999999992"/>
    <n v="6.9005393139922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12551.468884310671"/>
    <n v="0"/>
    <n v="0"/>
    <n v="0"/>
    <n v="0"/>
    <n v="1895.992278596779"/>
    <n v="12551.468884310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0"/>
    <n v="14767.1541319434"/>
    <n v="0"/>
    <n v="0"/>
    <n v="0"/>
    <n v="0"/>
    <n v="2140"/>
    <n v="14767.1541319434"/>
    <n v="244.00772140322101"/>
    <n v="0.12869657970538295"/>
    <n v="2215.6852476327294"/>
    <n v="0.17652796402199067"/>
  </r>
  <r>
    <x v="1"/>
    <s v="EGIPTO"/>
    <s v="DOTRA CHEMICALS"/>
    <s v="Consolidado/estratégico"/>
    <s v="AN1000EG"/>
    <s v="ALCAPLANT-NEW"/>
    <n v="1000"/>
    <n v="1.620000000000001"/>
    <n v="1.688651614602332"/>
    <n v="0"/>
    <n v="0"/>
    <n v="43724.216799340022"/>
    <n v="70833.231214930842"/>
    <n v="21862.108399670011"/>
    <n v="35416.615607465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586.325199010025"/>
    <n v="106249.84682239627"/>
    <n v="0"/>
    <n v="0"/>
    <n v="48000"/>
    <n v="81055.277500911936"/>
    <n v="24000"/>
    <n v="40527.638750455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00"/>
    <n v="121582.9162513679"/>
    <n v="6413.6748009899748"/>
    <n v="9.7789817946482296E-2"/>
    <n v="15333.069428971634"/>
    <n v="0.14431144973415241"/>
  </r>
  <r>
    <x v="1"/>
    <s v="EGIPTO"/>
    <s v="DOTRA CHEMICALS"/>
    <s v="Consolidado/estratégico"/>
    <s v="AN1000EG"/>
    <s v="ALCAPLANT NEW, 1000 KG"/>
    <n v="1000"/>
    <n v="1.62"/>
    <n v="1.688651614602332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0"/>
    <n v="0"/>
    <n v="0"/>
    <n v="0"/>
    <n v="18959.922785967781"/>
    <n v="30715.074913267821"/>
    <n v="0"/>
    <n v="0"/>
    <n v="40822.031185637796"/>
    <n v="66131.690520733246"/>
    <n v="0"/>
    <n v="0"/>
    <n v="0"/>
    <n v="0"/>
    <n v="0"/>
    <n v="0"/>
    <n v="24000"/>
    <n v="40527.638750455968"/>
    <n v="0"/>
    <n v="0"/>
    <n v="0"/>
    <n v="0"/>
    <n v="0"/>
    <n v="0"/>
    <n v="0"/>
    <n v="0"/>
    <n v="0"/>
    <n v="0"/>
    <n v="0"/>
    <n v="0"/>
    <n v="21000"/>
    <n v="35461.683906648977"/>
    <n v="0"/>
    <n v="0"/>
    <n v="45000"/>
    <n v="75989.322657104945"/>
    <n v="4177.9688143622043"/>
    <n v="0.10234593167015456"/>
    <n v="9857.6321363716997"/>
    <n v="0.14906064034883834"/>
  </r>
  <r>
    <x v="1"/>
    <s v="EGIPTO"/>
    <s v="DOTRA CHEMICALS"/>
    <s v="Consolidado/estratégico"/>
    <s v="AN1000EG"/>
    <s v="ALCAPLANT NEW"/>
    <n v="1000"/>
    <n v="1.62"/>
    <n v="1.688651614602332"/>
    <n v="0"/>
    <n v="0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0"/>
    <n v="0"/>
    <n v="0"/>
    <n v="0"/>
    <n v="0"/>
    <n v="0"/>
    <n v="21862.108399670011"/>
    <n v="35416.615607465421"/>
    <n v="0"/>
    <n v="0"/>
    <n v="0"/>
    <n v="0"/>
    <n v="0"/>
    <n v="0"/>
    <n v="0"/>
    <n v="0"/>
    <n v="24000"/>
    <n v="40527.638750455968"/>
    <n v="0"/>
    <n v="0"/>
    <n v="0"/>
    <n v="0"/>
    <n v="0"/>
    <n v="0"/>
    <n v="0"/>
    <n v="0"/>
    <n v="0"/>
    <n v="0"/>
    <n v="0"/>
    <n v="0"/>
    <n v="0"/>
    <n v="0"/>
    <n v="24000"/>
    <n v="40527.638750455968"/>
    <n v="2137.8916003299892"/>
    <n v="9.7789817946482172E-2"/>
    <n v="5111.0231429905471"/>
    <n v="0.1443114497341525"/>
  </r>
  <r>
    <x v="1"/>
    <s v="EGIPTO"/>
    <s v="DOTRA CHEMICALS"/>
    <s v="Consolidado/estratégico"/>
    <s v="AN1000EG"/>
    <s v="SOLUTION OF CALCIUM HIDROXIDE"/>
    <n v="1000"/>
    <n v="1.5389999999999999"/>
    <n v="1.604219033872216"/>
    <n v="0"/>
    <n v="0"/>
    <n v="0"/>
    <n v="0"/>
    <n v="0"/>
    <n v="0"/>
    <n v="0"/>
    <n v="0"/>
    <n v="0"/>
    <n v="0"/>
    <n v="0"/>
    <n v="0"/>
    <n v="0"/>
    <n v="0"/>
    <n v="21862.108399670011"/>
    <n v="33645.784827092153"/>
    <n v="0"/>
    <n v="0"/>
    <n v="0"/>
    <n v="0"/>
    <n v="0"/>
    <n v="0"/>
    <n v="0"/>
    <n v="0"/>
    <n v="21862.108399670011"/>
    <n v="33645.784827092153"/>
    <n v="0"/>
    <n v="0"/>
    <n v="0"/>
    <n v="0"/>
    <n v="0"/>
    <n v="0"/>
    <n v="0"/>
    <n v="0"/>
    <n v="0"/>
    <n v="0"/>
    <n v="0"/>
    <n v="0"/>
    <n v="0"/>
    <n v="0"/>
    <n v="24000"/>
    <n v="38501.25681293317"/>
    <n v="0"/>
    <n v="0"/>
    <n v="0"/>
    <n v="0"/>
    <n v="0"/>
    <n v="0"/>
    <n v="0"/>
    <n v="0"/>
    <n v="24000"/>
    <n v="38501.25681293317"/>
    <n v="2137.8916003299892"/>
    <n v="9.7789817946482172E-2"/>
    <n v="4855.4719858410172"/>
    <n v="0.14431144973415241"/>
  </r>
  <r>
    <x v="1"/>
    <s v="EGIPTO"/>
    <s v="DOTRA CHEMICALS"/>
    <s v="Consolidado/estratégico"/>
    <s v="AVAN0001EG"/>
    <s v="FLORAMEC AVANCE"/>
    <n v="1"/>
    <n v="5.84"/>
    <n v="6.089258058880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16608.89236050778"/>
    <n v="2843.9884178951679"/>
    <n v="16608.89236050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3"/>
    <n v="20904.422916135391"/>
    <n v="3433"/>
    <n v="20904.422916135391"/>
    <n v="589.01158210483209"/>
    <n v="0.20710758820205"/>
    <n v="4295.5305556276107"/>
    <n v="0.2586283577730577"/>
  </r>
  <r>
    <x v="1"/>
    <s v="EGIPTO"/>
    <s v="DOTRA CHEMICALS"/>
    <s v="Consolidado/estratégico"/>
    <s v="C-CU20001EG"/>
    <s v="CODICOBRE"/>
    <n v="1"/>
    <n v="5.23"/>
    <n v="5.4524349497318054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0"/>
    <n v="0"/>
    <n v="6267.7972316881987"/>
    <n v="32780.579521729283"/>
    <n v="0"/>
    <n v="0"/>
    <n v="0"/>
    <n v="0"/>
    <n v="0"/>
    <n v="0"/>
    <n v="0"/>
    <n v="0"/>
    <n v="0"/>
    <n v="0"/>
    <n v="6811"/>
    <n v="37136.534442623321"/>
    <n v="0"/>
    <n v="0"/>
    <n v="0"/>
    <n v="0"/>
    <n v="0"/>
    <n v="0"/>
    <n v="0"/>
    <n v="0"/>
    <n v="0"/>
    <n v="0"/>
    <n v="0"/>
    <n v="0"/>
    <n v="6811"/>
    <n v="37136.534442623321"/>
    <n v="543.20276831180126"/>
    <n v="8.6665657524069656E-2"/>
    <n v="4355.9549208940371"/>
    <n v="0.13288218159799775"/>
  </r>
  <r>
    <x v="1"/>
    <s v="EGIPTO"/>
    <s v="DOTRA CHEMICALS"/>
    <s v="Consolidado/estratégico"/>
    <s v="C-CU20001EG"/>
    <s v="CODICOBRE (EGIPTO)"/>
    <n v="1"/>
    <n v="5.23"/>
    <n v="5.4523027898174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8.1294232432438"/>
    <n v="39267.516883562173"/>
    <n v="0"/>
    <n v="0"/>
    <n v="7508.1294232432438"/>
    <n v="39267.516883562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58"/>
    <n v="44479.886159331138"/>
    <n v="0"/>
    <n v="0"/>
    <n v="8158"/>
    <n v="44479.886159331138"/>
    <n v="649.87057675675624"/>
    <n v="8.6555590630193927E-2"/>
    <n v="5212.3692757689641"/>
    <n v="0.13273997668925486"/>
  </r>
  <r>
    <x v="1"/>
    <s v="EGIPTO"/>
    <s v="DOTRA CHEMICALS"/>
    <s v="Consolidado/estratégico"/>
    <s v="SPCE2B0001EG"/>
    <s v="NEW SPRINTENE"/>
    <n v="1"/>
    <n v="12.55"/>
    <n v="13.08390367885691"/>
    <n v="0"/>
    <n v="0"/>
    <n v="9401.695847532299"/>
    <n v="117991.2828865303"/>
    <n v="0"/>
    <n v="0"/>
    <n v="0"/>
    <n v="0"/>
    <n v="7834.7465396102489"/>
    <n v="98326.069072108628"/>
    <n v="0"/>
    <n v="0"/>
    <n v="0"/>
    <n v="0"/>
    <n v="0"/>
    <n v="0"/>
    <n v="0"/>
    <n v="0"/>
    <n v="0"/>
    <n v="0"/>
    <n v="0"/>
    <n v="0"/>
    <n v="0"/>
    <n v="0"/>
    <n v="17236.442387142546"/>
    <n v="216317.35195863893"/>
    <n v="0"/>
    <n v="0"/>
    <n v="10363"/>
    <n v="135593.25217048291"/>
    <n v="0"/>
    <n v="0"/>
    <n v="0"/>
    <n v="0"/>
    <n v="8637"/>
    <n v="113000.9177277985"/>
    <n v="0"/>
    <n v="0"/>
    <n v="0"/>
    <n v="0"/>
    <n v="0"/>
    <n v="0"/>
    <n v="0"/>
    <n v="0"/>
    <n v="0"/>
    <n v="0"/>
    <n v="0"/>
    <n v="0"/>
    <n v="0"/>
    <n v="0"/>
    <n v="19000"/>
    <n v="248594.1698982814"/>
    <n v="1763.5576128574539"/>
    <n v="0.10231563876388856"/>
    <n v="32276.817939642468"/>
    <n v="0.14921048934536685"/>
  </r>
  <r>
    <x v="1"/>
    <s v="EGIPTO"/>
    <s v="DOTRA CHEMICALS"/>
    <s v="Consolidado/estratégico"/>
    <s v="SPCE2B0001EG"/>
    <s v="NEW SPRINTENE, 1 L"/>
    <n v="1"/>
    <n v="12.55"/>
    <n v="13.08459219665299"/>
    <n v="0"/>
    <n v="0"/>
    <n v="0"/>
    <n v="0"/>
    <n v="0"/>
    <n v="0"/>
    <n v="0"/>
    <n v="0"/>
    <n v="0"/>
    <n v="0"/>
    <n v="0"/>
    <n v="0"/>
    <n v="8618.221193571273"/>
    <n v="108158.67597931949"/>
    <n v="0"/>
    <n v="0"/>
    <n v="0"/>
    <n v="0"/>
    <n v="0"/>
    <n v="0"/>
    <n v="0"/>
    <n v="0"/>
    <n v="0"/>
    <n v="0"/>
    <n v="8618.221193571273"/>
    <n v="108158.67597931949"/>
    <n v="0"/>
    <n v="0"/>
    <n v="0"/>
    <n v="0"/>
    <n v="0"/>
    <n v="0"/>
    <n v="0"/>
    <n v="0"/>
    <n v="0"/>
    <n v="0"/>
    <n v="0"/>
    <n v="0"/>
    <n v="9500"/>
    <n v="124303.6258682035"/>
    <n v="0"/>
    <n v="0"/>
    <n v="0"/>
    <n v="0"/>
    <n v="0"/>
    <n v="0"/>
    <n v="0"/>
    <n v="0"/>
    <n v="0"/>
    <n v="0"/>
    <n v="9500"/>
    <n v="124303.6258682035"/>
    <n v="881.77880642872697"/>
    <n v="0.10231563876388856"/>
    <n v="16144.949888884003"/>
    <n v="0.14927096455924629"/>
  </r>
  <r>
    <x v="1"/>
    <s v="EGIPTO"/>
    <s v="DOTRA CHEMICALS"/>
    <s v="Consolidado/estratégico"/>
    <s v="SPCE2B0001EG"/>
    <s v="SPRINTENE CON BORO"/>
    <n v="1"/>
    <n v="12.34080932154747"/>
    <n v="12.86624442863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9.9806964919462"/>
    <n v="58495.197963222883"/>
    <n v="9479.9613929838924"/>
    <n v="116990.3959264458"/>
    <n v="0"/>
    <n v="0"/>
    <n v="14219.942089475839"/>
    <n v="175485.59388966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5"/>
    <n v="67226.127139607372"/>
    <n v="10450"/>
    <n v="134452.25427921471"/>
    <n v="0"/>
    <n v="0"/>
    <n v="15675"/>
    <n v="201678.3814188221"/>
    <n v="1455.0579105241613"/>
    <n v="0.10232516429170607"/>
    <n v="26192.787529153429"/>
    <n v="0.14925890466895739"/>
  </r>
  <r>
    <x v="1"/>
    <s v="EGIPTO"/>
    <s v="DOTRA CHEMICALS"/>
    <s v="Consolidado/estratégico"/>
    <s v="SSEG0005EG"/>
    <s v="SAL-WAX Ca"/>
    <n v="5"/>
    <n v="3.8699999999999992"/>
    <n v="4.0351850256420718"/>
    <n v="20773.94915805748"/>
    <n v="80395.183241682433"/>
    <n v="24730.89185483033"/>
    <n v="95708.551478193374"/>
    <n v="9892.3567419321316"/>
    <n v="38283.420591277347"/>
    <n v="0"/>
    <n v="0"/>
    <n v="34623.24859676246"/>
    <n v="133991.97206947071"/>
    <n v="33634.012922569251"/>
    <n v="130163.630010343"/>
    <n v="0"/>
    <n v="0"/>
    <n v="0"/>
    <n v="0"/>
    <n v="0"/>
    <n v="0"/>
    <n v="0"/>
    <n v="0"/>
    <n v="0"/>
    <n v="0"/>
    <n v="0"/>
    <n v="0"/>
    <n v="123654.45927415165"/>
    <n v="478542.75739096681"/>
    <n v="22895"/>
    <n v="92398.794722003091"/>
    <n v="27260"/>
    <n v="110007.2094332689"/>
    <n v="10905"/>
    <n v="43990.781770069589"/>
    <n v="0"/>
    <n v="0"/>
    <n v="38160"/>
    <n v="153977.8211979419"/>
    <n v="37070"/>
    <n v="149580.7600214745"/>
    <n v="0"/>
    <n v="0"/>
    <n v="0"/>
    <n v="0"/>
    <n v="0"/>
    <n v="0"/>
    <n v="0"/>
    <n v="0"/>
    <n v="0"/>
    <n v="0"/>
    <n v="0"/>
    <n v="0"/>
    <n v="136290"/>
    <n v="549955.36714475788"/>
    <n v="12635.540725848346"/>
    <n v="0.10218427058772186"/>
    <n v="71412.609753791068"/>
    <n v="0.1492293189079599"/>
  </r>
  <r>
    <x v="1"/>
    <s v="EGIPTO"/>
    <s v="DOTRA CHEMICALS"/>
    <s v="Consolidado/estratégico"/>
    <s v="SSEG0005EG"/>
    <s v="SALWAX CALCIO EGIPTO, 5 KG"/>
    <n v="5"/>
    <n v="3.86240377540024"/>
    <n v="4.0275503073983216"/>
    <n v="0"/>
    <n v="0"/>
    <n v="0"/>
    <n v="0"/>
    <n v="0"/>
    <n v="0"/>
    <n v="20773.94915805748"/>
    <n v="80395.183241682433"/>
    <n v="0"/>
    <n v="0"/>
    <n v="0"/>
    <n v="0"/>
    <n v="0"/>
    <n v="0"/>
    <n v="0"/>
    <n v="0"/>
    <n v="18959.922785967781"/>
    <n v="73185.790611639415"/>
    <n v="18959.922785967781"/>
    <n v="73185.790611639415"/>
    <n v="28439.884178951681"/>
    <n v="109778.68591745909"/>
    <n v="0"/>
    <n v="0"/>
    <n v="87133.678908944712"/>
    <n v="336545.45038242039"/>
    <n v="0"/>
    <n v="0"/>
    <n v="0"/>
    <n v="0"/>
    <n v="0"/>
    <n v="0"/>
    <n v="22895"/>
    <n v="92398.794722003091"/>
    <n v="0"/>
    <n v="0"/>
    <n v="0"/>
    <n v="0"/>
    <n v="0"/>
    <n v="0"/>
    <n v="0"/>
    <n v="0"/>
    <n v="20895"/>
    <n v="84113.445159833733"/>
    <n v="20900"/>
    <n v="84113.445159833733"/>
    <n v="31345"/>
    <n v="126160.1087293273"/>
    <n v="0"/>
    <n v="0"/>
    <n v="96035"/>
    <n v="386785.79377099784"/>
    <n v="8901.321091055288"/>
    <n v="0.10215706719278121"/>
    <n v="50240.343388577458"/>
    <n v="0.14928249165599711"/>
  </r>
  <r>
    <x v="1"/>
    <s v="EGIPTO"/>
    <s v="DOTRA CHEMICALS"/>
    <s v="Consolidado/estratégico"/>
    <s v="SSEG0005EG"/>
    <s v="SAL-WAX Ca, 5 KG"/>
    <n v="5"/>
    <n v="3.716731666666667"/>
    <n v="3.875343206290697"/>
    <n v="0"/>
    <n v="0"/>
    <n v="0"/>
    <n v="0"/>
    <n v="0"/>
    <n v="0"/>
    <n v="0"/>
    <n v="0"/>
    <n v="0"/>
    <n v="0"/>
    <n v="0"/>
    <n v="0"/>
    <n v="9892.3567419321316"/>
    <n v="38283.420591277347"/>
    <n v="37590.955619342101"/>
    <n v="138199.3101000954"/>
    <n v="0"/>
    <n v="0"/>
    <n v="0"/>
    <n v="0"/>
    <n v="0"/>
    <n v="0"/>
    <n v="0"/>
    <n v="0"/>
    <n v="47483.312361274235"/>
    <n v="176482.73069137277"/>
    <n v="0"/>
    <n v="0"/>
    <n v="0"/>
    <n v="0"/>
    <n v="0"/>
    <n v="0"/>
    <n v="0"/>
    <n v="0"/>
    <n v="0"/>
    <n v="0"/>
    <n v="0"/>
    <n v="0"/>
    <n v="10905"/>
    <n v="43990.781770069589"/>
    <n v="41430"/>
    <n v="158825.30493115401"/>
    <n v="0"/>
    <n v="0"/>
    <n v="0"/>
    <n v="0"/>
    <n v="0"/>
    <n v="0"/>
    <n v="0"/>
    <n v="0"/>
    <n v="52335"/>
    <n v="202816.0867012236"/>
    <n v="4851.6876387257653"/>
    <n v="0.10217668897679168"/>
    <n v="26333.356009850831"/>
    <n v="0.14921208384916565"/>
  </r>
  <r>
    <x v="1"/>
    <s v="EGIPTO"/>
    <s v="DOTRA CHEMICALS"/>
    <s v="Consolidado/estratégico"/>
    <s v="SSEG0020EG"/>
    <s v="SAL-WAX Ca"/>
    <n v="20"/>
    <n v="3.76"/>
    <n v="3.9193395499412151"/>
    <n v="0"/>
    <n v="0"/>
    <n v="0"/>
    <n v="0"/>
    <n v="10881.59241612535"/>
    <n v="40914.787484631299"/>
    <n v="0"/>
    <n v="0"/>
    <n v="9892.3567419321316"/>
    <n v="37195.261349664819"/>
    <n v="0"/>
    <n v="0"/>
    <n v="0"/>
    <n v="0"/>
    <n v="0"/>
    <n v="0"/>
    <n v="0"/>
    <n v="0"/>
    <n v="0"/>
    <n v="0"/>
    <n v="0"/>
    <n v="0"/>
    <n v="0"/>
    <n v="0"/>
    <n v="20773.949158057483"/>
    <n v="78110.048834296118"/>
    <n v="0"/>
    <n v="0"/>
    <n v="0"/>
    <n v="0"/>
    <n v="12000"/>
    <n v="47032.074599294567"/>
    <n v="0"/>
    <n v="0"/>
    <n v="10900"/>
    <n v="42720.801094359253"/>
    <n v="0"/>
    <n v="0"/>
    <n v="0"/>
    <n v="0"/>
    <n v="0"/>
    <n v="0"/>
    <n v="0"/>
    <n v="0"/>
    <n v="0"/>
    <n v="0"/>
    <n v="0"/>
    <n v="0"/>
    <n v="0"/>
    <n v="0"/>
    <n v="22900"/>
    <n v="89752.875693653827"/>
    <n v="2126.0508419425169"/>
    <n v="0.10234216064391861"/>
    <n v="11642.826859357709"/>
    <n v="0.14905670951578823"/>
  </r>
  <r>
    <x v="1"/>
    <s v="EGIPTO"/>
    <s v="DOTRA CHEMICALS"/>
    <s v="Consolidado/estratégico"/>
    <s v="SSEG0020EG"/>
    <s v="SALWAX CALCIO EGIPTO, 20 KG"/>
    <n v="20"/>
    <n v="3.7600000000000011"/>
    <n v="3.9193395499412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35644.654837619441"/>
    <n v="0"/>
    <n v="0"/>
    <n v="9479.9613929838924"/>
    <n v="35644.654837619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60"/>
    <n v="40996.291692385101"/>
    <n v="0"/>
    <n v="0"/>
    <n v="10460"/>
    <n v="40996.291692385101"/>
    <n v="980.03860701610756"/>
    <n v="0.10338002090825316"/>
    <n v="5351.6368547656602"/>
    <n v="0.15013855174486168"/>
  </r>
  <r>
    <x v="1"/>
    <s v="ESPAÑA"/>
    <s v="AGROGIMEDEL, S.L.U."/>
    <s v="Baja aportación"/>
    <s v="AGZNP0005"/>
    <s v="AGROXILATO ZN PLUS, 5 KG"/>
    <n v="5"/>
    <n v="6.31"/>
    <n v="6.577402276630071"/>
    <n v="0"/>
    <n v="0"/>
    <n v="0"/>
    <n v="0"/>
    <n v="741.92675564490992"/>
    <n v="4681.5578281193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.92675564490992"/>
    <n v="4681.5578281193821"/>
    <n v="0"/>
    <n v="0"/>
    <n v="0"/>
    <n v="0"/>
    <n v="780"/>
    <n v="5130.3737757714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0"/>
    <n v="5130.3737757714553"/>
    <n v="38.073244355090083"/>
    <n v="5.1316715653414363E-2"/>
    <n v="448.81594765207319"/>
    <n v="9.5868931695406612E-2"/>
  </r>
  <r>
    <x v="1"/>
    <s v="ESPAÑA"/>
    <s v="AGROGIMEDEL, S.L.U."/>
    <s v="Baja aportación"/>
    <s v="AGZNP0005"/>
    <s v="AGROXILATO-ZN PLUS, 5 KG"/>
    <n v="5"/>
    <n v="6.31"/>
    <n v="6.577402276630071"/>
    <n v="0"/>
    <n v="0"/>
    <n v="0"/>
    <n v="0"/>
    <n v="0"/>
    <n v="0"/>
    <n v="0"/>
    <n v="0"/>
    <n v="0"/>
    <n v="0"/>
    <n v="0"/>
    <n v="0"/>
    <n v="0"/>
    <n v="0"/>
    <n v="0"/>
    <n v="0"/>
    <n v="663.59729750887254"/>
    <n v="4187.2989472809859"/>
    <n v="0"/>
    <n v="0"/>
    <n v="0"/>
    <n v="0"/>
    <n v="189.59922785967791"/>
    <n v="1196.371127794567"/>
    <n v="853.19652536855051"/>
    <n v="5383.6700750755526"/>
    <n v="0"/>
    <n v="0"/>
    <n v="0"/>
    <n v="0"/>
    <n v="0"/>
    <n v="0"/>
    <n v="0"/>
    <n v="0"/>
    <n v="0"/>
    <n v="0"/>
    <n v="0"/>
    <n v="0"/>
    <n v="0"/>
    <n v="0"/>
    <n v="0"/>
    <n v="0"/>
    <n v="695"/>
    <n v="4571.2945822578986"/>
    <n v="0"/>
    <n v="0"/>
    <n v="0"/>
    <n v="0"/>
    <n v="200"/>
    <n v="1315.480455326014"/>
    <n v="895"/>
    <n v="5886.7750375839123"/>
    <n v="41.80347463144949"/>
    <n v="4.8996302010714213E-2"/>
    <n v="503.10496250835968"/>
    <n v="9.3450184631029651E-2"/>
  </r>
  <r>
    <x v="1"/>
    <s v="ESPAÑA"/>
    <s v="AGRONEW FITO, S.L."/>
    <s v="Consolidado/estratégico"/>
    <s v="AGRMGN0020"/>
    <s v="AGROXIGREEN-MG, 20 L"/>
    <n v="20"/>
    <n v="2.81"/>
    <n v="2.9290808870571312"/>
    <n v="0"/>
    <n v="0"/>
    <n v="0"/>
    <n v="0"/>
    <n v="3165.554157418283"/>
    <n v="8895.2071823453734"/>
    <n v="1266.221662967313"/>
    <n v="3558.0828729381501"/>
    <n v="633.11083148365651"/>
    <n v="1779.0414364690751"/>
    <n v="0"/>
    <n v="0"/>
    <n v="0"/>
    <n v="0"/>
    <n v="0"/>
    <n v="0"/>
    <n v="0"/>
    <n v="0"/>
    <n v="0"/>
    <n v="0"/>
    <n v="0"/>
    <n v="0"/>
    <n v="0"/>
    <n v="0"/>
    <n v="5064.8866518692521"/>
    <n v="14232.331491752599"/>
    <n v="0"/>
    <n v="0"/>
    <n v="0"/>
    <n v="0"/>
    <n v="3820"/>
    <n v="11189.08898855824"/>
    <n v="1520"/>
    <n v="4452.2029483268398"/>
    <n v="760"/>
    <n v="2226.1014741634199"/>
    <n v="0"/>
    <n v="0"/>
    <n v="0"/>
    <n v="0"/>
    <n v="0"/>
    <n v="0"/>
    <n v="0"/>
    <n v="0"/>
    <n v="0"/>
    <n v="0"/>
    <n v="0"/>
    <n v="0"/>
    <n v="0"/>
    <n v="0"/>
    <n v="6100"/>
    <n v="17867.393411048499"/>
    <n v="1035.1133481307479"/>
    <n v="0.20437048630668328"/>
    <n v="3635.0619192959002"/>
    <n v="0.25540874461800994"/>
  </r>
  <r>
    <x v="1"/>
    <s v="ESPAÑA"/>
    <s v="AGRONEW FITO, S.L."/>
    <s v="Consolidado/estratégico"/>
    <s v="AGXK0020"/>
    <s v="AGROXILATO-K, 20 L"/>
    <n v="20"/>
    <n v="2.82"/>
    <n v="2.9395046624559118"/>
    <n v="633.11083148365651"/>
    <n v="1785.3725447839111"/>
    <n v="633.11083148365651"/>
    <n v="1785.3725447839111"/>
    <n v="0"/>
    <n v="0"/>
    <n v="1899.3324944509691"/>
    <n v="5356.1176343517336"/>
    <n v="0"/>
    <n v="0"/>
    <n v="0"/>
    <n v="0"/>
    <n v="0"/>
    <n v="0"/>
    <n v="0"/>
    <n v="0"/>
    <n v="0"/>
    <n v="0"/>
    <n v="0"/>
    <n v="0"/>
    <n v="1213.4350583019379"/>
    <n v="3421.8868644114659"/>
    <n v="0"/>
    <n v="0"/>
    <n v="4378.9892157202203"/>
    <n v="12348.749588331022"/>
    <n v="700"/>
    <n v="2057.6532637191381"/>
    <n v="700"/>
    <n v="2057.6532637191381"/>
    <n v="0"/>
    <n v="0"/>
    <n v="2100"/>
    <n v="6172.9597911574147"/>
    <n v="0"/>
    <n v="0"/>
    <n v="0"/>
    <n v="0"/>
    <n v="0"/>
    <n v="0"/>
    <n v="0"/>
    <n v="0"/>
    <n v="0"/>
    <n v="0"/>
    <n v="0"/>
    <n v="0"/>
    <n v="1340"/>
    <n v="3938.9362476909209"/>
    <n v="0"/>
    <n v="0"/>
    <n v="4840"/>
    <n v="14227.202566286613"/>
    <n v="461.01078427977973"/>
    <n v="0.10527789897832769"/>
    <n v="1878.4529779555905"/>
    <n v="0.1521168572185348"/>
  </r>
  <r>
    <x v="1"/>
    <s v="ESPAÑA"/>
    <s v="AGRONEW FITO, S.L."/>
    <s v="Consolidado/estratégico"/>
    <s v="AGXK1000"/>
    <s v="AGROXILATO-K, 1000 L"/>
    <n v="1000"/>
    <n v="2.48"/>
    <n v="2.5850962988973971"/>
    <n v="2967.7070225796401"/>
    <n v="7359.9134159975056"/>
    <n v="0"/>
    <n v="0"/>
    <n v="2967.7070225796401"/>
    <n v="7359.9134159975056"/>
    <n v="989.23567419321319"/>
    <n v="2453.304471999169"/>
    <n v="0"/>
    <n v="0"/>
    <n v="0"/>
    <n v="0"/>
    <n v="0"/>
    <n v="0"/>
    <n v="0"/>
    <n v="0"/>
    <n v="1895.992278596779"/>
    <n v="4702.060850920011"/>
    <n v="0"/>
    <n v="0"/>
    <n v="1895.992278596779"/>
    <n v="4702.060850920011"/>
    <n v="0"/>
    <n v="0"/>
    <n v="10716.634276546052"/>
    <n v="26577.253005834202"/>
    <n v="3000"/>
    <n v="7755.288896692191"/>
    <n v="0"/>
    <n v="0"/>
    <n v="3000"/>
    <n v="7755.288896692191"/>
    <n v="1000"/>
    <n v="2585.096298897397"/>
    <n v="0"/>
    <n v="0"/>
    <n v="0"/>
    <n v="0"/>
    <n v="0"/>
    <n v="0"/>
    <n v="0"/>
    <n v="0"/>
    <n v="2000"/>
    <n v="5170.1925977947931"/>
    <n v="0"/>
    <n v="0"/>
    <n v="2000"/>
    <n v="5170.1925977947931"/>
    <n v="0"/>
    <n v="0"/>
    <n v="11000"/>
    <n v="28436.059287871365"/>
    <n v="283.36572345394779"/>
    <n v="2.6441671530595141E-2"/>
    <n v="1858.8062820371633"/>
    <n v="6.9939744398306358E-2"/>
  </r>
  <r>
    <x v="1"/>
    <s v="ESPAÑA"/>
    <s v="AGRONEW FITO, S.L."/>
    <s v="Consolidado/estratégico"/>
    <s v="AGZ-M0005"/>
    <s v="AGROXILATO-ZN-MN, 5 KG"/>
    <n v="5"/>
    <n v="5.6138846852209232"/>
    <n v="5.8519876917626776"/>
    <n v="0"/>
    <n v="0"/>
    <n v="0"/>
    <n v="0"/>
    <n v="0"/>
    <n v="0"/>
    <n v="0"/>
    <n v="0"/>
    <n v="321.50159411279429"/>
    <n v="1996.5248994404531"/>
    <n v="0"/>
    <n v="0"/>
    <n v="0"/>
    <n v="0"/>
    <n v="0"/>
    <n v="0"/>
    <n v="284.39884178951678"/>
    <n v="1404.930278440213"/>
    <n v="0"/>
    <n v="0"/>
    <n v="0"/>
    <n v="0"/>
    <n v="0"/>
    <n v="0"/>
    <n v="605.90043590231107"/>
    <n v="3401.4551778806663"/>
    <n v="0"/>
    <n v="0"/>
    <n v="0"/>
    <n v="0"/>
    <n v="0"/>
    <n v="0"/>
    <n v="0"/>
    <n v="0"/>
    <n v="345"/>
    <n v="2233.2417603115841"/>
    <n v="0"/>
    <n v="0"/>
    <n v="0"/>
    <n v="0"/>
    <n v="0"/>
    <n v="0"/>
    <n v="305"/>
    <n v="1570.5502393341569"/>
    <n v="0"/>
    <n v="0"/>
    <n v="0"/>
    <n v="0"/>
    <n v="0"/>
    <n v="0"/>
    <n v="650"/>
    <n v="3803.7919996457413"/>
    <n v="44.099564097688926"/>
    <n v="7.278351604420874E-2"/>
    <n v="402.336821765075"/>
    <n v="0.11828373467374564"/>
  </r>
  <r>
    <x v="1"/>
    <s v="ESPAÑA"/>
    <s v="AGRONEW FITO, S.L."/>
    <s v="Consolidado/estratégico"/>
    <s v="AGZNP0005"/>
    <s v="AGROXILATO-ZN PLUS, 5 KG"/>
    <n v="5"/>
    <n v="7.23"/>
    <n v="7.5363896133178132"/>
    <n v="0"/>
    <n v="0"/>
    <n v="0"/>
    <n v="0"/>
    <n v="0"/>
    <n v="0"/>
    <n v="0"/>
    <n v="0"/>
    <n v="0"/>
    <n v="0"/>
    <n v="0"/>
    <n v="0"/>
    <n v="0"/>
    <n v="0"/>
    <n v="197.84713483864269"/>
    <n v="1430.4347848833861"/>
    <n v="0"/>
    <n v="0"/>
    <n v="0"/>
    <n v="0"/>
    <n v="0"/>
    <n v="0"/>
    <n v="0"/>
    <n v="0"/>
    <n v="197.84713483864269"/>
    <n v="1430.4347848833861"/>
    <n v="0"/>
    <n v="0"/>
    <n v="0"/>
    <n v="0"/>
    <n v="0"/>
    <n v="0"/>
    <n v="0"/>
    <n v="0"/>
    <n v="0"/>
    <n v="0"/>
    <n v="0"/>
    <n v="0"/>
    <n v="0"/>
    <n v="0"/>
    <n v="210"/>
    <n v="1582.6418187967411"/>
    <n v="0"/>
    <n v="0"/>
    <n v="0"/>
    <n v="0"/>
    <n v="0"/>
    <n v="0"/>
    <n v="0"/>
    <n v="0"/>
    <n v="210"/>
    <n v="1582.6418187967411"/>
    <n v="12.152865161357312"/>
    <n v="6.142553022700465E-2"/>
    <n v="152.20703391335496"/>
    <n v="0.10640613296170884"/>
  </r>
  <r>
    <x v="1"/>
    <s v="ESPAÑA"/>
    <s v="AGRONEW FITO, S.L."/>
    <s v="Consolidado/estratégico"/>
    <s v="AN0020"/>
    <s v="ALCAPLANT NEW, 20 KG"/>
    <n v="20"/>
    <n v="1.53"/>
    <n v="1.5948376360133141"/>
    <n v="0"/>
    <n v="0"/>
    <n v="0"/>
    <n v="0"/>
    <n v="0"/>
    <n v="0"/>
    <n v="6528.9554496752071"/>
    <n v="9989.301838003068"/>
    <n v="8705.2739329002761"/>
    <n v="13319.06911733742"/>
    <n v="0"/>
    <n v="0"/>
    <n v="0"/>
    <n v="0"/>
    <n v="0"/>
    <n v="0"/>
    <n v="0"/>
    <n v="0"/>
    <n v="0"/>
    <n v="0"/>
    <n v="568.79768357903356"/>
    <n v="870.26045587592137"/>
    <n v="0"/>
    <n v="0"/>
    <n v="15803.027066154516"/>
    <n v="24178.631411216411"/>
    <n v="0"/>
    <n v="0"/>
    <n v="0"/>
    <n v="0"/>
    <n v="0"/>
    <n v="0"/>
    <n v="7200"/>
    <n v="11482.830979295861"/>
    <n v="9600"/>
    <n v="15310.441305727811"/>
    <n v="0"/>
    <n v="0"/>
    <n v="0"/>
    <n v="0"/>
    <n v="0"/>
    <n v="0"/>
    <n v="0"/>
    <n v="0"/>
    <n v="0"/>
    <n v="0"/>
    <n v="620"/>
    <n v="988.7993343282543"/>
    <n v="0"/>
    <n v="0"/>
    <n v="17420"/>
    <n v="27782.071619351926"/>
    <n v="1616.9729338454836"/>
    <n v="0.10232045588965477"/>
    <n v="3603.4402081355147"/>
    <n v="0.14903408496743481"/>
  </r>
  <r>
    <x v="1"/>
    <s v="ESPAÑA"/>
    <s v="AGRONEW FITO, S.L."/>
    <s v="Consolidado/estratégico"/>
    <s v="ANAE0020"/>
    <s v="ALCAPLANT NEW AE, 20 KG"/>
    <n v="20"/>
    <n v="1.6637837837837841"/>
    <n v="1.734259956677292"/>
    <n v="0"/>
    <n v="0"/>
    <n v="0"/>
    <n v="0"/>
    <n v="0"/>
    <n v="0"/>
    <n v="2176.318483225069"/>
    <n v="3656.2150518181161"/>
    <n v="1879.5477809671049"/>
    <n v="3038.9319911215512"/>
    <n v="3264.477724837604"/>
    <n v="5484.3225777271746"/>
    <n v="0"/>
    <n v="0"/>
    <n v="0"/>
    <n v="0"/>
    <n v="2085.591506456457"/>
    <n v="3469.9733280394462"/>
    <n v="1042.795753228228"/>
    <n v="1734.9866640197231"/>
    <n v="0"/>
    <n v="0"/>
    <n v="0"/>
    <n v="0"/>
    <n v="10448.731248714463"/>
    <n v="17384.42961272601"/>
    <n v="0"/>
    <n v="0"/>
    <n v="0"/>
    <n v="0"/>
    <n v="0"/>
    <n v="0"/>
    <n v="2400"/>
    <n v="4202.8662407880274"/>
    <n v="2080"/>
    <n v="3505.5485837951251"/>
    <n v="3600"/>
    <n v="6304.2993611820393"/>
    <n v="0"/>
    <n v="0"/>
    <n v="0"/>
    <n v="0"/>
    <n v="2300"/>
    <n v="3988.8689490876709"/>
    <n v="1140"/>
    <n v="1977.0915660695409"/>
    <n v="0"/>
    <n v="0"/>
    <n v="0"/>
    <n v="0"/>
    <n v="11520"/>
    <n v="19978.674700922405"/>
    <n v="1071.2687512855373"/>
    <n v="0.1025262039749887"/>
    <n v="2594.245088196396"/>
    <n v="0.14922808202446389"/>
  </r>
  <r>
    <x v="1"/>
    <s v="ESPAÑA"/>
    <s v="AGRONEW FITO, S.L."/>
    <s v="Consolidado/estratégico"/>
    <s v="C-MB0020"/>
    <s v="CODIFOL-MB, 20 L"/>
    <n v="20"/>
    <n v="6.7200000000000006"/>
    <n v="7.0047770679800436"/>
    <n v="0"/>
    <n v="0"/>
    <n v="969.45096070934892"/>
    <n v="6514.7104559668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9.45096070934892"/>
    <n v="6514.7104559668251"/>
    <n v="0"/>
    <n v="0"/>
    <n v="1040"/>
    <n v="7284.968150699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7284.9681506992456"/>
    <n v="70.549039290651081"/>
    <n v="7.2772158830014699E-2"/>
    <n v="770.25769473242053"/>
    <n v="0.1182336037708232"/>
  </r>
  <r>
    <x v="1"/>
    <s v="ESPAÑA"/>
    <s v="AGRONEW FITO, S.L."/>
    <s v="Consolidado/estratégico"/>
    <s v="CZNMNES0005"/>
    <s v="CODIFOL ZN-MN, 5 KG"/>
    <n v="5"/>
    <n v="4.79"/>
    <n v="4.9929884160155371"/>
    <n v="0"/>
    <n v="0"/>
    <n v="0"/>
    <n v="0"/>
    <n v="0"/>
    <n v="0"/>
    <n v="197.84713483864269"/>
    <n v="947.68777587709826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947.68777587709826"/>
    <n v="0"/>
    <n v="0"/>
    <n v="0"/>
    <n v="0"/>
    <n v="0"/>
    <n v="0"/>
    <n v="210"/>
    <n v="1048.527567363263"/>
    <n v="0"/>
    <n v="0"/>
    <n v="0"/>
    <n v="0"/>
    <n v="0"/>
    <n v="0"/>
    <n v="0"/>
    <n v="0"/>
    <n v="0"/>
    <n v="0"/>
    <n v="0"/>
    <n v="0"/>
    <n v="0"/>
    <n v="0"/>
    <n v="0"/>
    <n v="0"/>
    <n v="210"/>
    <n v="1048.527567363263"/>
    <n v="12.152865161357312"/>
    <n v="6.142553022700465E-2"/>
    <n v="100.8397914861647"/>
    <n v="0.10640613296170889"/>
  </r>
  <r>
    <x v="1"/>
    <s v="ESPAÑA"/>
    <s v="AGRONEW FITO, S.L."/>
    <s v="Consolidado/estratégico"/>
    <s v="G30020"/>
    <s v="GREEN-UP, 20 L"/>
    <n v="20"/>
    <n v="4.8099999999999996"/>
    <n v="5.0138359668130974"/>
    <n v="0"/>
    <n v="0"/>
    <n v="197.84713483864269"/>
    <n v="951.64471857387116"/>
    <n v="593.54140451592798"/>
    <n v="2854.934155721613"/>
    <n v="0"/>
    <n v="0"/>
    <n v="0"/>
    <n v="0"/>
    <n v="0"/>
    <n v="0"/>
    <n v="197.84713483864269"/>
    <n v="951.64471857387116"/>
    <n v="0"/>
    <n v="0"/>
    <n v="0"/>
    <n v="0"/>
    <n v="0"/>
    <n v="0"/>
    <n v="0"/>
    <n v="0"/>
    <n v="0"/>
    <n v="0"/>
    <n v="989.2356741932133"/>
    <n v="4758.2235928693553"/>
    <n v="0"/>
    <n v="0"/>
    <n v="220"/>
    <n v="1103.0439126988811"/>
    <n v="660"/>
    <n v="3309.1317380966439"/>
    <n v="0"/>
    <n v="0"/>
    <n v="0"/>
    <n v="0"/>
    <n v="0"/>
    <n v="0"/>
    <n v="220"/>
    <n v="1103.0439126988811"/>
    <n v="0"/>
    <n v="0"/>
    <n v="0"/>
    <n v="0"/>
    <n v="0"/>
    <n v="0"/>
    <n v="0"/>
    <n v="0"/>
    <n v="0"/>
    <n v="0"/>
    <n v="1100"/>
    <n v="5515.2195634944064"/>
    <n v="110.7643258067867"/>
    <n v="0.11196960309495742"/>
    <n v="756.99597062505109"/>
    <n v="0.15909213929321872"/>
  </r>
  <r>
    <x v="1"/>
    <s v="ESPAÑA"/>
    <s v="AGRONEW FITO, S.L."/>
    <s v="Consolidado/estratégico"/>
    <s v="N0020"/>
    <s v="NUTRICALE, 20 L"/>
    <n v="20"/>
    <n v="2.233207547169811"/>
    <n v="2.3277305169275229"/>
    <n v="0"/>
    <n v="0"/>
    <n v="0"/>
    <n v="0"/>
    <n v="0"/>
    <n v="0"/>
    <n v="197.84713483864269"/>
    <n v="435.26369664501379"/>
    <n v="633.11083148365651"/>
    <n v="1392.843829264044"/>
    <n v="633.11083148365651"/>
    <n v="1392.843829264044"/>
    <n v="0"/>
    <n v="0"/>
    <n v="633.11083148365651"/>
    <n v="1462.486020727247"/>
    <n v="0"/>
    <n v="0"/>
    <n v="0"/>
    <n v="0"/>
    <n v="0"/>
    <n v="0"/>
    <n v="0"/>
    <n v="0"/>
    <n v="2097.1796292896124"/>
    <n v="4683.4373759003483"/>
    <n v="0"/>
    <n v="0"/>
    <n v="0"/>
    <n v="0"/>
    <n v="0"/>
    <n v="0"/>
    <n v="220"/>
    <n v="504.51072930094352"/>
    <n v="680"/>
    <n v="1559.396799657462"/>
    <n v="680"/>
    <n v="1559.396799657462"/>
    <n v="0"/>
    <n v="0"/>
    <n v="680"/>
    <n v="1637.3666396403351"/>
    <n v="0"/>
    <n v="0"/>
    <n v="0"/>
    <n v="0"/>
    <n v="0"/>
    <n v="0"/>
    <n v="0"/>
    <n v="0"/>
    <n v="2260"/>
    <n v="5260.6709682562032"/>
    <n v="162.82037071038758"/>
    <n v="7.7637780014838551E-2"/>
    <n v="577.23359235585485"/>
    <n v="0.12324998628702427"/>
  </r>
  <r>
    <x v="1"/>
    <s v="ESPAÑA"/>
    <s v="AGRONEW FITO, S.L."/>
    <s v="Consolidado/estratégico"/>
    <s v="N0200"/>
    <s v="NUTRICALE, 200 L"/>
    <n v="200"/>
    <n v="2.11"/>
    <n v="2.1994166091425442"/>
    <n v="0"/>
    <n v="0"/>
    <n v="0"/>
    <n v="0"/>
    <n v="989.23567419321319"/>
    <n v="2087.28727254768"/>
    <n v="989.23567419321319"/>
    <n v="2087.28727254768"/>
    <n v="0"/>
    <n v="0"/>
    <n v="0"/>
    <n v="0"/>
    <n v="0"/>
    <n v="0"/>
    <n v="0"/>
    <n v="0"/>
    <n v="0"/>
    <n v="0"/>
    <n v="0"/>
    <n v="0"/>
    <n v="0"/>
    <n v="0"/>
    <n v="0"/>
    <n v="0"/>
    <n v="1978.4713483864264"/>
    <n v="4174.57454509536"/>
    <n v="0"/>
    <n v="0"/>
    <n v="0"/>
    <n v="0"/>
    <n v="1000"/>
    <n v="2199.4166091425441"/>
    <n v="1000"/>
    <n v="2199.4166091425441"/>
    <n v="0"/>
    <n v="0"/>
    <n v="0"/>
    <n v="0"/>
    <n v="0"/>
    <n v="0"/>
    <n v="0"/>
    <n v="0"/>
    <n v="0"/>
    <n v="0"/>
    <n v="0"/>
    <n v="0"/>
    <n v="0"/>
    <n v="0"/>
    <n v="0"/>
    <n v="0"/>
    <n v="2000"/>
    <n v="4398.8332182850882"/>
    <n v="21.528651613573629"/>
    <n v="1.0881457359052311E-2"/>
    <n v="224.25867318972814"/>
    <n v="5.3720126630199004E-2"/>
  </r>
  <r>
    <x v="1"/>
    <s v="ESPAÑA"/>
    <s v="AGRONEW FITO, S.L."/>
    <s v="Consolidado/estratégico"/>
    <s v="PT0020"/>
    <s v="AGROPOTASION, 20 L"/>
    <n v="20"/>
    <n v="2.96"/>
    <n v="3.085437518038828"/>
    <n v="0"/>
    <n v="0"/>
    <n v="0"/>
    <n v="0"/>
    <n v="633.11083148365651"/>
    <n v="1874.008061191623"/>
    <n v="3165.554157418283"/>
    <n v="9370.0403059581149"/>
    <n v="0"/>
    <n v="0"/>
    <n v="0"/>
    <n v="0"/>
    <n v="1266.221662967313"/>
    <n v="3748.016122383247"/>
    <n v="0"/>
    <n v="0"/>
    <n v="1820.152587452907"/>
    <n v="5387.6516588606064"/>
    <n v="0"/>
    <n v="0"/>
    <n v="1213.4350583019379"/>
    <n v="3591.7677725737381"/>
    <n v="0"/>
    <n v="0"/>
    <n v="8098.4742976240968"/>
    <n v="23971.48392096733"/>
    <n v="0"/>
    <n v="0"/>
    <n v="0"/>
    <n v="0"/>
    <n v="700"/>
    <n v="2159.8062626271799"/>
    <n v="3500"/>
    <n v="10799.0313131359"/>
    <n v="0"/>
    <n v="0"/>
    <n v="0"/>
    <n v="0"/>
    <n v="1400"/>
    <n v="4319.6125252543598"/>
    <n v="0"/>
    <n v="0"/>
    <n v="2000"/>
    <n v="6170.8750360776576"/>
    <n v="0"/>
    <n v="0"/>
    <n v="1340"/>
    <n v="4134.4862741720308"/>
    <n v="0"/>
    <n v="0"/>
    <n v="8940"/>
    <n v="27583.811411267128"/>
    <n v="841.52570237590317"/>
    <n v="0.10391163464243965"/>
    <n v="3612.3274902997982"/>
    <n v="0.1506926939612685"/>
  </r>
  <r>
    <x v="1"/>
    <s v="ESPAÑA"/>
    <s v="AGRONEW FITO, S.L."/>
    <s v="Consolidado/estratégico"/>
    <s v="RUN0020"/>
    <s v="RUN STRESS, 20 L"/>
    <n v="20"/>
    <n v="7.1699999999999982"/>
    <n v="7.4738469609251341"/>
    <n v="0"/>
    <n v="0"/>
    <n v="0"/>
    <n v="0"/>
    <n v="257.20127529023551"/>
    <n v="1844.133143830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.20127529023551"/>
    <n v="1844.133143830988"/>
    <n v="0"/>
    <n v="0"/>
    <n v="0"/>
    <n v="0"/>
    <n v="320"/>
    <n v="2391.6310274960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2391.6310274960429"/>
    <n v="62.798724709764485"/>
    <n v="0.24416179367267934"/>
    <n v="547.49788366505481"/>
    <n v="0.29688630969870589"/>
  </r>
  <r>
    <x v="1"/>
    <s v="ESPAÑA"/>
    <s v="AGRONEW FITO, S.L."/>
    <s v="Consolidado/estratégico"/>
    <s v="S0020"/>
    <s v="SAL-WAX STAR, 20 L"/>
    <n v="20"/>
    <n v="1.629"/>
    <n v="1.6980330124612339"/>
    <n v="633.11083148365651"/>
    <n v="1031.33754448687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031.3375444868759"/>
    <n v="680"/>
    <n v="1154.662448473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154.662448473639"/>
    <n v="46.889168516343489"/>
    <n v="7.4061548443992958E-2"/>
    <n v="123.32490398676305"/>
    <n v="0.11957763454458667"/>
  </r>
  <r>
    <x v="1"/>
    <s v="ESPAÑA"/>
    <s v="AGRONEW FITO, S.L."/>
    <s v="Consolidado/estratégico"/>
    <s v="S1000"/>
    <s v="SAL-WAX STAR, 1000 L"/>
    <n v="1000"/>
    <n v="1.4737499999999999"/>
    <n v="1.536203899395177"/>
    <n v="989.23567419321319"/>
    <n v="1451.2087340414439"/>
    <n v="1978.4713483864259"/>
    <n v="2920.2237102183649"/>
    <n v="989.23567419321319"/>
    <n v="1460.1118551091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23"/>
    <n v="5831.5442993689921"/>
    <n v="1000"/>
    <n v="1529.1678510010011"/>
    <n v="2000"/>
    <n v="3077.098497719805"/>
    <n v="1000"/>
    <n v="1538.549248859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6144.8155975807085"/>
    <n v="43.057303227147713"/>
    <n v="1.0881457359052427E-2"/>
    <n v="313.27129821171638"/>
    <n v="5.3720126630198831E-2"/>
  </r>
  <r>
    <x v="1"/>
    <s v="ESPAÑA"/>
    <s v="AGRONEW FITO, S.L."/>
    <s v="Consolidado/estratégico"/>
    <s v="S1000"/>
    <s v="SALWAX STAR, 1000 L"/>
    <n v="1000"/>
    <n v="1.505818293653586"/>
    <n v="1.570211336726226"/>
    <n v="0"/>
    <n v="0"/>
    <n v="0"/>
    <n v="0"/>
    <n v="0"/>
    <n v="0"/>
    <n v="989.23567419321319"/>
    <n v="1460.1118551091829"/>
    <n v="0"/>
    <n v="0"/>
    <n v="890.31210677389186"/>
    <n v="1460.1118551091829"/>
    <n v="0"/>
    <n v="0"/>
    <n v="0"/>
    <n v="0"/>
    <n v="4739.9806964919462"/>
    <n v="7107.5608850617391"/>
    <n v="4739.9806964919462"/>
    <n v="7107.5608850617391"/>
    <n v="4739.9806964919462"/>
    <n v="7107.5608850617391"/>
    <n v="0"/>
    <n v="0"/>
    <n v="16099.489870442943"/>
    <n v="24242.906365403582"/>
    <n v="0"/>
    <n v="0"/>
    <n v="0"/>
    <n v="0"/>
    <n v="0"/>
    <n v="0"/>
    <n v="1000"/>
    <n v="1538.549248859902"/>
    <n v="0"/>
    <n v="0"/>
    <n v="1000"/>
    <n v="1709.499165399892"/>
    <n v="0"/>
    <n v="0"/>
    <n v="0"/>
    <n v="0"/>
    <n v="5000"/>
    <n v="7815.1814366953513"/>
    <n v="5000"/>
    <n v="7815.1814366953513"/>
    <n v="5000"/>
    <n v="7815.1814366953513"/>
    <n v="0"/>
    <n v="0"/>
    <n v="17000"/>
    <n v="26693.592724345846"/>
    <n v="900.51012955705664"/>
    <n v="5.5934078458616469E-2"/>
    <n v="2450.6863589422646"/>
    <n v="0.10108880189545158"/>
  </r>
  <r>
    <x v="1"/>
    <s v="ESPAÑA"/>
    <s v="AGRONEW FITO, S.L."/>
    <s v="Consolidado/estratégico"/>
    <s v="WHITE0020"/>
    <s v="AGROWHITE, 20 KG"/>
    <n v="20"/>
    <n v="1.76"/>
    <n v="1.8345844701852501"/>
    <n v="0"/>
    <n v="0"/>
    <n v="0"/>
    <n v="0"/>
    <n v="0"/>
    <n v="0"/>
    <n v="0"/>
    <n v="0"/>
    <n v="197.84713483864269"/>
    <n v="348.21095731601099"/>
    <n v="0"/>
    <n v="0"/>
    <n v="0"/>
    <n v="0"/>
    <n v="0"/>
    <n v="0"/>
    <n v="0"/>
    <n v="0"/>
    <n v="0"/>
    <n v="0"/>
    <n v="0"/>
    <n v="0"/>
    <n v="0"/>
    <n v="0"/>
    <n v="197.84713483864269"/>
    <n v="348.21095731601099"/>
    <n v="0"/>
    <n v="0"/>
    <n v="0"/>
    <n v="0"/>
    <n v="0"/>
    <n v="0"/>
    <n v="0"/>
    <n v="0"/>
    <n v="220"/>
    <n v="403.6085834407549"/>
    <n v="0"/>
    <n v="0"/>
    <n v="0"/>
    <n v="0"/>
    <n v="0"/>
    <n v="0"/>
    <n v="0"/>
    <n v="0"/>
    <n v="0"/>
    <n v="0"/>
    <n v="0"/>
    <n v="0"/>
    <n v="0"/>
    <n v="0"/>
    <n v="220"/>
    <n v="403.6085834407549"/>
    <n v="22.152865161357312"/>
    <n v="0.11196960309495725"/>
    <n v="55.397626124743908"/>
    <n v="0.15909213929321886"/>
  </r>
  <r>
    <x v="1"/>
    <s v="ESPAÑA"/>
    <s v="AGROREBOLLO, S.L."/>
    <s v="En desarrollo/nuevo"/>
    <s v="AGZNP0005"/>
    <s v="AGROXILATO ZN PLUS, 5 KG"/>
    <n v="5"/>
    <n v="6.7550000000000008"/>
    <n v="7.0412602818757737"/>
    <n v="0"/>
    <n v="0"/>
    <n v="0"/>
    <n v="0"/>
    <n v="1483.8535112898201"/>
    <n v="10023.43046876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3.8535112898201"/>
    <n v="10023.43046876273"/>
    <n v="0"/>
    <n v="0"/>
    <n v="0"/>
    <n v="0"/>
    <n v="1815"/>
    <n v="12779.88741160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5"/>
    <n v="12779.88741160453"/>
    <n v="331.14648871017994"/>
    <n v="0.22316656340445307"/>
    <n v="2756.4569428417999"/>
    <n v="0.27500135322254105"/>
  </r>
  <r>
    <x v="1"/>
    <s v="ESPAÑA"/>
    <s v="AGROREBOLLO, S.L."/>
    <s v="En desarrollo/nuevo"/>
    <s v="AGZNP0005"/>
    <s v="AGROXILATO-ZN PLUS, 5 KG"/>
    <n v="5"/>
    <n v="6.7550000000000008"/>
    <n v="7.0412602818757719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3201.8569604803101"/>
    <n v="0"/>
    <n v="0"/>
    <n v="0"/>
    <n v="0"/>
    <n v="710.99710447379198"/>
    <n v="4802.785440720465"/>
    <n v="1184.9951741229866"/>
    <n v="8004.6424012007756"/>
    <n v="0"/>
    <n v="0"/>
    <n v="0"/>
    <n v="0"/>
    <n v="0"/>
    <n v="0"/>
    <n v="0"/>
    <n v="0"/>
    <n v="0"/>
    <n v="0"/>
    <n v="0"/>
    <n v="0"/>
    <n v="0"/>
    <n v="0"/>
    <n v="0"/>
    <n v="0"/>
    <n v="580"/>
    <n v="4083.9309634879478"/>
    <n v="0"/>
    <n v="0"/>
    <n v="0"/>
    <n v="0"/>
    <n v="870"/>
    <n v="6125.8964452319224"/>
    <n v="1450"/>
    <n v="10209.82740871987"/>
    <n v="265.00482587701345"/>
    <n v="0.2236336751946211"/>
    <n v="2205.1850075190941"/>
    <n v="0.27548826006122329"/>
  </r>
  <r>
    <x v="1"/>
    <s v="ESPAÑA"/>
    <s v="AGROREBOLLO, S.L."/>
    <s v="En desarrollo/nuevo"/>
    <s v="AQUOM0020"/>
    <s v="AQUOM, 20 L"/>
    <n v="20"/>
    <n v="11.4"/>
    <n v="11.883103954609"/>
    <n v="0"/>
    <n v="0"/>
    <n v="0"/>
    <n v="0"/>
    <n v="0"/>
    <n v="0"/>
    <n v="0"/>
    <n v="0"/>
    <n v="0"/>
    <n v="0"/>
    <n v="0"/>
    <n v="0"/>
    <n v="0"/>
    <n v="0"/>
    <n v="98.92356741932133"/>
    <n v="1127.728668580263"/>
    <n v="0"/>
    <n v="0"/>
    <n v="0"/>
    <n v="0"/>
    <n v="0"/>
    <n v="0"/>
    <n v="0"/>
    <n v="0"/>
    <n v="98.92356741932133"/>
    <n v="1127.728668580263"/>
    <n v="0"/>
    <n v="0"/>
    <n v="0"/>
    <n v="0"/>
    <n v="0"/>
    <n v="0"/>
    <n v="0"/>
    <n v="0"/>
    <n v="0"/>
    <n v="0"/>
    <n v="0"/>
    <n v="0"/>
    <n v="0"/>
    <n v="0"/>
    <n v="140"/>
    <n v="1663.63455364526"/>
    <n v="0"/>
    <n v="0"/>
    <n v="0"/>
    <n v="0"/>
    <n v="0"/>
    <n v="0"/>
    <n v="0"/>
    <n v="0"/>
    <n v="140"/>
    <n v="1663.63455364526"/>
    <n v="41.07643258067867"/>
    <n v="0.41523404030267308"/>
    <n v="535.90588506499694"/>
    <n v="0.47520817728227799"/>
  </r>
  <r>
    <x v="1"/>
    <s v="ESPAÑA"/>
    <s v="AGROSER BERNARDINO, S.L."/>
    <s v="Consolidado/estratégico"/>
    <s v="AGRMGN0020"/>
    <s v="AGROXIGREEN-MG, 20 L"/>
    <n v="20"/>
    <n v="3.03"/>
    <n v="3.1584039458302868"/>
    <n v="0"/>
    <n v="0"/>
    <n v="0"/>
    <n v="0"/>
    <n v="0"/>
    <n v="0"/>
    <n v="633.11083148365651"/>
    <n v="1918.3258193954789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918.3258193954789"/>
    <n v="0"/>
    <n v="0"/>
    <n v="0"/>
    <n v="0"/>
    <n v="0"/>
    <n v="0"/>
    <n v="760"/>
    <n v="2400.386998831018"/>
    <n v="0"/>
    <n v="0"/>
    <n v="0"/>
    <n v="0"/>
    <n v="0"/>
    <n v="0"/>
    <n v="0"/>
    <n v="0"/>
    <n v="0"/>
    <n v="0"/>
    <n v="0"/>
    <n v="0"/>
    <n v="0"/>
    <n v="0"/>
    <n v="0"/>
    <n v="0"/>
    <n v="760"/>
    <n v="2400.386998831018"/>
    <n v="126.88916851634349"/>
    <n v="0.20042173061387447"/>
    <n v="482.06117943553909"/>
    <n v="0.25129265037336085"/>
  </r>
  <r>
    <x v="1"/>
    <s v="ESPAÑA"/>
    <s v="AGROSER BERNARDINO, S.L."/>
    <s v="Consolidado/estratégico"/>
    <s v="AGXK1000"/>
    <s v="AGROXILATO-K, 1000 L"/>
    <n v="1000"/>
    <n v="2.67"/>
    <n v="2.7831480314742141"/>
    <n v="0"/>
    <n v="0"/>
    <n v="0"/>
    <n v="0"/>
    <n v="0"/>
    <n v="0"/>
    <n v="989.23567419321319"/>
    <n v="2641.259250095879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2641.259250095879"/>
    <n v="0"/>
    <n v="0"/>
    <n v="0"/>
    <n v="0"/>
    <n v="0"/>
    <n v="0"/>
    <n v="1000"/>
    <n v="2783.1480314742139"/>
    <n v="0"/>
    <n v="0"/>
    <n v="0"/>
    <n v="0"/>
    <n v="0"/>
    <n v="0"/>
    <n v="0"/>
    <n v="0"/>
    <n v="0"/>
    <n v="0"/>
    <n v="0"/>
    <n v="0"/>
    <n v="0"/>
    <n v="0"/>
    <n v="0"/>
    <n v="0"/>
    <n v="1000"/>
    <n v="2783.1480314742139"/>
    <n v="10.764325806786815"/>
    <n v="1.0881457359052311E-2"/>
    <n v="141.8887813783349"/>
    <n v="5.3720126630198935E-2"/>
  </r>
  <r>
    <x v="1"/>
    <s v="ESPAÑA"/>
    <s v="AGROSER BERNARDINO, S.L."/>
    <s v="Consolidado/estratégico"/>
    <s v="AN0020"/>
    <s v="ALCAPLANT NEW, 20 KG"/>
    <n v="20"/>
    <n v="1.63"/>
    <n v="1.699075390001112"/>
    <n v="0"/>
    <n v="0"/>
    <n v="0"/>
    <n v="0"/>
    <n v="0"/>
    <n v="0"/>
    <n v="0"/>
    <n v="0"/>
    <n v="0"/>
    <n v="0"/>
    <n v="0"/>
    <n v="0"/>
    <n v="0"/>
    <n v="0"/>
    <n v="0"/>
    <n v="0"/>
    <n v="1042.795753228228"/>
    <n v="1699.7570777620119"/>
    <n v="2085.591506456457"/>
    <n v="3399.5141555240239"/>
    <n v="3128.387259684685"/>
    <n v="5099.2712332860356"/>
    <n v="1042.795753228228"/>
    <n v="1699.7570777620119"/>
    <n v="7299.570272597598"/>
    <n v="11898.299544334082"/>
    <n v="0"/>
    <n v="0"/>
    <n v="0"/>
    <n v="0"/>
    <n v="0"/>
    <n v="0"/>
    <n v="0"/>
    <n v="0"/>
    <n v="0"/>
    <n v="0"/>
    <n v="0"/>
    <n v="0"/>
    <n v="0"/>
    <n v="0"/>
    <n v="0"/>
    <n v="0"/>
    <n v="1140"/>
    <n v="1936.945944601267"/>
    <n v="2300"/>
    <n v="3907.8733970025569"/>
    <n v="3440"/>
    <n v="5844.819341603823"/>
    <n v="1140"/>
    <n v="1936.945944601267"/>
    <n v="8020"/>
    <n v="13626.584627808912"/>
    <n v="720.42972740240202"/>
    <n v="9.8694813598394548E-2"/>
    <n v="1728.2850834748297"/>
    <n v="0.14525479687539311"/>
  </r>
  <r>
    <x v="1"/>
    <s v="ESPAÑA"/>
    <s v="AGROSER BERNARDINO, S.L."/>
    <s v="Consolidado/estratégico"/>
    <s v="AVAN0020"/>
    <s v="FLORAMEC AVANCE, 20 L"/>
    <n v="20"/>
    <n v="5.01"/>
    <n v="5.2223114747886923"/>
    <n v="0"/>
    <n v="0"/>
    <n v="0"/>
    <n v="0"/>
    <n v="0"/>
    <n v="0"/>
    <n v="0"/>
    <n v="0"/>
    <n v="0"/>
    <n v="0"/>
    <n v="455.04841012887812"/>
    <n v="2279.7925347456789"/>
    <n v="0"/>
    <n v="0"/>
    <n v="0"/>
    <n v="0"/>
    <n v="0"/>
    <n v="0"/>
    <n v="0"/>
    <n v="0"/>
    <n v="0"/>
    <n v="0"/>
    <n v="0"/>
    <n v="0"/>
    <n v="455.04841012887812"/>
    <n v="2279.7925347456789"/>
    <n v="0"/>
    <n v="0"/>
    <n v="0"/>
    <n v="0"/>
    <n v="0"/>
    <n v="0"/>
    <n v="0"/>
    <n v="0"/>
    <n v="0"/>
    <n v="0"/>
    <n v="500"/>
    <n v="2611.155737394346"/>
    <n v="0"/>
    <n v="0"/>
    <n v="0"/>
    <n v="0"/>
    <n v="0"/>
    <n v="0"/>
    <n v="0"/>
    <n v="0"/>
    <n v="0"/>
    <n v="0"/>
    <n v="0"/>
    <n v="0"/>
    <n v="500"/>
    <n v="2611.155737394346"/>
    <n v="44.951589871121882"/>
    <n v="9.8784192781578475E-2"/>
    <n v="331.36320264866708"/>
    <n v="0.14534796372847678"/>
  </r>
  <r>
    <x v="1"/>
    <s v="ESPAÑA"/>
    <s v="AGROSER BERNARDINO, S.L."/>
    <s v="Consolidado/estratégico"/>
    <s v="AVAN1000"/>
    <s v="FLORAMEC AVANCE, 1000 L"/>
    <n v="1000"/>
    <n v="4.3599999999999994"/>
    <n v="4.5447660738680034"/>
    <n v="0"/>
    <n v="0"/>
    <n v="0"/>
    <n v="0"/>
    <n v="0"/>
    <n v="0"/>
    <n v="989.23567419321319"/>
    <n v="4313.0675394824093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313.0675394824093"/>
    <n v="0"/>
    <n v="0"/>
    <n v="0"/>
    <n v="0"/>
    <n v="0"/>
    <n v="0"/>
    <n v="1000"/>
    <n v="4544.7660738680033"/>
    <n v="0"/>
    <n v="0"/>
    <n v="0"/>
    <n v="0"/>
    <n v="0"/>
    <n v="0"/>
    <n v="0"/>
    <n v="0"/>
    <n v="0"/>
    <n v="0"/>
    <n v="0"/>
    <n v="0"/>
    <n v="0"/>
    <n v="0"/>
    <n v="0"/>
    <n v="0"/>
    <n v="1000"/>
    <n v="4544.7660738680033"/>
    <n v="10.764325806786815"/>
    <n v="1.0881457359052311E-2"/>
    <n v="231.69853438559403"/>
    <n v="5.3720126630198581E-2"/>
  </r>
  <r>
    <x v="1"/>
    <s v="ESPAÑA"/>
    <s v="AGROSER BERNARDINO, S.L."/>
    <s v="Consolidado/estratégico"/>
    <s v="BIO0020"/>
    <s v="BIORAD-20, 20 L"/>
    <n v="20"/>
    <n v="2.37"/>
    <n v="2.4704347695108191"/>
    <n v="0"/>
    <n v="0"/>
    <n v="633.11083148365651"/>
    <n v="1500.472670616266"/>
    <n v="0"/>
    <n v="0"/>
    <n v="0"/>
    <n v="0"/>
    <n v="0"/>
    <n v="0"/>
    <n v="0"/>
    <n v="0"/>
    <n v="0"/>
    <n v="0"/>
    <n v="0"/>
    <n v="0"/>
    <n v="0"/>
    <n v="0"/>
    <n v="1213.4350583019379"/>
    <n v="2875.841088175594"/>
    <n v="606.7175291509692"/>
    <n v="1437.920544087797"/>
    <n v="606.7175291509692"/>
    <n v="1437.920544087797"/>
    <n v="3059.9809480875329"/>
    <n v="7252.1548469674535"/>
    <n v="0"/>
    <n v="0"/>
    <n v="800"/>
    <n v="1976.3478156086551"/>
    <n v="0"/>
    <n v="0"/>
    <n v="0"/>
    <n v="0"/>
    <n v="0"/>
    <n v="0"/>
    <n v="0"/>
    <n v="0"/>
    <n v="0"/>
    <n v="0"/>
    <n v="0"/>
    <n v="0"/>
    <n v="0"/>
    <n v="0"/>
    <n v="1520"/>
    <n v="3755.060849656445"/>
    <n v="760"/>
    <n v="1877.530424828223"/>
    <n v="760"/>
    <n v="1877.530424828223"/>
    <n v="3840"/>
    <n v="9486.4695149215459"/>
    <n v="780.01905191246715"/>
    <n v="0.25490977399711384"/>
    <n v="2234.3146679540923"/>
    <n v="0.30808976298794677"/>
  </r>
  <r>
    <x v="1"/>
    <s v="ESPAÑA"/>
    <s v="AGROSER BERNARDINO, S.L."/>
    <s v="Consolidado/estratégico"/>
    <s v="BIO1000"/>
    <s v="BIORAD-20, 1000 L"/>
    <n v="1000"/>
    <n v="1.919"/>
    <n v="2.0003224990258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3638.4091826272179"/>
    <n v="1895.992278596779"/>
    <n v="3638.4091826272179"/>
    <n v="0"/>
    <n v="0"/>
    <n v="3791.984557193558"/>
    <n v="7276.8183652544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000.6449980516968"/>
    <n v="2000"/>
    <n v="4000.6449980516968"/>
    <n v="0"/>
    <n v="0"/>
    <n v="4000"/>
    <n v="8001.2899961033936"/>
    <n v="208.01544280644202"/>
    <n v="5.4856616547086873E-2"/>
    <n v="724.47163084895783"/>
    <n v="9.9558844880365038E-2"/>
  </r>
  <r>
    <x v="1"/>
    <s v="ESPAÑA"/>
    <s v="AGROSER BERNARDINO, S.L."/>
    <s v="Consolidado/estratégico"/>
    <s v="C-CU0005"/>
    <s v="CODICOBRE, 5 L"/>
    <n v="5"/>
    <n v="3.93"/>
    <n v="4.0965437317204714"/>
    <n v="0"/>
    <n v="0"/>
    <n v="0"/>
    <n v="0"/>
    <n v="0"/>
    <n v="0"/>
    <n v="197.84713483864269"/>
    <n v="777.53923991586555"/>
    <n v="0"/>
    <n v="0"/>
    <n v="0"/>
    <n v="0"/>
    <n v="0"/>
    <n v="0"/>
    <n v="0"/>
    <n v="0"/>
    <n v="0"/>
    <n v="0"/>
    <n v="568.79768357903356"/>
    <n v="2235.374896465602"/>
    <n v="0"/>
    <n v="0"/>
    <n v="0"/>
    <n v="0"/>
    <n v="766.64481841767622"/>
    <n v="3012.9141363814674"/>
    <n v="0"/>
    <n v="0"/>
    <n v="0"/>
    <n v="0"/>
    <n v="0"/>
    <n v="0"/>
    <n v="215"/>
    <n v="880.75690231990131"/>
    <n v="0"/>
    <n v="0"/>
    <n v="0"/>
    <n v="0"/>
    <n v="0"/>
    <n v="0"/>
    <n v="0"/>
    <n v="0"/>
    <n v="0"/>
    <n v="0"/>
    <n v="620"/>
    <n v="2539.8571136666919"/>
    <n v="0"/>
    <n v="0"/>
    <n v="0"/>
    <n v="0"/>
    <n v="835"/>
    <n v="3420.6140159865931"/>
    <n v="68.35518158232378"/>
    <n v="8.9161473397036839E-2"/>
    <n v="407.69987960512572"/>
    <n v="0.13531745716948188"/>
  </r>
  <r>
    <x v="1"/>
    <s v="ESPAÑA"/>
    <s v="AGROSER BERNARDINO, S.L."/>
    <s v="Consolidado/estratégico"/>
    <s v="FROST-P0020"/>
    <s v="CODIFROST PLUS, 20 L"/>
    <n v="20"/>
    <n v="4.0999999999999996"/>
    <n v="4.2737479134997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777.35683422467912"/>
    <n v="189.59922785967791"/>
    <n v="777.35683422467912"/>
    <n v="379.19845571935582"/>
    <n v="1554.7136684493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854.74958269994568"/>
    <n v="200"/>
    <n v="854.74958269994568"/>
    <n v="400"/>
    <n v="1709.4991653998914"/>
    <n v="20.80154428064418"/>
    <n v="5.485661654708681E-2"/>
    <n v="154.78549695053312"/>
    <n v="9.9558844880365149E-2"/>
  </r>
  <r>
    <x v="1"/>
    <s v="ESPAÑA"/>
    <s v="AGROSER BERNARDINO, S.L."/>
    <s v="Consolidado/estratégico"/>
    <s v="PT0020"/>
    <s v="AGROPOTASION, 20 L"/>
    <n v="20"/>
    <n v="3.1899999999999991"/>
    <n v="3.3251843522107651"/>
    <n v="0"/>
    <n v="0"/>
    <n v="0"/>
    <n v="0"/>
    <n v="0"/>
    <n v="0"/>
    <n v="1266.221662967313"/>
    <n v="4039.247104865728"/>
    <n v="0"/>
    <n v="0"/>
    <n v="0"/>
    <n v="0"/>
    <n v="0"/>
    <n v="0"/>
    <n v="0"/>
    <n v="0"/>
    <n v="0"/>
    <n v="0"/>
    <n v="606.7175291509692"/>
    <n v="1935.428917991592"/>
    <n v="606.7175291509692"/>
    <n v="1935.428917991592"/>
    <n v="0"/>
    <n v="0"/>
    <n v="2479.6567212692516"/>
    <n v="7910.1049408489125"/>
    <n v="0"/>
    <n v="0"/>
    <n v="0"/>
    <n v="0"/>
    <n v="0"/>
    <n v="0"/>
    <n v="1400"/>
    <n v="4655.2580930950699"/>
    <n v="0"/>
    <n v="0"/>
    <n v="0"/>
    <n v="0"/>
    <n v="0"/>
    <n v="0"/>
    <n v="0"/>
    <n v="0"/>
    <n v="0"/>
    <n v="0"/>
    <n v="660"/>
    <n v="2194.621672459105"/>
    <n v="660"/>
    <n v="2194.621672459105"/>
    <n v="0"/>
    <n v="0"/>
    <n v="2720"/>
    <n v="9044.5014380132798"/>
    <n v="240.34327873074835"/>
    <n v="9.6926028780195364E-2"/>
    <n v="1134.3964971643672"/>
    <n v="0.14341105530802525"/>
  </r>
  <r>
    <x v="1"/>
    <s v="ESPAÑA"/>
    <s v="AGROSER BERNARDINO, S.L."/>
    <s v="Consolidado/estratégico"/>
    <s v="WHITE0020"/>
    <s v="AGROWHITE, 20 KG"/>
    <n v="20"/>
    <n v="1.8437600000000001"/>
    <n v="1.9218884329118331"/>
    <n v="0"/>
    <n v="0"/>
    <n v="0"/>
    <n v="0"/>
    <n v="0"/>
    <n v="0"/>
    <n v="0"/>
    <n v="0"/>
    <n v="0"/>
    <n v="0"/>
    <n v="3858.0191293535322"/>
    <n v="7106.4712362692053"/>
    <n v="1088.159241612535"/>
    <n v="2013.0945969831889"/>
    <n v="0"/>
    <n v="0"/>
    <n v="0"/>
    <n v="0"/>
    <n v="0"/>
    <n v="0"/>
    <n v="0"/>
    <n v="0"/>
    <n v="0"/>
    <n v="0"/>
    <n v="4946.1783709660667"/>
    <n v="9119.5658332523944"/>
    <n v="0"/>
    <n v="0"/>
    <n v="0"/>
    <n v="0"/>
    <n v="0"/>
    <n v="0"/>
    <n v="0"/>
    <n v="0"/>
    <n v="0"/>
    <n v="0"/>
    <n v="4200"/>
    <n v="8064.2495995120244"/>
    <n v="1180"/>
    <n v="2275.5101695536359"/>
    <n v="0"/>
    <n v="0"/>
    <n v="0"/>
    <n v="0"/>
    <n v="0"/>
    <n v="0"/>
    <n v="0"/>
    <n v="0"/>
    <n v="0"/>
    <n v="0"/>
    <n v="5380"/>
    <n v="10339.75976906566"/>
    <n v="433.82162903393328"/>
    <n v="8.770844811834011E-2"/>
    <n v="1220.1939358132659"/>
    <n v="0.1337995643788337"/>
  </r>
  <r>
    <x v="1"/>
    <s v="ESPAÑA"/>
    <s v="AGROTRAPICHE, S.L.U"/>
    <s v="Baja aportación"/>
    <s v="A-50(2)0020"/>
    <s v="CODIORGAN-A50, 20 KG"/>
    <n v="20"/>
    <n v="4.7699999999999996"/>
    <n v="4.9721408652179768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904.3883168906633"/>
    <n v="0"/>
    <n v="0"/>
    <n v="0"/>
    <n v="0"/>
    <n v="0"/>
    <n v="0"/>
    <n v="189.59922785967791"/>
    <n v="904.3883168906633"/>
    <n v="0"/>
    <n v="0"/>
    <n v="0"/>
    <n v="0"/>
    <n v="0"/>
    <n v="0"/>
    <n v="0"/>
    <n v="0"/>
    <n v="0"/>
    <n v="0"/>
    <n v="0"/>
    <n v="0"/>
    <n v="0"/>
    <n v="0"/>
    <n v="0"/>
    <n v="0"/>
    <n v="220"/>
    <n v="1093.8709903479551"/>
    <n v="0"/>
    <n v="0"/>
    <n v="0"/>
    <n v="0"/>
    <n v="0"/>
    <n v="0"/>
    <n v="220"/>
    <n v="1093.8709903479551"/>
    <n v="30.40077214032209"/>
    <n v="0.1603422782017955"/>
    <n v="189.48267345729175"/>
    <n v="0.20951472936840182"/>
  </r>
  <r>
    <x v="1"/>
    <s v="ESPAÑA"/>
    <s v="AGROTRAPICHE, S.L.U"/>
    <s v="Baja aportación"/>
    <s v="AGZNP0005"/>
    <s v="AGROXILATO-ZN PLUS, 5 KG"/>
    <n v="5"/>
    <n v="6.2804255319148936"/>
    <n v="6.5465745153443171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1786.145747221906"/>
    <n v="0"/>
    <n v="0"/>
    <n v="0"/>
    <n v="0"/>
    <n v="0"/>
    <n v="0"/>
    <n v="284.39884178951678"/>
    <n v="1786.145747221906"/>
    <n v="0"/>
    <n v="0"/>
    <n v="0"/>
    <n v="0"/>
    <n v="0"/>
    <n v="0"/>
    <n v="0"/>
    <n v="0"/>
    <n v="0"/>
    <n v="0"/>
    <n v="0"/>
    <n v="0"/>
    <n v="0"/>
    <n v="0"/>
    <n v="0"/>
    <n v="0"/>
    <n v="300"/>
    <n v="1963.9723546032949"/>
    <n v="0"/>
    <n v="0"/>
    <n v="0"/>
    <n v="0"/>
    <n v="0"/>
    <n v="0"/>
    <n v="300"/>
    <n v="1963.9723546032949"/>
    <n v="15.60115821048322"/>
    <n v="5.4856616547087129E-2"/>
    <n v="177.82660738138884"/>
    <n v="9.9558844880364705E-2"/>
  </r>
  <r>
    <x v="1"/>
    <s v="ESPAÑA"/>
    <s v="AGROTRAPICHE, S.L.U"/>
    <s v="Baja aportación"/>
    <s v="AVAN0005"/>
    <s v="FLORAMEC AVANCE, 5 L"/>
    <n v="5"/>
    <n v="5.19"/>
    <n v="5.4099394319667304"/>
    <n v="0"/>
    <n v="0"/>
    <n v="0"/>
    <n v="0"/>
    <n v="0"/>
    <n v="0"/>
    <n v="0"/>
    <n v="0"/>
    <n v="118.7082809031856"/>
    <n v="616.09597788753319"/>
    <n v="0"/>
    <n v="0"/>
    <n v="0"/>
    <n v="0"/>
    <n v="0"/>
    <n v="0"/>
    <n v="0"/>
    <n v="0"/>
    <n v="94.799613929838927"/>
    <n v="492.00999629586408"/>
    <n v="0"/>
    <n v="0"/>
    <n v="0"/>
    <n v="0"/>
    <n v="213.50789483302452"/>
    <n v="1108.1059741833974"/>
    <n v="0"/>
    <n v="0"/>
    <n v="0"/>
    <n v="0"/>
    <n v="0"/>
    <n v="0"/>
    <n v="0"/>
    <n v="0"/>
    <n v="130"/>
    <n v="703.29212615567485"/>
    <n v="0"/>
    <n v="0"/>
    <n v="0"/>
    <n v="0"/>
    <n v="0"/>
    <n v="0"/>
    <n v="0"/>
    <n v="0"/>
    <n v="105"/>
    <n v="568.04364035650667"/>
    <n v="0"/>
    <n v="0"/>
    <n v="0"/>
    <n v="0"/>
    <n v="235"/>
    <n v="1271.3357665121816"/>
    <n v="21.492105166975477"/>
    <n v="0.10066187568278701"/>
    <n v="163.22979232878424"/>
    <n v="0.14730521821170947"/>
  </r>
  <r>
    <x v="1"/>
    <s v="ESPAÑA"/>
    <s v="AGROTRAPICHE, S.L.U"/>
    <s v="Baja aportación"/>
    <s v="C-CU0020"/>
    <s v="CODICOBRE, 20 L"/>
    <n v="20"/>
    <n v="3.8085714285714292"/>
    <n v="3.969611929578758"/>
    <n v="0"/>
    <n v="0"/>
    <n v="0"/>
    <n v="0"/>
    <n v="197.84713483864269"/>
    <n v="751.81911238684211"/>
    <n v="0"/>
    <n v="0"/>
    <n v="79.138853935457064"/>
    <n v="303.1018105728005"/>
    <n v="0"/>
    <n v="0"/>
    <n v="0"/>
    <n v="0"/>
    <n v="0"/>
    <n v="0"/>
    <n v="0"/>
    <n v="0"/>
    <n v="0"/>
    <n v="0"/>
    <n v="189.59922785967791"/>
    <n v="722.10220210557316"/>
    <n v="0"/>
    <n v="0"/>
    <n v="466.58521663377763"/>
    <n v="1777.0231250652159"/>
    <n v="0"/>
    <n v="0"/>
    <n v="0"/>
    <n v="0"/>
    <n v="220"/>
    <n v="871.42762333799351"/>
    <n v="0"/>
    <n v="0"/>
    <n v="80"/>
    <n v="319.38447821861382"/>
    <n v="0"/>
    <n v="0"/>
    <n v="0"/>
    <n v="0"/>
    <n v="0"/>
    <n v="0"/>
    <n v="0"/>
    <n v="0"/>
    <n v="0"/>
    <n v="0"/>
    <n v="200"/>
    <n v="793.99386323277201"/>
    <n v="0"/>
    <n v="0"/>
    <n v="500"/>
    <n v="1984.8059647893792"/>
    <n v="33.414783366222366"/>
    <n v="7.1615606699450149E-2"/>
    <n v="207.7828397241633"/>
    <n v="0.11692748214322633"/>
  </r>
  <r>
    <x v="1"/>
    <s v="ESPAÑA"/>
    <s v="AGRUPACION DE LABRADORES DEL POZUELO, SA"/>
    <s v="Baja aportación"/>
    <s v="AGXK0020"/>
    <s v="AGROXILATO-K, 20 L"/>
    <n v="20"/>
    <n v="3.31"/>
    <n v="3.450269656996122"/>
    <n v="98.92356741932133"/>
    <n v="327.43700815795358"/>
    <n v="0"/>
    <n v="0"/>
    <n v="0"/>
    <n v="0"/>
    <n v="0"/>
    <n v="0"/>
    <n v="0"/>
    <n v="0"/>
    <n v="0"/>
    <n v="0"/>
    <n v="0"/>
    <n v="0"/>
    <n v="0"/>
    <n v="0"/>
    <n v="94.799613929838927"/>
    <n v="313.78672210776688"/>
    <n v="94.799613929838927"/>
    <n v="313.78672210776688"/>
    <n v="0"/>
    <n v="0"/>
    <n v="94.799613929838927"/>
    <n v="313.78672210776688"/>
    <n v="383.32240920883811"/>
    <n v="1268.7971744812542"/>
    <n v="100"/>
    <n v="345.02696569961222"/>
    <n v="0"/>
    <n v="0"/>
    <n v="0"/>
    <n v="0"/>
    <n v="0"/>
    <n v="0"/>
    <n v="0"/>
    <n v="0"/>
    <n v="0"/>
    <n v="0"/>
    <n v="0"/>
    <n v="0"/>
    <n v="0"/>
    <n v="0"/>
    <n v="100"/>
    <n v="345.02696569961228"/>
    <n v="100"/>
    <n v="345.02696569961228"/>
    <n v="0"/>
    <n v="0"/>
    <n v="100"/>
    <n v="345.02696569961228"/>
    <n v="400"/>
    <n v="1380.1078627984489"/>
    <n v="16.67759079116189"/>
    <n v="4.350799846422692E-2"/>
    <n v="111.31068831719472"/>
    <n v="8.772930028213842E-2"/>
  </r>
  <r>
    <x v="1"/>
    <s v="ESPAÑA"/>
    <s v="AGRUPACION DE LABRADORES DEL POZUELO, SA"/>
    <s v="Baja aportación"/>
    <s v="AVAN0005"/>
    <s v="FLORAMEC AVANCE, 5 L"/>
    <n v="5"/>
    <n v="5.5378947368421052"/>
    <n v="5.7725484326516217"/>
    <n v="0"/>
    <n v="0"/>
    <n v="0"/>
    <n v="0"/>
    <n v="0"/>
    <n v="0"/>
    <n v="336.34012922569252"/>
    <n v="1863.3243159103361"/>
    <n v="39.569426967728532"/>
    <n v="218.42323686186151"/>
    <n v="0"/>
    <n v="0"/>
    <n v="0"/>
    <n v="0"/>
    <n v="0"/>
    <n v="0"/>
    <n v="284.39884178951678"/>
    <n v="1574.970849110156"/>
    <n v="284.39884178951678"/>
    <n v="1574.970849110156"/>
    <n v="0"/>
    <n v="0"/>
    <n v="284.39884178951678"/>
    <n v="1574.970849110156"/>
    <n v="1229.1060815619715"/>
    <n v="6806.6601001026647"/>
    <n v="0"/>
    <n v="0"/>
    <n v="0"/>
    <n v="0"/>
    <n v="0"/>
    <n v="0"/>
    <n v="365"/>
    <n v="2107.7916233872679"/>
    <n v="45"/>
    <n v="258.92658090569091"/>
    <n v="0"/>
    <n v="0"/>
    <n v="0"/>
    <n v="0"/>
    <n v="0"/>
    <n v="0"/>
    <n v="310"/>
    <n v="1789.498898486738"/>
    <n v="310"/>
    <n v="1789.498898486738"/>
    <n v="0"/>
    <n v="0"/>
    <n v="310"/>
    <n v="1789.498898486738"/>
    <n v="1340"/>
    <n v="7735.2148997531722"/>
    <n v="110.89391843802855"/>
    <n v="9.0223228166849884E-2"/>
    <n v="928.55479965050745"/>
    <n v="0.13641856446401696"/>
  </r>
  <r>
    <x v="1"/>
    <s v="ESPAÑA"/>
    <s v="AGRUPACION DE LABRADORES DEL POZUELO, SA"/>
    <s v="Baja aportación"/>
    <s v="AVAN0020"/>
    <s v="FLORAMEC AVANCE, 20 L"/>
    <n v="20"/>
    <n v="5.2"/>
    <n v="5.4203632073655106"/>
    <n v="39.569426967728532"/>
    <n v="205.76102023218829"/>
    <n v="0"/>
    <n v="0"/>
    <n v="0"/>
    <n v="0"/>
    <n v="0"/>
    <n v="0"/>
    <n v="0"/>
    <n v="0"/>
    <n v="0"/>
    <n v="0"/>
    <n v="0"/>
    <n v="0"/>
    <n v="0"/>
    <n v="0"/>
    <n v="189.59922785967791"/>
    <n v="985.91598487032491"/>
    <n v="189.59922785967791"/>
    <n v="985.91598487032491"/>
    <n v="0"/>
    <n v="0"/>
    <n v="189.59922785967791"/>
    <n v="985.91598487032491"/>
    <n v="608.36711054676221"/>
    <n v="3163.5089748431628"/>
    <n v="40"/>
    <n v="216.8145282946204"/>
    <n v="0"/>
    <n v="0"/>
    <n v="0"/>
    <n v="0"/>
    <n v="0"/>
    <n v="0"/>
    <n v="0"/>
    <n v="0"/>
    <n v="0"/>
    <n v="0"/>
    <n v="0"/>
    <n v="0"/>
    <n v="0"/>
    <n v="0"/>
    <n v="200"/>
    <n v="1084.0726414731021"/>
    <n v="200"/>
    <n v="1084.0726414731021"/>
    <n v="0"/>
    <n v="0"/>
    <n v="200"/>
    <n v="1084.0726414731021"/>
    <n v="640"/>
    <n v="3469.0324527139269"/>
    <n v="31.632889453237794"/>
    <n v="5.1996383277209277E-2"/>
    <n v="305.52347787076405"/>
    <n v="9.6577401961033149E-2"/>
  </r>
  <r>
    <x v="1"/>
    <s v="ESPAÑA"/>
    <s v="AGRUPACION DE LABRADORES DEL POZUELO, SA"/>
    <s v="Baja aportación"/>
    <s v="C-CU0005"/>
    <s v="CODICOBRE, 5 L"/>
    <n v="5"/>
    <n v="4.21"/>
    <n v="4.3884094428863074"/>
    <n v="356.12484270955679"/>
    <n v="1499.2855878072339"/>
    <n v="0"/>
    <n v="0"/>
    <n v="0"/>
    <n v="0"/>
    <n v="0"/>
    <n v="0"/>
    <n v="0"/>
    <n v="0"/>
    <n v="0"/>
    <n v="0"/>
    <n v="0"/>
    <n v="0"/>
    <n v="0"/>
    <n v="0"/>
    <n v="189.59922785967791"/>
    <n v="798.21274928924379"/>
    <n v="0"/>
    <n v="0"/>
    <n v="0"/>
    <n v="0"/>
    <n v="189.59922785967791"/>
    <n v="798.21274928924379"/>
    <n v="735.32329842891272"/>
    <n v="3095.7110863857215"/>
    <n v="380"/>
    <n v="1667.5955882967969"/>
    <n v="0"/>
    <n v="0"/>
    <n v="0"/>
    <n v="0"/>
    <n v="0"/>
    <n v="0"/>
    <n v="0"/>
    <n v="0"/>
    <n v="0"/>
    <n v="0"/>
    <n v="0"/>
    <n v="0"/>
    <n v="0"/>
    <n v="0"/>
    <n v="200"/>
    <n v="877.68188857726147"/>
    <n v="0"/>
    <n v="0"/>
    <n v="0"/>
    <n v="0"/>
    <n v="200"/>
    <n v="877.68188857726147"/>
    <n v="780"/>
    <n v="3422.9593654513196"/>
    <n v="44.676701571087278"/>
    <n v="6.0757902906848252E-2"/>
    <n v="327.24827906559813"/>
    <n v="0.1057102132381689"/>
  </r>
  <r>
    <x v="1"/>
    <s v="ESPAÑA"/>
    <s v="AGRUPACION DE LABRADORES DEL POZUELO, SA"/>
    <s v="Baja aportación"/>
    <s v="P-5X0005"/>
    <s v="P.M.S. 5x, 5 L"/>
    <n v="5"/>
    <n v="3.35"/>
    <n v="3.4919647585912421"/>
    <n v="0"/>
    <n v="0"/>
    <n v="0"/>
    <n v="0"/>
    <n v="0"/>
    <n v="0"/>
    <n v="98.92356741932133"/>
    <n v="331.39395085472643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31.39395085472643"/>
    <n v="0"/>
    <n v="0"/>
    <n v="0"/>
    <n v="0"/>
    <n v="0"/>
    <n v="0"/>
    <n v="105"/>
    <n v="366.65629965208041"/>
    <n v="0"/>
    <n v="0"/>
    <n v="0"/>
    <n v="0"/>
    <n v="0"/>
    <n v="0"/>
    <n v="0"/>
    <n v="0"/>
    <n v="0"/>
    <n v="0"/>
    <n v="0"/>
    <n v="0"/>
    <n v="0"/>
    <n v="0"/>
    <n v="0"/>
    <n v="0"/>
    <n v="105"/>
    <n v="366.65629965208041"/>
    <n v="6.0764325806786701"/>
    <n v="6.1425530227004803E-2"/>
    <n v="35.26234879735398"/>
    <n v="0.1064061329617087"/>
  </r>
  <r>
    <x v="1"/>
    <s v="ESPAÑA"/>
    <s v="AGRUPACION DE LABRADORES DEL POZUELO, SA"/>
    <s v="Baja aportación"/>
    <s v="P-5X0020"/>
    <s v="P.M.S. 5x, 20 L"/>
    <n v="20"/>
    <n v="2.979090909090909"/>
    <n v="3.1053374528910451"/>
    <n v="98.92356741932133"/>
    <n v="289.8460525386115"/>
    <n v="0"/>
    <n v="0"/>
    <n v="0"/>
    <n v="0"/>
    <n v="118.7082809031856"/>
    <n v="358.49900832762052"/>
    <n v="0"/>
    <n v="0"/>
    <n v="0"/>
    <n v="0"/>
    <n v="0"/>
    <n v="0"/>
    <n v="0"/>
    <n v="0"/>
    <n v="0"/>
    <n v="0"/>
    <n v="0"/>
    <n v="0"/>
    <n v="0"/>
    <n v="0"/>
    <n v="0"/>
    <n v="0"/>
    <n v="217.63184832250693"/>
    <n v="648.34506086623196"/>
    <n v="100"/>
    <n v="305.41661918424887"/>
    <n v="0"/>
    <n v="0"/>
    <n v="0"/>
    <n v="0"/>
    <n v="120"/>
    <n v="377.75762045178089"/>
    <n v="0"/>
    <n v="0"/>
    <n v="0"/>
    <n v="0"/>
    <n v="0"/>
    <n v="0"/>
    <n v="0"/>
    <n v="0"/>
    <n v="0"/>
    <n v="0"/>
    <n v="0"/>
    <n v="0"/>
    <n v="0"/>
    <n v="0"/>
    <n v="0"/>
    <n v="0"/>
    <n v="220"/>
    <n v="683.17423963602982"/>
    <n v="2.3681516774930742"/>
    <n v="1.0881457359052195E-2"/>
    <n v="34.829178769797863"/>
    <n v="5.3720126630198699E-2"/>
  </r>
  <r>
    <x v="1"/>
    <s v="ESPAÑA"/>
    <s v="BOSCO ABASCAL, S.L."/>
    <s v="Con potencial"/>
    <s v="AGRMGN0020"/>
    <s v="AGROXIGREEN-MG, 20 L"/>
    <n v="20"/>
    <n v="3.16"/>
    <n v="3.2939130260144251"/>
    <n v="0"/>
    <n v="0"/>
    <n v="0"/>
    <n v="0"/>
    <n v="633.11083148365651"/>
    <n v="2000.630227488354"/>
    <n v="2532.443325934626"/>
    <n v="8002.5209099534177"/>
    <n v="0"/>
    <n v="0"/>
    <n v="0"/>
    <n v="0"/>
    <n v="0"/>
    <n v="0"/>
    <n v="0"/>
    <n v="0"/>
    <n v="0"/>
    <n v="0"/>
    <n v="0"/>
    <n v="0"/>
    <n v="0"/>
    <n v="0"/>
    <n v="0"/>
    <n v="0"/>
    <n v="3165.5541574182826"/>
    <n v="10003.151137441771"/>
    <n v="0"/>
    <n v="0"/>
    <n v="0"/>
    <n v="0"/>
    <n v="800"/>
    <n v="2635.1304208115398"/>
    <n v="3200"/>
    <n v="10540.521683246159"/>
    <n v="0"/>
    <n v="0"/>
    <n v="0"/>
    <n v="0"/>
    <n v="0"/>
    <n v="0"/>
    <n v="0"/>
    <n v="0"/>
    <n v="0"/>
    <n v="0"/>
    <n v="0"/>
    <n v="0"/>
    <n v="0"/>
    <n v="0"/>
    <n v="0"/>
    <n v="0"/>
    <n v="4000"/>
    <n v="13175.652104057699"/>
    <n v="834.44584258171744"/>
    <n v="0.26360182169881524"/>
    <n v="3172.5009666159276"/>
    <n v="0.31715015828774834"/>
  </r>
  <r>
    <x v="1"/>
    <s v="ESPAÑA"/>
    <s v="BOSCO ABASCAL, S.L."/>
    <s v="Con potencial"/>
    <s v="AGXK0020"/>
    <s v="AGROXILATO-K, 20 L"/>
    <n v="20"/>
    <n v="3.17"/>
    <n v="3.3043368014132048"/>
    <n v="0"/>
    <n v="0"/>
    <n v="0"/>
    <n v="0"/>
    <n v="0"/>
    <n v="0"/>
    <n v="0"/>
    <n v="0"/>
    <n v="0"/>
    <n v="0"/>
    <n v="1899.3324944509691"/>
    <n v="6020.8840074095724"/>
    <n v="0"/>
    <n v="0"/>
    <n v="0"/>
    <n v="0"/>
    <n v="0"/>
    <n v="0"/>
    <n v="0"/>
    <n v="0"/>
    <n v="0"/>
    <n v="0"/>
    <n v="0"/>
    <n v="0"/>
    <n v="1899.3324944509691"/>
    <n v="6020.8840074095724"/>
    <n v="0"/>
    <n v="0"/>
    <n v="0"/>
    <n v="0"/>
    <n v="0"/>
    <n v="0"/>
    <n v="0"/>
    <n v="0"/>
    <n v="0"/>
    <n v="0"/>
    <n v="2200"/>
    <n v="7269.5409631090506"/>
    <n v="0"/>
    <n v="0"/>
    <n v="0"/>
    <n v="0"/>
    <n v="0"/>
    <n v="0"/>
    <n v="0"/>
    <n v="0"/>
    <n v="0"/>
    <n v="0"/>
    <n v="0"/>
    <n v="0"/>
    <n v="2200"/>
    <n v="7269.5409631090506"/>
    <n v="300.66750554903092"/>
    <n v="0.15830166989058092"/>
    <n v="1248.6569556994782"/>
    <n v="0.20738764509710275"/>
  </r>
  <r>
    <x v="1"/>
    <s v="ESPAÑA"/>
    <s v="BOSCO ABASCAL, S.L."/>
    <s v="Con potencial"/>
    <s v="AGZNP0005"/>
    <s v="AGROXILATO ZN PLUS, 5 KG"/>
    <n v="5"/>
    <n v="6.6"/>
    <n v="6.8796917631946863"/>
    <n v="0"/>
    <n v="0"/>
    <n v="0"/>
    <n v="0"/>
    <n v="1879.5477809671049"/>
    <n v="12405.015354382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9.5477809671049"/>
    <n v="12405.015354382889"/>
    <n v="0"/>
    <n v="0"/>
    <n v="0"/>
    <n v="0"/>
    <n v="2110"/>
    <n v="14516.149620340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0"/>
    <n v="14516.14962034079"/>
    <n v="230.45221903289507"/>
    <n v="0.12261046054084238"/>
    <n v="2111.1342659579004"/>
    <n v="0.17018393009985297"/>
  </r>
  <r>
    <x v="1"/>
    <s v="ESPAÑA"/>
    <s v="BOSCO ABASCAL, S.L."/>
    <s v="Con potencial"/>
    <s v="AGZNP0005"/>
    <s v="AGROXILATO-ZN PLUS, 5 KG"/>
    <n v="5"/>
    <n v="6.6"/>
    <n v="6.8796917631946846"/>
    <n v="0"/>
    <n v="0"/>
    <n v="0"/>
    <n v="0"/>
    <n v="0"/>
    <n v="0"/>
    <n v="197.84713483864269"/>
    <n v="1305.791089935042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305.791089935042"/>
    <n v="0"/>
    <n v="0"/>
    <n v="0"/>
    <n v="0"/>
    <n v="0"/>
    <n v="0"/>
    <n v="220"/>
    <n v="1513.5321879028311"/>
    <n v="0"/>
    <n v="0"/>
    <n v="0"/>
    <n v="0"/>
    <n v="0"/>
    <n v="0"/>
    <n v="0"/>
    <n v="0"/>
    <n v="0"/>
    <n v="0"/>
    <n v="0"/>
    <n v="0"/>
    <n v="0"/>
    <n v="0"/>
    <n v="0"/>
    <n v="0"/>
    <n v="220"/>
    <n v="1513.5321879028311"/>
    <n v="22.152865161357312"/>
    <n v="0.11196960309495725"/>
    <n v="207.74109796778907"/>
    <n v="0.15909213929321833"/>
  </r>
  <r>
    <x v="1"/>
    <s v="ESPAÑA"/>
    <s v="BOSCO ABASCAL, S.L."/>
    <s v="Con potencial"/>
    <s v="FLOR0020"/>
    <s v="FLORAMEC, 20 L"/>
    <n v="20"/>
    <n v="2.7"/>
    <n v="2.8144193576705532"/>
    <n v="0"/>
    <n v="0"/>
    <n v="0"/>
    <n v="0"/>
    <n v="0"/>
    <n v="0"/>
    <n v="138.49299438704989"/>
    <n v="373.9310848450346"/>
    <n v="553.97197754819945"/>
    <n v="1495.724339380138"/>
    <n v="0"/>
    <n v="0"/>
    <n v="0"/>
    <n v="0"/>
    <n v="0"/>
    <n v="0"/>
    <n v="0"/>
    <n v="0"/>
    <n v="0"/>
    <n v="0"/>
    <n v="0"/>
    <n v="0"/>
    <n v="0"/>
    <n v="0"/>
    <n v="692.46497193524931"/>
    <n v="1869.6554242251725"/>
    <n v="0"/>
    <n v="0"/>
    <n v="0"/>
    <n v="0"/>
    <n v="0"/>
    <n v="0"/>
    <n v="160"/>
    <n v="450.30709722728852"/>
    <n v="640"/>
    <n v="1801.2283889091541"/>
    <n v="0"/>
    <n v="0"/>
    <n v="0"/>
    <n v="0"/>
    <n v="0"/>
    <n v="0"/>
    <n v="0"/>
    <n v="0"/>
    <n v="0"/>
    <n v="0"/>
    <n v="0"/>
    <n v="0"/>
    <n v="0"/>
    <n v="0"/>
    <n v="800"/>
    <n v="2251.5354861364426"/>
    <n v="107.53502806475069"/>
    <n v="0.15529309412463108"/>
    <n v="381.8800619112701"/>
    <n v="0.20425157329165605"/>
  </r>
  <r>
    <x v="1"/>
    <s v="ESPAÑA"/>
    <s v="BOSCO ABASCAL, S.L."/>
    <s v="Con potencial"/>
    <s v="G30020"/>
    <s v="GREEN-UP, 20 L"/>
    <n v="20"/>
    <n v="5.26"/>
    <n v="5.4829058597581888"/>
    <n v="0"/>
    <n v="0"/>
    <n v="0"/>
    <n v="0"/>
    <n v="0"/>
    <n v="0"/>
    <n v="19.78471348386427"/>
    <n v="104.06759292512599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104.06759292512599"/>
    <n v="0"/>
    <n v="0"/>
    <n v="0"/>
    <n v="0"/>
    <n v="0"/>
    <n v="0"/>
    <n v="20"/>
    <n v="109.6581171951638"/>
    <n v="0"/>
    <n v="0"/>
    <n v="0"/>
    <n v="0"/>
    <n v="0"/>
    <n v="0"/>
    <n v="0"/>
    <n v="0"/>
    <n v="0"/>
    <n v="0"/>
    <n v="0"/>
    <n v="0"/>
    <n v="0"/>
    <n v="0"/>
    <n v="0"/>
    <n v="0"/>
    <n v="20"/>
    <n v="109.6581171951638"/>
    <n v="0.21528651613573047"/>
    <n v="1.0881457359052014E-2"/>
    <n v="5.5905242700378039"/>
    <n v="5.372012663019933E-2"/>
  </r>
  <r>
    <x v="1"/>
    <s v="ESPAÑA"/>
    <s v="BOSCO ABASCAL, S.L."/>
    <s v="Con potencial"/>
    <s v="PT0020"/>
    <s v="AGROPOTASION, 20 L"/>
    <n v="20"/>
    <n v="3.34"/>
    <n v="3.481540983192462"/>
    <n v="0"/>
    <n v="0"/>
    <n v="0"/>
    <n v="0"/>
    <n v="0"/>
    <n v="0"/>
    <n v="0"/>
    <n v="0"/>
    <n v="633.11083148365651"/>
    <n v="2114.5901771554131"/>
    <n v="0"/>
    <n v="0"/>
    <n v="0"/>
    <n v="0"/>
    <n v="0"/>
    <n v="0"/>
    <n v="0"/>
    <n v="0"/>
    <n v="0"/>
    <n v="0"/>
    <n v="0"/>
    <n v="0"/>
    <n v="0"/>
    <n v="0"/>
    <n v="633.11083148365651"/>
    <n v="2114.5901771554131"/>
    <n v="0"/>
    <n v="0"/>
    <n v="0"/>
    <n v="0"/>
    <n v="0"/>
    <n v="0"/>
    <n v="0"/>
    <n v="0"/>
    <n v="740"/>
    <n v="2576.3403275624219"/>
    <n v="0"/>
    <n v="0"/>
    <n v="0"/>
    <n v="0"/>
    <n v="0"/>
    <n v="0"/>
    <n v="0"/>
    <n v="0"/>
    <n v="0"/>
    <n v="0"/>
    <n v="0"/>
    <n v="0"/>
    <n v="0"/>
    <n v="0"/>
    <n v="740"/>
    <n v="2576.3403275624219"/>
    <n v="106.88916851634349"/>
    <n v="0.16883168507140411"/>
    <n v="461.75015040700873"/>
    <n v="0.21836389641616694"/>
  </r>
  <r>
    <x v="1"/>
    <s v="ESPAÑA"/>
    <s v="BOSCO ABASCAL, S.L."/>
    <s v="Con potencial"/>
    <s v="WHITE0020"/>
    <s v="AGROWHITE, 20 KG"/>
    <n v="20"/>
    <n v="1.93"/>
    <n v="2.011788651964507"/>
    <n v="0"/>
    <n v="0"/>
    <n v="0"/>
    <n v="0"/>
    <n v="0"/>
    <n v="0"/>
    <n v="0"/>
    <n v="0"/>
    <n v="0"/>
    <n v="0"/>
    <n v="2057.6102023218841"/>
    <n v="3971.1876904812352"/>
    <n v="0"/>
    <n v="0"/>
    <n v="0"/>
    <n v="0"/>
    <n v="0"/>
    <n v="0"/>
    <n v="0"/>
    <n v="0"/>
    <n v="0"/>
    <n v="0"/>
    <n v="0"/>
    <n v="0"/>
    <n v="2057.6102023218841"/>
    <n v="3971.1876904812352"/>
    <n v="0"/>
    <n v="0"/>
    <n v="0"/>
    <n v="0"/>
    <n v="0"/>
    <n v="0"/>
    <n v="0"/>
    <n v="0"/>
    <n v="0"/>
    <n v="0"/>
    <n v="2340"/>
    <n v="4707.5854455969447"/>
    <n v="0"/>
    <n v="0"/>
    <n v="0"/>
    <n v="0"/>
    <n v="0"/>
    <n v="0"/>
    <n v="0"/>
    <n v="0"/>
    <n v="0"/>
    <n v="0"/>
    <n v="0"/>
    <n v="0"/>
    <n v="2340"/>
    <n v="4707.5854455969447"/>
    <n v="282.38979767811588"/>
    <n v="0.13724163952893348"/>
    <n v="736.39775511570951"/>
    <n v="0.18543514245897341"/>
  </r>
  <r>
    <x v="1"/>
    <s v="ESPAÑA"/>
    <s v="ECO-PONIENTE, S.L.U."/>
    <s v="Baja aportación"/>
    <s v="AGXKAE0020"/>
    <s v="BIOCULTURE POTASIO, 20 L"/>
    <n v="20"/>
    <n v="4.16"/>
    <n v="4.3362905658924076"/>
    <n v="0"/>
    <n v="0"/>
    <n v="633.11083148365651"/>
    <n v="2633.7410589720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.7175291509692"/>
    <n v="2523.944921268032"/>
    <n v="1239.8283606346258"/>
    <n v="5157.6859802400431"/>
    <n v="0"/>
    <n v="0"/>
    <n v="680"/>
    <n v="2948.6775848068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2861.9517734889901"/>
    <n v="1340"/>
    <n v="5810.6293582958278"/>
    <n v="100.17163936537418"/>
    <n v="8.0794763651074838E-2"/>
    <n v="652.94337805578471"/>
    <n v="0.12659618684761342"/>
  </r>
  <r>
    <x v="1"/>
    <s v="ESPAÑA"/>
    <s v="EL PINAR BERRIES, S.L."/>
    <s v="En desarrollo/nuevo"/>
    <s v="A-50(2)0020"/>
    <s v="CODIORGAN-A50, 20 KG"/>
    <n v="2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80"/>
    <n v="0"/>
    <n v="20.645859548407209"/>
    <n v="0.34784194314540307"/>
    <n v="0"/>
    <n v="0"/>
  </r>
  <r>
    <x v="1"/>
    <s v="ESPAÑA"/>
    <s v="EL PINAR BERRIES, S.L."/>
    <s v="En desarrollo/nuevo"/>
    <s v="AGXK1000"/>
    <s v="AGROXILATO-K, 1000 L"/>
    <n v="1000"/>
    <n v="3.62"/>
    <n v="3.7734066943582971"/>
    <n v="0"/>
    <n v="0"/>
    <n v="0"/>
    <n v="0"/>
    <n v="0"/>
    <n v="0"/>
    <n v="0"/>
    <n v="0"/>
    <n v="0"/>
    <n v="0"/>
    <n v="0"/>
    <n v="0"/>
    <n v="0"/>
    <n v="0"/>
    <n v="2967.7070225796401"/>
    <n v="10743.099421738299"/>
    <n v="0"/>
    <n v="0"/>
    <n v="0"/>
    <n v="0"/>
    <n v="0"/>
    <n v="0"/>
    <n v="0"/>
    <n v="0"/>
    <n v="2967.7070225796401"/>
    <n v="10743.099421738299"/>
    <n v="0"/>
    <n v="0"/>
    <n v="0"/>
    <n v="0"/>
    <n v="0"/>
    <n v="0"/>
    <n v="0"/>
    <n v="0"/>
    <n v="0"/>
    <n v="0"/>
    <n v="0"/>
    <n v="0"/>
    <n v="0"/>
    <n v="0"/>
    <n v="3000"/>
    <n v="11320.22008307489"/>
    <n v="0"/>
    <n v="0"/>
    <n v="0"/>
    <n v="0"/>
    <n v="0"/>
    <n v="0"/>
    <n v="0"/>
    <n v="0"/>
    <n v="3000"/>
    <n v="11320.22008307489"/>
    <n v="32.292977420359875"/>
    <n v="1.0881457359052119E-2"/>
    <n v="577.12066133659027"/>
    <n v="5.3720126630198178E-2"/>
  </r>
  <r>
    <x v="1"/>
    <s v="ESPAÑA"/>
    <s v="EL PINAR BERRIES, S.L."/>
    <s v="En desarrollo/nuevo"/>
    <s v="AVAN0020"/>
    <s v="FLORAMEC AVANCE, 20 L"/>
    <n v="20"/>
    <n v="5.55"/>
    <n v="5.7851953463228032"/>
    <n v="0"/>
    <n v="0"/>
    <n v="0"/>
    <n v="0"/>
    <n v="0"/>
    <n v="0"/>
    <n v="0"/>
    <n v="0"/>
    <n v="0"/>
    <n v="0"/>
    <n v="0"/>
    <n v="0"/>
    <n v="0"/>
    <n v="0"/>
    <n v="79.138853935457064"/>
    <n v="439.22063934178669"/>
    <n v="0"/>
    <n v="0"/>
    <n v="0"/>
    <n v="0"/>
    <n v="0"/>
    <n v="0"/>
    <n v="0"/>
    <n v="0"/>
    <n v="79.138853935457064"/>
    <n v="439.22063934178669"/>
    <n v="0"/>
    <n v="0"/>
    <n v="0"/>
    <n v="0"/>
    <n v="0"/>
    <n v="0"/>
    <n v="0"/>
    <n v="0"/>
    <n v="0"/>
    <n v="0"/>
    <n v="0"/>
    <n v="0"/>
    <n v="0"/>
    <n v="0"/>
    <n v="100"/>
    <n v="578.51953463228028"/>
    <n v="0"/>
    <n v="0"/>
    <n v="0"/>
    <n v="0"/>
    <n v="0"/>
    <n v="0"/>
    <n v="0"/>
    <n v="0"/>
    <n v="100"/>
    <n v="578.51953463228028"/>
    <n v="20.861146064542936"/>
    <n v="0.26360182169881524"/>
    <n v="139.29889529049359"/>
    <n v="0.31715015828774812"/>
  </r>
  <r>
    <x v="1"/>
    <s v="ESPAÑA"/>
    <s v="EL PINAR BERRIES, S.L."/>
    <s v="En desarrollo/nuevo"/>
    <s v="HST0020"/>
    <s v="HIDROSTRESS-40, 20 L"/>
    <n v="2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59.354140451592791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80"/>
    <n v="0"/>
    <n v="20.645859548407209"/>
    <n v="0.34784194314540307"/>
    <n v="0"/>
    <n v="0"/>
  </r>
  <r>
    <x v="1"/>
    <s v="ESPAÑA"/>
    <s v="EL PINAR BERRIES, S.L."/>
    <s v="En desarrollo/nuevo"/>
    <s v="S0020"/>
    <s v="SALWAX STAR, 20 L"/>
    <n v="20"/>
    <n v="3.17"/>
    <n v="3.3043368014132048"/>
    <n v="0"/>
    <n v="0"/>
    <n v="0"/>
    <n v="0"/>
    <n v="0"/>
    <n v="0"/>
    <n v="0"/>
    <n v="0"/>
    <n v="0"/>
    <n v="0"/>
    <n v="633.11083148365651"/>
    <n v="2779.3565502132519"/>
    <n v="633.11083148365651"/>
    <n v="1234.5661213931301"/>
    <n v="0"/>
    <n v="0"/>
    <n v="0"/>
    <n v="0"/>
    <n v="0"/>
    <n v="0"/>
    <n v="0"/>
    <n v="0"/>
    <n v="0"/>
    <n v="0"/>
    <n v="1266.221662967313"/>
    <n v="4013.9226716063822"/>
    <n v="0"/>
    <n v="0"/>
    <n v="0"/>
    <n v="0"/>
    <n v="0"/>
    <n v="0"/>
    <n v="0"/>
    <n v="0"/>
    <n v="0"/>
    <n v="0"/>
    <n v="780"/>
    <n v="3569.309172050188"/>
    <n v="780"/>
    <n v="1585.456238154411"/>
    <n v="0"/>
    <n v="0"/>
    <n v="0"/>
    <n v="0"/>
    <n v="0"/>
    <n v="0"/>
    <n v="0"/>
    <n v="0"/>
    <n v="0"/>
    <n v="0"/>
    <n v="1560"/>
    <n v="5154.765410204599"/>
    <n v="293.77833703268698"/>
    <n v="0.23201177615634486"/>
    <n v="1140.8427385982168"/>
    <n v="0.28422140433055443"/>
  </r>
  <r>
    <x v="1"/>
    <s v="ESPAÑA"/>
    <s v="HORTOFRUTICOLA COSTA DE ALMERÍA, S.L."/>
    <s v="Baja aportación"/>
    <s v="AGXK0020"/>
    <s v="AGROXILATO-K, 20 L"/>
    <n v="20"/>
    <n v="3.4499999999999988"/>
    <n v="3.59620251257904"/>
    <n v="1266.221662967313"/>
    <n v="4368.4647372372292"/>
    <n v="0"/>
    <n v="0"/>
    <n v="0"/>
    <n v="0"/>
    <n v="633.11083148365651"/>
    <n v="2184.2323686186151"/>
    <n v="0"/>
    <n v="0"/>
    <n v="0"/>
    <n v="0"/>
    <n v="0"/>
    <n v="0"/>
    <n v="0"/>
    <n v="0"/>
    <n v="0"/>
    <n v="0"/>
    <n v="0"/>
    <n v="0"/>
    <n v="0"/>
    <n v="0"/>
    <n v="1213.4350583019379"/>
    <n v="4186.3509511416869"/>
    <n v="3112.7675527529072"/>
    <n v="10739.048056997532"/>
    <n v="1360"/>
    <n v="4890.8354171074934"/>
    <n v="0"/>
    <n v="0"/>
    <n v="0"/>
    <n v="0"/>
    <n v="680"/>
    <n v="2445.4177085537472"/>
    <n v="0"/>
    <n v="0"/>
    <n v="0"/>
    <n v="0"/>
    <n v="0"/>
    <n v="0"/>
    <n v="0"/>
    <n v="0"/>
    <n v="0"/>
    <n v="0"/>
    <n v="0"/>
    <n v="0"/>
    <n v="0"/>
    <n v="0"/>
    <n v="1320"/>
    <n v="4746.9873166043326"/>
    <n v="3360"/>
    <n v="12083.240442265573"/>
    <n v="247.23244724709275"/>
    <n v="7.9425284110418812E-2"/>
    <n v="1344.1923852680411"/>
    <n v="0.12516867213311048"/>
  </r>
  <r>
    <x v="1"/>
    <s v="ESPAÑA"/>
    <s v="HORTOFRUTICOLA COSTA DE ALMERÍA, S.L."/>
    <s v="Baja aportación"/>
    <s v="AVAN0020"/>
    <s v="FLORAMEC AVANCE, 20 L"/>
    <n v="20"/>
    <n v="5.2899999999999991"/>
    <n v="5.5141771859545274"/>
    <n v="0"/>
    <n v="0"/>
    <n v="633.11083148365651"/>
    <n v="3349.156298548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3349.156298548543"/>
    <n v="0"/>
    <n v="0"/>
    <n v="680"/>
    <n v="3749.6404864490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749.6404864490792"/>
    <n v="46.889168516343489"/>
    <n v="7.4061548443992958E-2"/>
    <n v="400.4841879005362"/>
    <n v="0.11957763454458605"/>
  </r>
  <r>
    <x v="1"/>
    <s v="ESPAÑA"/>
    <s v="INIESTA DEL PINO DISTRIBUCIONES S.L.U"/>
    <s v="En desarrollo/nuevo"/>
    <s v="A-50(2)0005"/>
    <s v="CODIORGAN-A50, 5 KG"/>
    <n v="5"/>
    <n v="5.32"/>
    <n v="5.5454485121508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99903482459732"/>
    <n v="126.0834865266858"/>
    <n v="23.699903482459732"/>
    <n v="126.0834865266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194.09069792528041"/>
    <n v="35"/>
    <n v="194.09069792528041"/>
    <n v="11.300096517540268"/>
    <n v="0.47679926316592197"/>
    <n v="68.007211398594606"/>
    <n v="0.53938238283251116"/>
  </r>
  <r>
    <x v="1"/>
    <s v="ESPAÑA"/>
    <s v="INIESTA DEL PINO DISTRIBUCIONES S.L.U"/>
    <s v="En desarrollo/nuevo"/>
    <s v="AGXK0020"/>
    <s v="AGROXILATO-K, 20 L"/>
    <n v="20"/>
    <n v="3.4499999999999988"/>
    <n v="3.59620251257904"/>
    <n v="633.11083148365651"/>
    <n v="2184.2323686186151"/>
    <n v="633.11083148365651"/>
    <n v="2184.2323686186151"/>
    <n v="633.11083148365651"/>
    <n v="2184.2323686186151"/>
    <n v="633.11083148365651"/>
    <n v="2184.2323686186151"/>
    <n v="633.11083148365651"/>
    <n v="2184.2323686186151"/>
    <n v="0"/>
    <n v="0"/>
    <n v="0"/>
    <n v="0"/>
    <n v="0"/>
    <n v="0"/>
    <n v="606.7175291509692"/>
    <n v="2093.175475570843"/>
    <n v="1820.152587452907"/>
    <n v="6279.5264267125312"/>
    <n v="0"/>
    <n v="0"/>
    <n v="0"/>
    <n v="0"/>
    <n v="5592.4242740221589"/>
    <n v="19293.86374537645"/>
    <n v="800"/>
    <n v="2876.9620100632319"/>
    <n v="800"/>
    <n v="2876.9620100632319"/>
    <n v="800"/>
    <n v="2876.9620100632319"/>
    <n v="800"/>
    <n v="2876.9620100632319"/>
    <n v="800"/>
    <n v="2876.9620100632319"/>
    <n v="0"/>
    <n v="0"/>
    <n v="0"/>
    <n v="0"/>
    <n v="0"/>
    <n v="0"/>
    <n v="760"/>
    <n v="2733.1139095600711"/>
    <n v="2300"/>
    <n v="8271.2657789317927"/>
    <n v="0"/>
    <n v="0"/>
    <n v="0"/>
    <n v="0"/>
    <n v="7060"/>
    <n v="25389.189738808022"/>
    <n v="1467.5757259778411"/>
    <n v="0.26242210069700911"/>
    <n v="6095.325993431572"/>
    <n v="0.31592044361214305"/>
  </r>
  <r>
    <x v="1"/>
    <s v="ESPAÑA"/>
    <s v="INIESTA DEL PINO DISTRIBUCIONES S.L.U"/>
    <s v="En desarrollo/nuevo"/>
    <s v="AVAN0005"/>
    <s v="FLORAMEC AVANCE, 5 L"/>
    <n v="5"/>
    <n v="5.6099999999999994"/>
    <n v="5.8477379987154823"/>
    <n v="0"/>
    <n v="0"/>
    <n v="0"/>
    <n v="0"/>
    <n v="98.92356741932133"/>
    <n v="554.96121322239264"/>
    <n v="79.138853935457064"/>
    <n v="443.96897057791409"/>
    <n v="0"/>
    <n v="0"/>
    <n v="0"/>
    <n v="0"/>
    <n v="0"/>
    <n v="0"/>
    <n v="0"/>
    <n v="0"/>
    <n v="0"/>
    <n v="0"/>
    <n v="0"/>
    <n v="0"/>
    <n v="0"/>
    <n v="0"/>
    <n v="0"/>
    <n v="0"/>
    <n v="178.06242135477839"/>
    <n v="998.93018380030674"/>
    <n v="0"/>
    <n v="0"/>
    <n v="0"/>
    <n v="0"/>
    <n v="125"/>
    <n v="730.96724983943523"/>
    <n v="100"/>
    <n v="584.77379987154825"/>
    <n v="0"/>
    <n v="0"/>
    <n v="0"/>
    <n v="0"/>
    <n v="0"/>
    <n v="0"/>
    <n v="0"/>
    <n v="0"/>
    <n v="0"/>
    <n v="0"/>
    <n v="0"/>
    <n v="0"/>
    <n v="0"/>
    <n v="0"/>
    <n v="0"/>
    <n v="0"/>
    <n v="225"/>
    <n v="1315.7410497109836"/>
    <n v="46.937578645221606"/>
    <n v="0.26360182169881524"/>
    <n v="316.81086591067685"/>
    <n v="0.3171501582877484"/>
  </r>
  <r>
    <x v="1"/>
    <s v="ESPAÑA"/>
    <s v="INIESTA DEL PINO DISTRIBUCIONES S.L.U"/>
    <s v="En desarrollo/nuevo"/>
    <s v="AVAN0020"/>
    <s v="FLORAMEC AVANCE, 20 L"/>
    <n v="20"/>
    <n v="5.2899999999999991"/>
    <n v="5.5141771859545274"/>
    <n v="0"/>
    <n v="0"/>
    <n v="0"/>
    <n v="0"/>
    <n v="1266.221662967313"/>
    <n v="6698.312597097085"/>
    <n v="633.11083148365651"/>
    <n v="3349.156298548543"/>
    <n v="0"/>
    <n v="0"/>
    <n v="0"/>
    <n v="0"/>
    <n v="0"/>
    <n v="0"/>
    <n v="0"/>
    <n v="0"/>
    <n v="0"/>
    <n v="0"/>
    <n v="0"/>
    <n v="0"/>
    <n v="0"/>
    <n v="0"/>
    <n v="0"/>
    <n v="0"/>
    <n v="1899.3324944509695"/>
    <n v="10047.468895645628"/>
    <n v="0"/>
    <n v="0"/>
    <n v="0"/>
    <n v="0"/>
    <n v="1600"/>
    <n v="8822.6834975272432"/>
    <n v="800"/>
    <n v="4411.3417487636216"/>
    <n v="0"/>
    <n v="0"/>
    <n v="0"/>
    <n v="0"/>
    <n v="0"/>
    <n v="0"/>
    <n v="0"/>
    <n v="0"/>
    <n v="0"/>
    <n v="0"/>
    <n v="0"/>
    <n v="0"/>
    <n v="0"/>
    <n v="0"/>
    <n v="0"/>
    <n v="0"/>
    <n v="2400"/>
    <n v="13234.025246290865"/>
    <n v="500.66750554903047"/>
    <n v="0.26360182169881524"/>
    <n v="3186.5563506452363"/>
    <n v="0.31715015828774806"/>
  </r>
  <r>
    <x v="1"/>
    <s v="ESPAÑA"/>
    <s v="INIESTA DEL PINO DISTRIBUCIONES S.L.U"/>
    <s v="En desarrollo/nuevo"/>
    <s v="BROTA0005"/>
    <s v="BROTAMEC, 5 L"/>
    <n v="5"/>
    <n v="3.5299999999999989"/>
    <n v="3.679592715769278"/>
    <n v="39.569426967728532"/>
    <n v="139.68007719608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39.6800771960817"/>
    <n v="50"/>
    <n v="183.9796357884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83.9796357884639"/>
    <n v="10.430573032271468"/>
    <n v="0.26360182169881524"/>
    <n v="44.299558592382198"/>
    <n v="0.31715015828774817"/>
  </r>
  <r>
    <x v="1"/>
    <s v="ESPAÑA"/>
    <s v="INIESTA DEL PINO DISTRIBUCIONES S.L.U"/>
    <s v="En desarrollo/nuevo"/>
    <s v="CALCIO0005"/>
    <s v="CALCIAMEC, 5 KG"/>
    <n v="5"/>
    <n v="4.3413333333333339"/>
    <n v="4.5253083597902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099710447379195"/>
    <n v="308.66754295555558"/>
    <n v="0"/>
    <n v="0"/>
    <n v="0"/>
    <n v="0"/>
    <n v="71.099710447379195"/>
    <n v="308.6675429555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407.27775238112542"/>
    <n v="0"/>
    <n v="0"/>
    <n v="0"/>
    <n v="0"/>
    <n v="90"/>
    <n v="407.27775238112542"/>
    <n v="18.900289552620805"/>
    <n v="0.26582793985650455"/>
    <n v="98.610209425569849"/>
    <n v="0.31947061385643821"/>
  </r>
  <r>
    <x v="1"/>
    <s v="ESPAÑA"/>
    <s v="INIESTA DEL PINO DISTRIBUCIONES S.L.U"/>
    <s v="En desarrollo/nuevo"/>
    <s v="TRI0005"/>
    <s v="TRIFENO-94, 5L"/>
    <n v="5"/>
    <n v="15.13"/>
    <n v="15.771172178353879"/>
    <n v="39.569426967728532"/>
    <n v="598.68543002173271"/>
    <n v="0"/>
    <n v="0"/>
    <n v="0"/>
    <n v="0"/>
    <n v="0"/>
    <n v="0"/>
    <n v="0"/>
    <n v="0"/>
    <n v="0"/>
    <n v="0"/>
    <n v="0"/>
    <n v="0"/>
    <n v="0"/>
    <n v="0"/>
    <n v="56.879768357903359"/>
    <n v="860.59089525507795"/>
    <n v="75.83969114387115"/>
    <n v="1147.4545270067711"/>
    <n v="0"/>
    <n v="0"/>
    <n v="227.51907343161341"/>
    <n v="3442.3635810203118"/>
    <n v="399.80795990111642"/>
    <n v="6049.0944333038933"/>
    <n v="55"/>
    <n v="867.41446980946341"/>
    <n v="0"/>
    <n v="0"/>
    <n v="0"/>
    <n v="0"/>
    <n v="0"/>
    <n v="0"/>
    <n v="0"/>
    <n v="0"/>
    <n v="0"/>
    <n v="0"/>
    <n v="0"/>
    <n v="0"/>
    <n v="0"/>
    <n v="0"/>
    <n v="80"/>
    <n v="1261.6937742683101"/>
    <n v="105"/>
    <n v="1655.9730787271569"/>
    <n v="0"/>
    <n v="0"/>
    <n v="315"/>
    <n v="4967.9192361814721"/>
    <n v="555"/>
    <n v="8753.0005589864031"/>
    <n v="155.19204009888358"/>
    <n v="0.38816645906016195"/>
    <n v="2703.9061256825098"/>
    <n v="0.44699353853626167"/>
  </r>
  <r>
    <x v="1"/>
    <s v="ESPAÑA"/>
    <s v="ROMAROC PONIENTE, S.L."/>
    <s v="En desarrollo/nuevo"/>
    <s v="AGXK0200"/>
    <s v="AGROXILATO-K, 200 L"/>
    <n v="200"/>
    <n v="3.35"/>
    <n v="3.4919647585912421"/>
    <n v="0"/>
    <n v="0"/>
    <n v="0"/>
    <n v="0"/>
    <n v="593.54140451592798"/>
    <n v="1988.363705128359"/>
    <n v="0"/>
    <n v="0"/>
    <n v="0"/>
    <n v="0"/>
    <n v="0"/>
    <n v="0"/>
    <n v="0"/>
    <n v="0"/>
    <n v="0"/>
    <n v="0"/>
    <n v="0"/>
    <n v="0"/>
    <n v="758.39691143871141"/>
    <n v="2540.6296533196828"/>
    <n v="0"/>
    <n v="0"/>
    <n v="0"/>
    <n v="0"/>
    <n v="1351.9383159546394"/>
    <n v="4528.9933584480423"/>
    <n v="0"/>
    <n v="0"/>
    <n v="0"/>
    <n v="0"/>
    <n v="800"/>
    <n v="2793.571806872993"/>
    <n v="0"/>
    <n v="0"/>
    <n v="0"/>
    <n v="0"/>
    <n v="0"/>
    <n v="0"/>
    <n v="0"/>
    <n v="0"/>
    <n v="0"/>
    <n v="0"/>
    <n v="0"/>
    <n v="0"/>
    <n v="1000"/>
    <n v="3491.9647585912421"/>
    <n v="0"/>
    <n v="0"/>
    <n v="0"/>
    <n v="0"/>
    <n v="1800"/>
    <n v="6285.5365654642355"/>
    <n v="448.06168404536061"/>
    <n v="0.33142169192014681"/>
    <n v="1756.5432070161933"/>
    <n v="0.3878440677639039"/>
  </r>
  <r>
    <x v="1"/>
    <s v="ESPAÑA"/>
    <s v="SERVIAGRI´ 97, S.L."/>
    <s v="Consolidado/estratégico"/>
    <s v="AGXK0005"/>
    <s v="AGROXILATO-K, 5 L"/>
    <n v="5"/>
    <n v="3.37"/>
    <n v="3.5128123093888011"/>
    <n v="0"/>
    <n v="0"/>
    <n v="98.92356741932133"/>
    <n v="325.45853680956708"/>
    <n v="0"/>
    <n v="0"/>
    <n v="0"/>
    <n v="0"/>
    <n v="98.92356741932133"/>
    <n v="341.28630759665862"/>
    <n v="0"/>
    <n v="0"/>
    <n v="0"/>
    <n v="0"/>
    <n v="0"/>
    <n v="0"/>
    <n v="189.59922785967791"/>
    <n v="638.9493978871144"/>
    <n v="189.59922785967791"/>
    <n v="638.9493978871144"/>
    <n v="189.59922785967791"/>
    <n v="638.9493978871144"/>
    <n v="0"/>
    <n v="0"/>
    <n v="766.64481841767633"/>
    <n v="2583.5930380675691"/>
    <n v="0"/>
    <n v="0"/>
    <n v="110"/>
    <n v="377.23643168184191"/>
    <n v="0"/>
    <n v="0"/>
    <n v="0"/>
    <n v="0"/>
    <n v="110"/>
    <n v="395.58227638369442"/>
    <n v="0"/>
    <n v="0"/>
    <n v="0"/>
    <n v="0"/>
    <n v="0"/>
    <n v="0"/>
    <n v="210"/>
    <n v="737.69058497164826"/>
    <n v="210"/>
    <n v="737.69058497164826"/>
    <n v="210"/>
    <n v="737.69058497164826"/>
    <n v="0"/>
    <n v="0"/>
    <n v="850"/>
    <n v="2985.8904629804811"/>
    <n v="83.355181582323667"/>
    <n v="0.10872724836824094"/>
    <n v="402.29742491291199"/>
    <n v="0.15571238154977202"/>
  </r>
  <r>
    <x v="1"/>
    <s v="ESPAÑA"/>
    <s v="SERVIAGRI´ 97, S.L."/>
    <s v="Consolidado/estratégico"/>
    <s v="AGXK0020"/>
    <s v="AGROXILATO-K, 20 L"/>
    <n v="20"/>
    <n v="3.1617647058823528"/>
    <n v="3.295350127402124"/>
    <n v="0"/>
    <n v="0"/>
    <n v="197.84713483864269"/>
    <n v="601.45528990947366"/>
    <n v="0"/>
    <n v="0"/>
    <n v="0"/>
    <n v="0"/>
    <n v="1365.145230386634"/>
    <n v="4354.8132849333633"/>
    <n v="0"/>
    <n v="0"/>
    <n v="0"/>
    <n v="0"/>
    <n v="118.7082809031856"/>
    <n v="360.87317394568419"/>
    <n v="0"/>
    <n v="0"/>
    <n v="606.7175291509692"/>
    <n v="1918.2980701096819"/>
    <n v="606.7175291509692"/>
    <n v="1918.2980701096819"/>
    <n v="606.7175291509692"/>
    <n v="1918.2980701096819"/>
    <n v="3501.8532335813702"/>
    <n v="11072.035959117567"/>
    <n v="0"/>
    <n v="0"/>
    <n v="220"/>
    <n v="697.14209867039483"/>
    <n v="0"/>
    <n v="0"/>
    <n v="0"/>
    <n v="0"/>
    <n v="1500"/>
    <n v="4987.7765283161471"/>
    <n v="0"/>
    <n v="0"/>
    <n v="0"/>
    <n v="0"/>
    <n v="140"/>
    <n v="443.6358809720694"/>
    <n v="0"/>
    <n v="0"/>
    <n v="660"/>
    <n v="2175.1966604218492"/>
    <n v="660"/>
    <n v="2175.1966604218492"/>
    <n v="660"/>
    <n v="2175.1966604218492"/>
    <n v="3840"/>
    <n v="12654.144489224158"/>
    <n v="338.1467664186298"/>
    <n v="9.6562232584717633E-2"/>
    <n v="1582.1085301065905"/>
    <n v="0.14289228611145907"/>
  </r>
  <r>
    <x v="1"/>
    <s v="ESPAÑA"/>
    <s v="SERVIAGRI´ 97, S.L."/>
    <s v="Consolidado/estratégico"/>
    <s v="AGZNP0005"/>
    <s v="AGROXILATO-ZN PLUS, 5 KG"/>
    <n v="5"/>
    <n v="6.76"/>
    <n v="7.0464721695751633"/>
    <n v="0"/>
    <n v="0"/>
    <n v="0"/>
    <n v="0"/>
    <n v="0"/>
    <n v="0"/>
    <n v="74.192675564490997"/>
    <n v="501.54248681595908"/>
    <n v="0"/>
    <n v="0"/>
    <n v="0"/>
    <n v="0"/>
    <n v="0"/>
    <n v="0"/>
    <n v="0"/>
    <n v="0"/>
    <n v="0"/>
    <n v="0"/>
    <n v="0"/>
    <n v="0"/>
    <n v="0"/>
    <n v="0"/>
    <n v="0"/>
    <n v="0"/>
    <n v="74.192675564490997"/>
    <n v="501.54248681595908"/>
    <n v="0"/>
    <n v="0"/>
    <n v="0"/>
    <n v="0"/>
    <n v="0"/>
    <n v="0"/>
    <n v="80"/>
    <n v="563.71777356601308"/>
    <n v="0"/>
    <n v="0"/>
    <n v="0"/>
    <n v="0"/>
    <n v="0"/>
    <n v="0"/>
    <n v="0"/>
    <n v="0"/>
    <n v="0"/>
    <n v="0"/>
    <n v="0"/>
    <n v="0"/>
    <n v="0"/>
    <n v="0"/>
    <n v="0"/>
    <n v="0"/>
    <n v="80"/>
    <n v="563.71777356601308"/>
    <n v="5.8073244355090026"/>
    <n v="7.8273554516322341E-2"/>
    <n v="62.175286750053999"/>
    <n v="0.12396813507221216"/>
  </r>
  <r>
    <x v="1"/>
    <s v="ESPAÑA"/>
    <s v="SERVIAGRI´ 97, S.L."/>
    <s v="Consolidado/estratégico"/>
    <s v="ANAE0005"/>
    <s v="ALCAPLANT NEW AE, 5 KG"/>
    <n v="5"/>
    <n v="2.0299999999999998"/>
    <n v="2.1160264059523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399806964919463"/>
    <n v="96.221608138786507"/>
    <n v="0"/>
    <n v="0"/>
    <n v="47.399806964919463"/>
    <n v="96.2216081387865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5.80132029761521"/>
    <n v="0"/>
    <n v="0"/>
    <n v="50"/>
    <n v="105.80132029761521"/>
    <n v="2.6001930350805367"/>
    <n v="5.4856616547087129E-2"/>
    <n v="9.5797121588286984"/>
    <n v="9.9558844880364858E-2"/>
  </r>
  <r>
    <x v="1"/>
    <s v="ESPAÑA"/>
    <s v="SERVIAGRI´ 97, S.L."/>
    <s v="Consolidado/estratégico"/>
    <s v="AQUOM0001"/>
    <s v="AQUOM, 1 L"/>
    <n v="1"/>
    <n v="14.39"/>
    <n v="14.99981279884417"/>
    <n v="0"/>
    <n v="0"/>
    <n v="0"/>
    <n v="0"/>
    <n v="0"/>
    <n v="0"/>
    <n v="0"/>
    <n v="0"/>
    <n v="0"/>
    <n v="0"/>
    <n v="0"/>
    <n v="0"/>
    <n v="11.870828090318559"/>
    <n v="170.82121621968409"/>
    <n v="0"/>
    <n v="0"/>
    <n v="0"/>
    <n v="0"/>
    <n v="0"/>
    <n v="0"/>
    <n v="0"/>
    <n v="0"/>
    <n v="0"/>
    <n v="0"/>
    <n v="11.870828090318559"/>
    <n v="170.82121621968409"/>
    <n v="0"/>
    <n v="0"/>
    <n v="0"/>
    <n v="0"/>
    <n v="0"/>
    <n v="0"/>
    <n v="0"/>
    <n v="0"/>
    <n v="0"/>
    <n v="0"/>
    <n v="0"/>
    <n v="0"/>
    <n v="14"/>
    <n v="209.9973791838184"/>
    <n v="0"/>
    <n v="0"/>
    <n v="0"/>
    <n v="0"/>
    <n v="0"/>
    <n v="0"/>
    <n v="0"/>
    <n v="0"/>
    <n v="0"/>
    <n v="0"/>
    <n v="14"/>
    <n v="209.9973791838184"/>
    <n v="2.1291719096814408"/>
    <n v="0.17936170025222758"/>
    <n v="39.176162964134306"/>
    <n v="0.2293401477352317"/>
  </r>
  <r>
    <x v="1"/>
    <s v="ESPAÑA"/>
    <s v="SERVIAGRI´ 97, S.L."/>
    <s v="Consolidado/estratégico"/>
    <s v="AVAN0001"/>
    <s v="FLORAMEC AVANCE, 1 L"/>
    <n v="1"/>
    <n v="6.34"/>
    <n v="6.6086736028264106"/>
    <n v="0"/>
    <n v="0"/>
    <n v="35.612484270955683"/>
    <n v="218.66065342366781"/>
    <n v="0"/>
    <n v="0"/>
    <n v="0"/>
    <n v="0"/>
    <n v="71.224968541911352"/>
    <n v="458.68879740990911"/>
    <n v="0"/>
    <n v="0"/>
    <n v="0"/>
    <n v="0"/>
    <n v="0"/>
    <n v="0"/>
    <n v="0"/>
    <n v="0"/>
    <n v="0"/>
    <n v="0"/>
    <n v="0"/>
    <n v="0"/>
    <n v="0"/>
    <n v="0"/>
    <n v="106.83745281286704"/>
    <n v="677.34945083357695"/>
    <n v="0"/>
    <n v="0"/>
    <n v="43"/>
    <n v="275.20851807858497"/>
    <n v="0"/>
    <n v="0"/>
    <n v="0"/>
    <n v="0"/>
    <n v="86"/>
    <n v="577.31037668602198"/>
    <n v="0"/>
    <n v="0"/>
    <n v="0"/>
    <n v="0"/>
    <n v="0"/>
    <n v="0"/>
    <n v="0"/>
    <n v="0"/>
    <n v="0"/>
    <n v="0"/>
    <n v="0"/>
    <n v="0"/>
    <n v="0"/>
    <n v="0"/>
    <n v="129"/>
    <n v="852.51889476460701"/>
    <n v="22.162547187132958"/>
    <n v="0.2074417407344234"/>
    <n v="175.16944393103006"/>
    <n v="0.25861015125273756"/>
  </r>
  <r>
    <x v="1"/>
    <s v="ESPAÑA"/>
    <s v="SERVIAGRI´ 97, S.L."/>
    <s v="Consolidado/estratégico"/>
    <s v="AVAN0005"/>
    <s v="FLORAMEC AVANCE, 5 L"/>
    <n v="5"/>
    <n v="5.051333333333333"/>
    <n v="5.2660750443145066"/>
    <n v="0"/>
    <n v="0"/>
    <n v="79.138853935457064"/>
    <n v="390.94593844115792"/>
    <n v="0"/>
    <n v="0"/>
    <n v="59.354140451592791"/>
    <n v="302.11257489860731"/>
    <n v="0"/>
    <n v="0"/>
    <n v="0"/>
    <n v="0"/>
    <n v="39.569426967728532"/>
    <n v="205.36532596251109"/>
    <n v="118.7082809031856"/>
    <n v="600.66390137011911"/>
    <n v="94.799613929838927"/>
    <n v="478.86444983092639"/>
    <n v="94.799613929838927"/>
    <n v="478.86444983092639"/>
    <n v="94.799613929838927"/>
    <n v="478.86444983092639"/>
    <n v="0"/>
    <n v="0"/>
    <n v="581.16954404748071"/>
    <n v="2935.6810901651743"/>
    <n v="0"/>
    <n v="0"/>
    <n v="85"/>
    <n v="437.69432899476487"/>
    <n v="0"/>
    <n v="0"/>
    <n v="65"/>
    <n v="344.87060906863059"/>
    <n v="0"/>
    <n v="0"/>
    <n v="0"/>
    <n v="0"/>
    <n v="45"/>
    <n v="243.4472744385028"/>
    <n v="130"/>
    <n v="685.67594573173699"/>
    <n v="105"/>
    <n v="552.86662337588314"/>
    <n v="105"/>
    <n v="552.86662337588314"/>
    <n v="105"/>
    <n v="552.86662337588314"/>
    <n v="0"/>
    <n v="0"/>
    <n v="640"/>
    <n v="3370.2880283612844"/>
    <n v="58.830455952519287"/>
    <n v="0.10122769948129444"/>
    <n v="434.60693819611015"/>
    <n v="0.14804296681001453"/>
  </r>
  <r>
    <x v="1"/>
    <s v="ESPAÑA"/>
    <s v="SERVIAGRI´ 97, S.L."/>
    <s v="Consolidado/estratégico"/>
    <s v="AVAN0020"/>
    <s v="FLORAMEC AVANCE, 20 L"/>
    <n v="20"/>
    <n v="4.8"/>
    <n v="5.0034121914143146"/>
    <n v="0"/>
    <n v="0"/>
    <n v="0"/>
    <n v="0"/>
    <n v="197.84713483864269"/>
    <n v="949.6662472254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949.66624722548465"/>
    <n v="0"/>
    <n v="0"/>
    <n v="0"/>
    <n v="0"/>
    <n v="220"/>
    <n v="1100.750682111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1100.750682111149"/>
    <n v="22.152865161357312"/>
    <n v="0.11196960309495725"/>
    <n v="151.08443488566434"/>
    <n v="0.15909213929321792"/>
  </r>
  <r>
    <x v="1"/>
    <s v="ESPAÑA"/>
    <s v="SERVIAGRI´ 97, S.L."/>
    <s v="Consolidado/estratégico"/>
    <s v="B0001"/>
    <s v="BOROCAL,1 L"/>
    <n v="1"/>
    <n v="4.9249999999999989"/>
    <n v="5.1329305960819136"/>
    <n v="0"/>
    <n v="0"/>
    <n v="11.870828090318559"/>
    <n v="57.454807957141817"/>
    <n v="23.741656180637118"/>
    <n v="118.4708643413792"/>
    <n v="0"/>
    <n v="0"/>
    <n v="0"/>
    <n v="0"/>
    <n v="0"/>
    <n v="0"/>
    <n v="0"/>
    <n v="0"/>
    <n v="11.870828090318559"/>
    <n v="57.929641080754571"/>
    <n v="11.375953671580669"/>
    <n v="56.026571832534813"/>
    <n v="0"/>
    <n v="0"/>
    <n v="11.375953671580669"/>
    <n v="56.026571832534813"/>
    <n v="11.375953671580669"/>
    <n v="56.026571832534813"/>
    <n v="81.611173376016254"/>
    <n v="401.9350288768801"/>
    <n v="0"/>
    <n v="0"/>
    <n v="13"/>
    <n v="65.586394809122666"/>
    <n v="25"/>
    <n v="130.03659809977839"/>
    <n v="0"/>
    <n v="0"/>
    <n v="0"/>
    <n v="0"/>
    <n v="0"/>
    <n v="0"/>
    <n v="0"/>
    <n v="0"/>
    <n v="13"/>
    <n v="66.128431129859223"/>
    <n v="12"/>
    <n v="61.604512606788767"/>
    <n v="0"/>
    <n v="0"/>
    <n v="12"/>
    <n v="61.604512606788767"/>
    <n v="12"/>
    <n v="61.604512606788767"/>
    <n v="87"/>
    <n v="446.56496185912658"/>
    <n v="5.3888266239837463"/>
    <n v="6.6030500494769329E-2"/>
    <n v="44.629932982246487"/>
    <n v="0.11103767966418632"/>
  </r>
  <r>
    <x v="1"/>
    <s v="ESPAÑA"/>
    <s v="SERVIAGRI´ 97, S.L."/>
    <s v="Consolidado/estratégico"/>
    <s v="B0005"/>
    <s v="BOROCAL, 5 L"/>
    <n v="5"/>
    <n v="3.43"/>
    <n v="3.5753549617814802"/>
    <n v="0"/>
    <n v="0"/>
    <n v="0"/>
    <n v="0"/>
    <n v="19.78471348386427"/>
    <n v="67.861567249654428"/>
    <n v="0"/>
    <n v="0"/>
    <n v="0"/>
    <n v="0"/>
    <n v="0"/>
    <n v="0"/>
    <n v="0"/>
    <n v="0"/>
    <n v="0"/>
    <n v="0"/>
    <n v="0"/>
    <n v="0"/>
    <n v="0"/>
    <n v="0"/>
    <n v="18.959922785967791"/>
    <n v="65.03253515586951"/>
    <n v="0"/>
    <n v="0"/>
    <n v="38.744636269832057"/>
    <n v="132.89410240552394"/>
    <n v="0"/>
    <n v="0"/>
    <n v="0"/>
    <n v="0"/>
    <n v="20"/>
    <n v="71.507099235629596"/>
    <n v="0"/>
    <n v="0"/>
    <n v="0"/>
    <n v="0"/>
    <n v="0"/>
    <n v="0"/>
    <n v="0"/>
    <n v="0"/>
    <n v="0"/>
    <n v="0"/>
    <n v="0"/>
    <n v="0"/>
    <n v="0"/>
    <n v="0"/>
    <n v="20"/>
    <n v="71.50709923562961"/>
    <n v="0"/>
    <n v="0"/>
    <n v="40"/>
    <n v="143.01419847125919"/>
    <n v="1.255363730167943"/>
    <n v="3.2400968263713283E-2"/>
    <n v="10.120096065735254"/>
    <n v="7.6151581466376628E-2"/>
  </r>
  <r>
    <x v="1"/>
    <s v="ESPAÑA"/>
    <s v="SERVIAGRI´ 97, S.L."/>
    <s v="Consolidado/estratégico"/>
    <s v="BIO0005"/>
    <s v="BIORAD-20, 5L"/>
    <n v="5"/>
    <n v="2.5779999999999998"/>
    <n v="2.687249297805439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733.18021413337431"/>
    <n v="284.39884178951678"/>
    <n v="733.18021413337431"/>
    <n v="284.39884178951678"/>
    <n v="733.18021413337431"/>
    <n v="0"/>
    <n v="0"/>
    <n v="853.19652536855028"/>
    <n v="2199.540642400123"/>
    <n v="0"/>
    <n v="0"/>
    <n v="0"/>
    <n v="0"/>
    <n v="0"/>
    <n v="0"/>
    <n v="0"/>
    <n v="0"/>
    <n v="0"/>
    <n v="0"/>
    <n v="0"/>
    <n v="0"/>
    <n v="0"/>
    <n v="0"/>
    <n v="0"/>
    <n v="0"/>
    <n v="360"/>
    <n v="967.40974720995803"/>
    <n v="360"/>
    <n v="967.40974720995803"/>
    <n v="360"/>
    <n v="967.40974720995803"/>
    <n v="0"/>
    <n v="0"/>
    <n v="1080"/>
    <n v="2902.2292416298742"/>
    <n v="226.80347463144972"/>
    <n v="0.26582793985650466"/>
    <n v="702.68859922975116"/>
    <n v="0.31947061385643793"/>
  </r>
  <r>
    <x v="1"/>
    <s v="ESPAÑA"/>
    <s v="SERVIAGRI´ 97, S.L."/>
    <s v="Consolidado/estratégico"/>
    <s v="BIO0020"/>
    <s v="BIORAD-20, 20 L"/>
    <n v="20"/>
    <n v="2.4333333333333331"/>
    <n v="2.5364520137030908"/>
    <n v="633.11083148365651"/>
    <n v="1481.4793456717559"/>
    <n v="0"/>
    <n v="0"/>
    <n v="0"/>
    <n v="0"/>
    <n v="0"/>
    <n v="0"/>
    <n v="0"/>
    <n v="0"/>
    <n v="633.11083148365651"/>
    <n v="1570.1148620794679"/>
    <n v="633.11083148365651"/>
    <n v="1570.1148620794679"/>
    <n v="0"/>
    <n v="0"/>
    <n v="0"/>
    <n v="0"/>
    <n v="568.79768357903356"/>
    <n v="1384.0743633756481"/>
    <n v="0"/>
    <n v="0"/>
    <n v="568.79768357903356"/>
    <n v="1384.0743633756481"/>
    <n v="3036.9278616090369"/>
    <n v="7389.8577965819877"/>
    <n v="800"/>
    <n v="1951.330754651583"/>
    <n v="0"/>
    <n v="0"/>
    <n v="0"/>
    <n v="0"/>
    <n v="0"/>
    <n v="0"/>
    <n v="0"/>
    <n v="0"/>
    <n v="800"/>
    <n v="2068.077039117918"/>
    <n v="800"/>
    <n v="2068.077039117918"/>
    <n v="0"/>
    <n v="0"/>
    <n v="0"/>
    <n v="0"/>
    <n v="720"/>
    <n v="1826.245449866225"/>
    <n v="0"/>
    <n v="0"/>
    <n v="720"/>
    <n v="1826.245449866225"/>
    <n v="3840"/>
    <n v="9739.9757326198687"/>
    <n v="803.07213839096312"/>
    <n v="0.26443569784547871"/>
    <n v="2350.117936037881"/>
    <n v="0.31801937205407055"/>
  </r>
  <r>
    <x v="1"/>
    <s v="ESPAÑA"/>
    <s v="SERVIAGRI´ 97, S.L."/>
    <s v="Consolidado/estratégico"/>
    <s v="BR-590005"/>
    <s v="BR-59, 5 KG"/>
    <n v="5"/>
    <n v="2.66"/>
    <n v="2.7727242560754339"/>
    <n v="0"/>
    <n v="0"/>
    <n v="0"/>
    <n v="0"/>
    <n v="0"/>
    <n v="0"/>
    <n v="0"/>
    <n v="0"/>
    <n v="0"/>
    <n v="0"/>
    <n v="593.54140451592798"/>
    <n v="1578.820136012368"/>
    <n v="0"/>
    <n v="0"/>
    <n v="0"/>
    <n v="0"/>
    <n v="0"/>
    <n v="0"/>
    <n v="0"/>
    <n v="0"/>
    <n v="0"/>
    <n v="0"/>
    <n v="0"/>
    <n v="0"/>
    <n v="593.54140451592798"/>
    <n v="1578.820136012368"/>
    <n v="0"/>
    <n v="0"/>
    <n v="0"/>
    <n v="0"/>
    <n v="0"/>
    <n v="0"/>
    <n v="0"/>
    <n v="0"/>
    <n v="0"/>
    <n v="0"/>
    <n v="655"/>
    <n v="1816.1343877294089"/>
    <n v="0"/>
    <n v="0"/>
    <n v="0"/>
    <n v="0"/>
    <n v="0"/>
    <n v="0"/>
    <n v="0"/>
    <n v="0"/>
    <n v="0"/>
    <n v="0"/>
    <n v="0"/>
    <n v="0"/>
    <n v="655"/>
    <n v="1816.1343877294089"/>
    <n v="61.458595484072021"/>
    <n v="0.10354559095029865"/>
    <n v="237.31425171704086"/>
    <n v="0.15031113823796696"/>
  </r>
  <r>
    <x v="1"/>
    <s v="ESPAÑA"/>
    <s v="SERVIAGRI´ 97, S.L."/>
    <s v="Consolidado/estratégico"/>
    <s v="BR-59AE0005"/>
    <s v="BR-59 AE, 5 KG"/>
    <n v="5"/>
    <n v="2.66"/>
    <n v="2.7727242560754339"/>
    <n v="0"/>
    <n v="0"/>
    <n v="0"/>
    <n v="0"/>
    <n v="0"/>
    <n v="0"/>
    <n v="0"/>
    <n v="0"/>
    <n v="0"/>
    <n v="0"/>
    <n v="0"/>
    <n v="0"/>
    <n v="3264.477724837604"/>
    <n v="8683.5107480680254"/>
    <n v="0"/>
    <n v="0"/>
    <n v="0"/>
    <n v="0"/>
    <n v="0"/>
    <n v="0"/>
    <n v="0"/>
    <n v="0"/>
    <n v="0"/>
    <n v="0"/>
    <n v="3264.477724837604"/>
    <n v="8683.5107480680254"/>
    <n v="0"/>
    <n v="0"/>
    <n v="0"/>
    <n v="0"/>
    <n v="0"/>
    <n v="0"/>
    <n v="0"/>
    <n v="0"/>
    <n v="0"/>
    <n v="0"/>
    <n v="0"/>
    <n v="0"/>
    <n v="3600"/>
    <n v="9981.8073218715617"/>
    <n v="0"/>
    <n v="0"/>
    <n v="0"/>
    <n v="0"/>
    <n v="0"/>
    <n v="0"/>
    <n v="0"/>
    <n v="0"/>
    <n v="0"/>
    <n v="0"/>
    <n v="3600"/>
    <n v="9981.8073218715617"/>
    <n v="335.522275162396"/>
    <n v="0.10277977166442054"/>
    <n v="1298.2965738035364"/>
    <n v="0.14951286541476227"/>
  </r>
  <r>
    <x v="1"/>
    <s v="ESPAÑA"/>
    <s v="SERVIAGRI´ 97, S.L."/>
    <s v="Consolidado/estratégico"/>
    <s v="BROTA0005"/>
    <s v="BROTAMEC, 5 L"/>
    <n v="5"/>
    <n v="3.31"/>
    <n v="3.4502696569961229"/>
    <n v="0"/>
    <n v="0"/>
    <n v="0"/>
    <n v="0"/>
    <n v="316.55541574182831"/>
    <n v="1047.798426105451"/>
    <n v="0"/>
    <n v="0"/>
    <n v="0"/>
    <n v="0"/>
    <n v="0"/>
    <n v="0"/>
    <n v="0"/>
    <n v="0"/>
    <n v="0"/>
    <n v="0"/>
    <n v="0"/>
    <n v="0"/>
    <n v="0"/>
    <n v="0"/>
    <n v="284.39884178951678"/>
    <n v="941.36016632330063"/>
    <n v="0"/>
    <n v="0"/>
    <n v="600.95425753134509"/>
    <n v="1989.1585924287515"/>
    <n v="0"/>
    <n v="0"/>
    <n v="0"/>
    <n v="0"/>
    <n v="345"/>
    <n v="1190.343031663662"/>
    <n v="0"/>
    <n v="0"/>
    <n v="0"/>
    <n v="0"/>
    <n v="0"/>
    <n v="0"/>
    <n v="0"/>
    <n v="0"/>
    <n v="0"/>
    <n v="0"/>
    <n v="0"/>
    <n v="0"/>
    <n v="0"/>
    <n v="0"/>
    <n v="310"/>
    <n v="1069.5835936687979"/>
    <n v="0"/>
    <n v="0"/>
    <n v="655"/>
    <n v="2259.9266253324599"/>
    <n v="54.045742468654907"/>
    <n v="8.9933205050695464E-2"/>
    <n v="270.76803290370844"/>
    <n v="0.13612189291206903"/>
  </r>
  <r>
    <x v="1"/>
    <s v="ESPAÑA"/>
    <s v="SERVIAGRI´ 97, S.L."/>
    <s v="Consolidado/estratégico"/>
    <s v="FTK0005"/>
    <s v="FITOKONTROL CA FLOW, 5 KG"/>
    <n v="5"/>
    <n v="2.7798387096774202"/>
    <n v="2.8976527426727312"/>
    <n v="59.354140451592791"/>
    <n v="154.9143065786572"/>
    <n v="0"/>
    <n v="0"/>
    <n v="158.2777078709141"/>
    <n v="441.59480495985042"/>
    <n v="39.569426967728532"/>
    <n v="110.39870123996261"/>
    <n v="296.77070225796399"/>
    <n v="822.05484525456018"/>
    <n v="395.69426967728532"/>
    <n v="1125.7501972318771"/>
    <n v="1503.638224773684"/>
    <n v="4165.0778826231053"/>
    <n v="0"/>
    <n v="0"/>
    <n v="284.39884178951678"/>
    <n v="790.58290939392271"/>
    <n v="284.39884178951678"/>
    <n v="790.58290939392271"/>
    <n v="284.39884178951678"/>
    <n v="790.58290939392271"/>
    <n v="284.39884178951678"/>
    <n v="790.58290939392271"/>
    <n v="3590.899839157235"/>
    <n v="9982.1223754637031"/>
    <n v="75"/>
    <n v="204.04540343111509"/>
    <n v="0"/>
    <n v="0"/>
    <n v="200"/>
    <n v="581.64666725191421"/>
    <n v="50"/>
    <n v="145.41166681297861"/>
    <n v="375"/>
    <n v="1082.7696695482539"/>
    <n v="500"/>
    <n v="1482.78205047643"/>
    <n v="1895"/>
    <n v="5471.5960634505127"/>
    <n v="0"/>
    <n v="0"/>
    <n v="360"/>
    <n v="1043.1509167624081"/>
    <n v="360"/>
    <n v="1043.1509167624081"/>
    <n v="360"/>
    <n v="1043.1509167624081"/>
    <n v="360"/>
    <n v="1043.1509167624081"/>
    <n v="4535"/>
    <n v="13140.855188020836"/>
    <n v="944.10016084276504"/>
    <n v="0.2629146462253707"/>
    <n v="3158.732812557133"/>
    <n v="0.31643899901702011"/>
  </r>
  <r>
    <x v="1"/>
    <s v="ESPAÑA"/>
    <s v="SERVIAGRI´ 97, S.L."/>
    <s v="Consolidado/estratégico"/>
    <s v="HST0005"/>
    <s v="HIDROSTRESS-40, 5 L"/>
    <n v="5"/>
    <n v="6.56"/>
    <n v="6.8379966615995658"/>
    <n v="0"/>
    <n v="0"/>
    <n v="0"/>
    <n v="0"/>
    <n v="0"/>
    <n v="0"/>
    <n v="0"/>
    <n v="0"/>
    <n v="197.84713483864269"/>
    <n v="1297.877204541496"/>
    <n v="0"/>
    <n v="0"/>
    <n v="98.92356741932133"/>
    <n v="648.93860227074788"/>
    <n v="0"/>
    <n v="0"/>
    <n v="0"/>
    <n v="0"/>
    <n v="0"/>
    <n v="0"/>
    <n v="0"/>
    <n v="0"/>
    <n v="0"/>
    <n v="0"/>
    <n v="296.77070225796399"/>
    <n v="1946.8158068122439"/>
    <n v="0"/>
    <n v="0"/>
    <n v="0"/>
    <n v="0"/>
    <n v="0"/>
    <n v="0"/>
    <n v="0"/>
    <n v="0"/>
    <n v="250"/>
    <n v="1709.4991653998909"/>
    <n v="0"/>
    <n v="0"/>
    <n v="125"/>
    <n v="854.74958269994568"/>
    <n v="0"/>
    <n v="0"/>
    <n v="0"/>
    <n v="0"/>
    <n v="0"/>
    <n v="0"/>
    <n v="0"/>
    <n v="0"/>
    <n v="0"/>
    <n v="0"/>
    <n v="375"/>
    <n v="2564.2487480998366"/>
    <n v="78.22929774203601"/>
    <n v="0.26360182169881524"/>
    <n v="617.43294128759271"/>
    <n v="0.31715015828774784"/>
  </r>
  <r>
    <x v="1"/>
    <s v="ESPAÑA"/>
    <s v="SERVIAGRI´ 97, S.L."/>
    <s v="Consolidado/estratégico"/>
    <s v="JF0005"/>
    <s v="CODIGIN-FOS, 5 L"/>
    <n v="5"/>
    <n v="2.9355555555555548"/>
    <n v="3.0599289294613272"/>
    <n v="0"/>
    <n v="0"/>
    <n v="0"/>
    <n v="0"/>
    <n v="39.569426967728532"/>
    <n v="116.3341152851219"/>
    <n v="59.354140451592791"/>
    <n v="174.5011729276828"/>
    <n v="0"/>
    <n v="0"/>
    <n v="0"/>
    <n v="0"/>
    <n v="79.138853935457064"/>
    <n v="231.87684203088921"/>
    <n v="0"/>
    <n v="0"/>
    <n v="94.799613929838927"/>
    <n v="278.28953333626038"/>
    <n v="94.799613929838927"/>
    <n v="278.28953333626038"/>
    <n v="0"/>
    <n v="0"/>
    <n v="0"/>
    <n v="0"/>
    <n v="367.66164921445625"/>
    <n v="1079.2911969162146"/>
    <n v="0"/>
    <n v="0"/>
    <n v="0"/>
    <n v="0"/>
    <n v="45"/>
    <n v="137.90654852585709"/>
    <n v="65"/>
    <n v="199.19834787068251"/>
    <n v="0"/>
    <n v="0"/>
    <n v="0"/>
    <n v="0"/>
    <n v="90"/>
    <n v="274.87495726582398"/>
    <n v="0"/>
    <n v="0"/>
    <n v="105"/>
    <n v="321.29550370839007"/>
    <n v="105"/>
    <n v="321.29550370839007"/>
    <n v="0"/>
    <n v="0"/>
    <n v="0"/>
    <n v="0"/>
    <n v="410"/>
    <n v="1254.5708610791437"/>
    <n v="42.338350785543753"/>
    <n v="0.11515574408155876"/>
    <n v="175.27966416292907"/>
    <n v="0.16240257000496597"/>
  </r>
  <r>
    <x v="1"/>
    <s v="ESPAÑA"/>
    <s v="SERVIAGRI´ 97, S.L."/>
    <s v="Consolidado/estratégico"/>
    <s v="PHD0005"/>
    <s v="PH-DOWNER, 5 L"/>
    <n v="5"/>
    <n v="3.7615384615384611"/>
    <n v="3.9219928745881769"/>
    <n v="0"/>
    <n v="0"/>
    <n v="197.84713483864269"/>
    <n v="735.99134159975063"/>
    <n v="0"/>
    <n v="0"/>
    <n v="0"/>
    <n v="0"/>
    <n v="59.354140451592791"/>
    <n v="231.4811477612119"/>
    <n v="0"/>
    <n v="0"/>
    <n v="0"/>
    <n v="0"/>
    <n v="0"/>
    <n v="0"/>
    <n v="0"/>
    <n v="0"/>
    <n v="0"/>
    <n v="0"/>
    <n v="0"/>
    <n v="0"/>
    <n v="0"/>
    <n v="0"/>
    <n v="257.20127529023546"/>
    <n v="967.47248936096253"/>
    <n v="0"/>
    <n v="0"/>
    <n v="210"/>
    <n v="814.30533415268008"/>
    <n v="0"/>
    <n v="0"/>
    <n v="0"/>
    <n v="0"/>
    <n v="65"/>
    <n v="264.24270635906862"/>
    <n v="0"/>
    <n v="0"/>
    <n v="0"/>
    <n v="0"/>
    <n v="0"/>
    <n v="0"/>
    <n v="0"/>
    <n v="0"/>
    <n v="0"/>
    <n v="0"/>
    <n v="0"/>
    <n v="0"/>
    <n v="0"/>
    <n v="0"/>
    <n v="275"/>
    <n v="1078.5480405117487"/>
    <n v="17.798724709764542"/>
    <n v="6.9201541437459047E-2"/>
    <n v="111.07555115078617"/>
    <n v="0.11481003581213362"/>
  </r>
  <r>
    <x v="1"/>
    <s v="ESPAÑA"/>
    <s v="SERVIAGRI´ 97, S.L."/>
    <s v="Consolidado/estratégico"/>
    <s v="PREZN0005"/>
    <s v="PREZINC, 5 kg"/>
    <n v="5"/>
    <n v="3.8975206611570248"/>
    <n v="4.062684543968798"/>
    <n v="0"/>
    <n v="0"/>
    <n v="0"/>
    <n v="0"/>
    <n v="2967.7070225796401"/>
    <n v="11663.088598737981"/>
    <n v="0"/>
    <n v="0"/>
    <n v="0"/>
    <n v="0"/>
    <n v="3017.1688062892999"/>
    <n v="11663.088598737981"/>
    <n v="0"/>
    <n v="0"/>
    <n v="0"/>
    <n v="0"/>
    <n v="0"/>
    <n v="0"/>
    <n v="0"/>
    <n v="0"/>
    <n v="0"/>
    <n v="0"/>
    <n v="2843.9884178951679"/>
    <n v="11084.5036188377"/>
    <n v="8828.8642467641075"/>
    <n v="34410.680816313659"/>
    <n v="0"/>
    <n v="0"/>
    <n v="0"/>
    <n v="0"/>
    <n v="3240"/>
    <n v="13272.801690774329"/>
    <n v="0"/>
    <n v="0"/>
    <n v="0"/>
    <n v="0"/>
    <n v="3295"/>
    <n v="13276.831078051429"/>
    <n v="0"/>
    <n v="0"/>
    <n v="0"/>
    <n v="0"/>
    <n v="0"/>
    <n v="0"/>
    <n v="0"/>
    <n v="0"/>
    <n v="0"/>
    <n v="0"/>
    <n v="3105"/>
    <n v="12614.64623503346"/>
    <n v="9640"/>
    <n v="39164.279003859221"/>
    <n v="811.13575323589248"/>
    <n v="9.1873170836575521E-2"/>
    <n v="4753.5981875455618"/>
    <n v="0.13814310193165205"/>
  </r>
  <r>
    <x v="1"/>
    <s v="ESPAÑA"/>
    <s v="SERVIAGRI´ 97, S.L."/>
    <s v="Consolidado/estratégico"/>
    <s v="SSAE0005"/>
    <s v="MAGNIFIC-VIETS-AE, 5 KG"/>
    <n v="5"/>
    <n v="4.6159999999999997"/>
    <n v="4.811614724076767"/>
    <n v="197.84713483864269"/>
    <n v="892.29057812227836"/>
    <n v="0"/>
    <n v="0"/>
    <n v="197.84713483864269"/>
    <n v="921.9676483480747"/>
    <n v="0"/>
    <n v="0"/>
    <n v="0"/>
    <n v="0"/>
    <n v="98.92356741932133"/>
    <n v="468.89770956758309"/>
    <n v="0"/>
    <n v="0"/>
    <n v="0"/>
    <n v="0"/>
    <n v="0"/>
    <n v="0"/>
    <n v="189.59922785967791"/>
    <n v="875.19003580027299"/>
    <n v="0"/>
    <n v="0"/>
    <n v="0"/>
    <n v="0"/>
    <n v="684.21706495628462"/>
    <n v="3158.3459718382092"/>
    <n v="240"/>
    <n v="1128.2694491639279"/>
    <n v="0"/>
    <n v="0"/>
    <n v="240"/>
    <n v="1165.7950405995359"/>
    <n v="0"/>
    <n v="0"/>
    <n v="0"/>
    <n v="0"/>
    <n v="120"/>
    <n v="592.9043446825965"/>
    <n v="0"/>
    <n v="0"/>
    <n v="0"/>
    <n v="0"/>
    <n v="0"/>
    <n v="0"/>
    <n v="230"/>
    <n v="1106.671386537656"/>
    <n v="0"/>
    <n v="0"/>
    <n v="0"/>
    <n v="0"/>
    <n v="830"/>
    <n v="3993.6402209837161"/>
    <n v="145.78293504371538"/>
    <n v="0.2130653304489411"/>
    <n v="835.29424914550691"/>
    <n v="0.26447205486463915"/>
  </r>
  <r>
    <x v="1"/>
    <s v="ESPAÑA"/>
    <s v="SERVIAGRI´ 97, S.L."/>
    <s v="Consolidado/estratégico"/>
    <s v="WHITE0020"/>
    <s v="AGROWHITE, 20 KG"/>
    <n v="20"/>
    <n v="1.85"/>
    <n v="1.928398448774268"/>
    <n v="0"/>
    <n v="0"/>
    <n v="0"/>
    <n v="0"/>
    <n v="0"/>
    <n v="0"/>
    <n v="0"/>
    <n v="0"/>
    <n v="0"/>
    <n v="0"/>
    <n v="2176.318483225069"/>
    <n v="4026.1891939663778"/>
    <n v="0"/>
    <n v="0"/>
    <n v="0"/>
    <n v="0"/>
    <n v="0"/>
    <n v="0"/>
    <n v="0"/>
    <n v="0"/>
    <n v="0"/>
    <n v="0"/>
    <n v="0"/>
    <n v="0"/>
    <n v="2176.318483225069"/>
    <n v="4026.1891939663778"/>
    <n v="0"/>
    <n v="0"/>
    <n v="0"/>
    <n v="0"/>
    <n v="0"/>
    <n v="0"/>
    <n v="0"/>
    <n v="0"/>
    <n v="0"/>
    <n v="0"/>
    <n v="2360"/>
    <n v="4551.0203391072719"/>
    <n v="0"/>
    <n v="0"/>
    <n v="0"/>
    <n v="0"/>
    <n v="0"/>
    <n v="0"/>
    <n v="0"/>
    <n v="0"/>
    <n v="0"/>
    <n v="0"/>
    <n v="0"/>
    <n v="0"/>
    <n v="2360"/>
    <n v="4551.0203391072719"/>
    <n v="183.68151677493097"/>
    <n v="8.4400108803347015E-2"/>
    <n v="524.83114514089402"/>
    <n v="0.13035431765784944"/>
  </r>
  <r>
    <x v="1"/>
    <s v="ESPAÑA"/>
    <s v="TRATAMIENTOS AGRICOLAS BRENES, S.L."/>
    <s v="Con potencial"/>
    <s v="AGXK0020"/>
    <s v="AGROXILATO-K, 20 L"/>
    <n v="20"/>
    <n v="3.62"/>
    <n v="3.773406694358298"/>
    <n v="0"/>
    <n v="0"/>
    <n v="0"/>
    <n v="0"/>
    <n v="0"/>
    <n v="0"/>
    <n v="0"/>
    <n v="0"/>
    <n v="0"/>
    <n v="0"/>
    <n v="633.11083148365651"/>
    <n v="2291.8612099708371"/>
    <n v="0"/>
    <n v="0"/>
    <n v="0"/>
    <n v="0"/>
    <n v="0"/>
    <n v="0"/>
    <n v="0"/>
    <n v="0"/>
    <n v="0"/>
    <n v="0"/>
    <n v="0"/>
    <n v="0"/>
    <n v="633.11083148365651"/>
    <n v="2291.8612099708371"/>
    <n v="0"/>
    <n v="0"/>
    <n v="0"/>
    <n v="0"/>
    <n v="0"/>
    <n v="0"/>
    <n v="0"/>
    <n v="0"/>
    <n v="0"/>
    <n v="0"/>
    <n v="740"/>
    <n v="2792.3209538251399"/>
    <n v="0"/>
    <n v="0"/>
    <n v="0"/>
    <n v="0"/>
    <n v="0"/>
    <n v="0"/>
    <n v="0"/>
    <n v="0"/>
    <n v="0"/>
    <n v="0"/>
    <n v="0"/>
    <n v="0"/>
    <n v="740"/>
    <n v="2792.3209538251399"/>
    <n v="106.88916851634349"/>
    <n v="0.16883168507140411"/>
    <n v="500.45974385430281"/>
    <n v="0.21836389641616691"/>
  </r>
  <r>
    <x v="1"/>
    <s v="ESPAÑA"/>
    <s v="TRATAMIENTOS AGRICOLAS BRENES, S.L."/>
    <s v="Con potencial"/>
    <s v="AGXK1000"/>
    <s v="AGROXILATO-K, 1000 L"/>
    <n v="1000"/>
    <n v="3.05"/>
    <n v="3.1792514966278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891.388224860088"/>
    <n v="947.99613929838938"/>
    <n v="2891.388224860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179.2514966278468"/>
    <n v="1000"/>
    <n v="3179.2514966278468"/>
    <n v="52.00386070161062"/>
    <n v="5.4856616547086998E-2"/>
    <n v="287.86327176775876"/>
    <n v="9.9558844880364775E-2"/>
  </r>
  <r>
    <x v="1"/>
    <s v="ESPAÑA"/>
    <s v="TRATAMIENTOS AGRICOLAS BRENES, S.L."/>
    <s v="Con potencial"/>
    <s v="AGZNP0005"/>
    <s v="AGROXILATO ZN PLUS, 5 KG"/>
    <n v="5"/>
    <n v="6.8400000000000007"/>
    <n v="7.1298623727654036"/>
    <n v="0"/>
    <n v="0"/>
    <n v="0"/>
    <n v="0"/>
    <n v="2572.0127529023539"/>
    <n v="17592.567229852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2.0127529023539"/>
    <n v="17592.567229852109"/>
    <n v="0"/>
    <n v="0"/>
    <n v="0"/>
    <n v="0"/>
    <n v="2885"/>
    <n v="20569.652945428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5"/>
    <n v="20569.652945428192"/>
    <n v="312.9872470976461"/>
    <n v="0.12168961710802552"/>
    <n v="2977.0857155760823"/>
    <n v="0.16922406358773989"/>
  </r>
  <r>
    <x v="1"/>
    <s v="ESPAÑA"/>
    <s v="TRATAMIENTOS AGRICOLAS BRENES, S.L."/>
    <s v="Con potencial"/>
    <s v="PT0020"/>
    <s v="AGROPOTASION, 20 L"/>
    <n v="20"/>
    <n v="3.81"/>
    <n v="3.9714584269351141"/>
    <n v="0"/>
    <n v="0"/>
    <n v="0"/>
    <n v="0"/>
    <n v="0"/>
    <n v="0"/>
    <n v="0"/>
    <n v="0"/>
    <n v="633.11083148365651"/>
    <n v="2412.1522679527311"/>
    <n v="0"/>
    <n v="0"/>
    <n v="0"/>
    <n v="0"/>
    <n v="0"/>
    <n v="0"/>
    <n v="0"/>
    <n v="0"/>
    <n v="0"/>
    <n v="0"/>
    <n v="0"/>
    <n v="0"/>
    <n v="0"/>
    <n v="0"/>
    <n v="633.11083148365651"/>
    <n v="2412.1522679527311"/>
    <n v="0"/>
    <n v="0"/>
    <n v="0"/>
    <n v="0"/>
    <n v="0"/>
    <n v="0"/>
    <n v="0"/>
    <n v="0"/>
    <n v="740"/>
    <n v="2938.8792359319841"/>
    <n v="0"/>
    <n v="0"/>
    <n v="0"/>
    <n v="0"/>
    <n v="0"/>
    <n v="0"/>
    <n v="0"/>
    <n v="0"/>
    <n v="0"/>
    <n v="0"/>
    <n v="0"/>
    <n v="0"/>
    <n v="0"/>
    <n v="0"/>
    <n v="740"/>
    <n v="2938.8792359319841"/>
    <n v="106.88916851634349"/>
    <n v="0.16883168507140411"/>
    <n v="526.726967979253"/>
    <n v="0.21836389641616721"/>
  </r>
  <r>
    <x v="1"/>
    <s v="ESPAÑA"/>
    <s v="TRATAMIENTOS AGRICOLAS BRENES, S.L."/>
    <s v="Con potencial"/>
    <s v="WHITE0020"/>
    <s v="AGROWHITE, 20 KG"/>
    <n v="20"/>
    <n v="1.85"/>
    <n v="1.928398448774268"/>
    <n v="0"/>
    <n v="0"/>
    <n v="0"/>
    <n v="0"/>
    <n v="0"/>
    <n v="0"/>
    <n v="0"/>
    <n v="0"/>
    <n v="2176.318483225069"/>
    <n v="4026.1891939663778"/>
    <n v="7617.1146912877421"/>
    <n v="14091.662178882319"/>
    <n v="2176.318483225069"/>
    <n v="4026.1891939663778"/>
    <n v="2176.318483225069"/>
    <n v="4026.1891939663778"/>
    <n v="1042.795753228228"/>
    <n v="1929.1721434722219"/>
    <n v="1042.795753228228"/>
    <n v="1929.1721434722219"/>
    <n v="0"/>
    <n v="0"/>
    <n v="0"/>
    <n v="0"/>
    <n v="16231.661647419405"/>
    <n v="30028.574047725891"/>
    <n v="0"/>
    <n v="0"/>
    <n v="0"/>
    <n v="0"/>
    <n v="0"/>
    <n v="0"/>
    <n v="0"/>
    <n v="0"/>
    <n v="2480"/>
    <n v="4782.4281529601849"/>
    <n v="8680"/>
    <n v="16738.49853536065"/>
    <n v="2480"/>
    <n v="4782.4281529601849"/>
    <n v="2480"/>
    <n v="4782.4281529601849"/>
    <n v="1180"/>
    <n v="2275.5101695536359"/>
    <n v="1180"/>
    <n v="2275.5101695536359"/>
    <n v="0"/>
    <n v="0"/>
    <n v="0"/>
    <n v="0"/>
    <n v="18480"/>
    <n v="35636.803333348478"/>
    <n v="2248.3383525805948"/>
    <n v="0.13851560003026847"/>
    <n v="5608.2292856225868"/>
    <n v="0.18676309027225707"/>
  </r>
  <r>
    <x v="1"/>
    <s v="ESPAÑA"/>
    <s v="UNICOM SERVICIOS Y GESTION S.L."/>
    <s v="Baja aportación"/>
    <s v="AGXK0020"/>
    <s v="AGROXILATO-K, 20 L"/>
    <n v="20"/>
    <n v="3.9699999999999989"/>
    <n v="4.1382388333155911"/>
    <n v="0"/>
    <n v="0"/>
    <n v="633.11083148365651"/>
    <n v="2513.4500009901162"/>
    <n v="0"/>
    <n v="0"/>
    <n v="0"/>
    <n v="0"/>
    <n v="0"/>
    <n v="0"/>
    <n v="0"/>
    <n v="0"/>
    <n v="0"/>
    <n v="0"/>
    <n v="0"/>
    <n v="0"/>
    <n v="0"/>
    <n v="0"/>
    <n v="0"/>
    <n v="0"/>
    <n v="606.7175291509692"/>
    <n v="2408.6685907293481"/>
    <n v="0"/>
    <n v="0"/>
    <n v="1239.8283606346258"/>
    <n v="4922.1185917194643"/>
    <n v="0"/>
    <n v="0"/>
    <n v="680"/>
    <n v="2814.0024066546021"/>
    <n v="0"/>
    <n v="0"/>
    <n v="0"/>
    <n v="0"/>
    <n v="0"/>
    <n v="0"/>
    <n v="0"/>
    <n v="0"/>
    <n v="0"/>
    <n v="0"/>
    <n v="0"/>
    <n v="0"/>
    <n v="0"/>
    <n v="0"/>
    <n v="0"/>
    <n v="0"/>
    <n v="660"/>
    <n v="2731.2376299882899"/>
    <n v="0"/>
    <n v="0"/>
    <n v="1340"/>
    <n v="5545.2400366428919"/>
    <n v="100.17163936537418"/>
    <n v="8.0794763651074838E-2"/>
    <n v="623.12144492342759"/>
    <n v="0.12659618684761312"/>
  </r>
  <r>
    <x v="1"/>
    <s v="ESPAÑA"/>
    <s v="UNICOM SERVICIOS Y GESTION S.L."/>
    <s v="Baja aportación"/>
    <s v="BEY0005"/>
    <s v="FLORAMEC PLUS, 5 L"/>
    <n v="5"/>
    <n v="4.93"/>
    <n v="5.1389212715984547"/>
    <n v="0"/>
    <n v="0"/>
    <n v="692.46497193524931"/>
    <n v="3413.8523116407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2.46497193524931"/>
    <n v="3413.8523116407791"/>
    <n v="0"/>
    <n v="0"/>
    <n v="740"/>
    <n v="3802.8017409828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3802.8017409828558"/>
    <n v="47.535028064750691"/>
    <n v="6.8646112065283746E-2"/>
    <n v="388.94942934207666"/>
    <n v="0.11393270529478126"/>
  </r>
  <r>
    <x v="1"/>
    <s v="ESPAÑA"/>
    <s v="UNICOM SERVICIOS Y GESTION S.L."/>
    <s v="Baja aportación"/>
    <s v="BEY0005"/>
    <s v="BERRY-FLOR, 5 L"/>
    <n v="5"/>
    <n v="5.08"/>
    <n v="5.2952779025801524"/>
    <n v="0"/>
    <n v="0"/>
    <n v="0"/>
    <n v="0"/>
    <n v="0"/>
    <n v="0"/>
    <n v="296.77070225796399"/>
    <n v="1507.595167470457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507.595167470457"/>
    <n v="0"/>
    <n v="0"/>
    <n v="0"/>
    <n v="0"/>
    <n v="0"/>
    <n v="0"/>
    <n v="320"/>
    <n v="1694.4889288256479"/>
    <n v="0"/>
    <n v="0"/>
    <n v="0"/>
    <n v="0"/>
    <n v="0"/>
    <n v="0"/>
    <n v="0"/>
    <n v="0"/>
    <n v="0"/>
    <n v="0"/>
    <n v="0"/>
    <n v="0"/>
    <n v="0"/>
    <n v="0"/>
    <n v="0"/>
    <n v="0"/>
    <n v="320"/>
    <n v="1694.4889288256479"/>
    <n v="23.22929774203601"/>
    <n v="7.8273554516322341E-2"/>
    <n v="186.89376135519092"/>
    <n v="0.12396813507221149"/>
  </r>
  <r>
    <x v="1"/>
    <s v="ESPAÑA"/>
    <s v="UNICOM SERVICIOS Y GESTION S.L."/>
    <s v="Baja aportación"/>
    <s v="BROTA0005"/>
    <s v="BROTAMEC, 5 L"/>
    <n v="5"/>
    <n v="4.13"/>
    <n v="4.3050192396960689"/>
    <n v="0"/>
    <n v="0"/>
    <n v="296.77070225796399"/>
    <n v="1225.6630003253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225.6630003253911"/>
    <n v="0"/>
    <n v="0"/>
    <n v="315"/>
    <n v="1356.081060504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"/>
    <n v="1356.081060504262"/>
    <n v="18.22929774203601"/>
    <n v="6.1425530227004803E-2"/>
    <n v="130.41806017887097"/>
    <n v="0.10640613296170919"/>
  </r>
  <r>
    <x v="1"/>
    <s v="ESPAÑA"/>
    <s v="UNICOM SERVICIOS Y GESTION S.L."/>
    <s v="Baja aportación"/>
    <s v="BROTA0020"/>
    <s v="BROTAMEC, 20 L"/>
    <n v="20"/>
    <n v="3.75"/>
    <n v="3.908915774542435"/>
    <n v="0"/>
    <n v="0"/>
    <n v="316.55541574182831"/>
    <n v="1187.0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87.082809031856"/>
    <n v="0"/>
    <n v="0"/>
    <n v="340"/>
    <n v="1329.031363344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329.031363344428"/>
    <n v="23.444584258171687"/>
    <n v="7.4061548443992764E-2"/>
    <n v="141.94855431257201"/>
    <n v="0.11957763454458614"/>
  </r>
  <r>
    <x v="1"/>
    <s v="GRECIA"/>
    <s v="EMPHYTON POULTSIDIS GEORGIOS"/>
    <s v="Con potencial"/>
    <s v="GRE10001GR"/>
    <s v="TONAZ"/>
    <n v="1"/>
    <n v="4.74"/>
    <n v="4.9408695390216382"/>
    <n v="0"/>
    <n v="0"/>
    <n v="783.47465396102484"/>
    <n v="3713.66985977525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713.6698597752579"/>
    <n v="0"/>
    <n v="0"/>
    <n v="839"/>
    <n v="4145.3895432391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145.3895432391546"/>
    <n v="55.525346038975158"/>
    <n v="7.0870634752834463E-2"/>
    <n v="431.71968346389667"/>
    <n v="0.11625149778123338"/>
  </r>
  <r>
    <x v="1"/>
    <s v="GRECIA"/>
    <s v="EMPHYTON POULTSIDIS GEORGIOS"/>
    <s v="Con potencial"/>
    <s v="GRE10005GR"/>
    <s v="TONAZ"/>
    <n v="5"/>
    <n v="4.01"/>
    <n v="4.1799339349107099"/>
    <n v="0"/>
    <n v="0"/>
    <n v="791.38853935457064"/>
    <n v="3173.4680428118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173.4680428118281"/>
    <n v="0"/>
    <n v="0"/>
    <n v="850"/>
    <n v="3552.9438446741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3552.9438446741028"/>
    <n v="58.611460645429361"/>
    <n v="7.4061548443992958E-2"/>
    <n v="379.47580186227469"/>
    <n v="0.11957763454458578"/>
  </r>
  <r>
    <x v="1"/>
    <s v="GRECIA"/>
    <s v="EMPHYTON POULTSIDIS GEORGIOS"/>
    <s v="Con potencial"/>
    <s v="GRE20001GR"/>
    <s v="EGERSIS"/>
    <n v="1"/>
    <n v="5.0900000000000007"/>
    <n v="5.3057016779789334"/>
    <n v="0"/>
    <n v="0"/>
    <n v="783.47465396102484"/>
    <n v="3987.8859886616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987.8859886616169"/>
    <n v="0"/>
    <n v="0"/>
    <n v="839"/>
    <n v="4451.4837078243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451.4837078243236"/>
    <n v="55.525346038975158"/>
    <n v="7.0870634752834463E-2"/>
    <n v="463.59771916270665"/>
    <n v="0.11625149778123313"/>
  </r>
  <r>
    <x v="1"/>
    <s v="GRECIA"/>
    <s v="EMPHYTON POULTSIDIS GEORGIOS"/>
    <s v="Con potencial"/>
    <s v="GRE20005GR"/>
    <s v="EGERSIS"/>
    <n v="5"/>
    <n v="4.08"/>
    <n v="4.2529003627021691"/>
    <n v="0"/>
    <n v="0"/>
    <n v="791.38853935457064"/>
    <n v="3228.865240566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228.865240566648"/>
    <n v="0"/>
    <n v="0"/>
    <n v="850"/>
    <n v="3614.965308296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3614.965308296843"/>
    <n v="58.611460645429361"/>
    <n v="7.4061548443992958E-2"/>
    <n v="386.10006773019495"/>
    <n v="0.11957763454458586"/>
  </r>
  <r>
    <x v="1"/>
    <s v="GRECIA"/>
    <s v="EMPHYTON POULTSIDIS GEORGIOS"/>
    <s v="Con potencial"/>
    <s v="VITA0001GR"/>
    <s v="VITA-S"/>
    <n v="1"/>
    <n v="5.86"/>
    <n v="6.1083323836849788"/>
    <n v="0"/>
    <n v="0"/>
    <n v="783.47465396102484"/>
    <n v="4591.1614722116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4591.1614722116065"/>
    <n v="0"/>
    <n v="0"/>
    <n v="864"/>
    <n v="5277.5991795038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"/>
    <n v="5277.5991795038217"/>
    <n v="80.525346038975158"/>
    <n v="0.1027797716644207"/>
    <n v="686.43770729221524"/>
    <n v="0.14951286541476216"/>
  </r>
  <r>
    <x v="1"/>
    <s v="GRECIA"/>
    <s v="EMPHYTON POULTSIDIS GEORGIOS"/>
    <s v="Con potencial"/>
    <s v="VITA0005GR"/>
    <s v="VITA-S"/>
    <n v="5"/>
    <n v="4.74"/>
    <n v="4.9408695390216382"/>
    <n v="0"/>
    <n v="0"/>
    <n v="791.38853935457064"/>
    <n v="3751.18167654066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751.1816765406652"/>
    <n v="0"/>
    <n v="0"/>
    <n v="875"/>
    <n v="4323.2608466439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5"/>
    <n v="4323.2608466439333"/>
    <n v="83.611460645429361"/>
    <n v="0.10565159398646334"/>
    <n v="572.0791701032681"/>
    <n v="0.15250638850177972"/>
  </r>
  <r>
    <x v="1"/>
    <s v="GRECIA"/>
    <s v="EMPHYTON SERVICE P.C."/>
    <s v="Con potencial"/>
    <s v="GRE10001GR"/>
    <s v="TONAZ"/>
    <n v="1"/>
    <n v="4.7399999999999984"/>
    <n v="4.942098305382995"/>
    <n v="0"/>
    <n v="0"/>
    <n v="3169.5111001150549"/>
    <n v="15023.482614545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3.969114387115"/>
    <n v="35948.013602194907"/>
    <n v="10753.480214502169"/>
    <n v="50971.49621674027"/>
    <n v="0"/>
    <n v="0"/>
    <n v="3555"/>
    <n v="17569.732080760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8"/>
    <n v="42046.799777074128"/>
    <n v="12063"/>
    <n v="59616.531857835071"/>
    <n v="1309.5197854978305"/>
    <n v="0.12177637001013021"/>
    <n v="8645.0356410948007"/>
    <n v="0.16960529477758518"/>
  </r>
  <r>
    <x v="1"/>
    <s v="GRECIA"/>
    <s v="EMPHYTON SERVICE P.C."/>
    <s v="Con potencial"/>
    <s v="GRE10005GR"/>
    <s v="TONAZ"/>
    <n v="5"/>
    <n v="4.01"/>
    <n v="4.1799339349107099"/>
    <n v="0"/>
    <n v="0"/>
    <n v="3165.554157418283"/>
    <n v="12693.872171247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3"/>
    <n v="12693.872171247311"/>
    <n v="0"/>
    <n v="0"/>
    <n v="3550"/>
    <n v="14838.765468933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50"/>
    <n v="14838.765468933019"/>
    <n v="384.44584258171699"/>
    <n v="0.12144661675769837"/>
    <n v="2144.8932976857086"/>
    <n v="0.16897076548037662"/>
  </r>
  <r>
    <x v="1"/>
    <s v="GRECIA"/>
    <s v="EMPHYTON SERVICE P.C."/>
    <s v="Con potencial"/>
    <s v="GRE10005GR"/>
    <s v="TONAZ, 5 L"/>
    <n v="5"/>
    <n v="4.01"/>
    <n v="4.1799339349107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1.984557193558"/>
    <n v="15205.858074346161"/>
    <n v="3791.984557193558"/>
    <n v="15205.858074346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5"/>
    <n v="17785.61889304507"/>
    <n v="4255"/>
    <n v="17785.61889304507"/>
    <n v="463.01544280644202"/>
    <n v="0.12210372585196366"/>
    <n v="2579.7608186989091"/>
    <n v="0.16965572124148848"/>
  </r>
  <r>
    <x v="1"/>
    <s v="GRECIA"/>
    <s v="EMPHYTON SERVICE P.C."/>
    <s v="Con potencial"/>
    <s v="GRE20001GR"/>
    <s v="EGERSIS"/>
    <n v="1"/>
    <n v="5.0900000000000007"/>
    <n v="5.3073217395599954"/>
    <n v="0"/>
    <n v="0"/>
    <n v="2920.2237102183649"/>
    <n v="14863.938685011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0.2237102183649"/>
    <n v="14863.938685011481"/>
    <n v="0"/>
    <n v="0"/>
    <n v="3275"/>
    <n v="17381.478697058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5"/>
    <n v="17381.478697058981"/>
    <n v="354.77628978163511"/>
    <n v="0.12148942169745827"/>
    <n v="2517.5400120475006"/>
    <n v="0.1693723356505864"/>
  </r>
  <r>
    <x v="1"/>
    <s v="GRECIA"/>
    <s v="EMPHYTON SERVICE P.C."/>
    <s v="Con potencial"/>
    <s v="GRE20005GR"/>
    <s v="EGERSIS"/>
    <n v="5"/>
    <n v="4.08"/>
    <n v="4.2529003627021691"/>
    <n v="0"/>
    <n v="0"/>
    <n v="791.38853935457064"/>
    <n v="3228.865240566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228.865240566648"/>
    <n v="0"/>
    <n v="0"/>
    <n v="890"/>
    <n v="3785.0813228049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3785.0813228049301"/>
    <n v="98.611460645429361"/>
    <n v="0.12460562131194557"/>
    <n v="556.21608223828207"/>
    <n v="0.17226364087609591"/>
  </r>
  <r>
    <x v="1"/>
    <s v="GRECIA"/>
    <s v="EMPHYTON SERVICE P.C."/>
    <s v="Con potencial"/>
    <s v="VITA0001GR"/>
    <s v="VITA-S"/>
    <n v="1"/>
    <n v="5.86"/>
    <n v="6.1090742263354132"/>
    <n v="0"/>
    <n v="0"/>
    <n v="5151.9393911982543"/>
    <n v="30190.364832421768"/>
    <n v="0"/>
    <n v="0"/>
    <n v="0"/>
    <n v="0"/>
    <n v="1978.4713483864259"/>
    <n v="11593.84210154446"/>
    <n v="0"/>
    <n v="0"/>
    <n v="0"/>
    <n v="0"/>
    <n v="0"/>
    <n v="0"/>
    <n v="0"/>
    <n v="0"/>
    <n v="0"/>
    <n v="0"/>
    <n v="0"/>
    <n v="0"/>
    <n v="0"/>
    <n v="0"/>
    <n v="7130.4107395846804"/>
    <n v="41784.206933966227"/>
    <n v="0"/>
    <n v="0"/>
    <n v="5949"/>
    <n v="36344.577682925621"/>
    <n v="0"/>
    <n v="0"/>
    <n v="0"/>
    <n v="0"/>
    <n v="2285"/>
    <n v="13957.53949672017"/>
    <n v="0"/>
    <n v="0"/>
    <n v="0"/>
    <n v="0"/>
    <n v="0"/>
    <n v="0"/>
    <n v="0"/>
    <n v="0"/>
    <n v="0"/>
    <n v="0"/>
    <n v="0"/>
    <n v="0"/>
    <n v="0"/>
    <n v="0"/>
    <n v="8234"/>
    <n v="50302.117179645793"/>
    <n v="1103.5892604153196"/>
    <n v="0.1547721864448442"/>
    <n v="8517.9102456795663"/>
    <n v="0.20385477841283112"/>
  </r>
  <r>
    <x v="1"/>
    <s v="GRECIA"/>
    <s v="EMPHYTON SERVICE P.C."/>
    <s v="Con potencial"/>
    <s v="VITA0001GR"/>
    <s v="FLORAMEC AVANCE"/>
    <n v="1"/>
    <n v="5.86"/>
    <n v="6.1094483665814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55552.573762885608"/>
    <n v="9479.9613929838924"/>
    <n v="55552.573762885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7"/>
    <n v="66880.131268966827"/>
    <n v="10947"/>
    <n v="66880.131268966827"/>
    <n v="1467.0386070161076"/>
    <n v="0.15475153813409631"/>
    <n v="11327.557506081219"/>
    <n v="0.20390697925951187"/>
  </r>
  <r>
    <x v="1"/>
    <s v="GRECIA"/>
    <s v="EMPHYTON SERVICE P.C."/>
    <s v="Con potencial"/>
    <s v="VITA0005GR"/>
    <s v="VITA-S"/>
    <n v="5"/>
    <n v="4.7400000000000011"/>
    <n v="4.9408695390216382"/>
    <n v="0"/>
    <n v="0"/>
    <n v="791.38853935457064"/>
    <n v="3751.1816765406652"/>
    <n v="0"/>
    <n v="0"/>
    <n v="0"/>
    <n v="0"/>
    <n v="1978.4713483864259"/>
    <n v="9377.9541913516623"/>
    <n v="0"/>
    <n v="0"/>
    <n v="0"/>
    <n v="0"/>
    <n v="0"/>
    <n v="0"/>
    <n v="0"/>
    <n v="0"/>
    <n v="0"/>
    <n v="0"/>
    <n v="0"/>
    <n v="0"/>
    <n v="0"/>
    <n v="0"/>
    <n v="2769.8598877409968"/>
    <n v="13129.135867892328"/>
    <n v="0"/>
    <n v="0"/>
    <n v="915"/>
    <n v="4520.8956282047984"/>
    <n v="0"/>
    <n v="0"/>
    <n v="0"/>
    <n v="0"/>
    <n v="2285"/>
    <n v="11289.88689666444"/>
    <n v="0"/>
    <n v="0"/>
    <n v="0"/>
    <n v="0"/>
    <n v="0"/>
    <n v="0"/>
    <n v="0"/>
    <n v="0"/>
    <n v="0"/>
    <n v="0"/>
    <n v="0"/>
    <n v="0"/>
    <n v="0"/>
    <n v="0"/>
    <n v="3200"/>
    <n v="15810.782524869239"/>
    <n v="430.14011225900322"/>
    <n v="0.15529309412463127"/>
    <n v="2681.6466569769109"/>
    <n v="0.20425157329165536"/>
  </r>
  <r>
    <x v="1"/>
    <s v="GRECIA"/>
    <s v="EMPHYTON SERVICE P.C."/>
    <s v="Con potencial"/>
    <s v="VITA0005GR"/>
    <s v="VITA-S, 5 L"/>
    <n v="5"/>
    <n v="4.74"/>
    <n v="4.9408695390216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44935.017002743647"/>
    <n v="9479.9613929838924"/>
    <n v="44935.0170027436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0"/>
    <n v="54102.521452286943"/>
    <n v="10950"/>
    <n v="54102.521452286943"/>
    <n v="1470.0386070161076"/>
    <n v="0.15506799511906044"/>
    <n v="9167.5044495432958"/>
    <n v="0.20401693514400018"/>
  </r>
  <r>
    <x v="1"/>
    <s v="GRECIA"/>
    <s v="GEORGIOS POULTSIDIS"/>
    <s v="Con potencial"/>
    <s v="GRE20005GR"/>
    <s v="EGERSIS, 5 L"/>
    <n v="5"/>
    <n v="4.08"/>
    <n v="4.252900362702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735.6484966748567"/>
    <n v="1895.992278596779"/>
    <n v="7735.648496674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5"/>
    <n v="9037.4132707421086"/>
    <n v="2125"/>
    <n v="9037.4132707421086"/>
    <n v="229.00772140322101"/>
    <n v="0.12078515508127981"/>
    <n v="1301.7647740672519"/>
    <n v="0.16828127268538781"/>
  </r>
  <r>
    <x v="1"/>
    <s v="GRECIA"/>
    <s v="GEORGIOS POULTSIDIS"/>
    <s v="Con potencial"/>
    <s v="VITA0001GR"/>
    <s v="VITA-S"/>
    <n v="1"/>
    <n v="5.8599999999999994"/>
    <n v="6.108332383684977"/>
    <n v="0"/>
    <n v="0"/>
    <n v="0"/>
    <n v="0"/>
    <n v="0"/>
    <n v="0"/>
    <n v="0"/>
    <n v="0"/>
    <n v="989.23567419321319"/>
    <n v="5796.9210507722291"/>
    <n v="0"/>
    <n v="0"/>
    <n v="0"/>
    <n v="0"/>
    <n v="0"/>
    <n v="0"/>
    <n v="0"/>
    <n v="0"/>
    <n v="0"/>
    <n v="0"/>
    <n v="0"/>
    <n v="0"/>
    <n v="0"/>
    <n v="0"/>
    <n v="989.23567419321319"/>
    <n v="5796.9210507722291"/>
    <n v="0"/>
    <n v="0"/>
    <n v="0"/>
    <n v="0"/>
    <n v="0"/>
    <n v="0"/>
    <n v="0"/>
    <n v="0"/>
    <n v="1143"/>
    <n v="6981.8239145519292"/>
    <n v="0"/>
    <n v="0"/>
    <n v="0"/>
    <n v="0"/>
    <n v="0"/>
    <n v="0"/>
    <n v="0"/>
    <n v="0"/>
    <n v="0"/>
    <n v="0"/>
    <n v="0"/>
    <n v="0"/>
    <n v="0"/>
    <n v="0"/>
    <n v="1143"/>
    <n v="6981.8239145519292"/>
    <n v="153.76432580678681"/>
    <n v="0.15543750576139678"/>
    <n v="1184.9028637797001"/>
    <n v="0.20440210473831705"/>
  </r>
  <r>
    <x v="1"/>
    <s v="GRECIA"/>
    <s v="GEORGIOS POULTSIDIS"/>
    <s v="Con potencial"/>
    <s v="VITA0005GR"/>
    <s v="VITA-S"/>
    <n v="5"/>
    <n v="4.7400000000000011"/>
    <n v="4.9408695390216382"/>
    <n v="0"/>
    <n v="0"/>
    <n v="0"/>
    <n v="0"/>
    <n v="0"/>
    <n v="0"/>
    <n v="0"/>
    <n v="0"/>
    <n v="989.23567419321319"/>
    <n v="4688.9770956758312"/>
    <n v="0"/>
    <n v="0"/>
    <n v="0"/>
    <n v="0"/>
    <n v="0"/>
    <n v="0"/>
    <n v="0"/>
    <n v="0"/>
    <n v="0"/>
    <n v="0"/>
    <n v="0"/>
    <n v="0"/>
    <n v="0"/>
    <n v="0"/>
    <n v="989.23567419321319"/>
    <n v="4688.9770956758312"/>
    <n v="0"/>
    <n v="0"/>
    <n v="0"/>
    <n v="0"/>
    <n v="0"/>
    <n v="0"/>
    <n v="0"/>
    <n v="0"/>
    <n v="1145"/>
    <n v="5657.2956221797758"/>
    <n v="0"/>
    <n v="0"/>
    <n v="0"/>
    <n v="0"/>
    <n v="0"/>
    <n v="0"/>
    <n v="0"/>
    <n v="0"/>
    <n v="0"/>
    <n v="0"/>
    <n v="0"/>
    <n v="0"/>
    <n v="0"/>
    <n v="0"/>
    <n v="1145"/>
    <n v="5657.2956221797758"/>
    <n v="155.76432580678681"/>
    <n v="0.1574592686761149"/>
    <n v="968.31852650394467"/>
    <n v="0.20650954499157756"/>
  </r>
  <r>
    <x v="1"/>
    <s v="LÍBANO"/>
    <s v="BELAGRI FOR AGRICULTURE-GEORGES BOU MON"/>
    <s v="Consolidado/estratégico"/>
    <s v="AGMG0005LB"/>
    <s v="AGROXILATO-MG, 5 KG (EXPORT)"/>
    <n v="5"/>
    <n v="3.7900000000000009"/>
    <n v="3.9506108761375538"/>
    <n v="0"/>
    <n v="0"/>
    <n v="0"/>
    <n v="0"/>
    <n v="0"/>
    <n v="0"/>
    <n v="0"/>
    <n v="0"/>
    <n v="0"/>
    <n v="0"/>
    <n v="0"/>
    <n v="0"/>
    <n v="4946.1783709660658"/>
    <n v="18746.016025961391"/>
    <n v="0"/>
    <n v="0"/>
    <n v="0"/>
    <n v="0"/>
    <n v="0"/>
    <n v="0"/>
    <n v="0"/>
    <n v="0"/>
    <n v="4739.9806964919462"/>
    <n v="17964.526839704478"/>
    <n v="9686.1590674580111"/>
    <n v="36710.54286566587"/>
    <n v="0"/>
    <n v="0"/>
    <n v="0"/>
    <n v="0"/>
    <n v="0"/>
    <n v="0"/>
    <n v="0"/>
    <n v="0"/>
    <n v="0"/>
    <n v="0"/>
    <n v="0"/>
    <n v="0"/>
    <n v="5295"/>
    <n v="20918.484589148349"/>
    <n v="0"/>
    <n v="0"/>
    <n v="0"/>
    <n v="0"/>
    <n v="0"/>
    <n v="0"/>
    <n v="0"/>
    <n v="0"/>
    <n v="5075"/>
    <n v="20049.350196398089"/>
    <n v="10370"/>
    <n v="40967.834785546438"/>
    <n v="683.84093254198888"/>
    <n v="7.0599804089471016E-2"/>
    <n v="4257.2919198805685"/>
    <n v="0.11596918998063278"/>
  </r>
  <r>
    <x v="1"/>
    <s v="LÍBANO"/>
    <s v="BELAGRI FOR AGRICULTURE-GEORGES BOU MON"/>
    <s v="Consolidado/estratégico"/>
    <s v="AGXCR0020LB"/>
    <s v="AGROXILATO-K, (0-5-20), 20 LtS."/>
    <n v="20"/>
    <n v="3.09"/>
    <n v="3.2209465982229659"/>
    <n v="0"/>
    <n v="0"/>
    <n v="0"/>
    <n v="0"/>
    <n v="0"/>
    <n v="0"/>
    <n v="0"/>
    <n v="0"/>
    <n v="0"/>
    <n v="0"/>
    <n v="0"/>
    <n v="0"/>
    <n v="4748.3312361274238"/>
    <n v="14672.34351963374"/>
    <n v="0"/>
    <n v="0"/>
    <n v="0"/>
    <n v="0"/>
    <n v="0"/>
    <n v="0"/>
    <n v="0"/>
    <n v="0"/>
    <n v="4739.9806964919462"/>
    <n v="14646.540352160109"/>
    <n v="9488.3119326193701"/>
    <n v="29318.883871793849"/>
    <n v="0"/>
    <n v="0"/>
    <n v="0"/>
    <n v="0"/>
    <n v="0"/>
    <n v="0"/>
    <n v="0"/>
    <n v="0"/>
    <n v="0"/>
    <n v="0"/>
    <n v="0"/>
    <n v="0"/>
    <n v="5240"/>
    <n v="16877.760174688341"/>
    <n v="0"/>
    <n v="0"/>
    <n v="0"/>
    <n v="0"/>
    <n v="0"/>
    <n v="0"/>
    <n v="0"/>
    <n v="0"/>
    <n v="5220"/>
    <n v="16813.34124272388"/>
    <n v="10460"/>
    <n v="33691.101417412225"/>
    <n v="971.68806738062995"/>
    <n v="0.10240895053630293"/>
    <n v="4372.2175456183759"/>
    <n v="0.14912632979950016"/>
  </r>
  <r>
    <x v="1"/>
    <s v="LÍBANO"/>
    <s v="BELAGRI FOR AGRICULTURE-GEORGES BOU MON"/>
    <s v="Consolidado/estratégico"/>
    <s v="AN0020LB"/>
    <s v="ALCAPLANT NEW, 20 KG"/>
    <n v="20"/>
    <n v="1.617"/>
    <n v="1.685524481982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99.570272597598"/>
    <n v="11803.405130790319"/>
    <n v="7299.570272597598"/>
    <n v="11803.405130790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40"/>
    <n v="13551.616835140891"/>
    <n v="8040"/>
    <n v="13551.616835140891"/>
    <n v="740.42972740240202"/>
    <n v="0.10143470091410127"/>
    <n v="1748.2117043505714"/>
    <n v="0.14811079387508211"/>
  </r>
  <r>
    <x v="1"/>
    <s v="LÍBANO"/>
    <s v="BELAGRI FOR AGRICULTURE-GEORGES BOU MON"/>
    <s v="Consolidado/estratégico"/>
    <s v="BC0005LB"/>
    <s v="BITTER-CAL, 5 KG"/>
    <n v="5"/>
    <n v="2.6362000000000001"/>
    <n v="2.7479156706263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24991.07422418414"/>
    <n v="9479.9613929838924"/>
    <n v="24991.07422418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00"/>
    <n v="29402.69767570182"/>
    <n v="10700"/>
    <n v="29402.69767570182"/>
    <n v="1220.0386070161076"/>
    <n v="0.12869657970538326"/>
    <n v="4411.6234515176802"/>
    <n v="0.17652796402199084"/>
  </r>
  <r>
    <x v="1"/>
    <s v="LÍBANO"/>
    <s v="BELAGRI FOR AGRICULTURE-GEORGES BOU MON"/>
    <s v="Consolidado/estratégico"/>
    <s v="BPLUS0005LB"/>
    <s v="BOROCAL PLUS, 5 KG"/>
    <n v="5"/>
    <n v="3.528"/>
    <n v="3.6775079606895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344.5303794447182"/>
    <n v="947.99613929838938"/>
    <n v="3344.5303794447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3732.6705800998661"/>
    <n v="1015"/>
    <n v="3732.6705800998661"/>
    <n v="67.00386070161062"/>
    <n v="7.06794657952933E-2"/>
    <n v="388.14020065514796"/>
    <n v="0.11605222755357052"/>
  </r>
  <r>
    <x v="1"/>
    <s v="MARRUECOS"/>
    <s v="STE BBMAGRI, SARL"/>
    <s v="Consolidado/estratégico"/>
    <s v="A-50(2)0005MA"/>
    <s v="CODIORGAN-A50, 5 KG"/>
    <n v="5"/>
    <n v="4.34"/>
    <n v="4.5239185230704448"/>
    <n v="0"/>
    <n v="0"/>
    <n v="0"/>
    <n v="0"/>
    <n v="0"/>
    <n v="0"/>
    <n v="0"/>
    <n v="0"/>
    <n v="0"/>
    <n v="0"/>
    <n v="0"/>
    <n v="0"/>
    <n v="0"/>
    <n v="0"/>
    <n v="1978.4713483864259"/>
    <n v="8586.5656519970908"/>
    <n v="0"/>
    <n v="0"/>
    <n v="0"/>
    <n v="0"/>
    <n v="0"/>
    <n v="0"/>
    <n v="947.99613929838938"/>
    <n v="4114.3032445550098"/>
    <n v="2926.4674876848153"/>
    <n v="12700.8688965521"/>
    <n v="0"/>
    <n v="0"/>
    <n v="0"/>
    <n v="0"/>
    <n v="0"/>
    <n v="0"/>
    <n v="0"/>
    <n v="0"/>
    <n v="0"/>
    <n v="0"/>
    <n v="0"/>
    <n v="0"/>
    <n v="0"/>
    <n v="0"/>
    <n v="2495"/>
    <n v="11287.176715060759"/>
    <n v="0"/>
    <n v="0"/>
    <n v="0"/>
    <n v="0"/>
    <n v="0"/>
    <n v="0"/>
    <n v="1195"/>
    <n v="5406.0826350691814"/>
    <n v="3690"/>
    <n v="16693.259350129942"/>
    <n v="763.5325123151847"/>
    <n v="0.26090585852338649"/>
    <n v="3992.390453577842"/>
    <n v="0.31433994682534316"/>
  </r>
  <r>
    <x v="1"/>
    <s v="MARRUECOS"/>
    <s v="STE BBMAGRI, SARL"/>
    <s v="Consolidado/estratégico"/>
    <s v="A-50(2)0020MA"/>
    <s v="CODIORGAN A-50"/>
    <n v="20"/>
    <n v="4.2300000000000004"/>
    <n v="4.4092569936838677"/>
    <n v="1978.4713483864259"/>
    <n v="8368.9338036745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8368.9338036745849"/>
    <n v="2380"/>
    <n v="10494.031644967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0"/>
    <n v="10494.031644967599"/>
    <n v="401.52865161357408"/>
    <n v="0.20294893425727253"/>
    <n v="2125.0978412930144"/>
    <n v="0.25392695068993593"/>
  </r>
  <r>
    <x v="1"/>
    <s v="MARRUECOS"/>
    <s v="STE BBMAGRI, SARL"/>
    <s v="Consolidado/estratégico"/>
    <s v="A-50(2)0020MA"/>
    <s v="CODIORGAN-A50, 20 KG"/>
    <n v="20"/>
    <n v="4.2300000000000004"/>
    <n v="4.4092569936838668"/>
    <n v="0"/>
    <n v="0"/>
    <n v="0"/>
    <n v="0"/>
    <n v="0"/>
    <n v="0"/>
    <n v="0"/>
    <n v="0"/>
    <n v="0"/>
    <n v="0"/>
    <n v="0"/>
    <n v="0"/>
    <n v="0"/>
    <n v="0"/>
    <n v="989.23567419321319"/>
    <n v="4184.4669018372924"/>
    <n v="0"/>
    <n v="0"/>
    <n v="947.99613929838938"/>
    <n v="4010.0236692321869"/>
    <n v="0"/>
    <n v="0"/>
    <n v="0"/>
    <n v="0"/>
    <n v="1937.2318134916027"/>
    <n v="8194.4905710694802"/>
    <n v="0"/>
    <n v="0"/>
    <n v="0"/>
    <n v="0"/>
    <n v="0"/>
    <n v="0"/>
    <n v="0"/>
    <n v="0"/>
    <n v="0"/>
    <n v="0"/>
    <n v="0"/>
    <n v="0"/>
    <n v="0"/>
    <n v="0"/>
    <n v="1200"/>
    <n v="5291.1083924206396"/>
    <n v="0"/>
    <n v="0"/>
    <n v="1140"/>
    <n v="5026.5529727996081"/>
    <n v="0"/>
    <n v="0"/>
    <n v="0"/>
    <n v="0"/>
    <n v="2340"/>
    <n v="10317.661365220247"/>
    <n v="402.76818650839732"/>
    <n v="0.20790913286854465"/>
    <n v="2123.1707941507666"/>
    <n v="0.25909735031566056"/>
  </r>
  <r>
    <x v="1"/>
    <s v="MARRUECOS"/>
    <s v="STE BBMAGRI, SARL"/>
    <s v="Consolidado/estratégico"/>
    <s v="AGNF0020MA"/>
    <s v="CODIGREEN, 20 L"/>
    <n v="20"/>
    <n v="2.7"/>
    <n v="2.8144193576705532"/>
    <n v="0"/>
    <n v="0"/>
    <n v="0"/>
    <n v="0"/>
    <n v="0"/>
    <n v="0"/>
    <n v="0"/>
    <n v="0"/>
    <n v="0"/>
    <n v="0"/>
    <n v="0"/>
    <n v="0"/>
    <n v="0"/>
    <n v="0"/>
    <n v="989.23567419321319"/>
    <n v="2670.9363203216758"/>
    <n v="0"/>
    <n v="0"/>
    <n v="0"/>
    <n v="0"/>
    <n v="0"/>
    <n v="0"/>
    <n v="0"/>
    <n v="0"/>
    <n v="989.23567419321319"/>
    <n v="2670.9363203216758"/>
    <n v="0"/>
    <n v="0"/>
    <n v="0"/>
    <n v="0"/>
    <n v="0"/>
    <n v="0"/>
    <n v="0"/>
    <n v="0"/>
    <n v="0"/>
    <n v="0"/>
    <n v="0"/>
    <n v="0"/>
    <n v="0"/>
    <n v="0"/>
    <n v="1060"/>
    <n v="2983.284519130787"/>
    <n v="0"/>
    <n v="0"/>
    <n v="0"/>
    <n v="0"/>
    <n v="0"/>
    <n v="0"/>
    <n v="0"/>
    <n v="0"/>
    <n v="1060"/>
    <n v="2983.284519130787"/>
    <n v="70.764325806786815"/>
    <n v="7.1534344800595451E-2"/>
    <n v="312.34819880911118"/>
    <n v="0.11694333422801086"/>
  </r>
  <r>
    <x v="1"/>
    <s v="MARRUECOS"/>
    <s v="STE BBMAGRI, SARL"/>
    <s v="Consolidado/estratégico"/>
    <s v="AGRMG0005MA"/>
    <s v="AGROXIGREEN-MG, 5 L"/>
    <n v="5"/>
    <n v="3.02"/>
    <n v="3.1479801704315071"/>
    <n v="0"/>
    <n v="0"/>
    <n v="0"/>
    <n v="0"/>
    <n v="0"/>
    <n v="0"/>
    <n v="0"/>
    <n v="0"/>
    <n v="0"/>
    <n v="0"/>
    <n v="593.54140451592798"/>
    <n v="1792.4950416381021"/>
    <n v="0"/>
    <n v="0"/>
    <n v="0"/>
    <n v="0"/>
    <n v="0"/>
    <n v="0"/>
    <n v="0"/>
    <n v="0"/>
    <n v="0"/>
    <n v="0"/>
    <n v="0"/>
    <n v="0"/>
    <n v="593.54140451592798"/>
    <n v="1792.4950416381021"/>
    <n v="0"/>
    <n v="0"/>
    <n v="0"/>
    <n v="0"/>
    <n v="0"/>
    <n v="0"/>
    <n v="0"/>
    <n v="0"/>
    <n v="0"/>
    <n v="0"/>
    <n v="715"/>
    <n v="2250.805821858527"/>
    <n v="0"/>
    <n v="0"/>
    <n v="0"/>
    <n v="0"/>
    <n v="0"/>
    <n v="0"/>
    <n v="0"/>
    <n v="0"/>
    <n v="0"/>
    <n v="0"/>
    <n v="0"/>
    <n v="0"/>
    <n v="715"/>
    <n v="2250.805821858527"/>
    <n v="121.45859548407202"/>
    <n v="0.20463373668620385"/>
    <n v="458.31078022042493"/>
    <n v="0.25568315090098648"/>
  </r>
  <r>
    <x v="1"/>
    <s v="MARRUECOS"/>
    <s v="STE BBMAGRI, SARL"/>
    <s v="Consolidado/estratégico"/>
    <s v="AGRMGN0020MA"/>
    <s v="AGROXIGREEN-MG, 20 L"/>
    <n v="20"/>
    <n v="2.75"/>
    <n v="2.866538234664453"/>
    <n v="0"/>
    <n v="0"/>
    <n v="0"/>
    <n v="0"/>
    <n v="0"/>
    <n v="0"/>
    <n v="0"/>
    <n v="0"/>
    <n v="0"/>
    <n v="0"/>
    <n v="989.23567419321319"/>
    <n v="2720.398104031337"/>
    <n v="0"/>
    <n v="0"/>
    <n v="0"/>
    <n v="0"/>
    <n v="0"/>
    <n v="0"/>
    <n v="0"/>
    <n v="0"/>
    <n v="0"/>
    <n v="0"/>
    <n v="0"/>
    <n v="0"/>
    <n v="989.23567419321319"/>
    <n v="2720.398104031337"/>
    <n v="0"/>
    <n v="0"/>
    <n v="0"/>
    <n v="0"/>
    <n v="0"/>
    <n v="0"/>
    <n v="0"/>
    <n v="0"/>
    <n v="0"/>
    <n v="0"/>
    <n v="1200"/>
    <n v="3439.845881597344"/>
    <n v="0"/>
    <n v="0"/>
    <n v="0"/>
    <n v="0"/>
    <n v="0"/>
    <n v="0"/>
    <n v="0"/>
    <n v="0"/>
    <n v="0"/>
    <n v="0"/>
    <n v="0"/>
    <n v="0"/>
    <n v="1200"/>
    <n v="3439.845881597344"/>
    <n v="210.76432580678681"/>
    <n v="0.21305774883086279"/>
    <n v="719.44777756600706"/>
    <n v="0.26446415195623868"/>
  </r>
  <r>
    <x v="1"/>
    <s v="MARRUECOS"/>
    <s v="STE BBMAGRI, SARL"/>
    <s v="Consolidado/estratégico"/>
    <s v="AGXCR0020MA"/>
    <s v="GREEN MAX"/>
    <n v="20"/>
    <n v="4.8000000000000007"/>
    <n v="5.0034121914143173"/>
    <n v="0"/>
    <n v="0"/>
    <n v="0"/>
    <n v="0"/>
    <n v="0"/>
    <n v="0"/>
    <n v="0"/>
    <n v="0"/>
    <n v="989.23567419321319"/>
    <n v="4748.3312361274238"/>
    <n v="0"/>
    <n v="0"/>
    <n v="0"/>
    <n v="0"/>
    <n v="0"/>
    <n v="0"/>
    <n v="0"/>
    <n v="0"/>
    <n v="0"/>
    <n v="0"/>
    <n v="0"/>
    <n v="0"/>
    <n v="0"/>
    <n v="0"/>
    <n v="989.23567419321319"/>
    <n v="4748.3312361274238"/>
    <n v="0"/>
    <n v="0"/>
    <n v="0"/>
    <n v="0"/>
    <n v="0"/>
    <n v="0"/>
    <n v="0"/>
    <n v="0"/>
    <n v="1100"/>
    <n v="5503.7534105557488"/>
    <n v="0"/>
    <n v="0"/>
    <n v="0"/>
    <n v="0"/>
    <n v="0"/>
    <n v="0"/>
    <n v="0"/>
    <n v="0"/>
    <n v="0"/>
    <n v="0"/>
    <n v="0"/>
    <n v="0"/>
    <n v="0"/>
    <n v="0"/>
    <n v="1100"/>
    <n v="5503.7534105557488"/>
    <n v="110.76432580678681"/>
    <n v="0.11196960309495754"/>
    <n v="755.42217442832498"/>
    <n v="0.15909213929321861"/>
  </r>
  <r>
    <x v="1"/>
    <s v="MARRUECOS"/>
    <s v="STE BBMAGRI, SARL"/>
    <s v="Consolidado/estratégico"/>
    <s v="AGXCR0020MA"/>
    <s v="AGROXILATO-K, (0-5-20), 20 LtS."/>
    <n v="20"/>
    <n v="4.8"/>
    <n v="5.003412191414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2275.1907343161338"/>
    <n v="473.99806964919469"/>
    <n v="2275.1907343161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0"/>
    <n v="2601.7743395354451"/>
    <n v="520"/>
    <n v="2601.7743395354451"/>
    <n v="46.00193035080531"/>
    <n v="9.7050881208970485E-2"/>
    <n v="326.58360521931127"/>
    <n v="0.14354119867558016"/>
  </r>
  <r>
    <x v="1"/>
    <s v="MARRUECOS"/>
    <s v="STE BBMAGRI, SARL"/>
    <s v="Consolidado/estratégico"/>
    <s v="AGXK0020MA"/>
    <s v="AGROXILATO-K"/>
    <n v="20"/>
    <n v="2.76"/>
    <n v="2.8769620100632332"/>
    <n v="5935.4140451592793"/>
    <n v="16381.74276463961"/>
    <n v="0"/>
    <n v="0"/>
    <n v="2967.7070225796401"/>
    <n v="8190.8713823198059"/>
    <n v="0"/>
    <n v="0"/>
    <n v="6924.6497193524929"/>
    <n v="19112.033225412881"/>
    <n v="0"/>
    <n v="0"/>
    <n v="0"/>
    <n v="0"/>
    <n v="0"/>
    <n v="0"/>
    <n v="0"/>
    <n v="0"/>
    <n v="0"/>
    <n v="0"/>
    <n v="0"/>
    <n v="0"/>
    <n v="0"/>
    <n v="0"/>
    <n v="15827.770787091413"/>
    <n v="43684.647372372296"/>
    <n v="6540"/>
    <n v="18815.33154581354"/>
    <n v="0"/>
    <n v="0"/>
    <n v="3280"/>
    <n v="9436.4353930074012"/>
    <n v="0"/>
    <n v="0"/>
    <n v="7640"/>
    <n v="21979.9897568831"/>
    <n v="0"/>
    <n v="0"/>
    <n v="0"/>
    <n v="0"/>
    <n v="0"/>
    <n v="0"/>
    <n v="0"/>
    <n v="0"/>
    <n v="0"/>
    <n v="0"/>
    <n v="0"/>
    <n v="0"/>
    <n v="0"/>
    <n v="0"/>
    <n v="17460"/>
    <n v="50231.75669570404"/>
    <n v="1632.2292129085872"/>
    <n v="0.10312439034306571"/>
    <n v="6547.1093233317442"/>
    <n v="0.14987208818520453"/>
  </r>
  <r>
    <x v="1"/>
    <s v="MARRUECOS"/>
    <s v="STE BBMAGRI, SARL"/>
    <s v="Consolidado/estratégico"/>
    <s v="AGXK0020MA"/>
    <s v="AGROXILATO-K, 20 L"/>
    <n v="20"/>
    <n v="2.76"/>
    <n v="2.8769620100632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9.9806964919462"/>
    <n v="13082.34672231777"/>
    <n v="0"/>
    <n v="0"/>
    <n v="4739.9806964919462"/>
    <n v="13082.34672231777"/>
    <n v="9479.9613929838924"/>
    <n v="26164.693444635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0"/>
    <n v="15017.741692530069"/>
    <n v="0"/>
    <n v="0"/>
    <n v="5220"/>
    <n v="15017.741692530069"/>
    <n v="10440"/>
    <n v="30035.483385060139"/>
    <n v="960.03860701610756"/>
    <n v="0.10127030767515899"/>
    <n v="3870.7899404245982"/>
    <n v="0.14793943405510121"/>
  </r>
  <r>
    <x v="1"/>
    <s v="MARRUECOS"/>
    <s v="STE BBMAGRI, SARL"/>
    <s v="Consolidado/estratégico"/>
    <s v="AGXK0200MA"/>
    <s v="AGROXILATO-K"/>
    <n v="200"/>
    <n v="2.68"/>
    <n v="2.7935718068729938"/>
    <n v="4748.3312361274238"/>
    <n v="12725.527712821489"/>
    <n v="0"/>
    <n v="0"/>
    <n v="0"/>
    <n v="0"/>
    <n v="0"/>
    <n v="0"/>
    <n v="3956.9426967728532"/>
    <n v="10604.606427351249"/>
    <n v="7913.8853935457046"/>
    <n v="21209.212854702491"/>
    <n v="3956.9426967728532"/>
    <n v="10604.606427351249"/>
    <n v="0"/>
    <n v="0"/>
    <n v="0"/>
    <n v="0"/>
    <n v="0"/>
    <n v="0"/>
    <n v="0"/>
    <n v="0"/>
    <n v="0"/>
    <n v="0"/>
    <n v="20576.102023218835"/>
    <n v="55143.953422226477"/>
    <n v="5200"/>
    <n v="14526.573395739561"/>
    <n v="0"/>
    <n v="0"/>
    <n v="0"/>
    <n v="0"/>
    <n v="0"/>
    <n v="0"/>
    <n v="4400"/>
    <n v="12291.715950241171"/>
    <n v="8800"/>
    <n v="24583.431900482341"/>
    <n v="4400"/>
    <n v="12291.715950241171"/>
    <n v="0"/>
    <n v="0"/>
    <n v="0"/>
    <n v="0"/>
    <n v="0"/>
    <n v="0"/>
    <n v="0"/>
    <n v="0"/>
    <n v="0"/>
    <n v="0"/>
    <n v="22800"/>
    <n v="63693.437196704239"/>
    <n v="2223.8979767811652"/>
    <n v="0.10808159748973038"/>
    <n v="8549.4837744777615"/>
    <n v="0.15503936957540992"/>
  </r>
  <r>
    <x v="1"/>
    <s v="MARRUECOS"/>
    <s v="STE BBMAGRI, SARL"/>
    <s v="Consolidado/estratégico"/>
    <s v="AGXK0200MA"/>
    <s v="AGROXILATO-K, 200 L"/>
    <n v="200"/>
    <n v="2.68"/>
    <n v="2.7935718068729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1.984557193558"/>
    <n v="10162.518613278729"/>
    <n v="0"/>
    <n v="0"/>
    <n v="3791.984557193558"/>
    <n v="10162.518613278729"/>
    <n v="7583.969114387116"/>
    <n v="20325.037226557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11733.001588866569"/>
    <n v="0"/>
    <n v="0"/>
    <n v="4200"/>
    <n v="11733.001588866569"/>
    <n v="8400"/>
    <n v="23466.003177733139"/>
    <n v="816.03088561288405"/>
    <n v="0.10759944737444121"/>
    <n v="3140.9659511756799"/>
    <n v="0.15453678712438348"/>
  </r>
  <r>
    <x v="1"/>
    <s v="MARRUECOS"/>
    <s v="STE BBMAGRI, SARL"/>
    <s v="Consolidado/estratégico"/>
    <s v="AN0005MA"/>
    <s v="ALCAPLANT NEW"/>
    <n v="5"/>
    <n v="1.67"/>
    <n v="1.740770491596231"/>
    <n v="0"/>
    <n v="0"/>
    <n v="9892.3567419321316"/>
    <n v="16520.235759026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2.3567419321316"/>
    <n v="16520.235759026658"/>
    <n v="0"/>
    <n v="0"/>
    <n v="10905"/>
    <n v="18983.102210856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5"/>
    <n v="18983.102210856901"/>
    <n v="1012.6432580678684"/>
    <n v="0.10236622925004657"/>
    <n v="2462.866451830243"/>
    <n v="0.149081798090232"/>
  </r>
  <r>
    <x v="1"/>
    <s v="MARRUECOS"/>
    <s v="STE BBMAGRI, SARL"/>
    <s v="Consolidado/estratégico"/>
    <s v="AN0005MA"/>
    <s v="ALCAPLANT NEW, 5 KG"/>
    <n v="5"/>
    <n v="1.67"/>
    <n v="1.740770491596231"/>
    <n v="0"/>
    <n v="0"/>
    <n v="0"/>
    <n v="0"/>
    <n v="0"/>
    <n v="0"/>
    <n v="0"/>
    <n v="0"/>
    <n v="0"/>
    <n v="0"/>
    <n v="0"/>
    <n v="0"/>
    <n v="4946.1783709660658"/>
    <n v="8260.117879513331"/>
    <n v="0"/>
    <n v="0"/>
    <n v="0"/>
    <n v="0"/>
    <n v="2843.9884178951679"/>
    <n v="4749.4606578849307"/>
    <n v="0"/>
    <n v="0"/>
    <n v="0"/>
    <n v="0"/>
    <n v="7790.1667888612337"/>
    <n v="13009.578537398262"/>
    <n v="0"/>
    <n v="0"/>
    <n v="0"/>
    <n v="0"/>
    <n v="0"/>
    <n v="0"/>
    <n v="0"/>
    <n v="0"/>
    <n v="0"/>
    <n v="0"/>
    <n v="0"/>
    <n v="0"/>
    <n v="5455"/>
    <n v="9495.9030316574408"/>
    <n v="0"/>
    <n v="0"/>
    <n v="0"/>
    <n v="0"/>
    <n v="3135"/>
    <n v="5457.3154911541842"/>
    <n v="0"/>
    <n v="0"/>
    <n v="0"/>
    <n v="0"/>
    <n v="8590"/>
    <n v="14953.218522811625"/>
    <n v="799.83321113876627"/>
    <n v="0.10267215488664599"/>
    <n v="1943.6399854133633"/>
    <n v="0.14940068810269583"/>
  </r>
  <r>
    <x v="1"/>
    <s v="MARRUECOS"/>
    <s v="STE BBMAGRI, SARL"/>
    <s v="Consolidado/estratégico"/>
    <s v="AN0020MA"/>
    <s v="ALCAPLANT NEW"/>
    <n v="20"/>
    <n v="1.5"/>
    <n v="1.5635663098169741"/>
    <n v="0"/>
    <n v="0"/>
    <n v="3956.9426967728532"/>
    <n v="5935.4140451592793"/>
    <n v="3956.9426967728532"/>
    <n v="5935.4140451592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3.8853935457064"/>
    <n v="11870.828090318559"/>
    <n v="0"/>
    <n v="0"/>
    <n v="4360"/>
    <n v="6817.1491108020064"/>
    <n v="4360"/>
    <n v="6817.1491108020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0"/>
    <n v="13634.298221604013"/>
    <n v="806.11460645429361"/>
    <n v="0.10186078852136689"/>
    <n v="1763.470131285454"/>
    <n v="0.14855493802691658"/>
  </r>
  <r>
    <x v="1"/>
    <s v="MARRUECOS"/>
    <s v="STE BBMAGRI, SARL"/>
    <s v="Consolidado/estratégico"/>
    <s v="AN0020MA"/>
    <s v="ALCAPLANT NEW, 20 KG"/>
    <n v="20"/>
    <n v="1.5"/>
    <n v="1.5635663098169741"/>
    <n v="0"/>
    <n v="0"/>
    <n v="0"/>
    <n v="0"/>
    <n v="0"/>
    <n v="0"/>
    <n v="0"/>
    <n v="0"/>
    <n v="0"/>
    <n v="0"/>
    <n v="0"/>
    <n v="0"/>
    <n v="3956.9426967728532"/>
    <n v="5935.4140451592793"/>
    <n v="0"/>
    <n v="0"/>
    <n v="0"/>
    <n v="0"/>
    <n v="0"/>
    <n v="0"/>
    <n v="0"/>
    <n v="0"/>
    <n v="0"/>
    <n v="0"/>
    <n v="3956.9426967728532"/>
    <n v="5935.4140451592793"/>
    <n v="0"/>
    <n v="0"/>
    <n v="0"/>
    <n v="0"/>
    <n v="0"/>
    <n v="0"/>
    <n v="0"/>
    <n v="0"/>
    <n v="0"/>
    <n v="0"/>
    <n v="0"/>
    <n v="0"/>
    <n v="4360"/>
    <n v="6817.1491108020064"/>
    <n v="0"/>
    <n v="0"/>
    <n v="0"/>
    <n v="0"/>
    <n v="0"/>
    <n v="0"/>
    <n v="0"/>
    <n v="0"/>
    <n v="0"/>
    <n v="0"/>
    <n v="4360"/>
    <n v="6817.1491108020064"/>
    <n v="403.0573032271468"/>
    <n v="0.10186078852136689"/>
    <n v="881.73506564272702"/>
    <n v="0.14855493802691658"/>
  </r>
  <r>
    <x v="1"/>
    <s v="MARRUECOS"/>
    <s v="STE BBMAGRI, SARL"/>
    <s v="Consolidado/estratégico"/>
    <s v="AVAN0005MA"/>
    <s v="FLORAMEC AVANCE"/>
    <n v="5"/>
    <n v="4.5999999999999996"/>
    <n v="4.7949366834387197"/>
    <n v="0"/>
    <n v="0"/>
    <n v="0"/>
    <n v="0"/>
    <n v="0"/>
    <n v="0"/>
    <n v="0"/>
    <n v="0"/>
    <n v="0"/>
    <n v="0"/>
    <n v="395.69426967728532"/>
    <n v="1820.193640515512"/>
    <n v="1582.7770787091411"/>
    <n v="7280.774562062049"/>
    <n v="0"/>
    <n v="0"/>
    <n v="0"/>
    <n v="0"/>
    <n v="0"/>
    <n v="0"/>
    <n v="0"/>
    <n v="0"/>
    <n v="0"/>
    <n v="0"/>
    <n v="1978.4713483864264"/>
    <n v="9100.9682025775619"/>
    <n v="0"/>
    <n v="0"/>
    <n v="0"/>
    <n v="0"/>
    <n v="0"/>
    <n v="0"/>
    <n v="0"/>
    <n v="0"/>
    <n v="0"/>
    <n v="0"/>
    <n v="435"/>
    <n v="2085.7974572958428"/>
    <n v="1745"/>
    <n v="8367.164512600566"/>
    <n v="0"/>
    <n v="0"/>
    <n v="0"/>
    <n v="0"/>
    <n v="0"/>
    <n v="0"/>
    <n v="0"/>
    <n v="0"/>
    <n v="0"/>
    <n v="0"/>
    <n v="2180"/>
    <n v="10452.961969896409"/>
    <n v="201.52865161357363"/>
    <n v="0.10186078852136703"/>
    <n v="1351.9937673188469"/>
    <n v="0.14855493802691647"/>
  </r>
  <r>
    <x v="1"/>
    <s v="MARRUECOS"/>
    <s v="STE BBMAGRI, SARL"/>
    <s v="Consolidado/estratégico"/>
    <s v="AVAN0020MA"/>
    <s v="FLORAMEC AVANCE"/>
    <n v="20"/>
    <n v="4.3099999999999996"/>
    <n v="4.4926471968741053"/>
    <n v="0"/>
    <n v="0"/>
    <n v="0"/>
    <n v="0"/>
    <n v="0"/>
    <n v="0"/>
    <n v="0"/>
    <n v="0"/>
    <n v="0"/>
    <n v="0"/>
    <n v="4946.1783709660658"/>
    <n v="21318.02877886374"/>
    <n v="0"/>
    <n v="0"/>
    <n v="0"/>
    <n v="0"/>
    <n v="0"/>
    <n v="0"/>
    <n v="0"/>
    <n v="0"/>
    <n v="0"/>
    <n v="0"/>
    <n v="0"/>
    <n v="0"/>
    <n v="4946.1783709660658"/>
    <n v="21318.02877886374"/>
    <n v="0"/>
    <n v="0"/>
    <n v="0"/>
    <n v="0"/>
    <n v="0"/>
    <n v="0"/>
    <n v="0"/>
    <n v="0"/>
    <n v="0"/>
    <n v="0"/>
    <n v="5460"/>
    <n v="24529.853694932619"/>
    <n v="0"/>
    <n v="0"/>
    <n v="0"/>
    <n v="0"/>
    <n v="0"/>
    <n v="0"/>
    <n v="0"/>
    <n v="0"/>
    <n v="0"/>
    <n v="0"/>
    <n v="0"/>
    <n v="0"/>
    <n v="5460"/>
    <n v="24529.853694932619"/>
    <n v="513.82162903393419"/>
    <n v="0.10388255143608514"/>
    <n v="3211.8249160688792"/>
    <n v="0.15066237828017751"/>
  </r>
  <r>
    <x v="1"/>
    <s v="MARRUECOS"/>
    <s v="STE BBMAGRI, SARL"/>
    <s v="Consolidado/estratégico"/>
    <s v="AVAN0020MA"/>
    <s v="FLORAMEC AVANCE, 20 L"/>
    <n v="20"/>
    <n v="4.3099999999999996"/>
    <n v="4.4926471968741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9.9806964919462"/>
    <n v="20429.31680188029"/>
    <n v="4739.9806964919462"/>
    <n v="20429.31680188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0"/>
    <n v="23451.61836768283"/>
    <n v="5220"/>
    <n v="23451.61836768283"/>
    <n v="480.01930350805378"/>
    <n v="0.10127030767515899"/>
    <n v="3022.3015658025397"/>
    <n v="0.14793943405510118"/>
  </r>
  <r>
    <x v="1"/>
    <s v="MARRUECOS"/>
    <s v="STE BBMAGRI, SARL"/>
    <s v="Consolidado/estratégico"/>
    <s v="BIO0020MA"/>
    <s v="RADISOL-20"/>
    <n v="20"/>
    <n v="2.15"/>
    <n v="2.2411117107376621"/>
    <n v="0"/>
    <n v="0"/>
    <n v="0"/>
    <n v="0"/>
    <n v="5935.4140451592793"/>
    <n v="12761.1401970924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5.4140451592793"/>
    <n v="12761.140197092451"/>
    <n v="0"/>
    <n v="0"/>
    <n v="0"/>
    <n v="0"/>
    <n v="7480"/>
    <n v="16763.515596317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80"/>
    <n v="16763.515596317709"/>
    <n v="1544.5859548407207"/>
    <n v="0.26023221684095182"/>
    <n v="4002.3753992252587"/>
    <n v="0.31363775786564713"/>
  </r>
  <r>
    <x v="1"/>
    <s v="MARRUECOS"/>
    <s v="STE BBMAGRI, SARL"/>
    <s v="Consolidado/estratégico"/>
    <s v="BIO0020MA"/>
    <s v="RADISOL-20, 20 L"/>
    <n v="20"/>
    <n v="2.15"/>
    <n v="2.241111710737663"/>
    <n v="0"/>
    <n v="0"/>
    <n v="0"/>
    <n v="0"/>
    <n v="0"/>
    <n v="0"/>
    <n v="0"/>
    <n v="0"/>
    <n v="0"/>
    <n v="0"/>
    <n v="0"/>
    <n v="0"/>
    <n v="0"/>
    <n v="0"/>
    <n v="7320.3439890297777"/>
    <n v="15738.73957641402"/>
    <n v="0"/>
    <n v="0"/>
    <n v="0"/>
    <n v="0"/>
    <n v="0"/>
    <n v="0"/>
    <n v="0"/>
    <n v="0"/>
    <n v="7320.3439890297777"/>
    <n v="15738.73957641402"/>
    <n v="0"/>
    <n v="0"/>
    <n v="0"/>
    <n v="0"/>
    <n v="0"/>
    <n v="0"/>
    <n v="0"/>
    <n v="0"/>
    <n v="0"/>
    <n v="0"/>
    <n v="0"/>
    <n v="0"/>
    <n v="0"/>
    <n v="0"/>
    <n v="9220"/>
    <n v="20663.049973001249"/>
    <n v="0"/>
    <n v="0"/>
    <n v="0"/>
    <n v="0"/>
    <n v="0"/>
    <n v="0"/>
    <n v="0"/>
    <n v="0"/>
    <n v="9220"/>
    <n v="20663.049973001249"/>
    <n v="1899.6560109702223"/>
    <n v="0.2595036536284408"/>
    <n v="4924.3103965872288"/>
    <n v="0.31287831993654502"/>
  </r>
  <r>
    <x v="1"/>
    <s v="MARRUECOS"/>
    <s v="STE BBMAGRI, SARL"/>
    <s v="Consolidado/estratégico"/>
    <s v="BIO0020MA"/>
    <s v="BIORAD-20, 20 L"/>
    <n v="20"/>
    <n v="2.15"/>
    <n v="2.241111710737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6114.575098474611"/>
    <n v="0"/>
    <n v="0"/>
    <n v="4739.9806964919462"/>
    <n v="10190.958497457679"/>
    <n v="7583.9691143871141"/>
    <n v="16305.533595932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0"/>
    <n v="8023.1799244408321"/>
    <n v="0"/>
    <n v="0"/>
    <n v="5980"/>
    <n v="13401.84803021122"/>
    <n v="9560"/>
    <n v="21425.027954652054"/>
    <n v="1976.0308856128859"/>
    <n v="0.26055365677376913"/>
    <n v="5119.4943587197631"/>
    <n v="0.31397281963203666"/>
  </r>
  <r>
    <x v="1"/>
    <s v="MARRUECOS"/>
    <s v="STE BBMAGRI, SARL"/>
    <s v="Consolidado/estratégico"/>
    <s v="BIO0200MA"/>
    <s v="RADISOL-20, 200 L"/>
    <n v="200"/>
    <n v="2.2799999999999998"/>
    <n v="2.3766207909218"/>
    <n v="0"/>
    <n v="0"/>
    <n v="0"/>
    <n v="0"/>
    <n v="0"/>
    <n v="0"/>
    <n v="0"/>
    <n v="0"/>
    <n v="0"/>
    <n v="0"/>
    <n v="0"/>
    <n v="0"/>
    <n v="0"/>
    <n v="0"/>
    <n v="3956.9426967728532"/>
    <n v="9021.8293486421044"/>
    <n v="0"/>
    <n v="0"/>
    <n v="0"/>
    <n v="0"/>
    <n v="0"/>
    <n v="0"/>
    <n v="0"/>
    <n v="0"/>
    <n v="3956.9426967728532"/>
    <n v="9021.8293486421044"/>
    <n v="0"/>
    <n v="0"/>
    <n v="0"/>
    <n v="0"/>
    <n v="0"/>
    <n v="0"/>
    <n v="0"/>
    <n v="0"/>
    <n v="0"/>
    <n v="0"/>
    <n v="0"/>
    <n v="0"/>
    <n v="0"/>
    <n v="0"/>
    <n v="5000"/>
    <n v="11883.103954609"/>
    <n v="0"/>
    <n v="0"/>
    <n v="0"/>
    <n v="0"/>
    <n v="0"/>
    <n v="0"/>
    <n v="0"/>
    <n v="0"/>
    <n v="5000"/>
    <n v="11883.103954609"/>
    <n v="1043.0573032271468"/>
    <n v="0.26360182169881524"/>
    <n v="2861.2746059668953"/>
    <n v="0.31715015828774817"/>
  </r>
  <r>
    <x v="1"/>
    <s v="MARRUECOS"/>
    <s v="STE BBMAGRI, SARL"/>
    <s v="Consolidado/estratégico"/>
    <s v="BIO0200MA"/>
    <s v="BIORAD-20, 200 L"/>
    <n v="200"/>
    <n v="2.2799999999999998"/>
    <n v="2.3766207909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4322.8623952006556"/>
    <n v="0"/>
    <n v="0"/>
    <n v="1895.992278596779"/>
    <n v="4322.8623952006556"/>
    <n v="3791.984557193558"/>
    <n v="8645.7247904013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0"/>
    <n v="5703.8898982123201"/>
    <n v="0"/>
    <n v="0"/>
    <n v="2400"/>
    <n v="5703.8898982123201"/>
    <n v="4800"/>
    <n v="11407.77979642464"/>
    <n v="1008.015442806442"/>
    <n v="0.26582793985650427"/>
    <n v="2762.055006023329"/>
    <n v="0.31947061385643782"/>
  </r>
  <r>
    <x v="1"/>
    <s v="MARRUECOS"/>
    <s v="STE BBMAGRI, SARL"/>
    <s v="Consolidado/estratégico"/>
    <s v="BM0005MA"/>
    <s v="BOROCAL MAROC"/>
    <n v="5"/>
    <n v="3.13"/>
    <n v="3.262641699818086"/>
    <n v="0"/>
    <n v="0"/>
    <n v="0"/>
    <n v="0"/>
    <n v="0"/>
    <n v="0"/>
    <n v="0"/>
    <n v="0"/>
    <n v="0"/>
    <n v="0"/>
    <n v="0"/>
    <n v="0"/>
    <n v="989.23567419321319"/>
    <n v="3096.307660224757"/>
    <n v="0"/>
    <n v="0"/>
    <n v="0"/>
    <n v="0"/>
    <n v="0"/>
    <n v="0"/>
    <n v="0"/>
    <n v="0"/>
    <n v="0"/>
    <n v="0"/>
    <n v="989.23567419321319"/>
    <n v="3096.307660224757"/>
    <n v="0"/>
    <n v="0"/>
    <n v="0"/>
    <n v="0"/>
    <n v="0"/>
    <n v="0"/>
    <n v="0"/>
    <n v="0"/>
    <n v="0"/>
    <n v="0"/>
    <n v="0"/>
    <n v="0"/>
    <n v="1060"/>
    <n v="3458.400201807171"/>
    <n v="0"/>
    <n v="0"/>
    <n v="0"/>
    <n v="0"/>
    <n v="0"/>
    <n v="0"/>
    <n v="0"/>
    <n v="0"/>
    <n v="0"/>
    <n v="0"/>
    <n v="1060"/>
    <n v="3458.400201807171"/>
    <n v="70.764325806786815"/>
    <n v="7.1534344800595451E-2"/>
    <n v="362.09254158241401"/>
    <n v="0.11694333422801086"/>
  </r>
  <r>
    <x v="1"/>
    <s v="MARRUECOS"/>
    <s v="STE BBMAGRI, SARL"/>
    <s v="Consolidado/estratégico"/>
    <s v="BR-590005MA"/>
    <s v="BR-59"/>
    <n v="5"/>
    <n v="2.12"/>
    <n v="2.209840384541323"/>
    <n v="1088.159241612535"/>
    <n v="2306.8975922185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2306.8975922185732"/>
    <n v="1200"/>
    <n v="2651.8084614495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2651.8084614495879"/>
    <n v="111.84075838746503"/>
    <n v="0.10277977166442023"/>
    <n v="344.91086923101466"/>
    <n v="0.14951286541476227"/>
  </r>
  <r>
    <x v="1"/>
    <s v="MARRUECOS"/>
    <s v="STE BBMAGRI, SARL"/>
    <s v="Consolidado/estratégico"/>
    <s v="C-CU0005MA"/>
    <s v="CODICOBRE"/>
    <n v="5"/>
    <n v="3.57"/>
    <n v="3.7212878173643982"/>
    <n v="0"/>
    <n v="0"/>
    <n v="989.23567419321319"/>
    <n v="3531.5713568697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3531.5713568697711"/>
    <n v="0"/>
    <n v="0"/>
    <n v="1075"/>
    <n v="4000.3844036667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5"/>
    <n v="4000.3844036667278"/>
    <n v="85.764325806786815"/>
    <n v="8.6697566660981232E-2"/>
    <n v="468.81304679695677"/>
    <n v="0.13274913612746367"/>
  </r>
  <r>
    <x v="1"/>
    <s v="MARRUECOS"/>
    <s v="STE BBMAGRI, SARL"/>
    <s v="Consolidado/estratégico"/>
    <s v="C-CUAE0005MA"/>
    <s v="CUPRAMEC, 5 L"/>
    <n v="5"/>
    <n v="4.29"/>
    <n v="4.4717996460765459"/>
    <n v="0"/>
    <n v="0"/>
    <n v="0"/>
    <n v="0"/>
    <n v="0"/>
    <n v="0"/>
    <n v="0"/>
    <n v="0"/>
    <n v="0"/>
    <n v="0"/>
    <n v="0"/>
    <n v="0"/>
    <n v="593.54140451592798"/>
    <n v="2546.2926253733308"/>
    <n v="0"/>
    <n v="0"/>
    <n v="0"/>
    <n v="0"/>
    <n v="0"/>
    <n v="0"/>
    <n v="0"/>
    <n v="0"/>
    <n v="0"/>
    <n v="0"/>
    <n v="593.54140451592798"/>
    <n v="2546.2926253733308"/>
    <n v="0"/>
    <n v="0"/>
    <n v="0"/>
    <n v="0"/>
    <n v="0"/>
    <n v="0"/>
    <n v="0"/>
    <n v="0"/>
    <n v="0"/>
    <n v="0"/>
    <n v="0"/>
    <n v="0"/>
    <n v="715"/>
    <n v="3197.3367469447298"/>
    <n v="0"/>
    <n v="0"/>
    <n v="0"/>
    <n v="0"/>
    <n v="0"/>
    <n v="0"/>
    <n v="0"/>
    <n v="0"/>
    <n v="0"/>
    <n v="0"/>
    <n v="715"/>
    <n v="3197.3367469447298"/>
    <n v="121.45859548407202"/>
    <n v="0.20463373668620385"/>
    <n v="651.04412157139905"/>
    <n v="0.25568315090098676"/>
  </r>
  <r>
    <x v="1"/>
    <s v="MARRUECOS"/>
    <s v="STE BBMAGRI, SARL"/>
    <s v="Consolidado/estratégico"/>
    <s v="C-M-P0005MA"/>
    <s v="CODIFOL-MO-PLUS, 5 L"/>
    <n v="5"/>
    <n v="16.399999999999999"/>
    <n v="17.094991653998921"/>
    <n v="0"/>
    <n v="0"/>
    <n v="0"/>
    <n v="0"/>
    <n v="0"/>
    <n v="0"/>
    <n v="0"/>
    <n v="0"/>
    <n v="0"/>
    <n v="0"/>
    <n v="0"/>
    <n v="0"/>
    <n v="0"/>
    <n v="0"/>
    <n v="593.54140451592798"/>
    <n v="9734.0790340612184"/>
    <n v="0"/>
    <n v="0"/>
    <n v="0"/>
    <n v="0"/>
    <n v="0"/>
    <n v="0"/>
    <n v="0"/>
    <n v="0"/>
    <n v="593.54140451592798"/>
    <n v="9734.0790340612184"/>
    <n v="0"/>
    <n v="0"/>
    <n v="0"/>
    <n v="0"/>
    <n v="0"/>
    <n v="0"/>
    <n v="0"/>
    <n v="0"/>
    <n v="0"/>
    <n v="0"/>
    <n v="0"/>
    <n v="0"/>
    <n v="0"/>
    <n v="0"/>
    <n v="635"/>
    <n v="10855.31970028931"/>
    <n v="0"/>
    <n v="0"/>
    <n v="0"/>
    <n v="0"/>
    <n v="0"/>
    <n v="0"/>
    <n v="0"/>
    <n v="0"/>
    <n v="635"/>
    <n v="10855.31970028931"/>
    <n v="41.458595484072021"/>
    <n v="6.9849542371663575E-2"/>
    <n v="1121.2406662280919"/>
    <n v="0.11518713401696018"/>
  </r>
  <r>
    <x v="1"/>
    <s v="MARRUECOS"/>
    <s v="STE BBMAGRI, SARL"/>
    <s v="Consolidado/estratégico"/>
    <s v="C-MB0005MA"/>
    <s v="CODIFOL-MB"/>
    <n v="5"/>
    <n v="7.0000000000000009"/>
    <n v="7.2966427791458797"/>
    <n v="0"/>
    <n v="0"/>
    <n v="0"/>
    <n v="0"/>
    <n v="989.23567419321319"/>
    <n v="6924.6497193524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6924.6497193524929"/>
    <n v="0"/>
    <n v="0"/>
    <n v="0"/>
    <n v="0"/>
    <n v="1060"/>
    <n v="7734.4413458946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"/>
    <n v="7734.4413458946328"/>
    <n v="70.764325806786815"/>
    <n v="7.1534344800595451E-2"/>
    <n v="809.79162654213997"/>
    <n v="0.11694333422801083"/>
  </r>
  <r>
    <x v="1"/>
    <s v="MARRUECOS"/>
    <s v="STE BBMAGRI, SARL"/>
    <s v="Consolidado/estratégico"/>
    <s v="CALCIO0005MA"/>
    <s v="CALCIAMEC, 5 KG"/>
    <n v="5"/>
    <n v="3.7"/>
    <n v="3.8567968975485361"/>
    <n v="0"/>
    <n v="0"/>
    <n v="0"/>
    <n v="0"/>
    <n v="0"/>
    <n v="0"/>
    <n v="0"/>
    <n v="0"/>
    <n v="0"/>
    <n v="0"/>
    <n v="0"/>
    <n v="0"/>
    <n v="0"/>
    <n v="0"/>
    <n v="989.23567419321319"/>
    <n v="3660.1719945148889"/>
    <n v="0"/>
    <n v="0"/>
    <n v="0"/>
    <n v="0"/>
    <n v="0"/>
    <n v="0"/>
    <n v="947.99613929838938"/>
    <n v="3507.58571540404"/>
    <n v="1937.2318134916027"/>
    <n v="7167.7577099189293"/>
    <n v="0"/>
    <n v="0"/>
    <n v="0"/>
    <n v="0"/>
    <n v="0"/>
    <n v="0"/>
    <n v="0"/>
    <n v="0"/>
    <n v="0"/>
    <n v="0"/>
    <n v="0"/>
    <n v="0"/>
    <n v="0"/>
    <n v="0"/>
    <n v="1075"/>
    <n v="4146.0566648646763"/>
    <n v="0"/>
    <n v="0"/>
    <n v="0"/>
    <n v="0"/>
    <n v="0"/>
    <n v="0"/>
    <n v="1030"/>
    <n v="3972.500804474992"/>
    <n v="2105"/>
    <n v="8118.5574693396684"/>
    <n v="167.76818650839732"/>
    <n v="8.6602019097558325E-2"/>
    <n v="950.79975942073906"/>
    <n v="0.13264953949336172"/>
  </r>
  <r>
    <x v="1"/>
    <s v="MARRUECOS"/>
    <s v="STE BBMAGRI, SARL"/>
    <s v="Consolidado/estratégico"/>
    <s v="CSIL0005MA"/>
    <s v="FITOKONTROL-K, 5 L"/>
    <n v="5"/>
    <n v="3.399999999999999"/>
    <n v="3.5440836355851402"/>
    <n v="0"/>
    <n v="0"/>
    <n v="0"/>
    <n v="0"/>
    <n v="0"/>
    <n v="0"/>
    <n v="0"/>
    <n v="0"/>
    <n v="0"/>
    <n v="0"/>
    <n v="0"/>
    <n v="0"/>
    <n v="593.54140451592798"/>
    <n v="2018.0407753541549"/>
    <n v="0"/>
    <n v="0"/>
    <n v="0"/>
    <n v="0"/>
    <n v="0"/>
    <n v="0"/>
    <n v="0"/>
    <n v="0"/>
    <n v="0"/>
    <n v="0"/>
    <n v="593.54140451592798"/>
    <n v="2018.0407753541549"/>
    <n v="0"/>
    <n v="0"/>
    <n v="0"/>
    <n v="0"/>
    <n v="0"/>
    <n v="0"/>
    <n v="0"/>
    <n v="0"/>
    <n v="0"/>
    <n v="0"/>
    <n v="0"/>
    <n v="0"/>
    <n v="635"/>
    <n v="2250.4931085965641"/>
    <n v="0"/>
    <n v="0"/>
    <n v="0"/>
    <n v="0"/>
    <n v="0"/>
    <n v="0"/>
    <n v="0"/>
    <n v="0"/>
    <n v="0"/>
    <n v="0"/>
    <n v="635"/>
    <n v="2250.4931085965641"/>
    <n v="41.458595484072021"/>
    <n v="6.9849542371663575E-2"/>
    <n v="232.45233324240917"/>
    <n v="0.11518713401696012"/>
  </r>
  <r>
    <x v="1"/>
    <s v="MARRUECOS"/>
    <s v="STE BBMAGRI, SARL"/>
    <s v="Consolidado/estratégico"/>
    <s v="CZNMNES0005MA"/>
    <s v="CODIFOL ZN-MN"/>
    <n v="5"/>
    <n v="4.55"/>
    <n v="4.7428178064448208"/>
    <n v="0"/>
    <n v="0"/>
    <n v="0"/>
    <n v="0"/>
    <n v="593.54140451592798"/>
    <n v="2700.6133905474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2700.6133905474721"/>
    <n v="0"/>
    <n v="0"/>
    <n v="0"/>
    <n v="0"/>
    <n v="635"/>
    <n v="3011.6893070924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3011.6893070924611"/>
    <n v="41.458595484072021"/>
    <n v="6.9849542371663575E-2"/>
    <n v="311.07591654498901"/>
    <n v="0.11518713401696022"/>
  </r>
  <r>
    <x v="1"/>
    <s v="MARRUECOS"/>
    <s v="STE BBMAGRI, SARL"/>
    <s v="Consolidado/estratégico"/>
    <s v="F-MIX0005MA"/>
    <s v="FITOLIN-MIX, 5 L"/>
    <n v="5"/>
    <n v="5.33"/>
    <n v="5.555872287549648"/>
    <n v="0"/>
    <n v="0"/>
    <n v="0"/>
    <n v="0"/>
    <n v="0"/>
    <n v="0"/>
    <n v="0"/>
    <n v="0"/>
    <n v="0"/>
    <n v="0"/>
    <n v="0"/>
    <n v="0"/>
    <n v="989.23567419321319"/>
    <n v="5272.6261434498256"/>
    <n v="0"/>
    <n v="0"/>
    <n v="0"/>
    <n v="0"/>
    <n v="0"/>
    <n v="0"/>
    <n v="0"/>
    <n v="0"/>
    <n v="0"/>
    <n v="0"/>
    <n v="989.23567419321319"/>
    <n v="5272.6261434498256"/>
    <n v="0"/>
    <n v="0"/>
    <n v="0"/>
    <n v="0"/>
    <n v="0"/>
    <n v="0"/>
    <n v="0"/>
    <n v="0"/>
    <n v="0"/>
    <n v="0"/>
    <n v="0"/>
    <n v="0"/>
    <n v="1060"/>
    <n v="5889.2246248026267"/>
    <n v="0"/>
    <n v="0"/>
    <n v="0"/>
    <n v="0"/>
    <n v="0"/>
    <n v="0"/>
    <n v="0"/>
    <n v="0"/>
    <n v="0"/>
    <n v="0"/>
    <n v="1060"/>
    <n v="5889.2246248026267"/>
    <n v="70.764325806786815"/>
    <n v="7.1534344800595451E-2"/>
    <n v="616.59848135280117"/>
    <n v="0.11694333422801091"/>
  </r>
  <r>
    <x v="1"/>
    <s v="MARRUECOS"/>
    <s v="STE BBMAGRI, SARL"/>
    <s v="Consolidado/estratégico"/>
    <s v="F-MIX0020MA"/>
    <s v="FITOLIN-MIX, 20 L"/>
    <n v="20"/>
    <n v="5.0799999999999992"/>
    <n v="5.2952779025801524"/>
    <n v="0"/>
    <n v="0"/>
    <n v="0"/>
    <n v="0"/>
    <n v="0"/>
    <n v="0"/>
    <n v="0"/>
    <n v="0"/>
    <n v="0"/>
    <n v="0"/>
    <n v="0"/>
    <n v="0"/>
    <n v="0"/>
    <n v="0"/>
    <n v="989.23567419321319"/>
    <n v="5025.3172249015233"/>
    <n v="0"/>
    <n v="0"/>
    <n v="0"/>
    <n v="0"/>
    <n v="947.99613929838938"/>
    <n v="4815.8203876358166"/>
    <n v="0"/>
    <n v="0"/>
    <n v="1937.2318134916027"/>
    <n v="9841.137612537339"/>
    <n v="0"/>
    <n v="0"/>
    <n v="0"/>
    <n v="0"/>
    <n v="0"/>
    <n v="0"/>
    <n v="0"/>
    <n v="0"/>
    <n v="0"/>
    <n v="0"/>
    <n v="0"/>
    <n v="0"/>
    <n v="0"/>
    <n v="0"/>
    <n v="1060"/>
    <n v="5612.9945767349609"/>
    <n v="0"/>
    <n v="0"/>
    <n v="0"/>
    <n v="0"/>
    <n v="1020"/>
    <n v="5401.1834606317543"/>
    <n v="0"/>
    <n v="0"/>
    <n v="2080"/>
    <n v="11014.178037366715"/>
    <n v="142.76818650839732"/>
    <n v="7.3697006994261904E-2"/>
    <n v="1173.0404248293762"/>
    <n v="0.11919764472503208"/>
  </r>
  <r>
    <x v="1"/>
    <s v="MARRUECOS"/>
    <s v="STE BBMAGRI, SARL"/>
    <s v="Consolidado/estratégico"/>
    <s v="FTK0005MA"/>
    <s v="FITOKONTROL CA FLOW"/>
    <n v="5"/>
    <n v="2.4"/>
    <n v="2.5017060957071591"/>
    <n v="0"/>
    <n v="0"/>
    <n v="4946.1783709660658"/>
    <n v="11870.8280903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6.1783709660658"/>
    <n v="11870.82809031856"/>
    <n v="0"/>
    <n v="0"/>
    <n v="6230"/>
    <n v="15585.62897625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30"/>
    <n v="15585.628976255601"/>
    <n v="1283.8216290339342"/>
    <n v="0.25955829586937923"/>
    <n v="3714.8008859370402"/>
    <n v="0.31293527778122776"/>
  </r>
  <r>
    <x v="1"/>
    <s v="MARRUECOS"/>
    <s v="STE BBMAGRI, SARL"/>
    <s v="Consolidado/estratégico"/>
    <s v="FTK0005MA"/>
    <s v="FITOKONTROL CA FLOW, 5 KG"/>
    <n v="5"/>
    <n v="2.4"/>
    <n v="2.5017060957071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4550.3814686322676"/>
    <n v="1895.992278596779"/>
    <n v="4550.3814686322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0"/>
    <n v="5979.0775687401083"/>
    <n v="2390"/>
    <n v="5979.0775687401083"/>
    <n v="494.00772140322101"/>
    <n v="0.26055365677376879"/>
    <n v="1428.6961001078407"/>
    <n v="0.3139728196320366"/>
  </r>
  <r>
    <x v="1"/>
    <s v="MARRUECOS"/>
    <s v="STE BBMAGRI, SARL"/>
    <s v="Consolidado/estratégico"/>
    <s v="JF0005MA"/>
    <s v="CODIGIN-FOS"/>
    <n v="5"/>
    <n v="2.54"/>
    <n v="2.6476389512900762"/>
    <n v="1978.4713483864259"/>
    <n v="5025.3172249015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5025.3172249015233"/>
    <n v="2235"/>
    <n v="5917.473056133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5"/>
    <n v="5917.473056133319"/>
    <n v="256.52865161357408"/>
    <n v="0.12966002859874121"/>
    <n v="892.15583123179567"/>
    <n v="0.1775322415092469"/>
  </r>
  <r>
    <x v="1"/>
    <s v="MARRUECOS"/>
    <s v="STE BBMAGRI, SARL"/>
    <s v="Consolidado/estratégico"/>
    <s v="JF0005MA"/>
    <s v="CODIGIN-FOS, 5 L"/>
    <n v="5"/>
    <n v="2.54"/>
    <n v="2.64763895129007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407.9101938179092"/>
    <n v="947.99613929838938"/>
    <n v="2407.9101938179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0"/>
    <n v="2832.9736778803808"/>
    <n v="1070"/>
    <n v="2832.9736778803808"/>
    <n v="122.00386070161062"/>
    <n v="0.12869657970538309"/>
    <n v="425.06348406247162"/>
    <n v="0.17652796402199031"/>
  </r>
  <r>
    <x v="1"/>
    <s v="MARRUECOS"/>
    <s v="STE BBMAGRI, SARL"/>
    <s v="Consolidado/estratégico"/>
    <s v="NI0005MA"/>
    <s v="NUTRICALE"/>
    <n v="5"/>
    <n v="2.5499999999999998"/>
    <n v="2.6580627266888559"/>
    <n v="0"/>
    <n v="0"/>
    <n v="0"/>
    <n v="0"/>
    <n v="0"/>
    <n v="0"/>
    <n v="0"/>
    <n v="0"/>
    <n v="593.54140451592798"/>
    <n v="1513.5305815156159"/>
    <n v="0"/>
    <n v="0"/>
    <n v="0"/>
    <n v="0"/>
    <n v="0"/>
    <n v="0"/>
    <n v="0"/>
    <n v="0"/>
    <n v="0"/>
    <n v="0"/>
    <n v="0"/>
    <n v="0"/>
    <n v="0"/>
    <n v="0"/>
    <n v="593.54140451592798"/>
    <n v="1513.5305815156159"/>
    <n v="0"/>
    <n v="0"/>
    <n v="0"/>
    <n v="0"/>
    <n v="0"/>
    <n v="0"/>
    <n v="0"/>
    <n v="0"/>
    <n v="645"/>
    <n v="1714.4504587143119"/>
    <n v="0"/>
    <n v="0"/>
    <n v="0"/>
    <n v="0"/>
    <n v="0"/>
    <n v="0"/>
    <n v="0"/>
    <n v="0"/>
    <n v="0"/>
    <n v="0"/>
    <n v="0"/>
    <n v="0"/>
    <n v="0"/>
    <n v="0"/>
    <n v="645"/>
    <n v="1714.4504587143119"/>
    <n v="51.458595484072021"/>
    <n v="8.6697566660981107E-2"/>
    <n v="200.91987719869599"/>
    <n v="0.13274913612746383"/>
  </r>
  <r>
    <x v="1"/>
    <s v="MARRUECOS"/>
    <s v="STE BBMAGRI, SARL"/>
    <s v="Consolidado/estratégico"/>
    <s v="PHD0005MA"/>
    <s v="PH-DOWNER, 5 L"/>
    <n v="5"/>
    <n v="3.38"/>
    <n v="3.5232360847875812"/>
    <n v="0"/>
    <n v="0"/>
    <n v="0"/>
    <n v="0"/>
    <n v="0"/>
    <n v="0"/>
    <n v="0"/>
    <n v="0"/>
    <n v="0"/>
    <n v="0"/>
    <n v="0"/>
    <n v="0"/>
    <n v="0"/>
    <n v="0"/>
    <n v="593.54140451592798"/>
    <n v="2006.169947263837"/>
    <n v="0"/>
    <n v="0"/>
    <n v="0"/>
    <n v="0"/>
    <n v="0"/>
    <n v="0"/>
    <n v="0"/>
    <n v="0"/>
    <n v="593.54140451592798"/>
    <n v="2006.169947263837"/>
    <n v="0"/>
    <n v="0"/>
    <n v="0"/>
    <n v="0"/>
    <n v="0"/>
    <n v="0"/>
    <n v="0"/>
    <n v="0"/>
    <n v="0"/>
    <n v="0"/>
    <n v="0"/>
    <n v="0"/>
    <n v="0"/>
    <n v="0"/>
    <n v="635"/>
    <n v="2237.2549138401141"/>
    <n v="0"/>
    <n v="0"/>
    <n v="0"/>
    <n v="0"/>
    <n v="0"/>
    <n v="0"/>
    <n v="0"/>
    <n v="0"/>
    <n v="635"/>
    <n v="2237.2549138401141"/>
    <n v="41.458595484072021"/>
    <n v="6.9849542371663575E-2"/>
    <n v="231.08496657627711"/>
    <n v="0.11518713401695997"/>
  </r>
  <r>
    <x v="1"/>
    <s v="MARRUECOS"/>
    <s v="STE BBMAGRI, SARL"/>
    <s v="Consolidado/estratégico"/>
    <s v="PHD0020MA"/>
    <s v="PH-DOWNER"/>
    <n v="20"/>
    <n v="3.13"/>
    <n v="3.262641699818086"/>
    <n v="0"/>
    <n v="0"/>
    <n v="0"/>
    <n v="0"/>
    <n v="0"/>
    <n v="0"/>
    <n v="0"/>
    <n v="0"/>
    <n v="494.61783709660659"/>
    <n v="1548.153830112379"/>
    <n v="0"/>
    <n v="0"/>
    <n v="0"/>
    <n v="0"/>
    <n v="0"/>
    <n v="0"/>
    <n v="0"/>
    <n v="0"/>
    <n v="0"/>
    <n v="0"/>
    <n v="0"/>
    <n v="0"/>
    <n v="0"/>
    <n v="0"/>
    <n v="494.61783709660659"/>
    <n v="1548.153830112379"/>
    <n v="0"/>
    <n v="0"/>
    <n v="0"/>
    <n v="0"/>
    <n v="0"/>
    <n v="0"/>
    <n v="0"/>
    <n v="0"/>
    <n v="520"/>
    <n v="1696.573683905405"/>
    <n v="0"/>
    <n v="0"/>
    <n v="0"/>
    <n v="0"/>
    <n v="0"/>
    <n v="0"/>
    <n v="0"/>
    <n v="0"/>
    <n v="0"/>
    <n v="0"/>
    <n v="0"/>
    <n v="0"/>
    <n v="0"/>
    <n v="0"/>
    <n v="520"/>
    <n v="1696.573683905405"/>
    <n v="25.382162903393407"/>
    <n v="5.1316715653414405E-2"/>
    <n v="148.41985379302605"/>
    <n v="9.5868931695406778E-2"/>
  </r>
  <r>
    <x v="1"/>
    <s v="MARRUECOS"/>
    <s v="STE BBMAGRI, SARL"/>
    <s v="Consolidado/estratégico"/>
    <s v="PHD0020MA"/>
    <s v="PH-DOWNER, 20 L"/>
    <n v="20"/>
    <n v="3.13"/>
    <n v="3.2626416998180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.79768357903356"/>
    <n v="1780.336749602375"/>
    <n v="568.79768357903356"/>
    <n v="1780.336749602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1957.585019890852"/>
    <n v="600"/>
    <n v="1957.585019890852"/>
    <n v="31.20231642096644"/>
    <n v="5.4856616547087129E-2"/>
    <n v="177.24827028847699"/>
    <n v="9.955884488036551E-2"/>
  </r>
  <r>
    <x v="1"/>
    <s v="MARRUECOS"/>
    <s v="STE BBMAGRI, SARL"/>
    <s v="Consolidado/estratégico"/>
    <s v="PT0005MA"/>
    <s v="AGROPOTASION"/>
    <n v="5"/>
    <n v="3.3"/>
    <n v="3.4398458815973441"/>
    <n v="0"/>
    <n v="0"/>
    <n v="0"/>
    <n v="0"/>
    <n v="0"/>
    <n v="0"/>
    <n v="0"/>
    <n v="0"/>
    <n v="2967.7070225796401"/>
    <n v="9793.4331745128111"/>
    <n v="0"/>
    <n v="0"/>
    <n v="0"/>
    <n v="0"/>
    <n v="0"/>
    <n v="0"/>
    <n v="0"/>
    <n v="0"/>
    <n v="0"/>
    <n v="0"/>
    <n v="0"/>
    <n v="0"/>
    <n v="0"/>
    <n v="0"/>
    <n v="2967.7070225796401"/>
    <n v="9793.4331745128111"/>
    <n v="0"/>
    <n v="0"/>
    <n v="0"/>
    <n v="0"/>
    <n v="0"/>
    <n v="0"/>
    <n v="0"/>
    <n v="0"/>
    <n v="3270"/>
    <n v="11248.296032823309"/>
    <n v="0"/>
    <n v="0"/>
    <n v="0"/>
    <n v="0"/>
    <n v="0"/>
    <n v="0"/>
    <n v="0"/>
    <n v="0"/>
    <n v="0"/>
    <n v="0"/>
    <n v="0"/>
    <n v="0"/>
    <n v="0"/>
    <n v="0"/>
    <n v="3270"/>
    <n v="11248.296032823309"/>
    <n v="302.29297742035988"/>
    <n v="0.1018607885213668"/>
    <n v="1454.8628583104983"/>
    <n v="0.14855493802691644"/>
  </r>
  <r>
    <x v="1"/>
    <s v="MARRUECOS"/>
    <s v="STE BBMAGRI, SARL"/>
    <s v="Consolidado/estratégico"/>
    <s v="PT0005MA"/>
    <s v="AGROPOTASION, 5 L"/>
    <n v="5"/>
    <n v="3.3"/>
    <n v="3.4398458815973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9385.1617790540549"/>
    <n v="2843.9884178951679"/>
    <n v="9385.1617790540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10783.916838807671"/>
    <n v="3135"/>
    <n v="10783.916838807671"/>
    <n v="291.01158210483209"/>
    <n v="0.102325164291706"/>
    <n v="1398.7550597536156"/>
    <n v="0.14903899289998157"/>
  </r>
  <r>
    <x v="1"/>
    <s v="MARRUECOS"/>
    <s v="STE BBMAGRI, SARL"/>
    <s v="Consolidado/estratégico"/>
    <s v="PT0020MA"/>
    <s v="AGROPOTASION"/>
    <n v="20"/>
    <n v="3.05"/>
    <n v="3.1792514966278471"/>
    <n v="0"/>
    <n v="0"/>
    <n v="0"/>
    <n v="0"/>
    <n v="2967.7070225796401"/>
    <n v="9051.5064188679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7.7070225796401"/>
    <n v="9051.5064188679007"/>
    <n v="0"/>
    <n v="0"/>
    <n v="0"/>
    <n v="0"/>
    <n v="3280"/>
    <n v="10427.94490893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0"/>
    <n v="10427.94490893934"/>
    <n v="312.29297742035988"/>
    <n v="0.10523039337923032"/>
    <n v="1376.4384900714394"/>
    <n v="0.15206733844901751"/>
  </r>
  <r>
    <x v="1"/>
    <s v="MARRUECOS"/>
    <s v="STE BBMAGRI, SARL"/>
    <s v="Consolidado/estratégico"/>
    <s v="PT0020MA"/>
    <s v="AGROPOTASION, 20 L"/>
    <n v="20"/>
    <n v="3.05"/>
    <n v="3.1792514966278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8674.1646745802627"/>
    <n v="2843.9884178951679"/>
    <n v="8674.1646745802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0"/>
    <n v="9982.8496994114394"/>
    <n v="3140"/>
    <n v="9982.8496994114394"/>
    <n v="296.01158210483209"/>
    <n v="0.10408325865261782"/>
    <n v="1308.6850248311766"/>
    <n v="0.15087159097478203"/>
  </r>
  <r>
    <x v="1"/>
    <s v="MARRUECOS"/>
    <s v="STE BBMAGRI, SARL"/>
    <s v="Consolidado/estratégico"/>
    <s v="RUN0005MA"/>
    <s v="RUN STRESS, 5 L"/>
    <n v="5"/>
    <n v="7.4"/>
    <n v="7.7135937950970721"/>
    <n v="0"/>
    <n v="0"/>
    <n v="0"/>
    <n v="0"/>
    <n v="0"/>
    <n v="0"/>
    <n v="0"/>
    <n v="0"/>
    <n v="0"/>
    <n v="0"/>
    <n v="0"/>
    <n v="0"/>
    <n v="0"/>
    <n v="0"/>
    <n v="1582.7770787091411"/>
    <n v="11712.550382447649"/>
    <n v="0"/>
    <n v="0"/>
    <n v="0"/>
    <n v="0"/>
    <n v="0"/>
    <n v="0"/>
    <n v="0"/>
    <n v="0"/>
    <n v="1582.7770787091411"/>
    <n v="11712.550382447649"/>
    <n v="0"/>
    <n v="0"/>
    <n v="0"/>
    <n v="0"/>
    <n v="0"/>
    <n v="0"/>
    <n v="0"/>
    <n v="0"/>
    <n v="0"/>
    <n v="0"/>
    <n v="0"/>
    <n v="0"/>
    <n v="0"/>
    <n v="0"/>
    <n v="1995"/>
    <n v="15388.619621218661"/>
    <n v="0"/>
    <n v="0"/>
    <n v="0"/>
    <n v="0"/>
    <n v="0"/>
    <n v="0"/>
    <n v="0"/>
    <n v="0"/>
    <n v="1995"/>
    <n v="15388.619621218661"/>
    <n v="412.22292129085895"/>
    <n v="0.26044281714456841"/>
    <n v="3676.0692387710114"/>
    <n v="0.31385728289202874"/>
  </r>
  <r>
    <x v="1"/>
    <s v="MARRUECOS"/>
    <s v="STE BBMAGRI, SARL"/>
    <s v="Consolidado/estratégico"/>
    <s v="SPCE2B0001MA"/>
    <s v="SPRINTENE CON BORO"/>
    <n v="1"/>
    <n v="11.74"/>
    <n v="12.23751231816752"/>
    <n v="0"/>
    <n v="0"/>
    <n v="0"/>
    <n v="0"/>
    <n v="0"/>
    <n v="0"/>
    <n v="0"/>
    <n v="0"/>
    <n v="0"/>
    <n v="0"/>
    <n v="0"/>
    <n v="0"/>
    <n v="985.2787314964404"/>
    <n v="11567.172307768211"/>
    <n v="0"/>
    <n v="0"/>
    <n v="0"/>
    <n v="0"/>
    <n v="0"/>
    <n v="0"/>
    <n v="0"/>
    <n v="0"/>
    <n v="0"/>
    <n v="0"/>
    <n v="985.2787314964404"/>
    <n v="11567.172307768211"/>
    <n v="0"/>
    <n v="0"/>
    <n v="0"/>
    <n v="0"/>
    <n v="0"/>
    <n v="0"/>
    <n v="0"/>
    <n v="0"/>
    <n v="0"/>
    <n v="0"/>
    <n v="0"/>
    <n v="0"/>
    <n v="1086"/>
    <n v="13289.938377529919"/>
    <n v="0"/>
    <n v="0"/>
    <n v="0"/>
    <n v="0"/>
    <n v="0"/>
    <n v="0"/>
    <n v="0"/>
    <n v="0"/>
    <n v="0"/>
    <n v="0"/>
    <n v="1086"/>
    <n v="13289.938377529919"/>
    <n v="100.7212685035596"/>
    <n v="0.10222616736137624"/>
    <n v="1722.7660697617084"/>
    <n v="0.14893580072328857"/>
  </r>
  <r>
    <x v="1"/>
    <s v="MARRUECOS"/>
    <s v="STE BBMAGRI, SARL"/>
    <s v="Consolidado/estratégico"/>
    <s v="SPCE2B0020MA"/>
    <s v="SPRINTENE CON BORO"/>
    <n v="20"/>
    <n v="10.199999999999999"/>
    <n v="10.63225090675542"/>
    <n v="0"/>
    <n v="0"/>
    <n v="0"/>
    <n v="0"/>
    <n v="0"/>
    <n v="0"/>
    <n v="0"/>
    <n v="0"/>
    <n v="0"/>
    <n v="0"/>
    <n v="2967.7070225796401"/>
    <n v="30270.61163031232"/>
    <n v="0"/>
    <n v="0"/>
    <n v="0"/>
    <n v="0"/>
    <n v="0"/>
    <n v="0"/>
    <n v="0"/>
    <n v="0"/>
    <n v="0"/>
    <n v="0"/>
    <n v="0"/>
    <n v="0"/>
    <n v="2967.7070225796401"/>
    <n v="30270.61163031232"/>
    <n v="0"/>
    <n v="0"/>
    <n v="0"/>
    <n v="0"/>
    <n v="0"/>
    <n v="0"/>
    <n v="0"/>
    <n v="0"/>
    <n v="0"/>
    <n v="0"/>
    <n v="3220"/>
    <n v="34235.847919752458"/>
    <n v="0"/>
    <n v="0"/>
    <n v="0"/>
    <n v="0"/>
    <n v="0"/>
    <n v="0"/>
    <n v="0"/>
    <n v="0"/>
    <n v="0"/>
    <n v="0"/>
    <n v="0"/>
    <n v="0"/>
    <n v="3220"/>
    <n v="34235.847919752458"/>
    <n v="252.29297742035988"/>
    <n v="8.5012764232049273E-2"/>
    <n v="3965.2362894401376"/>
    <n v="0.13099293591641334"/>
  </r>
  <r>
    <x v="1"/>
    <s v="MARRUECOS"/>
    <s v="STE BBMAGRI, SARL"/>
    <s v="Consolidado/estratégico"/>
    <s v="SS0005MA"/>
    <s v="SAL-WAX-Ca"/>
    <n v="5"/>
    <n v="3.7"/>
    <n v="3.8567968975485361"/>
    <n v="1978.4713483864259"/>
    <n v="7320.3439890297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7320.3439890297777"/>
    <n v="2150"/>
    <n v="8292.11332972935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0"/>
    <n v="8292.1133297293527"/>
    <n v="171.52865161357408"/>
    <n v="8.6697566660981482E-2"/>
    <n v="971.76934069957497"/>
    <n v="0.13274913612746375"/>
  </r>
  <r>
    <x v="1"/>
    <s v="MARRUECOS"/>
    <s v="STE BBMAGRI, SARL"/>
    <s v="Consolidado/estratégico"/>
    <s v="SS0020MA"/>
    <s v="SAL-WAX-Ca"/>
    <n v="20"/>
    <n v="3.55"/>
    <n v="3.7004402665668392"/>
    <n v="0"/>
    <n v="0"/>
    <n v="0"/>
    <n v="0"/>
    <n v="1978.4713483864259"/>
    <n v="7023.5732867718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7023.5732867718143"/>
    <n v="0"/>
    <n v="0"/>
    <n v="0"/>
    <n v="0"/>
    <n v="2160"/>
    <n v="7992.95097578437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7992.9509757843716"/>
    <n v="181.52865161357408"/>
    <n v="9.1751973947776747E-2"/>
    <n v="969.37768901255731"/>
    <n v="0.13801773676061466"/>
  </r>
  <r>
    <x v="1"/>
    <s v="MARRUECOS"/>
    <s v="STE BBMAGRI, SARL"/>
    <s v="Consolidado/estratégico"/>
    <s v="WHITE0020MA"/>
    <s v="AGROWHITE"/>
    <n v="20"/>
    <n v="1.68"/>
    <n v="1.7511942669950109"/>
    <n v="0"/>
    <n v="0"/>
    <n v="0"/>
    <n v="0"/>
    <n v="0"/>
    <n v="0"/>
    <n v="0"/>
    <n v="0"/>
    <n v="1978.4713483864259"/>
    <n v="3323.8318652891971"/>
    <n v="0"/>
    <n v="0"/>
    <n v="0"/>
    <n v="0"/>
    <n v="0"/>
    <n v="0"/>
    <n v="0"/>
    <n v="0"/>
    <n v="0"/>
    <n v="0"/>
    <n v="0"/>
    <n v="0"/>
    <n v="0"/>
    <n v="0"/>
    <n v="1978.4713483864259"/>
    <n v="3323.8318652891971"/>
    <n v="0"/>
    <n v="0"/>
    <n v="0"/>
    <n v="0"/>
    <n v="0"/>
    <n v="0"/>
    <n v="0"/>
    <n v="0"/>
    <n v="2160"/>
    <n v="3782.579616709224"/>
    <n v="0"/>
    <n v="0"/>
    <n v="0"/>
    <n v="0"/>
    <n v="0"/>
    <n v="0"/>
    <n v="0"/>
    <n v="0"/>
    <n v="0"/>
    <n v="0"/>
    <n v="0"/>
    <n v="0"/>
    <n v="0"/>
    <n v="0"/>
    <n v="2160"/>
    <n v="3782.579616709224"/>
    <n v="181.52865161357408"/>
    <n v="9.1751973947776747E-2"/>
    <n v="458.74775142002682"/>
    <n v="0.13801773676061455"/>
  </r>
  <r>
    <x v="1"/>
    <s v="RUMANÍA"/>
    <s v="SC MARCOSER S.R.L."/>
    <s v="Consolidado/estratégico"/>
    <s v="A-500001RO"/>
    <s v="CODIORGAN  A-50"/>
    <n v="1"/>
    <n v="5.41"/>
    <n v="5.6392624907398856"/>
    <n v="870.52739329002759"/>
    <n v="4709.5531976990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0.52739329002759"/>
    <n v="4709.5531976990496"/>
    <n v="946"/>
    <n v="5334.7423162399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6"/>
    <n v="5334.7423162399318"/>
    <n v="75.47260670997241"/>
    <n v="8.6697566660981246E-2"/>
    <n v="625.18911854088219"/>
    <n v="0.1327491361274635"/>
  </r>
  <r>
    <x v="1"/>
    <s v="RUMANÍA"/>
    <s v="SC MARCOSER S.R.L."/>
    <s v="Consolidado/estratégico"/>
    <s v="A-500001RO"/>
    <s v="CODIORGAN-A50"/>
    <n v="1"/>
    <n v="5.41"/>
    <n v="5.6392624907398856"/>
    <n v="0"/>
    <n v="0"/>
    <n v="0"/>
    <n v="0"/>
    <n v="0"/>
    <n v="0"/>
    <n v="0"/>
    <n v="0"/>
    <n v="870.52739329002759"/>
    <n v="4709.5531976990496"/>
    <n v="870.52739329002759"/>
    <n v="4709.5531976990496"/>
    <n v="0"/>
    <n v="0"/>
    <n v="0"/>
    <n v="0"/>
    <n v="0"/>
    <n v="0"/>
    <n v="0"/>
    <n v="0"/>
    <n v="0"/>
    <n v="0"/>
    <n v="0"/>
    <n v="0"/>
    <n v="1741.0547865800552"/>
    <n v="9419.1063953980993"/>
    <n v="0"/>
    <n v="0"/>
    <n v="0"/>
    <n v="0"/>
    <n v="0"/>
    <n v="0"/>
    <n v="0"/>
    <n v="0"/>
    <n v="946"/>
    <n v="5334.7423162399318"/>
    <n v="946"/>
    <n v="5334.7423162399318"/>
    <n v="0"/>
    <n v="0"/>
    <n v="0"/>
    <n v="0"/>
    <n v="0"/>
    <n v="0"/>
    <n v="0"/>
    <n v="0"/>
    <n v="0"/>
    <n v="0"/>
    <n v="0"/>
    <n v="0"/>
    <n v="1892"/>
    <n v="10669.484632479864"/>
    <n v="150.94521341994482"/>
    <n v="8.6697566660981246E-2"/>
    <n v="1250.3782370817644"/>
    <n v="0.1327491361274635"/>
  </r>
  <r>
    <x v="1"/>
    <s v="RUMANÍA"/>
    <s v="SC MARCOSER S.R.L."/>
    <s v="Consolidado/estratégico"/>
    <s v="A-500001RO"/>
    <s v="CODIORGAN-A50, 1 KG"/>
    <n v="1"/>
    <n v="5.5155855664682676"/>
    <n v="5.7492880245392444"/>
    <n v="0"/>
    <n v="0"/>
    <n v="0"/>
    <n v="0"/>
    <n v="0"/>
    <n v="0"/>
    <n v="0"/>
    <n v="0"/>
    <n v="0"/>
    <n v="0"/>
    <n v="870.52739329002759"/>
    <n v="4918.4797720886563"/>
    <n v="0"/>
    <n v="0"/>
    <n v="0"/>
    <n v="0"/>
    <n v="0"/>
    <n v="0"/>
    <n v="0"/>
    <n v="0"/>
    <n v="834.23660258258258"/>
    <n v="4484.2919177810818"/>
    <n v="0"/>
    <n v="0"/>
    <n v="1704.7639958726102"/>
    <n v="9402.7716898697381"/>
    <n v="0"/>
    <n v="0"/>
    <n v="0"/>
    <n v="0"/>
    <n v="0"/>
    <n v="0"/>
    <n v="0"/>
    <n v="0"/>
    <n v="0"/>
    <n v="0"/>
    <n v="946"/>
    <n v="5571.4037128938298"/>
    <n v="0"/>
    <n v="0"/>
    <n v="0"/>
    <n v="0"/>
    <n v="0"/>
    <n v="0"/>
    <n v="0"/>
    <n v="0"/>
    <n v="907"/>
    <n v="5082.0269965773896"/>
    <n v="0"/>
    <n v="0"/>
    <n v="1853"/>
    <n v="10653.43070947122"/>
    <n v="148.23600412738983"/>
    <n v="8.6953973973102894E-2"/>
    <n v="1250.6590196014822"/>
    <n v="0.13300961257507768"/>
  </r>
  <r>
    <x v="1"/>
    <s v="RUMANÍA"/>
    <s v="SC MARCOSER S.R.L."/>
    <s v="Consolidado/estratégico"/>
    <s v="A-500020RO"/>
    <s v="CODIORGAN  A-50"/>
    <n v="20"/>
    <n v="4.5199999999999996"/>
    <n v="4.7115464802484812"/>
    <n v="0"/>
    <n v="0"/>
    <n v="989.23567419321319"/>
    <n v="4471.3452473533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471.3452473533234"/>
    <n v="0"/>
    <n v="0"/>
    <n v="1080"/>
    <n v="5088.4701986683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5088.4701986683594"/>
    <n v="90.764325806786815"/>
    <n v="9.1751973947776497E-2"/>
    <n v="617.12495131503601"/>
    <n v="0.13801773676061457"/>
  </r>
  <r>
    <x v="1"/>
    <s v="RUMANÍA"/>
    <s v="SC MARCOSER S.R.L."/>
    <s v="Consolidado/estratégico"/>
    <s v="A-500020RO"/>
    <s v="CODIORGAN-A50"/>
    <n v="20"/>
    <n v="4.5199999999999996"/>
    <n v="4.7115464802484821"/>
    <n v="0"/>
    <n v="0"/>
    <n v="0"/>
    <n v="0"/>
    <n v="0"/>
    <n v="0"/>
    <n v="0"/>
    <n v="0"/>
    <n v="2176.318483225069"/>
    <n v="9836.9595441773126"/>
    <n v="0"/>
    <n v="0"/>
    <n v="0"/>
    <n v="0"/>
    <n v="0"/>
    <n v="0"/>
    <n v="0"/>
    <n v="0"/>
    <n v="0"/>
    <n v="0"/>
    <n v="0"/>
    <n v="0"/>
    <n v="0"/>
    <n v="0"/>
    <n v="2176.318483225069"/>
    <n v="9836.9595441773126"/>
    <n v="0"/>
    <n v="0"/>
    <n v="0"/>
    <n v="0"/>
    <n v="0"/>
    <n v="0"/>
    <n v="0"/>
    <n v="0"/>
    <n v="2360"/>
    <n v="11119.24969338642"/>
    <n v="0"/>
    <n v="0"/>
    <n v="0"/>
    <n v="0"/>
    <n v="0"/>
    <n v="0"/>
    <n v="0"/>
    <n v="0"/>
    <n v="0"/>
    <n v="0"/>
    <n v="0"/>
    <n v="0"/>
    <n v="0"/>
    <n v="0"/>
    <n v="2360"/>
    <n v="11119.24969338642"/>
    <n v="183.68151677493097"/>
    <n v="8.4400108803347015E-2"/>
    <n v="1282.2901492091078"/>
    <n v="0.13035431765784991"/>
  </r>
  <r>
    <x v="1"/>
    <s v="RUMANÍA"/>
    <s v="SC MARCOSER S.R.L."/>
    <s v="Consolidado/estratégico"/>
    <s v="AGFE0001RO"/>
    <s v="AGROXILATO Fe"/>
    <n v="1"/>
    <n v="10.46"/>
    <n v="10.9032690671237"/>
    <n v="0"/>
    <n v="0"/>
    <n v="0"/>
    <n v="0"/>
    <n v="427.34981125146811"/>
    <n v="4470.07902569035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.34981125146811"/>
    <n v="4470.0790256903574"/>
    <n v="0"/>
    <n v="0"/>
    <n v="0"/>
    <n v="0"/>
    <n v="467"/>
    <n v="5091.8266543467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7"/>
    <n v="5091.8266543467671"/>
    <n v="39.650188748531889"/>
    <n v="9.2781575432123647E-2"/>
    <n v="621.74762865640969"/>
    <n v="0.13909097022292288"/>
  </r>
  <r>
    <x v="1"/>
    <s v="RUMANÍA"/>
    <s v="SC MARCOSER S.R.L."/>
    <s v="Consolidado/estratégico"/>
    <s v="AGFEL0001RO"/>
    <s v="AGROXILATO-FE-L, 1 L"/>
    <n v="1"/>
    <n v="5.3900000000000006"/>
    <n v="5.6184149399423271"/>
    <n v="0"/>
    <n v="0"/>
    <n v="0"/>
    <n v="0"/>
    <n v="0"/>
    <n v="0"/>
    <n v="0"/>
    <n v="0"/>
    <n v="0"/>
    <n v="0"/>
    <n v="0"/>
    <n v="0"/>
    <n v="391.73732698051242"/>
    <n v="2111.4641924249622"/>
    <n v="0"/>
    <n v="0"/>
    <n v="0"/>
    <n v="0"/>
    <n v="0"/>
    <n v="0"/>
    <n v="0"/>
    <n v="0"/>
    <n v="0"/>
    <n v="0"/>
    <n v="391.73732698051242"/>
    <n v="2111.4641924249622"/>
    <n v="0"/>
    <n v="0"/>
    <n v="0"/>
    <n v="0"/>
    <n v="0"/>
    <n v="0"/>
    <n v="0"/>
    <n v="0"/>
    <n v="0"/>
    <n v="0"/>
    <n v="0"/>
    <n v="0"/>
    <n v="442"/>
    <n v="2483.339403454509"/>
    <n v="0"/>
    <n v="0"/>
    <n v="0"/>
    <n v="0"/>
    <n v="0"/>
    <n v="0"/>
    <n v="0"/>
    <n v="0"/>
    <n v="0"/>
    <n v="0"/>
    <n v="442"/>
    <n v="2483.339403454509"/>
    <n v="50.262673019487579"/>
    <n v="0.12830708119368969"/>
    <n v="371.87521102954679"/>
    <n v="0.17612195952158569"/>
  </r>
  <r>
    <x v="1"/>
    <s v="RUMANÍA"/>
    <s v="SC MARCOSER S.R.L."/>
    <s v="Consolidado/estratégico"/>
    <s v="AGMG0001RO"/>
    <s v="AGROXILATO Mg"/>
    <n v="1"/>
    <n v="5.67"/>
    <n v="5.9102806511081623"/>
    <n v="0"/>
    <n v="0"/>
    <n v="0"/>
    <n v="0"/>
    <n v="427.34981125146811"/>
    <n v="2423.0734297958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.34981125146811"/>
    <n v="2423.0734297958238"/>
    <n v="0"/>
    <n v="0"/>
    <n v="0"/>
    <n v="0"/>
    <n v="458"/>
    <n v="2706.9085382075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8"/>
    <n v="2706.9085382075382"/>
    <n v="30.650188748531889"/>
    <n v="7.1721545070476719E-2"/>
    <n v="283.83510841171437"/>
    <n v="0.11713846758479426"/>
  </r>
  <r>
    <x v="1"/>
    <s v="RUMANÍA"/>
    <s v="SC MARCOSER S.R.L."/>
    <s v="Consolidado/estratégico"/>
    <s v="AGMG0001RO"/>
    <s v="AGROXILATO-MG, 1 KG (EXPORT)"/>
    <n v="1"/>
    <n v="5.2731018518518527"/>
    <n v="5.4965629358593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999.77603953654864"/>
    <n v="0"/>
    <n v="0"/>
    <n v="189.59922785967791"/>
    <n v="999.77603953654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115.8022759794519"/>
    <n v="0"/>
    <n v="0"/>
    <n v="203"/>
    <n v="1115.8022759794519"/>
    <n v="13.40077214032209"/>
    <n v="7.0679465795293106E-2"/>
    <n v="116.02623644290327"/>
    <n v="0.11605222755357072"/>
  </r>
  <r>
    <x v="1"/>
    <s v="RUMANÍA"/>
    <s v="SC MARCOSER S.R.L."/>
    <s v="Consolidado/estratégico"/>
    <s v="AGNF0001RO"/>
    <s v="CODIGREEN"/>
    <n v="1"/>
    <n v="4.4400000000000004"/>
    <n v="4.6281562770582436"/>
    <n v="652.89554496752078"/>
    <n v="2898.8562196557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2898.8562196557918"/>
    <n v="699"/>
    <n v="3235.0812376637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3235.0812376637118"/>
    <n v="46.104455032479223"/>
    <n v="7.0615361657541648E-2"/>
    <n v="336.22501800791997"/>
    <n v="0.11598540684016508"/>
  </r>
  <r>
    <x v="1"/>
    <s v="RUMANÍA"/>
    <s v="SC MARCOSER S.R.L."/>
    <s v="Consolidado/estratégico"/>
    <s v="AGNF0020RO"/>
    <s v="CODIGREEN"/>
    <n v="20"/>
    <n v="2.7"/>
    <n v="2.8144193576705532"/>
    <n v="0"/>
    <n v="0"/>
    <n v="0"/>
    <n v="0"/>
    <n v="0"/>
    <n v="0"/>
    <n v="0"/>
    <n v="0"/>
    <n v="0"/>
    <n v="0"/>
    <n v="316.55541574182831"/>
    <n v="854.69962250293622"/>
    <n v="0"/>
    <n v="0"/>
    <n v="0"/>
    <n v="0"/>
    <n v="0"/>
    <n v="0"/>
    <n v="0"/>
    <n v="0"/>
    <n v="0"/>
    <n v="0"/>
    <n v="0"/>
    <n v="0"/>
    <n v="316.55541574182831"/>
    <n v="854.69962250293622"/>
    <n v="0"/>
    <n v="0"/>
    <n v="0"/>
    <n v="0"/>
    <n v="0"/>
    <n v="0"/>
    <n v="0"/>
    <n v="0"/>
    <n v="0"/>
    <n v="0"/>
    <n v="340"/>
    <n v="956.90258160798794"/>
    <n v="0"/>
    <n v="0"/>
    <n v="0"/>
    <n v="0"/>
    <n v="0"/>
    <n v="0"/>
    <n v="0"/>
    <n v="0"/>
    <n v="0"/>
    <n v="0"/>
    <n v="0"/>
    <n v="0"/>
    <n v="340"/>
    <n v="956.90258160798794"/>
    <n v="23.444584258171687"/>
    <n v="7.4061548443992764E-2"/>
    <n v="102.20295910505172"/>
    <n v="0.119577634544586"/>
  </r>
  <r>
    <x v="1"/>
    <s v="RUMANÍA"/>
    <s v="SC MARCOSER S.R.L."/>
    <s v="Consolidado/estratégico"/>
    <s v="AGXCR0001RO"/>
    <s v="AGROXILATO-K"/>
    <n v="1"/>
    <n v="4.2000000000000011"/>
    <n v="4.3779856674875273"/>
    <n v="652.89554496752078"/>
    <n v="2742.1612888635868"/>
    <n v="652.89554496752078"/>
    <n v="2742.1612888635868"/>
    <n v="0"/>
    <n v="0"/>
    <n v="0"/>
    <n v="0"/>
    <n v="652.89554496752078"/>
    <n v="2742.1612888635868"/>
    <n v="1958.686634902562"/>
    <n v="8226.483866590761"/>
    <n v="0"/>
    <n v="0"/>
    <n v="0"/>
    <n v="0"/>
    <n v="0"/>
    <n v="0"/>
    <n v="0"/>
    <n v="0"/>
    <n v="0"/>
    <n v="0"/>
    <n v="0"/>
    <n v="0"/>
    <n v="3917.3732698051244"/>
    <n v="16452.967733181522"/>
    <n v="720"/>
    <n v="3152.1496805910201"/>
    <n v="720"/>
    <n v="3152.1496805910201"/>
    <n v="0"/>
    <n v="0"/>
    <n v="0"/>
    <n v="0"/>
    <n v="720"/>
    <n v="3152.1496805910201"/>
    <n v="2159"/>
    <n v="9452.071056105573"/>
    <n v="0"/>
    <n v="0"/>
    <n v="0"/>
    <n v="0"/>
    <n v="0"/>
    <n v="0"/>
    <n v="0"/>
    <n v="0"/>
    <n v="0"/>
    <n v="0"/>
    <n v="0"/>
    <n v="0"/>
    <n v="4319"/>
    <n v="18908.520097878631"/>
    <n v="401.62673019487556"/>
    <n v="0.10252449856912794"/>
    <n v="2455.5523646971087"/>
    <n v="0.14924677447369411"/>
  </r>
  <r>
    <x v="1"/>
    <s v="RUMANÍA"/>
    <s v="SC MARCOSER S.R.L."/>
    <s v="Consolidado/estratégico"/>
    <s v="AGXCR0001RO"/>
    <s v="AGROXILATO-K  (0-5-20)"/>
    <n v="1"/>
    <n v="4.2"/>
    <n v="4.3779856674875282"/>
    <n v="0"/>
    <n v="0"/>
    <n v="0"/>
    <n v="0"/>
    <n v="0"/>
    <n v="0"/>
    <n v="0"/>
    <n v="0"/>
    <n v="0"/>
    <n v="0"/>
    <n v="391.73732698051242"/>
    <n v="1645.296773318152"/>
    <n v="0"/>
    <n v="0"/>
    <n v="0"/>
    <n v="0"/>
    <n v="0"/>
    <n v="0"/>
    <n v="0"/>
    <n v="0"/>
    <n v="0"/>
    <n v="0"/>
    <n v="0"/>
    <n v="0"/>
    <n v="391.73732698051242"/>
    <n v="1645.296773318152"/>
    <n v="0"/>
    <n v="0"/>
    <n v="0"/>
    <n v="0"/>
    <n v="0"/>
    <n v="0"/>
    <n v="0"/>
    <n v="0"/>
    <n v="0"/>
    <n v="0"/>
    <n v="432"/>
    <n v="1891.289808354612"/>
    <n v="0"/>
    <n v="0"/>
    <n v="0"/>
    <n v="0"/>
    <n v="0"/>
    <n v="0"/>
    <n v="0"/>
    <n v="0"/>
    <n v="0"/>
    <n v="0"/>
    <n v="0"/>
    <n v="0"/>
    <n v="432"/>
    <n v="1891.289808354612"/>
    <n v="40.262673019487579"/>
    <n v="0.1027797716644207"/>
    <n v="245.99303503646001"/>
    <n v="0.14951286541476261"/>
  </r>
  <r>
    <x v="1"/>
    <s v="RUMANÍA"/>
    <s v="SC MARCOSER S.R.L."/>
    <s v="Consolidado/estratégico"/>
    <s v="AGXCR0005RO"/>
    <s v="AGROXILATO-K"/>
    <n v="5"/>
    <n v="3.1999999999999988"/>
    <n v="3.3356081276095439"/>
    <n v="0"/>
    <n v="0"/>
    <n v="593.54140451592798"/>
    <n v="1899.3324944509691"/>
    <n v="296.77070225796399"/>
    <n v="949.66624722548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.31210677389197"/>
    <n v="2848.9987416764538"/>
    <n v="0"/>
    <n v="0"/>
    <n v="655"/>
    <n v="2184.8233235842522"/>
    <n v="325"/>
    <n v="1084.0726414731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0"/>
    <n v="3268.8959650573543"/>
    <n v="89.687893226108031"/>
    <n v="0.10073758690207905"/>
    <n v="419.89722338090041"/>
    <n v="0.14738413788621674"/>
  </r>
  <r>
    <x v="1"/>
    <s v="RUMANÍA"/>
    <s v="SC MARCOSER S.R.L."/>
    <s v="Consolidado/estratégico"/>
    <s v="AGXCR0005RO"/>
    <s v="AGROXILATO-K (0-5-20)"/>
    <n v="5"/>
    <n v="3.2"/>
    <n v="3.3356081276095448"/>
    <n v="0"/>
    <n v="0"/>
    <n v="0"/>
    <n v="0"/>
    <n v="0"/>
    <n v="0"/>
    <n v="0"/>
    <n v="0"/>
    <n v="0"/>
    <n v="0"/>
    <n v="593.54140451592798"/>
    <n v="1899.3324944509691"/>
    <n v="0"/>
    <n v="0"/>
    <n v="0"/>
    <n v="0"/>
    <n v="0"/>
    <n v="0"/>
    <n v="0"/>
    <n v="0"/>
    <n v="0"/>
    <n v="0"/>
    <n v="0"/>
    <n v="0"/>
    <n v="593.54140451592798"/>
    <n v="1899.3324944509691"/>
    <n v="0"/>
    <n v="0"/>
    <n v="0"/>
    <n v="0"/>
    <n v="0"/>
    <n v="0"/>
    <n v="0"/>
    <n v="0"/>
    <n v="0"/>
    <n v="0"/>
    <n v="655"/>
    <n v="2184.8233235842522"/>
    <n v="0"/>
    <n v="0"/>
    <n v="0"/>
    <n v="0"/>
    <n v="0"/>
    <n v="0"/>
    <n v="0"/>
    <n v="0"/>
    <n v="0"/>
    <n v="0"/>
    <n v="0"/>
    <n v="0"/>
    <n v="655"/>
    <n v="2184.8233235842522"/>
    <n v="61.458595484072021"/>
    <n v="0.10354559095029865"/>
    <n v="285.49082913328311"/>
    <n v="0.15031113823796743"/>
  </r>
  <r>
    <x v="1"/>
    <s v="RUMANÍA"/>
    <s v="SC MARCOSER S.R.L."/>
    <s v="Consolidado/estratégico"/>
    <s v="AGXCR0020RO"/>
    <s v="AGROXILATO-K"/>
    <n v="20"/>
    <n v="2.95"/>
    <n v="3.0750137426400488"/>
    <n v="1266.221662967313"/>
    <n v="3735.3539057535731"/>
    <n v="0"/>
    <n v="0"/>
    <n v="1266.221662967313"/>
    <n v="3735.3539057535731"/>
    <n v="0"/>
    <n v="0"/>
    <n v="633.11083148365651"/>
    <n v="1867.676952876787"/>
    <n v="3798.6649889019391"/>
    <n v="11206.06171726072"/>
    <n v="0"/>
    <n v="0"/>
    <n v="0"/>
    <n v="0"/>
    <n v="0"/>
    <n v="0"/>
    <n v="0"/>
    <n v="0"/>
    <n v="0"/>
    <n v="0"/>
    <n v="0"/>
    <n v="0"/>
    <n v="6964.2191463202216"/>
    <n v="20544.446481644653"/>
    <n v="1400"/>
    <n v="4305.0192396960683"/>
    <n v="0"/>
    <n v="0"/>
    <n v="1400"/>
    <n v="4305.0192396960683"/>
    <n v="0"/>
    <n v="0"/>
    <n v="700"/>
    <n v="2152.5096198480342"/>
    <n v="4180"/>
    <n v="12853.557444235401"/>
    <n v="0"/>
    <n v="0"/>
    <n v="0"/>
    <n v="0"/>
    <n v="0"/>
    <n v="0"/>
    <n v="0"/>
    <n v="0"/>
    <n v="0"/>
    <n v="0"/>
    <n v="0"/>
    <n v="0"/>
    <n v="7680"/>
    <n v="23616.105543475573"/>
    <n v="715.78085367977837"/>
    <n v="0.10277977166442058"/>
    <n v="3071.6590618309201"/>
    <n v="0.14951286541476211"/>
  </r>
  <r>
    <x v="1"/>
    <s v="RUMANÍA"/>
    <s v="SC MARCOSER S.R.L."/>
    <s v="Consolidado/estratégico"/>
    <s v="AGXCR0020RO"/>
    <s v="AGROXILATO-K, (0-5-20)"/>
    <n v="20"/>
    <n v="2.95"/>
    <n v="3.0750137426400488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0"/>
    <n v="0"/>
    <n v="0"/>
    <n v="0"/>
    <n v="700"/>
    <n v="2152.5096198480342"/>
    <n v="0"/>
    <n v="0"/>
    <n v="0"/>
    <n v="0"/>
    <n v="0"/>
    <n v="0"/>
    <n v="0"/>
    <n v="0"/>
    <n v="0"/>
    <n v="0"/>
    <n v="0"/>
    <n v="0"/>
    <n v="700"/>
    <n v="2152.5096198480342"/>
    <n v="66.889168516343489"/>
    <n v="0.10565159398646334"/>
    <n v="284.83266697124714"/>
    <n v="0.15250638850177958"/>
  </r>
  <r>
    <x v="1"/>
    <s v="RUMANÍA"/>
    <s v="SC MARCOSER S.R.L."/>
    <s v="Consolidado/estratégico"/>
    <s v="AGXCR0020RO"/>
    <s v="AGROXILATO-K, (0-5-20), 20 LtS."/>
    <n v="20"/>
    <n v="2.9139099901280039"/>
    <n v="3.0377065906153722"/>
    <n v="0"/>
    <n v="0"/>
    <n v="0"/>
    <n v="0"/>
    <n v="0"/>
    <n v="0"/>
    <n v="0"/>
    <n v="0"/>
    <n v="0"/>
    <n v="0"/>
    <n v="0"/>
    <n v="0"/>
    <n v="633.11083148365651"/>
    <n v="1867.676952876787"/>
    <n v="0"/>
    <n v="0"/>
    <n v="0"/>
    <n v="0"/>
    <n v="0"/>
    <n v="0"/>
    <n v="606.7175291509692"/>
    <n v="1745.0712932204749"/>
    <n v="0"/>
    <n v="0"/>
    <n v="1239.8283606346258"/>
    <n v="3612.7482460972619"/>
    <n v="0"/>
    <n v="0"/>
    <n v="0"/>
    <n v="0"/>
    <n v="0"/>
    <n v="0"/>
    <n v="0"/>
    <n v="0"/>
    <n v="0"/>
    <n v="0"/>
    <n v="0"/>
    <n v="0"/>
    <n v="700"/>
    <n v="2152.5096198480342"/>
    <n v="0"/>
    <n v="0"/>
    <n v="0"/>
    <n v="0"/>
    <n v="0"/>
    <n v="0"/>
    <n v="660"/>
    <n v="1978.7713433888709"/>
    <n v="0"/>
    <n v="0"/>
    <n v="1360"/>
    <n v="4131.2809632369053"/>
    <n v="120.17163936537418"/>
    <n v="9.6926028780195364E-2"/>
    <n v="518.53271713964341"/>
    <n v="0.14352860532139153"/>
  </r>
  <r>
    <x v="1"/>
    <s v="RUMANÍA"/>
    <s v="SC MARCOSER S.R.L."/>
    <s v="Consolidado/estratégico"/>
    <s v="AGXCR0200RO"/>
    <s v="AGROXILATO-K"/>
    <n v="200"/>
    <n v="2.87"/>
    <n v="2.9916235394498099"/>
    <n v="0"/>
    <n v="0"/>
    <n v="0"/>
    <n v="0"/>
    <n v="197.84713483864269"/>
    <n v="567.82127698690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567.82127698690442"/>
    <n v="0"/>
    <n v="0"/>
    <n v="0"/>
    <n v="0"/>
    <n v="200"/>
    <n v="598.3247078899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598.32470788996204"/>
    <n v="2.1528651613573118"/>
    <n v="1.0881457359052051E-2"/>
    <n v="30.50343090305762"/>
    <n v="5.3720126630198671E-2"/>
  </r>
  <r>
    <x v="1"/>
    <s v="RUMANÍA"/>
    <s v="SC MARCOSER S.R.L."/>
    <s v="Consolidado/estratégico"/>
    <s v="AGXCR1000RO"/>
    <s v="AGROXILATO-K"/>
    <n v="1000"/>
    <n v="2.6"/>
    <n v="2.7101816036827548"/>
    <n v="0"/>
    <n v="0"/>
    <n v="0"/>
    <n v="0"/>
    <n v="989.23567419321319"/>
    <n v="2572.0127529023539"/>
    <n v="0"/>
    <n v="0"/>
    <n v="2967.7070225796401"/>
    <n v="7716.0382587070644"/>
    <n v="1978.4713483864259"/>
    <n v="5144.0255058047087"/>
    <n v="0"/>
    <n v="0"/>
    <n v="0"/>
    <n v="0"/>
    <n v="0"/>
    <n v="0"/>
    <n v="0"/>
    <n v="0"/>
    <n v="0"/>
    <n v="0"/>
    <n v="0"/>
    <n v="0"/>
    <n v="5935.4140451592793"/>
    <n v="15432.076517414127"/>
    <n v="0"/>
    <n v="0"/>
    <n v="0"/>
    <n v="0"/>
    <n v="1000"/>
    <n v="2710.1816036827549"/>
    <n v="0"/>
    <n v="0"/>
    <n v="3000"/>
    <n v="8130.5448110482657"/>
    <n v="2000"/>
    <n v="5420.3632073655099"/>
    <n v="0"/>
    <n v="0"/>
    <n v="0"/>
    <n v="0"/>
    <n v="0"/>
    <n v="0"/>
    <n v="0"/>
    <n v="0"/>
    <n v="0"/>
    <n v="0"/>
    <n v="0"/>
    <n v="0"/>
    <n v="6000"/>
    <n v="16261.08962209653"/>
    <n v="64.58595484072066"/>
    <n v="1.0881457359052273E-2"/>
    <n v="829.01310468240263"/>
    <n v="5.3720126630198699E-2"/>
  </r>
  <r>
    <x v="1"/>
    <s v="RUMANÍA"/>
    <s v="SC MARCOSER S.R.L."/>
    <s v="Consolidado/estratégico"/>
    <s v="AGXCR1000RO"/>
    <s v="AGROXILATO-K (0-5-20), 1000 Lts."/>
    <n v="1000"/>
    <n v="2.6"/>
    <n v="2.7101816036827548"/>
    <n v="0"/>
    <n v="0"/>
    <n v="0"/>
    <n v="0"/>
    <n v="0"/>
    <n v="0"/>
    <n v="0"/>
    <n v="0"/>
    <n v="989.23567419321319"/>
    <n v="2572.0127529023539"/>
    <n v="0"/>
    <n v="0"/>
    <n v="0"/>
    <n v="0"/>
    <n v="0"/>
    <n v="0"/>
    <n v="0"/>
    <n v="0"/>
    <n v="0"/>
    <n v="0"/>
    <n v="947.99613929838938"/>
    <n v="2464.789962175812"/>
    <n v="0"/>
    <n v="0"/>
    <n v="1937.2318134916027"/>
    <n v="5036.8027150781654"/>
    <n v="0"/>
    <n v="0"/>
    <n v="0"/>
    <n v="0"/>
    <n v="0"/>
    <n v="0"/>
    <n v="0"/>
    <n v="0"/>
    <n v="1000"/>
    <n v="2710.1816036827549"/>
    <n v="0"/>
    <n v="0"/>
    <n v="0"/>
    <n v="0"/>
    <n v="0"/>
    <n v="0"/>
    <n v="0"/>
    <n v="0"/>
    <n v="0"/>
    <n v="0"/>
    <n v="1000"/>
    <n v="2710.1816036827549"/>
    <n v="0"/>
    <n v="0"/>
    <n v="2000"/>
    <n v="5420.3632073655099"/>
    <n v="62.768186508397321"/>
    <n v="3.2400968263713373E-2"/>
    <n v="383.56049228734446"/>
    <n v="7.6151581466377141E-2"/>
  </r>
  <r>
    <x v="1"/>
    <s v="RUMANÍA"/>
    <s v="SC MARCOSER S.R.L."/>
    <s v="Consolidado/estratégico"/>
    <s v="AGXKAE0001RO"/>
    <s v="BIOCULTURE POTASIO"/>
    <n v="1"/>
    <n v="4.919999999999999"/>
    <n v="5.1284974961996737"/>
    <n v="0"/>
    <n v="0"/>
    <n v="0"/>
    <n v="0"/>
    <n v="0"/>
    <n v="0"/>
    <n v="0"/>
    <n v="0"/>
    <n v="652.89554496752078"/>
    <n v="3212.2460812402019"/>
    <n v="0"/>
    <n v="0"/>
    <n v="0"/>
    <n v="0"/>
    <n v="0"/>
    <n v="0"/>
    <n v="0"/>
    <n v="0"/>
    <n v="0"/>
    <n v="0"/>
    <n v="0"/>
    <n v="0"/>
    <n v="0"/>
    <n v="0"/>
    <n v="652.89554496752078"/>
    <n v="3212.2460812402019"/>
    <n v="0"/>
    <n v="0"/>
    <n v="0"/>
    <n v="0"/>
    <n v="0"/>
    <n v="0"/>
    <n v="0"/>
    <n v="0"/>
    <n v="788"/>
    <n v="4041.2560270053432"/>
    <n v="0"/>
    <n v="0"/>
    <n v="0"/>
    <n v="0"/>
    <n v="0"/>
    <n v="0"/>
    <n v="0"/>
    <n v="0"/>
    <n v="0"/>
    <n v="0"/>
    <n v="0"/>
    <n v="0"/>
    <n v="0"/>
    <n v="0"/>
    <n v="788"/>
    <n v="4041.2560270053432"/>
    <n v="135.10445503247922"/>
    <n v="0.20693119454383807"/>
    <n v="829.00994576514131"/>
    <n v="0.25807796937060079"/>
  </r>
  <r>
    <x v="1"/>
    <s v="RUMANÍA"/>
    <s v="SC MARCOSER S.R.L."/>
    <s v="Consolidado/estratégico"/>
    <s v="AN0020RO"/>
    <s v="ALCAPLANT NEW"/>
    <n v="20"/>
    <n v="1.61"/>
    <n v="1.6782278392035519"/>
    <n v="3264.477724837604"/>
    <n v="5255.8091369885406"/>
    <n v="0"/>
    <n v="0"/>
    <n v="1088.159241612535"/>
    <n v="1751.936378996181"/>
    <n v="0"/>
    <n v="0"/>
    <n v="0"/>
    <n v="0"/>
    <n v="3264.477724837604"/>
    <n v="5255.8091369885406"/>
    <n v="0"/>
    <n v="0"/>
    <n v="0"/>
    <n v="0"/>
    <n v="0"/>
    <n v="0"/>
    <n v="0"/>
    <n v="0"/>
    <n v="0"/>
    <n v="0"/>
    <n v="0"/>
    <n v="0"/>
    <n v="7617.114691287743"/>
    <n v="12263.554652973262"/>
    <n v="3600"/>
    <n v="6041.6202211327864"/>
    <n v="0"/>
    <n v="0"/>
    <n v="1200"/>
    <n v="2013.8734070442631"/>
    <n v="0"/>
    <n v="0"/>
    <n v="0"/>
    <n v="0"/>
    <n v="3600"/>
    <n v="6041.6202211327864"/>
    <n v="0"/>
    <n v="0"/>
    <n v="0"/>
    <n v="0"/>
    <n v="0"/>
    <n v="0"/>
    <n v="0"/>
    <n v="0"/>
    <n v="0"/>
    <n v="0"/>
    <n v="0"/>
    <n v="0"/>
    <n v="8400"/>
    <n v="14097.113849309837"/>
    <n v="782.88530871225703"/>
    <n v="0.1027797716644205"/>
    <n v="1833.559196336575"/>
    <n v="0.14951286541476244"/>
  </r>
  <r>
    <x v="1"/>
    <s v="RUMANÍA"/>
    <s v="SC MARCOSER S.R.L."/>
    <s v="Consolidado/estratégico"/>
    <s v="AN0020RO"/>
    <s v="ALCAPLANT NEW, 20 KG"/>
    <n v="20"/>
    <n v="1.5753892721835701"/>
    <n v="1.6421786548258399"/>
    <n v="0"/>
    <n v="0"/>
    <n v="0"/>
    <n v="0"/>
    <n v="0"/>
    <n v="0"/>
    <n v="0"/>
    <n v="0"/>
    <n v="1088.159241612535"/>
    <n v="1751.936378996181"/>
    <n v="1088.159241612535"/>
    <n v="1686.646824499428"/>
    <n v="0"/>
    <n v="0"/>
    <n v="0"/>
    <n v="0"/>
    <n v="0"/>
    <n v="0"/>
    <n v="0"/>
    <n v="0"/>
    <n v="1042.795753228228"/>
    <n v="1632.774830546319"/>
    <n v="0"/>
    <n v="0"/>
    <n v="3219.114236453298"/>
    <n v="5071.3580340419285"/>
    <n v="0"/>
    <n v="0"/>
    <n v="0"/>
    <n v="0"/>
    <n v="0"/>
    <n v="0"/>
    <n v="0"/>
    <n v="0"/>
    <n v="1200"/>
    <n v="2013.8734070442631"/>
    <n v="1200"/>
    <n v="1938.822224173048"/>
    <n v="0"/>
    <n v="0"/>
    <n v="0"/>
    <n v="0"/>
    <n v="0"/>
    <n v="0"/>
    <n v="0"/>
    <n v="0"/>
    <n v="1140"/>
    <n v="1860.616806866163"/>
    <n v="0"/>
    <n v="0"/>
    <n v="3540"/>
    <n v="5813.3124380834743"/>
    <n v="320.88576354670204"/>
    <n v="9.9681384373684789E-2"/>
    <n v="741.95440404154579"/>
    <n v="0.14630290329752166"/>
  </r>
  <r>
    <x v="1"/>
    <s v="RUMANÍA"/>
    <s v="SC MARCOSER S.R.L."/>
    <s v="Consolidado/estratégico"/>
    <s v="AO0005RO"/>
    <s v="ALCAPLANT OMRI, 5 KG"/>
    <n v="5"/>
    <n v="1.96"/>
    <n v="2.0430599781608469"/>
    <n v="0"/>
    <n v="0"/>
    <n v="0"/>
    <n v="0"/>
    <n v="0"/>
    <n v="0"/>
    <n v="0"/>
    <n v="0"/>
    <n v="0"/>
    <n v="0"/>
    <n v="0"/>
    <n v="0"/>
    <n v="2176.318483225069"/>
    <n v="4265.5842271211359"/>
    <n v="0"/>
    <n v="0"/>
    <n v="0"/>
    <n v="0"/>
    <n v="0"/>
    <n v="0"/>
    <n v="0"/>
    <n v="0"/>
    <n v="0"/>
    <n v="0"/>
    <n v="2176.318483225069"/>
    <n v="4265.5842271211359"/>
    <n v="0"/>
    <n v="0"/>
    <n v="0"/>
    <n v="0"/>
    <n v="0"/>
    <n v="0"/>
    <n v="0"/>
    <n v="0"/>
    <n v="0"/>
    <n v="0"/>
    <n v="0"/>
    <n v="0"/>
    <n v="2400"/>
    <n v="4903.3439475860314"/>
    <n v="0"/>
    <n v="0"/>
    <n v="0"/>
    <n v="0"/>
    <n v="0"/>
    <n v="0"/>
    <n v="0"/>
    <n v="0"/>
    <n v="0"/>
    <n v="0"/>
    <n v="2400"/>
    <n v="4903.3439475860314"/>
    <n v="223.68151677493097"/>
    <n v="0.10277977166442069"/>
    <n v="637.75972046489551"/>
    <n v="0.14951286541476236"/>
  </r>
  <r>
    <x v="1"/>
    <s v="RUMANÍA"/>
    <s v="SC MARCOSER S.R.L."/>
    <s v="Consolidado/estratégico"/>
    <s v="AVAN0001RO"/>
    <s v="FLORAMEC AVANCE"/>
    <n v="1"/>
    <n v="5.9699999999999989"/>
    <n v="6.2229939130715559"/>
    <n v="652.89554496752078"/>
    <n v="3897.786403456098"/>
    <n v="652.89554496752078"/>
    <n v="3897.786403456098"/>
    <n v="0"/>
    <n v="0"/>
    <n v="0"/>
    <n v="0"/>
    <n v="0"/>
    <n v="0"/>
    <n v="1305.791089935042"/>
    <n v="7795.5728069121969"/>
    <n v="0"/>
    <n v="0"/>
    <n v="0"/>
    <n v="0"/>
    <n v="0"/>
    <n v="0"/>
    <n v="0"/>
    <n v="0"/>
    <n v="0"/>
    <n v="0"/>
    <n v="0"/>
    <n v="0"/>
    <n v="2611.5821798700836"/>
    <n v="15591.145613824392"/>
    <n v="788"/>
    <n v="4903.7192035003854"/>
    <n v="788"/>
    <n v="4903.7192035003854"/>
    <n v="0"/>
    <n v="0"/>
    <n v="0"/>
    <n v="0"/>
    <n v="0"/>
    <n v="0"/>
    <n v="1577"/>
    <n v="9813.661400913843"/>
    <n v="0"/>
    <n v="0"/>
    <n v="0"/>
    <n v="0"/>
    <n v="0"/>
    <n v="0"/>
    <n v="0"/>
    <n v="0"/>
    <n v="0"/>
    <n v="0"/>
    <n v="0"/>
    <n v="0"/>
    <n v="3153"/>
    <n v="19621.099807914616"/>
    <n v="541.41782012991644"/>
    <n v="0.2073141041867769"/>
    <n v="4029.9541940902236"/>
    <n v="0.2584771057822034"/>
  </r>
  <r>
    <x v="1"/>
    <s v="RUMANÍA"/>
    <s v="SC MARCOSER S.R.L."/>
    <s v="Consolidado/estratégico"/>
    <s v="AVAN0001RO"/>
    <s v="FLORAMEC AVANCE, 1 L"/>
    <n v="1"/>
    <n v="5.0965091598082948"/>
    <n v="5.3123563744925733"/>
    <n v="0"/>
    <n v="0"/>
    <n v="0"/>
    <n v="0"/>
    <n v="0"/>
    <n v="0"/>
    <n v="0"/>
    <n v="0"/>
    <n v="0"/>
    <n v="0"/>
    <n v="652.89554496752078"/>
    <n v="3166.543393092476"/>
    <n v="0"/>
    <n v="0"/>
    <n v="0"/>
    <n v="0"/>
    <n v="0"/>
    <n v="0"/>
    <n v="0"/>
    <n v="0"/>
    <n v="284.39884178951678"/>
    <n v="1610.386034451664"/>
    <n v="0"/>
    <n v="0"/>
    <n v="937.2943867570375"/>
    <n v="4776.9294275441398"/>
    <n v="0"/>
    <n v="0"/>
    <n v="0"/>
    <n v="0"/>
    <n v="0"/>
    <n v="0"/>
    <n v="0"/>
    <n v="0"/>
    <n v="0"/>
    <n v="0"/>
    <n v="788"/>
    <n v="3983.7584819056729"/>
    <n v="0"/>
    <n v="0"/>
    <n v="0"/>
    <n v="0"/>
    <n v="0"/>
    <n v="0"/>
    <n v="0"/>
    <n v="0"/>
    <n v="343"/>
    <n v="2024.516577645428"/>
    <n v="0"/>
    <n v="0"/>
    <n v="1131"/>
    <n v="6008.2750595511006"/>
    <n v="193.7056132429625"/>
    <n v="0.20666464664657622"/>
    <n v="1231.3456320069608"/>
    <n v="0.25776927431812746"/>
  </r>
  <r>
    <x v="1"/>
    <s v="RUMANÍA"/>
    <s v="SC MARCOSER S.R.L."/>
    <s v="Consolidado/estratégico"/>
    <s v="AVAN0200RO"/>
    <s v="FLORAMEC AVANCE, 200 L"/>
    <n v="200"/>
    <n v="4.3989000000000003"/>
    <n v="4.5853145601692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1668.056086863874"/>
    <n v="0"/>
    <n v="0"/>
    <n v="379.19845571935571"/>
    <n v="1668.056086863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834.125824067703"/>
    <n v="0"/>
    <n v="0"/>
    <n v="400"/>
    <n v="1834.125824067703"/>
    <n v="20.801544280644293"/>
    <n v="5.4856616547087129E-2"/>
    <n v="166.06973720382894"/>
    <n v="9.9558844880364913E-2"/>
  </r>
  <r>
    <x v="1"/>
    <s v="RUMANÍA"/>
    <s v="SC MARCOSER S.R.L."/>
    <s v="Consolidado/estratégico"/>
    <s v="B0001RO"/>
    <s v="BOROCAL"/>
    <n v="1"/>
    <n v="4.71"/>
    <n v="4.9101833156989514"/>
    <n v="1305.791089935042"/>
    <n v="6150.2760335940447"/>
    <n v="0"/>
    <n v="0"/>
    <n v="0"/>
    <n v="0"/>
    <n v="0"/>
    <n v="0"/>
    <n v="2611.5821798700831"/>
    <n v="12300.552067188089"/>
    <n v="3917.373269805124"/>
    <n v="18450.828100782139"/>
    <n v="0"/>
    <n v="0"/>
    <n v="0"/>
    <n v="0"/>
    <n v="0"/>
    <n v="0"/>
    <n v="0"/>
    <n v="0"/>
    <n v="0"/>
    <n v="0"/>
    <n v="0"/>
    <n v="0"/>
    <n v="7834.7465396102489"/>
    <n v="36901.65620156427"/>
    <n v="1399"/>
    <n v="6868.5278997425912"/>
    <n v="0"/>
    <n v="0"/>
    <n v="0"/>
    <n v="0"/>
    <n v="0"/>
    <n v="0"/>
    <n v="2797"/>
    <n v="13732.14620127236"/>
    <n v="4195"/>
    <n v="20600.674101014949"/>
    <n v="0"/>
    <n v="0"/>
    <n v="0"/>
    <n v="0"/>
    <n v="0"/>
    <n v="0"/>
    <n v="0"/>
    <n v="0"/>
    <n v="0"/>
    <n v="0"/>
    <n v="0"/>
    <n v="0"/>
    <n v="8391"/>
    <n v="41201.348202029898"/>
    <n v="556.25346038975113"/>
    <n v="7.0998271300480739E-2"/>
    <n v="4299.6920004656276"/>
    <n v="0.11651758872230138"/>
  </r>
  <r>
    <x v="1"/>
    <s v="RUMANÍA"/>
    <s v="SC MARCOSER S.R.L."/>
    <s v="Consolidado/estratégico"/>
    <s v="B0001RO"/>
    <s v="BOROCAL,1 L"/>
    <n v="1"/>
    <n v="4.6687878787878789"/>
    <n v="4.8666396233030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.6774519369369"/>
    <n v="2921.155303634057"/>
    <n v="0"/>
    <n v="0"/>
    <n v="625.6774519369369"/>
    <n v="2921.1553036340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"/>
    <n v="3260.648547613047"/>
    <n v="0"/>
    <n v="0"/>
    <n v="670"/>
    <n v="3260.648547613047"/>
    <n v="44.322548063063095"/>
    <n v="7.083929255537634E-2"/>
    <n v="339.49324397898999"/>
    <n v="0.11621882737855264"/>
  </r>
  <r>
    <x v="1"/>
    <s v="RUMANÍA"/>
    <s v="SC MARCOSER S.R.L."/>
    <s v="Consolidado/estratégico"/>
    <s v="B0020RO"/>
    <s v="BOROCAL"/>
    <n v="20"/>
    <n v="2.86"/>
    <n v="2.9811997640510302"/>
    <n v="0"/>
    <n v="0"/>
    <n v="633.11083148365651"/>
    <n v="1810.696978043258"/>
    <n v="633.11083148365651"/>
    <n v="1810.696978043258"/>
    <n v="0"/>
    <n v="0"/>
    <n v="633.11083148365651"/>
    <n v="1810.696978043258"/>
    <n v="633.11083148365651"/>
    <n v="1810.696978043258"/>
    <n v="0"/>
    <n v="0"/>
    <n v="0"/>
    <n v="0"/>
    <n v="0"/>
    <n v="0"/>
    <n v="0"/>
    <n v="0"/>
    <n v="0"/>
    <n v="0"/>
    <n v="0"/>
    <n v="0"/>
    <n v="2532.443325934626"/>
    <n v="7242.7879121730321"/>
    <n v="0"/>
    <n v="0"/>
    <n v="680"/>
    <n v="2027.215839554701"/>
    <n v="680"/>
    <n v="2027.215839554701"/>
    <n v="0"/>
    <n v="0"/>
    <n v="680"/>
    <n v="2027.215839554701"/>
    <n v="680"/>
    <n v="2027.215839554701"/>
    <n v="0"/>
    <n v="0"/>
    <n v="0"/>
    <n v="0"/>
    <n v="0"/>
    <n v="0"/>
    <n v="0"/>
    <n v="0"/>
    <n v="0"/>
    <n v="0"/>
    <n v="0"/>
    <n v="0"/>
    <n v="2720"/>
    <n v="8108.863358218804"/>
    <n v="187.55667406537395"/>
    <n v="7.4061548443992958E-2"/>
    <n v="866.07544604577197"/>
    <n v="0.11957763454458602"/>
  </r>
  <r>
    <x v="1"/>
    <s v="RUMANÍA"/>
    <s v="SC MARCOSER S.R.L."/>
    <s v="Consolidado/estratégico"/>
    <s v="B0020RO"/>
    <s v="BOROCAL, 20 L"/>
    <n v="20"/>
    <n v="2.8199593749999998"/>
    <n v="2.939462315868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673.310600478299"/>
    <n v="0"/>
    <n v="0"/>
    <n v="947.99613929838938"/>
    <n v="2673.310600478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3057.0408085030881"/>
    <n v="0"/>
    <n v="0"/>
    <n v="1040"/>
    <n v="3057.0408085030881"/>
    <n v="92.00386070161062"/>
    <n v="9.7050881208970485E-2"/>
    <n v="383.73020802478914"/>
    <n v="0.14354119867557982"/>
  </r>
  <r>
    <x v="1"/>
    <s v="RUMANÍA"/>
    <s v="SC MARCOSER S.R.L."/>
    <s v="Consolidado/estratégico"/>
    <s v="B0200RO"/>
    <s v="BOROCAL"/>
    <n v="200"/>
    <n v="2.7599999999999989"/>
    <n v="2.8769620100632309"/>
    <n v="0"/>
    <n v="0"/>
    <n v="0"/>
    <n v="0"/>
    <n v="0"/>
    <n v="0"/>
    <n v="0"/>
    <n v="0"/>
    <n v="0"/>
    <n v="0"/>
    <n v="395.69426967728532"/>
    <n v="1092.1161843093071"/>
    <n v="0"/>
    <n v="0"/>
    <n v="0"/>
    <n v="0"/>
    <n v="0"/>
    <n v="0"/>
    <n v="0"/>
    <n v="0"/>
    <n v="0"/>
    <n v="0"/>
    <n v="0"/>
    <n v="0"/>
    <n v="395.69426967728532"/>
    <n v="1092.1161843093071"/>
    <n v="0"/>
    <n v="0"/>
    <n v="0"/>
    <n v="0"/>
    <n v="0"/>
    <n v="0"/>
    <n v="0"/>
    <n v="0"/>
    <n v="0"/>
    <n v="0"/>
    <n v="400"/>
    <n v="1150.784804025292"/>
    <n v="0"/>
    <n v="0"/>
    <n v="0"/>
    <n v="0"/>
    <n v="0"/>
    <n v="0"/>
    <n v="0"/>
    <n v="0"/>
    <n v="0"/>
    <n v="0"/>
    <n v="0"/>
    <n v="0"/>
    <n v="400"/>
    <n v="1150.784804025292"/>
    <n v="4.3057303227146804"/>
    <n v="1.0881457359052195E-2"/>
    <n v="58.66861971598496"/>
    <n v="5.3720126630198296E-2"/>
  </r>
  <r>
    <x v="1"/>
    <s v="RUMANÍA"/>
    <s v="SC MARCOSER S.R.L."/>
    <s v="Consolidado/estratégico"/>
    <s v="B0200RO"/>
    <s v="BOROCAL, 200 L"/>
    <n v="200"/>
    <n v="2.76"/>
    <n v="2.8769620100632318"/>
    <n v="0"/>
    <n v="0"/>
    <n v="0"/>
    <n v="0"/>
    <n v="0"/>
    <n v="0"/>
    <n v="0"/>
    <n v="0"/>
    <n v="0"/>
    <n v="0"/>
    <n v="0"/>
    <n v="0"/>
    <n v="593.54140451592798"/>
    <n v="1638.174276463961"/>
    <n v="0"/>
    <n v="0"/>
    <n v="0"/>
    <n v="0"/>
    <n v="0"/>
    <n v="0"/>
    <n v="0"/>
    <n v="0"/>
    <n v="0"/>
    <n v="0"/>
    <n v="593.54140451592798"/>
    <n v="1638.174276463961"/>
    <n v="0"/>
    <n v="0"/>
    <n v="0"/>
    <n v="0"/>
    <n v="0"/>
    <n v="0"/>
    <n v="0"/>
    <n v="0"/>
    <n v="0"/>
    <n v="0"/>
    <n v="0"/>
    <n v="0"/>
    <n v="600"/>
    <n v="1726.177206037939"/>
    <n v="0"/>
    <n v="0"/>
    <n v="0"/>
    <n v="0"/>
    <n v="0"/>
    <n v="0"/>
    <n v="0"/>
    <n v="0"/>
    <n v="0"/>
    <n v="0"/>
    <n v="600"/>
    <n v="1726.177206037939"/>
    <n v="6.4585954840720206"/>
    <n v="1.0881457359052195E-2"/>
    <n v="88.002929573978008"/>
    <n v="5.3720126630198636E-2"/>
  </r>
  <r>
    <x v="1"/>
    <s v="RUMANÍA"/>
    <s v="SC MARCOSER S.R.L."/>
    <s v="Consolidado/estratégico"/>
    <s v="B1000RO"/>
    <s v="BOROCAL, 1000 L"/>
    <n v="1000"/>
    <n v="2.1855000000000002"/>
    <n v="2.27811611340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4143.6911248732586"/>
    <n v="0"/>
    <n v="0"/>
    <n v="1895.992278596779"/>
    <n v="4143.69112487325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556.2322268066628"/>
    <n v="0"/>
    <n v="0"/>
    <n v="2000"/>
    <n v="4556.2322268066628"/>
    <n v="104.00772140322101"/>
    <n v="5.4856616547086873E-2"/>
    <n v="412.54110193340421"/>
    <n v="9.9558844880365552E-2"/>
  </r>
  <r>
    <x v="1"/>
    <s v="RUMANÍA"/>
    <s v="SC MARCOSER S.R.L."/>
    <s v="Consolidado/estratégico"/>
    <s v="BIO0001RO"/>
    <s v="BIORAD-20"/>
    <n v="1"/>
    <n v="3.34"/>
    <n v="3.481540983192462"/>
    <n v="0"/>
    <n v="0"/>
    <n v="332.38318652891962"/>
    <n v="1110.1598430065919"/>
    <n v="0"/>
    <n v="0"/>
    <n v="0"/>
    <n v="0"/>
    <n v="652.89554496752078"/>
    <n v="2180.67112019152"/>
    <n v="652.89554496752078"/>
    <n v="2180.67112019152"/>
    <n v="0"/>
    <n v="0"/>
    <n v="0"/>
    <n v="0"/>
    <n v="0"/>
    <n v="0"/>
    <n v="0"/>
    <n v="0"/>
    <n v="0"/>
    <n v="0"/>
    <n v="0"/>
    <n v="0"/>
    <n v="1638.1742764639612"/>
    <n v="5471.5020833896324"/>
    <n v="0"/>
    <n v="0"/>
    <n v="419"/>
    <n v="1458.7656719576421"/>
    <n v="0"/>
    <n v="0"/>
    <n v="0"/>
    <n v="0"/>
    <n v="823"/>
    <n v="2865.3082291673968"/>
    <n v="823"/>
    <n v="2865.3082291673968"/>
    <n v="0"/>
    <n v="0"/>
    <n v="0"/>
    <n v="0"/>
    <n v="0"/>
    <n v="0"/>
    <n v="0"/>
    <n v="0"/>
    <n v="0"/>
    <n v="0"/>
    <n v="0"/>
    <n v="0"/>
    <n v="2065"/>
    <n v="7189.3821302924352"/>
    <n v="426.82572353603882"/>
    <n v="0.2605496433855331"/>
    <n v="1717.8800469028029"/>
    <n v="0.31396863616628007"/>
  </r>
  <r>
    <x v="1"/>
    <s v="RUMANÍA"/>
    <s v="SC MARCOSER S.R.L."/>
    <s v="Consolidado/estratégico"/>
    <s v="BIO0005RO"/>
    <s v="BIORAD-20"/>
    <n v="5"/>
    <n v="2.5499999999999998"/>
    <n v="2.658062726688855"/>
    <n v="0"/>
    <n v="0"/>
    <n v="593.54140451592798"/>
    <n v="1513.5305815156159"/>
    <n v="0"/>
    <n v="0"/>
    <n v="0"/>
    <n v="0"/>
    <n v="494.61783709660659"/>
    <n v="1261.275484596347"/>
    <n v="593.54140451592798"/>
    <n v="1513.5305815156159"/>
    <n v="0"/>
    <n v="0"/>
    <n v="0"/>
    <n v="0"/>
    <n v="0"/>
    <n v="0"/>
    <n v="0"/>
    <n v="0"/>
    <n v="0"/>
    <n v="0"/>
    <n v="0"/>
    <n v="0"/>
    <n v="1681.7006461284625"/>
    <n v="4288.3366476275787"/>
    <n v="0"/>
    <n v="0"/>
    <n v="750"/>
    <n v="1993.547045016642"/>
    <n v="0"/>
    <n v="0"/>
    <n v="0"/>
    <n v="0"/>
    <n v="625"/>
    <n v="1661.2892041805351"/>
    <n v="750"/>
    <n v="1993.547045016642"/>
    <n v="0"/>
    <n v="0"/>
    <n v="0"/>
    <n v="0"/>
    <n v="0"/>
    <n v="0"/>
    <n v="0"/>
    <n v="0"/>
    <n v="0"/>
    <n v="0"/>
    <n v="0"/>
    <n v="0"/>
    <n v="2125"/>
    <n v="5648.3832942138188"/>
    <n v="443.29935387153751"/>
    <n v="0.26360182169881535"/>
    <n v="1360.0466465862401"/>
    <n v="0.31715015828774867"/>
  </r>
  <r>
    <x v="1"/>
    <s v="RUMANÍA"/>
    <s v="SC MARCOSER S.R.L."/>
    <s v="Consolidado/estratégico"/>
    <s v="BIO0005RO"/>
    <s v="BIORAD-20, 5L"/>
    <n v="5"/>
    <n v="2.5499999999999998"/>
    <n v="2.65806272668885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725.21704656326779"/>
    <n v="0"/>
    <n v="0"/>
    <n v="284.39884178951678"/>
    <n v="725.21704656326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956.90258160798805"/>
    <n v="0"/>
    <n v="0"/>
    <n v="360"/>
    <n v="956.90258160798805"/>
    <n v="75.60115821048322"/>
    <n v="0.26582793985650455"/>
    <n v="231.68553504472027"/>
    <n v="0.31947061385643816"/>
  </r>
  <r>
    <x v="1"/>
    <s v="RUMANÍA"/>
    <s v="SC MARCOSER S.R.L."/>
    <s v="Consolidado/estratégico"/>
    <s v="BIO0020RO"/>
    <s v="BIORAD-20"/>
    <n v="20"/>
    <n v="2.2999999999999998"/>
    <n v="2.3974683417193599"/>
    <n v="0"/>
    <n v="0"/>
    <n v="1266.221662967313"/>
    <n v="2912.3098248248202"/>
    <n v="633.11083148365651"/>
    <n v="1456.1549124124101"/>
    <n v="0"/>
    <n v="0"/>
    <n v="1899.3324944509691"/>
    <n v="4368.4647372372292"/>
    <n v="1899.3324944509691"/>
    <n v="4368.4647372372292"/>
    <n v="0"/>
    <n v="0"/>
    <n v="0"/>
    <n v="0"/>
    <n v="0"/>
    <n v="0"/>
    <n v="0"/>
    <n v="0"/>
    <n v="0"/>
    <n v="0"/>
    <n v="0"/>
    <n v="0"/>
    <n v="5697.9974833529077"/>
    <n v="13105.394211711688"/>
    <n v="0"/>
    <n v="0"/>
    <n v="1600"/>
    <n v="3835.949346750976"/>
    <n v="800"/>
    <n v="1917.974673375488"/>
    <n v="0"/>
    <n v="0"/>
    <n v="2400"/>
    <n v="5753.9240201264647"/>
    <n v="2400"/>
    <n v="5753.9240201264647"/>
    <n v="0"/>
    <n v="0"/>
    <n v="0"/>
    <n v="0"/>
    <n v="0"/>
    <n v="0"/>
    <n v="0"/>
    <n v="0"/>
    <n v="0"/>
    <n v="0"/>
    <n v="0"/>
    <n v="0"/>
    <n v="7200"/>
    <n v="17261.772060379393"/>
    <n v="1502.0025166470923"/>
    <n v="0.26360182169881546"/>
    <n v="4156.3778486677056"/>
    <n v="0.31715015828774856"/>
  </r>
  <r>
    <x v="1"/>
    <s v="RUMANÍA"/>
    <s v="SC MARCOSER S.R.L."/>
    <s v="Consolidado/estratégico"/>
    <s v="C-CU0001RO"/>
    <s v="CODICOBRE"/>
    <n v="1"/>
    <n v="4.8499999999999996"/>
    <n v="5.0555310684082153"/>
    <n v="652.89554496752078"/>
    <n v="3166.543393092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3166.543393092476"/>
    <n v="699"/>
    <n v="3533.816216817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3533.816216817343"/>
    <n v="46.104455032479223"/>
    <n v="7.0615361657541648E-2"/>
    <n v="367.27282372486707"/>
    <n v="0.11598540684016491"/>
  </r>
  <r>
    <x v="1"/>
    <s v="RUMANÍA"/>
    <s v="SC MARCOSER S.R.L."/>
    <s v="Consolidado/estratégico"/>
    <s v="C-CU0001RO"/>
    <s v="CODICOBRE, 1 L"/>
    <n v="1"/>
    <n v="4.6412195553484779"/>
    <n v="4.838005302908746"/>
    <n v="0"/>
    <n v="0"/>
    <n v="0"/>
    <n v="0"/>
    <n v="0"/>
    <n v="0"/>
    <n v="0"/>
    <n v="0"/>
    <n v="0"/>
    <n v="0"/>
    <n v="0"/>
    <n v="0"/>
    <n v="391.73732698051242"/>
    <n v="1899.926035855485"/>
    <n v="0"/>
    <n v="0"/>
    <n v="0"/>
    <n v="0"/>
    <n v="0"/>
    <n v="0"/>
    <n v="625.6774519369369"/>
    <n v="2822.1193319567278"/>
    <n v="0"/>
    <n v="0"/>
    <n v="1017.4147789174493"/>
    <n v="4722.045367812213"/>
    <n v="0"/>
    <n v="0"/>
    <n v="0"/>
    <n v="0"/>
    <n v="0"/>
    <n v="0"/>
    <n v="0"/>
    <n v="0"/>
    <n v="0"/>
    <n v="0"/>
    <n v="0"/>
    <n v="0"/>
    <n v="420"/>
    <n v="2123.3230487314499"/>
    <n v="0"/>
    <n v="0"/>
    <n v="0"/>
    <n v="0"/>
    <n v="0"/>
    <n v="0"/>
    <n v="670"/>
    <n v="3150.102731439084"/>
    <n v="0"/>
    <n v="0"/>
    <n v="1090"/>
    <n v="5273.4257801705335"/>
    <n v="72.585221082550675"/>
    <n v="7.1342801959081895E-2"/>
    <n v="551.38041235832043"/>
    <n v="0.11676728396486846"/>
  </r>
  <r>
    <x v="1"/>
    <s v="RUMANÍA"/>
    <s v="SC MARCOSER S.R.L."/>
    <s v="Consolidado/estratégico"/>
    <s v="C-CU0020RO"/>
    <s v="CODICOBRE"/>
    <n v="20"/>
    <n v="3.48"/>
    <n v="3.62747383877538"/>
    <n v="0"/>
    <n v="0"/>
    <n v="0"/>
    <n v="0"/>
    <n v="0"/>
    <n v="0"/>
    <n v="0"/>
    <n v="0"/>
    <n v="0"/>
    <n v="0"/>
    <n v="316.55541574182831"/>
    <n v="1101.612846781562"/>
    <n v="0"/>
    <n v="0"/>
    <n v="0"/>
    <n v="0"/>
    <n v="0"/>
    <n v="0"/>
    <n v="0"/>
    <n v="0"/>
    <n v="0"/>
    <n v="0"/>
    <n v="0"/>
    <n v="0"/>
    <n v="316.55541574182831"/>
    <n v="1101.612846781562"/>
    <n v="0"/>
    <n v="0"/>
    <n v="0"/>
    <n v="0"/>
    <n v="0"/>
    <n v="0"/>
    <n v="0"/>
    <n v="0"/>
    <n v="0"/>
    <n v="0"/>
    <n v="340"/>
    <n v="1233.341105183629"/>
    <n v="0"/>
    <n v="0"/>
    <n v="0"/>
    <n v="0"/>
    <n v="0"/>
    <n v="0"/>
    <n v="0"/>
    <n v="0"/>
    <n v="0"/>
    <n v="0"/>
    <n v="0"/>
    <n v="0"/>
    <n v="340"/>
    <n v="1233.341105183629"/>
    <n v="23.444584258171687"/>
    <n v="7.4061548443992764E-2"/>
    <n v="131.72825840206701"/>
    <n v="0.11957763454458635"/>
  </r>
  <r>
    <x v="1"/>
    <s v="RUMANÍA"/>
    <s v="SC MARCOSER S.R.L."/>
    <s v="Consolidado/estratégico"/>
    <s v="C-CU0020RO"/>
    <s v="CODICOBRE, 20 L"/>
    <n v="20"/>
    <n v="3.48"/>
    <n v="3.62747383877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.3587645754846"/>
    <n v="1055.6885007226861"/>
    <n v="0"/>
    <n v="0"/>
    <n v="303.3587645754846"/>
    <n v="1055.6885007226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160.7916284081221"/>
    <n v="0"/>
    <n v="0"/>
    <n v="320"/>
    <n v="1160.7916284081221"/>
    <n v="16.641235424515401"/>
    <n v="5.4856616547087012E-2"/>
    <n v="105.10312768543599"/>
    <n v="9.955884488036594E-2"/>
  </r>
  <r>
    <x v="1"/>
    <s v="RUMANÍA"/>
    <s v="SC MARCOSER S.R.L."/>
    <s v="Consolidado/estratégico"/>
    <s v="C-GLB0001RO"/>
    <s v="CODIORGAN GLB, 1 KG"/>
    <n v="1"/>
    <n v="8.7420045045045036"/>
    <n v="9.1124691490076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1.82057169696975"/>
    <n v="7359.1992297594661"/>
    <n v="0"/>
    <n v="0"/>
    <n v="841.82057169696975"/>
    <n v="7359.1992297594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"/>
    <n v="9258.2686553917702"/>
    <n v="0"/>
    <n v="0"/>
    <n v="1016"/>
    <n v="9258.2686553917702"/>
    <n v="174.17942830303025"/>
    <n v="0.20690802073405451"/>
    <n v="1899.069425632304"/>
    <n v="0.25805381351176909"/>
  </r>
  <r>
    <x v="1"/>
    <s v="RUMANÍA"/>
    <s v="SC MARCOSER S.R.L."/>
    <s v="Consolidado/estratégico"/>
    <s v="C-GLB0005RO"/>
    <s v="CODIORGAN GLB"/>
    <n v="5"/>
    <n v="7.92"/>
    <n v="8.2556301158336218"/>
    <n v="0"/>
    <n v="0"/>
    <n v="0"/>
    <n v="0"/>
    <n v="0"/>
    <n v="0"/>
    <n v="0"/>
    <n v="0"/>
    <n v="534.18726406433518"/>
    <n v="4230.7631313895336"/>
    <n v="0"/>
    <n v="0"/>
    <n v="0"/>
    <n v="0"/>
    <n v="0"/>
    <n v="0"/>
    <n v="0"/>
    <n v="0"/>
    <n v="0"/>
    <n v="0"/>
    <n v="0"/>
    <n v="0"/>
    <n v="0"/>
    <n v="0"/>
    <n v="534.18726406433518"/>
    <n v="4230.7631313895336"/>
    <n v="0"/>
    <n v="0"/>
    <n v="0"/>
    <n v="0"/>
    <n v="0"/>
    <n v="0"/>
    <n v="0"/>
    <n v="0"/>
    <n v="645"/>
    <n v="5324.8814247126866"/>
    <n v="0"/>
    <n v="0"/>
    <n v="0"/>
    <n v="0"/>
    <n v="0"/>
    <n v="0"/>
    <n v="0"/>
    <n v="0"/>
    <n v="0"/>
    <n v="0"/>
    <n v="0"/>
    <n v="0"/>
    <n v="0"/>
    <n v="0"/>
    <n v="645"/>
    <n v="5324.8814247126866"/>
    <n v="110.81273593566482"/>
    <n v="0.20744174073442345"/>
    <n v="1094.118293323153"/>
    <n v="0.25861015125273762"/>
  </r>
  <r>
    <x v="1"/>
    <s v="RUMANÍA"/>
    <s v="SC MARCOSER S.R.L."/>
    <s v="Consolidado/estratégico"/>
    <s v="C-GLB0005RO"/>
    <s v="CODIORGAN GLB, 5 KG"/>
    <n v="5"/>
    <n v="7.92"/>
    <n v="8.2556301158336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.79768357903356"/>
    <n v="4504.8776539459459"/>
    <n v="0"/>
    <n v="0"/>
    <n v="568.79768357903356"/>
    <n v="4504.8776539459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"/>
    <n v="5655.1066293460308"/>
    <n v="0"/>
    <n v="0"/>
    <n v="685"/>
    <n v="5655.1066293460308"/>
    <n v="116.20231642096644"/>
    <n v="0.20429463722459112"/>
    <n v="1150.2289754000849"/>
    <n v="0.25532968123841671"/>
  </r>
  <r>
    <x v="1"/>
    <s v="RUMANÍA"/>
    <s v="SC MARCOSER S.R.L."/>
    <s v="Consolidado/estratégico"/>
    <s v="C-L0001RO"/>
    <s v="CODIBOR-L"/>
    <n v="1"/>
    <n v="5.4099999999999993"/>
    <n v="5.6392624907398856"/>
    <n v="0"/>
    <n v="0"/>
    <n v="320.5123584386011"/>
    <n v="1733.9718591528319"/>
    <n v="0"/>
    <n v="0"/>
    <n v="0"/>
    <n v="0"/>
    <n v="0"/>
    <n v="0"/>
    <n v="652.89554496752078"/>
    <n v="3532.1648982742872"/>
    <n v="0"/>
    <n v="0"/>
    <n v="0"/>
    <n v="0"/>
    <n v="0"/>
    <n v="0"/>
    <n v="0"/>
    <n v="0"/>
    <n v="0"/>
    <n v="0"/>
    <n v="0"/>
    <n v="0"/>
    <n v="973.40790340612193"/>
    <n v="5266.1367574271189"/>
    <n v="0"/>
    <n v="0"/>
    <n v="343"/>
    <n v="1934.267034323781"/>
    <n v="0"/>
    <n v="0"/>
    <n v="0"/>
    <n v="0"/>
    <n v="0"/>
    <n v="0"/>
    <n v="699"/>
    <n v="3941.8444810271799"/>
    <n v="0"/>
    <n v="0"/>
    <n v="0"/>
    <n v="0"/>
    <n v="0"/>
    <n v="0"/>
    <n v="0"/>
    <n v="0"/>
    <n v="0"/>
    <n v="0"/>
    <n v="0"/>
    <n v="0"/>
    <n v="1042"/>
    <n v="5876.1115153509609"/>
    <n v="68.592096593878068"/>
    <n v="7.0465933504199538E-2"/>
    <n v="609.97475792384193"/>
    <n v="0.11582964628929573"/>
  </r>
  <r>
    <x v="1"/>
    <s v="RUMANÍA"/>
    <s v="SC MARCOSER S.R.L."/>
    <s v="Consolidado/estratégico"/>
    <s v="CALCIO0001RO"/>
    <s v="CALCIAMEC"/>
    <n v="1"/>
    <n v="4.45"/>
    <n v="4.6385800524570229"/>
    <n v="0"/>
    <n v="0"/>
    <n v="1741.054786580055"/>
    <n v="7747.6938002812458"/>
    <n v="0"/>
    <n v="0"/>
    <n v="0"/>
    <n v="0"/>
    <n v="870.52739329002759"/>
    <n v="3873.8469001406229"/>
    <n v="696.42191463202209"/>
    <n v="3099.077520112498"/>
    <n v="0"/>
    <n v="0"/>
    <n v="0"/>
    <n v="0"/>
    <n v="0"/>
    <n v="0"/>
    <n v="0"/>
    <n v="0"/>
    <n v="0"/>
    <n v="0"/>
    <n v="0"/>
    <n v="0"/>
    <n v="3308.0040945021046"/>
    <n v="14720.618220534367"/>
    <n v="0"/>
    <n v="0"/>
    <n v="1892"/>
    <n v="8776.1934592486868"/>
    <n v="0"/>
    <n v="0"/>
    <n v="0"/>
    <n v="0"/>
    <n v="946"/>
    <n v="4388.0967296243434"/>
    <n v="757"/>
    <n v="3511.4050997099662"/>
    <n v="0"/>
    <n v="0"/>
    <n v="0"/>
    <n v="0"/>
    <n v="0"/>
    <n v="0"/>
    <n v="0"/>
    <n v="0"/>
    <n v="0"/>
    <n v="0"/>
    <n v="0"/>
    <n v="0"/>
    <n v="3595"/>
    <n v="16675.695288582996"/>
    <n v="286.99590549789536"/>
    <n v="8.675802607828749E-2"/>
    <n v="1955.0770680486294"/>
    <n v="0.13281215766613769"/>
  </r>
  <r>
    <x v="1"/>
    <s v="RUMANÍA"/>
    <s v="SC MARCOSER S.R.L."/>
    <s v="Consolidado/estratégico"/>
    <s v="CALCIO0001RO"/>
    <s v="CALCIAMEC, 1 KG"/>
    <n v="1"/>
    <n v="4.5515384615384624"/>
    <n v="4.7444153152754716"/>
    <n v="0"/>
    <n v="0"/>
    <n v="0"/>
    <n v="0"/>
    <n v="0"/>
    <n v="0"/>
    <n v="0"/>
    <n v="0"/>
    <n v="0"/>
    <n v="0"/>
    <n v="1218.7383506060389"/>
    <n v="5653.2048920254392"/>
    <n v="1044.632871948033"/>
    <n v="4648.6162801687478"/>
    <n v="0"/>
    <n v="0"/>
    <n v="0"/>
    <n v="0"/>
    <n v="0"/>
    <n v="0"/>
    <n v="0"/>
    <n v="0"/>
    <n v="0"/>
    <n v="0"/>
    <n v="2263.3712225540721"/>
    <n v="10301.821172194188"/>
    <n v="0"/>
    <n v="0"/>
    <n v="0"/>
    <n v="0"/>
    <n v="0"/>
    <n v="0"/>
    <n v="0"/>
    <n v="0"/>
    <n v="0"/>
    <n v="0"/>
    <n v="1324"/>
    <n v="6401.7289007236641"/>
    <n v="1135"/>
    <n v="5264.7883595387211"/>
    <n v="0"/>
    <n v="0"/>
    <n v="0"/>
    <n v="0"/>
    <n v="0"/>
    <n v="0"/>
    <n v="0"/>
    <n v="0"/>
    <n v="0"/>
    <n v="0"/>
    <n v="2459"/>
    <n v="11666.517260262386"/>
    <n v="195.62877744592788"/>
    <n v="8.6432475369715586E-2"/>
    <n v="1364.6960880681982"/>
    <n v="0.13247134319819795"/>
  </r>
  <r>
    <x v="1"/>
    <s v="RUMANÍA"/>
    <s v="SC MARCOSER S.R.L."/>
    <s v="Consolidado/estratégico"/>
    <s v="CALCIO0020RO"/>
    <s v="CALCIAMEC"/>
    <n v="20"/>
    <n v="3.56"/>
    <n v="3.710864041965618"/>
    <n v="0"/>
    <n v="0"/>
    <n v="2176.318483225069"/>
    <n v="7747.6938002812458"/>
    <n v="0"/>
    <n v="0"/>
    <n v="0"/>
    <n v="0"/>
    <n v="1088.159241612535"/>
    <n v="3873.8469001406229"/>
    <n v="0"/>
    <n v="0"/>
    <n v="0"/>
    <n v="0"/>
    <n v="0"/>
    <n v="0"/>
    <n v="0"/>
    <n v="0"/>
    <n v="0"/>
    <n v="0"/>
    <n v="0"/>
    <n v="0"/>
    <n v="0"/>
    <n v="0"/>
    <n v="3264.477724837604"/>
    <n v="11621.540700421869"/>
    <n v="0"/>
    <n v="0"/>
    <n v="2360"/>
    <n v="8757.639139038858"/>
    <n v="0"/>
    <n v="0"/>
    <n v="0"/>
    <n v="0"/>
    <n v="1180"/>
    <n v="4378.819569519429"/>
    <n v="0"/>
    <n v="0"/>
    <n v="0"/>
    <n v="0"/>
    <n v="0"/>
    <n v="0"/>
    <n v="0"/>
    <n v="0"/>
    <n v="0"/>
    <n v="0"/>
    <n v="0"/>
    <n v="0"/>
    <n v="0"/>
    <n v="0"/>
    <n v="3540"/>
    <n v="13136.458708558286"/>
    <n v="275.522275162396"/>
    <n v="8.4400108803346863E-2"/>
    <n v="1514.9180081364175"/>
    <n v="0.13035431765784936"/>
  </r>
  <r>
    <x v="1"/>
    <s v="RUMANÍA"/>
    <s v="SC MARCOSER S.R.L."/>
    <s v="Consolidado/estratégico"/>
    <s v="CBROT0005RO"/>
    <s v="CODIBROT"/>
    <n v="5"/>
    <n v="3.25"/>
    <n v="3.3877270046034438"/>
    <n v="0"/>
    <n v="0"/>
    <n v="296.77070225796399"/>
    <n v="964.50478233838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964.50478233838294"/>
    <n v="0"/>
    <n v="0"/>
    <n v="325"/>
    <n v="1101.0112764961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"/>
    <n v="1101.0112764961191"/>
    <n v="28.22929774203601"/>
    <n v="9.5121578805639873E-2"/>
    <n v="136.50649415773614"/>
    <n v="0.14153013718271515"/>
  </r>
  <r>
    <x v="1"/>
    <s v="RUMANÍA"/>
    <s v="SC MARCOSER S.R.L."/>
    <s v="Consolidado/estratégico"/>
    <s v="FLOR0001RO"/>
    <s v="FLORAMEC"/>
    <n v="1"/>
    <n v="3.9099999999999988"/>
    <n v="4.075696180922912"/>
    <n v="1958.686634902562"/>
    <n v="7658.4647424690183"/>
    <n v="0"/>
    <n v="0"/>
    <n v="0"/>
    <n v="0"/>
    <n v="0"/>
    <n v="0"/>
    <n v="0"/>
    <n v="0"/>
    <n v="1305.791089935042"/>
    <n v="5105.6431616460122"/>
    <n v="0"/>
    <n v="0"/>
    <n v="0"/>
    <n v="0"/>
    <n v="0"/>
    <n v="0"/>
    <n v="0"/>
    <n v="0"/>
    <n v="0"/>
    <n v="0"/>
    <n v="0"/>
    <n v="0"/>
    <n v="3264.477724837604"/>
    <n v="12764.10790411503"/>
    <n v="2129"/>
    <n v="8677.1571691848803"/>
    <n v="0"/>
    <n v="0"/>
    <n v="0"/>
    <n v="0"/>
    <n v="0"/>
    <n v="0"/>
    <n v="0"/>
    <n v="0"/>
    <n v="1419"/>
    <n v="5783.412880729612"/>
    <n v="0"/>
    <n v="0"/>
    <n v="0"/>
    <n v="0"/>
    <n v="0"/>
    <n v="0"/>
    <n v="0"/>
    <n v="0"/>
    <n v="0"/>
    <n v="0"/>
    <n v="0"/>
    <n v="0"/>
    <n v="3548"/>
    <n v="14460.570049914491"/>
    <n v="283.522275162396"/>
    <n v="8.6850730518156685E-2"/>
    <n v="1696.4621457994617"/>
    <n v="0.13290879069210454"/>
  </r>
  <r>
    <x v="1"/>
    <s v="RUMANÍA"/>
    <s v="SC MARCOSER S.R.L."/>
    <s v="Consolidado/estratégico"/>
    <s v="FLOR0001RO"/>
    <s v="FLORAMEC, 1 LTR."/>
    <n v="1"/>
    <n v="4.2697738266593692"/>
    <n v="4.450782165359584"/>
    <n v="0"/>
    <n v="0"/>
    <n v="0"/>
    <n v="0"/>
    <n v="0"/>
    <n v="0"/>
    <n v="0"/>
    <n v="0"/>
    <n v="0"/>
    <n v="0"/>
    <n v="1305.791089935042"/>
    <n v="5954.4073701037887"/>
    <n v="783.47465396102484"/>
    <n v="3063.3858969876069"/>
    <n v="0"/>
    <n v="0"/>
    <n v="0"/>
    <n v="0"/>
    <n v="0"/>
    <n v="0"/>
    <n v="284.39884178951678"/>
    <n v="1117.2176541371621"/>
    <n v="0"/>
    <n v="0"/>
    <n v="2373.6645856855835"/>
    <n v="10135.010921228559"/>
    <n v="0"/>
    <n v="0"/>
    <n v="0"/>
    <n v="0"/>
    <n v="0"/>
    <n v="0"/>
    <n v="0"/>
    <n v="0"/>
    <n v="0"/>
    <n v="0"/>
    <n v="1419"/>
    <n v="6744.8498046360692"/>
    <n v="851"/>
    <n v="3468.4174499653982"/>
    <n v="0"/>
    <n v="0"/>
    <n v="0"/>
    <n v="0"/>
    <n v="0"/>
    <n v="0"/>
    <n v="309"/>
    <n v="1265.299949860899"/>
    <n v="0"/>
    <n v="0"/>
    <n v="2579"/>
    <n v="11478.567204462366"/>
    <n v="205.33541431441654"/>
    <n v="8.6505656929245417E-2"/>
    <n v="1343.5562832338073"/>
    <n v="0.13256584464251789"/>
  </r>
  <r>
    <x v="1"/>
    <s v="RUMANÍA"/>
    <s v="SC MARCOSER S.R.L."/>
    <s v="Consolidado/estratégico"/>
    <s v="FLOR0020RO"/>
    <s v="FLORAMEC"/>
    <n v="20"/>
    <n v="2.5099999999999998"/>
    <n v="2.6163676250937362"/>
    <n v="0"/>
    <n v="0"/>
    <n v="0"/>
    <n v="0"/>
    <n v="1266.221662967313"/>
    <n v="3178.216374047955"/>
    <n v="0"/>
    <n v="0"/>
    <n v="633.11083148365651"/>
    <n v="1589.108187023978"/>
    <n v="0"/>
    <n v="0"/>
    <n v="0"/>
    <n v="0"/>
    <n v="0"/>
    <n v="0"/>
    <n v="0"/>
    <n v="0"/>
    <n v="0"/>
    <n v="0"/>
    <n v="0"/>
    <n v="0"/>
    <n v="0"/>
    <n v="0"/>
    <n v="1899.3324944509695"/>
    <n v="4767.3245610719332"/>
    <n v="0"/>
    <n v="0"/>
    <n v="0"/>
    <n v="0"/>
    <n v="1380"/>
    <n v="3610.5873226293561"/>
    <n v="0"/>
    <n v="0"/>
    <n v="680"/>
    <n v="1779.1299850637399"/>
    <n v="0"/>
    <n v="0"/>
    <n v="0"/>
    <n v="0"/>
    <n v="0"/>
    <n v="0"/>
    <n v="0"/>
    <n v="0"/>
    <n v="0"/>
    <n v="0"/>
    <n v="0"/>
    <n v="0"/>
    <n v="0"/>
    <n v="0"/>
    <n v="2060"/>
    <n v="5389.7173076930958"/>
    <n v="160.66750554903047"/>
    <n v="8.4591563624816415E-2"/>
    <n v="622.39274662116259"/>
    <n v="0.13055388586365044"/>
  </r>
  <r>
    <x v="1"/>
    <s v="RUMANÍA"/>
    <s v="SC MARCOSER S.R.L."/>
    <s v="Consolidado/estratégico"/>
    <s v="FROST-P0001RO"/>
    <s v="CODIFROST PLUS, 1 L"/>
    <n v="1"/>
    <n v="4.93"/>
    <n v="5.1389212715984547"/>
    <n v="0"/>
    <n v="0"/>
    <n v="0"/>
    <n v="0"/>
    <n v="0"/>
    <n v="0"/>
    <n v="0"/>
    <n v="0"/>
    <n v="0"/>
    <n v="0"/>
    <n v="0"/>
    <n v="0"/>
    <n v="391.73732698051242"/>
    <n v="1931.265022013926"/>
    <n v="0"/>
    <n v="0"/>
    <n v="0"/>
    <n v="0"/>
    <n v="0"/>
    <n v="0"/>
    <n v="0"/>
    <n v="0"/>
    <n v="0"/>
    <n v="0"/>
    <n v="391.73732698051242"/>
    <n v="1931.265022013926"/>
    <n v="0"/>
    <n v="0"/>
    <n v="0"/>
    <n v="0"/>
    <n v="0"/>
    <n v="0"/>
    <n v="0"/>
    <n v="0"/>
    <n v="0"/>
    <n v="0"/>
    <n v="0"/>
    <n v="0"/>
    <n v="473"/>
    <n v="2430.7097614660688"/>
    <n v="0"/>
    <n v="0"/>
    <n v="0"/>
    <n v="0"/>
    <n v="0"/>
    <n v="0"/>
    <n v="0"/>
    <n v="0"/>
    <n v="0"/>
    <n v="0"/>
    <n v="473"/>
    <n v="2430.7097614660688"/>
    <n v="81.262673019487579"/>
    <n v="0.20744174073442359"/>
    <n v="499.44473945214281"/>
    <n v="0.25861015125273751"/>
  </r>
  <r>
    <x v="1"/>
    <s v="RUMANÍA"/>
    <s v="SC MARCOSER S.R.L."/>
    <s v="Consolidado/estratégico"/>
    <s v="G0001RO"/>
    <s v="GREEN-UP"/>
    <n v="1"/>
    <n v="6.3299999999999992"/>
    <n v="6.5982498274276304"/>
    <n v="0"/>
    <n v="0"/>
    <n v="1305.791089935042"/>
    <n v="8265.657599288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5.791089935042"/>
    <n v="8265.657599288812"/>
    <n v="0"/>
    <n v="0"/>
    <n v="1440"/>
    <n v="9501.4797514957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0"/>
    <n v="9501.4797514957863"/>
    <n v="134.20891006495799"/>
    <n v="0.10277977166442019"/>
    <n v="1235.8221522069744"/>
    <n v="0.14951286541476216"/>
  </r>
  <r>
    <x v="1"/>
    <s v="RUMANÍA"/>
    <s v="SC MARCOSER S.R.L."/>
    <s v="Consolidado/estratégico"/>
    <s v="G0001RO"/>
    <s v="GREEN-UP EXPORTACION"/>
    <n v="1"/>
    <n v="6.33"/>
    <n v="6.5982498274276304"/>
    <n v="0"/>
    <n v="0"/>
    <n v="0"/>
    <n v="0"/>
    <n v="0"/>
    <n v="0"/>
    <n v="0"/>
    <n v="0"/>
    <n v="0"/>
    <n v="0"/>
    <n v="783.47465396102484"/>
    <n v="4959.3945595732876"/>
    <n v="0"/>
    <n v="0"/>
    <n v="0"/>
    <n v="0"/>
    <n v="0"/>
    <n v="0"/>
    <n v="0"/>
    <n v="0"/>
    <n v="0"/>
    <n v="0"/>
    <n v="0"/>
    <n v="0"/>
    <n v="783.47465396102484"/>
    <n v="4959.3945595732876"/>
    <n v="0"/>
    <n v="0"/>
    <n v="0"/>
    <n v="0"/>
    <n v="0"/>
    <n v="0"/>
    <n v="0"/>
    <n v="0"/>
    <n v="0"/>
    <n v="0"/>
    <n v="864"/>
    <n v="5700.8878508974722"/>
    <n v="0"/>
    <n v="0"/>
    <n v="0"/>
    <n v="0"/>
    <n v="0"/>
    <n v="0"/>
    <n v="0"/>
    <n v="0"/>
    <n v="0"/>
    <n v="0"/>
    <n v="0"/>
    <n v="0"/>
    <n v="864"/>
    <n v="5700.8878508974722"/>
    <n v="80.525346038975158"/>
    <n v="0.1027797716644207"/>
    <n v="741.49329132418461"/>
    <n v="0.14951286541476216"/>
  </r>
  <r>
    <x v="1"/>
    <s v="RUMANÍA"/>
    <s v="SC MARCOSER S.R.L."/>
    <s v="Consolidado/estratégico"/>
    <s v="G0001RO"/>
    <s v="GREEN-UP EXPORTACION, 1 L"/>
    <n v="1"/>
    <n v="6.3299999999999992"/>
    <n v="6.5982498274276304"/>
    <n v="0"/>
    <n v="0"/>
    <n v="0"/>
    <n v="0"/>
    <n v="0"/>
    <n v="0"/>
    <n v="0"/>
    <n v="0"/>
    <n v="0"/>
    <n v="0"/>
    <n v="522.3164359740166"/>
    <n v="3306.2630397155249"/>
    <n v="0"/>
    <n v="0"/>
    <n v="0"/>
    <n v="0"/>
    <n v="0"/>
    <n v="0"/>
    <n v="0"/>
    <n v="0"/>
    <n v="625.6774519369369"/>
    <n v="3960.538270760811"/>
    <n v="0"/>
    <n v="0"/>
    <n v="1147.9938879109536"/>
    <n v="7266.8013104763359"/>
    <n v="0"/>
    <n v="0"/>
    <n v="0"/>
    <n v="0"/>
    <n v="0"/>
    <n v="0"/>
    <n v="0"/>
    <n v="0"/>
    <n v="0"/>
    <n v="0"/>
    <n v="576"/>
    <n v="3800.5919005983151"/>
    <n v="0"/>
    <n v="0"/>
    <n v="0"/>
    <n v="0"/>
    <n v="0"/>
    <n v="0"/>
    <n v="0"/>
    <n v="0"/>
    <n v="690"/>
    <n v="4552.7923809250651"/>
    <n v="0"/>
    <n v="0"/>
    <n v="1266"/>
    <n v="8353.3842815233802"/>
    <n v="118.00611208904638"/>
    <n v="0.10279332784932019"/>
    <n v="1086.5829710470443"/>
    <n v="0.14952699607742809"/>
  </r>
  <r>
    <x v="1"/>
    <s v="RUMANÍA"/>
    <s v="SC MARCOSER S.R.L."/>
    <s v="Consolidado/estratégico"/>
    <s v="G0020RO"/>
    <s v="GREEN-UP"/>
    <n v="20"/>
    <n v="4.8899999999999997"/>
    <n v="5.097226170003335"/>
    <n v="0"/>
    <n v="0"/>
    <n v="633.11083148365651"/>
    <n v="3095.9119659550802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0"/>
    <n v="0"/>
    <n v="0"/>
    <n v="0"/>
    <n v="1266.221662967313"/>
    <n v="6191.8239319101604"/>
    <n v="0"/>
    <n v="0"/>
    <n v="700"/>
    <n v="3568.058319002334"/>
    <n v="0"/>
    <n v="0"/>
    <n v="0"/>
    <n v="0"/>
    <n v="700"/>
    <n v="3568.058319002334"/>
    <n v="0"/>
    <n v="0"/>
    <n v="0"/>
    <n v="0"/>
    <n v="0"/>
    <n v="0"/>
    <n v="0"/>
    <n v="0"/>
    <n v="0"/>
    <n v="0"/>
    <n v="0"/>
    <n v="0"/>
    <n v="0"/>
    <n v="0"/>
    <n v="1400"/>
    <n v="7136.1166380046679"/>
    <n v="133.77833703268698"/>
    <n v="0.10565159398646334"/>
    <n v="944.29270609450759"/>
    <n v="0.15250638850177964"/>
  </r>
  <r>
    <x v="1"/>
    <s v="RUMANÍA"/>
    <s v="SC MARCOSER S.R.L."/>
    <s v="Consolidado/estratégico"/>
    <s v="G0020RO"/>
    <s v="GREEN-UP EXPORTACION, 20 L"/>
    <n v="20"/>
    <n v="4.8899999999999997"/>
    <n v="5.097226170003335"/>
    <n v="0"/>
    <n v="0"/>
    <n v="0"/>
    <n v="0"/>
    <n v="0"/>
    <n v="0"/>
    <n v="0"/>
    <n v="0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633.11083148365651"/>
    <n v="3095.9119659550802"/>
    <n v="0"/>
    <n v="0"/>
    <n v="0"/>
    <n v="0"/>
    <n v="0"/>
    <n v="0"/>
    <n v="0"/>
    <n v="0"/>
    <n v="0"/>
    <n v="0"/>
    <n v="0"/>
    <n v="0"/>
    <n v="700"/>
    <n v="3568.058319002334"/>
    <n v="0"/>
    <n v="0"/>
    <n v="0"/>
    <n v="0"/>
    <n v="0"/>
    <n v="0"/>
    <n v="0"/>
    <n v="0"/>
    <n v="0"/>
    <n v="0"/>
    <n v="700"/>
    <n v="3568.058319002334"/>
    <n v="66.889168516343489"/>
    <n v="0.10565159398646334"/>
    <n v="472.1463530472538"/>
    <n v="0.15250638850177964"/>
  </r>
  <r>
    <x v="1"/>
    <s v="RUMANÍA"/>
    <s v="SC MARCOSER S.R.L."/>
    <s v="Consolidado/estratégico"/>
    <s v="G0200RO"/>
    <s v="GREEN-UP EXPORTACION, 200 L"/>
    <n v="200"/>
    <n v="4.0175999999999998"/>
    <n v="4.18785600421378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1523.467715698084"/>
    <n v="0"/>
    <n v="0"/>
    <n v="379.19845571935571"/>
    <n v="1523.467715698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1675.1424016855131"/>
    <n v="0"/>
    <n v="0"/>
    <n v="400"/>
    <n v="1675.1424016855131"/>
    <n v="20.801544280644293"/>
    <n v="5.4856616547087129E-2"/>
    <n v="151.67468598742903"/>
    <n v="9.955884488036465E-2"/>
  </r>
  <r>
    <x v="1"/>
    <s v="RUMANÍA"/>
    <s v="SC MARCOSER S.R.L."/>
    <s v="Consolidado/estratégico"/>
    <s v="PHD0001RO"/>
    <s v="PH-DOWNER"/>
    <n v="1"/>
    <n v="5.0699999999999994"/>
    <n v="5.2848541271813714"/>
    <n v="0"/>
    <n v="0"/>
    <n v="0"/>
    <n v="0"/>
    <n v="0"/>
    <n v="0"/>
    <n v="0"/>
    <n v="0"/>
    <n v="0"/>
    <n v="0"/>
    <n v="1305.791089935042"/>
    <n v="6620.3608259706598"/>
    <n v="0"/>
    <n v="0"/>
    <n v="0"/>
    <n v="0"/>
    <n v="0"/>
    <n v="0"/>
    <n v="0"/>
    <n v="0"/>
    <n v="0"/>
    <n v="0"/>
    <n v="0"/>
    <n v="0"/>
    <n v="1305.791089935042"/>
    <n v="6620.3608259706598"/>
    <n v="0"/>
    <n v="0"/>
    <n v="0"/>
    <n v="0"/>
    <n v="0"/>
    <n v="0"/>
    <n v="0"/>
    <n v="0"/>
    <n v="0"/>
    <n v="0"/>
    <n v="1399"/>
    <n v="7393.5109239267395"/>
    <n v="0"/>
    <n v="0"/>
    <n v="0"/>
    <n v="0"/>
    <n v="0"/>
    <n v="0"/>
    <n v="0"/>
    <n v="0"/>
    <n v="0"/>
    <n v="0"/>
    <n v="0"/>
    <n v="0"/>
    <n v="1399"/>
    <n v="7393.5109239267395"/>
    <n v="93.20891006495799"/>
    <n v="7.1381180943419345E-2"/>
    <n v="773.15009795607966"/>
    <n v="0.11678367966336978"/>
  </r>
  <r>
    <x v="1"/>
    <s v="RUMANÍA"/>
    <s v="SC MARCOSER S.R.L."/>
    <s v="Consolidado/estratégico"/>
    <s v="PK500001RO"/>
    <s v="POLIFRUIT K50"/>
    <n v="1"/>
    <n v="4.6099999999999994"/>
    <n v="4.8053604588374998"/>
    <n v="0"/>
    <n v="0"/>
    <n v="0"/>
    <n v="0"/>
    <n v="0"/>
    <n v="0"/>
    <n v="0"/>
    <n v="0"/>
    <n v="1958.686634902562"/>
    <n v="9029.5453869008106"/>
    <n v="652.89554496752078"/>
    <n v="3009.848462300271"/>
    <n v="0"/>
    <n v="0"/>
    <n v="0"/>
    <n v="0"/>
    <n v="0"/>
    <n v="0"/>
    <n v="0"/>
    <n v="0"/>
    <n v="0"/>
    <n v="0"/>
    <n v="0"/>
    <n v="0"/>
    <n v="2611.5821798700827"/>
    <n v="12039.393849201082"/>
    <n v="0"/>
    <n v="0"/>
    <n v="0"/>
    <n v="0"/>
    <n v="0"/>
    <n v="0"/>
    <n v="0"/>
    <n v="0"/>
    <n v="2129"/>
    <n v="10230.61241686504"/>
    <n v="710"/>
    <n v="3411.805925774624"/>
    <n v="0"/>
    <n v="0"/>
    <n v="0"/>
    <n v="0"/>
    <n v="0"/>
    <n v="0"/>
    <n v="0"/>
    <n v="0"/>
    <n v="0"/>
    <n v="0"/>
    <n v="0"/>
    <n v="0"/>
    <n v="2839"/>
    <n v="13642.418342639665"/>
    <n v="227.41782012991735"/>
    <n v="8.7080476303920337E-2"/>
    <n v="1603.0244934385828"/>
    <n v="0.13314827253906619"/>
  </r>
  <r>
    <x v="1"/>
    <s v="RUMANÍA"/>
    <s v="SC MARCOSER S.R.L."/>
    <s v="Consolidado/estratégico"/>
    <s v="PK500001RO"/>
    <s v="POLIFRUIT K50, 1 L"/>
    <n v="1"/>
    <n v="4.6099999999999994"/>
    <n v="4.8053604588374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1311.078660649672"/>
    <n v="0"/>
    <n v="0"/>
    <n v="284.39884178951678"/>
    <n v="1311.078660649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484.8563817807869"/>
    <n v="0"/>
    <n v="0"/>
    <n v="309"/>
    <n v="1484.8563817807869"/>
    <n v="24.60115821048322"/>
    <n v="8.6502315043499742E-2"/>
    <n v="173.77772113111496"/>
    <n v="0.13254561022677602"/>
  </r>
  <r>
    <x v="1"/>
    <s v="RUMANÍA"/>
    <s v="SC MARCOSER S.R.L."/>
    <s v="Consolidado/estratégico"/>
    <s v="PK500020RO"/>
    <s v="POLIFRUIT K50"/>
    <n v="20"/>
    <n v="3.46"/>
    <n v="3.606626287977821"/>
    <n v="0"/>
    <n v="0"/>
    <n v="633.11083148365651"/>
    <n v="2190.563476933452"/>
    <n v="0"/>
    <n v="0"/>
    <n v="0"/>
    <n v="0"/>
    <n v="0"/>
    <n v="0"/>
    <n v="1266.221662967313"/>
    <n v="4381.126953866903"/>
    <n v="0"/>
    <n v="0"/>
    <n v="0"/>
    <n v="0"/>
    <n v="0"/>
    <n v="0"/>
    <n v="0"/>
    <n v="0"/>
    <n v="0"/>
    <n v="0"/>
    <n v="0"/>
    <n v="0"/>
    <n v="1899.3324944509695"/>
    <n v="6571.690430800355"/>
    <n v="0"/>
    <n v="0"/>
    <n v="680"/>
    <n v="2452.5058758249179"/>
    <n v="0"/>
    <n v="0"/>
    <n v="0"/>
    <n v="0"/>
    <n v="0"/>
    <n v="0"/>
    <n v="1380"/>
    <n v="4977.1442774093921"/>
    <n v="0"/>
    <n v="0"/>
    <n v="0"/>
    <n v="0"/>
    <n v="0"/>
    <n v="0"/>
    <n v="0"/>
    <n v="0"/>
    <n v="0"/>
    <n v="0"/>
    <n v="0"/>
    <n v="0"/>
    <n v="2060"/>
    <n v="7429.65015323431"/>
    <n v="160.66750554903047"/>
    <n v="8.4591563624816415E-2"/>
    <n v="857.95972243395499"/>
    <n v="0.13055388586365069"/>
  </r>
  <r>
    <x v="1"/>
    <s v="RUMANÍA"/>
    <s v="SC MARCOSER S.R.L."/>
    <s v="Consolidado/estratégico"/>
    <s v="PK500020RO"/>
    <s v="POLIFRUIT K50, 20 L"/>
    <n v="20"/>
    <n v="3.430369107890582"/>
    <n v="3.575538921483743"/>
    <n v="0"/>
    <n v="0"/>
    <n v="0"/>
    <n v="0"/>
    <n v="0"/>
    <n v="0"/>
    <n v="0"/>
    <n v="0"/>
    <n v="0"/>
    <n v="0"/>
    <n v="0"/>
    <n v="0"/>
    <n v="633.11083148365651"/>
    <n v="2190.563476933452"/>
    <n v="0"/>
    <n v="0"/>
    <n v="0"/>
    <n v="0"/>
    <n v="0"/>
    <n v="0"/>
    <n v="606.7175291509692"/>
    <n v="2062.505430474193"/>
    <n v="0"/>
    <n v="0"/>
    <n v="1239.8283606346258"/>
    <n v="4253.0689074076454"/>
    <n v="0"/>
    <n v="0"/>
    <n v="0"/>
    <n v="0"/>
    <n v="0"/>
    <n v="0"/>
    <n v="0"/>
    <n v="0"/>
    <n v="0"/>
    <n v="0"/>
    <n v="0"/>
    <n v="0"/>
    <n v="680"/>
    <n v="2452.5058758249179"/>
    <n v="0"/>
    <n v="0"/>
    <n v="0"/>
    <n v="0"/>
    <n v="0"/>
    <n v="0"/>
    <n v="660"/>
    <n v="2338.716278963298"/>
    <n v="0"/>
    <n v="0"/>
    <n v="1340"/>
    <n v="4791.2221547882164"/>
    <n v="100.17163936537418"/>
    <n v="8.0794763651074838E-2"/>
    <n v="538.15324738057097"/>
    <n v="0.12653292460022456"/>
  </r>
  <r>
    <x v="1"/>
    <s v="RUMANÍA"/>
    <s v="SC MARCOSER S.R.L."/>
    <s v="Consolidado/estratégico"/>
    <s v="PML0001RO"/>
    <s v="POLIGREEN MIX L"/>
    <n v="1"/>
    <n v="4.0199999999999996"/>
    <n v="4.19035771030949"/>
    <n v="0"/>
    <n v="0"/>
    <n v="0"/>
    <n v="0"/>
    <n v="0"/>
    <n v="0"/>
    <n v="0"/>
    <n v="0"/>
    <n v="652.89554496752078"/>
    <n v="2624.6400907694328"/>
    <n v="0"/>
    <n v="0"/>
    <n v="0"/>
    <n v="0"/>
    <n v="0"/>
    <n v="0"/>
    <n v="0"/>
    <n v="0"/>
    <n v="0"/>
    <n v="0"/>
    <n v="0"/>
    <n v="0"/>
    <n v="0"/>
    <n v="0"/>
    <n v="652.89554496752078"/>
    <n v="2624.6400907694328"/>
    <n v="0"/>
    <n v="0"/>
    <n v="0"/>
    <n v="0"/>
    <n v="0"/>
    <n v="0"/>
    <n v="0"/>
    <n v="0"/>
    <n v="699"/>
    <n v="2929.0600395063329"/>
    <n v="0"/>
    <n v="0"/>
    <n v="0"/>
    <n v="0"/>
    <n v="0"/>
    <n v="0"/>
    <n v="0"/>
    <n v="0"/>
    <n v="0"/>
    <n v="0"/>
    <n v="0"/>
    <n v="0"/>
    <n v="0"/>
    <n v="0"/>
    <n v="699"/>
    <n v="2929.0600395063329"/>
    <n v="46.104455032479223"/>
    <n v="7.0615361657541648E-2"/>
    <n v="304.4199487369001"/>
    <n v="0.11598540684016494"/>
  </r>
  <r>
    <x v="1"/>
    <s v="RUMANÍA"/>
    <s v="SC MARCOSER S.R.L."/>
    <s v="Consolidado/estratégico"/>
    <s v="PML0001RO"/>
    <s v="POLIGREEN MIX L, 1 L"/>
    <n v="1"/>
    <n v="4.0199999999999996"/>
    <n v="4.19035771030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.6774519369369"/>
    <n v="2515.223356786486"/>
    <n v="0"/>
    <n v="0"/>
    <n v="625.6774519369369"/>
    <n v="2515.223356786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"/>
    <n v="2807.5396659073581"/>
    <n v="0"/>
    <n v="0"/>
    <n v="670"/>
    <n v="2807.5396659073581"/>
    <n v="44.322548063063095"/>
    <n v="7.083929255537634E-2"/>
    <n v="292.31630912087212"/>
    <n v="0.11621882737855256"/>
  </r>
  <r>
    <x v="1"/>
    <s v="RUMANÍA"/>
    <s v="SC MARCOSER S.R.L."/>
    <s v="Consolidado/estratégico"/>
    <s v="PT0001RO"/>
    <s v="AGROPOTASION"/>
    <n v="1"/>
    <n v="4.38"/>
    <n v="4.5656136246655654"/>
    <n v="1305.791089935042"/>
    <n v="5719.3649739154816"/>
    <n v="0"/>
    <n v="0"/>
    <n v="0"/>
    <n v="0"/>
    <n v="0"/>
    <n v="0"/>
    <n v="0"/>
    <n v="0"/>
    <n v="1305.791089935042"/>
    <n v="5719.3649739154816"/>
    <n v="0"/>
    <n v="0"/>
    <n v="0"/>
    <n v="0"/>
    <n v="0"/>
    <n v="0"/>
    <n v="0"/>
    <n v="0"/>
    <n v="0"/>
    <n v="0"/>
    <n v="0"/>
    <n v="0"/>
    <n v="2611.582179870084"/>
    <n v="11438.729947830963"/>
    <n v="1440"/>
    <n v="6574.4836195184134"/>
    <n v="0"/>
    <n v="0"/>
    <n v="0"/>
    <n v="0"/>
    <n v="0"/>
    <n v="0"/>
    <n v="0"/>
    <n v="0"/>
    <n v="1440"/>
    <n v="6574.4836195184134"/>
    <n v="0"/>
    <n v="0"/>
    <n v="0"/>
    <n v="0"/>
    <n v="0"/>
    <n v="0"/>
    <n v="0"/>
    <n v="0"/>
    <n v="0"/>
    <n v="0"/>
    <n v="0"/>
    <n v="0"/>
    <n v="2880"/>
    <n v="13148.967239036827"/>
    <n v="268.41782012991598"/>
    <n v="0.10277977166442019"/>
    <n v="1710.2372912058636"/>
    <n v="0.14951286541476247"/>
  </r>
  <r>
    <x v="1"/>
    <s v="RUMANÍA"/>
    <s v="SC MARCOSER S.R.L."/>
    <s v="Consolidado/estratégico"/>
    <s v="PT0001RO"/>
    <s v="AGROPOTASION, 1 L"/>
    <n v="1"/>
    <n v="4.2267007575757587"/>
    <n v="4.40581793748222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.79768357903356"/>
    <n v="2404.1376000908381"/>
    <n v="0"/>
    <n v="0"/>
    <n v="568.79768357903356"/>
    <n v="2404.1376000908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"/>
    <n v="2762.447846801354"/>
    <n v="0"/>
    <n v="0"/>
    <n v="627"/>
    <n v="2762.447846801354"/>
    <n v="58.20231642096644"/>
    <n v="0.10232516429170604"/>
    <n v="358.31024671051591"/>
    <n v="0.14903899289998104"/>
  </r>
  <r>
    <x v="1"/>
    <s v="RUMANÍA"/>
    <s v="SC MARCOSER S.R.L."/>
    <s v="Consolidado/estratégico"/>
    <s v="PT0005RO"/>
    <s v="AGROPOTASION"/>
    <n v="5"/>
    <n v="3.35"/>
    <n v="3.4919647585912421"/>
    <n v="0"/>
    <n v="0"/>
    <n v="0"/>
    <n v="0"/>
    <n v="296.77070225796399"/>
    <n v="994.18185256417928"/>
    <n v="0"/>
    <n v="0"/>
    <n v="0"/>
    <n v="0"/>
    <n v="296.77070225796399"/>
    <n v="994.18185256417928"/>
    <n v="0"/>
    <n v="0"/>
    <n v="0"/>
    <n v="0"/>
    <n v="0"/>
    <n v="0"/>
    <n v="0"/>
    <n v="0"/>
    <n v="0"/>
    <n v="0"/>
    <n v="0"/>
    <n v="0"/>
    <n v="593.54140451592798"/>
    <n v="1988.3637051283586"/>
    <n v="0"/>
    <n v="0"/>
    <n v="0"/>
    <n v="0"/>
    <n v="325"/>
    <n v="1134.888546542154"/>
    <n v="0"/>
    <n v="0"/>
    <n v="0"/>
    <n v="0"/>
    <n v="325"/>
    <n v="1134.888546542154"/>
    <n v="0"/>
    <n v="0"/>
    <n v="0"/>
    <n v="0"/>
    <n v="0"/>
    <n v="0"/>
    <n v="0"/>
    <n v="0"/>
    <n v="0"/>
    <n v="0"/>
    <n v="0"/>
    <n v="0"/>
    <n v="650"/>
    <n v="2269.777093084308"/>
    <n v="56.458595484072021"/>
    <n v="9.5121578805639873E-2"/>
    <n v="281.41338795594947"/>
    <n v="0.1415301371827157"/>
  </r>
  <r>
    <x v="1"/>
    <s v="RUMANÍA"/>
    <s v="SC MARCOSER S.R.L."/>
    <s v="Consolidado/estratégico"/>
    <s v="PT0020RO"/>
    <s v="AGROPOTASION"/>
    <n v="20"/>
    <n v="3.1"/>
    <n v="3.2313703736217461"/>
    <n v="0"/>
    <n v="0"/>
    <n v="633.11083148365651"/>
    <n v="1962.643577599335"/>
    <n v="0"/>
    <n v="0"/>
    <n v="0"/>
    <n v="0"/>
    <n v="0"/>
    <n v="0"/>
    <n v="1266.221662967313"/>
    <n v="3925.28715519867"/>
    <n v="0"/>
    <n v="0"/>
    <n v="0"/>
    <n v="0"/>
    <n v="0"/>
    <n v="0"/>
    <n v="0"/>
    <n v="0"/>
    <n v="0"/>
    <n v="0"/>
    <n v="0"/>
    <n v="0"/>
    <n v="1899.3324944509695"/>
    <n v="5887.930732798005"/>
    <n v="0"/>
    <n v="0"/>
    <n v="700"/>
    <n v="2261.9592615352221"/>
    <n v="0"/>
    <n v="0"/>
    <n v="0"/>
    <n v="0"/>
    <n v="0"/>
    <n v="0"/>
    <n v="1400"/>
    <n v="4523.9185230704443"/>
    <n v="0"/>
    <n v="0"/>
    <n v="0"/>
    <n v="0"/>
    <n v="0"/>
    <n v="0"/>
    <n v="0"/>
    <n v="0"/>
    <n v="0"/>
    <n v="0"/>
    <n v="0"/>
    <n v="0"/>
    <n v="2100"/>
    <n v="6785.8777846056664"/>
    <n v="200.66750554903047"/>
    <n v="0.10565159398646334"/>
    <n v="897.94705180766141"/>
    <n v="0.15250638850177978"/>
  </r>
  <r>
    <x v="1"/>
    <s v="RUMANÍA"/>
    <s v="SC MARCOSER S.R.L."/>
    <s v="Consolidado/estratégico"/>
    <s v="PT0020RO"/>
    <s v="AGROPOTASION, 20 L"/>
    <n v="20"/>
    <n v="3.074326436706746"/>
    <n v="3.2048094883537179"/>
    <n v="0"/>
    <n v="0"/>
    <n v="0"/>
    <n v="0"/>
    <n v="0"/>
    <n v="0"/>
    <n v="0"/>
    <n v="0"/>
    <n v="0"/>
    <n v="0"/>
    <n v="0"/>
    <n v="0"/>
    <n v="633.11083148365651"/>
    <n v="1962.643577599335"/>
    <n v="0"/>
    <n v="0"/>
    <n v="0"/>
    <n v="0"/>
    <n v="0"/>
    <n v="0"/>
    <n v="568.79768357903356"/>
    <n v="1732.4155447608421"/>
    <n v="0"/>
    <n v="0"/>
    <n v="1201.9085150626902"/>
    <n v="3695.0591223601768"/>
    <n v="0"/>
    <n v="0"/>
    <n v="0"/>
    <n v="0"/>
    <n v="0"/>
    <n v="0"/>
    <n v="0"/>
    <n v="0"/>
    <n v="0"/>
    <n v="0"/>
    <n v="0"/>
    <n v="0"/>
    <n v="700"/>
    <n v="2261.9592615352221"/>
    <n v="0"/>
    <n v="0"/>
    <n v="0"/>
    <n v="0"/>
    <n v="0"/>
    <n v="0"/>
    <n v="620"/>
    <n v="1968.389263091686"/>
    <n v="0"/>
    <n v="0"/>
    <n v="1320"/>
    <n v="4230.3485246269083"/>
    <n v="118.09148493730981"/>
    <n v="9.8253305852609177E-2"/>
    <n v="535.28940226673149"/>
    <n v="0.14486626182176524"/>
  </r>
  <r>
    <x v="1"/>
    <s v="RUMANÍA"/>
    <s v="SC MARCOSER S.R.L."/>
    <s v="Consolidado/estratégico"/>
    <s v="PT0200RO"/>
    <s v="AGROPOTASION, 200 L"/>
    <n v="200"/>
    <n v="3.01"/>
    <n v="3.1375563950327279"/>
    <n v="0"/>
    <n v="0"/>
    <n v="0"/>
    <n v="0"/>
    <n v="0"/>
    <n v="0"/>
    <n v="0"/>
    <n v="0"/>
    <n v="0"/>
    <n v="0"/>
    <n v="0"/>
    <n v="0"/>
    <n v="395.69426967728532"/>
    <n v="1191.039751728629"/>
    <n v="0"/>
    <n v="0"/>
    <n v="0"/>
    <n v="0"/>
    <n v="0"/>
    <n v="0"/>
    <n v="0"/>
    <n v="0"/>
    <n v="0"/>
    <n v="0"/>
    <n v="395.69426967728532"/>
    <n v="1191.039751728629"/>
    <n v="0"/>
    <n v="0"/>
    <n v="0"/>
    <n v="0"/>
    <n v="0"/>
    <n v="0"/>
    <n v="0"/>
    <n v="0"/>
    <n v="0"/>
    <n v="0"/>
    <n v="0"/>
    <n v="0"/>
    <n v="400"/>
    <n v="1255.0225580130909"/>
    <n v="0"/>
    <n v="0"/>
    <n v="0"/>
    <n v="0"/>
    <n v="0"/>
    <n v="0"/>
    <n v="0"/>
    <n v="0"/>
    <n v="0"/>
    <n v="0"/>
    <n v="400"/>
    <n v="1255.0225580130909"/>
    <n v="4.3057303227146804"/>
    <n v="1.0881457359052195E-2"/>
    <n v="63.982806284461958"/>
    <n v="5.3720126630198352E-2"/>
  </r>
  <r>
    <x v="1"/>
    <s v="RUMANÍA"/>
    <s v="SC MARCOSER S.R.L."/>
    <s v="Consolidado/estratégico"/>
    <s v="SPCE0001RO"/>
    <s v="SPRINTENE"/>
    <n v="1"/>
    <n v="12.05"/>
    <n v="12.560649355529691"/>
    <n v="0"/>
    <n v="0"/>
    <n v="1958.686634902562"/>
    <n v="23602.173950575871"/>
    <n v="0"/>
    <n v="0"/>
    <n v="0"/>
    <n v="0"/>
    <n v="652.89554496752078"/>
    <n v="7867.391316858625"/>
    <n v="1175.2119809415369"/>
    <n v="14161.304370345521"/>
    <n v="0"/>
    <n v="0"/>
    <n v="0"/>
    <n v="0"/>
    <n v="0"/>
    <n v="0"/>
    <n v="0"/>
    <n v="0"/>
    <n v="0"/>
    <n v="0"/>
    <n v="0"/>
    <n v="0"/>
    <n v="3786.7941608116198"/>
    <n v="45630.869637780015"/>
    <n v="0"/>
    <n v="0"/>
    <n v="2159"/>
    <n v="27118.441958588599"/>
    <n v="0"/>
    <n v="0"/>
    <n v="0"/>
    <n v="0"/>
    <n v="720"/>
    <n v="9043.6675359813762"/>
    <n v="1296"/>
    <n v="16278.601564766481"/>
    <n v="0"/>
    <n v="0"/>
    <n v="0"/>
    <n v="0"/>
    <n v="0"/>
    <n v="0"/>
    <n v="0"/>
    <n v="0"/>
    <n v="0"/>
    <n v="0"/>
    <n v="0"/>
    <n v="0"/>
    <n v="4175"/>
    <n v="52440.711059336456"/>
    <n v="388.2058391883802"/>
    <n v="0.10251569604860075"/>
    <n v="6809.8414215564408"/>
    <n v="0.14923759892400215"/>
  </r>
  <r>
    <x v="1"/>
    <s v="RUMANÍA"/>
    <s v="SC MARCOSER S.R.L."/>
    <s v="Consolidado/estratégico"/>
    <s v="SPCE0001RO"/>
    <s v="SPRINTENE ABONO CE"/>
    <n v="1"/>
    <n v="12.05"/>
    <n v="12.560649355529691"/>
    <n v="0"/>
    <n v="0"/>
    <n v="0"/>
    <n v="0"/>
    <n v="0"/>
    <n v="0"/>
    <n v="0"/>
    <n v="0"/>
    <n v="0"/>
    <n v="0"/>
    <n v="783.47465396102484"/>
    <n v="9440.86958023035"/>
    <n v="0"/>
    <n v="0"/>
    <n v="0"/>
    <n v="0"/>
    <n v="0"/>
    <n v="0"/>
    <n v="0"/>
    <n v="0"/>
    <n v="0"/>
    <n v="0"/>
    <n v="0"/>
    <n v="0"/>
    <n v="783.47465396102484"/>
    <n v="9440.86958023035"/>
    <n v="0"/>
    <n v="0"/>
    <n v="0"/>
    <n v="0"/>
    <n v="0"/>
    <n v="0"/>
    <n v="0"/>
    <n v="0"/>
    <n v="0"/>
    <n v="0"/>
    <n v="864"/>
    <n v="10852.40104317765"/>
    <n v="0"/>
    <n v="0"/>
    <n v="0"/>
    <n v="0"/>
    <n v="0"/>
    <n v="0"/>
    <n v="0"/>
    <n v="0"/>
    <n v="0"/>
    <n v="0"/>
    <n v="0"/>
    <n v="0"/>
    <n v="864"/>
    <n v="10852.40104317765"/>
    <n v="80.525346038975158"/>
    <n v="0.1027797716644207"/>
    <n v="1411.5314629472996"/>
    <n v="0.14951286541476186"/>
  </r>
  <r>
    <x v="1"/>
    <s v="RUMANÍA"/>
    <s v="SC MARCOSER S.R.L."/>
    <s v="Consolidado/estratégico"/>
    <s v="SPCE0001RO"/>
    <s v="SPRINTENE ABONO CE, 1 L"/>
    <n v="1"/>
    <n v="12.05"/>
    <n v="12.560649355529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1.354903873874"/>
    <n v="15078.826591680179"/>
    <n v="0"/>
    <n v="0"/>
    <n v="1251.354903873874"/>
    <n v="15078.826591680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0"/>
    <n v="17333.696110630979"/>
    <n v="0"/>
    <n v="0"/>
    <n v="1380"/>
    <n v="17333.696110630979"/>
    <n v="128.64509612612596"/>
    <n v="0.10280464457195454"/>
    <n v="2254.8695189507998"/>
    <n v="0.14953879237492762"/>
  </r>
  <r>
    <x v="1"/>
    <s v="RUMANÍA"/>
    <s v="SC MARCOSER S.R.L."/>
    <s v="Consolidado/estratégico"/>
    <s v="SPCE0020RO"/>
    <s v="SPRINTENE"/>
    <n v="20"/>
    <n v="10.61"/>
    <n v="11.059625698105391"/>
    <n v="0"/>
    <n v="0"/>
    <n v="633.11083148365651"/>
    <n v="6717.3059220415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6717.3059220415944"/>
    <n v="0"/>
    <n v="0"/>
    <n v="700"/>
    <n v="7741.7379886737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7741.7379886737754"/>
    <n v="66.889168516343489"/>
    <n v="0.10565159398646334"/>
    <n v="1024.432066632181"/>
    <n v="0.15250638850177972"/>
  </r>
  <r>
    <x v="1"/>
    <s v="RUMANÍA"/>
    <s v="SC MARCOSER S.R.L."/>
    <s v="Consolidado/estratégico"/>
    <s v="SPCE0020RO"/>
    <s v="SPRINTENE ABONO CE"/>
    <n v="20"/>
    <n v="10.61"/>
    <n v="11.059625698105391"/>
    <n v="0"/>
    <n v="0"/>
    <n v="0"/>
    <n v="0"/>
    <n v="0"/>
    <n v="0"/>
    <n v="0"/>
    <n v="0"/>
    <n v="0"/>
    <n v="0"/>
    <n v="633.11083148365651"/>
    <n v="6717.3059220415944"/>
    <n v="0"/>
    <n v="0"/>
    <n v="0"/>
    <n v="0"/>
    <n v="0"/>
    <n v="0"/>
    <n v="0"/>
    <n v="0"/>
    <n v="0"/>
    <n v="0"/>
    <n v="0"/>
    <n v="0"/>
    <n v="633.11083148365651"/>
    <n v="6717.3059220415944"/>
    <n v="0"/>
    <n v="0"/>
    <n v="0"/>
    <n v="0"/>
    <n v="0"/>
    <n v="0"/>
    <n v="0"/>
    <n v="0"/>
    <n v="0"/>
    <n v="0"/>
    <n v="700"/>
    <n v="7741.7379886737754"/>
    <n v="0"/>
    <n v="0"/>
    <n v="0"/>
    <n v="0"/>
    <n v="0"/>
    <n v="0"/>
    <n v="0"/>
    <n v="0"/>
    <n v="0"/>
    <n v="0"/>
    <n v="0"/>
    <n v="0"/>
    <n v="700"/>
    <n v="7741.7379886737754"/>
    <n v="66.889168516343489"/>
    <n v="0.10565159398646334"/>
    <n v="1024.432066632181"/>
    <n v="0.15250638850177972"/>
  </r>
  <r>
    <x v="1"/>
    <s v="RUMANÍA"/>
    <s v="SC MARCOSER S.R.L."/>
    <s v="Consolidado/estratégico"/>
    <s v="SPCE0020RO"/>
    <s v="SPRINTENE ABONO CE, 20 L"/>
    <n v="20"/>
    <n v="10.61"/>
    <n v="11.0596256981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3017.4717113867732"/>
    <n v="0"/>
    <n v="0"/>
    <n v="284.39884178951678"/>
    <n v="3017.4717113867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3539.080223393727"/>
    <n v="0"/>
    <n v="0"/>
    <n v="320"/>
    <n v="3539.080223393727"/>
    <n v="35.60115821048322"/>
    <n v="0.1251803909835596"/>
    <n v="521.60851200695379"/>
    <n v="0.17286276787238955"/>
  </r>
  <r>
    <x v="1"/>
    <s v="RUMANÍA"/>
    <s v="SC MARCOSER S.R.L."/>
    <s v="Consolidado/estratégico"/>
    <s v="SPCE0200RO"/>
    <s v="SPRINTENE ABONO CE, 200 L"/>
    <n v="200"/>
    <n v="9.8115000000000023"/>
    <n v="10.2272872325128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3720.5056482904588"/>
    <n v="0"/>
    <n v="0"/>
    <n v="379.19845571935571"/>
    <n v="3720.50564829045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4090.914893005131"/>
    <n v="0"/>
    <n v="0"/>
    <n v="400"/>
    <n v="4090.914893005131"/>
    <n v="20.801544280644293"/>
    <n v="5.4856616547087129E-2"/>
    <n v="370.40924471467224"/>
    <n v="9.9558844880365163E-2"/>
  </r>
  <r>
    <x v="1"/>
    <s v="RUMANÍA"/>
    <s v="SC MARCOSER S.R.L."/>
    <s v="Consolidado/estratégico"/>
    <s v="SPCE1000RO"/>
    <s v="SPRINTENE ABONO CE, 1000 L"/>
    <n v="1000"/>
    <n v="10.34"/>
    <n v="10.77818376233834"/>
    <n v="0"/>
    <n v="0"/>
    <n v="0"/>
    <n v="0"/>
    <n v="0"/>
    <n v="0"/>
    <n v="0"/>
    <n v="0"/>
    <n v="0"/>
    <n v="0"/>
    <n v="0"/>
    <n v="0"/>
    <n v="989.23567419321319"/>
    <n v="10228.696871157819"/>
    <n v="0"/>
    <n v="0"/>
    <n v="0"/>
    <n v="0"/>
    <n v="0"/>
    <n v="0"/>
    <n v="0"/>
    <n v="0"/>
    <n v="0"/>
    <n v="0"/>
    <n v="989.23567419321319"/>
    <n v="10228.696871157819"/>
    <n v="0"/>
    <n v="0"/>
    <n v="0"/>
    <n v="0"/>
    <n v="0"/>
    <n v="0"/>
    <n v="0"/>
    <n v="0"/>
    <n v="0"/>
    <n v="0"/>
    <n v="0"/>
    <n v="0"/>
    <n v="1000"/>
    <n v="10778.18376233834"/>
    <n v="0"/>
    <n v="0"/>
    <n v="0"/>
    <n v="0"/>
    <n v="0"/>
    <n v="0"/>
    <n v="0"/>
    <n v="0"/>
    <n v="0"/>
    <n v="0"/>
    <n v="1000"/>
    <n v="10778.18376233834"/>
    <n v="10.764325806786815"/>
    <n v="1.0881457359052311E-2"/>
    <n v="549.48689118052062"/>
    <n v="5.3720126630199219E-2"/>
  </r>
  <r>
    <x v="1"/>
    <s v="RUMANÍA"/>
    <s v="SC MARCOSER S.R.L."/>
    <s v="Consolidado/estratégico"/>
    <s v="SS0001RO"/>
    <s v="SAL-WAX Ca"/>
    <n v="1"/>
    <n v="4.62"/>
    <n v="4.81578423423628"/>
    <n v="2611.5821798700831"/>
    <n v="12065.50967099978"/>
    <n v="0"/>
    <n v="0"/>
    <n v="870.52739329002759"/>
    <n v="4021.8365569999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2.1095731601108"/>
    <n v="16087.346227999707"/>
    <n v="2879"/>
    <n v="13864.642810366249"/>
    <n v="0"/>
    <n v="0"/>
    <n v="960"/>
    <n v="4623.1528648668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39"/>
    <n v="18487.795675233079"/>
    <n v="356.89042683988919"/>
    <n v="0.1024925894322163"/>
    <n v="2400.4494472333718"/>
    <n v="0.14921351310606076"/>
  </r>
  <r>
    <x v="1"/>
    <s v="RUMANÍA"/>
    <s v="SC MARCOSER S.R.L."/>
    <s v="Consolidado/estratégico"/>
    <s v="SS0001RO"/>
    <s v="SALWAX-CA"/>
    <n v="1"/>
    <n v="4.62"/>
    <n v="4.81578423423628"/>
    <n v="0"/>
    <n v="0"/>
    <n v="0"/>
    <n v="0"/>
    <n v="0"/>
    <n v="0"/>
    <n v="0"/>
    <n v="0"/>
    <n v="870.52739329002759"/>
    <n v="4021.8365569999278"/>
    <n v="870.52739329002759"/>
    <n v="4021.8365569999278"/>
    <n v="0"/>
    <n v="0"/>
    <n v="0"/>
    <n v="0"/>
    <n v="0"/>
    <n v="0"/>
    <n v="0"/>
    <n v="0"/>
    <n v="0"/>
    <n v="0"/>
    <n v="0"/>
    <n v="0"/>
    <n v="1741.0547865800552"/>
    <n v="8043.6731139998556"/>
    <n v="0"/>
    <n v="0"/>
    <n v="0"/>
    <n v="0"/>
    <n v="0"/>
    <n v="0"/>
    <n v="0"/>
    <n v="0"/>
    <n v="960"/>
    <n v="4623.1528648668291"/>
    <n v="960"/>
    <n v="4623.1528648668291"/>
    <n v="0"/>
    <n v="0"/>
    <n v="0"/>
    <n v="0"/>
    <n v="0"/>
    <n v="0"/>
    <n v="0"/>
    <n v="0"/>
    <n v="0"/>
    <n v="0"/>
    <n v="0"/>
    <n v="0"/>
    <n v="1920"/>
    <n v="9246.3057297336582"/>
    <n v="178.94521341994482"/>
    <n v="0.10277977166442072"/>
    <n v="1202.6326157338026"/>
    <n v="0.14951286541476233"/>
  </r>
  <r>
    <x v="1"/>
    <s v="RUMANÍA"/>
    <s v="SC MARCOSER S.R.L."/>
    <s v="Consolidado/estratégico"/>
    <s v="SS0001RO"/>
    <s v="SALWAX-CA, 1 KG"/>
    <n v="1"/>
    <n v="4.6883452490210296"/>
    <n v="4.8870106929812671"/>
    <n v="0"/>
    <n v="0"/>
    <n v="0"/>
    <n v="0"/>
    <n v="0"/>
    <n v="0"/>
    <n v="0"/>
    <n v="0"/>
    <n v="0"/>
    <n v="0"/>
    <n v="2611.5821798700831"/>
    <n v="12378.89953258419"/>
    <n v="0"/>
    <n v="0"/>
    <n v="0"/>
    <n v="0"/>
    <n v="0"/>
    <n v="0"/>
    <n v="0"/>
    <n v="0"/>
    <n v="834.23660258258258"/>
    <n v="3776.2885851151932"/>
    <n v="0"/>
    <n v="0"/>
    <n v="3445.8187824526658"/>
    <n v="16155.188117699383"/>
    <n v="0"/>
    <n v="0"/>
    <n v="0"/>
    <n v="0"/>
    <n v="0"/>
    <n v="0"/>
    <n v="0"/>
    <n v="0"/>
    <n v="0"/>
    <n v="0"/>
    <n v="2879"/>
    <n v="14224.763402843289"/>
    <n v="0"/>
    <n v="0"/>
    <n v="0"/>
    <n v="0"/>
    <n v="0"/>
    <n v="0"/>
    <n v="0"/>
    <n v="0"/>
    <n v="920"/>
    <n v="4340.9902197925403"/>
    <n v="0"/>
    <n v="0"/>
    <n v="3799"/>
    <n v="18565.753622635828"/>
    <n v="353.1812175473342"/>
    <n v="0.10249558663556496"/>
    <n v="2410.565504936445"/>
    <n v="0.14921308791789711"/>
  </r>
  <r>
    <x v="1"/>
    <s v="RUMANÍA"/>
    <s v="SC MARCOSER S.R.L."/>
    <s v="Consolidado/estratégico"/>
    <s v="SS0020RO"/>
    <s v="SAL-WAX-Ca"/>
    <n v="20"/>
    <n v="3.62"/>
    <n v="3.7734066943582971"/>
    <n v="3165.554157418283"/>
    <n v="11459.30604985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5.554157418283"/>
    <n v="11459.30604985418"/>
    <n v="3440"/>
    <n v="12980.51902859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0"/>
    <n v="12980.51902859254"/>
    <n v="274.44584258171699"/>
    <n v="8.6697566660980954E-2"/>
    <n v="1521.2129787383601"/>
    <n v="0.13274913612746364"/>
  </r>
  <r>
    <x v="1"/>
    <s v="RUMANÍA"/>
    <s v="SC MARCOSER S.R.L."/>
    <s v="Consolidado/estratégico"/>
    <s v="SS0020RO"/>
    <s v="SALWAX-CA"/>
    <n v="20"/>
    <n v="3.62"/>
    <n v="3.7734066943582971"/>
    <n v="0"/>
    <n v="0"/>
    <n v="0"/>
    <n v="0"/>
    <n v="0"/>
    <n v="0"/>
    <n v="0"/>
    <n v="0"/>
    <n v="0"/>
    <n v="0"/>
    <n v="3264.477724837604"/>
    <n v="11817.409363912129"/>
    <n v="0"/>
    <n v="0"/>
    <n v="0"/>
    <n v="0"/>
    <n v="0"/>
    <n v="0"/>
    <n v="0"/>
    <n v="0"/>
    <n v="0"/>
    <n v="0"/>
    <n v="0"/>
    <n v="0"/>
    <n v="3264.477724837604"/>
    <n v="11817.409363912129"/>
    <n v="0"/>
    <n v="0"/>
    <n v="0"/>
    <n v="0"/>
    <n v="0"/>
    <n v="0"/>
    <n v="0"/>
    <n v="0"/>
    <n v="0"/>
    <n v="0"/>
    <n v="3540"/>
    <n v="13357.859698028369"/>
    <n v="0"/>
    <n v="0"/>
    <n v="0"/>
    <n v="0"/>
    <n v="0"/>
    <n v="0"/>
    <n v="0"/>
    <n v="0"/>
    <n v="0"/>
    <n v="0"/>
    <n v="0"/>
    <n v="0"/>
    <n v="3540"/>
    <n v="13357.859698028369"/>
    <n v="275.522275162396"/>
    <n v="8.4400108803346863E-2"/>
    <n v="1540.4503341162399"/>
    <n v="0.13035431765784891"/>
  </r>
  <r>
    <x v="1"/>
    <s v="RUMANÍA"/>
    <s v="SC MARCOSER S.R.L."/>
    <s v="Consolidado/estratégico"/>
    <s v="SS0020RO"/>
    <s v="SALWAX-CA, 20 KG"/>
    <n v="20"/>
    <n v="3.5833739910536009"/>
    <n v="3.7350988930635252"/>
    <n v="0"/>
    <n v="0"/>
    <n v="0"/>
    <n v="0"/>
    <n v="0"/>
    <n v="0"/>
    <n v="0"/>
    <n v="0"/>
    <n v="0"/>
    <n v="0"/>
    <n v="1088.159241612535"/>
    <n v="3939.1364546373752"/>
    <n v="0"/>
    <n v="0"/>
    <n v="0"/>
    <n v="0"/>
    <n v="0"/>
    <n v="0"/>
    <n v="0"/>
    <n v="0"/>
    <n v="568.79768357903356"/>
    <n v="1998.3598953902381"/>
    <n v="0"/>
    <n v="0"/>
    <n v="1656.9569251915686"/>
    <n v="5937.4963500276135"/>
    <n v="0"/>
    <n v="0"/>
    <n v="0"/>
    <n v="0"/>
    <n v="0"/>
    <n v="0"/>
    <n v="0"/>
    <n v="0"/>
    <n v="0"/>
    <n v="0"/>
    <n v="1180"/>
    <n v="4452.6198993427906"/>
    <n v="0"/>
    <n v="0"/>
    <n v="0"/>
    <n v="0"/>
    <n v="0"/>
    <n v="0"/>
    <n v="0"/>
    <n v="0"/>
    <n v="620"/>
    <n v="2270.558108171555"/>
    <n v="0"/>
    <n v="0"/>
    <n v="1800"/>
    <n v="6723.1780075143452"/>
    <n v="143.04307480843136"/>
    <n v="8.6328782983838559E-2"/>
    <n v="785.68165748673164"/>
    <n v="0.13232541313193022"/>
  </r>
  <r>
    <x v="1"/>
    <s v="RUMANÍA"/>
    <s v="SC MARCOSER S.R.L."/>
    <s v="Consolidado/estratégico"/>
    <s v="SSAE0005RO"/>
    <s v="MAGNIFIC-VIETS-AE"/>
    <n v="5"/>
    <n v="4.3899999999999997"/>
    <n v="4.5760374000643429"/>
    <n v="0"/>
    <n v="0"/>
    <n v="0"/>
    <n v="0"/>
    <n v="0"/>
    <n v="0"/>
    <n v="0"/>
    <n v="0"/>
    <n v="544.07962080626726"/>
    <n v="2388.5095353395131"/>
    <n v="0"/>
    <n v="0"/>
    <n v="0"/>
    <n v="0"/>
    <n v="0"/>
    <n v="0"/>
    <n v="0"/>
    <n v="0"/>
    <n v="0"/>
    <n v="0"/>
    <n v="0"/>
    <n v="0"/>
    <n v="0"/>
    <n v="0"/>
    <n v="544.07962080626726"/>
    <n v="2388.5095353395131"/>
    <n v="0"/>
    <n v="0"/>
    <n v="0"/>
    <n v="0"/>
    <n v="0"/>
    <n v="0"/>
    <n v="0"/>
    <n v="0"/>
    <n v="655"/>
    <n v="2997.3044970421452"/>
    <n v="0"/>
    <n v="0"/>
    <n v="0"/>
    <n v="0"/>
    <n v="0"/>
    <n v="0"/>
    <n v="0"/>
    <n v="0"/>
    <n v="0"/>
    <n v="0"/>
    <n v="0"/>
    <n v="0"/>
    <n v="0"/>
    <n v="0"/>
    <n v="655"/>
    <n v="2997.3044970421452"/>
    <n v="110.92037919373274"/>
    <n v="0.20386791740032592"/>
    <n v="608.79496170263201"/>
    <n v="0.25488487807778221"/>
  </r>
  <r>
    <x v="1"/>
    <s v="RUMANÍA"/>
    <s v="SC MARCOSER S.R.L."/>
    <s v="Consolidado/estratégico"/>
    <s v="WHITE0005RO"/>
    <s v="AGROWHITE"/>
    <n v="5"/>
    <n v="1.9"/>
    <n v="1.980517325768167"/>
    <n v="0"/>
    <n v="0"/>
    <n v="0"/>
    <n v="0"/>
    <n v="0"/>
    <n v="0"/>
    <n v="0"/>
    <n v="0"/>
    <n v="0"/>
    <n v="0"/>
    <n v="553.97197754819945"/>
    <n v="1052.546757341579"/>
    <n v="0"/>
    <n v="0"/>
    <n v="0"/>
    <n v="0"/>
    <n v="0"/>
    <n v="0"/>
    <n v="0"/>
    <n v="0"/>
    <n v="0"/>
    <n v="0"/>
    <n v="0"/>
    <n v="0"/>
    <n v="553.97197754819945"/>
    <n v="1052.546757341579"/>
    <n v="0"/>
    <n v="0"/>
    <n v="0"/>
    <n v="0"/>
    <n v="0"/>
    <n v="0"/>
    <n v="0"/>
    <n v="0"/>
    <n v="0"/>
    <n v="0"/>
    <n v="600"/>
    <n v="1188.3103954609001"/>
    <n v="0"/>
    <n v="0"/>
    <n v="0"/>
    <n v="0"/>
    <n v="0"/>
    <n v="0"/>
    <n v="0"/>
    <n v="0"/>
    <n v="0"/>
    <n v="0"/>
    <n v="0"/>
    <n v="0"/>
    <n v="600"/>
    <n v="1188.3103954609001"/>
    <n v="46.028022451800553"/>
    <n v="8.3087275741841632E-2"/>
    <n v="135.76363811932106"/>
    <n v="0.12898584996092691"/>
  </r>
  <r>
    <x v="1"/>
    <s v="RUMANÍA"/>
    <s v="SC MARCOSER S.R.L."/>
    <s v="Consolidado/estratégico"/>
    <s v="WHITE0020RO"/>
    <s v="AGROWHITE"/>
    <n v="20"/>
    <n v="1.71"/>
    <n v="1.78246559319135"/>
    <n v="0"/>
    <n v="0"/>
    <n v="0"/>
    <n v="0"/>
    <n v="0"/>
    <n v="0"/>
    <n v="0"/>
    <n v="0"/>
    <n v="2176.318483225069"/>
    <n v="3721.5046063148679"/>
    <n v="1088.159241612535"/>
    <n v="1860.752303157434"/>
    <n v="0"/>
    <n v="0"/>
    <n v="0"/>
    <n v="0"/>
    <n v="0"/>
    <n v="0"/>
    <n v="0"/>
    <n v="0"/>
    <n v="0"/>
    <n v="0"/>
    <n v="0"/>
    <n v="0"/>
    <n v="3264.477724837604"/>
    <n v="5582.2569094723021"/>
    <n v="0"/>
    <n v="0"/>
    <n v="0"/>
    <n v="0"/>
    <n v="0"/>
    <n v="0"/>
    <n v="0"/>
    <n v="0"/>
    <n v="2360"/>
    <n v="4206.6187999315871"/>
    <n v="1180"/>
    <n v="2103.309399965794"/>
    <n v="0"/>
    <n v="0"/>
    <n v="0"/>
    <n v="0"/>
    <n v="0"/>
    <n v="0"/>
    <n v="0"/>
    <n v="0"/>
    <n v="0"/>
    <n v="0"/>
    <n v="0"/>
    <n v="0"/>
    <n v="3540"/>
    <n v="6309.9281998973811"/>
    <n v="275.522275162396"/>
    <n v="8.4400108803346863E-2"/>
    <n v="727.67129042507895"/>
    <n v="0.13035431765784972"/>
  </r>
  <r>
    <x v="2"/>
    <s v="ESPAÑA"/>
    <s v="CAMPOEJIDO S.C.A."/>
    <s v="Consolidado/estratégico"/>
    <s v="A-50(2)0005"/>
    <s v="CODIORGAN-A50, 5 KG"/>
    <n v="5"/>
    <n v="4.99"/>
    <n v="5.2014639239911338"/>
    <n v="0"/>
    <n v="0"/>
    <n v="0"/>
    <n v="0"/>
    <n v="0"/>
    <n v="0"/>
    <n v="98.92356741932133"/>
    <n v="493.6286014224134"/>
    <n v="0"/>
    <n v="0"/>
    <n v="0"/>
    <n v="0"/>
    <n v="247.3089185483033"/>
    <n v="1234.071503556034"/>
    <n v="0"/>
    <n v="0"/>
    <n v="189.59922785967791"/>
    <n v="946.10014701979253"/>
    <n v="0"/>
    <n v="0"/>
    <n v="0"/>
    <n v="0"/>
    <n v="189.59922785967791"/>
    <n v="946.10014701979253"/>
    <n v="725.43094168698053"/>
    <n v="3619.9003990180327"/>
    <n v="0"/>
    <n v="0"/>
    <n v="0"/>
    <n v="0"/>
    <n v="0"/>
    <n v="0"/>
    <n v="125"/>
    <n v="650.18299049889163"/>
    <n v="0"/>
    <n v="0"/>
    <n v="0"/>
    <n v="0"/>
    <n v="310"/>
    <n v="1612.453816437252"/>
    <n v="0"/>
    <n v="0"/>
    <n v="240"/>
    <n v="1248.351341757872"/>
    <n v="0"/>
    <n v="0"/>
    <n v="0"/>
    <n v="0"/>
    <n v="240"/>
    <n v="1248.351341757872"/>
    <n v="915"/>
    <n v="4759.3394904518882"/>
    <n v="189.56905831301947"/>
    <n v="0.26131923442937105"/>
    <n v="1139.4390914338555"/>
    <n v="0.31477084058526866"/>
  </r>
  <r>
    <x v="2"/>
    <s v="ESPAÑA"/>
    <s v="CAMPOEJIDO S.C.A."/>
    <s v="Consolidado/estratégico"/>
    <s v="AGN0005"/>
    <s v="AGROXILATO N, 5 L"/>
    <n v="5"/>
    <n v="3.08"/>
    <n v="3.2105228228241871"/>
    <n v="79.138853935457064"/>
    <n v="243.7476701212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43.7476701212077"/>
    <n v="85"/>
    <n v="272.89443994005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272.89443994005592"/>
    <n v="5.8611460645429361"/>
    <n v="7.4061548443992958E-2"/>
    <n v="29.146769818848213"/>
    <n v="0.11957763454458654"/>
  </r>
  <r>
    <x v="2"/>
    <s v="ESPAÑA"/>
    <s v="CAMPOEJIDO S.C.A."/>
    <s v="Consolidado/estratégico"/>
    <s v="AGN0005"/>
    <s v="AGROXILATO-N, 5 L"/>
    <n v="5"/>
    <n v="3.51"/>
    <n v="3.6587451649717182"/>
    <n v="0"/>
    <n v="0"/>
    <n v="0"/>
    <n v="0"/>
    <n v="0"/>
    <n v="0"/>
    <n v="39.569426967728532"/>
    <n v="138.88868865672711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38.88868865672711"/>
    <n v="0"/>
    <n v="0"/>
    <n v="0"/>
    <n v="0"/>
    <n v="0"/>
    <n v="0"/>
    <n v="40"/>
    <n v="146.3498065988687"/>
    <n v="0"/>
    <n v="0"/>
    <n v="0"/>
    <n v="0"/>
    <n v="0"/>
    <n v="0"/>
    <n v="0"/>
    <n v="0"/>
    <n v="0"/>
    <n v="0"/>
    <n v="0"/>
    <n v="0"/>
    <n v="0"/>
    <n v="0"/>
    <n v="0"/>
    <n v="0"/>
    <n v="40"/>
    <n v="146.3498065988687"/>
    <n v="0.43057303227146804"/>
    <n v="1.0881457359052195E-2"/>
    <n v="7.4611179421415841"/>
    <n v="5.3720126630198428E-2"/>
  </r>
  <r>
    <x v="2"/>
    <s v="ESPAÑA"/>
    <s v="CAMPOEJIDO S.C.A."/>
    <s v="Consolidado/estratégico"/>
    <s v="AGXK0020"/>
    <s v="AGROXILATO-K, 20 L"/>
    <n v="20"/>
    <n v="3.1671438318677261"/>
    <n v="3.3013654043737271"/>
    <n v="3798.6649889019391"/>
    <n v="12041.768014819139"/>
    <n v="4451.5605338694604"/>
    <n v="14048.72935062234"/>
    <n v="3165.554157418283"/>
    <n v="10034.806679015959"/>
    <n v="6964.2191463202207"/>
    <n v="22076.5746938351"/>
    <n v="3165.554157418283"/>
    <n v="10034.806679015959"/>
    <n v="633.11083148365651"/>
    <n v="2006.9613358031911"/>
    <n v="5064.8866518692521"/>
    <n v="16055.690686425531"/>
    <n v="2532.443325934626"/>
    <n v="8027.8453432127644"/>
    <n v="1820.152587452907"/>
    <n v="5761.142132191093"/>
    <n v="4796.8604648498504"/>
    <n v="15183.00999421194"/>
    <n v="1820.152587452907"/>
    <n v="5761.142132191093"/>
    <n v="3033.5876457548461"/>
    <n v="9601.9035536518222"/>
    <n v="41246.747078726228"/>
    <n v="130634.38059499594"/>
    <n v="4180"/>
    <n v="13812.1278299072"/>
    <n v="4900"/>
    <n v="16119.28921436059"/>
    <n v="3500"/>
    <n v="11565.178804946219"/>
    <n v="7680"/>
    <n v="25377.306634853419"/>
    <n v="3500"/>
    <n v="11565.178804946219"/>
    <n v="700"/>
    <n v="2313.035760989243"/>
    <n v="5600"/>
    <n v="18504.286087913952"/>
    <n v="2800"/>
    <n v="9252.143043956974"/>
    <n v="2000"/>
    <n v="6598.6612375662926"/>
    <n v="5280"/>
    <n v="17420.465667175009"/>
    <n v="2000"/>
    <n v="6598.6612375662926"/>
    <n v="3340"/>
    <n v="11019.76426673571"/>
    <n v="45480"/>
    <n v="150146.0985909171"/>
    <n v="4233.2529212737718"/>
    <n v="0.10263240670091897"/>
    <n v="19511.717995921164"/>
    <n v="0.14936127769008289"/>
  </r>
  <r>
    <x v="2"/>
    <s v="ESPAÑA"/>
    <s v="CAMPOEJIDO S.C.A."/>
    <s v="Consolidado/estratégico"/>
    <s v="AQUOM0001"/>
    <s v="AQUOM, 1 L"/>
    <n v="1"/>
    <n v="15.05"/>
    <n v="15.68778197516364"/>
    <n v="0"/>
    <n v="0"/>
    <n v="0"/>
    <n v="0"/>
    <n v="0"/>
    <n v="0"/>
    <n v="0"/>
    <n v="0"/>
    <n v="0"/>
    <n v="0"/>
    <n v="0"/>
    <n v="0"/>
    <n v="0"/>
    <n v="0"/>
    <n v="59.354140451592791"/>
    <n v="893.27981379647156"/>
    <n v="0"/>
    <n v="0"/>
    <n v="0"/>
    <n v="0"/>
    <n v="0"/>
    <n v="0"/>
    <n v="0"/>
    <n v="0"/>
    <n v="59.354140451592791"/>
    <n v="893.27981379647156"/>
    <n v="0"/>
    <n v="0"/>
    <n v="0"/>
    <n v="0"/>
    <n v="0"/>
    <n v="0"/>
    <n v="0"/>
    <n v="0"/>
    <n v="0"/>
    <n v="0"/>
    <n v="0"/>
    <n v="0"/>
    <n v="0"/>
    <n v="0"/>
    <n v="72"/>
    <n v="1129.5203022117821"/>
    <n v="0"/>
    <n v="0"/>
    <n v="0"/>
    <n v="0"/>
    <n v="0"/>
    <n v="0"/>
    <n v="0"/>
    <n v="0"/>
    <n v="72"/>
    <n v="1129.5203022117821"/>
    <n v="12.645859548407209"/>
    <n v="0.21305774883086279"/>
    <n v="236.24048841531055"/>
    <n v="0.26446415195623857"/>
  </r>
  <r>
    <x v="2"/>
    <s v="ESPAÑA"/>
    <s v="CAMPOEJIDO S.C.A."/>
    <s v="Consolidado/estratégico"/>
    <s v="AQUOM0005"/>
    <s v="AQUOM, 5 L"/>
    <n v="5"/>
    <n v="13.16"/>
    <n v="13.71768842479425"/>
    <n v="98.92356741932133"/>
    <n v="1301.834147238269"/>
    <n v="0"/>
    <n v="0"/>
    <n v="296.77070225796399"/>
    <n v="3905.5024417148061"/>
    <n v="197.84713483864269"/>
    <n v="2603.6682944765371"/>
    <n v="1187.082809031856"/>
    <n v="15622.009766859221"/>
    <n v="0"/>
    <n v="0"/>
    <n v="0"/>
    <n v="0"/>
    <n v="0"/>
    <n v="0"/>
    <n v="0"/>
    <n v="0"/>
    <n v="0"/>
    <n v="0"/>
    <n v="0"/>
    <n v="0"/>
    <n v="0"/>
    <n v="0"/>
    <n v="1780.6242135477839"/>
    <n v="23433.014650288831"/>
    <n v="120"/>
    <n v="1646.12261097531"/>
    <n v="0"/>
    <n v="0"/>
    <n v="360"/>
    <n v="4938.3678329259292"/>
    <n v="240"/>
    <n v="3292.2452219506199"/>
    <n v="1435"/>
    <n v="19684.882889579749"/>
    <n v="0"/>
    <n v="0"/>
    <n v="0"/>
    <n v="0"/>
    <n v="0"/>
    <n v="0"/>
    <n v="0"/>
    <n v="0"/>
    <n v="0"/>
    <n v="0"/>
    <n v="0"/>
    <n v="0"/>
    <n v="0"/>
    <n v="0"/>
    <n v="2155"/>
    <n v="29561.618555431607"/>
    <n v="374.37578645221606"/>
    <n v="0.21024974478264305"/>
    <n v="6128.6039051427761"/>
    <n v="0.26153715160448793"/>
  </r>
  <r>
    <x v="2"/>
    <s v="ESPAÑA"/>
    <s v="CAMPOEJIDO S.C.A."/>
    <s v="Consolidado/estratégico"/>
    <s v="AVAN0005"/>
    <s v="FLORAMEC AVANCE, 5 L"/>
    <n v="5"/>
    <n v="5.173"/>
    <n v="5.3922839542425658"/>
    <n v="197.84713483864269"/>
    <n v="1046.61134329642"/>
    <n v="98.92356741932133"/>
    <n v="510.44560788369802"/>
    <n v="1681.700646128462"/>
    <n v="8677.5753340228657"/>
    <n v="0"/>
    <n v="0"/>
    <n v="0"/>
    <n v="0"/>
    <n v="0"/>
    <n v="0"/>
    <n v="0"/>
    <n v="0"/>
    <n v="0"/>
    <n v="0"/>
    <n v="284.39884178951678"/>
    <n v="1471.19520857717"/>
    <n v="284.39884178951678"/>
    <n v="1471.19520857717"/>
    <n v="0"/>
    <n v="0"/>
    <n v="284.39884178951678"/>
    <n v="1471.19520857717"/>
    <n v="2831.667873754976"/>
    <n v="14648.217910934494"/>
    <n v="220"/>
    <n v="1213.118980909996"/>
    <n v="110"/>
    <n v="591.65349163474298"/>
    <n v="1855"/>
    <n v="9977.4293362040735"/>
    <n v="0"/>
    <n v="0"/>
    <n v="0"/>
    <n v="0"/>
    <n v="0"/>
    <n v="0"/>
    <n v="0"/>
    <n v="0"/>
    <n v="0"/>
    <n v="0"/>
    <n v="315"/>
    <n v="1698.548989343474"/>
    <n v="315"/>
    <n v="1698.548989343474"/>
    <n v="0"/>
    <n v="0"/>
    <n v="315"/>
    <n v="1698.548989343474"/>
    <n v="3130"/>
    <n v="16877.848776779232"/>
    <n v="298.33212624502403"/>
    <n v="0.10535562062559838"/>
    <n v="2229.6308658447379"/>
    <n v="0.15221174885583721"/>
  </r>
  <r>
    <x v="2"/>
    <s v="ESPAÑA"/>
    <s v="CAMPOEJIDO S.C.A."/>
    <s v="Consolidado/estratégico"/>
    <s v="AVAN0020"/>
    <s v="FLORAMEC AVANCE, 20 L"/>
    <n v="20"/>
    <n v="4.8694545454545466"/>
    <n v="5.075829099649841"/>
    <n v="633.11083148365651"/>
    <n v="3152.8919407886092"/>
    <n v="316.55541574182831"/>
    <n v="1538.4593205052849"/>
    <n v="3798.6649889019391"/>
    <n v="18461.511846063429"/>
    <n v="2532.443325934626"/>
    <n v="12307.67456404228"/>
    <n v="0"/>
    <n v="0"/>
    <n v="0"/>
    <n v="0"/>
    <n v="1899.33249445097"/>
    <n v="9230.7559230317111"/>
    <n v="1266.221662967313"/>
    <n v="6176.6292719545527"/>
    <n v="910.07629372645374"/>
    <n v="4431.5751451967053"/>
    <n v="606.7175291509692"/>
    <n v="2954.3834301311372"/>
    <n v="910.07629372645374"/>
    <n v="4431.5751451967053"/>
    <n v="1213.4350583019379"/>
    <n v="5908.7668602622743"/>
    <n v="14086.633894386146"/>
    <n v="68594.223447172699"/>
    <n v="700"/>
    <n v="3633.7281040146472"/>
    <n v="340"/>
    <n v="1722.4246468943779"/>
    <n v="4180"/>
    <n v="21175.691247113249"/>
    <n v="2800"/>
    <n v="14184.673562659589"/>
    <n v="0"/>
    <n v="0"/>
    <n v="0"/>
    <n v="0"/>
    <n v="2100"/>
    <n v="10638.50517199469"/>
    <n v="1400"/>
    <n v="7118.6046953347186"/>
    <n v="1000"/>
    <n v="5075.8100496385678"/>
    <n v="660"/>
    <n v="3350.0346327614552"/>
    <n v="1000"/>
    <n v="5075.8100496385678"/>
    <n v="1340"/>
    <n v="6801.5854665156812"/>
    <n v="15520"/>
    <n v="78776.867626565552"/>
    <n v="1433.3661056138535"/>
    <n v="0.10175362803920697"/>
    <n v="10182.644179392853"/>
    <n v="0.14844754656687581"/>
  </r>
  <r>
    <x v="2"/>
    <s v="ESPAÑA"/>
    <s v="CAMPOEJIDO S.C.A."/>
    <s v="Consolidado/estratégico"/>
    <s v="B0001"/>
    <s v="BOROCAL,1 L"/>
    <n v="1"/>
    <n v="5.0599999999999987"/>
    <n v="5.2744303517825912"/>
    <n v="0"/>
    <n v="0"/>
    <n v="11.870828090318559"/>
    <n v="60.066390137011908"/>
    <n v="0"/>
    <n v="0"/>
    <n v="0"/>
    <n v="0"/>
    <n v="0"/>
    <n v="0"/>
    <n v="0"/>
    <n v="0"/>
    <n v="47.483312361274237"/>
    <n v="240.2655605480476"/>
    <n v="0"/>
    <n v="0"/>
    <n v="0"/>
    <n v="0"/>
    <n v="0"/>
    <n v="0"/>
    <n v="0"/>
    <n v="0"/>
    <n v="34.127861014742017"/>
    <n v="172.68697673459459"/>
    <n v="93.482001466334822"/>
    <n v="473.01892741965412"/>
    <n v="0"/>
    <n v="0"/>
    <n v="13"/>
    <n v="68.567594573173693"/>
    <n v="0"/>
    <n v="0"/>
    <n v="0"/>
    <n v="0"/>
    <n v="0"/>
    <n v="0"/>
    <n v="0"/>
    <n v="0"/>
    <n v="51"/>
    <n v="268.99594794091217"/>
    <n v="0"/>
    <n v="0"/>
    <n v="0"/>
    <n v="0"/>
    <n v="0"/>
    <n v="0"/>
    <n v="0"/>
    <n v="0"/>
    <n v="37"/>
    <n v="195.15392301595591"/>
    <n v="101"/>
    <n v="532.71746553004175"/>
    <n v="7.5179985336651782"/>
    <n v="8.042188245587141E-2"/>
    <n v="59.698538110387631"/>
    <n v="0.12620750386469023"/>
  </r>
  <r>
    <x v="2"/>
    <s v="ESPAÑA"/>
    <s v="CAMPOEJIDO S.C.A."/>
    <s v="Consolidado/estratégico"/>
    <s v="B0005"/>
    <s v="BOROCAL, 5 L"/>
    <n v="5"/>
    <n v="3.43"/>
    <n v="3.5753549617814788"/>
    <n v="0"/>
    <n v="0"/>
    <n v="98.92356741932133"/>
    <n v="339.30783624827211"/>
    <n v="0"/>
    <n v="0"/>
    <n v="197.84713483864269"/>
    <n v="678.61567249654422"/>
    <n v="19.78471348386427"/>
    <n v="67.861567249654428"/>
    <n v="0"/>
    <n v="0"/>
    <n v="197.84713483864269"/>
    <n v="678.61567249654422"/>
    <n v="0"/>
    <n v="0"/>
    <n v="0"/>
    <n v="0"/>
    <n v="94.799613929838927"/>
    <n v="325.16267577934752"/>
    <n v="0"/>
    <n v="0"/>
    <n v="94.799613929838927"/>
    <n v="325.16267577934752"/>
    <n v="704.00177844014866"/>
    <n v="2414.7261000497101"/>
    <n v="0"/>
    <n v="0"/>
    <n v="110"/>
    <n v="393.28904579596281"/>
    <n v="0"/>
    <n v="0"/>
    <n v="215"/>
    <n v="768.70131678301811"/>
    <n v="20"/>
    <n v="71.507099235629596"/>
    <n v="0"/>
    <n v="0"/>
    <n v="215"/>
    <n v="768.70131678301811"/>
    <n v="0"/>
    <n v="0"/>
    <n v="0"/>
    <n v="0"/>
    <n v="105"/>
    <n v="375.41227098705548"/>
    <n v="0"/>
    <n v="0"/>
    <n v="105"/>
    <n v="375.41227098705548"/>
    <n v="770"/>
    <n v="2753.0233205717391"/>
    <n v="65.998221559851345"/>
    <n v="9.3747236982956353E-2"/>
    <n v="338.29722052202897"/>
    <n v="0.14009755413463443"/>
  </r>
  <r>
    <x v="2"/>
    <s v="ESPAÑA"/>
    <s v="CAMPOEJIDO S.C.A."/>
    <s v="Consolidado/estratégico"/>
    <s v="BIO0020"/>
    <s v="BIORAD-20, 20 L"/>
    <n v="20"/>
    <n v="2.1850000000000001"/>
    <n v="2.2775949246333922"/>
    <n v="1266.221662967313"/>
    <n v="2747.7010086390692"/>
    <n v="0"/>
    <n v="0"/>
    <n v="0"/>
    <n v="0"/>
    <n v="1266.221662967313"/>
    <n v="2773.025441898415"/>
    <n v="633.11083148365651"/>
    <n v="1386.512720949208"/>
    <n v="0"/>
    <n v="0"/>
    <n v="1899.33249445097"/>
    <n v="4159.5381628476234"/>
    <n v="0"/>
    <n v="0"/>
    <n v="606.7175291509692"/>
    <n v="1325.6778011948679"/>
    <n v="606.7175291509692"/>
    <n v="1325.6778011948679"/>
    <n v="606.7175291509692"/>
    <n v="1325.6778011948679"/>
    <n v="606.7175291509692"/>
    <n v="1325.6778011948679"/>
    <n v="7491.7567684731293"/>
    <n v="16369.488539113787"/>
    <n v="1600"/>
    <n v="3619.1348184563558"/>
    <n v="0"/>
    <n v="0"/>
    <n v="0"/>
    <n v="0"/>
    <n v="1600"/>
    <n v="3652.490899732451"/>
    <n v="800"/>
    <n v="1826.245449866226"/>
    <n v="0"/>
    <n v="0"/>
    <n v="2400"/>
    <n v="5478.7363495986756"/>
    <n v="0"/>
    <n v="0"/>
    <n v="760"/>
    <n v="1730.9721427213781"/>
    <n v="760"/>
    <n v="1730.9721427213781"/>
    <n v="760"/>
    <n v="1730.9721427213781"/>
    <n v="760"/>
    <n v="1730.9721427213781"/>
    <n v="9440"/>
    <n v="21500.496088539217"/>
    <n v="1948.2432315268707"/>
    <n v="0.26005158626151392"/>
    <n v="5131.0075494254306"/>
    <n v="0.31344947260662631"/>
  </r>
  <r>
    <x v="2"/>
    <s v="ESPAÑA"/>
    <s v="CAMPOEJIDO S.C.A."/>
    <s v="Consolidado/estratégico"/>
    <s v="BROTA0005"/>
    <s v="BROTAMEC, 5 L"/>
    <n v="5"/>
    <n v="3.297608695652174"/>
    <n v="3.437303093507643"/>
    <n v="633.11083148365651"/>
    <n v="2051.2790940070472"/>
    <n v="197.84713483864269"/>
    <n v="652.89554496752078"/>
    <n v="0"/>
    <n v="0"/>
    <n v="0"/>
    <n v="0"/>
    <n v="0"/>
    <n v="0"/>
    <n v="197.84713483864269"/>
    <n v="652.89554496752078"/>
    <n v="0"/>
    <n v="0"/>
    <n v="791.38853935457064"/>
    <n v="2645.2161927926518"/>
    <n v="0"/>
    <n v="0"/>
    <n v="189.59922785967791"/>
    <n v="625.22406247901165"/>
    <n v="94.799613929838927"/>
    <n v="312.61203123950582"/>
    <n v="94.799613929838927"/>
    <n v="312.61203123950582"/>
    <n v="2199.3920962348684"/>
    <n v="7252.7345016927648"/>
    <n v="690"/>
    <n v="2330.339228151217"/>
    <n v="215"/>
    <n v="739.56686454342866"/>
    <n v="0"/>
    <n v="0"/>
    <n v="0"/>
    <n v="0"/>
    <n v="0"/>
    <n v="0"/>
    <n v="215"/>
    <n v="739.56686454342866"/>
    <n v="0"/>
    <n v="0"/>
    <n v="860"/>
    <n v="2996.366357256255"/>
    <n v="0"/>
    <n v="0"/>
    <n v="205"/>
    <n v="704.65741412910199"/>
    <n v="105"/>
    <n v="360.92209016368639"/>
    <n v="105"/>
    <n v="360.92209016368639"/>
    <n v="2395"/>
    <n v="8232.3409089508041"/>
    <n v="195.6079037651316"/>
    <n v="8.8937258663424348E-2"/>
    <n v="979.60640725803933"/>
    <n v="0.13506718149263597"/>
  </r>
  <r>
    <x v="2"/>
    <s v="ESPAÑA"/>
    <s v="CAMPOEJIDO S.C.A."/>
    <s v="Consolidado/estratégico"/>
    <s v="C-CU0005"/>
    <s v="CODICOBRE, 5 L"/>
    <n v="5"/>
    <n v="4.04"/>
    <n v="4.2112052611070503"/>
    <n v="197.84713483864269"/>
    <n v="799.30242474811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99.30242474811632"/>
    <n v="215"/>
    <n v="905.40913113801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"/>
    <n v="905.40913113801582"/>
    <n v="17.152865161357312"/>
    <n v="8.6697566660980954E-2"/>
    <n v="106.1067063898995"/>
    <n v="0.1327491361274637"/>
  </r>
  <r>
    <x v="2"/>
    <s v="ESPAÑA"/>
    <s v="CAMPOEJIDO S.C.A."/>
    <s v="Consolidado/estratégico"/>
    <s v="C-CUAE0005"/>
    <s v="CUPRAMEC, 5 L"/>
    <n v="5"/>
    <n v="4.593684210526316"/>
    <n v="4.7882701221390214"/>
    <n v="0"/>
    <n v="0"/>
    <n v="593.54140451592798"/>
    <n v="2801.51542931518"/>
    <n v="98.92356741932133"/>
    <n v="466.91923821919659"/>
    <n v="593.54140451592798"/>
    <n v="2682.8071484119941"/>
    <n v="0"/>
    <n v="0"/>
    <n v="0"/>
    <n v="0"/>
    <n v="593.54140451592798"/>
    <n v="2682.8071484119941"/>
    <n v="0"/>
    <n v="0"/>
    <n v="0"/>
    <n v="0"/>
    <n v="0"/>
    <n v="0"/>
    <n v="568.79768357903356"/>
    <n v="2612.8769380409499"/>
    <n v="284.39884178951678"/>
    <n v="1306.4384690204749"/>
    <n v="2732.7443063356554"/>
    <n v="12553.36437141979"/>
    <n v="0"/>
    <n v="0"/>
    <n v="715"/>
    <n v="3517.8157215802162"/>
    <n v="120"/>
    <n v="590.40263858688934"/>
    <n v="715"/>
    <n v="3368.755733377664"/>
    <n v="0"/>
    <n v="0"/>
    <n v="0"/>
    <n v="0"/>
    <n v="720"/>
    <n v="3392.313465778906"/>
    <n v="0"/>
    <n v="0"/>
    <n v="0"/>
    <n v="0"/>
    <n v="0"/>
    <n v="0"/>
    <n v="685"/>
    <n v="3280.0219737461571"/>
    <n v="345"/>
    <n v="1651.9818699889399"/>
    <n v="3300"/>
    <n v="15801.291403058773"/>
    <n v="567.25569366434456"/>
    <n v="0.20757730328051779"/>
    <n v="3247.927031638983"/>
    <n v="0.25872960710305914"/>
  </r>
  <r>
    <x v="2"/>
    <s v="ESPAÑA"/>
    <s v="CAMPOEJIDO S.C.A."/>
    <s v="Consolidado/estratégico"/>
    <s v="C-GLB0001"/>
    <s v="CODIORGAN GLB, 1 KG"/>
    <n v="1"/>
    <n v="9.4216666666666651"/>
    <n v="9.8209337215503929"/>
    <n v="178.06242135477839"/>
    <n v="1750.3536019174719"/>
    <n v="0"/>
    <n v="0"/>
    <n v="118.7082809031856"/>
    <n v="1108.735343635753"/>
    <n v="415.47898316114959"/>
    <n v="3880.5737027251371"/>
    <n v="0"/>
    <n v="0"/>
    <n v="0"/>
    <n v="0"/>
    <n v="0"/>
    <n v="0"/>
    <n v="356.12484270955679"/>
    <n v="3326.2060309072599"/>
    <n v="56.879768357903359"/>
    <n v="535.90221754537947"/>
    <n v="113.7595367158067"/>
    <n v="1071.8044350907589"/>
    <n v="102.383583044226"/>
    <n v="964.62399158168307"/>
    <n v="102.383583044226"/>
    <n v="964.62399158168307"/>
    <n v="1443.7809992908326"/>
    <n v="13602.823314985124"/>
    <n v="215"/>
    <n v="2203.0128116551218"/>
    <n v="0"/>
    <n v="0"/>
    <n v="143"/>
    <n v="1392.220289811831"/>
    <n v="502"/>
    <n v="4887.3747236750996"/>
    <n v="0"/>
    <n v="0"/>
    <n v="0"/>
    <n v="0"/>
    <n v="0"/>
    <n v="0"/>
    <n v="430"/>
    <n v="4186.3966756579539"/>
    <n v="69"/>
    <n v="677.64442678697708"/>
    <n v="137"/>
    <n v="1345.4679198524041"/>
    <n v="124"/>
    <n v="1217.795781472249"/>
    <n v="124"/>
    <n v="1217.795781472249"/>
    <n v="1744"/>
    <n v="17127.708410383886"/>
    <n v="300.2190007091674"/>
    <n v="0.20793943185055855"/>
    <n v="3524.8850953987621"/>
    <n v="0.25912893329399367"/>
  </r>
  <r>
    <x v="2"/>
    <s v="ESPAÑA"/>
    <s v="CAMPOEJIDO S.C.A."/>
    <s v="Consolidado/estratégico"/>
    <s v="C-L0005"/>
    <s v="CODIBOR-L, 5 L"/>
    <n v="5"/>
    <n v="4.6281065013728417"/>
    <n v="4.8243978061988582"/>
    <n v="791.38853935457064"/>
    <n v="3814.4927596890302"/>
    <n v="197.84713483864269"/>
    <n v="906.13987756098334"/>
    <n v="890.31210677389186"/>
    <n v="4077.629449024425"/>
    <n v="197.84713483864269"/>
    <n v="906.13987756098334"/>
    <n v="0"/>
    <n v="0"/>
    <n v="197.84713483864269"/>
    <n v="906.13987756098334"/>
    <n v="1187.082809031856"/>
    <n v="5436.8392653659002"/>
    <n v="0"/>
    <n v="0"/>
    <n v="284.39884178951678"/>
    <n v="1309.216254520011"/>
    <n v="0"/>
    <n v="0"/>
    <n v="379.19845571935571"/>
    <n v="1745.621672693348"/>
    <n v="284.39884178951678"/>
    <n v="1309.216254520011"/>
    <n v="4410.3209989746365"/>
    <n v="20411.435288495679"/>
    <n v="850"/>
    <n v="4270.6207808800946"/>
    <n v="210"/>
    <n v="1002.558717854644"/>
    <n v="955"/>
    <n v="4559.2551216723086"/>
    <n v="210"/>
    <n v="1002.558717854644"/>
    <n v="0"/>
    <n v="0"/>
    <n v="210"/>
    <n v="1002.558717854644"/>
    <n v="1270"/>
    <n v="6063.0931984542731"/>
    <n v="0"/>
    <n v="0"/>
    <n v="305"/>
    <n v="1463.552984393931"/>
    <n v="0"/>
    <n v="0"/>
    <n v="405"/>
    <n v="1943.4064219001391"/>
    <n v="305"/>
    <n v="1463.552984393931"/>
    <n v="4720"/>
    <n v="22771.157645258605"/>
    <n v="309.6790010253635"/>
    <n v="7.0216884688747455E-2"/>
    <n v="2359.7223567629262"/>
    <n v="0.11560786017301371"/>
  </r>
  <r>
    <x v="2"/>
    <s v="ESPAÑA"/>
    <s v="CAMPOEJIDO S.C.A."/>
    <s v="Consolidado/estratégico"/>
    <s v="C-M-P0001"/>
    <s v="CODIFOL Mo-PLUS, 1 L"/>
    <n v="1"/>
    <n v="16.350000000000001"/>
    <n v="17.042872777005019"/>
    <n v="35.612484270955683"/>
    <n v="582.26411783012531"/>
    <n v="11.870828090318559"/>
    <n v="194.0880392767084"/>
    <n v="23.741656180637118"/>
    <n v="388.17607855341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224968541911366"/>
    <n v="1164.5282356602506"/>
    <n v="38"/>
    <n v="647.62916552619072"/>
    <n v="13"/>
    <n v="221.55734610106521"/>
    <n v="25"/>
    <n v="426.0718194251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1295.2583310523812"/>
    <n v="4.7750314580886339"/>
    <n v="6.7041538323443853E-2"/>
    <n v="130.73009539213058"/>
    <n v="0.11226013366520972"/>
  </r>
  <r>
    <x v="2"/>
    <s v="ESPAÑA"/>
    <s v="CAMPOEJIDO S.C.A."/>
    <s v="Consolidado/estratégico"/>
    <s v="C-M-P0001"/>
    <s v="CODIFOL-MO-PLUS, 1 L"/>
    <n v="1"/>
    <n v="10.25416666666667"/>
    <n v="10.66086519216384"/>
    <n v="0"/>
    <n v="0"/>
    <n v="0"/>
    <n v="0"/>
    <n v="0"/>
    <n v="0"/>
    <n v="35.612484270955683"/>
    <n v="582.26411783012531"/>
    <n v="0"/>
    <n v="0"/>
    <n v="47.483312361274237"/>
    <n v="878.44127868357339"/>
    <n v="59.354140451592791"/>
    <n v="0"/>
    <n v="0"/>
    <n v="0"/>
    <n v="0"/>
    <n v="0"/>
    <n v="0"/>
    <n v="0"/>
    <n v="0"/>
    <n v="0"/>
    <n v="0"/>
    <n v="0"/>
    <n v="142.4499370838227"/>
    <n v="1460.7053965136988"/>
    <n v="0"/>
    <n v="0"/>
    <n v="0"/>
    <n v="0"/>
    <n v="0"/>
    <n v="0"/>
    <n v="38"/>
    <n v="647.62916552619072"/>
    <n v="0"/>
    <n v="0"/>
    <n v="51"/>
    <n v="983.48320887487671"/>
    <n v="64"/>
    <n v="0"/>
    <n v="0"/>
    <n v="0"/>
    <n v="0"/>
    <n v="0"/>
    <n v="0"/>
    <n v="0"/>
    <n v="0"/>
    <n v="0"/>
    <n v="0"/>
    <n v="0"/>
    <n v="153"/>
    <n v="1631.1123744010674"/>
    <n v="10.550062916177296"/>
    <n v="7.4061548443993042E-2"/>
    <n v="170.40697788736861"/>
    <n v="0.11666074370238044"/>
  </r>
  <r>
    <x v="2"/>
    <s v="ESPAÑA"/>
    <s v="CAMPOEJIDO S.C.A."/>
    <s v="Consolidado/estratégico"/>
    <s v="C-MB0001"/>
    <s v="CODIFOL-MB, 1 L"/>
    <n v="1"/>
    <n v="9.4214285714285726"/>
    <n v="9.8224567254449298"/>
    <n v="35.612484270955683"/>
    <n v="324.07360686569672"/>
    <n v="0"/>
    <n v="0"/>
    <n v="71.224968541911352"/>
    <n v="648.14721373139332"/>
    <n v="59.354140451592791"/>
    <n v="593.54140451592798"/>
    <n v="0"/>
    <n v="0"/>
    <n v="0"/>
    <n v="0"/>
    <n v="0"/>
    <n v="0"/>
    <n v="0"/>
    <n v="0"/>
    <n v="45.503814686322677"/>
    <n v="428.71093979471169"/>
    <n v="0"/>
    <n v="0"/>
    <n v="0"/>
    <n v="0"/>
    <n v="0"/>
    <n v="0"/>
    <n v="211.69540795078251"/>
    <n v="1994.4731649077298"/>
    <n v="38"/>
    <n v="360.45415328980641"/>
    <n v="0"/>
    <n v="0"/>
    <n v="76"/>
    <n v="720.90830657961283"/>
    <n v="64"/>
    <n v="667.12162552190898"/>
    <n v="0"/>
    <n v="0"/>
    <n v="0"/>
    <n v="0"/>
    <n v="0"/>
    <n v="0"/>
    <n v="0"/>
    <n v="0"/>
    <n v="49"/>
    <n v="481.21359128467083"/>
    <n v="0"/>
    <n v="0"/>
    <n v="0"/>
    <n v="0"/>
    <n v="0"/>
    <n v="0"/>
    <n v="227"/>
    <n v="2229.697676675999"/>
    <n v="15.30459204921749"/>
    <n v="7.2295342621582451E-2"/>
    <n v="235.22451176826917"/>
    <n v="0.11793816828773995"/>
  </r>
  <r>
    <x v="2"/>
    <s v="ESPAÑA"/>
    <s v="CAMPOEJIDO S.C.A."/>
    <s v="Consolidado/estratégico"/>
    <s v="C-MB0005"/>
    <s v="CODIFOL-MB, 5 L"/>
    <n v="5"/>
    <n v="8.5647659574468076"/>
    <n v="8.9265728275291689"/>
    <n v="593.54140451592798"/>
    <n v="4778.0083063532202"/>
    <n v="791.38853935457064"/>
    <n v="6370.677741804293"/>
    <n v="494.61783709660659"/>
    <n v="3981.6735886276829"/>
    <n v="1068.3745281286699"/>
    <n v="9042.009756395646"/>
    <n v="217.6318483225069"/>
    <n v="1751.936378996181"/>
    <n v="197.84713483864269"/>
    <n v="1830.085997257444"/>
    <n v="1187.082809031856"/>
    <n v="10980.51598354467"/>
    <n v="98.92356741932133"/>
    <n v="1086.1807702641479"/>
    <n v="379.19845571935571"/>
    <n v="3247.7460246615392"/>
    <n v="113.7595367158067"/>
    <n v="974.32380739846178"/>
    <n v="189.59922785967791"/>
    <n v="1623.8730123307701"/>
    <n v="284.39884178951678"/>
    <n v="2435.8095184961549"/>
    <n v="5616.3637307924591"/>
    <n v="48102.840886130209"/>
    <n v="635"/>
    <n v="5328.3733894712786"/>
    <n v="850"/>
    <n v="7132.4683166150953"/>
    <n v="530"/>
    <n v="4447.3037738894136"/>
    <n v="1145"/>
    <n v="10101.17692314659"/>
    <n v="235"/>
    <n v="1971.917711064174"/>
    <n v="210"/>
    <n v="2024.818371212981"/>
    <n v="1270"/>
    <n v="12245.330149716599"/>
    <n v="105"/>
    <n v="1201.7570657253259"/>
    <n v="405"/>
    <n v="3615.72646568341"/>
    <n v="120"/>
    <n v="1071.326360202492"/>
    <n v="205"/>
    <n v="1830.1825320125899"/>
    <n v="305"/>
    <n v="2722.9544988480011"/>
    <n v="6015"/>
    <n v="53693.335557587954"/>
    <n v="398.63626920754086"/>
    <n v="7.0977644667485587E-2"/>
    <n v="5590.4946714577454"/>
    <n v="0.11621963627245324"/>
  </r>
  <r>
    <x v="2"/>
    <s v="ESPAÑA"/>
    <s v="CAMPOEJIDO S.C.A."/>
    <s v="Consolidado/estratégico"/>
    <s v="CALCIO0005"/>
    <s v="CALCIAMEC, 5 KG"/>
    <n v="5"/>
    <n v="3.9722297705146921"/>
    <n v="4.14056834396479"/>
    <n v="0"/>
    <n v="0"/>
    <n v="0"/>
    <n v="0"/>
    <n v="197.84713483864269"/>
    <n v="787.43159665779774"/>
    <n v="1483.8535112898201"/>
    <n v="5905.736974933483"/>
    <n v="890.31210677389186"/>
    <n v="3543.4421849600899"/>
    <n v="0"/>
    <n v="0"/>
    <n v="1731.162429838123"/>
    <n v="6890.0264707557308"/>
    <n v="0"/>
    <n v="0"/>
    <n v="758.39691143871141"/>
    <n v="3004.5419157673318"/>
    <n v="805.79671840363096"/>
    <n v="3192.32578550279"/>
    <n v="473.99806964919469"/>
    <n v="1877.8386973545821"/>
    <n v="1137.5953671580669"/>
    <n v="4506.8128736509971"/>
    <n v="7478.9622493900824"/>
    <n v="29708.156499582805"/>
    <n v="0"/>
    <n v="0"/>
    <n v="0"/>
    <n v="0"/>
    <n v="215"/>
    <n v="891.96246087358975"/>
    <n v="1615"/>
    <n v="6700.0901130737084"/>
    <n v="970"/>
    <n v="4024.2027304529402"/>
    <n v="0"/>
    <n v="0"/>
    <n v="1880"/>
    <n v="7799.4857043830179"/>
    <n v="0"/>
    <n v="0"/>
    <n v="825"/>
    <n v="3406.910345742509"/>
    <n v="875"/>
    <n v="3613.3897606359942"/>
    <n v="515"/>
    <n v="2126.7379734029"/>
    <n v="1235"/>
    <n v="5100.0415478690893"/>
    <n v="8130"/>
    <n v="33662.820636433746"/>
    <n v="651.03775060991757"/>
    <n v="8.7049209355617538E-2"/>
    <n v="3954.6641368509408"/>
    <n v="0.13311711673884835"/>
  </r>
  <r>
    <x v="2"/>
    <s v="ESPAÑA"/>
    <s v="CAMPOEJIDO S.C.A."/>
    <s v="Consolidado/estratégico"/>
    <s v="CPLUS0020"/>
    <s v="CALCIPLUS, 20 L"/>
    <n v="20"/>
    <n v="2.1482588293667471"/>
    <n v="2.2393010990037392"/>
    <n v="2532.443325934626"/>
    <n v="5444.7531507594458"/>
    <n v="1266.221662967313"/>
    <n v="2722.3765753797229"/>
    <n v="4431.7758203855956"/>
    <n v="9528.31801382903"/>
    <n v="2532.443325934626"/>
    <n v="5444.7531507594458"/>
    <n v="633.11083148365651"/>
    <n v="1361.188287689861"/>
    <n v="3165.554157418283"/>
    <n v="6805.9414384493066"/>
    <n v="5064.8866518692521"/>
    <n v="10889.50630151889"/>
    <n v="633.11083148365651"/>
    <n v="1361.188287689861"/>
    <n v="1213.4350583019379"/>
    <n v="2602.363161910795"/>
    <n v="4247.0227040567843"/>
    <n v="9108.2710666877811"/>
    <n v="2426.8701166038768"/>
    <n v="5204.7263238215892"/>
    <n v="1820.152587452907"/>
    <n v="3903.5447428661919"/>
    <n v="29967.027073892514"/>
    <n v="64376.930501361923"/>
    <n v="2720"/>
    <n v="6095.8238532064424"/>
    <n v="1360"/>
    <n v="3047.9119266032212"/>
    <n v="4740"/>
    <n v="10622.86950889652"/>
    <n v="2720"/>
    <n v="6095.8238532064424"/>
    <n v="680"/>
    <n v="1523.9559633016111"/>
    <n v="3400"/>
    <n v="7619.779816508053"/>
    <n v="5440"/>
    <n v="12191.647706412879"/>
    <n v="680"/>
    <n v="1523.9559633016111"/>
    <n v="1300"/>
    <n v="2906.1616108990638"/>
    <n v="4540"/>
    <n v="10149.210548832119"/>
    <n v="2600"/>
    <n v="5812.3232217981295"/>
    <n v="1940"/>
    <n v="4336.8873270339882"/>
    <n v="32120"/>
    <n v="71926.351300000068"/>
    <n v="2152.9729261074863"/>
    <n v="7.1844728567792143E-2"/>
    <n v="7549.4207986381443"/>
    <n v="0.11726903938792846"/>
  </r>
  <r>
    <x v="2"/>
    <s v="ESPAÑA"/>
    <s v="CAMPOEJIDO S.C.A."/>
    <s v="Consolidado/estratégico"/>
    <s v="FTK0005"/>
    <s v="FITOKONTROL CA FLOW, 5 KG"/>
    <n v="5"/>
    <n v="2.2999999999999998"/>
    <n v="2.3974683417193599"/>
    <n v="0"/>
    <n v="0"/>
    <n v="0"/>
    <n v="0"/>
    <n v="0"/>
    <n v="0"/>
    <n v="0"/>
    <n v="0"/>
    <n v="0"/>
    <n v="0"/>
    <n v="237.41656180637119"/>
    <n v="546.05809215465365"/>
    <n v="0"/>
    <n v="0"/>
    <n v="0"/>
    <n v="0"/>
    <n v="0"/>
    <n v="0"/>
    <n v="0"/>
    <n v="0"/>
    <n v="284.39884178951678"/>
    <n v="654.11733611588863"/>
    <n v="284.39884178951678"/>
    <n v="654.11733611588863"/>
    <n v="806.21424538540487"/>
    <n v="1854.2927643864309"/>
    <n v="0"/>
    <n v="0"/>
    <n v="0"/>
    <n v="0"/>
    <n v="0"/>
    <n v="0"/>
    <n v="0"/>
    <n v="0"/>
    <n v="0"/>
    <n v="0"/>
    <n v="300"/>
    <n v="719.24050251580809"/>
    <n v="0"/>
    <n v="0"/>
    <n v="0"/>
    <n v="0"/>
    <n v="0"/>
    <n v="0"/>
    <n v="0"/>
    <n v="0"/>
    <n v="360"/>
    <n v="863.08860301896959"/>
    <n v="360"/>
    <n v="863.08860301896959"/>
    <n v="1020"/>
    <n v="2445.4177085537472"/>
    <n v="213.78575461459513"/>
    <n v="0.26517238542764326"/>
    <n v="591.12494416731624"/>
    <n v="0.31878727864362577"/>
  </r>
  <r>
    <x v="2"/>
    <s v="ESPAÑA"/>
    <s v="CAMPOEJIDO S.C.A."/>
    <s v="Consolidado/estratégico"/>
    <s v="HST0001"/>
    <s v="HIDROSTRESS, 1 L"/>
    <n v="1"/>
    <n v="8.1300000000000008"/>
    <n v="8.4745293992080004"/>
    <n v="59.354140451592791"/>
    <n v="482.54916187144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482.54916187144943"/>
    <n v="75"/>
    <n v="635.5897049405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635.58970494059997"/>
    <n v="15.645859548407209"/>
    <n v="0.26360182169881541"/>
    <n v="153.04054306915054"/>
    <n v="0.31715015828774845"/>
  </r>
  <r>
    <x v="2"/>
    <s v="ESPAÑA"/>
    <s v="CAMPOEJIDO S.C.A."/>
    <s v="Consolidado/estratégico"/>
    <s v="HST0001"/>
    <s v="HIDROSTRESS-40, 1 L"/>
    <n v="1"/>
    <n v="7.879999999999999"/>
    <n v="8.213935014238503"/>
    <n v="0"/>
    <n v="0"/>
    <n v="0"/>
    <n v="0"/>
    <n v="0"/>
    <n v="0"/>
    <n v="0"/>
    <n v="0"/>
    <n v="0"/>
    <n v="0"/>
    <n v="0"/>
    <n v="0"/>
    <n v="47.483312361274237"/>
    <n v="374.16850140684102"/>
    <n v="0"/>
    <n v="0"/>
    <n v="0"/>
    <n v="0"/>
    <n v="0"/>
    <n v="0"/>
    <n v="0"/>
    <n v="0"/>
    <n v="0"/>
    <n v="0"/>
    <n v="47.483312361274237"/>
    <n v="374.16850140684102"/>
    <n v="0"/>
    <n v="0"/>
    <n v="0"/>
    <n v="0"/>
    <n v="0"/>
    <n v="0"/>
    <n v="0"/>
    <n v="0"/>
    <n v="0"/>
    <n v="0"/>
    <n v="0"/>
    <n v="0"/>
    <n v="60"/>
    <n v="492.83610085431008"/>
    <n v="0"/>
    <n v="0"/>
    <n v="0"/>
    <n v="0"/>
    <n v="0"/>
    <n v="0"/>
    <n v="0"/>
    <n v="0"/>
    <n v="0"/>
    <n v="0"/>
    <n v="60"/>
    <n v="492.83610085431008"/>
    <n v="12.516687638725763"/>
    <n v="0.2636018216988153"/>
    <n v="118.66759944746906"/>
    <n v="0.3171501582877479"/>
  </r>
  <r>
    <x v="2"/>
    <s v="ESPAÑA"/>
    <s v="CAMPOEJIDO S.C.A."/>
    <s v="Consolidado/estratégico"/>
    <s v="HST0005"/>
    <s v="HIDROSTRESS, 5 L"/>
    <n v="5"/>
    <n v="6.6466666666666674"/>
    <n v="6.9283360483889922"/>
    <n v="138.49299438704989"/>
    <n v="932.05785222484553"/>
    <n v="98.92356741932133"/>
    <n v="645.97089524816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41656180637122"/>
    <n v="1578.0287474730139"/>
    <n v="175"/>
    <n v="1227.6601475912939"/>
    <n v="125"/>
    <n v="850.84066692540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2078.5008145166976"/>
    <n v="62.58343819362878"/>
    <n v="0.26360182169881508"/>
    <n v="500.47206704368364"/>
    <n v="0.31715015828774834"/>
  </r>
  <r>
    <x v="2"/>
    <s v="ESPAÑA"/>
    <s v="CAMPOEJIDO S.C.A."/>
    <s v="Consolidado/estratégico"/>
    <s v="HST0005"/>
    <s v="HIDROSTRESS-40, 5 L"/>
    <n v="5"/>
    <n v="6.2592818329537669"/>
    <n v="6.5245741436279134"/>
    <n v="0"/>
    <n v="0"/>
    <n v="0"/>
    <n v="0"/>
    <n v="0"/>
    <n v="0"/>
    <n v="98.92356741932133"/>
    <n v="645.97089524816829"/>
    <n v="0"/>
    <n v="0"/>
    <n v="19.78471348386427"/>
    <n v="0"/>
    <n v="316.55541574182831"/>
    <n v="2067.1068647941379"/>
    <n v="0"/>
    <n v="0"/>
    <n v="0"/>
    <n v="0"/>
    <n v="0"/>
    <n v="0"/>
    <n v="0"/>
    <n v="0"/>
    <n v="94.799613929838927"/>
    <n v="604.73789015419914"/>
    <n v="530.06331057485284"/>
    <n v="3317.8156501965054"/>
    <n v="0"/>
    <n v="0"/>
    <n v="0"/>
    <n v="0"/>
    <n v="0"/>
    <n v="0"/>
    <n v="125"/>
    <n v="850.84066692540341"/>
    <n v="0"/>
    <n v="0"/>
    <n v="25"/>
    <n v="0"/>
    <n v="400"/>
    <n v="2722.6901341612911"/>
    <n v="0"/>
    <n v="0"/>
    <n v="0"/>
    <n v="0"/>
    <n v="0"/>
    <n v="0"/>
    <n v="0"/>
    <n v="0"/>
    <n v="120"/>
    <n v="797.93387514400831"/>
    <n v="670"/>
    <n v="4371.4646762307029"/>
    <n v="139.93668942514716"/>
    <n v="0.26399995365343443"/>
    <n v="1053.6490260341975"/>
    <n v="0.31757310746659256"/>
  </r>
  <r>
    <x v="2"/>
    <s v="ESPAÑA"/>
    <s v="CAMPOEJIDO S.C.A."/>
    <s v="Consolidado/estratégico"/>
    <s v="JF0005"/>
    <s v="CODIGIN-FOS, 5 L"/>
    <n v="5"/>
    <n v="2.92"/>
    <n v="3.0437424164437088"/>
    <n v="0"/>
    <n v="0"/>
    <n v="0"/>
    <n v="0"/>
    <n v="593.54140451592798"/>
    <n v="1733.1409011865101"/>
    <n v="0"/>
    <n v="0"/>
    <n v="0"/>
    <n v="0"/>
    <n v="0"/>
    <n v="0"/>
    <n v="1384.9299438704991"/>
    <n v="4043.9954361018549"/>
    <n v="0"/>
    <n v="0"/>
    <n v="0"/>
    <n v="0"/>
    <n v="0"/>
    <n v="0"/>
    <n v="0"/>
    <n v="0"/>
    <n v="0"/>
    <n v="0"/>
    <n v="1978.4713483864271"/>
    <n v="5777.1363372883652"/>
    <n v="0"/>
    <n v="0"/>
    <n v="0"/>
    <n v="0"/>
    <n v="670"/>
    <n v="2039.3074190172849"/>
    <n v="0"/>
    <n v="0"/>
    <n v="0"/>
    <n v="0"/>
    <n v="0"/>
    <n v="0"/>
    <n v="1565"/>
    <n v="4763.4568817344043"/>
    <n v="0"/>
    <n v="0"/>
    <n v="0"/>
    <n v="0"/>
    <n v="0"/>
    <n v="0"/>
    <n v="0"/>
    <n v="0"/>
    <n v="0"/>
    <n v="0"/>
    <n v="2235"/>
    <n v="6802.764300751689"/>
    <n v="256.52865161357295"/>
    <n v="0.12966002859874057"/>
    <n v="1025.6279634633238"/>
    <n v="0.17753224150924685"/>
  </r>
  <r>
    <x v="2"/>
    <s v="ESPAÑA"/>
    <s v="CAMPOEJIDO S.C.A."/>
    <s v="Consolidado/estratégico"/>
    <s v="P-5X0005"/>
    <s v="P.M.S. 5x, 5 L"/>
    <n v="5"/>
    <n v="3.1085074626865681"/>
    <n v="3.2400923081390931"/>
    <n v="237.41656180637119"/>
    <n v="750.23633530813288"/>
    <n v="197.84713483864269"/>
    <n v="607.39070395463295"/>
    <n v="98.92356741932133"/>
    <n v="303.69535197731648"/>
    <n v="0"/>
    <n v="0"/>
    <n v="0"/>
    <n v="0"/>
    <n v="197.84713483864269"/>
    <n v="607.39070395463295"/>
    <n v="0"/>
    <n v="0"/>
    <n v="593.54140451592798"/>
    <n v="1851.849182089695"/>
    <n v="0"/>
    <n v="0"/>
    <n v="0"/>
    <n v="0"/>
    <n v="0"/>
    <n v="0"/>
    <n v="0"/>
    <n v="0"/>
    <n v="1325.5758034189057"/>
    <n v="4120.5622772844099"/>
    <n v="260"/>
    <n v="856.41738676375064"/>
    <n v="220"/>
    <n v="704.02179043358956"/>
    <n v="110"/>
    <n v="352.01089521679478"/>
    <n v="0"/>
    <n v="0"/>
    <n v="0"/>
    <n v="0"/>
    <n v="220"/>
    <n v="704.02179043358956"/>
    <n v="0"/>
    <n v="0"/>
    <n v="660"/>
    <n v="2146.463830116742"/>
    <n v="0"/>
    <n v="0"/>
    <n v="0"/>
    <n v="0"/>
    <n v="0"/>
    <n v="0"/>
    <n v="0"/>
    <n v="0"/>
    <n v="1470"/>
    <n v="4762.9356929644664"/>
    <n v="144.42419658109429"/>
    <n v="0.10895204650582602"/>
    <n v="642.3734156800565"/>
    <n v="0.15589460186569545"/>
  </r>
  <r>
    <x v="2"/>
    <s v="ESPAÑA"/>
    <s v="CAMPOEJIDO S.C.A."/>
    <s v="Consolidado/estratégico"/>
    <s v="PHD0001"/>
    <s v="PH-DOWNER, 1 L"/>
    <n v="1"/>
    <n v="5.45"/>
    <n v="5.6809575923350053"/>
    <n v="59.354140451592791"/>
    <n v="323.48006546118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323.48006546118069"/>
    <n v="64"/>
    <n v="363.58128590944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363.58128590944028"/>
    <n v="4.6458595484072092"/>
    <n v="7.8273554516322466E-2"/>
    <n v="40.101220448259596"/>
    <n v="0.12396813507221191"/>
  </r>
  <r>
    <x v="2"/>
    <s v="ESPAÑA"/>
    <s v="CAMPOEJIDO S.C.A."/>
    <s v="Consolidado/estratégico"/>
    <s v="PHD0005"/>
    <s v="PH-DOWNER, 5 L"/>
    <n v="5"/>
    <n v="3.9375"/>
    <n v="4.1041246592832206"/>
    <n v="138.49299438704989"/>
    <n v="538.737748165624"/>
    <n v="0"/>
    <n v="0"/>
    <n v="197.84713483864269"/>
    <n v="769.62535452231987"/>
    <n v="0"/>
    <n v="0"/>
    <n v="0"/>
    <n v="0"/>
    <n v="197.84713483864269"/>
    <n v="769.62535452231987"/>
    <n v="0"/>
    <n v="0"/>
    <n v="257.20127529023551"/>
    <n v="1038.1039164983581"/>
    <n v="94.799613929838927"/>
    <n v="373.27347984874081"/>
    <n v="0"/>
    <n v="0"/>
    <n v="94.799613929838927"/>
    <n v="373.27347984874081"/>
    <n v="0"/>
    <n v="0"/>
    <n v="980.98776721424861"/>
    <n v="3862.6393334061036"/>
    <n v="150"/>
    <n v="608.22729451880298"/>
    <n v="0"/>
    <n v="0"/>
    <n v="210"/>
    <n v="851.51821232632392"/>
    <n v="0"/>
    <n v="0"/>
    <n v="0"/>
    <n v="0"/>
    <n v="210"/>
    <n v="851.51821232632392"/>
    <n v="0"/>
    <n v="0"/>
    <n v="275"/>
    <n v="1156.674237125603"/>
    <n v="100"/>
    <n v="410.43615632695571"/>
    <n v="0"/>
    <n v="0"/>
    <n v="100"/>
    <n v="410.43615632695571"/>
    <n v="0"/>
    <n v="0"/>
    <n v="1045"/>
    <n v="4288.8102689509651"/>
    <n v="64.012232785751394"/>
    <n v="6.5252834872273249E-2"/>
    <n v="426.17093554486155"/>
    <n v="0.11033153726238813"/>
  </r>
  <r>
    <x v="2"/>
    <s v="ESPAÑA"/>
    <s v="CAMPOEJIDO S.C.A."/>
    <s v="Consolidado/estratégico"/>
    <s v="PIV0020"/>
    <s v="PGR IV, 20 L"/>
    <n v="20"/>
    <n v="3.640000000000001"/>
    <n v="3.794254245155857"/>
    <n v="0"/>
    <n v="0"/>
    <n v="0"/>
    <n v="0"/>
    <n v="0"/>
    <n v="0"/>
    <n v="0"/>
    <n v="0"/>
    <n v="0"/>
    <n v="0"/>
    <n v="0"/>
    <n v="0"/>
    <n v="0"/>
    <n v="0"/>
    <n v="1899.33249445097"/>
    <n v="6913.5702798015282"/>
    <n v="3033.5876457548461"/>
    <n v="11042.259030547641"/>
    <n v="1213.4350583019379"/>
    <n v="4416.9036122190564"/>
    <n v="1820.152587452907"/>
    <n v="6625.3554183285833"/>
    <n v="606.7175291509692"/>
    <n v="2208.4518061095282"/>
    <n v="8573.2253151116292"/>
    <n v="31206.540147006337"/>
    <n v="0"/>
    <n v="0"/>
    <n v="0"/>
    <n v="0"/>
    <n v="0"/>
    <n v="0"/>
    <n v="0"/>
    <n v="0"/>
    <n v="0"/>
    <n v="0"/>
    <n v="0"/>
    <n v="0"/>
    <n v="0"/>
    <n v="0"/>
    <n v="2040"/>
    <n v="7740.2786601179478"/>
    <n v="3300"/>
    <n v="12521.03900901433"/>
    <n v="1320"/>
    <n v="5008.4156036057311"/>
    <n v="1980"/>
    <n v="7512.6234054085962"/>
    <n v="660"/>
    <n v="2504.207801802866"/>
    <n v="9300"/>
    <n v="35286.564479949477"/>
    <n v="726.77468488837076"/>
    <n v="8.4772609860995773E-2"/>
    <n v="4080.0243329431396"/>
    <n v="0.13074260439392346"/>
  </r>
  <r>
    <x v="2"/>
    <s v="ESPAÑA"/>
    <s v="CAMPOEJIDO S.C.A."/>
    <s v="Consolidado/estratégico"/>
    <s v="PT0005"/>
    <s v="AGROPOTASION, 5 L"/>
    <n v="5"/>
    <n v="3.61"/>
    <n v="3.762982918959517"/>
    <n v="197.84713483864269"/>
    <n v="714.22815676749997"/>
    <n v="0"/>
    <n v="0"/>
    <n v="197.84713483864269"/>
    <n v="714.22815676749997"/>
    <n v="98.92356741932133"/>
    <n v="357.11407838374998"/>
    <n v="0"/>
    <n v="0"/>
    <n v="0"/>
    <n v="0"/>
    <n v="0"/>
    <n v="0"/>
    <n v="296.77070225796399"/>
    <n v="1071.34223515125"/>
    <n v="0"/>
    <n v="0"/>
    <n v="94.799613929838927"/>
    <n v="342.22660628671849"/>
    <n v="0"/>
    <n v="0"/>
    <n v="94.799613929838927"/>
    <n v="342.22660628671849"/>
    <n v="980.98776721424838"/>
    <n v="3541.3658396434366"/>
    <n v="220"/>
    <n v="827.85624217109387"/>
    <n v="0"/>
    <n v="0"/>
    <n v="220"/>
    <n v="827.85624217109387"/>
    <n v="110"/>
    <n v="413.92812108554688"/>
    <n v="0"/>
    <n v="0"/>
    <n v="0"/>
    <n v="0"/>
    <n v="0"/>
    <n v="0"/>
    <n v="330"/>
    <n v="1241.784363256641"/>
    <n v="0"/>
    <n v="0"/>
    <n v="105"/>
    <n v="395.11320649074929"/>
    <n v="0"/>
    <n v="0"/>
    <n v="105"/>
    <n v="395.11320649074929"/>
    <n v="1090"/>
    <n v="4101.6513816658744"/>
    <n v="109.01223278575162"/>
    <n v="0.11112496651749101"/>
    <n v="560.28554202243777"/>
    <n v="0.15821170909550827"/>
  </r>
  <r>
    <x v="2"/>
    <s v="ESPAÑA"/>
    <s v="CAMPOEJIDO S.C.A."/>
    <s v="Consolidado/estratégico"/>
    <s v="S0020"/>
    <s v="SAL-WAX STAR, 20 L"/>
    <n v="20"/>
    <n v="2.04"/>
    <n v="2.1264501813510841"/>
    <n v="633.11083148365651"/>
    <n v="1291.5460962266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291.5460962266591"/>
    <n v="680"/>
    <n v="1445.9861233187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445.9861233187371"/>
    <n v="46.889168516343489"/>
    <n v="7.4061548443992958E-2"/>
    <n v="154.44002709207803"/>
    <n v="0.11957763454458591"/>
  </r>
  <r>
    <x v="2"/>
    <s v="ESPAÑA"/>
    <s v="CAMPOEJIDO S.C.A."/>
    <s v="Consolidado/estratégico"/>
    <s v="S0020"/>
    <s v="SALWAX STAR, 20 L"/>
    <n v="20"/>
    <n v="2.04"/>
    <n v="2.126450181351085"/>
    <n v="0"/>
    <n v="0"/>
    <n v="0"/>
    <n v="0"/>
    <n v="0"/>
    <n v="0"/>
    <n v="0"/>
    <n v="0"/>
    <n v="0"/>
    <n v="0"/>
    <n v="0"/>
    <n v="0"/>
    <n v="0"/>
    <n v="0"/>
    <n v="0"/>
    <n v="0"/>
    <n v="606.7175291509692"/>
    <n v="1237.7037594679771"/>
    <n v="0"/>
    <n v="0"/>
    <n v="0"/>
    <n v="0"/>
    <n v="0"/>
    <n v="0"/>
    <n v="606.7175291509692"/>
    <n v="1237.7037594679771"/>
    <n v="0"/>
    <n v="0"/>
    <n v="0"/>
    <n v="0"/>
    <n v="0"/>
    <n v="0"/>
    <n v="0"/>
    <n v="0"/>
    <n v="0"/>
    <n v="0"/>
    <n v="0"/>
    <n v="0"/>
    <n v="0"/>
    <n v="0"/>
    <n v="0"/>
    <n v="0"/>
    <n v="660"/>
    <n v="1403.4571196917159"/>
    <n v="0"/>
    <n v="0"/>
    <n v="0"/>
    <n v="0"/>
    <n v="0"/>
    <n v="0"/>
    <n v="660"/>
    <n v="1403.4571196917159"/>
    <n v="53.282470849030801"/>
    <n v="8.7820885814183472E-2"/>
    <n v="165.75336022373881"/>
    <n v="0.13392005878287658"/>
  </r>
  <r>
    <x v="2"/>
    <s v="ESPAÑA"/>
    <s v="CAMPOEJIDO S.C.A."/>
    <s v="Consolidado/estratégico"/>
    <s v="TRI0001"/>
    <s v="TRIFENO-94, 1 L"/>
    <n v="1"/>
    <n v="12.285113938718069"/>
    <n v="12.809163438145131"/>
    <n v="0"/>
    <n v="0"/>
    <n v="0"/>
    <n v="0"/>
    <n v="118.7082809031856"/>
    <n v="1519.465995560776"/>
    <n v="178.06242135477839"/>
    <n v="2279.1989933411628"/>
    <n v="273.02904607732683"/>
    <n v="3621.1961089516772"/>
    <n v="0"/>
    <n v="0"/>
    <n v="783.47465396102496"/>
    <n v="9218.0937064020382"/>
    <n v="0"/>
    <n v="0"/>
    <n v="0"/>
    <n v="0"/>
    <n v="0"/>
    <n v="0"/>
    <n v="0"/>
    <n v="0"/>
    <n v="102.383583044226"/>
    <n v="1244.9694014576951"/>
    <n v="1455.6579853405417"/>
    <n v="17882.924205713352"/>
    <n v="0"/>
    <n v="0"/>
    <n v="0"/>
    <n v="0"/>
    <n v="143"/>
    <n v="1907.96784899266"/>
    <n v="215"/>
    <n v="2868.6229897442081"/>
    <n v="330"/>
    <n v="4562.2825486142156"/>
    <n v="0"/>
    <n v="0"/>
    <n v="946"/>
    <n v="11607.916284081221"/>
    <n v="0"/>
    <n v="0"/>
    <n v="0"/>
    <n v="0"/>
    <n v="0"/>
    <n v="0"/>
    <n v="0"/>
    <n v="0"/>
    <n v="124"/>
    <n v="1571.719652826848"/>
    <n v="1758"/>
    <n v="22518.50932425915"/>
    <n v="302.3420146594583"/>
    <n v="0.20770127166150731"/>
    <n v="4635.5851185457977"/>
    <n v="0.25921851847164856"/>
  </r>
  <r>
    <x v="2"/>
    <s v="ESPAÑA"/>
    <s v="CAMPOEJIDO S.C.A."/>
    <s v="Consolidado/estratégico"/>
    <s v="TRI0005"/>
    <s v="TRIFENO-94, 5L"/>
    <n v="5"/>
    <n v="10.22533030517457"/>
    <n v="10.65908532333118"/>
    <n v="197.84713483864269"/>
    <n v="2310.854534915346"/>
    <n v="197.84713483864269"/>
    <n v="1990.342176476745"/>
    <n v="197.84713483864269"/>
    <n v="1990.342176476745"/>
    <n v="593.54140451592798"/>
    <n v="5971.0265294302353"/>
    <n v="59.354140451592791"/>
    <n v="597.10265294302349"/>
    <n v="197.84713483864269"/>
    <n v="1990.342176476745"/>
    <n v="395.69426967728532"/>
    <n v="3980.6843529534899"/>
    <n v="0"/>
    <n v="0"/>
    <n v="94.799613929838927"/>
    <n v="966.09573010417705"/>
    <n v="94.799613929838927"/>
    <n v="966.09573010417705"/>
    <n v="94.799613929838927"/>
    <n v="966.09573010417705"/>
    <n v="189.59922785967791"/>
    <n v="1932.1914602083541"/>
    <n v="2313.9764236485712"/>
    <n v="23661.173250193217"/>
    <n v="240"/>
    <n v="2921.9927197859602"/>
    <n v="240"/>
    <n v="2516.7163322814008"/>
    <n v="240"/>
    <n v="2516.7163322814008"/>
    <n v="715"/>
    <n v="7497.7174065883419"/>
    <n v="70"/>
    <n v="734.04226358207541"/>
    <n v="240"/>
    <n v="2516.7163322814008"/>
    <n v="480"/>
    <n v="5033.4326645628034"/>
    <n v="0"/>
    <n v="0"/>
    <n v="115"/>
    <n v="1221.6209707927819"/>
    <n v="115"/>
    <n v="1221.6209707927819"/>
    <n v="115"/>
    <n v="1221.6209707927819"/>
    <n v="230"/>
    <n v="2443.2419415855652"/>
    <n v="2800"/>
    <n v="29845.438905327293"/>
    <n v="486.0235763514288"/>
    <n v="0.21003825768677853"/>
    <n v="6184.265655134077"/>
    <n v="0.26136766717954596"/>
  </r>
  <r>
    <x v="2"/>
    <s v="ESPAÑA"/>
    <s v="COOP.AGRIC. SAN ISIDRO S.C.A."/>
    <s v="Consolidado/estratégico"/>
    <s v="A-50(2)0005"/>
    <s v="CODIORGAN-A50, 5 KG"/>
    <n v="5"/>
    <n v="5.875"/>
    <n v="6.1239680467831477"/>
    <n v="0"/>
    <n v="0"/>
    <n v="0"/>
    <n v="0"/>
    <n v="0"/>
    <n v="0"/>
    <n v="0"/>
    <n v="0"/>
    <n v="0"/>
    <n v="0"/>
    <n v="0"/>
    <n v="0"/>
    <n v="197.84713483864269"/>
    <n v="1133.664082625422"/>
    <n v="197.84713483864269"/>
    <n v="1191.039751728629"/>
    <n v="0"/>
    <n v="0"/>
    <n v="0"/>
    <n v="0"/>
    <n v="0"/>
    <n v="0"/>
    <n v="189.59922785967791"/>
    <n v="1113.895463675608"/>
    <n v="585.29349753696329"/>
    <n v="3438.5992980296587"/>
    <n v="0"/>
    <n v="0"/>
    <n v="0"/>
    <n v="0"/>
    <n v="0"/>
    <n v="0"/>
    <n v="0"/>
    <n v="0"/>
    <n v="0"/>
    <n v="0"/>
    <n v="0"/>
    <n v="0"/>
    <n v="250"/>
    <n v="1493.2058258752099"/>
    <n v="250"/>
    <n v="1568.7781975163639"/>
    <n v="0"/>
    <n v="0"/>
    <n v="0"/>
    <n v="0"/>
    <n v="0"/>
    <n v="0"/>
    <n v="240"/>
    <n v="1469.752331227955"/>
    <n v="740"/>
    <n v="4531.7363546195284"/>
    <n v="154.70650246303671"/>
    <n v="0.26432294757087482"/>
    <n v="1093.1370565898696"/>
    <n v="0.31790184370020802"/>
  </r>
  <r>
    <x v="2"/>
    <s v="ESPAÑA"/>
    <s v="COOP.AGRIC. SAN ISIDRO S.C.A."/>
    <s v="Consolidado/estratégico"/>
    <s v="AGXK0020"/>
    <s v="AGROXILATO-K, 20 L"/>
    <n v="20"/>
    <n v="3.31"/>
    <n v="3.450269656996122"/>
    <n v="1266.221662967313"/>
    <n v="4191.1937044218057"/>
    <n v="0"/>
    <n v="0"/>
    <n v="2532.443325934626"/>
    <n v="8382.3874088436114"/>
    <n v="3798.6649889019391"/>
    <n v="12573.58111326542"/>
    <n v="0"/>
    <n v="0"/>
    <n v="0"/>
    <n v="0"/>
    <n v="2532.443325934626"/>
    <n v="8382.3874088436114"/>
    <n v="0"/>
    <n v="0"/>
    <n v="3033.5876457548461"/>
    <n v="10041.17510744854"/>
    <n v="4853.7402332077536"/>
    <n v="16065.880171917661"/>
    <n v="3640.305174905815"/>
    <n v="12049.410128938251"/>
    <n v="6673.8928206606606"/>
    <n v="22090.585236386789"/>
    <n v="28331.299178267578"/>
    <n v="93776.600280065686"/>
    <n v="1400"/>
    <n v="4830.3775197945706"/>
    <n v="0"/>
    <n v="0"/>
    <n v="2800"/>
    <n v="9660.7550395891412"/>
    <n v="4180"/>
    <n v="14422.12716624379"/>
    <n v="0"/>
    <n v="0"/>
    <n v="0"/>
    <n v="0"/>
    <n v="2800"/>
    <n v="9660.7550395891412"/>
    <n v="0"/>
    <n v="0"/>
    <n v="3340"/>
    <n v="11523.900654367049"/>
    <n v="5360"/>
    <n v="18493.44536149922"/>
    <n v="4020"/>
    <n v="13870.08402112441"/>
    <n v="7360"/>
    <n v="25393.984675491469"/>
    <n v="31260"/>
    <n v="107855.42947769878"/>
    <n v="2928.7008217324219"/>
    <n v="0.10337333291016089"/>
    <n v="14078.829197633095"/>
    <n v="0.15013158032586371"/>
  </r>
  <r>
    <x v="2"/>
    <s v="ESPAÑA"/>
    <s v="COOP.AGRIC. SAN ISIDRO S.C.A."/>
    <s v="Consolidado/estratégico"/>
    <s v="AGXK0200"/>
    <s v="AGROXILATO-K, 200 L"/>
    <n v="200"/>
    <n v="3.22"/>
    <n v="3.3564556784071038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1221.0190274163249"/>
    <n v="0"/>
    <n v="0"/>
    <n v="0"/>
    <n v="0"/>
    <n v="0"/>
    <n v="0"/>
    <n v="379.19845571935571"/>
    <n v="1221.0190274163249"/>
    <n v="0"/>
    <n v="0"/>
    <n v="0"/>
    <n v="0"/>
    <n v="0"/>
    <n v="0"/>
    <n v="0"/>
    <n v="0"/>
    <n v="0"/>
    <n v="0"/>
    <n v="0"/>
    <n v="0"/>
    <n v="0"/>
    <n v="0"/>
    <n v="0"/>
    <n v="0"/>
    <n v="400"/>
    <n v="1342.582271362842"/>
    <n v="0"/>
    <n v="0"/>
    <n v="0"/>
    <n v="0"/>
    <n v="0"/>
    <n v="0"/>
    <n v="400"/>
    <n v="1342.582271362842"/>
    <n v="20.801544280644293"/>
    <n v="5.4856616547087129E-2"/>
    <n v="121.5632439465171"/>
    <n v="9.9558844880365885E-2"/>
  </r>
  <r>
    <x v="2"/>
    <s v="ESPAÑA"/>
    <s v="COOP.AGRIC. SAN ISIDRO S.C.A."/>
    <s v="Consolidado/estratégico"/>
    <s v="AGZ-M0001"/>
    <s v="AGROXILATO-ZN-MN, 1 KG"/>
    <n v="1"/>
    <n v="6.55"/>
    <n v="6.8275728862007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1755676014196"/>
    <n v="695.4499677892984"/>
    <n v="0"/>
    <n v="0"/>
    <n v="106.1755676014196"/>
    <n v="695.44996778929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778.34330902688964"/>
    <n v="0"/>
    <n v="0"/>
    <n v="114"/>
    <n v="778.34330902688964"/>
    <n v="7.8244323985803987"/>
    <n v="7.3693341842570786E-2"/>
    <n v="82.893341237591244"/>
    <n v="0.11919382425322878"/>
  </r>
  <r>
    <x v="2"/>
    <s v="ESPAÑA"/>
    <s v="COOP.AGRIC. SAN ISIDRO S.C.A."/>
    <s v="Consolidado/estratégico"/>
    <s v="AGZ-M0005"/>
    <s v="AGROXILATO-ZN-MN, 5 KG"/>
    <n v="5"/>
    <n v="6.95"/>
    <n v="7.2445239021519798"/>
    <n v="0"/>
    <n v="0"/>
    <n v="0"/>
    <n v="0"/>
    <n v="0"/>
    <n v="0"/>
    <n v="0"/>
    <n v="0"/>
    <n v="0"/>
    <n v="0"/>
    <n v="0"/>
    <n v="0"/>
    <n v="0"/>
    <n v="0"/>
    <n v="197.84713483864269"/>
    <n v="1375.037587128566"/>
    <n v="0"/>
    <n v="0"/>
    <n v="0"/>
    <n v="0"/>
    <n v="0"/>
    <n v="0"/>
    <n v="189.59922785967791"/>
    <n v="1317.7146336247611"/>
    <n v="387.44636269832063"/>
    <n v="2692.752220753327"/>
    <n v="0"/>
    <n v="0"/>
    <n v="0"/>
    <n v="0"/>
    <n v="0"/>
    <n v="0"/>
    <n v="0"/>
    <n v="0"/>
    <n v="0"/>
    <n v="0"/>
    <n v="0"/>
    <n v="0"/>
    <n v="0"/>
    <n v="0"/>
    <n v="210"/>
    <n v="1521.3500194519161"/>
    <n v="0"/>
    <n v="0"/>
    <n v="0"/>
    <n v="0"/>
    <n v="0"/>
    <n v="0"/>
    <n v="205"/>
    <n v="1485.127399941156"/>
    <n v="415"/>
    <n v="3006.4774193930721"/>
    <n v="27.553637301679373"/>
    <n v="7.111600457360237E-2"/>
    <n v="313.72519863974503"/>
    <n v="0.11650726577136643"/>
  </r>
  <r>
    <x v="2"/>
    <s v="ESPAÑA"/>
    <s v="COOP.AGRIC. SAN ISIDRO S.C.A."/>
    <s v="Consolidado/estratégico"/>
    <s v="AMIMG0020"/>
    <s v="AMINOSOIL MG, 20 L"/>
    <n v="20"/>
    <n v="2.58"/>
    <n v="2.689334052885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.7175291509692"/>
    <n v="1565.3312252095"/>
    <n v="284.39884178951678"/>
    <n v="733.74901181695338"/>
    <n v="891.11637094048592"/>
    <n v="2299.0802370264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"/>
    <n v="1774.9604749042289"/>
    <n v="320"/>
    <n v="860.58689692326254"/>
    <n v="980"/>
    <n v="2635.5473718274916"/>
    <n v="88.883629059514078"/>
    <n v="9.9744132144835504E-2"/>
    <n v="336.46713480103836"/>
    <n v="0.14634858296038103"/>
  </r>
  <r>
    <x v="2"/>
    <s v="ESPAÑA"/>
    <s v="COOP.AGRIC. SAN ISIDRO S.C.A."/>
    <s v="Consolidado/estratégico"/>
    <s v="AQUOM0005"/>
    <s v="AQUOM, 5 L"/>
    <n v="5"/>
    <n v="13.73"/>
    <n v="14.3118436225247"/>
    <n v="0"/>
    <n v="0"/>
    <n v="0"/>
    <n v="0"/>
    <n v="0"/>
    <n v="0"/>
    <n v="0"/>
    <n v="0"/>
    <n v="593.54140451592798"/>
    <n v="8149.3234840036903"/>
    <n v="0"/>
    <n v="0"/>
    <n v="0"/>
    <n v="0"/>
    <n v="0"/>
    <n v="0"/>
    <n v="0"/>
    <n v="0"/>
    <n v="0"/>
    <n v="0"/>
    <n v="0"/>
    <n v="0"/>
    <n v="0"/>
    <n v="0"/>
    <n v="593.54140451592798"/>
    <n v="8149.3234840036903"/>
    <n v="0"/>
    <n v="0"/>
    <n v="0"/>
    <n v="0"/>
    <n v="0"/>
    <n v="0"/>
    <n v="0"/>
    <n v="0"/>
    <n v="715"/>
    <n v="10232.968190105161"/>
    <n v="0"/>
    <n v="0"/>
    <n v="0"/>
    <n v="0"/>
    <n v="0"/>
    <n v="0"/>
    <n v="0"/>
    <n v="0"/>
    <n v="0"/>
    <n v="0"/>
    <n v="0"/>
    <n v="0"/>
    <n v="0"/>
    <n v="0"/>
    <n v="715"/>
    <n v="10232.968190105161"/>
    <n v="121.45859548407202"/>
    <n v="0.20463373668620385"/>
    <n v="2083.6447061014705"/>
    <n v="0.25568315090098676"/>
  </r>
  <r>
    <x v="2"/>
    <s v="ESPAÑA"/>
    <s v="COOP.AGRIC. SAN ISIDRO S.C.A."/>
    <s v="Consolidado/estratégico"/>
    <s v="AVAN0005"/>
    <s v="FLORAMEC AVANCE, 5 L"/>
    <n v="5"/>
    <n v="5.48"/>
    <n v="5.7122289185313448"/>
    <n v="0"/>
    <n v="0"/>
    <n v="0"/>
    <n v="0"/>
    <n v="0"/>
    <n v="0"/>
    <n v="0"/>
    <n v="0"/>
    <n v="0"/>
    <n v="0"/>
    <n v="0"/>
    <n v="0"/>
    <n v="1187.082809031856"/>
    <n v="6398.3763406817034"/>
    <n v="593.54140451592798"/>
    <n v="3359.4443495601522"/>
    <n v="1137.5953671580669"/>
    <n v="6234.0226120262087"/>
    <n v="853.1965253685504"/>
    <n v="4675.5169590196556"/>
    <n v="0"/>
    <n v="0"/>
    <n v="568.79768357903356"/>
    <n v="3117.0113060131039"/>
    <n v="4340.2137896534341"/>
    <n v="23784.371567300823"/>
    <n v="0"/>
    <n v="0"/>
    <n v="0"/>
    <n v="0"/>
    <n v="0"/>
    <n v="0"/>
    <n v="0"/>
    <n v="0"/>
    <n v="0"/>
    <n v="0"/>
    <n v="0"/>
    <n v="0"/>
    <n v="1310"/>
    <n v="7360.1235713244469"/>
    <n v="655"/>
    <n v="3864.4062535896451"/>
    <n v="1255"/>
    <n v="7168.8472927568391"/>
    <n v="940"/>
    <n v="5369.4951834194644"/>
    <n v="0"/>
    <n v="0"/>
    <n v="625"/>
    <n v="3570.1430740820911"/>
    <n v="4785"/>
    <n v="27333.015375172487"/>
    <n v="444.78621034656589"/>
    <n v="0.1024802537162765"/>
    <n v="3548.6438078716637"/>
    <n v="0.14920065463282631"/>
  </r>
  <r>
    <x v="2"/>
    <s v="ESPAÑA"/>
    <s v="COOP.AGRIC. SAN ISIDRO S.C.A."/>
    <s v="Consolidado/estratégico"/>
    <s v="BROTA0005"/>
    <s v="BROTAMEC, 5 L"/>
    <n v="5"/>
    <n v="4.63"/>
    <n v="4.826093462652655"/>
    <n v="296.77070225796399"/>
    <n v="1365.145230386634"/>
    <n v="0"/>
    <n v="0"/>
    <n v="0"/>
    <n v="0"/>
    <n v="0"/>
    <n v="0"/>
    <n v="0"/>
    <n v="0"/>
    <n v="0"/>
    <n v="0"/>
    <n v="296.77070225796399"/>
    <n v="1382.951472522112"/>
    <n v="0"/>
    <n v="0"/>
    <n v="0"/>
    <n v="0"/>
    <n v="379.19845571935571"/>
    <n v="1755.6888499806171"/>
    <n v="0"/>
    <n v="0"/>
    <n v="284.39884178951678"/>
    <n v="1316.766637485463"/>
    <n v="1257.1387020248005"/>
    <n v="5820.5521903748268"/>
    <n v="325"/>
    <n v="1558.3544221175839"/>
    <n v="0"/>
    <n v="0"/>
    <n v="0"/>
    <n v="0"/>
    <n v="0"/>
    <n v="0"/>
    <n v="0"/>
    <n v="0"/>
    <n v="0"/>
    <n v="0"/>
    <n v="320"/>
    <n v="1554.393387466047"/>
    <n v="0"/>
    <n v="0"/>
    <n v="0"/>
    <n v="0"/>
    <n v="410"/>
    <n v="1978.745283950374"/>
    <n v="0"/>
    <n v="0"/>
    <n v="310"/>
    <n v="1496.1244829868681"/>
    <n v="1365"/>
    <n v="6587.6175765208736"/>
    <n v="107.86129797519948"/>
    <n v="8.5799043336644981E-2"/>
    <n v="767.06538614604688"/>
    <n v="0.13178567274330205"/>
  </r>
  <r>
    <x v="2"/>
    <s v="ESPAÑA"/>
    <s v="COOP.AGRIC. SAN ISIDRO S.C.A."/>
    <s v="Consolidado/estratégico"/>
    <s v="C-CUAE0005"/>
    <s v="CUPRAMEC, 5 L"/>
    <n v="5"/>
    <n v="4.8062499999999986"/>
    <n v="5.0099270510385541"/>
    <n v="494.61783709660659"/>
    <n v="2334.5961910959832"/>
    <n v="0"/>
    <n v="0"/>
    <n v="0"/>
    <n v="0"/>
    <n v="0"/>
    <n v="0"/>
    <n v="0"/>
    <n v="0"/>
    <n v="0"/>
    <n v="0"/>
    <n v="0"/>
    <n v="0"/>
    <n v="296.77070225796399"/>
    <n v="1469.0149761769219"/>
    <n v="0"/>
    <n v="0"/>
    <n v="0"/>
    <n v="0"/>
    <n v="284.39884178951678"/>
    <n v="1366.891933350865"/>
    <n v="284.39884178951678"/>
    <n v="1366.891933350865"/>
    <n v="1360.1862229336043"/>
    <n v="6537.3950339746343"/>
    <n v="600"/>
    <n v="2952.013192934447"/>
    <n v="0"/>
    <n v="0"/>
    <n v="0"/>
    <n v="0"/>
    <n v="0"/>
    <n v="0"/>
    <n v="0"/>
    <n v="0"/>
    <n v="0"/>
    <n v="0"/>
    <n v="0"/>
    <n v="0"/>
    <n v="360"/>
    <n v="1857.516776062565"/>
    <n v="0"/>
    <n v="0"/>
    <n v="0"/>
    <n v="0"/>
    <n v="345"/>
    <n v="1728.4248326083009"/>
    <n v="345"/>
    <n v="1728.4248326083009"/>
    <n v="1650"/>
    <n v="8266.3796342136138"/>
    <n v="289.81377706639569"/>
    <n v="0.21306919021818571"/>
    <n v="1728.9846002389795"/>
    <n v="0.26447607820140917"/>
  </r>
  <r>
    <x v="2"/>
    <s v="ESPAÑA"/>
    <s v="COOP.AGRIC. SAN ISIDRO S.C.A."/>
    <s v="Consolidado/estratégico"/>
    <s v="C-L0005"/>
    <s v="CODIBOR-L, 5 L"/>
    <n v="5"/>
    <n v="4.7799999999999994"/>
    <n v="4.9825646406167561"/>
    <n v="0"/>
    <n v="0"/>
    <n v="197.84713483864269"/>
    <n v="945.70930452871187"/>
    <n v="0"/>
    <n v="0"/>
    <n v="0"/>
    <n v="0"/>
    <n v="0"/>
    <n v="0"/>
    <n v="0"/>
    <n v="0"/>
    <n v="197.84713483864269"/>
    <n v="945.70930452871187"/>
    <n v="0"/>
    <n v="0"/>
    <n v="189.59922785967791"/>
    <n v="906.28430916926015"/>
    <n v="0"/>
    <n v="0"/>
    <n v="0"/>
    <n v="0"/>
    <n v="0"/>
    <n v="0"/>
    <n v="585.29349753696329"/>
    <n v="2797.7029182266838"/>
    <n v="0"/>
    <n v="0"/>
    <n v="210"/>
    <n v="1046.3385745295191"/>
    <n v="0"/>
    <n v="0"/>
    <n v="0"/>
    <n v="0"/>
    <n v="0"/>
    <n v="0"/>
    <n v="0"/>
    <n v="0"/>
    <n v="210"/>
    <n v="1046.3385745295191"/>
    <n v="0"/>
    <n v="0"/>
    <n v="205"/>
    <n v="1021.425751326435"/>
    <n v="0"/>
    <n v="0"/>
    <n v="0"/>
    <n v="0"/>
    <n v="0"/>
    <n v="0"/>
    <n v="625"/>
    <n v="3114.1029003854733"/>
    <n v="39.706502463036713"/>
    <n v="6.7840327340265918E-2"/>
    <n v="316.3999821587895"/>
    <n v="0.11309277339544642"/>
  </r>
  <r>
    <x v="2"/>
    <s v="ESPAÑA"/>
    <s v="COOP.AGRIC. SAN ISIDRO S.C.A."/>
    <s v="Consolidado/estratégico"/>
    <s v="C-MB0005"/>
    <s v="CODIFOL-MB, 5 L"/>
    <n v="5"/>
    <n v="9.8776470588235306"/>
    <n v="10.295196890727309"/>
    <n v="0"/>
    <n v="0"/>
    <n v="0"/>
    <n v="0"/>
    <n v="296.77070225796399"/>
    <n v="2475.0676568314188"/>
    <n v="197.84713483864269"/>
    <n v="1855.806124786468"/>
    <n v="0"/>
    <n v="0"/>
    <n v="0"/>
    <n v="0"/>
    <n v="593.54140451592798"/>
    <n v="5763.28703784966"/>
    <n v="593.54140451592798"/>
    <n v="6517.0846215848887"/>
    <n v="284.39884178951678"/>
    <n v="2809.191383135038"/>
    <n v="284.39884178951678"/>
    <n v="2809.191383135038"/>
    <n v="0"/>
    <n v="0"/>
    <n v="568.79768357903356"/>
    <n v="5618.3827662700769"/>
    <n v="2819.2960132865296"/>
    <n v="27848.010973592594"/>
    <n v="0"/>
    <n v="0"/>
    <n v="0"/>
    <n v="0"/>
    <n v="320"/>
    <n v="2781.897178426359"/>
    <n v="210"/>
    <n v="2053.2752780516498"/>
    <n v="0"/>
    <n v="0"/>
    <n v="0"/>
    <n v="0"/>
    <n v="635"/>
    <n v="6427.1435542566587"/>
    <n v="635"/>
    <n v="7267.7689212912583"/>
    <n v="305"/>
    <n v="3140.3524194926358"/>
    <n v="305"/>
    <n v="3140.3524194926358"/>
    <n v="0"/>
    <n v="0"/>
    <n v="610"/>
    <n v="6280.7048389852716"/>
    <n v="3020"/>
    <n v="31091.494609996469"/>
    <n v="200.70398671347039"/>
    <n v="7.118939826382556E-2"/>
    <n v="3243.4836364038747"/>
    <n v="0.11647092639684643"/>
  </r>
  <r>
    <x v="2"/>
    <s v="ESPAÑA"/>
    <s v="COOP.AGRIC. SAN ISIDRO S.C.A."/>
    <s v="Consolidado/estratégico"/>
    <s v="CALCIO0005"/>
    <s v="CALCIAMEC, 5 KG"/>
    <n v="5"/>
    <n v="4.3600000000000003"/>
    <n v="4.5447660738680042"/>
    <n v="0"/>
    <n v="0"/>
    <n v="0"/>
    <n v="0"/>
    <n v="0"/>
    <n v="0"/>
    <n v="0"/>
    <n v="0"/>
    <n v="0"/>
    <n v="0"/>
    <n v="0"/>
    <n v="0"/>
    <n v="0"/>
    <n v="0"/>
    <n v="197.84713483864269"/>
    <n v="862.61350789648191"/>
    <n v="0"/>
    <n v="0"/>
    <n v="0"/>
    <n v="0"/>
    <n v="94.799613929838927"/>
    <n v="413.32631673409782"/>
    <n v="0"/>
    <n v="0"/>
    <n v="292.64674876848164"/>
    <n v="1275.9398246305798"/>
    <n v="0"/>
    <n v="0"/>
    <n v="0"/>
    <n v="0"/>
    <n v="0"/>
    <n v="0"/>
    <n v="0"/>
    <n v="0"/>
    <n v="0"/>
    <n v="0"/>
    <n v="0"/>
    <n v="0"/>
    <n v="0"/>
    <n v="0"/>
    <n v="215"/>
    <n v="977.1247058816208"/>
    <n v="0"/>
    <n v="0"/>
    <n v="0"/>
    <n v="0"/>
    <n v="105"/>
    <n v="477.20043775614039"/>
    <n v="0"/>
    <n v="0"/>
    <n v="320"/>
    <n v="1454.3251436377611"/>
    <n v="27.353251231518357"/>
    <n v="9.34684951964323E-2"/>
    <n v="178.38531900718135"/>
    <n v="0.13980699995693674"/>
  </r>
  <r>
    <x v="2"/>
    <s v="ESPAÑA"/>
    <s v="COOP.AGRIC. SAN ISIDRO S.C.A."/>
    <s v="Consolidado/estratégico"/>
    <s v="CPLUS0020"/>
    <s v="CALCIPLUS, 20 L"/>
    <n v="20"/>
    <n v="2.15"/>
    <n v="2.241111710737663"/>
    <n v="633.11083148365651"/>
    <n v="1361.188287689861"/>
    <n v="0"/>
    <n v="0"/>
    <n v="0"/>
    <n v="0"/>
    <n v="1266.221662967313"/>
    <n v="2722.3765753797229"/>
    <n v="0"/>
    <n v="0"/>
    <n v="0"/>
    <n v="0"/>
    <n v="0"/>
    <n v="0"/>
    <n v="0"/>
    <n v="0"/>
    <n v="606.7175291509692"/>
    <n v="1304.442687674584"/>
    <n v="1213.4350583019379"/>
    <n v="2608.885375349168"/>
    <n v="1213.4350583019379"/>
    <n v="2608.885375349168"/>
    <n v="0"/>
    <n v="0"/>
    <n v="4932.9201402058143"/>
    <n v="10605.778301442504"/>
    <n v="680"/>
    <n v="1523.9559633016111"/>
    <n v="0"/>
    <n v="0"/>
    <n v="0"/>
    <n v="0"/>
    <n v="1360"/>
    <n v="3047.9119266032212"/>
    <n v="0"/>
    <n v="0"/>
    <n v="0"/>
    <n v="0"/>
    <n v="0"/>
    <n v="0"/>
    <n v="0"/>
    <n v="0"/>
    <n v="640"/>
    <n v="1434.311494872104"/>
    <n v="1300"/>
    <n v="2913.4452239589609"/>
    <n v="1300"/>
    <n v="2913.4452239589609"/>
    <n v="0"/>
    <n v="0"/>
    <n v="5280"/>
    <n v="11833.069832694857"/>
    <n v="347.07985979418572"/>
    <n v="7.0359918654532408E-2"/>
    <n v="1227.2915312523528"/>
    <n v="0.11571913879110857"/>
  </r>
  <r>
    <x v="2"/>
    <s v="ESPAÑA"/>
    <s v="COOP.AGRIC. SAN ISIDRO S.C.A."/>
    <s v="Consolidado/estratégico"/>
    <s v="FLOR0020"/>
    <s v="FLORAMEC, 20 L"/>
    <n v="20"/>
    <n v="2.96"/>
    <n v="3.085437518038828"/>
    <n v="0"/>
    <n v="0"/>
    <n v="0"/>
    <n v="0"/>
    <n v="0"/>
    <n v="0"/>
    <n v="0"/>
    <n v="0"/>
    <n v="0"/>
    <n v="0"/>
    <n v="0"/>
    <n v="0"/>
    <n v="197.84713483864269"/>
    <n v="585.62751912238218"/>
    <n v="0"/>
    <n v="0"/>
    <n v="0"/>
    <n v="0"/>
    <n v="0"/>
    <n v="0"/>
    <n v="0"/>
    <n v="0"/>
    <n v="0"/>
    <n v="0"/>
    <n v="197.84713483864269"/>
    <n v="585.62751912238218"/>
    <n v="0"/>
    <n v="0"/>
    <n v="0"/>
    <n v="0"/>
    <n v="0"/>
    <n v="0"/>
    <n v="0"/>
    <n v="0"/>
    <n v="0"/>
    <n v="0"/>
    <n v="0"/>
    <n v="0"/>
    <n v="220"/>
    <n v="678.79625396854226"/>
    <n v="0"/>
    <n v="0"/>
    <n v="0"/>
    <n v="0"/>
    <n v="0"/>
    <n v="0"/>
    <n v="0"/>
    <n v="0"/>
    <n v="0"/>
    <n v="0"/>
    <n v="220"/>
    <n v="678.79625396854226"/>
    <n v="22.152865161357312"/>
    <n v="0.11196960309495725"/>
    <n v="93.168734846160078"/>
    <n v="0.15909213929321861"/>
  </r>
  <r>
    <x v="2"/>
    <s v="ESPAÑA"/>
    <s v="COOP.AGRIC. SAN ISIDRO S.C.A."/>
    <s v="Consolidado/estratégico"/>
    <s v="FTK0005"/>
    <s v="FITOKONTROL CA FLOW, 5 KG"/>
    <n v="5"/>
    <n v="3.18"/>
    <n v="3.314760576811985"/>
    <n v="0"/>
    <n v="0"/>
    <n v="0"/>
    <n v="0"/>
    <n v="0"/>
    <n v="0"/>
    <n v="0"/>
    <n v="0"/>
    <n v="0"/>
    <n v="0"/>
    <n v="0"/>
    <n v="0"/>
    <n v="98.92356741932133"/>
    <n v="314.57694439344181"/>
    <n v="0"/>
    <n v="0"/>
    <n v="0"/>
    <n v="0"/>
    <n v="0"/>
    <n v="0"/>
    <n v="0"/>
    <n v="0"/>
    <n v="0"/>
    <n v="0"/>
    <n v="98.92356741932133"/>
    <n v="314.57694439344181"/>
    <n v="0"/>
    <n v="0"/>
    <n v="0"/>
    <n v="0"/>
    <n v="0"/>
    <n v="0"/>
    <n v="0"/>
    <n v="0"/>
    <n v="0"/>
    <n v="0"/>
    <n v="0"/>
    <n v="0"/>
    <n v="125"/>
    <n v="414.34507210149809"/>
    <n v="0"/>
    <n v="0"/>
    <n v="0"/>
    <n v="0"/>
    <n v="0"/>
    <n v="0"/>
    <n v="0"/>
    <n v="0"/>
    <n v="0"/>
    <n v="0"/>
    <n v="125"/>
    <n v="414.34507210149809"/>
    <n v="26.07643258067867"/>
    <n v="0.26360182169881524"/>
    <n v="99.768127708056284"/>
    <n v="0.31715015828774834"/>
  </r>
  <r>
    <x v="2"/>
    <s v="ESPAÑA"/>
    <s v="COOP.AGRIC. SAN ISIDRO S.C.A."/>
    <s v="Consolidado/estratégico"/>
    <s v="HST0005"/>
    <s v="HIDROSTRESS, 5 L"/>
    <n v="5"/>
    <n v="7.02"/>
    <n v="7.3174903299434373"/>
    <n v="197.84713483864269"/>
    <n v="1388.8868865672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388.8868865672709"/>
    <n v="250"/>
    <n v="1829.3725824858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829.3725824858591"/>
    <n v="52.152865161357312"/>
    <n v="0.26360182169881508"/>
    <n v="440.48569591858814"/>
    <n v="0.31715015828774845"/>
  </r>
  <r>
    <x v="2"/>
    <s v="ESPAÑA"/>
    <s v="COOP.AGRIC. SAN ISIDRO S.C.A."/>
    <s v="Consolidado/estratégico"/>
    <s v="HST0005"/>
    <s v="HIDROSTRESS-40, 5 L"/>
    <n v="5"/>
    <n v="7.1599999999999993"/>
    <n v="7.4634231855263549"/>
    <n v="0"/>
    <n v="0"/>
    <n v="0"/>
    <n v="0"/>
    <n v="0"/>
    <n v="0"/>
    <n v="0"/>
    <n v="0"/>
    <n v="0"/>
    <n v="0"/>
    <n v="0"/>
    <n v="0"/>
    <n v="0"/>
    <n v="0"/>
    <n v="197.84713483864269"/>
    <n v="1416.5854854446809"/>
    <n v="0"/>
    <n v="0"/>
    <n v="0"/>
    <n v="0"/>
    <n v="0"/>
    <n v="0"/>
    <n v="0"/>
    <n v="0"/>
    <n v="197.84713483864269"/>
    <n v="1416.5854854446809"/>
    <n v="0"/>
    <n v="0"/>
    <n v="0"/>
    <n v="0"/>
    <n v="0"/>
    <n v="0"/>
    <n v="0"/>
    <n v="0"/>
    <n v="0"/>
    <n v="0"/>
    <n v="0"/>
    <n v="0"/>
    <n v="0"/>
    <n v="0"/>
    <n v="250"/>
    <n v="1865.855796381589"/>
    <n v="0"/>
    <n v="0"/>
    <n v="0"/>
    <n v="0"/>
    <n v="0"/>
    <n v="0"/>
    <n v="0"/>
    <n v="0"/>
    <n v="250"/>
    <n v="1865.855796381589"/>
    <n v="52.152865161357312"/>
    <n v="0.26360182169881508"/>
    <n v="449.27031093690812"/>
    <n v="0.3171501582877489"/>
  </r>
  <r>
    <x v="2"/>
    <s v="ESPAÑA"/>
    <s v="COOP.AGRIC. SAN ISIDRO S.C.A."/>
    <s v="Consolidado/estratégico"/>
    <s v="PIV0020"/>
    <s v="PGR IV, 20 L"/>
    <n v="20"/>
    <n v="3.633999999999999"/>
    <n v="3.787999979916588"/>
    <n v="0"/>
    <n v="0"/>
    <n v="0"/>
    <n v="0"/>
    <n v="0"/>
    <n v="0"/>
    <n v="0"/>
    <n v="0"/>
    <n v="0"/>
    <n v="0"/>
    <n v="0"/>
    <n v="0"/>
    <n v="0"/>
    <n v="0"/>
    <n v="0"/>
    <n v="0"/>
    <n v="1213.4350583019379"/>
    <n v="4409.6230018692431"/>
    <n v="1213.4350583019379"/>
    <n v="4409.6230018692431"/>
    <n v="1820.152587452907"/>
    <n v="6614.4345028038661"/>
    <n v="1213.4350583019379"/>
    <n v="4409.6230018692431"/>
    <n v="5460.4577623587202"/>
    <n v="19843.303508411595"/>
    <n v="0"/>
    <n v="0"/>
    <n v="0"/>
    <n v="0"/>
    <n v="0"/>
    <n v="0"/>
    <n v="0"/>
    <n v="0"/>
    <n v="0"/>
    <n v="0"/>
    <n v="0"/>
    <n v="0"/>
    <n v="0"/>
    <n v="0"/>
    <n v="0"/>
    <n v="0"/>
    <n v="1320"/>
    <n v="5000.1599734898973"/>
    <n v="1320"/>
    <n v="5000.1599734898973"/>
    <n v="1980"/>
    <n v="7500.239960234846"/>
    <n v="1320"/>
    <n v="5000.1599734898973"/>
    <n v="5940"/>
    <n v="22500.719880704535"/>
    <n v="479.54223764127983"/>
    <n v="8.7820885814183999E-2"/>
    <n v="2657.4163722929407"/>
    <n v="0.13392005878287652"/>
  </r>
  <r>
    <x v="2"/>
    <s v="ESPAÑA"/>
    <s v="COOP.AGRIC. SAN ISIDRO S.C.A."/>
    <s v="Consolidado/estratégico"/>
    <s v="PT0005"/>
    <s v="AGROPOTASION, 5 L"/>
    <n v="5"/>
    <n v="3.77"/>
    <n v="3.9297633253399948"/>
    <n v="494.61783709660659"/>
    <n v="1864.709245854207"/>
    <n v="0"/>
    <n v="0"/>
    <n v="0"/>
    <n v="0"/>
    <n v="197.84713483864269"/>
    <n v="745.88369834168282"/>
    <n v="0"/>
    <n v="0"/>
    <n v="0"/>
    <n v="0"/>
    <n v="0"/>
    <n v="0"/>
    <n v="0"/>
    <n v="0"/>
    <n v="0"/>
    <n v="0"/>
    <n v="0"/>
    <n v="0"/>
    <n v="0"/>
    <n v="0"/>
    <n v="189.59922785967791"/>
    <n v="714.78908903098556"/>
    <n v="882.06419979492716"/>
    <n v="3325.3820332268751"/>
    <n v="545"/>
    <n v="2141.7210123102968"/>
    <n v="0"/>
    <n v="0"/>
    <n v="0"/>
    <n v="0"/>
    <n v="220"/>
    <n v="864.54793157479878"/>
    <n v="0"/>
    <n v="0"/>
    <n v="0"/>
    <n v="0"/>
    <n v="0"/>
    <n v="0"/>
    <n v="0"/>
    <n v="0"/>
    <n v="0"/>
    <n v="0"/>
    <n v="0"/>
    <n v="0"/>
    <n v="0"/>
    <n v="0"/>
    <n v="210"/>
    <n v="825.25029832139899"/>
    <n v="975"/>
    <n v="3831.5192422064947"/>
    <n v="92.935800205072837"/>
    <n v="0.10536171882577217"/>
    <n v="506.13720897961957"/>
    <n v="0.15220422914490686"/>
  </r>
  <r>
    <x v="2"/>
    <s v="ESPAÑA"/>
    <s v="COOP.AGRIC. SAN ISIDRO S.C.A."/>
    <s v="Consolidado/estratégico"/>
    <s v="PT0020"/>
    <s v="AGROPOTASION, 20 L"/>
    <n v="20"/>
    <n v="3.527222222222222"/>
    <n v="3.6772342049719788"/>
    <n v="0"/>
    <n v="0"/>
    <n v="316.55541574182831"/>
    <n v="1101.612846781562"/>
    <n v="0"/>
    <n v="0"/>
    <n v="0"/>
    <n v="0"/>
    <n v="0"/>
    <n v="0"/>
    <n v="0"/>
    <n v="0"/>
    <n v="197.84713483864269"/>
    <n v="688.50802923847641"/>
    <n v="197.84713483864269"/>
    <n v="722.14204216104565"/>
    <n v="0"/>
    <n v="0"/>
    <n v="0"/>
    <n v="0"/>
    <n v="0"/>
    <n v="0"/>
    <n v="284.39884178951678"/>
    <n v="1003.137914734245"/>
    <n v="996.64852720863041"/>
    <n v="3515.4008329153289"/>
    <n v="0"/>
    <n v="0"/>
    <n v="340"/>
    <n v="1233.341105183629"/>
    <n v="0"/>
    <n v="0"/>
    <n v="0"/>
    <n v="0"/>
    <n v="0"/>
    <n v="0"/>
    <n v="0"/>
    <n v="0"/>
    <n v="220"/>
    <n v="798.04424453058346"/>
    <n v="220"/>
    <n v="837.02916452201998"/>
    <n v="0"/>
    <n v="0"/>
    <n v="0"/>
    <n v="0"/>
    <n v="0"/>
    <n v="0"/>
    <n v="320"/>
    <n v="1176.5431112329441"/>
    <n v="1100"/>
    <n v="4044.9576254691765"/>
    <n v="103.35147279136959"/>
    <n v="0.10369901722609461"/>
    <n v="529.55679255384757"/>
    <n v="0.15063909287257155"/>
  </r>
  <r>
    <x v="2"/>
    <s v="ESPAÑA"/>
    <s v="COOP.AGRIC. SAN ISIDRO S.C.A."/>
    <s v="Consolidado/estratégico"/>
    <s v="S0020"/>
    <s v="SAL-WAX STAR, 20 L"/>
    <n v="20"/>
    <n v="2.23"/>
    <n v="2.3245019139279011"/>
    <n v="0"/>
    <n v="0"/>
    <n v="316.55541574182831"/>
    <n v="705.91857710427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705.91857710427701"/>
    <n v="0"/>
    <n v="0"/>
    <n v="340"/>
    <n v="790.3306507354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790.3306507354863"/>
    <n v="23.444584258171687"/>
    <n v="7.4061548443992764E-2"/>
    <n v="84.412073631209296"/>
    <n v="0.11957763454458586"/>
  </r>
  <r>
    <x v="2"/>
    <s v="ESPAÑA"/>
    <s v="COOP.AGRIC. SAN ISIDRO S.C.A."/>
    <s v="Consolidado/estratégico"/>
    <s v="S0020"/>
    <s v="SALWAX STAR, 20 L"/>
    <n v="20"/>
    <n v="2.3127958572685441"/>
    <n v="2.4107135901584109"/>
    <n v="0"/>
    <n v="0"/>
    <n v="0"/>
    <n v="0"/>
    <n v="0"/>
    <n v="0"/>
    <n v="0"/>
    <n v="0"/>
    <n v="0"/>
    <n v="0"/>
    <n v="0"/>
    <n v="0"/>
    <n v="0"/>
    <n v="0"/>
    <n v="633.11083148365651"/>
    <n v="1481.4793456717559"/>
    <n v="0"/>
    <n v="0"/>
    <n v="606.7175291509692"/>
    <n v="1397.4727088110651"/>
    <n v="606.7175291509692"/>
    <n v="1397.4727088110651"/>
    <n v="606.7175291509692"/>
    <n v="1397.4727088110651"/>
    <n v="2453.2634189365644"/>
    <n v="5673.8974721049508"/>
    <n v="0"/>
    <n v="0"/>
    <n v="0"/>
    <n v="0"/>
    <n v="0"/>
    <n v="0"/>
    <n v="0"/>
    <n v="0"/>
    <n v="0"/>
    <n v="0"/>
    <n v="0"/>
    <n v="0"/>
    <n v="0"/>
    <n v="0"/>
    <n v="680"/>
    <n v="1658.631141453845"/>
    <n v="0"/>
    <n v="0"/>
    <n v="660"/>
    <n v="1584.6223361225091"/>
    <n v="660"/>
    <n v="1584.6223361225091"/>
    <n v="660"/>
    <n v="1584.6223361225091"/>
    <n v="2660"/>
    <n v="6412.4981498213729"/>
    <n v="206.73658106343555"/>
    <n v="8.4270029654235537E-2"/>
    <n v="738.60067771642207"/>
    <n v="0.13017518933813405"/>
  </r>
  <r>
    <x v="2"/>
    <s v="ESPAÑA"/>
    <s v="COOP.AGRIC. SAN ISIDRO S.C.A."/>
    <s v="Consolidado/estratégico"/>
    <s v="TRI0001"/>
    <s v="TRIFENO-94, 1 L"/>
    <n v="1"/>
    <n v="28.500000000000011"/>
    <n v="29.70775988652251"/>
    <n v="106.837452812867"/>
    <n v="3098.2861315731438"/>
    <n v="0"/>
    <n v="0"/>
    <n v="0"/>
    <n v="0"/>
    <n v="0"/>
    <n v="0"/>
    <n v="0"/>
    <n v="0"/>
    <n v="0"/>
    <n v="0"/>
    <n v="0"/>
    <n v="0"/>
    <n v="106.837452812867"/>
    <n v="2991.4486787602768"/>
    <n v="0"/>
    <n v="0"/>
    <n v="0"/>
    <n v="0"/>
    <n v="0"/>
    <n v="0"/>
    <n v="102.383583044226"/>
    <n v="2917.932116760443"/>
    <n v="316.05848866996001"/>
    <n v="9007.6669270938637"/>
    <n v="129"/>
    <n v="3899.5343766835331"/>
    <n v="0"/>
    <n v="0"/>
    <n v="0"/>
    <n v="0"/>
    <n v="0"/>
    <n v="0"/>
    <n v="0"/>
    <n v="0"/>
    <n v="0"/>
    <n v="0"/>
    <n v="0"/>
    <n v="0"/>
    <n v="129"/>
    <n v="3765.0676740392742"/>
    <n v="0"/>
    <n v="0"/>
    <n v="0"/>
    <n v="0"/>
    <n v="0"/>
    <n v="0"/>
    <n v="124"/>
    <n v="3683.7622259287909"/>
    <n v="382"/>
    <n v="11348.364276651599"/>
    <n v="65.941511330039987"/>
    <n v="0.20863705198216825"/>
    <n v="2340.6973495577349"/>
    <n v="0.25985611685054971"/>
  </r>
  <r>
    <x v="2"/>
    <s v="ESPAÑA"/>
    <s v="GUIVARTO AGRICOLA, S.L."/>
    <s v="Consolidado/estratégico"/>
    <s v="A-50(2)0005"/>
    <s v="CODIORGAN A-50, 5 KG"/>
    <n v="5"/>
    <n v="5.2033333333333331"/>
    <n v="5.4238377991651028"/>
    <n v="197.84713483864269"/>
    <n v="1028.8051011609421"/>
    <n v="98.92356741932133"/>
    <n v="515.39178625466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544.1968874156062"/>
    <n v="250"/>
    <n v="1355.090801841377"/>
    <n v="125"/>
    <n v="678.84837284553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"/>
    <n v="2033.9391746869132"/>
    <n v="78.22929774203601"/>
    <n v="0.26360182169881524"/>
    <n v="489.74228727130708"/>
    <n v="0.3171501582877479"/>
  </r>
  <r>
    <x v="2"/>
    <s v="ESPAÑA"/>
    <s v="GUIVARTO AGRICOLA, S.L."/>
    <s v="Consolidado/estratégico"/>
    <s v="A-50(2)0005"/>
    <s v="CODIORGAN-A50, 5 KG"/>
    <n v="5"/>
    <n v="5.2087005828546067"/>
    <n v="5.4294310445010341"/>
    <n v="0"/>
    <n v="0"/>
    <n v="0"/>
    <n v="0"/>
    <n v="0"/>
    <n v="0"/>
    <n v="0"/>
    <n v="0"/>
    <n v="0"/>
    <n v="0"/>
    <n v="0"/>
    <n v="0"/>
    <n v="296.77070225796399"/>
    <n v="1546.1753587639921"/>
    <n v="0"/>
    <n v="0"/>
    <n v="94.799613929838927"/>
    <n v="493.58998986136152"/>
    <n v="0"/>
    <n v="0"/>
    <n v="94.799613929838927"/>
    <n v="493.58998986136152"/>
    <n v="0"/>
    <n v="0"/>
    <n v="486.36993011764184"/>
    <n v="2533.355338486715"/>
    <n v="0"/>
    <n v="0"/>
    <n v="0"/>
    <n v="0"/>
    <n v="0"/>
    <n v="0"/>
    <n v="0"/>
    <n v="0"/>
    <n v="0"/>
    <n v="0"/>
    <n v="0"/>
    <n v="0"/>
    <n v="375"/>
    <n v="2036.5451185366089"/>
    <n v="0"/>
    <n v="0"/>
    <n v="120"/>
    <n v="651.27748691576357"/>
    <n v="0"/>
    <n v="0"/>
    <n v="120"/>
    <n v="651.27748691576357"/>
    <n v="0"/>
    <n v="0"/>
    <n v="615"/>
    <n v="3339.1000923681358"/>
    <n v="128.63006988235816"/>
    <n v="0.26446961852934753"/>
    <n v="805.74475388142082"/>
    <n v="0.31805437699187028"/>
  </r>
  <r>
    <x v="2"/>
    <s v="ESPAÑA"/>
    <s v="GUIVARTO AGRICOLA, S.L."/>
    <s v="Consolidado/estratégico"/>
    <s v="AGN0005"/>
    <s v="AGROXILATO N, 5 L"/>
    <n v="5"/>
    <n v="0"/>
    <n v="0"/>
    <n v="0"/>
    <n v="0"/>
    <n v="0"/>
    <n v="0"/>
    <n v="4.9461783709660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461783709660656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.3821629033934393E-2"/>
    <n v="1.0881457359052377E-2"/>
    <n v="0"/>
    <n v="0"/>
  </r>
  <r>
    <x v="2"/>
    <s v="ESPAÑA"/>
    <s v="GUIVARTO AGRICOLA, S.L."/>
    <s v="Consolidado/estratégico"/>
    <s v="AGN0020"/>
    <s v="AGROXILATO N, 20 L"/>
    <n v="20"/>
    <n v="3.01"/>
    <n v="3.1375563950327279"/>
    <n v="0"/>
    <n v="0"/>
    <n v="0"/>
    <n v="0"/>
    <n v="98.92356741932133"/>
    <n v="297.75993793215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97.75993793215719"/>
    <n v="0"/>
    <n v="0"/>
    <n v="0"/>
    <n v="0"/>
    <n v="100"/>
    <n v="313.75563950327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13.75563950327279"/>
    <n v="1.0764325806786701"/>
    <n v="1.0881457359052195E-2"/>
    <n v="15.995701571115603"/>
    <n v="5.3720126630198747E-2"/>
  </r>
  <r>
    <x v="2"/>
    <s v="ESPAÑA"/>
    <s v="GUIVARTO AGRICOLA, S.L."/>
    <s v="Consolidado/estratégico"/>
    <s v="AGXK0020"/>
    <s v="AGROXILATO-K, 20 L"/>
    <n v="20"/>
    <n v="3.298614565677616"/>
    <n v="3.4384020698524429"/>
    <n v="3165.554157418283"/>
    <n v="10477.984261054509"/>
    <n v="633.11083148365651"/>
    <n v="2095.5968522109029"/>
    <n v="4431.7758203855956"/>
    <n v="14669.17796547632"/>
    <n v="633.11083148365651"/>
    <n v="2095.5968522109029"/>
    <n v="0"/>
    <n v="0"/>
    <n v="1266.221662967313"/>
    <n v="4191.1937044218057"/>
    <n v="6331.1083148365651"/>
    <n v="20955.968522109029"/>
    <n v="3798.6649889019391"/>
    <n v="12573.58111326542"/>
    <n v="1175.515212730003"/>
    <n v="3836.2387944687671"/>
    <n v="2351.030425460006"/>
    <n v="7672.4775889375342"/>
    <n v="1175.515212730003"/>
    <n v="3836.2387944687671"/>
    <n v="1858.0724330248429"/>
    <n v="6063.7322880312777"/>
    <n v="26819.67989142186"/>
    <n v="88467.786736655224"/>
    <n v="3500"/>
    <n v="12075.943799486429"/>
    <n v="700"/>
    <n v="2415.1887598972849"/>
    <n v="4880"/>
    <n v="16837.31592614108"/>
    <n v="700"/>
    <n v="2415.1887598972849"/>
    <n v="0"/>
    <n v="0"/>
    <n v="1400"/>
    <n v="4830.3775197945706"/>
    <n v="6980"/>
    <n v="24082.882205832932"/>
    <n v="4200"/>
    <n v="14491.13255938371"/>
    <n v="1300"/>
    <n v="4422.2753119279987"/>
    <n v="2600"/>
    <n v="8844.5506238559974"/>
    <n v="1300"/>
    <n v="4422.2753119279987"/>
    <n v="2040"/>
    <n v="6939.5704894870132"/>
    <n v="29600"/>
    <n v="101776.70126763231"/>
    <n v="2780.3201085781402"/>
    <n v="0.10366716231640824"/>
    <n v="13308.914530977083"/>
    <n v="0.15043797320932351"/>
  </r>
  <r>
    <x v="2"/>
    <s v="ESPAÑA"/>
    <s v="GUIVARTO AGRICOLA, S.L."/>
    <s v="Consolidado/estratégico"/>
    <s v="AGXK1000"/>
    <s v="AGROXILATO-K, 1000 L"/>
    <n v="1000"/>
    <n v="2.774"/>
    <n v="2.89155529562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629.7412904137318"/>
    <n v="0"/>
    <n v="0"/>
    <n v="947.99613929838938"/>
    <n v="2629.7412904137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891.5552956215238"/>
    <n v="0"/>
    <n v="0"/>
    <n v="1000"/>
    <n v="2891.5552956215238"/>
    <n v="52.00386070161062"/>
    <n v="5.4856616547086998E-2"/>
    <n v="261.81400520779198"/>
    <n v="9.9558844880365135E-2"/>
  </r>
  <r>
    <x v="2"/>
    <s v="ESPAÑA"/>
    <s v="GUIVARTO AGRICOLA, S.L."/>
    <s v="Consolidado/estratégico"/>
    <s v="AGZNP0005"/>
    <s v="AGROXILATO-ZN PLUS, 5 KG"/>
    <n v="5"/>
    <n v="6.4"/>
    <n v="6.6712162552190888"/>
    <n v="0"/>
    <n v="0"/>
    <n v="0"/>
    <n v="0"/>
    <n v="0"/>
    <n v="0"/>
    <n v="0"/>
    <n v="0"/>
    <n v="0"/>
    <n v="0"/>
    <n v="0"/>
    <n v="0"/>
    <n v="0"/>
    <n v="0"/>
    <n v="0"/>
    <n v="0"/>
    <n v="47.399806964919463"/>
    <n v="303.3587645754846"/>
    <n v="0"/>
    <n v="0"/>
    <n v="0"/>
    <n v="0"/>
    <n v="0"/>
    <n v="0"/>
    <n v="47.399806964919463"/>
    <n v="303.3587645754846"/>
    <n v="0"/>
    <n v="0"/>
    <n v="0"/>
    <n v="0"/>
    <n v="0"/>
    <n v="0"/>
    <n v="0"/>
    <n v="0"/>
    <n v="0"/>
    <n v="0"/>
    <n v="0"/>
    <n v="0"/>
    <n v="0"/>
    <n v="0"/>
    <n v="0"/>
    <n v="0"/>
    <n v="50"/>
    <n v="333.56081276095438"/>
    <n v="0"/>
    <n v="0"/>
    <n v="0"/>
    <n v="0"/>
    <n v="0"/>
    <n v="0"/>
    <n v="50"/>
    <n v="333.56081276095438"/>
    <n v="2.6001930350805367"/>
    <n v="5.4856616547087129E-2"/>
    <n v="30.202048185469778"/>
    <n v="9.9558844880364802E-2"/>
  </r>
  <r>
    <x v="2"/>
    <s v="ESPAÑA"/>
    <s v="GUIVARTO AGRICOLA, S.L."/>
    <s v="Consolidado/estratégico"/>
    <s v="AQUOM0005"/>
    <s v="AQUOM, 5 L"/>
    <n v="5"/>
    <n v="12.735483870967739"/>
    <n v="13.275182346575081"/>
    <n v="0"/>
    <n v="0"/>
    <n v="0"/>
    <n v="0"/>
    <n v="0"/>
    <n v="0"/>
    <n v="0"/>
    <n v="0"/>
    <n v="613.32611799979225"/>
    <n v="7811.0048834296113"/>
    <n v="0"/>
    <n v="0"/>
    <n v="0"/>
    <n v="0"/>
    <n v="0"/>
    <n v="0"/>
    <n v="189.59922785967791"/>
    <n v="2414.637908354865"/>
    <n v="0"/>
    <n v="0"/>
    <n v="0"/>
    <n v="0"/>
    <n v="0"/>
    <n v="0"/>
    <n v="802.9253458594701"/>
    <n v="10225.642791784476"/>
    <n v="0"/>
    <n v="0"/>
    <n v="0"/>
    <n v="0"/>
    <n v="0"/>
    <n v="0"/>
    <n v="0"/>
    <n v="0"/>
    <n v="740"/>
    <n v="9823.6349364655598"/>
    <n v="0"/>
    <n v="0"/>
    <n v="0"/>
    <n v="0"/>
    <n v="0"/>
    <n v="0"/>
    <n v="230"/>
    <n v="3053.2919397122678"/>
    <n v="0"/>
    <n v="0"/>
    <n v="0"/>
    <n v="0"/>
    <n v="0"/>
    <n v="0"/>
    <n v="970"/>
    <n v="12876.926876177828"/>
    <n v="167.0746541405299"/>
    <n v="0.20808242634524046"/>
    <n v="2651.2840843933518"/>
    <n v="0.25927798754357589"/>
  </r>
  <r>
    <x v="2"/>
    <s v="ESPAÑA"/>
    <s v="GUIVARTO AGRICOLA, S.L."/>
    <s v="Consolidado/estratégico"/>
    <s v="AVAN0005"/>
    <s v="FLORAMEC AVANCE, 5 L"/>
    <n v="5"/>
    <n v="5.4020122920472424"/>
    <n v="5.6309154593819022"/>
    <n v="593.54140451592798"/>
    <n v="3276.3485529279219"/>
    <n v="593.54140451592798"/>
    <n v="3199.1881703408521"/>
    <n v="1187.082809031856"/>
    <n v="6398.3763406817034"/>
    <n v="0"/>
    <n v="0"/>
    <n v="0"/>
    <n v="0"/>
    <n v="0"/>
    <n v="0"/>
    <n v="1187.082809031856"/>
    <n v="6398.3763406817034"/>
    <n v="593.54140451592798"/>
    <n v="3199.1881703408521"/>
    <n v="0"/>
    <n v="0"/>
    <n v="284.39884178951678"/>
    <n v="1527.2420946126899"/>
    <n v="284.39884178951678"/>
    <n v="1527.2420946126899"/>
    <n v="284.39884178951678"/>
    <n v="1527.2420946126899"/>
    <n v="5007.9863569800473"/>
    <n v="27053.203858811106"/>
    <n v="655"/>
    <n v="3768.8202331828338"/>
    <n v="655"/>
    <n v="3680.061785662223"/>
    <n v="1310"/>
    <n v="7360.1235713244469"/>
    <n v="0"/>
    <n v="0"/>
    <n v="0"/>
    <n v="0"/>
    <n v="0"/>
    <n v="0"/>
    <n v="1310"/>
    <n v="7360.1235713244469"/>
    <n v="655"/>
    <n v="3680.061785662223"/>
    <n v="0"/>
    <n v="0"/>
    <n v="315"/>
    <n v="1763.257181075249"/>
    <n v="315"/>
    <n v="1763.257181075249"/>
    <n v="315"/>
    <n v="1763.257181075249"/>
    <n v="5530"/>
    <n v="31138.96249038192"/>
    <n v="522.01364301995272"/>
    <n v="0.10423623504732174"/>
    <n v="4085.758631570814"/>
    <n v="0.15102679345833195"/>
  </r>
  <r>
    <x v="2"/>
    <s v="ESPAÑA"/>
    <s v="GUIVARTO AGRICOLA, S.L."/>
    <s v="Consolidado/estratégico"/>
    <s v="AVAN0020"/>
    <s v="FLORAMEC AVANCE, 20 L"/>
    <n v="20"/>
    <n v="5.0337172550276952"/>
    <n v="5.2475625646837214"/>
    <n v="0"/>
    <n v="0"/>
    <n v="0"/>
    <n v="0"/>
    <n v="633.11083148365651"/>
    <n v="3216.2030239369751"/>
    <n v="633.11083148365651"/>
    <n v="3216.2030239369751"/>
    <n v="0"/>
    <n v="0"/>
    <n v="0"/>
    <n v="0"/>
    <n v="633.11083148365651"/>
    <n v="3216.2030239369751"/>
    <n v="633.11083148365651"/>
    <n v="3216.2030239369751"/>
    <n v="606.7175291509692"/>
    <n v="2995.4402811094792"/>
    <n v="606.7175291509692"/>
    <n v="2995.4402811094792"/>
    <n v="0"/>
    <n v="0"/>
    <n v="0"/>
    <n v="0"/>
    <n v="3745.8783842365647"/>
    <n v="18855.692657966858"/>
    <n v="0"/>
    <n v="0"/>
    <n v="0"/>
    <n v="0"/>
    <n v="700"/>
    <n v="3706.6945318061062"/>
    <n v="700"/>
    <n v="3706.6945318061062"/>
    <n v="0"/>
    <n v="0"/>
    <n v="0"/>
    <n v="0"/>
    <n v="700"/>
    <n v="3706.6945318061062"/>
    <n v="700"/>
    <n v="3706.6945318061062"/>
    <n v="660"/>
    <n v="3396.5898196362559"/>
    <n v="660"/>
    <n v="3396.5898196362559"/>
    <n v="0"/>
    <n v="0"/>
    <n v="0"/>
    <n v="0"/>
    <n v="4120"/>
    <n v="21619.957766496933"/>
    <n v="374.12161576343533"/>
    <n v="9.9875537160474009E-2"/>
    <n v="2764.2651085300749"/>
    <n v="0.14660109064527654"/>
  </r>
  <r>
    <x v="2"/>
    <s v="ESPAÑA"/>
    <s v="GUIVARTO AGRICOLA, S.L."/>
    <s v="Consolidado/estratégico"/>
    <s v="B0005"/>
    <s v="BOROCAL, 5 L"/>
    <n v="5"/>
    <n v="3.6"/>
    <n v="3.7525591435607382"/>
    <n v="39.569426967728532"/>
    <n v="142.44993708382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42.4499370838227"/>
    <n v="45"/>
    <n v="168.8651614602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168.8651614602332"/>
    <n v="5.430573032271468"/>
    <n v="0.13724163952893373"/>
    <n v="26.415224376410492"/>
    <n v="0.18543514245897363"/>
  </r>
  <r>
    <x v="2"/>
    <s v="ESPAÑA"/>
    <s v="GUIVARTO AGRICOLA, S.L."/>
    <s v="Consolidado/estratégico"/>
    <s v="BEY0005"/>
    <s v="FLORAMEC PLUS, 5 L"/>
    <n v="5"/>
    <n v="4.2799999999999994"/>
    <n v="4.4613758706777658"/>
    <n v="197.84713483864269"/>
    <n v="846.78573710939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46.78573710939054"/>
    <n v="215"/>
    <n v="959.19581219571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"/>
    <n v="959.19581219571955"/>
    <n v="17.152865161357312"/>
    <n v="8.6697566660980954E-2"/>
    <n v="112.41007508632902"/>
    <n v="0.1327491361274635"/>
  </r>
  <r>
    <x v="2"/>
    <s v="ESPAÑA"/>
    <s v="GUIVARTO AGRICOLA, S.L."/>
    <s v="Consolidado/estratégico"/>
    <s v="BEY0005"/>
    <s v="BERRY-FLOR, 5 L"/>
    <n v="5"/>
    <n v="4.2799999999999994"/>
    <n v="4.4613758706777649"/>
    <n v="0"/>
    <n v="0"/>
    <n v="0"/>
    <n v="0"/>
    <n v="0"/>
    <n v="0"/>
    <n v="98.92356741932133"/>
    <n v="423.39286855469533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23.39286855469533"/>
    <n v="0"/>
    <n v="0"/>
    <n v="0"/>
    <n v="0"/>
    <n v="0"/>
    <n v="0"/>
    <n v="110"/>
    <n v="490.75134577455412"/>
    <n v="0"/>
    <n v="0"/>
    <n v="0"/>
    <n v="0"/>
    <n v="0"/>
    <n v="0"/>
    <n v="0"/>
    <n v="0"/>
    <n v="0"/>
    <n v="0"/>
    <n v="0"/>
    <n v="0"/>
    <n v="0"/>
    <n v="0"/>
    <n v="0"/>
    <n v="0"/>
    <n v="110"/>
    <n v="490.75134577455412"/>
    <n v="11.07643258067867"/>
    <n v="0.11196960309495742"/>
    <n v="67.358477219858798"/>
    <n v="0.15909213929321817"/>
  </r>
  <r>
    <x v="2"/>
    <s v="ESPAÑA"/>
    <s v="GUIVARTO AGRICOLA, S.L."/>
    <s v="Consolidado/estratégico"/>
    <s v="BEY0020"/>
    <s v="FLORAMEC PLUS 20 L"/>
    <n v="20"/>
    <n v="3.95"/>
    <n v="4.1173912825180317"/>
    <n v="197.84713483864269"/>
    <n v="781.49618261263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81.49618261263845"/>
    <n v="220"/>
    <n v="905.82608215396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905.82608215396692"/>
    <n v="22.152865161357312"/>
    <n v="0.11196960309495725"/>
    <n v="124.32989954132847"/>
    <n v="0.15909213929321861"/>
  </r>
  <r>
    <x v="2"/>
    <s v="ESPAÑA"/>
    <s v="GUIVARTO AGRICOLA, S.L."/>
    <s v="Consolidado/estratégico"/>
    <s v="BEY0020"/>
    <s v="BERRY-FLOR, 20 L"/>
    <n v="20"/>
    <n v="3.9499999999999988"/>
    <n v="4.1173912825180308"/>
    <n v="0"/>
    <n v="0"/>
    <n v="0"/>
    <n v="0"/>
    <n v="0"/>
    <n v="0"/>
    <n v="316.55541574182831"/>
    <n v="1250.393892180221"/>
    <n v="0"/>
    <n v="0"/>
    <n v="0"/>
    <n v="0"/>
    <n v="0"/>
    <n v="0"/>
    <n v="0"/>
    <n v="0"/>
    <n v="75.83969114387115"/>
    <n v="299.56678001829101"/>
    <n v="0"/>
    <n v="0"/>
    <n v="0"/>
    <n v="0"/>
    <n v="0"/>
    <n v="0"/>
    <n v="392.39510688569948"/>
    <n v="1549.9606721985119"/>
    <n v="0"/>
    <n v="0"/>
    <n v="0"/>
    <n v="0"/>
    <n v="0"/>
    <n v="0"/>
    <n v="340"/>
    <n v="1399.913036056131"/>
    <n v="0"/>
    <n v="0"/>
    <n v="0"/>
    <n v="0"/>
    <n v="0"/>
    <n v="0"/>
    <n v="0"/>
    <n v="0"/>
    <n v="80"/>
    <n v="329.39130260144248"/>
    <n v="0"/>
    <n v="0"/>
    <n v="0"/>
    <n v="0"/>
    <n v="0"/>
    <n v="0"/>
    <n v="420"/>
    <n v="1729.3043386575735"/>
    <n v="27.604893114300523"/>
    <n v="7.0349738388408439E-2"/>
    <n v="179.34366645906152"/>
    <n v="0.11570852711035239"/>
  </r>
  <r>
    <x v="2"/>
    <s v="ESPAÑA"/>
    <s v="GUIVARTO AGRICOLA, S.L."/>
    <s v="Consolidado/estratégico"/>
    <s v="BROTA0005"/>
    <s v="BROTAMEC, 5 L"/>
    <n v="5"/>
    <n v="3.411533234976357"/>
    <n v="3.5560400972228892"/>
    <n v="296.77070225796399"/>
    <n v="1003.084973631918"/>
    <n v="593.54140451592798"/>
    <n v="2041.7824315347921"/>
    <n v="0"/>
    <n v="0"/>
    <n v="0"/>
    <n v="0"/>
    <n v="0"/>
    <n v="0"/>
    <n v="0"/>
    <n v="0"/>
    <n v="0"/>
    <n v="0"/>
    <n v="593.54140451592798"/>
    <n v="2041.7824315347921"/>
    <n v="568.79768357903356"/>
    <n v="1924.182690107494"/>
    <n v="0"/>
    <n v="0"/>
    <n v="0"/>
    <n v="0"/>
    <n v="284.39884178951678"/>
    <n v="962.09134505374686"/>
    <n v="2337.0500366583701"/>
    <n v="7972.9238718627439"/>
    <n v="325"/>
    <n v="1145.0517275559639"/>
    <n v="645"/>
    <n v="2312.8272854812681"/>
    <n v="0"/>
    <n v="0"/>
    <n v="0"/>
    <n v="0"/>
    <n v="0"/>
    <n v="0"/>
    <n v="0"/>
    <n v="0"/>
    <n v="0"/>
    <n v="0"/>
    <n v="645"/>
    <n v="2312.8272854812681"/>
    <n v="620"/>
    <n v="2186.277165942503"/>
    <n v="0"/>
    <n v="0"/>
    <n v="0"/>
    <n v="0"/>
    <n v="310"/>
    <n v="1093.138582971251"/>
    <n v="2545"/>
    <n v="9050.1220474322545"/>
    <n v="207.94996334162988"/>
    <n v="8.8979679544630985E-2"/>
    <n v="1077.1981755695106"/>
    <n v="0.13510704390030012"/>
  </r>
  <r>
    <x v="2"/>
    <s v="ESPAÑA"/>
    <s v="GUIVARTO AGRICOLA, S.L."/>
    <s v="Consolidado/estratégico"/>
    <s v="C-CUAE0005"/>
    <s v="CUPRAMEC, 5 L"/>
    <n v="5"/>
    <n v="4.72"/>
    <n v="4.9200219882240779"/>
    <n v="791.38853935457064"/>
    <n v="3735.3539057535731"/>
    <n v="593.54140451592798"/>
    <n v="2801.51542931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4.9299438704986"/>
    <n v="6536.8693350687536"/>
    <n v="955"/>
    <n v="4698.6209987539942"/>
    <n v="715"/>
    <n v="3517.8157215802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0"/>
    <n v="8216.4367203342099"/>
    <n v="285.07005612950138"/>
    <n v="0.2058371669925837"/>
    <n v="1679.5673852654563"/>
    <n v="0.25693757962316544"/>
  </r>
  <r>
    <x v="2"/>
    <s v="ESPAÑA"/>
    <s v="GUIVARTO AGRICOLA, S.L."/>
    <s v="Consolidado/estratégico"/>
    <s v="C-GLB0001"/>
    <s v="CODIORGAN GLB, 1 KG"/>
    <n v="1"/>
    <n v="9.74"/>
    <n v="10.152757238411549"/>
    <n v="0"/>
    <n v="0"/>
    <n v="0"/>
    <n v="0"/>
    <n v="0"/>
    <n v="0"/>
    <n v="0"/>
    <n v="0"/>
    <n v="0"/>
    <n v="0"/>
    <n v="0"/>
    <n v="0"/>
    <n v="201.8040775354155"/>
    <n v="1965.571715194947"/>
    <n v="0"/>
    <n v="0"/>
    <n v="0"/>
    <n v="0"/>
    <n v="102.383583044226"/>
    <n v="997.2160988507618"/>
    <n v="0"/>
    <n v="0"/>
    <n v="102.383583044226"/>
    <n v="997.2160988507618"/>
    <n v="406.57124362386747"/>
    <n v="3960.0039128964704"/>
    <n v="0"/>
    <n v="0"/>
    <n v="0"/>
    <n v="0"/>
    <n v="0"/>
    <n v="0"/>
    <n v="0"/>
    <n v="0"/>
    <n v="0"/>
    <n v="0"/>
    <n v="0"/>
    <n v="0"/>
    <n v="243"/>
    <n v="2467.1200089340068"/>
    <n v="0"/>
    <n v="0"/>
    <n v="0"/>
    <n v="0"/>
    <n v="124"/>
    <n v="1258.9418975630331"/>
    <n v="0"/>
    <n v="0"/>
    <n v="124"/>
    <n v="1258.9418975630331"/>
    <n v="491"/>
    <n v="4985.003804060073"/>
    <n v="84.428756376132526"/>
    <n v="0.20766042286610994"/>
    <n v="1024.9998911636026"/>
    <n v="0.25883810059517987"/>
  </r>
  <r>
    <x v="2"/>
    <s v="ESPAÑA"/>
    <s v="GUIVARTO AGRICOLA, S.L."/>
    <s v="Consolidado/estratégico"/>
    <s v="C-M-P0001"/>
    <s v="CODIFOL Mo-PLUS, 1 L"/>
    <n v="1"/>
    <n v="16.25"/>
    <n v="16.93863502301722"/>
    <n v="0"/>
    <n v="0"/>
    <n v="23.741656180637118"/>
    <n v="385.80191293535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385.80191293535319"/>
    <n v="0"/>
    <n v="0"/>
    <n v="25"/>
    <n v="423.465875575430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423.46587557543052"/>
    <n v="1.2583438193628815"/>
    <n v="5.3001518082346072E-2"/>
    <n v="37.66396264007733"/>
    <n v="9.7625131906457094E-2"/>
  </r>
  <r>
    <x v="2"/>
    <s v="ESPAÑA"/>
    <s v="GUIVARTO AGRICOLA, S.L."/>
    <s v="Consolidado/estratégico"/>
    <s v="C-M-P0001"/>
    <s v="CODIFOL-MO-PLUS, 1 L"/>
    <n v="1"/>
    <n v="16.25"/>
    <n v="16.93863502301722"/>
    <n v="0"/>
    <n v="0"/>
    <n v="0"/>
    <n v="0"/>
    <n v="0"/>
    <n v="0"/>
    <n v="0"/>
    <n v="0"/>
    <n v="0"/>
    <n v="0"/>
    <n v="0"/>
    <n v="0"/>
    <n v="0"/>
    <n v="0"/>
    <n v="59.354140451592791"/>
    <n v="964.50478233838294"/>
    <n v="34.127861014742017"/>
    <n v="554.57774148955775"/>
    <n v="0"/>
    <n v="0"/>
    <n v="0"/>
    <n v="0"/>
    <n v="0"/>
    <n v="0"/>
    <n v="93.482001466334808"/>
    <n v="1519.0825238279408"/>
    <n v="0"/>
    <n v="0"/>
    <n v="0"/>
    <n v="0"/>
    <n v="0"/>
    <n v="0"/>
    <n v="0"/>
    <n v="0"/>
    <n v="0"/>
    <n v="0"/>
    <n v="0"/>
    <n v="0"/>
    <n v="0"/>
    <n v="0"/>
    <n v="64"/>
    <n v="1084.0726414731021"/>
    <n v="37"/>
    <n v="626.72949585163713"/>
    <n v="0"/>
    <n v="0"/>
    <n v="0"/>
    <n v="0"/>
    <n v="0"/>
    <n v="0"/>
    <n v="101"/>
    <n v="1710.8021373247393"/>
    <n v="7.5179985336651924"/>
    <n v="8.0421882455871577E-2"/>
    <n v="191.7196134967985"/>
    <n v="0.1262075038646904"/>
  </r>
  <r>
    <x v="2"/>
    <s v="ESPAÑA"/>
    <s v="GUIVARTO AGRICOLA, S.L."/>
    <s v="Consolidado/estratégico"/>
    <s v="C-MB0005"/>
    <s v="CODIFOL-MB, 5 L"/>
    <n v="5"/>
    <n v="8.41"/>
    <n v="8.766395110373832"/>
    <n v="0"/>
    <n v="0"/>
    <n v="158.2777078709141"/>
    <n v="1331.1155231943881"/>
    <n v="0"/>
    <n v="0"/>
    <n v="0"/>
    <n v="0"/>
    <n v="0"/>
    <n v="0"/>
    <n v="0"/>
    <n v="0"/>
    <n v="0"/>
    <n v="0"/>
    <n v="197.84713483864269"/>
    <n v="1663.894403992985"/>
    <n v="0"/>
    <n v="0"/>
    <n v="94.799613929838927"/>
    <n v="797.26475314994548"/>
    <n v="0"/>
    <n v="0"/>
    <n v="0"/>
    <n v="0"/>
    <n v="450.92445663939571"/>
    <n v="3792.2746803373188"/>
    <n v="0"/>
    <n v="0"/>
    <n v="170"/>
    <n v="1490.2871687635511"/>
    <n v="0"/>
    <n v="0"/>
    <n v="0"/>
    <n v="0"/>
    <n v="0"/>
    <n v="0"/>
    <n v="0"/>
    <n v="0"/>
    <n v="0"/>
    <n v="0"/>
    <n v="210"/>
    <n v="1840.9429731785051"/>
    <n v="0"/>
    <n v="0"/>
    <n v="100"/>
    <n v="876.63951103738339"/>
    <n v="0"/>
    <n v="0"/>
    <n v="0"/>
    <n v="0"/>
    <n v="480"/>
    <n v="4207.8696529794397"/>
    <n v="29.075543360604286"/>
    <n v="6.4479854513315962E-2"/>
    <n v="415.59497264212087"/>
    <n v="0.10958989199726274"/>
  </r>
  <r>
    <x v="2"/>
    <s v="ESPAÑA"/>
    <s v="GUIVARTO AGRICOLA, S.L."/>
    <s v="Consolidado/estratégico"/>
    <s v="FTK0005"/>
    <s v="FITOKONTROL CA FLOW, 5 KG"/>
    <n v="5"/>
    <n v="2.8215519618179572"/>
    <n v="2.9410697061211981"/>
    <n v="593.54140451592798"/>
    <n v="1685.6575888252351"/>
    <n v="791.38853935457064"/>
    <n v="2279.1989933411628"/>
    <n v="296.77070225796399"/>
    <n v="854.69962250293622"/>
    <n v="0"/>
    <n v="0"/>
    <n v="0"/>
    <n v="0"/>
    <n v="19.78471348386427"/>
    <n v="0"/>
    <n v="0"/>
    <n v="0"/>
    <n v="0"/>
    <n v="0"/>
    <n v="758.39691143871141"/>
    <n v="2129.1552360204942"/>
    <n v="0"/>
    <n v="0"/>
    <n v="0"/>
    <n v="0"/>
    <n v="568.79768357903356"/>
    <n v="1596.8664270153699"/>
    <n v="3028.6799546300722"/>
    <n v="8545.5778677051985"/>
    <n v="750"/>
    <n v="2220.2641599401031"/>
    <n v="995"/>
    <n v="2987.0370782743471"/>
    <n v="375"/>
    <n v="1125.7677430682211"/>
    <n v="0"/>
    <n v="0"/>
    <n v="0"/>
    <n v="0"/>
    <n v="25"/>
    <n v="0"/>
    <n v="0"/>
    <n v="0"/>
    <n v="0"/>
    <n v="0"/>
    <n v="955"/>
    <n v="2794.7256945682998"/>
    <n v="0"/>
    <n v="0"/>
    <n v="0"/>
    <n v="0"/>
    <n v="715"/>
    <n v="2092.3862530013971"/>
    <n v="3815"/>
    <n v="11220.180928852369"/>
    <n v="786.32004536992781"/>
    <n v="0.25962467383450233"/>
    <n v="2674.6030611471706"/>
    <n v="0.31298094787186109"/>
  </r>
  <r>
    <x v="2"/>
    <s v="ESPAÑA"/>
    <s v="GUIVARTO AGRICOLA, S.L."/>
    <s v="Consolidado/estratégico"/>
    <s v="G30005"/>
    <s v="GREEN-UP, 5 L"/>
    <n v="5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0"/>
    <n v="0"/>
    <n v="0"/>
    <n v="0"/>
    <n v="0"/>
    <n v="0"/>
    <n v="0"/>
    <n v="0"/>
    <n v="0"/>
    <n v="39.569426967728532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45"/>
    <n v="0"/>
    <n v="5.430573032271468"/>
    <n v="0.13724163952893373"/>
    <n v="0"/>
    <n v="0"/>
  </r>
  <r>
    <x v="2"/>
    <s v="ESPAÑA"/>
    <s v="GUIVARTO AGRICOLA, S.L."/>
    <s v="Consolidado/estratégico"/>
    <s v="HST0005"/>
    <s v="HIDROSTRESS, 5 L"/>
    <n v="5"/>
    <n v="6.8199999999999994"/>
    <n v="7.1090148219678424"/>
    <n v="0"/>
    <n v="0"/>
    <n v="0"/>
    <n v="0"/>
    <n v="98.92356741932133"/>
    <n v="674.65872979977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674.65872979977144"/>
    <n v="0"/>
    <n v="0"/>
    <n v="0"/>
    <n v="0"/>
    <n v="125"/>
    <n v="888.6268527459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"/>
    <n v="888.62685274598016"/>
    <n v="26.07643258067867"/>
    <n v="0.26360182169881524"/>
    <n v="213.96812294620872"/>
    <n v="0.31715015828774828"/>
  </r>
  <r>
    <x v="2"/>
    <s v="ESPAÑA"/>
    <s v="GUIVARTO AGRICOLA, S.L."/>
    <s v="Consolidado/estratégico"/>
    <s v="HST0005"/>
    <s v="HIDROSTRESS-40, 5 L"/>
    <n v="5"/>
    <n v="5.6833333333333336"/>
    <n v="5.9241790183065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19845571935568"/>
    <n v="215.51112233383381"/>
    <n v="37.919845571935568"/>
    <n v="215.51112233383381"/>
    <n v="37.919845571935568"/>
    <n v="215.51112233383381"/>
    <n v="113.7595367158067"/>
    <n v="646.53336700150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296.20895091532668"/>
    <n v="50"/>
    <n v="296.20895091532668"/>
    <n v="50"/>
    <n v="296.20895091532668"/>
    <n v="150"/>
    <n v="888.62685274598005"/>
    <n v="36.240463284193297"/>
    <n v="0.31857077068385903"/>
    <n v="242.09348574447858"/>
    <n v="0.37444855610045624"/>
  </r>
  <r>
    <x v="2"/>
    <s v="ESPAÑA"/>
    <s v="GUIVARTO AGRICOLA, S.L."/>
    <s v="Consolidado/estratégico"/>
    <s v="P-5X0005"/>
    <s v="P.M.S. 5x, 5 L"/>
    <n v="5"/>
    <n v="3.2565789473684208"/>
    <n v="3.3945847515763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799613929838927"/>
    <n v="308.72242694256761"/>
    <n v="94.799613929838927"/>
    <n v="308.72242694256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356.43139891551408"/>
    <n v="105"/>
    <n v="356.43139891551408"/>
    <n v="10.200386070161073"/>
    <n v="0.10759944737444148"/>
    <n v="47.708971972946472"/>
    <n v="0.15453678712438307"/>
  </r>
  <r>
    <x v="2"/>
    <s v="ESPAÑA"/>
    <s v="GUIVARTO AGRICOLA, S.L."/>
    <s v="Consolidado/estratégico"/>
    <s v="PT0005"/>
    <s v="AGROPOTASION, 5 L"/>
    <n v="5"/>
    <n v="3.77"/>
    <n v="3.9297633253399948"/>
    <n v="98.92356741932133"/>
    <n v="372.94184917084141"/>
    <n v="0"/>
    <n v="0"/>
    <n v="0"/>
    <n v="0"/>
    <n v="0"/>
    <n v="0"/>
    <n v="0"/>
    <n v="0"/>
    <n v="0"/>
    <n v="0"/>
    <n v="197.84713483864269"/>
    <n v="745.88369834168282"/>
    <n v="0"/>
    <n v="0"/>
    <n v="0"/>
    <n v="0"/>
    <n v="0"/>
    <n v="0"/>
    <n v="94.799613929838927"/>
    <n v="357.39454451549278"/>
    <n v="189.59922785967791"/>
    <n v="714.78908903098556"/>
    <n v="581.16954404748083"/>
    <n v="2191.0091810590025"/>
    <n v="110"/>
    <n v="432.27396578739939"/>
    <n v="0"/>
    <n v="0"/>
    <n v="0"/>
    <n v="0"/>
    <n v="0"/>
    <n v="0"/>
    <n v="0"/>
    <n v="0"/>
    <n v="0"/>
    <n v="0"/>
    <n v="220"/>
    <n v="864.54793157479878"/>
    <n v="0"/>
    <n v="0"/>
    <n v="0"/>
    <n v="0"/>
    <n v="0"/>
    <n v="0"/>
    <n v="105"/>
    <n v="412.62514916069949"/>
    <n v="210"/>
    <n v="825.25029832139899"/>
    <n v="645"/>
    <n v="2534.6973448442968"/>
    <n v="63.830455952519173"/>
    <n v="0.10983104088349183"/>
    <n v="343.68816378529436"/>
    <n v="0.15686295007635528"/>
  </r>
  <r>
    <x v="2"/>
    <s v="ESPAÑA"/>
    <s v="GUIVARTO AGRICOLA, S.L."/>
    <s v="Consolidado/estratégico"/>
    <s v="S0020"/>
    <s v="SALWAX STAR, 20 L"/>
    <n v="20"/>
    <n v="2.23"/>
    <n v="2.3245019139279011"/>
    <n v="0"/>
    <n v="0"/>
    <n v="0"/>
    <n v="0"/>
    <n v="0"/>
    <n v="0"/>
    <n v="0"/>
    <n v="0"/>
    <n v="0"/>
    <n v="0"/>
    <n v="0"/>
    <n v="0"/>
    <n v="633.11083148365651"/>
    <n v="1411.837154208554"/>
    <n v="0"/>
    <n v="0"/>
    <n v="0"/>
    <n v="0"/>
    <n v="606.7175291509692"/>
    <n v="1352.9800900066609"/>
    <n v="0"/>
    <n v="0"/>
    <n v="0"/>
    <n v="0"/>
    <n v="1239.8283606346258"/>
    <n v="2764.8172442152149"/>
    <n v="0"/>
    <n v="0"/>
    <n v="0"/>
    <n v="0"/>
    <n v="0"/>
    <n v="0"/>
    <n v="0"/>
    <n v="0"/>
    <n v="0"/>
    <n v="0"/>
    <n v="0"/>
    <n v="0"/>
    <n v="680"/>
    <n v="1580.6613014709731"/>
    <n v="0"/>
    <n v="0"/>
    <n v="0"/>
    <n v="0"/>
    <n v="660"/>
    <n v="1534.1712631924149"/>
    <n v="0"/>
    <n v="0"/>
    <n v="0"/>
    <n v="0"/>
    <n v="1340"/>
    <n v="3114.832564663388"/>
    <n v="100.17163936537418"/>
    <n v="8.0794763651074838E-2"/>
    <n v="350.01532044817304"/>
    <n v="0.12659618684761345"/>
  </r>
  <r>
    <x v="2"/>
    <s v="ESPAÑA"/>
    <s v="GUIVARTO AGRICOLA, S.L."/>
    <s v="Consolidado/estratégico"/>
    <s v="TRI0001"/>
    <s v="TRIFENO-94, 1 L"/>
    <n v="1"/>
    <n v="14.061052631578949"/>
    <n v="14.657820991275379"/>
    <n v="71.224968541911352"/>
    <n v="1109.6850098829791"/>
    <n v="0"/>
    <n v="0"/>
    <n v="0"/>
    <n v="0"/>
    <n v="83.095796632229906"/>
    <n v="1110.1598430065919"/>
    <n v="0"/>
    <n v="0"/>
    <n v="0"/>
    <n v="0"/>
    <n v="0"/>
    <n v="0"/>
    <n v="71.224968541911352"/>
    <n v="951.56557971993561"/>
    <n v="0"/>
    <n v="0"/>
    <n v="0"/>
    <n v="0"/>
    <n v="0"/>
    <n v="0"/>
    <n v="0"/>
    <n v="0"/>
    <n v="225.54573371605261"/>
    <n v="3171.4104326095066"/>
    <n v="86"/>
    <n v="1396.660818131711"/>
    <n v="0"/>
    <n v="0"/>
    <n v="0"/>
    <n v="0"/>
    <n v="100"/>
    <n v="1392.616393276985"/>
    <n v="0"/>
    <n v="0"/>
    <n v="0"/>
    <n v="0"/>
    <n v="0"/>
    <n v="0"/>
    <n v="86"/>
    <n v="1197.6500982182069"/>
    <n v="0"/>
    <n v="0"/>
    <n v="0"/>
    <n v="0"/>
    <n v="0"/>
    <n v="0"/>
    <n v="0"/>
    <n v="0"/>
    <n v="272"/>
    <n v="3986.927309626903"/>
    <n v="46.454266283947391"/>
    <n v="0.20596384386693958"/>
    <n v="815.51687701739638"/>
    <n v="0.25714643195720682"/>
  </r>
  <r>
    <x v="2"/>
    <s v="ESPAÑA"/>
    <s v="GUIVARTO AGRICOLA, S.L."/>
    <s v="Consolidado/estratégico"/>
    <s v="TRI0005"/>
    <s v="TRIFENO-94, 5L"/>
    <n v="5"/>
    <n v="10.6195583776446"/>
    <n v="11.06958815764378"/>
    <n v="98.92356741932133"/>
    <n v="1205.8782868415269"/>
    <n v="197.84713483864269"/>
    <n v="2077.394915805748"/>
    <n v="296.77070225796399"/>
    <n v="3116.0923737086218"/>
    <n v="0"/>
    <n v="0"/>
    <n v="0"/>
    <n v="0"/>
    <n v="0"/>
    <n v="0"/>
    <n v="98.92356741932133"/>
    <n v="1038.697457902874"/>
    <n v="197.84713483864269"/>
    <n v="2077.394915805748"/>
    <n v="0"/>
    <n v="0"/>
    <n v="284.39884178951678"/>
    <n v="2989.8218239905709"/>
    <n v="284.39884178951678"/>
    <n v="2989.8218239905709"/>
    <n v="0"/>
    <n v="0"/>
    <n v="1459.1097903529255"/>
    <n v="15495.10159804566"/>
    <n v="120"/>
    <n v="1524.789865333513"/>
    <n v="240"/>
    <n v="2626.791400492516"/>
    <n v="360"/>
    <n v="3940.187100738774"/>
    <n v="0"/>
    <n v="0"/>
    <n v="0"/>
    <n v="0"/>
    <n v="0"/>
    <n v="0"/>
    <n v="120"/>
    <n v="1313.395700246258"/>
    <n v="240"/>
    <n v="2626.791400492516"/>
    <n v="0"/>
    <n v="0"/>
    <n v="345"/>
    <n v="3780.6077858629551"/>
    <n v="345"/>
    <n v="3780.6077858629551"/>
    <n v="0"/>
    <n v="0"/>
    <n v="1770"/>
    <n v="19593.171039029487"/>
    <n v="310.89020964707447"/>
    <n v="0.21306841452408951"/>
    <n v="4098.069440983827"/>
    <n v="0.26447515784605774"/>
  </r>
  <r>
    <x v="2"/>
    <s v="ESPAÑA"/>
    <s v="HORTOCAMPO, S.A."/>
    <s v="Baja aportación"/>
    <s v="AQUOM0005"/>
    <s v="AQUOM, 5 L"/>
    <n v="5"/>
    <n v="12.58"/>
    <n v="13.11310945166502"/>
    <n v="0"/>
    <n v="0"/>
    <n v="0"/>
    <n v="0"/>
    <n v="0"/>
    <n v="0"/>
    <n v="593.54140451592798"/>
    <n v="7466.7508688103744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7466.7508688103744"/>
    <n v="0"/>
    <n v="0"/>
    <n v="0"/>
    <n v="0"/>
    <n v="0"/>
    <n v="0"/>
    <n v="705"/>
    <n v="9244.7421634238399"/>
    <n v="0"/>
    <n v="0"/>
    <n v="0"/>
    <n v="0"/>
    <n v="0"/>
    <n v="0"/>
    <n v="0"/>
    <n v="0"/>
    <n v="0"/>
    <n v="0"/>
    <n v="0"/>
    <n v="0"/>
    <n v="0"/>
    <n v="0"/>
    <n v="0"/>
    <n v="0"/>
    <n v="705"/>
    <n v="9244.7421634238399"/>
    <n v="111.45859548407202"/>
    <n v="0.18778571239688632"/>
    <n v="1777.9912946134655"/>
    <n v="0.23812114879048327"/>
  </r>
  <r>
    <x v="2"/>
    <s v="ESPAÑA"/>
    <s v="HORTOCAMPO, S.A."/>
    <s v="Baja aportación"/>
    <s v="BROTA0005"/>
    <s v="CODECROP BROTIUM, 5 L"/>
    <n v="5"/>
    <n v="3.1"/>
    <n v="3.2313703736217461"/>
    <n v="0"/>
    <n v="0"/>
    <n v="0"/>
    <n v="0"/>
    <n v="0"/>
    <n v="0"/>
    <n v="0"/>
    <n v="0"/>
    <n v="593.54140451592798"/>
    <n v="1839.9783539993771"/>
    <n v="0"/>
    <n v="0"/>
    <n v="0"/>
    <n v="0"/>
    <n v="0"/>
    <n v="0"/>
    <n v="0"/>
    <n v="0"/>
    <n v="0"/>
    <n v="0"/>
    <n v="0"/>
    <n v="0"/>
    <n v="0"/>
    <n v="0"/>
    <n v="593.54140451592798"/>
    <n v="1839.9783539993771"/>
    <n v="0"/>
    <n v="0"/>
    <n v="0"/>
    <n v="0"/>
    <n v="0"/>
    <n v="0"/>
    <n v="0"/>
    <n v="0"/>
    <n v="635"/>
    <n v="2051.9201872498079"/>
    <n v="0"/>
    <n v="0"/>
    <n v="0"/>
    <n v="0"/>
    <n v="0"/>
    <n v="0"/>
    <n v="0"/>
    <n v="0"/>
    <n v="0"/>
    <n v="0"/>
    <n v="0"/>
    <n v="0"/>
    <n v="0"/>
    <n v="0"/>
    <n v="635"/>
    <n v="2051.9201872498079"/>
    <n v="41.458595484072021"/>
    <n v="6.9849542371663575E-2"/>
    <n v="211.94183325043082"/>
    <n v="0.11518713401695951"/>
  </r>
  <r>
    <x v="2"/>
    <s v="ESPAÑA"/>
    <s v="HORTOCAMPO, S.A."/>
    <s v="Baja aportación"/>
    <s v="C-CU0005"/>
    <s v="CODECROP COBRIUM, 5 L"/>
    <n v="5"/>
    <n v="3.86"/>
    <n v="4.023577303929013"/>
    <n v="593.54140451592798"/>
    <n v="2291.0698214314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2291.0698214314821"/>
    <n v="635"/>
    <n v="2554.9715879949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"/>
    <n v="2554.9715879949231"/>
    <n v="41.458595484072021"/>
    <n v="6.9849542371663575E-2"/>
    <n v="263.90176656344102"/>
    <n v="0.11518713401696012"/>
  </r>
  <r>
    <x v="2"/>
    <s v="ESPAÑA"/>
    <s v="HORTOCAMPO, S.A."/>
    <s v="Baja aportación"/>
    <s v="CBROT0005"/>
    <s v="CODIBROT, 5 L"/>
    <n v="5"/>
    <n v="3.16"/>
    <n v="3.2939130260144251"/>
    <n v="0"/>
    <n v="0"/>
    <n v="0"/>
    <n v="0"/>
    <n v="0"/>
    <n v="0"/>
    <n v="593.54140451592798"/>
    <n v="1875.5908382703319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875.5908382703319"/>
    <n v="0"/>
    <n v="0"/>
    <n v="0"/>
    <n v="0"/>
    <n v="0"/>
    <n v="0"/>
    <n v="635"/>
    <n v="2091.63477151916"/>
    <n v="0"/>
    <n v="0"/>
    <n v="0"/>
    <n v="0"/>
    <n v="0"/>
    <n v="0"/>
    <n v="0"/>
    <n v="0"/>
    <n v="0"/>
    <n v="0"/>
    <n v="0"/>
    <n v="0"/>
    <n v="0"/>
    <n v="0"/>
    <n v="0"/>
    <n v="0"/>
    <n v="635"/>
    <n v="2091.63477151916"/>
    <n v="41.458595484072021"/>
    <n v="6.9849542371663575E-2"/>
    <n v="216.04393324882813"/>
    <n v="0.11518713401696057"/>
  </r>
  <r>
    <x v="2"/>
    <s v="ESPAÑA"/>
    <s v="HORTOCAMPO, S.A."/>
    <s v="Baja aportación"/>
    <s v="JF0005"/>
    <s v="CODECROP FOS, 5 L"/>
    <n v="5"/>
    <n v="2.79"/>
    <n v="2.9082333362595709"/>
    <n v="0"/>
    <n v="0"/>
    <n v="0"/>
    <n v="0"/>
    <n v="0"/>
    <n v="0"/>
    <n v="0"/>
    <n v="0"/>
    <n v="0"/>
    <n v="0"/>
    <n v="593.54140451592798"/>
    <n v="1655.9805185994389"/>
    <n v="0"/>
    <n v="0"/>
    <n v="0"/>
    <n v="0"/>
    <n v="0"/>
    <n v="0"/>
    <n v="0"/>
    <n v="0"/>
    <n v="0"/>
    <n v="0"/>
    <n v="0"/>
    <n v="0"/>
    <n v="593.54140451592798"/>
    <n v="1655.9805185994389"/>
    <n v="0"/>
    <n v="0"/>
    <n v="0"/>
    <n v="0"/>
    <n v="0"/>
    <n v="0"/>
    <n v="0"/>
    <n v="0"/>
    <n v="0"/>
    <n v="0"/>
    <n v="655"/>
    <n v="1904.8928352500191"/>
    <n v="0"/>
    <n v="0"/>
    <n v="0"/>
    <n v="0"/>
    <n v="0"/>
    <n v="0"/>
    <n v="0"/>
    <n v="0"/>
    <n v="0"/>
    <n v="0"/>
    <n v="0"/>
    <n v="0"/>
    <n v="655"/>
    <n v="1904.8928352500191"/>
    <n v="61.458595484072021"/>
    <n v="0.10354559095029865"/>
    <n v="248.91231665058012"/>
    <n v="0.15031113823796674"/>
  </r>
  <r>
    <x v="2"/>
    <s v="ESPAÑA"/>
    <s v="SERVICIOS AGRÍCOLAS CAMPO RIO, S.L."/>
    <s v="Baja aportación"/>
    <s v="P-5X0020"/>
    <s v="TERRASOIL PLUS, 20 L"/>
    <n v="20"/>
    <n v="2.93"/>
    <n v="3.0541661918424881"/>
    <n v="0"/>
    <n v="0"/>
    <n v="0"/>
    <n v="0"/>
    <n v="0"/>
    <n v="0"/>
    <n v="0"/>
    <n v="0"/>
    <n v="0"/>
    <n v="0"/>
    <n v="633.11083148365651"/>
    <n v="1855.014736247113"/>
    <n v="0"/>
    <n v="0"/>
    <n v="0"/>
    <n v="0"/>
    <n v="0"/>
    <n v="0"/>
    <n v="0"/>
    <n v="0"/>
    <n v="0"/>
    <n v="0"/>
    <n v="0"/>
    <n v="0"/>
    <n v="633.11083148365651"/>
    <n v="1855.014736247113"/>
    <n v="0"/>
    <n v="0"/>
    <n v="0"/>
    <n v="0"/>
    <n v="0"/>
    <n v="0"/>
    <n v="0"/>
    <n v="0"/>
    <n v="0"/>
    <n v="0"/>
    <n v="680"/>
    <n v="2076.8330104528918"/>
    <n v="0"/>
    <n v="0"/>
    <n v="0"/>
    <n v="0"/>
    <n v="0"/>
    <n v="0"/>
    <n v="0"/>
    <n v="0"/>
    <n v="0"/>
    <n v="0"/>
    <n v="0"/>
    <n v="0"/>
    <n v="680"/>
    <n v="2076.8330104528918"/>
    <n v="46.889168516343489"/>
    <n v="7.4061548443992958E-2"/>
    <n v="221.81827420577883"/>
    <n v="0.11957763454458599"/>
  </r>
  <r>
    <x v="2"/>
    <s v="ESPAÑA"/>
    <s v="SUCA, S.C.A."/>
    <s v="Con potencial"/>
    <s v="AGXK0020"/>
    <s v="AGROXILATO-K, 20 L"/>
    <n v="20"/>
    <n v="3.31"/>
    <n v="3.4502696569961229"/>
    <n v="1899.3324944509691"/>
    <n v="6286.790556632709"/>
    <n v="79.138853935457064"/>
    <n v="261.94960652636291"/>
    <n v="1800.4089270316481"/>
    <n v="5959.3535484747563"/>
    <n v="1899.3324944509691"/>
    <n v="6286.7905566327081"/>
    <n v="949.66624722548465"/>
    <n v="3143.395278316355"/>
    <n v="0"/>
    <n v="0"/>
    <n v="0"/>
    <n v="0"/>
    <n v="0"/>
    <n v="0"/>
    <n v="0"/>
    <n v="0"/>
    <n v="2616.469344463555"/>
    <n v="8660.5135301743667"/>
    <n v="1213.4350583019379"/>
    <n v="4016.4700429794161"/>
    <n v="1213.4350583019379"/>
    <n v="4016.4700429794161"/>
    <n v="11671.218478161962"/>
    <n v="38631.733162716089"/>
    <n v="2200"/>
    <n v="7590.5932453914711"/>
    <n v="100"/>
    <n v="345.02696569961222"/>
    <n v="2080"/>
    <n v="7176.5608865519353"/>
    <n v="2200"/>
    <n v="7590.5932453914702"/>
    <n v="1100"/>
    <n v="3795.296622695736"/>
    <n v="0"/>
    <n v="0"/>
    <n v="0"/>
    <n v="0"/>
    <n v="0"/>
    <n v="0"/>
    <n v="0"/>
    <n v="0"/>
    <n v="3020"/>
    <n v="10419.81436412829"/>
    <n v="1400"/>
    <n v="4830.3775197945724"/>
    <n v="1400"/>
    <n v="4830.3775197945724"/>
    <n v="13500"/>
    <n v="46578.640369447661"/>
    <n v="1828.7815218380383"/>
    <n v="0.1566915678307175"/>
    <n v="7946.9072067315719"/>
    <n v="0.20570931087299027"/>
  </r>
  <r>
    <x v="2"/>
    <s v="ESPAÑA"/>
    <s v="SUCA, S.C.A."/>
    <s v="Con potencial"/>
    <s v="AGXK0200"/>
    <s v="AGROXILATO-K, 200 L"/>
    <n v="200"/>
    <n v="2.9"/>
    <n v="3.022894865646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549.83776079306585"/>
    <n v="189.59922785967791"/>
    <n v="549.83776079306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604.57897312922989"/>
    <n v="200"/>
    <n v="604.57897312922989"/>
    <n v="10.40077214032209"/>
    <n v="5.485661654708681E-2"/>
    <n v="54.74121233616404"/>
    <n v="9.9558844880364927E-2"/>
  </r>
  <r>
    <x v="2"/>
    <s v="ESPAÑA"/>
    <s v="SUCA, S.C.A."/>
    <s v="Con potencial"/>
    <s v="AVAN0005"/>
    <s v="FLORAMEC AVANCE, 5 L"/>
    <n v="5"/>
    <n v="5.660000000000001"/>
    <n v="5.899856875709383"/>
    <n v="0"/>
    <n v="0"/>
    <n v="0"/>
    <n v="0"/>
    <n v="0"/>
    <n v="0"/>
    <n v="0"/>
    <n v="0"/>
    <n v="0"/>
    <n v="0"/>
    <n v="0"/>
    <n v="0"/>
    <n v="0"/>
    <n v="0"/>
    <n v="59.354140451592791"/>
    <n v="335.94443495601519"/>
    <n v="0"/>
    <n v="0"/>
    <n v="0"/>
    <n v="0"/>
    <n v="0"/>
    <n v="0"/>
    <n v="0"/>
    <n v="0"/>
    <n v="59.354140451592791"/>
    <n v="335.94443495601519"/>
    <n v="0"/>
    <n v="0"/>
    <n v="0"/>
    <n v="0"/>
    <n v="0"/>
    <n v="0"/>
    <n v="0"/>
    <n v="0"/>
    <n v="0"/>
    <n v="0"/>
    <n v="0"/>
    <n v="0"/>
    <n v="0"/>
    <n v="0"/>
    <n v="70"/>
    <n v="412.98998129965679"/>
    <n v="0"/>
    <n v="0"/>
    <n v="0"/>
    <n v="0"/>
    <n v="0"/>
    <n v="0"/>
    <n v="0"/>
    <n v="0"/>
    <n v="70"/>
    <n v="412.98998129965679"/>
    <n v="10.645859548407209"/>
    <n v="0.1793617002522277"/>
    <n v="77.045546343641604"/>
    <n v="0.22934014773523212"/>
  </r>
  <r>
    <x v="2"/>
    <s v="ESPAÑA"/>
    <s v="SUCA, S.C.A."/>
    <s v="Con potencial"/>
    <s v="AVAN0020"/>
    <s v="FLORAMEC AVANCE, 20 L"/>
    <n v="20"/>
    <n v="5.08"/>
    <n v="5.2952779025801524"/>
    <n v="0"/>
    <n v="0"/>
    <n v="0"/>
    <n v="0"/>
    <n v="98.92356741932133"/>
    <n v="502.53172249015228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963.16407752716361"/>
    <n v="288.52279527899924"/>
    <n v="1465.6958000173158"/>
    <n v="0"/>
    <n v="0"/>
    <n v="0"/>
    <n v="0"/>
    <n v="120"/>
    <n v="635.43334830961817"/>
    <n v="0"/>
    <n v="0"/>
    <n v="0"/>
    <n v="0"/>
    <n v="0"/>
    <n v="0"/>
    <n v="0"/>
    <n v="0"/>
    <n v="0"/>
    <n v="0"/>
    <n v="0"/>
    <n v="0"/>
    <n v="0"/>
    <n v="0"/>
    <n v="0"/>
    <n v="0"/>
    <n v="220"/>
    <n v="1164.961138567633"/>
    <n v="340"/>
    <n v="1800.3944868772512"/>
    <n v="51.47720472100076"/>
    <n v="0.17841642172925268"/>
    <n v="334.69868685993538"/>
    <n v="0.22835481063395366"/>
  </r>
  <r>
    <x v="3"/>
    <s v="ESPAÑA"/>
    <s v="AGROQUIMICAS DRAGO S.L."/>
    <s v="Consolidado/estratégico"/>
    <s v="AGRMG0005"/>
    <s v="AGROXIGREEN-MG, 5 L"/>
    <n v="5"/>
    <n v="3.2"/>
    <n v="3.3356081276095439"/>
    <n v="0"/>
    <n v="0"/>
    <n v="0"/>
    <n v="0"/>
    <n v="0"/>
    <n v="0"/>
    <n v="19.78471348386427"/>
    <n v="63.311083148365647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311083148365647"/>
    <n v="0"/>
    <n v="0"/>
    <n v="0"/>
    <n v="0"/>
    <n v="0"/>
    <n v="0"/>
    <n v="25"/>
    <n v="83.390203190238594"/>
    <n v="0"/>
    <n v="0"/>
    <n v="0"/>
    <n v="0"/>
    <n v="0"/>
    <n v="0"/>
    <n v="0"/>
    <n v="0"/>
    <n v="0"/>
    <n v="0"/>
    <n v="0"/>
    <n v="0"/>
    <n v="0"/>
    <n v="0"/>
    <n v="0"/>
    <n v="0"/>
    <n v="25"/>
    <n v="83.390203190238594"/>
    <n v="5.2152865161357305"/>
    <n v="0.26360182169881502"/>
    <n v="20.079120041872947"/>
    <n v="0.31715015828774812"/>
  </r>
  <r>
    <x v="3"/>
    <s v="ESPAÑA"/>
    <s v="AGROQUIMICAS DRAGO S.L."/>
    <s v="Consolidado/estratégico"/>
    <s v="AGRMGN0020"/>
    <s v="AGROXIGREEN-MG, 20 L"/>
    <n v="20"/>
    <n v="2.919999999999999"/>
    <n v="3.0437424164437088"/>
    <n v="0"/>
    <n v="0"/>
    <n v="0"/>
    <n v="0"/>
    <n v="0"/>
    <n v="0"/>
    <n v="39.569426967728532"/>
    <n v="115.5427267457673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15.5427267457673"/>
    <n v="0"/>
    <n v="0"/>
    <n v="0"/>
    <n v="0"/>
    <n v="0"/>
    <n v="0"/>
    <n v="40"/>
    <n v="121.7496966577484"/>
    <n v="0"/>
    <n v="0"/>
    <n v="0"/>
    <n v="0"/>
    <n v="0"/>
    <n v="0"/>
    <n v="0"/>
    <n v="0"/>
    <n v="0"/>
    <n v="0"/>
    <n v="0"/>
    <n v="0"/>
    <n v="0"/>
    <n v="0"/>
    <n v="0"/>
    <n v="0"/>
    <n v="40"/>
    <n v="121.7496966577484"/>
    <n v="0.43057303227146804"/>
    <n v="1.0881457359052195E-2"/>
    <n v="6.2069699119811048"/>
    <n v="5.3720126630199039E-2"/>
  </r>
  <r>
    <x v="3"/>
    <s v="ESPAÑA"/>
    <s v="AGROQUIMICAS DRAGO S.L."/>
    <s v="Consolidado/estratégico"/>
    <s v="AGXK0005"/>
    <s v="AGROXILATO-K, 5 L"/>
    <n v="5"/>
    <n v="3.23"/>
    <n v="3.366879453805883"/>
    <n v="0"/>
    <n v="0"/>
    <n v="19.78471348386427"/>
    <n v="63.904624552881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904624552881572"/>
    <n v="0"/>
    <n v="0"/>
    <n v="20"/>
    <n v="67.337589076117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7.337589076117666"/>
    <n v="0.21528651613573047"/>
    <n v="1.0881457359052014E-2"/>
    <n v="3.4329645232360946"/>
    <n v="5.3720126630198567E-2"/>
  </r>
  <r>
    <x v="3"/>
    <s v="ESPAÑA"/>
    <s v="AGROQUIMICAS DRAGO S.L."/>
    <s v="Consolidado/estratégico"/>
    <s v="AGXK0020"/>
    <s v="AGROXILATO-K, 20 L"/>
    <n v="20"/>
    <n v="3.012"/>
    <n v="3.139641150112483"/>
    <n v="0"/>
    <n v="0"/>
    <n v="633.11083148365651"/>
    <n v="1886.6702778212959"/>
    <n v="1266.221662967313"/>
    <n v="3773.3405556425928"/>
    <n v="0"/>
    <n v="0"/>
    <n v="633.11083148365651"/>
    <n v="1937.319144339989"/>
    <n v="0"/>
    <n v="0"/>
    <n v="0"/>
    <n v="0"/>
    <n v="633.11083148365651"/>
    <n v="1937.319144339989"/>
    <n v="0"/>
    <n v="0"/>
    <n v="606.7175291509692"/>
    <n v="1827.433197802719"/>
    <n v="1213.4350583019379"/>
    <n v="3654.8663956054379"/>
    <n v="606.7175291509692"/>
    <n v="1827.433197802719"/>
    <n v="5592.4242740221589"/>
    <n v="16844.38191335474"/>
    <n v="0"/>
    <n v="0"/>
    <n v="700"/>
    <n v="2174.3995481854722"/>
    <n v="1400"/>
    <n v="4348.7990963709444"/>
    <n v="0"/>
    <n v="0"/>
    <n v="700"/>
    <n v="2232.7726904186388"/>
    <n v="0"/>
    <n v="0"/>
    <n v="0"/>
    <n v="0"/>
    <n v="700"/>
    <n v="2232.7726904186388"/>
    <n v="0"/>
    <n v="0"/>
    <n v="660"/>
    <n v="2072.163159074239"/>
    <n v="1340"/>
    <n v="4207.119141150728"/>
    <n v="660"/>
    <n v="2072.163159074239"/>
    <n v="6160"/>
    <n v="19340.189484692899"/>
    <n v="567.5757259778411"/>
    <n v="0.10149010485744706"/>
    <n v="2495.8075713381586"/>
    <n v="0.14816854570124691"/>
  </r>
  <r>
    <x v="3"/>
    <s v="ESPAÑA"/>
    <s v="AGROQUIMICAS DRAGO S.L."/>
    <s v="Consolidado/estratégico"/>
    <s v="AGXK0200"/>
    <s v="AGROXILATO-K, 200 L"/>
    <n v="200"/>
    <n v="2.89888888888889"/>
    <n v="3.0214719375758401"/>
    <n v="791.38853935457064"/>
    <n v="2287.1128787347088"/>
    <n v="791.38853935457064"/>
    <n v="2287.1128787347088"/>
    <n v="3956.9426967728532"/>
    <n v="11435.564393673551"/>
    <n v="791.38853935457064"/>
    <n v="2287.1128787347088"/>
    <n v="0"/>
    <n v="0"/>
    <n v="791.38853935457064"/>
    <n v="2350.4239618830752"/>
    <n v="0"/>
    <n v="0"/>
    <n v="0"/>
    <n v="0"/>
    <n v="1516.7938228774231"/>
    <n v="4397.016759874663"/>
    <n v="1516.7938228774231"/>
    <n v="4397.016759874663"/>
    <n v="1516.7938228774231"/>
    <n v="4397.016759874663"/>
    <n v="1516.7938228774231"/>
    <n v="4397.016759874663"/>
    <n v="13189.67214570083"/>
    <n v="38235.394031259406"/>
    <n v="800"/>
    <n v="2409.9768721978958"/>
    <n v="800"/>
    <n v="2409.9768721978958"/>
    <n v="4400"/>
    <n v="13254.87279708843"/>
    <n v="800"/>
    <n v="2409.9768721978958"/>
    <n v="0"/>
    <n v="0"/>
    <n v="800"/>
    <n v="2476.6890347500871"/>
    <n v="0"/>
    <n v="0"/>
    <n v="0"/>
    <n v="0"/>
    <n v="1600"/>
    <n v="4834.7786694073902"/>
    <n v="1600"/>
    <n v="4834.7786694073902"/>
    <n v="1600"/>
    <n v="4834.7786694073902"/>
    <n v="1600"/>
    <n v="4834.7786694073902"/>
    <n v="14000"/>
    <n v="42300.607126061761"/>
    <n v="810.32785429917021"/>
    <n v="6.143654257268983E-2"/>
    <n v="4065.213094802355"/>
    <n v="0.10632068003480842"/>
  </r>
  <r>
    <x v="3"/>
    <s v="ESPAÑA"/>
    <s v="AGROQUIMICAS DRAGO S.L."/>
    <s v="Consolidado/estratégico"/>
    <s v="AGXK1000"/>
    <s v="AGROXILATO-K, 1000 L"/>
    <n v="1000"/>
    <n v="2.62"/>
    <n v="2.7310291544803138"/>
    <n v="989.23567419321319"/>
    <n v="2591.7974663862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2591.7974663862192"/>
    <n v="1000"/>
    <n v="2731.029154480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731.029154480314"/>
    <n v="10.764325806786815"/>
    <n v="1.0881457359052311E-2"/>
    <n v="139.23168809409481"/>
    <n v="5.3720126630198296E-2"/>
  </r>
  <r>
    <x v="3"/>
    <s v="ESPAÑA"/>
    <s v="AGROQUIMICAS DRAGO S.L."/>
    <s v="Consolidado/estratégico"/>
    <s v="AN0020"/>
    <s v="ALCAPLANT NEW, 20 KG"/>
    <n v="20"/>
    <n v="1.5645605833769789"/>
    <n v="1.630979762473358"/>
    <n v="0"/>
    <n v="0"/>
    <n v="0"/>
    <n v="0"/>
    <n v="0"/>
    <n v="0"/>
    <n v="0"/>
    <n v="0"/>
    <n v="0"/>
    <n v="0"/>
    <n v="0"/>
    <n v="0"/>
    <n v="2176.318483225069"/>
    <n v="3569.162312489113"/>
    <n v="0"/>
    <n v="0"/>
    <n v="1042.795753228228"/>
    <n v="1590.4720828236941"/>
    <n v="2085.591506456457"/>
    <n v="3180.9441656473869"/>
    <n v="1042.795753228228"/>
    <n v="1590.4720828236941"/>
    <n v="0"/>
    <n v="0"/>
    <n v="6347.501496137982"/>
    <n v="9931.0506437838885"/>
    <n v="0"/>
    <n v="0"/>
    <n v="0"/>
    <n v="0"/>
    <n v="0"/>
    <n v="0"/>
    <n v="0"/>
    <n v="0"/>
    <n v="0"/>
    <n v="0"/>
    <n v="0"/>
    <n v="0"/>
    <n v="2400"/>
    <n v="4102.79799695974"/>
    <n v="0"/>
    <n v="0"/>
    <n v="1140"/>
    <n v="1812.411015156965"/>
    <n v="2300"/>
    <n v="3656.618714790367"/>
    <n v="1140"/>
    <n v="1812.411015156965"/>
    <n v="0"/>
    <n v="0"/>
    <n v="6980"/>
    <n v="11384.238742064037"/>
    <n v="632.49850386201797"/>
    <n v="9.964527054414242E-2"/>
    <n v="1453.1880982801486"/>
    <n v="0.14632773010675743"/>
  </r>
  <r>
    <x v="3"/>
    <s v="ESPAÑA"/>
    <s v="AGROQUIMICAS DRAGO S.L."/>
    <s v="Consolidado/estratégico"/>
    <s v="AVAN0005"/>
    <s v="FLORAMEC AVANCE, 5 L"/>
    <n v="5"/>
    <n v="4.8933333333333344"/>
    <n v="5.1024380577027246"/>
    <n v="0"/>
    <n v="0"/>
    <n v="0"/>
    <n v="0"/>
    <n v="0"/>
    <n v="0"/>
    <n v="79.138853935457064"/>
    <n v="383.82344158696668"/>
    <n v="39.569426967728532"/>
    <n v="197.0557462992881"/>
    <n v="0"/>
    <n v="0"/>
    <n v="0"/>
    <n v="0"/>
    <n v="0"/>
    <n v="0"/>
    <n v="0"/>
    <n v="0"/>
    <n v="0"/>
    <n v="0"/>
    <n v="0"/>
    <n v="0"/>
    <n v="0"/>
    <n v="0"/>
    <n v="118.7082809031856"/>
    <n v="580.87918788625484"/>
    <n v="0"/>
    <n v="0"/>
    <n v="0"/>
    <n v="0"/>
    <n v="0"/>
    <n v="0"/>
    <n v="85"/>
    <n v="429.72014081469831"/>
    <n v="45"/>
    <n v="233.5968066866559"/>
    <n v="0"/>
    <n v="0"/>
    <n v="0"/>
    <n v="0"/>
    <n v="0"/>
    <n v="0"/>
    <n v="0"/>
    <n v="0"/>
    <n v="0"/>
    <n v="0"/>
    <n v="0"/>
    <n v="0"/>
    <n v="0"/>
    <n v="0"/>
    <n v="130"/>
    <n v="663.31694750135421"/>
    <n v="11.291719096814404"/>
    <n v="9.5121578805639873E-2"/>
    <n v="82.437759615099367"/>
    <n v="0.1419189417253523"/>
  </r>
  <r>
    <x v="3"/>
    <s v="ESPAÑA"/>
    <s v="AGROQUIMICAS DRAGO S.L."/>
    <s v="Consolidado/estratégico"/>
    <s v="AVAN0020"/>
    <s v="FLORAMEC AVANCE, 20 L"/>
    <n v="20"/>
    <n v="4.577219843613018"/>
    <n v="4.7701299723947912"/>
    <n v="98.92356741932133"/>
    <n v="454.05917445468492"/>
    <n v="0"/>
    <n v="0"/>
    <n v="59.354140451592791"/>
    <n v="271.24842186377907"/>
    <n v="98.92356741932133"/>
    <n v="452.08070310629847"/>
    <n v="197.84713483864269"/>
    <n v="929.88153374162039"/>
    <n v="0"/>
    <n v="0"/>
    <n v="633.11083148365651"/>
    <n v="2975.6209079731848"/>
    <n v="0"/>
    <n v="0"/>
    <n v="0"/>
    <n v="0"/>
    <n v="284.39884178951678"/>
    <n v="1250.682688429644"/>
    <n v="284.39884178951678"/>
    <n v="1250.682688429644"/>
    <n v="0"/>
    <n v="0"/>
    <n v="1656.9569251915682"/>
    <n v="7584.2561179988561"/>
    <n v="100"/>
    <n v="478.45129080399403"/>
    <n v="0"/>
    <n v="0"/>
    <n v="60"/>
    <n v="285.81992143454278"/>
    <n v="100"/>
    <n v="476.36653572423808"/>
    <n v="220"/>
    <n v="1077.818376233834"/>
    <n v="0"/>
    <n v="0"/>
    <n v="700"/>
    <n v="3429.4221061985631"/>
    <n v="0"/>
    <n v="0"/>
    <n v="0"/>
    <n v="0"/>
    <n v="320"/>
    <n v="1466.8791596816741"/>
    <n v="320"/>
    <n v="1466.8791596816741"/>
    <n v="0"/>
    <n v="0"/>
    <n v="1820"/>
    <n v="8681.6365497585193"/>
    <n v="163.04307480843181"/>
    <n v="9.8399102794770404E-2"/>
    <n v="1097.3804317596632"/>
    <n v="0.14469190052210584"/>
  </r>
  <r>
    <x v="3"/>
    <s v="ESPAÑA"/>
    <s v="AGROQUIMICAS DRAGO S.L."/>
    <s v="Consolidado/estratégico"/>
    <s v="AVAN0200"/>
    <s v="FLORAMEC AVANCE, 200 L"/>
    <n v="200"/>
    <n v="4.4899999999999993"/>
    <n v="4.6802751540521417"/>
    <n v="197.84713483864269"/>
    <n v="888.33363542550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88.33363542550546"/>
    <n v="200"/>
    <n v="936.05503081042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936.05503081042832"/>
    <n v="2.1528651613573118"/>
    <n v="1.0881457359052051E-2"/>
    <n v="47.721395384922857"/>
    <n v="5.3720126630198629E-2"/>
  </r>
  <r>
    <x v="3"/>
    <s v="ESPAÑA"/>
    <s v="AGROQUIMICAS DRAGO S.L."/>
    <s v="Consolidado/estratégico"/>
    <s v="B0001"/>
    <s v="BOROCAL,1 L"/>
    <n v="1"/>
    <n v="4.7699999999999996"/>
    <n v="4.9713179355812311"/>
    <n v="11.870828090318559"/>
    <n v="55.911600305400412"/>
    <n v="0"/>
    <n v="0"/>
    <n v="0"/>
    <n v="0"/>
    <n v="0"/>
    <n v="0"/>
    <n v="0"/>
    <n v="0"/>
    <n v="0"/>
    <n v="0"/>
    <n v="0"/>
    <n v="0"/>
    <n v="23.741656180637118"/>
    <n v="113.9599496670582"/>
    <n v="0"/>
    <n v="0"/>
    <n v="0"/>
    <n v="0"/>
    <n v="0"/>
    <n v="0"/>
    <n v="0"/>
    <n v="0"/>
    <n v="35.612484270955676"/>
    <n v="169.87154997245861"/>
    <n v="13"/>
    <n v="63.824776766728881"/>
    <n v="0"/>
    <n v="0"/>
    <n v="0"/>
    <n v="0"/>
    <n v="0"/>
    <n v="0"/>
    <n v="0"/>
    <n v="0"/>
    <n v="0"/>
    <n v="0"/>
    <n v="0"/>
    <n v="0"/>
    <n v="25"/>
    <n v="125.08530478535791"/>
    <n v="0"/>
    <n v="0"/>
    <n v="0"/>
    <n v="0"/>
    <n v="0"/>
    <n v="0"/>
    <n v="0"/>
    <n v="0"/>
    <n v="38"/>
    <n v="188.91008155208678"/>
    <n v="2.3875157290443241"/>
    <n v="6.7041538323444075E-2"/>
    <n v="19.03853157962817"/>
    <n v="0.1120760455927723"/>
  </r>
  <r>
    <x v="3"/>
    <s v="ESPAÑA"/>
    <s v="AGROQUIMICAS DRAGO S.L."/>
    <s v="Consolidado/estratégico"/>
    <s v="B0005"/>
    <s v="BOROCAL, 5 L"/>
    <n v="5"/>
    <n v="3.1914285714285708"/>
    <n v="3.3251843522107638"/>
    <n v="39.569426967728532"/>
    <n v="125.83077775737669"/>
    <n v="0"/>
    <n v="0"/>
    <n v="0"/>
    <n v="0"/>
    <n v="59.354140451592791"/>
    <n v="187.55908382703319"/>
    <n v="0"/>
    <n v="0"/>
    <n v="19.78471348386427"/>
    <n v="64.300318822558864"/>
    <n v="0"/>
    <n v="0"/>
    <n v="19.78471348386427"/>
    <n v="64.300318822558864"/>
    <n v="0"/>
    <n v="0"/>
    <n v="0"/>
    <n v="0"/>
    <n v="0"/>
    <n v="0"/>
    <n v="0"/>
    <n v="0"/>
    <n v="138.49299438704986"/>
    <n v="441.9904992295277"/>
    <n v="45"/>
    <n v="149.1642259565393"/>
    <n v="0"/>
    <n v="0"/>
    <n v="0"/>
    <n v="0"/>
    <n v="65"/>
    <n v="214.10434669093769"/>
    <n v="0"/>
    <n v="0"/>
    <n v="20"/>
    <n v="67.754540092068879"/>
    <n v="0"/>
    <n v="0"/>
    <n v="20"/>
    <n v="67.754540092068879"/>
    <n v="0"/>
    <n v="0"/>
    <n v="0"/>
    <n v="0"/>
    <n v="0"/>
    <n v="0"/>
    <n v="0"/>
    <n v="0"/>
    <n v="150"/>
    <n v="498.77765283161466"/>
    <n v="11.507005612950138"/>
    <n v="8.3087275741841632E-2"/>
    <n v="56.78715360208696"/>
    <n v="0.12848048476398841"/>
  </r>
  <r>
    <x v="3"/>
    <s v="ESPAÑA"/>
    <s v="AGROQUIMICAS DRAGO S.L."/>
    <s v="Consolidado/estratégico"/>
    <s v="B0020"/>
    <s v="BOROCAL, 20 L"/>
    <n v="20"/>
    <n v="2.8905263157894741"/>
    <n v="3.0130197100051999"/>
    <n v="79.138853935457064"/>
    <n v="231.08545349153459"/>
    <n v="0"/>
    <n v="0"/>
    <n v="79.138853935457064"/>
    <n v="224.754345176698"/>
    <n v="59.354140451592791"/>
    <n v="168.56575888252351"/>
    <n v="79.138853935457064"/>
    <n v="231.08545349153459"/>
    <n v="79.138853935457064"/>
    <n v="231.08545349153459"/>
    <n v="0"/>
    <n v="0"/>
    <n v="0"/>
    <n v="0"/>
    <n v="0"/>
    <n v="0"/>
    <n v="0"/>
    <n v="0"/>
    <n v="0"/>
    <n v="0"/>
    <n v="0"/>
    <n v="0"/>
    <n v="375.90955619342105"/>
    <n v="1086.5764645338252"/>
    <n v="80"/>
    <n v="243.49939331549669"/>
    <n v="0"/>
    <n v="0"/>
    <n v="80"/>
    <n v="236.8281770602776"/>
    <n v="60"/>
    <n v="177.6211327952083"/>
    <n v="80"/>
    <n v="243.49939331549669"/>
    <n v="80"/>
    <n v="243.49939331549669"/>
    <n v="0"/>
    <n v="0"/>
    <n v="0"/>
    <n v="0"/>
    <n v="0"/>
    <n v="0"/>
    <n v="0"/>
    <n v="0"/>
    <n v="0"/>
    <n v="0"/>
    <n v="0"/>
    <n v="0"/>
    <n v="380"/>
    <n v="1144.947489801976"/>
    <n v="4.0904438065789464"/>
    <n v="1.0881457359052195E-2"/>
    <n v="58.371025268150788"/>
    <n v="5.3720126630198789E-2"/>
  </r>
  <r>
    <x v="3"/>
    <s v="ESPAÑA"/>
    <s v="AGROQUIMICAS DRAGO S.L."/>
    <s v="Consolidado/estratégico"/>
    <s v="BIO0005"/>
    <s v="BIORAD-20, 5L"/>
    <n v="5"/>
    <n v="2.548"/>
    <n v="2.6559779716090999"/>
    <n v="0"/>
    <n v="0"/>
    <n v="0"/>
    <n v="0"/>
    <n v="59.354140451592791"/>
    <n v="149.5724339380138"/>
    <n v="59.354140451592791"/>
    <n v="149.5724339380138"/>
    <n v="0"/>
    <n v="0"/>
    <n v="39.569426967728532"/>
    <n v="102.48481584641689"/>
    <n v="0"/>
    <n v="0"/>
    <n v="39.569426967728532"/>
    <n v="102.48481584641689"/>
    <n v="0"/>
    <n v="0"/>
    <n v="0"/>
    <n v="0"/>
    <n v="0"/>
    <n v="0"/>
    <n v="0"/>
    <n v="0"/>
    <n v="197.84713483864266"/>
    <n v="504.11449956886139"/>
    <n v="0"/>
    <n v="0"/>
    <n v="0"/>
    <n v="0"/>
    <n v="75"/>
    <n v="197.0093550369387"/>
    <n v="75"/>
    <n v="197.0093550369387"/>
    <n v="0"/>
    <n v="0"/>
    <n v="50"/>
    <n v="134.98789141419871"/>
    <n v="0"/>
    <n v="0"/>
    <n v="50"/>
    <n v="134.98789141419871"/>
    <n v="0"/>
    <n v="0"/>
    <n v="0"/>
    <n v="0"/>
    <n v="0"/>
    <n v="0"/>
    <n v="0"/>
    <n v="0"/>
    <n v="250"/>
    <n v="663.99449290227471"/>
    <n v="52.15286516135734"/>
    <n v="0.26360182169881524"/>
    <n v="159.87999333341332"/>
    <n v="0.31715015828774812"/>
  </r>
  <r>
    <x v="3"/>
    <s v="ESPAÑA"/>
    <s v="AGROQUIMICAS DRAGO S.L."/>
    <s v="Consolidado/estratégico"/>
    <s v="BIO0020"/>
    <s v="BIORAD-20, 20 L"/>
    <n v="20"/>
    <n v="2.2799999999999998"/>
    <n v="2.3766207909218"/>
    <n v="0"/>
    <n v="0"/>
    <n v="0"/>
    <n v="0"/>
    <n v="0"/>
    <n v="0"/>
    <n v="732.03439890297784"/>
    <n v="1669.0384294987889"/>
    <n v="0"/>
    <n v="0"/>
    <n v="0"/>
    <n v="0"/>
    <n v="0"/>
    <n v="0"/>
    <n v="0"/>
    <n v="0"/>
    <n v="0"/>
    <n v="0"/>
    <n v="606.7175291509692"/>
    <n v="1383.3159664642101"/>
    <n v="606.7175291509692"/>
    <n v="1383.3159664642101"/>
    <n v="0"/>
    <n v="0"/>
    <n v="1945.4694572049161"/>
    <n v="4435.6703624272086"/>
    <n v="0"/>
    <n v="0"/>
    <n v="0"/>
    <n v="0"/>
    <n v="0"/>
    <n v="0"/>
    <n v="920"/>
    <n v="2186.4911276480561"/>
    <n v="0"/>
    <n v="0"/>
    <n v="0"/>
    <n v="0"/>
    <n v="0"/>
    <n v="0"/>
    <n v="0"/>
    <n v="0"/>
    <n v="0"/>
    <n v="0"/>
    <n v="760"/>
    <n v="1806.231801100568"/>
    <n v="760"/>
    <n v="1806.231801100568"/>
    <n v="0"/>
    <n v="0"/>
    <n v="2440"/>
    <n v="5798.9547298491925"/>
    <n v="494.53054279508387"/>
    <n v="0.254195994166664"/>
    <n v="1363.2843674219839"/>
    <n v="0.30734573492426787"/>
  </r>
  <r>
    <x v="3"/>
    <s v="ESPAÑA"/>
    <s v="AGROQUIMICAS DRAGO S.L."/>
    <s v="Consolidado/estratégico"/>
    <s v="BROTA0001"/>
    <s v="BROTAMEC, 1 L"/>
    <n v="1"/>
    <n v="4.3999999999999986"/>
    <n v="4.586461175463123"/>
    <n v="0"/>
    <n v="0"/>
    <n v="0"/>
    <n v="0"/>
    <n v="0"/>
    <n v="0"/>
    <n v="0"/>
    <n v="0"/>
    <n v="0"/>
    <n v="0"/>
    <n v="0"/>
    <n v="0"/>
    <n v="0"/>
    <n v="0"/>
    <n v="23.741656180637118"/>
    <n v="104.4632871948033"/>
    <n v="0"/>
    <n v="0"/>
    <n v="0"/>
    <n v="0"/>
    <n v="0"/>
    <n v="0"/>
    <n v="0"/>
    <n v="0"/>
    <n v="23.741656180637118"/>
    <n v="104.4632871948033"/>
    <n v="0"/>
    <n v="0"/>
    <n v="0"/>
    <n v="0"/>
    <n v="0"/>
    <n v="0"/>
    <n v="0"/>
    <n v="0"/>
    <n v="0"/>
    <n v="0"/>
    <n v="0"/>
    <n v="0"/>
    <n v="0"/>
    <n v="0"/>
    <n v="26"/>
    <n v="119.2479905620412"/>
    <n v="0"/>
    <n v="0"/>
    <n v="0"/>
    <n v="0"/>
    <n v="0"/>
    <n v="0"/>
    <n v="0"/>
    <n v="0"/>
    <n v="26"/>
    <n v="119.2479905620412"/>
    <n v="2.2583438193628815"/>
    <n v="9.5121578805639914E-2"/>
    <n v="14.784703367237896"/>
    <n v="0.14153013718271529"/>
  </r>
  <r>
    <x v="3"/>
    <s v="ESPAÑA"/>
    <s v="AGROQUIMICAS DRAGO S.L."/>
    <s v="Consolidado/estratégico"/>
    <s v="BROTA0005"/>
    <s v="BROTAMEC, 5 L"/>
    <n v="5"/>
    <n v="3.12"/>
    <n v="3.2554252399266228"/>
    <n v="0"/>
    <n v="0"/>
    <n v="0"/>
    <n v="0"/>
    <n v="19.78471348386427"/>
    <n v="60.145528990947362"/>
    <n v="0"/>
    <n v="0"/>
    <n v="0"/>
    <n v="0"/>
    <n v="0"/>
    <n v="0"/>
    <n v="0"/>
    <n v="0"/>
    <n v="39.569426967728532"/>
    <n v="125.03938921802219"/>
    <n v="0"/>
    <n v="0"/>
    <n v="0"/>
    <n v="0"/>
    <n v="0"/>
    <n v="0"/>
    <n v="0"/>
    <n v="0"/>
    <n v="59.354140451592798"/>
    <n v="185.18491820896955"/>
    <n v="0"/>
    <n v="0"/>
    <n v="0"/>
    <n v="0"/>
    <n v="20"/>
    <n v="63.376554424581343"/>
    <n v="0"/>
    <n v="0"/>
    <n v="0"/>
    <n v="0"/>
    <n v="0"/>
    <n v="0"/>
    <n v="0"/>
    <n v="0"/>
    <n v="45"/>
    <n v="148.2260861706491"/>
    <n v="0"/>
    <n v="0"/>
    <n v="0"/>
    <n v="0"/>
    <n v="0"/>
    <n v="0"/>
    <n v="0"/>
    <n v="0"/>
    <n v="65"/>
    <n v="211.60264059523044"/>
    <n v="5.6458595484072021"/>
    <n v="9.5121578805639873E-2"/>
    <n v="26.417722386260891"/>
    <n v="0.14265590654877278"/>
  </r>
  <r>
    <x v="3"/>
    <s v="ESPAÑA"/>
    <s v="AGROQUIMICAS DRAGO S.L."/>
    <s v="Consolidado/estratégico"/>
    <s v="C-CU0001"/>
    <s v="CODICOBRE, 1 L"/>
    <n v="1"/>
    <n v="4.9800000000000004"/>
    <n v="5.1888456695610312"/>
    <n v="11.870828090318559"/>
    <n v="57.217391395335447"/>
    <n v="0"/>
    <n v="0"/>
    <n v="0"/>
    <n v="0"/>
    <n v="0"/>
    <n v="0"/>
    <n v="0"/>
    <n v="0"/>
    <n v="23.741656180637118"/>
    <n v="120.1327802740238"/>
    <n v="0"/>
    <n v="0"/>
    <n v="0"/>
    <n v="0"/>
    <n v="0"/>
    <n v="0"/>
    <n v="0"/>
    <n v="0"/>
    <n v="0"/>
    <n v="0"/>
    <n v="0"/>
    <n v="0"/>
    <n v="35.612484270955676"/>
    <n v="177.35017166935924"/>
    <n v="13"/>
    <n v="65.315376648754409"/>
    <n v="0"/>
    <n v="0"/>
    <n v="0"/>
    <n v="0"/>
    <n v="0"/>
    <n v="0"/>
    <n v="0"/>
    <n v="0"/>
    <n v="25"/>
    <n v="131.86075879456479"/>
    <n v="0"/>
    <n v="0"/>
    <n v="0"/>
    <n v="0"/>
    <n v="0"/>
    <n v="0"/>
    <n v="0"/>
    <n v="0"/>
    <n v="0"/>
    <n v="0"/>
    <n v="0"/>
    <n v="0"/>
    <n v="38"/>
    <n v="197.1761354433192"/>
    <n v="2.3875157290443241"/>
    <n v="6.7041538323444075E-2"/>
    <n v="19.825963773959955"/>
    <n v="0.11178993280549096"/>
  </r>
  <r>
    <x v="3"/>
    <s v="ESPAÑA"/>
    <s v="AGROQUIMICAS DRAGO S.L."/>
    <s v="Consolidado/estratégico"/>
    <s v="C-CU0005"/>
    <s v="CODICOBRE, 5 L"/>
    <n v="5"/>
    <n v="3.765760462338998"/>
    <n v="3.9250777211199268"/>
    <n v="395.69426967728532"/>
    <n v="1471.982683199501"/>
    <n v="0"/>
    <n v="0"/>
    <n v="0"/>
    <n v="0"/>
    <n v="0"/>
    <n v="0"/>
    <n v="0"/>
    <n v="0"/>
    <n v="197.84713483864269"/>
    <n v="722.14204216104565"/>
    <n v="593.54140451592798"/>
    <n v="2332.6177197475972"/>
    <n v="0"/>
    <n v="0"/>
    <n v="0"/>
    <n v="0"/>
    <n v="94.799613929838927"/>
    <n v="342.87440364857252"/>
    <n v="284.39884178951678"/>
    <n v="1028.6232109457169"/>
    <n v="0"/>
    <n v="0"/>
    <n v="1566.2812647512117"/>
    <n v="5898.2400597024334"/>
    <n v="430"/>
    <n v="1667.387112788821"/>
    <n v="0"/>
    <n v="0"/>
    <n v="0"/>
    <n v="0"/>
    <n v="0"/>
    <n v="0"/>
    <n v="0"/>
    <n v="0"/>
    <n v="215"/>
    <n v="818.0057744192469"/>
    <n v="645"/>
    <n v="2642.2707069597041"/>
    <n v="0"/>
    <n v="0"/>
    <n v="0"/>
    <n v="0"/>
    <n v="105"/>
    <n v="395.86111237561181"/>
    <n v="310"/>
    <n v="1168.732807966092"/>
    <n v="0"/>
    <n v="0"/>
    <n v="1705"/>
    <n v="6692.2575145094761"/>
    <n v="138.71873524878833"/>
    <n v="8.8565660823902173E-2"/>
    <n v="794.01745480704267"/>
    <n v="0.13461938591341446"/>
  </r>
  <r>
    <x v="3"/>
    <s v="ESPAÑA"/>
    <s v="AGROQUIMICAS DRAGO S.L."/>
    <s v="Consolidado/estratégico"/>
    <s v="C-M-P0005"/>
    <s v="CODIFOL MO-PLUS, 5 L"/>
    <n v="5"/>
    <n v="13.25"/>
    <n v="13.811502403383271"/>
    <n v="0"/>
    <n v="0"/>
    <n v="19.78471348386427"/>
    <n v="262.1474536612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62.1474536612015"/>
    <n v="0"/>
    <n v="0"/>
    <n v="20"/>
    <n v="276.23004806766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76.23004806766539"/>
    <n v="0.21528651613573047"/>
    <n v="1.0881457359052014E-2"/>
    <n v="14.082594406463897"/>
    <n v="5.3720126630198727E-2"/>
  </r>
  <r>
    <x v="3"/>
    <s v="ESPAÑA"/>
    <s v="AGROQUIMICAS DRAGO S.L."/>
    <s v="Consolidado/estratégico"/>
    <s v="C-MB0005"/>
    <s v="CODIFOL-MB, 5 L"/>
    <n v="5"/>
    <n v="7.8033333333333328"/>
    <n v="8.1340194028478585"/>
    <n v="39.569426967728532"/>
    <n v="297.56209079731849"/>
    <n v="0"/>
    <n v="0"/>
    <n v="0"/>
    <n v="0"/>
    <n v="0"/>
    <n v="0"/>
    <n v="19.78471348386427"/>
    <n v="165.59805185994389"/>
    <n v="0"/>
    <n v="0"/>
    <n v="0"/>
    <n v="0"/>
    <n v="0"/>
    <n v="0"/>
    <n v="0"/>
    <n v="0"/>
    <n v="0"/>
    <n v="0"/>
    <n v="0"/>
    <n v="0"/>
    <n v="0"/>
    <n v="0"/>
    <n v="59.354140451592798"/>
    <n v="463.16014265726238"/>
    <n v="40"/>
    <n v="313.54716399529718"/>
    <n v="0"/>
    <n v="0"/>
    <n v="0"/>
    <n v="0"/>
    <n v="0"/>
    <n v="0"/>
    <n v="20"/>
    <n v="174.49400017557431"/>
    <n v="0"/>
    <n v="0"/>
    <n v="0"/>
    <n v="0"/>
    <n v="0"/>
    <n v="0"/>
    <n v="0"/>
    <n v="0"/>
    <n v="0"/>
    <n v="0"/>
    <n v="0"/>
    <n v="0"/>
    <n v="0"/>
    <n v="0"/>
    <n v="60"/>
    <n v="488.04116417087153"/>
    <n v="0.64585954840720206"/>
    <n v="1.0881457359052195E-2"/>
    <n v="24.881021513609141"/>
    <n v="5.3720126630198942E-2"/>
  </r>
  <r>
    <x v="3"/>
    <s v="ESPAÑA"/>
    <s v="AGROQUIMICAS DRAGO S.L."/>
    <s v="Consolidado/estratégico"/>
    <s v="CALCIO0020"/>
    <s v="CALCIAMEC, 20 KG"/>
    <n v="20"/>
    <n v="3.5390000000000001"/>
    <n v="3.6886714878907969"/>
    <n v="118.7082809031856"/>
    <n v="422.60148001534071"/>
    <n v="0"/>
    <n v="0"/>
    <n v="178.06242135477839"/>
    <n v="628.56034738236769"/>
    <n v="98.92356741932133"/>
    <n v="349.20019299020419"/>
    <n v="0"/>
    <n v="0"/>
    <n v="0"/>
    <n v="0"/>
    <n v="0"/>
    <n v="0"/>
    <n v="0"/>
    <n v="0"/>
    <n v="0"/>
    <n v="0"/>
    <n v="0"/>
    <n v="0"/>
    <n v="189.59922785967791"/>
    <n v="670.99166739539999"/>
    <n v="0"/>
    <n v="0"/>
    <n v="585.29349753696329"/>
    <n v="2071.3536877833126"/>
    <n v="120"/>
    <n v="445.3036850358742"/>
    <n v="0"/>
    <n v="0"/>
    <n v="200"/>
    <n v="735.91854315385569"/>
    <n v="100"/>
    <n v="367.95927157692779"/>
    <n v="0"/>
    <n v="0"/>
    <n v="0"/>
    <n v="0"/>
    <n v="0"/>
    <n v="0"/>
    <n v="0"/>
    <n v="0"/>
    <n v="0"/>
    <n v="0"/>
    <n v="0"/>
    <n v="0"/>
    <n v="200"/>
    <n v="737.79482272563621"/>
    <n v="0"/>
    <n v="0"/>
    <n v="620"/>
    <n v="2286.9763224922935"/>
    <n v="34.706502463036713"/>
    <n v="5.9297604721543794E-2"/>
    <n v="215.62263470898097"/>
    <n v="0.10409744891985707"/>
  </r>
  <r>
    <x v="3"/>
    <s v="ESPAÑA"/>
    <s v="AGROQUIMICAS DRAGO S.L."/>
    <s v="Consolidado/estratégico"/>
    <s v="CM3M0005"/>
    <s v="TENSOLINE-MAX, 5 L"/>
    <n v="5"/>
    <n v="3.91"/>
    <n v="4.075696180922912"/>
    <n v="39.569426967728532"/>
    <n v="154.71645944381859"/>
    <n v="0"/>
    <n v="0"/>
    <n v="39.569426967728532"/>
    <n v="154.71645944381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309.43291888763719"/>
    <n v="45"/>
    <n v="183.40632814153099"/>
    <n v="0"/>
    <n v="0"/>
    <n v="45"/>
    <n v="183.40632814153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366.81265628306198"/>
    <n v="10.861146064542936"/>
    <n v="0.13724163952893373"/>
    <n v="57.379737395424797"/>
    <n v="0.18543514245897286"/>
  </r>
  <r>
    <x v="3"/>
    <s v="ESPAÑA"/>
    <s v="AGROQUIMICAS DRAGO S.L."/>
    <s v="Consolidado/estratégico"/>
    <s v="CPLUS0020"/>
    <s v="CALCIPLUS, 20 L"/>
    <n v="20"/>
    <n v="2.2549999999999999"/>
    <n v="2.3503774034472249"/>
    <n v="98.92356741932133"/>
    <n v="221.5887910192798"/>
    <n v="0"/>
    <n v="0"/>
    <n v="197.84713483864269"/>
    <n v="443.17758203855948"/>
    <n v="0"/>
    <n v="0"/>
    <n v="98.92356741932133"/>
    <n v="227.524205064439"/>
    <n v="0"/>
    <n v="0"/>
    <n v="0"/>
    <n v="0"/>
    <n v="0"/>
    <n v="0"/>
    <n v="0"/>
    <n v="0"/>
    <n v="606.7175291509692"/>
    <n v="1368.148028235435"/>
    <n v="606.7175291509692"/>
    <n v="1368.148028235435"/>
    <n v="0"/>
    <n v="0"/>
    <n v="1609.1293279792237"/>
    <n v="3628.5866345931481"/>
    <n v="100"/>
    <n v="233.49256893266809"/>
    <n v="0"/>
    <n v="0"/>
    <n v="220"/>
    <n v="513.68365165186992"/>
    <n v="0"/>
    <n v="0"/>
    <n v="100"/>
    <n v="239.746834171936"/>
    <n v="0"/>
    <n v="0"/>
    <n v="0"/>
    <n v="0"/>
    <n v="0"/>
    <n v="0"/>
    <n v="0"/>
    <n v="0"/>
    <n v="640"/>
    <n v="1504.3592655519039"/>
    <n v="640"/>
    <n v="1504.3592655519039"/>
    <n v="0"/>
    <n v="0"/>
    <n v="1700"/>
    <n v="3995.6415858602822"/>
    <n v="90.870672020776283"/>
    <n v="5.647195066346436E-2"/>
    <n v="367.05495126713413"/>
    <n v="0.10115645242360041"/>
  </r>
  <r>
    <x v="3"/>
    <s v="ESPAÑA"/>
    <s v="AGROQUIMICAS DRAGO S.L."/>
    <s v="Consolidado/estratégico"/>
    <s v="CPLUS0200"/>
    <s v="CALCIPLUS, 200 L"/>
    <n v="200"/>
    <n v="2.16"/>
    <n v="2.2515354861364432"/>
    <n v="0"/>
    <n v="0"/>
    <n v="0"/>
    <n v="0"/>
    <n v="197.84713483864269"/>
    <n v="427.34981125146811"/>
    <n v="0"/>
    <n v="0"/>
    <n v="0"/>
    <n v="0"/>
    <n v="0"/>
    <n v="0"/>
    <n v="0"/>
    <n v="0"/>
    <n v="0"/>
    <n v="0"/>
    <n v="0"/>
    <n v="0"/>
    <n v="0"/>
    <n v="0"/>
    <n v="758.39691143871141"/>
    <n v="1638.1373287076169"/>
    <n v="0"/>
    <n v="0"/>
    <n v="956.24404627735407"/>
    <n v="2065.4871399590852"/>
    <n v="0"/>
    <n v="0"/>
    <n v="0"/>
    <n v="0"/>
    <n v="200"/>
    <n v="450.30709722728852"/>
    <n v="0"/>
    <n v="0"/>
    <n v="0"/>
    <n v="0"/>
    <n v="0"/>
    <n v="0"/>
    <n v="0"/>
    <n v="0"/>
    <n v="0"/>
    <n v="0"/>
    <n v="0"/>
    <n v="0"/>
    <n v="0"/>
    <n v="0"/>
    <n v="800"/>
    <n v="1801.2283889091541"/>
    <n v="0"/>
    <n v="0"/>
    <n v="1000"/>
    <n v="2251.5354861364426"/>
    <n v="43.755953722645927"/>
    <n v="4.5758144997594806E-2"/>
    <n v="186.04834617735742"/>
    <n v="9.0074802489955377E-2"/>
  </r>
  <r>
    <x v="3"/>
    <s v="ESPAÑA"/>
    <s v="AGROQUIMICAS DRAGO S.L."/>
    <s v="Consolidado/estratégico"/>
    <s v="CPLUS1000"/>
    <s v="CALCIPLUS, 1000 L"/>
    <n v="1000"/>
    <n v="1.93"/>
    <n v="2.011788651964507"/>
    <n v="1978.4713483864259"/>
    <n v="3818.449702385803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3659.265097691783"/>
    <n v="1895.992278596779"/>
    <n v="3659.265097691783"/>
    <n v="0"/>
    <n v="0"/>
    <n v="5770.4559055799837"/>
    <n v="11136.979897769368"/>
    <n v="2000"/>
    <n v="4023.5773039290129"/>
    <n v="0"/>
    <n v="0"/>
    <n v="0"/>
    <n v="0"/>
    <n v="0"/>
    <n v="0"/>
    <n v="0"/>
    <n v="0"/>
    <n v="0"/>
    <n v="0"/>
    <n v="0"/>
    <n v="0"/>
    <n v="0"/>
    <n v="0"/>
    <n v="0"/>
    <n v="0"/>
    <n v="2000"/>
    <n v="4023.5773039290129"/>
    <n v="2000"/>
    <n v="4023.5773039290129"/>
    <n v="0"/>
    <n v="0"/>
    <n v="6000"/>
    <n v="12070.731911787039"/>
    <n v="229.54409442001634"/>
    <n v="3.9779195643458443E-2"/>
    <n v="933.75201401767117"/>
    <n v="8.3842479971135878E-2"/>
  </r>
  <r>
    <x v="3"/>
    <s v="ESPAÑA"/>
    <s v="AGROQUIMICAS DRAGO S.L."/>
    <s v="Consolidado/estratégico"/>
    <s v="FLOR0200"/>
    <s v="FLORAMEC, 200 L"/>
    <n v="200"/>
    <n v="2.41"/>
    <n v="2.5121298711059379"/>
    <n v="0"/>
    <n v="0"/>
    <n v="197.84713483864269"/>
    <n v="476.81159496112878"/>
    <n v="0"/>
    <n v="0"/>
    <n v="0"/>
    <n v="0"/>
    <n v="0"/>
    <n v="0"/>
    <n v="0"/>
    <n v="0"/>
    <n v="0"/>
    <n v="0"/>
    <n v="0"/>
    <n v="0"/>
    <n v="0"/>
    <n v="0"/>
    <n v="189.59922785967791"/>
    <n v="456.93413914182372"/>
    <n v="0"/>
    <n v="0"/>
    <n v="0"/>
    <n v="0"/>
    <n v="387.44636269832063"/>
    <n v="933.7457341029525"/>
    <n v="0"/>
    <n v="0"/>
    <n v="200"/>
    <n v="502.42597422118757"/>
    <n v="0"/>
    <n v="0"/>
    <n v="0"/>
    <n v="0"/>
    <n v="0"/>
    <n v="0"/>
    <n v="0"/>
    <n v="0"/>
    <n v="0"/>
    <n v="0"/>
    <n v="0"/>
    <n v="0"/>
    <n v="0"/>
    <n v="0"/>
    <n v="200"/>
    <n v="502.42597422118769"/>
    <n v="0"/>
    <n v="0"/>
    <n v="0"/>
    <n v="0"/>
    <n v="400"/>
    <n v="1004.8519484423753"/>
    <n v="12.553637301679373"/>
    <n v="3.240096826371313E-2"/>
    <n v="71.106214339422763"/>
    <n v="7.6151581466376767E-2"/>
  </r>
  <r>
    <x v="3"/>
    <s v="ESPAÑA"/>
    <s v="AGROQUIMICAS DRAGO S.L."/>
    <s v="Consolidado/estratégico"/>
    <s v="FTK0005"/>
    <s v="FITOKONTROL CA FLOW, 5 KG"/>
    <n v="5"/>
    <n v="2.59"/>
    <n v="2.6997578282839738"/>
    <n v="0"/>
    <n v="0"/>
    <n v="0"/>
    <n v="0"/>
    <n v="0"/>
    <n v="0"/>
    <n v="19.78471348386427"/>
    <n v="50.253172249015229"/>
    <n v="0"/>
    <n v="0"/>
    <n v="0"/>
    <n v="0"/>
    <n v="0"/>
    <n v="0"/>
    <n v="19.78471348386427"/>
    <n v="52.231643597401657"/>
    <n v="0"/>
    <n v="0"/>
    <n v="0"/>
    <n v="0"/>
    <n v="0"/>
    <n v="0"/>
    <n v="0"/>
    <n v="0"/>
    <n v="39.569426967728539"/>
    <n v="102.48481584641689"/>
    <n v="0"/>
    <n v="0"/>
    <n v="0"/>
    <n v="0"/>
    <n v="0"/>
    <n v="0"/>
    <n v="25"/>
    <n v="66.190973782251888"/>
    <n v="0"/>
    <n v="0"/>
    <n v="0"/>
    <n v="0"/>
    <n v="0"/>
    <n v="0"/>
    <n v="25"/>
    <n v="68.79691763194684"/>
    <n v="0"/>
    <n v="0"/>
    <n v="0"/>
    <n v="0"/>
    <n v="0"/>
    <n v="0"/>
    <n v="0"/>
    <n v="0"/>
    <n v="50"/>
    <n v="134.98789141419871"/>
    <n v="10.430573032271461"/>
    <n v="0.26360182169881502"/>
    <n v="32.503075567781821"/>
    <n v="0.31715015828774801"/>
  </r>
  <r>
    <x v="3"/>
    <s v="ESPAÑA"/>
    <s v="AGROQUIMICAS DRAGO S.L."/>
    <s v="Consolidado/estratégico"/>
    <s v="G30001"/>
    <s v="GREEN-UP, 1 L"/>
    <n v="1"/>
    <n v="6.4299999999999988"/>
    <n v="6.7024875814154274"/>
    <n v="11.870828090318559"/>
    <n v="76.329424620748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76.329424620748327"/>
    <n v="13"/>
    <n v="87.1323385584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87.132338558400548"/>
    <n v="1.1291719096814408"/>
    <n v="9.5121578805639914E-2"/>
    <n v="10.802913937652221"/>
    <n v="0.14153013718271509"/>
  </r>
  <r>
    <x v="3"/>
    <s v="ESPAÑA"/>
    <s v="AGROQUIMICAS DRAGO S.L."/>
    <s v="Consolidado/estratégico"/>
    <s v="G30005"/>
    <s v="GREEN- UP, 5 L"/>
    <n v="5"/>
    <n v="5.2350000000000003"/>
    <n v="5.4568464212612389"/>
    <n v="19.78471348386427"/>
    <n v="104.85898146448061"/>
    <n v="19.78471348386427"/>
    <n v="102.28696871157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9"/>
    <n v="207.1459501760589"/>
    <n v="20"/>
    <n v="110.49201922706619"/>
    <n v="20"/>
    <n v="107.7818376233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218.27385685044959"/>
    <n v="0.43057303227146093"/>
    <n v="1.0881457359052014E-2"/>
    <n v="11.127906674390687"/>
    <n v="5.372012663019856E-2"/>
  </r>
  <r>
    <x v="3"/>
    <s v="ESPAÑA"/>
    <s v="AGROQUIMICAS DRAGO S.L."/>
    <s v="Consolidado/estratégico"/>
    <s v="JF0001"/>
    <s v="DRAGO-FOS, 1 L"/>
    <n v="1"/>
    <n v="4.0599999999999996"/>
    <n v="4.2320528119046097"/>
    <n v="0"/>
    <n v="0"/>
    <n v="11.870828090318559"/>
    <n v="48.195562046693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48.195562046693347"/>
    <n v="0"/>
    <n v="0"/>
    <n v="13"/>
    <n v="55.016686554759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55.016686554759922"/>
    <n v="1.1291719096814408"/>
    <n v="9.5121578805639914E-2"/>
    <n v="6.8211245080665748"/>
    <n v="0.14153013718271526"/>
  </r>
  <r>
    <x v="3"/>
    <s v="ESPAÑA"/>
    <s v="AGROQUIMICAS DRAGO S.L."/>
    <s v="Consolidado/estratégico"/>
    <s v="JF0005"/>
    <s v="DRAGO-FOS, 5 L"/>
    <n v="5"/>
    <n v="2.8050000000000002"/>
    <n v="2.923868999357742"/>
    <n v="39.569426967728532"/>
    <n v="108.4202298915762"/>
    <n v="0"/>
    <n v="0"/>
    <n v="0"/>
    <n v="0"/>
    <n v="0"/>
    <n v="0"/>
    <n v="39.569426967728532"/>
    <n v="113.5642553973809"/>
    <n v="0"/>
    <n v="0"/>
    <n v="0"/>
    <n v="0"/>
    <n v="0"/>
    <n v="0"/>
    <n v="0"/>
    <n v="0"/>
    <n v="0"/>
    <n v="0"/>
    <n v="0"/>
    <n v="0"/>
    <n v="0"/>
    <n v="0"/>
    <n v="79.138853935457064"/>
    <n v="221.9844852889571"/>
    <n v="45"/>
    <n v="128.52515066695531"/>
    <n v="0"/>
    <n v="0"/>
    <n v="0"/>
    <n v="0"/>
    <n v="0"/>
    <n v="0"/>
    <n v="45"/>
    <n v="134.62305927524139"/>
    <n v="0"/>
    <n v="0"/>
    <n v="0"/>
    <n v="0"/>
    <n v="0"/>
    <n v="0"/>
    <n v="0"/>
    <n v="0"/>
    <n v="0"/>
    <n v="0"/>
    <n v="0"/>
    <n v="0"/>
    <n v="0"/>
    <n v="0"/>
    <n v="90"/>
    <n v="263.14820994219667"/>
    <n v="10.861146064542936"/>
    <n v="0.13724163952893373"/>
    <n v="41.163724653239569"/>
    <n v="0.18543514245897305"/>
  </r>
  <r>
    <x v="3"/>
    <s v="ESPAÑA"/>
    <s v="AGROQUIMICAS DRAGO S.L."/>
    <s v="Consolidado/estratégico"/>
    <s v="JF0020"/>
    <s v="DRAGO-FOS, 20 L"/>
    <n v="20"/>
    <n v="2.3854285714285708"/>
    <n v="2.48667718968444"/>
    <n v="1266.221662967313"/>
    <n v="3054.1266510771588"/>
    <n v="1266.221662967313"/>
    <n v="2905.9787165099829"/>
    <n v="1266.221662967313"/>
    <n v="2905.9787165099829"/>
    <n v="0"/>
    <n v="0"/>
    <n v="1187.082809031856"/>
    <n v="3027.0611630312319"/>
    <n v="0"/>
    <n v="0"/>
    <n v="0"/>
    <n v="0"/>
    <n v="0"/>
    <n v="0"/>
    <n v="0"/>
    <n v="0"/>
    <n v="0"/>
    <n v="0"/>
    <n v="0"/>
    <n v="0"/>
    <n v="0"/>
    <n v="0"/>
    <n v="4985.7477979337946"/>
    <n v="11893.145247128357"/>
    <n v="1360"/>
    <n v="3419.331891612544"/>
    <n v="1360"/>
    <n v="3253.4687774671602"/>
    <n v="1360"/>
    <n v="3253.4687774671602"/>
    <n v="0"/>
    <n v="0"/>
    <n v="1280"/>
    <n v="3402.3202901617351"/>
    <n v="0"/>
    <n v="0"/>
    <n v="0"/>
    <n v="0"/>
    <n v="0"/>
    <n v="0"/>
    <n v="0"/>
    <n v="0"/>
    <n v="0"/>
    <n v="0"/>
    <n v="0"/>
    <n v="0"/>
    <n v="0"/>
    <n v="0"/>
    <n v="5360"/>
    <n v="13328.5897367086"/>
    <n v="374.25220206620543"/>
    <n v="7.5064407032642916E-2"/>
    <n v="1435.4444895802426"/>
    <n v="0.12069511132278787"/>
  </r>
  <r>
    <x v="3"/>
    <s v="ESPAÑA"/>
    <s v="AGROQUIMICAS DRAGO S.L."/>
    <s v="Consolidado/estratégico"/>
    <s v="JF0020"/>
    <s v="CODIGIN-FOS, 20 L"/>
    <n v="20"/>
    <n v="2.3183604924289591"/>
    <n v="2.4163108331376808"/>
    <n v="0"/>
    <n v="0"/>
    <n v="0"/>
    <n v="0"/>
    <n v="0"/>
    <n v="0"/>
    <n v="1266.221662967313"/>
    <n v="2905.9787165099829"/>
    <n v="0"/>
    <n v="0"/>
    <n v="0"/>
    <n v="0"/>
    <n v="0"/>
    <n v="0"/>
    <n v="0"/>
    <n v="0"/>
    <n v="0"/>
    <n v="0"/>
    <n v="0"/>
    <n v="0"/>
    <n v="606.7175291509692"/>
    <n v="1436.169511218855"/>
    <n v="0"/>
    <n v="0"/>
    <n v="1872.9391921182823"/>
    <n v="4342.1482277288378"/>
    <n v="0"/>
    <n v="0"/>
    <n v="0"/>
    <n v="0"/>
    <n v="0"/>
    <n v="0"/>
    <n v="1360"/>
    <n v="3253.4687774671602"/>
    <n v="0"/>
    <n v="0"/>
    <n v="0"/>
    <n v="0"/>
    <n v="0"/>
    <n v="0"/>
    <n v="0"/>
    <n v="0"/>
    <n v="0"/>
    <n v="0"/>
    <n v="0"/>
    <n v="0"/>
    <n v="640"/>
    <n v="1579.152888808203"/>
    <n v="0"/>
    <n v="0"/>
    <n v="2000"/>
    <n v="4832.6216662753632"/>
    <n v="127.06080788171766"/>
    <n v="6.7840327340266016E-2"/>
    <n v="490.47343854652536"/>
    <n v="0.11295640149140364"/>
  </r>
  <r>
    <x v="3"/>
    <s v="ESPAÑA"/>
    <s v="AGROQUIMICAS DRAGO S.L."/>
    <s v="Consolidado/estratégico"/>
    <s v="PHD0001"/>
    <s v="PH-DOWNER, 1 L"/>
    <n v="1"/>
    <n v="5.1150000000000002"/>
    <n v="5.3317611164758807"/>
    <n v="11.870828090318559"/>
    <n v="59.591557013399168"/>
    <n v="0"/>
    <n v="0"/>
    <n v="0"/>
    <n v="0"/>
    <n v="11.870828090318559"/>
    <n v="59.591557013399168"/>
    <n v="0"/>
    <n v="0"/>
    <n v="11.870828090318559"/>
    <n v="61.847014350559697"/>
    <n v="0"/>
    <n v="0"/>
    <n v="11.870828090318559"/>
    <n v="61.847014350559697"/>
    <n v="0"/>
    <n v="0"/>
    <n v="0"/>
    <n v="0"/>
    <n v="0"/>
    <n v="0"/>
    <n v="0"/>
    <n v="0"/>
    <n v="47.483312361274237"/>
    <n v="242.87714272791774"/>
    <n v="13"/>
    <n v="68.02555825243715"/>
    <n v="0"/>
    <n v="0"/>
    <n v="0"/>
    <n v="0"/>
    <n v="13"/>
    <n v="68.02555825243715"/>
    <n v="0"/>
    <n v="0"/>
    <n v="13"/>
    <n v="70.600230775935771"/>
    <n v="0"/>
    <n v="0"/>
    <n v="13"/>
    <n v="70.600230775935771"/>
    <n v="0"/>
    <n v="0"/>
    <n v="0"/>
    <n v="0"/>
    <n v="0"/>
    <n v="0"/>
    <n v="0"/>
    <n v="0"/>
    <n v="52"/>
    <n v="277.25157805674581"/>
    <n v="4.5166876387257631"/>
    <n v="9.5121578805639914E-2"/>
    <n v="34.374435328828071"/>
    <n v="0.14153013718271509"/>
  </r>
  <r>
    <x v="3"/>
    <s v="ESPAÑA"/>
    <s v="AGROQUIMICAS DRAGO S.L."/>
    <s v="Consolidado/estratégico"/>
    <s v="PHD0005"/>
    <s v="PH-DOWNER, 5 L"/>
    <n v="5"/>
    <n v="3.5975000000000001"/>
    <n v="3.7494004237429248"/>
    <n v="0"/>
    <n v="0"/>
    <n v="19.78471348386427"/>
    <n v="70.829274272234059"/>
    <n v="39.569426967728532"/>
    <n v="141.65854854446809"/>
    <n v="79.138853935457064"/>
    <n v="283.31709708893618"/>
    <n v="0"/>
    <n v="0"/>
    <n v="0"/>
    <n v="0"/>
    <n v="0"/>
    <n v="0"/>
    <n v="19.78471348386427"/>
    <n v="73.599134159975065"/>
    <n v="0"/>
    <n v="0"/>
    <n v="0"/>
    <n v="0"/>
    <n v="0"/>
    <n v="0"/>
    <n v="0"/>
    <n v="0"/>
    <n v="158.27770787091413"/>
    <n v="569.40405406561342"/>
    <n v="0"/>
    <n v="0"/>
    <n v="20"/>
    <n v="74.634231855263536"/>
    <n v="40"/>
    <n v="149.2684637105271"/>
    <n v="85"/>
    <n v="317.1954853848701"/>
    <n v="0"/>
    <n v="0"/>
    <n v="0"/>
    <n v="0"/>
    <n v="0"/>
    <n v="0"/>
    <n v="20"/>
    <n v="77.552888966921913"/>
    <n v="0"/>
    <n v="0"/>
    <n v="0"/>
    <n v="0"/>
    <n v="0"/>
    <n v="0"/>
    <n v="0"/>
    <n v="0"/>
    <n v="165"/>
    <n v="618.65106991758262"/>
    <n v="6.7222921290858721"/>
    <n v="4.247150290152258E-2"/>
    <n v="49.247015851969195"/>
    <n v="8.6488699018455489E-2"/>
  </r>
  <r>
    <x v="3"/>
    <s v="ESPAÑA"/>
    <s v="AGROQUIMICAS DRAGO S.L."/>
    <s v="Consolidado/estratégico"/>
    <s v="PHD0020"/>
    <s v="PH-DOWNER, 20 L"/>
    <n v="20"/>
    <n v="3.3699999999999992"/>
    <n v="3.512812309388802"/>
    <n v="0"/>
    <n v="0"/>
    <n v="0"/>
    <n v="0"/>
    <n v="39.569426967728532"/>
    <n v="130.57910899350409"/>
    <n v="59.354140451592791"/>
    <n v="195.86866349025621"/>
    <n v="79.138853935457064"/>
    <n v="270.65488045926321"/>
    <n v="0"/>
    <n v="0"/>
    <n v="0"/>
    <n v="0"/>
    <n v="59.354140451592791"/>
    <n v="202.99116034444731"/>
    <n v="0"/>
    <n v="0"/>
    <n v="0"/>
    <n v="0"/>
    <n v="0"/>
    <n v="0"/>
    <n v="0"/>
    <n v="0"/>
    <n v="237.41656180637119"/>
    <n v="800.09381328747077"/>
    <n v="0"/>
    <n v="0"/>
    <n v="0"/>
    <n v="0"/>
    <n v="40"/>
    <n v="137.59383526389371"/>
    <n v="60"/>
    <n v="206.39075289584059"/>
    <n v="80"/>
    <n v="285.19449491061607"/>
    <n v="0"/>
    <n v="0"/>
    <n v="0"/>
    <n v="0"/>
    <n v="60"/>
    <n v="213.895871182962"/>
    <n v="0"/>
    <n v="0"/>
    <n v="0"/>
    <n v="0"/>
    <n v="0"/>
    <n v="0"/>
    <n v="0"/>
    <n v="0"/>
    <n v="240"/>
    <n v="843.07495425331228"/>
    <n v="2.5834381936288082"/>
    <n v="1.0881457359052195E-2"/>
    <n v="42.981140965841519"/>
    <n v="5.372012663019874E-2"/>
  </r>
  <r>
    <x v="3"/>
    <s v="ESPAÑA"/>
    <s v="AGROQUIMICAS DRAGO S.L."/>
    <s v="Consolidado/estratégico"/>
    <s v="PIV0200"/>
    <s v="PGR IV, 200 Lts."/>
    <n v="200"/>
    <n v="2.29"/>
    <n v="2.3870445663205802"/>
    <n v="0"/>
    <n v="0"/>
    <n v="197.84713483864269"/>
    <n v="453.06993878049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53.06993878049173"/>
    <n v="0"/>
    <n v="0"/>
    <n v="200"/>
    <n v="477.40891326411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477.40891326411611"/>
    <n v="2.1528651613573118"/>
    <n v="1.0881457359052051E-2"/>
    <n v="24.338974483624384"/>
    <n v="5.3720126630198692E-2"/>
  </r>
  <r>
    <x v="3"/>
    <s v="ESPAÑA"/>
    <s v="AGROQUIMICAS DRAGO S.L."/>
    <s v="Consolidado/estratégico"/>
    <s v="PT0001"/>
    <s v="AGROPOTASION, 1 L"/>
    <n v="1"/>
    <n v="4.5399999999999991"/>
    <n v="4.7323940310460406"/>
    <n v="0"/>
    <n v="0"/>
    <n v="0"/>
    <n v="0"/>
    <n v="0"/>
    <n v="0"/>
    <n v="0"/>
    <n v="0"/>
    <n v="0"/>
    <n v="0"/>
    <n v="11.870828090318559"/>
    <n v="53.893559530046247"/>
    <n v="0"/>
    <n v="0"/>
    <n v="11.870828090318559"/>
    <n v="53.893559530046247"/>
    <n v="0"/>
    <n v="0"/>
    <n v="0"/>
    <n v="0"/>
    <n v="0"/>
    <n v="0"/>
    <n v="0"/>
    <n v="0"/>
    <n v="23.741656180637118"/>
    <n v="107.78711906009249"/>
    <n v="0"/>
    <n v="0"/>
    <n v="0"/>
    <n v="0"/>
    <n v="0"/>
    <n v="0"/>
    <n v="0"/>
    <n v="0"/>
    <n v="0"/>
    <n v="0"/>
    <n v="13"/>
    <n v="61.521122403598532"/>
    <n v="0"/>
    <n v="0"/>
    <n v="13"/>
    <n v="61.521122403598532"/>
    <n v="0"/>
    <n v="0"/>
    <n v="0"/>
    <n v="0"/>
    <n v="0"/>
    <n v="0"/>
    <n v="0"/>
    <n v="0"/>
    <n v="26"/>
    <n v="123.04224480719706"/>
    <n v="2.2583438193628815"/>
    <n v="9.5121578805639914E-2"/>
    <n v="15.255125747104572"/>
    <n v="0.14153013718271543"/>
  </r>
  <r>
    <x v="3"/>
    <s v="ESPAÑA"/>
    <s v="AGROQUIMICAS DRAGO S.L."/>
    <s v="Consolidado/estratégico"/>
    <s v="PT0005"/>
    <s v="AGROPOTASION, 5 L"/>
    <n v="5"/>
    <n v="3.4899999999999989"/>
    <n v="3.6378976141741588"/>
    <n v="0"/>
    <n v="0"/>
    <n v="0"/>
    <n v="0"/>
    <n v="0"/>
    <n v="0"/>
    <n v="0"/>
    <n v="0"/>
    <n v="39.569426967728532"/>
    <n v="138.09730011737261"/>
    <n v="0"/>
    <n v="0"/>
    <n v="0"/>
    <n v="0"/>
    <n v="19.78471348386427"/>
    <n v="69.048650058686277"/>
    <n v="0"/>
    <n v="0"/>
    <n v="0"/>
    <n v="0"/>
    <n v="0"/>
    <n v="0"/>
    <n v="0"/>
    <n v="0"/>
    <n v="59.354140451592798"/>
    <n v="207.14595017605888"/>
    <n v="0"/>
    <n v="0"/>
    <n v="0"/>
    <n v="0"/>
    <n v="0"/>
    <n v="0"/>
    <n v="0"/>
    <n v="0"/>
    <n v="45"/>
    <n v="163.70539263783721"/>
    <n v="0"/>
    <n v="0"/>
    <n v="0"/>
    <n v="0"/>
    <n v="20"/>
    <n v="72.757952283483178"/>
    <n v="0"/>
    <n v="0"/>
    <n v="0"/>
    <n v="0"/>
    <n v="0"/>
    <n v="0"/>
    <n v="0"/>
    <n v="0"/>
    <n v="65"/>
    <n v="236.46334492132038"/>
    <n v="5.6458595484072021"/>
    <n v="9.5121578805639873E-2"/>
    <n v="29.31739474526151"/>
    <n v="0.14153013718271523"/>
  </r>
  <r>
    <x v="3"/>
    <s v="ESPAÑA"/>
    <s v="AGROQUIMICAS DRAGO S.L."/>
    <s v="Consolidado/estratégico"/>
    <s v="PT0020"/>
    <s v="AGROPOTASION, 20 L"/>
    <n v="20"/>
    <n v="3.1356068366820922"/>
    <n v="3.2688269841907438"/>
    <n v="0"/>
    <n v="0"/>
    <n v="0"/>
    <n v="0"/>
    <n v="633.11083148365651"/>
    <n v="1981.6369025438451"/>
    <n v="0"/>
    <n v="0"/>
    <n v="0"/>
    <n v="0"/>
    <n v="0"/>
    <n v="0"/>
    <n v="633.11083148365651"/>
    <n v="2038.6168773773741"/>
    <n v="0"/>
    <n v="0"/>
    <n v="0"/>
    <n v="0"/>
    <n v="606.7175291509692"/>
    <n v="1877.4873939576739"/>
    <n v="606.7175291509692"/>
    <n v="1877.4873939576739"/>
    <n v="0"/>
    <n v="0"/>
    <n v="2479.6567212692516"/>
    <n v="7775.228567836567"/>
    <n v="0"/>
    <n v="0"/>
    <n v="0"/>
    <n v="0"/>
    <n v="700"/>
    <n v="2283.8491898726602"/>
    <n v="0"/>
    <n v="0"/>
    <n v="0"/>
    <n v="0"/>
    <n v="0"/>
    <n v="0"/>
    <n v="700"/>
    <n v="2349.518974884973"/>
    <n v="0"/>
    <n v="0"/>
    <n v="0"/>
    <n v="0"/>
    <n v="660"/>
    <n v="2128.9206161205962"/>
    <n v="660"/>
    <n v="2128.9206161205962"/>
    <n v="0"/>
    <n v="0"/>
    <n v="2720"/>
    <n v="8891.2093969988255"/>
    <n v="240.34327873074835"/>
    <n v="9.6926028780195364E-2"/>
    <n v="1115.9808291622585"/>
    <n v="0.14353029231560926"/>
  </r>
  <r>
    <x v="3"/>
    <s v="ESPAÑA"/>
    <s v="AGROQUIMICAS DRAGO S.L."/>
    <s v="Consolidado/estratégico"/>
    <s v="PT0200"/>
    <s v="AGROPOTASION, 200 L"/>
    <n v="200"/>
    <n v="3.0819999999999999"/>
    <n v="3.2126075779039418"/>
    <n v="0"/>
    <n v="0"/>
    <n v="197.84713483864269"/>
    <n v="603.43376125786006"/>
    <n v="0"/>
    <n v="0"/>
    <n v="395.69426967728532"/>
    <n v="1206.8675225157201"/>
    <n v="197.84713483864269"/>
    <n v="619.26153204495154"/>
    <n v="197.84713483864269"/>
    <n v="619.26153204495154"/>
    <n v="0"/>
    <n v="0"/>
    <n v="0"/>
    <n v="0"/>
    <n v="0"/>
    <n v="0"/>
    <n v="189.59922785967791"/>
    <n v="584.34482026352714"/>
    <n v="189.59922785967791"/>
    <n v="584.34482026352714"/>
    <n v="0"/>
    <n v="0"/>
    <n v="1368.4341299125692"/>
    <n v="4217.5139883905376"/>
    <n v="0"/>
    <n v="0"/>
    <n v="200"/>
    <n v="635.85029932556938"/>
    <n v="0"/>
    <n v="0"/>
    <n v="400"/>
    <n v="1271.700598651139"/>
    <n v="200"/>
    <n v="652.5283399636171"/>
    <n v="200"/>
    <n v="652.5283399636171"/>
    <n v="0"/>
    <n v="0"/>
    <n v="0"/>
    <n v="0"/>
    <n v="0"/>
    <n v="0"/>
    <n v="200"/>
    <n v="642.52151558078845"/>
    <n v="200"/>
    <n v="642.52151558078845"/>
    <n v="0"/>
    <n v="0"/>
    <n v="1400"/>
    <n v="4497.6506090655193"/>
    <n v="31.565870087430767"/>
    <n v="2.3067146161757559E-2"/>
    <n v="280.13662067498171"/>
    <n v="6.6422214946081484E-2"/>
  </r>
  <r>
    <x v="3"/>
    <s v="ESPAÑA"/>
    <s v="AGROQUIMICAS DRAGO S.L."/>
    <s v="Consolidado/estratégico"/>
    <s v="S0020"/>
    <s v="SAL-WAX STAR, 20 L"/>
    <n v="20"/>
    <n v="1.7324999999999999"/>
    <n v="1.8059190878386051"/>
    <n v="633.11083148365651"/>
    <n v="1071.2235268703471"/>
    <n v="0"/>
    <n v="0"/>
    <n v="633.11083148365651"/>
    <n v="1122.5055042205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6.221662967313"/>
    <n v="2193.7290310908702"/>
    <n v="680"/>
    <n v="1199.317902282012"/>
    <n v="0"/>
    <n v="0"/>
    <n v="680"/>
    <n v="1256.732057178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"/>
    <n v="2456.049959460503"/>
    <n v="93.778337032686977"/>
    <n v="7.4061548443992958E-2"/>
    <n v="262.32092836963284"/>
    <n v="0.11957763454458602"/>
  </r>
  <r>
    <x v="3"/>
    <s v="ESPAÑA"/>
    <s v="AGROQUIMICAS DRAGO S.L."/>
    <s v="Consolidado/estratégico"/>
    <s v="S0020"/>
    <s v="SALWAX STAR, 20 L"/>
    <n v="20"/>
    <n v="1.910361237832493"/>
    <n v="1.9904466400262359"/>
    <n v="0"/>
    <n v="0"/>
    <n v="0"/>
    <n v="0"/>
    <n v="0"/>
    <n v="0"/>
    <n v="0"/>
    <n v="0"/>
    <n v="633.11083148365651"/>
    <n v="1304.208312856332"/>
    <n v="633.11083148365651"/>
    <n v="1304.208312856332"/>
    <n v="0"/>
    <n v="0"/>
    <n v="633.11083148365651"/>
    <n v="1304.208312856332"/>
    <n v="0"/>
    <n v="0"/>
    <n v="1213.4350583019379"/>
    <n v="2175.9924182999512"/>
    <n v="1213.4350583019379"/>
    <n v="2175.9924182999512"/>
    <n v="0"/>
    <n v="0"/>
    <n v="4326.202611054845"/>
    <n v="8264.6097751688976"/>
    <n v="0"/>
    <n v="0"/>
    <n v="0"/>
    <n v="0"/>
    <n v="0"/>
    <n v="0"/>
    <n v="0"/>
    <n v="0"/>
    <n v="680"/>
    <n v="1460.1624578610781"/>
    <n v="680"/>
    <n v="1460.1624578610781"/>
    <n v="0"/>
    <n v="0"/>
    <n v="680"/>
    <n v="1460.1624578610781"/>
    <n v="0"/>
    <n v="0"/>
    <n v="1320"/>
    <n v="2467.4014508697742"/>
    <n v="1320"/>
    <n v="2467.4014508697742"/>
    <n v="0"/>
    <n v="0"/>
    <n v="4680"/>
    <n v="9315.2902753227827"/>
    <n v="353.79738894515503"/>
    <n v="8.1780124685119568E-2"/>
    <n v="1050.6805001538851"/>
    <n v="0.12713007979041735"/>
  </r>
  <r>
    <x v="3"/>
    <s v="ESPAÑA"/>
    <s v="AGROQUIMICAS DRAGO S.L."/>
    <s v="Consolidado/estratégico"/>
    <s v="S0200"/>
    <s v="SALWAX STAR, 200 L"/>
    <n v="200"/>
    <n v="1.8330976292501451"/>
    <n v="1.909114464286525"/>
    <n v="0"/>
    <n v="0"/>
    <n v="0"/>
    <n v="0"/>
    <n v="0"/>
    <n v="0"/>
    <n v="0"/>
    <n v="0"/>
    <n v="0"/>
    <n v="0"/>
    <n v="0"/>
    <n v="0"/>
    <n v="0"/>
    <n v="0"/>
    <n v="791.38853935457064"/>
    <n v="1566.9493079220499"/>
    <n v="0"/>
    <n v="0"/>
    <n v="1137.5953671580669"/>
    <n v="2027.1949442756761"/>
    <n v="1137.5953671580669"/>
    <n v="2027.1949442756761"/>
    <n v="0"/>
    <n v="0"/>
    <n v="3066.5792736707044"/>
    <n v="5621.3391964734019"/>
    <n v="0"/>
    <n v="0"/>
    <n v="0"/>
    <n v="0"/>
    <n v="0"/>
    <n v="0"/>
    <n v="0"/>
    <n v="0"/>
    <n v="0"/>
    <n v="0"/>
    <n v="0"/>
    <n v="0"/>
    <n v="0"/>
    <n v="0"/>
    <n v="800"/>
    <n v="1651.126023166725"/>
    <n v="0"/>
    <n v="0"/>
    <n v="1200"/>
    <n v="2229.0201312750778"/>
    <n v="1200"/>
    <n v="2229.0201312750778"/>
    <n v="0"/>
    <n v="0"/>
    <n v="3200"/>
    <n v="6109.1662857168803"/>
    <n v="133.42072632929558"/>
    <n v="4.3507998464227073E-2"/>
    <n v="487.82708924347844"/>
    <n v="8.6781293957411645E-2"/>
  </r>
  <r>
    <x v="3"/>
    <s v="ESPAÑA"/>
    <s v="AGROQUIMICAS DRAGO S.L."/>
    <s v="Consolidado/estratégico"/>
    <s v="SS0020"/>
    <s v="SAL-WAX-Ca sólido, 20 KG"/>
    <n v="20"/>
    <n v="3.72"/>
    <n v="3.877644448346095"/>
    <n v="79.138853935457064"/>
    <n v="294.3965366399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294.39653663990032"/>
    <n v="80"/>
    <n v="310.21155586768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310.21155586768771"/>
    <n v="0.86114606454293607"/>
    <n v="1.0881457359052195E-2"/>
    <n v="15.815019227787388"/>
    <n v="5.372012663019874E-2"/>
  </r>
  <r>
    <x v="3"/>
    <s v="ESPAÑA"/>
    <s v="AGROQUIMICAS DRAGO S.L."/>
    <s v="Consolidado/estratégico"/>
    <s v="SS0020"/>
    <s v="SALWAX-CA, 20 KG"/>
    <n v="20"/>
    <n v="3.72"/>
    <n v="3.877644448346095"/>
    <n v="0"/>
    <n v="0"/>
    <n v="0"/>
    <n v="0"/>
    <n v="0"/>
    <n v="0"/>
    <n v="0"/>
    <n v="0"/>
    <n v="0"/>
    <n v="0"/>
    <n v="0"/>
    <n v="0"/>
    <n v="98.92356741932133"/>
    <n v="367.99567079987531"/>
    <n v="59.354140451592798"/>
    <n v="220.79740247992521"/>
    <n v="0"/>
    <n v="0"/>
    <n v="0"/>
    <n v="0"/>
    <n v="0"/>
    <n v="0"/>
    <n v="0"/>
    <n v="0"/>
    <n v="158.27770787091413"/>
    <n v="588.79307327980052"/>
    <n v="0"/>
    <n v="0"/>
    <n v="0"/>
    <n v="0"/>
    <n v="0"/>
    <n v="0"/>
    <n v="0"/>
    <n v="0"/>
    <n v="0"/>
    <n v="0"/>
    <n v="0"/>
    <n v="0"/>
    <n v="100"/>
    <n v="387.76444483460949"/>
    <n v="60"/>
    <n v="232.65866690076581"/>
    <n v="0"/>
    <n v="0"/>
    <n v="0"/>
    <n v="0"/>
    <n v="0"/>
    <n v="0"/>
    <n v="0"/>
    <n v="0"/>
    <n v="160"/>
    <n v="620.4231117353753"/>
    <n v="1.7222921290858721"/>
    <n v="1.0881457359052195E-2"/>
    <n v="31.630038455574777"/>
    <n v="5.3720126630198754E-2"/>
  </r>
  <r>
    <x v="3"/>
    <s v="ESPAÑA"/>
    <s v="AGROQUIMICAS DRAGO S.L."/>
    <s v="Consolidado/estratégico"/>
    <s v="TRI0005"/>
    <s v="TRIFENO-94, 5L"/>
    <n v="5"/>
    <n v="10.21125"/>
    <n v="10.654195697068641"/>
    <n v="98.92356741932133"/>
    <n v="1065.406821106091"/>
    <n v="0"/>
    <n v="0"/>
    <n v="59.354140451592791"/>
    <n v="550.80642339078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3"/>
    <n v="1616.213244496872"/>
    <n v="120"/>
    <n v="1347.168732538305"/>
    <n v="0"/>
    <n v="0"/>
    <n v="70"/>
    <n v="677.12844990473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"/>
    <n v="2024.2971824430426"/>
    <n v="31.722292129085872"/>
    <n v="0.20042173061387447"/>
    <n v="408.08393794617064"/>
    <n v="0.25249387067930346"/>
  </r>
  <r>
    <x v="3"/>
    <s v="ESPAÑA"/>
    <s v="AGROQUIMICAS DRAGO S.L."/>
    <s v="Consolidado/estratégico"/>
    <s v="WHITE0020"/>
    <s v="AGROWHITE, 20 KG"/>
    <n v="20"/>
    <n v="1.78"/>
    <n v="1.855432020982809"/>
    <n v="0"/>
    <n v="0"/>
    <n v="0"/>
    <n v="0"/>
    <n v="0"/>
    <n v="0"/>
    <n v="0"/>
    <n v="0"/>
    <n v="0"/>
    <n v="0"/>
    <n v="98.92356741932133"/>
    <n v="176.08395000639189"/>
    <n v="0"/>
    <n v="0"/>
    <n v="0"/>
    <n v="0"/>
    <n v="0"/>
    <n v="0"/>
    <n v="0"/>
    <n v="0"/>
    <n v="0"/>
    <n v="0"/>
    <n v="0"/>
    <n v="0"/>
    <n v="98.92356741932133"/>
    <n v="176.08395000639189"/>
    <n v="0"/>
    <n v="0"/>
    <n v="0"/>
    <n v="0"/>
    <n v="0"/>
    <n v="0"/>
    <n v="0"/>
    <n v="0"/>
    <n v="0"/>
    <n v="0"/>
    <n v="100"/>
    <n v="185.54320209828089"/>
    <n v="0"/>
    <n v="0"/>
    <n v="0"/>
    <n v="0"/>
    <n v="0"/>
    <n v="0"/>
    <n v="0"/>
    <n v="0"/>
    <n v="0"/>
    <n v="0"/>
    <n v="0"/>
    <n v="0"/>
    <n v="100"/>
    <n v="185.54320209828089"/>
    <n v="1.0764325806786701"/>
    <n v="1.0881457359052195E-2"/>
    <n v="9.4592520918889988"/>
    <n v="5.3720126630198983E-2"/>
  </r>
  <r>
    <x v="3"/>
    <s v="ESPAÑA"/>
    <s v="CABRERA MORALES FRANCISCO"/>
    <s v="Consolidado/estratégico"/>
    <s v="A-50(2)0005"/>
    <s v="CODIORGAN A-50, 5 KG"/>
    <n v="5"/>
    <n v="4.7600000000000007"/>
    <n v="4.9617170898191976"/>
    <n v="247.3089185483033"/>
    <n v="1177.1904522899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3089185483033"/>
    <n v="1177.190452289924"/>
    <n v="310"/>
    <n v="1538.1322978439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"/>
    <n v="1538.1322978439509"/>
    <n v="62.691081451696704"/>
    <n v="0.25349300712522488"/>
    <n v="360.94184555402694"/>
    <n v="0.30661295702144592"/>
  </r>
  <r>
    <x v="3"/>
    <s v="ESPAÑA"/>
    <s v="CABRERA MORALES FRANCISCO"/>
    <s v="Consolidado/estratégico"/>
    <s v="A-50(2)0005"/>
    <s v="CODIORGAN-A50, 5 KG"/>
    <n v="5"/>
    <n v="4.8119977783270489"/>
    <n v="5.0158611174310206"/>
    <n v="0"/>
    <n v="0"/>
    <n v="0"/>
    <n v="0"/>
    <n v="0"/>
    <n v="0"/>
    <n v="296.77070225796399"/>
    <n v="1415.5962497704879"/>
    <n v="370.96337782245502"/>
    <n v="1765.785678434886"/>
    <n v="370.96337782245502"/>
    <n v="1802.882016217131"/>
    <n v="0"/>
    <n v="0"/>
    <n v="370.96337782245502"/>
    <n v="1802.882016217131"/>
    <n v="0"/>
    <n v="0"/>
    <n v="0"/>
    <n v="0"/>
    <n v="710.99710447379198"/>
    <n v="3417.455336190149"/>
    <n v="0"/>
    <n v="0"/>
    <n v="2120.6579401991212"/>
    <n v="10204.601296829784"/>
    <n v="0"/>
    <n v="0"/>
    <n v="0"/>
    <n v="0"/>
    <n v="0"/>
    <n v="0"/>
    <n v="375"/>
    <n v="1864.552824456742"/>
    <n v="465"/>
    <n v="2307.1984467659272"/>
    <n v="465"/>
    <n v="2355.6690023702531"/>
    <n v="0"/>
    <n v="0"/>
    <n v="465"/>
    <n v="2355.6690023702531"/>
    <n v="0"/>
    <n v="0"/>
    <n v="0"/>
    <n v="0"/>
    <n v="895"/>
    <n v="4484.1806019904989"/>
    <n v="0"/>
    <n v="0"/>
    <n v="2665"/>
    <n v="13367.269877953673"/>
    <n v="544.34205980087881"/>
    <n v="0.25668546043298585"/>
    <n v="3162.6685811238895"/>
    <n v="0.30992573733443374"/>
  </r>
  <r>
    <x v="3"/>
    <s v="ESPAÑA"/>
    <s v="CABRERA MORALES FRANCISCO"/>
    <s v="Consolidado/estratégico"/>
    <s v="A-50(2)0020"/>
    <s v="CODIORGAN A-50, 20 KG"/>
    <n v="20"/>
    <n v="4.6499999999999986"/>
    <n v="4.8470555604326204"/>
    <n v="98.92356741932133"/>
    <n v="459.99458849984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59.99458849984421"/>
    <n v="120"/>
    <n v="581.64666725191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581.64666725191432"/>
    <n v="21.07643258067867"/>
    <n v="0.21305774883086265"/>
    <n v="121.65207875207011"/>
    <n v="0.26446415195623829"/>
  </r>
  <r>
    <x v="3"/>
    <s v="ESPAÑA"/>
    <s v="CABRERA MORALES FRANCISCO"/>
    <s v="Consolidado/estratégico"/>
    <s v="A-50(2)0020"/>
    <s v="CODIORGAN-A50, 20 KG"/>
    <n v="20"/>
    <n v="4.6499999999999986"/>
    <n v="4.8470555604326204"/>
    <n v="0"/>
    <n v="0"/>
    <n v="0"/>
    <n v="0"/>
    <n v="0"/>
    <n v="0"/>
    <n v="0"/>
    <n v="0"/>
    <n v="197.84713483864269"/>
    <n v="919.98917699968831"/>
    <n v="0"/>
    <n v="0"/>
    <n v="0"/>
    <n v="0"/>
    <n v="0"/>
    <n v="0"/>
    <n v="0"/>
    <n v="0"/>
    <n v="0"/>
    <n v="0"/>
    <n v="0"/>
    <n v="0"/>
    <n v="0"/>
    <n v="0"/>
    <n v="197.84713483864269"/>
    <n v="919.98917699968831"/>
    <n v="0"/>
    <n v="0"/>
    <n v="0"/>
    <n v="0"/>
    <n v="0"/>
    <n v="0"/>
    <n v="0"/>
    <n v="0"/>
    <n v="240"/>
    <n v="1163.2933345038291"/>
    <n v="0"/>
    <n v="0"/>
    <n v="0"/>
    <n v="0"/>
    <n v="0"/>
    <n v="0"/>
    <n v="0"/>
    <n v="0"/>
    <n v="0"/>
    <n v="0"/>
    <n v="0"/>
    <n v="0"/>
    <n v="0"/>
    <n v="0"/>
    <n v="240"/>
    <n v="1163.2933345038291"/>
    <n v="42.152865161357312"/>
    <n v="0.21305774883086245"/>
    <n v="243.30415750414079"/>
    <n v="0.26446415195623896"/>
  </r>
  <r>
    <x v="3"/>
    <s v="ESPAÑA"/>
    <s v="CABRERA MORALES FRANCISCO"/>
    <s v="Consolidado/estratégico"/>
    <s v="AGXK0005"/>
    <s v="AGROXILATO-K, 5 L"/>
    <n v="5"/>
    <n v="3.2181238407271771"/>
    <n v="3.354566246751018"/>
    <n v="0"/>
    <n v="0"/>
    <n v="593.54140451592798"/>
    <n v="1917.1387365864471"/>
    <n v="0"/>
    <n v="0"/>
    <n v="0"/>
    <n v="0"/>
    <n v="593.54140451592798"/>
    <n v="1917.1387365864471"/>
    <n v="0"/>
    <n v="0"/>
    <n v="0"/>
    <n v="0"/>
    <n v="2967.7070225796401"/>
    <n v="9763.7561042870148"/>
    <n v="0"/>
    <n v="0"/>
    <n v="0"/>
    <n v="0"/>
    <n v="1706.393050737101"/>
    <n v="5263.9787910881369"/>
    <n v="0"/>
    <n v="0"/>
    <n v="5861.1828823485976"/>
    <n v="18862.012368548043"/>
    <n v="0"/>
    <n v="0"/>
    <n v="655"/>
    <n v="2205.3060422428539"/>
    <n v="0"/>
    <n v="0"/>
    <n v="0"/>
    <n v="0"/>
    <n v="655"/>
    <n v="2205.3060422428539"/>
    <n v="0"/>
    <n v="0"/>
    <n v="0"/>
    <n v="0"/>
    <n v="3275"/>
    <n v="11231.35739780029"/>
    <n v="0"/>
    <n v="0"/>
    <n v="0"/>
    <n v="0"/>
    <n v="1880"/>
    <n v="6045.3013029593276"/>
    <n v="0"/>
    <n v="0"/>
    <n v="6465"/>
    <n v="21687.270785245324"/>
    <n v="603.81711765140244"/>
    <n v="0.10301966851603353"/>
    <n v="2825.2584166972811"/>
    <n v="0.14978563058352842"/>
  </r>
  <r>
    <x v="3"/>
    <s v="ESPAÑA"/>
    <s v="CABRERA MORALES FRANCISCO"/>
    <s v="Consolidado/estratégico"/>
    <s v="AGXK0020"/>
    <s v="AGROXILATO-K, 20 L"/>
    <n v="20"/>
    <n v="2.99187238327751"/>
    <n v="3.1186907133473709"/>
    <n v="0"/>
    <n v="0"/>
    <n v="1899.3324944509691"/>
    <n v="5660.010833463889"/>
    <n v="0"/>
    <n v="0"/>
    <n v="0"/>
    <n v="0"/>
    <n v="1266.221662967313"/>
    <n v="3773.3405556425928"/>
    <n v="1266.221662967313"/>
    <n v="3849.3138554206312"/>
    <n v="633.11083148365651"/>
    <n v="1924.656927710316"/>
    <n v="5064.8866518692521"/>
    <n v="15397.25542168253"/>
    <n v="0"/>
    <n v="0"/>
    <n v="0"/>
    <n v="0"/>
    <n v="2426.8701166038768"/>
    <n v="6963.2970820656737"/>
    <n v="0"/>
    <n v="0"/>
    <n v="12556.643420342381"/>
    <n v="37567.874675985629"/>
    <n v="0"/>
    <n v="0"/>
    <n v="2100"/>
    <n v="6523.1986445564162"/>
    <n v="0"/>
    <n v="0"/>
    <n v="0"/>
    <n v="0"/>
    <n v="1400"/>
    <n v="4348.7990963709444"/>
    <n v="1400"/>
    <n v="4436.358809720693"/>
    <n v="700"/>
    <n v="2218.179404860346"/>
    <n v="5600"/>
    <n v="17745.435238882779"/>
    <n v="0"/>
    <n v="0"/>
    <n v="0"/>
    <n v="0"/>
    <n v="2680"/>
    <n v="8015.4559068703365"/>
    <n v="0"/>
    <n v="0"/>
    <n v="13880"/>
    <n v="43287.427101261521"/>
    <n v="1323.3565796576186"/>
    <n v="0.10539095006183863"/>
    <n v="5719.5524252758914"/>
    <n v="0.15224583436262312"/>
  </r>
  <r>
    <x v="3"/>
    <s v="ESPAÑA"/>
    <s v="CABRERA MORALES FRANCISCO"/>
    <s v="Consolidado/estratégico"/>
    <s v="ANAE0005"/>
    <s v="ALCAPLANT NEW AE, 5 KG"/>
    <n v="5"/>
    <n v="1.723846153846154"/>
    <n v="1.796903544355581"/>
    <n v="6528.9554496752071"/>
    <n v="11229.80337344136"/>
    <n v="2176.318483225069"/>
    <n v="3786.7941608116198"/>
    <n v="6528.9554496752071"/>
    <n v="11360.382482434859"/>
    <n v="2176.318483225069"/>
    <n v="3786.7941608116198"/>
    <n v="11969.751657737879"/>
    <n v="19880.669344261001"/>
    <n v="3264.477724837604"/>
    <n v="5778.1255729625582"/>
    <n v="5440.796208062673"/>
    <n v="9630.2092882709294"/>
    <n v="4352.6369664501381"/>
    <n v="7704.1674306167442"/>
    <n v="6256.77451936937"/>
    <n v="10785.716690697511"/>
    <n v="4171.183012912913"/>
    <n v="7190.4777937983381"/>
    <n v="6256.77451936937"/>
    <n v="10785.716690697511"/>
    <n v="0"/>
    <n v="0"/>
    <n v="59122.942474540505"/>
    <n v="101918.85698880404"/>
    <n v="7200"/>
    <n v="12908.803453848939"/>
    <n v="2400"/>
    <n v="4352.968606530455"/>
    <n v="7200"/>
    <n v="13058.905819591369"/>
    <n v="2400"/>
    <n v="4352.968606530455"/>
    <n v="13195"/>
    <n v="22844.42871262418"/>
    <n v="3600"/>
    <n v="6642.0296841025047"/>
    <n v="6000"/>
    <n v="11070.049473504179"/>
    <n v="4800"/>
    <n v="8856.0395788033402"/>
    <n v="6900"/>
    <n v="12398.599739522509"/>
    <n v="4600"/>
    <n v="8265.733159681673"/>
    <n v="6900"/>
    <n v="12398.599739522509"/>
    <n v="0"/>
    <n v="0"/>
    <n v="65195"/>
    <n v="117149.12657426212"/>
    <n v="6072.0575254594951"/>
    <n v="0.10270222135974105"/>
    <n v="15230.269585458082"/>
    <n v="0.14943524717051285"/>
  </r>
  <r>
    <x v="3"/>
    <s v="ESPAÑA"/>
    <s v="CABRERA MORALES FRANCISCO"/>
    <s v="Consolidado/estratégico"/>
    <s v="ANAE0020"/>
    <s v="ALCAPLANT NEW AE, 20 KG"/>
    <n v="20"/>
    <n v="1.557418181818182"/>
    <n v="1.6234177329248769"/>
    <n v="2176.318483225069"/>
    <n v="3351.5304641666071"/>
    <n v="1088.159241612535"/>
    <n v="1691.197308600717"/>
    <n v="1088.159241612535"/>
    <n v="1697.5284169155541"/>
    <n v="2176.318483225069"/>
    <n v="3395.0568338311082"/>
    <n v="2176.318483225069"/>
    <n v="3351.5304641666071"/>
    <n v="0"/>
    <n v="0"/>
    <n v="0"/>
    <n v="0"/>
    <n v="2176.318483225069"/>
    <n v="3460.34638832786"/>
    <n v="0"/>
    <n v="0"/>
    <n v="1042.795753228228"/>
    <n v="1624.0690660004291"/>
    <n v="1042.795753228228"/>
    <n v="1624.0690660004291"/>
    <n v="0"/>
    <n v="0"/>
    <n v="12967.1839225818"/>
    <n v="20195.328008009314"/>
    <n v="2400"/>
    <n v="3852.627387389025"/>
    <n v="1200"/>
    <n v="1944.053064191344"/>
    <n v="1200"/>
    <n v="1951.330754651583"/>
    <n v="2400"/>
    <n v="3902.6615093031669"/>
    <n v="2400"/>
    <n v="3852.627387389025"/>
    <n v="0"/>
    <n v="0"/>
    <n v="0"/>
    <n v="0"/>
    <n v="2400"/>
    <n v="3977.712692174382"/>
    <n v="0"/>
    <n v="0"/>
    <n v="1140"/>
    <n v="1850.6962155343599"/>
    <n v="1140"/>
    <n v="1850.6962155343599"/>
    <n v="0"/>
    <n v="0"/>
    <n v="14280"/>
    <n v="23182.405226167248"/>
    <n v="1312.8160774181997"/>
    <n v="0.10124141720022851"/>
    <n v="2987.0772181579341"/>
    <n v="0.14790931927291709"/>
  </r>
  <r>
    <x v="3"/>
    <s v="ESPAÑA"/>
    <s v="CABRERA MORALES FRANCISCO"/>
    <s v="Consolidado/estratégico"/>
    <s v="B0005"/>
    <s v="BOROCAL, 5 L"/>
    <n v="5"/>
    <n v="3.25"/>
    <n v="3.3877270046034429"/>
    <n v="0"/>
    <n v="0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98.92356741932133"/>
    <n v="321.50159411279429"/>
    <n v="0"/>
    <n v="0"/>
    <n v="0"/>
    <n v="0"/>
    <n v="0"/>
    <n v="0"/>
    <n v="0"/>
    <n v="0"/>
    <n v="0"/>
    <n v="0"/>
    <n v="0"/>
    <n v="0"/>
    <n v="110"/>
    <n v="372.64997050637868"/>
    <n v="0"/>
    <n v="0"/>
    <n v="0"/>
    <n v="0"/>
    <n v="0"/>
    <n v="0"/>
    <n v="0"/>
    <n v="0"/>
    <n v="0"/>
    <n v="0"/>
    <n v="110"/>
    <n v="372.64997050637868"/>
    <n v="11.07643258067867"/>
    <n v="0.11196960309495742"/>
    <n v="51.148376393584385"/>
    <n v="0.15909213929321825"/>
  </r>
  <r>
    <x v="3"/>
    <s v="ESPAÑA"/>
    <s v="CABRERA MORALES FRANCISCO"/>
    <s v="Consolidado/estratégico"/>
    <s v="BIO0005"/>
    <s v="BIORAD-20, 5L"/>
    <n v="5"/>
    <n v="2.13"/>
    <n v="2.2202641599401032"/>
    <n v="0"/>
    <n v="0"/>
    <n v="0"/>
    <n v="0"/>
    <n v="593.54140451592798"/>
    <n v="1270.178605664086"/>
    <n v="0"/>
    <n v="0"/>
    <n v="593.54140451592798"/>
    <n v="1258.307777573767"/>
    <n v="0"/>
    <n v="0"/>
    <n v="0"/>
    <n v="0"/>
    <n v="0"/>
    <n v="0"/>
    <n v="0"/>
    <n v="0"/>
    <n v="1137.5953671580669"/>
    <n v="2423.0781320466831"/>
    <n v="1137.5953671580669"/>
    <n v="2423.0781320466831"/>
    <n v="0"/>
    <n v="0"/>
    <n v="3462.2735433479897"/>
    <n v="7374.6426473312195"/>
    <n v="0"/>
    <n v="0"/>
    <n v="0"/>
    <n v="0"/>
    <n v="750"/>
    <n v="1673.0159515041621"/>
    <n v="0"/>
    <n v="0"/>
    <n v="750"/>
    <n v="1657.3802884059919"/>
    <n v="0"/>
    <n v="0"/>
    <n v="0"/>
    <n v="0"/>
    <n v="0"/>
    <n v="0"/>
    <n v="0"/>
    <n v="0"/>
    <n v="1435"/>
    <n v="3186.0790695140481"/>
    <n v="1435"/>
    <n v="3186.0790695140481"/>
    <n v="0"/>
    <n v="0"/>
    <n v="4370"/>
    <n v="9702.55437893825"/>
    <n v="907.72645665201026"/>
    <n v="0.26217641248942053"/>
    <n v="2327.9117316070306"/>
    <n v="0.31566434374273977"/>
  </r>
  <r>
    <x v="3"/>
    <s v="ESPAÑA"/>
    <s v="CABRERA MORALES FRANCISCO"/>
    <s v="Consolidado/estratégico"/>
    <s v="BIO0020"/>
    <s v="BIORAD-20, 20 L"/>
    <n v="20"/>
    <n v="1.93"/>
    <n v="2.011788651964507"/>
    <n v="0"/>
    <n v="0"/>
    <n v="633.11083148365651"/>
    <n v="1228.2350130782929"/>
    <n v="0"/>
    <n v="0"/>
    <n v="0"/>
    <n v="0"/>
    <n v="1266.221662967313"/>
    <n v="2431.1455928972409"/>
    <n v="0"/>
    <n v="0"/>
    <n v="633.11083148365651"/>
    <n v="1228.2350130782929"/>
    <n v="0"/>
    <n v="0"/>
    <n v="0"/>
    <n v="0"/>
    <n v="1213.4350583019379"/>
    <n v="2341.9296625227412"/>
    <n v="1213.4350583019379"/>
    <n v="2341.9296625227412"/>
    <n v="0"/>
    <n v="0"/>
    <n v="4959.3134425385015"/>
    <n v="9571.4749440993091"/>
    <n v="0"/>
    <n v="0"/>
    <n v="800"/>
    <n v="1617.7699418906291"/>
    <n v="0"/>
    <n v="0"/>
    <n v="0"/>
    <n v="0"/>
    <n v="1600"/>
    <n v="3202.1838025051629"/>
    <n v="0"/>
    <n v="0"/>
    <n v="800"/>
    <n v="1617.7699418906291"/>
    <n v="0"/>
    <n v="0"/>
    <n v="0"/>
    <n v="0"/>
    <n v="1520"/>
    <n v="3057.9187509860499"/>
    <n v="1520"/>
    <n v="3057.9187509860499"/>
    <n v="0"/>
    <n v="0"/>
    <n v="6240"/>
    <n v="12553.56118825852"/>
    <n v="1280.6865574614985"/>
    <n v="0.25823868007140105"/>
    <n v="2982.0862441592108"/>
    <n v="0.3115597399121468"/>
  </r>
  <r>
    <x v="3"/>
    <s v="ESPAÑA"/>
    <s v="CABRERA MORALES FRANCISCO"/>
    <s v="Consolidado/estratégico"/>
    <s v="C-L0001"/>
    <s v="CODIBOR-L, 1 L"/>
    <n v="1"/>
    <n v="5.5549999999999997"/>
    <n v="5.7899371421904844"/>
    <n v="118.7082809031856"/>
    <n v="673.07595272106221"/>
    <n v="0"/>
    <n v="0"/>
    <n v="59.354140451592791"/>
    <n v="318.13819282053743"/>
    <n v="0"/>
    <n v="0"/>
    <n v="0"/>
    <n v="0"/>
    <n v="0"/>
    <n v="0"/>
    <n v="0"/>
    <n v="0"/>
    <n v="59.354140451592798"/>
    <n v="327.63485529279222"/>
    <n v="0"/>
    <n v="0"/>
    <n v="0"/>
    <n v="0"/>
    <n v="0"/>
    <n v="0"/>
    <n v="0"/>
    <n v="0"/>
    <n v="237.41656180637119"/>
    <n v="1318.849000834392"/>
    <n v="127"/>
    <n v="750.60564269073654"/>
    <n v="0"/>
    <n v="0"/>
    <n v="64"/>
    <n v="357.57719127974309"/>
    <n v="0"/>
    <n v="0"/>
    <n v="0"/>
    <n v="0"/>
    <n v="0"/>
    <n v="0"/>
    <n v="0"/>
    <n v="0"/>
    <n v="64"/>
    <n v="368.25113728809367"/>
    <n v="0"/>
    <n v="0"/>
    <n v="0"/>
    <n v="0"/>
    <n v="0"/>
    <n v="0"/>
    <n v="0"/>
    <n v="0"/>
    <n v="255"/>
    <n v="1476.4339712585734"/>
    <n v="17.583438193628808"/>
    <n v="7.4061548443992958E-2"/>
    <n v="157.58497042418139"/>
    <n v="0.11948674209441916"/>
  </r>
  <r>
    <x v="3"/>
    <s v="ESPAÑA"/>
    <s v="CABRERA MORALES FRANCISCO"/>
    <s v="Consolidado/estratégico"/>
    <s v="C-L0005"/>
    <s v="CODIBOR-L, 5 L"/>
    <n v="5"/>
    <n v="4.3046575342465756"/>
    <n v="4.4872160388184312"/>
    <n v="296.77070225796399"/>
    <n v="1317.6619180253599"/>
    <n v="237.41656180637119"/>
    <n v="1001.897890822886"/>
    <n v="237.41656180637119"/>
    <n v="1001.897890822886"/>
    <n v="197.84713483864269"/>
    <n v="834.91490901907196"/>
    <n v="0"/>
    <n v="0"/>
    <n v="237.41656180637119"/>
    <n v="1030.3878782396509"/>
    <n v="0"/>
    <n v="0"/>
    <n v="237.41656180637119"/>
    <n v="1030.3878782396509"/>
    <n v="0"/>
    <n v="0"/>
    <n v="0"/>
    <n v="0"/>
    <n v="0"/>
    <n v="0"/>
    <n v="0"/>
    <n v="0"/>
    <n v="1444.2840843220915"/>
    <n v="6217.1483651695053"/>
    <n v="320"/>
    <n v="1481.0100086586381"/>
    <n v="255"/>
    <n v="1121.7024706626969"/>
    <n v="255"/>
    <n v="1121.7024706626969"/>
    <n v="210"/>
    <n v="923.75497583986817"/>
    <n v="0"/>
    <n v="0"/>
    <n v="255"/>
    <n v="1153.5992233829629"/>
    <n v="0"/>
    <n v="0"/>
    <n v="250"/>
    <n v="1130.9796307676111"/>
    <n v="0"/>
    <n v="0"/>
    <n v="0"/>
    <n v="0"/>
    <n v="0"/>
    <n v="0"/>
    <n v="0"/>
    <n v="0"/>
    <n v="1545"/>
    <n v="6932.748779974474"/>
    <n v="100.71591567790847"/>
    <n v="6.9734144945024334E-2"/>
    <n v="715.60041480496875"/>
    <n v="0.11510106768788017"/>
  </r>
  <r>
    <x v="3"/>
    <s v="ESPAÑA"/>
    <s v="CABRERA MORALES FRANCISCO"/>
    <s v="Consolidado/estratégico"/>
    <s v="CALCIO0005"/>
    <s v="CALCIAMEC, 5 KG"/>
    <n v="5"/>
    <n v="3.664643962848297"/>
    <n v="3.8199542431218139"/>
    <n v="123.65445927415161"/>
    <n v="452.57532094339513"/>
    <n v="494.61783709660659"/>
    <n v="1815.247462144546"/>
    <n v="0"/>
    <n v="0"/>
    <n v="247.3089185483033"/>
    <n v="907.62373107227313"/>
    <n v="732.03439890297784"/>
    <n v="2679.2458999848991"/>
    <n v="0"/>
    <n v="0"/>
    <n v="0"/>
    <n v="0"/>
    <n v="0"/>
    <n v="0"/>
    <n v="0"/>
    <n v="0"/>
    <n v="0"/>
    <n v="0"/>
    <n v="0"/>
    <n v="0"/>
    <n v="0"/>
    <n v="0"/>
    <n v="1597.6156138220394"/>
    <n v="5854.6924141451136"/>
    <n v="135"/>
    <n v="515.03874245371128"/>
    <n v="540"/>
    <n v="2065.783808530186"/>
    <n v="0"/>
    <n v="0"/>
    <n v="270"/>
    <n v="1032.891904265093"/>
    <n v="795"/>
    <n v="3033.005927782966"/>
    <n v="0"/>
    <n v="0"/>
    <n v="0"/>
    <n v="0"/>
    <n v="0"/>
    <n v="0"/>
    <n v="0"/>
    <n v="0"/>
    <n v="0"/>
    <n v="0"/>
    <n v="0"/>
    <n v="0"/>
    <n v="0"/>
    <n v="0"/>
    <n v="1740"/>
    <n v="6646.7203830319559"/>
    <n v="142.38438617796055"/>
    <n v="8.9123056225851927E-2"/>
    <n v="792.02796888684225"/>
    <n v="0.13528088460689733"/>
  </r>
  <r>
    <x v="3"/>
    <s v="ESPAÑA"/>
    <s v="CABRERA MORALES FRANCISCO"/>
    <s v="Consolidado/estratégico"/>
    <s v="CALCIO0020"/>
    <s v="CALCIAMEC, 20 KG"/>
    <n v="20"/>
    <n v="3.5299999999999989"/>
    <n v="3.679592715769278"/>
    <n v="0"/>
    <n v="0"/>
    <n v="0"/>
    <n v="0"/>
    <n v="0"/>
    <n v="0"/>
    <n v="0"/>
    <n v="0"/>
    <n v="791.38853935457064"/>
    <n v="2793.6015439216339"/>
    <n v="0"/>
    <n v="0"/>
    <n v="0"/>
    <n v="0"/>
    <n v="0"/>
    <n v="0"/>
    <n v="0"/>
    <n v="0"/>
    <n v="0"/>
    <n v="0"/>
    <n v="758.39691143871141"/>
    <n v="2677.141097378651"/>
    <n v="0"/>
    <n v="0"/>
    <n v="1549.7854507932821"/>
    <n v="5470.742641300285"/>
    <n v="0"/>
    <n v="0"/>
    <n v="0"/>
    <n v="0"/>
    <n v="0"/>
    <n v="0"/>
    <n v="0"/>
    <n v="0"/>
    <n v="860"/>
    <n v="3164.449735561579"/>
    <n v="0"/>
    <n v="0"/>
    <n v="0"/>
    <n v="0"/>
    <n v="0"/>
    <n v="0"/>
    <n v="0"/>
    <n v="0"/>
    <n v="0"/>
    <n v="0"/>
    <n v="820"/>
    <n v="3017.266026930808"/>
    <n v="0"/>
    <n v="0"/>
    <n v="1680"/>
    <n v="6181.7157624923875"/>
    <n v="130.21454920671795"/>
    <n v="8.402101667689911E-2"/>
    <n v="710.97312119210255"/>
    <n v="0.1299591605396957"/>
  </r>
  <r>
    <x v="3"/>
    <s v="ESPAÑA"/>
    <s v="CABRERA MORALES FRANCISCO"/>
    <s v="Consolidado/estratégico"/>
    <s v="CPLUS0020"/>
    <s v="CALCIPLUS, 20 L"/>
    <n v="20"/>
    <n v="2.2999999999999998"/>
    <n v="2.3974683417193599"/>
    <n v="0"/>
    <n v="0"/>
    <n v="0"/>
    <n v="0"/>
    <n v="0"/>
    <n v="0"/>
    <n v="0"/>
    <n v="0"/>
    <n v="0"/>
    <n v="0"/>
    <n v="0"/>
    <n v="0"/>
    <n v="98.92356741932133"/>
    <n v="227.524205064439"/>
    <n v="0"/>
    <n v="0"/>
    <n v="0"/>
    <n v="0"/>
    <n v="0"/>
    <n v="0"/>
    <n v="0"/>
    <n v="0"/>
    <n v="0"/>
    <n v="0"/>
    <n v="98.92356741932133"/>
    <n v="227.524205064439"/>
    <n v="0"/>
    <n v="0"/>
    <n v="0"/>
    <n v="0"/>
    <n v="0"/>
    <n v="0"/>
    <n v="0"/>
    <n v="0"/>
    <n v="0"/>
    <n v="0"/>
    <n v="0"/>
    <n v="0"/>
    <n v="100"/>
    <n v="239.746834171936"/>
    <n v="0"/>
    <n v="0"/>
    <n v="0"/>
    <n v="0"/>
    <n v="0"/>
    <n v="0"/>
    <n v="0"/>
    <n v="0"/>
    <n v="0"/>
    <n v="0"/>
    <n v="100"/>
    <n v="239.746834171936"/>
    <n v="1.0764325806786701"/>
    <n v="1.0881457359052195E-2"/>
    <n v="12.222629107496999"/>
    <n v="5.3720126630198872E-2"/>
  </r>
  <r>
    <x v="3"/>
    <s v="ESPAÑA"/>
    <s v="CABRERA MORALES FRANCISCO"/>
    <s v="Consolidado/estratégico"/>
    <s v="PT0001"/>
    <s v="AGROPOTASION, 1 L"/>
    <n v="1"/>
    <n v="4.34"/>
    <n v="4.5239185230704448"/>
    <n v="118.7082809031856"/>
    <n v="515.19393911982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.7082809031856"/>
    <n v="515.19393911982536"/>
    <n v="131"/>
    <n v="592.63332652222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592.63332652222823"/>
    <n v="12.291719096814404"/>
    <n v="0.10354559095029865"/>
    <n v="77.439387402402872"/>
    <n v="0.1503111382379671"/>
  </r>
  <r>
    <x v="3"/>
    <s v="ESPAÑA"/>
    <s v="CABRERA MORALES FRANCISCO"/>
    <s v="Consolidado/estratégico"/>
    <s v="SS0005"/>
    <s v="SAL-WAX-Ca sólido, 5 KG"/>
    <n v="5"/>
    <n v="3.830000000000001"/>
    <n v="3.9923059777326739"/>
    <n v="370.96337782245502"/>
    <n v="1450.466807285799"/>
    <n v="494.61783709660659"/>
    <n v="1864.709245854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5.58121491906161"/>
    <n v="3315.1760531400059"/>
    <n v="405"/>
    <n v="1650.656953273779"/>
    <n v="540"/>
    <n v="2122.07219568359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5"/>
    <n v="3772.7291489573759"/>
    <n v="79.418785080938392"/>
    <n v="9.1751973947776413E-2"/>
    <n v="457.55309581736992"/>
    <n v="0.13801773676061438"/>
  </r>
  <r>
    <x v="3"/>
    <s v="ESPAÑA"/>
    <s v="CABRERA MORALES FRANCISCO"/>
    <s v="Consolidado/estratégico"/>
    <s v="SS0005"/>
    <s v="SALWAX-CA, 5 KG"/>
    <n v="5"/>
    <n v="3.8043454044890752"/>
    <n v="3.9655003162708748"/>
    <n v="0"/>
    <n v="0"/>
    <n v="0"/>
    <n v="0"/>
    <n v="0"/>
    <n v="0"/>
    <n v="0"/>
    <n v="0"/>
    <n v="741.92675564490992"/>
    <n v="2797.0638687813098"/>
    <n v="0"/>
    <n v="0"/>
    <n v="741.92675564490992"/>
    <n v="2848.9987416764538"/>
    <n v="4451.5605338694604"/>
    <n v="17093.992450058729"/>
    <n v="0"/>
    <n v="0"/>
    <n v="0"/>
    <n v="0"/>
    <n v="710.99710447379198"/>
    <n v="2545.1886529350372"/>
    <n v="0"/>
    <n v="0"/>
    <n v="6646.4111496330725"/>
    <n v="25285.243713451531"/>
    <n v="0"/>
    <n v="0"/>
    <n v="0"/>
    <n v="0"/>
    <n v="0"/>
    <n v="0"/>
    <n v="0"/>
    <n v="0"/>
    <n v="805"/>
    <n v="3163.4594768986958"/>
    <n v="0"/>
    <n v="0"/>
    <n v="805"/>
    <n v="3222.1974512708198"/>
    <n v="4840"/>
    <n v="19373.212005156231"/>
    <n v="0"/>
    <n v="0"/>
    <n v="0"/>
    <n v="0"/>
    <n v="775"/>
    <n v="2891.8708517313239"/>
    <n v="0"/>
    <n v="0"/>
    <n v="7225"/>
    <n v="28650.739785057071"/>
    <n v="578.58885036692755"/>
    <n v="8.7052822544520084E-2"/>
    <n v="3365.4960716055393"/>
    <n v="0.13310119173639307"/>
  </r>
  <r>
    <x v="3"/>
    <s v="ESPAÑA"/>
    <s v="CABRERA MORALES FRANCISCO"/>
    <s v="Consolidado/estratégico"/>
    <s v="SS0020"/>
    <s v="SAL-WAX-Ca sólido, 20 KG"/>
    <n v="20"/>
    <n v="3.62"/>
    <n v="3.7734066943582971"/>
    <n v="0"/>
    <n v="0"/>
    <n v="296.77070225796399"/>
    <n v="1074.30994217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1074.30994217383"/>
    <n v="0"/>
    <n v="0"/>
    <n v="320"/>
    <n v="1207.4901421946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1207.4901421946549"/>
    <n v="23.22929774203601"/>
    <n v="7.8273554516322341E-2"/>
    <n v="133.18020002082494"/>
    <n v="0.12396813507221137"/>
  </r>
  <r>
    <x v="3"/>
    <s v="ESPAÑA"/>
    <s v="CABRERA MORALES FRANCISCO"/>
    <s v="Consolidado/estratégico"/>
    <s v="SS0020"/>
    <s v="SALWAX-CA, 20 KG"/>
    <n v="20"/>
    <n v="3.4750859921758792"/>
    <n v="3.6223731989132619"/>
    <n v="0"/>
    <n v="0"/>
    <n v="0"/>
    <n v="0"/>
    <n v="0"/>
    <n v="0"/>
    <n v="0"/>
    <n v="0"/>
    <n v="1780.6242135477839"/>
    <n v="6089.7348103334207"/>
    <n v="0"/>
    <n v="0"/>
    <n v="0"/>
    <n v="0"/>
    <n v="791.38853935457064"/>
    <n v="2912.3098248248202"/>
    <n v="0"/>
    <n v="0"/>
    <n v="0"/>
    <n v="0"/>
    <n v="758.39691143871141"/>
    <n v="2571.4153376005679"/>
    <n v="0"/>
    <n v="0"/>
    <n v="3330.4096643410662"/>
    <n v="11573.45997275881"/>
    <n v="0"/>
    <n v="0"/>
    <n v="0"/>
    <n v="0"/>
    <n v="0"/>
    <n v="0"/>
    <n v="0"/>
    <n v="0"/>
    <n v="1940"/>
    <n v="6915.9665015824403"/>
    <n v="0"/>
    <n v="0"/>
    <n v="0"/>
    <n v="0"/>
    <n v="860"/>
    <n v="3298.9164382058389"/>
    <n v="0"/>
    <n v="0"/>
    <n v="0"/>
    <n v="0"/>
    <n v="820"/>
    <n v="2898.1080402777279"/>
    <n v="0"/>
    <n v="0"/>
    <n v="3620"/>
    <n v="13112.990980066008"/>
    <n v="289.59033565893378"/>
    <n v="8.6953367557030037E-2"/>
    <n v="1539.5310073071978"/>
    <n v="0.13302253698815134"/>
  </r>
  <r>
    <x v="3"/>
    <s v="ESPAÑA"/>
    <s v="CODIMED EXPORT, S.L."/>
    <s v="Consolidado/estratégico"/>
    <s v="A-50(2)0005"/>
    <s v="CODIORGAN A-50, 5 KG"/>
    <n v="5"/>
    <n v="4.34"/>
    <n v="4.523918523070444"/>
    <n v="0"/>
    <n v="0"/>
    <n v="0"/>
    <n v="0"/>
    <n v="197.84713483864269"/>
    <n v="858.65656519970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58.65656519970912"/>
    <n v="0"/>
    <n v="0"/>
    <n v="0"/>
    <n v="0"/>
    <n v="250"/>
    <n v="1130.9796307676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1130.9796307676111"/>
    <n v="52.152865161357312"/>
    <n v="0.26360182169881508"/>
    <n v="272.32306556790195"/>
    <n v="0.31715015828774823"/>
  </r>
  <r>
    <x v="3"/>
    <s v="ESPAÑA"/>
    <s v="CODIMED EXPORT, S.L."/>
    <s v="Consolidado/estratégico"/>
    <s v="A-50(2)0005"/>
    <s v="CODIORGAN-A50, 5 KG"/>
    <n v="5"/>
    <n v="4.3839999999999986"/>
    <n v="4.5683036312200871"/>
    <n v="0"/>
    <n v="0"/>
    <n v="0"/>
    <n v="0"/>
    <n v="0"/>
    <n v="0"/>
    <n v="197.84713483864269"/>
    <n v="858.65656519970912"/>
    <n v="49.461783709660658"/>
    <n v="225.54573371605261"/>
    <n v="0"/>
    <n v="0"/>
    <n v="0"/>
    <n v="0"/>
    <n v="0"/>
    <n v="0"/>
    <n v="0"/>
    <n v="0"/>
    <n v="0"/>
    <n v="0"/>
    <n v="0"/>
    <n v="0"/>
    <n v="0"/>
    <n v="0"/>
    <n v="247.30891854830335"/>
    <n v="1084.2022989157617"/>
    <n v="0"/>
    <n v="0"/>
    <n v="0"/>
    <n v="0"/>
    <n v="0"/>
    <n v="0"/>
    <n v="250"/>
    <n v="1130.9796307676111"/>
    <n v="60"/>
    <n v="285.19449491061607"/>
    <n v="0"/>
    <n v="0"/>
    <n v="0"/>
    <n v="0"/>
    <n v="0"/>
    <n v="0"/>
    <n v="0"/>
    <n v="0"/>
    <n v="0"/>
    <n v="0"/>
    <n v="0"/>
    <n v="0"/>
    <n v="0"/>
    <n v="0"/>
    <n v="310"/>
    <n v="1416.174125678227"/>
    <n v="62.691081451696647"/>
    <n v="0.2534930071252246"/>
    <n v="331.9718267624653"/>
    <n v="0.30618993069323697"/>
  </r>
  <r>
    <x v="3"/>
    <s v="ESPAÑA"/>
    <s v="CODIMED EXPORT, S.L."/>
    <s v="Consolidado/estratégico"/>
    <s v="AGFE0001"/>
    <s v="AGROXILATO Fe, 1 KG"/>
    <n v="1"/>
    <n v="9.7799999999999994"/>
    <n v="10.19445234000667"/>
    <n v="0"/>
    <n v="0"/>
    <n v="0"/>
    <n v="0"/>
    <n v="79.138853935457064"/>
    <n v="773.97799148877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773.97799148877004"/>
    <n v="0"/>
    <n v="0"/>
    <n v="0"/>
    <n v="0"/>
    <n v="86"/>
    <n v="876.72290124057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"/>
    <n v="876.72290124057361"/>
    <n v="6.8611460645429361"/>
    <n v="8.6697566660981107E-2"/>
    <n v="102.74490975180356"/>
    <n v="0.13274913612746356"/>
  </r>
  <r>
    <x v="3"/>
    <s v="ESPAÑA"/>
    <s v="CODIMED EXPORT, S.L."/>
    <s v="Consolidado/estratégico"/>
    <s v="AGFEL0001"/>
    <s v="AGROXILATO-FE-L, 1 L"/>
    <n v="1"/>
    <n v="5.29"/>
    <n v="5.5141771859545283"/>
    <n v="0"/>
    <n v="0"/>
    <n v="0"/>
    <n v="0"/>
    <n v="0"/>
    <n v="0"/>
    <n v="0"/>
    <n v="0"/>
    <n v="94.966624722548474"/>
    <n v="502.37344478228141"/>
    <n v="0"/>
    <n v="0"/>
    <n v="0"/>
    <n v="0"/>
    <n v="0"/>
    <n v="0"/>
    <n v="0"/>
    <n v="0"/>
    <n v="0"/>
    <n v="0"/>
    <n v="0"/>
    <n v="0"/>
    <n v="0"/>
    <n v="0"/>
    <n v="94.966624722548474"/>
    <n v="502.37344478228141"/>
    <n v="0"/>
    <n v="0"/>
    <n v="0"/>
    <n v="0"/>
    <n v="0"/>
    <n v="0"/>
    <n v="0"/>
    <n v="0"/>
    <n v="107"/>
    <n v="590.01695889713449"/>
    <n v="0"/>
    <n v="0"/>
    <n v="0"/>
    <n v="0"/>
    <n v="0"/>
    <n v="0"/>
    <n v="0"/>
    <n v="0"/>
    <n v="0"/>
    <n v="0"/>
    <n v="0"/>
    <n v="0"/>
    <n v="0"/>
    <n v="0"/>
    <n v="107"/>
    <n v="590.01695889713449"/>
    <n v="12.033375277451526"/>
    <n v="0.12671162434811029"/>
    <n v="87.643514114853076"/>
    <n v="0.17445889113990892"/>
  </r>
  <r>
    <x v="3"/>
    <s v="ESPAÑA"/>
    <s v="CODIMED EXPORT, S.L."/>
    <s v="Consolidado/estratégico"/>
    <s v="AGRMG0005"/>
    <s v="AGROXIGREEN-MG, 5 L"/>
    <n v="5"/>
    <n v="3.17"/>
    <n v="3.3043368014132048"/>
    <n v="0"/>
    <n v="0"/>
    <n v="0"/>
    <n v="0"/>
    <n v="0"/>
    <n v="0"/>
    <n v="0"/>
    <n v="0"/>
    <n v="296.77070225796399"/>
    <n v="940.76312615774577"/>
    <n v="0"/>
    <n v="0"/>
    <n v="0"/>
    <n v="0"/>
    <n v="0"/>
    <n v="0"/>
    <n v="0"/>
    <n v="0"/>
    <n v="0"/>
    <n v="0"/>
    <n v="0"/>
    <n v="0"/>
    <n v="0"/>
    <n v="0"/>
    <n v="296.77070225796399"/>
    <n v="940.76312615774577"/>
    <n v="0"/>
    <n v="0"/>
    <n v="0"/>
    <n v="0"/>
    <n v="0"/>
    <n v="0"/>
    <n v="0"/>
    <n v="0"/>
    <n v="360"/>
    <n v="1189.561248508754"/>
    <n v="0"/>
    <n v="0"/>
    <n v="0"/>
    <n v="0"/>
    <n v="0"/>
    <n v="0"/>
    <n v="0"/>
    <n v="0"/>
    <n v="0"/>
    <n v="0"/>
    <n v="0"/>
    <n v="0"/>
    <n v="0"/>
    <n v="0"/>
    <n v="360"/>
    <n v="1189.561248508754"/>
    <n v="63.22929774203601"/>
    <n v="0.21305774883086265"/>
    <n v="248.79812235100826"/>
    <n v="0.26446415195623874"/>
  </r>
  <r>
    <x v="3"/>
    <s v="ESPAÑA"/>
    <s v="CODIMED EXPORT, S.L."/>
    <s v="Consolidado/estratégico"/>
    <s v="AGRMGN0020"/>
    <s v="AGROXIGREEN-MG, 20 L"/>
    <n v="20"/>
    <n v="2.8038461538461532"/>
    <n v="2.923028372309453"/>
    <n v="0"/>
    <n v="0"/>
    <n v="0"/>
    <n v="0"/>
    <n v="0"/>
    <n v="0"/>
    <n v="316.55541574182831"/>
    <n v="870.52739329002759"/>
    <n v="197.84713483864269"/>
    <n v="571.77821968367721"/>
    <n v="0"/>
    <n v="0"/>
    <n v="0"/>
    <n v="0"/>
    <n v="0"/>
    <n v="0"/>
    <n v="0"/>
    <n v="0"/>
    <n v="0"/>
    <n v="0"/>
    <n v="0"/>
    <n v="0"/>
    <n v="0"/>
    <n v="0"/>
    <n v="514.40255058047103"/>
    <n v="1442.3056129737047"/>
    <n v="0"/>
    <n v="0"/>
    <n v="0"/>
    <n v="0"/>
    <n v="0"/>
    <n v="0"/>
    <n v="380"/>
    <n v="1089.2845291724921"/>
    <n v="240"/>
    <n v="722.99306165936878"/>
    <n v="0"/>
    <n v="0"/>
    <n v="0"/>
    <n v="0"/>
    <n v="0"/>
    <n v="0"/>
    <n v="0"/>
    <n v="0"/>
    <n v="0"/>
    <n v="0"/>
    <n v="0"/>
    <n v="0"/>
    <n v="0"/>
    <n v="0"/>
    <n v="620"/>
    <n v="1812.2775908318608"/>
    <n v="105.59744941952897"/>
    <n v="0.20528173762040813"/>
    <n v="369.97197785815615"/>
    <n v="0.25651427445765701"/>
  </r>
  <r>
    <x v="3"/>
    <s v="ESPAÑA"/>
    <s v="CODIMED EXPORT, S.L."/>
    <s v="Consolidado/estratégico"/>
    <s v="AGXK0020"/>
    <s v="AGROXILATO-K, 20 L"/>
    <n v="20"/>
    <n v="2.7844444444444441"/>
    <n v="2.9025234975060998"/>
    <n v="0"/>
    <n v="0"/>
    <n v="633.11083148365651"/>
    <n v="1747.3858948948921"/>
    <n v="0"/>
    <n v="0"/>
    <n v="3798.6649889019391"/>
    <n v="10484.315369369349"/>
    <n v="1266.221662967313"/>
    <n v="3634.056172716188"/>
    <n v="0"/>
    <n v="0"/>
    <n v="0"/>
    <n v="0"/>
    <n v="0"/>
    <n v="0"/>
    <n v="0"/>
    <n v="0"/>
    <n v="0"/>
    <n v="0"/>
    <n v="0"/>
    <n v="0"/>
    <n v="0"/>
    <n v="0"/>
    <n v="5697.9974833529086"/>
    <n v="15865.75743698043"/>
    <n v="0"/>
    <n v="0"/>
    <n v="700"/>
    <n v="2013.873407044262"/>
    <n v="0"/>
    <n v="0"/>
    <n v="4180"/>
    <n v="12025.701202064311"/>
    <n v="1400"/>
    <n v="4188.2729552297342"/>
    <n v="0"/>
    <n v="0"/>
    <n v="0"/>
    <n v="0"/>
    <n v="0"/>
    <n v="0"/>
    <n v="0"/>
    <n v="0"/>
    <n v="0"/>
    <n v="0"/>
    <n v="0"/>
    <n v="0"/>
    <n v="0"/>
    <n v="0"/>
    <n v="6280"/>
    <n v="18227.847564338306"/>
    <n v="582.0025166470914"/>
    <n v="0.10214158892618885"/>
    <n v="2362.0901273578766"/>
    <n v="0.14887975797816239"/>
  </r>
  <r>
    <x v="3"/>
    <s v="ESPAÑA"/>
    <s v="CODIMED EXPORT, S.L."/>
    <s v="Consolidado/estratégico"/>
    <s v="AGXK0200"/>
    <s v="AGROXILATO-K, 200 L"/>
    <n v="200"/>
    <n v="2.798"/>
    <n v="2.916572356578595"/>
    <n v="0"/>
    <n v="0"/>
    <n v="0"/>
    <n v="0"/>
    <n v="0"/>
    <n v="0"/>
    <n v="197.84713483864269"/>
    <n v="530.23032136756228"/>
    <n v="197.84713483864269"/>
    <n v="551.99350619981294"/>
    <n v="395.69426967728532"/>
    <n v="1103.9870123996261"/>
    <n v="197.84713483864269"/>
    <n v="581.6705764256094"/>
    <n v="0"/>
    <n v="0"/>
    <n v="0"/>
    <n v="0"/>
    <n v="0"/>
    <n v="0"/>
    <n v="0"/>
    <n v="0"/>
    <n v="0"/>
    <n v="0"/>
    <n v="989.2356741932133"/>
    <n v="2767.8814163926108"/>
    <n v="0"/>
    <n v="0"/>
    <n v="0"/>
    <n v="0"/>
    <n v="0"/>
    <n v="0"/>
    <n v="200"/>
    <n v="558.71436137459864"/>
    <n v="200"/>
    <n v="581.64666725191421"/>
    <n v="400"/>
    <n v="1163.293334503828"/>
    <n v="200"/>
    <n v="612.91799344825381"/>
    <n v="0"/>
    <n v="0"/>
    <n v="0"/>
    <n v="0"/>
    <n v="0"/>
    <n v="0"/>
    <n v="0"/>
    <n v="0"/>
    <n v="0"/>
    <n v="0"/>
    <n v="1000"/>
    <n v="2916.5723565785947"/>
    <n v="10.764325806786701"/>
    <n v="1.0881457359052195E-2"/>
    <n v="148.69094018598389"/>
    <n v="5.3720126630198373E-2"/>
  </r>
  <r>
    <x v="3"/>
    <s v="ESPAÑA"/>
    <s v="CODIMED EXPORT, S.L."/>
    <s v="Consolidado/estratégico"/>
    <s v="AGXK1000"/>
    <s v="AGROXILATO-K, 1000 L"/>
    <n v="1000"/>
    <n v="2.4742017861731931"/>
    <n v="2.5794106032253361"/>
    <n v="0"/>
    <n v="0"/>
    <n v="0"/>
    <n v="0"/>
    <n v="1978.4713483864259"/>
    <n v="4807.6853765790174"/>
    <n v="0"/>
    <n v="0"/>
    <n v="5935.4140451592793"/>
    <n v="15016.59753425298"/>
    <n v="6924.6497193524929"/>
    <n v="16925.822385445881"/>
    <n v="989.23567419321319"/>
    <n v="2502.7662557088302"/>
    <n v="0"/>
    <n v="0"/>
    <n v="0"/>
    <n v="0"/>
    <n v="1895.992278596779"/>
    <n v="4645.1810825621078"/>
    <n v="1895.992278596779"/>
    <n v="4645.1810825621078"/>
    <n v="0"/>
    <n v="0"/>
    <n v="19619.755344284968"/>
    <n v="48543.233717110925"/>
    <n v="0"/>
    <n v="0"/>
    <n v="0"/>
    <n v="0"/>
    <n v="2000"/>
    <n v="5065.954843806996"/>
    <n v="0"/>
    <n v="0"/>
    <n v="7000"/>
    <n v="18460.506231239069"/>
    <n v="8000"/>
    <n v="20368.05712921578"/>
    <n v="1000"/>
    <n v="2637.215175891296"/>
    <n v="0"/>
    <n v="0"/>
    <n v="0"/>
    <n v="0"/>
    <n v="2000"/>
    <n v="5107.649945402115"/>
    <n v="2000"/>
    <n v="5107.649945402115"/>
    <n v="0"/>
    <n v="0"/>
    <n v="22000"/>
    <n v="56747.03327095737"/>
    <n v="2380.2446557150324"/>
    <n v="0.12131877354976157"/>
    <n v="8203.7995538464456"/>
    <n v="0.16899985694514419"/>
  </r>
  <r>
    <x v="3"/>
    <s v="ESPAÑA"/>
    <s v="CODIMED EXPORT, S.L."/>
    <s v="Consolidado/estratégico"/>
    <s v="AGXKAE0020"/>
    <s v="BIOCULTURE POTASIO, 20 L"/>
    <n v="20"/>
    <n v="3.5"/>
    <n v="3.6483213895729398"/>
    <n v="0"/>
    <n v="0"/>
    <n v="0"/>
    <n v="0"/>
    <n v="0"/>
    <n v="0"/>
    <n v="0"/>
    <n v="0"/>
    <n v="98.92356741932133"/>
    <n v="346.23248596762471"/>
    <n v="0"/>
    <n v="0"/>
    <n v="0"/>
    <n v="0"/>
    <n v="0"/>
    <n v="0"/>
    <n v="0"/>
    <n v="0"/>
    <n v="0"/>
    <n v="0"/>
    <n v="0"/>
    <n v="0"/>
    <n v="0"/>
    <n v="0"/>
    <n v="98.92356741932133"/>
    <n v="346.23248596762471"/>
    <n v="0"/>
    <n v="0"/>
    <n v="0"/>
    <n v="0"/>
    <n v="0"/>
    <n v="0"/>
    <n v="0"/>
    <n v="0"/>
    <n v="100"/>
    <n v="364.83213895729398"/>
    <n v="0"/>
    <n v="0"/>
    <n v="0"/>
    <n v="0"/>
    <n v="0"/>
    <n v="0"/>
    <n v="0"/>
    <n v="0"/>
    <n v="0"/>
    <n v="0"/>
    <n v="0"/>
    <n v="0"/>
    <n v="0"/>
    <n v="0"/>
    <n v="100"/>
    <n v="364.83213895729398"/>
    <n v="1.0764325806786701"/>
    <n v="1.0881457359052195E-2"/>
    <n v="18.599652989669266"/>
    <n v="5.3720126630198622E-2"/>
  </r>
  <r>
    <x v="3"/>
    <s v="ESPAÑA"/>
    <s v="CODIMED EXPORT, S.L."/>
    <s v="Consolidado/estratégico"/>
    <s v="AGXKAE1000"/>
    <s v="BIOCULTURE POTASIO, 1000 l"/>
    <n v="1000"/>
    <n v="3.15"/>
    <n v="3.2834892506156459"/>
    <n v="0"/>
    <n v="0"/>
    <n v="0"/>
    <n v="0"/>
    <n v="0"/>
    <n v="0"/>
    <n v="0"/>
    <n v="0"/>
    <n v="989.23567419321319"/>
    <n v="3116.0923737086218"/>
    <n v="0"/>
    <n v="0"/>
    <n v="0"/>
    <n v="0"/>
    <n v="0"/>
    <n v="0"/>
    <n v="0"/>
    <n v="0"/>
    <n v="0"/>
    <n v="0"/>
    <n v="0"/>
    <n v="0"/>
    <n v="0"/>
    <n v="0"/>
    <n v="989.23567419321319"/>
    <n v="3116.0923737086218"/>
    <n v="0"/>
    <n v="0"/>
    <n v="0"/>
    <n v="0"/>
    <n v="0"/>
    <n v="0"/>
    <n v="0"/>
    <n v="0"/>
    <n v="1000"/>
    <n v="3283.4892506156461"/>
    <n v="0"/>
    <n v="0"/>
    <n v="0"/>
    <n v="0"/>
    <n v="0"/>
    <n v="0"/>
    <n v="0"/>
    <n v="0"/>
    <n v="0"/>
    <n v="0"/>
    <n v="0"/>
    <n v="0"/>
    <n v="0"/>
    <n v="0"/>
    <n v="1000"/>
    <n v="3283.4892506156461"/>
    <n v="10.764325806786815"/>
    <n v="1.0881457359052311E-2"/>
    <n v="167.39687690702431"/>
    <n v="5.3720126630198921E-2"/>
  </r>
  <r>
    <x v="3"/>
    <s v="ESPAÑA"/>
    <s v="CODIMED EXPORT, S.L."/>
    <s v="Consolidado/estratégico"/>
    <s v="AGZ-M0005"/>
    <s v="AGROXILATO Zn-Mn, 5 KG"/>
    <n v="5"/>
    <n v="4.7799999999999994"/>
    <n v="4.9825646406167561"/>
    <n v="0"/>
    <n v="0"/>
    <n v="98.92356741932133"/>
    <n v="472.85465226435588"/>
    <n v="49.461783709660658"/>
    <n v="236.427326132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.38535112898199"/>
    <n v="709.28197839653387"/>
    <n v="0"/>
    <n v="0"/>
    <n v="105"/>
    <n v="523.16928726475942"/>
    <n v="55"/>
    <n v="274.04105523392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797.21034249868103"/>
    <n v="11.614648871018005"/>
    <n v="7.8273554516322341E-2"/>
    <n v="87.928364102147157"/>
    <n v="0.12396813507221184"/>
  </r>
  <r>
    <x v="3"/>
    <s v="ESPAÑA"/>
    <s v="CODIMED EXPORT, S.L."/>
    <s v="Consolidado/estratégico"/>
    <s v="AGZNP0005"/>
    <s v="AGROXILATO ZN PLUS, 5 KG"/>
    <n v="5"/>
    <n v="5.6"/>
    <n v="5.837314223316703"/>
    <n v="0"/>
    <n v="0"/>
    <n v="0"/>
    <n v="0"/>
    <n v="24.730891854830329"/>
    <n v="138.49299438704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38.49299438704989"/>
    <n v="0"/>
    <n v="0"/>
    <n v="0"/>
    <n v="0"/>
    <n v="25"/>
    <n v="145.9328555829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45.9328555829176"/>
    <n v="0.26910814516967108"/>
    <n v="1.0881457359052341E-2"/>
    <n v="7.4398611958677066"/>
    <n v="5.3720126630198616E-2"/>
  </r>
  <r>
    <x v="3"/>
    <s v="ESPAÑA"/>
    <s v="CODIMED EXPORT, S.L."/>
    <s v="Consolidado/estratégico"/>
    <s v="AGZNP0005"/>
    <s v="AGROXILATO-ZN PLUS, 5 KG"/>
    <n v="5"/>
    <n v="6.3199999999999994"/>
    <n v="6.5878260520288503"/>
    <n v="0"/>
    <n v="0"/>
    <n v="0"/>
    <n v="0"/>
    <n v="0"/>
    <n v="0"/>
    <n v="0"/>
    <n v="0"/>
    <n v="24.730891854830329"/>
    <n v="156.29923652252771"/>
    <n v="0"/>
    <n v="0"/>
    <n v="0"/>
    <n v="0"/>
    <n v="0"/>
    <n v="0"/>
    <n v="0"/>
    <n v="0"/>
    <n v="0"/>
    <n v="0"/>
    <n v="0"/>
    <n v="0"/>
    <n v="0"/>
    <n v="0"/>
    <n v="24.730891854830329"/>
    <n v="156.29923652252771"/>
    <n v="0"/>
    <n v="0"/>
    <n v="0"/>
    <n v="0"/>
    <n v="0"/>
    <n v="0"/>
    <n v="0"/>
    <n v="0"/>
    <n v="25"/>
    <n v="164.69565130072129"/>
    <n v="0"/>
    <n v="0"/>
    <n v="0"/>
    <n v="0"/>
    <n v="0"/>
    <n v="0"/>
    <n v="0"/>
    <n v="0"/>
    <n v="0"/>
    <n v="0"/>
    <n v="0"/>
    <n v="0"/>
    <n v="0"/>
    <n v="0"/>
    <n v="25"/>
    <n v="164.69565130072129"/>
    <n v="0.26910814516967108"/>
    <n v="1.0881457359052341E-2"/>
    <n v="8.3964147781935878"/>
    <n v="5.3720126630198838E-2"/>
  </r>
  <r>
    <x v="3"/>
    <s v="ESPAÑA"/>
    <s v="CODIMED EXPORT, S.L."/>
    <s v="Consolidado/estratégico"/>
    <s v="AN0020"/>
    <s v="ALCAPLANT NEW, 20 KG"/>
    <n v="20"/>
    <n v="1.5129938271604939"/>
    <n v="1.5771053577785701"/>
    <n v="0"/>
    <n v="0"/>
    <n v="1088.159241612535"/>
    <n v="1632.238862418802"/>
    <n v="6528.9554496752071"/>
    <n v="9793.4331745128111"/>
    <n v="13057.910899350411"/>
    <n v="19434.524055199869"/>
    <n v="9199.8917699968824"/>
    <n v="14259.83224349517"/>
    <n v="1088.159241612535"/>
    <n v="1686.646824499428"/>
    <n v="1088.159241612535"/>
    <n v="1686.646824499428"/>
    <n v="0"/>
    <n v="0"/>
    <n v="0"/>
    <n v="0"/>
    <n v="1042.795753228228"/>
    <n v="1577.7435376234871"/>
    <n v="2085.591506456457"/>
    <n v="3155.4870752469742"/>
    <n v="0"/>
    <n v="0"/>
    <n v="35179.623103544793"/>
    <n v="53226.55259749596"/>
    <n v="0"/>
    <n v="0"/>
    <n v="1200"/>
    <n v="1876.279571780369"/>
    <n v="7200"/>
    <n v="11257.67743068221"/>
    <n v="14400"/>
    <n v="22340.23543466493"/>
    <n v="10140"/>
    <n v="16383.047794262249"/>
    <n v="1200"/>
    <n v="1938.822224173048"/>
    <n v="1200"/>
    <n v="1938.822224173048"/>
    <n v="0"/>
    <n v="0"/>
    <n v="0"/>
    <n v="0"/>
    <n v="1140"/>
    <n v="1797.9062930829871"/>
    <n v="2300"/>
    <n v="3627.3548018340971"/>
    <n v="0"/>
    <n v="0"/>
    <n v="38780"/>
    <n v="61160.145774652941"/>
    <n v="3600.3768964552073"/>
    <n v="0.10234267962047677"/>
    <n v="7933.5931771569813"/>
    <n v="0.14905329746135421"/>
  </r>
  <r>
    <x v="3"/>
    <s v="ESPAÑA"/>
    <s v="CODIMED EXPORT, S.L."/>
    <s v="Consolidado/estratégico"/>
    <s v="B0005"/>
    <s v="BOROCAL, 5 L"/>
    <n v="5"/>
    <n v="2.875"/>
    <n v="2.9972437317155118"/>
    <n v="0"/>
    <n v="0"/>
    <n v="0"/>
    <n v="0"/>
    <n v="0"/>
    <n v="0"/>
    <n v="296.77070225796399"/>
    <n v="676.63720114815783"/>
    <n v="98.92356741932133"/>
    <n v="309.63076602247583"/>
    <n v="296.77070225796399"/>
    <n v="928.89229806742719"/>
    <n v="296.77070225796399"/>
    <n v="928.89229806742719"/>
    <n v="0"/>
    <n v="0"/>
    <n v="0"/>
    <n v="0"/>
    <n v="0"/>
    <n v="0"/>
    <n v="0"/>
    <n v="0"/>
    <n v="0"/>
    <n v="0"/>
    <n v="989.2356741932133"/>
    <n v="2844.0525633054881"/>
    <n v="0"/>
    <n v="0"/>
    <n v="0"/>
    <n v="0"/>
    <n v="0"/>
    <n v="0"/>
    <n v="325"/>
    <n v="772.40175704958517"/>
    <n v="110"/>
    <n v="358.89058697998951"/>
    <n v="325"/>
    <n v="1060.3585524408779"/>
    <n v="325"/>
    <n v="1060.3585524408779"/>
    <n v="0"/>
    <n v="0"/>
    <n v="0"/>
    <n v="0"/>
    <n v="0"/>
    <n v="0"/>
    <n v="0"/>
    <n v="0"/>
    <n v="0"/>
    <n v="0"/>
    <n v="1085"/>
    <n v="3252.0094489113308"/>
    <n v="95.764325806786701"/>
    <n v="9.6806381234571637E-2"/>
    <n v="407.95688560584267"/>
    <n v="0.14344210471683283"/>
  </r>
  <r>
    <x v="3"/>
    <s v="ESPAÑA"/>
    <s v="CODIMED EXPORT, S.L."/>
    <s v="Consolidado/estratégico"/>
    <s v="B0020"/>
    <s v="BOROCAL, 20 L"/>
    <n v="20"/>
    <n v="2.68"/>
    <n v="2.7935718068729929"/>
    <n v="0"/>
    <n v="0"/>
    <n v="633.11083148365651"/>
    <n v="1696.7370283761991"/>
    <n v="197.84713483864269"/>
    <n v="530.23032136756228"/>
    <n v="633.11083148365651"/>
    <n v="1696.7370283761991"/>
    <n v="0"/>
    <n v="0"/>
    <n v="0"/>
    <n v="0"/>
    <n v="0"/>
    <n v="0"/>
    <n v="0"/>
    <n v="0"/>
    <n v="0"/>
    <n v="0"/>
    <n v="606.7175291509692"/>
    <n v="1626.0029781245969"/>
    <n v="0"/>
    <n v="0"/>
    <n v="0"/>
    <n v="0"/>
    <n v="2070.7863269569248"/>
    <n v="5549.7073562445576"/>
    <n v="0"/>
    <n v="0"/>
    <n v="680"/>
    <n v="1899.6288286736351"/>
    <n v="220"/>
    <n v="614.58579751205843"/>
    <n v="680"/>
    <n v="1899.6288286736351"/>
    <n v="0"/>
    <n v="0"/>
    <n v="0"/>
    <n v="0"/>
    <n v="0"/>
    <n v="0"/>
    <n v="0"/>
    <n v="0"/>
    <n v="0"/>
    <n v="0"/>
    <n v="660"/>
    <n v="1843.757392536176"/>
    <n v="0"/>
    <n v="0"/>
    <n v="0"/>
    <n v="0"/>
    <n v="2240"/>
    <n v="6257.6008473955044"/>
    <n v="169.21367304307523"/>
    <n v="8.1714694964081208E-2"/>
    <n v="707.89349115094683"/>
    <n v="0.12755510258652136"/>
  </r>
  <r>
    <x v="3"/>
    <s v="ESPAÑA"/>
    <s v="CODIMED EXPORT, S.L."/>
    <s v="Consolidado/estratégico"/>
    <s v="B0200"/>
    <s v="BOROCAL, 200 L"/>
    <n v="200"/>
    <n v="2.71"/>
    <n v="2.8248431330693329"/>
    <n v="0"/>
    <n v="0"/>
    <n v="0"/>
    <n v="0"/>
    <n v="0"/>
    <n v="0"/>
    <n v="0"/>
    <n v="0"/>
    <n v="197.84713483864269"/>
    <n v="536.16573541272157"/>
    <n v="0"/>
    <n v="0"/>
    <n v="0"/>
    <n v="0"/>
    <n v="0"/>
    <n v="0"/>
    <n v="0"/>
    <n v="0"/>
    <n v="0"/>
    <n v="0"/>
    <n v="0"/>
    <n v="0"/>
    <n v="0"/>
    <n v="0"/>
    <n v="197.84713483864269"/>
    <n v="536.16573541272157"/>
    <n v="0"/>
    <n v="0"/>
    <n v="0"/>
    <n v="0"/>
    <n v="0"/>
    <n v="0"/>
    <n v="0"/>
    <n v="0"/>
    <n v="200"/>
    <n v="564.9686266138666"/>
    <n v="0"/>
    <n v="0"/>
    <n v="0"/>
    <n v="0"/>
    <n v="0"/>
    <n v="0"/>
    <n v="0"/>
    <n v="0"/>
    <n v="0"/>
    <n v="0"/>
    <n v="0"/>
    <n v="0"/>
    <n v="0"/>
    <n v="0"/>
    <n v="200"/>
    <n v="564.9686266138666"/>
    <n v="2.1528651613573118"/>
    <n v="1.0881457359052051E-2"/>
    <n v="28.80289120114503"/>
    <n v="5.3720126630198727E-2"/>
  </r>
  <r>
    <x v="3"/>
    <s v="ESPAÑA"/>
    <s v="CODIMED EXPORT, S.L."/>
    <s v="Consolidado/estratégico"/>
    <s v="B1000"/>
    <s v="BOROCAL, 1000 L"/>
    <n v="1000"/>
    <n v="2.4900000000000002"/>
    <n v="2.5955200742961768"/>
    <n v="0"/>
    <n v="0"/>
    <n v="0"/>
    <n v="0"/>
    <n v="0"/>
    <n v="0"/>
    <n v="0"/>
    <n v="0"/>
    <n v="0"/>
    <n v="0"/>
    <n v="0"/>
    <n v="0"/>
    <n v="989.23567419321319"/>
    <n v="2463.1968287411009"/>
    <n v="0"/>
    <n v="0"/>
    <n v="0"/>
    <n v="0"/>
    <n v="0"/>
    <n v="0"/>
    <n v="0"/>
    <n v="0"/>
    <n v="0"/>
    <n v="0"/>
    <n v="989.23567419321319"/>
    <n v="2463.1968287411009"/>
    <n v="0"/>
    <n v="0"/>
    <n v="0"/>
    <n v="0"/>
    <n v="0"/>
    <n v="0"/>
    <n v="0"/>
    <n v="0"/>
    <n v="0"/>
    <n v="0"/>
    <n v="0"/>
    <n v="0"/>
    <n v="1000"/>
    <n v="2595.520074296177"/>
    <n v="0"/>
    <n v="0"/>
    <n v="0"/>
    <n v="0"/>
    <n v="0"/>
    <n v="0"/>
    <n v="0"/>
    <n v="0"/>
    <n v="0"/>
    <n v="0"/>
    <n v="1000"/>
    <n v="2595.520074296177"/>
    <n v="10.764325806786815"/>
    <n v="1.0881457359052311E-2"/>
    <n v="132.32324555507603"/>
    <n v="5.3720126630198789E-2"/>
  </r>
  <r>
    <x v="3"/>
    <s v="ESPAÑA"/>
    <s v="CODIMED EXPORT, S.L."/>
    <s v="Consolidado/estratégico"/>
    <s v="BIO0020"/>
    <s v="BIORAD-20, 20 L"/>
    <n v="20"/>
    <n v="2.1848648648648652"/>
    <n v="2.2774618398543192"/>
    <n v="0"/>
    <n v="0"/>
    <n v="0"/>
    <n v="0"/>
    <n v="633.11083148365651"/>
    <n v="1361.188287689861"/>
    <n v="830.95796632229917"/>
    <n v="1782.6026848961701"/>
    <n v="732.03439890297784"/>
    <n v="1654.3977415207301"/>
    <n v="0"/>
    <n v="0"/>
    <n v="0"/>
    <n v="0"/>
    <n v="0"/>
    <n v="0"/>
    <n v="0"/>
    <n v="0"/>
    <n v="0"/>
    <n v="0"/>
    <n v="0"/>
    <n v="0"/>
    <n v="0"/>
    <n v="0"/>
    <n v="2196.1031967089334"/>
    <n v="4798.1887141067609"/>
    <n v="0"/>
    <n v="0"/>
    <n v="0"/>
    <n v="0"/>
    <n v="800"/>
    <n v="1792.8893685901301"/>
    <n v="1040"/>
    <n v="2325.593928493488"/>
    <n v="920"/>
    <n v="2167.311380914301"/>
    <n v="0"/>
    <n v="0"/>
    <n v="0"/>
    <n v="0"/>
    <n v="0"/>
    <n v="0"/>
    <n v="0"/>
    <n v="0"/>
    <n v="0"/>
    <n v="0"/>
    <n v="0"/>
    <n v="0"/>
    <n v="0"/>
    <n v="0"/>
    <n v="2760"/>
    <n v="6285.7946779979193"/>
    <n v="563.89680329106659"/>
    <n v="0.25677154158152443"/>
    <n v="1487.6059638911584"/>
    <n v="0.31003490119460497"/>
  </r>
  <r>
    <x v="3"/>
    <s v="ESPAÑA"/>
    <s v="CODIMED EXPORT, S.L."/>
    <s v="Consolidado/estratégico"/>
    <s v="BIO0200"/>
    <s v="BIORAD-20, 200 L"/>
    <n v="200"/>
    <n v="2.17"/>
    <n v="2.261959261535222"/>
    <n v="0"/>
    <n v="0"/>
    <n v="0"/>
    <n v="0"/>
    <n v="0"/>
    <n v="0"/>
    <n v="0"/>
    <n v="0"/>
    <n v="197.84713483864269"/>
    <n v="429.32828259985462"/>
    <n v="0"/>
    <n v="0"/>
    <n v="0"/>
    <n v="0"/>
    <n v="0"/>
    <n v="0"/>
    <n v="0"/>
    <n v="0"/>
    <n v="0"/>
    <n v="0"/>
    <n v="0"/>
    <n v="0"/>
    <n v="0"/>
    <n v="0"/>
    <n v="197.84713483864269"/>
    <n v="429.32828259985462"/>
    <n v="0"/>
    <n v="0"/>
    <n v="0"/>
    <n v="0"/>
    <n v="0"/>
    <n v="0"/>
    <n v="0"/>
    <n v="0"/>
    <n v="200"/>
    <n v="452.39185230704447"/>
    <n v="0"/>
    <n v="0"/>
    <n v="0"/>
    <n v="0"/>
    <n v="0"/>
    <n v="0"/>
    <n v="0"/>
    <n v="0"/>
    <n v="0"/>
    <n v="0"/>
    <n v="0"/>
    <n v="0"/>
    <n v="0"/>
    <n v="0"/>
    <n v="200"/>
    <n v="452.39185230704447"/>
    <n v="2.1528651613573118"/>
    <n v="1.0881457359052051E-2"/>
    <n v="23.063569707189856"/>
    <n v="5.3720126630198546E-2"/>
  </r>
  <r>
    <x v="3"/>
    <s v="ESPAÑA"/>
    <s v="CODIMED EXPORT, S.L."/>
    <s v="Consolidado/estratégico"/>
    <s v="BIO1000"/>
    <s v="BIORAD-20, 1000 L"/>
    <n v="1000"/>
    <n v="2.0099999999999998"/>
    <n v="2.095178855154745"/>
    <n v="0"/>
    <n v="0"/>
    <n v="0"/>
    <n v="0"/>
    <n v="0"/>
    <n v="0"/>
    <n v="0"/>
    <n v="0"/>
    <n v="0"/>
    <n v="0"/>
    <n v="989.23567419321319"/>
    <n v="1988.363705128359"/>
    <n v="0"/>
    <n v="0"/>
    <n v="0"/>
    <n v="0"/>
    <n v="0"/>
    <n v="0"/>
    <n v="947.99613929838938"/>
    <n v="1905.4722399897621"/>
    <n v="0"/>
    <n v="0"/>
    <n v="0"/>
    <n v="0"/>
    <n v="1937.2318134916027"/>
    <n v="3893.8359451181213"/>
    <n v="0"/>
    <n v="0"/>
    <n v="0"/>
    <n v="0"/>
    <n v="0"/>
    <n v="0"/>
    <n v="0"/>
    <n v="0"/>
    <n v="0"/>
    <n v="0"/>
    <n v="1000"/>
    <n v="2095.1788551547452"/>
    <n v="0"/>
    <n v="0"/>
    <n v="0"/>
    <n v="0"/>
    <n v="0"/>
    <n v="0"/>
    <n v="1000"/>
    <n v="2095.1788551547452"/>
    <n v="0"/>
    <n v="0"/>
    <n v="0"/>
    <n v="0"/>
    <n v="2000"/>
    <n v="4190.3577103094904"/>
    <n v="62.768186508397321"/>
    <n v="3.2400968263713373E-2"/>
    <n v="296.52176519136901"/>
    <n v="7.6151581466376822E-2"/>
  </r>
  <r>
    <x v="3"/>
    <s v="ESPAÑA"/>
    <s v="CODIMED EXPORT, S.L."/>
    <s v="Consolidado/estratégico"/>
    <s v="BPLUS20005"/>
    <s v="BOROCAL PLUS, 5 KG"/>
    <n v="5"/>
    <n v="4.3334482758620689"/>
    <n v="4.5171363871539301"/>
    <n v="0"/>
    <n v="0"/>
    <n v="0"/>
    <n v="0"/>
    <n v="593.54140451592798"/>
    <n v="2481.0030708765789"/>
    <n v="197.84713483864269"/>
    <n v="890.31210677389186"/>
    <n v="247.3089185483033"/>
    <n v="1085.686152427051"/>
    <n v="197.84713483864269"/>
    <n v="890.31210677389186"/>
    <n v="197.84713483864269"/>
    <n v="868.5489219416412"/>
    <n v="0"/>
    <n v="0"/>
    <n v="0"/>
    <n v="0"/>
    <n v="0"/>
    <n v="0"/>
    <n v="0"/>
    <n v="0"/>
    <n v="0"/>
    <n v="0"/>
    <n v="1434.3917275801593"/>
    <n v="6215.8623587930551"/>
    <n v="0"/>
    <n v="0"/>
    <n v="0"/>
    <n v="0"/>
    <n v="645"/>
    <n v="2810.354085265029"/>
    <n v="215"/>
    <n v="1008.500269831948"/>
    <n v="270"/>
    <n v="1235.5300980173729"/>
    <n v="215"/>
    <n v="1008.500269831948"/>
    <n v="215"/>
    <n v="983.84804101383395"/>
    <n v="0"/>
    <n v="0"/>
    <n v="0"/>
    <n v="0"/>
    <n v="0"/>
    <n v="0"/>
    <n v="0"/>
    <n v="0"/>
    <n v="0"/>
    <n v="0"/>
    <n v="1560"/>
    <n v="7046.7327639601308"/>
    <n v="125.60827241984066"/>
    <n v="8.7569016193187146E-2"/>
    <n v="830.87040516707566"/>
    <n v="0.1336693699453807"/>
  </r>
  <r>
    <x v="3"/>
    <s v="ESPAÑA"/>
    <s v="CODIMED EXPORT, S.L."/>
    <s v="Consolidado/estratégico"/>
    <s v="BR-590005"/>
    <s v="BR-59, 5 KG"/>
    <n v="5"/>
    <n v="2.0063636363636359"/>
    <n v="2.0914871013676768"/>
    <n v="0"/>
    <n v="0"/>
    <n v="158.2777078709141"/>
    <n v="319.72096989924648"/>
    <n v="0"/>
    <n v="0"/>
    <n v="59.354140451592791"/>
    <n v="116.9276566896378"/>
    <n v="0"/>
    <n v="0"/>
    <n v="0"/>
    <n v="0"/>
    <n v="0"/>
    <n v="0"/>
    <n v="0"/>
    <n v="0"/>
    <n v="0"/>
    <n v="0"/>
    <n v="0"/>
    <n v="0"/>
    <n v="0"/>
    <n v="0"/>
    <n v="0"/>
    <n v="0"/>
    <n v="217.6318483225069"/>
    <n v="436.64862658888427"/>
    <n v="0"/>
    <n v="0"/>
    <n v="175"/>
    <n v="368.48046034686678"/>
    <n v="0"/>
    <n v="0"/>
    <n v="65"/>
    <n v="133.4764439813757"/>
    <n v="0"/>
    <n v="0"/>
    <n v="0"/>
    <n v="0"/>
    <n v="0"/>
    <n v="0"/>
    <n v="0"/>
    <n v="0"/>
    <n v="0"/>
    <n v="0"/>
    <n v="0"/>
    <n v="0"/>
    <n v="0"/>
    <n v="0"/>
    <n v="0"/>
    <n v="0"/>
    <n v="240"/>
    <n v="501.95690432824244"/>
    <n v="22.368151677493103"/>
    <n v="0.10277977166442072"/>
    <n v="65.308277739358175"/>
    <n v="0.14956712047750828"/>
  </r>
  <r>
    <x v="3"/>
    <s v="ESPAÑA"/>
    <s v="CODIMED EXPORT, S.L."/>
    <s v="Consolidado/estratégico"/>
    <s v="BROTA0005"/>
    <s v="BROTAMEC, 5 L"/>
    <n v="5"/>
    <n v="2.87"/>
    <n v="2.9916235394498099"/>
    <n v="0"/>
    <n v="0"/>
    <n v="296.77070225796399"/>
    <n v="851.73191548035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.77070225796399"/>
    <n v="851.73191548035663"/>
    <n v="0"/>
    <n v="0"/>
    <n v="325"/>
    <n v="972.27765032118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"/>
    <n v="972.27765032118828"/>
    <n v="28.22929774203601"/>
    <n v="9.5121578805639873E-2"/>
    <n v="120.54573484083164"/>
    <n v="0.14153013718271518"/>
  </r>
  <r>
    <x v="3"/>
    <s v="ESPAÑA"/>
    <s v="CODIMED EXPORT, S.L."/>
    <s v="Consolidado/estratégico"/>
    <s v="BROTA0020"/>
    <s v="BROTAMEC, 20 L"/>
    <n v="20"/>
    <n v="2.58"/>
    <n v="2.689334052885195"/>
    <n v="0"/>
    <n v="0"/>
    <n v="0"/>
    <n v="0"/>
    <n v="0"/>
    <n v="0"/>
    <n v="98.92356741932133"/>
    <n v="255.2228039418490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55.22280394184901"/>
    <n v="0"/>
    <n v="0"/>
    <n v="0"/>
    <n v="0"/>
    <n v="0"/>
    <n v="0"/>
    <n v="100"/>
    <n v="268.93340528851951"/>
    <n v="0"/>
    <n v="0"/>
    <n v="0"/>
    <n v="0"/>
    <n v="0"/>
    <n v="0"/>
    <n v="0"/>
    <n v="0"/>
    <n v="0"/>
    <n v="0"/>
    <n v="0"/>
    <n v="0"/>
    <n v="0"/>
    <n v="0"/>
    <n v="0"/>
    <n v="0"/>
    <n v="100"/>
    <n v="268.93340528851951"/>
    <n v="1.0764325806786701"/>
    <n v="1.0881457359052195E-2"/>
    <n v="13.710601346670501"/>
    <n v="5.3720126630198685E-2"/>
  </r>
  <r>
    <x v="3"/>
    <s v="ESPAÑA"/>
    <s v="CODIMED EXPORT, S.L."/>
    <s v="Consolidado/estratégico"/>
    <s v="C-CU0005"/>
    <s v="CODICOBRE, 5 L"/>
    <n v="5"/>
    <n v="3.629999999999999"/>
    <n v="3.784792664409272"/>
    <n v="0"/>
    <n v="0"/>
    <n v="0"/>
    <n v="0"/>
    <n v="0"/>
    <n v="0"/>
    <n v="197.84713483864269"/>
    <n v="706.31427137395428"/>
    <n v="98.92356741932133"/>
    <n v="370.96337782245502"/>
    <n v="0"/>
    <n v="0"/>
    <n v="0"/>
    <n v="0"/>
    <n v="0"/>
    <n v="0"/>
    <n v="0"/>
    <n v="0"/>
    <n v="0"/>
    <n v="0"/>
    <n v="0"/>
    <n v="0"/>
    <n v="0"/>
    <n v="0"/>
    <n v="296.77070225796399"/>
    <n v="1077.2776491964094"/>
    <n v="0"/>
    <n v="0"/>
    <n v="0"/>
    <n v="0"/>
    <n v="0"/>
    <n v="0"/>
    <n v="215"/>
    <n v="800.07688073334566"/>
    <n v="110"/>
    <n v="429.98073519966778"/>
    <n v="0"/>
    <n v="0"/>
    <n v="0"/>
    <n v="0"/>
    <n v="0"/>
    <n v="0"/>
    <n v="0"/>
    <n v="0"/>
    <n v="0"/>
    <n v="0"/>
    <n v="0"/>
    <n v="0"/>
    <n v="0"/>
    <n v="0"/>
    <n v="325"/>
    <n v="1230.0576159330135"/>
    <n v="28.22929774203601"/>
    <n v="9.5121578805639873E-2"/>
    <n v="152.77996673660414"/>
    <n v="0.14182041820933508"/>
  </r>
  <r>
    <x v="3"/>
    <s v="ESPAÑA"/>
    <s v="CODIMED EXPORT, S.L."/>
    <s v="Consolidado/estratégico"/>
    <s v="C-CU0020"/>
    <s v="CODICOBRE, 20 L"/>
    <n v="20"/>
    <n v="3.49"/>
    <n v="3.6378976141741588"/>
    <n v="0"/>
    <n v="0"/>
    <n v="0"/>
    <n v="0"/>
    <n v="0"/>
    <n v="0"/>
    <n v="0"/>
    <n v="0"/>
    <n v="98.92356741932133"/>
    <n v="345.2432502934314"/>
    <n v="0"/>
    <n v="0"/>
    <n v="0"/>
    <n v="0"/>
    <n v="791.38853935457064"/>
    <n v="2761.9460023474512"/>
    <n v="0"/>
    <n v="0"/>
    <n v="606.7175291509692"/>
    <n v="2117.444176736883"/>
    <n v="0"/>
    <n v="0"/>
    <n v="0"/>
    <n v="0"/>
    <n v="1497.0296359248612"/>
    <n v="5224.6334293777654"/>
    <n v="0"/>
    <n v="0"/>
    <n v="0"/>
    <n v="0"/>
    <n v="0"/>
    <n v="0"/>
    <n v="0"/>
    <n v="0"/>
    <n v="100"/>
    <n v="363.78976141741589"/>
    <n v="0"/>
    <n v="0"/>
    <n v="0"/>
    <n v="0"/>
    <n v="860"/>
    <n v="3128.5919481897772"/>
    <n v="0"/>
    <n v="0"/>
    <n v="660"/>
    <n v="2401.0124253549452"/>
    <n v="0"/>
    <n v="0"/>
    <n v="0"/>
    <n v="0"/>
    <n v="1620"/>
    <n v="5893.3941349621382"/>
    <n v="122.97036407513883"/>
    <n v="8.2142905607321556E-2"/>
    <n v="668.76070558437277"/>
    <n v="0.12800145974337182"/>
  </r>
  <r>
    <x v="3"/>
    <s v="ESPAÑA"/>
    <s v="CODIMED EXPORT, S.L."/>
    <s v="Consolidado/estratégico"/>
    <s v="C-CU1000"/>
    <s v="CODICOBRE, 1000 L"/>
    <n v="1000"/>
    <n v="3.06"/>
    <n v="3.1896752720266268"/>
    <n v="0"/>
    <n v="0"/>
    <n v="989.23567419321319"/>
    <n v="3027.0611630312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3027.0611630312319"/>
    <n v="0"/>
    <n v="0"/>
    <n v="1000"/>
    <n v="3189.6752720266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189.6752720266272"/>
    <n v="10.764325806786815"/>
    <n v="1.0881457359052311E-2"/>
    <n v="162.61410899539533"/>
    <n v="5.3720126630199032E-2"/>
  </r>
  <r>
    <x v="3"/>
    <s v="ESPAÑA"/>
    <s v="CODIMED EXPORT, S.L."/>
    <s v="Consolidado/estratégico"/>
    <s v="C-CUAE0005"/>
    <s v="CUPRAMEC, 5 L"/>
    <n v="5"/>
    <n v="3.93"/>
    <n v="4.0965437317204714"/>
    <n v="0"/>
    <n v="0"/>
    <n v="39.569426967728532"/>
    <n v="155.50784798317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155.50784798317309"/>
    <n v="0"/>
    <n v="0"/>
    <n v="50"/>
    <n v="204.8271865860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204.8271865860236"/>
    <n v="10.430573032271468"/>
    <n v="0.26360182169881524"/>
    <n v="49.319338602850507"/>
    <n v="0.31715015828774867"/>
  </r>
  <r>
    <x v="3"/>
    <s v="ESPAÑA"/>
    <s v="CODIMED EXPORT, S.L."/>
    <s v="Consolidado/estratégico"/>
    <s v="C-GLB0001"/>
    <s v="CODIORGAN GLB, 1 KG"/>
    <n v="1"/>
    <n v="7.77"/>
    <n v="8.0992734848519277"/>
    <n v="0"/>
    <n v="0"/>
    <n v="0"/>
    <n v="0"/>
    <n v="0"/>
    <n v="0"/>
    <n v="0"/>
    <n v="0"/>
    <n v="59.354140451592791"/>
    <n v="461.18167130887599"/>
    <n v="0"/>
    <n v="0"/>
    <n v="0"/>
    <n v="0"/>
    <n v="0"/>
    <n v="0"/>
    <n v="0"/>
    <n v="0"/>
    <n v="0"/>
    <n v="0"/>
    <n v="0"/>
    <n v="0"/>
    <n v="0"/>
    <n v="0"/>
    <n v="59.354140451592791"/>
    <n v="461.18167130887599"/>
    <n v="0"/>
    <n v="0"/>
    <n v="0"/>
    <n v="0"/>
    <n v="0"/>
    <n v="0"/>
    <n v="0"/>
    <n v="0"/>
    <n v="72"/>
    <n v="583.14769090933873"/>
    <n v="0"/>
    <n v="0"/>
    <n v="0"/>
    <n v="0"/>
    <n v="0"/>
    <n v="0"/>
    <n v="0"/>
    <n v="0"/>
    <n v="0"/>
    <n v="0"/>
    <n v="0"/>
    <n v="0"/>
    <n v="0"/>
    <n v="0"/>
    <n v="72"/>
    <n v="583.14769090933873"/>
    <n v="12.645859548407209"/>
    <n v="0.21305774883086279"/>
    <n v="121.96601960046274"/>
    <n v="0.26446415195623879"/>
  </r>
  <r>
    <x v="3"/>
    <s v="ESPAÑA"/>
    <s v="CODIMED EXPORT, S.L."/>
    <s v="Consolidado/estratégico"/>
    <s v="C-L0005"/>
    <s v="CODIBOR-L, 5 L"/>
    <n v="5"/>
    <n v="4.0799999999999992"/>
    <n v="4.2529003627021682"/>
    <n v="0"/>
    <n v="0"/>
    <n v="395.69426967728532"/>
    <n v="1614.432620283324"/>
    <n v="296.77070225796399"/>
    <n v="1210.8244652124929"/>
    <n v="0"/>
    <n v="0"/>
    <n v="0"/>
    <n v="0"/>
    <n v="0"/>
    <n v="0"/>
    <n v="0"/>
    <n v="0"/>
    <n v="0"/>
    <n v="0"/>
    <n v="189.59922785967791"/>
    <n v="773.56484966748565"/>
    <n v="0"/>
    <n v="0"/>
    <n v="0"/>
    <n v="0"/>
    <n v="0"/>
    <n v="0"/>
    <n v="882.06419979492716"/>
    <n v="3598.8219351633024"/>
    <n v="0"/>
    <n v="0"/>
    <n v="425"/>
    <n v="1807.4826541484219"/>
    <n v="320"/>
    <n v="1360.928116064694"/>
    <n v="0"/>
    <n v="0"/>
    <n v="0"/>
    <n v="0"/>
    <n v="0"/>
    <n v="0"/>
    <n v="0"/>
    <n v="0"/>
    <n v="0"/>
    <n v="0"/>
    <n v="205"/>
    <n v="871.84457435394461"/>
    <n v="0"/>
    <n v="0"/>
    <n v="0"/>
    <n v="0"/>
    <n v="0"/>
    <n v="0"/>
    <n v="950"/>
    <n v="4040.2553445670605"/>
    <n v="67.935800205072837"/>
    <n v="7.701911065075237E-2"/>
    <n v="441.43340940375811"/>
    <n v="0.1226605309617041"/>
  </r>
  <r>
    <x v="3"/>
    <s v="ESPAÑA"/>
    <s v="CODIMED EXPORT, S.L."/>
    <s v="Consolidado/estratégico"/>
    <s v="C-L0020"/>
    <s v="CODIBOR-L, 20 L"/>
    <n v="20"/>
    <n v="3.8299999999999992"/>
    <n v="3.992305977732673"/>
    <n v="0"/>
    <n v="0"/>
    <n v="534.18726406433518"/>
    <n v="2045.937221366403"/>
    <n v="0"/>
    <n v="0"/>
    <n v="0"/>
    <n v="0"/>
    <n v="0"/>
    <n v="0"/>
    <n v="0"/>
    <n v="0"/>
    <n v="0"/>
    <n v="0"/>
    <n v="0"/>
    <n v="0"/>
    <n v="606.7175291509692"/>
    <n v="2323.7281366482121"/>
    <n v="0"/>
    <n v="0"/>
    <n v="0"/>
    <n v="0"/>
    <n v="0"/>
    <n v="0"/>
    <n v="1140.9047932153044"/>
    <n v="4369.6653580146149"/>
    <n v="0"/>
    <n v="0"/>
    <n v="580"/>
    <n v="2315.5374670849501"/>
    <n v="0"/>
    <n v="0"/>
    <n v="0"/>
    <n v="0"/>
    <n v="0"/>
    <n v="0"/>
    <n v="0"/>
    <n v="0"/>
    <n v="0"/>
    <n v="0"/>
    <n v="0"/>
    <n v="0"/>
    <n v="640"/>
    <n v="2555.075825748911"/>
    <n v="0"/>
    <n v="0"/>
    <n v="0"/>
    <n v="0"/>
    <n v="0"/>
    <n v="0"/>
    <n v="1220"/>
    <n v="4870.6132928338611"/>
    <n v="79.09520678469562"/>
    <n v="6.9326737213355957E-2"/>
    <n v="500.94793481924626"/>
    <n v="0.11464217366220811"/>
  </r>
  <r>
    <x v="3"/>
    <s v="ESPAÑA"/>
    <s v="CODIMED EXPORT, S.L."/>
    <s v="Consolidado/estratégico"/>
    <s v="C-MB0005"/>
    <s v="CODIFOL-MB, 5 L"/>
    <n v="5"/>
    <n v="7"/>
    <n v="7.2966427791458779"/>
    <n v="0"/>
    <n v="0"/>
    <n v="98.92356741932133"/>
    <n v="692.46497193524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692.46497193524931"/>
    <n v="0"/>
    <n v="0"/>
    <n v="105"/>
    <n v="766.14749181031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766.14749181031721"/>
    <n v="6.0764325806786701"/>
    <n v="6.1425530227004803E-2"/>
    <n v="73.682519875067896"/>
    <n v="0.10640613296170852"/>
  </r>
  <r>
    <x v="3"/>
    <s v="ESPAÑA"/>
    <s v="CODIMED EXPORT, S.L."/>
    <s v="Consolidado/estratégico"/>
    <s v="C-MB0020"/>
    <s v="CODIFOL-MB, 20 L"/>
    <n v="20"/>
    <n v="6.74"/>
    <n v="7.0256246187776021"/>
    <n v="0"/>
    <n v="0"/>
    <n v="395.69426967728532"/>
    <n v="2666.979377624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2666.979377624903"/>
    <n v="0"/>
    <n v="0"/>
    <n v="420"/>
    <n v="2950.7623398865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2950.7623398865931"/>
    <n v="24.30573032271468"/>
    <n v="6.1425530227004803E-2"/>
    <n v="283.78296226169005"/>
    <n v="0.10640613296170852"/>
  </r>
  <r>
    <x v="3"/>
    <s v="ESPAÑA"/>
    <s v="CODIMED EXPORT, S.L."/>
    <s v="Consolidado/estratégico"/>
    <s v="CPLUS0020"/>
    <s v="CALCIPLUS, 20 L"/>
    <n v="20"/>
    <n v="2.11"/>
    <n v="2.1994166091425429"/>
    <n v="0"/>
    <n v="0"/>
    <n v="0"/>
    <n v="0"/>
    <n v="633.11083148365651"/>
    <n v="1335.8638544305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335.8638544305149"/>
    <n v="0"/>
    <n v="0"/>
    <n v="0"/>
    <n v="0"/>
    <n v="680"/>
    <n v="1495.603294216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1495.603294216929"/>
    <n v="46.889168516343489"/>
    <n v="7.4061548443992958E-2"/>
    <n v="159.7394397864141"/>
    <n v="0.11957763454458596"/>
  </r>
  <r>
    <x v="3"/>
    <s v="ESPAÑA"/>
    <s v="CODIMED EXPORT, S.L."/>
    <s v="Consolidado/estratégico"/>
    <s v="FTK0005"/>
    <s v="FITOKONTROL CA FLOW, 5 KG"/>
    <n v="5"/>
    <n v="2.4630769230769229"/>
    <n v="2.5674016184365058"/>
    <n v="0"/>
    <n v="0"/>
    <n v="0"/>
    <n v="0"/>
    <n v="1088.159241612535"/>
    <n v="2611.5821798700831"/>
    <n v="593.54140451592798"/>
    <n v="1406.6931287027489"/>
    <n v="2176.318483225069"/>
    <n v="5484.3225777271746"/>
    <n v="0"/>
    <n v="0"/>
    <n v="0"/>
    <n v="0"/>
    <n v="0"/>
    <n v="0"/>
    <n v="0"/>
    <n v="0"/>
    <n v="0"/>
    <n v="0"/>
    <n v="0"/>
    <n v="0"/>
    <n v="0"/>
    <n v="0"/>
    <n v="3858.0191293535318"/>
    <n v="9502.5978863000055"/>
    <n v="0"/>
    <n v="0"/>
    <n v="0"/>
    <n v="0"/>
    <n v="1370"/>
    <n v="3427.337351118807"/>
    <n v="750"/>
    <n v="1852.826077133114"/>
    <n v="2740"/>
    <n v="7197.408437349497"/>
    <n v="0"/>
    <n v="0"/>
    <n v="0"/>
    <n v="0"/>
    <n v="0"/>
    <n v="0"/>
    <n v="0"/>
    <n v="0"/>
    <n v="0"/>
    <n v="0"/>
    <n v="0"/>
    <n v="0"/>
    <n v="0"/>
    <n v="0"/>
    <n v="4860"/>
    <n v="12477.571865601418"/>
    <n v="1001.9808706464682"/>
    <n v="0.25971381609358818"/>
    <n v="2974.9739793014123"/>
    <n v="0.3130695431814981"/>
  </r>
  <r>
    <x v="3"/>
    <s v="ESPAÑA"/>
    <s v="CODIMED EXPORT, S.L."/>
    <s v="Consolidado/estratégico"/>
    <s v="G30005"/>
    <s v="GREEN-UP, 5 L"/>
    <n v="5"/>
    <n v="5.1741176470588233"/>
    <n v="5.393529028805137"/>
    <n v="0"/>
    <n v="0"/>
    <n v="0"/>
    <n v="0"/>
    <n v="0"/>
    <n v="0"/>
    <n v="395.69426967728532"/>
    <n v="1990.342176476745"/>
    <n v="79.138853935457064"/>
    <n v="425.76703417275888"/>
    <n v="98.92356741932133"/>
    <n v="532.20879271594868"/>
    <n v="98.92356741932133"/>
    <n v="532.20879271594868"/>
    <n v="0"/>
    <n v="0"/>
    <n v="0"/>
    <n v="0"/>
    <n v="0"/>
    <n v="0"/>
    <n v="0"/>
    <n v="0"/>
    <n v="0"/>
    <n v="0"/>
    <n v="672.68025845138504"/>
    <n v="3480.5267960814012"/>
    <n v="0"/>
    <n v="0"/>
    <n v="0"/>
    <n v="0"/>
    <n v="0"/>
    <n v="0"/>
    <n v="435"/>
    <n v="2280.7741761300199"/>
    <n v="85"/>
    <n v="476.6792489862014"/>
    <n v="110"/>
    <n v="616.87902809979005"/>
    <n v="110"/>
    <n v="616.87902809979005"/>
    <n v="0"/>
    <n v="0"/>
    <n v="0"/>
    <n v="0"/>
    <n v="0"/>
    <n v="0"/>
    <n v="0"/>
    <n v="0"/>
    <n v="0"/>
    <n v="0"/>
    <n v="740"/>
    <n v="3991.2114813158014"/>
    <n v="67.319741548614957"/>
    <n v="0.10007688006720386"/>
    <n v="510.68468523440015"/>
    <n v="0.14672626161343205"/>
  </r>
  <r>
    <x v="3"/>
    <s v="ESPAÑA"/>
    <s v="CODIMED EXPORT, S.L."/>
    <s v="Consolidado/estratégico"/>
    <s v="G30020"/>
    <s v="GREEN-UP, 20 L"/>
    <n v="20"/>
    <n v="4.9726086956521733"/>
    <n v="5.1889553935125967"/>
    <n v="0"/>
    <n v="0"/>
    <n v="0"/>
    <n v="0"/>
    <n v="0"/>
    <n v="0"/>
    <n v="98.92356741932133"/>
    <n v="467.90847389338978"/>
    <n v="356.12484270955679"/>
    <n v="1794.869207256166"/>
    <n v="0"/>
    <n v="0"/>
    <n v="0"/>
    <n v="0"/>
    <n v="0"/>
    <n v="0"/>
    <n v="0"/>
    <n v="0"/>
    <n v="0"/>
    <n v="0"/>
    <n v="0"/>
    <n v="0"/>
    <n v="0"/>
    <n v="0"/>
    <n v="455.04841012887812"/>
    <n v="2262.777681149556"/>
    <n v="0"/>
    <n v="0"/>
    <n v="0"/>
    <n v="0"/>
    <n v="0"/>
    <n v="0"/>
    <n v="100"/>
    <n v="493.04457636228568"/>
    <n v="400"/>
    <n v="2101.4331203940128"/>
    <n v="0"/>
    <n v="0"/>
    <n v="0"/>
    <n v="0"/>
    <n v="0"/>
    <n v="0"/>
    <n v="0"/>
    <n v="0"/>
    <n v="0"/>
    <n v="0"/>
    <n v="0"/>
    <n v="0"/>
    <n v="0"/>
    <n v="0"/>
    <n v="500"/>
    <n v="2594.4776967562984"/>
    <n v="44.951589871121882"/>
    <n v="9.8784192781578475E-2"/>
    <n v="331.70001560674245"/>
    <n v="0.14658975045141392"/>
  </r>
  <r>
    <x v="3"/>
    <s v="ESPAÑA"/>
    <s v="CODIMED EXPORT, S.L."/>
    <s v="Consolidado/estratégico"/>
    <s v="G30200"/>
    <s v="GREEN-UP, 200 L"/>
    <n v="200"/>
    <n v="4.9400000000000004"/>
    <n v="5.1493450469972331"/>
    <n v="0"/>
    <n v="0"/>
    <n v="0"/>
    <n v="0"/>
    <n v="0"/>
    <n v="0"/>
    <n v="0"/>
    <n v="0"/>
    <n v="0"/>
    <n v="0"/>
    <n v="197.84713483864269"/>
    <n v="977.36484610289472"/>
    <n v="0"/>
    <n v="0"/>
    <n v="0"/>
    <n v="0"/>
    <n v="0"/>
    <n v="0"/>
    <n v="0"/>
    <n v="0"/>
    <n v="0"/>
    <n v="0"/>
    <n v="0"/>
    <n v="0"/>
    <n v="197.84713483864269"/>
    <n v="977.36484610289472"/>
    <n v="0"/>
    <n v="0"/>
    <n v="0"/>
    <n v="0"/>
    <n v="0"/>
    <n v="0"/>
    <n v="0"/>
    <n v="0"/>
    <n v="0"/>
    <n v="0"/>
    <n v="200"/>
    <n v="1029.8690093994469"/>
    <n v="0"/>
    <n v="0"/>
    <n v="0"/>
    <n v="0"/>
    <n v="0"/>
    <n v="0"/>
    <n v="0"/>
    <n v="0"/>
    <n v="0"/>
    <n v="0"/>
    <n v="0"/>
    <n v="0"/>
    <n v="200"/>
    <n v="1029.8690093994469"/>
    <n v="2.1528651613573118"/>
    <n v="1.0881457359052051E-2"/>
    <n v="52.504163296552179"/>
    <n v="5.3720126630198713E-2"/>
  </r>
  <r>
    <x v="3"/>
    <s v="ESPAÑA"/>
    <s v="CODIMED EXPORT, S.L."/>
    <s v="Consolidado/estratégico"/>
    <s v="JF0020"/>
    <s v="CODIGIN-FOS, 20 L"/>
    <n v="20"/>
    <n v="2.39"/>
    <n v="2.491282320308378"/>
    <n v="0"/>
    <n v="0"/>
    <n v="0"/>
    <n v="0"/>
    <n v="0"/>
    <n v="0"/>
    <n v="0"/>
    <n v="0"/>
    <n v="0"/>
    <n v="0"/>
    <n v="633.11083148365651"/>
    <n v="1513.1348872459389"/>
    <n v="0"/>
    <n v="0"/>
    <n v="0"/>
    <n v="0"/>
    <n v="0"/>
    <n v="0"/>
    <n v="0"/>
    <n v="0"/>
    <n v="0"/>
    <n v="0"/>
    <n v="0"/>
    <n v="0"/>
    <n v="633.11083148365651"/>
    <n v="1513.1348872459389"/>
    <n v="0"/>
    <n v="0"/>
    <n v="0"/>
    <n v="0"/>
    <n v="0"/>
    <n v="0"/>
    <n v="0"/>
    <n v="0"/>
    <n v="0"/>
    <n v="0"/>
    <n v="680"/>
    <n v="1694.071977809697"/>
    <n v="0"/>
    <n v="0"/>
    <n v="0"/>
    <n v="0"/>
    <n v="0"/>
    <n v="0"/>
    <n v="0"/>
    <n v="0"/>
    <n v="0"/>
    <n v="0"/>
    <n v="0"/>
    <n v="0"/>
    <n v="680"/>
    <n v="1694.071977809697"/>
    <n v="46.889168516343489"/>
    <n v="7.4061548443992958E-2"/>
    <n v="180.93709056375815"/>
    <n v="0.11957763454458595"/>
  </r>
  <r>
    <x v="3"/>
    <s v="ESPAÑA"/>
    <s v="CODIMED EXPORT, S.L."/>
    <s v="Consolidado/estratégico"/>
    <s v="JF1000"/>
    <s v="CODIGIN-FOS, 1000 L"/>
    <n v="1000"/>
    <n v="2.02"/>
    <n v="2.1056026305535251"/>
    <n v="0"/>
    <n v="0"/>
    <n v="0"/>
    <n v="0"/>
    <n v="0"/>
    <n v="0"/>
    <n v="989.23567419321319"/>
    <n v="1998.256061870291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998.256061870291"/>
    <n v="0"/>
    <n v="0"/>
    <n v="0"/>
    <n v="0"/>
    <n v="0"/>
    <n v="0"/>
    <n v="1000"/>
    <n v="2105.6026305535252"/>
    <n v="0"/>
    <n v="0"/>
    <n v="0"/>
    <n v="0"/>
    <n v="0"/>
    <n v="0"/>
    <n v="0"/>
    <n v="0"/>
    <n v="0"/>
    <n v="0"/>
    <n v="0"/>
    <n v="0"/>
    <n v="0"/>
    <n v="0"/>
    <n v="0"/>
    <n v="0"/>
    <n v="1000"/>
    <n v="2105.6026305535252"/>
    <n v="10.764325806786815"/>
    <n v="1.0881457359052311E-2"/>
    <n v="107.34656868323418"/>
    <n v="5.3720126630198692E-2"/>
  </r>
  <r>
    <x v="3"/>
    <s v="ESPAÑA"/>
    <s v="CODIMED EXPORT, S.L."/>
    <s v="Consolidado/estratégico"/>
    <s v="PHD0005"/>
    <s v="PH-DOWNER, 5 L"/>
    <n v="5"/>
    <n v="3.4649999999999999"/>
    <n v="3.6118381756772111"/>
    <n v="0"/>
    <n v="0"/>
    <n v="0"/>
    <n v="0"/>
    <n v="0"/>
    <n v="0"/>
    <n v="0"/>
    <n v="0"/>
    <n v="296.77070225796399"/>
    <n v="1053.535993015772"/>
    <n v="296.77070225796399"/>
    <n v="1003.084973631918"/>
    <n v="0"/>
    <n v="0"/>
    <n v="0"/>
    <n v="0"/>
    <n v="0"/>
    <n v="0"/>
    <n v="0"/>
    <n v="0"/>
    <n v="0"/>
    <n v="0"/>
    <n v="0"/>
    <n v="0"/>
    <n v="593.54140451592798"/>
    <n v="2056.6209666476898"/>
    <n v="0"/>
    <n v="0"/>
    <n v="0"/>
    <n v="0"/>
    <n v="0"/>
    <n v="0"/>
    <n v="0"/>
    <n v="0"/>
    <n v="320"/>
    <n v="1184.1408853013891"/>
    <n v="320"/>
    <n v="1127.4355471320259"/>
    <n v="0"/>
    <n v="0"/>
    <n v="0"/>
    <n v="0"/>
    <n v="0"/>
    <n v="0"/>
    <n v="0"/>
    <n v="0"/>
    <n v="0"/>
    <n v="0"/>
    <n v="0"/>
    <n v="0"/>
    <n v="640"/>
    <n v="2311.576432433415"/>
    <n v="46.458595484072021"/>
    <n v="7.8273554516322341E-2"/>
    <n v="254.95546578572521"/>
    <n v="0.12396813507221258"/>
  </r>
  <r>
    <x v="3"/>
    <s v="ESPAÑA"/>
    <s v="CODIMED EXPORT, S.L."/>
    <s v="Consolidado/estratégico"/>
    <s v="PHD0020"/>
    <s v="PH-DOWNER, 20 L"/>
    <n v="20"/>
    <n v="3.160196078431373"/>
    <n v="3.293344456447219"/>
    <n v="0"/>
    <n v="0"/>
    <n v="197.84713483864269"/>
    <n v="615.30458934817864"/>
    <n v="197.84713483864269"/>
    <n v="615.30458934817864"/>
    <n v="0"/>
    <n v="0"/>
    <n v="316.55541574182831"/>
    <n v="1035.136209475779"/>
    <n v="296.77070225796399"/>
    <n v="922.9568840222679"/>
    <n v="0"/>
    <n v="0"/>
    <n v="0"/>
    <n v="0"/>
    <n v="0"/>
    <n v="0"/>
    <n v="0"/>
    <n v="0"/>
    <n v="0"/>
    <n v="0"/>
    <n v="0"/>
    <n v="0"/>
    <n v="1009.0203876770777"/>
    <n v="3188.702272194404"/>
    <n v="0"/>
    <n v="0"/>
    <n v="220"/>
    <n v="713.19471278451567"/>
    <n v="220"/>
    <n v="713.19471278451567"/>
    <n v="0"/>
    <n v="0"/>
    <n v="340"/>
    <n v="1158.9153488363411"/>
    <n v="320"/>
    <n v="1037.374127686568"/>
    <n v="0"/>
    <n v="0"/>
    <n v="0"/>
    <n v="0"/>
    <n v="0"/>
    <n v="0"/>
    <n v="0"/>
    <n v="0"/>
    <n v="0"/>
    <n v="0"/>
    <n v="0"/>
    <n v="0"/>
    <n v="1100"/>
    <n v="3622.6789020919405"/>
    <n v="90.979612322922321"/>
    <n v="9.0166277544075774E-2"/>
    <n v="433.97662989753644"/>
    <n v="0.13609819696301781"/>
  </r>
  <r>
    <x v="3"/>
    <s v="ESPAÑA"/>
    <s v="CODIMED EXPORT, S.L."/>
    <s v="Consolidado/estratégico"/>
    <s v="PK500005"/>
    <s v="POLIFRUIT K50, 5 L"/>
    <n v="5"/>
    <n v="3.65"/>
    <n v="3.8046780205546371"/>
    <n v="0"/>
    <n v="0"/>
    <n v="0"/>
    <n v="0"/>
    <n v="0"/>
    <n v="0"/>
    <n v="0"/>
    <n v="0"/>
    <n v="0"/>
    <n v="0"/>
    <n v="0"/>
    <n v="0"/>
    <n v="593.54140451592798"/>
    <n v="2166.4261264831371"/>
    <n v="0"/>
    <n v="0"/>
    <n v="0"/>
    <n v="0"/>
    <n v="0"/>
    <n v="0"/>
    <n v="0"/>
    <n v="0"/>
    <n v="0"/>
    <n v="0"/>
    <n v="593.54140451592798"/>
    <n v="2166.4261264831371"/>
    <n v="0"/>
    <n v="0"/>
    <n v="0"/>
    <n v="0"/>
    <n v="0"/>
    <n v="0"/>
    <n v="0"/>
    <n v="0"/>
    <n v="0"/>
    <n v="0"/>
    <n v="0"/>
    <n v="0"/>
    <n v="650"/>
    <n v="2473.040713360514"/>
    <n v="0"/>
    <n v="0"/>
    <n v="0"/>
    <n v="0"/>
    <n v="0"/>
    <n v="0"/>
    <n v="0"/>
    <n v="0"/>
    <n v="0"/>
    <n v="0"/>
    <n v="650"/>
    <n v="2473.040713360514"/>
    <n v="56.458595484072021"/>
    <n v="9.5121578805639873E-2"/>
    <n v="306.61458687737695"/>
    <n v="0.14153013718271532"/>
  </r>
  <r>
    <x v="3"/>
    <s v="ESPAÑA"/>
    <s v="CODIMED EXPORT, S.L."/>
    <s v="Consolidado/estratégico"/>
    <s v="PT0005"/>
    <s v="AGROPOTASION, 5 L"/>
    <n v="5"/>
    <n v="3.22"/>
    <n v="3.3568364555906212"/>
    <n v="0"/>
    <n v="0"/>
    <n v="0"/>
    <n v="0"/>
    <n v="98.92356741932133"/>
    <n v="310.62000169666902"/>
    <n v="395.69426967728532"/>
    <n v="1242.4800067866761"/>
    <n v="197.84713483864269"/>
    <n v="652.89554496752078"/>
    <n v="197.84713483864269"/>
    <n v="652.89554496752078"/>
    <n v="98.92356741932133"/>
    <n v="326.44777248376039"/>
    <n v="0"/>
    <n v="0"/>
    <n v="0"/>
    <n v="0"/>
    <n v="0"/>
    <n v="0"/>
    <n v="0"/>
    <n v="0"/>
    <n v="0"/>
    <n v="0"/>
    <n v="989.2356741932133"/>
    <n v="3185.3388709021469"/>
    <n v="0"/>
    <n v="0"/>
    <n v="0"/>
    <n v="0"/>
    <n v="110"/>
    <n v="360.03720227385509"/>
    <n v="435"/>
    <n v="1423.7834817193359"/>
    <n v="220"/>
    <n v="756.76609395141543"/>
    <n v="220"/>
    <n v="756.76609395141543"/>
    <n v="110"/>
    <n v="378.38304697570771"/>
    <n v="0"/>
    <n v="0"/>
    <n v="0"/>
    <n v="0"/>
    <n v="0"/>
    <n v="0"/>
    <n v="0"/>
    <n v="0"/>
    <n v="0"/>
    <n v="0"/>
    <n v="1095"/>
    <n v="3675.7359188717292"/>
    <n v="105.7643258067867"/>
    <n v="0.10691519580816215"/>
    <n v="490.39704796958222"/>
    <n v="0.15395443557020755"/>
  </r>
  <r>
    <x v="3"/>
    <s v="ESPAÑA"/>
    <s v="CODIMED EXPORT, S.L."/>
    <s v="Consolidado/estratégico"/>
    <s v="PT0020"/>
    <s v="AGROPOTASION, 20 L"/>
    <n v="20"/>
    <n v="2.9533333333333331"/>
    <n v="3.0779387816550128"/>
    <n v="0"/>
    <n v="0"/>
    <n v="0"/>
    <n v="0"/>
    <n v="197.84713483864269"/>
    <n v="573.75669103206371"/>
    <n v="2097.179629289612"/>
    <n v="6081.8209249398751"/>
    <n v="633.11083148365651"/>
    <n v="1930.988036025152"/>
    <n v="316.55541574182831"/>
    <n v="965.49401801257613"/>
    <n v="316.55541574182831"/>
    <n v="965.49401801257602"/>
    <n v="0"/>
    <n v="0"/>
    <n v="0"/>
    <n v="0"/>
    <n v="0"/>
    <n v="0"/>
    <n v="0"/>
    <n v="0"/>
    <n v="0"/>
    <n v="0"/>
    <n v="3561.2484270955679"/>
    <n v="10517.553688022243"/>
    <n v="0"/>
    <n v="0"/>
    <n v="0"/>
    <n v="0"/>
    <n v="220"/>
    <n v="665.03687044215292"/>
    <n v="2320"/>
    <n v="7013.116088299068"/>
    <n v="700"/>
    <n v="2225.4760476394931"/>
    <n v="340"/>
    <n v="1080.945508853468"/>
    <n v="340"/>
    <n v="1080.945508853468"/>
    <n v="0"/>
    <n v="0"/>
    <n v="0"/>
    <n v="0"/>
    <n v="0"/>
    <n v="0"/>
    <n v="0"/>
    <n v="0"/>
    <n v="0"/>
    <n v="0"/>
    <n v="3920"/>
    <n v="12065.520024087651"/>
    <n v="358.75157290443212"/>
    <n v="0.10073758690207905"/>
    <n v="1547.9663360654085"/>
    <n v="0.14717931393383679"/>
  </r>
  <r>
    <x v="3"/>
    <s v="ESPAÑA"/>
    <s v="CODIMED EXPORT, S.L."/>
    <s v="Consolidado/estratégico"/>
    <s v="PT0200"/>
    <s v="AGROPOTASION, 200 L"/>
    <n v="200"/>
    <n v="2.96"/>
    <n v="3.0854375180388289"/>
    <n v="0"/>
    <n v="0"/>
    <n v="0"/>
    <n v="0"/>
    <n v="0"/>
    <n v="0"/>
    <n v="0"/>
    <n v="0"/>
    <n v="593.54140451592798"/>
    <n v="1756.882557367147"/>
    <n v="0"/>
    <n v="0"/>
    <n v="0"/>
    <n v="0"/>
    <n v="0"/>
    <n v="0"/>
    <n v="0"/>
    <n v="0"/>
    <n v="0"/>
    <n v="0"/>
    <n v="0"/>
    <n v="0"/>
    <n v="0"/>
    <n v="0"/>
    <n v="593.54140451592798"/>
    <n v="1756.882557367147"/>
    <n v="0"/>
    <n v="0"/>
    <n v="0"/>
    <n v="0"/>
    <n v="0"/>
    <n v="0"/>
    <n v="0"/>
    <n v="0"/>
    <n v="600"/>
    <n v="1851.2625108232969"/>
    <n v="0"/>
    <n v="0"/>
    <n v="0"/>
    <n v="0"/>
    <n v="0"/>
    <n v="0"/>
    <n v="0"/>
    <n v="0"/>
    <n v="0"/>
    <n v="0"/>
    <n v="0"/>
    <n v="0"/>
    <n v="0"/>
    <n v="0"/>
    <n v="600"/>
    <n v="1851.2625108232969"/>
    <n v="6.4585954840720206"/>
    <n v="1.0881457359052195E-2"/>
    <n v="94.379953456149906"/>
    <n v="5.372012663019838E-2"/>
  </r>
  <r>
    <x v="3"/>
    <s v="ESPAÑA"/>
    <s v="CODIMED EXPORT, S.L."/>
    <s v="Consolidado/estratégico"/>
    <s v="RUN0005"/>
    <s v="RUN STRESS, 5 L"/>
    <n v="5"/>
    <n v="6.8886111111111106"/>
    <n v="7.180848861902609"/>
    <n v="0"/>
    <n v="0"/>
    <n v="870.5273932900277"/>
    <n v="5902.175726506387"/>
    <n v="98.92356741932133"/>
    <n v="670.70178710299854"/>
    <n v="0"/>
    <n v="0"/>
    <n v="197.84713483864269"/>
    <n v="1408.671600051136"/>
    <n v="257.20127529023551"/>
    <n v="1831.273080066476"/>
    <n v="0"/>
    <n v="0"/>
    <n v="0"/>
    <n v="0"/>
    <n v="0"/>
    <n v="0"/>
    <n v="0"/>
    <n v="0"/>
    <n v="0"/>
    <n v="0"/>
    <n v="0"/>
    <n v="0"/>
    <n v="1424.4993708382274"/>
    <n v="9812.8221937269973"/>
    <n v="0"/>
    <n v="0"/>
    <n v="1095"/>
    <n v="7738.7150938081313"/>
    <n v="125"/>
    <n v="883.41496504659017"/>
    <n v="0"/>
    <n v="0"/>
    <n v="250"/>
    <n v="1855.432020982809"/>
    <n v="325"/>
    <n v="2412.061627277651"/>
    <n v="0"/>
    <n v="0"/>
    <n v="0"/>
    <n v="0"/>
    <n v="0"/>
    <n v="0"/>
    <n v="0"/>
    <n v="0"/>
    <n v="0"/>
    <n v="0"/>
    <n v="0"/>
    <n v="0"/>
    <n v="1795"/>
    <n v="12889.623707115183"/>
    <n v="370.50062916177262"/>
    <n v="0.26009181663854053"/>
    <n v="3076.8015133881854"/>
    <n v="0.31354909450566421"/>
  </r>
  <r>
    <x v="3"/>
    <s v="ESPAÑA"/>
    <s v="CODIMED EXPORT, S.L."/>
    <s v="Consolidado/estratégico"/>
    <s v="RUN0020"/>
    <s v="RUN STRESS, 20 L"/>
    <n v="20"/>
    <n v="6.8499999999999988"/>
    <n v="7.1402861481641802"/>
    <n v="0"/>
    <n v="0"/>
    <n v="0"/>
    <n v="0"/>
    <n v="0"/>
    <n v="0"/>
    <n v="0"/>
    <n v="0"/>
    <n v="197.84713483864269"/>
    <n v="1355.252873644702"/>
    <n v="0"/>
    <n v="0"/>
    <n v="0"/>
    <n v="0"/>
    <n v="0"/>
    <n v="0"/>
    <n v="0"/>
    <n v="0"/>
    <n v="0"/>
    <n v="0"/>
    <n v="0"/>
    <n v="0"/>
    <n v="0"/>
    <n v="0"/>
    <n v="197.84713483864269"/>
    <n v="1355.252873644702"/>
    <n v="0"/>
    <n v="0"/>
    <n v="0"/>
    <n v="0"/>
    <n v="0"/>
    <n v="0"/>
    <n v="0"/>
    <n v="0"/>
    <n v="240"/>
    <n v="1713.668675559403"/>
    <n v="0"/>
    <n v="0"/>
    <n v="0"/>
    <n v="0"/>
    <n v="0"/>
    <n v="0"/>
    <n v="0"/>
    <n v="0"/>
    <n v="0"/>
    <n v="0"/>
    <n v="0"/>
    <n v="0"/>
    <n v="0"/>
    <n v="0"/>
    <n v="240"/>
    <n v="1713.668675559403"/>
    <n v="42.152865161357312"/>
    <n v="0.21305774883086245"/>
    <n v="358.41580191470098"/>
    <n v="0.26446415195623818"/>
  </r>
  <r>
    <x v="3"/>
    <s v="ESPAÑA"/>
    <s v="CODIMED EXPORT, S.L."/>
    <s v="Consolidado/estratégico"/>
    <s v="S0020"/>
    <s v="SAL-WAX STAR, 20 L"/>
    <n v="20"/>
    <n v="1.86"/>
    <n v="1.9388222241730479"/>
    <n v="0"/>
    <n v="0"/>
    <n v="2097.179629289612"/>
    <n v="3900.7541104786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7.179629289612"/>
    <n v="3900.7541104786778"/>
    <n v="0"/>
    <n v="0"/>
    <n v="2280"/>
    <n v="4420.5146711145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0"/>
    <n v="4420.5146711145489"/>
    <n v="182.82037071038803"/>
    <n v="8.7174397537093995E-2"/>
    <n v="519.76056063587112"/>
    <n v="0.13324617392304411"/>
  </r>
  <r>
    <x v="3"/>
    <s v="ESPAÑA"/>
    <s v="CODIMED EXPORT, S.L."/>
    <s v="Consolidado/estratégico"/>
    <s v="S0020"/>
    <s v="SALWAX STAR, 20 L"/>
    <n v="20"/>
    <n v="1.875"/>
    <n v="1.9543060847168661"/>
    <n v="0"/>
    <n v="0"/>
    <n v="0"/>
    <n v="0"/>
    <n v="0"/>
    <n v="0"/>
    <n v="1582.7770787091411"/>
    <n v="2943.965366399003"/>
    <n v="316.55541574182831"/>
    <n v="617.28306069656503"/>
    <n v="0"/>
    <n v="0"/>
    <n v="0"/>
    <n v="0"/>
    <n v="0"/>
    <n v="0"/>
    <n v="0"/>
    <n v="0"/>
    <n v="0"/>
    <n v="0"/>
    <n v="0"/>
    <n v="0"/>
    <n v="0"/>
    <n v="0"/>
    <n v="1899.3324944509693"/>
    <n v="3561.2484270955679"/>
    <n v="0"/>
    <n v="0"/>
    <n v="0"/>
    <n v="0"/>
    <n v="0"/>
    <n v="0"/>
    <n v="1720"/>
    <n v="3334.774225577642"/>
    <n v="340"/>
    <n v="691.09630893910241"/>
    <n v="0"/>
    <n v="0"/>
    <n v="0"/>
    <n v="0"/>
    <n v="0"/>
    <n v="0"/>
    <n v="0"/>
    <n v="0"/>
    <n v="0"/>
    <n v="0"/>
    <n v="0"/>
    <n v="0"/>
    <n v="0"/>
    <n v="0"/>
    <n v="2060"/>
    <n v="4025.8705345167446"/>
    <n v="160.66750554903069"/>
    <n v="8.4591563624816554E-2"/>
    <n v="464.62210742117668"/>
    <n v="0.13046607585309811"/>
  </r>
  <r>
    <x v="3"/>
    <s v="ESPAÑA"/>
    <s v="CODIMED EXPORT, S.L."/>
    <s v="Consolidado/estratégico"/>
    <s v="S0200"/>
    <s v="SALWAX STAR, 200 L"/>
    <n v="200"/>
    <n v="1.783333333333333"/>
    <n v="1.858906612782403"/>
    <n v="0"/>
    <n v="0"/>
    <n v="0"/>
    <n v="0"/>
    <n v="0"/>
    <n v="0"/>
    <n v="395.69426967728532"/>
    <n v="688.50802923847641"/>
    <n v="0"/>
    <n v="0"/>
    <n v="197.84713483864269"/>
    <n v="369.97414214826182"/>
    <n v="0"/>
    <n v="0"/>
    <n v="0"/>
    <n v="0"/>
    <n v="0"/>
    <n v="0"/>
    <n v="0"/>
    <n v="0"/>
    <n v="0"/>
    <n v="0"/>
    <n v="0"/>
    <n v="0"/>
    <n v="593.54140451592798"/>
    <n v="1058.4821713867382"/>
    <n v="0"/>
    <n v="0"/>
    <n v="0"/>
    <n v="0"/>
    <n v="0"/>
    <n v="0"/>
    <n v="400"/>
    <n v="725.49476775507594"/>
    <n v="0"/>
    <n v="0"/>
    <n v="200"/>
    <n v="389.8491999143655"/>
    <n v="0"/>
    <n v="0"/>
    <n v="0"/>
    <n v="0"/>
    <n v="0"/>
    <n v="0"/>
    <n v="0"/>
    <n v="0"/>
    <n v="0"/>
    <n v="0"/>
    <n v="0"/>
    <n v="0"/>
    <n v="600"/>
    <n v="1115.3439676694416"/>
    <n v="6.4585954840720206"/>
    <n v="1.0881457359052195E-2"/>
    <n v="56.861796282703381"/>
    <n v="5.3720126630198817E-2"/>
  </r>
  <r>
    <x v="3"/>
    <s v="ESPAÑA"/>
    <s v="CODIMED EXPORT, S.L."/>
    <s v="Consolidado/estratégico"/>
    <s v="S1000"/>
    <s v="SALWAX STAR, 1000 L"/>
    <n v="1000"/>
    <n v="1.69"/>
    <n v="1.7616180423937911"/>
    <n v="0"/>
    <n v="0"/>
    <n v="0"/>
    <n v="0"/>
    <n v="0"/>
    <n v="0"/>
    <n v="0"/>
    <n v="0"/>
    <n v="0"/>
    <n v="0"/>
    <n v="989.23567419321319"/>
    <n v="1671.8082893865301"/>
    <n v="0"/>
    <n v="0"/>
    <n v="0"/>
    <n v="0"/>
    <n v="0"/>
    <n v="0"/>
    <n v="0"/>
    <n v="0"/>
    <n v="0"/>
    <n v="0"/>
    <n v="0"/>
    <n v="0"/>
    <n v="989.23567419321319"/>
    <n v="1671.8082893865301"/>
    <n v="0"/>
    <n v="0"/>
    <n v="0"/>
    <n v="0"/>
    <n v="0"/>
    <n v="0"/>
    <n v="0"/>
    <n v="0"/>
    <n v="0"/>
    <n v="0"/>
    <n v="1000"/>
    <n v="1761.618042393791"/>
    <n v="0"/>
    <n v="0"/>
    <n v="0"/>
    <n v="0"/>
    <n v="0"/>
    <n v="0"/>
    <n v="0"/>
    <n v="0"/>
    <n v="0"/>
    <n v="0"/>
    <n v="0"/>
    <n v="0"/>
    <n v="1000"/>
    <n v="1761.618042393791"/>
    <n v="10.764325806786815"/>
    <n v="1.0881457359052311E-2"/>
    <n v="89.809753007260952"/>
    <n v="5.3720126630199108E-2"/>
  </r>
  <r>
    <x v="3"/>
    <s v="ESPAÑA"/>
    <s v="CODIMED EXPORT, S.L."/>
    <s v="Consolidado/estratégico"/>
    <s v="SPCE2B0020"/>
    <s v="SPRINTENE CON BORO, 20 L"/>
    <n v="20"/>
    <n v="10.28"/>
    <n v="10.715641109945659"/>
    <n v="0"/>
    <n v="0"/>
    <n v="316.55541574182831"/>
    <n v="3200.3752531498831"/>
    <n v="316.55541574182831"/>
    <n v="3200.3752531498831"/>
    <n v="0"/>
    <n v="0"/>
    <n v="0"/>
    <n v="0"/>
    <n v="0"/>
    <n v="0"/>
    <n v="316.55541574182831"/>
    <n v="3361.8185151782159"/>
    <n v="0"/>
    <n v="0"/>
    <n v="0"/>
    <n v="0"/>
    <n v="0"/>
    <n v="0"/>
    <n v="0"/>
    <n v="0"/>
    <n v="0"/>
    <n v="0"/>
    <n v="949.66624722548499"/>
    <n v="9762.5690214779825"/>
    <n v="0"/>
    <n v="0"/>
    <n v="340"/>
    <n v="3583.0685555765772"/>
    <n v="340"/>
    <n v="3583.0685555765772"/>
    <n v="0"/>
    <n v="0"/>
    <n v="0"/>
    <n v="0"/>
    <n v="0"/>
    <n v="0"/>
    <n v="340"/>
    <n v="3763.8168209914202"/>
    <n v="0"/>
    <n v="0"/>
    <n v="0"/>
    <n v="0"/>
    <n v="0"/>
    <n v="0"/>
    <n v="0"/>
    <n v="0"/>
    <n v="0"/>
    <n v="0"/>
    <n v="1020"/>
    <n v="10929.953932144574"/>
    <n v="70.333752774515006"/>
    <n v="7.4061548443992695E-2"/>
    <n v="1167.3849106665912"/>
    <n v="0.11957763454458605"/>
  </r>
  <r>
    <x v="3"/>
    <s v="ESPAÑA"/>
    <s v="CODIMED EXPORT, S.L."/>
    <s v="Consolidado/estratégico"/>
    <s v="SS0020"/>
    <s v="SAL-WAX-Ca sólido, 20 KG"/>
    <n v="20"/>
    <n v="3.46"/>
    <n v="3.6066262879778201"/>
    <n v="0"/>
    <n v="0"/>
    <n v="791.38853935457064"/>
    <n v="2738.204346166814"/>
    <n v="1582.7770787091411"/>
    <n v="5476.4086923336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4.1656180637119"/>
    <n v="8214.6130385004417"/>
    <n v="0"/>
    <n v="0"/>
    <n v="860"/>
    <n v="3101.6986076609251"/>
    <n v="1720"/>
    <n v="6203.3972153218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0"/>
    <n v="9305.0958229827756"/>
    <n v="205.83438193628808"/>
    <n v="8.6697566660981107E-2"/>
    <n v="1090.482784482334"/>
    <n v="0.13274913612746378"/>
  </r>
  <r>
    <x v="3"/>
    <s v="ESPAÑA"/>
    <s v="CODIMED EXPORT, S.L."/>
    <s v="Consolidado/estratégico"/>
    <s v="SS0020"/>
    <s v="SALWAX-CA, 20 KG"/>
    <n v="20"/>
    <n v="3.46"/>
    <n v="3.6066262879778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2624.053313577941"/>
    <n v="0"/>
    <n v="0"/>
    <n v="0"/>
    <n v="0"/>
    <n v="758.39691143871141"/>
    <n v="2624.0533135779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0"/>
    <n v="2957.433556141812"/>
    <n v="0"/>
    <n v="0"/>
    <n v="0"/>
    <n v="0"/>
    <n v="820"/>
    <n v="2957.433556141812"/>
    <n v="61.603088561288587"/>
    <n v="8.1228031960764308E-2"/>
    <n v="333.38024256387098"/>
    <n v="0.12704781600237436"/>
  </r>
  <r>
    <x v="3"/>
    <s v="ESPAÑA"/>
    <s v="CODIMED EXPORT, S.L."/>
    <s v="Consolidado/estratégico"/>
    <s v="TRI0005"/>
    <s v="TRIFENO-94, 5L"/>
    <n v="5"/>
    <n v="8.75"/>
    <n v="9.1208034739323463"/>
    <n v="0"/>
    <n v="0"/>
    <n v="0"/>
    <n v="0"/>
    <n v="0"/>
    <n v="0"/>
    <n v="98.92356741932133"/>
    <n v="865.58121491906161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865.58121491906161"/>
    <n v="0"/>
    <n v="0"/>
    <n v="0"/>
    <n v="0"/>
    <n v="0"/>
    <n v="0"/>
    <n v="120"/>
    <n v="1094.496416871882"/>
    <n v="0"/>
    <n v="0"/>
    <n v="0"/>
    <n v="0"/>
    <n v="0"/>
    <n v="0"/>
    <n v="0"/>
    <n v="0"/>
    <n v="0"/>
    <n v="0"/>
    <n v="0"/>
    <n v="0"/>
    <n v="0"/>
    <n v="0"/>
    <n v="0"/>
    <n v="0"/>
    <n v="120"/>
    <n v="1094.496416871882"/>
    <n v="21.07643258067867"/>
    <n v="0.21305774883086265"/>
    <n v="228.91520195282044"/>
    <n v="0.26446415195623874"/>
  </r>
  <r>
    <x v="3"/>
    <s v="ESPAÑA"/>
    <s v="CODIMED EXPORT, S.L."/>
    <s v="Consolidado/estratégico"/>
    <s v="WHITE0020"/>
    <s v="AGROWHITE, 20 KG"/>
    <n v="20"/>
    <n v="1.659652173913043"/>
    <n v="1.729959089949801"/>
    <n v="0"/>
    <n v="0"/>
    <n v="0"/>
    <n v="0"/>
    <n v="0"/>
    <n v="0"/>
    <n v="3858.0191293535322"/>
    <n v="6018.5098417915096"/>
    <n v="8012.8089609650269"/>
    <n v="13461.519054421249"/>
    <n v="7617.1146912877412"/>
    <n v="12796.75268136341"/>
    <n v="3264.477724837604"/>
    <n v="5484.3225777271746"/>
    <n v="0"/>
    <n v="0"/>
    <n v="0"/>
    <n v="0"/>
    <n v="0"/>
    <n v="0"/>
    <n v="0"/>
    <n v="0"/>
    <n v="0"/>
    <n v="0"/>
    <n v="22752.420506443905"/>
    <n v="37761.104155303343"/>
    <n v="0"/>
    <n v="0"/>
    <n v="0"/>
    <n v="0"/>
    <n v="0"/>
    <n v="0"/>
    <n v="4200"/>
    <n v="6829.6576412805434"/>
    <n v="8720"/>
    <n v="15270.414008196491"/>
    <n v="8280"/>
    <n v="14499.88853071869"/>
    <n v="3540"/>
    <n v="6199.2277051623396"/>
    <n v="0"/>
    <n v="0"/>
    <n v="0"/>
    <n v="0"/>
    <n v="0"/>
    <n v="0"/>
    <n v="0"/>
    <n v="0"/>
    <n v="0"/>
    <n v="0"/>
    <n v="24740"/>
    <n v="42799.187885358064"/>
    <n v="1987.5794935560953"/>
    <n v="8.7356837176650118E-2"/>
    <n v="5038.0837300547209"/>
    <n v="0.13341992621121884"/>
  </r>
  <r>
    <x v="3"/>
    <s v="ESPAÑA"/>
    <s v="FITOSANITARIOS DRAGO S.L.U"/>
    <s v="Consolidado/estratégico"/>
    <s v="AGXK0005"/>
    <s v="AGROXILATO-K, 5 L"/>
    <n v="5"/>
    <n v="3.23"/>
    <n v="3.366879453805883"/>
    <n v="0"/>
    <n v="0"/>
    <n v="0"/>
    <n v="0"/>
    <n v="19.78471348386427"/>
    <n v="63.904624552881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63.904624552881572"/>
    <n v="0"/>
    <n v="0"/>
    <n v="0"/>
    <n v="0"/>
    <n v="20"/>
    <n v="67.337589076117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7.337589076117666"/>
    <n v="0.21528651613573047"/>
    <n v="1.0881457359052014E-2"/>
    <n v="3.4329645232360946"/>
    <n v="5.3720126630198567E-2"/>
  </r>
  <r>
    <x v="3"/>
    <s v="ESPAÑA"/>
    <s v="FITOSANITARIOS DRAGO S.L.U"/>
    <s v="Consolidado/estratégico"/>
    <s v="AGXK0020"/>
    <s v="AGROXILATO-K, 20 L"/>
    <n v="20"/>
    <n v="2.907088607594936"/>
    <n v="3.0300820704259479"/>
    <n v="296.77070225796399"/>
    <n v="884.37669272873268"/>
    <n v="0"/>
    <n v="0"/>
    <n v="0"/>
    <n v="0"/>
    <n v="0"/>
    <n v="0"/>
    <n v="1266.221662967313"/>
    <n v="3659.3806059755339"/>
    <n v="0"/>
    <n v="0"/>
    <n v="0"/>
    <n v="0"/>
    <n v="0"/>
    <n v="0"/>
    <n v="0"/>
    <n v="0"/>
    <n v="0"/>
    <n v="0"/>
    <n v="1213.4350583019379"/>
    <n v="3527.5632340458619"/>
    <n v="0"/>
    <n v="0"/>
    <n v="2776.4274235272151"/>
    <n v="8071.3205327501291"/>
    <n v="320"/>
    <n v="994.01122202764429"/>
    <n v="0"/>
    <n v="0"/>
    <n v="0"/>
    <n v="0"/>
    <n v="0"/>
    <n v="0"/>
    <n v="1400"/>
    <n v="4217.459526346317"/>
    <n v="0"/>
    <n v="0"/>
    <n v="0"/>
    <n v="0"/>
    <n v="0"/>
    <n v="0"/>
    <n v="0"/>
    <n v="0"/>
    <n v="0"/>
    <n v="0"/>
    <n v="1340"/>
    <n v="4060.5803871294411"/>
    <n v="0"/>
    <n v="0"/>
    <n v="3060"/>
    <n v="9272.0511355034032"/>
    <n v="283.57257647278493"/>
    <n v="0.10213577854397148"/>
    <n v="1200.7306027532741"/>
    <n v="0.1487650747955305"/>
  </r>
  <r>
    <x v="3"/>
    <s v="ESPAÑA"/>
    <s v="FITOSANITARIOS DRAGO S.L.U"/>
    <s v="Consolidado/estratégico"/>
    <s v="AGXK0200"/>
    <s v="AGROXILATO-K, 200 L"/>
    <n v="200"/>
    <n v="2.8257142857142861"/>
    <n v="2.9457403138105378"/>
    <n v="0"/>
    <n v="0"/>
    <n v="0"/>
    <n v="0"/>
    <n v="1582.7770787091411"/>
    <n v="4574.2257574694177"/>
    <n v="0"/>
    <n v="0"/>
    <n v="3956.9426967728532"/>
    <n v="11079.439550963991"/>
    <n v="0"/>
    <n v="0"/>
    <n v="0"/>
    <n v="0"/>
    <n v="0"/>
    <n v="0"/>
    <n v="0"/>
    <n v="0"/>
    <n v="758.39691143871141"/>
    <n v="2143.0129868939589"/>
    <n v="2275.1907343161338"/>
    <n v="6429.0389606818771"/>
    <n v="0"/>
    <n v="0"/>
    <n v="8573.307421236841"/>
    <n v="24225.717256009244"/>
    <n v="0"/>
    <n v="0"/>
    <n v="0"/>
    <n v="0"/>
    <n v="1800"/>
    <n v="5422.4479624452651"/>
    <n v="0"/>
    <n v="0"/>
    <n v="4400"/>
    <n v="12842.091291296751"/>
    <n v="0"/>
    <n v="0"/>
    <n v="0"/>
    <n v="0"/>
    <n v="0"/>
    <n v="0"/>
    <n v="0"/>
    <n v="0"/>
    <n v="800"/>
    <n v="2356.368884432743"/>
    <n v="2600"/>
    <n v="7658.1988744064138"/>
    <n v="0"/>
    <n v="0"/>
    <n v="9600"/>
    <n v="28279.107012581175"/>
    <n v="1026.692578763159"/>
    <n v="0.11975455076064934"/>
    <n v="4053.3897565719308"/>
    <n v="0.16731763661472102"/>
  </r>
  <r>
    <x v="3"/>
    <s v="ESPAÑA"/>
    <s v="FITOSANITARIOS DRAGO S.L.U"/>
    <s v="Consolidado/estratégico"/>
    <s v="AGXK1000"/>
    <s v="AGROXILATO-K, 1000 L"/>
    <n v="1000"/>
    <n v="2.583076923076923"/>
    <n v="2.690937710638853"/>
    <n v="989.23567419321319"/>
    <n v="2591.7974663862192"/>
    <n v="989.23567419321319"/>
    <n v="2591.7974663862192"/>
    <n v="2967.7070225796401"/>
    <n v="7775.3923991586562"/>
    <n v="1978.4713483864259"/>
    <n v="5183.5949327724366"/>
    <n v="5935.4140451592793"/>
    <n v="15075.951674704571"/>
    <n v="0"/>
    <n v="0"/>
    <n v="0"/>
    <n v="0"/>
    <n v="0"/>
    <n v="0"/>
    <n v="0"/>
    <n v="0"/>
    <n v="7583.969114387115"/>
    <n v="19589.975604701489"/>
    <n v="5687.9768357903358"/>
    <n v="14692.481703526109"/>
    <n v="0"/>
    <n v="0"/>
    <n v="26132.009714689222"/>
    <n v="67500.991247635699"/>
    <n v="1000"/>
    <n v="2731.029154480314"/>
    <n v="1000"/>
    <n v="2731.029154480314"/>
    <n v="3000"/>
    <n v="8193.0874634409429"/>
    <n v="2000"/>
    <n v="5462.0583089606289"/>
    <n v="7000"/>
    <n v="18533.472659030529"/>
    <n v="0"/>
    <n v="0"/>
    <n v="0"/>
    <n v="0"/>
    <n v="0"/>
    <n v="0"/>
    <n v="0"/>
    <n v="0"/>
    <n v="8000"/>
    <n v="21540.33094714009"/>
    <n v="6000"/>
    <n v="16155.24821035507"/>
    <n v="0"/>
    <n v="0"/>
    <n v="28000"/>
    <n v="75346.255897887895"/>
    <n v="1867.9902853107778"/>
    <n v="7.1482840612168863E-2"/>
    <n v="7845.2646502521966"/>
    <n v="0.11622443619340163"/>
  </r>
  <r>
    <x v="3"/>
    <s v="ESPAÑA"/>
    <s v="FITOSANITARIOS DRAGO S.L.U"/>
    <s v="Consolidado/estratégico"/>
    <s v="AGZ-M0005"/>
    <s v="AGROXILATO Zn-Mn, 5 KG"/>
    <n v="5"/>
    <n v="4.93"/>
    <n v="5.1389212715984547"/>
    <n v="0"/>
    <n v="0"/>
    <n v="0"/>
    <n v="0"/>
    <n v="24.730891854830329"/>
    <n v="121.9232968443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0891854830329"/>
    <n v="121.9232968443135"/>
    <n v="0"/>
    <n v="0"/>
    <n v="0"/>
    <n v="0"/>
    <n v="25"/>
    <n v="128.4730317899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28.4730317899614"/>
    <n v="0.26910814516967108"/>
    <n v="1.0881457359052341E-2"/>
    <n v="6.5497349456478986"/>
    <n v="5.3720126630199289E-2"/>
  </r>
  <r>
    <x v="3"/>
    <s v="ESPAÑA"/>
    <s v="FITOSANITARIOS DRAGO S.L.U"/>
    <s v="Consolidado/estratégico"/>
    <s v="AGZNP0005"/>
    <s v="AGROXILATO ZN PLUS, 5 KG"/>
    <n v="5"/>
    <n v="5.88"/>
    <n v="6.1291799344825382"/>
    <n v="74.192675564490997"/>
    <n v="436.25293231920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192675564490997"/>
    <n v="436.25293231920699"/>
    <n v="80"/>
    <n v="490.33439475860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490.33439475860308"/>
    <n v="5.8073244355090026"/>
    <n v="7.8273554516322341E-2"/>
    <n v="54.081462439396091"/>
    <n v="0.12396813507221219"/>
  </r>
  <r>
    <x v="3"/>
    <s v="ESPAÑA"/>
    <s v="FITOSANITARIOS DRAGO S.L.U"/>
    <s v="Consolidado/estratégico"/>
    <s v="AVAN0020"/>
    <s v="FLORAMEC AVANCE, 20 L"/>
    <n v="20"/>
    <n v="4.4580000000000002"/>
    <n v="4.6457277841590443"/>
    <n v="0"/>
    <n v="0"/>
    <n v="0"/>
    <n v="0"/>
    <n v="0"/>
    <n v="0"/>
    <n v="98.92356741932133"/>
    <n v="452.08070310629847"/>
    <n v="395.69426967728532"/>
    <n v="1752.925614670374"/>
    <n v="0"/>
    <n v="0"/>
    <n v="0"/>
    <n v="0"/>
    <n v="0"/>
    <n v="0"/>
    <n v="0"/>
    <n v="0"/>
    <n v="208.55915064564559"/>
    <n v="929.75669357828826"/>
    <n v="208.55915064564559"/>
    <n v="929.75669357828826"/>
    <n v="0"/>
    <n v="0"/>
    <n v="911.73613838789777"/>
    <n v="4064.5197049332492"/>
    <n v="0"/>
    <n v="0"/>
    <n v="0"/>
    <n v="0"/>
    <n v="0"/>
    <n v="0"/>
    <n v="100"/>
    <n v="476.36653572423808"/>
    <n v="440"/>
    <n v="2031.802300730164"/>
    <n v="0"/>
    <n v="0"/>
    <n v="0"/>
    <n v="0"/>
    <n v="0"/>
    <n v="0"/>
    <n v="0"/>
    <n v="0"/>
    <n v="220"/>
    <n v="1022.32219601073"/>
    <n v="220"/>
    <n v="1022.32219601073"/>
    <n v="0"/>
    <n v="0"/>
    <n v="980"/>
    <n v="4552.8132284758622"/>
    <n v="68.263861612102232"/>
    <n v="7.4872387676553187E-2"/>
    <n v="488.293523542613"/>
    <n v="0.12013560247966178"/>
  </r>
  <r>
    <x v="3"/>
    <s v="ESPAÑA"/>
    <s v="FITOSANITARIOS DRAGO S.L.U"/>
    <s v="Consolidado/estratégico"/>
    <s v="B0001"/>
    <s v="BOROCAL,1 L"/>
    <n v="1"/>
    <n v="4.6189999999999998"/>
    <n v="4.8144710026899773"/>
    <n v="35.612484270955683"/>
    <n v="167.73480091620121"/>
    <n v="35.612484270955683"/>
    <n v="165.95417670265351"/>
    <n v="0"/>
    <n v="0"/>
    <n v="0"/>
    <n v="0"/>
    <n v="47.483312361274237"/>
    <n v="214.62457187295959"/>
    <n v="0"/>
    <n v="0"/>
    <n v="0"/>
    <n v="0"/>
    <n v="0"/>
    <n v="0"/>
    <n v="0"/>
    <n v="0"/>
    <n v="0"/>
    <n v="0"/>
    <n v="0"/>
    <n v="0"/>
    <n v="0"/>
    <n v="0"/>
    <n v="118.7082809031856"/>
    <n v="548.31354949181434"/>
    <n v="38"/>
    <n v="186.56473208736131"/>
    <n v="38"/>
    <n v="184.58421476159319"/>
    <n v="0"/>
    <n v="0"/>
    <n v="0"/>
    <n v="0"/>
    <n v="51"/>
    <n v="240.2888704926726"/>
    <n v="0"/>
    <n v="0"/>
    <n v="0"/>
    <n v="0"/>
    <n v="0"/>
    <n v="0"/>
    <n v="0"/>
    <n v="0"/>
    <n v="0"/>
    <n v="0"/>
    <n v="0"/>
    <n v="0"/>
    <n v="0"/>
    <n v="0"/>
    <n v="127"/>
    <n v="611.43781734162712"/>
    <n v="8.2917190968144041"/>
    <n v="6.9849542371663575E-2"/>
    <n v="63.124267849812782"/>
    <n v="0.11512439900184365"/>
  </r>
  <r>
    <x v="3"/>
    <s v="ESPAÑA"/>
    <s v="FITOSANITARIOS DRAGO S.L.U"/>
    <s v="Consolidado/estratégico"/>
    <s v="B0005"/>
    <s v="BOROCAL, 5 L"/>
    <n v="5"/>
    <n v="3.0924999999999998"/>
    <n v="3.22217292474047"/>
    <n v="0"/>
    <n v="0"/>
    <n v="0"/>
    <n v="0"/>
    <n v="0"/>
    <n v="0"/>
    <n v="19.78471348386427"/>
    <n v="62.519694609011083"/>
    <n v="59.354140451592791"/>
    <n v="182.2172111863899"/>
    <n v="0"/>
    <n v="0"/>
    <n v="0"/>
    <n v="0"/>
    <n v="0"/>
    <n v="0"/>
    <n v="0"/>
    <n v="0"/>
    <n v="0"/>
    <n v="0"/>
    <n v="0"/>
    <n v="0"/>
    <n v="0"/>
    <n v="0"/>
    <n v="79.138853935457064"/>
    <n v="244.73690579540099"/>
    <n v="0"/>
    <n v="0"/>
    <n v="0"/>
    <n v="0"/>
    <n v="0"/>
    <n v="0"/>
    <n v="20"/>
    <n v="65.878260520288507"/>
    <n v="65"/>
    <n v="208.0064380826515"/>
    <n v="0"/>
    <n v="0"/>
    <n v="0"/>
    <n v="0"/>
    <n v="0"/>
    <n v="0"/>
    <n v="0"/>
    <n v="0"/>
    <n v="0"/>
    <n v="0"/>
    <n v="0"/>
    <n v="0"/>
    <n v="0"/>
    <n v="0"/>
    <n v="85"/>
    <n v="273.88469860294003"/>
    <n v="5.8611460645429361"/>
    <n v="7.4061548443992958E-2"/>
    <n v="29.147792807539048"/>
    <n v="0.11909847725175736"/>
  </r>
  <r>
    <x v="3"/>
    <s v="ESPAÑA"/>
    <s v="FITOSANITARIOS DRAGO S.L.U"/>
    <s v="Consolidado/estratégico"/>
    <s v="C-CU0001"/>
    <s v="CODICOBRE, 1 L"/>
    <n v="1"/>
    <n v="4.8"/>
    <n v="5.0031378815354017"/>
    <n v="23.741656180637118"/>
    <n v="114.43478279067089"/>
    <n v="0"/>
    <n v="0"/>
    <n v="35.612484270955683"/>
    <n v="173.78892324226371"/>
    <n v="0"/>
    <n v="0"/>
    <n v="47.483312361274237"/>
    <n v="224.5960674688271"/>
    <n v="0"/>
    <n v="0"/>
    <n v="0"/>
    <n v="0"/>
    <n v="0"/>
    <n v="0"/>
    <n v="0"/>
    <n v="0"/>
    <n v="0"/>
    <n v="0"/>
    <n v="0"/>
    <n v="0"/>
    <n v="0"/>
    <n v="0"/>
    <n v="106.83745281286704"/>
    <n v="512.81977350176169"/>
    <n v="25"/>
    <n v="125.60649355529689"/>
    <n v="0"/>
    <n v="0"/>
    <n v="38"/>
    <n v="193.29849099497309"/>
    <n v="0"/>
    <n v="0"/>
    <n v="51"/>
    <n v="251.4527339447657"/>
    <n v="0"/>
    <n v="0"/>
    <n v="0"/>
    <n v="0"/>
    <n v="0"/>
    <n v="0"/>
    <n v="0"/>
    <n v="0"/>
    <n v="0"/>
    <n v="0"/>
    <n v="0"/>
    <n v="0"/>
    <n v="0"/>
    <n v="0"/>
    <n v="114"/>
    <n v="570.35771849503567"/>
    <n v="7.162547187132958"/>
    <n v="6.7041538323443922E-2"/>
    <n v="57.537944993273982"/>
    <n v="0.11219915449121488"/>
  </r>
  <r>
    <x v="3"/>
    <s v="ESPAÑA"/>
    <s v="FITOSANITARIOS DRAGO S.L.U"/>
    <s v="Consolidado/estratégico"/>
    <s v="C-CU0005"/>
    <s v="CODICOBRE, 5 L"/>
    <n v="5"/>
    <n v="3.66"/>
    <n v="3.8151017959534168"/>
    <n v="0"/>
    <n v="0"/>
    <n v="0"/>
    <n v="0"/>
    <n v="0"/>
    <n v="0"/>
    <n v="0"/>
    <n v="0"/>
    <n v="39.569426967728532"/>
    <n v="144.8241027018864"/>
    <n v="0"/>
    <n v="0"/>
    <n v="0"/>
    <n v="0"/>
    <n v="0"/>
    <n v="0"/>
    <n v="0"/>
    <n v="0"/>
    <n v="0"/>
    <n v="0"/>
    <n v="0"/>
    <n v="0"/>
    <n v="0"/>
    <n v="0"/>
    <n v="39.569426967728532"/>
    <n v="144.8241027018864"/>
    <n v="0"/>
    <n v="0"/>
    <n v="0"/>
    <n v="0"/>
    <n v="0"/>
    <n v="0"/>
    <n v="0"/>
    <n v="0"/>
    <n v="45"/>
    <n v="171.6795808179038"/>
    <n v="0"/>
    <n v="0"/>
    <n v="0"/>
    <n v="0"/>
    <n v="0"/>
    <n v="0"/>
    <n v="0"/>
    <n v="0"/>
    <n v="0"/>
    <n v="0"/>
    <n v="0"/>
    <n v="0"/>
    <n v="0"/>
    <n v="0"/>
    <n v="45"/>
    <n v="171.6795808179038"/>
    <n v="5.430573032271468"/>
    <n v="0.13724163952893373"/>
    <n v="26.855478116017395"/>
    <n v="0.18543514245897405"/>
  </r>
  <r>
    <x v="3"/>
    <s v="ESPAÑA"/>
    <s v="FITOSANITARIOS DRAGO S.L.U"/>
    <s v="Consolidado/estratégico"/>
    <s v="C-CU0020"/>
    <s v="CODICOBRE, 20 L"/>
    <n v="20"/>
    <n v="3.49"/>
    <n v="3.6398520720614309"/>
    <n v="0"/>
    <n v="0"/>
    <n v="0"/>
    <n v="0"/>
    <n v="0"/>
    <n v="0"/>
    <n v="197.84713483864269"/>
    <n v="696.42191463202209"/>
    <n v="98.92356741932133"/>
    <n v="339.30783624827211"/>
    <n v="0"/>
    <n v="0"/>
    <n v="0"/>
    <n v="0"/>
    <n v="0"/>
    <n v="0"/>
    <n v="0"/>
    <n v="0"/>
    <n v="0"/>
    <n v="0"/>
    <n v="0"/>
    <n v="0"/>
    <n v="0"/>
    <n v="0"/>
    <n v="296.77070225796399"/>
    <n v="1035.7297508802942"/>
    <n v="0"/>
    <n v="0"/>
    <n v="0"/>
    <n v="0"/>
    <n v="0"/>
    <n v="0"/>
    <n v="220"/>
    <n v="807.2171668815098"/>
    <n v="100"/>
    <n v="357.53549617814798"/>
    <n v="0"/>
    <n v="0"/>
    <n v="0"/>
    <n v="0"/>
    <n v="0"/>
    <n v="0"/>
    <n v="0"/>
    <n v="0"/>
    <n v="0"/>
    <n v="0"/>
    <n v="0"/>
    <n v="0"/>
    <n v="0"/>
    <n v="0"/>
    <n v="320"/>
    <n v="1164.7526630596578"/>
    <n v="23.22929774203601"/>
    <n v="7.8273554516322341E-2"/>
    <n v="129.02291217936363"/>
    <n v="0.12457198614764482"/>
  </r>
  <r>
    <x v="3"/>
    <s v="ESPAÑA"/>
    <s v="FITOSANITARIOS DRAGO S.L.U"/>
    <s v="Consolidado/estratégico"/>
    <s v="C-L0005"/>
    <s v="CODIBOR-L, 5 L"/>
    <n v="5"/>
    <n v="4.4400000000000004"/>
    <n v="4.6281562770582427"/>
    <n v="197.84713483864269"/>
    <n v="878.44127868357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878.44127868357339"/>
    <n v="210"/>
    <n v="971.91281818223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971.91281818223092"/>
    <n v="12.152865161357312"/>
    <n v="6.142553022700465E-2"/>
    <n v="93.471539498657535"/>
    <n v="0.10640613296170849"/>
  </r>
  <r>
    <x v="3"/>
    <s v="ESPAÑA"/>
    <s v="FITOSANITARIOS DRAGO S.L.U"/>
    <s v="Consolidado/estratégico"/>
    <s v="CSIL0005"/>
    <s v="FITOKONTROL-K, 5 L"/>
    <n v="5"/>
    <n v="3.42"/>
    <n v="3.5649311863827009"/>
    <n v="0"/>
    <n v="0"/>
    <n v="59.354140451592791"/>
    <n v="202.991160344447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202.99116034444731"/>
    <n v="0"/>
    <n v="0"/>
    <n v="65"/>
    <n v="231.72052711487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231.72052711487561"/>
    <n v="5.6458595484072092"/>
    <n v="9.5121578805640011E-2"/>
    <n v="28.7293667704283"/>
    <n v="0.14153013718271587"/>
  </r>
  <r>
    <x v="3"/>
    <s v="ESPAÑA"/>
    <s v="FITOSANITARIOS DRAGO S.L.U"/>
    <s v="Consolidado/estratégico"/>
    <s v="JF0001"/>
    <s v="DRAGO-FOS, 1 L"/>
    <n v="1"/>
    <n v="4.12"/>
    <n v="4.2945954642972888"/>
    <n v="0"/>
    <n v="0"/>
    <n v="0"/>
    <n v="0"/>
    <n v="0"/>
    <n v="0"/>
    <n v="0"/>
    <n v="0"/>
    <n v="59.354140451592791"/>
    <n v="244.53905866056229"/>
    <n v="0"/>
    <n v="0"/>
    <n v="0"/>
    <n v="0"/>
    <n v="0"/>
    <n v="0"/>
    <n v="0"/>
    <n v="0"/>
    <n v="0"/>
    <n v="0"/>
    <n v="0"/>
    <n v="0"/>
    <n v="0"/>
    <n v="0"/>
    <n v="59.354140451592791"/>
    <n v="244.53905866056229"/>
    <n v="0"/>
    <n v="0"/>
    <n v="0"/>
    <n v="0"/>
    <n v="0"/>
    <n v="0"/>
    <n v="0"/>
    <n v="0"/>
    <n v="64"/>
    <n v="274.85410971502648"/>
    <n v="0"/>
    <n v="0"/>
    <n v="0"/>
    <n v="0"/>
    <n v="0"/>
    <n v="0"/>
    <n v="0"/>
    <n v="0"/>
    <n v="0"/>
    <n v="0"/>
    <n v="0"/>
    <n v="0"/>
    <n v="0"/>
    <n v="0"/>
    <n v="64"/>
    <n v="274.85410971502648"/>
    <n v="4.6458595484072092"/>
    <n v="7.8273554516322466E-2"/>
    <n v="30.315051054464192"/>
    <n v="0.12396813507221213"/>
  </r>
  <r>
    <x v="3"/>
    <s v="ESPAÑA"/>
    <s v="FITOSANITARIOS DRAGO S.L.U"/>
    <s v="Consolidado/estratégico"/>
    <s v="JF0005"/>
    <s v="DRAGO-FOS, 5 L"/>
    <n v="5"/>
    <n v="2.78"/>
    <n v="2.8978095608607921"/>
    <n v="0"/>
    <n v="0"/>
    <n v="0"/>
    <n v="0"/>
    <n v="0"/>
    <n v="0"/>
    <n v="0"/>
    <n v="0"/>
    <n v="197.84713483864269"/>
    <n v="550.01503485142655"/>
    <n v="0"/>
    <n v="0"/>
    <n v="0"/>
    <n v="0"/>
    <n v="0"/>
    <n v="0"/>
    <n v="0"/>
    <n v="0"/>
    <n v="0"/>
    <n v="0"/>
    <n v="0"/>
    <n v="0"/>
    <n v="0"/>
    <n v="0"/>
    <n v="197.84713483864269"/>
    <n v="550.01503485142655"/>
    <n v="0"/>
    <n v="0"/>
    <n v="0"/>
    <n v="0"/>
    <n v="0"/>
    <n v="0"/>
    <n v="0"/>
    <n v="0"/>
    <n v="225"/>
    <n v="652.00715119367817"/>
    <n v="0"/>
    <n v="0"/>
    <n v="0"/>
    <n v="0"/>
    <n v="0"/>
    <n v="0"/>
    <n v="0"/>
    <n v="0"/>
    <n v="0"/>
    <n v="0"/>
    <n v="0"/>
    <n v="0"/>
    <n v="0"/>
    <n v="0"/>
    <n v="225"/>
    <n v="652.00715119367817"/>
    <n v="27.152865161357312"/>
    <n v="0.13724163952893356"/>
    <n v="101.99211634225162"/>
    <n v="0.18543514245897361"/>
  </r>
  <r>
    <x v="3"/>
    <s v="ESPAÑA"/>
    <s v="FITOSANITARIOS DRAGO S.L.U"/>
    <s v="Consolidado/estratégico"/>
    <s v="JF0020"/>
    <s v="DRAGO-FOS, 20 L"/>
    <n v="20"/>
    <n v="2.536"/>
    <n v="2.6434694411305628"/>
    <n v="0"/>
    <n v="0"/>
    <n v="0"/>
    <n v="0"/>
    <n v="0"/>
    <n v="0"/>
    <n v="0"/>
    <n v="0"/>
    <n v="1266.221662967313"/>
    <n v="2937.634258084166"/>
    <n v="0"/>
    <n v="0"/>
    <n v="1899.33249445097"/>
    <n v="5090.2110851285979"/>
    <n v="0"/>
    <n v="0"/>
    <n v="0"/>
    <n v="0"/>
    <n v="0"/>
    <n v="0"/>
    <n v="0"/>
    <n v="0"/>
    <n v="0"/>
    <n v="0"/>
    <n v="3165.554157418283"/>
    <n v="8027.8453432127644"/>
    <n v="0"/>
    <n v="0"/>
    <n v="0"/>
    <n v="0"/>
    <n v="0"/>
    <n v="0"/>
    <n v="0"/>
    <n v="0"/>
    <n v="1360"/>
    <n v="3288.9096138230111"/>
    <n v="0"/>
    <n v="0"/>
    <n v="2040"/>
    <n v="5698.8864860209051"/>
    <n v="0"/>
    <n v="0"/>
    <n v="0"/>
    <n v="0"/>
    <n v="0"/>
    <n v="0"/>
    <n v="0"/>
    <n v="0"/>
    <n v="0"/>
    <n v="0"/>
    <n v="3400"/>
    <n v="8987.7960998439157"/>
    <n v="234.44584258171699"/>
    <n v="7.4061548443992806E-2"/>
    <n v="959.95075663115131"/>
    <n v="0.11957763454458585"/>
  </r>
  <r>
    <x v="3"/>
    <s v="ESPAÑA"/>
    <s v="FITOSANITARIOS DRAGO S.L.U"/>
    <s v="Consolidado/estratégico"/>
    <s v="JF0020"/>
    <s v="CODIGIN-FOS, 20 L"/>
    <n v="20"/>
    <n v="2.3752"/>
    <n v="2.475855132718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3.4350583019379"/>
    <n v="2882.1509504787641"/>
    <n v="1820.152587452907"/>
    <n v="4323.2264257181459"/>
    <n v="0"/>
    <n v="0"/>
    <n v="3033.5876457548447"/>
    <n v="7205.3773761969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"/>
    <n v="3218.6116725336401"/>
    <n v="1940"/>
    <n v="4803.158957473278"/>
    <n v="0"/>
    <n v="0"/>
    <n v="3240"/>
    <n v="8021.7706300069185"/>
    <n v="206.41235424515526"/>
    <n v="6.8042324253926034E-2"/>
    <n v="816.3932538100089"/>
    <n v="0.11330333044136985"/>
  </r>
  <r>
    <x v="3"/>
    <s v="ESPAÑA"/>
    <s v="FITOSANITARIOS DRAGO S.L.U"/>
    <s v="Consolidado/estratégico"/>
    <s v="PHD0020"/>
    <s v="PH-DOWNER, 20 L"/>
    <n v="20"/>
    <n v="3.1482011738683111"/>
    <n v="3.2817519547158489"/>
    <n v="0"/>
    <n v="0"/>
    <n v="0"/>
    <n v="0"/>
    <n v="633.11083148365651"/>
    <n v="2089.2657438960659"/>
    <n v="0"/>
    <n v="0"/>
    <n v="0"/>
    <n v="0"/>
    <n v="0"/>
    <n v="0"/>
    <n v="0"/>
    <n v="0"/>
    <n v="0"/>
    <n v="0"/>
    <n v="0"/>
    <n v="0"/>
    <n v="1213.4350583019379"/>
    <n v="3724.0321939286491"/>
    <n v="0"/>
    <n v="0"/>
    <n v="0"/>
    <n v="0"/>
    <n v="1846.5458897855945"/>
    <n v="5813.2979378247146"/>
    <n v="0"/>
    <n v="0"/>
    <n v="0"/>
    <n v="0"/>
    <n v="680"/>
    <n v="2339.095199486193"/>
    <n v="0"/>
    <n v="0"/>
    <n v="0"/>
    <n v="0"/>
    <n v="0"/>
    <n v="0"/>
    <n v="0"/>
    <n v="0"/>
    <n v="0"/>
    <n v="0"/>
    <n v="0"/>
    <n v="0"/>
    <n v="1300"/>
    <n v="4158.7736708511866"/>
    <n v="0"/>
    <n v="0"/>
    <n v="0"/>
    <n v="0"/>
    <n v="1980"/>
    <n v="6497.8688703373791"/>
    <n v="133.45411021440555"/>
    <n v="7.2272295507316703E-2"/>
    <n v="684.57093251266451"/>
    <n v="0.11775947832614012"/>
  </r>
  <r>
    <x v="3"/>
    <s v="ESPAÑA"/>
    <s v="FITOSANITARIOS DRAGO S.L.U"/>
    <s v="Consolidado/estratégico"/>
    <s v="PT0001"/>
    <s v="AGROPOTASION, 1 L"/>
    <n v="1"/>
    <n v="4.4000000000000004"/>
    <n v="4.5864611754631239"/>
    <n v="0"/>
    <n v="0"/>
    <n v="0"/>
    <n v="0"/>
    <n v="0"/>
    <n v="0"/>
    <n v="0"/>
    <n v="0"/>
    <n v="35.612484270955683"/>
    <n v="156.69493079220501"/>
    <n v="0"/>
    <n v="0"/>
    <n v="0"/>
    <n v="0"/>
    <n v="0"/>
    <n v="0"/>
    <n v="0"/>
    <n v="0"/>
    <n v="0"/>
    <n v="0"/>
    <n v="0"/>
    <n v="0"/>
    <n v="0"/>
    <n v="0"/>
    <n v="35.612484270955683"/>
    <n v="156.69493079220501"/>
    <n v="0"/>
    <n v="0"/>
    <n v="0"/>
    <n v="0"/>
    <n v="0"/>
    <n v="0"/>
    <n v="0"/>
    <n v="0"/>
    <n v="39"/>
    <n v="178.87198584306191"/>
    <n v="0"/>
    <n v="0"/>
    <n v="0"/>
    <n v="0"/>
    <n v="0"/>
    <n v="0"/>
    <n v="0"/>
    <n v="0"/>
    <n v="0"/>
    <n v="0"/>
    <n v="0"/>
    <n v="0"/>
    <n v="0"/>
    <n v="0"/>
    <n v="39"/>
    <n v="178.87198584306191"/>
    <n v="3.387515729044317"/>
    <n v="9.5121578805639748E-2"/>
    <n v="22.177055050856893"/>
    <n v="0.14153013718271554"/>
  </r>
  <r>
    <x v="3"/>
    <s v="ESPAÑA"/>
    <s v="FITOSANITARIOS DRAGO S.L.U"/>
    <s v="Consolidado/estratégico"/>
    <s v="PT0005"/>
    <s v="AGROPOTASION, 5 L"/>
    <n v="5"/>
    <n v="3.390000000000001"/>
    <n v="3.5336598601863618"/>
    <n v="0"/>
    <n v="0"/>
    <n v="0"/>
    <n v="0"/>
    <n v="0"/>
    <n v="0"/>
    <n v="0"/>
    <n v="0"/>
    <n v="59.354140451592791"/>
    <n v="201.21053613089961"/>
    <n v="0"/>
    <n v="0"/>
    <n v="0"/>
    <n v="0"/>
    <n v="0"/>
    <n v="0"/>
    <n v="0"/>
    <n v="0"/>
    <n v="0"/>
    <n v="0"/>
    <n v="0"/>
    <n v="0"/>
    <n v="0"/>
    <n v="0"/>
    <n v="59.354140451592791"/>
    <n v="201.21053613089961"/>
    <n v="0"/>
    <n v="0"/>
    <n v="0"/>
    <n v="0"/>
    <n v="0"/>
    <n v="0"/>
    <n v="0"/>
    <n v="0"/>
    <n v="65"/>
    <n v="229.68789091211349"/>
    <n v="0"/>
    <n v="0"/>
    <n v="0"/>
    <n v="0"/>
    <n v="0"/>
    <n v="0"/>
    <n v="0"/>
    <n v="0"/>
    <n v="0"/>
    <n v="0"/>
    <n v="0"/>
    <n v="0"/>
    <n v="0"/>
    <n v="0"/>
    <n v="65"/>
    <n v="229.68789091211349"/>
    <n v="5.6458595484072092"/>
    <n v="9.5121578805640011E-2"/>
    <n v="28.477354781213876"/>
    <n v="0.14153013718271509"/>
  </r>
  <r>
    <x v="3"/>
    <s v="ESPAÑA"/>
    <s v="FITOSANITARIOS DRAGO S.L.U"/>
    <s v="Consolidado/estratégico"/>
    <s v="PT0020"/>
    <s v="AGROPOTASION, 20 L"/>
    <n v="20"/>
    <n v="3.13"/>
    <n v="3.262641699818086"/>
    <n v="0"/>
    <n v="0"/>
    <n v="0"/>
    <n v="0"/>
    <n v="197.84713483864269"/>
    <n v="619.26153204495154"/>
    <n v="0"/>
    <n v="0"/>
    <n v="395.69426967728532"/>
    <n v="1238.5230640899031"/>
    <n v="0"/>
    <n v="0"/>
    <n v="0"/>
    <n v="0"/>
    <n v="0"/>
    <n v="0"/>
    <n v="0"/>
    <n v="0"/>
    <n v="0"/>
    <n v="0"/>
    <n v="0"/>
    <n v="0"/>
    <n v="0"/>
    <n v="0"/>
    <n v="593.54140451592798"/>
    <n v="1857.7845961348546"/>
    <n v="0"/>
    <n v="0"/>
    <n v="0"/>
    <n v="0"/>
    <n v="220"/>
    <n v="717.7811739599789"/>
    <n v="0"/>
    <n v="0"/>
    <n v="440"/>
    <n v="1435.562347919958"/>
    <n v="0"/>
    <n v="0"/>
    <n v="0"/>
    <n v="0"/>
    <n v="0"/>
    <n v="0"/>
    <n v="0"/>
    <n v="0"/>
    <n v="0"/>
    <n v="0"/>
    <n v="0"/>
    <n v="0"/>
    <n v="0"/>
    <n v="0"/>
    <n v="660"/>
    <n v="2153.3435218799368"/>
    <n v="66.458595484072021"/>
    <n v="0.11196960309495742"/>
    <n v="295.55892574508221"/>
    <n v="0.15909213929321864"/>
  </r>
  <r>
    <x v="3"/>
    <s v="ESPAÑA"/>
    <s v="FITOSANITARIOS DRAGO S.L.U"/>
    <s v="Consolidado/estratégico"/>
    <s v="S0020"/>
    <s v="SALWAX STAR, 20 L"/>
    <n v="20"/>
    <n v="1.797027027027027"/>
    <n v="1.871735874811669"/>
    <n v="0"/>
    <n v="0"/>
    <n v="0"/>
    <n v="0"/>
    <n v="0"/>
    <n v="0"/>
    <n v="98.92356741932133"/>
    <n v="194.87942781606299"/>
    <n v="633.11083148365651"/>
    <n v="1120.606171726072"/>
    <n v="0"/>
    <n v="0"/>
    <n v="0"/>
    <n v="0"/>
    <n v="0"/>
    <n v="0"/>
    <n v="0"/>
    <n v="0"/>
    <n v="0"/>
    <n v="0"/>
    <n v="0"/>
    <n v="0"/>
    <n v="0"/>
    <n v="0"/>
    <n v="732.03439890297784"/>
    <n v="1315.4855995421351"/>
    <n v="0"/>
    <n v="0"/>
    <n v="0"/>
    <n v="0"/>
    <n v="0"/>
    <n v="0"/>
    <n v="100"/>
    <n v="205.34837535596259"/>
    <n v="680"/>
    <n v="1254.6056069971401"/>
    <n v="0"/>
    <n v="0"/>
    <n v="0"/>
    <n v="0"/>
    <n v="0"/>
    <n v="0"/>
    <n v="0"/>
    <n v="0"/>
    <n v="0"/>
    <n v="0"/>
    <n v="0"/>
    <n v="0"/>
    <n v="0"/>
    <n v="0"/>
    <n v="780"/>
    <n v="1459.9539823531027"/>
    <n v="47.965601097022159"/>
    <n v="6.5523698297379335E-2"/>
    <n v="144.46838281096757"/>
    <n v="0.10982133355260666"/>
  </r>
  <r>
    <x v="3"/>
    <s v="ESPAÑA"/>
    <s v="FITOSANITARIOS DRAGO S.L.U"/>
    <s v="Consolidado/estratégico"/>
    <s v="S0200"/>
    <s v="SAL-WAX STAR, 200 L"/>
    <n v="200"/>
    <n v="1.7010000000000001"/>
    <n v="1.7730841953324481"/>
    <n v="0"/>
    <n v="0"/>
    <n v="791.38853935457064"/>
    <n v="1346.151905442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346.151905442124"/>
    <n v="0"/>
    <n v="0"/>
    <n v="800"/>
    <n v="1418.467356265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1418.467356265958"/>
    <n v="8.6114606454293607"/>
    <n v="1.0881457359052195E-2"/>
    <n v="72.315450823833999"/>
    <n v="5.3720126630198574E-2"/>
  </r>
  <r>
    <x v="3"/>
    <s v="ESPAÑA"/>
    <s v="FITOSANITARIOS DRAGO S.L.U"/>
    <s v="Consolidado/estratégico"/>
    <s v="S1000"/>
    <s v="SAL-WAX STAR, 1000 L"/>
    <n v="1000"/>
    <n v="1.5389999999999999"/>
    <n v="1.1883103954609"/>
    <n v="0"/>
    <n v="0"/>
    <n v="1978.4713483864259"/>
    <n v="3044.8674051667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3044.8674051667099"/>
    <n v="0"/>
    <n v="0"/>
    <n v="3000"/>
    <n v="3564.9311863827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3564.9311863827011"/>
    <n v="1021.5286516135741"/>
    <n v="0.51632218603857882"/>
    <n v="520.06378121599118"/>
    <n v="0.17080014070022109"/>
  </r>
  <r>
    <x v="3"/>
    <s v="ESPAÑA"/>
    <s v="FITOSANITARIOS DRAGO S.L.U"/>
    <s v="Consolidado/estratégico"/>
    <s v="S1000"/>
    <s v="SALWAX STAR, 1000 L"/>
    <n v="1000"/>
    <n v="1.539471266835148"/>
    <n v="1.604705476724158"/>
    <n v="0"/>
    <n v="0"/>
    <n v="0"/>
    <n v="0"/>
    <n v="0"/>
    <n v="0"/>
    <n v="0"/>
    <n v="0"/>
    <n v="989.23567419321319"/>
    <n v="1523.4229382575479"/>
    <n v="0"/>
    <n v="0"/>
    <n v="0"/>
    <n v="0"/>
    <n v="0"/>
    <n v="0"/>
    <n v="0"/>
    <n v="0"/>
    <n v="1895.992278596779"/>
    <n v="2918.5641141866408"/>
    <n v="1895.992278596779"/>
    <n v="2918.5641141866408"/>
    <n v="0"/>
    <n v="0"/>
    <n v="4781.220231386771"/>
    <n v="7360.5511666308294"/>
    <n v="0"/>
    <n v="0"/>
    <n v="0"/>
    <n v="0"/>
    <n v="0"/>
    <n v="0"/>
    <n v="0"/>
    <n v="0"/>
    <n v="1000"/>
    <n v="1605.2614114120929"/>
    <n v="0"/>
    <n v="0"/>
    <n v="0"/>
    <n v="0"/>
    <n v="0"/>
    <n v="0"/>
    <n v="0"/>
    <n v="0"/>
    <n v="2000"/>
    <n v="3209.1329861043491"/>
    <n v="2000"/>
    <n v="3209.1329861043491"/>
    <n v="0"/>
    <n v="0"/>
    <n v="5000"/>
    <n v="8023.5273836207907"/>
    <n v="218.77976861322895"/>
    <n v="4.575814499759466E-2"/>
    <n v="662.97621698996136"/>
    <n v="9.0071545184764706E-2"/>
  </r>
  <r>
    <x v="3"/>
    <s v="ESPAÑA"/>
    <s v="FITOSANITARIOS DRAGO S.L.U"/>
    <s v="Consolidado/estratégico"/>
    <s v="START20005"/>
    <s v="RADISOL STARTER, 5 L"/>
    <n v="5"/>
    <n v="4.79"/>
    <n v="4.992988416015538"/>
    <n v="0"/>
    <n v="0"/>
    <n v="0"/>
    <n v="0"/>
    <n v="0"/>
    <n v="0"/>
    <n v="98.92356741932133"/>
    <n v="473.84388793854907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473.84388793854907"/>
    <n v="0"/>
    <n v="0"/>
    <n v="0"/>
    <n v="0"/>
    <n v="0"/>
    <n v="0"/>
    <n v="110"/>
    <n v="549.22872576170914"/>
    <n v="0"/>
    <n v="0"/>
    <n v="0"/>
    <n v="0"/>
    <n v="0"/>
    <n v="0"/>
    <n v="0"/>
    <n v="0"/>
    <n v="0"/>
    <n v="0"/>
    <n v="0"/>
    <n v="0"/>
    <n v="0"/>
    <n v="0"/>
    <n v="0"/>
    <n v="0"/>
    <n v="110"/>
    <n v="549.22872576170914"/>
    <n v="11.07643258067867"/>
    <n v="0.11196960309495742"/>
    <n v="75.384837823160069"/>
    <n v="0.15909213929321891"/>
  </r>
  <r>
    <x v="3"/>
    <s v="ESPAÑA"/>
    <s v="FITOSANITARIOS DRAGO S.L.U"/>
    <s v="Consolidado/estratégico"/>
    <s v="WHITE0020"/>
    <s v="AGROWHITE, 20 KG"/>
    <n v="20"/>
    <n v="1.65"/>
    <n v="1.7199229407986709"/>
    <n v="0"/>
    <n v="0"/>
    <n v="0"/>
    <n v="0"/>
    <n v="0"/>
    <n v="0"/>
    <n v="0"/>
    <n v="0"/>
    <n v="118.7082809031856"/>
    <n v="195.86866349025621"/>
    <n v="0"/>
    <n v="0"/>
    <n v="0"/>
    <n v="0"/>
    <n v="0"/>
    <n v="0"/>
    <n v="0"/>
    <n v="0"/>
    <n v="0"/>
    <n v="0"/>
    <n v="0"/>
    <n v="0"/>
    <n v="0"/>
    <n v="0"/>
    <n v="118.7082809031856"/>
    <n v="195.86866349025621"/>
    <n v="0"/>
    <n v="0"/>
    <n v="0"/>
    <n v="0"/>
    <n v="0"/>
    <n v="0"/>
    <n v="0"/>
    <n v="0"/>
    <n v="120"/>
    <n v="206.39075289584059"/>
    <n v="0"/>
    <n v="0"/>
    <n v="0"/>
    <n v="0"/>
    <n v="0"/>
    <n v="0"/>
    <n v="0"/>
    <n v="0"/>
    <n v="0"/>
    <n v="0"/>
    <n v="0"/>
    <n v="0"/>
    <n v="0"/>
    <n v="0"/>
    <n v="120"/>
    <n v="206.39075289584059"/>
    <n v="1.2917190968144041"/>
    <n v="1.0881457359052195E-2"/>
    <n v="10.522089405584381"/>
    <n v="5.3720126630198907E-2"/>
  </r>
  <r>
    <x v="3"/>
    <s v="ESPAÑA"/>
    <s v="FITOXENT S.C.L.V."/>
    <s v="Consolidado/estratégico"/>
    <s v="AGMNP0005"/>
    <s v="AGROXILATO MN PLUS, 5 KG"/>
    <n v="5"/>
    <n v="4.37"/>
    <n v="4.5551898492667844"/>
    <n v="0"/>
    <n v="0"/>
    <n v="222.57802669347299"/>
    <n v="972.66597665047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57802669347299"/>
    <n v="972.66597665047686"/>
    <n v="0"/>
    <n v="0"/>
    <n v="240"/>
    <n v="1093.2455638240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1093.2455638240281"/>
    <n v="17.421973306527008"/>
    <n v="7.8273554516322341E-2"/>
    <n v="120.5795871735512"/>
    <n v="0.12396813507221188"/>
  </r>
  <r>
    <x v="3"/>
    <s v="ESPAÑA"/>
    <s v="FITOXENT S.C.L.V."/>
    <s v="Consolidado/estratégico"/>
    <s v="AGRMGN0020"/>
    <s v="AGROXIGREEN-MG, 20 L"/>
    <n v="20"/>
    <n v="2.919999999999999"/>
    <n v="3.0437424164437079"/>
    <n v="0"/>
    <n v="0"/>
    <n v="0"/>
    <n v="0"/>
    <n v="0"/>
    <n v="0"/>
    <n v="633.11083148365651"/>
    <n v="1848.683627932277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1848.683627932277"/>
    <n v="0"/>
    <n v="0"/>
    <n v="0"/>
    <n v="0"/>
    <n v="0"/>
    <n v="0"/>
    <n v="760"/>
    <n v="2313.244236497218"/>
    <n v="0"/>
    <n v="0"/>
    <n v="0"/>
    <n v="0"/>
    <n v="0"/>
    <n v="0"/>
    <n v="0"/>
    <n v="0"/>
    <n v="0"/>
    <n v="0"/>
    <n v="0"/>
    <n v="0"/>
    <n v="0"/>
    <n v="0"/>
    <n v="0"/>
    <n v="0"/>
    <n v="760"/>
    <n v="2313.244236497218"/>
    <n v="126.88916851634349"/>
    <n v="0.20042173061387447"/>
    <n v="464.56060856494105"/>
    <n v="0.25129265037336035"/>
  </r>
  <r>
    <x v="3"/>
    <s v="ESPAÑA"/>
    <s v="FITOXENT S.C.L.V."/>
    <s v="Consolidado/estratégico"/>
    <s v="AGXK0020"/>
    <s v="AGROXILATO-K, 20 L"/>
    <n v="20"/>
    <n v="2.9371275614794148"/>
    <n v="3.0625278725428151"/>
    <n v="0"/>
    <n v="0"/>
    <n v="0"/>
    <n v="0"/>
    <n v="0"/>
    <n v="0"/>
    <n v="0"/>
    <n v="0"/>
    <n v="0"/>
    <n v="0"/>
    <n v="0"/>
    <n v="0"/>
    <n v="1899.33249445097"/>
    <n v="5716.990808297418"/>
    <n v="0"/>
    <n v="0"/>
    <n v="0"/>
    <n v="0"/>
    <n v="606.7175291509692"/>
    <n v="1643.597786469976"/>
    <n v="0"/>
    <n v="0"/>
    <n v="0"/>
    <n v="0"/>
    <n v="2506.0500236019393"/>
    <n v="7360.5885947673942"/>
    <n v="0"/>
    <n v="0"/>
    <n v="0"/>
    <n v="0"/>
    <n v="0"/>
    <n v="0"/>
    <n v="0"/>
    <n v="0"/>
    <n v="0"/>
    <n v="0"/>
    <n v="0"/>
    <n v="0"/>
    <n v="2100"/>
    <n v="6588.8684295687281"/>
    <n v="0"/>
    <n v="0"/>
    <n v="0"/>
    <n v="0"/>
    <n v="660"/>
    <n v="1863.708498649441"/>
    <n v="0"/>
    <n v="0"/>
    <n v="0"/>
    <n v="0"/>
    <n v="2760"/>
    <n v="8452.5769282181682"/>
    <n v="253.9499763980607"/>
    <n v="0.10133475948459283"/>
    <n v="1091.988333450774"/>
    <n v="0.14835611573605176"/>
  </r>
  <r>
    <x v="3"/>
    <s v="ESPAÑA"/>
    <s v="FITOXENT S.C.L.V."/>
    <s v="Consolidado/estratégico"/>
    <s v="AN0020"/>
    <s v="ALCAPLANT NEW, 20 KG"/>
    <n v="20"/>
    <n v="1.56"/>
    <n v="1.626108962209653"/>
    <n v="0"/>
    <n v="0"/>
    <n v="1088.159241612535"/>
    <n v="1697.5284169155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5"/>
    <n v="1697.5284169155541"/>
    <n v="0"/>
    <n v="0"/>
    <n v="1200"/>
    <n v="1951.330754651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1951.330754651583"/>
    <n v="111.84075838746503"/>
    <n v="0.10277977166442023"/>
    <n v="253.8023377360289"/>
    <n v="0.1495128654147618"/>
  </r>
  <r>
    <x v="3"/>
    <s v="ESPAÑA"/>
    <s v="FITOXENT S.C.L.V."/>
    <s v="Consolidado/estratégico"/>
    <s v="B0001"/>
    <s v="BOROCAL,1 L"/>
    <n v="1"/>
    <n v="4.7885714285714283"/>
    <n v="4.9924028106560554"/>
    <n v="0"/>
    <n v="0"/>
    <n v="23.741656180637118"/>
    <n v="110.636117801769"/>
    <n v="0"/>
    <n v="0"/>
    <n v="0"/>
    <n v="0"/>
    <n v="0"/>
    <n v="0"/>
    <n v="59.354140451592791"/>
    <n v="287.27403978570908"/>
    <n v="0"/>
    <n v="0"/>
    <n v="0"/>
    <n v="0"/>
    <n v="0"/>
    <n v="0"/>
    <n v="0"/>
    <n v="0"/>
    <n v="0"/>
    <n v="0"/>
    <n v="0"/>
    <n v="0"/>
    <n v="83.095796632229906"/>
    <n v="397.91015758747807"/>
    <n v="0"/>
    <n v="0"/>
    <n v="25"/>
    <n v="121.43698339578501"/>
    <n v="0"/>
    <n v="0"/>
    <n v="0"/>
    <n v="0"/>
    <n v="0"/>
    <n v="0"/>
    <n v="64"/>
    <n v="322.88686675260391"/>
    <n v="0"/>
    <n v="0"/>
    <n v="0"/>
    <n v="0"/>
    <n v="0"/>
    <n v="0"/>
    <n v="0"/>
    <n v="0"/>
    <n v="0"/>
    <n v="0"/>
    <n v="0"/>
    <n v="0"/>
    <n v="89"/>
    <n v="444.32385014838894"/>
    <n v="5.9042033677700942"/>
    <n v="7.1052972678043544E-2"/>
    <n v="46.413692560910874"/>
    <n v="0.11664364851180536"/>
  </r>
  <r>
    <x v="3"/>
    <s v="ESPAÑA"/>
    <s v="FITOXENT S.C.L.V."/>
    <s v="Consolidado/estratégico"/>
    <s v="B0005"/>
    <s v="BOROCAL, 5 L"/>
    <n v="5"/>
    <n v="3.28"/>
    <n v="3.4189983307997829"/>
    <n v="0"/>
    <n v="0"/>
    <n v="0"/>
    <n v="0"/>
    <n v="0"/>
    <n v="0"/>
    <n v="0"/>
    <n v="0"/>
    <n v="0"/>
    <n v="0"/>
    <n v="98.92356741932133"/>
    <n v="324.46930113537388"/>
    <n v="98.92356741932133"/>
    <n v="324.46930113537388"/>
    <n v="0"/>
    <n v="0"/>
    <n v="0"/>
    <n v="0"/>
    <n v="0"/>
    <n v="0"/>
    <n v="0"/>
    <n v="0"/>
    <n v="0"/>
    <n v="0"/>
    <n v="197.84713483864266"/>
    <n v="648.93860227074777"/>
    <n v="0"/>
    <n v="0"/>
    <n v="0"/>
    <n v="0"/>
    <n v="0"/>
    <n v="0"/>
    <n v="0"/>
    <n v="0"/>
    <n v="0"/>
    <n v="0"/>
    <n v="110"/>
    <n v="376.0898163879761"/>
    <n v="110"/>
    <n v="376.0898163879761"/>
    <n v="0"/>
    <n v="0"/>
    <n v="0"/>
    <n v="0"/>
    <n v="0"/>
    <n v="0"/>
    <n v="0"/>
    <n v="0"/>
    <n v="0"/>
    <n v="0"/>
    <n v="220"/>
    <n v="752.1796327759522"/>
    <n v="22.15286516135734"/>
    <n v="0.11196960309495742"/>
    <n v="103.24103050520444"/>
    <n v="0.15909213929321867"/>
  </r>
  <r>
    <x v="3"/>
    <s v="ESPAÑA"/>
    <s v="FITOXENT S.C.L.V."/>
    <s v="Consolidado/estratégico"/>
    <s v="B0020"/>
    <s v="BOROCAL, 20 L"/>
    <n v="20"/>
    <n v="2.89"/>
    <n v="3.0124710902473701"/>
    <n v="0"/>
    <n v="0"/>
    <n v="118.7082809031856"/>
    <n v="337.13151776504708"/>
    <n v="0"/>
    <n v="0"/>
    <n v="0"/>
    <n v="0"/>
    <n v="0"/>
    <n v="0"/>
    <n v="0"/>
    <n v="0"/>
    <n v="98.92356741932133"/>
    <n v="291.82452388699789"/>
    <n v="0"/>
    <n v="0"/>
    <n v="0"/>
    <n v="0"/>
    <n v="0"/>
    <n v="0"/>
    <n v="0"/>
    <n v="0"/>
    <n v="0"/>
    <n v="0"/>
    <n v="217.63184832250693"/>
    <n v="628.95604165204497"/>
    <n v="0"/>
    <n v="0"/>
    <n v="120"/>
    <n v="355.24226559041648"/>
    <n v="0"/>
    <n v="0"/>
    <n v="0"/>
    <n v="0"/>
    <n v="0"/>
    <n v="0"/>
    <n v="0"/>
    <n v="0"/>
    <n v="100"/>
    <n v="307.50137426400482"/>
    <n v="0"/>
    <n v="0"/>
    <n v="0"/>
    <n v="0"/>
    <n v="0"/>
    <n v="0"/>
    <n v="0"/>
    <n v="0"/>
    <n v="0"/>
    <n v="0"/>
    <n v="220"/>
    <n v="662.7436398544213"/>
    <n v="2.3681516774930742"/>
    <n v="1.0881457359052195E-2"/>
    <n v="33.78759820237633"/>
    <n v="5.3720126630198616E-2"/>
  </r>
  <r>
    <x v="3"/>
    <s v="ESPAÑA"/>
    <s v="FITOXENT S.C.L.V."/>
    <s v="Consolidado/estratégico"/>
    <s v="BIO0020"/>
    <s v="BIORAD-20, 20 L"/>
    <n v="20"/>
    <n v="2.2919634075448041"/>
    <n v="2.3892141269313658"/>
    <n v="197.84713483864269"/>
    <n v="447.13452473533238"/>
    <n v="494.61783709660659"/>
    <n v="1127.728668580263"/>
    <n v="0"/>
    <n v="0"/>
    <n v="1899.3324944509691"/>
    <n v="4330.4780873482096"/>
    <n v="0"/>
    <n v="0"/>
    <n v="633.11083148365651"/>
    <n v="1481.4793456717559"/>
    <n v="633.11083148365651"/>
    <n v="1481.4793456717559"/>
    <n v="0"/>
    <n v="0"/>
    <n v="0"/>
    <n v="0"/>
    <n v="0"/>
    <n v="0"/>
    <n v="606.7175291509692"/>
    <n v="1364.7130736088579"/>
    <n v="0"/>
    <n v="0"/>
    <n v="4464.7366585045002"/>
    <n v="10233.013045616175"/>
    <n v="240"/>
    <n v="565.3855776298177"/>
    <n v="620"/>
    <n v="1473.504890371516"/>
    <n v="0"/>
    <n v="0"/>
    <n v="2400"/>
    <n v="5703.889898212321"/>
    <n v="0"/>
    <n v="0"/>
    <n v="800"/>
    <n v="1951.330754651583"/>
    <n v="800"/>
    <n v="1951.330754651583"/>
    <n v="0"/>
    <n v="0"/>
    <n v="0"/>
    <n v="0"/>
    <n v="0"/>
    <n v="0"/>
    <n v="760"/>
    <n v="1781.941517837455"/>
    <n v="0"/>
    <n v="0"/>
    <n v="5620"/>
    <n v="13427.383393354276"/>
    <n v="1155.2633414954998"/>
    <n v="0.25875285148003885"/>
    <n v="3194.3703477381005"/>
    <n v="0.31216322440892125"/>
  </r>
  <r>
    <x v="3"/>
    <s v="ESPAÑA"/>
    <s v="FITOXENT S.C.L.V."/>
    <s v="Consolidado/estratégico"/>
    <s v="C-CU0005"/>
    <s v="CODICOBRE, 5 L"/>
    <n v="5"/>
    <n v="3.93"/>
    <n v="4.0965437317204714"/>
    <n v="0"/>
    <n v="0"/>
    <n v="0"/>
    <n v="0"/>
    <n v="0"/>
    <n v="0"/>
    <n v="0"/>
    <n v="0"/>
    <n v="0"/>
    <n v="0"/>
    <n v="0"/>
    <n v="0"/>
    <n v="435.26369664501391"/>
    <n v="1710.5863278149041"/>
    <n v="0"/>
    <n v="0"/>
    <n v="0"/>
    <n v="0"/>
    <n v="0"/>
    <n v="0"/>
    <n v="0"/>
    <n v="0"/>
    <n v="0"/>
    <n v="0"/>
    <n v="435.26369664501391"/>
    <n v="1710.5863278149041"/>
    <n v="0"/>
    <n v="0"/>
    <n v="0"/>
    <n v="0"/>
    <n v="0"/>
    <n v="0"/>
    <n v="0"/>
    <n v="0"/>
    <n v="0"/>
    <n v="0"/>
    <n v="0"/>
    <n v="0"/>
    <n v="475"/>
    <n v="1945.858272567224"/>
    <n v="0"/>
    <n v="0"/>
    <n v="0"/>
    <n v="0"/>
    <n v="0"/>
    <n v="0"/>
    <n v="0"/>
    <n v="0"/>
    <n v="0"/>
    <n v="0"/>
    <n v="475"/>
    <n v="1945.858272567224"/>
    <n v="39.736303354986092"/>
    <n v="9.1292482376249387E-2"/>
    <n v="235.27194475232"/>
    <n v="0.13753877306669193"/>
  </r>
  <r>
    <x v="3"/>
    <s v="ESPAÑA"/>
    <s v="FITOXENT S.C.L.V."/>
    <s v="Consolidado/estratégico"/>
    <s v="C-L0001"/>
    <s v="CODIBOR-L, 1 L"/>
    <n v="1"/>
    <n v="5.5666666666666664"/>
    <n v="5.8011053192998867"/>
    <n v="0"/>
    <n v="0"/>
    <n v="11.870828090318559"/>
    <n v="64.814721373139321"/>
    <n v="0"/>
    <n v="0"/>
    <n v="0"/>
    <n v="0"/>
    <n v="23.741656180637118"/>
    <n v="133.42810773518059"/>
    <n v="0"/>
    <n v="0"/>
    <n v="0"/>
    <n v="0"/>
    <n v="0"/>
    <n v="0"/>
    <n v="0"/>
    <n v="0"/>
    <n v="0"/>
    <n v="0"/>
    <n v="0"/>
    <n v="0"/>
    <n v="0"/>
    <n v="0"/>
    <n v="35.612484270955676"/>
    <n v="198.24282910831991"/>
    <n v="0"/>
    <n v="0"/>
    <n v="13"/>
    <n v="73.98795778053919"/>
    <n v="0"/>
    <n v="0"/>
    <n v="0"/>
    <n v="0"/>
    <n v="25"/>
    <n v="146.4540443528565"/>
    <n v="0"/>
    <n v="0"/>
    <n v="0"/>
    <n v="0"/>
    <n v="0"/>
    <n v="0"/>
    <n v="0"/>
    <n v="0"/>
    <n v="0"/>
    <n v="0"/>
    <n v="0"/>
    <n v="0"/>
    <n v="0"/>
    <n v="0"/>
    <n v="38"/>
    <n v="220.4420021333957"/>
    <n v="2.3875157290443241"/>
    <n v="6.7041538323444075E-2"/>
    <n v="22.199173025075794"/>
    <n v="0.11197970249378435"/>
  </r>
  <r>
    <x v="3"/>
    <s v="ESPAÑA"/>
    <s v="FITOXENT S.C.L.V."/>
    <s v="Consolidado/estratégico"/>
    <s v="C-L0005"/>
    <s v="CODIBOR-L, 5 L"/>
    <n v="5"/>
    <n v="4.3923076923076918"/>
    <n v="4.5777431087659624"/>
    <n v="0"/>
    <n v="0"/>
    <n v="59.354140451592791"/>
    <n v="255.22280394184901"/>
    <n v="0"/>
    <n v="0"/>
    <n v="0"/>
    <n v="0"/>
    <n v="0"/>
    <n v="0"/>
    <n v="0"/>
    <n v="0"/>
    <n v="0"/>
    <n v="0"/>
    <n v="197.84713483864269"/>
    <n v="874.48433598680049"/>
    <n v="0"/>
    <n v="0"/>
    <n v="0"/>
    <n v="0"/>
    <n v="0"/>
    <n v="0"/>
    <n v="0"/>
    <n v="0"/>
    <n v="257.20127529023546"/>
    <n v="1129.7071399286494"/>
    <n v="0"/>
    <n v="0"/>
    <n v="65"/>
    <n v="291.34452239589609"/>
    <n v="0"/>
    <n v="0"/>
    <n v="0"/>
    <n v="0"/>
    <n v="0"/>
    <n v="0"/>
    <n v="0"/>
    <n v="0"/>
    <n v="0"/>
    <n v="0"/>
    <n v="210"/>
    <n v="967.53483251474358"/>
    <n v="0"/>
    <n v="0"/>
    <n v="0"/>
    <n v="0"/>
    <n v="0"/>
    <n v="0"/>
    <n v="0"/>
    <n v="0"/>
    <n v="275"/>
    <n v="1258.8793549106397"/>
    <n v="17.798724709764542"/>
    <n v="6.9201541437459047E-2"/>
    <n v="129.17221498199024"/>
    <n v="0.11434132831111304"/>
  </r>
  <r>
    <x v="3"/>
    <s v="ESPAÑA"/>
    <s v="FITOXENT S.C.L.V."/>
    <s v="Consolidado/estratégico"/>
    <s v="C-L0020"/>
    <s v="CODIBOR-L, 20 L"/>
    <n v="20"/>
    <n v="4.2300000000000004"/>
    <n v="4.4092569936838659"/>
    <n v="19.78471348386427"/>
    <n v="83.689338036745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83.689338036745838"/>
    <n v="20"/>
    <n v="88.185139873677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88.185139873677315"/>
    <n v="0.21528651613573047"/>
    <n v="1.0881457359052014E-2"/>
    <n v="4.4958018369314772"/>
    <n v="5.3720126630198532E-2"/>
  </r>
  <r>
    <x v="3"/>
    <s v="ESPAÑA"/>
    <s v="FITOXENT S.C.L.V."/>
    <s v="Consolidado/estratégico"/>
    <s v="C-MB0005"/>
    <s v="CODIFOL-MB, 5 L"/>
    <n v="5"/>
    <n v="7.49"/>
    <n v="7.8074077736860907"/>
    <n v="0"/>
    <n v="0"/>
    <n v="59.354140451592791"/>
    <n v="444.56251198243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444.56251198243001"/>
    <n v="0"/>
    <n v="0"/>
    <n v="65"/>
    <n v="507.48150528959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507.48150528959587"/>
    <n v="5.6458595484072092"/>
    <n v="9.5121578805640011E-2"/>
    <n v="62.918993307165863"/>
    <n v="0.14153013718271537"/>
  </r>
  <r>
    <x v="3"/>
    <s v="ESPAÑA"/>
    <s v="FITOXENT S.C.L.V."/>
    <s v="Consolidado/estratégico"/>
    <s v="CBROT0001"/>
    <s v="CODIBROT, 1 L"/>
    <n v="1"/>
    <n v="4.2699999999999996"/>
    <n v="4.4509520952789856"/>
    <n v="0"/>
    <n v="0"/>
    <n v="23.741656180637118"/>
    <n v="101.3768718913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101.3768718913205"/>
    <n v="0"/>
    <n v="0"/>
    <n v="26"/>
    <n v="115.7247544772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15.7247544772536"/>
    <n v="2.2583438193628815"/>
    <n v="9.5121578805639914E-2"/>
    <n v="14.347882585933093"/>
    <n v="0.14153013718271479"/>
  </r>
  <r>
    <x v="3"/>
    <s v="ESPAÑA"/>
    <s v="FITOXENT S.C.L.V."/>
    <s v="Consolidado/estratégico"/>
    <s v="CBROT0005"/>
    <s v="CODIBROT, 5 L"/>
    <n v="5"/>
    <n v="3.22"/>
    <n v="3.3564556784071038"/>
    <n v="0"/>
    <n v="0"/>
    <n v="197.84713483864269"/>
    <n v="637.0677741804293"/>
    <n v="0"/>
    <n v="0"/>
    <n v="197.84713483864269"/>
    <n v="637.0677741804293"/>
    <n v="0"/>
    <n v="0"/>
    <n v="0"/>
    <n v="0"/>
    <n v="0"/>
    <n v="0"/>
    <n v="0"/>
    <n v="0"/>
    <n v="0"/>
    <n v="0"/>
    <n v="0"/>
    <n v="0"/>
    <n v="0"/>
    <n v="0"/>
    <n v="0"/>
    <n v="0"/>
    <n v="395.69426967728538"/>
    <n v="1274.1355483608586"/>
    <n v="0"/>
    <n v="0"/>
    <n v="215"/>
    <n v="721.63797085752731"/>
    <n v="0"/>
    <n v="0"/>
    <n v="215"/>
    <n v="721.63797085752731"/>
    <n v="0"/>
    <n v="0"/>
    <n v="0"/>
    <n v="0"/>
    <n v="0"/>
    <n v="0"/>
    <n v="0"/>
    <n v="0"/>
    <n v="0"/>
    <n v="0"/>
    <n v="0"/>
    <n v="0"/>
    <n v="0"/>
    <n v="0"/>
    <n v="0"/>
    <n v="0"/>
    <n v="430"/>
    <n v="1443.2759417150546"/>
    <n v="34.305730322714624"/>
    <n v="8.6697566660980954E-2"/>
    <n v="169.14039335419602"/>
    <n v="0.13274913612746353"/>
  </r>
  <r>
    <x v="3"/>
    <s v="ESPAÑA"/>
    <s v="FITOXENT S.C.L.V."/>
    <s v="Consolidado/estratégico"/>
    <s v="CBROT0020"/>
    <s v="CODIBROT, 20 L"/>
    <n v="20"/>
    <n v="2.919999999999999"/>
    <n v="3.0437424164437088"/>
    <n v="98.92356741932133"/>
    <n v="288.85681686441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88.85681686441819"/>
    <n v="100"/>
    <n v="304.3742416443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304.3742416443709"/>
    <n v="1.0764325806786701"/>
    <n v="1.0881457359052195E-2"/>
    <n v="15.517424779952705"/>
    <n v="5.3720126630198851E-2"/>
  </r>
  <r>
    <x v="3"/>
    <s v="ESPAÑA"/>
    <s v="FITOXENT S.C.L.V."/>
    <s v="Consolidado/estratégico"/>
    <s v="FTK0005"/>
    <s v="FITOKONTROL CA FLOW, 5 KG"/>
    <n v="5"/>
    <n v="2.4903935114092861"/>
    <n v="2.5959103954669098"/>
    <n v="0"/>
    <n v="0"/>
    <n v="0"/>
    <n v="0"/>
    <n v="0"/>
    <n v="0"/>
    <n v="0"/>
    <n v="0"/>
    <n v="0"/>
    <n v="0"/>
    <n v="0"/>
    <n v="0"/>
    <n v="0"/>
    <n v="0"/>
    <n v="2176.318483225069"/>
    <n v="5604.0200943045529"/>
    <n v="4171.183012912913"/>
    <n v="10203.756445338209"/>
    <n v="0"/>
    <n v="0"/>
    <n v="0"/>
    <n v="0"/>
    <n v="0"/>
    <n v="0"/>
    <n v="6347.501496137982"/>
    <n v="15807.776539642762"/>
    <n v="0"/>
    <n v="0"/>
    <n v="0"/>
    <n v="0"/>
    <n v="0"/>
    <n v="0"/>
    <n v="0"/>
    <n v="0"/>
    <n v="0"/>
    <n v="0"/>
    <n v="0"/>
    <n v="0"/>
    <n v="0"/>
    <n v="0"/>
    <n v="2740"/>
    <n v="7354.494732609106"/>
    <n v="5255"/>
    <n v="13399.808879148841"/>
    <n v="0"/>
    <n v="0"/>
    <n v="0"/>
    <n v="0"/>
    <n v="0"/>
    <n v="0"/>
    <n v="7995"/>
    <n v="20754.303611757947"/>
    <n v="1647.498503862018"/>
    <n v="0.25955070744991671"/>
    <n v="4946.5270721151846"/>
    <n v="0.31291732013735629"/>
  </r>
  <r>
    <x v="3"/>
    <s v="ESPAÑA"/>
    <s v="FITOXENT S.C.L.V."/>
    <s v="Consolidado/estratégico"/>
    <s v="FU0001"/>
    <s v="FULVIGIN, 1 L"/>
    <n v="1"/>
    <n v="4.16"/>
    <n v="4.3362905658924076"/>
    <n v="0"/>
    <n v="0"/>
    <n v="23.741656180637118"/>
    <n v="98.765289711450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98.765289711450407"/>
    <n v="0"/>
    <n v="0"/>
    <n v="25"/>
    <n v="108.4072641473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08.4072641473102"/>
    <n v="1.2583438193628815"/>
    <n v="5.3001518082346072E-2"/>
    <n v="9.6419744358597939"/>
    <n v="9.762513190645708E-2"/>
  </r>
  <r>
    <x v="3"/>
    <s v="ESPAÑA"/>
    <s v="FITOXENT S.C.L.V."/>
    <s v="Consolidado/estratégico"/>
    <s v="G30001"/>
    <s v="GREEN-UP, 1 L"/>
    <n v="1"/>
    <n v="6.4299999999999988"/>
    <n v="6.7024875814154274"/>
    <n v="11.870828090318559"/>
    <n v="76.329424620748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76.329424620748327"/>
    <n v="13"/>
    <n v="87.132338558400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87.132338558400548"/>
    <n v="1.1291719096814408"/>
    <n v="9.5121578805639914E-2"/>
    <n v="10.802913937652221"/>
    <n v="0.14153013718271509"/>
  </r>
  <r>
    <x v="3"/>
    <s v="ESPAÑA"/>
    <s v="FITOXENT S.C.L.V."/>
    <s v="Consolidado/estratégico"/>
    <s v="G30005"/>
    <s v="GREEN-UP, 5 L"/>
    <n v="5"/>
    <n v="5.42"/>
    <n v="5.6496862661386658"/>
    <n v="0"/>
    <n v="0"/>
    <n v="0"/>
    <n v="0"/>
    <n v="0"/>
    <n v="0"/>
    <n v="0"/>
    <n v="0"/>
    <n v="0"/>
    <n v="0"/>
    <n v="0"/>
    <n v="0"/>
    <n v="0"/>
    <n v="0"/>
    <n v="98.92356741932133"/>
    <n v="536.16573541272157"/>
    <n v="0"/>
    <n v="0"/>
    <n v="0"/>
    <n v="0"/>
    <n v="0"/>
    <n v="0"/>
    <n v="0"/>
    <n v="0"/>
    <n v="98.92356741932133"/>
    <n v="536.16573541272157"/>
    <n v="0"/>
    <n v="0"/>
    <n v="0"/>
    <n v="0"/>
    <n v="0"/>
    <n v="0"/>
    <n v="0"/>
    <n v="0"/>
    <n v="0"/>
    <n v="0"/>
    <n v="0"/>
    <n v="0"/>
    <n v="0"/>
    <n v="0"/>
    <n v="110"/>
    <n v="621.46548927525328"/>
    <n v="0"/>
    <n v="0"/>
    <n v="0"/>
    <n v="0"/>
    <n v="0"/>
    <n v="0"/>
    <n v="0"/>
    <n v="0"/>
    <n v="110"/>
    <n v="621.46548927525328"/>
    <n v="11.07643258067867"/>
    <n v="0.11196960309495742"/>
    <n v="85.299753862531702"/>
    <n v="0.15909213929321864"/>
  </r>
  <r>
    <x v="3"/>
    <s v="ESPAÑA"/>
    <s v="FITOXENT S.C.L.V."/>
    <s v="Consolidado/estratégico"/>
    <s v="G30020"/>
    <s v="GREEN-UP, 20 L"/>
    <n v="20"/>
    <n v="5.04"/>
    <n v="5.2535828009850318"/>
    <n v="98.92356741932133"/>
    <n v="495.60707277079979"/>
    <n v="0"/>
    <n v="0"/>
    <n v="0"/>
    <n v="0"/>
    <n v="0"/>
    <n v="0"/>
    <n v="0"/>
    <n v="0"/>
    <n v="0"/>
    <n v="0"/>
    <n v="98.92356741932133"/>
    <n v="501.54248681595908"/>
    <n v="0"/>
    <n v="0"/>
    <n v="0"/>
    <n v="0"/>
    <n v="0"/>
    <n v="0"/>
    <n v="0"/>
    <n v="0"/>
    <n v="0"/>
    <n v="0"/>
    <n v="197.84713483864266"/>
    <n v="997.14955958675887"/>
    <n v="100"/>
    <n v="522.23114747886927"/>
    <n v="0"/>
    <n v="0"/>
    <n v="0"/>
    <n v="0"/>
    <n v="0"/>
    <n v="0"/>
    <n v="0"/>
    <n v="0"/>
    <n v="0"/>
    <n v="0"/>
    <n v="100"/>
    <n v="528.48541271813724"/>
    <n v="0"/>
    <n v="0"/>
    <n v="0"/>
    <n v="0"/>
    <n v="0"/>
    <n v="0"/>
    <n v="0"/>
    <n v="0"/>
    <n v="0"/>
    <n v="0"/>
    <n v="200"/>
    <n v="1050.7165601970064"/>
    <n v="2.1528651613573402"/>
    <n v="1.0881457359052195E-2"/>
    <n v="53.567000610247533"/>
    <n v="5.3720126630198685E-2"/>
  </r>
  <r>
    <x v="3"/>
    <s v="ESPAÑA"/>
    <s v="FITOXENT S.C.L.V."/>
    <s v="Consolidado/estratégico"/>
    <s v="HST0020"/>
    <s v="HIDROSTRESS, 20 L"/>
    <n v="20"/>
    <n v="5.86"/>
    <n v="6.1083323836849779"/>
    <n v="197.84713483864269"/>
    <n v="1167.298095547992"/>
    <n v="197.84713483864269"/>
    <n v="1151.47032476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8"/>
    <n v="2318.768420308892"/>
    <n v="240"/>
    <n v="1476.0065964672231"/>
    <n v="240"/>
    <n v="1455.99294770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2931.9995441687888"/>
    <n v="84.305730322714624"/>
    <n v="0.21305774883086245"/>
    <n v="613.2311238598968"/>
    <n v="0.26446415195623801"/>
  </r>
  <r>
    <x v="3"/>
    <s v="ESPAÑA"/>
    <s v="FITOXENT S.C.L.V."/>
    <s v="Consolidado/estratégico"/>
    <s v="N0001"/>
    <s v="NUTRICALE, 1 L"/>
    <n v="1"/>
    <n v="3.53"/>
    <n v="3.6795927157692789"/>
    <n v="0"/>
    <n v="0"/>
    <n v="0"/>
    <n v="0"/>
    <n v="0"/>
    <n v="0"/>
    <n v="0"/>
    <n v="0"/>
    <n v="23.741656180637118"/>
    <n v="83.80804631764903"/>
    <n v="0"/>
    <n v="0"/>
    <n v="0"/>
    <n v="0"/>
    <n v="0"/>
    <n v="0"/>
    <n v="0"/>
    <n v="0"/>
    <n v="0"/>
    <n v="0"/>
    <n v="0"/>
    <n v="0"/>
    <n v="0"/>
    <n v="0"/>
    <n v="23.741656180637118"/>
    <n v="83.80804631764903"/>
    <n v="0"/>
    <n v="0"/>
    <n v="0"/>
    <n v="0"/>
    <n v="0"/>
    <n v="0"/>
    <n v="0"/>
    <n v="0"/>
    <n v="26"/>
    <n v="95.66941061000125"/>
    <n v="0"/>
    <n v="0"/>
    <n v="0"/>
    <n v="0"/>
    <n v="0"/>
    <n v="0"/>
    <n v="0"/>
    <n v="0"/>
    <n v="0"/>
    <n v="0"/>
    <n v="0"/>
    <n v="0"/>
    <n v="0"/>
    <n v="0"/>
    <n v="26"/>
    <n v="95.66941061000125"/>
    <n v="2.2583438193628815"/>
    <n v="9.5121578805639914E-2"/>
    <n v="11.861364292352221"/>
    <n v="0.14153013718271526"/>
  </r>
  <r>
    <x v="3"/>
    <s v="ESPAÑA"/>
    <s v="FITOXENT S.C.L.V."/>
    <s v="Consolidado/estratégico"/>
    <s v="N0020"/>
    <s v="NUTRICALE, 20 L"/>
    <n v="20"/>
    <n v="2.29"/>
    <n v="2.3870445663205802"/>
    <n v="0"/>
    <n v="0"/>
    <n v="0"/>
    <n v="0"/>
    <n v="0"/>
    <n v="0"/>
    <n v="197.84713483864269"/>
    <n v="453.06993878049173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453.06993878049173"/>
    <n v="0"/>
    <n v="0"/>
    <n v="0"/>
    <n v="0"/>
    <n v="0"/>
    <n v="0"/>
    <n v="220"/>
    <n v="525.14980459052754"/>
    <n v="0"/>
    <n v="0"/>
    <n v="0"/>
    <n v="0"/>
    <n v="0"/>
    <n v="0"/>
    <n v="0"/>
    <n v="0"/>
    <n v="0"/>
    <n v="0"/>
    <n v="0"/>
    <n v="0"/>
    <n v="0"/>
    <n v="0"/>
    <n v="0"/>
    <n v="0"/>
    <n v="220"/>
    <n v="525.14980459052754"/>
    <n v="22.152865161357312"/>
    <n v="0.11196960309495725"/>
    <n v="72.079865810035813"/>
    <n v="0.15909213929321817"/>
  </r>
  <r>
    <x v="3"/>
    <s v="ESPAÑA"/>
    <s v="FITOXENT S.C.L.V."/>
    <s v="Consolidado/estratégico"/>
    <s v="P-ZM3.50020"/>
    <s v="POLIGREEN-ZNMN, 20 L"/>
    <n v="20"/>
    <n v="2"/>
    <n v="2.0847550797559649"/>
    <n v="0"/>
    <n v="0"/>
    <n v="0"/>
    <n v="0"/>
    <n v="0"/>
    <n v="0"/>
    <n v="633.11083148365651"/>
    <n v="1266.221662967313"/>
    <n v="0"/>
    <n v="0"/>
    <n v="633.11083148365651"/>
    <n v="1266.221662967313"/>
    <n v="0"/>
    <n v="0"/>
    <n v="0"/>
    <n v="0"/>
    <n v="0"/>
    <n v="0"/>
    <n v="0"/>
    <n v="0"/>
    <n v="0"/>
    <n v="0"/>
    <n v="0"/>
    <n v="0"/>
    <n v="1266.221662967313"/>
    <n v="2532.443325934626"/>
    <n v="0"/>
    <n v="0"/>
    <n v="0"/>
    <n v="0"/>
    <n v="0"/>
    <n v="0"/>
    <n v="680"/>
    <n v="1417.633454234056"/>
    <n v="0"/>
    <n v="0"/>
    <n v="680"/>
    <n v="1417.633454234056"/>
    <n v="0"/>
    <n v="0"/>
    <n v="0"/>
    <n v="0"/>
    <n v="0"/>
    <n v="0"/>
    <n v="0"/>
    <n v="0"/>
    <n v="0"/>
    <n v="0"/>
    <n v="0"/>
    <n v="0"/>
    <n v="1360"/>
    <n v="2835.266908468112"/>
    <n v="93.778337032686977"/>
    <n v="7.4061548443992958E-2"/>
    <n v="302.82358253348593"/>
    <n v="0.11957763454458574"/>
  </r>
  <r>
    <x v="3"/>
    <s v="ESPAÑA"/>
    <s v="FITOXENT S.C.L.V."/>
    <s v="Consolidado/estratégico"/>
    <s v="PT0005"/>
    <s v="AGROPOTASION, 5 L"/>
    <n v="5"/>
    <n v="3.4087499999999999"/>
    <n v="3.5531036360734829"/>
    <n v="0"/>
    <n v="0"/>
    <n v="0"/>
    <n v="0"/>
    <n v="0"/>
    <n v="0"/>
    <n v="0"/>
    <n v="0"/>
    <n v="197.84713483864269"/>
    <n v="658.83095901268007"/>
    <n v="395.69426967728532"/>
    <n v="1353.2744022963161"/>
    <n v="989.2356741932133"/>
    <n v="3383.1860057407889"/>
    <n v="0"/>
    <n v="0"/>
    <n v="0"/>
    <n v="0"/>
    <n v="0"/>
    <n v="0"/>
    <n v="0"/>
    <n v="0"/>
    <n v="0"/>
    <n v="0"/>
    <n v="1582.7770787091413"/>
    <n v="5395.2913670497855"/>
    <n v="0"/>
    <n v="0"/>
    <n v="0"/>
    <n v="0"/>
    <n v="0"/>
    <n v="0"/>
    <n v="0"/>
    <n v="0"/>
    <n v="220"/>
    <n v="763.64578571461016"/>
    <n v="435"/>
    <n v="1550.745066076475"/>
    <n v="1090"/>
    <n v="3885.7749931571429"/>
    <n v="0"/>
    <n v="0"/>
    <n v="0"/>
    <n v="0"/>
    <n v="0"/>
    <n v="0"/>
    <n v="0"/>
    <n v="0"/>
    <n v="0"/>
    <n v="0"/>
    <n v="1745"/>
    <n v="6200.1658449482275"/>
    <n v="162.22292129085872"/>
    <n v="0.1024925894322163"/>
    <n v="804.87447789844191"/>
    <n v="0.14918091037936984"/>
  </r>
  <r>
    <x v="3"/>
    <s v="ESPAÑA"/>
    <s v="FITOXENT S.C.L.V."/>
    <s v="Consolidado/estratégico"/>
    <s v="PT0020"/>
    <s v="AGROPOTASION, 20 L"/>
    <n v="20"/>
    <n v="3.0650937186000382"/>
    <n v="3.1949470209029451"/>
    <n v="0"/>
    <n v="0"/>
    <n v="0"/>
    <n v="0"/>
    <n v="0"/>
    <n v="0"/>
    <n v="1266.221662967313"/>
    <n v="3887.3005053096508"/>
    <n v="633.11083148365651"/>
    <n v="2000.630227488354"/>
    <n v="633.11083148365651"/>
    <n v="2000.630227488354"/>
    <n v="5697.9974833529086"/>
    <n v="18005.67204739519"/>
    <n v="2532.443325934626"/>
    <n v="8002.5209099534177"/>
    <n v="2426.8701166038768"/>
    <n v="7075.5822059624761"/>
    <n v="2426.8701166038768"/>
    <n v="7075.5822059624761"/>
    <n v="1213.4350583019379"/>
    <n v="3537.7911029812381"/>
    <n v="0"/>
    <n v="0"/>
    <n v="16830.059426731852"/>
    <n v="51585.70943254116"/>
    <n v="0"/>
    <n v="0"/>
    <n v="0"/>
    <n v="0"/>
    <n v="0"/>
    <n v="0"/>
    <n v="1400"/>
    <n v="4480.13866639557"/>
    <n v="700"/>
    <n v="2305.7391182100969"/>
    <n v="700"/>
    <n v="2305.7391182100969"/>
    <n v="6280"/>
    <n v="20685.77380337059"/>
    <n v="2800"/>
    <n v="9222.9564728403893"/>
    <n v="2680"/>
    <n v="8144.7073877399871"/>
    <n v="2680"/>
    <n v="8144.7073877399871"/>
    <n v="1340"/>
    <n v="4072.353693869994"/>
    <n v="0"/>
    <n v="0"/>
    <n v="18580"/>
    <n v="59362.115648376712"/>
    <n v="1749.940573268148"/>
    <n v="0.10397708819070763"/>
    <n v="7776.4062158355518"/>
    <n v="0.15074729612868443"/>
  </r>
  <r>
    <x v="3"/>
    <s v="ESPAÑA"/>
    <s v="FITOXENT S.C.L.V."/>
    <s v="Consolidado/estratégico"/>
    <s v="S0020"/>
    <s v="SALWAX STAR, 20 L"/>
    <n v="20"/>
    <n v="2.06"/>
    <n v="2.1472977321486439"/>
    <n v="0"/>
    <n v="0"/>
    <n v="0"/>
    <n v="0"/>
    <n v="0"/>
    <n v="0"/>
    <n v="0"/>
    <n v="0"/>
    <n v="0"/>
    <n v="0"/>
    <n v="0"/>
    <n v="0"/>
    <n v="197.84713483864269"/>
    <n v="407.56509776760379"/>
    <n v="0"/>
    <n v="0"/>
    <n v="0"/>
    <n v="0"/>
    <n v="0"/>
    <n v="0"/>
    <n v="0"/>
    <n v="0"/>
    <n v="0"/>
    <n v="0"/>
    <n v="197.84713483864269"/>
    <n v="407.56509776760379"/>
    <n v="0"/>
    <n v="0"/>
    <n v="0"/>
    <n v="0"/>
    <n v="0"/>
    <n v="0"/>
    <n v="0"/>
    <n v="0"/>
    <n v="0"/>
    <n v="0"/>
    <n v="0"/>
    <n v="0"/>
    <n v="220"/>
    <n v="472.40550107270172"/>
    <n v="0"/>
    <n v="0"/>
    <n v="0"/>
    <n v="0"/>
    <n v="0"/>
    <n v="0"/>
    <n v="0"/>
    <n v="0"/>
    <n v="0"/>
    <n v="0"/>
    <n v="220"/>
    <n v="472.40550107270172"/>
    <n v="22.152865161357312"/>
    <n v="0.11196960309495725"/>
    <n v="64.840403305097936"/>
    <n v="0.15909213929321875"/>
  </r>
  <r>
    <x v="3"/>
    <s v="ESPAÑA"/>
    <s v="FITOXENT S.C.L.V."/>
    <s v="Consolidado/estratégico"/>
    <s v="SPCE2B0020"/>
    <s v="SPRINTENE CON BORO, 20 L"/>
    <n v="20"/>
    <n v="10.66"/>
    <n v="11.111744575099291"/>
    <n v="79.138853935457064"/>
    <n v="843.6201829519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138853935457064"/>
    <n v="843.6201829519722"/>
    <n v="80"/>
    <n v="888.939566007943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88.93956600794354"/>
    <n v="0.86114606454293607"/>
    <n v="1.0881457359052195E-2"/>
    <n v="45.319383055971343"/>
    <n v="5.3720126630198706E-2"/>
  </r>
  <r>
    <x v="3"/>
    <s v="ESPAÑA"/>
    <s v="FITOXENT S.C.L.V."/>
    <s v="Consolidado/estratégico"/>
    <s v="WHITE0020"/>
    <s v="AGROWHITE, 20 KG"/>
    <n v="20"/>
    <n v="1.74"/>
    <n v="1.81373691938769"/>
    <n v="0"/>
    <n v="0"/>
    <n v="0"/>
    <n v="0"/>
    <n v="0"/>
    <n v="0"/>
    <n v="0"/>
    <n v="0"/>
    <n v="0"/>
    <n v="0"/>
    <n v="0"/>
    <n v="0"/>
    <n v="791.38853935457064"/>
    <n v="1377.016058476953"/>
    <n v="0"/>
    <n v="0"/>
    <n v="0"/>
    <n v="0"/>
    <n v="0"/>
    <n v="0"/>
    <n v="0"/>
    <n v="0"/>
    <n v="0"/>
    <n v="0"/>
    <n v="791.38853935457064"/>
    <n v="1377.016058476953"/>
    <n v="0"/>
    <n v="0"/>
    <n v="0"/>
    <n v="0"/>
    <n v="0"/>
    <n v="0"/>
    <n v="0"/>
    <n v="0"/>
    <n v="0"/>
    <n v="0"/>
    <n v="0"/>
    <n v="0"/>
    <n v="860"/>
    <n v="1559.8137506734131"/>
    <n v="0"/>
    <n v="0"/>
    <n v="0"/>
    <n v="0"/>
    <n v="0"/>
    <n v="0"/>
    <n v="0"/>
    <n v="0"/>
    <n v="0"/>
    <n v="0"/>
    <n v="860"/>
    <n v="1559.8137506734131"/>
    <n v="68.611460645429361"/>
    <n v="8.6697566660981107E-2"/>
    <n v="182.79769219646005"/>
    <n v="0.13274913612746334"/>
  </r>
  <r>
    <x v="4"/>
    <s v="AZERBAIYÁN"/>
    <s v="ZTB AQRO MMC"/>
    <s v="Consolidado/estratégico"/>
    <s v="A-500005AZ"/>
    <s v="CODIORGAN  A-50"/>
    <n v="5"/>
    <n v="4.4000000000000004"/>
    <n v="4.5864611754631239"/>
    <n v="3956.9426967728532"/>
    <n v="17410.547865800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32"/>
    <n v="17410.547865800549"/>
    <n v="4365"/>
    <n v="20019.903030896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5"/>
    <n v="20019.903030896541"/>
    <n v="408.0573032271468"/>
    <n v="0.10312439034306571"/>
    <n v="2609.3551650959926"/>
    <n v="0.149872088185205"/>
  </r>
  <r>
    <x v="4"/>
    <s v="AZERBAIYÁN"/>
    <s v="ZTB AQRO MMC"/>
    <s v="Consolidado/estratégico"/>
    <s v="A-500005AZ"/>
    <s v="CODIORGAN-A50"/>
    <n v="5"/>
    <n v="4.7699999999999996"/>
    <n v="4.9721408652179768"/>
    <n v="0"/>
    <n v="0"/>
    <n v="0"/>
    <n v="0"/>
    <n v="0"/>
    <n v="0"/>
    <n v="0"/>
    <n v="0"/>
    <n v="0"/>
    <n v="0"/>
    <n v="6924.6497193524929"/>
    <n v="33030.579161311391"/>
    <n v="0"/>
    <n v="0"/>
    <n v="0"/>
    <n v="0"/>
    <n v="0"/>
    <n v="0"/>
    <n v="0"/>
    <n v="0"/>
    <n v="0"/>
    <n v="0"/>
    <n v="0"/>
    <n v="0"/>
    <n v="6924.6497193524929"/>
    <n v="33030.579161311391"/>
    <n v="0"/>
    <n v="0"/>
    <n v="0"/>
    <n v="0"/>
    <n v="0"/>
    <n v="0"/>
    <n v="0"/>
    <n v="0"/>
    <n v="0"/>
    <n v="0"/>
    <n v="7635"/>
    <n v="37962.295505939263"/>
    <n v="0"/>
    <n v="0"/>
    <n v="0"/>
    <n v="0"/>
    <n v="0"/>
    <n v="0"/>
    <n v="0"/>
    <n v="0"/>
    <n v="0"/>
    <n v="0"/>
    <n v="0"/>
    <n v="0"/>
    <n v="7635"/>
    <n v="37962.295505939263"/>
    <n v="710.35028064750713"/>
    <n v="0.10258284670519482"/>
    <n v="4931.7163446278719"/>
    <n v="0.14930759526022405"/>
  </r>
  <r>
    <x v="4"/>
    <s v="AZERBAIYÁN"/>
    <s v="ZTB AQRO MMC"/>
    <s v="Consolidado/estratégico"/>
    <s v="A-500005AZ"/>
    <s v="CODIORGAN-A50, 5 KG"/>
    <n v="5"/>
    <n v="4.7699999999999996"/>
    <n v="4.9721408652179768"/>
    <n v="0"/>
    <n v="0"/>
    <n v="0"/>
    <n v="0"/>
    <n v="0"/>
    <n v="0"/>
    <n v="0"/>
    <n v="0"/>
    <n v="0"/>
    <n v="0"/>
    <n v="2967.7070225796401"/>
    <n v="14155.962497704881"/>
    <n v="0"/>
    <n v="0"/>
    <n v="0"/>
    <n v="0"/>
    <n v="0"/>
    <n v="0"/>
    <n v="0"/>
    <n v="0"/>
    <n v="0"/>
    <n v="0"/>
    <n v="0"/>
    <n v="0"/>
    <n v="2967.7070225796401"/>
    <n v="14155.962497704881"/>
    <n v="0"/>
    <n v="0"/>
    <n v="0"/>
    <n v="0"/>
    <n v="0"/>
    <n v="0"/>
    <n v="0"/>
    <n v="0"/>
    <n v="0"/>
    <n v="0"/>
    <n v="3270"/>
    <n v="16258.900629262789"/>
    <n v="0"/>
    <n v="0"/>
    <n v="0"/>
    <n v="0"/>
    <n v="0"/>
    <n v="0"/>
    <n v="0"/>
    <n v="0"/>
    <n v="0"/>
    <n v="0"/>
    <n v="0"/>
    <n v="0"/>
    <n v="3270"/>
    <n v="16258.900629262789"/>
    <n v="302.29297742035988"/>
    <n v="0.1018607885213668"/>
    <n v="2102.9381315579085"/>
    <n v="0.14855493802691691"/>
  </r>
  <r>
    <x v="4"/>
    <s v="AZERBAIYÁN"/>
    <s v="ZTB AQRO MMC"/>
    <s v="Consolidado/estratégico"/>
    <s v="AGRMG0001AZ"/>
    <s v="AGROXIGREEN-Mg"/>
    <n v="1"/>
    <n v="4.53"/>
    <n v="4.7219702556472622"/>
    <n v="0"/>
    <n v="0"/>
    <n v="0"/>
    <n v="0"/>
    <n v="0"/>
    <n v="0"/>
    <n v="0"/>
    <n v="0"/>
    <n v="0"/>
    <n v="0"/>
    <n v="985.2787314964404"/>
    <n v="4463.312653678875"/>
    <n v="0"/>
    <n v="0"/>
    <n v="0"/>
    <n v="0"/>
    <n v="0"/>
    <n v="0"/>
    <n v="0"/>
    <n v="0"/>
    <n v="0"/>
    <n v="0"/>
    <n v="0"/>
    <n v="0"/>
    <n v="985.2787314964404"/>
    <n v="4463.312653678875"/>
    <n v="0"/>
    <n v="0"/>
    <n v="0"/>
    <n v="0"/>
    <n v="0"/>
    <n v="0"/>
    <n v="0"/>
    <n v="0"/>
    <n v="0"/>
    <n v="0"/>
    <n v="1112"/>
    <n v="5250.8309242797559"/>
    <n v="0"/>
    <n v="0"/>
    <n v="0"/>
    <n v="0"/>
    <n v="0"/>
    <n v="0"/>
    <n v="0"/>
    <n v="0"/>
    <n v="0"/>
    <n v="0"/>
    <n v="0"/>
    <n v="0"/>
    <n v="1112"/>
    <n v="5250.8309242797559"/>
    <n v="126.7212685035596"/>
    <n v="0.1286146391398254"/>
    <n v="787.5182706008809"/>
    <n v="0.17644255101684861"/>
  </r>
  <r>
    <x v="4"/>
    <s v="AZERBAIYÁN"/>
    <s v="ZTB AQRO MMC"/>
    <s v="Consolidado/estratégico"/>
    <s v="AGXK0001AZ"/>
    <s v="AGROXILATO-K"/>
    <n v="1"/>
    <n v="4.1500000000000004"/>
    <n v="4.3258667904936283"/>
    <n v="0"/>
    <n v="0"/>
    <n v="0"/>
    <n v="0"/>
    <n v="0"/>
    <n v="0"/>
    <n v="0"/>
    <n v="0"/>
    <n v="0"/>
    <n v="0"/>
    <n v="783.47465396102484"/>
    <n v="3251.4198139382529"/>
    <n v="0"/>
    <n v="0"/>
    <n v="0"/>
    <n v="0"/>
    <n v="0"/>
    <n v="0"/>
    <n v="0"/>
    <n v="0"/>
    <n v="0"/>
    <n v="0"/>
    <n v="0"/>
    <n v="0"/>
    <n v="783.47465396102484"/>
    <n v="3251.4198139382529"/>
    <n v="0"/>
    <n v="0"/>
    <n v="0"/>
    <n v="0"/>
    <n v="0"/>
    <n v="0"/>
    <n v="0"/>
    <n v="0"/>
    <n v="0"/>
    <n v="0"/>
    <n v="856"/>
    <n v="3702.941972662546"/>
    <n v="0"/>
    <n v="0"/>
    <n v="0"/>
    <n v="0"/>
    <n v="0"/>
    <n v="0"/>
    <n v="0"/>
    <n v="0"/>
    <n v="0"/>
    <n v="0"/>
    <n v="0"/>
    <n v="0"/>
    <n v="856"/>
    <n v="3702.941972662546"/>
    <n v="72.525346038975158"/>
    <n v="9.2568847852713104E-2"/>
    <n v="451.52215872429315"/>
    <n v="0.13886922777203323"/>
  </r>
  <r>
    <x v="4"/>
    <s v="AZERBAIYÁN"/>
    <s v="ZTB AQRO MMC"/>
    <s v="Consolidado/estratégico"/>
    <s v="AGXK0005AZ"/>
    <s v="AGROXILATO-K"/>
    <n v="5"/>
    <n v="3.44"/>
    <n v="3.5857787371802612"/>
    <n v="0"/>
    <n v="0"/>
    <n v="0"/>
    <n v="0"/>
    <n v="0"/>
    <n v="0"/>
    <n v="0"/>
    <n v="0"/>
    <n v="0"/>
    <n v="0"/>
    <n v="1978.4713483864259"/>
    <n v="6805.9414384493066"/>
    <n v="0"/>
    <n v="0"/>
    <n v="0"/>
    <n v="0"/>
    <n v="0"/>
    <n v="0"/>
    <n v="0"/>
    <n v="0"/>
    <n v="0"/>
    <n v="0"/>
    <n v="0"/>
    <n v="0"/>
    <n v="1978.4713483864259"/>
    <n v="6805.9414384493066"/>
    <n v="0"/>
    <n v="0"/>
    <n v="0"/>
    <n v="0"/>
    <n v="0"/>
    <n v="0"/>
    <n v="0"/>
    <n v="0"/>
    <n v="0"/>
    <n v="0"/>
    <n v="2180"/>
    <n v="7816.9976470529682"/>
    <n v="0"/>
    <n v="0"/>
    <n v="0"/>
    <n v="0"/>
    <n v="0"/>
    <n v="0"/>
    <n v="0"/>
    <n v="0"/>
    <n v="0"/>
    <n v="0"/>
    <n v="0"/>
    <n v="0"/>
    <n v="2180"/>
    <n v="7816.9976470529682"/>
    <n v="201.52865161357408"/>
    <n v="0.10186078852136728"/>
    <n v="1011.0562086036616"/>
    <n v="0.14855493802691677"/>
  </r>
  <r>
    <x v="4"/>
    <s v="AZERBAIYÁN"/>
    <s v="ZTB AQRO MMC"/>
    <s v="Consolidado/estratégico"/>
    <s v="AGXK0020AZ"/>
    <s v="AGROXILATO-K"/>
    <n v="20"/>
    <n v="3.2005669679539852"/>
    <n v="3.336859059208833"/>
    <n v="9496.6624722548477"/>
    <n v="33048.385403446868"/>
    <n v="0"/>
    <n v="0"/>
    <n v="0"/>
    <n v="0"/>
    <n v="0"/>
    <n v="0"/>
    <n v="2967.7070225796401"/>
    <n v="9407.6312615774586"/>
    <n v="30666.305899989609"/>
    <n v="97212.189702967065"/>
    <n v="53181.309844627147"/>
    <n v="168584.75220746809"/>
    <n v="0"/>
    <n v="0"/>
    <n v="0"/>
    <n v="0"/>
    <n v="0"/>
    <n v="0"/>
    <n v="0"/>
    <n v="0"/>
    <n v="0"/>
    <n v="0"/>
    <n v="96311.985239451242"/>
    <n v="308252.95857545949"/>
    <n v="10480"/>
    <n v="38015.925830365981"/>
    <n v="0"/>
    <n v="0"/>
    <n v="0"/>
    <n v="0"/>
    <n v="0"/>
    <n v="0"/>
    <n v="3280"/>
    <n v="10838.224708635311"/>
    <n v="33780"/>
    <n v="111686.5838877663"/>
    <n v="58620"/>
    <n v="193700.22329884209"/>
    <n v="0"/>
    <n v="0"/>
    <n v="0"/>
    <n v="0"/>
    <n v="0"/>
    <n v="0"/>
    <n v="0"/>
    <n v="0"/>
    <n v="0"/>
    <n v="0"/>
    <n v="106160"/>
    <n v="354240.95772560965"/>
    <n v="9848.0147605487582"/>
    <n v="0.10225118645477595"/>
    <n v="45987.999150150164"/>
    <n v="0.14918915738125002"/>
  </r>
  <r>
    <x v="4"/>
    <s v="AZERBAIYÁN"/>
    <s v="ZTB AQRO MMC"/>
    <s v="Consolidado/estratégico"/>
    <s v="AGXK0020AZ"/>
    <s v="AGROXILATO-K, 20 L"/>
    <n v="20"/>
    <n v="3.17"/>
    <n v="3.3043368014132048"/>
    <n v="0"/>
    <n v="0"/>
    <n v="0"/>
    <n v="0"/>
    <n v="0"/>
    <n v="0"/>
    <n v="17093.992450058729"/>
    <n v="54187.956066686158"/>
    <n v="0"/>
    <n v="0"/>
    <n v="0"/>
    <n v="0"/>
    <n v="0"/>
    <n v="0"/>
    <n v="0"/>
    <n v="0"/>
    <n v="0"/>
    <n v="0"/>
    <n v="0"/>
    <n v="0"/>
    <n v="0"/>
    <n v="0"/>
    <n v="0"/>
    <n v="0"/>
    <n v="17093.992450058729"/>
    <n v="54187.956066686158"/>
    <n v="0"/>
    <n v="0"/>
    <n v="0"/>
    <n v="0"/>
    <n v="0"/>
    <n v="0"/>
    <n v="18840"/>
    <n v="62253.705338624779"/>
    <n v="0"/>
    <n v="0"/>
    <n v="0"/>
    <n v="0"/>
    <n v="0"/>
    <n v="0"/>
    <n v="0"/>
    <n v="0"/>
    <n v="0"/>
    <n v="0"/>
    <n v="0"/>
    <n v="0"/>
    <n v="0"/>
    <n v="0"/>
    <n v="0"/>
    <n v="0"/>
    <n v="18840"/>
    <n v="62253.705338624779"/>
    <n v="1746.0075499412706"/>
    <n v="0.10214158892618862"/>
    <n v="8065.749271938621"/>
    <n v="0.14884763806209159"/>
  </r>
  <r>
    <x v="4"/>
    <s v="AZERBAIYÁN"/>
    <s v="ZTB AQRO MMC"/>
    <s v="Consolidado/estratégico"/>
    <s v="AMGF0001AZ"/>
    <s v="AMINOGAL , 1 L  (Tap.Válv)"/>
    <n v="1"/>
    <n v="6.37"/>
    <n v="6.6399449290227492"/>
    <n v="0"/>
    <n v="0"/>
    <n v="0"/>
    <n v="0"/>
    <n v="0"/>
    <n v="0"/>
    <n v="0"/>
    <n v="0"/>
    <n v="0"/>
    <n v="0"/>
    <n v="783.47465396102484"/>
    <n v="4990.7335457317286"/>
    <n v="0"/>
    <n v="0"/>
    <n v="0"/>
    <n v="0"/>
    <n v="0"/>
    <n v="0"/>
    <n v="0"/>
    <n v="0"/>
    <n v="0"/>
    <n v="0"/>
    <n v="0"/>
    <n v="0"/>
    <n v="783.47465396102484"/>
    <n v="4990.7335457317286"/>
    <n v="0"/>
    <n v="0"/>
    <n v="0"/>
    <n v="0"/>
    <n v="0"/>
    <n v="0"/>
    <n v="0"/>
    <n v="0"/>
    <n v="0"/>
    <n v="0"/>
    <n v="851"/>
    <n v="5650.5931345983599"/>
    <n v="0"/>
    <n v="0"/>
    <n v="0"/>
    <n v="0"/>
    <n v="0"/>
    <n v="0"/>
    <n v="0"/>
    <n v="0"/>
    <n v="0"/>
    <n v="0"/>
    <n v="0"/>
    <n v="0"/>
    <n v="851"/>
    <n v="5650.5931345983599"/>
    <n v="67.525346038975158"/>
    <n v="8.618702047039585E-2"/>
    <n v="659.85958886663138"/>
    <n v="0.13221695424532717"/>
  </r>
  <r>
    <x v="4"/>
    <s v="AZERBAIYÁN"/>
    <s v="ZTB AQRO MMC"/>
    <s v="Consolidado/estratégico"/>
    <s v="AN0020AZ"/>
    <s v="ALCAPLANT NEW"/>
    <n v="20"/>
    <n v="1.95"/>
    <n v="2.0326362027620659"/>
    <n v="7063.1427137395422"/>
    <n v="13773.128291792111"/>
    <n v="0"/>
    <n v="0"/>
    <n v="0"/>
    <n v="0"/>
    <n v="0"/>
    <n v="0"/>
    <n v="10881.59241612535"/>
    <n v="21219.105211444421"/>
    <n v="15827.770787091409"/>
    <n v="30864.15303482825"/>
    <n v="0"/>
    <n v="0"/>
    <n v="0"/>
    <n v="0"/>
    <n v="0"/>
    <n v="0"/>
    <n v="0"/>
    <n v="0"/>
    <n v="0"/>
    <n v="0"/>
    <n v="0"/>
    <n v="0"/>
    <n v="33772.505916956303"/>
    <n v="65856.386538064777"/>
    <n v="7780"/>
    <n v="15813.909657488881"/>
    <n v="0"/>
    <n v="0"/>
    <n v="0"/>
    <n v="0"/>
    <n v="0"/>
    <n v="0"/>
    <n v="12000"/>
    <n v="24391.634433144791"/>
    <n v="17460"/>
    <n v="35489.828100225677"/>
    <n v="0"/>
    <n v="0"/>
    <n v="0"/>
    <n v="0"/>
    <n v="0"/>
    <n v="0"/>
    <n v="0"/>
    <n v="0"/>
    <n v="0"/>
    <n v="0"/>
    <n v="0"/>
    <n v="0"/>
    <n v="37240"/>
    <n v="75695.372190859343"/>
    <n v="3467.4940830436972"/>
    <n v="0.10267209935709147"/>
    <n v="9838.9856527945667"/>
    <n v="0.14940063021993569"/>
  </r>
  <r>
    <x v="4"/>
    <s v="AZERBAIYÁN"/>
    <s v="ZTB AQRO MMC"/>
    <s v="Consolidado/estratégico"/>
    <s v="AN0020AZ"/>
    <s v="ALCAPLANT NEW, 20 KG"/>
    <n v="20"/>
    <n v="1.95"/>
    <n v="2.0326362027620659"/>
    <n v="0"/>
    <n v="0"/>
    <n v="0"/>
    <n v="0"/>
    <n v="0"/>
    <n v="0"/>
    <n v="5440.796208062673"/>
    <n v="10609.552605722211"/>
    <n v="0"/>
    <n v="0"/>
    <n v="0"/>
    <n v="0"/>
    <n v="0"/>
    <n v="0"/>
    <n v="0"/>
    <n v="0"/>
    <n v="0"/>
    <n v="0"/>
    <n v="0"/>
    <n v="0"/>
    <n v="0"/>
    <n v="0"/>
    <n v="0"/>
    <n v="0"/>
    <n v="5440.796208062673"/>
    <n v="10609.552605722211"/>
    <n v="0"/>
    <n v="0"/>
    <n v="0"/>
    <n v="0"/>
    <n v="0"/>
    <n v="0"/>
    <n v="6000"/>
    <n v="12195.817216572401"/>
    <n v="0"/>
    <n v="0"/>
    <n v="0"/>
    <n v="0"/>
    <n v="0"/>
    <n v="0"/>
    <n v="0"/>
    <n v="0"/>
    <n v="0"/>
    <n v="0"/>
    <n v="0"/>
    <n v="0"/>
    <n v="0"/>
    <n v="0"/>
    <n v="0"/>
    <n v="0"/>
    <n v="6000"/>
    <n v="12195.817216572401"/>
    <n v="559.20379193732697"/>
    <n v="0.10277977166442059"/>
    <n v="1586.2646108501904"/>
    <n v="0.14951286541476275"/>
  </r>
  <r>
    <x v="4"/>
    <s v="AZERBAIYÁN"/>
    <s v="ZTB AQRO MMC"/>
    <s v="Consolidado/estratégico"/>
    <s v="AVAN0005AZ"/>
    <s v="FLORAMEC AVANCE, 5 L"/>
    <n v="5"/>
    <n v="4.5683999999999996"/>
    <n v="4.7619975531785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12992.476688312279"/>
    <n v="2843.9884178951679"/>
    <n v="12992.476688312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14928.86232921484"/>
    <n v="3135"/>
    <n v="14928.86232921484"/>
    <n v="291.01158210483209"/>
    <n v="0.102325164291706"/>
    <n v="1936.3856409025611"/>
    <n v="0.14903899289998243"/>
  </r>
  <r>
    <x v="4"/>
    <s v="AZERBAIYÁN"/>
    <s v="ZTB AQRO MMC"/>
    <s v="Consolidado/estratégico"/>
    <s v="BEY0020AZ"/>
    <s v="BERRY-FLOR"/>
    <n v="20"/>
    <n v="3.6180487804878041"/>
    <n v="3.7713768528648379"/>
    <n v="3798.6649889019391"/>
    <n v="13713.180609936"/>
    <n v="0"/>
    <n v="0"/>
    <n v="0"/>
    <n v="0"/>
    <n v="0"/>
    <n v="0"/>
    <n v="4629.6229552242376"/>
    <n v="16759.23509791174"/>
    <n v="11039.870123996259"/>
    <n v="39964.329848866459"/>
    <n v="0"/>
    <n v="0"/>
    <n v="0"/>
    <n v="0"/>
    <n v="0"/>
    <n v="0"/>
    <n v="0"/>
    <n v="0"/>
    <n v="0"/>
    <n v="0"/>
    <n v="0"/>
    <n v="0"/>
    <n v="19468.158068122437"/>
    <n v="70436.745556714202"/>
    <n v="4140"/>
    <n v="15578.7492844924"/>
    <n v="0"/>
    <n v="0"/>
    <n v="0"/>
    <n v="0"/>
    <n v="0"/>
    <n v="0"/>
    <n v="5060"/>
    <n v="19093.437873452989"/>
    <n v="12060"/>
    <n v="45507.284733961067"/>
    <n v="0"/>
    <n v="0"/>
    <n v="0"/>
    <n v="0"/>
    <n v="0"/>
    <n v="0"/>
    <n v="0"/>
    <n v="0"/>
    <n v="0"/>
    <n v="0"/>
    <n v="0"/>
    <n v="0"/>
    <n v="21260"/>
    <n v="80179.471891906462"/>
    <n v="1791.8419318775632"/>
    <n v="9.2039623142959895E-2"/>
    <n v="9742.7263351922593"/>
    <n v="0.13831880303651478"/>
  </r>
  <r>
    <x v="4"/>
    <s v="AZERBAIYÁN"/>
    <s v="ZTB AQRO MMC"/>
    <s v="Consolidado/estratégico"/>
    <s v="BEY0020AZ"/>
    <s v="BERRY-FLOR, 20 L"/>
    <n v="20"/>
    <n v="3.62"/>
    <n v="3.7734066943582971"/>
    <n v="0"/>
    <n v="0"/>
    <n v="0"/>
    <n v="0"/>
    <n v="0"/>
    <n v="0"/>
    <n v="0"/>
    <n v="0"/>
    <n v="0"/>
    <n v="0"/>
    <n v="989.23567419321319"/>
    <n v="3581.0331405794318"/>
    <n v="0"/>
    <n v="0"/>
    <n v="0"/>
    <n v="0"/>
    <n v="0"/>
    <n v="0"/>
    <n v="0"/>
    <n v="0"/>
    <n v="0"/>
    <n v="0"/>
    <n v="0"/>
    <n v="0"/>
    <n v="989.23567419321319"/>
    <n v="3581.0331405794318"/>
    <n v="0"/>
    <n v="0"/>
    <n v="0"/>
    <n v="0"/>
    <n v="0"/>
    <n v="0"/>
    <n v="0"/>
    <n v="0"/>
    <n v="0"/>
    <n v="0"/>
    <n v="1080"/>
    <n v="4075.2792299069611"/>
    <n v="0"/>
    <n v="0"/>
    <n v="0"/>
    <n v="0"/>
    <n v="0"/>
    <n v="0"/>
    <n v="0"/>
    <n v="0"/>
    <n v="0"/>
    <n v="0"/>
    <n v="0"/>
    <n v="0"/>
    <n v="1080"/>
    <n v="4075.2792299069611"/>
    <n v="90.764325806786815"/>
    <n v="9.1751973947776497E-2"/>
    <n v="494.24608932752926"/>
    <n v="0.13801773676061468"/>
  </r>
  <r>
    <x v="4"/>
    <s v="AZERBAIYÁN"/>
    <s v="ZTB AQRO MMC"/>
    <s v="Consolidado/estratégico"/>
    <s v="BIO0020AZ"/>
    <s v="BIORAD-20"/>
    <n v="20"/>
    <n v="2.574054054054054"/>
    <n v="2.6845831188998588"/>
    <n v="9496.6624722548477"/>
    <n v="26305.755048145929"/>
    <n v="0"/>
    <n v="0"/>
    <n v="0"/>
    <n v="0"/>
    <n v="0"/>
    <n v="0"/>
    <n v="0"/>
    <n v="0"/>
    <n v="19784.71348386426"/>
    <n v="49066.089439983378"/>
    <n v="0"/>
    <n v="0"/>
    <n v="0"/>
    <n v="0"/>
    <n v="0"/>
    <n v="0"/>
    <n v="0"/>
    <n v="0"/>
    <n v="0"/>
    <n v="0"/>
    <n v="0"/>
    <n v="0"/>
    <n v="29281.375956119107"/>
    <n v="75371.844488129311"/>
    <n v="11960"/>
    <n v="34533.133994125659"/>
    <n v="0"/>
    <n v="0"/>
    <n v="0"/>
    <n v="0"/>
    <n v="0"/>
    <n v="0"/>
    <n v="0"/>
    <n v="0"/>
    <n v="24900"/>
    <n v="64420.599768523141"/>
    <n v="0"/>
    <n v="0"/>
    <n v="0"/>
    <n v="0"/>
    <n v="0"/>
    <n v="0"/>
    <n v="0"/>
    <n v="0"/>
    <n v="0"/>
    <n v="0"/>
    <n v="0"/>
    <n v="0"/>
    <n v="36860"/>
    <n v="98953.733762648801"/>
    <n v="7578.6240438808927"/>
    <n v="0.25882062561671187"/>
    <n v="23581.88927451949"/>
    <n v="0.31287398410733491"/>
  </r>
  <r>
    <x v="4"/>
    <s v="AZERBAIYÁN"/>
    <s v="ZTB AQRO MMC"/>
    <s v="Consolidado/estratégico"/>
    <s v="BIO0020AZ"/>
    <s v="BIORAD-20, 20 L"/>
    <n v="20"/>
    <n v="2.48"/>
    <n v="2.5850962988973971"/>
    <n v="0"/>
    <n v="0"/>
    <n v="0"/>
    <n v="0"/>
    <n v="0"/>
    <n v="0"/>
    <n v="7597.3299778038772"/>
    <n v="18841.37834495362"/>
    <n v="0"/>
    <n v="0"/>
    <n v="0"/>
    <n v="0"/>
    <n v="0"/>
    <n v="0"/>
    <n v="0"/>
    <n v="0"/>
    <n v="0"/>
    <n v="0"/>
    <n v="0"/>
    <n v="0"/>
    <n v="0"/>
    <n v="0"/>
    <n v="0"/>
    <n v="0"/>
    <n v="7597.3299778038772"/>
    <n v="18841.37834495362"/>
    <n v="0"/>
    <n v="0"/>
    <n v="0"/>
    <n v="0"/>
    <n v="0"/>
    <n v="0"/>
    <n v="9580"/>
    <n v="24765.222543437059"/>
    <n v="0"/>
    <n v="0"/>
    <n v="0"/>
    <n v="0"/>
    <n v="0"/>
    <n v="0"/>
    <n v="0"/>
    <n v="0"/>
    <n v="0"/>
    <n v="0"/>
    <n v="0"/>
    <n v="0"/>
    <n v="0"/>
    <n v="0"/>
    <n v="0"/>
    <n v="0"/>
    <n v="9580"/>
    <n v="24765.222543437059"/>
    <n v="1982.6700221961228"/>
    <n v="0.26096931790360955"/>
    <n v="5923.844198483439"/>
    <n v="0.31440609545798182"/>
  </r>
  <r>
    <x v="4"/>
    <s v="AZERBAIYÁN"/>
    <s v="ZTB AQRO MMC"/>
    <s v="Consolidado/estratégico"/>
    <s v="BR-590005AZ"/>
    <s v="BR-59"/>
    <n v="5"/>
    <n v="2.8"/>
    <n v="2.918657111658352"/>
    <n v="0"/>
    <n v="0"/>
    <n v="0"/>
    <n v="0"/>
    <n v="0"/>
    <n v="0"/>
    <n v="0"/>
    <n v="0"/>
    <n v="0"/>
    <n v="0"/>
    <n v="1088.159241612535"/>
    <n v="3046.8458765150972"/>
    <n v="0"/>
    <n v="0"/>
    <n v="0"/>
    <n v="0"/>
    <n v="0"/>
    <n v="0"/>
    <n v="0"/>
    <n v="0"/>
    <n v="0"/>
    <n v="0"/>
    <n v="0"/>
    <n v="0"/>
    <n v="1088.159241612535"/>
    <n v="3046.8458765150972"/>
    <n v="0"/>
    <n v="0"/>
    <n v="0"/>
    <n v="0"/>
    <n v="0"/>
    <n v="0"/>
    <n v="0"/>
    <n v="0"/>
    <n v="0"/>
    <n v="0"/>
    <n v="1200"/>
    <n v="3502.3885339900221"/>
    <n v="0"/>
    <n v="0"/>
    <n v="0"/>
    <n v="0"/>
    <n v="0"/>
    <n v="0"/>
    <n v="0"/>
    <n v="0"/>
    <n v="0"/>
    <n v="0"/>
    <n v="0"/>
    <n v="0"/>
    <n v="1200"/>
    <n v="3502.3885339900221"/>
    <n v="111.84075838746503"/>
    <n v="0.10277977166442023"/>
    <n v="455.54265747492491"/>
    <n v="0.14951286541476219"/>
  </r>
  <r>
    <x v="4"/>
    <s v="AZERBAIYÁN"/>
    <s v="ZTB AQRO MMC"/>
    <s v="Consolidado/estratégico"/>
    <s v="C-CU0005AZ"/>
    <s v="CODICOBRE"/>
    <n v="5"/>
    <n v="4.1000000000000014"/>
    <n v="4.2737479134997294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4300"/>
    <n v="18377.11602804884"/>
    <n v="0"/>
    <n v="0"/>
    <n v="0"/>
    <n v="0"/>
    <n v="0"/>
    <n v="0"/>
    <n v="0"/>
    <n v="0"/>
    <n v="0"/>
    <n v="0"/>
    <n v="0"/>
    <n v="0"/>
    <n v="4300"/>
    <n v="18377.11602804884"/>
    <n v="343.0573032271468"/>
    <n v="8.6697566660981107E-2"/>
    <n v="2153.6509712801399"/>
    <n v="0.13274913612746375"/>
  </r>
  <r>
    <x v="4"/>
    <s v="AZERBAIYÁN"/>
    <s v="ZTB AQRO MMC"/>
    <s v="Consolidado/estratégico"/>
    <s v="C-L0005AZ"/>
    <s v="CODIBOR-L, 5 L"/>
    <n v="5"/>
    <n v="4.079600000000001"/>
    <n v="4.2524834116862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11602.335149645131"/>
    <n v="2843.9884178951679"/>
    <n v="11602.335149645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45"/>
    <n v="12948.81198858453"/>
    <n v="3045"/>
    <n v="12948.81198858453"/>
    <n v="201.01158210483209"/>
    <n v="7.0679465795293397E-2"/>
    <n v="1346.4768389393994"/>
    <n v="0.11605222755356992"/>
  </r>
  <r>
    <x v="4"/>
    <s v="AZERBAIYÁN"/>
    <s v="ZTB AQRO MMC"/>
    <s v="Consolidado/estratégico"/>
    <s v="C-L0020AZ"/>
    <s v="CODIBOR-L, 20 L"/>
    <n v="20"/>
    <n v="3.99"/>
    <n v="4.15908638411315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565.009191601147"/>
    <n v="1895.992278596779"/>
    <n v="7565.009191601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0"/>
    <n v="8484.5362235908287"/>
    <n v="2040"/>
    <n v="8484.5362235908287"/>
    <n v="144.00772140322101"/>
    <n v="7.595374887802861E-2"/>
    <n v="919.52703198968175"/>
    <n v="0.12155002177797253"/>
  </r>
  <r>
    <x v="4"/>
    <s v="AZERBAIYÁN"/>
    <s v="ZTB AQRO MMC"/>
    <s v="Consolidado/estratégico"/>
    <s v="CBROT0020AZ"/>
    <s v="CODIBROT, 20 L"/>
    <n v="20"/>
    <n v="2.6414"/>
    <n v="2.753336033833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7512.1110070282966"/>
    <n v="2843.9884178951679"/>
    <n v="7512.1110070282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0"/>
    <n v="8535.3417048844804"/>
    <n v="3100"/>
    <n v="8535.3417048844804"/>
    <n v="256.01158210483209"/>
    <n v="9.0018503765323318E-2"/>
    <n v="1023.2306978561837"/>
    <n v="0.13621080637637725"/>
  </r>
  <r>
    <x v="4"/>
    <s v="AZERBAIYÁN"/>
    <s v="ZTB AQRO MMC"/>
    <s v="Consolidado/estratégico"/>
    <s v="CM3M0001AZ"/>
    <s v="TENSOLINE-MAX, 1 L"/>
    <n v="1"/>
    <n v="4.7046766169154219"/>
    <n v="4.90404923786176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8920.0305389664554"/>
    <n v="1895.992278596779"/>
    <n v="8920.0305389664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0"/>
    <n v="10151.381922373859"/>
    <n v="2070"/>
    <n v="10151.381922373859"/>
    <n v="174.00772140322101"/>
    <n v="9.1776598126234912E-2"/>
    <n v="1231.3513834074038"/>
    <n v="0.1380434044511778"/>
  </r>
  <r>
    <x v="4"/>
    <s v="AZERBAIYÁN"/>
    <s v="ZTB AQRO MMC"/>
    <s v="Consolidado/estratégico"/>
    <s v="CZNMNES0001AZ"/>
    <s v="CODIFOL ZN-MN, 1 KG"/>
    <n v="1"/>
    <n v="4.6072038834951456"/>
    <n v="4.8024458497939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367.6114945139443"/>
    <n v="947.99613929838938"/>
    <n v="4367.61149451394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4874.4825375408673"/>
    <n v="1015"/>
    <n v="4874.4825375408673"/>
    <n v="67.00386070161062"/>
    <n v="7.06794657952933E-2"/>
    <n v="506.87104302692296"/>
    <n v="0.11605222755357063"/>
  </r>
  <r>
    <x v="4"/>
    <s v="AZERBAIYÁN"/>
    <s v="ZTB AQRO MMC"/>
    <s v="Consolidado/estratégico"/>
    <s v="CZNMNES0005AZ"/>
    <s v="CODIFOL ZN-MN, 5 KG"/>
    <n v="5"/>
    <n v="4.1265999999999998"/>
    <n v="4.3014751560604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912.0008684287341"/>
    <n v="947.99613929838938"/>
    <n v="3912.0008684287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4365.9972834013906"/>
    <n v="1015"/>
    <n v="4365.9972834013906"/>
    <n v="67.00386070161062"/>
    <n v="7.06794657952933E-2"/>
    <n v="453.99641497265657"/>
    <n v="0.11605222755357042"/>
  </r>
  <r>
    <x v="4"/>
    <s v="AZERBAIYÁN"/>
    <s v="ZTB AQRO MMC"/>
    <s v="Consolidado/estratégico"/>
    <s v="FTK0005AZ"/>
    <s v="FITOKONTROL CA FLOW"/>
    <n v="5"/>
    <n v="2.8"/>
    <n v="2.918657111658352"/>
    <n v="5440.796208062673"/>
    <n v="15234.22938257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0.796208062673"/>
    <n v="15234.22938257548"/>
    <n v="6855"/>
    <n v="20007.394500417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5"/>
    <n v="20007.394500417999"/>
    <n v="1414.203791937327"/>
    <n v="0.25992588912660053"/>
    <n v="4773.1651178425182"/>
    <n v="0.31331844873636611"/>
  </r>
  <r>
    <x v="4"/>
    <s v="AZERBAIYÁN"/>
    <s v="ZTB AQRO MMC"/>
    <s v="Consolidado/estratégico"/>
    <s v="FU0001AZ"/>
    <s v="FULVIGIN"/>
    <n v="1"/>
    <n v="4.3099999999999996"/>
    <n v="4.4926471968741062"/>
    <n v="0"/>
    <n v="0"/>
    <n v="0"/>
    <n v="0"/>
    <n v="0"/>
    <n v="0"/>
    <n v="0"/>
    <n v="0"/>
    <n v="0"/>
    <n v="0"/>
    <n v="985.2787314964404"/>
    <n v="4246.5513327496583"/>
    <n v="0"/>
    <n v="0"/>
    <n v="0"/>
    <n v="0"/>
    <n v="0"/>
    <n v="0"/>
    <n v="0"/>
    <n v="0"/>
    <n v="0"/>
    <n v="0"/>
    <n v="0"/>
    <n v="0"/>
    <n v="985.2787314964404"/>
    <n v="4246.5513327496583"/>
    <n v="0"/>
    <n v="0"/>
    <n v="0"/>
    <n v="0"/>
    <n v="0"/>
    <n v="0"/>
    <n v="0"/>
    <n v="0"/>
    <n v="0"/>
    <n v="0"/>
    <n v="1055"/>
    <n v="4739.7427927021818"/>
    <n v="0"/>
    <n v="0"/>
    <n v="0"/>
    <n v="0"/>
    <n v="0"/>
    <n v="0"/>
    <n v="0"/>
    <n v="0"/>
    <n v="0"/>
    <n v="0"/>
    <n v="0"/>
    <n v="0"/>
    <n v="1055"/>
    <n v="4739.7427927021818"/>
    <n v="69.7212685035596"/>
    <n v="7.0762989471686868E-2"/>
    <n v="493.19145995252347"/>
    <n v="0.11613929075789133"/>
  </r>
  <r>
    <x v="4"/>
    <s v="AZERBAIYÁN"/>
    <s v="ZTB AQRO MMC"/>
    <s v="Consolidado/estratégico"/>
    <s v="FU0005AZ"/>
    <s v="FULVIGIN, 5 L"/>
    <n v="5"/>
    <n v="3.08"/>
    <n v="3.2105228228241862"/>
    <n v="0"/>
    <n v="0"/>
    <n v="0"/>
    <n v="0"/>
    <n v="0"/>
    <n v="0"/>
    <n v="791.38853935457064"/>
    <n v="2437.4767012120769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437.4767012120769"/>
    <n v="0"/>
    <n v="0"/>
    <n v="0"/>
    <n v="0"/>
    <n v="0"/>
    <n v="0"/>
    <n v="850"/>
    <n v="2728.9443994005578"/>
    <n v="0"/>
    <n v="0"/>
    <n v="0"/>
    <n v="0"/>
    <n v="0"/>
    <n v="0"/>
    <n v="0"/>
    <n v="0"/>
    <n v="0"/>
    <n v="0"/>
    <n v="0"/>
    <n v="0"/>
    <n v="0"/>
    <n v="0"/>
    <n v="0"/>
    <n v="0"/>
    <n v="850"/>
    <n v="2728.9443994005578"/>
    <n v="58.611460645429361"/>
    <n v="7.4061548443992958E-2"/>
    <n v="291.46769818848088"/>
    <n v="0.11957763454458605"/>
  </r>
  <r>
    <x v="4"/>
    <s v="AZERBAIYÁN"/>
    <s v="ZTB AQRO MMC"/>
    <s v="Consolidado/estratégico"/>
    <s v="FU0005AZ"/>
    <s v="FULVIGIN"/>
    <n v="5"/>
    <n v="3.08"/>
    <n v="3.2105228228241862"/>
    <n v="0"/>
    <n v="0"/>
    <n v="0"/>
    <n v="0"/>
    <n v="0"/>
    <n v="0"/>
    <n v="0"/>
    <n v="0"/>
    <n v="0"/>
    <n v="0"/>
    <n v="1582.7770787091411"/>
    <n v="4874.9534024241548"/>
    <n v="0"/>
    <n v="0"/>
    <n v="0"/>
    <n v="0"/>
    <n v="0"/>
    <n v="0"/>
    <n v="0"/>
    <n v="0"/>
    <n v="0"/>
    <n v="0"/>
    <n v="0"/>
    <n v="0"/>
    <n v="1582.7770787091411"/>
    <n v="4874.9534024241548"/>
    <n v="0"/>
    <n v="0"/>
    <n v="0"/>
    <n v="0"/>
    <n v="0"/>
    <n v="0"/>
    <n v="0"/>
    <n v="0"/>
    <n v="0"/>
    <n v="0"/>
    <n v="1695"/>
    <n v="5441.8361846869957"/>
    <n v="0"/>
    <n v="0"/>
    <n v="0"/>
    <n v="0"/>
    <n v="0"/>
    <n v="0"/>
    <n v="0"/>
    <n v="0"/>
    <n v="0"/>
    <n v="0"/>
    <n v="0"/>
    <n v="0"/>
    <n v="1695"/>
    <n v="5441.8361846869957"/>
    <n v="112.22292129085895"/>
    <n v="7.0902543889746067E-2"/>
    <n v="566.88278226284092"/>
    <n v="0.11628475914886667"/>
  </r>
  <r>
    <x v="4"/>
    <s v="AZERBAIYÁN"/>
    <s v="ZTB AQRO MMC"/>
    <s v="Consolidado/estratégico"/>
    <s v="FU0020AZ"/>
    <s v="FULVIGIN, 20 L"/>
    <n v="20"/>
    <n v="2.8"/>
    <n v="2.918657111658352"/>
    <n v="0"/>
    <n v="0"/>
    <n v="0"/>
    <n v="0"/>
    <n v="0"/>
    <n v="0"/>
    <n v="1899.3324944509691"/>
    <n v="5318.130984462714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5318.130984462714"/>
    <n v="0"/>
    <n v="0"/>
    <n v="0"/>
    <n v="0"/>
    <n v="0"/>
    <n v="0"/>
    <n v="2040"/>
    <n v="5954.0605077830369"/>
    <n v="0"/>
    <n v="0"/>
    <n v="0"/>
    <n v="0"/>
    <n v="0"/>
    <n v="0"/>
    <n v="0"/>
    <n v="0"/>
    <n v="0"/>
    <n v="0"/>
    <n v="0"/>
    <n v="0"/>
    <n v="0"/>
    <n v="0"/>
    <n v="0"/>
    <n v="0"/>
    <n v="2040"/>
    <n v="5954.0605077830369"/>
    <n v="140.66750554903092"/>
    <n v="7.4061548443993208E-2"/>
    <n v="635.92952332032291"/>
    <n v="0.11957763454458621"/>
  </r>
  <r>
    <x v="4"/>
    <s v="AZERBAIYÁN"/>
    <s v="ZTB AQRO MMC"/>
    <s v="Consolidado/estratégico"/>
    <s v="FU0020AZ"/>
    <s v="FULVIGIN"/>
    <n v="20"/>
    <n v="2.8"/>
    <n v="2.918657111658352"/>
    <n v="0"/>
    <n v="0"/>
    <n v="0"/>
    <n v="0"/>
    <n v="0"/>
    <n v="0"/>
    <n v="0"/>
    <n v="0"/>
    <n v="0"/>
    <n v="0"/>
    <n v="3956.9426967728532"/>
    <n v="11079.439550963991"/>
    <n v="0"/>
    <n v="0"/>
    <n v="0"/>
    <n v="0"/>
    <n v="0"/>
    <n v="0"/>
    <n v="0"/>
    <n v="0"/>
    <n v="0"/>
    <n v="0"/>
    <n v="0"/>
    <n v="0"/>
    <n v="3956.9426967728532"/>
    <n v="11079.439550963991"/>
    <n v="0"/>
    <n v="0"/>
    <n v="0"/>
    <n v="0"/>
    <n v="0"/>
    <n v="0"/>
    <n v="0"/>
    <n v="0"/>
    <n v="0"/>
    <n v="0"/>
    <n v="4240"/>
    <n v="12375.10615343141"/>
    <n v="0"/>
    <n v="0"/>
    <n v="0"/>
    <n v="0"/>
    <n v="0"/>
    <n v="0"/>
    <n v="0"/>
    <n v="0"/>
    <n v="0"/>
    <n v="0"/>
    <n v="0"/>
    <n v="0"/>
    <n v="4240"/>
    <n v="12375.10615343141"/>
    <n v="283.0573032271468"/>
    <n v="7.1534344800595326E-2"/>
    <n v="1295.6666024674196"/>
    <n v="0.11694333422801041"/>
  </r>
  <r>
    <x v="4"/>
    <s v="AZERBAIYÁN"/>
    <s v="ZTB AQRO MMC"/>
    <s v="Consolidado/estratégico"/>
    <s v="HST0005AZ"/>
    <s v="HIDROSTRESS-40"/>
    <n v="5"/>
    <n v="6.93"/>
    <n v="7.2236763513544204"/>
    <n v="0"/>
    <n v="0"/>
    <n v="0"/>
    <n v="0"/>
    <n v="0"/>
    <n v="0"/>
    <n v="0"/>
    <n v="0"/>
    <n v="1582.7770787091411"/>
    <n v="10968.645155454349"/>
    <n v="2374.1656180637119"/>
    <n v="16452.967733181518"/>
    <n v="0"/>
    <n v="0"/>
    <n v="0"/>
    <n v="0"/>
    <n v="0"/>
    <n v="0"/>
    <n v="0"/>
    <n v="0"/>
    <n v="0"/>
    <n v="0"/>
    <n v="0"/>
    <n v="0"/>
    <n v="3956.9426967728532"/>
    <n v="27421.612888635867"/>
    <n v="0"/>
    <n v="0"/>
    <n v="0"/>
    <n v="0"/>
    <n v="0"/>
    <n v="0"/>
    <n v="0"/>
    <n v="0"/>
    <n v="1995"/>
    <n v="14411.23432095207"/>
    <n v="2990"/>
    <n v="21598.792290549722"/>
    <n v="0"/>
    <n v="0"/>
    <n v="0"/>
    <n v="0"/>
    <n v="0"/>
    <n v="0"/>
    <n v="0"/>
    <n v="0"/>
    <n v="0"/>
    <n v="0"/>
    <n v="0"/>
    <n v="0"/>
    <n v="4985"/>
    <n v="36010.026611501788"/>
    <n v="1028.0573032271468"/>
    <n v="0.25981101623371877"/>
    <n v="8588.4137228659201"/>
    <n v="0.3131987078128855"/>
  </r>
  <r>
    <x v="4"/>
    <s v="AZERBAIYÁN"/>
    <s v="ZTB AQRO MMC"/>
    <s v="Consolidado/estratégico"/>
    <s v="NAZ"/>
    <s v="AMINOG AL , 1L"/>
    <n v="1"/>
    <n v="5.8"/>
    <n v="6.0457897312922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0.152587452907"/>
    <n v="10556.88500722686"/>
    <n v="1820.152587452907"/>
    <n v="10556.885007226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7"/>
    <n v="12133.89999070364"/>
    <n v="2007"/>
    <n v="12133.89999070364"/>
    <n v="186.84741254709297"/>
    <n v="0.10265480698437723"/>
    <n v="1577.0149834767799"/>
    <n v="0.14938260503900655"/>
  </r>
  <r>
    <x v="4"/>
    <s v="AZERBAIYÁN"/>
    <s v="ZTB AQRO MMC"/>
    <s v="Consolidado/estratégico"/>
    <s v="NAZ"/>
    <s v="Aquom 5L"/>
    <n v="5"/>
    <n v="12.9"/>
    <n v="13.446670264425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36687.450590847657"/>
    <n v="2843.9884178951679"/>
    <n v="36687.450590847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42155.311278975438"/>
    <n v="3135"/>
    <n v="42155.311278975438"/>
    <n v="291.01158210483209"/>
    <n v="0.102325164291706"/>
    <n v="5467.860688127781"/>
    <n v="0.1490389928999819"/>
  </r>
  <r>
    <x v="4"/>
    <s v="AZERBAIYÁN"/>
    <s v="ZTB AQRO MMC"/>
    <s v="Consolidado/estratégico"/>
    <s v="RUN0001AZ"/>
    <s v="RUN STRESS"/>
    <n v="1"/>
    <n v="8.56"/>
    <n v="8.9227517413555333"/>
    <n v="1899.3324944509691"/>
    <n v="16258.286152500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16258.286152500301"/>
    <n v="2393"/>
    <n v="21352.14491706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3"/>
    <n v="21352.14491706379"/>
    <n v="493.66750554903092"/>
    <n v="0.25991631638552731"/>
    <n v="5093.8587645634889"/>
    <n v="0.31330847032607573"/>
  </r>
  <r>
    <x v="4"/>
    <s v="AZERBAIYÁN"/>
    <s v="ZTB AQRO MMC"/>
    <s v="Consolidado/estratégico"/>
    <s v="RUN0001AZ"/>
    <s v="RUN STRESS, 1 L"/>
    <n v="1"/>
    <n v="8.4"/>
    <n v="8.7559713349750563"/>
    <n v="0"/>
    <n v="0"/>
    <n v="0"/>
    <n v="0"/>
    <n v="0"/>
    <n v="0"/>
    <n v="783.47465396102484"/>
    <n v="6581.1870932726088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6581.1870932726088"/>
    <n v="0"/>
    <n v="0"/>
    <n v="0"/>
    <n v="0"/>
    <n v="0"/>
    <n v="0"/>
    <n v="987"/>
    <n v="8642.1437076203802"/>
    <n v="0"/>
    <n v="0"/>
    <n v="0"/>
    <n v="0"/>
    <n v="0"/>
    <n v="0"/>
    <n v="0"/>
    <n v="0"/>
    <n v="0"/>
    <n v="0"/>
    <n v="0"/>
    <n v="0"/>
    <n v="0"/>
    <n v="0"/>
    <n v="0"/>
    <n v="0"/>
    <n v="987"/>
    <n v="8642.1437076203802"/>
    <n v="203.52534603897516"/>
    <n v="0.25977272526942502"/>
    <n v="2060.9566143477714"/>
    <n v="0.31315879417172521"/>
  </r>
  <r>
    <x v="4"/>
    <s v="AZERBAIYÁN"/>
    <s v="ZTB AQRO MMC"/>
    <s v="Consolidado/estratégico"/>
    <s v="SS0020AZ"/>
    <s v="SALWAX-CA"/>
    <n v="20"/>
    <n v="3.8"/>
    <n v="3.9610346515363339"/>
    <n v="0"/>
    <n v="0"/>
    <n v="0"/>
    <n v="0"/>
    <n v="0"/>
    <n v="0"/>
    <n v="0"/>
    <n v="0"/>
    <n v="0"/>
    <n v="0"/>
    <n v="3956.9426967728532"/>
    <n v="15036.382247736839"/>
    <n v="0"/>
    <n v="0"/>
    <n v="0"/>
    <n v="0"/>
    <n v="0"/>
    <n v="0"/>
    <n v="0"/>
    <n v="0"/>
    <n v="0"/>
    <n v="0"/>
    <n v="0"/>
    <n v="0"/>
    <n v="3956.9426967728532"/>
    <n v="15036.382247736839"/>
    <n v="0"/>
    <n v="0"/>
    <n v="0"/>
    <n v="0"/>
    <n v="0"/>
    <n v="0"/>
    <n v="0"/>
    <n v="0"/>
    <n v="0"/>
    <n v="0"/>
    <n v="4300"/>
    <n v="17032.449001606241"/>
    <n v="0"/>
    <n v="0"/>
    <n v="0"/>
    <n v="0"/>
    <n v="0"/>
    <n v="0"/>
    <n v="0"/>
    <n v="0"/>
    <n v="0"/>
    <n v="0"/>
    <n v="0"/>
    <n v="0"/>
    <n v="4300"/>
    <n v="17032.449001606241"/>
    <n v="343.0573032271468"/>
    <n v="8.6697566660981107E-2"/>
    <n v="1996.0667538694015"/>
    <n v="0.13274913612746406"/>
  </r>
  <r>
    <x v="4"/>
    <s v="GEORGIA"/>
    <s v="BORN AGROCHEMISTRY, LLC"/>
    <s v="Con potencial"/>
    <s v="A-500001GE"/>
    <s v="CODIORGAN  A-50"/>
    <n v="1"/>
    <n v="5.1800000000000006"/>
    <n v="5.3995156565679512"/>
    <n v="0"/>
    <n v="0"/>
    <n v="1899.3324944509691"/>
    <n v="9838.5423212560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1"/>
    <n v="9838.5423212560218"/>
    <n v="0"/>
    <n v="0"/>
    <n v="2162"/>
    <n v="11673.7528494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2"/>
    <n v="11673.75284949991"/>
    <n v="262.66750554903092"/>
    <n v="0.13829464104701633"/>
    <n v="1835.2105282438879"/>
    <n v="0.18653276759088014"/>
  </r>
  <r>
    <x v="4"/>
    <s v="GEORGIA"/>
    <s v="BORN AGROCHEMISTRY, LLC"/>
    <s v="Con potencial"/>
    <s v="A-500001GE"/>
    <s v="CODIORGAN-A50, 1 KG"/>
    <n v="1"/>
    <n v="4.8691979166666668"/>
    <n v="5.0755425455539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0.152587452907"/>
    <n v="8862.6831868411409"/>
    <n v="1820.152587452907"/>
    <n v="8862.6831868411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2"/>
    <n v="10516.524154387889"/>
    <n v="2072"/>
    <n v="10516.524154387889"/>
    <n v="251.84741254709297"/>
    <n v="0.13836609869039843"/>
    <n v="1653.8409675467483"/>
    <n v="0.1866072534333944"/>
  </r>
  <r>
    <x v="4"/>
    <s v="GEORGIA"/>
    <s v="BORN AGROCHEMISTRY, LLC"/>
    <s v="Con potencial"/>
    <s v="A-500005GE"/>
    <s v="CODIORGAN  A-50"/>
    <n v="5"/>
    <n v="4.4000000000000004"/>
    <n v="4.5864611754631239"/>
    <n v="0"/>
    <n v="0"/>
    <n v="989.23567419321319"/>
    <n v="4352.6369664501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4352.6369664501381"/>
    <n v="0"/>
    <n v="0"/>
    <n v="1145"/>
    <n v="5251.49804590527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5"/>
    <n v="5251.4980459052767"/>
    <n v="155.76432580678681"/>
    <n v="0.1574592686761149"/>
    <n v="898.86107945513868"/>
    <n v="0.20650954499157761"/>
  </r>
  <r>
    <x v="4"/>
    <s v="GEORGIA"/>
    <s v="BORN AGROCHEMISTRY, LLC"/>
    <s v="Con potencial"/>
    <s v="A-500005GE"/>
    <s v="CODIORGAN-A50, 5 KG"/>
    <n v="5"/>
    <n v="4.1360000000000001"/>
    <n v="4.311273504935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920.9120321381379"/>
    <n v="947.99613929838938"/>
    <n v="3920.9120321381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"/>
    <n v="4720.8444879041936"/>
    <n v="1095"/>
    <n v="4720.8444879041936"/>
    <n v="147.00386070161062"/>
    <n v="0.15506799511906028"/>
    <n v="799.93245576605568"/>
    <n v="0.20401693514399999"/>
  </r>
  <r>
    <x v="4"/>
    <s v="GEORGIA"/>
    <s v="BORN AGROCHEMISTRY, LLC"/>
    <s v="Con potencial"/>
    <s v="AGXK0001GE"/>
    <s v="AGROXILATO-K"/>
    <n v="1"/>
    <n v="5.0000000000000009"/>
    <n v="5.2118876993899139"/>
    <n v="0"/>
    <n v="0"/>
    <n v="949.66624722548465"/>
    <n v="4748.3312361274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4748.3312361274238"/>
    <n v="0"/>
    <n v="0"/>
    <n v="1086"/>
    <n v="5660.1100415374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6"/>
    <n v="5660.1100415374467"/>
    <n v="136.33375277451535"/>
    <n v="0.14355964863742793"/>
    <n v="911.77880541002287"/>
    <n v="0.19202089325041241"/>
  </r>
  <r>
    <x v="4"/>
    <s v="GEORGIA"/>
    <s v="BORN AGROCHEMISTRY, LLC"/>
    <s v="Con potencial"/>
    <s v="AGXK0005GE"/>
    <s v="AGROXILATO-K, 5 L"/>
    <n v="5"/>
    <n v="3.25"/>
    <n v="3.3877270046034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080.9874527197649"/>
    <n v="947.99613929838938"/>
    <n v="3080.9874527197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5"/>
    <n v="3709.561070040771"/>
    <n v="1095"/>
    <n v="3709.561070040771"/>
    <n v="147.00386070161062"/>
    <n v="0.15506799511906028"/>
    <n v="628.57361732100617"/>
    <n v="0.20401693514400004"/>
  </r>
  <r>
    <x v="4"/>
    <s v="GEORGIA"/>
    <s v="BORN AGROCHEMISTRY, LLC"/>
    <s v="Con potencial"/>
    <s v="AN0020GE"/>
    <s v="ALCAPLANT NEW"/>
    <n v="20"/>
    <n v="1.95"/>
    <n v="2.0326362027620659"/>
    <n v="0"/>
    <n v="0"/>
    <n v="10881.59241612535"/>
    <n v="21219.105211444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1.59241612535"/>
    <n v="21219.105211444421"/>
    <n v="0"/>
    <n v="0"/>
    <n v="12560"/>
    <n v="25529.910706691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60"/>
    <n v="25529.910706691549"/>
    <n v="1678.4075838746503"/>
    <n v="0.15424282767542652"/>
    <n v="4310.8054952471284"/>
    <n v="0.20315679913411788"/>
  </r>
  <r>
    <x v="4"/>
    <s v="GEORGIA"/>
    <s v="BORN AGROCHEMISTRY, LLC"/>
    <s v="Con potencial"/>
    <s v="AN0020GE"/>
    <s v="ALCAPLANT NEW, 20 KG"/>
    <n v="20"/>
    <n v="1.833"/>
    <n v="1.910678030596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7.9768357903358"/>
    <n v="10426.06154000369"/>
    <n v="5687.9768357903358"/>
    <n v="10426.06154000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60"/>
    <n v="12534.047880712011"/>
    <n v="6560"/>
    <n v="12534.047880712011"/>
    <n v="872.02316420966417"/>
    <n v="0.15330990075814854"/>
    <n v="2107.9863407083212"/>
    <n v="0.2021843370691993"/>
  </r>
  <r>
    <x v="4"/>
    <s v="GEORGIA"/>
    <s v="BORN AGROCHEMISTRY, LLC"/>
    <s v="Con potencial"/>
    <s v="BIO0020GE"/>
    <s v="BIORAD-20"/>
    <n v="20"/>
    <n v="2.77"/>
    <n v="2.887385785462012"/>
    <n v="0"/>
    <n v="0"/>
    <n v="14244.99370838227"/>
    <n v="39458.63257221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4.99370838227"/>
    <n v="39458.632572218892"/>
    <n v="0"/>
    <n v="0"/>
    <n v="18800"/>
    <n v="54282.852766685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00"/>
    <n v="54282.852766685843"/>
    <n v="4555.0062916177303"/>
    <n v="0.3197619026632072"/>
    <n v="14824.22019446695"/>
    <n v="0.37569016532275978"/>
  </r>
  <r>
    <x v="4"/>
    <s v="GEORGIA"/>
    <s v="BORN AGROCHEMISTRY, LLC"/>
    <s v="Con potencial"/>
    <s v="BIO0020GE"/>
    <s v="BIORAD-20, 20 L"/>
    <n v="20"/>
    <n v="2.5484"/>
    <n v="2.657810911389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9.884178951681"/>
    <n v="72476.200841640457"/>
    <n v="28439.884178951681"/>
    <n v="72476.200841640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520"/>
    <n v="99721.065395344413"/>
    <n v="37520"/>
    <n v="99721.065395344413"/>
    <n v="9080.115821048319"/>
    <n v="0.31927400842822351"/>
    <n v="27244.864553703956"/>
    <n v="0.37591463456029689"/>
  </r>
  <r>
    <x v="4"/>
    <s v="GEORGIA"/>
    <s v="BORN AGROCHEMISTRY, LLC"/>
    <s v="Con potencial"/>
    <s v="C-CU0001GE"/>
    <s v="CODICOBRE"/>
    <n v="1"/>
    <n v="4.5000000000000009"/>
    <n v="4.6906989294509236"/>
    <n v="0"/>
    <n v="0"/>
    <n v="949.66624722548465"/>
    <n v="4273.4981125146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4273.4981125146815"/>
    <n v="0"/>
    <n v="0"/>
    <n v="1066"/>
    <n v="5000.2850587946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6"/>
    <n v="5000.2850587946841"/>
    <n v="116.33375277451535"/>
    <n v="0.12249961827578101"/>
    <n v="726.78694628000267"/>
    <n v="0.1700683906122834"/>
  </r>
  <r>
    <x v="4"/>
    <s v="GEORGIA"/>
    <s v="BORN AGROCHEMISTRY, LLC"/>
    <s v="Con potencial"/>
    <s v="C-CU0001GE"/>
    <s v="TENSOLINE-MAX, 1 L"/>
    <n v="1"/>
    <n v="4.2300000000000004"/>
    <n v="4.4092569936838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.07629372645374"/>
    <n v="3849.6227224629001"/>
    <n v="910.07629372645374"/>
    <n v="3849.6227224629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"/>
    <n v="4501.8513905512282"/>
    <n v="1021"/>
    <n v="4501.8513905512282"/>
    <n v="110.92370627354626"/>
    <n v="0.1218839640568499"/>
    <n v="652.22866808832805"/>
    <n v="0.16942664648213815"/>
  </r>
  <r>
    <x v="4"/>
    <s v="GEORGIA"/>
    <s v="BORN AGROCHEMISTRY, LLC"/>
    <s v="Con potencial"/>
    <s v="C-CU0005GE"/>
    <s v="CODICOBRE, 5 L"/>
    <n v="5"/>
    <n v="3.8"/>
    <n v="3.9610346515363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602.3853293338789"/>
    <n v="947.99613929838938"/>
    <n v="3602.3853293338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4277.9174236592407"/>
    <n v="1080"/>
    <n v="4277.9174236592407"/>
    <n v="132.00386070161062"/>
    <n v="0.13924514587085396"/>
    <n v="675.53209432536187"/>
    <n v="0.18752355247079447"/>
  </r>
  <r>
    <x v="4"/>
    <s v="GEORGIA"/>
    <s v="BORN AGROCHEMISTRY, LLC"/>
    <s v="Con potencial"/>
    <s v="CM30005GE"/>
    <s v="TENSOLINE, 5 L"/>
    <n v="5"/>
    <n v="3.72"/>
    <n v="3.8776444483460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526.545638190009"/>
    <n v="947.99613929838938"/>
    <n v="3526.54563819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5"/>
    <n v="4207.2442264555139"/>
    <n v="1085"/>
    <n v="4207.2442264555139"/>
    <n v="137.00386070161062"/>
    <n v="0.14451942895358941"/>
    <n v="680.6985882655049"/>
    <n v="0.19302134669519599"/>
  </r>
  <r>
    <x v="4"/>
    <s v="GEORGIA"/>
    <s v="BORN AGROCHEMISTRY, LLC"/>
    <s v="Con potencial"/>
    <s v="CZNMNES0001GE"/>
    <s v="CODIFOL ZN-MN, 1 KG"/>
    <n v="1"/>
    <n v="4.3999999999999986"/>
    <n v="4.5864611754631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171.183012912913"/>
    <n v="947.99613929838938"/>
    <n v="4171.183012912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4"/>
    <n v="4879.9946906927626"/>
    <n v="1064"/>
    <n v="4879.9946906927626"/>
    <n v="116.00386070161062"/>
    <n v="0.12236744000610057"/>
    <n v="708.81167777984956"/>
    <n v="0.16993061095270823"/>
  </r>
  <r>
    <x v="4"/>
    <s v="GEORGIA"/>
    <s v="BORN AGROCHEMISTRY, LLC"/>
    <s v="Con potencial"/>
    <s v="CZNMNES0005GE"/>
    <s v="CODIFOL ZN-MN"/>
    <n v="5"/>
    <n v="4.43"/>
    <n v="4.6177325016594626"/>
    <n v="0"/>
    <n v="0"/>
    <n v="1978.4713483864259"/>
    <n v="8764.6280733518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8764.6280733518688"/>
    <n v="0"/>
    <n v="0"/>
    <n v="2220"/>
    <n v="10251.36615368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0"/>
    <n v="10251.36615368401"/>
    <n v="241.52865161357408"/>
    <n v="0.12207841766854832"/>
    <n v="1486.7380803321412"/>
    <n v="0.16962934055952084"/>
  </r>
  <r>
    <x v="4"/>
    <s v="GEORGIA"/>
    <s v="BORN AGROCHEMISTRY, LLC"/>
    <s v="Con potencial"/>
    <s v="CZNMNES0005GE"/>
    <s v="CODIFOL ZN-MN, 5 KG"/>
    <n v="5"/>
    <n v="4.1641999999999992"/>
    <n v="4.3406685515598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947.645523266352"/>
    <n v="947.99613929838938"/>
    <n v="3947.645523266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5"/>
    <n v="4622.8120074112894"/>
    <n v="1065"/>
    <n v="4622.8120074112894"/>
    <n v="117.00386070161062"/>
    <n v="0.12342229662264766"/>
    <n v="675.16648414493739"/>
    <n v="0.17103016979758928"/>
  </r>
  <r>
    <x v="4"/>
    <s v="GEORGIA"/>
    <s v="BORN AGROCHEMISTRY, LLC"/>
    <s v="Con potencial"/>
    <s v="RUN0001GE"/>
    <s v="RUN STRESS"/>
    <n v="1"/>
    <n v="8.56"/>
    <n v="8.9227517413555333"/>
    <n v="0"/>
    <n v="0"/>
    <n v="949.66624722548465"/>
    <n v="8129.1430762501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8129.1430762501504"/>
    <n v="0"/>
    <n v="0"/>
    <n v="1254"/>
    <n v="11189.130683659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4"/>
    <n v="11189.13068365984"/>
    <n v="304.33375277451535"/>
    <n v="0.32046390367526206"/>
    <n v="3059.9876074096892"/>
    <n v="0.37642191541069725"/>
  </r>
  <r>
    <x v="4"/>
    <s v="GEORGIA"/>
    <s v="BORN AGROCHEMISTRY, LLC"/>
    <s v="Con potencial"/>
    <s v="RUN0001GE"/>
    <s v="RUN STRESS, 1 L"/>
    <n v="1"/>
    <n v="8.0463958333333334"/>
    <n v="8.3873822936344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.07629372645374"/>
    <n v="7322.83409785598"/>
    <n v="910.07629372645374"/>
    <n v="7322.83409785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1"/>
    <n v="10073.24613465497"/>
    <n v="1201"/>
    <n v="10073.24613465497"/>
    <n v="290.92370627354626"/>
    <n v="0.31966957965942872"/>
    <n v="2750.4120367989899"/>
    <n v="0.37559392989720619"/>
  </r>
  <r>
    <x v="4"/>
    <s v="GEORGIA"/>
    <s v="BORN AGROCHEMISTRY, LLC"/>
    <s v="Con potencial"/>
    <s v="RUN0005GE"/>
    <s v="RUN STRESS"/>
    <n v="5"/>
    <n v="7.4"/>
    <n v="7.7135937950970712"/>
    <n v="0"/>
    <n v="0"/>
    <n v="989.23567419321319"/>
    <n v="7320.3439890297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7320.3439890297777"/>
    <n v="0"/>
    <n v="0"/>
    <n v="1305"/>
    <n v="10066.239902601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5"/>
    <n v="10066.239902601679"/>
    <n v="315.76432580678681"/>
    <n v="0.31920030185356324"/>
    <n v="2745.8959135719015"/>
    <n v="0.37510476525240949"/>
  </r>
  <r>
    <x v="4"/>
    <s v="GEORGIA"/>
    <s v="BORN AGROCHEMISTRY, LLC"/>
    <s v="Con potencial"/>
    <s v="RUN0005GE"/>
    <s v="RUN STRESS, 5 L"/>
    <n v="5"/>
    <n v="6.9560000000000004"/>
    <n v="7.2507781673912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6594.2611449595961"/>
    <n v="947.99613929838938"/>
    <n v="6594.2611449595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"/>
    <n v="9063.4727092390604"/>
    <n v="1250"/>
    <n v="9063.4727092390604"/>
    <n v="302.00386070161062"/>
    <n v="0.31857077068385875"/>
    <n v="2469.2115642794643"/>
    <n v="0.37444855610045658"/>
  </r>
  <r>
    <x v="4"/>
    <s v="GEORGIA"/>
    <s v="BORN AGROCHEMISTRY, LLC"/>
    <s v="Con potencial"/>
    <s v="WHITE0005GE"/>
    <s v="AGROWHITE"/>
    <n v="5"/>
    <n v="2.08"/>
    <n v="2.1681452829462038"/>
    <n v="0"/>
    <n v="0"/>
    <n v="3264.477724837604"/>
    <n v="6790.1136676622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4.477724837604"/>
    <n v="6790.1136676622154"/>
    <n v="0"/>
    <n v="0"/>
    <n v="3715"/>
    <n v="8054.6597261451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15"/>
    <n v="8054.6597261451479"/>
    <n v="450.522275162396"/>
    <n v="0.13800745881481175"/>
    <n v="1264.5460584829325"/>
    <n v="0.18623341528217835"/>
  </r>
  <r>
    <x v="4"/>
    <s v="GEORGIA"/>
    <s v="BORN AGROCHEMISTRY, LLC"/>
    <s v="Con potencial"/>
    <s v="WHITE0020GE"/>
    <s v="AGROWHITE"/>
    <n v="20"/>
    <n v="1.95"/>
    <n v="2.0326362027620659"/>
    <n v="0"/>
    <n v="0"/>
    <n v="2176.318483225069"/>
    <n v="4243.8210422888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6.318483225069"/>
    <n v="4243.8210422888851"/>
    <n v="0"/>
    <n v="0"/>
    <n v="2480"/>
    <n v="5040.9377828499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0"/>
    <n v="5040.9377828499246"/>
    <n v="303.68151677493097"/>
    <n v="0.13953909738656806"/>
    <n v="797.11674056103948"/>
    <n v="0.18782996092858767"/>
  </r>
  <r>
    <x v="4"/>
    <s v="SERBIA"/>
    <s v="PLANTA SANA, D.O.O."/>
    <s v="Con potencial"/>
    <s v="A-50(2)0001RS"/>
    <s v="CODIORGAN-A50"/>
    <n v="1"/>
    <n v="5.57"/>
    <n v="5.8060428971203626"/>
    <n v="0"/>
    <n v="0"/>
    <n v="0"/>
    <n v="0"/>
    <n v="0"/>
    <n v="0"/>
    <n v="0"/>
    <n v="0"/>
    <n v="1978.4713483864259"/>
    <n v="11020.0854105124"/>
    <n v="0"/>
    <n v="0"/>
    <n v="0"/>
    <n v="0"/>
    <n v="0"/>
    <n v="0"/>
    <n v="0"/>
    <n v="0"/>
    <n v="0"/>
    <n v="0"/>
    <n v="0"/>
    <n v="0"/>
    <n v="0"/>
    <n v="0"/>
    <n v="1978.4713483864259"/>
    <n v="11020.0854105124"/>
    <n v="0"/>
    <n v="0"/>
    <n v="0"/>
    <n v="0"/>
    <n v="0"/>
    <n v="0"/>
    <n v="0"/>
    <n v="0"/>
    <n v="2612"/>
    <n v="15165.38404727839"/>
    <n v="0"/>
    <n v="0"/>
    <n v="0"/>
    <n v="0"/>
    <n v="0"/>
    <n v="0"/>
    <n v="0"/>
    <n v="0"/>
    <n v="0"/>
    <n v="0"/>
    <n v="0"/>
    <n v="0"/>
    <n v="0"/>
    <n v="0"/>
    <n v="2612"/>
    <n v="15165.38404727839"/>
    <n v="633.52865161357408"/>
    <n v="0.32021118331092263"/>
    <n v="4145.2986367659905"/>
    <n v="0.37615848537903906"/>
  </r>
  <r>
    <x v="4"/>
    <s v="SERBIA"/>
    <s v="PLANTA SANA, D.O.O."/>
    <s v="Con potencial"/>
    <s v="A-50(2)0001RS"/>
    <s v="CODIORGAN-A50, 1 KG"/>
    <n v="1"/>
    <n v="5.57"/>
    <n v="5.8060428971203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10560.676991784059"/>
    <n v="1895.992278596779"/>
    <n v="10560.676991784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3"/>
    <n v="14532.525371492269"/>
    <n v="2503"/>
    <n v="14532.525371492269"/>
    <n v="607.00772140322101"/>
    <n v="0.32015305560867924"/>
    <n v="3971.8483797082099"/>
    <n v="0.37609789436777658"/>
  </r>
  <r>
    <x v="4"/>
    <s v="SERBIA"/>
    <s v="PLANTA SANA, D.O.O."/>
    <s v="Con potencial"/>
    <s v="AN0005RS"/>
    <s v="ALCAPLANT NEW, 5 KG"/>
    <n v="5"/>
    <n v="1.9379999999999999"/>
    <n v="2.0201276722835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2.795753228228"/>
    <n v="2020.938169756306"/>
    <n v="1042.795753228228"/>
    <n v="2020.938169756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"/>
    <n v="2434.253845101654"/>
    <n v="1205"/>
    <n v="2434.253845101654"/>
    <n v="162.20424677177198"/>
    <n v="0.15554747539930927"/>
    <n v="413.31567534534793"/>
    <n v="0.20451673461894554"/>
  </r>
  <r>
    <x v="4"/>
    <s v="SERBIA"/>
    <s v="PLANTA SANA, D.O.O."/>
    <s v="Con potencial"/>
    <s v="AVAN0001RS"/>
    <s v="FLORAMEC AVANCE"/>
    <n v="1"/>
    <n v="5.8"/>
    <n v="6.0457897312922988"/>
    <n v="0"/>
    <n v="0"/>
    <n v="0"/>
    <n v="0"/>
    <n v="0"/>
    <n v="0"/>
    <n v="0"/>
    <n v="0"/>
    <n v="1092.1161843093071"/>
    <n v="6334.2738689939824"/>
    <n v="0"/>
    <n v="0"/>
    <n v="0"/>
    <n v="0"/>
    <n v="0"/>
    <n v="0"/>
    <n v="0"/>
    <n v="0"/>
    <n v="0"/>
    <n v="0"/>
    <n v="0"/>
    <n v="0"/>
    <n v="0"/>
    <n v="0"/>
    <n v="1092.1161843093071"/>
    <n v="6334.2738689939824"/>
    <n v="0"/>
    <n v="0"/>
    <n v="0"/>
    <n v="0"/>
    <n v="0"/>
    <n v="0"/>
    <n v="0"/>
    <n v="0"/>
    <n v="1382"/>
    <n v="8355.2814086459566"/>
    <n v="0"/>
    <n v="0"/>
    <n v="0"/>
    <n v="0"/>
    <n v="0"/>
    <n v="0"/>
    <n v="0"/>
    <n v="0"/>
    <n v="0"/>
    <n v="0"/>
    <n v="0"/>
    <n v="0"/>
    <n v="0"/>
    <n v="0"/>
    <n v="1382"/>
    <n v="8355.2814086459566"/>
    <n v="289.88381569069293"/>
    <n v="0.26543312868678504"/>
    <n v="2021.0075396519742"/>
    <n v="0.31905907156062913"/>
  </r>
  <r>
    <x v="4"/>
    <s v="SERBIA"/>
    <s v="PLANTA SANA, D.O.O."/>
    <s v="Con potencial"/>
    <s v="C-CU0001RS"/>
    <s v="CODICOBRE"/>
    <n v="1"/>
    <n v="5.0999999999999996"/>
    <n v="5.3161254533777109"/>
    <n v="0"/>
    <n v="0"/>
    <n v="0"/>
    <n v="0"/>
    <n v="0"/>
    <n v="0"/>
    <n v="0"/>
    <n v="0"/>
    <n v="498.57477979337949"/>
    <n v="2542.7313769462348"/>
    <n v="0"/>
    <n v="0"/>
    <n v="0"/>
    <n v="0"/>
    <n v="0"/>
    <n v="0"/>
    <n v="0"/>
    <n v="0"/>
    <n v="0"/>
    <n v="0"/>
    <n v="0"/>
    <n v="0"/>
    <n v="0"/>
    <n v="0"/>
    <n v="498.57477979337949"/>
    <n v="2542.7313769462348"/>
    <n v="0"/>
    <n v="0"/>
    <n v="0"/>
    <n v="0"/>
    <n v="0"/>
    <n v="0"/>
    <n v="0"/>
    <n v="0"/>
    <n v="559"/>
    <n v="2971.714128438141"/>
    <n v="0"/>
    <n v="0"/>
    <n v="0"/>
    <n v="0"/>
    <n v="0"/>
    <n v="0"/>
    <n v="0"/>
    <n v="0"/>
    <n v="0"/>
    <n v="0"/>
    <n v="0"/>
    <n v="0"/>
    <n v="0"/>
    <n v="0"/>
    <n v="559"/>
    <n v="2971.714128438141"/>
    <n v="60.425220206620509"/>
    <n v="0.12119590211053609"/>
    <n v="428.98275149190613"/>
    <n v="0.16870942616325643"/>
  </r>
  <r>
    <x v="4"/>
    <s v="SERBIA"/>
    <s v="PLANTA SANA, D.O.O."/>
    <s v="Con potencial"/>
    <s v="C-CU0001RS"/>
    <s v="CODICOBRE, 1 L"/>
    <n v="1"/>
    <n v="5.1000000000000014"/>
    <n v="5.3161254533777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2417.3901552108941"/>
    <n v="473.99806964919469"/>
    <n v="2417.39015521089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"/>
    <n v="2828.178741196944"/>
    <n v="532"/>
    <n v="2828.178741196944"/>
    <n v="58.00193035080531"/>
    <n v="0.12236744000610057"/>
    <n v="410.78858598604984"/>
    <n v="0.16993061095270839"/>
  </r>
  <r>
    <x v="4"/>
    <s v="SERBIA"/>
    <s v="PLANTA SANA, D.O.O."/>
    <s v="Con potencial"/>
    <s v="FTK0005RS"/>
    <s v="FITOKONTROL CA FLOW"/>
    <n v="5"/>
    <n v="2.8"/>
    <n v="2.918657111658352"/>
    <n v="0"/>
    <n v="0"/>
    <n v="0"/>
    <n v="0"/>
    <n v="0"/>
    <n v="0"/>
    <n v="0"/>
    <n v="0"/>
    <n v="2967.7070225796401"/>
    <n v="8309.5796632229903"/>
    <n v="0"/>
    <n v="0"/>
    <n v="0"/>
    <n v="0"/>
    <n v="0"/>
    <n v="0"/>
    <n v="0"/>
    <n v="0"/>
    <n v="0"/>
    <n v="0"/>
    <n v="0"/>
    <n v="0"/>
    <n v="0"/>
    <n v="0"/>
    <n v="2967.7070225796401"/>
    <n v="8309.5796632229903"/>
    <n v="0"/>
    <n v="0"/>
    <n v="0"/>
    <n v="0"/>
    <n v="0"/>
    <n v="0"/>
    <n v="0"/>
    <n v="0"/>
    <n v="3915"/>
    <n v="11426.54259214245"/>
    <n v="0"/>
    <n v="0"/>
    <n v="0"/>
    <n v="0"/>
    <n v="0"/>
    <n v="0"/>
    <n v="0"/>
    <n v="0"/>
    <n v="0"/>
    <n v="0"/>
    <n v="0"/>
    <n v="0"/>
    <n v="0"/>
    <n v="0"/>
    <n v="3915"/>
    <n v="11426.54259214245"/>
    <n v="947.29297742035988"/>
    <n v="0.31920030185356302"/>
    <n v="3116.96292891946"/>
    <n v="0.37510476525240999"/>
  </r>
  <r>
    <x v="4"/>
    <s v="SERBIA"/>
    <s v="PLANTA SANA, D.O.O."/>
    <s v="Con potencial"/>
    <s v="FTK0020RS"/>
    <s v="FITOKONTROL CA FLOW, 20 KG"/>
    <n v="20"/>
    <n v="2.6"/>
    <n v="2.7101816036827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5.591506456457"/>
    <n v="5422.5379167867868"/>
    <n v="2085.591506456457"/>
    <n v="5422.53791678678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0"/>
    <n v="7480.1012261644046"/>
    <n v="2760"/>
    <n v="7480.1012261644046"/>
    <n v="674.40849354354305"/>
    <n v="0.32336557348634531"/>
    <n v="2057.5633093776178"/>
    <n v="0.3794465508499128"/>
  </r>
  <r>
    <x v="4"/>
    <s v="SERBIA"/>
    <s v="PLANTA SANA, D.O.O."/>
    <s v="Con potencial"/>
    <s v="FU0001RS"/>
    <s v="FULVIGIN"/>
    <n v="1"/>
    <n v="4.3099999999999996"/>
    <n v="4.4926471968741053"/>
    <n v="0"/>
    <n v="0"/>
    <n v="0"/>
    <n v="0"/>
    <n v="0"/>
    <n v="0"/>
    <n v="0"/>
    <n v="0"/>
    <n v="498.57477979337949"/>
    <n v="2148.8573009094648"/>
    <n v="0"/>
    <n v="0"/>
    <n v="0"/>
    <n v="0"/>
    <n v="0"/>
    <n v="0"/>
    <n v="0"/>
    <n v="0"/>
    <n v="0"/>
    <n v="0"/>
    <n v="0"/>
    <n v="0"/>
    <n v="0"/>
    <n v="0"/>
    <n v="498.57477979337949"/>
    <n v="2148.8573009094648"/>
    <n v="0"/>
    <n v="0"/>
    <n v="0"/>
    <n v="0"/>
    <n v="0"/>
    <n v="0"/>
    <n v="0"/>
    <n v="0"/>
    <n v="559"/>
    <n v="2511.3897830526248"/>
    <n v="0"/>
    <n v="0"/>
    <n v="0"/>
    <n v="0"/>
    <n v="0"/>
    <n v="0"/>
    <n v="0"/>
    <n v="0"/>
    <n v="0"/>
    <n v="0"/>
    <n v="0"/>
    <n v="0"/>
    <n v="0"/>
    <n v="0"/>
    <n v="559"/>
    <n v="2511.3897830526248"/>
    <n v="60.425220206620509"/>
    <n v="0.12119590211053609"/>
    <n v="362.53248214316"/>
    <n v="0.16870942616325649"/>
  </r>
  <r>
    <x v="4"/>
    <s v="SERBIA"/>
    <s v="PLANTA SANA, D.O.O."/>
    <s v="Con potencial"/>
    <s v="RUN0001RS"/>
    <s v="RUN STRESS, 1 L"/>
    <n v="1"/>
    <n v="7.963409563409563"/>
    <n v="8.3008792697476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.07629372645374"/>
    <n v="7247.3102608935724"/>
    <n v="910.07629372645374"/>
    <n v="7247.3102608935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1"/>
    <n v="9969.3560029669407"/>
    <n v="1201"/>
    <n v="9969.3560029669407"/>
    <n v="290.92370627354626"/>
    <n v="0.31966957965942872"/>
    <n v="2722.0457420733683"/>
    <n v="0.37559392989720686"/>
  </r>
  <r>
    <x v="4"/>
    <s v="TURQUÍA"/>
    <s v="DOGA TARIM TIC.SAN.VE TUR. LTD. STI"/>
    <s v="Con potencial"/>
    <s v="AN0005TR"/>
    <s v="ALCAPLANT NEW, 5 KG"/>
    <n v="5"/>
    <n v="2.0499999999999989"/>
    <n v="2.137350087310637"/>
    <n v="0"/>
    <n v="0"/>
    <n v="0"/>
    <n v="0"/>
    <n v="0"/>
    <n v="0"/>
    <n v="0"/>
    <n v="0"/>
    <n v="0"/>
    <n v="0"/>
    <n v="0"/>
    <n v="0"/>
    <n v="0"/>
    <n v="0"/>
    <n v="0"/>
    <n v="0"/>
    <n v="5213.978766141141"/>
    <n v="10688.65647058934"/>
    <n v="0"/>
    <n v="0"/>
    <n v="0"/>
    <n v="0"/>
    <n v="14219.94208947584"/>
    <n v="29150.881283425471"/>
    <n v="19433.920855616983"/>
    <n v="39839.537754014811"/>
    <n v="0"/>
    <n v="0"/>
    <n v="0"/>
    <n v="0"/>
    <n v="0"/>
    <n v="0"/>
    <n v="0"/>
    <n v="0"/>
    <n v="0"/>
    <n v="0"/>
    <n v="0"/>
    <n v="0"/>
    <n v="0"/>
    <n v="0"/>
    <n v="0"/>
    <n v="0"/>
    <n v="6020"/>
    <n v="12863.981219634181"/>
    <n v="0"/>
    <n v="0"/>
    <n v="0"/>
    <n v="0"/>
    <n v="16420"/>
    <n v="35098.154739616519"/>
    <n v="22440"/>
    <n v="47962.1359592507"/>
    <n v="3006.0791443830167"/>
    <n v="0.15468207196666492"/>
    <n v="8122.5982052358886"/>
    <n v="0.20388284260194103"/>
  </r>
  <r>
    <x v="4"/>
    <s v="TURQUÍA"/>
    <s v="DOGA TARIM TIC.SAN.VE TUR. LTD. STI"/>
    <s v="Con potencial"/>
    <s v="BIO0020TR"/>
    <s v="BIORAD-20, 20 L"/>
    <n v="20"/>
    <n v="2.2400000000000011"/>
    <n v="2.3349256893266821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21235.113520283929"/>
    <n v="0"/>
    <n v="0"/>
    <n v="0"/>
    <n v="0"/>
    <n v="0"/>
    <n v="0"/>
    <n v="9479.9613929838924"/>
    <n v="21235.113520283929"/>
    <n v="0"/>
    <n v="0"/>
    <n v="0"/>
    <n v="0"/>
    <n v="0"/>
    <n v="0"/>
    <n v="0"/>
    <n v="0"/>
    <n v="0"/>
    <n v="0"/>
    <n v="0"/>
    <n v="0"/>
    <n v="0"/>
    <n v="0"/>
    <n v="0"/>
    <n v="0"/>
    <n v="12520"/>
    <n v="29233.26963037005"/>
    <n v="0"/>
    <n v="0"/>
    <n v="0"/>
    <n v="0"/>
    <n v="0"/>
    <n v="0"/>
    <n v="12520"/>
    <n v="29233.26963037005"/>
    <n v="3040.0386070161076"/>
    <n v="0.32068048391695314"/>
    <n v="7998.1561100861218"/>
    <n v="0.37664767379021674"/>
  </r>
  <r>
    <x v="4"/>
    <s v="TURQUÍA"/>
    <s v="DOGA TARIM TIC.SAN.VE TUR. LTD. STI"/>
    <s v="Con potencial"/>
    <s v="BIO1000TR"/>
    <s v="BIORAD-20, 1000 L"/>
    <n v="1000"/>
    <n v="1.87"/>
    <n v="1.9492459995718281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17727.527804879879"/>
    <n v="0"/>
    <n v="0"/>
    <n v="0"/>
    <n v="0"/>
    <n v="0"/>
    <n v="0"/>
    <n v="9479.9613929838924"/>
    <n v="17727.527804879879"/>
    <n v="0"/>
    <n v="0"/>
    <n v="0"/>
    <n v="0"/>
    <n v="0"/>
    <n v="0"/>
    <n v="0"/>
    <n v="0"/>
    <n v="0"/>
    <n v="0"/>
    <n v="0"/>
    <n v="0"/>
    <n v="0"/>
    <n v="0"/>
    <n v="0"/>
    <n v="0"/>
    <n v="13000"/>
    <n v="25340.197994433762"/>
    <n v="0"/>
    <n v="0"/>
    <n v="0"/>
    <n v="0"/>
    <n v="0"/>
    <n v="0"/>
    <n v="13000"/>
    <n v="25340.197994433762"/>
    <n v="3520.0386070161076"/>
    <n v="0.37131360151121329"/>
    <n v="7612.6701895538827"/>
    <n v="0.42942649834447494"/>
  </r>
  <r>
    <x v="4"/>
    <s v="TURQUÍA"/>
    <s v="DOGA TARIM TIC.SAN.VE TUR. LTD. STI"/>
    <s v="Con potencial"/>
    <s v="C-CU1000TR"/>
    <s v="CODICOBRE, 1000 L"/>
    <n v="1000"/>
    <n v="3.1"/>
    <n v="3.2313703736217469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5877.5760636500136"/>
    <n v="0"/>
    <n v="0"/>
    <n v="0"/>
    <n v="0"/>
    <n v="0"/>
    <n v="0"/>
    <n v="1895.992278596779"/>
    <n v="5877.5760636500136"/>
    <n v="0"/>
    <n v="0"/>
    <n v="0"/>
    <n v="0"/>
    <n v="0"/>
    <n v="0"/>
    <n v="0"/>
    <n v="0"/>
    <n v="0"/>
    <n v="0"/>
    <n v="0"/>
    <n v="0"/>
    <n v="0"/>
    <n v="0"/>
    <n v="0"/>
    <n v="0"/>
    <n v="2000"/>
    <n v="6462.7407472434934"/>
    <n v="0"/>
    <n v="0"/>
    <n v="0"/>
    <n v="0"/>
    <n v="0"/>
    <n v="0"/>
    <n v="2000"/>
    <n v="6462.7407472434934"/>
    <n v="104.00772140322101"/>
    <n v="5.4856616547086873E-2"/>
    <n v="585.16468359347982"/>
    <n v="9.9558844880365302E-2"/>
  </r>
  <r>
    <x v="4"/>
    <s v="TURQUÍA"/>
    <s v="DOGA TARIM TIC.SAN.VE TUR. LTD. STI"/>
    <s v="Con potencial"/>
    <s v="CZNMNES1000TR"/>
    <s v="CODIFOL ZN-MN, 1000 KG"/>
    <n v="1000"/>
    <n v="3.899999999999999"/>
    <n v="4.0652724055241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394.3698865274364"/>
    <n v="1895.992278596779"/>
    <n v="7394.36988652743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130.5448110482657"/>
    <n v="2000"/>
    <n v="8130.5448110482657"/>
    <n v="104.00772140322101"/>
    <n v="5.4856616547086873E-2"/>
    <n v="736.17492452082934"/>
    <n v="9.9558844880365288E-2"/>
  </r>
  <r>
    <x v="4"/>
    <s v="TURQUÍA"/>
    <s v="ÇITAR ÇIÇEK TARIM TIC. LTD. STI"/>
    <s v="Consolidado/estratégico"/>
    <s v="A-501000TR"/>
    <s v="CODIORGAN-A50, 1000 KG"/>
    <n v="1000"/>
    <n v="4"/>
    <n v="4.1695101595119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583.969114387115"/>
    <n v="1895.992278596779"/>
    <n v="7583.969114387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339.0203190238626"/>
    <n v="2000"/>
    <n v="8339.0203190238626"/>
    <n v="104.00772140322101"/>
    <n v="5.4856616547086873E-2"/>
    <n v="755.05120463674757"/>
    <n v="9.9558844880365219E-2"/>
  </r>
  <r>
    <x v="4"/>
    <s v="TURQUÍA"/>
    <s v="ÇITAR ÇIÇEK TARIM TIC. LTD. STI"/>
    <s v="Consolidado/estratégico"/>
    <s v="A-50TR"/>
    <s v="CODIORGAN-A50, BB"/>
    <n v="1000"/>
    <n v="4.37"/>
    <n v="4.5551898492667853"/>
    <n v="0"/>
    <n v="0"/>
    <n v="0"/>
    <n v="0"/>
    <n v="0"/>
    <n v="0"/>
    <n v="1978.4713483864259"/>
    <n v="8645.9197924486834"/>
    <n v="0"/>
    <n v="0"/>
    <n v="0"/>
    <n v="0"/>
    <n v="1978.4713483864259"/>
    <n v="8645.9197924486834"/>
    <n v="0"/>
    <n v="0"/>
    <n v="0"/>
    <n v="0"/>
    <n v="0"/>
    <n v="0"/>
    <n v="0"/>
    <n v="0"/>
    <n v="0"/>
    <n v="0"/>
    <n v="3956.9426967728518"/>
    <n v="17291.839584897367"/>
    <n v="0"/>
    <n v="0"/>
    <n v="0"/>
    <n v="0"/>
    <n v="0"/>
    <n v="0"/>
    <n v="2000"/>
    <n v="9110.3796985335703"/>
    <n v="0"/>
    <n v="0"/>
    <n v="0"/>
    <n v="0"/>
    <n v="2000"/>
    <n v="9110.3796985335703"/>
    <n v="0"/>
    <n v="0"/>
    <n v="0"/>
    <n v="0"/>
    <n v="0"/>
    <n v="0"/>
    <n v="0"/>
    <n v="0"/>
    <n v="0"/>
    <n v="0"/>
    <n v="4000"/>
    <n v="18220.759397067141"/>
    <n v="43.057303227148168"/>
    <n v="1.0881457359052544E-2"/>
    <n v="928.91981216977365"/>
    <n v="5.3720126630198962E-2"/>
  </r>
  <r>
    <x v="4"/>
    <s v="TURQUÍA"/>
    <s v="ÇITAR ÇIÇEK TARIM TIC. LTD. STI"/>
    <s v="Consolidado/estratégico"/>
    <s v="AN0005TR"/>
    <s v="ALCAPLANT NEW"/>
    <n v="5"/>
    <n v="2.0499999999999998"/>
    <n v="2.137559181683887"/>
    <n v="0"/>
    <n v="0"/>
    <n v="19586.866349025619"/>
    <n v="40153.076015502527"/>
    <n v="0"/>
    <n v="0"/>
    <n v="0"/>
    <n v="0"/>
    <n v="8705.2739329002761"/>
    <n v="17845.811562445571"/>
    <n v="0"/>
    <n v="0"/>
    <n v="0"/>
    <n v="0"/>
    <n v="0"/>
    <n v="0"/>
    <n v="0"/>
    <n v="0"/>
    <n v="0"/>
    <n v="0"/>
    <n v="0"/>
    <n v="0"/>
    <n v="0"/>
    <n v="0"/>
    <n v="28292.140281925895"/>
    <n v="57998.887577948102"/>
    <n v="0"/>
    <n v="0"/>
    <n v="21585"/>
    <n v="46145.793096013331"/>
    <n v="0"/>
    <n v="0"/>
    <n v="0"/>
    <n v="0"/>
    <n v="9600"/>
    <n v="20513.9899847987"/>
    <n v="0"/>
    <n v="0"/>
    <n v="0"/>
    <n v="0"/>
    <n v="0"/>
    <n v="0"/>
    <n v="0"/>
    <n v="0"/>
    <n v="0"/>
    <n v="0"/>
    <n v="0"/>
    <n v="0"/>
    <n v="0"/>
    <n v="0"/>
    <n v="31185"/>
    <n v="66659.783080812034"/>
    <n v="2892.8597180741053"/>
    <n v="0.10224958908188983"/>
    <n v="8660.8955028639321"/>
    <n v="0.14932864860940734"/>
  </r>
  <r>
    <x v="4"/>
    <s v="TURQUÍA"/>
    <s v="ÇITAR ÇIÇEK TARIM TIC. LTD. STI"/>
    <s v="Consolidado/estratégico"/>
    <s v="AN0005TR"/>
    <s v="ALCAPLANT NEW, 5 KG"/>
    <n v="5"/>
    <n v="2.0499999999999998"/>
    <n v="2.1375866638145689"/>
    <n v="0"/>
    <n v="0"/>
    <n v="0"/>
    <n v="0"/>
    <n v="0"/>
    <n v="0"/>
    <n v="10881.59241612535"/>
    <n v="22307.26445305696"/>
    <n v="0"/>
    <n v="0"/>
    <n v="0"/>
    <n v="0"/>
    <n v="43526.369664501377"/>
    <n v="89229.057812227838"/>
    <n v="0"/>
    <n v="0"/>
    <n v="0"/>
    <n v="0"/>
    <n v="0"/>
    <n v="0"/>
    <n v="0"/>
    <n v="0"/>
    <n v="0"/>
    <n v="0"/>
    <n v="54407.962080626727"/>
    <n v="111536.32226528481"/>
    <n v="0"/>
    <n v="0"/>
    <n v="0"/>
    <n v="0"/>
    <n v="0"/>
    <n v="0"/>
    <n v="11995"/>
    <n v="25631.80311121462"/>
    <n v="0"/>
    <n v="0"/>
    <n v="0"/>
    <n v="0"/>
    <n v="47970"/>
    <n v="102548.581184426"/>
    <n v="0"/>
    <n v="0"/>
    <n v="0"/>
    <n v="0"/>
    <n v="0"/>
    <n v="0"/>
    <n v="0"/>
    <n v="0"/>
    <n v="0"/>
    <n v="0"/>
    <n v="59965"/>
    <n v="128180.38429564063"/>
    <n v="5557.0379193732733"/>
    <n v="0.1021364834642831"/>
    <n v="16644.062030355824"/>
    <n v="0.1492254871984085"/>
  </r>
  <r>
    <x v="4"/>
    <s v="TURQUÍA"/>
    <s v="ÇITAR ÇIÇEK TARIM TIC. LTD. STI"/>
    <s v="Consolidado/estratégico"/>
    <s v="FTK0005TR"/>
    <s v="FITOKONTROL CA FLOW, 5 KG"/>
    <n v="5"/>
    <n v="2.8"/>
    <n v="2.918657111658352"/>
    <n v="0"/>
    <n v="0"/>
    <n v="0"/>
    <n v="0"/>
    <n v="0"/>
    <n v="0"/>
    <n v="5440.796208062673"/>
    <n v="15234.22938257548"/>
    <n v="0"/>
    <n v="0"/>
    <n v="0"/>
    <n v="0"/>
    <n v="0"/>
    <n v="0"/>
    <n v="0"/>
    <n v="0"/>
    <n v="9479.9613929838924"/>
    <n v="26543.891900354902"/>
    <n v="0"/>
    <n v="0"/>
    <n v="0"/>
    <n v="0"/>
    <n v="9479.9613929838924"/>
    <n v="26543.891900354902"/>
    <n v="24400.71899403046"/>
    <n v="68322.013183285279"/>
    <n v="0"/>
    <n v="0"/>
    <n v="0"/>
    <n v="0"/>
    <n v="0"/>
    <n v="0"/>
    <n v="6855"/>
    <n v="20007.394500417999"/>
    <n v="0"/>
    <n v="0"/>
    <n v="0"/>
    <n v="0"/>
    <n v="0"/>
    <n v="0"/>
    <n v="0"/>
    <n v="0"/>
    <n v="11945"/>
    <n v="34863.359198759012"/>
    <n v="0"/>
    <n v="0"/>
    <n v="0"/>
    <n v="0"/>
    <n v="11945"/>
    <n v="34863.359198759012"/>
    <n v="30745"/>
    <n v="89734.112897936022"/>
    <n v="6344.2810059695403"/>
    <n v="0.26000385511269747"/>
    <n v="21412.099714650743"/>
    <n v="0.31339971872914796"/>
  </r>
  <r>
    <x v="4"/>
    <s v="TURQUÍA"/>
    <s v="ÇITAR ÇIÇEK TARIM TIC. LTD. STI"/>
    <s v="Consolidado/estratégico"/>
    <s v="FTK0005TR"/>
    <s v="CODIFLOW-Ca"/>
    <n v="5"/>
    <n v="2.8"/>
    <n v="2.9195510342040349"/>
    <n v="0"/>
    <n v="0"/>
    <n v="0"/>
    <n v="0"/>
    <n v="0"/>
    <n v="0"/>
    <n v="0"/>
    <n v="0"/>
    <n v="12958.98733193109"/>
    <n v="36285.164529407062"/>
    <n v="0"/>
    <n v="0"/>
    <n v="0"/>
    <n v="0"/>
    <n v="0"/>
    <n v="0"/>
    <n v="0"/>
    <n v="0"/>
    <n v="0"/>
    <n v="0"/>
    <n v="0"/>
    <n v="0"/>
    <n v="0"/>
    <n v="0"/>
    <n v="12958.98733193109"/>
    <n v="36285.164529407062"/>
    <n v="0"/>
    <n v="0"/>
    <n v="0"/>
    <n v="0"/>
    <n v="0"/>
    <n v="0"/>
    <n v="0"/>
    <n v="0"/>
    <n v="16325"/>
    <n v="47661.670633380883"/>
    <n v="0"/>
    <n v="0"/>
    <n v="0"/>
    <n v="0"/>
    <n v="0"/>
    <n v="0"/>
    <n v="0"/>
    <n v="0"/>
    <n v="0"/>
    <n v="0"/>
    <n v="0"/>
    <n v="0"/>
    <n v="0"/>
    <n v="0"/>
    <n v="16325"/>
    <n v="47661.670633380883"/>
    <n v="3366.01266806891"/>
    <n v="0.25974349552568948"/>
    <n v="11376.506103973821"/>
    <n v="0.31353050899779744"/>
  </r>
  <r>
    <x v="4"/>
    <s v="TURQUÍA"/>
    <s v="ÇITAR ÇIÇEK TARIM TIC. LTD. STI"/>
    <s v="Consolidado/estratégico"/>
    <s v="FU1000TR"/>
    <s v="FULVIGIN, 1000 L"/>
    <n v="1000"/>
    <n v="2.4300000000000002"/>
    <n v="2.5329774219034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303.6306184950859"/>
    <n v="947.99613929838938"/>
    <n v="2303.6306184950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2532.977421903498"/>
    <n v="1000"/>
    <n v="2532.977421903498"/>
    <n v="52.00386070161062"/>
    <n v="5.4856616547086998E-2"/>
    <n v="229.34680340841214"/>
    <n v="9.955884488036526E-2"/>
  </r>
  <r>
    <x v="4"/>
    <s v="TURQUÍA"/>
    <s v="ÇITAR ÇIÇEK TARIM TIC. LTD. STI"/>
    <s v="Consolidado/estratégico"/>
    <s v="RUN0001TR"/>
    <s v="RUN STRESS, 1 L"/>
    <n v="1"/>
    <n v="8.1"/>
    <n v="8.4432580730116609"/>
    <n v="0"/>
    <n v="0"/>
    <n v="0"/>
    <n v="0"/>
    <n v="0"/>
    <n v="0"/>
    <n v="0"/>
    <n v="0"/>
    <n v="0"/>
    <n v="0"/>
    <n v="0"/>
    <n v="0"/>
    <n v="0"/>
    <n v="0"/>
    <n v="0"/>
    <n v="0"/>
    <n v="1858.0724330248429"/>
    <n v="15050.386707501229"/>
    <n v="0"/>
    <n v="0"/>
    <n v="0"/>
    <n v="0"/>
    <n v="0"/>
    <n v="0"/>
    <n v="1858.0724330248429"/>
    <n v="15050.386707501229"/>
    <n v="0"/>
    <n v="0"/>
    <n v="0"/>
    <n v="0"/>
    <n v="0"/>
    <n v="0"/>
    <n v="0"/>
    <n v="0"/>
    <n v="0"/>
    <n v="0"/>
    <n v="0"/>
    <n v="0"/>
    <n v="0"/>
    <n v="0"/>
    <n v="0"/>
    <n v="0"/>
    <n v="2341"/>
    <n v="19765.6671489203"/>
    <n v="0"/>
    <n v="0"/>
    <n v="0"/>
    <n v="0"/>
    <n v="0"/>
    <n v="0"/>
    <n v="2341"/>
    <n v="19765.6671489203"/>
    <n v="482.92756697515711"/>
    <n v="0.2599078261922097"/>
    <n v="4715.2804414190705"/>
    <n v="0.31329962033925268"/>
  </r>
  <r>
    <x v="4"/>
    <s v="TURQUÍA"/>
    <s v="ÇITAR ÇIÇEK TARIM TIC. LTD. STI"/>
    <s v="Consolidado/estratégico"/>
    <s v="RUN1000TR"/>
    <s v="CORDELIA"/>
    <n v="1000"/>
    <n v="7.04"/>
    <n v="7.3383378807409994"/>
    <n v="0"/>
    <n v="0"/>
    <n v="1978.4713483864259"/>
    <n v="13928.43829264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13928.43829264044"/>
    <n v="0"/>
    <n v="0"/>
    <n v="2000"/>
    <n v="14676.67576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4676.675761482"/>
    <n v="21.528651613574084"/>
    <n v="1.0881457359052544E-2"/>
    <n v="748.23746884156026"/>
    <n v="5.3720126630199219E-2"/>
  </r>
  <r>
    <x v="4"/>
    <s v="TURQUÍA"/>
    <s v="ÇITAR ÇIÇEK TARIM TIC. LTD. STI"/>
    <s v="Consolidado/estratégico"/>
    <s v="RUN1000TR"/>
    <s v="RUN STRESS, 1000 L"/>
    <n v="1000"/>
    <n v="7.08"/>
    <n v="7.3800329823361173"/>
    <n v="0"/>
    <n v="0"/>
    <n v="0"/>
    <n v="0"/>
    <n v="0"/>
    <n v="0"/>
    <n v="1978.4713483864259"/>
    <n v="14007.577146575901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14007.577146575901"/>
    <n v="0"/>
    <n v="0"/>
    <n v="0"/>
    <n v="0"/>
    <n v="0"/>
    <n v="0"/>
    <n v="2000"/>
    <n v="14760.065964672231"/>
    <n v="0"/>
    <n v="0"/>
    <n v="0"/>
    <n v="0"/>
    <n v="0"/>
    <n v="0"/>
    <n v="0"/>
    <n v="0"/>
    <n v="0"/>
    <n v="0"/>
    <n v="0"/>
    <n v="0"/>
    <n v="0"/>
    <n v="0"/>
    <n v="0"/>
    <n v="0"/>
    <n v="2000"/>
    <n v="14760.065964672231"/>
    <n v="21.528651613574084"/>
    <n v="1.0881457359052544E-2"/>
    <n v="752.48881809632985"/>
    <n v="5.3720126630198352E-2"/>
  </r>
  <r>
    <x v="4"/>
    <s v="TURQUÍA"/>
    <s v="ÇITAR ÇIÇEK TARIM TIC. LTD. STI"/>
    <s v="Consolidado/estratégico"/>
    <s v="WHITE0005TR"/>
    <s v="AGROWHITE"/>
    <n v="5"/>
    <n v="2.08"/>
    <n v="2.1686037292281921"/>
    <n v="0"/>
    <n v="0"/>
    <n v="0"/>
    <n v="0"/>
    <n v="0"/>
    <n v="0"/>
    <n v="0"/>
    <n v="0"/>
    <n v="65289.554496752076"/>
    <n v="135802.27335324429"/>
    <n v="0"/>
    <n v="0"/>
    <n v="0"/>
    <n v="0"/>
    <n v="0"/>
    <n v="0"/>
    <n v="0"/>
    <n v="0"/>
    <n v="0"/>
    <n v="0"/>
    <n v="0"/>
    <n v="0"/>
    <n v="0"/>
    <n v="0"/>
    <n v="65289.554496752076"/>
    <n v="135802.27335324429"/>
    <n v="0"/>
    <n v="0"/>
    <n v="0"/>
    <n v="0"/>
    <n v="0"/>
    <n v="0"/>
    <n v="0"/>
    <n v="0"/>
    <n v="70940"/>
    <n v="153840.7485514479"/>
    <n v="0"/>
    <n v="0"/>
    <n v="0"/>
    <n v="0"/>
    <n v="0"/>
    <n v="0"/>
    <n v="0"/>
    <n v="0"/>
    <n v="0"/>
    <n v="0"/>
    <n v="0"/>
    <n v="0"/>
    <n v="0"/>
    <n v="0"/>
    <n v="70940"/>
    <n v="153840.7485514479"/>
    <n v="5650.4455032479236"/>
    <n v="8.6544402803805515E-2"/>
    <n v="18038.47519820361"/>
    <n v="0.13282896340978428"/>
  </r>
  <r>
    <x v="5"/>
    <s v="ESPAÑA"/>
    <s v="ASESORAMIENTO TECNICO DE CULTIVOS, S.L."/>
    <s v="Consolidado/estratégico"/>
    <s v="AGXK0020"/>
    <s v="AGROXILATO-K, 20 L"/>
    <n v="20"/>
    <n v="3.04"/>
    <n v="3.168827721229067"/>
    <n v="0"/>
    <n v="0"/>
    <n v="0"/>
    <n v="0"/>
    <n v="0"/>
    <n v="0"/>
    <n v="0"/>
    <n v="0"/>
    <n v="0"/>
    <n v="0"/>
    <n v="197.84713483864269"/>
    <n v="601.45528990947366"/>
    <n v="0"/>
    <n v="0"/>
    <n v="0"/>
    <n v="0"/>
    <n v="606.7175291509692"/>
    <n v="1844.4212886189459"/>
    <n v="606.7175291509692"/>
    <n v="1844.4212886189459"/>
    <n v="0"/>
    <n v="0"/>
    <n v="0"/>
    <n v="0"/>
    <n v="1411.2821931405811"/>
    <n v="4290.2978671473657"/>
    <n v="0"/>
    <n v="0"/>
    <n v="0"/>
    <n v="0"/>
    <n v="0"/>
    <n v="0"/>
    <n v="0"/>
    <n v="0"/>
    <n v="0"/>
    <n v="0"/>
    <n v="220"/>
    <n v="697.14209867039483"/>
    <n v="0"/>
    <n v="0"/>
    <n v="0"/>
    <n v="0"/>
    <n v="660"/>
    <n v="2091.4262960111841"/>
    <n v="660"/>
    <n v="2091.4262960111841"/>
    <n v="0"/>
    <n v="0"/>
    <n v="0"/>
    <n v="0"/>
    <n v="1540"/>
    <n v="4879.9946906927635"/>
    <n v="128.71780685941894"/>
    <n v="9.120628566352007E-2"/>
    <n v="589.69682354539782"/>
    <n v="0.13744892354933139"/>
  </r>
  <r>
    <x v="5"/>
    <s v="ESPAÑA"/>
    <s v="ASESORAMIENTO TECNICO DE CULTIVOS, S.L."/>
    <s v="Consolidado/estratégico"/>
    <s v="AGXKC0020"/>
    <s v="AGROXILATO-COMPLET, 20 L"/>
    <n v="20"/>
    <n v="3.42"/>
    <n v="3.5649311863827009"/>
    <n v="0"/>
    <n v="0"/>
    <n v="0"/>
    <n v="0"/>
    <n v="0"/>
    <n v="0"/>
    <n v="0"/>
    <n v="0"/>
    <n v="0"/>
    <n v="0"/>
    <n v="0"/>
    <n v="0"/>
    <n v="652.89554496752078"/>
    <n v="2232.9027637889212"/>
    <n v="0"/>
    <n v="0"/>
    <n v="0"/>
    <n v="0"/>
    <n v="0"/>
    <n v="0"/>
    <n v="0"/>
    <n v="0"/>
    <n v="0"/>
    <n v="0"/>
    <n v="652.89554496752078"/>
    <n v="2232.9027637889212"/>
    <n v="0"/>
    <n v="0"/>
    <n v="0"/>
    <n v="0"/>
    <n v="0"/>
    <n v="0"/>
    <n v="0"/>
    <n v="0"/>
    <n v="0"/>
    <n v="0"/>
    <n v="0"/>
    <n v="0"/>
    <n v="820"/>
    <n v="2923.2435728338151"/>
    <n v="0"/>
    <n v="0"/>
    <n v="0"/>
    <n v="0"/>
    <n v="0"/>
    <n v="0"/>
    <n v="0"/>
    <n v="0"/>
    <n v="0"/>
    <n v="0"/>
    <n v="820"/>
    <n v="2923.2435728338151"/>
    <n v="167.10445503247922"/>
    <n v="0.25594362884003452"/>
    <n v="690.34080904489383"/>
    <n v="0.30916743005570146"/>
  </r>
  <r>
    <x v="5"/>
    <s v="ESPAÑA"/>
    <s v="ASESORAMIENTO TECNICO DE CULTIVOS, S.L."/>
    <s v="Consolidado/estratégico"/>
    <s v="AVAN0005"/>
    <s v="FLORAMEC AVANCE, 5 L"/>
    <n v="5"/>
    <n v="3.842222222222222"/>
    <n v="4.0050461476645154"/>
    <n v="0"/>
    <n v="0"/>
    <n v="0"/>
    <n v="0"/>
    <n v="0"/>
    <n v="0"/>
    <n v="0"/>
    <n v="0"/>
    <n v="0"/>
    <n v="0"/>
    <n v="178.06242135477839"/>
    <n v="684.15539227202635"/>
    <n v="0"/>
    <n v="0"/>
    <n v="0"/>
    <n v="0"/>
    <n v="0"/>
    <n v="0"/>
    <n v="0"/>
    <n v="0"/>
    <n v="0"/>
    <n v="0"/>
    <n v="0"/>
    <n v="0"/>
    <n v="178.06242135477839"/>
    <n v="684.15539227202635"/>
    <n v="0"/>
    <n v="0"/>
    <n v="0"/>
    <n v="0"/>
    <n v="0"/>
    <n v="0"/>
    <n v="0"/>
    <n v="0"/>
    <n v="0"/>
    <n v="0"/>
    <n v="195"/>
    <n v="780.98399879458054"/>
    <n v="0"/>
    <n v="0"/>
    <n v="0"/>
    <n v="0"/>
    <n v="0"/>
    <n v="0"/>
    <n v="0"/>
    <n v="0"/>
    <n v="0"/>
    <n v="0"/>
    <n v="0"/>
    <n v="0"/>
    <n v="195"/>
    <n v="780.98399879458054"/>
    <n v="16.937578645221606"/>
    <n v="9.5121578805639873E-2"/>
    <n v="96.828606522554196"/>
    <n v="0.14153013718271518"/>
  </r>
  <r>
    <x v="5"/>
    <s v="ESPAÑA"/>
    <s v="ASESORAMIENTO TECNICO DE CULTIVOS, S.L."/>
    <s v="Consolidado/estratégico"/>
    <s v="AVAN0020"/>
    <s v="FLORAMEC AVANCE, 20 L"/>
    <n v="20"/>
    <n v="4.5299999999999994"/>
    <n v="4.7219702556472614"/>
    <n v="0"/>
    <n v="0"/>
    <n v="0"/>
    <n v="0"/>
    <n v="0"/>
    <n v="0"/>
    <n v="197.84713483864269"/>
    <n v="896.24752081905115"/>
    <n v="197.84713483864269"/>
    <n v="896.24752081905115"/>
    <n v="0"/>
    <n v="0"/>
    <n v="0"/>
    <n v="0"/>
    <n v="0"/>
    <n v="0"/>
    <n v="0"/>
    <n v="0"/>
    <n v="0"/>
    <n v="0"/>
    <n v="0"/>
    <n v="0"/>
    <n v="0"/>
    <n v="0"/>
    <n v="395.69426967728538"/>
    <n v="1792.4950416381023"/>
    <n v="0"/>
    <n v="0"/>
    <n v="0"/>
    <n v="0"/>
    <n v="0"/>
    <n v="0"/>
    <n v="220"/>
    <n v="1038.833456242397"/>
    <n v="220"/>
    <n v="1038.833456242397"/>
    <n v="0"/>
    <n v="0"/>
    <n v="0"/>
    <n v="0"/>
    <n v="0"/>
    <n v="0"/>
    <n v="0"/>
    <n v="0"/>
    <n v="0"/>
    <n v="0"/>
    <n v="0"/>
    <n v="0"/>
    <n v="0"/>
    <n v="0"/>
    <n v="440"/>
    <n v="2077.666912484794"/>
    <n v="44.305730322714624"/>
    <n v="0.11196960309495725"/>
    <n v="285.17187084669172"/>
    <n v="0.15909213929321808"/>
  </r>
  <r>
    <x v="5"/>
    <s v="ESPAÑA"/>
    <s v="ASESORAMIENTO TECNICO DE CULTIVOS, S.L."/>
    <s v="Consolidado/estratégico"/>
    <s v="B0005"/>
    <s v="BOROCAL, 5 L"/>
    <n v="5"/>
    <n v="3.19"/>
    <n v="3.3251843522107651"/>
    <n v="0"/>
    <n v="0"/>
    <n v="0"/>
    <n v="0"/>
    <n v="0"/>
    <n v="0"/>
    <n v="0"/>
    <n v="0"/>
    <n v="593.54140451592798"/>
    <n v="1893.3970804058099"/>
    <n v="0"/>
    <n v="0"/>
    <n v="0"/>
    <n v="0"/>
    <n v="0"/>
    <n v="0"/>
    <n v="284.39884178951678"/>
    <n v="907.23230530855858"/>
    <n v="0"/>
    <n v="0"/>
    <n v="0"/>
    <n v="0"/>
    <n v="0"/>
    <n v="0"/>
    <n v="877.94024630544482"/>
    <n v="2800.6293857143683"/>
    <n v="0"/>
    <n v="0"/>
    <n v="0"/>
    <n v="0"/>
    <n v="0"/>
    <n v="0"/>
    <n v="0"/>
    <n v="0"/>
    <n v="645"/>
    <n v="2144.7439071759431"/>
    <n v="0"/>
    <n v="0"/>
    <n v="0"/>
    <n v="0"/>
    <n v="0"/>
    <n v="0"/>
    <n v="310"/>
    <n v="1030.807149185337"/>
    <n v="0"/>
    <n v="0"/>
    <n v="0"/>
    <n v="0"/>
    <n v="0"/>
    <n v="0"/>
    <n v="955"/>
    <n v="3175.5510563612802"/>
    <n v="77.059753694555184"/>
    <n v="8.7773346783951017E-2"/>
    <n v="374.92167064691193"/>
    <n v="0.13387050516549481"/>
  </r>
  <r>
    <x v="5"/>
    <s v="ESPAÑA"/>
    <s v="ASESORAMIENTO TECNICO DE CULTIVOS, S.L."/>
    <s v="Consolidado/estratégico"/>
    <s v="B0020"/>
    <s v="BOROCAL, 20 L"/>
    <n v="20"/>
    <n v="2.87"/>
    <n v="2.9916235394498099"/>
    <n v="0"/>
    <n v="0"/>
    <n v="0"/>
    <n v="0"/>
    <n v="633.11083148365651"/>
    <n v="1817.028086358094"/>
    <n v="1266.221662967313"/>
    <n v="3634.056172716188"/>
    <n v="1899.3324944509691"/>
    <n v="5451.0842590742823"/>
    <n v="0"/>
    <n v="0"/>
    <n v="0"/>
    <n v="0"/>
    <n v="0"/>
    <n v="0"/>
    <n v="1213.4350583019379"/>
    <n v="3482.5586173265629"/>
    <n v="606.7175291509692"/>
    <n v="1741.2793086632821"/>
    <n v="606.7175291509692"/>
    <n v="1741.2793086632821"/>
    <n v="0"/>
    <n v="0"/>
    <n v="6225.5351055058154"/>
    <n v="17867.285752801694"/>
    <n v="0"/>
    <n v="0"/>
    <n v="0"/>
    <n v="0"/>
    <n v="680"/>
    <n v="2034.3040068258711"/>
    <n v="1380"/>
    <n v="4128.4404844407381"/>
    <n v="2060"/>
    <n v="6162.7444912666097"/>
    <n v="0"/>
    <n v="0"/>
    <n v="0"/>
    <n v="0"/>
    <n v="0"/>
    <n v="0"/>
    <n v="1320"/>
    <n v="3948.94307207375"/>
    <n v="660"/>
    <n v="1974.471536036875"/>
    <n v="660"/>
    <n v="1974.471536036875"/>
    <n v="0"/>
    <n v="0"/>
    <n v="6760"/>
    <n v="20223.375126680719"/>
    <n v="534.46489449418459"/>
    <n v="8.5850434611075915E-2"/>
    <n v="2356.0893738790255"/>
    <n v="0.13186610470533147"/>
  </r>
  <r>
    <x v="5"/>
    <s v="ESPAÑA"/>
    <s v="ASESORAMIENTO TECNICO DE CULTIVOS, S.L."/>
    <s v="Consolidado/estratégico"/>
    <s v="BROTA0005"/>
    <s v="BROTAMEC, 5 L"/>
    <n v="5"/>
    <n v="3.07"/>
    <n v="3.200099047425407"/>
    <n v="0"/>
    <n v="0"/>
    <n v="98.92356741932133"/>
    <n v="303.69535197731648"/>
    <n v="0"/>
    <n v="0"/>
    <n v="0"/>
    <n v="0"/>
    <n v="692.46497193524931"/>
    <n v="2125.8674638412149"/>
    <n v="0"/>
    <n v="0"/>
    <n v="0"/>
    <n v="0"/>
    <n v="0"/>
    <n v="0"/>
    <n v="0"/>
    <n v="0"/>
    <n v="0"/>
    <n v="0"/>
    <n v="0"/>
    <n v="0"/>
    <n v="0"/>
    <n v="0"/>
    <n v="791.38853935457064"/>
    <n v="2429.5628158185314"/>
    <n v="0"/>
    <n v="0"/>
    <n v="110"/>
    <n v="352.01089521679478"/>
    <n v="0"/>
    <n v="0"/>
    <n v="0"/>
    <n v="0"/>
    <n v="755"/>
    <n v="2416.0747808061819"/>
    <n v="0"/>
    <n v="0"/>
    <n v="0"/>
    <n v="0"/>
    <n v="0"/>
    <n v="0"/>
    <n v="0"/>
    <n v="0"/>
    <n v="0"/>
    <n v="0"/>
    <n v="0"/>
    <n v="0"/>
    <n v="0"/>
    <n v="0"/>
    <n v="865"/>
    <n v="2768.0856760229767"/>
    <n v="73.611460645429361"/>
    <n v="9.3015575769475181E-2"/>
    <n v="338.52286020444535"/>
    <n v="0.13933488691890247"/>
  </r>
  <r>
    <x v="5"/>
    <s v="ESPAÑA"/>
    <s v="ASESORAMIENTO TECNICO DE CULTIVOS, S.L."/>
    <s v="Consolidado/estratégico"/>
    <s v="C-CU0020"/>
    <s v="CODICOBRE, 20 L"/>
    <n v="20"/>
    <n v="3.5750000000000002"/>
    <n v="3.7265859945952351"/>
    <n v="0"/>
    <n v="0"/>
    <n v="633.11083148365651"/>
    <n v="2247.543451766981"/>
    <n v="633.11083148365651"/>
    <n v="2247.543451766981"/>
    <n v="0"/>
    <n v="0"/>
    <n v="1266.221662967313"/>
    <n v="4558.3979866823274"/>
    <n v="0"/>
    <n v="0"/>
    <n v="0"/>
    <n v="0"/>
    <n v="0"/>
    <n v="0"/>
    <n v="1213.4350583019379"/>
    <n v="4338.0303334294294"/>
    <n v="606.7175291509692"/>
    <n v="2169.0151667147152"/>
    <n v="1213.4350583019379"/>
    <n v="4338.0303334294294"/>
    <n v="0"/>
    <n v="0"/>
    <n v="5566.0309716894708"/>
    <n v="19898.560723789862"/>
    <n v="0"/>
    <n v="0"/>
    <n v="680"/>
    <n v="2516.2993812654499"/>
    <n v="680"/>
    <n v="2516.2993812654499"/>
    <n v="0"/>
    <n v="0"/>
    <n v="1380"/>
    <n v="5178.5316181138178"/>
    <n v="0"/>
    <n v="0"/>
    <n v="0"/>
    <n v="0"/>
    <n v="0"/>
    <n v="0"/>
    <n v="1320"/>
    <n v="4918.9796106842014"/>
    <n v="660"/>
    <n v="2459.4898053421011"/>
    <n v="1320"/>
    <n v="4918.9796106842014"/>
    <n v="0"/>
    <n v="0"/>
    <n v="6040"/>
    <n v="22508.579407355221"/>
    <n v="473.96902831052921"/>
    <n v="8.5153861112394105E-2"/>
    <n v="2610.0186835653585"/>
    <n v="0.13116620442024898"/>
  </r>
  <r>
    <x v="5"/>
    <s v="ESPAÑA"/>
    <s v="ASESORAMIENTO TECNICO DE CULTIVOS, S.L."/>
    <s v="Consolidado/estratégico"/>
    <s v="C-MB0005"/>
    <s v="CODIFOL-MB, 5 L"/>
    <n v="5"/>
    <n v="8.3699999999999992"/>
    <n v="8.7247000087787132"/>
    <n v="0"/>
    <n v="0"/>
    <n v="0"/>
    <n v="0"/>
    <n v="0"/>
    <n v="0"/>
    <n v="0"/>
    <n v="0"/>
    <n v="98.92356741932133"/>
    <n v="827.99025929971947"/>
    <n v="197.84713483864269"/>
    <n v="1655.9805185994389"/>
    <n v="0"/>
    <n v="0"/>
    <n v="0"/>
    <n v="0"/>
    <n v="0"/>
    <n v="0"/>
    <n v="0"/>
    <n v="0"/>
    <n v="0"/>
    <n v="0"/>
    <n v="0"/>
    <n v="0"/>
    <n v="296.77070225796399"/>
    <n v="2483.9707778991583"/>
    <n v="0"/>
    <n v="0"/>
    <n v="0"/>
    <n v="0"/>
    <n v="0"/>
    <n v="0"/>
    <n v="0"/>
    <n v="0"/>
    <n v="105"/>
    <n v="916.09350092176498"/>
    <n v="210"/>
    <n v="1832.18700184353"/>
    <n v="0"/>
    <n v="0"/>
    <n v="0"/>
    <n v="0"/>
    <n v="0"/>
    <n v="0"/>
    <n v="0"/>
    <n v="0"/>
    <n v="0"/>
    <n v="0"/>
    <n v="0"/>
    <n v="0"/>
    <n v="315"/>
    <n v="2748.2805027652948"/>
    <n v="18.22929774203601"/>
    <n v="6.1425530227004803E-2"/>
    <n v="264.30972486613655"/>
    <n v="0.10640613296170859"/>
  </r>
  <r>
    <x v="5"/>
    <s v="ESPAÑA"/>
    <s v="ASESORAMIENTO TECNICO DE CULTIVOS, S.L."/>
    <s v="Consolidado/estratégico"/>
    <s v="CBASI0005"/>
    <s v="BIOCULTURE BASI, 5 KG"/>
    <n v="5"/>
    <n v="4.1879999999999997"/>
    <n v="4.3646352166883204"/>
    <n v="0"/>
    <n v="0"/>
    <n v="0"/>
    <n v="0"/>
    <n v="0"/>
    <n v="0"/>
    <n v="395.69426967728532"/>
    <n v="1590.6909641026871"/>
    <n v="0"/>
    <n v="0"/>
    <n v="98.92356741932133"/>
    <n v="480.76853765790162"/>
    <n v="0"/>
    <n v="0"/>
    <n v="0"/>
    <n v="0"/>
    <n v="0"/>
    <n v="0"/>
    <n v="473.99806964919469"/>
    <n v="1985.1039156908271"/>
    <n v="0"/>
    <n v="0"/>
    <n v="0"/>
    <n v="0"/>
    <n v="968.61590674580134"/>
    <n v="4056.5634174514162"/>
    <n v="0"/>
    <n v="0"/>
    <n v="0"/>
    <n v="0"/>
    <n v="0"/>
    <n v="0"/>
    <n v="425"/>
    <n v="1780.9020268815329"/>
    <n v="0"/>
    <n v="0"/>
    <n v="105"/>
    <n v="531.92525859973455"/>
    <n v="0"/>
    <n v="0"/>
    <n v="0"/>
    <n v="0"/>
    <n v="0"/>
    <n v="0"/>
    <n v="510"/>
    <n v="2226.3933398745862"/>
    <n v="0"/>
    <n v="0"/>
    <n v="0"/>
    <n v="0"/>
    <n v="1040"/>
    <n v="4539.2206253558543"/>
    <n v="71.38409325419866"/>
    <n v="7.3697006994261904E-2"/>
    <n v="482.65720790443811"/>
    <n v="0.11898179770296138"/>
  </r>
  <r>
    <x v="5"/>
    <s v="ESPAÑA"/>
    <s v="ASESORAMIENTO TECNICO DE CULTIVOS, S.L."/>
    <s v="Consolidado/estratégico"/>
    <s v="PT0005"/>
    <s v="AGROPOTASION, 5 L"/>
    <n v="5"/>
    <n v="3.359999999999999"/>
    <n v="3.5023885339900209"/>
    <n v="0"/>
    <n v="0"/>
    <n v="0"/>
    <n v="0"/>
    <n v="0"/>
    <n v="0"/>
    <n v="197.84713483864269"/>
    <n v="664.76637305783925"/>
    <n v="791.38853935457064"/>
    <n v="2659.065492231357"/>
    <n v="0"/>
    <n v="0"/>
    <n v="0"/>
    <n v="0"/>
    <n v="0"/>
    <n v="0"/>
    <n v="0"/>
    <n v="0"/>
    <n v="0"/>
    <n v="0"/>
    <n v="0"/>
    <n v="0"/>
    <n v="0"/>
    <n v="0"/>
    <n v="989.2356741932133"/>
    <n v="3323.8318652891962"/>
    <n v="0"/>
    <n v="0"/>
    <n v="0"/>
    <n v="0"/>
    <n v="0"/>
    <n v="0"/>
    <n v="220"/>
    <n v="770.52547747780466"/>
    <n v="875"/>
    <n v="3064.5899672412679"/>
    <n v="0"/>
    <n v="0"/>
    <n v="0"/>
    <n v="0"/>
    <n v="0"/>
    <n v="0"/>
    <n v="0"/>
    <n v="0"/>
    <n v="0"/>
    <n v="0"/>
    <n v="0"/>
    <n v="0"/>
    <n v="0"/>
    <n v="0"/>
    <n v="1095"/>
    <n v="3835.1154447190725"/>
    <n v="105.7643258067867"/>
    <n v="0.10691519580816215"/>
    <n v="511.28357942987623"/>
    <n v="0.15382353866006729"/>
  </r>
  <r>
    <x v="5"/>
    <s v="ESPAÑA"/>
    <s v="ASESORAMIENTO TECNICO DE CULTIVOS, S.L."/>
    <s v="Consolidado/estratégico"/>
    <s v="PT0020"/>
    <s v="AGROPOTASION, 20 L"/>
    <n v="20"/>
    <n v="3.1375000000000002"/>
    <n v="3.27045953136717"/>
    <n v="0"/>
    <n v="0"/>
    <n v="633.11083148365651"/>
    <n v="1962.643577599335"/>
    <n v="0"/>
    <n v="0"/>
    <n v="1266.221662967313"/>
    <n v="3925.28715519867"/>
    <n v="1899.3324944509691"/>
    <n v="5887.930732798005"/>
    <n v="1899.3324944509691"/>
    <n v="6001.890682465063"/>
    <n v="633.11083148365651"/>
    <n v="2019.623552432864"/>
    <n v="1266.221662967313"/>
    <n v="4039.247104865728"/>
    <n v="2426.8701166038768"/>
    <n v="7614.3049908446628"/>
    <n v="1820.152587452907"/>
    <n v="5710.7287431334971"/>
    <n v="1820.152587452907"/>
    <n v="5710.7287431334971"/>
    <n v="0"/>
    <n v="0"/>
    <n v="13664.505269313568"/>
    <n v="42872.385282471325"/>
    <n v="0"/>
    <n v="0"/>
    <n v="700"/>
    <n v="2261.9592615352221"/>
    <n v="0"/>
    <n v="0"/>
    <n v="1400"/>
    <n v="4523.9185230704443"/>
    <n v="2100"/>
    <n v="6785.8777846056673"/>
    <n v="2100"/>
    <n v="6917.2173546302929"/>
    <n v="700"/>
    <n v="2327.6290465475349"/>
    <n v="1400"/>
    <n v="4655.2580930950699"/>
    <n v="2680"/>
    <n v="8764.8315440640181"/>
    <n v="2000"/>
    <n v="6540.9190627343414"/>
    <n v="2000"/>
    <n v="6540.9190627343414"/>
    <n v="0"/>
    <n v="0"/>
    <n v="15080"/>
    <n v="49318.529733016927"/>
    <n v="1415.4947306864324"/>
    <n v="0.10358916790534776"/>
    <n v="6446.144450545602"/>
    <n v="0.15035656187716603"/>
  </r>
  <r>
    <x v="5"/>
    <s v="ESPAÑA"/>
    <s v="ASESORAMIENTO TECNICO DE CULTIVOS, S.L."/>
    <s v="Consolidado/estratégico"/>
    <s v="PT1000"/>
    <s v="AGROPOTASION, 1000 L"/>
    <n v="1000"/>
    <n v="2.84"/>
    <n v="2.9603522132534712"/>
    <n v="0"/>
    <n v="0"/>
    <n v="0"/>
    <n v="0"/>
    <n v="0"/>
    <n v="0"/>
    <n v="0"/>
    <n v="0"/>
    <n v="989.23567419321319"/>
    <n v="2809.429314708726"/>
    <n v="0"/>
    <n v="0"/>
    <n v="989.23567419321319"/>
    <n v="2809.429314708726"/>
    <n v="0"/>
    <n v="0"/>
    <n v="0"/>
    <n v="0"/>
    <n v="0"/>
    <n v="0"/>
    <n v="0"/>
    <n v="0"/>
    <n v="0"/>
    <n v="0"/>
    <n v="1978.4713483864264"/>
    <n v="5618.858629417452"/>
    <n v="0"/>
    <n v="0"/>
    <n v="0"/>
    <n v="0"/>
    <n v="0"/>
    <n v="0"/>
    <n v="0"/>
    <n v="0"/>
    <n v="1000"/>
    <n v="2960.3522132534708"/>
    <n v="0"/>
    <n v="0"/>
    <n v="1000"/>
    <n v="2960.3522132534708"/>
    <n v="0"/>
    <n v="0"/>
    <n v="0"/>
    <n v="0"/>
    <n v="0"/>
    <n v="0"/>
    <n v="0"/>
    <n v="0"/>
    <n v="0"/>
    <n v="0"/>
    <n v="2000"/>
    <n v="5920.7044265069417"/>
    <n v="21.528651613573629"/>
    <n v="1.0881457359052311E-2"/>
    <n v="301.84579708948968"/>
    <n v="5.3720126630198602E-2"/>
  </r>
  <r>
    <x v="5"/>
    <s v="ESPAÑA"/>
    <s v="ASESORAMIENTO TECNICO DE CULTIVOS, S.L."/>
    <s v="Consolidado/estratégico"/>
    <s v="SPCE2B0020"/>
    <s v="SPRINTENE CON BORO, 20 L"/>
    <n v="20"/>
    <n v="11.12"/>
    <n v="11.59123824344317"/>
    <n v="0"/>
    <n v="0"/>
    <n v="0"/>
    <n v="0"/>
    <n v="0"/>
    <n v="0"/>
    <n v="0"/>
    <n v="0"/>
    <n v="0"/>
    <n v="0"/>
    <n v="0"/>
    <n v="0"/>
    <n v="0"/>
    <n v="0"/>
    <n v="19.78471348386427"/>
    <n v="220.0060139405706"/>
    <n v="0"/>
    <n v="0"/>
    <n v="0"/>
    <n v="0"/>
    <n v="0"/>
    <n v="0"/>
    <n v="0"/>
    <n v="0"/>
    <n v="19.78471348386427"/>
    <n v="220.0060139405706"/>
    <n v="0"/>
    <n v="0"/>
    <n v="0"/>
    <n v="0"/>
    <n v="0"/>
    <n v="0"/>
    <n v="0"/>
    <n v="0"/>
    <n v="0"/>
    <n v="0"/>
    <n v="0"/>
    <n v="0"/>
    <n v="0"/>
    <n v="0"/>
    <n v="20"/>
    <n v="231.8247648688633"/>
    <n v="0"/>
    <n v="0"/>
    <n v="0"/>
    <n v="0"/>
    <n v="0"/>
    <n v="0"/>
    <n v="0"/>
    <n v="0"/>
    <n v="20"/>
    <n v="231.8247648688633"/>
    <n v="0.21528651613573047"/>
    <n v="1.0881457359052014E-2"/>
    <n v="11.818750928292701"/>
    <n v="5.3720126630198643E-2"/>
  </r>
  <r>
    <x v="5"/>
    <s v="ESPAÑA"/>
    <s v="COMERCIAL TÉCNICA FITOCARTHAGO, S.L."/>
    <s v="Consolidado/estratégico"/>
    <s v="AGRMGN0020"/>
    <s v="AGROXIGREEN-MG, 20 L"/>
    <n v="20"/>
    <n v="2.83"/>
    <n v="2.9499284378546911"/>
    <n v="0"/>
    <n v="0"/>
    <n v="0"/>
    <n v="0"/>
    <n v="0"/>
    <n v="0"/>
    <n v="0"/>
    <n v="0"/>
    <n v="0"/>
    <n v="0"/>
    <n v="197.84713483864269"/>
    <n v="559.90739159335874"/>
    <n v="0"/>
    <n v="0"/>
    <n v="0"/>
    <n v="0"/>
    <n v="0"/>
    <n v="0"/>
    <n v="0"/>
    <n v="0"/>
    <n v="0"/>
    <n v="0"/>
    <n v="0"/>
    <n v="0"/>
    <n v="197.84713483864269"/>
    <n v="559.90739159335874"/>
    <n v="0"/>
    <n v="0"/>
    <n v="0"/>
    <n v="0"/>
    <n v="0"/>
    <n v="0"/>
    <n v="0"/>
    <n v="0"/>
    <n v="0"/>
    <n v="0"/>
    <n v="240"/>
    <n v="707.98282508512591"/>
    <n v="0"/>
    <n v="0"/>
    <n v="0"/>
    <n v="0"/>
    <n v="0"/>
    <n v="0"/>
    <n v="0"/>
    <n v="0"/>
    <n v="0"/>
    <n v="0"/>
    <n v="0"/>
    <n v="0"/>
    <n v="240"/>
    <n v="707.98282508512591"/>
    <n v="42.152865161357312"/>
    <n v="0.21305774883086245"/>
    <n v="148.07543349176717"/>
    <n v="0.26446415195623851"/>
  </r>
  <r>
    <x v="5"/>
    <s v="ESPAÑA"/>
    <s v="COMERCIAL TÉCNICA FITOCARTHAGO, S.L."/>
    <s v="Consolidado/estratégico"/>
    <s v="AGXK0020"/>
    <s v="AGROXILATO-K, 20 L"/>
    <n v="20"/>
    <n v="2.8233333333333328"/>
    <n v="2.942979254255504"/>
    <n v="0"/>
    <n v="0"/>
    <n v="0"/>
    <n v="0"/>
    <n v="0"/>
    <n v="0"/>
    <n v="0"/>
    <n v="0"/>
    <n v="1266.221662967313"/>
    <n v="3494.7717897897842"/>
    <n v="0"/>
    <n v="0"/>
    <n v="633.11083148365651"/>
    <n v="1867.676952876787"/>
    <n v="0"/>
    <n v="0"/>
    <n v="0"/>
    <n v="0"/>
    <n v="0"/>
    <n v="0"/>
    <n v="0"/>
    <n v="0"/>
    <n v="0"/>
    <n v="0"/>
    <n v="1899.3324944509695"/>
    <n v="5362.448742666571"/>
    <n v="0"/>
    <n v="0"/>
    <n v="0"/>
    <n v="0"/>
    <n v="0"/>
    <n v="0"/>
    <n v="0"/>
    <n v="0"/>
    <n v="1400"/>
    <n v="4027.7468140885239"/>
    <n v="0"/>
    <n v="0"/>
    <n v="700"/>
    <n v="2152.5096198480342"/>
    <n v="0"/>
    <n v="0"/>
    <n v="0"/>
    <n v="0"/>
    <n v="0"/>
    <n v="0"/>
    <n v="0"/>
    <n v="0"/>
    <n v="0"/>
    <n v="0"/>
    <n v="2100"/>
    <n v="6180.2564339365581"/>
    <n v="200.66750554903047"/>
    <n v="0.10565159398646334"/>
    <n v="817.80769126998712"/>
    <n v="0.1525063885017795"/>
  </r>
  <r>
    <x v="5"/>
    <s v="ESPAÑA"/>
    <s v="COMERCIAL TÉCNICA FITOCARTHAGO, S.L."/>
    <s v="Consolidado/estratégico"/>
    <s v="AGXK0200"/>
    <s v="AGROXILATO-K, 200 L"/>
    <n v="200"/>
    <n v="2.68"/>
    <n v="2.7935718068729938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1016.251861327873"/>
    <n v="758.39691143871141"/>
    <n v="2032.503722655747"/>
    <n v="0"/>
    <n v="0"/>
    <n v="0"/>
    <n v="0"/>
    <n v="1137.5953671580671"/>
    <n v="3048.75558398362"/>
    <n v="0"/>
    <n v="0"/>
    <n v="0"/>
    <n v="0"/>
    <n v="0"/>
    <n v="0"/>
    <n v="0"/>
    <n v="0"/>
    <n v="0"/>
    <n v="0"/>
    <n v="0"/>
    <n v="0"/>
    <n v="0"/>
    <n v="0"/>
    <n v="0"/>
    <n v="0"/>
    <n v="400"/>
    <n v="1117.428722749198"/>
    <n v="800"/>
    <n v="2234.857445498395"/>
    <n v="0"/>
    <n v="0"/>
    <n v="0"/>
    <n v="0"/>
    <n v="1200"/>
    <n v="3352.2861682475932"/>
    <n v="62.40463284193288"/>
    <n v="5.4856616547087129E-2"/>
    <n v="303.5305842639732"/>
    <n v="9.9558844880365441E-2"/>
  </r>
  <r>
    <x v="5"/>
    <s v="ESPAÑA"/>
    <s v="COMERCIAL TÉCNICA FITOCARTHAGO, S.L."/>
    <s v="Consolidado/estratégico"/>
    <s v="AGXK1000"/>
    <s v="AGROXILATO-K, 1000 L"/>
    <n v="1000"/>
    <n v="2.4300000000000002"/>
    <n v="2.5329774219034982"/>
    <n v="0"/>
    <n v="0"/>
    <n v="0"/>
    <n v="0"/>
    <n v="0"/>
    <n v="0"/>
    <n v="0"/>
    <n v="0"/>
    <n v="0"/>
    <n v="0"/>
    <n v="989.23567419321319"/>
    <n v="2403.8426882895078"/>
    <n v="0"/>
    <n v="0"/>
    <n v="0"/>
    <n v="0"/>
    <n v="1895.992278596779"/>
    <n v="4607.2612369901717"/>
    <n v="2843.9884178951679"/>
    <n v="6910.8918554852589"/>
    <n v="947.99613929838938"/>
    <n v="2303.6306184950859"/>
    <n v="0"/>
    <n v="0"/>
    <n v="6677.2125099835503"/>
    <n v="16225.626399260025"/>
    <n v="0"/>
    <n v="0"/>
    <n v="0"/>
    <n v="0"/>
    <n v="0"/>
    <n v="0"/>
    <n v="0"/>
    <n v="0"/>
    <n v="0"/>
    <n v="0"/>
    <n v="1000"/>
    <n v="2532.977421903498"/>
    <n v="0"/>
    <n v="0"/>
    <n v="0"/>
    <n v="0"/>
    <n v="2000"/>
    <n v="5065.954843806996"/>
    <n v="3000"/>
    <n v="7598.9322657104931"/>
    <n v="1000"/>
    <n v="2532.977421903498"/>
    <n v="0"/>
    <n v="0"/>
    <n v="7000"/>
    <n v="17730.841953324485"/>
    <n v="322.78749001644974"/>
    <n v="4.8341652977770051E-2"/>
    <n v="1505.2155540644599"/>
    <n v="9.2767793182585892E-2"/>
  </r>
  <r>
    <x v="5"/>
    <s v="ESPAÑA"/>
    <s v="COMERCIAL TÉCNICA FITOCARTHAGO, S.L."/>
    <s v="Consolidado/estratégico"/>
    <s v="AGXKC0020"/>
    <s v="AGROXILATO-COMPLET, 20 L"/>
    <n v="20"/>
    <n v="3.35"/>
    <n v="3.491964758591243"/>
    <n v="0"/>
    <n v="0"/>
    <n v="0"/>
    <n v="0"/>
    <n v="0"/>
    <n v="0"/>
    <n v="0"/>
    <n v="0"/>
    <n v="0"/>
    <n v="0"/>
    <n v="949.66624722548465"/>
    <n v="3105.4086284273349"/>
    <n v="0"/>
    <n v="0"/>
    <n v="633.11083148365651"/>
    <n v="2196.894585248288"/>
    <n v="0"/>
    <n v="0"/>
    <n v="0"/>
    <n v="0"/>
    <n v="0"/>
    <n v="0"/>
    <n v="0"/>
    <n v="0"/>
    <n v="1582.7770787091413"/>
    <n v="5302.3032136756228"/>
    <n v="0"/>
    <n v="0"/>
    <n v="0"/>
    <n v="0"/>
    <n v="0"/>
    <n v="0"/>
    <n v="0"/>
    <n v="0"/>
    <n v="0"/>
    <n v="0"/>
    <n v="1200"/>
    <n v="4090.2894664812052"/>
    <n v="0"/>
    <n v="0"/>
    <n v="800"/>
    <n v="2893.64005070128"/>
    <n v="0"/>
    <n v="0"/>
    <n v="0"/>
    <n v="0"/>
    <n v="0"/>
    <n v="0"/>
    <n v="0"/>
    <n v="0"/>
    <n v="2000"/>
    <n v="6983.9295171824851"/>
    <n v="417.22292129085872"/>
    <n v="0.26360182169881524"/>
    <n v="1681.6263035068623"/>
    <n v="0.31715015828774867"/>
  </r>
  <r>
    <x v="5"/>
    <s v="ESPAÑA"/>
    <s v="COMERCIAL TÉCNICA FITOCARTHAGO, S.L."/>
    <s v="Consolidado/estratégico"/>
    <s v="AN0020"/>
    <s v="ALCAPLANT NEW, 20 KG"/>
    <n v="20"/>
    <n v="1.5784210526315789"/>
    <n v="1.645310653733721"/>
    <n v="0"/>
    <n v="0"/>
    <n v="0"/>
    <n v="0"/>
    <n v="4352.6369664501381"/>
    <n v="6877.1664069912194"/>
    <n v="4352.6369664501381"/>
    <n v="6877.1664069912194"/>
    <n v="1088.159241612535"/>
    <n v="1719.2916017478051"/>
    <n v="10881.59241612535"/>
    <n v="17160.271240229671"/>
    <n v="0"/>
    <n v="0"/>
    <n v="0"/>
    <n v="0"/>
    <n v="2085.591506456457"/>
    <n v="3291.941540980481"/>
    <n v="6161.9749054395306"/>
    <n v="9726.1909165332381"/>
    <n v="6161.9749054395306"/>
    <n v="9726.1909165332381"/>
    <n v="0"/>
    <n v="0"/>
    <n v="35084.566907973676"/>
    <n v="55378.219030006876"/>
    <n v="0"/>
    <n v="0"/>
    <n v="0"/>
    <n v="0"/>
    <n v="4800"/>
    <n v="7905.3912624346212"/>
    <n v="4800"/>
    <n v="7905.3912624346212"/>
    <n v="1200"/>
    <n v="1976.3478156086551"/>
    <n v="12000"/>
    <n v="19725.952564650939"/>
    <n v="0"/>
    <n v="0"/>
    <n v="0"/>
    <n v="0"/>
    <n v="2300"/>
    <n v="3784.2145035875578"/>
    <n v="6800"/>
    <n v="11188.112445389301"/>
    <n v="6800"/>
    <n v="11188.112445389301"/>
    <n v="0"/>
    <n v="0"/>
    <n v="38700"/>
    <n v="63673.522299494995"/>
    <n v="3615.4330920263237"/>
    <n v="0.10304910137581444"/>
    <n v="8295.3032694881185"/>
    <n v="0.14979360865674066"/>
  </r>
  <r>
    <x v="5"/>
    <s v="ESPAÑA"/>
    <s v="COMERCIAL TÉCNICA FITOCARTHAGO, S.L."/>
    <s v="Consolidado/estratégico"/>
    <s v="ANAE0020"/>
    <s v="ALCAPLANT NEW AE, 20 KG"/>
    <n v="20"/>
    <n v="1.73"/>
    <n v="1.8033131439889101"/>
    <n v="0"/>
    <n v="0"/>
    <n v="0"/>
    <n v="0"/>
    <n v="0"/>
    <n v="0"/>
    <n v="1088.159241612535"/>
    <n v="1882.515487989685"/>
    <n v="0"/>
    <n v="0"/>
    <n v="0"/>
    <n v="0"/>
    <n v="0"/>
    <n v="0"/>
    <n v="0"/>
    <n v="0"/>
    <n v="0"/>
    <n v="0"/>
    <n v="2085.591506456457"/>
    <n v="3608.0733061696701"/>
    <n v="2085.591506456457"/>
    <n v="3608.0733061696701"/>
    <n v="0"/>
    <n v="0"/>
    <n v="5259.3422545254489"/>
    <n v="9098.6621003290256"/>
    <n v="0"/>
    <n v="0"/>
    <n v="0"/>
    <n v="0"/>
    <n v="0"/>
    <n v="0"/>
    <n v="1200"/>
    <n v="2163.9757727866918"/>
    <n v="0"/>
    <n v="0"/>
    <n v="0"/>
    <n v="0"/>
    <n v="0"/>
    <n v="0"/>
    <n v="0"/>
    <n v="0"/>
    <n v="0"/>
    <n v="0"/>
    <n v="2300"/>
    <n v="4147.6202311744937"/>
    <n v="2300"/>
    <n v="4147.6202311744937"/>
    <n v="0"/>
    <n v="0"/>
    <n v="5800"/>
    <n v="10459.216235135678"/>
    <n v="540.65774547455112"/>
    <n v="0.10279949836109967"/>
    <n v="1360.5541348066527"/>
    <n v="0.14953342808031658"/>
  </r>
  <r>
    <x v="5"/>
    <s v="ESPAÑA"/>
    <s v="COMERCIAL TÉCNICA FITOCARTHAGO, S.L."/>
    <s v="Consolidado/estratégico"/>
    <s v="AQUOM0020"/>
    <s v="AQUOM, 20 L"/>
    <n v="20"/>
    <n v="8.2800000000000011"/>
    <n v="8.6308860301896964"/>
    <n v="0"/>
    <n v="0"/>
    <n v="0"/>
    <n v="0"/>
    <n v="0"/>
    <n v="0"/>
    <n v="0"/>
    <n v="0"/>
    <n v="0"/>
    <n v="0"/>
    <n v="0"/>
    <n v="0"/>
    <n v="98.92356741932133"/>
    <n v="819.08713823198059"/>
    <n v="0"/>
    <n v="0"/>
    <n v="0"/>
    <n v="0"/>
    <n v="94.799613929838927"/>
    <n v="784.94080333906629"/>
    <n v="94.799613929838927"/>
    <n v="784.94080333906629"/>
    <n v="0"/>
    <n v="0"/>
    <n v="288.52279527899918"/>
    <n v="2388.9687449101134"/>
    <n v="0"/>
    <n v="0"/>
    <n v="0"/>
    <n v="0"/>
    <n v="0"/>
    <n v="0"/>
    <n v="0"/>
    <n v="0"/>
    <n v="0"/>
    <n v="0"/>
    <n v="0"/>
    <n v="0"/>
    <n v="120"/>
    <n v="1035.7063236227641"/>
    <n v="0"/>
    <n v="0"/>
    <n v="0"/>
    <n v="0"/>
    <n v="120"/>
    <n v="1035.7063236227641"/>
    <n v="120"/>
    <n v="1035.7063236227641"/>
    <n v="0"/>
    <n v="0"/>
    <n v="360"/>
    <n v="3107.1189708682923"/>
    <n v="71.477204721000817"/>
    <n v="0.24773503477215014"/>
    <n v="718.15022595817891"/>
    <n v="0.30061097596536357"/>
  </r>
  <r>
    <x v="5"/>
    <s v="ESPAÑA"/>
    <s v="COMERCIAL TÉCNICA FITOCARTHAGO, S.L."/>
    <s v="Consolidado/estratégico"/>
    <s v="AVAN0020"/>
    <s v="FLORAMEC AVANCE, 20 L"/>
    <n v="20"/>
    <n v="4.2300000000000004"/>
    <n v="4.4092569936838659"/>
    <n v="0"/>
    <n v="0"/>
    <n v="0"/>
    <n v="0"/>
    <n v="0"/>
    <n v="0"/>
    <n v="633.11083148365651"/>
    <n v="2678.0588171758668"/>
    <n v="316.55541574182831"/>
    <n v="1339.0294085879329"/>
    <n v="316.55541574182831"/>
    <n v="1339.0294085879329"/>
    <n v="0"/>
    <n v="0"/>
    <n v="0"/>
    <n v="0"/>
    <n v="0"/>
    <n v="0"/>
    <n v="0"/>
    <n v="0"/>
    <n v="0"/>
    <n v="0"/>
    <n v="0"/>
    <n v="0"/>
    <n v="1266.221662967313"/>
    <n v="5356.1176343517327"/>
    <n v="0"/>
    <n v="0"/>
    <n v="0"/>
    <n v="0"/>
    <n v="0"/>
    <n v="0"/>
    <n v="700"/>
    <n v="3086.479895578706"/>
    <n v="340"/>
    <n v="1499.147377852514"/>
    <n v="340"/>
    <n v="1499.147377852514"/>
    <n v="0"/>
    <n v="0"/>
    <n v="0"/>
    <n v="0"/>
    <n v="0"/>
    <n v="0"/>
    <n v="0"/>
    <n v="0"/>
    <n v="0"/>
    <n v="0"/>
    <n v="0"/>
    <n v="0"/>
    <n v="1380"/>
    <n v="6084.7746512837339"/>
    <n v="113.77833703268698"/>
    <n v="8.9856571215228151E-2"/>
    <n v="728.65701693200117"/>
    <n v="0.13604201152318282"/>
  </r>
  <r>
    <x v="5"/>
    <s v="ESPAÑA"/>
    <s v="COMERCIAL TÉCNICA FITOCARTHAGO, S.L."/>
    <s v="Consolidado/estratégico"/>
    <s v="B0005"/>
    <s v="BOROCAL, 5 L"/>
    <n v="5"/>
    <n v="3.34"/>
    <n v="3.481540983192462"/>
    <n v="0"/>
    <n v="0"/>
    <n v="0"/>
    <n v="0"/>
    <n v="0"/>
    <n v="0"/>
    <n v="0"/>
    <n v="0"/>
    <n v="0"/>
    <n v="0"/>
    <n v="0"/>
    <n v="0"/>
    <n v="39.569426967728532"/>
    <n v="132.16188607221329"/>
    <n v="0"/>
    <n v="0"/>
    <n v="0"/>
    <n v="0"/>
    <n v="0"/>
    <n v="0"/>
    <n v="0"/>
    <n v="0"/>
    <n v="0"/>
    <n v="0"/>
    <n v="39.569426967728532"/>
    <n v="132.16188607221329"/>
    <n v="0"/>
    <n v="0"/>
    <n v="0"/>
    <n v="0"/>
    <n v="0"/>
    <n v="0"/>
    <n v="0"/>
    <n v="0"/>
    <n v="0"/>
    <n v="0"/>
    <n v="0"/>
    <n v="0"/>
    <n v="45"/>
    <n v="156.66934424366079"/>
    <n v="0"/>
    <n v="0"/>
    <n v="0"/>
    <n v="0"/>
    <n v="0"/>
    <n v="0"/>
    <n v="0"/>
    <n v="0"/>
    <n v="0"/>
    <n v="0"/>
    <n v="45"/>
    <n v="156.66934424366079"/>
    <n v="5.430573032271468"/>
    <n v="0.13724163952893373"/>
    <n v="24.507458171447496"/>
    <n v="0.1854351424589735"/>
  </r>
  <r>
    <x v="5"/>
    <s v="ESPAÑA"/>
    <s v="COMERCIAL TÉCNICA FITOCARTHAGO, S.L."/>
    <s v="Consolidado/estratégico"/>
    <s v="B0020"/>
    <s v="BOROCAL, 20 L"/>
    <n v="20"/>
    <n v="2.8939024390243899"/>
    <n v="3.015077034097065"/>
    <n v="98.92356741932133"/>
    <n v="285.8891098418386"/>
    <n v="197.84713483864269"/>
    <n v="555.95044889658584"/>
    <n v="0"/>
    <n v="0"/>
    <n v="197.84713483864269"/>
    <n v="555.95044889658584"/>
    <n v="0"/>
    <n v="0"/>
    <n v="0"/>
    <n v="0"/>
    <n v="316.55541574182831"/>
    <n v="949.66624722548465"/>
    <n v="0"/>
    <n v="0"/>
    <n v="0"/>
    <n v="0"/>
    <n v="0"/>
    <n v="0"/>
    <n v="0"/>
    <n v="0"/>
    <n v="0"/>
    <n v="0"/>
    <n v="811.17325283843502"/>
    <n v="2347.4562548604949"/>
    <n v="100"/>
    <n v="301.24710902473697"/>
    <n v="220"/>
    <n v="644.39779515256885"/>
    <n v="0"/>
    <n v="0"/>
    <n v="220"/>
    <n v="644.39779515256885"/>
    <n v="0"/>
    <n v="0"/>
    <n v="0"/>
    <n v="0"/>
    <n v="340"/>
    <n v="1063.2250906755421"/>
    <n v="0"/>
    <n v="0"/>
    <n v="0"/>
    <n v="0"/>
    <n v="0"/>
    <n v="0"/>
    <n v="0"/>
    <n v="0"/>
    <n v="0"/>
    <n v="0"/>
    <n v="880"/>
    <n v="2653.2677900054168"/>
    <n v="68.826747161564981"/>
    <n v="8.4848393263372943E-2"/>
    <n v="305.81153514492189"/>
    <n v="0.13027358210050893"/>
  </r>
  <r>
    <x v="5"/>
    <s v="ESPAÑA"/>
    <s v="COMERCIAL TÉCNICA FITOCARTHAGO, S.L."/>
    <s v="Consolidado/estratégico"/>
    <s v="BC0020"/>
    <s v="BITTER-CAL, 20 KG"/>
    <n v="20"/>
    <n v="2.66"/>
    <n v="2.772724256075433"/>
    <n v="0"/>
    <n v="0"/>
    <n v="98.92356741932133"/>
    <n v="263.13668933539469"/>
    <n v="0"/>
    <n v="0"/>
    <n v="0"/>
    <n v="0"/>
    <n v="0"/>
    <n v="0"/>
    <n v="98.92356741932133"/>
    <n v="263.13668933539469"/>
    <n v="0"/>
    <n v="0"/>
    <n v="0"/>
    <n v="0"/>
    <n v="0"/>
    <n v="0"/>
    <n v="0"/>
    <n v="0"/>
    <n v="0"/>
    <n v="0"/>
    <n v="0"/>
    <n v="0"/>
    <n v="197.84713483864266"/>
    <n v="526.27337867078938"/>
    <n v="0"/>
    <n v="0"/>
    <n v="100"/>
    <n v="277.27242560754343"/>
    <n v="0"/>
    <n v="0"/>
    <n v="0"/>
    <n v="0"/>
    <n v="0"/>
    <n v="0"/>
    <n v="100"/>
    <n v="277.27242560754343"/>
    <n v="0"/>
    <n v="0"/>
    <n v="0"/>
    <n v="0"/>
    <n v="0"/>
    <n v="0"/>
    <n v="0"/>
    <n v="0"/>
    <n v="0"/>
    <n v="0"/>
    <n v="0"/>
    <n v="0"/>
    <n v="200"/>
    <n v="554.54485121508685"/>
    <n v="2.1528651613573402"/>
    <n v="1.0881457359052195E-2"/>
    <n v="28.271472544297467"/>
    <n v="5.3720126630198983E-2"/>
  </r>
  <r>
    <x v="5"/>
    <s v="ESPAÑA"/>
    <s v="COMERCIAL TÉCNICA FITOCARTHAGO, S.L."/>
    <s v="Consolidado/estratégico"/>
    <s v="C-CU0020"/>
    <s v="CODICOBRE, 20 L"/>
    <n v="20"/>
    <n v="3.46"/>
    <n v="3.607494935927718"/>
    <n v="98.92356741932133"/>
    <n v="336.34012922569252"/>
    <n v="0"/>
    <n v="0"/>
    <n v="0"/>
    <n v="0"/>
    <n v="197.84713483864269"/>
    <n v="690.4865005868628"/>
    <n v="0"/>
    <n v="0"/>
    <n v="0"/>
    <n v="0"/>
    <n v="0"/>
    <n v="0"/>
    <n v="0"/>
    <n v="0"/>
    <n v="0"/>
    <n v="0"/>
    <n v="189.59922785967791"/>
    <n v="656.01332839448537"/>
    <n v="189.59922785967791"/>
    <n v="656.01332839448537"/>
    <n v="0"/>
    <n v="0"/>
    <n v="675.96915797731981"/>
    <n v="2338.8532866015262"/>
    <n v="100"/>
    <n v="354.40836355851411"/>
    <n v="0"/>
    <n v="0"/>
    <n v="0"/>
    <n v="0"/>
    <n v="220"/>
    <n v="800.33747511831507"/>
    <n v="0"/>
    <n v="0"/>
    <n v="0"/>
    <n v="0"/>
    <n v="0"/>
    <n v="0"/>
    <n v="0"/>
    <n v="0"/>
    <n v="0"/>
    <n v="0"/>
    <n v="200"/>
    <n v="721.32525759556404"/>
    <n v="200"/>
    <n v="721.32525759556404"/>
    <n v="0"/>
    <n v="0"/>
    <n v="720"/>
    <n v="2597.3963538679573"/>
    <n v="44.03084202268019"/>
    <n v="6.5137353536117271E-2"/>
    <n v="258.54306726643108"/>
    <n v="0.11054266154595246"/>
  </r>
  <r>
    <x v="5"/>
    <s v="ESPAÑA"/>
    <s v="COMERCIAL TÉCNICA FITOCARTHAGO, S.L."/>
    <s v="Consolidado/estratégico"/>
    <s v="FROST-P0020"/>
    <s v="CODIFROST PLUS, 20 L"/>
    <n v="20"/>
    <n v="3.84"/>
    <n v="4.0027297531314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799613929838927"/>
    <n v="364.03051749058147"/>
    <n v="0"/>
    <n v="0"/>
    <n v="94.799613929838927"/>
    <n v="364.03051749058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400.27297531314542"/>
    <n v="0"/>
    <n v="0"/>
    <n v="100"/>
    <n v="400.27297531314542"/>
    <n v="5.2003860701610733"/>
    <n v="5.4856616547087129E-2"/>
    <n v="36.242457822563949"/>
    <n v="9.9558844880365413E-2"/>
  </r>
  <r>
    <x v="5"/>
    <s v="ESPAÑA"/>
    <s v="COMERCIAL TÉCNICA FITOCARTHAGO, S.L."/>
    <s v="Consolidado/estratégico"/>
    <s v="FU0005"/>
    <s v="FULVIGIN, 5 L"/>
    <n v="5"/>
    <n v="2.94"/>
    <n v="3.0645899672412691"/>
    <n v="0"/>
    <n v="0"/>
    <n v="19.78471348386427"/>
    <n v="58.167057642560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58.167057642560927"/>
    <n v="0"/>
    <n v="0"/>
    <n v="20"/>
    <n v="61.291799344825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1.291799344825371"/>
    <n v="0.21528651613573047"/>
    <n v="1.0881457359052014E-2"/>
    <n v="3.1247417022644441"/>
    <n v="5.3720126630198768E-2"/>
  </r>
  <r>
    <x v="5"/>
    <s v="ESPAÑA"/>
    <s v="COMERCIAL TÉCNICA FITOCARTHAGO, S.L."/>
    <s v="Consolidado/estratégico"/>
    <s v="FU0020"/>
    <s v="FULVIGIN, 20 L"/>
    <n v="20"/>
    <n v="2.6485714285714281"/>
    <n v="2.761826672703982"/>
    <n v="98.92356741932133"/>
    <n v="255.22280394184901"/>
    <n v="316.55541574182831"/>
    <n v="845.20296003068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.47898316114964"/>
    <n v="1100.4257639725304"/>
    <n v="100"/>
    <n v="268.93340528851951"/>
    <n v="340"/>
    <n v="946.27033070123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"/>
    <n v="1215.203735989752"/>
    <n v="24.521016838850358"/>
    <n v="5.9018669614245012E-2"/>
    <n v="114.7779720172216"/>
    <n v="0.10430323950511101"/>
  </r>
  <r>
    <x v="5"/>
    <s v="ESPAÑA"/>
    <s v="COMERCIAL TÉCNICA FITOCARTHAGO, S.L."/>
    <s v="Consolidado/estratégico"/>
    <s v="N0020"/>
    <s v="NUTRICALE, 20 L"/>
    <n v="20"/>
    <n v="2.44"/>
    <n v="2.543401197302277"/>
    <n v="0"/>
    <n v="0"/>
    <n v="0"/>
    <n v="0"/>
    <n v="0"/>
    <n v="0"/>
    <n v="0"/>
    <n v="0"/>
    <n v="0"/>
    <n v="0"/>
    <n v="0"/>
    <n v="0"/>
    <n v="316.55541574182831"/>
    <n v="772.39521441006082"/>
    <n v="0"/>
    <n v="0"/>
    <n v="0"/>
    <n v="0"/>
    <n v="0"/>
    <n v="0"/>
    <n v="0"/>
    <n v="0"/>
    <n v="0"/>
    <n v="0"/>
    <n v="316.55541574182831"/>
    <n v="772.39521441006082"/>
    <n v="0"/>
    <n v="0"/>
    <n v="0"/>
    <n v="0"/>
    <n v="0"/>
    <n v="0"/>
    <n v="0"/>
    <n v="0"/>
    <n v="0"/>
    <n v="0"/>
    <n v="0"/>
    <n v="0"/>
    <n v="340"/>
    <n v="864.75640708277422"/>
    <n v="0"/>
    <n v="0"/>
    <n v="0"/>
    <n v="0"/>
    <n v="0"/>
    <n v="0"/>
    <n v="0"/>
    <n v="0"/>
    <n v="0"/>
    <n v="0"/>
    <n v="340"/>
    <n v="864.75640708277422"/>
    <n v="23.444584258171687"/>
    <n v="7.4061548443992764E-2"/>
    <n v="92.3611926727134"/>
    <n v="0.119577634544586"/>
  </r>
  <r>
    <x v="5"/>
    <s v="ESPAÑA"/>
    <s v="COMERCIAL TÉCNICA FITOCARTHAGO, S.L."/>
    <s v="Consolidado/estratégico"/>
    <s v="P-5X0020"/>
    <s v="P.M.S. 5x, 20 L"/>
    <n v="20"/>
    <n v="2.5644444444444439"/>
    <n v="2.672829741837127"/>
    <n v="0"/>
    <n v="0"/>
    <n v="0"/>
    <n v="0"/>
    <n v="316.55541574182831"/>
    <n v="800.88520182682532"/>
    <n v="633.11083148365651"/>
    <n v="1601.7704036536511"/>
    <n v="1266.221662967313"/>
    <n v="3241.5274571963209"/>
    <n v="316.55541574182831"/>
    <n v="800.88520182682544"/>
    <n v="316.55541574182831"/>
    <n v="861.03073081777279"/>
    <n v="0"/>
    <n v="0"/>
    <n v="0"/>
    <n v="0"/>
    <n v="0"/>
    <n v="0"/>
    <n v="0"/>
    <n v="0"/>
    <n v="0"/>
    <n v="0"/>
    <n v="2848.9987416764543"/>
    <n v="7306.0989953213948"/>
    <n v="0"/>
    <n v="0"/>
    <n v="0"/>
    <n v="0"/>
    <n v="340"/>
    <n v="896.65315980304047"/>
    <n v="700"/>
    <n v="1846.0506231239069"/>
    <n v="1400"/>
    <n v="3735.8811029226899"/>
    <n v="340"/>
    <n v="896.65315980304058"/>
    <n v="340"/>
    <n v="963.99074887915822"/>
    <n v="0"/>
    <n v="0"/>
    <n v="0"/>
    <n v="0"/>
    <n v="0"/>
    <n v="0"/>
    <n v="0"/>
    <n v="0"/>
    <n v="0"/>
    <n v="0"/>
    <n v="3120"/>
    <n v="8339.2287945318367"/>
    <n v="271.0012583235457"/>
    <n v="9.5121578805639873E-2"/>
    <n v="1033.1297992104419"/>
    <n v="0.14140648790442437"/>
  </r>
  <r>
    <x v="5"/>
    <s v="ESPAÑA"/>
    <s v="COMERCIAL TÉCNICA FITOCARTHAGO, S.L."/>
    <s v="Consolidado/estratégico"/>
    <s v="PT0020"/>
    <s v="AGROPOTASION, 20 L"/>
    <n v="20"/>
    <n v="3.05"/>
    <n v="3.179251496627848"/>
    <n v="633.11083148365651"/>
    <n v="1930.988036025152"/>
    <n v="0"/>
    <n v="0"/>
    <n v="316.55541574182831"/>
    <n v="965.49401801257613"/>
    <n v="633.11083148365651"/>
    <n v="1930.988036025152"/>
    <n v="633.11083148365651"/>
    <n v="1930.988036025152"/>
    <n v="1266.221662967313"/>
    <n v="3861.976072050305"/>
    <n v="0"/>
    <n v="0"/>
    <n v="0"/>
    <n v="0"/>
    <n v="0"/>
    <n v="0"/>
    <n v="606.7175291509692"/>
    <n v="1850.4884639104559"/>
    <n v="606.7175291509692"/>
    <n v="1850.4884639104559"/>
    <n v="0"/>
    <n v="0"/>
    <n v="4695.5446314620494"/>
    <n v="14321.41112595925"/>
    <n v="700"/>
    <n v="2225.4760476394931"/>
    <n v="0"/>
    <n v="0"/>
    <n v="340"/>
    <n v="1080.945508853468"/>
    <n v="700"/>
    <n v="2225.4760476394931"/>
    <n v="700"/>
    <n v="2225.4760476394931"/>
    <n v="1400"/>
    <n v="4450.9520952789862"/>
    <n v="0"/>
    <n v="0"/>
    <n v="0"/>
    <n v="0"/>
    <n v="0"/>
    <n v="0"/>
    <n v="660"/>
    <n v="2098.305987774379"/>
    <n v="660"/>
    <n v="2098.305987774379"/>
    <n v="0"/>
    <n v="0"/>
    <n v="5160"/>
    <n v="16404.937722599694"/>
    <n v="464.45536853795056"/>
    <n v="9.8914056832920219E-2"/>
    <n v="2083.526596640444"/>
    <n v="0.14548333109883327"/>
  </r>
  <r>
    <x v="5"/>
    <s v="ESPAÑA"/>
    <s v="COMERCIAL TÉCNICA FITOCARTHAGO, S.L."/>
    <s v="Consolidado/estratégico"/>
    <s v="PT0200"/>
    <s v="AGROPOTASION, 200 L"/>
    <n v="200"/>
    <n v="2.96"/>
    <n v="3.085437518038828"/>
    <n v="0"/>
    <n v="0"/>
    <n v="0"/>
    <n v="0"/>
    <n v="0"/>
    <n v="0"/>
    <n v="0"/>
    <n v="0"/>
    <n v="0"/>
    <n v="0"/>
    <n v="1187.082809031856"/>
    <n v="3513.765114734294"/>
    <n v="0"/>
    <n v="0"/>
    <n v="0"/>
    <n v="0"/>
    <n v="0"/>
    <n v="0"/>
    <n v="0"/>
    <n v="0"/>
    <n v="0"/>
    <n v="0"/>
    <n v="0"/>
    <n v="0"/>
    <n v="1187.082809031856"/>
    <n v="3513.765114734294"/>
    <n v="0"/>
    <n v="0"/>
    <n v="0"/>
    <n v="0"/>
    <n v="0"/>
    <n v="0"/>
    <n v="0"/>
    <n v="0"/>
    <n v="0"/>
    <n v="0"/>
    <n v="1400"/>
    <n v="4319.6125252543598"/>
    <n v="0"/>
    <n v="0"/>
    <n v="0"/>
    <n v="0"/>
    <n v="0"/>
    <n v="0"/>
    <n v="0"/>
    <n v="0"/>
    <n v="0"/>
    <n v="0"/>
    <n v="0"/>
    <n v="0"/>
    <n v="1400"/>
    <n v="4319.6125252543598"/>
    <n v="212.91719096814404"/>
    <n v="0.17936170025222756"/>
    <n v="805.84741052006575"/>
    <n v="0.22934014773523154"/>
  </r>
  <r>
    <x v="5"/>
    <s v="ESPAÑA"/>
    <s v="COMERCIAL TÉCNICA FITOCARTHAGO, S.L."/>
    <s v="Consolidado/estratégico"/>
    <s v="S0020"/>
    <s v="SAL-WAX STAR, 20 L"/>
    <n v="20"/>
    <n v="1.95875"/>
    <n v="2.0418849343886198"/>
    <n v="633.11083148365651"/>
    <n v="1190.248363189274"/>
    <n v="1899.3324944509691"/>
    <n v="3741.6850140684091"/>
    <n v="2532.443325934626"/>
    <n v="4988.9133520912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64.8866518692521"/>
    <n v="9920.8467293488957"/>
    <n v="680"/>
    <n v="1332.5754469800131"/>
    <n v="2060"/>
    <n v="4230.1765323328291"/>
    <n v="2760"/>
    <n v="5667.6151598245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0"/>
    <n v="11230.367139137408"/>
    <n v="435.11334813074791"/>
    <n v="8.5907815522419356E-2"/>
    <n v="1309.5204097885126"/>
    <n v="0.13199683913214294"/>
  </r>
  <r>
    <x v="5"/>
    <s v="ESPAÑA"/>
    <s v="COMERCIAL TÉCNICA FITOCARTHAGO, S.L."/>
    <s v="Consolidado/estratégico"/>
    <s v="S0020"/>
    <s v="SALWAX STAR, 20 L"/>
    <n v="20"/>
    <n v="1.990637014483621"/>
    <n v="2.0750870964710728"/>
    <n v="0"/>
    <n v="0"/>
    <n v="0"/>
    <n v="0"/>
    <n v="0"/>
    <n v="0"/>
    <n v="633.11083148365651"/>
    <n v="1247.228338022803"/>
    <n v="633.11083148365651"/>
    <n v="1247.228338022803"/>
    <n v="3798.6649889019391"/>
    <n v="7483.3700281368192"/>
    <n v="0"/>
    <n v="0"/>
    <n v="1266.221662967313"/>
    <n v="2659.065492231357"/>
    <n v="606.7175291509692"/>
    <n v="1200.963642424947"/>
    <n v="1213.4350583019379"/>
    <n v="2401.9272848498931"/>
    <n v="1213.4350583019379"/>
    <n v="2401.9272848498931"/>
    <n v="0"/>
    <n v="0"/>
    <n v="9364.6959605914108"/>
    <n v="18641.710408538514"/>
    <n v="0"/>
    <n v="0"/>
    <n v="0"/>
    <n v="0"/>
    <n v="0"/>
    <n v="0"/>
    <n v="680"/>
    <n v="1396.3689524205461"/>
    <n v="680"/>
    <n v="1396.3689524205461"/>
    <n v="4120"/>
    <n v="8460.3530646656582"/>
    <n v="0"/>
    <n v="0"/>
    <n v="1380"/>
    <n v="3020.8101105663932"/>
    <n v="660"/>
    <n v="1361.796764014593"/>
    <n v="1320"/>
    <n v="2723.593528029186"/>
    <n v="1320"/>
    <n v="2723.593528029186"/>
    <n v="0"/>
    <n v="0"/>
    <n v="10160"/>
    <n v="21082.884900146106"/>
    <n v="795.30403940858923"/>
    <n v="8.492577257771039E-2"/>
    <n v="2441.1744916075913"/>
    <n v="0.13095228056377559"/>
  </r>
  <r>
    <x v="5"/>
    <s v="ESPAÑA"/>
    <s v="COMERCIAL TÉCNICA FITOCARTHAGO, S.L."/>
    <s v="Consolidado/estratégico"/>
    <s v="S0200"/>
    <s v="SAL-WAX STAR, 200 L"/>
    <n v="200"/>
    <n v="1.89"/>
    <n v="1.970093550369387"/>
    <n v="0"/>
    <n v="0"/>
    <n v="791.38853935457064"/>
    <n v="1495.724339380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495.724339380138"/>
    <n v="0"/>
    <n v="0"/>
    <n v="800"/>
    <n v="1576.0748402955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1576.0748402955101"/>
    <n v="8.6114606454293607"/>
    <n v="1.0881457359052195E-2"/>
    <n v="80.350500915372095"/>
    <n v="5.3720126630199226E-2"/>
  </r>
  <r>
    <x v="5"/>
    <s v="ESPAÑA"/>
    <s v="COMERCIAL TÉCNICA FITOCARTHAGO, S.L."/>
    <s v="Consolidado/estratégico"/>
    <s v="S0200"/>
    <s v="SALWAX STAR, 200 L"/>
    <n v="200"/>
    <n v="1.89"/>
    <n v="1.970093550369387"/>
    <n v="0"/>
    <n v="0"/>
    <n v="0"/>
    <n v="0"/>
    <n v="0"/>
    <n v="0"/>
    <n v="0"/>
    <n v="0"/>
    <n v="791.38853935457064"/>
    <n v="1495.724339380138"/>
    <n v="7913.8853935457046"/>
    <n v="14957.24339380138"/>
    <n v="0"/>
    <n v="0"/>
    <n v="0"/>
    <n v="0"/>
    <n v="379.19845571935571"/>
    <n v="716.6850813095823"/>
    <n v="1516.7938228774231"/>
    <n v="2866.7403252383292"/>
    <n v="1516.7938228774231"/>
    <n v="2866.7403252383292"/>
    <n v="0"/>
    <n v="0"/>
    <n v="12118.060034374479"/>
    <n v="22903.133464967759"/>
    <n v="0"/>
    <n v="0"/>
    <n v="0"/>
    <n v="0"/>
    <n v="0"/>
    <n v="0"/>
    <n v="0"/>
    <n v="0"/>
    <n v="800"/>
    <n v="1576.0748402955101"/>
    <n v="8600"/>
    <n v="16942.804533176732"/>
    <n v="0"/>
    <n v="0"/>
    <n v="0"/>
    <n v="0"/>
    <n v="400"/>
    <n v="788.0374201477548"/>
    <n v="1600"/>
    <n v="3152.1496805910192"/>
    <n v="1600"/>
    <n v="3152.1496805910192"/>
    <n v="0"/>
    <n v="0"/>
    <n v="13000"/>
    <n v="25611.216154802038"/>
    <n v="881.93996562552093"/>
    <n v="7.2778973129674351E-2"/>
    <n v="2708.0826898342784"/>
    <n v="0.11824070684373889"/>
  </r>
  <r>
    <x v="5"/>
    <s v="ESPAÑA"/>
    <s v="COMERCIAL TÉCNICA FITOCARTHAGO, S.L."/>
    <s v="Consolidado/estratégico"/>
    <s v="S1000"/>
    <s v="SAL-WAX STAR, 1000 L"/>
    <n v="1000"/>
    <n v="1.4273666666666669"/>
    <n v="1.4878549545038371"/>
    <n v="1978.4713483864259"/>
    <n v="3363.401292256925"/>
    <n v="1978.4713483864259"/>
    <n v="3383.1860057407889"/>
    <n v="1978.4713483864259"/>
    <n v="1725.4248629278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5.4140451592775"/>
    <n v="8472.0121609255166"/>
    <n v="2000"/>
    <n v="3544.0836355851411"/>
    <n v="2000"/>
    <n v="3564.9311863827011"/>
    <n v="2000"/>
    <n v="1818.114905055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8927.1297270230207"/>
    <n v="64.585954840722479"/>
    <n v="1.0881457359052583E-2"/>
    <n v="455.1175660975041"/>
    <n v="5.3720126630198942E-2"/>
  </r>
  <r>
    <x v="5"/>
    <s v="ESPAÑA"/>
    <s v="COMERCIAL TÉCNICA FITOCARTHAGO, S.L."/>
    <s v="Consolidado/estratégico"/>
    <s v="S1000"/>
    <s v="SALWAX STAR, 1000 L"/>
    <n v="1000"/>
    <n v="1.621416992080428"/>
    <n v="1.6887897144353841"/>
    <n v="0"/>
    <n v="0"/>
    <n v="0"/>
    <n v="0"/>
    <n v="0"/>
    <n v="0"/>
    <n v="989.23567419321319"/>
    <n v="1691.5930028703949"/>
    <n v="0"/>
    <n v="0"/>
    <n v="5935.4140451592793"/>
    <n v="10149.558017222371"/>
    <n v="0"/>
    <n v="0"/>
    <n v="0"/>
    <n v="0"/>
    <n v="4739.9806964919462"/>
    <n v="7466.4115645218153"/>
    <n v="4739.9806964919462"/>
    <n v="7466.4115645218153"/>
    <n v="3791.984557193558"/>
    <n v="5973.1292516174517"/>
    <n v="0"/>
    <n v="0"/>
    <n v="20196.595669529946"/>
    <n v="32747.103400753847"/>
    <n v="0"/>
    <n v="0"/>
    <n v="0"/>
    <n v="0"/>
    <n v="0"/>
    <n v="0"/>
    <n v="1000"/>
    <n v="1782.465593191351"/>
    <n v="0"/>
    <n v="0"/>
    <n v="6000"/>
    <n v="10694.7935591481"/>
    <n v="0"/>
    <n v="0"/>
    <n v="0"/>
    <n v="0"/>
    <n v="5000"/>
    <n v="8209.7588752870051"/>
    <n v="5000"/>
    <n v="8209.7588752870051"/>
    <n v="4000"/>
    <n v="6567.8071002296056"/>
    <n v="0"/>
    <n v="0"/>
    <n v="21000"/>
    <n v="35464.584003143071"/>
    <n v="803.40433047005354"/>
    <n v="3.9779195643458255E-2"/>
    <n v="2717.4806023892233"/>
    <n v="8.2983846514090964E-2"/>
  </r>
  <r>
    <x v="5"/>
    <s v="ESPAÑA"/>
    <s v="COMERCIAL TÉCNICA FITOCARTHAGO, S.L."/>
    <s v="Consolidado/estratégico"/>
    <s v="SPCE2B0020"/>
    <s v="SPRINTENE CON BORO, 20 L"/>
    <n v="20"/>
    <n v="10.11"/>
    <n v="10.5384369281664"/>
    <n v="0"/>
    <n v="0"/>
    <n v="949.66624722548465"/>
    <n v="9601.1257594496492"/>
    <n v="316.55541574182831"/>
    <n v="3200.3752531498831"/>
    <n v="0"/>
    <n v="0"/>
    <n v="633.11083148365651"/>
    <n v="6400.7505062997661"/>
    <n v="0"/>
    <n v="0"/>
    <n v="0"/>
    <n v="0"/>
    <n v="0"/>
    <n v="0"/>
    <n v="606.7175291509692"/>
    <n v="6133.9142197162982"/>
    <n v="1213.4350583019379"/>
    <n v="12267.8284394326"/>
    <n v="0"/>
    <n v="0"/>
    <n v="0"/>
    <n v="0"/>
    <n v="3719.4850819038766"/>
    <n v="37603.994178048197"/>
    <n v="0"/>
    <n v="0"/>
    <n v="1040"/>
    <n v="10959.97440529306"/>
    <n v="340"/>
    <n v="3583.0685555765772"/>
    <n v="0"/>
    <n v="0"/>
    <n v="680"/>
    <n v="7166.1371111531525"/>
    <n v="0"/>
    <n v="0"/>
    <n v="0"/>
    <n v="0"/>
    <n v="0"/>
    <n v="0"/>
    <n v="660"/>
    <n v="6955.3683725898263"/>
    <n v="1320"/>
    <n v="13910.736745179651"/>
    <n v="0"/>
    <n v="0"/>
    <n v="0"/>
    <n v="0"/>
    <n v="4040"/>
    <n v="42575.285189792266"/>
    <n v="320.51491809612344"/>
    <n v="8.617185202744862E-2"/>
    <n v="4971.2910117440697"/>
    <n v="0.13220114300108374"/>
  </r>
  <r>
    <x v="5"/>
    <s v="ESPAÑA"/>
    <s v="COMERCIAL TÉCNICA FITOCARTHAGO, S.L."/>
    <s v="Consolidado/estratégico"/>
    <s v="SS0020"/>
    <s v="SAL-WAX-Ca sólido, 20 KG"/>
    <n v="20"/>
    <n v="3.5966666666666671"/>
    <n v="3.7490845517611442"/>
    <n v="791.38853935457064"/>
    <n v="2920.2237102183649"/>
    <n v="0"/>
    <n v="0"/>
    <n v="1582.7770787091411"/>
    <n v="5618.8586294174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4.1656180637119"/>
    <n v="8539.0823396358155"/>
    <n v="860"/>
    <n v="3307.8808850487899"/>
    <n v="0"/>
    <n v="0"/>
    <n v="1720"/>
    <n v="6364.7572584949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0"/>
    <n v="9672.6381435437524"/>
    <n v="205.83438193628808"/>
    <n v="8.6697566660981107E-2"/>
    <n v="1133.5558039079369"/>
    <n v="0.13274913612746381"/>
  </r>
  <r>
    <x v="5"/>
    <s v="ESPAÑA"/>
    <s v="COMERCIAL TÉCNICA FITOCARTHAGO, S.L."/>
    <s v="Consolidado/estratégico"/>
    <s v="SS0020"/>
    <s v="SALWAX-CA, 20 KG"/>
    <n v="20"/>
    <n v="3.5801584073477901"/>
    <n v="3.7318791775766629"/>
    <n v="0"/>
    <n v="0"/>
    <n v="0"/>
    <n v="0"/>
    <n v="0"/>
    <n v="0"/>
    <n v="0"/>
    <n v="0"/>
    <n v="0"/>
    <n v="0"/>
    <n v="791.38853935457064"/>
    <n v="2809.429314708726"/>
    <n v="0"/>
    <n v="0"/>
    <n v="0"/>
    <n v="0"/>
    <n v="0"/>
    <n v="0"/>
    <n v="2654.3891900354902"/>
    <n v="9515.9852462772324"/>
    <n v="2275.1907343161338"/>
    <n v="8156.5587825233424"/>
    <n v="0"/>
    <n v="0"/>
    <n v="5720.9684637061946"/>
    <n v="20481.9733435093"/>
    <n v="0"/>
    <n v="0"/>
    <n v="0"/>
    <n v="0"/>
    <n v="0"/>
    <n v="0"/>
    <n v="0"/>
    <n v="0"/>
    <n v="0"/>
    <n v="0"/>
    <n v="860"/>
    <n v="3182.3786292474811"/>
    <n v="0"/>
    <n v="0"/>
    <n v="0"/>
    <n v="0"/>
    <n v="0"/>
    <n v="0"/>
    <n v="2880"/>
    <n v="10762.339623732199"/>
    <n v="2480"/>
    <n v="9267.5702315471681"/>
    <n v="0"/>
    <n v="0"/>
    <n v="6220"/>
    <n v="23212.288484526849"/>
    <n v="499.0315362938054"/>
    <n v="8.7228506757144331E-2"/>
    <n v="2730.3151410175487"/>
    <n v="0.13330332459800709"/>
  </r>
  <r>
    <x v="5"/>
    <s v="ESPAÑA"/>
    <s v="COMERCIAL TÉCNICA FITOCARTHAGO, S.L."/>
    <s v="Consolidado/estratégico"/>
    <s v="TRI0005"/>
    <s v="TRIFENO-94, 5L"/>
    <n v="5"/>
    <n v="9.3766666666666669"/>
    <n v="9.7702289226144678"/>
    <n v="237.41656180637119"/>
    <n v="2412.1522679527311"/>
    <n v="296.77070225796399"/>
    <n v="2596.7436447571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.18726406433518"/>
    <n v="5008.895912709916"/>
    <n v="285"/>
    <n v="3018.308404470687"/>
    <n v="360"/>
    <n v="3283.4892506156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5"/>
    <n v="6301.7976550863314"/>
    <n v="110.81273593566482"/>
    <n v="0.20744174073442345"/>
    <n v="1292.9017423764153"/>
    <n v="0.25812110391348275"/>
  </r>
  <r>
    <x v="5"/>
    <s v="ESPAÑA"/>
    <s v="COMERCIAL TÉCNICA FITOCARTHAGO, S.L."/>
    <s v="Consolidado/estratégico"/>
    <s v="WHITE0020"/>
    <s v="AGROWHITE, 20 KG"/>
    <n v="20"/>
    <n v="1.65"/>
    <n v="1.719922940798672"/>
    <n v="0"/>
    <n v="0"/>
    <n v="0"/>
    <n v="0"/>
    <n v="0"/>
    <n v="0"/>
    <n v="0"/>
    <n v="0"/>
    <n v="0"/>
    <n v="0"/>
    <n v="8705.2739329002761"/>
    <n v="14363.701989285461"/>
    <n v="0"/>
    <n v="0"/>
    <n v="0"/>
    <n v="0"/>
    <n v="0"/>
    <n v="0"/>
    <n v="0"/>
    <n v="0"/>
    <n v="0"/>
    <n v="0"/>
    <n v="0"/>
    <n v="0"/>
    <n v="8705.2739329002761"/>
    <n v="14363.701989285461"/>
    <n v="0"/>
    <n v="0"/>
    <n v="0"/>
    <n v="0"/>
    <n v="0"/>
    <n v="0"/>
    <n v="0"/>
    <n v="0"/>
    <n v="0"/>
    <n v="0"/>
    <n v="9460"/>
    <n v="16270.47101995543"/>
    <n v="0"/>
    <n v="0"/>
    <n v="0"/>
    <n v="0"/>
    <n v="0"/>
    <n v="0"/>
    <n v="0"/>
    <n v="0"/>
    <n v="0"/>
    <n v="0"/>
    <n v="0"/>
    <n v="0"/>
    <n v="9460"/>
    <n v="16270.47101995543"/>
    <n v="754.72606709972388"/>
    <n v="8.6697566660981218E-2"/>
    <n v="1906.7690306699697"/>
    <n v="0.1327491361274632"/>
  </r>
  <r>
    <x v="5"/>
    <s v="ESPAÑA"/>
    <s v="FITOMURCIA S.L."/>
    <s v="Consolidado/estratégico"/>
    <s v="A-50(2)0005"/>
    <s v="CODIORGAN A-50, 5 KG"/>
    <n v="5"/>
    <n v="4.3400000000000007"/>
    <n v="4.5239185230704448"/>
    <n v="0"/>
    <n v="0"/>
    <n v="791.38853935457064"/>
    <n v="3434.626260798836"/>
    <n v="296.77070225796399"/>
    <n v="1287.984847799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.1592416125345"/>
    <n v="4722.6111085984003"/>
    <n v="0"/>
    <n v="0"/>
    <n v="995"/>
    <n v="4501.2989304550929"/>
    <n v="375"/>
    <n v="1696.4694461514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0"/>
    <n v="6197.7683766065102"/>
    <n v="281.84075838746548"/>
    <n v="0.25900690598354698"/>
    <n v="1475.1572680081099"/>
    <n v="0.31236052134852033"/>
  </r>
  <r>
    <x v="5"/>
    <s v="ESPAÑA"/>
    <s v="FITOMURCIA S.L."/>
    <s v="Consolidado/estratégico"/>
    <s v="A-50(2)0005"/>
    <s v="CODIORGAN-A50, 5 KG"/>
    <n v="5"/>
    <n v="4.4488815023412354"/>
    <n v="4.637323236150932"/>
    <n v="0"/>
    <n v="0"/>
    <n v="0"/>
    <n v="0"/>
    <n v="0"/>
    <n v="0"/>
    <n v="395.69426967728532"/>
    <n v="1717.313130399418"/>
    <n v="0"/>
    <n v="0"/>
    <n v="791.38853935457064"/>
    <n v="3608.7317394568422"/>
    <n v="0"/>
    <n v="0"/>
    <n v="0"/>
    <n v="0"/>
    <n v="0"/>
    <n v="0"/>
    <n v="0"/>
    <n v="0"/>
    <n v="473.99806964919469"/>
    <n v="2063.907125200592"/>
    <n v="0"/>
    <n v="0"/>
    <n v="1661.0808786810508"/>
    <n v="7389.951995056852"/>
    <n v="0"/>
    <n v="0"/>
    <n v="0"/>
    <n v="0"/>
    <n v="0"/>
    <n v="0"/>
    <n v="500"/>
    <n v="2261.9592615352221"/>
    <n v="0"/>
    <n v="0"/>
    <n v="995"/>
    <n v="4729.4753739343823"/>
    <n v="0"/>
    <n v="0"/>
    <n v="0"/>
    <n v="0"/>
    <n v="0"/>
    <n v="0"/>
    <n v="0"/>
    <n v="0"/>
    <n v="595"/>
    <n v="2700.5709280858418"/>
    <n v="0"/>
    <n v="0"/>
    <n v="2090"/>
    <n v="9692.0055635554454"/>
    <n v="428.91912131894924"/>
    <n v="0.25821687963774781"/>
    <n v="2302.0535684985934"/>
    <n v="0.31151130210838174"/>
  </r>
  <r>
    <x v="5"/>
    <s v="ESPAÑA"/>
    <s v="FITOMURCIA S.L."/>
    <s v="Consolidado/estratégico"/>
    <s v="AGFE0001"/>
    <s v="AGROXILATO-FE, 1 KG"/>
    <n v="1"/>
    <n v="10.17"/>
    <n v="10.600979580559081"/>
    <n v="0"/>
    <n v="0"/>
    <n v="0"/>
    <n v="0"/>
    <n v="0"/>
    <n v="0"/>
    <n v="0"/>
    <n v="0"/>
    <n v="31.65554157418282"/>
    <n v="321.93685780943929"/>
    <n v="0"/>
    <n v="0"/>
    <n v="0"/>
    <n v="0"/>
    <n v="0"/>
    <n v="0"/>
    <n v="0"/>
    <n v="0"/>
    <n v="0"/>
    <n v="0"/>
    <n v="0"/>
    <n v="0"/>
    <n v="0"/>
    <n v="0"/>
    <n v="31.65554157418282"/>
    <n v="321.93685780943929"/>
    <n v="0"/>
    <n v="0"/>
    <n v="0"/>
    <n v="0"/>
    <n v="0"/>
    <n v="0"/>
    <n v="0"/>
    <n v="0"/>
    <n v="35"/>
    <n v="371.03428531956791"/>
    <n v="0"/>
    <n v="0"/>
    <n v="0"/>
    <n v="0"/>
    <n v="0"/>
    <n v="0"/>
    <n v="0"/>
    <n v="0"/>
    <n v="0"/>
    <n v="0"/>
    <n v="0"/>
    <n v="0"/>
    <n v="0"/>
    <n v="0"/>
    <n v="35"/>
    <n v="371.03428531956791"/>
    <n v="3.3444584258171801"/>
    <n v="0.10565159398646354"/>
    <n v="49.097427510128625"/>
    <n v="0.15250638850177992"/>
  </r>
  <r>
    <x v="5"/>
    <s v="ESPAÑA"/>
    <s v="FITOMURCIA S.L."/>
    <s v="Consolidado/estratégico"/>
    <s v="AGFEL0005"/>
    <s v="AGROXILATO-FE-L, 5 L"/>
    <n v="5"/>
    <n v="4.0066666666666668"/>
    <n v="4.1764593431111168"/>
    <n v="0"/>
    <n v="0"/>
    <n v="0"/>
    <n v="0"/>
    <n v="39.569426967728532"/>
    <n v="154.32076517414129"/>
    <n v="0"/>
    <n v="0"/>
    <n v="0"/>
    <n v="0"/>
    <n v="0"/>
    <n v="0"/>
    <n v="79.138853935457064"/>
    <n v="321.30374697795571"/>
    <n v="0"/>
    <n v="0"/>
    <n v="0"/>
    <n v="0"/>
    <n v="0"/>
    <n v="0"/>
    <n v="0"/>
    <n v="0"/>
    <n v="0"/>
    <n v="0"/>
    <n v="118.7082809031856"/>
    <n v="475.624512152097"/>
    <n v="0"/>
    <n v="0"/>
    <n v="0"/>
    <n v="0"/>
    <n v="45"/>
    <n v="182.93725824858589"/>
    <n v="0"/>
    <n v="0"/>
    <n v="0"/>
    <n v="0"/>
    <n v="0"/>
    <n v="0"/>
    <n v="90"/>
    <n v="380.88475307141488"/>
    <n v="0"/>
    <n v="0"/>
    <n v="0"/>
    <n v="0"/>
    <n v="0"/>
    <n v="0"/>
    <n v="0"/>
    <n v="0"/>
    <n v="0"/>
    <n v="0"/>
    <n v="135"/>
    <n v="563.8220113200008"/>
    <n v="16.291719096814404"/>
    <n v="0.13724163952893373"/>
    <n v="88.1974991679038"/>
    <n v="0.18543514245897333"/>
  </r>
  <r>
    <x v="5"/>
    <s v="ESPAÑA"/>
    <s v="FITOMURCIA S.L."/>
    <s v="Consolidado/estratégico"/>
    <s v="AGRMG1000"/>
    <s v="AGROXIGREEN-Mg, 1000 L"/>
    <n v="1000"/>
    <n v="2.58"/>
    <n v="2.689334052885195"/>
    <n v="0"/>
    <n v="0"/>
    <n v="0"/>
    <n v="0"/>
    <n v="0"/>
    <n v="0"/>
    <n v="0"/>
    <n v="0"/>
    <n v="989.23567419321319"/>
    <n v="2552.22803941849"/>
    <n v="0"/>
    <n v="0"/>
    <n v="0"/>
    <n v="0"/>
    <n v="0"/>
    <n v="0"/>
    <n v="0"/>
    <n v="0"/>
    <n v="0"/>
    <n v="0"/>
    <n v="0"/>
    <n v="0"/>
    <n v="0"/>
    <n v="0"/>
    <n v="989.23567419321319"/>
    <n v="2552.22803941849"/>
    <n v="0"/>
    <n v="0"/>
    <n v="0"/>
    <n v="0"/>
    <n v="0"/>
    <n v="0"/>
    <n v="0"/>
    <n v="0"/>
    <n v="1000"/>
    <n v="2689.334052885195"/>
    <n v="0"/>
    <n v="0"/>
    <n v="0"/>
    <n v="0"/>
    <n v="0"/>
    <n v="0"/>
    <n v="0"/>
    <n v="0"/>
    <n v="0"/>
    <n v="0"/>
    <n v="0"/>
    <n v="0"/>
    <n v="0"/>
    <n v="0"/>
    <n v="1000"/>
    <n v="2689.334052885195"/>
    <n v="10.764325806786815"/>
    <n v="1.0881457359052311E-2"/>
    <n v="137.10601346670501"/>
    <n v="5.3720126630198685E-2"/>
  </r>
  <r>
    <x v="5"/>
    <s v="ESPAÑA"/>
    <s v="FITOMURCIA S.L."/>
    <s v="Consolidado/estratégico"/>
    <s v="AGXK0020"/>
    <s v="AGROXILATO-K, 20 L"/>
    <n v="20"/>
    <n v="2.7874999999999992"/>
    <n v="2.905627392409877"/>
    <n v="0"/>
    <n v="0"/>
    <n v="633.11083148365651"/>
    <n v="1747.3858948948921"/>
    <n v="2532.443325934626"/>
    <n v="6989.5435795795674"/>
    <n v="633.11083148365651"/>
    <n v="1747.3858948948921"/>
    <n v="0"/>
    <n v="0"/>
    <n v="633.11083148365651"/>
    <n v="1817.028086358094"/>
    <n v="633.11083148365651"/>
    <n v="1817.028086358094"/>
    <n v="0"/>
    <n v="0"/>
    <n v="0"/>
    <n v="0"/>
    <n v="0"/>
    <n v="0"/>
    <n v="0"/>
    <n v="0"/>
    <n v="0"/>
    <n v="0"/>
    <n v="5064.8866518692521"/>
    <n v="14118.371542085541"/>
    <n v="0"/>
    <n v="0"/>
    <n v="700"/>
    <n v="2013.873407044262"/>
    <n v="2800"/>
    <n v="8055.4936281770488"/>
    <n v="700"/>
    <n v="2013.873407044262"/>
    <n v="0"/>
    <n v="0"/>
    <n v="700"/>
    <n v="2094.1364776148671"/>
    <n v="700"/>
    <n v="2094.1364776148671"/>
    <n v="0"/>
    <n v="0"/>
    <n v="0"/>
    <n v="0"/>
    <n v="0"/>
    <n v="0"/>
    <n v="0"/>
    <n v="0"/>
    <n v="0"/>
    <n v="0"/>
    <n v="5600"/>
    <n v="16271.513397495308"/>
    <n v="535.11334813074791"/>
    <n v="0.10565159398646334"/>
    <n v="2153.1418554097672"/>
    <n v="0.15250638850177964"/>
  </r>
  <r>
    <x v="5"/>
    <s v="ESPAÑA"/>
    <s v="FITOMURCIA S.L."/>
    <s v="Consolidado/estratégico"/>
    <s v="AGXK0200"/>
    <s v="AGROXILATO-K, 200 L"/>
    <n v="200"/>
    <n v="2.7349999999999999"/>
    <n v="2.8509025715662819"/>
    <n v="0"/>
    <n v="0"/>
    <n v="0"/>
    <n v="0"/>
    <n v="791.38853935457064"/>
    <n v="2120.9212854702491"/>
    <n v="0"/>
    <n v="0"/>
    <n v="0"/>
    <n v="0"/>
    <n v="791.38853935457064"/>
    <n v="2207.9740247992522"/>
    <n v="0"/>
    <n v="0"/>
    <n v="0"/>
    <n v="0"/>
    <n v="0"/>
    <n v="0"/>
    <n v="0"/>
    <n v="0"/>
    <n v="0"/>
    <n v="0"/>
    <n v="0"/>
    <n v="0"/>
    <n v="1582.7770787091413"/>
    <n v="4328.8953102695014"/>
    <n v="0"/>
    <n v="0"/>
    <n v="0"/>
    <n v="0"/>
    <n v="800"/>
    <n v="2234.857445498395"/>
    <n v="0"/>
    <n v="0"/>
    <n v="0"/>
    <n v="0"/>
    <n v="800"/>
    <n v="2326.5866690076568"/>
    <n v="0"/>
    <n v="0"/>
    <n v="0"/>
    <n v="0"/>
    <n v="0"/>
    <n v="0"/>
    <n v="0"/>
    <n v="0"/>
    <n v="0"/>
    <n v="0"/>
    <n v="0"/>
    <n v="0"/>
    <n v="1600"/>
    <n v="4561.4441145060518"/>
    <n v="17.222921290858721"/>
    <n v="1.0881457359052195E-2"/>
    <n v="232.5488042365505"/>
    <n v="5.3720126630198609E-2"/>
  </r>
  <r>
    <x v="5"/>
    <s v="ESPAÑA"/>
    <s v="FITOMURCIA S.L."/>
    <s v="Consolidado/estratégico"/>
    <s v="AGXK1000"/>
    <s v="AGROXILATO-K, 1000 L"/>
    <n v="1000"/>
    <n v="2.5299999999999998"/>
    <n v="2.6372151758912969"/>
    <n v="0"/>
    <n v="0"/>
    <n v="0"/>
    <n v="0"/>
    <n v="0"/>
    <n v="0"/>
    <n v="0"/>
    <n v="0"/>
    <n v="0"/>
    <n v="0"/>
    <n v="0"/>
    <n v="0"/>
    <n v="0"/>
    <n v="0"/>
    <n v="989.23567419321319"/>
    <n v="2502.7662557088302"/>
    <n v="0"/>
    <n v="0"/>
    <n v="0"/>
    <n v="0"/>
    <n v="0"/>
    <n v="0"/>
    <n v="0"/>
    <n v="0"/>
    <n v="989.23567419321319"/>
    <n v="2502.7662557088302"/>
    <n v="0"/>
    <n v="0"/>
    <n v="0"/>
    <n v="0"/>
    <n v="0"/>
    <n v="0"/>
    <n v="0"/>
    <n v="0"/>
    <n v="0"/>
    <n v="0"/>
    <n v="0"/>
    <n v="0"/>
    <n v="0"/>
    <n v="0"/>
    <n v="1000"/>
    <n v="2637.215175891296"/>
    <n v="0"/>
    <n v="0"/>
    <n v="0"/>
    <n v="0"/>
    <n v="0"/>
    <n v="0"/>
    <n v="0"/>
    <n v="0"/>
    <n v="1000"/>
    <n v="2637.215175891296"/>
    <n v="10.764325806786815"/>
    <n v="1.0881457359052311E-2"/>
    <n v="134.44892018246583"/>
    <n v="5.3720126630198387E-2"/>
  </r>
  <r>
    <x v="5"/>
    <s v="ESPAÑA"/>
    <s v="FITOMURCIA S.L."/>
    <s v="Consolidado/estratégico"/>
    <s v="AGXKAE0020"/>
    <s v="BIOCULTURE POTASIO, 20 L"/>
    <n v="20"/>
    <n v="3.5"/>
    <n v="3.6483213895729389"/>
    <n v="0"/>
    <n v="0"/>
    <n v="0"/>
    <n v="0"/>
    <n v="0"/>
    <n v="0"/>
    <n v="0"/>
    <n v="0"/>
    <n v="633.11083148365651"/>
    <n v="2215.8879101927978"/>
    <n v="633.11083148365651"/>
    <n v="2215.8879101927978"/>
    <n v="633.11083148365651"/>
    <n v="2215.8879101927978"/>
    <n v="1266.221662967313"/>
    <n v="4431.7758203855956"/>
    <n v="0"/>
    <n v="0"/>
    <n v="0"/>
    <n v="0"/>
    <n v="0"/>
    <n v="0"/>
    <n v="0"/>
    <n v="0"/>
    <n v="3165.5541574182826"/>
    <n v="11079.439550963989"/>
    <n v="0"/>
    <n v="0"/>
    <n v="0"/>
    <n v="0"/>
    <n v="0"/>
    <n v="0"/>
    <n v="0"/>
    <n v="0"/>
    <n v="700"/>
    <n v="2553.824972701058"/>
    <n v="700"/>
    <n v="2553.824972701058"/>
    <n v="700"/>
    <n v="2553.824972701058"/>
    <n v="1380"/>
    <n v="5034.6835176106561"/>
    <n v="0"/>
    <n v="0"/>
    <n v="0"/>
    <n v="0"/>
    <n v="0"/>
    <n v="0"/>
    <n v="0"/>
    <n v="0"/>
    <n v="3480"/>
    <n v="12696.158435713831"/>
    <n v="314.44584258171744"/>
    <n v="9.9333584877969269E-2"/>
    <n v="1616.7188847498419"/>
    <n v="0.14592063771034122"/>
  </r>
  <r>
    <x v="5"/>
    <s v="ESPAÑA"/>
    <s v="FITOMURCIA S.L."/>
    <s v="Consolidado/estratégico"/>
    <s v="AGXKAEP0005"/>
    <s v="BIOCULTURE POTASIO PLUS, 5 L"/>
    <n v="5"/>
    <n v="4.17"/>
    <n v="4.3467143412911877"/>
    <n v="0"/>
    <n v="0"/>
    <n v="0"/>
    <n v="0"/>
    <n v="98.92356741932133"/>
    <n v="402.61891939663781"/>
    <n v="0"/>
    <n v="0"/>
    <n v="98.92356741932133"/>
    <n v="422.40363288050207"/>
    <n v="0"/>
    <n v="0"/>
    <n v="0"/>
    <n v="0"/>
    <n v="0"/>
    <n v="0"/>
    <n v="0"/>
    <n v="0"/>
    <n v="0"/>
    <n v="0"/>
    <n v="0"/>
    <n v="0"/>
    <n v="0"/>
    <n v="0"/>
    <n v="197.84713483864266"/>
    <n v="825.02255227713988"/>
    <n v="0"/>
    <n v="0"/>
    <n v="0"/>
    <n v="0"/>
    <n v="110"/>
    <n v="466.67242460337292"/>
    <n v="0"/>
    <n v="0"/>
    <n v="110"/>
    <n v="489.60473048068837"/>
    <n v="0"/>
    <n v="0"/>
    <n v="0"/>
    <n v="0"/>
    <n v="0"/>
    <n v="0"/>
    <n v="0"/>
    <n v="0"/>
    <n v="0"/>
    <n v="0"/>
    <n v="0"/>
    <n v="0"/>
    <n v="0"/>
    <n v="0"/>
    <n v="220"/>
    <n v="956.27715508406129"/>
    <n v="22.15286516135734"/>
    <n v="0.11196960309495742"/>
    <n v="131.25460280692141"/>
    <n v="0.15909213929321853"/>
  </r>
  <r>
    <x v="5"/>
    <s v="ESPAÑA"/>
    <s v="FITOMURCIA S.L."/>
    <s v="Consolidado/estratégico"/>
    <s v="AGXKAEP0020"/>
    <s v="BIOCULTURE POTASIO PLUS, 20 L"/>
    <n v="20"/>
    <n v="3.68"/>
    <n v="3.8359493467509762"/>
    <n v="0"/>
    <n v="0"/>
    <n v="0"/>
    <n v="0"/>
    <n v="316.55541574182831"/>
    <n v="1164.9239299299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1164.9239299299279"/>
    <n v="0"/>
    <n v="0"/>
    <n v="0"/>
    <n v="0"/>
    <n v="340"/>
    <n v="1304.222777895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304.222777895332"/>
    <n v="23.444584258171687"/>
    <n v="7.4061548443992764E-2"/>
    <n v="139.29884796540409"/>
    <n v="0.11957763454458623"/>
  </r>
  <r>
    <x v="5"/>
    <s v="ESPAÑA"/>
    <s v="FITOMURCIA S.L."/>
    <s v="Consolidado/estratégico"/>
    <s v="AGXKC0020"/>
    <s v="AGROXILATO-COMPLET, 20 L"/>
    <n v="20"/>
    <n v="2.9945654508055748"/>
    <n v="3.1216421156007428"/>
    <n v="0"/>
    <n v="0"/>
    <n v="633.11083148365651"/>
    <n v="1880.3391695064599"/>
    <n v="0"/>
    <n v="0"/>
    <n v="3165.554157418283"/>
    <n v="9401.695847532299"/>
    <n v="1266.221662967313"/>
    <n v="3912.6249385689971"/>
    <n v="633.11083148365651"/>
    <n v="1956.3124692844981"/>
    <n v="0"/>
    <n v="0"/>
    <n v="0"/>
    <n v="0"/>
    <n v="0"/>
    <n v="0"/>
    <n v="0"/>
    <n v="0"/>
    <n v="1213.4350583019379"/>
    <n v="3545.7646799207182"/>
    <n v="0"/>
    <n v="0"/>
    <n v="6911.4325416548463"/>
    <n v="20696.737104812972"/>
    <n v="0"/>
    <n v="0"/>
    <n v="800"/>
    <n v="2476.6890347500871"/>
    <n v="0"/>
    <n v="0"/>
    <n v="3980"/>
    <n v="12321.527947881679"/>
    <n v="1600"/>
    <n v="5153.5145571567446"/>
    <n v="800"/>
    <n v="2576.7572785783732"/>
    <n v="0"/>
    <n v="0"/>
    <n v="0"/>
    <n v="0"/>
    <n v="0"/>
    <n v="0"/>
    <n v="0"/>
    <n v="0"/>
    <n v="1520"/>
    <n v="4629.7975873595769"/>
    <n v="0"/>
    <n v="0"/>
    <n v="8700"/>
    <n v="27158.28640572646"/>
    <n v="1788.5674583451537"/>
    <n v="0.25878389864410167"/>
    <n v="6461.549300913488"/>
    <n v="0.31220135174886438"/>
  </r>
  <r>
    <x v="5"/>
    <s v="ESPAÑA"/>
    <s v="FITOMURCIA S.L."/>
    <s v="Consolidado/estratégico"/>
    <s v="AGXKC0200"/>
    <s v="AGROXILATO-COMPLET, 200 L"/>
    <n v="200"/>
    <n v="2.93"/>
    <n v="3.048209748757472"/>
    <n v="0"/>
    <n v="0"/>
    <n v="0"/>
    <n v="0"/>
    <n v="791.38853935457064"/>
    <n v="2287.1128787347088"/>
    <n v="0"/>
    <n v="0"/>
    <n v="395.69426967728532"/>
    <n v="1191.039751728629"/>
    <n v="0"/>
    <n v="0"/>
    <n v="0"/>
    <n v="0"/>
    <n v="0"/>
    <n v="0"/>
    <n v="0"/>
    <n v="0"/>
    <n v="0"/>
    <n v="0"/>
    <n v="0"/>
    <n v="0"/>
    <n v="0"/>
    <n v="0"/>
    <n v="1187.082809031856"/>
    <n v="3478.152630463338"/>
    <n v="0"/>
    <n v="0"/>
    <n v="0"/>
    <n v="0"/>
    <n v="1000"/>
    <n v="3012.4710902473689"/>
    <n v="0"/>
    <n v="0"/>
    <n v="400"/>
    <n v="1255.0225580130909"/>
    <n v="0"/>
    <n v="0"/>
    <n v="0"/>
    <n v="0"/>
    <n v="0"/>
    <n v="0"/>
    <n v="0"/>
    <n v="0"/>
    <n v="0"/>
    <n v="0"/>
    <n v="0"/>
    <n v="0"/>
    <n v="0"/>
    <n v="0"/>
    <n v="1400"/>
    <n v="4267.4936482604598"/>
    <n v="212.91719096814404"/>
    <n v="0.17936170025222756"/>
    <n v="789.34101779712182"/>
    <n v="0.22694260478499206"/>
  </r>
  <r>
    <x v="5"/>
    <s v="ESPAÑA"/>
    <s v="FITOMURCIA S.L."/>
    <s v="Consolidado/estratégico"/>
    <s v="AGXKC1000"/>
    <s v="AGROXILATO-COMPLET, 1000 L"/>
    <n v="1000"/>
    <n v="2.710305379281329"/>
    <n v="2.820802182806406"/>
    <n v="0"/>
    <n v="0"/>
    <n v="0"/>
    <n v="0"/>
    <n v="2967.7070225796401"/>
    <n v="7983.1318907392306"/>
    <n v="0"/>
    <n v="0"/>
    <n v="0"/>
    <n v="0"/>
    <n v="1978.4713483864259"/>
    <n v="5539.7197754819936"/>
    <n v="0"/>
    <n v="0"/>
    <n v="0"/>
    <n v="0"/>
    <n v="0"/>
    <n v="0"/>
    <n v="0"/>
    <n v="0"/>
    <n v="4739.9806964919462"/>
    <n v="12729.597358884839"/>
    <n v="0"/>
    <n v="0"/>
    <n v="9686.1590674580111"/>
    <n v="26252.449025106063"/>
    <n v="0"/>
    <n v="0"/>
    <n v="0"/>
    <n v="0"/>
    <n v="4000"/>
    <n v="11215.98232908709"/>
    <n v="0"/>
    <n v="0"/>
    <n v="0"/>
    <n v="0"/>
    <n v="2000"/>
    <n v="5837.3142233167036"/>
    <n v="0"/>
    <n v="0"/>
    <n v="0"/>
    <n v="0"/>
    <n v="0"/>
    <n v="0"/>
    <n v="0"/>
    <n v="0"/>
    <n v="6000"/>
    <n v="16796.329641273071"/>
    <n v="0"/>
    <n v="0"/>
    <n v="12000"/>
    <n v="33849.626193676864"/>
    <n v="2313.8409325419889"/>
    <n v="0.23888116191645634"/>
    <n v="7597.1771685708009"/>
    <n v="0.28938927417039739"/>
  </r>
  <r>
    <x v="5"/>
    <s v="ESPAÑA"/>
    <s v="FITOMURCIA S.L."/>
    <s v="Consolidado/estratégico"/>
    <s v="AGZ-M0005"/>
    <s v="AGROXILATO Zn-Mn, 5 KG"/>
    <n v="5"/>
    <n v="4.21"/>
    <n v="4.3884094428863074"/>
    <n v="0"/>
    <n v="0"/>
    <n v="0"/>
    <n v="0"/>
    <n v="370.96337782245502"/>
    <n v="1561.755820632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.96337782245502"/>
    <n v="1561.755820632535"/>
    <n v="0"/>
    <n v="0"/>
    <n v="0"/>
    <n v="0"/>
    <n v="395"/>
    <n v="1733.4217299400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"/>
    <n v="1733.4217299400909"/>
    <n v="24.036622177544984"/>
    <n v="6.4795135084868227E-2"/>
    <n v="171.66590930755592"/>
    <n v="0.10991853338380939"/>
  </r>
  <r>
    <x v="5"/>
    <s v="ESPAÑA"/>
    <s v="FITOMURCIA S.L."/>
    <s v="Consolidado/estratégico"/>
    <s v="AGZ-M0005"/>
    <s v="AGROXILATO-ZN-MN, 5 KG"/>
    <n v="5"/>
    <n v="5.6499999999999986"/>
    <n v="5.889433100310602"/>
    <n v="0"/>
    <n v="0"/>
    <n v="0"/>
    <n v="0"/>
    <n v="0"/>
    <n v="0"/>
    <n v="197.84713483864269"/>
    <n v="1117.8363118383311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1117.8363118383311"/>
    <n v="0"/>
    <n v="0"/>
    <n v="0"/>
    <n v="0"/>
    <n v="0"/>
    <n v="0"/>
    <n v="210"/>
    <n v="1236.780951065226"/>
    <n v="0"/>
    <n v="0"/>
    <n v="0"/>
    <n v="0"/>
    <n v="0"/>
    <n v="0"/>
    <n v="0"/>
    <n v="0"/>
    <n v="0"/>
    <n v="0"/>
    <n v="0"/>
    <n v="0"/>
    <n v="0"/>
    <n v="0"/>
    <n v="0"/>
    <n v="0"/>
    <n v="210"/>
    <n v="1236.780951065226"/>
    <n v="12.152865161357312"/>
    <n v="6.142553022700465E-2"/>
    <n v="118.94463922689488"/>
    <n v="0.10640613296170812"/>
  </r>
  <r>
    <x v="5"/>
    <s v="ESPAÑA"/>
    <s v="FITOMURCIA S.L."/>
    <s v="Consolidado/estratégico"/>
    <s v="AN0020"/>
    <s v="ALCAPLANT NEW, 20 KG"/>
    <n v="20"/>
    <n v="1.518614842147388"/>
    <n v="1.582970388643107"/>
    <n v="5440.796208062673"/>
    <n v="8052.3783879327557"/>
    <n v="14146.070140962949"/>
    <n v="21219.105211444421"/>
    <n v="7617.1146912877421"/>
    <n v="11425.67203693161"/>
    <n v="5440.796208062673"/>
    <n v="8161.1943120940095"/>
    <n v="8705.2739329002761"/>
    <n v="13329.95070975355"/>
    <n v="5440.796208062673"/>
    <n v="8433.2341224971424"/>
    <n v="2176.318483225069"/>
    <n v="3373.293648998857"/>
    <n v="11969.751657737879"/>
    <n v="18553.11506949371"/>
    <n v="0"/>
    <n v="0"/>
    <n v="0"/>
    <n v="0"/>
    <n v="3128.387259684685"/>
    <n v="4742.5792216237733"/>
    <n v="0"/>
    <n v="0"/>
    <n v="64065.304789986621"/>
    <n v="97290.522720769834"/>
    <n v="6000"/>
    <n v="9256.3125541164864"/>
    <n v="15600"/>
    <n v="24391.634433144791"/>
    <n v="8400"/>
    <n v="13133.957002462579"/>
    <n v="6000"/>
    <n v="9381.3978589018443"/>
    <n v="9600"/>
    <n v="15322.94983620635"/>
    <n v="6000"/>
    <n v="9694.1111208652383"/>
    <n v="2400"/>
    <n v="3877.6444483460959"/>
    <n v="13200"/>
    <n v="21327.044465903531"/>
    <n v="0"/>
    <n v="0"/>
    <n v="0"/>
    <n v="0"/>
    <n v="3440"/>
    <n v="5435.9765338021107"/>
    <n v="0"/>
    <n v="0"/>
    <n v="70640"/>
    <n v="111821.02825374903"/>
    <n v="6574.6952100133785"/>
    <n v="0.10262489551194644"/>
    <n v="14530.505532979194"/>
    <n v="0.1493517058663843"/>
  </r>
  <r>
    <x v="5"/>
    <s v="ESPAÑA"/>
    <s v="FITOMURCIA S.L."/>
    <s v="Consolidado/estratégico"/>
    <s v="B0005"/>
    <s v="BOROCAL, 5 L"/>
    <n v="5"/>
    <n v="2.98"/>
    <n v="3.1062850688363892"/>
    <n v="0"/>
    <n v="0"/>
    <n v="0"/>
    <n v="0"/>
    <n v="98.92356741932133"/>
    <n v="294.79223090957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94.79223090957748"/>
    <n v="0"/>
    <n v="0"/>
    <n v="0"/>
    <n v="0"/>
    <n v="110"/>
    <n v="341.69135757200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341.69135757200269"/>
    <n v="11.07643258067867"/>
    <n v="0.11196960309495742"/>
    <n v="46.899126662425203"/>
    <n v="0.15909213929321875"/>
  </r>
  <r>
    <x v="5"/>
    <s v="ESPAÑA"/>
    <s v="FITOMURCIA S.L."/>
    <s v="Consolidado/estratégico"/>
    <s v="B0020"/>
    <s v="BOROCAL, 20 L"/>
    <n v="20"/>
    <n v="2.6828716350702981"/>
    <n v="2.7964539459935782"/>
    <n v="0"/>
    <n v="0"/>
    <n v="2532.443325934626"/>
    <n v="6786.9481135047972"/>
    <n v="3798.6649889019391"/>
    <n v="10180.422170257199"/>
    <n v="1266.221662967313"/>
    <n v="3393.4740567523991"/>
    <n v="0"/>
    <n v="0"/>
    <n v="633.11083148365651"/>
    <n v="1779.0414364690751"/>
    <n v="0"/>
    <n v="0"/>
    <n v="0"/>
    <n v="0"/>
    <n v="0"/>
    <n v="0"/>
    <n v="0"/>
    <n v="0"/>
    <n v="1213.4350583019379"/>
    <n v="3196.8209132972379"/>
    <n v="0"/>
    <n v="0"/>
    <n v="9443.8758675894733"/>
    <n v="25336.706690280709"/>
    <n v="0"/>
    <n v="0"/>
    <n v="2760"/>
    <n v="7710.2581869694604"/>
    <n v="4120"/>
    <n v="11509.515844316729"/>
    <n v="1380"/>
    <n v="3855.1290934847302"/>
    <n v="0"/>
    <n v="0"/>
    <n v="680"/>
    <n v="1991.7750031988489"/>
    <n v="0"/>
    <n v="0"/>
    <n v="0"/>
    <n v="0"/>
    <n v="0"/>
    <n v="0"/>
    <n v="0"/>
    <n v="0"/>
    <n v="1320"/>
    <n v="3624.9393579243329"/>
    <n v="0"/>
    <n v="0"/>
    <n v="10260"/>
    <n v="28691.617485894101"/>
    <n v="816.12413241052673"/>
    <n v="8.6418346011026131E-2"/>
    <n v="3354.9107956133921"/>
    <n v="0.13241305733315187"/>
  </r>
  <r>
    <x v="5"/>
    <s v="ESPAÑA"/>
    <s v="FITOMURCIA S.L."/>
    <s v="Consolidado/estratégico"/>
    <s v="B0200"/>
    <s v="BOROCAL, 200 L"/>
    <n v="200"/>
    <n v="2.68"/>
    <n v="2.7935718068729938"/>
    <n v="0"/>
    <n v="0"/>
    <n v="395.69426967728532"/>
    <n v="1080.2453562189889"/>
    <n v="0"/>
    <n v="0"/>
    <n v="197.84713483864269"/>
    <n v="510.44560788369802"/>
    <n v="0"/>
    <n v="0"/>
    <n v="0"/>
    <n v="0"/>
    <n v="0"/>
    <n v="0"/>
    <n v="0"/>
    <n v="0"/>
    <n v="0"/>
    <n v="0"/>
    <n v="0"/>
    <n v="0"/>
    <n v="0"/>
    <n v="0"/>
    <n v="0"/>
    <n v="0"/>
    <n v="593.54140451592798"/>
    <n v="1590.6909641026868"/>
    <n v="0"/>
    <n v="0"/>
    <n v="400"/>
    <n v="1138.276273546757"/>
    <n v="0"/>
    <n v="0"/>
    <n v="200"/>
    <n v="537.86681057703902"/>
    <n v="0"/>
    <n v="0"/>
    <n v="0"/>
    <n v="0"/>
    <n v="0"/>
    <n v="0"/>
    <n v="0"/>
    <n v="0"/>
    <n v="0"/>
    <n v="0"/>
    <n v="0"/>
    <n v="0"/>
    <n v="0"/>
    <n v="0"/>
    <n v="0"/>
    <n v="0"/>
    <n v="600"/>
    <n v="1676.1430841237961"/>
    <n v="6.4585954840720206"/>
    <n v="1.0881457359052195E-2"/>
    <n v="85.452120021109295"/>
    <n v="5.3720126630198761E-2"/>
  </r>
  <r>
    <x v="5"/>
    <s v="ESPAÑA"/>
    <s v="FITOMURCIA S.L."/>
    <s v="Consolidado/estratégico"/>
    <s v="BIO0020"/>
    <s v="BIORAD-20, 20 L"/>
    <n v="20"/>
    <n v="2.164218266869534"/>
    <n v="2.2560056821247652"/>
    <n v="0"/>
    <n v="0"/>
    <n v="633.11083148365651"/>
    <n v="1361.188287689861"/>
    <n v="0"/>
    <n v="0"/>
    <n v="0"/>
    <n v="0"/>
    <n v="0"/>
    <n v="0"/>
    <n v="633.11083148365651"/>
    <n v="1399.1749375788811"/>
    <n v="0"/>
    <n v="0"/>
    <n v="0"/>
    <n v="0"/>
    <n v="0"/>
    <n v="0"/>
    <n v="0"/>
    <n v="0"/>
    <n v="1213.4350583019379"/>
    <n v="2606.1551464679878"/>
    <n v="0"/>
    <n v="0"/>
    <n v="2479.6567212692507"/>
    <n v="5366.5183717367299"/>
    <n v="0"/>
    <n v="0"/>
    <n v="800"/>
    <n v="1792.8893685901301"/>
    <n v="0"/>
    <n v="0"/>
    <n v="0"/>
    <n v="0"/>
    <n v="0"/>
    <n v="0"/>
    <n v="800"/>
    <n v="1842.9234905042731"/>
    <n v="0"/>
    <n v="0"/>
    <n v="0"/>
    <n v="0"/>
    <n v="0"/>
    <n v="0"/>
    <n v="0"/>
    <n v="0"/>
    <n v="1520"/>
    <n v="3402.9248691348639"/>
    <n v="0"/>
    <n v="0"/>
    <n v="3120"/>
    <n v="7038.7377282292673"/>
    <n v="640.34327873074926"/>
    <n v="0.25823868007140105"/>
    <n v="1672.2193564925374"/>
    <n v="0.31160227929143719"/>
  </r>
  <r>
    <x v="5"/>
    <s v="ESPAÑA"/>
    <s v="FITOMURCIA S.L."/>
    <s v="Consolidado/estratégico"/>
    <s v="BIO0200"/>
    <s v="BIORAD-20, 200 L"/>
    <n v="200"/>
    <n v="2.0499999999999998"/>
    <n v="2.1368739567498638"/>
    <n v="395.69426967728532"/>
    <n v="811.17325283843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811.17325283843491"/>
    <n v="400"/>
    <n v="854.749582699945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854.74958269994568"/>
    <n v="4.3057303227146804"/>
    <n v="1.0881457359052195E-2"/>
    <n v="43.576329861510771"/>
    <n v="5.3720126630198532E-2"/>
  </r>
  <r>
    <x v="5"/>
    <s v="ESPAÑA"/>
    <s v="FITOMURCIA S.L."/>
    <s v="Consolidado/estratégico"/>
    <s v="BIO1000"/>
    <s v="BIORAD-20, 1000 L"/>
    <n v="1000"/>
    <n v="1.97"/>
    <n v="2.0534837535596249"/>
    <n v="0"/>
    <n v="0"/>
    <n v="0"/>
    <n v="0"/>
    <n v="0"/>
    <n v="0"/>
    <n v="0"/>
    <n v="0"/>
    <n v="0"/>
    <n v="0"/>
    <n v="0"/>
    <n v="0"/>
    <n v="989.23567419321319"/>
    <n v="1948.79427816063"/>
    <n v="989.23567419321319"/>
    <n v="1948.79427816063"/>
    <n v="0"/>
    <n v="0"/>
    <n v="0"/>
    <n v="0"/>
    <n v="3791.984557193558"/>
    <n v="7470.2095776713077"/>
    <n v="0"/>
    <n v="0"/>
    <n v="5770.4559055799846"/>
    <n v="11367.798133992568"/>
    <n v="0"/>
    <n v="0"/>
    <n v="0"/>
    <n v="0"/>
    <n v="0"/>
    <n v="0"/>
    <n v="0"/>
    <n v="0"/>
    <n v="0"/>
    <n v="0"/>
    <n v="0"/>
    <n v="0"/>
    <n v="1000"/>
    <n v="2053.4837535596262"/>
    <n v="1000"/>
    <n v="2053.4837535596262"/>
    <n v="0"/>
    <n v="0"/>
    <n v="0"/>
    <n v="0"/>
    <n v="5000"/>
    <n v="10267.41876779813"/>
    <n v="0"/>
    <n v="0"/>
    <n v="7000"/>
    <n v="14374.386274917382"/>
    <n v="1229.5440944200154"/>
    <n v="0.21307572825070131"/>
    <n v="3006.5881409248141"/>
    <n v="0.26448289329965857"/>
  </r>
  <r>
    <x v="5"/>
    <s v="ESPAÑA"/>
    <s v="FITOMURCIA S.L."/>
    <s v="Consolidado/estratégico"/>
    <s v="BROTA0020"/>
    <s v="BROTAMEC, 20 L"/>
    <n v="20"/>
    <n v="2.69"/>
    <n v="2.803995582271773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0"/>
    <n v="0"/>
    <n v="0"/>
    <n v="0"/>
    <n v="0"/>
    <n v="0"/>
    <n v="98.92356741932133"/>
    <n v="266.10439635797428"/>
    <n v="0"/>
    <n v="0"/>
    <n v="0"/>
    <n v="0"/>
    <n v="0"/>
    <n v="0"/>
    <n v="0"/>
    <n v="0"/>
    <n v="100"/>
    <n v="280.39955822717729"/>
    <n v="0"/>
    <n v="0"/>
    <n v="0"/>
    <n v="0"/>
    <n v="0"/>
    <n v="0"/>
    <n v="0"/>
    <n v="0"/>
    <n v="0"/>
    <n v="0"/>
    <n v="0"/>
    <n v="0"/>
    <n v="0"/>
    <n v="0"/>
    <n v="100"/>
    <n v="280.39955822717729"/>
    <n v="1.0764325806786701"/>
    <n v="1.0881457359052195E-2"/>
    <n v="14.295161869203014"/>
    <n v="5.3720126630198886E-2"/>
  </r>
  <r>
    <x v="5"/>
    <s v="ESPAÑA"/>
    <s v="FITOMURCIA S.L."/>
    <s v="Consolidado/estratégico"/>
    <s v="C-CU0005"/>
    <s v="CODICOBRE, 5 L"/>
    <n v="5"/>
    <n v="3.57"/>
    <n v="3.7212878173643982"/>
    <n v="0"/>
    <n v="0"/>
    <n v="0"/>
    <n v="0"/>
    <n v="98.92356741932133"/>
    <n v="353.15713568697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53.15713568697709"/>
    <n v="0"/>
    <n v="0"/>
    <n v="0"/>
    <n v="0"/>
    <n v="110"/>
    <n v="409.34165991008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409.34165991008382"/>
    <n v="11.07643258067867"/>
    <n v="0.11196960309495742"/>
    <n v="56.184524223106735"/>
    <n v="0.1590921392932188"/>
  </r>
  <r>
    <x v="5"/>
    <s v="ESPAÑA"/>
    <s v="FITOMURCIA S.L."/>
    <s v="Consolidado/estratégico"/>
    <s v="C-CU0020"/>
    <s v="CODICOBRE, 20 L"/>
    <n v="20"/>
    <n v="3.3200000000000012"/>
    <n v="3.4606934323949039"/>
    <n v="0"/>
    <n v="0"/>
    <n v="0"/>
    <n v="0"/>
    <n v="949.66624722548465"/>
    <n v="3152.8919407886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3152.8919407886101"/>
    <n v="0"/>
    <n v="0"/>
    <n v="0"/>
    <n v="0"/>
    <n v="1040"/>
    <n v="3599.1211696906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3599.1211696906998"/>
    <n v="90.333752774515347"/>
    <n v="9.5121578805640011E-2"/>
    <n v="446.22922890208974"/>
    <n v="0.1415301371827154"/>
  </r>
  <r>
    <x v="5"/>
    <s v="ESPAÑA"/>
    <s v="FITOMURCIA S.L."/>
    <s v="Consolidado/estratégico"/>
    <s v="C-CUAE0005"/>
    <s v="CUPRAMEC, 5 L"/>
    <n v="5"/>
    <n v="4.083846153846153"/>
    <n v="4.2579441249919006"/>
    <n v="0"/>
    <n v="0"/>
    <n v="0"/>
    <n v="0"/>
    <n v="59.354140451592791"/>
    <n v="233.26177197475971"/>
    <n v="0"/>
    <n v="0"/>
    <n v="197.84713483864269"/>
    <n v="817.10866688359408"/>
    <n v="0"/>
    <n v="0"/>
    <n v="0"/>
    <n v="0"/>
    <n v="0"/>
    <n v="0"/>
    <n v="0"/>
    <n v="0"/>
    <n v="0"/>
    <n v="0"/>
    <n v="0"/>
    <n v="0"/>
    <n v="0"/>
    <n v="0"/>
    <n v="257.20127529023546"/>
    <n v="1050.3704388583537"/>
    <n v="0"/>
    <n v="0"/>
    <n v="0"/>
    <n v="0"/>
    <n v="70"/>
    <n v="286.75806122043298"/>
    <n v="0"/>
    <n v="0"/>
    <n v="240"/>
    <n v="1033.2046175270559"/>
    <n v="0"/>
    <n v="0"/>
    <n v="0"/>
    <n v="0"/>
    <n v="0"/>
    <n v="0"/>
    <n v="0"/>
    <n v="0"/>
    <n v="0"/>
    <n v="0"/>
    <n v="0"/>
    <n v="0"/>
    <n v="0"/>
    <n v="0"/>
    <n v="310"/>
    <n v="1319.962678747489"/>
    <n v="52.798724709764542"/>
    <n v="0.20528173762040838"/>
    <n v="269.59223988913527"/>
    <n v="0.25666396341290293"/>
  </r>
  <r>
    <x v="5"/>
    <s v="ESPAÑA"/>
    <s v="FITOMURCIA S.L."/>
    <s v="Consolidado/estratégico"/>
    <s v="C-CUAE0020"/>
    <s v="CUPRAMEC, 20 L"/>
    <n v="20"/>
    <n v="3.65"/>
    <n v="3.8046780205546371"/>
    <n v="0"/>
    <n v="0"/>
    <n v="0"/>
    <n v="0"/>
    <n v="197.84713483864269"/>
    <n v="722.14204216104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722.14204216104565"/>
    <n v="0"/>
    <n v="0"/>
    <n v="0"/>
    <n v="0"/>
    <n v="240"/>
    <n v="913.12272493311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913.12272493311275"/>
    <n v="42.152865161357312"/>
    <n v="0.21305774883086245"/>
    <n v="190.9806827720671"/>
    <n v="0.2644641519562384"/>
  </r>
  <r>
    <x v="5"/>
    <s v="ESPAÑA"/>
    <s v="FITOMURCIA S.L."/>
    <s v="Consolidado/estratégico"/>
    <s v="C-L0005"/>
    <s v="CODIBOR-L, 5 L"/>
    <n v="5"/>
    <n v="3.98"/>
    <n v="4.1486626087143712"/>
    <n v="0"/>
    <n v="0"/>
    <n v="98.92356741932133"/>
    <n v="393.71579832889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93.71579832889893"/>
    <n v="0"/>
    <n v="0"/>
    <n v="105"/>
    <n v="435.60957391500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435.60957391500898"/>
    <n v="6.0764325806786701"/>
    <n v="6.1425530227004803E-2"/>
    <n v="41.893775586110053"/>
    <n v="0.10640613296170856"/>
  </r>
  <r>
    <x v="5"/>
    <s v="ESPAÑA"/>
    <s v="FITOMURCIA S.L."/>
    <s v="Consolidado/estratégico"/>
    <s v="C-L0020"/>
    <s v="CODIBOR-L, 20 L"/>
    <n v="20"/>
    <n v="3.93"/>
    <n v="4.0965437317204723"/>
    <n v="0"/>
    <n v="0"/>
    <n v="0"/>
    <n v="0"/>
    <n v="0"/>
    <n v="0"/>
    <n v="0"/>
    <n v="0"/>
    <n v="0"/>
    <n v="0"/>
    <n v="633.11083148365651"/>
    <n v="2488.1255677307699"/>
    <n v="0"/>
    <n v="0"/>
    <n v="0"/>
    <n v="0"/>
    <n v="0"/>
    <n v="0"/>
    <n v="0"/>
    <n v="0"/>
    <n v="0"/>
    <n v="0"/>
    <n v="0"/>
    <n v="0"/>
    <n v="633.11083148365651"/>
    <n v="2488.1255677307699"/>
    <n v="0"/>
    <n v="0"/>
    <n v="0"/>
    <n v="0"/>
    <n v="0"/>
    <n v="0"/>
    <n v="0"/>
    <n v="0"/>
    <n v="0"/>
    <n v="0"/>
    <n v="680"/>
    <n v="2785.6497375699209"/>
    <n v="0"/>
    <n v="0"/>
    <n v="0"/>
    <n v="0"/>
    <n v="0"/>
    <n v="0"/>
    <n v="0"/>
    <n v="0"/>
    <n v="0"/>
    <n v="0"/>
    <n v="0"/>
    <n v="0"/>
    <n v="680"/>
    <n v="2785.6497375699209"/>
    <n v="46.889168516343489"/>
    <n v="7.4061548443992958E-2"/>
    <n v="297.524169839151"/>
    <n v="0.11957763454458617"/>
  </r>
  <r>
    <x v="5"/>
    <s v="ESPAÑA"/>
    <s v="FITOMURCIA S.L."/>
    <s v="Consolidado/estratégico"/>
    <s v="C-M-P0005"/>
    <s v="CODIFOL MO-PLUS, 5 L"/>
    <n v="5"/>
    <n v="12.88"/>
    <n v="13.425822713628421"/>
    <n v="0"/>
    <n v="0"/>
    <n v="0"/>
    <n v="0"/>
    <n v="59.354140451592791"/>
    <n v="764.4813290165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764.48132901651525"/>
    <n v="0"/>
    <n v="0"/>
    <n v="0"/>
    <n v="0"/>
    <n v="65"/>
    <n v="872.67847638584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872.67847638584726"/>
    <n v="5.6458595484072092"/>
    <n v="9.5121578805640011E-2"/>
    <n v="108.19714736933201"/>
    <n v="0.14153013718271543"/>
  </r>
  <r>
    <x v="5"/>
    <s v="ESPAÑA"/>
    <s v="FITOMURCIA S.L."/>
    <s v="Consolidado/estratégico"/>
    <s v="C-M-P0005"/>
    <s v="CODIFOL-MO-PLUS, 5 L"/>
    <n v="5"/>
    <n v="12.88"/>
    <n v="13.425822713628421"/>
    <n v="0"/>
    <n v="0"/>
    <n v="0"/>
    <n v="0"/>
    <n v="0"/>
    <n v="0"/>
    <n v="59.354140451592791"/>
    <n v="764.48132901651513"/>
    <n v="0"/>
    <n v="0"/>
    <n v="0"/>
    <n v="0"/>
    <n v="0"/>
    <n v="0"/>
    <n v="0"/>
    <n v="0"/>
    <n v="0"/>
    <n v="0"/>
    <n v="0"/>
    <n v="0"/>
    <n v="0"/>
    <n v="0"/>
    <n v="0"/>
    <n v="0"/>
    <n v="59.354140451592791"/>
    <n v="764.48132901651513"/>
    <n v="0"/>
    <n v="0"/>
    <n v="0"/>
    <n v="0"/>
    <n v="0"/>
    <n v="0"/>
    <n v="65"/>
    <n v="872.67847638584703"/>
    <n v="0"/>
    <n v="0"/>
    <n v="0"/>
    <n v="0"/>
    <n v="0"/>
    <n v="0"/>
    <n v="0"/>
    <n v="0"/>
    <n v="0"/>
    <n v="0"/>
    <n v="0"/>
    <n v="0"/>
    <n v="0"/>
    <n v="0"/>
    <n v="0"/>
    <n v="0"/>
    <n v="65"/>
    <n v="872.67847638584703"/>
    <n v="5.6458595484072092"/>
    <n v="9.5121578805640011E-2"/>
    <n v="108.1971473693319"/>
    <n v="0.14153013718271532"/>
  </r>
  <r>
    <x v="5"/>
    <s v="ESPAÑA"/>
    <s v="FITOMURCIA S.L."/>
    <s v="Consolidado/estratégico"/>
    <s v="C-M-P0020"/>
    <s v="CODIFOL MO-PLUS, 20 L"/>
    <n v="20"/>
    <n v="12.55"/>
    <n v="13.08183812546868"/>
    <n v="0"/>
    <n v="0"/>
    <n v="0"/>
    <n v="0"/>
    <n v="19.78471348386427"/>
    <n v="248.29815422249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471348386427"/>
    <n v="248.29815422249649"/>
    <n v="0"/>
    <n v="0"/>
    <n v="0"/>
    <n v="0"/>
    <n v="20"/>
    <n v="261.63676250937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61.63676250937363"/>
    <n v="0.21528651613573047"/>
    <n v="1.0881457359052014E-2"/>
    <n v="13.338608286877133"/>
    <n v="5.3720126630198761E-2"/>
  </r>
  <r>
    <x v="5"/>
    <s v="ESPAÑA"/>
    <s v="FITOMURCIA S.L."/>
    <s v="Consolidado/estratégico"/>
    <s v="C-MB0005"/>
    <s v="CODIFOL-MB, 5 L"/>
    <n v="5"/>
    <n v="7"/>
    <n v="7.2966427791458797"/>
    <n v="0"/>
    <n v="0"/>
    <n v="98.92356741932133"/>
    <n v="692.46497193524931"/>
    <n v="59.354140451592791"/>
    <n v="415.47898316114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.27770787091413"/>
    <n v="1107.9439550963989"/>
    <n v="0"/>
    <n v="0"/>
    <n v="105"/>
    <n v="766.14749181031721"/>
    <n v="65"/>
    <n v="474.28178064448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"/>
    <n v="1240.4292724547995"/>
    <n v="11.722292129085872"/>
    <n v="7.4061548443992958E-2"/>
    <n v="132.48531735840061"/>
    <n v="0.1195776345445862"/>
  </r>
  <r>
    <x v="5"/>
    <s v="ESPAÑA"/>
    <s v="FITOMURCIA S.L."/>
    <s v="Consolidado/estratégico"/>
    <s v="C-MB0020"/>
    <s v="CODIFOL-MB, 20 L"/>
    <n v="20"/>
    <n v="6.74"/>
    <n v="7.025624618777603"/>
    <n v="0"/>
    <n v="0"/>
    <n v="633.11083148365651"/>
    <n v="4267.167004199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4267.167004199845"/>
    <n v="0"/>
    <n v="0"/>
    <n v="680"/>
    <n v="4777.4247407687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4777.4247407687699"/>
    <n v="46.889168516343489"/>
    <n v="7.4061548443992958E-2"/>
    <n v="510.25773656892488"/>
    <n v="0.11957763454458599"/>
  </r>
  <r>
    <x v="5"/>
    <s v="ESPAÑA"/>
    <s v="FITOMURCIA S.L."/>
    <s v="Consolidado/estratégico"/>
    <s v="CBASI0005"/>
    <s v="BIOCULTURE BASI, 5 KG"/>
    <n v="5"/>
    <n v="3.895714285714285"/>
    <n v="4.0611874124624494"/>
    <n v="0"/>
    <n v="0"/>
    <n v="0"/>
    <n v="0"/>
    <n v="0"/>
    <n v="0"/>
    <n v="197.84713483864269"/>
    <n v="743.90522699329631"/>
    <n v="0"/>
    <n v="0"/>
    <n v="0"/>
    <n v="0"/>
    <n v="98.92356741932133"/>
    <n v="390.74809130631922"/>
    <n v="395.69426967728532"/>
    <n v="1562.9923652252769"/>
    <n v="0"/>
    <n v="0"/>
    <n v="0"/>
    <n v="0"/>
    <n v="0"/>
    <n v="0"/>
    <n v="0"/>
    <n v="0"/>
    <n v="692.46497193524931"/>
    <n v="2697.6456835248923"/>
    <n v="0"/>
    <n v="0"/>
    <n v="0"/>
    <n v="0"/>
    <n v="0"/>
    <n v="0"/>
    <n v="210"/>
    <n v="823.06130548765486"/>
    <n v="0"/>
    <n v="0"/>
    <n v="0"/>
    <n v="0"/>
    <n v="105"/>
    <n v="432.32608466439331"/>
    <n v="425"/>
    <n v="1749.891295070164"/>
    <n v="0"/>
    <n v="0"/>
    <n v="0"/>
    <n v="0"/>
    <n v="0"/>
    <n v="0"/>
    <n v="0"/>
    <n v="0"/>
    <n v="740"/>
    <n v="3005.2786852222125"/>
    <n v="47.535028064750691"/>
    <n v="6.8646112065283746E-2"/>
    <n v="307.6330016973202"/>
    <n v="0.11403758602402891"/>
  </r>
  <r>
    <x v="5"/>
    <s v="ESPAÑA"/>
    <s v="FITOMURCIA S.L."/>
    <s v="Consolidado/estratégico"/>
    <s v="FROST-P0020"/>
    <s v="CODIFROST PLUS, 20 L"/>
    <n v="20"/>
    <n v="3.5"/>
    <n v="3.6483213895729389"/>
    <n v="0"/>
    <n v="0"/>
    <n v="0"/>
    <n v="0"/>
    <n v="395.69426967728532"/>
    <n v="1384.9299438704991"/>
    <n v="0"/>
    <n v="0"/>
    <n v="0"/>
    <n v="0"/>
    <n v="0"/>
    <n v="0"/>
    <n v="0"/>
    <n v="0"/>
    <n v="0"/>
    <n v="0"/>
    <n v="0"/>
    <n v="0"/>
    <n v="0"/>
    <n v="0"/>
    <n v="1213.4350583019379"/>
    <n v="4247.0227040567843"/>
    <n v="0"/>
    <n v="0"/>
    <n v="1609.1293279792233"/>
    <n v="5631.9526479272836"/>
    <n v="0"/>
    <n v="0"/>
    <n v="0"/>
    <n v="0"/>
    <n v="440"/>
    <n v="1605.2614114120929"/>
    <n v="0"/>
    <n v="0"/>
    <n v="0"/>
    <n v="0"/>
    <n v="0"/>
    <n v="0"/>
    <n v="0"/>
    <n v="0"/>
    <n v="0"/>
    <n v="0"/>
    <n v="0"/>
    <n v="0"/>
    <n v="0"/>
    <n v="0"/>
    <n v="1340"/>
    <n v="4888.7506620277381"/>
    <n v="0"/>
    <n v="0"/>
    <n v="1780"/>
    <n v="6494.0120734398315"/>
    <n v="170.87067202077674"/>
    <n v="0.10618827775351006"/>
    <n v="862.05942551254793"/>
    <n v="0.15306581560656587"/>
  </r>
  <r>
    <x v="5"/>
    <s v="ESPAÑA"/>
    <s v="FITOMURCIA S.L."/>
    <s v="Consolidado/estratégico"/>
    <s v="FTK0005"/>
    <s v="FITOKONTROL CA FLOW, 5 KG"/>
    <n v="5"/>
    <n v="2.37"/>
    <n v="2.4704347695108191"/>
    <n v="0"/>
    <n v="0"/>
    <n v="0"/>
    <n v="0"/>
    <n v="0"/>
    <n v="0"/>
    <n v="98.92356741932133"/>
    <n v="234.44885478379149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34.44885478379149"/>
    <n v="0"/>
    <n v="0"/>
    <n v="0"/>
    <n v="0"/>
    <n v="0"/>
    <n v="0"/>
    <n v="125"/>
    <n v="308.80434618885232"/>
    <n v="0"/>
    <n v="0"/>
    <n v="0"/>
    <n v="0"/>
    <n v="0"/>
    <n v="0"/>
    <n v="0"/>
    <n v="0"/>
    <n v="0"/>
    <n v="0"/>
    <n v="0"/>
    <n v="0"/>
    <n v="0"/>
    <n v="0"/>
    <n v="0"/>
    <n v="0"/>
    <n v="125"/>
    <n v="308.80434618885232"/>
    <n v="26.07643258067867"/>
    <n v="0.26360182169881524"/>
    <n v="74.355491405060832"/>
    <n v="0.31715015828774851"/>
  </r>
  <r>
    <x v="5"/>
    <s v="ESPAÑA"/>
    <s v="FITOMURCIA S.L."/>
    <s v="Consolidado/estratégico"/>
    <s v="FU0020"/>
    <s v="FULVIGIN, 20 L"/>
    <n v="20"/>
    <n v="2.54"/>
    <n v="2.6476389512900749"/>
    <n v="0"/>
    <n v="0"/>
    <n v="633.11083148365651"/>
    <n v="1608.1015119684871"/>
    <n v="316.55541574182831"/>
    <n v="804.05075598424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77"/>
    <n v="2412.1522679527307"/>
    <n v="0"/>
    <n v="0"/>
    <n v="680"/>
    <n v="1800.394486877251"/>
    <n v="340"/>
    <n v="900.19724343862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"/>
    <n v="2700.5917303158767"/>
    <n v="70.333752774515233"/>
    <n v="7.4061548443992958E-2"/>
    <n v="288.43946236314605"/>
    <n v="0.11957763454458606"/>
  </r>
  <r>
    <x v="5"/>
    <s v="ESPAÑA"/>
    <s v="FITOMURCIA S.L."/>
    <s v="Consolidado/estratégico"/>
    <s v="G30020"/>
    <s v="GREEN-UP, 20 L"/>
    <n v="20"/>
    <n v="4.6302563594259061"/>
    <n v="4.826491602146664"/>
    <n v="0"/>
    <n v="0"/>
    <n v="633.11083148365651"/>
    <n v="2893.3164998803099"/>
    <n v="1266.221662967313"/>
    <n v="5786.6329997606208"/>
    <n v="2532.443325934626"/>
    <n v="11674.563732558619"/>
    <n v="633.11083148365651"/>
    <n v="2981.9520162880222"/>
    <n v="1266.221662967313"/>
    <n v="5963.9040325760443"/>
    <n v="633.11083148365651"/>
    <n v="2981.9520162880222"/>
    <n v="1266.221662967313"/>
    <n v="5963.9040325760443"/>
    <n v="0"/>
    <n v="0"/>
    <n v="1213.4350583019379"/>
    <n v="5549.9281795301058"/>
    <n v="1213.4350583019379"/>
    <n v="5549.9281795301058"/>
    <n v="0"/>
    <n v="0"/>
    <n v="10657.310925891412"/>
    <n v="49346.081688987892"/>
    <n v="0"/>
    <n v="0"/>
    <n v="700"/>
    <n v="3334.565750069667"/>
    <n v="1400"/>
    <n v="6669.1315001393332"/>
    <n v="2800"/>
    <n v="13455.009284745"/>
    <n v="700"/>
    <n v="3436.7187489777089"/>
    <n v="1400"/>
    <n v="6873.4374979554177"/>
    <n v="700"/>
    <n v="3436.7187489777089"/>
    <n v="1400"/>
    <n v="6873.4374979554177"/>
    <n v="0"/>
    <n v="0"/>
    <n v="1340"/>
    <n v="6388.5260222337247"/>
    <n v="1340"/>
    <n v="6388.5260222337247"/>
    <n v="0"/>
    <n v="0"/>
    <n v="11780"/>
    <n v="56856.071073287698"/>
    <n v="1122.6890741085881"/>
    <n v="0.10534449843075051"/>
    <n v="7509.9893842998063"/>
    <n v="0.15219018668255763"/>
  </r>
  <r>
    <x v="5"/>
    <s v="ESPAÑA"/>
    <s v="FITOMURCIA S.L."/>
    <s v="Consolidado/estratégico"/>
    <s v="G30200"/>
    <s v="GREEN-UP, 200 L"/>
    <n v="200"/>
    <n v="4.6099999999999994"/>
    <n v="4.805360458837499"/>
    <n v="0"/>
    <n v="0"/>
    <n v="0"/>
    <n v="0"/>
    <n v="0"/>
    <n v="0"/>
    <n v="0"/>
    <n v="0"/>
    <n v="593.54140451592798"/>
    <n v="2736.2258748184281"/>
    <n v="0"/>
    <n v="0"/>
    <n v="0"/>
    <n v="0"/>
    <n v="0"/>
    <n v="0"/>
    <n v="0"/>
    <n v="0"/>
    <n v="0"/>
    <n v="0"/>
    <n v="0"/>
    <n v="0"/>
    <n v="0"/>
    <n v="0"/>
    <n v="593.54140451592798"/>
    <n v="2736.2258748184281"/>
    <n v="0"/>
    <n v="0"/>
    <n v="0"/>
    <n v="0"/>
    <n v="0"/>
    <n v="0"/>
    <n v="0"/>
    <n v="0"/>
    <n v="600"/>
    <n v="2883.2162753025"/>
    <n v="0"/>
    <n v="0"/>
    <n v="0"/>
    <n v="0"/>
    <n v="0"/>
    <n v="0"/>
    <n v="0"/>
    <n v="0"/>
    <n v="0"/>
    <n v="0"/>
    <n v="0"/>
    <n v="0"/>
    <n v="0"/>
    <n v="0"/>
    <n v="600"/>
    <n v="2883.2162753025"/>
    <n v="6.4585954840720206"/>
    <n v="1.0881457359052195E-2"/>
    <n v="146.99040048407187"/>
    <n v="5.3720126630198588E-2"/>
  </r>
  <r>
    <x v="5"/>
    <s v="ESPAÑA"/>
    <s v="FITOMURCIA S.L."/>
    <s v="Consolidado/estratégico"/>
    <s v="HST0005"/>
    <s v="HIDROSTRESS-40, 5 L"/>
    <n v="5"/>
    <n v="5.8500000000000014"/>
    <n v="6.0979086082861986"/>
    <n v="0"/>
    <n v="0"/>
    <n v="0"/>
    <n v="0"/>
    <n v="0"/>
    <n v="0"/>
    <n v="0"/>
    <n v="0"/>
    <n v="59.354140451592791"/>
    <n v="347.22172164181791"/>
    <n v="0"/>
    <n v="0"/>
    <n v="0"/>
    <n v="0"/>
    <n v="0"/>
    <n v="0"/>
    <n v="0"/>
    <n v="0"/>
    <n v="0"/>
    <n v="0"/>
    <n v="0"/>
    <n v="0"/>
    <n v="0"/>
    <n v="0"/>
    <n v="59.354140451592791"/>
    <n v="347.22172164181791"/>
    <n v="0"/>
    <n v="0"/>
    <n v="0"/>
    <n v="0"/>
    <n v="0"/>
    <n v="0"/>
    <n v="0"/>
    <n v="0"/>
    <n v="75"/>
    <n v="457.34314562146488"/>
    <n v="0"/>
    <n v="0"/>
    <n v="0"/>
    <n v="0"/>
    <n v="0"/>
    <n v="0"/>
    <n v="0"/>
    <n v="0"/>
    <n v="0"/>
    <n v="0"/>
    <n v="0"/>
    <n v="0"/>
    <n v="0"/>
    <n v="0"/>
    <n v="75"/>
    <n v="457.34314562146488"/>
    <n v="15.645859548407209"/>
    <n v="0.26360182169881541"/>
    <n v="110.12142397964698"/>
    <n v="0.31715015828774817"/>
  </r>
  <r>
    <x v="5"/>
    <s v="ESPAÑA"/>
    <s v="FITOMURCIA S.L."/>
    <s v="Consolidado/estratégico"/>
    <s v="HST0020"/>
    <s v="HIDROSTRESS, 20 L"/>
    <n v="20"/>
    <n v="5.39"/>
    <n v="5.6184149399423253"/>
    <n v="0"/>
    <n v="0"/>
    <n v="633.11083148365651"/>
    <n v="3412.467381696908"/>
    <n v="1266.221662967313"/>
    <n v="6824.9347633938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.3324944509695"/>
    <n v="10237.402145090724"/>
    <n v="0"/>
    <n v="0"/>
    <n v="800"/>
    <n v="4494.7319519538614"/>
    <n v="1600"/>
    <n v="8989.463903907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0"/>
    <n v="13484.195855861582"/>
    <n v="500.66750554903047"/>
    <n v="0.26360182169881524"/>
    <n v="3246.7937107708585"/>
    <n v="0.31715015828774845"/>
  </r>
  <r>
    <x v="5"/>
    <s v="ESPAÑA"/>
    <s v="FITOMURCIA S.L."/>
    <s v="Consolidado/estratégico"/>
    <s v="HST0020"/>
    <s v="HIDROSTRESS-40, 20 L"/>
    <n v="20"/>
    <n v="5.4694390895795522"/>
    <n v="5.7014246572336766"/>
    <n v="0"/>
    <n v="0"/>
    <n v="0"/>
    <n v="0"/>
    <n v="0"/>
    <n v="0"/>
    <n v="1266.221662967313"/>
    <n v="6824.9347633938169"/>
    <n v="633.11083148365651"/>
    <n v="3513.765114734294"/>
    <n v="2532.443325934626"/>
    <n v="14055.060458937171"/>
    <n v="0"/>
    <n v="0"/>
    <n v="0"/>
    <n v="0"/>
    <n v="0"/>
    <n v="0"/>
    <n v="1213.4350583019379"/>
    <n v="6559.5929261454539"/>
    <n v="1213.4350583019379"/>
    <n v="6559.5929261454539"/>
    <n v="0"/>
    <n v="0"/>
    <n v="6858.645936989471"/>
    <n v="37512.946189356189"/>
    <n v="0"/>
    <n v="0"/>
    <n v="0"/>
    <n v="0"/>
    <n v="0"/>
    <n v="0"/>
    <n v="1600"/>
    <n v="8989.463903907721"/>
    <n v="800"/>
    <n v="4628.1562770582423"/>
    <n v="3200"/>
    <n v="18512.625108232969"/>
    <n v="0"/>
    <n v="0"/>
    <n v="0"/>
    <n v="0"/>
    <n v="0"/>
    <n v="0"/>
    <n v="1520"/>
    <n v="8565.0318746500161"/>
    <n v="1520"/>
    <n v="8565.0318746500161"/>
    <n v="0"/>
    <n v="0"/>
    <n v="8640"/>
    <n v="49260.309038498963"/>
    <n v="1781.354063010529"/>
    <n v="0.25972386960573085"/>
    <n v="11747.362849142773"/>
    <n v="0.31315489830750576"/>
  </r>
  <r>
    <x v="5"/>
    <s v="ESPAÑA"/>
    <s v="FITOMURCIA S.L."/>
    <s v="Consolidado/estratégico"/>
    <s v="N0020"/>
    <s v="NUTRICALE, 20 L"/>
    <n v="20"/>
    <n v="2.1174195257056199"/>
    <n v="2.2071790157664668"/>
    <n v="0"/>
    <n v="0"/>
    <n v="0"/>
    <n v="0"/>
    <n v="1266.221662967313"/>
    <n v="2735.0387920093958"/>
    <n v="0"/>
    <n v="0"/>
    <n v="0"/>
    <n v="0"/>
    <n v="0"/>
    <n v="0"/>
    <n v="0"/>
    <n v="0"/>
    <n v="0"/>
    <n v="0"/>
    <n v="0"/>
    <n v="0"/>
    <n v="1213.4350583019379"/>
    <n v="2542.392926138778"/>
    <n v="1213.4350583019379"/>
    <n v="2542.392926138778"/>
    <n v="0"/>
    <n v="0"/>
    <n v="3693.0917795711885"/>
    <n v="7819.8246442869513"/>
    <n v="0"/>
    <n v="0"/>
    <n v="0"/>
    <n v="0"/>
    <n v="1380"/>
    <n v="3107.1189708682909"/>
    <n v="0"/>
    <n v="0"/>
    <n v="0"/>
    <n v="0"/>
    <n v="0"/>
    <n v="0"/>
    <n v="0"/>
    <n v="0"/>
    <n v="0"/>
    <n v="0"/>
    <n v="0"/>
    <n v="0"/>
    <n v="1320"/>
    <n v="2882.8703362564529"/>
    <n v="1320"/>
    <n v="2882.8703362564529"/>
    <n v="0"/>
    <n v="0"/>
    <n v="4020"/>
    <n v="8872.8596433811981"/>
    <n v="326.90822042881155"/>
    <n v="8.8518845439245875E-2"/>
    <n v="1053.0349990942468"/>
    <n v="0.13466222671164099"/>
  </r>
  <r>
    <x v="5"/>
    <s v="ESPAÑA"/>
    <s v="FITOMURCIA S.L."/>
    <s v="Consolidado/estratégico"/>
    <s v="P-5X0005"/>
    <s v="P.M.S. 5x, 5 L"/>
    <n v="5"/>
    <n v="2.67"/>
    <n v="2.7831480314742141"/>
    <n v="0"/>
    <n v="0"/>
    <n v="0"/>
    <n v="0"/>
    <n v="98.92356741932133"/>
    <n v="264.12592500958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264.12592500958789"/>
    <n v="0"/>
    <n v="0"/>
    <n v="0"/>
    <n v="0"/>
    <n v="110"/>
    <n v="306.14628346216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306.14628346216352"/>
    <n v="11.07643258067867"/>
    <n v="0.11196960309495742"/>
    <n v="42.020358452575636"/>
    <n v="0.15909213929321886"/>
  </r>
  <r>
    <x v="5"/>
    <s v="ESPAÑA"/>
    <s v="FITOMURCIA S.L."/>
    <s v="Consolidado/estratégico"/>
    <s v="P-5X0020"/>
    <s v="P.M.S. 5x, 20 L"/>
    <n v="20"/>
    <n v="2.4300000000000002"/>
    <n v="2.5329774219034982"/>
    <n v="0"/>
    <n v="0"/>
    <n v="0"/>
    <n v="0"/>
    <n v="1899.3324944509691"/>
    <n v="4539.4046617378162"/>
    <n v="633.11083148365651"/>
    <n v="1513.1348872459389"/>
    <n v="0"/>
    <n v="0"/>
    <n v="1266.221662967313"/>
    <n v="3178.216374047955"/>
    <n v="0"/>
    <n v="0"/>
    <n v="0"/>
    <n v="0"/>
    <n v="0"/>
    <n v="0"/>
    <n v="0"/>
    <n v="0"/>
    <n v="0"/>
    <n v="0"/>
    <n v="0"/>
    <n v="0"/>
    <n v="3798.6649889019386"/>
    <n v="9230.7559230317111"/>
    <n v="0"/>
    <n v="0"/>
    <n v="0"/>
    <n v="0"/>
    <n v="2100"/>
    <n v="5231.6928726475944"/>
    <n v="700"/>
    <n v="1743.8976242158651"/>
    <n v="0"/>
    <n v="0"/>
    <n v="1400"/>
    <n v="3662.914675131231"/>
    <n v="0"/>
    <n v="0"/>
    <n v="0"/>
    <n v="0"/>
    <n v="0"/>
    <n v="0"/>
    <n v="0"/>
    <n v="0"/>
    <n v="0"/>
    <n v="0"/>
    <n v="0"/>
    <n v="0"/>
    <n v="4200"/>
    <n v="10638.50517199469"/>
    <n v="401.33501109806139"/>
    <n v="0.10565159398646347"/>
    <n v="1407.7492489629785"/>
    <n v="0.15250638850177972"/>
  </r>
  <r>
    <x v="5"/>
    <s v="ESPAÑA"/>
    <s v="FITOMURCIA S.L."/>
    <s v="Consolidado/estratégico"/>
    <s v="P-5X1000"/>
    <s v="P.M.S. 5x, 1000 L"/>
    <n v="1000"/>
    <n v="2.165"/>
    <n v="2.2567473738358328"/>
    <n v="0"/>
    <n v="0"/>
    <n v="989.23567419321319"/>
    <n v="2087.28727254768"/>
    <n v="0"/>
    <n v="0"/>
    <n v="0"/>
    <n v="0"/>
    <n v="0"/>
    <n v="0"/>
    <n v="0"/>
    <n v="0"/>
    <n v="0"/>
    <n v="0"/>
    <n v="989.23567419321319"/>
    <n v="2196.103196708933"/>
    <n v="0"/>
    <n v="0"/>
    <n v="0"/>
    <n v="0"/>
    <n v="0"/>
    <n v="0"/>
    <n v="0"/>
    <n v="0"/>
    <n v="1978.4713483864264"/>
    <n v="4283.390469256613"/>
    <n v="0"/>
    <n v="0"/>
    <n v="1000"/>
    <n v="2199.4166091425441"/>
    <n v="0"/>
    <n v="0"/>
    <n v="0"/>
    <n v="0"/>
    <n v="0"/>
    <n v="0"/>
    <n v="0"/>
    <n v="0"/>
    <n v="0"/>
    <n v="0"/>
    <n v="1000"/>
    <n v="2314.078138529122"/>
    <n v="0"/>
    <n v="0"/>
    <n v="0"/>
    <n v="0"/>
    <n v="0"/>
    <n v="0"/>
    <n v="0"/>
    <n v="0"/>
    <n v="2000"/>
    <n v="4513.4947476716661"/>
    <n v="21.528651613573629"/>
    <n v="1.0881457359052311E-2"/>
    <n v="230.10427841505316"/>
    <n v="5.3720126630199094E-2"/>
  </r>
  <r>
    <x v="5"/>
    <s v="ESPAÑA"/>
    <s v="FITOMURCIA S.L."/>
    <s v="Consolidado/estratégico"/>
    <s v="P-ZM3.50005"/>
    <s v="POLIGREEN Zn-Mn 3.5, 5 L"/>
    <n v="5"/>
    <n v="2.27"/>
    <n v="2.3661970155230212"/>
    <n v="0"/>
    <n v="0"/>
    <n v="791.38853935457064"/>
    <n v="1796.4519843348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1796.4519843348751"/>
    <n v="0"/>
    <n v="0"/>
    <n v="850"/>
    <n v="2011.2674631945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"/>
    <n v="2011.2674631945681"/>
    <n v="58.611460645429361"/>
    <n v="7.4061548443992958E-2"/>
    <n v="214.81547885969303"/>
    <n v="0.11957763454458656"/>
  </r>
  <r>
    <x v="5"/>
    <s v="ESPAÑA"/>
    <s v="FITOMURCIA S.L."/>
    <s v="Consolidado/estratégico"/>
    <s v="P-ZM3.50020"/>
    <s v="POLIGREEN Zn-Mn 3.5, 20 L"/>
    <n v="20"/>
    <n v="1.89"/>
    <n v="1.970093550369387"/>
    <n v="0"/>
    <n v="0"/>
    <n v="633.11083148365651"/>
    <n v="1196.5794715041111"/>
    <n v="633.11083148365651"/>
    <n v="1196.5794715041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6.221662967313"/>
    <n v="2393.1589430082222"/>
    <n v="0"/>
    <n v="0"/>
    <n v="680"/>
    <n v="1339.6636142511829"/>
    <n v="680"/>
    <n v="1339.6636142511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"/>
    <n v="2679.3272285023659"/>
    <n v="93.778337032686977"/>
    <n v="7.4061548443992958E-2"/>
    <n v="286.16828549414367"/>
    <n v="0.11957763454458549"/>
  </r>
  <r>
    <x v="5"/>
    <s v="ESPAÑA"/>
    <s v="FITOMURCIA S.L."/>
    <s v="Consolidado/estratégico"/>
    <s v="P-ZM3.50020"/>
    <s v="POLIGREEN-ZNMN, 20 L"/>
    <n v="20"/>
    <n v="1.89"/>
    <n v="1.970093550369387"/>
    <n v="0"/>
    <n v="0"/>
    <n v="0"/>
    <n v="0"/>
    <n v="0"/>
    <n v="0"/>
    <n v="0"/>
    <n v="0"/>
    <n v="633.11083148365651"/>
    <n v="1196.5794715041111"/>
    <n v="0"/>
    <n v="0"/>
    <n v="0"/>
    <n v="0"/>
    <n v="0"/>
    <n v="0"/>
    <n v="0"/>
    <n v="0"/>
    <n v="0"/>
    <n v="0"/>
    <n v="0"/>
    <n v="0"/>
    <n v="0"/>
    <n v="0"/>
    <n v="633.11083148365651"/>
    <n v="1196.5794715041111"/>
    <n v="0"/>
    <n v="0"/>
    <n v="0"/>
    <n v="0"/>
    <n v="0"/>
    <n v="0"/>
    <n v="0"/>
    <n v="0"/>
    <n v="680"/>
    <n v="1339.6636142511829"/>
    <n v="0"/>
    <n v="0"/>
    <n v="0"/>
    <n v="0"/>
    <n v="0"/>
    <n v="0"/>
    <n v="0"/>
    <n v="0"/>
    <n v="0"/>
    <n v="0"/>
    <n v="0"/>
    <n v="0"/>
    <n v="0"/>
    <n v="0"/>
    <n v="680"/>
    <n v="1339.6636142511829"/>
    <n v="46.889168516343489"/>
    <n v="7.4061548443992958E-2"/>
    <n v="143.08414274707184"/>
    <n v="0.11957763454458549"/>
  </r>
  <r>
    <x v="5"/>
    <s v="ESPAÑA"/>
    <s v="FITOMURCIA S.L."/>
    <s v="Consolidado/estratégico"/>
    <s v="P-ZM3.51000"/>
    <s v="POLIGREEN ZNMN 3.5, 1000 L"/>
    <n v="1000"/>
    <n v="1.65"/>
    <n v="1.7199229407986709"/>
    <n v="0"/>
    <n v="0"/>
    <n v="0"/>
    <n v="0"/>
    <n v="989.23567419321319"/>
    <n v="1632.238862418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632.238862418802"/>
    <n v="0"/>
    <n v="0"/>
    <n v="0"/>
    <n v="0"/>
    <n v="1000"/>
    <n v="1719.9229407986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719.9229407986711"/>
    <n v="10.764325806786815"/>
    <n v="1.0881457359052311E-2"/>
    <n v="87.684078379869106"/>
    <n v="5.3720126630198449E-2"/>
  </r>
  <r>
    <x v="5"/>
    <s v="ESPAÑA"/>
    <s v="FITOMURCIA S.L."/>
    <s v="Consolidado/estratégico"/>
    <s v="P-ZM3.51000"/>
    <s v="POLIGREEN-ZNMN, 1000 L"/>
    <n v="1000"/>
    <n v="1.65"/>
    <n v="1.7199229407986709"/>
    <n v="0"/>
    <n v="0"/>
    <n v="0"/>
    <n v="0"/>
    <n v="0"/>
    <n v="0"/>
    <n v="989.23567419321319"/>
    <n v="1632.238862418802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1632.238862418802"/>
    <n v="0"/>
    <n v="0"/>
    <n v="0"/>
    <n v="0"/>
    <n v="0"/>
    <n v="0"/>
    <n v="1000"/>
    <n v="1719.9229407986711"/>
    <n v="0"/>
    <n v="0"/>
    <n v="0"/>
    <n v="0"/>
    <n v="0"/>
    <n v="0"/>
    <n v="0"/>
    <n v="0"/>
    <n v="0"/>
    <n v="0"/>
    <n v="0"/>
    <n v="0"/>
    <n v="0"/>
    <n v="0"/>
    <n v="0"/>
    <n v="0"/>
    <n v="1000"/>
    <n v="1719.9229407986711"/>
    <n v="10.764325806786815"/>
    <n v="1.0881457359052311E-2"/>
    <n v="87.684078379869106"/>
    <n v="5.3720126630198449E-2"/>
  </r>
  <r>
    <x v="5"/>
    <s v="ESPAÑA"/>
    <s v="FITOMURCIA S.L."/>
    <s v="Consolidado/estratégico"/>
    <s v="PT0005"/>
    <s v="AGROPOTASION, 5 L"/>
    <n v="5"/>
    <n v="3.27"/>
    <n v="3.4085745554010041"/>
    <n v="0"/>
    <n v="0"/>
    <n v="0"/>
    <n v="0"/>
    <n v="0"/>
    <n v="0"/>
    <n v="0"/>
    <n v="0"/>
    <n v="98.92356741932133"/>
    <n v="323.48006546118069"/>
    <n v="0"/>
    <n v="0"/>
    <n v="0"/>
    <n v="0"/>
    <n v="0"/>
    <n v="0"/>
    <n v="0"/>
    <n v="0"/>
    <n v="0"/>
    <n v="0"/>
    <n v="0"/>
    <n v="0"/>
    <n v="0"/>
    <n v="0"/>
    <n v="98.92356741932133"/>
    <n v="323.48006546118069"/>
    <n v="0"/>
    <n v="0"/>
    <n v="0"/>
    <n v="0"/>
    <n v="0"/>
    <n v="0"/>
    <n v="0"/>
    <n v="0"/>
    <n v="110"/>
    <n v="374.94320109411041"/>
    <n v="0"/>
    <n v="0"/>
    <n v="0"/>
    <n v="0"/>
    <n v="0"/>
    <n v="0"/>
    <n v="0"/>
    <n v="0"/>
    <n v="0"/>
    <n v="0"/>
    <n v="0"/>
    <n v="0"/>
    <n v="0"/>
    <n v="0"/>
    <n v="110"/>
    <n v="374.94320109411041"/>
    <n v="11.07643258067867"/>
    <n v="0.11196960309495742"/>
    <n v="51.46313563292972"/>
    <n v="0.15909213929321889"/>
  </r>
  <r>
    <x v="5"/>
    <s v="ESPAÑA"/>
    <s v="FITOMURCIA S.L."/>
    <s v="Consolidado/estratégico"/>
    <s v="PT0020"/>
    <s v="AGROPOTASION, 20 L"/>
    <n v="20"/>
    <n v="2.9196942465148341"/>
    <n v="3.0434488450996811"/>
    <n v="633.11083148365651"/>
    <n v="1836.0214113026041"/>
    <n v="4431.7758203855956"/>
    <n v="12852.149879118229"/>
    <n v="7597.3299778038772"/>
    <n v="22032.256935631249"/>
    <n v="6647.6637305783934"/>
    <n v="19278.224818677339"/>
    <n v="3798.6649889019391"/>
    <n v="11244.04836714974"/>
    <n v="3165.554157418283"/>
    <n v="9559.9735554032122"/>
    <n v="0"/>
    <n v="0"/>
    <n v="633.11083148365651"/>
    <n v="1911.994711080642"/>
    <n v="0"/>
    <n v="0"/>
    <n v="1213.4350583019379"/>
    <n v="3465.9381259544689"/>
    <n v="1213.4350583019379"/>
    <n v="3465.9381259544689"/>
    <n v="0"/>
    <n v="0"/>
    <n v="29334.080454659277"/>
    <n v="85646.545930271954"/>
    <n v="700"/>
    <n v="2116.0264059523038"/>
    <n v="4880"/>
    <n v="14751.72694435321"/>
    <n v="8380"/>
    <n v="25331.858974114741"/>
    <n v="7320"/>
    <n v="22127.590416529809"/>
    <n v="4180"/>
    <n v="12897.1288254023"/>
    <n v="3500"/>
    <n v="11017.930596510279"/>
    <n v="0"/>
    <n v="0"/>
    <n v="700"/>
    <n v="2203.5861193020551"/>
    <n v="0"/>
    <n v="0"/>
    <n v="1340"/>
    <n v="3989.6436841794998"/>
    <n v="1340"/>
    <n v="3989.6436841794998"/>
    <n v="0"/>
    <n v="0"/>
    <n v="32340"/>
    <n v="98425.135650523676"/>
    <n v="3005.9195453407228"/>
    <n v="0.10247191999036322"/>
    <n v="12778.589720251723"/>
    <n v="0.14920146027436121"/>
  </r>
  <r>
    <x v="5"/>
    <s v="ESPAÑA"/>
    <s v="FITOMURCIA S.L."/>
    <s v="Consolidado/estratégico"/>
    <s v="PT0200"/>
    <s v="AGROPOTASION, 200 L"/>
    <n v="200"/>
    <n v="2.93"/>
    <n v="3.0541661918424889"/>
    <n v="0"/>
    <n v="0"/>
    <n v="0"/>
    <n v="0"/>
    <n v="0"/>
    <n v="0"/>
    <n v="0"/>
    <n v="0"/>
    <n v="593.54140451592798"/>
    <n v="1739.076315231669"/>
    <n v="0"/>
    <n v="0"/>
    <n v="0"/>
    <n v="0"/>
    <n v="0"/>
    <n v="0"/>
    <n v="0"/>
    <n v="0"/>
    <n v="0"/>
    <n v="0"/>
    <n v="0"/>
    <n v="0"/>
    <n v="0"/>
    <n v="0"/>
    <n v="593.54140451592798"/>
    <n v="1739.076315231669"/>
    <n v="0"/>
    <n v="0"/>
    <n v="0"/>
    <n v="0"/>
    <n v="0"/>
    <n v="0"/>
    <n v="0"/>
    <n v="0"/>
    <n v="600"/>
    <n v="1832.4997151054929"/>
    <n v="0"/>
    <n v="0"/>
    <n v="0"/>
    <n v="0"/>
    <n v="0"/>
    <n v="0"/>
    <n v="0"/>
    <n v="0"/>
    <n v="0"/>
    <n v="0"/>
    <n v="0"/>
    <n v="0"/>
    <n v="0"/>
    <n v="0"/>
    <n v="600"/>
    <n v="1832.4997151054929"/>
    <n v="6.4585954840720206"/>
    <n v="1.0881457359052195E-2"/>
    <n v="93.423399873823882"/>
    <n v="5.3720126630198282E-2"/>
  </r>
  <r>
    <x v="5"/>
    <s v="ESPAÑA"/>
    <s v="FITOMURCIA S.L."/>
    <s v="Consolidado/estratégico"/>
    <s v="RUN0020"/>
    <s v="RUN STRESS, 20 L"/>
    <n v="20"/>
    <n v="6.37"/>
    <n v="6.6399449290227492"/>
    <n v="0"/>
    <n v="0"/>
    <n v="0"/>
    <n v="0"/>
    <n v="0"/>
    <n v="0"/>
    <n v="633.11083148365651"/>
    <n v="4032.915996550892"/>
    <n v="0"/>
    <n v="0"/>
    <n v="0"/>
    <n v="0"/>
    <n v="0"/>
    <n v="0"/>
    <n v="0"/>
    <n v="0"/>
    <n v="0"/>
    <n v="0"/>
    <n v="0"/>
    <n v="0"/>
    <n v="0"/>
    <n v="0"/>
    <n v="0"/>
    <n v="0"/>
    <n v="633.11083148365651"/>
    <n v="4032.915996550892"/>
    <n v="0"/>
    <n v="0"/>
    <n v="0"/>
    <n v="0"/>
    <n v="0"/>
    <n v="0"/>
    <n v="800"/>
    <n v="5311.9559432182004"/>
    <n v="0"/>
    <n v="0"/>
    <n v="0"/>
    <n v="0"/>
    <n v="0"/>
    <n v="0"/>
    <n v="0"/>
    <n v="0"/>
    <n v="0"/>
    <n v="0"/>
    <n v="0"/>
    <n v="0"/>
    <n v="0"/>
    <n v="0"/>
    <n v="0"/>
    <n v="0"/>
    <n v="800"/>
    <n v="5311.9559432182004"/>
    <n v="166.88916851634349"/>
    <n v="0.26360182169881524"/>
    <n v="1279.0399466673084"/>
    <n v="0.31715015828774851"/>
  </r>
  <r>
    <x v="5"/>
    <s v="ESPAÑA"/>
    <s v="FITOMURCIA S.L."/>
    <s v="Consolidado/estratégico"/>
    <s v="S0020"/>
    <s v="SAL-WAX STAR, 20 L"/>
    <n v="20"/>
    <n v="1.845"/>
    <n v="1.9233383636292289"/>
    <n v="633.11083148365651"/>
    <n v="1120.606171726072"/>
    <n v="1899.3324944509691"/>
    <n v="3532.7584396788029"/>
    <n v="1266.221662967313"/>
    <n v="2355.1722931192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8.6649889019386"/>
    <n v="7008.5369045240768"/>
    <n v="680"/>
    <n v="1254.6056069971401"/>
    <n v="2060"/>
    <n v="3993.9737817964792"/>
    <n v="1380"/>
    <n v="2675.57466935880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0"/>
    <n v="7924.1540581524259"/>
    <n v="321.33501109806139"/>
    <n v="8.4591563624816554E-2"/>
    <n v="915.61715362834912"/>
    <n v="0.13064312367925315"/>
  </r>
  <r>
    <x v="5"/>
    <s v="ESPAÑA"/>
    <s v="FITOMURCIA S.L."/>
    <s v="Consolidado/estratégico"/>
    <s v="S0020"/>
    <s v="SALWAX STAR, 20 L"/>
    <n v="20"/>
    <n v="1.89375"/>
    <n v="1.973859804984275"/>
    <n v="0"/>
    <n v="0"/>
    <n v="0"/>
    <n v="0"/>
    <n v="0"/>
    <n v="0"/>
    <n v="1899.3324944509691"/>
    <n v="3532.7584396788029"/>
    <n v="1899.3324944509691"/>
    <n v="3589.7384145123319"/>
    <n v="633.11083148365651"/>
    <n v="1234.5661213931301"/>
    <n v="633.11083148365651"/>
    <n v="1234.5661213931301"/>
    <n v="0"/>
    <n v="0"/>
    <n v="0"/>
    <n v="0"/>
    <n v="0"/>
    <n v="0"/>
    <n v="0"/>
    <n v="0"/>
    <n v="0"/>
    <n v="0"/>
    <n v="5064.8866518692512"/>
    <n v="9591.6290969773963"/>
    <n v="0"/>
    <n v="0"/>
    <n v="0"/>
    <n v="0"/>
    <n v="0"/>
    <n v="0"/>
    <n v="2060"/>
    <n v="3993.9737817964792"/>
    <n v="2060"/>
    <n v="4058.392713760938"/>
    <n v="680"/>
    <n v="1382.1926178782051"/>
    <n v="680"/>
    <n v="1382.1926178782051"/>
    <n v="0"/>
    <n v="0"/>
    <n v="0"/>
    <n v="0"/>
    <n v="0"/>
    <n v="0"/>
    <n v="0"/>
    <n v="0"/>
    <n v="0"/>
    <n v="0"/>
    <n v="5480"/>
    <n v="10816.751731313827"/>
    <n v="415.11334813074882"/>
    <n v="8.1959059829610742E-2"/>
    <n v="1225.1226343364306"/>
    <n v="0.12772831621715883"/>
  </r>
  <r>
    <x v="5"/>
    <s v="ESPAÑA"/>
    <s v="FITOMURCIA S.L."/>
    <s v="Consolidado/estratégico"/>
    <s v="S0200"/>
    <s v="SAL-WAX STAR, 200 L"/>
    <n v="200"/>
    <n v="1.764"/>
    <n v="1.8402701658573111"/>
    <n v="395.69426967728532"/>
    <n v="672.68025845138504"/>
    <n v="0"/>
    <n v="0"/>
    <n v="1582.7770787091411"/>
    <n v="2817.3432001022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64"/>
    <n v="3490.0234585536564"/>
    <n v="400"/>
    <n v="708.81672711702822"/>
    <n v="0"/>
    <n v="0"/>
    <n v="1800"/>
    <n v="3339.7776377690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0"/>
    <n v="4048.5943648860843"/>
    <n v="221.52865161357363"/>
    <n v="0.11196960309495754"/>
    <n v="558.57090633242797"/>
    <n v="0.16004789451011661"/>
  </r>
  <r>
    <x v="5"/>
    <s v="ESPAÑA"/>
    <s v="FITOMURCIA S.L."/>
    <s v="Consolidado/estratégico"/>
    <s v="S0200"/>
    <s v="SALWAX STAR, 200 L"/>
    <n v="200"/>
    <n v="1.798"/>
    <n v="1.8744181833163009"/>
    <n v="0"/>
    <n v="0"/>
    <n v="0"/>
    <n v="0"/>
    <n v="0"/>
    <n v="0"/>
    <n v="791.38853935457064"/>
    <n v="1408.671600051136"/>
    <n v="3165.554157418283"/>
    <n v="5705.9113687464542"/>
    <n v="0"/>
    <n v="0"/>
    <n v="0"/>
    <n v="0"/>
    <n v="0"/>
    <n v="0"/>
    <n v="0"/>
    <n v="0"/>
    <n v="0"/>
    <n v="0"/>
    <n v="0"/>
    <n v="0"/>
    <n v="0"/>
    <n v="0"/>
    <n v="3956.9426967728537"/>
    <n v="7114.5829687975902"/>
    <n v="0"/>
    <n v="0"/>
    <n v="0"/>
    <n v="0"/>
    <n v="0"/>
    <n v="0"/>
    <n v="800"/>
    <n v="1484.3456167862471"/>
    <n v="3400"/>
    <n v="6388.2107531422162"/>
    <n v="0"/>
    <n v="0"/>
    <n v="0"/>
    <n v="0"/>
    <n v="0"/>
    <n v="0"/>
    <n v="0"/>
    <n v="0"/>
    <n v="0"/>
    <n v="0"/>
    <n v="0"/>
    <n v="0"/>
    <n v="0"/>
    <n v="0"/>
    <n v="4200"/>
    <n v="7872.556369928463"/>
    <n v="243.05730322714635"/>
    <n v="6.1425530227004685E-2"/>
    <n v="757.97340113087284"/>
    <n v="0.1065379944903468"/>
  </r>
  <r>
    <x v="5"/>
    <s v="ESPAÑA"/>
    <s v="FITOMURCIA S.L."/>
    <s v="Consolidado/estratégico"/>
    <s v="S1000"/>
    <s v="SAL-WAX STAR, 1000 L"/>
    <n v="1000"/>
    <n v="1.499090909090909"/>
    <n v="1.5616663734499621"/>
    <n v="4946.1783709660658"/>
    <n v="7913.8853935457046"/>
    <n v="23741.656180637121"/>
    <n v="35038.727579923623"/>
    <n v="14838.5351128982"/>
    <n v="22297.3720963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26.369664501384"/>
    <n v="65249.98506978435"/>
    <n v="5000"/>
    <n v="8339.0203190238626"/>
    <n v="26000"/>
    <n v="39997.763501017987"/>
    <n v="16000"/>
    <n v="25061.535732106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00"/>
    <n v="73398.319552148227"/>
    <n v="3473.6303354986158"/>
    <n v="7.9805193088078499E-2"/>
    <n v="8148.3344823638763"/>
    <n v="0.12487871795908147"/>
  </r>
  <r>
    <x v="5"/>
    <s v="ESPAÑA"/>
    <s v="FITOMURCIA S.L."/>
    <s v="Consolidado/estratégico"/>
    <s v="S1000"/>
    <s v="SALWAX STAR, 1000 L"/>
    <n v="1000"/>
    <n v="1.5751739587205471"/>
    <n v="1.6411769388107329"/>
    <n v="0"/>
    <n v="0"/>
    <n v="0"/>
    <n v="0"/>
    <n v="0"/>
    <n v="0"/>
    <n v="16817.006461284629"/>
    <n v="23810.90267783064"/>
    <n v="11870.82809031856"/>
    <n v="14492.30262693057"/>
    <n v="8903.121067738919"/>
    <n v="15046.274604478769"/>
    <n v="15827.770787091409"/>
    <n v="26748.932630184481"/>
    <n v="41547.898316114952"/>
    <n v="70215.948154234269"/>
    <n v="0"/>
    <n v="0"/>
    <n v="8531.9652536855046"/>
    <n v="13076.626242757209"/>
    <n v="8531.9652536855046"/>
    <n v="13076.626242757209"/>
    <n v="0"/>
    <n v="0"/>
    <n v="112030.55522991947"/>
    <n v="176467.61317917318"/>
    <n v="0"/>
    <n v="0"/>
    <n v="0"/>
    <n v="0"/>
    <n v="0"/>
    <n v="0"/>
    <n v="18000"/>
    <n v="26565.911348678521"/>
    <n v="13000"/>
    <n v="16543.400205813479"/>
    <n v="10000"/>
    <n v="17616.180423937909"/>
    <n v="17000"/>
    <n v="29947.50672069444"/>
    <n v="44000"/>
    <n v="77511.193865326801"/>
    <n v="0"/>
    <n v="0"/>
    <n v="9000"/>
    <n v="14378.52004641838"/>
    <n v="9000"/>
    <n v="14378.52004641838"/>
    <n v="0"/>
    <n v="0"/>
    <n v="120000"/>
    <n v="196941.23265728791"/>
    <n v="7969.4447700805322"/>
    <n v="7.1136349844244731E-2"/>
    <n v="20473.619478114735"/>
    <n v="0.11601913296876305"/>
  </r>
  <r>
    <x v="5"/>
    <s v="ESPAÑA"/>
    <s v="FITOMURCIA S.L."/>
    <s v="Consolidado/estratégico"/>
    <s v="SPCE2B0001"/>
    <s v="SPRINTENE CON BORO, 1 L"/>
    <n v="1"/>
    <n v="11.83"/>
    <n v="12.331326296756529"/>
    <n v="0"/>
    <n v="0"/>
    <n v="11.870828090318559"/>
    <n v="140.43189630846859"/>
    <n v="23.741656180637118"/>
    <n v="280.863792616937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76"/>
    <n v="421.29568892540567"/>
    <n v="0"/>
    <n v="0"/>
    <n v="13"/>
    <n v="160.30724185783501"/>
    <n v="26"/>
    <n v="320.61448371566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480.92172557350489"/>
    <n v="3.3875157290443241"/>
    <n v="9.512157880563997E-2"/>
    <n v="59.626036648099216"/>
    <n v="0.14153013718271529"/>
  </r>
  <r>
    <x v="5"/>
    <s v="ESPAÑA"/>
    <s v="FITOMURCIA S.L."/>
    <s v="Consolidado/estratégico"/>
    <s v="SPCE2B0005"/>
    <s v="SPRINTENE CON BORO, 5 L"/>
    <n v="5"/>
    <n v="10.42"/>
    <n v="10.86157396552858"/>
    <n v="0"/>
    <n v="0"/>
    <n v="39.569426967728532"/>
    <n v="412.3134290037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569426967728532"/>
    <n v="412.3134290037313"/>
    <n v="0"/>
    <n v="0"/>
    <n v="45"/>
    <n v="488.77082844878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488.77082844878612"/>
    <n v="5.430573032271468"/>
    <n v="0.13724163952893373"/>
    <n v="76.457399445054818"/>
    <n v="0.18543514245897361"/>
  </r>
  <r>
    <x v="5"/>
    <s v="ESPAÑA"/>
    <s v="FITOMURCIA S.L."/>
    <s v="Consolidado/estratégico"/>
    <s v="SPCE2B0020"/>
    <s v="SPRINTENE CON BORO, 20 L"/>
    <n v="20"/>
    <n v="10.11"/>
    <n v="10.5384369281664"/>
    <n v="0"/>
    <n v="0"/>
    <n v="0"/>
    <n v="0"/>
    <n v="197.84713483864269"/>
    <n v="2000.2345332186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.84713483864269"/>
    <n v="2000.2345332186769"/>
    <n v="0"/>
    <n v="0"/>
    <n v="0"/>
    <n v="0"/>
    <n v="220"/>
    <n v="2318.456124196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2318.456124196608"/>
    <n v="22.152865161357312"/>
    <n v="0.11196960309495725"/>
    <n v="318.2215909779311"/>
    <n v="0.15909213929321822"/>
  </r>
  <r>
    <x v="5"/>
    <s v="ESPAÑA"/>
    <s v="FITOMURCIA S.L."/>
    <s v="Consolidado/estratégico"/>
    <s v="SS0005"/>
    <s v="SAL-WAX-Ca sólido, 5 KG"/>
    <n v="5"/>
    <n v="3.52"/>
    <n v="3.6691689403704988"/>
    <n v="0"/>
    <n v="0"/>
    <n v="0"/>
    <n v="0"/>
    <n v="98.92356741932133"/>
    <n v="348.21095731601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92356741932133"/>
    <n v="348.21095731601099"/>
    <n v="0"/>
    <n v="0"/>
    <n v="0"/>
    <n v="0"/>
    <n v="110"/>
    <n v="403.6085834407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"/>
    <n v="403.6085834407549"/>
    <n v="11.07643258067867"/>
    <n v="0.11196960309495742"/>
    <n v="55.397626124743908"/>
    <n v="0.15909213929321886"/>
  </r>
  <r>
    <x v="5"/>
    <s v="ESPAÑA"/>
    <s v="FITOMURCIA S.L."/>
    <s v="Consolidado/estratégico"/>
    <s v="SS0005"/>
    <s v="SALWAX-CA, 5 KG"/>
    <n v="5"/>
    <n v="3.7"/>
    <n v="3.8567968975485352"/>
    <n v="0"/>
    <n v="0"/>
    <n v="0"/>
    <n v="0"/>
    <n v="0"/>
    <n v="0"/>
    <n v="0"/>
    <n v="0"/>
    <n v="0"/>
    <n v="0"/>
    <n v="0"/>
    <n v="0"/>
    <n v="370.96337782245502"/>
    <n v="1372.5644979430831"/>
    <n v="0"/>
    <n v="0"/>
    <n v="0"/>
    <n v="0"/>
    <n v="0"/>
    <n v="0"/>
    <n v="0"/>
    <n v="0"/>
    <n v="0"/>
    <n v="0"/>
    <n v="370.96337782245502"/>
    <n v="1372.5644979430831"/>
    <n v="0"/>
    <n v="0"/>
    <n v="0"/>
    <n v="0"/>
    <n v="0"/>
    <n v="0"/>
    <n v="0"/>
    <n v="0"/>
    <n v="0"/>
    <n v="0"/>
    <n v="0"/>
    <n v="0"/>
    <n v="405"/>
    <n v="1562.002743507157"/>
    <n v="0"/>
    <n v="0"/>
    <n v="0"/>
    <n v="0"/>
    <n v="0"/>
    <n v="0"/>
    <n v="0"/>
    <n v="0"/>
    <n v="0"/>
    <n v="0"/>
    <n v="405"/>
    <n v="1562.002743507157"/>
    <n v="34.036622177544984"/>
    <n v="9.1751973947776289E-2"/>
    <n v="189.4382455640739"/>
    <n v="0.13801773676061482"/>
  </r>
  <r>
    <x v="5"/>
    <s v="ESPAÑA"/>
    <s v="FITOMURCIA S.L."/>
    <s v="Consolidado/estratégico"/>
    <s v="SS0020"/>
    <s v="SAL-WAX-Ca sólido, 20 KG"/>
    <n v="20"/>
    <n v="3.38"/>
    <n v="3.5232360847875821"/>
    <n v="0"/>
    <n v="0"/>
    <n v="1582.7770787091411"/>
    <n v="5349.7865260368972"/>
    <n v="3956.9426967728532"/>
    <n v="13374.466315092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39.7197754819945"/>
    <n v="18724.252841129139"/>
    <n v="0"/>
    <n v="0"/>
    <n v="1720"/>
    <n v="6059.9660658346402"/>
    <n v="4300"/>
    <n v="15149.9151645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0"/>
    <n v="21209.881230421241"/>
    <n v="480.28022451800553"/>
    <n v="8.6697566660981107E-2"/>
    <n v="2485.6283892921019"/>
    <n v="0.13274913612746375"/>
  </r>
  <r>
    <x v="5"/>
    <s v="ESPAÑA"/>
    <s v="FITOMURCIA S.L."/>
    <s v="Consolidado/estratégico"/>
    <s v="SS0020"/>
    <s v="SALWAX-CA, 20 KG"/>
    <n v="20"/>
    <n v="3.4120873168084098"/>
    <n v="3.5573171169097382"/>
    <n v="0"/>
    <n v="0"/>
    <n v="0"/>
    <n v="0"/>
    <n v="0"/>
    <n v="0"/>
    <n v="395.69426967728532"/>
    <n v="1388.8868865672709"/>
    <n v="0"/>
    <n v="0"/>
    <n v="0"/>
    <n v="0"/>
    <n v="791.38853935457064"/>
    <n v="2809.429314708726"/>
    <n v="0"/>
    <n v="0"/>
    <n v="0"/>
    <n v="0"/>
    <n v="758.39691143871141"/>
    <n v="2513.7734803381468"/>
    <n v="758.39691143871141"/>
    <n v="2513.7734803381468"/>
    <n v="0"/>
    <n v="0"/>
    <n v="2703.8766319092788"/>
    <n v="9225.8631619522894"/>
    <n v="0"/>
    <n v="0"/>
    <n v="0"/>
    <n v="0"/>
    <n v="0"/>
    <n v="0"/>
    <n v="440"/>
    <n v="1609.8478725875559"/>
    <n v="0"/>
    <n v="0"/>
    <n v="0"/>
    <n v="0"/>
    <n v="860"/>
    <n v="3182.3786292474811"/>
    <n v="0"/>
    <n v="0"/>
    <n v="0"/>
    <n v="0"/>
    <n v="820"/>
    <n v="2833.1429109397959"/>
    <n v="820"/>
    <n v="2833.1429109397959"/>
    <n v="0"/>
    <n v="0"/>
    <n v="2940"/>
    <n v="10458.512323714629"/>
    <n v="236.12336809072121"/>
    <n v="8.7327715068119899E-2"/>
    <n v="1232.6491617623396"/>
    <n v="0.13360800394762176"/>
  </r>
  <r>
    <x v="5"/>
    <s v="ESPAÑA"/>
    <s v="FITOMURCIA S.L."/>
    <s v="Consolidado/estratégico"/>
    <s v="TRI0001"/>
    <s v="TRIFENO-94, 1 L"/>
    <n v="1"/>
    <n v="11.41"/>
    <n v="11.893527730007779"/>
    <n v="0"/>
    <n v="0"/>
    <n v="0"/>
    <n v="0"/>
    <n v="23.741656180637118"/>
    <n v="264.24463329049121"/>
    <n v="0"/>
    <n v="0"/>
    <n v="23.741656180637118"/>
    <n v="277.53996075164793"/>
    <n v="0"/>
    <n v="0"/>
    <n v="0"/>
    <n v="0"/>
    <n v="0"/>
    <n v="0"/>
    <n v="0"/>
    <n v="0"/>
    <n v="0"/>
    <n v="0"/>
    <n v="0"/>
    <n v="0"/>
    <n v="0"/>
    <n v="0"/>
    <n v="47.483312361274237"/>
    <n v="541.78459404213913"/>
    <n v="0"/>
    <n v="0"/>
    <n v="0"/>
    <n v="0"/>
    <n v="29"/>
    <n v="336.44819854641639"/>
    <n v="0"/>
    <n v="0"/>
    <n v="29"/>
    <n v="353.376409794035"/>
    <n v="0"/>
    <n v="0"/>
    <n v="0"/>
    <n v="0"/>
    <n v="0"/>
    <n v="0"/>
    <n v="0"/>
    <n v="0"/>
    <n v="0"/>
    <n v="0"/>
    <n v="0"/>
    <n v="0"/>
    <n v="0"/>
    <n v="0"/>
    <n v="58"/>
    <n v="689.82460834045139"/>
    <n v="10.516687638725763"/>
    <n v="0.22148176097552144"/>
    <n v="148.04001429831226"/>
    <n v="0.27324515301148994"/>
  </r>
  <r>
    <x v="5"/>
    <s v="ESPAÑA"/>
    <s v="FITOMURCIA S.L."/>
    <s v="Consolidado/estratégico"/>
    <s v="TRI0005"/>
    <s v="TRIFENO-94, 5L"/>
    <n v="5"/>
    <n v="8.9944444444444436"/>
    <n v="9.3767920046558704"/>
    <n v="0"/>
    <n v="0"/>
    <n v="19.78471348386427"/>
    <n v="173.1162429838123"/>
    <n v="59.354140451592791"/>
    <n v="519.3487289514369"/>
    <n v="0"/>
    <n v="0"/>
    <n v="59.354140451592791"/>
    <n v="545.46455075013773"/>
    <n v="0"/>
    <n v="0"/>
    <n v="39.569426967728532"/>
    <n v="363.64303383342519"/>
    <n v="0"/>
    <n v="0"/>
    <n v="0"/>
    <n v="0"/>
    <n v="0"/>
    <n v="0"/>
    <n v="0"/>
    <n v="0"/>
    <n v="0"/>
    <n v="0"/>
    <n v="178.06242135477839"/>
    <n v="1601.5725565188122"/>
    <n v="0"/>
    <n v="0"/>
    <n v="25"/>
    <n v="228.02008684830869"/>
    <n v="70"/>
    <n v="638.45624317526426"/>
    <n v="0"/>
    <n v="0"/>
    <n v="70"/>
    <n v="670.56147140350618"/>
    <n v="0"/>
    <n v="0"/>
    <n v="50"/>
    <n v="478.97247957393301"/>
    <n v="0"/>
    <n v="0"/>
    <n v="0"/>
    <n v="0"/>
    <n v="0"/>
    <n v="0"/>
    <n v="0"/>
    <n v="0"/>
    <n v="0"/>
    <n v="0"/>
    <n v="215"/>
    <n v="2016.0102810010121"/>
    <n v="36.937578645221606"/>
    <n v="0.20744174073442345"/>
    <n v="414.43772448219988"/>
    <n v="0.2587692470099664"/>
  </r>
  <r>
    <x v="5"/>
    <s v="ESPAÑA"/>
    <s v="FITOMURCIA S.L."/>
    <s v="Consolidado/estratégico"/>
    <s v="WHITE0020"/>
    <s v="AGROWHITE, 20 KG"/>
    <n v="20"/>
    <n v="1.66"/>
    <n v="1.7303467161974511"/>
    <n v="0"/>
    <n v="0"/>
    <n v="0"/>
    <n v="0"/>
    <n v="0"/>
    <n v="0"/>
    <n v="0"/>
    <n v="0"/>
    <n v="0"/>
    <n v="0"/>
    <n v="633.11083148365651"/>
    <n v="1050.9639802628701"/>
    <n v="2176.318483225069"/>
    <n v="3612.688682153615"/>
    <n v="0"/>
    <n v="0"/>
    <n v="0"/>
    <n v="0"/>
    <n v="0"/>
    <n v="0"/>
    <n v="0"/>
    <n v="0"/>
    <n v="0"/>
    <n v="0"/>
    <n v="2809.4293147087255"/>
    <n v="4663.6526624164853"/>
    <n v="0"/>
    <n v="0"/>
    <n v="0"/>
    <n v="0"/>
    <n v="0"/>
    <n v="0"/>
    <n v="0"/>
    <n v="0"/>
    <n v="0"/>
    <n v="0"/>
    <n v="680"/>
    <n v="1176.635767014267"/>
    <n v="2360"/>
    <n v="4083.6182502259849"/>
    <n v="0"/>
    <n v="0"/>
    <n v="0"/>
    <n v="0"/>
    <n v="0"/>
    <n v="0"/>
    <n v="0"/>
    <n v="0"/>
    <n v="0"/>
    <n v="0"/>
    <n v="3040"/>
    <n v="5260.2540172402514"/>
    <n v="230.57068529127446"/>
    <n v="8.2070292384337648E-2"/>
    <n v="596.60135482376609"/>
    <n v="0.12792576935063499"/>
  </r>
  <r>
    <x v="6"/>
    <s v="CHILE"/>
    <s v="BAYER, S.A."/>
    <s v="Consolidado/estratégico"/>
    <s v="AN0020CL"/>
    <s v="MAGNIFIC Ca FLOW"/>
    <n v="20"/>
    <n v="1"/>
    <n v="1.042653447114583"/>
    <n v="0"/>
    <n v="0"/>
    <n v="0"/>
    <n v="0"/>
    <n v="274216.1288863587"/>
    <n v="274216.1288863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4216.1288863587"/>
    <n v="274216.1288863587"/>
    <n v="0"/>
    <n v="0"/>
    <n v="0"/>
    <n v="0"/>
    <n v="302240"/>
    <n v="315131.57785591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240"/>
    <n v="315131.57785591169"/>
    <n v="28023.871113641304"/>
    <n v="0.1021962903037517"/>
    <n v="40915.448969552992"/>
    <n v="0.14920876148211279"/>
  </r>
  <r>
    <x v="6"/>
    <s v="CHILE"/>
    <s v="BAYER, S.A."/>
    <s v="Consolidado/estratégico"/>
    <s v="AN0020CL"/>
    <s v="ALCAPLANT NEW, 20 KG"/>
    <n v="20"/>
    <n v="1"/>
    <n v="1.0427914281209361"/>
    <n v="0"/>
    <n v="0"/>
    <n v="0"/>
    <n v="0"/>
    <n v="0"/>
    <n v="0"/>
    <n v="91405.376295452908"/>
    <n v="91405.376295452908"/>
    <n v="0"/>
    <n v="0"/>
    <n v="0"/>
    <n v="0"/>
    <n v="0"/>
    <n v="0"/>
    <n v="0"/>
    <n v="0"/>
    <n v="0"/>
    <n v="0"/>
    <n v="0"/>
    <n v="0"/>
    <n v="0"/>
    <n v="0"/>
    <n v="0"/>
    <n v="0"/>
    <n v="91405.376295452908"/>
    <n v="91405.376295452908"/>
    <n v="0"/>
    <n v="0"/>
    <n v="0"/>
    <n v="0"/>
    <n v="0"/>
    <n v="0"/>
    <n v="100740"/>
    <n v="105050.80846890309"/>
    <n v="0"/>
    <n v="0"/>
    <n v="0"/>
    <n v="0"/>
    <n v="0"/>
    <n v="0"/>
    <n v="0"/>
    <n v="0"/>
    <n v="0"/>
    <n v="0"/>
    <n v="0"/>
    <n v="0"/>
    <n v="0"/>
    <n v="0"/>
    <n v="0"/>
    <n v="0"/>
    <n v="100740"/>
    <n v="105050.80846890309"/>
    <n v="9334.6237045470916"/>
    <n v="0.10212335513366795"/>
    <n v="13645.432173450186"/>
    <n v="0.14928478746527515"/>
  </r>
  <r>
    <x v="6"/>
    <s v="CHILE"/>
    <s v="BAYER, S.A."/>
    <s v="Consolidado/estratégico"/>
    <s v="AN0020CL"/>
    <s v="MAGNIFIC Ca FLOW, 20 KG"/>
    <n v="20"/>
    <n v="0.98709677419354835"/>
    <n v="1.0293201169971169"/>
    <n v="0"/>
    <n v="0"/>
    <n v="0"/>
    <n v="0"/>
    <n v="0"/>
    <n v="0"/>
    <n v="0"/>
    <n v="0"/>
    <n v="274216.1288863587"/>
    <n v="274216.1288863587"/>
    <n v="251364.78481249549"/>
    <n v="251364.78481249549"/>
    <n v="182810.75259090579"/>
    <n v="173670.2149613605"/>
    <n v="0"/>
    <n v="0"/>
    <n v="0"/>
    <n v="0"/>
    <n v="0"/>
    <n v="0"/>
    <n v="0"/>
    <n v="0"/>
    <n v="0"/>
    <n v="0"/>
    <n v="708391.66628975992"/>
    <n v="699251.1286602146"/>
    <n v="0"/>
    <n v="0"/>
    <n v="0"/>
    <n v="0"/>
    <n v="0"/>
    <n v="0"/>
    <n v="0"/>
    <n v="0"/>
    <n v="302240"/>
    <n v="315131.57785591169"/>
    <n v="277060"/>
    <n v="288863.66385098652"/>
    <n v="201440"/>
    <n v="199636.14643743119"/>
    <n v="0"/>
    <n v="0"/>
    <n v="0"/>
    <n v="0"/>
    <n v="0"/>
    <n v="0"/>
    <n v="0"/>
    <n v="0"/>
    <n v="0"/>
    <n v="0"/>
    <n v="780740"/>
    <n v="803631.38814432942"/>
    <n v="72348.333710240084"/>
    <n v="0.1021304133759343"/>
    <n v="104380.25948411482"/>
    <n v="0.14927435252640983"/>
  </r>
  <r>
    <x v="6"/>
    <s v="CHILE"/>
    <s v="BAYER, S.A."/>
    <s v="Consolidado/estratégico"/>
    <s v="BAYCAL0020CL"/>
    <s v="BAYFOLAN CALCIO"/>
    <n v="20"/>
    <n v="1.54"/>
    <n v="1.6059044591132861"/>
    <n v="0"/>
    <n v="0"/>
    <n v="0"/>
    <n v="0"/>
    <n v="106362.61968925429"/>
    <n v="163798.43432145161"/>
    <n v="0"/>
    <n v="0"/>
    <n v="17727.103281542379"/>
    <n v="27299.739053575271"/>
    <n v="0"/>
    <n v="0"/>
    <n v="0"/>
    <n v="0"/>
    <n v="0"/>
    <n v="0"/>
    <n v="0"/>
    <n v="0"/>
    <n v="0"/>
    <n v="0"/>
    <n v="0"/>
    <n v="0"/>
    <n v="0"/>
    <n v="0"/>
    <n v="124089.72297079668"/>
    <n v="191098.17337502688"/>
    <n v="0"/>
    <n v="0"/>
    <n v="0"/>
    <n v="0"/>
    <n v="128400"/>
    <n v="206179.77568176921"/>
    <n v="0"/>
    <n v="0"/>
    <n v="21380"/>
    <n v="34352.594204218803"/>
    <n v="0"/>
    <n v="0"/>
    <n v="0"/>
    <n v="0"/>
    <n v="0"/>
    <n v="0"/>
    <n v="0"/>
    <n v="0"/>
    <n v="0"/>
    <n v="0"/>
    <n v="0"/>
    <n v="0"/>
    <n v="0"/>
    <n v="0"/>
    <n v="149780"/>
    <n v="240532.36988598801"/>
    <n v="25690.277029203324"/>
    <n v="0.20702985238551369"/>
    <n v="49434.196510961134"/>
    <n v="0.25868481962905721"/>
  </r>
  <r>
    <x v="6"/>
    <s v="CHILE"/>
    <s v="BAYER, S.A."/>
    <s v="Consolidado/estratégico"/>
    <s v="BAYCAL0020CL"/>
    <s v="BAYFOLAN-CALCIO, 20 L"/>
    <n v="20"/>
    <n v="1.54"/>
    <n v="1.6060117088701029"/>
    <n v="0"/>
    <n v="0"/>
    <n v="0"/>
    <n v="0"/>
    <n v="0"/>
    <n v="0"/>
    <n v="70908.413126169529"/>
    <n v="109198.9562143011"/>
    <n v="0"/>
    <n v="0"/>
    <n v="0"/>
    <n v="0"/>
    <n v="0"/>
    <n v="0"/>
    <n v="0"/>
    <n v="0"/>
    <n v="0"/>
    <n v="0"/>
    <n v="0"/>
    <n v="0"/>
    <n v="0"/>
    <n v="0"/>
    <n v="0"/>
    <n v="0"/>
    <n v="70908.413126169529"/>
    <n v="109198.9562143011"/>
    <n v="0"/>
    <n v="0"/>
    <n v="0"/>
    <n v="0"/>
    <n v="0"/>
    <n v="0"/>
    <n v="85580"/>
    <n v="137442.48204510339"/>
    <n v="0"/>
    <n v="0"/>
    <n v="0"/>
    <n v="0"/>
    <n v="0"/>
    <n v="0"/>
    <n v="0"/>
    <n v="0"/>
    <n v="0"/>
    <n v="0"/>
    <n v="0"/>
    <n v="0"/>
    <n v="0"/>
    <n v="0"/>
    <n v="0"/>
    <n v="0"/>
    <n v="85580"/>
    <n v="137442.48204510339"/>
    <n v="14671.586873830471"/>
    <n v="0.20690897210920323"/>
    <n v="28243.525830802289"/>
    <n v="0.25864281866737671"/>
  </r>
  <r>
    <x v="6"/>
    <s v="CHILE"/>
    <s v="BAYER, S.A."/>
    <s v="Consolidado/estratégico"/>
    <s v="W330020CL"/>
    <s v="BAYFOLAN SUN, 20 KG"/>
    <n v="20"/>
    <n v="1.4"/>
    <n v="1.45970058044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559.15064564571"/>
    <n v="291982.81090390391"/>
    <n v="208559.15064564571"/>
    <n v="291982.81090390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360"/>
    <n v="343555.12861330452"/>
    <n v="235360"/>
    <n v="343555.12861330452"/>
    <n v="26800.849354354286"/>
    <n v="0.12850478759328335"/>
    <n v="51572.31770940061"/>
    <n v="0.17662792391697971"/>
  </r>
  <r>
    <x v="6"/>
    <s v="COLOMBIA"/>
    <s v="CAMPO ABIERTO, S.A.S."/>
    <s v="En desarrollo/nuevo"/>
    <s v="AGXCR0001CO"/>
    <s v="AGROXILATO-K"/>
    <n v="1"/>
    <n v="4.129999999999999"/>
    <n v="4.3050192396960671"/>
    <n v="0"/>
    <n v="0"/>
    <n v="0"/>
    <n v="0"/>
    <n v="0"/>
    <n v="0"/>
    <n v="0"/>
    <n v="0"/>
    <n v="415.47898316114959"/>
    <n v="1715.928200455548"/>
    <n v="0"/>
    <n v="0"/>
    <n v="0"/>
    <n v="0"/>
    <n v="0"/>
    <n v="0"/>
    <n v="0"/>
    <n v="0"/>
    <n v="0"/>
    <n v="0"/>
    <n v="0"/>
    <n v="0"/>
    <n v="0"/>
    <n v="0"/>
    <n v="415.47898316114959"/>
    <n v="1715.928200455548"/>
    <n v="0"/>
    <n v="0"/>
    <n v="0"/>
    <n v="0"/>
    <n v="0"/>
    <n v="0"/>
    <n v="0"/>
    <n v="0"/>
    <n v="524"/>
    <n v="2255.830081600739"/>
    <n v="0"/>
    <n v="0"/>
    <n v="0"/>
    <n v="0"/>
    <n v="0"/>
    <n v="0"/>
    <n v="0"/>
    <n v="0"/>
    <n v="0"/>
    <n v="0"/>
    <n v="0"/>
    <n v="0"/>
    <n v="0"/>
    <n v="0"/>
    <n v="524"/>
    <n v="2255.830081600739"/>
    <n v="108.52101683885041"/>
    <n v="0.26119496108605561"/>
    <n v="539.90188114519106"/>
    <n v="0.31464130084339009"/>
  </r>
  <r>
    <x v="6"/>
    <s v="COLOMBIA"/>
    <s v="CAMPO ABIERTO, S.A.S."/>
    <s v="En desarrollo/nuevo"/>
    <s v="AGXCR0001CO"/>
    <s v="AGROXILATO-K  (0-5-20), 1 L"/>
    <n v="1"/>
    <n v="4.1300000000000008"/>
    <n v="4.305019239696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.79768357903356"/>
    <n v="2349.1344331814089"/>
    <n v="0"/>
    <n v="0"/>
    <n v="568.79768357903356"/>
    <n v="2349.1344331814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7"/>
    <n v="3086.6987948620808"/>
    <n v="0"/>
    <n v="0"/>
    <n v="717"/>
    <n v="3086.6987948620808"/>
    <n v="148.20231642096644"/>
    <n v="0.26055365677376913"/>
    <n v="737.56436168067194"/>
    <n v="0.31397281963203616"/>
  </r>
  <r>
    <x v="6"/>
    <s v="COLOMBIA"/>
    <s v="CAMPO ABIERTO, S.A.S."/>
    <s v="En desarrollo/nuevo"/>
    <s v="AGXCR0005CO"/>
    <s v="AGROXILATO-K"/>
    <n v="5"/>
    <n v="3.14"/>
    <n v="3.2730654752168662"/>
    <n v="0"/>
    <n v="0"/>
    <n v="0"/>
    <n v="0"/>
    <n v="0"/>
    <n v="0"/>
    <n v="0"/>
    <n v="0"/>
    <n v="989.23567419321319"/>
    <n v="3106.200016966689"/>
    <n v="0"/>
    <n v="0"/>
    <n v="0"/>
    <n v="0"/>
    <n v="0"/>
    <n v="0"/>
    <n v="0"/>
    <n v="0"/>
    <n v="0"/>
    <n v="0"/>
    <n v="0"/>
    <n v="0"/>
    <n v="0"/>
    <n v="0"/>
    <n v="989.23567419321319"/>
    <n v="3106.200016966689"/>
    <n v="0"/>
    <n v="0"/>
    <n v="0"/>
    <n v="0"/>
    <n v="0"/>
    <n v="0"/>
    <n v="0"/>
    <n v="0"/>
    <n v="1245"/>
    <n v="4074.9665166449981"/>
    <n v="0"/>
    <n v="0"/>
    <n v="0"/>
    <n v="0"/>
    <n v="0"/>
    <n v="0"/>
    <n v="0"/>
    <n v="0"/>
    <n v="0"/>
    <n v="0"/>
    <n v="0"/>
    <n v="0"/>
    <n v="0"/>
    <n v="0"/>
    <n v="1245"/>
    <n v="4074.9665166449981"/>
    <n v="255.76432580678681"/>
    <n v="0.25854741441202012"/>
    <n v="968.76649967830917"/>
    <n v="0.31188155765459785"/>
  </r>
  <r>
    <x v="6"/>
    <s v="COLOMBIA"/>
    <s v="CAMPO ABIERTO, S.A.S."/>
    <s v="En desarrollo/nuevo"/>
    <s v="AGXCR0005CO"/>
    <s v="AGROXILATO-K (0-5-20), 5 Lts."/>
    <n v="5"/>
    <n v="3.14"/>
    <n v="3.2730654752168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976.707877396942"/>
    <n v="0"/>
    <n v="0"/>
    <n v="947.99613929838938"/>
    <n v="2976.707877396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5"/>
    <n v="3911.313242884155"/>
    <n v="0"/>
    <n v="0"/>
    <n v="1195"/>
    <n v="3911.313242884155"/>
    <n v="247.00386070161062"/>
    <n v="0.26055365677376896"/>
    <n v="934.60536548721302"/>
    <n v="0.31397281963203677"/>
  </r>
  <r>
    <x v="6"/>
    <s v="COLOMBIA"/>
    <s v="CAMPO ABIERTO, S.A.S."/>
    <s v="En desarrollo/nuevo"/>
    <s v="AGXCR0020CO"/>
    <s v="AGROXILATO-K"/>
    <n v="20"/>
    <n v="2.9"/>
    <n v="3.022894865646149"/>
    <n v="0"/>
    <n v="0"/>
    <n v="0"/>
    <n v="0"/>
    <n v="0"/>
    <n v="0"/>
    <n v="0"/>
    <n v="0"/>
    <n v="1187.082809031856"/>
    <n v="3442.5401461923821"/>
    <n v="0"/>
    <n v="0"/>
    <n v="0"/>
    <n v="0"/>
    <n v="0"/>
    <n v="0"/>
    <n v="0"/>
    <n v="0"/>
    <n v="0"/>
    <n v="0"/>
    <n v="0"/>
    <n v="0"/>
    <n v="0"/>
    <n v="0"/>
    <n v="1187.082809031856"/>
    <n v="3442.5401461923821"/>
    <n v="0"/>
    <n v="0"/>
    <n v="0"/>
    <n v="0"/>
    <n v="0"/>
    <n v="0"/>
    <n v="0"/>
    <n v="0"/>
    <n v="1500"/>
    <n v="4534.3422984692243"/>
    <n v="0"/>
    <n v="0"/>
    <n v="0"/>
    <n v="0"/>
    <n v="0"/>
    <n v="0"/>
    <n v="0"/>
    <n v="0"/>
    <n v="0"/>
    <n v="0"/>
    <n v="0"/>
    <n v="0"/>
    <n v="0"/>
    <n v="0"/>
    <n v="1500"/>
    <n v="4534.3422984692243"/>
    <n v="312.91719096814404"/>
    <n v="0.26360182169881524"/>
    <n v="1091.8021522768422"/>
    <n v="0.31715015828774834"/>
  </r>
  <r>
    <x v="6"/>
    <s v="COLOMBIA"/>
    <s v="CAMPO ABIERTO, S.A.S."/>
    <s v="En desarrollo/nuevo"/>
    <s v="AGXCR0020CO"/>
    <s v="AGROXILATO-K, (0-5-20), 20 LtS."/>
    <n v="20"/>
    <n v="2.9"/>
    <n v="3.0228948656461498"/>
    <n v="0"/>
    <n v="0"/>
    <n v="0"/>
    <n v="0"/>
    <n v="0"/>
    <n v="0"/>
    <n v="0"/>
    <n v="0"/>
    <n v="0"/>
    <n v="0"/>
    <n v="0"/>
    <n v="0"/>
    <n v="0"/>
    <n v="0"/>
    <n v="989.23567419321319"/>
    <n v="2868.7834551603182"/>
    <n v="0"/>
    <n v="0"/>
    <n v="0"/>
    <n v="0"/>
    <n v="758.39691143871141"/>
    <n v="2199.351043172263"/>
    <n v="0"/>
    <n v="0"/>
    <n v="1747.6325856319245"/>
    <n v="5068.1344983325816"/>
    <n v="0"/>
    <n v="0"/>
    <n v="0"/>
    <n v="0"/>
    <n v="0"/>
    <n v="0"/>
    <n v="0"/>
    <n v="0"/>
    <n v="0"/>
    <n v="0"/>
    <n v="0"/>
    <n v="0"/>
    <n v="0"/>
    <n v="0"/>
    <n v="1240"/>
    <n v="3748.3896334012252"/>
    <n v="0"/>
    <n v="0"/>
    <n v="0"/>
    <n v="0"/>
    <n v="960"/>
    <n v="2901.9790710203042"/>
    <n v="0"/>
    <n v="0"/>
    <n v="2200"/>
    <n v="6650.3687044215294"/>
    <n v="452.36741436807552"/>
    <n v="0.25884583412279677"/>
    <n v="1582.2342060889478"/>
    <n v="0.31219262365856776"/>
  </r>
  <r>
    <x v="6"/>
    <s v="COLOMBIA"/>
    <s v="CAMPO ABIERTO, S.A.S."/>
    <s v="En desarrollo/nuevo"/>
    <s v="AN0005CO"/>
    <s v="ALCAPLANT NEW"/>
    <n v="5"/>
    <n v="1.83"/>
    <n v="1.908139648253862"/>
    <n v="0"/>
    <n v="0"/>
    <n v="0"/>
    <n v="0"/>
    <n v="0"/>
    <n v="0"/>
    <n v="0"/>
    <n v="0"/>
    <n v="12860.063764511769"/>
    <n v="23533.916689056539"/>
    <n v="0"/>
    <n v="0"/>
    <n v="0"/>
    <n v="0"/>
    <n v="0"/>
    <n v="0"/>
    <n v="0"/>
    <n v="0"/>
    <n v="0"/>
    <n v="0"/>
    <n v="0"/>
    <n v="0"/>
    <n v="0"/>
    <n v="0"/>
    <n v="12860.063764511769"/>
    <n v="23533.916689056539"/>
    <n v="0"/>
    <n v="0"/>
    <n v="0"/>
    <n v="0"/>
    <n v="0"/>
    <n v="0"/>
    <n v="0"/>
    <n v="0"/>
    <n v="16200"/>
    <n v="30911.862301712561"/>
    <n v="0"/>
    <n v="0"/>
    <n v="0"/>
    <n v="0"/>
    <n v="0"/>
    <n v="0"/>
    <n v="0"/>
    <n v="0"/>
    <n v="0"/>
    <n v="0"/>
    <n v="0"/>
    <n v="0"/>
    <n v="0"/>
    <n v="0"/>
    <n v="16200"/>
    <n v="30911.862301712561"/>
    <n v="3339.9362354882305"/>
    <n v="0.25971381609358846"/>
    <n v="7377.9456126560217"/>
    <n v="0.31350266554172113"/>
  </r>
  <r>
    <x v="6"/>
    <s v="COLOMBIA"/>
    <s v="CAMPO ABIERTO, S.A.S."/>
    <s v="En desarrollo/nuevo"/>
    <s v="AN0005CO"/>
    <s v="ALCAPLANT NEW, 5 KG"/>
    <n v="5"/>
    <n v="1.83"/>
    <n v="1.907861270722881"/>
    <n v="0"/>
    <n v="0"/>
    <n v="0"/>
    <n v="0"/>
    <n v="0"/>
    <n v="0"/>
    <n v="0"/>
    <n v="0"/>
    <n v="0"/>
    <n v="0"/>
    <n v="0"/>
    <n v="0"/>
    <n v="0"/>
    <n v="0"/>
    <n v="9793.4331745128111"/>
    <n v="17921.982709358439"/>
    <n v="0"/>
    <n v="0"/>
    <n v="0"/>
    <n v="0"/>
    <n v="14599.1405451952"/>
    <n v="26716.427197707209"/>
    <n v="0"/>
    <n v="0"/>
    <n v="24392.573719708009"/>
    <n v="44638.409907065652"/>
    <n v="0"/>
    <n v="0"/>
    <n v="0"/>
    <n v="0"/>
    <n v="0"/>
    <n v="0"/>
    <n v="0"/>
    <n v="0"/>
    <n v="0"/>
    <n v="0"/>
    <n v="0"/>
    <n v="0"/>
    <n v="0"/>
    <n v="0"/>
    <n v="12340"/>
    <n v="23539.17808103258"/>
    <n v="0"/>
    <n v="0"/>
    <n v="0"/>
    <n v="0"/>
    <n v="18390"/>
    <n v="35089.39876828155"/>
    <n v="0"/>
    <n v="0"/>
    <n v="30730"/>
    <n v="58628.57684931413"/>
    <n v="6337.4262802919911"/>
    <n v="0.25980965982165549"/>
    <n v="13990.166942248477"/>
    <n v="0.31341096090508425"/>
  </r>
  <r>
    <x v="6"/>
    <s v="COLOMBIA"/>
    <s v="CAMPO ABIERTO, S.A.S."/>
    <s v="En desarrollo/nuevo"/>
    <s v="AN0020CO"/>
    <s v="ALCAPLANT NEW"/>
    <n v="20"/>
    <n v="1.65"/>
    <n v="1.7199229407986709"/>
    <n v="0"/>
    <n v="0"/>
    <n v="0"/>
    <n v="0"/>
    <n v="0"/>
    <n v="0"/>
    <n v="0"/>
    <n v="0"/>
    <n v="1978.4713483864259"/>
    <n v="3264.477724837604"/>
    <n v="0"/>
    <n v="0"/>
    <n v="0"/>
    <n v="0"/>
    <n v="0"/>
    <n v="0"/>
    <n v="0"/>
    <n v="0"/>
    <n v="0"/>
    <n v="0"/>
    <n v="0"/>
    <n v="0"/>
    <n v="0"/>
    <n v="0"/>
    <n v="1978.4713483864259"/>
    <n v="3264.477724837604"/>
    <n v="0"/>
    <n v="0"/>
    <n v="0"/>
    <n v="0"/>
    <n v="0"/>
    <n v="0"/>
    <n v="0"/>
    <n v="0"/>
    <n v="2500"/>
    <n v="4299.8073519966783"/>
    <n v="0"/>
    <n v="0"/>
    <n v="0"/>
    <n v="0"/>
    <n v="0"/>
    <n v="0"/>
    <n v="0"/>
    <n v="0"/>
    <n v="0"/>
    <n v="0"/>
    <n v="0"/>
    <n v="0"/>
    <n v="0"/>
    <n v="0"/>
    <n v="2500"/>
    <n v="4299.8073519966783"/>
    <n v="521.52865161357408"/>
    <n v="0.26360182169881569"/>
    <n v="1035.3296271590743"/>
    <n v="0.31715015828774823"/>
  </r>
  <r>
    <x v="6"/>
    <s v="COLOMBIA"/>
    <s v="CAMPO ABIERTO, S.A.S."/>
    <s v="En desarrollo/nuevo"/>
    <s v="AN0020CO"/>
    <s v="ALCAPLANT NEW, 20 KG"/>
    <n v="20"/>
    <n v="1.65"/>
    <n v="1.7199229407986709"/>
    <n v="0"/>
    <n v="0"/>
    <n v="0"/>
    <n v="0"/>
    <n v="0"/>
    <n v="0"/>
    <n v="0"/>
    <n v="0"/>
    <n v="0"/>
    <n v="0"/>
    <n v="0"/>
    <n v="0"/>
    <n v="0"/>
    <n v="0"/>
    <n v="10881.59241612535"/>
    <n v="17954.62748660682"/>
    <n v="0"/>
    <n v="0"/>
    <n v="0"/>
    <n v="0"/>
    <n v="6635.9729750887254"/>
    <n v="10949.355408896399"/>
    <n v="0"/>
    <n v="0"/>
    <n v="17517.565391214077"/>
    <n v="28903.982895503221"/>
    <n v="0"/>
    <n v="0"/>
    <n v="0"/>
    <n v="0"/>
    <n v="0"/>
    <n v="0"/>
    <n v="0"/>
    <n v="0"/>
    <n v="0"/>
    <n v="0"/>
    <n v="0"/>
    <n v="0"/>
    <n v="0"/>
    <n v="0"/>
    <n v="13720"/>
    <n v="23597.342747757772"/>
    <n v="0"/>
    <n v="0"/>
    <n v="0"/>
    <n v="0"/>
    <n v="8360"/>
    <n v="14378.555785076889"/>
    <n v="0"/>
    <n v="0"/>
    <n v="22080"/>
    <n v="37975.898532834661"/>
    <n v="4562.434608785923"/>
    <n v="0.26044912674190496"/>
    <n v="9071.9156373314399"/>
    <n v="0.3138638598745786"/>
  </r>
  <r>
    <x v="6"/>
    <s v="COLOMBIA"/>
    <s v="CAMPO ABIERTO, S.A.S."/>
    <s v="En desarrollo/nuevo"/>
    <s v="BPLUS0001CO"/>
    <s v="BOROCAL PLUS, 1 KG"/>
    <n v="1"/>
    <n v="5.2448936170212752"/>
    <n v="5.4671593054323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.3587645754846"/>
    <n v="1591.084447989419"/>
    <n v="0"/>
    <n v="0"/>
    <n v="303.3587645754846"/>
    <n v="1591.084447989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"/>
    <n v="2061.1190581480041"/>
    <n v="0"/>
    <n v="0"/>
    <n v="377"/>
    <n v="2061.1190581480041"/>
    <n v="73.641235424515401"/>
    <n v="0.24275295136953687"/>
    <n v="470.03461015858511"/>
    <n v="0.29541776412468013"/>
  </r>
  <r>
    <x v="6"/>
    <s v="COLOMBIA"/>
    <s v="CAMPO ABIERTO, S.A.S."/>
    <s v="En desarrollo/nuevo"/>
    <s v="BR-590005CO"/>
    <s v="BR-59"/>
    <n v="5"/>
    <n v="2.23"/>
    <n v="2.3245019139279011"/>
    <n v="0"/>
    <n v="0"/>
    <n v="0"/>
    <n v="0"/>
    <n v="0"/>
    <n v="0"/>
    <n v="0"/>
    <n v="0"/>
    <n v="989.23567419321319"/>
    <n v="2205.9955534508649"/>
    <n v="0"/>
    <n v="0"/>
    <n v="0"/>
    <n v="0"/>
    <n v="0"/>
    <n v="0"/>
    <n v="0"/>
    <n v="0"/>
    <n v="0"/>
    <n v="0"/>
    <n v="0"/>
    <n v="0"/>
    <n v="0"/>
    <n v="0"/>
    <n v="989.23567419321319"/>
    <n v="2205.9955534508649"/>
    <n v="0"/>
    <n v="0"/>
    <n v="0"/>
    <n v="0"/>
    <n v="0"/>
    <n v="0"/>
    <n v="0"/>
    <n v="0"/>
    <n v="1245"/>
    <n v="2894.0048828402369"/>
    <n v="0"/>
    <n v="0"/>
    <n v="0"/>
    <n v="0"/>
    <n v="0"/>
    <n v="0"/>
    <n v="0"/>
    <n v="0"/>
    <n v="0"/>
    <n v="0"/>
    <n v="0"/>
    <n v="0"/>
    <n v="0"/>
    <n v="0"/>
    <n v="1245"/>
    <n v="2894.0048828402369"/>
    <n v="255.76432580678681"/>
    <n v="0.25854741441202012"/>
    <n v="688.00932938937194"/>
    <n v="0.31188155765459763"/>
  </r>
  <r>
    <x v="6"/>
    <s v="COLOMBIA"/>
    <s v="CAMPO ABIERTO, S.A.S."/>
    <s v="En desarrollo/nuevo"/>
    <s v="BR-590005CO"/>
    <s v="BR-59, 5 KG"/>
    <n v="5"/>
    <n v="2.23"/>
    <n v="2.3245019139279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634.2094171906225"/>
    <n v="0"/>
    <n v="0"/>
    <n v="284.39884178951678"/>
    <n v="634.2094171906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836.82068901404443"/>
    <n v="0"/>
    <n v="0"/>
    <n v="360"/>
    <n v="836.82068901404443"/>
    <n v="75.60115821048322"/>
    <n v="0.26582793985650455"/>
    <n v="202.61127182342193"/>
    <n v="0.31947061385643799"/>
  </r>
  <r>
    <x v="6"/>
    <s v="COLOMBIA"/>
    <s v="CAMPO ABIERTO, S.A.S."/>
    <s v="En desarrollo/nuevo"/>
    <s v="C-CU0001CO"/>
    <s v="CODICOBRE"/>
    <n v="1"/>
    <n v="4.9800000000000004"/>
    <n v="5.1910401485923554"/>
    <n v="0"/>
    <n v="0"/>
    <n v="0"/>
    <n v="0"/>
    <n v="0"/>
    <n v="0"/>
    <n v="0"/>
    <n v="0"/>
    <n v="949.66624722548465"/>
    <n v="4729.3379111829136"/>
    <n v="0"/>
    <n v="0"/>
    <n v="0"/>
    <n v="0"/>
    <n v="0"/>
    <n v="0"/>
    <n v="0"/>
    <n v="0"/>
    <n v="0"/>
    <n v="0"/>
    <n v="0"/>
    <n v="0"/>
    <n v="0"/>
    <n v="0"/>
    <n v="949.66624722548465"/>
    <n v="4729.3379111829136"/>
    <n v="0"/>
    <n v="0"/>
    <n v="0"/>
    <n v="0"/>
    <n v="0"/>
    <n v="0"/>
    <n v="0"/>
    <n v="0"/>
    <n v="1162"/>
    <n v="6031.9886526643159"/>
    <n v="0"/>
    <n v="0"/>
    <n v="0"/>
    <n v="0"/>
    <n v="0"/>
    <n v="0"/>
    <n v="0"/>
    <n v="0"/>
    <n v="0"/>
    <n v="0"/>
    <n v="0"/>
    <n v="0"/>
    <n v="0"/>
    <n v="0"/>
    <n v="1162"/>
    <n v="6031.9886526643159"/>
    <n v="212.33375277451535"/>
    <n v="0.22358776401168623"/>
    <n v="1302.6507414814023"/>
    <n v="0.27544040327530334"/>
  </r>
  <r>
    <x v="6"/>
    <s v="COLOMBIA"/>
    <s v="CAMPO ABIERTO, S.A.S."/>
    <s v="En desarrollo/nuevo"/>
    <s v="C-CU0005CO"/>
    <s v="CODICOBRE"/>
    <n v="5"/>
    <n v="3.84"/>
    <n v="4.0027297531314536"/>
    <n v="0"/>
    <n v="0"/>
    <n v="0"/>
    <n v="0"/>
    <n v="0"/>
    <n v="0"/>
    <n v="0"/>
    <n v="0"/>
    <n v="395.69426967728532"/>
    <n v="1519.465995560776"/>
    <n v="0"/>
    <n v="0"/>
    <n v="0"/>
    <n v="0"/>
    <n v="0"/>
    <n v="0"/>
    <n v="0"/>
    <n v="0"/>
    <n v="0"/>
    <n v="0"/>
    <n v="0"/>
    <n v="0"/>
    <n v="0"/>
    <n v="0"/>
    <n v="395.69426967728532"/>
    <n v="1519.465995560776"/>
    <n v="0"/>
    <n v="0"/>
    <n v="0"/>
    <n v="0"/>
    <n v="0"/>
    <n v="0"/>
    <n v="0"/>
    <n v="0"/>
    <n v="490"/>
    <n v="1961.3375790344121"/>
    <n v="0"/>
    <n v="0"/>
    <n v="0"/>
    <n v="0"/>
    <n v="0"/>
    <n v="0"/>
    <n v="0"/>
    <n v="0"/>
    <n v="0"/>
    <n v="0"/>
    <n v="0"/>
    <n v="0"/>
    <n v="0"/>
    <n v="0"/>
    <n v="490"/>
    <n v="1961.3375790344121"/>
    <n v="94.30573032271468"/>
    <n v="0.23832978526483894"/>
    <n v="441.87158347363606"/>
    <n v="0.29080715512199296"/>
  </r>
  <r>
    <x v="6"/>
    <s v="COLOMBIA"/>
    <s v="CAMPO ABIERTO, S.A.S."/>
    <s v="En desarrollo/nuevo"/>
    <s v="C-CU0020CO"/>
    <s v="CODICOBRE"/>
    <n v="20"/>
    <n v="3.58"/>
    <n v="3.731711592763177"/>
    <n v="0"/>
    <n v="0"/>
    <n v="0"/>
    <n v="0"/>
    <n v="0"/>
    <n v="0"/>
    <n v="0"/>
    <n v="0"/>
    <n v="791.38853935457064"/>
    <n v="2833.1709708893632"/>
    <n v="0"/>
    <n v="0"/>
    <n v="0"/>
    <n v="0"/>
    <n v="0"/>
    <n v="0"/>
    <n v="0"/>
    <n v="0"/>
    <n v="0"/>
    <n v="0"/>
    <n v="0"/>
    <n v="0"/>
    <n v="0"/>
    <n v="0"/>
    <n v="791.38853935457064"/>
    <n v="2833.1709708893632"/>
    <n v="0"/>
    <n v="0"/>
    <n v="0"/>
    <n v="0"/>
    <n v="0"/>
    <n v="0"/>
    <n v="0"/>
    <n v="0"/>
    <n v="980"/>
    <n v="3657.0773609079142"/>
    <n v="0"/>
    <n v="0"/>
    <n v="0"/>
    <n v="0"/>
    <n v="0"/>
    <n v="0"/>
    <n v="0"/>
    <n v="0"/>
    <n v="0"/>
    <n v="0"/>
    <n v="0"/>
    <n v="0"/>
    <n v="0"/>
    <n v="0"/>
    <n v="980"/>
    <n v="3657.0773609079142"/>
    <n v="188.61146064542936"/>
    <n v="0.23832978526483894"/>
    <n v="823.90639001855106"/>
    <n v="0.29080715512199318"/>
  </r>
  <r>
    <x v="6"/>
    <s v="COLOMBIA"/>
    <s v="CAMPO ABIERTO, S.A.S."/>
    <s v="En desarrollo/nuevo"/>
    <s v="F-A0001CO"/>
    <s v="FITOLIN-AGRO, 1 L"/>
    <n v="1"/>
    <n v="4.99"/>
    <n v="5.2014639239911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.51907343161341"/>
    <n v="1135.320176423751"/>
    <n v="0"/>
    <n v="0"/>
    <n v="227.51907343161341"/>
    <n v="1135.320176423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8"/>
    <n v="1446.0069708695351"/>
    <n v="0"/>
    <n v="0"/>
    <n v="278"/>
    <n v="1446.0069708695351"/>
    <n v="50.480926568386593"/>
    <n v="0.22187558083370934"/>
    <n v="310.68679444578402"/>
    <n v="0.27365566198642288"/>
  </r>
  <r>
    <x v="6"/>
    <s v="COLOMBIA"/>
    <s v="CAMPO ABIERTO, S.A.S."/>
    <s v="En desarrollo/nuevo"/>
    <s v="F-A0005CO"/>
    <s v="FITOLIN-AGRO, 5 L"/>
    <n v="5"/>
    <n v="4.16"/>
    <n v="4.3362905658924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788.73278789625988"/>
    <n v="0"/>
    <n v="0"/>
    <n v="189.59922785967791"/>
    <n v="788.73278789625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"/>
    <n v="997.34683015525388"/>
    <n v="0"/>
    <n v="0"/>
    <n v="230"/>
    <n v="997.34683015525388"/>
    <n v="40.40077214032209"/>
    <n v="0.21308510902914984"/>
    <n v="208.614042258994"/>
    <n v="0.26449267161242002"/>
  </r>
  <r>
    <x v="6"/>
    <s v="COLOMBIA"/>
    <s v="CAMPO ABIERTO, S.A.S."/>
    <s v="En desarrollo/nuevo"/>
    <s v="FLORCR0001CO"/>
    <s v="FLORAMEC CR, 1 L"/>
    <n v="1"/>
    <n v="3.45"/>
    <n v="3.59620251257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654.11733611588863"/>
    <n v="0"/>
    <n v="0"/>
    <n v="189.59922785967791"/>
    <n v="654.11733611588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845.10759045607449"/>
    <n v="0"/>
    <n v="0"/>
    <n v="235"/>
    <n v="845.10759045607449"/>
    <n v="45.40077214032209"/>
    <n v="0.239456524442827"/>
    <n v="190.99025434018586"/>
    <n v="0.29198164273442906"/>
  </r>
  <r>
    <x v="6"/>
    <s v="COLOMBIA"/>
    <s v="CAMPO ABIERTO, S.A.S."/>
    <s v="En desarrollo/nuevo"/>
    <s v="FLORCR0005CO"/>
    <s v="FLORAMEC"/>
    <n v="5"/>
    <n v="2.62"/>
    <n v="2.7310291544803138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0"/>
    <n v="0"/>
    <n v="0"/>
    <n v="0"/>
    <n v="0"/>
    <n v="0"/>
    <n v="395.69426967728532"/>
    <n v="1036.7189865544869"/>
    <n v="0"/>
    <n v="0"/>
    <n v="0"/>
    <n v="0"/>
    <n v="0"/>
    <n v="0"/>
    <n v="0"/>
    <n v="0"/>
    <n v="495"/>
    <n v="1351.859431467755"/>
    <n v="0"/>
    <n v="0"/>
    <n v="0"/>
    <n v="0"/>
    <n v="0"/>
    <n v="0"/>
    <n v="0"/>
    <n v="0"/>
    <n v="0"/>
    <n v="0"/>
    <n v="0"/>
    <n v="0"/>
    <n v="0"/>
    <n v="0"/>
    <n v="495"/>
    <n v="1351.859431467755"/>
    <n v="99.30573032271468"/>
    <n v="0.25096580348182707"/>
    <n v="315.14044491326808"/>
    <n v="0.3039786567048709"/>
  </r>
  <r>
    <x v="6"/>
    <s v="COLOMBIA"/>
    <s v="CAMPO ABIERTO, S.A.S."/>
    <s v="En desarrollo/nuevo"/>
    <s v="FLORCR0005CO"/>
    <s v="FLORAMEC CR, 5 L"/>
    <n v="5"/>
    <n v="2.62"/>
    <n v="2.7310291544803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496.74997699235598"/>
    <n v="0"/>
    <n v="0"/>
    <n v="189.59922785967791"/>
    <n v="496.74997699235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"/>
    <n v="641.79185130287385"/>
    <n v="0"/>
    <n v="0"/>
    <n v="235"/>
    <n v="641.79185130287385"/>
    <n v="45.40077214032209"/>
    <n v="0.239456524442827"/>
    <n v="145.04187431051787"/>
    <n v="0.29198164273442889"/>
  </r>
  <r>
    <x v="6"/>
    <s v="COLOMBIA"/>
    <s v="CAMPO ABIERTO, S.A.S."/>
    <s v="En desarrollo/nuevo"/>
    <s v="FLORCR0020CO"/>
    <s v="FLORAMEC"/>
    <n v="20"/>
    <n v="2.35"/>
    <n v="2.4495872187132588"/>
    <n v="0"/>
    <n v="0"/>
    <n v="0"/>
    <n v="0"/>
    <n v="0"/>
    <n v="0"/>
    <n v="0"/>
    <n v="0"/>
    <n v="395.69426967728532"/>
    <n v="929.88153374162039"/>
    <n v="0"/>
    <n v="0"/>
    <n v="0"/>
    <n v="0"/>
    <n v="0"/>
    <n v="0"/>
    <n v="0"/>
    <n v="0"/>
    <n v="0"/>
    <n v="0"/>
    <n v="0"/>
    <n v="0"/>
    <n v="0"/>
    <n v="0"/>
    <n v="395.69426967728532"/>
    <n v="929.88153374162039"/>
    <n v="0"/>
    <n v="0"/>
    <n v="0"/>
    <n v="0"/>
    <n v="0"/>
    <n v="0"/>
    <n v="0"/>
    <n v="0"/>
    <n v="500"/>
    <n v="1224.79360935663"/>
    <n v="0"/>
    <n v="0"/>
    <n v="0"/>
    <n v="0"/>
    <n v="0"/>
    <n v="0"/>
    <n v="0"/>
    <n v="0"/>
    <n v="0"/>
    <n v="0"/>
    <n v="0"/>
    <n v="0"/>
    <n v="0"/>
    <n v="0"/>
    <n v="500"/>
    <n v="1224.79360935663"/>
    <n v="104.30573032271468"/>
    <n v="0.26360182169881524"/>
    <n v="294.9120756150096"/>
    <n v="0.3171501582877489"/>
  </r>
  <r>
    <x v="6"/>
    <s v="COLOMBIA"/>
    <s v="CAMPO ABIERTO, S.A.S."/>
    <s v="En desarrollo/nuevo"/>
    <s v="G30001CO"/>
    <s v="GREEN-UP, 1 L"/>
    <n v="1"/>
    <n v="5.65"/>
    <n v="5.8894331003106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.51907343161341"/>
    <n v="1285.482764888616"/>
    <n v="0"/>
    <n v="0"/>
    <n v="227.51907343161341"/>
    <n v="1285.482764888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1690.267299789143"/>
    <n v="0"/>
    <n v="0"/>
    <n v="287"/>
    <n v="1690.267299789143"/>
    <n v="59.480926568386593"/>
    <n v="0.26143270395422513"/>
    <n v="404.78453490052698"/>
    <n v="0.3148891186694367"/>
  </r>
  <r>
    <x v="6"/>
    <s v="COLOMBIA"/>
    <s v="CAMPO ABIERTO, S.A.S."/>
    <s v="En desarrollo/nuevo"/>
    <s v="G30005CO"/>
    <s v="GREEN-UP, 5 L"/>
    <n v="5"/>
    <n v="4.6799999999999988"/>
    <n v="4.87832688662895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.51907343161341"/>
    <n v="1064.7892636599511"/>
    <n v="0"/>
    <n v="0"/>
    <n v="227.51907343161341"/>
    <n v="1064.7892636599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"/>
    <n v="1390.323162689253"/>
    <n v="0"/>
    <n v="0"/>
    <n v="285"/>
    <n v="1390.323162689253"/>
    <n v="57.480926568386593"/>
    <n v="0.25264223214966608"/>
    <n v="325.53389902930189"/>
    <n v="0.30572612829543305"/>
  </r>
  <r>
    <x v="6"/>
    <s v="COLOMBIA"/>
    <s v="CAMPO ABIERTO, S.A.S."/>
    <s v="En desarrollo/nuevo"/>
    <s v="SSEG0001CO"/>
    <s v="SALWAX CALCIO"/>
    <n v="1"/>
    <n v="4.3199999999999994"/>
    <n v="4.5030709722728854"/>
    <n v="0"/>
    <n v="0"/>
    <n v="0"/>
    <n v="0"/>
    <n v="0"/>
    <n v="0"/>
    <n v="0"/>
    <n v="0"/>
    <n v="237.41656180637119"/>
    <n v="1025.6395470035229"/>
    <n v="0"/>
    <n v="0"/>
    <n v="0"/>
    <n v="0"/>
    <n v="0"/>
    <n v="0"/>
    <n v="0"/>
    <n v="0"/>
    <n v="0"/>
    <n v="0"/>
    <n v="0"/>
    <n v="0"/>
    <n v="0"/>
    <n v="0"/>
    <n v="237.41656180637119"/>
    <n v="1025.6395470035229"/>
    <n v="0"/>
    <n v="0"/>
    <n v="0"/>
    <n v="0"/>
    <n v="0"/>
    <n v="0"/>
    <n v="0"/>
    <n v="0"/>
    <n v="295"/>
    <n v="1328.405936820501"/>
    <n v="0"/>
    <n v="0"/>
    <n v="0"/>
    <n v="0"/>
    <n v="0"/>
    <n v="0"/>
    <n v="0"/>
    <n v="0"/>
    <n v="0"/>
    <n v="0"/>
    <n v="0"/>
    <n v="0"/>
    <n v="0"/>
    <n v="0"/>
    <n v="295"/>
    <n v="1328.405936820501"/>
    <n v="57.583438193628808"/>
    <n v="0.24254179133716833"/>
    <n v="302.76638981697806"/>
    <n v="0.29519765564961986"/>
  </r>
  <r>
    <x v="6"/>
    <s v="COLOMBIA"/>
    <s v="CAMPO ABIERTO, S.A.S."/>
    <s v="En desarrollo/nuevo"/>
    <s v="SSEG0001CO"/>
    <s v="SALWAX CALCIO EGIPTO, 1 KG"/>
    <n v="1"/>
    <n v="4.32"/>
    <n v="4.5030709722728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.51907343161341"/>
    <n v="982.88239722457001"/>
    <n v="0"/>
    <n v="0"/>
    <n v="227.51907343161341"/>
    <n v="982.88239722457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"/>
    <n v="1274.369085153226"/>
    <n v="0"/>
    <n v="0"/>
    <n v="283"/>
    <n v="1274.369085153226"/>
    <n v="55.480926568386593"/>
    <n v="0.243851760345107"/>
    <n v="291.48668792865601"/>
    <n v="0.29656313792143013"/>
  </r>
  <r>
    <x v="6"/>
    <s v="COLOMBIA"/>
    <s v="CAMPO ABIERTO, S.A.S."/>
    <s v="En desarrollo/nuevo"/>
    <s v="SSEG0005CO"/>
    <s v="SALWAX CALCIO EGIPTO, 5 KG"/>
    <n v="5"/>
    <n v="3.35"/>
    <n v="3.4919647585912421"/>
    <n v="0"/>
    <n v="0"/>
    <n v="0"/>
    <n v="0"/>
    <n v="0"/>
    <n v="0"/>
    <n v="0"/>
    <n v="0"/>
    <n v="0"/>
    <n v="0"/>
    <n v="0"/>
    <n v="0"/>
    <n v="0"/>
    <n v="0"/>
    <n v="98.92356741932133"/>
    <n v="331.39395085472643"/>
    <n v="0"/>
    <n v="0"/>
    <n v="0"/>
    <n v="0"/>
    <n v="94.799613929838927"/>
    <n v="317.57870666496041"/>
    <n v="0"/>
    <n v="0"/>
    <n v="193.72318134916026"/>
    <n v="648.97265751968689"/>
    <n v="0"/>
    <n v="0"/>
    <n v="0"/>
    <n v="0"/>
    <n v="0"/>
    <n v="0"/>
    <n v="0"/>
    <n v="0"/>
    <n v="0"/>
    <n v="0"/>
    <n v="0"/>
    <n v="0"/>
    <n v="0"/>
    <n v="0"/>
    <n v="125"/>
    <n v="436.49559482390521"/>
    <n v="0"/>
    <n v="0"/>
    <n v="0"/>
    <n v="0"/>
    <n v="120"/>
    <n v="419.03577103094909"/>
    <n v="0"/>
    <n v="0"/>
    <n v="245"/>
    <n v="855.53136585485436"/>
    <n v="51.276818650839743"/>
    <n v="0.26469118612304898"/>
    <n v="206.55870833516747"/>
    <n v="0.31828568729631174"/>
  </r>
  <r>
    <x v="6"/>
    <s v="COSTA RICA"/>
    <s v="EUROFERTIL, S.A."/>
    <s v="Consolidado/estratégico"/>
    <s v="A-500005CR"/>
    <s v="CODIORGAN-A50, 5 KG"/>
    <n v="5"/>
    <n v="4.5699999999999994"/>
    <n v="4.763665357242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332.3423565936391"/>
    <n v="947.99613929838938"/>
    <n v="4332.3423565936391"/>
    <n v="0"/>
    <n v="0"/>
    <n v="1895.9922785967788"/>
    <n v="8664.6847131872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5"/>
    <n v="4978.0302983182883"/>
    <n v="1045"/>
    <n v="4978.0302983182883"/>
    <n v="0"/>
    <n v="0"/>
    <n v="2090"/>
    <n v="9956.0605966365765"/>
    <n v="194.00772140322124"/>
    <n v="0.10232516429170592"/>
    <n v="1291.3758834492983"/>
    <n v="0.14903899289998165"/>
  </r>
  <r>
    <x v="6"/>
    <s v="COSTA RICA"/>
    <s v="EUROFERTIL, S.A."/>
    <s v="Consolidado/estratégico"/>
    <s v="A-500020CR"/>
    <s v="CODIORGAN  A-50"/>
    <n v="20"/>
    <n v="4.6499999999999986"/>
    <n v="4.8470555604326204"/>
    <n v="0"/>
    <n v="0"/>
    <n v="0"/>
    <n v="0"/>
    <n v="791.38853935457064"/>
    <n v="3679.9567079987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3679.9567079987528"/>
    <n v="0"/>
    <n v="0"/>
    <n v="0"/>
    <n v="0"/>
    <n v="860"/>
    <n v="4168.4677819720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0"/>
    <n v="4168.4677819720528"/>
    <n v="68.611460645429361"/>
    <n v="8.6697566660981107E-2"/>
    <n v="488.51107397329997"/>
    <n v="0.13274913612746381"/>
  </r>
  <r>
    <x v="6"/>
    <s v="COSTA RICA"/>
    <s v="EUROFERTIL, S.A."/>
    <s v="Consolidado/estratégico"/>
    <s v="A-500020CR"/>
    <s v="CODIORGAN-A50"/>
    <n v="20"/>
    <n v="4.6499999999999986"/>
    <n v="4.8470555604326204"/>
    <n v="0"/>
    <n v="0"/>
    <n v="0"/>
    <n v="0"/>
    <n v="0"/>
    <n v="0"/>
    <n v="0"/>
    <n v="0"/>
    <n v="791.38853935457064"/>
    <n v="3679.9567079987528"/>
    <n v="1582.7770787091411"/>
    <n v="7359.9134159975056"/>
    <n v="0"/>
    <n v="0"/>
    <n v="0"/>
    <n v="0"/>
    <n v="0"/>
    <n v="0"/>
    <n v="0"/>
    <n v="0"/>
    <n v="0"/>
    <n v="0"/>
    <n v="0"/>
    <n v="0"/>
    <n v="2374.1656180637119"/>
    <n v="11039.870123996257"/>
    <n v="0"/>
    <n v="0"/>
    <n v="0"/>
    <n v="0"/>
    <n v="0"/>
    <n v="0"/>
    <n v="0"/>
    <n v="0"/>
    <n v="860"/>
    <n v="4168.4677819720528"/>
    <n v="1720"/>
    <n v="8336.9355639441055"/>
    <n v="0"/>
    <n v="0"/>
    <n v="0"/>
    <n v="0"/>
    <n v="0"/>
    <n v="0"/>
    <n v="0"/>
    <n v="0"/>
    <n v="0"/>
    <n v="0"/>
    <n v="0"/>
    <n v="0"/>
    <n v="2580"/>
    <n v="12505.403345916158"/>
    <n v="205.83438193628808"/>
    <n v="8.6697566660981107E-2"/>
    <n v="1465.5332219199008"/>
    <n v="0.13274913612746389"/>
  </r>
  <r>
    <x v="6"/>
    <s v="COSTA RICA"/>
    <s v="EUROFERTIL, S.A."/>
    <s v="Consolidado/estratégico"/>
    <s v="A-500020CR"/>
    <s v="CODIORGAN-A50, 20 KG"/>
    <n v="20"/>
    <n v="4.6499999999999986"/>
    <n v="4.847055560432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408.1820477375104"/>
    <n v="0"/>
    <n v="0"/>
    <n v="947.99613929838938"/>
    <n v="4408.1820477375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5040.9377828499246"/>
    <n v="0"/>
    <n v="0"/>
    <n v="1040"/>
    <n v="5040.9377828499246"/>
    <n v="92.00386070161062"/>
    <n v="9.7050881208970485E-2"/>
    <n v="632.75573511241419"/>
    <n v="0.1435411986755798"/>
  </r>
  <r>
    <x v="6"/>
    <s v="COSTA RICA"/>
    <s v="EUROFERTIL, S.A."/>
    <s v="Consolidado/estratégico"/>
    <s v="AGMG0005CR"/>
    <s v="AGROXILATO-MG, 5 KG (EXPORT)"/>
    <n v="5"/>
    <n v="5.23"/>
    <n v="5.4516345335618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2479.0099042652878"/>
    <n v="0"/>
    <n v="0"/>
    <n v="473.99806964919469"/>
    <n v="2479.0099042652878"/>
    <n v="947.99613929838938"/>
    <n v="4958.0198085305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2780.333612116543"/>
    <n v="0"/>
    <n v="0"/>
    <n v="510"/>
    <n v="2780.333612116543"/>
    <n v="1020"/>
    <n v="5560.667224233086"/>
    <n v="72.00386070161062"/>
    <n v="7.5953748878028735E-2"/>
    <n v="602.64741570251044"/>
    <n v="0.12155002177797249"/>
  </r>
  <r>
    <x v="6"/>
    <s v="COSTA RICA"/>
    <s v="EUROFERTIL, S.A."/>
    <s v="Consolidado/estratégico"/>
    <s v="AGMG0020CR"/>
    <s v="AGROXILATO MG, 20 KG (EXPORT)"/>
    <n v="20"/>
    <n v="5.080000000000001"/>
    <n v="5.295277902580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3852.656310108654"/>
    <n v="0"/>
    <n v="0"/>
    <n v="758.39691143871141"/>
    <n v="3852.656310108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0"/>
    <n v="4342.127880115725"/>
    <n v="0"/>
    <n v="0"/>
    <n v="820"/>
    <n v="4342.127880115725"/>
    <n v="61.603088561288587"/>
    <n v="8.1228031960764308E-2"/>
    <n v="489.47157000707102"/>
    <n v="0.12704781600237441"/>
  </r>
  <r>
    <x v="6"/>
    <s v="COSTA RICA"/>
    <s v="EUROFERTIL, S.A."/>
    <s v="Consolidado/estratégico"/>
    <s v="AGXCR1000CR"/>
    <s v="AGROXILATO-K"/>
    <n v="1000"/>
    <n v="2.92"/>
    <n v="3.0437424164437088"/>
    <n v="0"/>
    <n v="0"/>
    <n v="0"/>
    <n v="0"/>
    <n v="2967.7070225796401"/>
    <n v="8665.7045059325483"/>
    <n v="0"/>
    <n v="0"/>
    <n v="0"/>
    <n v="0"/>
    <n v="989.23567419321319"/>
    <n v="2888.5681686441831"/>
    <n v="0"/>
    <n v="0"/>
    <n v="0"/>
    <n v="0"/>
    <n v="0"/>
    <n v="0"/>
    <n v="0"/>
    <n v="0"/>
    <n v="0"/>
    <n v="0"/>
    <n v="0"/>
    <n v="0"/>
    <n v="3956.9426967728532"/>
    <n v="11554.272674576732"/>
    <n v="0"/>
    <n v="0"/>
    <n v="0"/>
    <n v="0"/>
    <n v="3000"/>
    <n v="9131.2272493311284"/>
    <n v="0"/>
    <n v="0"/>
    <n v="0"/>
    <n v="0"/>
    <n v="1000"/>
    <n v="3043.7424164437089"/>
    <n v="0"/>
    <n v="0"/>
    <n v="0"/>
    <n v="0"/>
    <n v="0"/>
    <n v="0"/>
    <n v="0"/>
    <n v="0"/>
    <n v="0"/>
    <n v="0"/>
    <n v="0"/>
    <n v="0"/>
    <n v="4000"/>
    <n v="12174.969665774837"/>
    <n v="43.057303227146804"/>
    <n v="1.0881457359052195E-2"/>
    <n v="620.69699119810502"/>
    <n v="5.372012663019856E-2"/>
  </r>
  <r>
    <x v="6"/>
    <s v="COSTA RICA"/>
    <s v="EUROFERTIL, S.A."/>
    <s v="Consolidado/estratégico"/>
    <s v="AGXCR1000CR"/>
    <s v="AGROXILATO-K (0-5-20), 1000 Lts."/>
    <n v="1000"/>
    <n v="2.92"/>
    <n v="3.043742416443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1.984557193558"/>
    <n v="11072.59490700519"/>
    <n v="3791.984557193558"/>
    <n v="11072.59490700519"/>
    <n v="3791.984557193558"/>
    <n v="11072.59490700519"/>
    <n v="11375.953671580673"/>
    <n v="33217.7847210155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2174.969665774841"/>
    <n v="4000"/>
    <n v="12174.969665774841"/>
    <n v="4000"/>
    <n v="12174.969665774841"/>
    <n v="12000"/>
    <n v="36524.908997324521"/>
    <n v="624.04632841932653"/>
    <n v="5.4856616547086914E-2"/>
    <n v="3307.1242763089467"/>
    <n v="9.9558844880364955E-2"/>
  </r>
  <r>
    <x v="6"/>
    <s v="COSTA RICA"/>
    <s v="EUROFERTIL, S.A."/>
    <s v="Consolidado/estratégico"/>
    <s v="AGZN0001CR"/>
    <s v="AGROXILATO Zn"/>
    <n v="1"/>
    <n v="5.19"/>
    <n v="5.4099394319667304"/>
    <n v="0"/>
    <n v="0"/>
    <n v="0"/>
    <n v="0"/>
    <n v="0"/>
    <n v="0"/>
    <n v="0"/>
    <n v="0"/>
    <n v="0"/>
    <n v="0"/>
    <n v="1044.632871948033"/>
    <n v="5421.6446054102926"/>
    <n v="0"/>
    <n v="0"/>
    <n v="0"/>
    <n v="0"/>
    <n v="0"/>
    <n v="0"/>
    <n v="0"/>
    <n v="0"/>
    <n v="0"/>
    <n v="0"/>
    <n v="0"/>
    <n v="0"/>
    <n v="1044.632871948033"/>
    <n v="5421.6446054102926"/>
    <n v="0"/>
    <n v="0"/>
    <n v="0"/>
    <n v="0"/>
    <n v="0"/>
    <n v="0"/>
    <n v="0"/>
    <n v="0"/>
    <n v="0"/>
    <n v="0"/>
    <n v="1119"/>
    <n v="6053.7222243707711"/>
    <n v="0"/>
    <n v="0"/>
    <n v="0"/>
    <n v="0"/>
    <n v="0"/>
    <n v="0"/>
    <n v="0"/>
    <n v="0"/>
    <n v="0"/>
    <n v="0"/>
    <n v="0"/>
    <n v="0"/>
    <n v="1119"/>
    <n v="6053.7222243707711"/>
    <n v="74.367128051967029"/>
    <n v="7.1189726121950472E-2"/>
    <n v="632.0776189604785"/>
    <n v="0.11658411145756849"/>
  </r>
  <r>
    <x v="6"/>
    <s v="COSTA RICA"/>
    <s v="EUROFERTIL, S.A."/>
    <s v="Consolidado/estratégico"/>
    <s v="AGZN0001CR"/>
    <s v="AGROXILATO-ZN 16 %, 1 KG (EXPORT)"/>
    <n v="1"/>
    <n v="5.19"/>
    <n v="5.4099394319667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1.083923099099"/>
    <n v="5195.6255608843248"/>
    <n v="0"/>
    <n v="0"/>
    <n v="1001.083923099099"/>
    <n v="5195.6255608843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2"/>
    <n v="5799.4550710683343"/>
    <n v="0"/>
    <n v="0"/>
    <n v="1072"/>
    <n v="5799.4550710683343"/>
    <n v="70.916076900900975"/>
    <n v="7.0839292555376368E-2"/>
    <n v="603.82951018400945"/>
    <n v="0.11621882737855233"/>
  </r>
  <r>
    <x v="6"/>
    <s v="COSTA RICA"/>
    <s v="EUROFERTIL, S.A."/>
    <s v="Consolidado/estratégico"/>
    <s v="AGZN0005CR"/>
    <s v="AGROXILATO-ZN 16%,  5 KG (EXPORT)"/>
    <n v="5"/>
    <n v="5.61"/>
    <n v="5.8477379987154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5318.2583414639639"/>
    <n v="0"/>
    <n v="0"/>
    <n v="473.99806964919469"/>
    <n v="2659.129170731982"/>
    <n v="1421.994208947584"/>
    <n v="7977.3875121959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"/>
    <n v="5935.4540686962146"/>
    <n v="0"/>
    <n v="0"/>
    <n v="510"/>
    <n v="2982.3463793448959"/>
    <n v="1525"/>
    <n v="8917.8004480411109"/>
    <n v="103.00579105241604"/>
    <n v="7.24375601562052E-2"/>
    <n v="940.41293584516461"/>
    <n v="0.11788482562837115"/>
  </r>
  <r>
    <x v="6"/>
    <s v="COSTA RICA"/>
    <s v="EUROFERTIL, S.A."/>
    <s v="Consolidado/estratégico"/>
    <s v="AN0005CR"/>
    <s v="ALCAPLANT"/>
    <n v="5"/>
    <n v="1.84"/>
    <n v="1.9179746733754881"/>
    <n v="0"/>
    <n v="0"/>
    <n v="0"/>
    <n v="0"/>
    <n v="5440.796208062673"/>
    <n v="10011.065022835321"/>
    <n v="0"/>
    <n v="0"/>
    <n v="0"/>
    <n v="0"/>
    <n v="9793.4331745128111"/>
    <n v="18019.91704110357"/>
    <n v="0"/>
    <n v="0"/>
    <n v="0"/>
    <n v="0"/>
    <n v="0"/>
    <n v="0"/>
    <n v="0"/>
    <n v="0"/>
    <n v="0"/>
    <n v="0"/>
    <n v="0"/>
    <n v="0"/>
    <n v="15234.229382575484"/>
    <n v="28030.982063938893"/>
    <n v="0"/>
    <n v="0"/>
    <n v="0"/>
    <n v="0"/>
    <n v="6000"/>
    <n v="11507.848040252929"/>
    <n v="0"/>
    <n v="0"/>
    <n v="0"/>
    <n v="0"/>
    <n v="10795"/>
    <n v="20704.536599088391"/>
    <n v="0"/>
    <n v="0"/>
    <n v="0"/>
    <n v="0"/>
    <n v="0"/>
    <n v="0"/>
    <n v="0"/>
    <n v="0"/>
    <n v="0"/>
    <n v="0"/>
    <n v="0"/>
    <n v="0"/>
    <n v="16795"/>
    <n v="32212.384639341319"/>
    <n v="1560.7706174245159"/>
    <n v="0.10245156339904431"/>
    <n v="4181.402575402426"/>
    <n v="0.14917074849053141"/>
  </r>
  <r>
    <x v="6"/>
    <s v="COSTA RICA"/>
    <s v="EUROFERTIL, S.A."/>
    <s v="Consolidado/estratégico"/>
    <s v="AN0005CR"/>
    <s v="ALCAPLANT NEW, 5 KG"/>
    <n v="5"/>
    <n v="1.84"/>
    <n v="1.91797467337548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27.95753228228"/>
    <n v="19187.441859399401"/>
    <n v="0"/>
    <n v="0"/>
    <n v="6635.9729750887254"/>
    <n v="12210.190274163249"/>
    <n v="17063.930507371006"/>
    <n v="31397.632133562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95"/>
    <n v="22047.118870451239"/>
    <n v="0"/>
    <n v="0"/>
    <n v="7315"/>
    <n v="14029.9847357417"/>
    <n v="18810"/>
    <n v="36077.103606192941"/>
    <n v="1746.0694926289943"/>
    <n v="0.10232516429170613"/>
    <n v="4679.4714726302918"/>
    <n v="0.14903899289998204"/>
  </r>
  <r>
    <x v="6"/>
    <s v="COSTA RICA"/>
    <s v="EUROFERTIL, S.A."/>
    <s v="Consolidado/estratégico"/>
    <s v="AN0020CR"/>
    <s v="ALCAPLANT"/>
    <n v="20"/>
    <n v="1.65"/>
    <n v="1.7199229407986709"/>
    <n v="14146.070140962949"/>
    <n v="23341.015732588861"/>
    <n v="0"/>
    <n v="0"/>
    <n v="5440.796208062673"/>
    <n v="8977.3137433034099"/>
    <n v="0"/>
    <n v="0"/>
    <n v="10881.59241612535"/>
    <n v="17954.62748660682"/>
    <n v="0"/>
    <n v="0"/>
    <n v="0"/>
    <n v="0"/>
    <n v="0"/>
    <n v="0"/>
    <n v="0"/>
    <n v="0"/>
    <n v="0"/>
    <n v="0"/>
    <n v="0"/>
    <n v="0"/>
    <n v="0"/>
    <n v="0"/>
    <n v="30468.458765150972"/>
    <n v="50272.956962499091"/>
    <n v="15600"/>
    <n v="26830.79787645927"/>
    <n v="0"/>
    <n v="0"/>
    <n v="6000"/>
    <n v="10319.53764479203"/>
    <n v="0"/>
    <n v="0"/>
    <n v="12000"/>
    <n v="20639.07528958406"/>
    <n v="0"/>
    <n v="0"/>
    <n v="0"/>
    <n v="0"/>
    <n v="0"/>
    <n v="0"/>
    <n v="0"/>
    <n v="0"/>
    <n v="0"/>
    <n v="0"/>
    <n v="0"/>
    <n v="0"/>
    <n v="0"/>
    <n v="0"/>
    <n v="33600"/>
    <n v="57789.410810835354"/>
    <n v="3131.5412348490281"/>
    <n v="0.1027797716644205"/>
    <n v="7516.453848336263"/>
    <n v="0.14951286541476227"/>
  </r>
  <r>
    <x v="6"/>
    <s v="COSTA RICA"/>
    <s v="EUROFERTIL, S.A."/>
    <s v="Consolidado/estratégico"/>
    <s v="AN0020CR"/>
    <s v="ALCAPLANT NEW, 20 KG"/>
    <n v="20"/>
    <n v="1.65"/>
    <n v="1.7199229407986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27.95753228228"/>
    <n v="17206.129928265771"/>
    <n v="14599.1405451952"/>
    <n v="24088.581899572069"/>
    <n v="0"/>
    <n v="0"/>
    <n v="25027.09807747748"/>
    <n v="41294.71182783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0"/>
    <n v="19779.11381918472"/>
    <n v="16100"/>
    <n v="27690.759346858609"/>
    <n v="0"/>
    <n v="0"/>
    <n v="27600"/>
    <n v="47469.873166043326"/>
    <n v="2572.9019225225202"/>
    <n v="0.10280464457195458"/>
    <n v="6175.1613382054857"/>
    <n v="0.14953879237492701"/>
  </r>
  <r>
    <x v="6"/>
    <s v="COSTA RICA"/>
    <s v="EUROFERTIL, S.A."/>
    <s v="Consolidado/estratégico"/>
    <s v="B1000CR"/>
    <s v="BOROCAL, 1000 L"/>
    <n v="1000"/>
    <n v="3.456"/>
    <n v="3.60245677781830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9828.8239722457001"/>
    <n v="0"/>
    <n v="0"/>
    <n v="2843.9884178951679"/>
    <n v="9828.8239722457001"/>
    <n v="5687.9768357903358"/>
    <n v="19657.6479444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10807.370333454919"/>
    <n v="0"/>
    <n v="0"/>
    <n v="3000"/>
    <n v="10807.370333454919"/>
    <n v="6000"/>
    <n v="21614.740666909838"/>
    <n v="312.02316420966417"/>
    <n v="5.4856616547087088E-2"/>
    <n v="1957.0927224184379"/>
    <n v="9.9558844880364622E-2"/>
  </r>
  <r>
    <x v="6"/>
    <s v="COSTA RICA"/>
    <s v="EUROFERTIL, S.A."/>
    <s v="Consolidado/estratégico"/>
    <s v="C-CU1000CR"/>
    <s v="CODICOBRE"/>
    <n v="1000"/>
    <n v="3.37"/>
    <n v="3.512812309388802"/>
    <n v="1978.4713483864259"/>
    <n v="6667.4484440622573"/>
    <n v="0"/>
    <n v="0"/>
    <n v="0"/>
    <n v="0"/>
    <n v="0"/>
    <n v="0"/>
    <n v="1978.4713483864259"/>
    <n v="6667.4484440622573"/>
    <n v="0"/>
    <n v="0"/>
    <n v="0"/>
    <n v="0"/>
    <n v="0"/>
    <n v="0"/>
    <n v="0"/>
    <n v="0"/>
    <n v="0"/>
    <n v="0"/>
    <n v="0"/>
    <n v="0"/>
    <n v="0"/>
    <n v="0"/>
    <n v="3956.9426967728518"/>
    <n v="13334.896888124515"/>
    <n v="2000"/>
    <n v="7025.6246187776032"/>
    <n v="0"/>
    <n v="0"/>
    <n v="0"/>
    <n v="0"/>
    <n v="0"/>
    <n v="0"/>
    <n v="2000"/>
    <n v="7025.6246187776032"/>
    <n v="0"/>
    <n v="0"/>
    <n v="0"/>
    <n v="0"/>
    <n v="0"/>
    <n v="0"/>
    <n v="0"/>
    <n v="0"/>
    <n v="0"/>
    <n v="0"/>
    <n v="0"/>
    <n v="0"/>
    <n v="0"/>
    <n v="0"/>
    <n v="4000"/>
    <n v="14051.249237555206"/>
    <n v="43.057303227148168"/>
    <n v="1.0881457359052544E-2"/>
    <n v="716.3523494306919"/>
    <n v="5.3720126630198727E-2"/>
  </r>
  <r>
    <x v="6"/>
    <s v="COSTA RICA"/>
    <s v="EUROFERTIL, S.A."/>
    <s v="Consolidado/estratégico"/>
    <s v="C-CU1000CR"/>
    <s v="CODICOBRE, 1000 L"/>
    <n v="1000"/>
    <n v="3.37"/>
    <n v="3.512812309388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6389.4939788711436"/>
    <n v="0"/>
    <n v="0"/>
    <n v="1895.992278596779"/>
    <n v="6389.4939788711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025.6246187776032"/>
    <n v="0"/>
    <n v="0"/>
    <n v="2000"/>
    <n v="7025.6246187776032"/>
    <n v="104.00772140322101"/>
    <n v="5.4856616547086873E-2"/>
    <n v="636.13063990645969"/>
    <n v="9.9558844880365205E-2"/>
  </r>
  <r>
    <x v="6"/>
    <s v="COSTA RICA"/>
    <s v="EUROFERTIL, S.A."/>
    <s v="Consolidado/estratégico"/>
    <s v="CODIR1000CR"/>
    <s v="CODIRESIST"/>
    <n v="1000"/>
    <n v="2.92"/>
    <n v="3.0437424164437088"/>
    <n v="0"/>
    <n v="0"/>
    <n v="0"/>
    <n v="0"/>
    <n v="0"/>
    <n v="0"/>
    <n v="0"/>
    <n v="0"/>
    <n v="989.23567419321319"/>
    <n v="2888.5681686441831"/>
    <n v="0"/>
    <n v="0"/>
    <n v="0"/>
    <n v="0"/>
    <n v="0"/>
    <n v="0"/>
    <n v="0"/>
    <n v="0"/>
    <n v="0"/>
    <n v="0"/>
    <n v="0"/>
    <n v="0"/>
    <n v="0"/>
    <n v="0"/>
    <n v="989.23567419321319"/>
    <n v="2888.5681686441831"/>
    <n v="0"/>
    <n v="0"/>
    <n v="0"/>
    <n v="0"/>
    <n v="0"/>
    <n v="0"/>
    <n v="0"/>
    <n v="0"/>
    <n v="1000"/>
    <n v="3043.7424164437089"/>
    <n v="0"/>
    <n v="0"/>
    <n v="0"/>
    <n v="0"/>
    <n v="0"/>
    <n v="0"/>
    <n v="0"/>
    <n v="0"/>
    <n v="0"/>
    <n v="0"/>
    <n v="0"/>
    <n v="0"/>
    <n v="0"/>
    <n v="0"/>
    <n v="1000"/>
    <n v="3043.7424164437089"/>
    <n v="10.764325806786815"/>
    <n v="1.0881457359052311E-2"/>
    <n v="155.1742477995258"/>
    <n v="5.37201266301984E-2"/>
  </r>
  <r>
    <x v="6"/>
    <s v="COSTA RICA"/>
    <s v="EUROFERTIL, S.A."/>
    <s v="Consolidado/estratégico"/>
    <s v="CODIR1000CR"/>
    <s v="CODIRESIST, 1000 L"/>
    <n v="1000"/>
    <n v="2.92"/>
    <n v="3.043742416443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2768.1487267512971"/>
    <n v="947.99613929838938"/>
    <n v="2768.1487267512971"/>
    <n v="947.99613929838938"/>
    <n v="2768.1487267512971"/>
    <n v="2843.9884178951679"/>
    <n v="8304.4461802538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3043.7424164437089"/>
    <n v="1000"/>
    <n v="3043.7424164437089"/>
    <n v="1000"/>
    <n v="3043.7424164437089"/>
    <n v="3000"/>
    <n v="9131.2272493311266"/>
    <n v="156.01158210483209"/>
    <n v="5.4856616547087088E-2"/>
    <n v="826.78106907723486"/>
    <n v="9.9558844880364761E-2"/>
  </r>
  <r>
    <x v="6"/>
    <s v="COSTA RICA"/>
    <s v="EUROFERTIL, S.A."/>
    <s v="Consolidado/estratégico"/>
    <s v="DECA0005CR"/>
    <s v="DEFENS-CA-AE"/>
    <n v="5"/>
    <n v="2.5299999999999998"/>
    <n v="2.6372151758912961"/>
    <n v="1088.159241612535"/>
    <n v="2753.0428812797122"/>
    <n v="0"/>
    <n v="0"/>
    <n v="0"/>
    <n v="0"/>
    <n v="0"/>
    <n v="0"/>
    <n v="1088.159241612535"/>
    <n v="2753.0428812797122"/>
    <n v="1088.159241612535"/>
    <n v="2753.0428812797122"/>
    <n v="0"/>
    <n v="0"/>
    <n v="0"/>
    <n v="0"/>
    <n v="0"/>
    <n v="0"/>
    <n v="0"/>
    <n v="0"/>
    <n v="0"/>
    <n v="0"/>
    <n v="0"/>
    <n v="0"/>
    <n v="3264.4777248376049"/>
    <n v="8259.1286438391362"/>
    <n v="1200"/>
    <n v="3164.6582110695549"/>
    <n v="0"/>
    <n v="0"/>
    <n v="0"/>
    <n v="0"/>
    <n v="0"/>
    <n v="0"/>
    <n v="1200"/>
    <n v="3164.6582110695549"/>
    <n v="1200"/>
    <n v="3164.6582110695549"/>
    <n v="0"/>
    <n v="0"/>
    <n v="0"/>
    <n v="0"/>
    <n v="0"/>
    <n v="0"/>
    <n v="0"/>
    <n v="0"/>
    <n v="0"/>
    <n v="0"/>
    <n v="0"/>
    <n v="0"/>
    <n v="3600"/>
    <n v="9493.9746332086652"/>
    <n v="335.52227516239509"/>
    <n v="0.10277977166442023"/>
    <n v="1234.845989369529"/>
    <n v="0.1495128654147623"/>
  </r>
  <r>
    <x v="6"/>
    <s v="COSTA RICA"/>
    <s v="EUROFERTIL, S.A."/>
    <s v="Consolidado/estratégico"/>
    <s v="DECA0005CR"/>
    <s v="DEFENS-CA-AE, 5 KG"/>
    <n v="5"/>
    <n v="2.5299999999999998"/>
    <n v="2.6372151758912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2.795753228228"/>
    <n v="2638.2732556674168"/>
    <n v="1042.795753228228"/>
    <n v="2638.2732556674168"/>
    <n v="1042.795753228228"/>
    <n v="2638.2732556674168"/>
    <n v="3128.3872596846841"/>
    <n v="7914.819767002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0"/>
    <n v="3032.7974522749901"/>
    <n v="1150"/>
    <n v="3032.7974522749901"/>
    <n v="1150"/>
    <n v="3032.7974522749901"/>
    <n v="3450"/>
    <n v="9098.3923568249702"/>
    <n v="321.61274031531593"/>
    <n v="0.1028046445719549"/>
    <n v="1183.5725898227192"/>
    <n v="0.1495387923749272"/>
  </r>
  <r>
    <x v="6"/>
    <s v="COSTA RICA"/>
    <s v="EUROFERTIL, S.A."/>
    <s v="Consolidado/estratégico"/>
    <s v="F-A1000CR"/>
    <s v="FITOLIN AGRO"/>
    <n v="1000"/>
    <n v="4.0199999999999996"/>
    <n v="4.19035771030949"/>
    <n v="0"/>
    <n v="0"/>
    <n v="0"/>
    <n v="0"/>
    <n v="1978.4713483864259"/>
    <n v="7953.4548205134342"/>
    <n v="0"/>
    <n v="0"/>
    <n v="1978.4713483864259"/>
    <n v="7953.4548205134342"/>
    <n v="989.23567419321319"/>
    <n v="3976.7274102567171"/>
    <n v="0"/>
    <n v="0"/>
    <n v="0"/>
    <n v="0"/>
    <n v="0"/>
    <n v="0"/>
    <n v="0"/>
    <n v="0"/>
    <n v="0"/>
    <n v="0"/>
    <n v="0"/>
    <n v="0"/>
    <n v="4946.1783709660649"/>
    <n v="19883.637051283586"/>
    <n v="0"/>
    <n v="0"/>
    <n v="0"/>
    <n v="0"/>
    <n v="2000"/>
    <n v="8380.7154206189807"/>
    <n v="0"/>
    <n v="0"/>
    <n v="2000"/>
    <n v="8380.7154206189807"/>
    <n v="1000"/>
    <n v="4190.3577103094904"/>
    <n v="0"/>
    <n v="0"/>
    <n v="0"/>
    <n v="0"/>
    <n v="0"/>
    <n v="0"/>
    <n v="0"/>
    <n v="0"/>
    <n v="0"/>
    <n v="0"/>
    <n v="0"/>
    <n v="0"/>
    <n v="5000"/>
    <n v="20951.788551547452"/>
    <n v="53.821629033935096"/>
    <n v="1.0881457359052521E-2"/>
    <n v="1068.1515002638662"/>
    <n v="5.3720126630198761E-2"/>
  </r>
  <r>
    <x v="6"/>
    <s v="COSTA RICA"/>
    <s v="EUROFERTIL, S.A."/>
    <s v="Consolidado/estratégico"/>
    <s v="F-A1000CR"/>
    <s v="FITOLIN AGRO, 1000 L"/>
    <n v="1000"/>
    <n v="4.0199999999999996"/>
    <n v="4.1903577103094891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621.8889599590493"/>
    <n v="0"/>
    <n v="0"/>
    <n v="947.99613929838938"/>
    <n v="3810.9444799795251"/>
    <n v="947.99613929838938"/>
    <n v="3810.9444799795251"/>
    <n v="3791.9845571935575"/>
    <n v="15243.7779199181"/>
    <n v="0"/>
    <n v="0"/>
    <n v="0"/>
    <n v="0"/>
    <n v="0"/>
    <n v="0"/>
    <n v="0"/>
    <n v="0"/>
    <n v="0"/>
    <n v="0"/>
    <n v="0"/>
    <n v="0"/>
    <n v="0"/>
    <n v="0"/>
    <n v="0"/>
    <n v="0"/>
    <n v="2000"/>
    <n v="8380.7154206189789"/>
    <n v="0"/>
    <n v="0"/>
    <n v="1000"/>
    <n v="4190.3577103094894"/>
    <n v="1000"/>
    <n v="4190.3577103094894"/>
    <n v="4000"/>
    <n v="16761.430841237958"/>
    <n v="208.01544280644248"/>
    <n v="5.4856616547086998E-2"/>
    <n v="1517.6529213198573"/>
    <n v="9.9558844880364872E-2"/>
  </r>
  <r>
    <x v="6"/>
    <s v="COSTA RICA"/>
    <s v="EUROFERTIL, S.A."/>
    <s v="Consolidado/estratégico"/>
    <s v="FLORCR1000CR"/>
    <s v="FLORAMEC"/>
    <n v="1000"/>
    <n v="2.27"/>
    <n v="2.3661970155230212"/>
    <n v="1978.4713483864259"/>
    <n v="4491.1299608371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8.4713483864259"/>
    <n v="4491.1299608371883"/>
    <n v="2000"/>
    <n v="4732.3940310460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732.3940310460421"/>
    <n v="21.528651613574084"/>
    <n v="1.0881457359052544E-2"/>
    <n v="241.26407020885381"/>
    <n v="5.3720126630198865E-2"/>
  </r>
  <r>
    <x v="6"/>
    <s v="COSTA RICA"/>
    <s v="EUROFERTIL, S.A."/>
    <s v="Consolidado/estratégico"/>
    <s v="FLORCR1000CR"/>
    <s v="FLORAMEC CR, 1000 L"/>
    <n v="1000"/>
    <n v="2.27"/>
    <n v="2.3661970155230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3.9884178951679"/>
    <n v="6455.8537086220313"/>
    <n v="2843.9884178951679"/>
    <n v="6455.8537086220313"/>
    <n v="0"/>
    <n v="0"/>
    <n v="5687.9768357903358"/>
    <n v="12911.7074172440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7098.5910465690622"/>
    <n v="3000"/>
    <n v="7098.5910465690622"/>
    <n v="0"/>
    <n v="0"/>
    <n v="6000"/>
    <n v="14197.182093138124"/>
    <n v="312.02316420966417"/>
    <n v="5.4856616547087088E-2"/>
    <n v="1285.4746758940619"/>
    <n v="9.9558844880365163E-2"/>
  </r>
  <r>
    <x v="6"/>
    <s v="COSTA RICA"/>
    <s v="EUROFERTIL, S.A."/>
    <s v="Consolidado/estratégico"/>
    <s v="G1000CR"/>
    <s v="TRANSLOCADOR"/>
    <n v="1000"/>
    <n v="4.6900000000000004"/>
    <n v="4.8887506620277383"/>
    <n v="0"/>
    <n v="0"/>
    <n v="0"/>
    <n v="0"/>
    <n v="0"/>
    <n v="0"/>
    <n v="0"/>
    <n v="0"/>
    <n v="0"/>
    <n v="0"/>
    <n v="989.23567419321319"/>
    <n v="4639.51531196617"/>
    <n v="0"/>
    <n v="0"/>
    <n v="0"/>
    <n v="0"/>
    <n v="0"/>
    <n v="0"/>
    <n v="0"/>
    <n v="0"/>
    <n v="0"/>
    <n v="0"/>
    <n v="0"/>
    <n v="0"/>
    <n v="989.23567419321319"/>
    <n v="4639.51531196617"/>
    <n v="0"/>
    <n v="0"/>
    <n v="0"/>
    <n v="0"/>
    <n v="0"/>
    <n v="0"/>
    <n v="0"/>
    <n v="0"/>
    <n v="0"/>
    <n v="0"/>
    <n v="1000"/>
    <n v="4888.7506620277381"/>
    <n v="0"/>
    <n v="0"/>
    <n v="0"/>
    <n v="0"/>
    <n v="0"/>
    <n v="0"/>
    <n v="0"/>
    <n v="0"/>
    <n v="0"/>
    <n v="0"/>
    <n v="0"/>
    <n v="0"/>
    <n v="1000"/>
    <n v="4888.7506620277381"/>
    <n v="10.764325806786815"/>
    <n v="1.0881457359052311E-2"/>
    <n v="249.23535006156817"/>
    <n v="5.3720126630198636E-2"/>
  </r>
  <r>
    <x v="6"/>
    <s v="COSTA RICA"/>
    <s v="EUROFERTIL, S.A."/>
    <s v="Consolidado/estratégico"/>
    <s v="G1000CR"/>
    <s v="GREEN-UP EXPORTACION, 1000 L"/>
    <n v="1000"/>
    <n v="4.6900000000000004"/>
    <n v="4.8887506620277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446.1018933094456"/>
    <n v="0"/>
    <n v="0"/>
    <n v="473.99806964919469"/>
    <n v="2223.0509466547228"/>
    <n v="1421.994208947584"/>
    <n v="6669.1528399641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4888.7506620277381"/>
    <n v="0"/>
    <n v="0"/>
    <n v="1000"/>
    <n v="4888.7506620277381"/>
    <n v="2000"/>
    <n v="9777.5013240554763"/>
    <n v="578.00579105241604"/>
    <n v="0.40647548872944944"/>
    <n v="3108.3484840913079"/>
    <n v="0.46607845984048679"/>
  </r>
  <r>
    <x v="6"/>
    <s v="COSTA RICA"/>
    <s v="EUROFERTIL, S.A."/>
    <s v="Consolidado/estratégico"/>
    <s v="NB1000CR"/>
    <s v="NITROBALANCE"/>
    <n v="1000"/>
    <n v="5.96"/>
    <n v="6.2125701376727758"/>
    <n v="0"/>
    <n v="0"/>
    <n v="0"/>
    <n v="0"/>
    <n v="989.23567419321319"/>
    <n v="5895.8446181915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9.23567419321319"/>
    <n v="5895.8446181915506"/>
    <n v="0"/>
    <n v="0"/>
    <n v="0"/>
    <n v="0"/>
    <n v="1000"/>
    <n v="6212.5701376727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6212.5701376727757"/>
    <n v="10.764325806786815"/>
    <n v="1.0881457359052311E-2"/>
    <n v="316.72551948122509"/>
    <n v="5.3720126630198616E-2"/>
  </r>
  <r>
    <x v="6"/>
    <s v="COSTA RICA"/>
    <s v="EUROFERTIL, S.A."/>
    <s v="Consolidado/estratégico"/>
    <s v="NB1000CR"/>
    <s v="NITROBALANCe"/>
    <n v="1000"/>
    <n v="6.1000000000000014"/>
    <n v="6.3585029932556942"/>
    <n v="0"/>
    <n v="0"/>
    <n v="0"/>
    <n v="0"/>
    <n v="0"/>
    <n v="0"/>
    <n v="0"/>
    <n v="0"/>
    <n v="0"/>
    <n v="0"/>
    <n v="989.23567419321319"/>
    <n v="6034.3376125786008"/>
    <n v="0"/>
    <n v="0"/>
    <n v="0"/>
    <n v="0"/>
    <n v="0"/>
    <n v="0"/>
    <n v="0"/>
    <n v="0"/>
    <n v="0"/>
    <n v="0"/>
    <n v="0"/>
    <n v="0"/>
    <n v="989.23567419321319"/>
    <n v="6034.3376125786008"/>
    <n v="0"/>
    <n v="0"/>
    <n v="0"/>
    <n v="0"/>
    <n v="0"/>
    <n v="0"/>
    <n v="0"/>
    <n v="0"/>
    <n v="0"/>
    <n v="0"/>
    <n v="1000"/>
    <n v="6358.5029932556936"/>
    <n v="0"/>
    <n v="0"/>
    <n v="0"/>
    <n v="0"/>
    <n v="0"/>
    <n v="0"/>
    <n v="0"/>
    <n v="0"/>
    <n v="0"/>
    <n v="0"/>
    <n v="0"/>
    <n v="0"/>
    <n v="1000"/>
    <n v="6358.5029932556936"/>
    <n v="10.764325806786815"/>
    <n v="1.0881457359052311E-2"/>
    <n v="324.1653806770928"/>
    <n v="5.3720126630198609E-2"/>
  </r>
  <r>
    <x v="6"/>
    <s v="COSTA RICA"/>
    <s v="EUROFERTIL, S.A."/>
    <s v="Consolidado/estratégico"/>
    <s v="PT1000CR"/>
    <s v="POTASION PLUS"/>
    <n v="1000"/>
    <n v="3.36"/>
    <n v="3.5023885339900218"/>
    <n v="0"/>
    <n v="0"/>
    <n v="0"/>
    <n v="0"/>
    <n v="1978.4713483864259"/>
    <n v="6647.6637305783934"/>
    <n v="0"/>
    <n v="0"/>
    <n v="0"/>
    <n v="0"/>
    <n v="1978.4713483864259"/>
    <n v="6647.6637305783934"/>
    <n v="0"/>
    <n v="0"/>
    <n v="0"/>
    <n v="0"/>
    <n v="0"/>
    <n v="0"/>
    <n v="0"/>
    <n v="0"/>
    <n v="0"/>
    <n v="0"/>
    <n v="0"/>
    <n v="0"/>
    <n v="3956.9426967728518"/>
    <n v="13295.327461156787"/>
    <n v="0"/>
    <n v="0"/>
    <n v="0"/>
    <n v="0"/>
    <n v="2000"/>
    <n v="7004.7770679800442"/>
    <n v="0"/>
    <n v="0"/>
    <n v="0"/>
    <n v="0"/>
    <n v="2000"/>
    <n v="7004.7770679800442"/>
    <n v="0"/>
    <n v="0"/>
    <n v="0"/>
    <n v="0"/>
    <n v="0"/>
    <n v="0"/>
    <n v="0"/>
    <n v="0"/>
    <n v="0"/>
    <n v="0"/>
    <n v="0"/>
    <n v="0"/>
    <n v="4000"/>
    <n v="14009.554135960088"/>
    <n v="43.057303227148168"/>
    <n v="1.0881457359052544E-2"/>
    <n v="714.22667480330165"/>
    <n v="5.3720126630198768E-2"/>
  </r>
  <r>
    <x v="6"/>
    <s v="COSTA RICA"/>
    <s v="EUROFERTIL, S.A."/>
    <s v="Consolidado/estratégico"/>
    <s v="PT1000CR"/>
    <s v="AGROPOTASION, 1000 L"/>
    <n v="1000"/>
    <n v="3.36"/>
    <n v="3.5023885339900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1.984557193558"/>
    <n v="12741.068112170349"/>
    <n v="0"/>
    <n v="0"/>
    <n v="1895.992278596779"/>
    <n v="6370.5340560851764"/>
    <n v="5687.9768357903367"/>
    <n v="19111.602168255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0"/>
    <n v="14009.55413596009"/>
    <n v="0"/>
    <n v="0"/>
    <n v="2000"/>
    <n v="7004.7770679800433"/>
    <n v="6000"/>
    <n v="21014.331203940135"/>
    <n v="312.02316420966326"/>
    <n v="5.4856616547086914E-2"/>
    <n v="1902.7290356846097"/>
    <n v="9.9558844880365552E-2"/>
  </r>
  <r>
    <x v="6"/>
    <s v="COSTA RICA"/>
    <s v="EUROFERTIL, S.A."/>
    <s v="Consolidado/estratégico"/>
    <s v="SPCE0001CR"/>
    <s v="SPRINTENE"/>
    <n v="1"/>
    <n v="12.493333333333339"/>
    <n v="13.0227700648756"/>
    <n v="783.47465396102484"/>
    <n v="8978.619534393345"/>
    <n v="0"/>
    <n v="0"/>
    <n v="0"/>
    <n v="0"/>
    <n v="0"/>
    <n v="0"/>
    <n v="1566.9493079220499"/>
    <n v="20386.010496065868"/>
    <n v="0"/>
    <n v="0"/>
    <n v="0"/>
    <n v="0"/>
    <n v="0"/>
    <n v="0"/>
    <n v="0"/>
    <n v="0"/>
    <n v="0"/>
    <n v="0"/>
    <n v="0"/>
    <n v="0"/>
    <n v="0"/>
    <n v="0"/>
    <n v="2350.4239618830748"/>
    <n v="29364.630030459215"/>
    <n v="864"/>
    <n v="10321.03866844945"/>
    <n v="0"/>
    <n v="0"/>
    <n v="0"/>
    <n v="0"/>
    <n v="0"/>
    <n v="0"/>
    <n v="1728"/>
    <n v="23433.981339708102"/>
    <n v="0"/>
    <n v="0"/>
    <n v="0"/>
    <n v="0"/>
    <n v="0"/>
    <n v="0"/>
    <n v="0"/>
    <n v="0"/>
    <n v="0"/>
    <n v="0"/>
    <n v="0"/>
    <n v="0"/>
    <n v="0"/>
    <n v="0"/>
    <n v="2592"/>
    <n v="33755.020008157553"/>
    <n v="241.57603811692525"/>
    <n v="0.10277977166442059"/>
    <n v="4390.389977698338"/>
    <n v="0.14951286541476236"/>
  </r>
  <r>
    <x v="6"/>
    <s v="COSTA RICA"/>
    <s v="EUROFERTIL, S.A."/>
    <s v="Consolidado/estratégico"/>
    <s v="SPCE0005CR"/>
    <s v="SPRINTENE"/>
    <n v="5"/>
    <n v="11.46"/>
    <n v="11.945646607001679"/>
    <n v="0"/>
    <n v="0"/>
    <n v="0"/>
    <n v="0"/>
    <n v="395.69426967728532"/>
    <n v="4534.6563305016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.69426967728532"/>
    <n v="4534.6563305016898"/>
    <n v="0"/>
    <n v="0"/>
    <n v="0"/>
    <n v="0"/>
    <n v="430"/>
    <n v="5136.6280410107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"/>
    <n v="5136.6280410107229"/>
    <n v="34.30573032271468"/>
    <n v="8.6697566660981107E-2"/>
    <n v="601.97171050903307"/>
    <n v="0.13274913612746353"/>
  </r>
  <r>
    <x v="6"/>
    <s v="COSTA RICA"/>
    <s v="EUROFERTIL, S.A."/>
    <s v="Consolidado/estratégico"/>
    <s v="SPCE0020CR"/>
    <s v="SPRINTENE"/>
    <n v="20"/>
    <n v="11.15"/>
    <n v="11.62250956963951"/>
    <n v="0"/>
    <n v="0"/>
    <n v="0"/>
    <n v="0"/>
    <n v="316.55541574182831"/>
    <n v="3529.5928855213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.55541574182831"/>
    <n v="3529.5928855213851"/>
    <n v="0"/>
    <n v="0"/>
    <n v="0"/>
    <n v="0"/>
    <n v="340"/>
    <n v="3951.6532536774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3951.6532536774321"/>
    <n v="23.444584258171687"/>
    <n v="7.4061548443992764E-2"/>
    <n v="422.06036815604693"/>
    <n v="0.11957763454458599"/>
  </r>
  <r>
    <x v="6"/>
    <s v="COSTA RICA"/>
    <s v="EUROFERTIL, S.A."/>
    <s v="Consolidado/estratégico"/>
    <s v="SPCE20001CR"/>
    <s v="SPRINTENE ZNMN 1L"/>
    <n v="1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5687.9768357903358"/>
    <n v="0"/>
    <n v="0"/>
    <n v="473.99806964919469"/>
    <n v="5687.97683579033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5"/>
    <n v="6441.8931964459334"/>
    <n v="0"/>
    <n v="0"/>
    <n v="515"/>
    <n v="6441.8931964459334"/>
    <n v="41.00193035080531"/>
    <n v="8.6502315043499617E-2"/>
    <n v="753.9163606555976"/>
    <n v="0.13254561022677619"/>
  </r>
  <r>
    <x v="6"/>
    <s v="COSTA RICA"/>
    <s v="EUROFERTIL, S.A."/>
    <s v="Consolidado/estratégico"/>
    <s v="SPCE20005CR"/>
    <s v="SPRINTENE ZNMN 5L"/>
    <n v="5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4550.3814686322676"/>
    <n v="0"/>
    <n v="0"/>
    <n v="0"/>
    <n v="0"/>
    <n v="379.19845571935571"/>
    <n v="4550.3814686322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5128.497496199675"/>
    <n v="0"/>
    <n v="0"/>
    <n v="0"/>
    <n v="0"/>
    <n v="410"/>
    <n v="5128.497496199675"/>
    <n v="30.801544280644293"/>
    <n v="8.1228031960764308E-2"/>
    <n v="578.1160275674074"/>
    <n v="0.12704781600237458"/>
  </r>
  <r>
    <x v="6"/>
    <s v="COSTA RICA"/>
    <s v="EUROFERTIL, S.A."/>
    <s v="Consolidado/estratégico"/>
    <s v="SPCE20005CR"/>
    <s v="SPRINTENE ZNMN 1L"/>
    <n v="5"/>
    <n v="12"/>
    <n v="12.508530478535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4550.3814686322676"/>
    <n v="0"/>
    <n v="0"/>
    <n v="379.19845571935571"/>
    <n v="4550.3814686322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5128.497496199675"/>
    <n v="0"/>
    <n v="0"/>
    <n v="410"/>
    <n v="5128.497496199675"/>
    <n v="30.801544280644293"/>
    <n v="8.1228031960764308E-2"/>
    <n v="578.1160275674074"/>
    <n v="0.12704781600237458"/>
  </r>
  <r>
    <x v="6"/>
    <s v="COSTA RICA"/>
    <s v="EUROFERTIL, S.A."/>
    <s v="Consolidado/estratégico"/>
    <s v="SS0001CR"/>
    <s v="SALWAX-CA, 1 KG"/>
    <n v="1"/>
    <n v="4.4499999999999993"/>
    <n v="4.6385800524570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1.083923099099"/>
    <n v="4454.8234577909907"/>
    <n v="0"/>
    <n v="0"/>
    <n v="379.19845571935571"/>
    <n v="1687.433127951133"/>
    <n v="1380.2823788184546"/>
    <n v="6142.2565857421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4"/>
    <n v="5120.9923779125538"/>
    <n v="0"/>
    <n v="0"/>
    <n v="418"/>
    <n v="1938.9264619270359"/>
    <n v="1522"/>
    <n v="7059.91883983959"/>
    <n v="141.71762118154538"/>
    <n v="0.10267291922023818"/>
    <n v="917.66225409746676"/>
    <n v="0.14940148482686555"/>
  </r>
  <r>
    <x v="6"/>
    <s v="COSTA RICA"/>
    <s v="EUROFERTIL, S.A."/>
    <s v="Consolidado/estratégico"/>
    <s v="SS0005CR"/>
    <s v="SALWAX-CA, 5 KG"/>
    <n v="5"/>
    <n v="3.68"/>
    <n v="3.8359493467509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488.6257926180729"/>
    <n v="0"/>
    <n v="0"/>
    <n v="379.19845571935571"/>
    <n v="1395.450317047229"/>
    <n v="1327.1945950177451"/>
    <n v="4884.0761096653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3951.0278271535062"/>
    <n v="0"/>
    <n v="0"/>
    <n v="410"/>
    <n v="1572.7392321678999"/>
    <n v="1440"/>
    <n v="5523.7670593214061"/>
    <n v="112.80540498225491"/>
    <n v="8.4995377019860957E-2"/>
    <n v="639.69094965610384"/>
    <n v="0.13097481187694693"/>
  </r>
  <r>
    <x v="6"/>
    <s v="COSTA RICA"/>
    <s v="EUROFERTIL, S.A."/>
    <s v="Consolidado/estratégico"/>
    <s v="SS0020CR"/>
    <s v="SAL WAX MAX"/>
    <n v="20"/>
    <n v="3.72"/>
    <n v="3.877644448346095"/>
    <n v="989.23567419321319"/>
    <n v="3679.9567079987528"/>
    <n v="0"/>
    <n v="0"/>
    <n v="0"/>
    <n v="0"/>
    <n v="0"/>
    <n v="0"/>
    <n v="791.38853935457064"/>
    <n v="2943.965366399003"/>
    <n v="0"/>
    <n v="0"/>
    <n v="0"/>
    <n v="0"/>
    <n v="0"/>
    <n v="0"/>
    <n v="0"/>
    <n v="0"/>
    <n v="0"/>
    <n v="0"/>
    <n v="0"/>
    <n v="0"/>
    <n v="0"/>
    <n v="0"/>
    <n v="1780.6242135477837"/>
    <n v="6623.9220743977558"/>
    <n v="1080"/>
    <n v="4187.8560042137833"/>
    <n v="0"/>
    <n v="0"/>
    <n v="0"/>
    <n v="0"/>
    <n v="0"/>
    <n v="0"/>
    <n v="860"/>
    <n v="3334.774225577642"/>
    <n v="0"/>
    <n v="0"/>
    <n v="0"/>
    <n v="0"/>
    <n v="0"/>
    <n v="0"/>
    <n v="0"/>
    <n v="0"/>
    <n v="0"/>
    <n v="0"/>
    <n v="0"/>
    <n v="0"/>
    <n v="0"/>
    <n v="0"/>
    <n v="1940"/>
    <n v="7522.6302297914253"/>
    <n v="159.37578645221629"/>
    <n v="8.9505570709200843E-2"/>
    <n v="898.70815539366959"/>
    <n v="0.1356761364792142"/>
  </r>
  <r>
    <x v="6"/>
    <s v="COSTA RICA"/>
    <s v="EUROFERTIL, S.A."/>
    <s v="Consolidado/estratégico"/>
    <s v="SS0020CR"/>
    <s v="SAL WAX MAX, 20 KG"/>
    <n v="20"/>
    <n v="3.72"/>
    <n v="3.8776444483460959"/>
    <n v="0"/>
    <n v="0"/>
    <n v="0"/>
    <n v="0"/>
    <n v="0"/>
    <n v="0"/>
    <n v="0"/>
    <n v="0"/>
    <n v="0"/>
    <n v="0"/>
    <n v="949.66624722548465"/>
    <n v="3532.7584396788029"/>
    <n v="0"/>
    <n v="0"/>
    <n v="0"/>
    <n v="0"/>
    <n v="0"/>
    <n v="0"/>
    <n v="0"/>
    <n v="0"/>
    <n v="0"/>
    <n v="0"/>
    <n v="0"/>
    <n v="0"/>
    <n v="949.66624722548465"/>
    <n v="3532.7584396788029"/>
    <n v="0"/>
    <n v="0"/>
    <n v="0"/>
    <n v="0"/>
    <n v="0"/>
    <n v="0"/>
    <n v="0"/>
    <n v="0"/>
    <n v="0"/>
    <n v="0"/>
    <n v="1040"/>
    <n v="4032.7502262799399"/>
    <n v="0"/>
    <n v="0"/>
    <n v="0"/>
    <n v="0"/>
    <n v="0"/>
    <n v="0"/>
    <n v="0"/>
    <n v="0"/>
    <n v="0"/>
    <n v="0"/>
    <n v="0"/>
    <n v="0"/>
    <n v="1040"/>
    <n v="4032.7502262799399"/>
    <n v="90.333752774515347"/>
    <n v="9.5121578805640011E-2"/>
    <n v="499.99178660113694"/>
    <n v="0.14153013718271551"/>
  </r>
  <r>
    <x v="6"/>
    <s v="COSTA RICA"/>
    <s v="EUROFERTIL, S.A."/>
    <s v="Consolidado/estratégico"/>
    <s v="SS0020CR"/>
    <s v="SALWAX-CA, 20 KG"/>
    <n v="20"/>
    <n v="3.7200000000000011"/>
    <n v="3.87764444834609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6.469344463555"/>
    <n v="9733.2659614044242"/>
    <n v="0"/>
    <n v="0"/>
    <n v="758.39691143871141"/>
    <n v="2821.2365105520071"/>
    <n v="3374.8662559022664"/>
    <n v="12554.502471956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0"/>
    <n v="11012.51023330291"/>
    <n v="0"/>
    <n v="0"/>
    <n v="820"/>
    <n v="3179.668447643799"/>
    <n v="3660"/>
    <n v="14192.178680946708"/>
    <n v="285.1337440977336"/>
    <n v="8.4487420382679271E-2"/>
    <n v="1637.6762089902768"/>
    <n v="0.13044532928711666"/>
  </r>
  <r>
    <x v="6"/>
    <s v="DOMINICANA, REPÚBLICA"/>
    <s v="JUAN JIMENEZ, SRL"/>
    <s v="Consolidado/estratégico"/>
    <s v="A-50(2)0001DO"/>
    <s v="CODIORGAN A-50"/>
    <n v="1"/>
    <n v="5.31"/>
    <n v="5.5350247367520886"/>
    <n v="0"/>
    <n v="0"/>
    <n v="1551.1215371349581"/>
    <n v="8236.4553621866289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4027.0875997395578"/>
    <n v="0"/>
    <n v="0"/>
    <n v="2309.5184485736695"/>
    <n v="12263.542961926187"/>
    <n v="0"/>
    <n v="0"/>
    <n v="1954"/>
    <n v="10815.43833561358"/>
    <n v="0"/>
    <n v="0"/>
    <n v="0"/>
    <n v="0"/>
    <n v="0"/>
    <n v="0"/>
    <n v="0"/>
    <n v="0"/>
    <n v="0"/>
    <n v="0"/>
    <n v="0"/>
    <n v="0"/>
    <n v="0"/>
    <n v="0"/>
    <n v="0"/>
    <n v="0"/>
    <n v="956"/>
    <n v="5291.4836483349964"/>
    <n v="0"/>
    <n v="0"/>
    <n v="2910"/>
    <n v="16106.921983948578"/>
    <n v="600.4815514263305"/>
    <n v="0.2600029247643294"/>
    <n v="3843.3790220223909"/>
    <n v="0.31339874895490449"/>
  </r>
  <r>
    <x v="6"/>
    <s v="DOMINICANA, REPÚBLICA"/>
    <s v="JUAN JIMENEZ, SRL"/>
    <s v="Consolidado/estratégico"/>
    <s v="A-50(2)0001DO"/>
    <s v="CODIORGAN-A50, 1 KG"/>
    <n v="1"/>
    <n v="5.31"/>
    <n v="5.5350247367520877"/>
    <n v="0"/>
    <n v="0"/>
    <n v="0"/>
    <n v="0"/>
    <n v="0"/>
    <n v="0"/>
    <n v="0"/>
    <n v="0"/>
    <n v="0"/>
    <n v="0"/>
    <n v="0"/>
    <n v="0"/>
    <n v="0"/>
    <n v="0"/>
    <n v="1377.016058476953"/>
    <n v="7311.9552705126189"/>
    <n v="0"/>
    <n v="0"/>
    <n v="0"/>
    <n v="0"/>
    <n v="0"/>
    <n v="0"/>
    <n v="0"/>
    <n v="0"/>
    <n v="1377.016058476953"/>
    <n v="7311.9552705126189"/>
    <n v="0"/>
    <n v="0"/>
    <n v="0"/>
    <n v="0"/>
    <n v="0"/>
    <n v="0"/>
    <n v="0"/>
    <n v="0"/>
    <n v="0"/>
    <n v="0"/>
    <n v="0"/>
    <n v="0"/>
    <n v="0"/>
    <n v="0"/>
    <n v="1735"/>
    <n v="9603.2679182648717"/>
    <n v="0"/>
    <n v="0"/>
    <n v="0"/>
    <n v="0"/>
    <n v="0"/>
    <n v="0"/>
    <n v="0"/>
    <n v="0"/>
    <n v="1735"/>
    <n v="9603.2679182648717"/>
    <n v="357.98394152304695"/>
    <n v="0.25997078198128981"/>
    <n v="2291.3126477522528"/>
    <n v="0.3133652440397951"/>
  </r>
  <r>
    <x v="6"/>
    <s v="DOMINICANA, REPÚBLICA"/>
    <s v="JUAN JIMENEZ, SRL"/>
    <s v="Consolidado/estratégico"/>
    <s v="AGXK0001DO"/>
    <s v="AGROXILATO-K"/>
    <n v="1"/>
    <n v="3.9899999999999989"/>
    <n v="4.1590863841131496"/>
    <n v="0"/>
    <n v="0"/>
    <n v="2053.6532596251109"/>
    <n v="8194.0765059041914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782.504595800573"/>
    <n v="0"/>
    <n v="0"/>
    <n v="3001.6493989235005"/>
    <n v="11976.581101704764"/>
    <n v="0"/>
    <n v="0"/>
    <n v="2243"/>
    <n v="9328.8307595657952"/>
    <n v="0"/>
    <n v="0"/>
    <n v="0"/>
    <n v="0"/>
    <n v="0"/>
    <n v="0"/>
    <n v="0"/>
    <n v="0"/>
    <n v="0"/>
    <n v="0"/>
    <n v="0"/>
    <n v="0"/>
    <n v="0"/>
    <n v="0"/>
    <n v="0"/>
    <n v="0"/>
    <n v="1035"/>
    <n v="4304.6544075571119"/>
    <n v="0"/>
    <n v="0"/>
    <n v="3278"/>
    <n v="13633.485167122908"/>
    <n v="276.35060107649952"/>
    <n v="9.2066249034816916E-2"/>
    <n v="1656.9040654181445"/>
    <n v="0.13834533005268912"/>
  </r>
  <r>
    <x v="6"/>
    <s v="DOMINICANA, REPÚBLICA"/>
    <s v="JUAN JIMENEZ, SRL"/>
    <s v="Consolidado/estratégico"/>
    <s v="AGXK0001DO"/>
    <s v="AGROXILATO-K, 1 L"/>
    <n v="1"/>
    <n v="3.99"/>
    <n v="4.1590863841131513"/>
    <n v="0"/>
    <n v="0"/>
    <n v="0"/>
    <n v="0"/>
    <n v="0"/>
    <n v="0"/>
    <n v="0"/>
    <n v="0"/>
    <n v="0"/>
    <n v="0"/>
    <n v="0"/>
    <n v="0"/>
    <n v="0"/>
    <n v="0"/>
    <n v="961.53707531580324"/>
    <n v="3836.5329305100549"/>
    <n v="0"/>
    <n v="0"/>
    <n v="0"/>
    <n v="0"/>
    <n v="0"/>
    <n v="0"/>
    <n v="0"/>
    <n v="0"/>
    <n v="961.53707531580324"/>
    <n v="3836.5329305100549"/>
    <n v="0"/>
    <n v="0"/>
    <n v="0"/>
    <n v="0"/>
    <n v="0"/>
    <n v="0"/>
    <n v="0"/>
    <n v="0"/>
    <n v="0"/>
    <n v="0"/>
    <n v="0"/>
    <n v="0"/>
    <n v="0"/>
    <n v="0"/>
    <n v="1050"/>
    <n v="4367.0407033188076"/>
    <n v="0"/>
    <n v="0"/>
    <n v="0"/>
    <n v="0"/>
    <n v="0"/>
    <n v="0"/>
    <n v="0"/>
    <n v="0"/>
    <n v="1050"/>
    <n v="4367.0407033188076"/>
    <n v="88.462924684196764"/>
    <n v="9.2001574307618211E-2"/>
    <n v="530.50777280875263"/>
    <n v="0.13827791456965893"/>
  </r>
  <r>
    <x v="6"/>
    <s v="DOMINICANA, REPÚBLICA"/>
    <s v="JUAN JIMENEZ, SRL"/>
    <s v="Consolidado/estratégico"/>
    <s v="AN0005DO"/>
    <s v="ALCAPLANT NEW"/>
    <n v="5"/>
    <n v="1.88"/>
    <n v="1.959669774970608"/>
    <n v="0"/>
    <n v="0"/>
    <n v="474.83312361274233"/>
    <n v="892.68627239195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.83312361274233"/>
    <n v="892.68627239195564"/>
    <n v="0"/>
    <n v="0"/>
    <n v="525"/>
    <n v="1028.826631859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5"/>
    <n v="1028.826631859569"/>
    <n v="50.166876387257673"/>
    <n v="0.10565159398646347"/>
    <n v="136.14035946761339"/>
    <n v="0.15250638850178"/>
  </r>
  <r>
    <x v="6"/>
    <s v="DOMINICANA, REPÚBLICA"/>
    <s v="JUAN JIMENEZ, SRL"/>
    <s v="Consolidado/estratégico"/>
    <s v="AN0005DO"/>
    <s v="ALCAPLANT"/>
    <n v="5"/>
    <n v="1.88"/>
    <n v="1.9596697749706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8.387259684685"/>
    <n v="5881.3680482072077"/>
    <n v="0"/>
    <n v="0"/>
    <n v="3128.387259684685"/>
    <n v="5881.3680482072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50"/>
    <n v="6760.860723648595"/>
    <n v="0"/>
    <n v="0"/>
    <n v="3450"/>
    <n v="6760.860723648595"/>
    <n v="321.61274031531502"/>
    <n v="0.10280464457195458"/>
    <n v="879.49267544138729"/>
    <n v="0.14953879237492701"/>
  </r>
  <r>
    <x v="6"/>
    <s v="DOMINICANA, REPÚBLICA"/>
    <s v="JUAN JIMENEZ, SRL"/>
    <s v="Consolidado/estratégico"/>
    <s v="B0001DO"/>
    <s v="BOROCAL"/>
    <n v="1"/>
    <n v="4.75"/>
    <n v="4.9512933144204183"/>
    <n v="0"/>
    <n v="0"/>
    <n v="2231.7156809798889"/>
    <n v="10600.64948465447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4502.9816616673497"/>
    <n v="0"/>
    <n v="0"/>
    <n v="3179.7118202782785"/>
    <n v="15103.631146321819"/>
    <n v="0"/>
    <n v="0"/>
    <n v="2390"/>
    <n v="11833.591021464799"/>
    <n v="0"/>
    <n v="0"/>
    <n v="0"/>
    <n v="0"/>
    <n v="0"/>
    <n v="0"/>
    <n v="0"/>
    <n v="0"/>
    <n v="0"/>
    <n v="0"/>
    <n v="0"/>
    <n v="0"/>
    <n v="0"/>
    <n v="0"/>
    <n v="0"/>
    <n v="0"/>
    <n v="1015"/>
    <n v="5025.5627141367231"/>
    <n v="0"/>
    <n v="0"/>
    <n v="3405"/>
    <n v="16859.153735601521"/>
    <n v="225.28817972172146"/>
    <n v="7.0851760302606592E-2"/>
    <n v="1755.5225892797025"/>
    <n v="0.11623182347823849"/>
  </r>
  <r>
    <x v="6"/>
    <s v="DOMINICANA, REPÚBLICA"/>
    <s v="JUAN JIMENEZ, SRL"/>
    <s v="Consolidado/estratégico"/>
    <s v="B0001DO"/>
    <s v="BOROCAL,1 L"/>
    <n v="1"/>
    <n v="4.7499999999999991"/>
    <n v="4.9512933144204174"/>
    <n v="0"/>
    <n v="0"/>
    <n v="0"/>
    <n v="0"/>
    <n v="0"/>
    <n v="0"/>
    <n v="0"/>
    <n v="0"/>
    <n v="0"/>
    <n v="0"/>
    <n v="0"/>
    <n v="0"/>
    <n v="0"/>
    <n v="0"/>
    <n v="3228.865240566648"/>
    <n v="15337.10989269158"/>
    <n v="0"/>
    <n v="0"/>
    <n v="0"/>
    <n v="0"/>
    <n v="0"/>
    <n v="0"/>
    <n v="0"/>
    <n v="0"/>
    <n v="3228.865240566648"/>
    <n v="15337.10989269158"/>
    <n v="0"/>
    <n v="0"/>
    <n v="0"/>
    <n v="0"/>
    <n v="0"/>
    <n v="0"/>
    <n v="0"/>
    <n v="0"/>
    <n v="0"/>
    <n v="0"/>
    <n v="0"/>
    <n v="0"/>
    <n v="0"/>
    <n v="0"/>
    <n v="3458"/>
    <n v="17121.572281265799"/>
    <n v="0"/>
    <n v="0"/>
    <n v="0"/>
    <n v="0"/>
    <n v="0"/>
    <n v="0"/>
    <n v="0"/>
    <n v="0"/>
    <n v="3458"/>
    <n v="17121.572281265799"/>
    <n v="229.13475943335197"/>
    <n v="7.0964485155515525E-2"/>
    <n v="1784.4623885742185"/>
    <n v="0.11634932533309605"/>
  </r>
  <r>
    <x v="6"/>
    <s v="DOMINICANA, REPÚBLICA"/>
    <s v="JUAN JIMENEZ, SRL"/>
    <s v="Consolidado/estratégico"/>
    <s v="BEY0001DO"/>
    <s v="BERRY-FLOR, 1 L"/>
    <n v="1"/>
    <n v="4.7399999999999993"/>
    <n v="4.9408695390216373"/>
    <n v="0"/>
    <n v="0"/>
    <n v="0"/>
    <n v="0"/>
    <n v="0"/>
    <n v="0"/>
    <n v="0"/>
    <n v="0"/>
    <n v="0"/>
    <n v="0"/>
    <n v="0"/>
    <n v="0"/>
    <n v="0"/>
    <n v="0"/>
    <n v="71.224968541911352"/>
    <n v="337.60635088865979"/>
    <n v="0"/>
    <n v="0"/>
    <n v="0"/>
    <n v="0"/>
    <n v="0"/>
    <n v="0"/>
    <n v="0"/>
    <n v="0"/>
    <n v="71.224968541911352"/>
    <n v="337.60635088865979"/>
    <n v="0"/>
    <n v="0"/>
    <n v="0"/>
    <n v="0"/>
    <n v="0"/>
    <n v="0"/>
    <n v="0"/>
    <n v="0"/>
    <n v="0"/>
    <n v="0"/>
    <n v="0"/>
    <n v="0"/>
    <n v="0"/>
    <n v="0"/>
    <n v="77"/>
    <n v="380.44695450466611"/>
    <n v="0"/>
    <n v="0"/>
    <n v="0"/>
    <n v="0"/>
    <n v="0"/>
    <n v="0"/>
    <n v="0"/>
    <n v="0"/>
    <n v="77"/>
    <n v="380.44695450466611"/>
    <n v="5.7750314580886482"/>
    <n v="8.1081558564542022E-2"/>
    <n v="42.840603616006319"/>
    <n v="0.12689513542396261"/>
  </r>
  <r>
    <x v="6"/>
    <s v="DOMINICANA, REPÚBLICA"/>
    <s v="JUAN JIMENEZ, SRL"/>
    <s v="Consolidado/estratégico"/>
    <s v="BIO0001DO"/>
    <s v="BIORAD-20"/>
    <n v="1"/>
    <n v="3.5"/>
    <n v="3.6483213895729389"/>
    <n v="0"/>
    <n v="0"/>
    <n v="1329.532746115678"/>
    <n v="4653.3646114048752"/>
    <n v="0"/>
    <n v="0"/>
    <n v="0"/>
    <n v="0"/>
    <n v="0"/>
    <n v="0"/>
    <n v="0"/>
    <n v="0"/>
    <n v="0"/>
    <n v="0"/>
    <n v="0"/>
    <n v="0"/>
    <n v="0"/>
    <n v="0"/>
    <n v="0"/>
    <n v="0"/>
    <n v="1160.3472745012291"/>
    <n v="4061.2154607542998"/>
    <n v="0"/>
    <n v="0"/>
    <n v="2489.8800206169071"/>
    <n v="8714.580072159175"/>
    <n v="0"/>
    <n v="0"/>
    <n v="1675"/>
    <n v="6110.9383275346736"/>
    <n v="0"/>
    <n v="0"/>
    <n v="0"/>
    <n v="0"/>
    <n v="0"/>
    <n v="0"/>
    <n v="0"/>
    <n v="0"/>
    <n v="0"/>
    <n v="0"/>
    <n v="0"/>
    <n v="0"/>
    <n v="0"/>
    <n v="0"/>
    <n v="0"/>
    <n v="0"/>
    <n v="1462"/>
    <n v="5333.8458715556371"/>
    <n v="0"/>
    <n v="0"/>
    <n v="3137"/>
    <n v="11444.784199090311"/>
    <n v="647.11997938309287"/>
    <n v="0.25990006507331975"/>
    <n v="2730.2041269311358"/>
    <n v="0.31329153032323731"/>
  </r>
  <r>
    <x v="6"/>
    <s v="DOMINICANA, REPÚBLICA"/>
    <s v="JUAN JIMENEZ, SRL"/>
    <s v="Consolidado/estratégico"/>
    <s v="BIO0001DO"/>
    <s v="BIORAD-20, 1L"/>
    <n v="1"/>
    <n v="3.5"/>
    <n v="3.6483213895729398"/>
    <n v="0"/>
    <n v="0"/>
    <n v="0"/>
    <n v="0"/>
    <n v="0"/>
    <n v="0"/>
    <n v="0"/>
    <n v="0"/>
    <n v="0"/>
    <n v="0"/>
    <n v="0"/>
    <n v="0"/>
    <n v="0"/>
    <n v="0"/>
    <n v="783.47465396102484"/>
    <n v="2742.1612888635868"/>
    <n v="0"/>
    <n v="0"/>
    <n v="0"/>
    <n v="0"/>
    <n v="0"/>
    <n v="0"/>
    <n v="0"/>
    <n v="0"/>
    <n v="783.47465396102484"/>
    <n v="2742.1612888635868"/>
    <n v="0"/>
    <n v="0"/>
    <n v="0"/>
    <n v="0"/>
    <n v="0"/>
    <n v="0"/>
    <n v="0"/>
    <n v="0"/>
    <n v="0"/>
    <n v="0"/>
    <n v="0"/>
    <n v="0"/>
    <n v="0"/>
    <n v="0"/>
    <n v="987"/>
    <n v="3600.8932115084922"/>
    <n v="0"/>
    <n v="0"/>
    <n v="0"/>
    <n v="0"/>
    <n v="0"/>
    <n v="0"/>
    <n v="0"/>
    <n v="0"/>
    <n v="987"/>
    <n v="3600.8932115084922"/>
    <n v="203.52534603897516"/>
    <n v="0.25977272526942502"/>
    <n v="858.73192264490535"/>
    <n v="0.31315879417172543"/>
  </r>
  <r>
    <x v="6"/>
    <s v="DOMINICANA, REPÚBLICA"/>
    <s v="JUAN JIMENEZ, SRL"/>
    <s v="Consolidado/estratégico"/>
    <s v="BIO0005DO"/>
    <s v="BIORAD-20"/>
    <n v="5"/>
    <n v="2.4700000000000002"/>
    <n v="2.574672523498617"/>
    <n v="0"/>
    <n v="0"/>
    <n v="1424.4993708382269"/>
    <n v="3518.51344597042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.4993708382269"/>
    <n v="3518.5134459704209"/>
    <n v="0"/>
    <n v="0"/>
    <n v="1795"/>
    <n v="4621.5371796800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5"/>
    <n v="4621.5371796800173"/>
    <n v="370.50062916177308"/>
    <n v="0.26009181663854097"/>
    <n v="1103.0237337095964"/>
    <n v="0.31349140784806007"/>
  </r>
  <r>
    <x v="6"/>
    <s v="DOMINICANA, REPÚBLICA"/>
    <s v="JUAN JIMENEZ, SRL"/>
    <s v="Consolidado/estratégico"/>
    <s v="BIO0005DO"/>
    <s v="BIORAD-20, 5L"/>
    <n v="5"/>
    <n v="2.4700000000000002"/>
    <n v="2.574672523498617"/>
    <n v="0"/>
    <n v="0"/>
    <n v="0"/>
    <n v="0"/>
    <n v="0"/>
    <n v="0"/>
    <n v="0"/>
    <n v="0"/>
    <n v="0"/>
    <n v="0"/>
    <n v="0"/>
    <n v="0"/>
    <n v="0"/>
    <n v="0"/>
    <n v="3561.2484270955679"/>
    <n v="8796.2836149260529"/>
    <n v="0"/>
    <n v="0"/>
    <n v="0"/>
    <n v="0"/>
    <n v="0"/>
    <n v="0"/>
    <n v="0"/>
    <n v="0"/>
    <n v="3561.2484270955679"/>
    <n v="8796.2836149260529"/>
    <n v="0"/>
    <n v="0"/>
    <n v="0"/>
    <n v="0"/>
    <n v="0"/>
    <n v="0"/>
    <n v="0"/>
    <n v="0"/>
    <n v="0"/>
    <n v="0"/>
    <n v="0"/>
    <n v="0"/>
    <n v="0"/>
    <n v="0"/>
    <n v="4490"/>
    <n v="11560.27963050879"/>
    <n v="0"/>
    <n v="0"/>
    <n v="0"/>
    <n v="0"/>
    <n v="0"/>
    <n v="0"/>
    <n v="0"/>
    <n v="0"/>
    <n v="4490"/>
    <n v="11560.27963050879"/>
    <n v="928.75157290443212"/>
    <n v="0.26079381765059567"/>
    <n v="2763.9960155827375"/>
    <n v="0.31422315793599764"/>
  </r>
  <r>
    <x v="6"/>
    <s v="DOMINICANA, REPÚBLICA"/>
    <s v="JUAN JIMENEZ, SRL"/>
    <s v="Consolidado/estratégico"/>
    <s v="BIO0005DO"/>
    <s v="BIO-RAD 20"/>
    <n v="5"/>
    <n v="2.4700000000000011"/>
    <n v="2.5746725234986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31.7460242601692"/>
    <n v="8476.4126799226196"/>
    <n v="0"/>
    <n v="0"/>
    <n v="3431.7460242601692"/>
    <n v="8476.4126799226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5"/>
    <n v="11135.45866413152"/>
    <n v="0"/>
    <n v="0"/>
    <n v="4325"/>
    <n v="11135.45866413152"/>
    <n v="893.25397573983082"/>
    <n v="0.26029139960390935"/>
    <n v="2659.0459842089003"/>
    <n v="0.31369944864850241"/>
  </r>
  <r>
    <x v="6"/>
    <s v="DOMINICANA, REPÚBLICA"/>
    <s v="JUAN JIMENEZ, SRL"/>
    <s v="Consolidado/estratégico"/>
    <s v="BIO0020DO"/>
    <s v="BIORAD-20"/>
    <n v="20"/>
    <n v="2.39"/>
    <n v="2.4912823203083789"/>
    <n v="0"/>
    <n v="0"/>
    <n v="949.66624722548465"/>
    <n v="2269.702330868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2269.702330868909"/>
    <n v="0"/>
    <n v="0"/>
    <n v="1200"/>
    <n v="2989.53878437005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2989.5387843700551"/>
    <n v="250.33375277451535"/>
    <n v="0.26360182169881541"/>
    <n v="719.83645350114602"/>
    <n v="0.3171501582877484"/>
  </r>
  <r>
    <x v="6"/>
    <s v="DOMINICANA, REPÚBLICA"/>
    <s v="JUAN JIMENEZ, SRL"/>
    <s v="Consolidado/estratégico"/>
    <s v="BIO0020DO"/>
    <s v="BIORAD-20, 20 L"/>
    <n v="20"/>
    <n v="2.39"/>
    <n v="2.491282320308378"/>
    <n v="0"/>
    <n v="0"/>
    <n v="0"/>
    <n v="0"/>
    <n v="0"/>
    <n v="0"/>
    <n v="0"/>
    <n v="0"/>
    <n v="0"/>
    <n v="0"/>
    <n v="0"/>
    <n v="0"/>
    <n v="0"/>
    <n v="0"/>
    <n v="553.97197754819945"/>
    <n v="1323.993026340197"/>
    <n v="0"/>
    <n v="0"/>
    <n v="0"/>
    <n v="0"/>
    <n v="0"/>
    <n v="0"/>
    <n v="0"/>
    <n v="0"/>
    <n v="553.97197754819945"/>
    <n v="1323.993026340197"/>
    <n v="0"/>
    <n v="0"/>
    <n v="0"/>
    <n v="0"/>
    <n v="0"/>
    <n v="0"/>
    <n v="0"/>
    <n v="0"/>
    <n v="0"/>
    <n v="0"/>
    <n v="0"/>
    <n v="0"/>
    <n v="0"/>
    <n v="0"/>
    <n v="700"/>
    <n v="1743.8976242158651"/>
    <n v="0"/>
    <n v="0"/>
    <n v="0"/>
    <n v="0"/>
    <n v="0"/>
    <n v="0"/>
    <n v="0"/>
    <n v="0"/>
    <n v="700"/>
    <n v="1743.8976242158651"/>
    <n v="146.02802245180055"/>
    <n v="0.26360182169881524"/>
    <n v="419.90459787566806"/>
    <n v="0.31715015828774806"/>
  </r>
  <r>
    <x v="6"/>
    <s v="DOMINICANA, REPÚBLICA"/>
    <s v="JUAN JIMENEZ, SRL"/>
    <s v="Consolidado/estratégico"/>
    <s v="BIO0020DO"/>
    <s v="BIO-RAD 20"/>
    <n v="20"/>
    <n v="2.39"/>
    <n v="2.491282320308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9.9903482459731"/>
    <n v="5664.2769323078765"/>
    <n v="0"/>
    <n v="0"/>
    <n v="2369.9903482459731"/>
    <n v="5664.2769323078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0"/>
    <n v="7424.0213145189682"/>
    <n v="0"/>
    <n v="0"/>
    <n v="2980"/>
    <n v="7424.0213145189682"/>
    <n v="610.00965175402689"/>
    <n v="0.25738908692412787"/>
    <n v="1759.7443822110918"/>
    <n v="0.31067414309739516"/>
  </r>
  <r>
    <x v="6"/>
    <s v="DOMINICANA, REPÚBLICA"/>
    <s v="JUAN JIMENEZ, SRL"/>
    <s v="Consolidado/estratégico"/>
    <s v="C-CU0001DO"/>
    <s v="CODICOBRE"/>
    <n v="1"/>
    <n v="4.830000000000001"/>
    <n v="5.0346835176106577"/>
    <n v="0"/>
    <n v="0"/>
    <n v="783.47465396102484"/>
    <n v="3784.1825786317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784.1825786317499"/>
    <n v="0"/>
    <n v="0"/>
    <n v="839"/>
    <n v="4224.0994712753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"/>
    <n v="4224.0994712753418"/>
    <n v="55.525346038975158"/>
    <n v="7.0870634752834463E-2"/>
    <n v="439.91689264359184"/>
    <n v="0.11625149778123363"/>
  </r>
  <r>
    <x v="6"/>
    <s v="DOMINICANA, REPÚBLICA"/>
    <s v="JUAN JIMENEZ, SRL"/>
    <s v="Consolidado/estratégico"/>
    <s v="C-CU0001DO"/>
    <s v="CODICOBRE, 1 L"/>
    <n v="1"/>
    <n v="4.830000000000001"/>
    <n v="5.0346835176106568"/>
    <n v="0"/>
    <n v="0"/>
    <n v="0"/>
    <n v="0"/>
    <n v="0"/>
    <n v="0"/>
    <n v="0"/>
    <n v="0"/>
    <n v="0"/>
    <n v="0"/>
    <n v="0"/>
    <n v="0"/>
    <n v="0"/>
    <n v="0"/>
    <n v="783.47465396102484"/>
    <n v="3784.1825786317499"/>
    <n v="0"/>
    <n v="0"/>
    <n v="0"/>
    <n v="0"/>
    <n v="0"/>
    <n v="0"/>
    <n v="0"/>
    <n v="0"/>
    <n v="783.47465396102484"/>
    <n v="3784.1825786317499"/>
    <n v="0"/>
    <n v="0"/>
    <n v="0"/>
    <n v="0"/>
    <n v="0"/>
    <n v="0"/>
    <n v="0"/>
    <n v="0"/>
    <n v="0"/>
    <n v="0"/>
    <n v="0"/>
    <n v="0"/>
    <n v="0"/>
    <n v="0"/>
    <n v="839"/>
    <n v="4224.0994712753409"/>
    <n v="0"/>
    <n v="0"/>
    <n v="0"/>
    <n v="0"/>
    <n v="0"/>
    <n v="0"/>
    <n v="0"/>
    <n v="0"/>
    <n v="839"/>
    <n v="4224.0994712753409"/>
    <n v="55.525346038975158"/>
    <n v="7.0870634752834463E-2"/>
    <n v="439.91689264359093"/>
    <n v="0.11625149778123339"/>
  </r>
  <r>
    <x v="6"/>
    <s v="DOMINICANA, REPÚBLICA"/>
    <s v="JUAN JIMENEZ, SRL"/>
    <s v="Consolidado/estratégico"/>
    <s v="C-L0001DO"/>
    <s v="CODIBOR-L, 1 L"/>
    <n v="1"/>
    <n v="5.58"/>
    <n v="5.8164666725191436"/>
    <n v="0"/>
    <n v="0"/>
    <n v="0"/>
    <n v="0"/>
    <n v="0"/>
    <n v="0"/>
    <n v="0"/>
    <n v="0"/>
    <n v="0"/>
    <n v="0"/>
    <n v="0"/>
    <n v="0"/>
    <n v="0"/>
    <n v="0"/>
    <n v="783.47465396102484"/>
    <n v="4371.7885691025194"/>
    <n v="0"/>
    <n v="0"/>
    <n v="0"/>
    <n v="0"/>
    <n v="0"/>
    <n v="0"/>
    <n v="0"/>
    <n v="0"/>
    <n v="783.47465396102484"/>
    <n v="4371.7885691025194"/>
    <n v="0"/>
    <n v="0"/>
    <n v="0"/>
    <n v="0"/>
    <n v="0"/>
    <n v="0"/>
    <n v="0"/>
    <n v="0"/>
    <n v="0"/>
    <n v="0"/>
    <n v="0"/>
    <n v="0"/>
    <n v="0"/>
    <n v="0"/>
    <n v="839"/>
    <n v="4880.0155382435614"/>
    <n v="0"/>
    <n v="0"/>
    <n v="0"/>
    <n v="0"/>
    <n v="0"/>
    <n v="0"/>
    <n v="0"/>
    <n v="0"/>
    <n v="839"/>
    <n v="4880.0155382435614"/>
    <n v="55.525346038975158"/>
    <n v="7.0870634752834463E-2"/>
    <n v="508.22696914104199"/>
    <n v="0.11625149778123316"/>
  </r>
  <r>
    <x v="6"/>
    <s v="DOMINICANA, REPÚBLICA"/>
    <s v="JUAN JIMENEZ, SRL"/>
    <s v="Consolidado/estratégico"/>
    <s v="C-L0001DO"/>
    <s v="CODIBOR-L"/>
    <n v="1"/>
    <n v="5.58"/>
    <n v="5.8164666725191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1586.945537185504"/>
    <n v="0"/>
    <n v="0"/>
    <n v="284.39884178951678"/>
    <n v="1586.945537185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1774.0223351183381"/>
    <n v="0"/>
    <n v="0"/>
    <n v="305"/>
    <n v="1774.0223351183381"/>
    <n v="20.60115821048322"/>
    <n v="7.2437560156205241E-2"/>
    <n v="187.0767979328341"/>
    <n v="0.11788482562837063"/>
  </r>
  <r>
    <x v="6"/>
    <s v="DOMINICANA, REPÚBLICA"/>
    <s v="JUAN JIMENEZ, SRL"/>
    <s v="Consolidado/estratégico"/>
    <s v="C-MB0001DO"/>
    <s v="CODIFOL-MB, 1 L"/>
    <n v="1"/>
    <n v="0"/>
    <n v="0"/>
    <n v="0"/>
    <n v="0"/>
    <n v="0"/>
    <n v="0"/>
    <n v="0"/>
    <n v="0"/>
    <n v="0"/>
    <n v="0"/>
    <n v="0"/>
    <n v="0"/>
    <n v="0"/>
    <n v="0"/>
    <n v="0"/>
    <n v="0"/>
    <n v="11.870828090318559"/>
    <n v="0"/>
    <n v="0"/>
    <n v="0"/>
    <n v="0"/>
    <n v="0"/>
    <n v="0"/>
    <n v="0"/>
    <n v="0"/>
    <n v="0"/>
    <n v="11.870828090318559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13"/>
    <n v="0"/>
    <n v="1.1291719096814408"/>
    <n v="9.5121578805639914E-2"/>
    <n v="0"/>
    <n v="0"/>
  </r>
  <r>
    <x v="6"/>
    <s v="DOMINICANA, REPÚBLICA"/>
    <s v="JUAN JIMENEZ, SRL"/>
    <s v="Consolidado/estratégico"/>
    <s v="F-A0001DO"/>
    <s v="FITOLIN-AGRO"/>
    <n v="1"/>
    <n v="5.3"/>
    <n v="5.5253759088861116"/>
    <n v="0"/>
    <n v="0"/>
    <n v="5709.868311443227"/>
    <n v="30262.302050649101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5024.3795382814633"/>
    <n v="0"/>
    <n v="0"/>
    <n v="6657.8644507416166"/>
    <n v="35286.681588930565"/>
    <n v="0"/>
    <n v="0"/>
    <n v="6114"/>
    <n v="33782.934878675478"/>
    <n v="0"/>
    <n v="0"/>
    <n v="0"/>
    <n v="0"/>
    <n v="0"/>
    <n v="0"/>
    <n v="0"/>
    <n v="0"/>
    <n v="0"/>
    <n v="0"/>
    <n v="0"/>
    <n v="0"/>
    <n v="0"/>
    <n v="0"/>
    <n v="0"/>
    <n v="0"/>
    <n v="1015"/>
    <n v="5607.469975773608"/>
    <n v="0"/>
    <n v="0"/>
    <n v="7129"/>
    <n v="39390.404854449087"/>
    <n v="471.13554925838343"/>
    <n v="7.0763764078420652E-2"/>
    <n v="4103.7232655185217"/>
    <n v="0.11629666153719198"/>
  </r>
  <r>
    <x v="6"/>
    <s v="DOMINICANA, REPÚBLICA"/>
    <s v="JUAN JIMENEZ, SRL"/>
    <s v="Consolidado/estratégico"/>
    <s v="F-A0005DO"/>
    <s v="FITOLIN-AGRO"/>
    <n v="5"/>
    <n v="4.6063767157156432"/>
    <n v="4.8016216103401979"/>
    <n v="0"/>
    <n v="0"/>
    <n v="751.81911238684211"/>
    <n v="3413.258770236263"/>
    <n v="0"/>
    <n v="0"/>
    <n v="0"/>
    <n v="0"/>
    <n v="0"/>
    <n v="0"/>
    <n v="0"/>
    <n v="0"/>
    <n v="0"/>
    <n v="0"/>
    <n v="0"/>
    <n v="0"/>
    <n v="0"/>
    <n v="0"/>
    <n v="0"/>
    <n v="0"/>
    <n v="1421.994208947584"/>
    <n v="6600.1442974711244"/>
    <n v="0"/>
    <n v="0"/>
    <n v="2173.8133213344263"/>
    <n v="10013.403067707388"/>
    <n v="0"/>
    <n v="0"/>
    <n v="805"/>
    <n v="3809.5771949920641"/>
    <n v="0"/>
    <n v="0"/>
    <n v="0"/>
    <n v="0"/>
    <n v="0"/>
    <n v="0"/>
    <n v="0"/>
    <n v="0"/>
    <n v="0"/>
    <n v="0"/>
    <n v="0"/>
    <n v="0"/>
    <n v="0"/>
    <n v="0"/>
    <n v="0"/>
    <n v="0"/>
    <n v="1525"/>
    <n v="7378.2011571005969"/>
    <n v="0"/>
    <n v="0"/>
    <n v="2330"/>
    <n v="11187.77835209266"/>
    <n v="156.18667866557371"/>
    <n v="7.1849168064577085E-2"/>
    <n v="1174.3752843852726"/>
    <n v="0.11728033680902759"/>
  </r>
  <r>
    <x v="6"/>
    <s v="DOMINICANA, REPÚBLICA"/>
    <s v="JUAN JIMENEZ, SRL"/>
    <s v="Consolidado/estratégico"/>
    <s v="F-A0005DO"/>
    <s v="FITOLIN-AGRO, 5 L"/>
    <n v="5"/>
    <n v="4.7699999999999996"/>
    <n v="4.9721408652179777"/>
    <n v="0"/>
    <n v="0"/>
    <n v="0"/>
    <n v="0"/>
    <n v="0"/>
    <n v="0"/>
    <n v="0"/>
    <n v="0"/>
    <n v="0"/>
    <n v="0"/>
    <n v="0"/>
    <n v="0"/>
    <n v="0"/>
    <n v="0"/>
    <n v="593.54140451592798"/>
    <n v="2831.1924995409759"/>
    <n v="0"/>
    <n v="0"/>
    <n v="0"/>
    <n v="0"/>
    <n v="0"/>
    <n v="0"/>
    <n v="0"/>
    <n v="0"/>
    <n v="593.54140451592798"/>
    <n v="2831.1924995409759"/>
    <n v="0"/>
    <n v="0"/>
    <n v="0"/>
    <n v="0"/>
    <n v="0"/>
    <n v="0"/>
    <n v="0"/>
    <n v="0"/>
    <n v="0"/>
    <n v="0"/>
    <n v="0"/>
    <n v="0"/>
    <n v="0"/>
    <n v="0"/>
    <n v="635"/>
    <n v="3157.3094494134161"/>
    <n v="0"/>
    <n v="0"/>
    <n v="0"/>
    <n v="0"/>
    <n v="0"/>
    <n v="0"/>
    <n v="0"/>
    <n v="0"/>
    <n v="635"/>
    <n v="3157.3094494134161"/>
    <n v="41.458595484072021"/>
    <n v="6.9849542371663575E-2"/>
    <n v="326.11694987244027"/>
    <n v="0.11518713401696068"/>
  </r>
  <r>
    <x v="6"/>
    <s v="DOMINICANA, REPÚBLICA"/>
    <s v="JUAN JIMENEZ, SRL"/>
    <s v="Consolidado/estratégico"/>
    <s v="FLOR0001DO"/>
    <s v="FLORAMEC"/>
    <n v="1"/>
    <n v="3.83"/>
    <n v="3.992305977732673"/>
    <n v="0"/>
    <n v="0"/>
    <n v="712.24968541911358"/>
    <n v="2727.9162951552048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2904.6601708102648"/>
    <n v="0"/>
    <n v="0"/>
    <n v="1470.646596857825"/>
    <n v="5632.5764659654697"/>
    <n v="0"/>
    <n v="0"/>
    <n v="774"/>
    <n v="3090.0448267650891"/>
    <n v="0"/>
    <n v="0"/>
    <n v="0"/>
    <n v="0"/>
    <n v="0"/>
    <n v="0"/>
    <n v="0"/>
    <n v="0"/>
    <n v="0"/>
    <n v="0"/>
    <n v="0"/>
    <n v="0"/>
    <n v="0"/>
    <n v="0"/>
    <n v="0"/>
    <n v="0"/>
    <n v="824"/>
    <n v="3289.6601256517229"/>
    <n v="0"/>
    <n v="0"/>
    <n v="1598"/>
    <n v="6379.7049524168124"/>
    <n v="127.35340314217501"/>
    <n v="8.6596877464835909E-2"/>
    <n v="747.12848645134272"/>
    <n v="0.13264417997089345"/>
  </r>
  <r>
    <x v="6"/>
    <s v="DOMINICANA, REPÚBLICA"/>
    <s v="JUAN JIMENEZ, SRL"/>
    <s v="Consolidado/estratégico"/>
    <s v="FLOR0001DO"/>
    <s v="FLORAMEC, 1 LTR."/>
    <n v="1"/>
    <n v="3.83"/>
    <n v="3.992305977732673"/>
    <n v="0"/>
    <n v="0"/>
    <n v="0"/>
    <n v="0"/>
    <n v="0"/>
    <n v="0"/>
    <n v="0"/>
    <n v="0"/>
    <n v="0"/>
    <n v="0"/>
    <n v="0"/>
    <n v="0"/>
    <n v="0"/>
    <n v="0"/>
    <n v="1187.082809031856"/>
    <n v="4546.5271585920082"/>
    <n v="0"/>
    <n v="0"/>
    <n v="0"/>
    <n v="0"/>
    <n v="0"/>
    <n v="0"/>
    <n v="0"/>
    <n v="0"/>
    <n v="1187.082809031856"/>
    <n v="4546.5271585920082"/>
    <n v="0"/>
    <n v="0"/>
    <n v="0"/>
    <n v="0"/>
    <n v="0"/>
    <n v="0"/>
    <n v="0"/>
    <n v="0"/>
    <n v="0"/>
    <n v="0"/>
    <n v="0"/>
    <n v="0"/>
    <n v="0"/>
    <n v="0"/>
    <n v="1290"/>
    <n v="5150.0747112751487"/>
    <n v="0"/>
    <n v="0"/>
    <n v="0"/>
    <n v="0"/>
    <n v="0"/>
    <n v="0"/>
    <n v="0"/>
    <n v="0"/>
    <n v="1290"/>
    <n v="5150.0747112751487"/>
    <n v="102.91719096814404"/>
    <n v="8.6697566660981107E-2"/>
    <n v="603.54755268314057"/>
    <n v="0.13274913612746356"/>
  </r>
  <r>
    <x v="6"/>
    <s v="DOMINICANA, REPÚBLICA"/>
    <s v="JUAN JIMENEZ, SRL"/>
    <s v="Consolidado/estratégico"/>
    <s v="FU0001DO"/>
    <s v="FULVIGIN"/>
    <n v="1"/>
    <n v="4.1999999999999993"/>
    <n v="4.3779856674875282"/>
    <n v="0"/>
    <n v="0"/>
    <n v="166.19159326445981"/>
    <n v="698.00469171073132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1990.7918925266181"/>
    <n v="0"/>
    <n v="0"/>
    <n v="640.1896629136545"/>
    <n v="2688.7965842373496"/>
    <n v="0"/>
    <n v="0"/>
    <n v="178"/>
    <n v="779.28144881278013"/>
    <n v="0"/>
    <n v="0"/>
    <n v="0"/>
    <n v="0"/>
    <n v="0"/>
    <n v="0"/>
    <n v="0"/>
    <n v="0"/>
    <n v="0"/>
    <n v="0"/>
    <n v="0"/>
    <n v="0"/>
    <n v="0"/>
    <n v="0"/>
    <n v="0"/>
    <n v="0"/>
    <n v="508"/>
    <n v="2224.0167190836642"/>
    <n v="0"/>
    <n v="0"/>
    <n v="686"/>
    <n v="3003.2981678964443"/>
    <n v="45.810337086345498"/>
    <n v="7.1557445769823619E-2"/>
    <n v="314.50158365909465"/>
    <n v="0.1169674141594835"/>
  </r>
  <r>
    <x v="6"/>
    <s v="DOMINICANA, REPÚBLICA"/>
    <s v="JUAN JIMENEZ, SRL"/>
    <s v="Consolidado/estratégico"/>
    <s v="FU0001DO"/>
    <s v="FULVIGIN, 1 L"/>
    <n v="1"/>
    <n v="4.2"/>
    <n v="4.3779856674875273"/>
    <n v="0"/>
    <n v="0"/>
    <n v="0"/>
    <n v="0"/>
    <n v="0"/>
    <n v="0"/>
    <n v="0"/>
    <n v="0"/>
    <n v="0"/>
    <n v="0"/>
    <n v="0"/>
    <n v="0"/>
    <n v="0"/>
    <n v="0"/>
    <n v="783.47465396102484"/>
    <n v="3290.5935466363039"/>
    <n v="0"/>
    <n v="0"/>
    <n v="0"/>
    <n v="0"/>
    <n v="0"/>
    <n v="0"/>
    <n v="0"/>
    <n v="0"/>
    <n v="783.47465396102484"/>
    <n v="3290.5935466363039"/>
    <n v="0"/>
    <n v="0"/>
    <n v="0"/>
    <n v="0"/>
    <n v="0"/>
    <n v="0"/>
    <n v="0"/>
    <n v="0"/>
    <n v="0"/>
    <n v="0"/>
    <n v="0"/>
    <n v="0"/>
    <n v="0"/>
    <n v="0"/>
    <n v="839"/>
    <n v="3673.1299750220351"/>
    <n v="0"/>
    <n v="0"/>
    <n v="0"/>
    <n v="0"/>
    <n v="0"/>
    <n v="0"/>
    <n v="0"/>
    <n v="0"/>
    <n v="839"/>
    <n v="3673.1299750220351"/>
    <n v="55.525346038975158"/>
    <n v="7.0870634752834463E-2"/>
    <n v="382.53642838573114"/>
    <n v="0.11625149778123338"/>
  </r>
  <r>
    <x v="6"/>
    <s v="DOMINICANA, REPÚBLICA"/>
    <s v="JUAN JIMENEZ, SRL"/>
    <s v="Consolidado/estratégico"/>
    <s v="G30001DO"/>
    <s v="GREEN-UP, 1 L"/>
    <n v="1"/>
    <n v="6.22"/>
    <n v="6.4835882980410524"/>
    <n v="0"/>
    <n v="0"/>
    <n v="0"/>
    <n v="0"/>
    <n v="0"/>
    <n v="0"/>
    <n v="0"/>
    <n v="0"/>
    <n v="0"/>
    <n v="0"/>
    <n v="0"/>
    <n v="0"/>
    <n v="0"/>
    <n v="0"/>
    <n v="510.44560788369802"/>
    <n v="3174.9716810366021"/>
    <n v="0"/>
    <n v="0"/>
    <n v="0"/>
    <n v="0"/>
    <n v="0"/>
    <n v="0"/>
    <n v="0"/>
    <n v="0"/>
    <n v="510.44560788369802"/>
    <n v="3174.9716810366021"/>
    <n v="0"/>
    <n v="0"/>
    <n v="0"/>
    <n v="0"/>
    <n v="0"/>
    <n v="0"/>
    <n v="0"/>
    <n v="0"/>
    <n v="0"/>
    <n v="0"/>
    <n v="0"/>
    <n v="0"/>
    <n v="0"/>
    <n v="0"/>
    <n v="563"/>
    <n v="3650.2602117971119"/>
    <n v="0"/>
    <n v="0"/>
    <n v="0"/>
    <n v="0"/>
    <n v="0"/>
    <n v="0"/>
    <n v="0"/>
    <n v="0"/>
    <n v="563"/>
    <n v="3650.2602117971119"/>
    <n v="52.554392116301983"/>
    <n v="0.10295786917276441"/>
    <n v="475.28853076050973"/>
    <n v="0.14969851025736769"/>
  </r>
  <r>
    <x v="6"/>
    <s v="DOMINICANA, REPÚBLICA"/>
    <s v="JUAN JIMENEZ, SRL"/>
    <s v="Consolidado/estratégico"/>
    <s v="JF0001DO"/>
    <s v="CODIGIN-FOS"/>
    <n v="1"/>
    <n v="3.76"/>
    <n v="3.9193395499412138"/>
    <n v="0"/>
    <n v="0"/>
    <n v="106.837452812867"/>
    <n v="401.70882257637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37452812867"/>
    <n v="401.70882257637999"/>
    <n v="0"/>
    <n v="0"/>
    <n v="114"/>
    <n v="446.80470869329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446.80470869329838"/>
    <n v="7.1625471871330006"/>
    <n v="6.7041538323444352E-2"/>
    <n v="45.095886116918393"/>
    <n v="0.11226013366520962"/>
  </r>
  <r>
    <x v="6"/>
    <s v="DOMINICANA, REPÚBLICA"/>
    <s v="JUAN JIMENEZ, SRL"/>
    <s v="Consolidado/estratégico"/>
    <s v="LP0001DO"/>
    <s v="LAVAPLANT GRANEL"/>
    <n v="1"/>
    <n v="4.6111595310907232"/>
    <n v="4.806569128003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8742.7228663259539"/>
    <n v="0"/>
    <n v="0"/>
    <n v="1895.992278596779"/>
    <n v="8742.7228663259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1"/>
    <n v="9762.1418989746198"/>
    <n v="0"/>
    <n v="0"/>
    <n v="2031"/>
    <n v="9762.1418989746198"/>
    <n v="135.00772140322101"/>
    <n v="7.1206894103566717E-2"/>
    <n v="1019.419032648666"/>
    <n v="0.11660200697601057"/>
  </r>
  <r>
    <x v="6"/>
    <s v="DOMINICANA, REPÚBLICA"/>
    <s v="JUAN JIMENEZ, SRL"/>
    <s v="Consolidado/estratégico"/>
    <s v="LP0005DO"/>
    <s v="LAVAPLANT, 5 L"/>
    <n v="5"/>
    <n v="3.7399999999999989"/>
    <n v="3.8984919991436549"/>
    <n v="0"/>
    <n v="0"/>
    <n v="0"/>
    <n v="0"/>
    <n v="0"/>
    <n v="0"/>
    <n v="0"/>
    <n v="0"/>
    <n v="0"/>
    <n v="0"/>
    <n v="0"/>
    <n v="0"/>
    <n v="0"/>
    <n v="0"/>
    <n v="39.569426967728532"/>
    <n v="147.98965685930469"/>
    <n v="0"/>
    <n v="0"/>
    <n v="0"/>
    <n v="0"/>
    <n v="0"/>
    <n v="0"/>
    <n v="0"/>
    <n v="0"/>
    <n v="39.569426967728532"/>
    <n v="147.98965685930469"/>
    <n v="0"/>
    <n v="0"/>
    <n v="0"/>
    <n v="0"/>
    <n v="0"/>
    <n v="0"/>
    <n v="0"/>
    <n v="0"/>
    <n v="0"/>
    <n v="0"/>
    <n v="0"/>
    <n v="0"/>
    <n v="0"/>
    <n v="0"/>
    <n v="40"/>
    <n v="155.93967996574619"/>
    <n v="0"/>
    <n v="0"/>
    <n v="0"/>
    <n v="0"/>
    <n v="0"/>
    <n v="0"/>
    <n v="0"/>
    <n v="0"/>
    <n v="40"/>
    <n v="155.93967996574619"/>
    <n v="0.43057303227146804"/>
    <n v="1.0881457359052195E-2"/>
    <n v="7.9500231064415061"/>
    <n v="5.3720126630198733E-2"/>
  </r>
  <r>
    <x v="6"/>
    <s v="DOMINICANA, REPÚBLICA"/>
    <s v="JUAN JIMENEZ, SRL"/>
    <s v="Consolidado/estratégico"/>
    <s v="LP0005DO"/>
    <s v="LAVAPLANT GRANEL"/>
    <n v="5"/>
    <n v="3.74"/>
    <n v="3.8984919991436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1772.752780487988"/>
    <n v="0"/>
    <n v="0"/>
    <n v="473.99806964919469"/>
    <n v="1772.752780487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1988.230919563264"/>
    <n v="0"/>
    <n v="0"/>
    <n v="510"/>
    <n v="1988.230919563264"/>
    <n v="36.00193035080531"/>
    <n v="7.5953748878028735E-2"/>
    <n v="215.47813907527598"/>
    <n v="0.12155002177797235"/>
  </r>
  <r>
    <x v="6"/>
    <s v="DOMINICANA, REPÚBLICA"/>
    <s v="JUAN JIMENEZ, SRL"/>
    <s v="Consolidado/estratégico"/>
    <s v="MPH0001DO"/>
    <s v="MOJALINE"/>
    <n v="1"/>
    <n v="3.15"/>
    <n v="3.283489250615645"/>
    <n v="0"/>
    <n v="0"/>
    <n v="154.32076517414129"/>
    <n v="486.11041029854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32076517414129"/>
    <n v="486.11041029854488"/>
    <n v="0"/>
    <n v="0"/>
    <n v="165"/>
    <n v="541.77572635158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"/>
    <n v="541.77572635158151"/>
    <n v="10.679234825858714"/>
    <n v="6.9201541437458977E-2"/>
    <n v="55.665316053036634"/>
    <n v="0.11451167239732586"/>
  </r>
  <r>
    <x v="6"/>
    <s v="DOMINICANA, REPÚBLICA"/>
    <s v="JUAN JIMENEZ, SRL"/>
    <s v="Consolidado/estratégico"/>
    <s v="MPH0001DO"/>
    <s v="MOJALINE NL, 1 L"/>
    <n v="1"/>
    <n v="3.1500000000000008"/>
    <n v="3.2834892506156459"/>
    <n v="0"/>
    <n v="0"/>
    <n v="0"/>
    <n v="0"/>
    <n v="0"/>
    <n v="0"/>
    <n v="0"/>
    <n v="0"/>
    <n v="0"/>
    <n v="0"/>
    <n v="0"/>
    <n v="0"/>
    <n v="0"/>
    <n v="0"/>
    <n v="866.57045059325469"/>
    <n v="2729.6969193687528"/>
    <n v="0"/>
    <n v="0"/>
    <n v="0"/>
    <n v="0"/>
    <n v="0"/>
    <n v="0"/>
    <n v="0"/>
    <n v="0"/>
    <n v="866.57045059325469"/>
    <n v="2729.6969193687528"/>
    <n v="0"/>
    <n v="0"/>
    <n v="0"/>
    <n v="0"/>
    <n v="0"/>
    <n v="0"/>
    <n v="0"/>
    <n v="0"/>
    <n v="0"/>
    <n v="0"/>
    <n v="0"/>
    <n v="0"/>
    <n v="0"/>
    <n v="0"/>
    <n v="928"/>
    <n v="3047.078024571319"/>
    <n v="0"/>
    <n v="0"/>
    <n v="0"/>
    <n v="0"/>
    <n v="0"/>
    <n v="0"/>
    <n v="0"/>
    <n v="0"/>
    <n v="928"/>
    <n v="3047.078024571319"/>
    <n v="61.429549406745309"/>
    <n v="7.0888119211416217E-2"/>
    <n v="317.38110520256623"/>
    <n v="0.11626972318815569"/>
  </r>
  <r>
    <x v="6"/>
    <s v="DOMINICANA, REPÚBLICA"/>
    <s v="JUAN JIMENEZ, SRL"/>
    <s v="Consolidado/estratégico"/>
    <s v="MPH0001DO"/>
    <s v="MOJALINE NL"/>
    <n v="1"/>
    <n v="3.15"/>
    <n v="3.283489250615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3.99806964919469"/>
    <n v="1493.093919394963"/>
    <n v="0"/>
    <n v="0"/>
    <n v="473.99806964919469"/>
    <n v="1493.093919394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"/>
    <n v="1668.012539312748"/>
    <n v="0"/>
    <n v="0"/>
    <n v="508"/>
    <n v="1668.012539312748"/>
    <n v="34.00193035080531"/>
    <n v="7.1734322411840398E-2"/>
    <n v="174.91861991778501"/>
    <n v="0.1171517863984512"/>
  </r>
  <r>
    <x v="6"/>
    <s v="DOMINICANA, REPÚBLICA"/>
    <s v="JUAN JIMENEZ, SRL"/>
    <s v="Consolidado/estratégico"/>
    <s v="MPH0005DO"/>
    <s v="MOJALINE NL, 5 L"/>
    <n v="5"/>
    <n v="2.8"/>
    <n v="2.918657111658352"/>
    <n v="0"/>
    <n v="0"/>
    <n v="0"/>
    <n v="0"/>
    <n v="0"/>
    <n v="0"/>
    <n v="0"/>
    <n v="0"/>
    <n v="0"/>
    <n v="0"/>
    <n v="0"/>
    <n v="0"/>
    <n v="0"/>
    <n v="0"/>
    <n v="276.98598877409972"/>
    <n v="775.56076856747916"/>
    <n v="0"/>
    <n v="0"/>
    <n v="0"/>
    <n v="0"/>
    <n v="0"/>
    <n v="0"/>
    <n v="0"/>
    <n v="0"/>
    <n v="276.98598877409972"/>
    <n v="775.56076856747916"/>
    <n v="0"/>
    <n v="0"/>
    <n v="0"/>
    <n v="0"/>
    <n v="0"/>
    <n v="0"/>
    <n v="0"/>
    <n v="0"/>
    <n v="0"/>
    <n v="0"/>
    <n v="0"/>
    <n v="0"/>
    <n v="0"/>
    <n v="0"/>
    <n v="295"/>
    <n v="861.00384793921376"/>
    <n v="0"/>
    <n v="0"/>
    <n v="0"/>
    <n v="0"/>
    <n v="0"/>
    <n v="0"/>
    <n v="0"/>
    <n v="0"/>
    <n v="295"/>
    <n v="861.00384793921376"/>
    <n v="18.014011225900276"/>
    <n v="6.5035821146144271E-2"/>
    <n v="85.443079371734598"/>
    <n v="0.11016941912824521"/>
  </r>
  <r>
    <x v="6"/>
    <s v="DOMINICANA, REPÚBLICA"/>
    <s v="JUAN JIMENEZ, SRL"/>
    <s v="Consolidado/estratégico"/>
    <s v="MPH0005DO"/>
    <s v="MOJALINE NL"/>
    <n v="5"/>
    <n v="2.8"/>
    <n v="2.918657111658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.39884178951678"/>
    <n v="796.31675701064705"/>
    <n v="0"/>
    <n v="0"/>
    <n v="284.39884178951678"/>
    <n v="796.316757010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"/>
    <n v="890.19041905579718"/>
    <n v="0"/>
    <n v="0"/>
    <n v="305"/>
    <n v="890.19041905579718"/>
    <n v="20.60115821048322"/>
    <n v="7.2437560156205241E-2"/>
    <n v="93.873662045150127"/>
    <n v="0.11788482562837115"/>
  </r>
  <r>
    <x v="6"/>
    <s v="DOMINICANA, REPÚBLICA"/>
    <s v="JUAN JIMENEZ, SRL"/>
    <s v="Consolidado/estratégico"/>
    <s v="PK500001DO"/>
    <s v="POLIFRUIT K50, 1 L"/>
    <n v="1"/>
    <n v="0"/>
    <n v="0"/>
    <n v="0"/>
    <n v="0"/>
    <n v="0"/>
    <n v="0"/>
    <n v="0"/>
    <n v="0"/>
    <n v="0"/>
    <n v="0"/>
    <n v="0"/>
    <n v="0"/>
    <n v="0"/>
    <n v="0"/>
    <n v="0"/>
    <n v="0"/>
    <n v="23.741656180637118"/>
    <n v="0"/>
    <n v="0"/>
    <n v="0"/>
    <n v="0"/>
    <n v="0"/>
    <n v="0"/>
    <n v="0"/>
    <n v="0"/>
    <n v="0"/>
    <n v="23.741656180637118"/>
    <n v="0"/>
    <n v="0"/>
    <n v="0"/>
    <n v="0"/>
    <n v="0"/>
    <n v="0"/>
    <n v="0"/>
    <n v="0"/>
    <n v="0"/>
    <n v="0"/>
    <n v="0"/>
    <n v="0"/>
    <n v="0"/>
    <n v="0"/>
    <n v="0"/>
    <n v="26"/>
    <n v="0"/>
    <n v="0"/>
    <n v="0"/>
    <n v="0"/>
    <n v="0"/>
    <n v="0"/>
    <n v="0"/>
    <n v="0"/>
    <n v="0"/>
    <n v="26"/>
    <n v="0"/>
    <n v="2.2583438193628815"/>
    <n v="9.5121578805639914E-2"/>
    <n v="0"/>
    <n v="0"/>
  </r>
  <r>
    <x v="6"/>
    <s v="DOMINICANA, REPÚBLICA"/>
    <s v="JUAN JIMENEZ, SRL"/>
    <s v="Consolidado/estratégico"/>
    <s v="PT0001DO"/>
    <s v="AGROPOTASION"/>
    <n v="1"/>
    <n v="4.16"/>
    <n v="4.3377766147498082"/>
    <n v="0"/>
    <n v="0"/>
    <n v="2647.1946641410391"/>
    <n v="11012.32980282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7.1946641410391"/>
    <n v="11012.32980282672"/>
    <n v="0"/>
    <n v="0"/>
    <n v="2918"/>
    <n v="12657.63216183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8"/>
    <n v="12657.63216183994"/>
    <n v="270.80533585896092"/>
    <n v="0.10229898825624588"/>
    <n v="1645.3023590132198"/>
    <n v="0.14940547445199945"/>
  </r>
  <r>
    <x v="6"/>
    <s v="DOMINICANA, REPÚBLICA"/>
    <s v="JUAN JIMENEZ, SRL"/>
    <s v="Consolidado/estratégico"/>
    <s v="PT0001DO"/>
    <s v="AGROPOTASION, 1 L"/>
    <n v="1"/>
    <n v="4.16"/>
    <n v="4.3371490672913167"/>
    <n v="0"/>
    <n v="0"/>
    <n v="0"/>
    <n v="0"/>
    <n v="0"/>
    <n v="0"/>
    <n v="0"/>
    <n v="0"/>
    <n v="0"/>
    <n v="0"/>
    <n v="0"/>
    <n v="0"/>
    <n v="0"/>
    <n v="0"/>
    <n v="4582.1396428629632"/>
    <n v="19061.700914309931"/>
    <n v="0"/>
    <n v="0"/>
    <n v="0"/>
    <n v="0"/>
    <n v="0"/>
    <n v="0"/>
    <n v="0"/>
    <n v="0"/>
    <n v="4582.1396428629632"/>
    <n v="19061.700914309931"/>
    <n v="0"/>
    <n v="0"/>
    <n v="0"/>
    <n v="0"/>
    <n v="0"/>
    <n v="0"/>
    <n v="0"/>
    <n v="0"/>
    <n v="0"/>
    <n v="0"/>
    <n v="0"/>
    <n v="0"/>
    <n v="0"/>
    <n v="0"/>
    <n v="5051"/>
    <n v="21906.939938888441"/>
    <n v="0"/>
    <n v="0"/>
    <n v="0"/>
    <n v="0"/>
    <n v="0"/>
    <n v="0"/>
    <n v="0"/>
    <n v="0"/>
    <n v="5051"/>
    <n v="21906.939938888441"/>
    <n v="468.86035713703677"/>
    <n v="0.10232345447335352"/>
    <n v="2845.23902457851"/>
    <n v="0.14926469769770348"/>
  </r>
  <r>
    <x v="6"/>
    <s v="DOMINICANA, REPÚBLICA"/>
    <s v="JUAN JIMENEZ, SRL"/>
    <s v="Consolidado/estratégico"/>
    <s v="PT0001DO"/>
    <s v="AGRO-POTASION"/>
    <n v="1"/>
    <n v="4.16"/>
    <n v="4.3362905658924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887.3278789625992"/>
    <n v="0"/>
    <n v="0"/>
    <n v="1895.992278596779"/>
    <n v="7887.3278789625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0"/>
    <n v="9062.8472827151327"/>
    <n v="0"/>
    <n v="0"/>
    <n v="2090"/>
    <n v="9062.8472827151327"/>
    <n v="194.00772140322101"/>
    <n v="0.10232516429170578"/>
    <n v="1175.5194037525334"/>
    <n v="0.14903899289998157"/>
  </r>
  <r>
    <x v="6"/>
    <s v="DOMINICANA, REPÚBLICA"/>
    <s v="JUAN JIMENEZ, SRL"/>
    <s v="Consolidado/estratégico"/>
    <s v="PT0005DO"/>
    <s v="AGROPOTASION, 5 L"/>
    <n v="5"/>
    <n v="3.21"/>
    <n v="3.3460319030083241"/>
    <n v="0"/>
    <n v="0"/>
    <n v="0"/>
    <n v="0"/>
    <n v="0"/>
    <n v="0"/>
    <n v="0"/>
    <n v="0"/>
    <n v="0"/>
    <n v="0"/>
    <n v="0"/>
    <n v="0"/>
    <n v="0"/>
    <n v="0"/>
    <n v="1147.513382064127"/>
    <n v="3683.5179564258492"/>
    <n v="0"/>
    <n v="0"/>
    <n v="0"/>
    <n v="0"/>
    <n v="0"/>
    <n v="0"/>
    <n v="0"/>
    <n v="0"/>
    <n v="1147.513382064127"/>
    <n v="3683.5179564258492"/>
    <n v="0"/>
    <n v="0"/>
    <n v="0"/>
    <n v="0"/>
    <n v="0"/>
    <n v="0"/>
    <n v="0"/>
    <n v="0"/>
    <n v="0"/>
    <n v="0"/>
    <n v="0"/>
    <n v="0"/>
    <n v="0"/>
    <n v="0"/>
    <n v="1270"/>
    <n v="4249.4605168205717"/>
    <n v="0"/>
    <n v="0"/>
    <n v="0"/>
    <n v="0"/>
    <n v="0"/>
    <n v="0"/>
    <n v="0"/>
    <n v="0"/>
    <n v="1270"/>
    <n v="4249.4605168205717"/>
    <n v="122.48661793587303"/>
    <n v="0.10674090590172138"/>
    <n v="565.94256039472248"/>
    <n v="0.15364186277616565"/>
  </r>
  <r>
    <x v="6"/>
    <s v="DOMINICANA, REPÚBLICA"/>
    <s v="JUAN JIMENEZ, SRL"/>
    <s v="Consolidado/estratégico"/>
    <s v="PT0005DO"/>
    <s v="AGRO-POTASION"/>
    <n v="5"/>
    <n v="3.21"/>
    <n v="3.346031903008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.99613929838938"/>
    <n v="3043.0676071478301"/>
    <n v="0"/>
    <n v="0"/>
    <n v="947.99613929838938"/>
    <n v="3043.0676071478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5"/>
    <n v="3496.6033386436989"/>
    <n v="0"/>
    <n v="0"/>
    <n v="1045"/>
    <n v="3496.6033386436989"/>
    <n v="97.00386070161062"/>
    <n v="0.10232516429170592"/>
    <n v="453.53573149586873"/>
    <n v="0.14903899289998138"/>
  </r>
  <r>
    <x v="6"/>
    <s v="DOMINICANA, REPÚBLICA"/>
    <s v="JUAN JIMENEZ, SRL"/>
    <s v="Consolidado/estratégico"/>
    <s v="RUN0001DO"/>
    <s v="RUN STRESS"/>
    <n v="1"/>
    <n v="8.1"/>
    <n v="8.4432580730116591"/>
    <n v="0"/>
    <n v="0"/>
    <n v="94.966624722548474"/>
    <n v="769.22966025264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66624722548474"/>
    <n v="769.22966025264259"/>
    <n v="0"/>
    <n v="0"/>
    <n v="120"/>
    <n v="1013.1909687613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013.1909687613989"/>
    <n v="25.033375277451526"/>
    <n v="0.2636018216988153"/>
    <n v="243.96130850875636"/>
    <n v="0.31715015828774817"/>
  </r>
  <r>
    <x v="6"/>
    <s v="DOMINICANA, REPÚBLICA"/>
    <s v="JUAN JIMENEZ, SRL"/>
    <s v="Consolidado/estratégico"/>
    <s v="RUN0001DO"/>
    <s v="RUN STRESS, 1 L"/>
    <n v="1"/>
    <n v="8.1"/>
    <n v="8.4432580730116591"/>
    <n v="0"/>
    <n v="0"/>
    <n v="0"/>
    <n v="0"/>
    <n v="0"/>
    <n v="0"/>
    <n v="0"/>
    <n v="0"/>
    <n v="0"/>
    <n v="0"/>
    <n v="0"/>
    <n v="0"/>
    <n v="0"/>
    <n v="0"/>
    <n v="356.12484270955679"/>
    <n v="2884.6112259474098"/>
    <n v="0"/>
    <n v="0"/>
    <n v="0"/>
    <n v="0"/>
    <n v="0"/>
    <n v="0"/>
    <n v="0"/>
    <n v="0"/>
    <n v="356.12484270955679"/>
    <n v="2884.6112259474098"/>
    <n v="0"/>
    <n v="0"/>
    <n v="0"/>
    <n v="0"/>
    <n v="0"/>
    <n v="0"/>
    <n v="0"/>
    <n v="0"/>
    <n v="0"/>
    <n v="0"/>
    <n v="0"/>
    <n v="0"/>
    <n v="0"/>
    <n v="0"/>
    <n v="449"/>
    <n v="3791.0228747822348"/>
    <n v="0"/>
    <n v="0"/>
    <n v="0"/>
    <n v="0"/>
    <n v="0"/>
    <n v="0"/>
    <n v="0"/>
    <n v="0"/>
    <n v="449"/>
    <n v="3791.0228747822348"/>
    <n v="92.875157290443212"/>
    <n v="0.26079381765059567"/>
    <n v="906.41164883482497"/>
    <n v="0.3142231579359977"/>
  </r>
  <r>
    <x v="6"/>
    <s v="DOMINICANA, REPÚBLICA"/>
    <s v="JUAN JIMENEZ, SRL"/>
    <s v="Consolidado/estratégico"/>
    <s v="SPCE2B0001DO"/>
    <s v="SPRINTENE"/>
    <n v="1"/>
    <n v="12.83"/>
    <n v="13.373703836634521"/>
    <n v="0"/>
    <n v="0"/>
    <n v="35.612484270955683"/>
    <n v="456.9081731963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612484270955683"/>
    <n v="456.9081731963613"/>
    <n v="0"/>
    <n v="0"/>
    <n v="39"/>
    <n v="521.57444962874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521.57444962874615"/>
    <n v="3.387515729044317"/>
    <n v="9.5121578805639748E-2"/>
    <n v="64.666276432384848"/>
    <n v="0.14153013718271529"/>
  </r>
  <r>
    <x v="6"/>
    <s v="DOMINICANA, REPÚBLICA"/>
    <s v="JUAN JIMENEZ, SRL"/>
    <s v="Consolidado/estratégico"/>
    <s v="SPCE2B0001DO"/>
    <s v="SPRINTENE CON BORO, 1 L"/>
    <n v="1"/>
    <n v="12.83"/>
    <n v="13.373703836634521"/>
    <n v="0"/>
    <n v="0"/>
    <n v="0"/>
    <n v="0"/>
    <n v="0"/>
    <n v="0"/>
    <n v="0"/>
    <n v="0"/>
    <n v="0"/>
    <n v="0"/>
    <n v="0"/>
    <n v="0"/>
    <n v="0"/>
    <n v="0"/>
    <n v="237.41656180637119"/>
    <n v="3046.0544879757422"/>
    <n v="0"/>
    <n v="0"/>
    <n v="0"/>
    <n v="0"/>
    <n v="0"/>
    <n v="0"/>
    <n v="0"/>
    <n v="0"/>
    <n v="237.41656180637119"/>
    <n v="3046.0544879757422"/>
    <n v="0"/>
    <n v="0"/>
    <n v="0"/>
    <n v="0"/>
    <n v="0"/>
    <n v="0"/>
    <n v="0"/>
    <n v="0"/>
    <n v="0"/>
    <n v="0"/>
    <n v="0"/>
    <n v="0"/>
    <n v="0"/>
    <n v="0"/>
    <n v="262"/>
    <n v="3503.910405198244"/>
    <n v="0"/>
    <n v="0"/>
    <n v="0"/>
    <n v="0"/>
    <n v="0"/>
    <n v="0"/>
    <n v="0"/>
    <n v="0"/>
    <n v="262"/>
    <n v="3503.910405198244"/>
    <n v="24.583438193628808"/>
    <n v="0.10354559095029865"/>
    <n v="457.85591722250183"/>
    <n v="0.15031113823796707"/>
  </r>
  <r>
    <x v="6"/>
    <s v="DOMINICANA, REPÚBLICA"/>
    <s v="JUAN JIMENEZ, SRL"/>
    <s v="Consolidado/estratégico"/>
    <s v="SPCE2B0001DO"/>
    <s v="SPRINTENE CON BORO"/>
    <n v="1"/>
    <n v="12.83"/>
    <n v="13.373703836634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1.27861014742018"/>
    <n v="4378.6045681914011"/>
    <n v="0"/>
    <n v="0"/>
    <n v="341.27861014742018"/>
    <n v="4378.6045681914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5028.5126425745784"/>
    <n v="0"/>
    <n v="0"/>
    <n v="376"/>
    <n v="5028.5126425745784"/>
    <n v="34.721389852579819"/>
    <n v="0.10173913283806862"/>
    <n v="649.90807438317734"/>
    <n v="0.14842812687504783"/>
  </r>
  <r>
    <x v="6"/>
    <s v="DOMINICANA, REPÚBLICA"/>
    <s v="JUAN JIMENEZ, SRL"/>
    <s v="Consolidado/estratégico"/>
    <s v="SS0001DO"/>
    <s v="SAL-WAX"/>
    <n v="1"/>
    <n v="4.5299999999999994"/>
    <n v="4.7219702556472614"/>
    <n v="0"/>
    <n v="0"/>
    <n v="189.93324944509689"/>
    <n v="860.39761998628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93324944509689"/>
    <n v="860.3976199862891"/>
    <n v="0"/>
    <n v="0"/>
    <n v="209"/>
    <n v="986.89178343027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"/>
    <n v="986.89178343027754"/>
    <n v="19.066750554903109"/>
    <n v="0.10038658639605197"/>
    <n v="126.49416344398844"/>
    <n v="0.1470182628422475"/>
  </r>
  <r>
    <x v="6"/>
    <s v="DOMINICANA, REPÚBLICA"/>
    <s v="JUAN JIMENEZ, SRL"/>
    <s v="Consolidado/estratégico"/>
    <s v="SS0001DO"/>
    <s v="SAL-WAX-Ca sólido"/>
    <n v="1"/>
    <n v="4.53"/>
    <n v="4.7219702556472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.7175291509692"/>
    <n v="2748.430407053891"/>
    <n v="0"/>
    <n v="0"/>
    <n v="606.7175291509692"/>
    <n v="2748.4304070538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"/>
    <n v="3158.998101028018"/>
    <n v="0"/>
    <n v="0"/>
    <n v="669"/>
    <n v="3158.998101028018"/>
    <n v="62.282470849030801"/>
    <n v="0.10265480698437689"/>
    <n v="410.567693974127"/>
    <n v="0.14938260503900641"/>
  </r>
  <r>
    <x v="6"/>
    <s v="DOMINICANA, REPÚBLICA"/>
    <s v="JUAN JIMENEZ, SRL"/>
    <s v="Consolidado/estratégico"/>
    <s v="START20001DO"/>
    <s v="RADISOL"/>
    <n v="1"/>
    <n v="5.870000000000001"/>
    <n v="6.1206754677911261"/>
    <n v="0"/>
    <n v="0"/>
    <n v="2920.2237102183649"/>
    <n v="17141.7131789818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20.2237102183649"/>
    <n v="17141.713178981809"/>
    <n v="0"/>
    <n v="0"/>
    <n v="3188"/>
    <n v="19512.71339131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8"/>
    <n v="19512.71339131811"/>
    <n v="267.77628978163511"/>
    <n v="9.1697183624884576E-2"/>
    <n v="2371.000212336301"/>
    <n v="0.1383175758210379"/>
  </r>
  <r>
    <x v="6"/>
    <s v="DOMINICANA, REPÚBLICA"/>
    <s v="JUAN JIMENEZ, SRL"/>
    <s v="Consolidado/estratégico"/>
    <s v="START20001DO"/>
    <s v="RADISOL STARTER, 1 L"/>
    <n v="1"/>
    <n v="5.870000000000001"/>
    <n v="6.1187561590837598"/>
    <n v="0"/>
    <n v="0"/>
    <n v="0"/>
    <n v="0"/>
    <n v="0"/>
    <n v="0"/>
    <n v="0"/>
    <n v="0"/>
    <n v="0"/>
    <n v="0"/>
    <n v="0"/>
    <n v="0"/>
    <n v="0"/>
    <n v="0"/>
    <n v="1341.4035742059971"/>
    <n v="7874.0389805892037"/>
    <n v="0"/>
    <n v="0"/>
    <n v="0"/>
    <n v="0"/>
    <n v="0"/>
    <n v="0"/>
    <n v="0"/>
    <n v="0"/>
    <n v="1341.4035742059971"/>
    <n v="7874.0389805892037"/>
    <n v="0"/>
    <n v="0"/>
    <n v="0"/>
    <n v="0"/>
    <n v="0"/>
    <n v="0"/>
    <n v="0"/>
    <n v="0"/>
    <n v="0"/>
    <n v="0"/>
    <n v="0"/>
    <n v="0"/>
    <n v="0"/>
    <n v="0"/>
    <n v="1465"/>
    <n v="8963.977773057708"/>
    <n v="0"/>
    <n v="0"/>
    <n v="0"/>
    <n v="0"/>
    <n v="0"/>
    <n v="0"/>
    <n v="0"/>
    <n v="0"/>
    <n v="1465"/>
    <n v="8963.977773057708"/>
    <n v="123.59642579400293"/>
    <n v="9.2139627603990887E-2"/>
    <n v="1089.9387924685043"/>
    <n v="0.1384218182251043"/>
  </r>
  <r>
    <x v="6"/>
    <s v="DOMINICANA, REPÚBLICA"/>
    <s v="JUAN JIMENEZ, SRL"/>
    <s v="Consolidado/estratégico"/>
    <s v="START20001DO"/>
    <s v="RADISOL STARTER"/>
    <n v="1"/>
    <n v="5.87"/>
    <n v="6.11875615908375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11129.47467536309"/>
    <n v="0"/>
    <n v="0"/>
    <n v="1895.992278596779"/>
    <n v="11129.47467536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0"/>
    <n v="12665.82524930338"/>
    <n v="0"/>
    <n v="0"/>
    <n v="2070"/>
    <n v="12665.82524930338"/>
    <n v="174.00772140322101"/>
    <n v="9.1776598126234912E-2"/>
    <n v="1536.3505739402899"/>
    <n v="0.13804340445117799"/>
  </r>
  <r>
    <x v="6"/>
    <s v="ECUADOR (incluidas las Islas Galápagos)"/>
    <s v="ECUAQUIMICA"/>
    <s v="Con potencial"/>
    <s v="AGMG0001EC"/>
    <s v="AGROXILATO-MG, 1 KG (EXPORT)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s v="ECUADOR (incluidas las Islas Galápagos)"/>
    <s v="ECUAQUIMICA"/>
    <s v="Con potencial"/>
    <s v="AGZNP0001EC"/>
    <s v="AGROXILATO-ZN PLUS, 1 KG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s v="ECUADOR (incluidas las Islas Galápagos)"/>
    <s v="ECUAQUIMICA"/>
    <s v="Con potencial"/>
    <s v="AN0005EC"/>
    <s v="ALCAPLANT NEW"/>
    <n v="5"/>
    <n v="1.8075000000000001"/>
    <n v="1.88410129086379"/>
    <n v="2176.318483225069"/>
    <n v="3917.373269805124"/>
    <n v="0"/>
    <n v="0"/>
    <n v="4352.6369664501381"/>
    <n v="7834.7465396102489"/>
    <n v="0"/>
    <n v="0"/>
    <n v="0"/>
    <n v="0"/>
    <n v="2176.318483225069"/>
    <n v="3982.6628243018758"/>
    <n v="0"/>
    <n v="0"/>
    <n v="0"/>
    <n v="0"/>
    <n v="0"/>
    <n v="0"/>
    <n v="0"/>
    <n v="0"/>
    <n v="0"/>
    <n v="0"/>
    <n v="0"/>
    <n v="0"/>
    <n v="8705.2739329002761"/>
    <n v="15734.782633717248"/>
    <n v="2515"/>
    <n v="4718.8431230276283"/>
    <n v="0"/>
    <n v="0"/>
    <n v="5025"/>
    <n v="9428.3048481963542"/>
    <n v="0"/>
    <n v="0"/>
    <n v="0"/>
    <n v="0"/>
    <n v="2515"/>
    <n v="4797.4905084114216"/>
    <n v="0"/>
    <n v="0"/>
    <n v="0"/>
    <n v="0"/>
    <n v="0"/>
    <n v="0"/>
    <n v="0"/>
    <n v="0"/>
    <n v="0"/>
    <n v="0"/>
    <n v="0"/>
    <n v="0"/>
    <n v="10055"/>
    <n v="18944.638479635403"/>
    <n v="1349.7260670997239"/>
    <n v="0.15504693792559895"/>
    <n v="3209.855845918155"/>
    <n v="0.20399746985000744"/>
  </r>
  <r>
    <x v="6"/>
    <s v="ECUADOR (incluidas las Islas Galápagos)"/>
    <s v="ECUAQUIMICA"/>
    <s v="Con potencial"/>
    <s v="AN0005EC"/>
    <s v="ALCAPLANT"/>
    <n v="5"/>
    <n v="1.8075000000000001"/>
    <n v="1.884097403329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71.183012912913"/>
    <n v="7539.4132958400915"/>
    <n v="0"/>
    <n v="0"/>
    <n v="0"/>
    <n v="0"/>
    <n v="4171.183012912913"/>
    <n v="7539.4132958400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0"/>
    <n v="9081.3494840479671"/>
    <n v="0"/>
    <n v="0"/>
    <n v="0"/>
    <n v="0"/>
    <n v="4820"/>
    <n v="9081.3494840479671"/>
    <n v="648.816987087087"/>
    <n v="0.15554747539930902"/>
    <n v="1541.9361882078756"/>
    <n v="0.20451673461894529"/>
  </r>
  <r>
    <x v="6"/>
    <s v="ECUADOR (incluidas las Islas Galápagos)"/>
    <s v="ECUAQUIMICA"/>
    <s v="Con potencial"/>
    <s v="AN0020EC"/>
    <s v="ALCAPLANT NEW"/>
    <n v="20"/>
    <n v="1.628076923076923"/>
    <n v="1.6970722899550801"/>
    <n v="8705.2739329002761"/>
    <n v="14102.543771298449"/>
    <n v="0"/>
    <n v="0"/>
    <n v="11969.751657737879"/>
    <n v="19390.997685535371"/>
    <n v="0"/>
    <n v="0"/>
    <n v="0"/>
    <n v="0"/>
    <n v="7617.1146912877421"/>
    <n v="12568.239240624771"/>
    <n v="0"/>
    <n v="0"/>
    <n v="0"/>
    <n v="0"/>
    <n v="0"/>
    <n v="0"/>
    <n v="0"/>
    <n v="0"/>
    <n v="0"/>
    <n v="0"/>
    <n v="0"/>
    <n v="0"/>
    <n v="28292.140281925898"/>
    <n v="46061.780697458584"/>
    <n v="10060"/>
    <n v="16987.835242899459"/>
    <n v="0"/>
    <n v="0"/>
    <n v="13820"/>
    <n v="23337.165313804231"/>
    <n v="0"/>
    <n v="0"/>
    <n v="0"/>
    <n v="0"/>
    <n v="8800"/>
    <n v="15135.32187902831"/>
    <n v="0"/>
    <n v="0"/>
    <n v="0"/>
    <n v="0"/>
    <n v="0"/>
    <n v="0"/>
    <n v="0"/>
    <n v="0"/>
    <n v="0"/>
    <n v="0"/>
    <n v="0"/>
    <n v="0"/>
    <n v="32680"/>
    <n v="55460.322435732"/>
    <n v="4387.8597180741017"/>
    <n v="0.1550911198074765"/>
    <n v="9398.5417382734158"/>
    <n v="0.20404208426080175"/>
  </r>
  <r>
    <x v="6"/>
    <s v="ECUADOR (incluidas las Islas Galápagos)"/>
    <s v="ECUAQUIMICA"/>
    <s v="Con potencial"/>
    <s v="AN0020EC"/>
    <s v="ALCAPLANT"/>
    <n v="20"/>
    <n v="1.628076923076923"/>
    <n v="1.697070817809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79.9613929838924"/>
    <n v="15434.106375577239"/>
    <n v="0"/>
    <n v="0"/>
    <n v="0"/>
    <n v="0"/>
    <n v="9479.9613929838924"/>
    <n v="15434.106375577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0"/>
    <n v="18565.954746830881"/>
    <n v="0"/>
    <n v="0"/>
    <n v="0"/>
    <n v="0"/>
    <n v="10940"/>
    <n v="18565.954746830881"/>
    <n v="1460.0386070161076"/>
    <n v="0.15401313850251336"/>
    <n v="3131.8483712536417"/>
    <n v="0.20291737629911921"/>
  </r>
  <r>
    <x v="6"/>
    <s v="ECUADOR (incluidas las Islas Galápagos)"/>
    <s v="ECUAQUIMICA"/>
    <s v="Con potencial"/>
    <s v="AQUOMB0001EC"/>
    <s v="AQUOM-BORO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s v="ECUADOR (incluidas las Islas Galápagos)"/>
    <s v="ECUAQUIMICA"/>
    <s v="Con potencial"/>
    <s v="C-CU0001EC"/>
    <s v="CODICOBRE"/>
    <n v="1"/>
    <n v="4.875"/>
    <n v="5.0822419928675888"/>
    <n v="0"/>
    <n v="0"/>
    <n v="0"/>
    <n v="0"/>
    <n v="3917.373269805124"/>
    <n v="19038.434091252901"/>
    <n v="0"/>
    <n v="0"/>
    <n v="0"/>
    <n v="0"/>
    <n v="783.47465396102484"/>
    <n v="3878.199537107073"/>
    <n v="0"/>
    <n v="0"/>
    <n v="0"/>
    <n v="0"/>
    <n v="0"/>
    <n v="0"/>
    <n v="2252.4388269729729"/>
    <n v="10980.639281493241"/>
    <n v="0"/>
    <n v="0"/>
    <n v="0"/>
    <n v="0"/>
    <n v="6953.286750739122"/>
    <n v="33897.272909853215"/>
    <n v="0"/>
    <n v="0"/>
    <n v="0"/>
    <n v="0"/>
    <n v="4394"/>
    <n v="22264.871538531741"/>
    <n v="0"/>
    <n v="0"/>
    <n v="0"/>
    <n v="0"/>
    <n v="879"/>
    <n v="4535.4367948860963"/>
    <n v="0"/>
    <n v="0"/>
    <n v="0"/>
    <n v="0"/>
    <n v="0"/>
    <n v="0"/>
    <n v="2527"/>
    <n v="12841.179210949351"/>
    <n v="0"/>
    <n v="0"/>
    <n v="0"/>
    <n v="0"/>
    <n v="7800"/>
    <n v="39641.487544367192"/>
    <n v="846.713249260878"/>
    <n v="0.12177165700391601"/>
    <n v="5744.2146345139772"/>
    <n v="0.1694594916172226"/>
  </r>
  <r>
    <x v="6"/>
    <s v="ECUADOR (incluidas las Islas Galápagos)"/>
    <s v="ECUAQUIMICA"/>
    <s v="Con potencial"/>
    <s v="C-GLB0001EC"/>
    <s v="CODIORGAN GLB, 1 KG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s v="ECUADOR (incluidas las Islas Galápagos)"/>
    <s v="ECUAQUIMICA"/>
    <s v="Con potencial"/>
    <s v="C-L0001EC"/>
    <s v="CODIBOR-L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s v="ECUADOR (incluidas las Islas Galápagos)"/>
    <s v="ECUAQUIMICA"/>
    <s v="Con potencial"/>
    <s v="C-M-P0001EC"/>
    <s v="CODIFOL-MO-PLUS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s v="ECUADOR (incluidas las Islas Galápagos)"/>
    <s v="ECUAQUIMICA"/>
    <s v="Con potencial"/>
    <s v="G30001EC"/>
    <s v="GREEN-UP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s v="ECUADOR (incluidas las Islas Galápagos)"/>
    <s v="ECUAQUIMICA"/>
    <s v="Con potencial"/>
    <s v="JF0001EC"/>
    <s v="CODIGIN-FOS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4"/>
    <n v="0"/>
    <n v="4.305730322714707E-2"/>
    <n v="1.0881457359052264E-2"/>
    <n v="0"/>
    <n v="0"/>
  </r>
  <r>
    <x v="6"/>
    <s v="ECUADOR (incluidas las Islas Galápagos)"/>
    <s v="ECUAQUIMICA"/>
    <s v="Con potencial"/>
    <s v="TRI0001EC"/>
    <s v="TRIFENO-94, 1 L"/>
    <n v="1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0"/>
    <n v="0"/>
    <n v="3.956942696772852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1.0430573032271471"/>
    <n v="0.26360182169881535"/>
    <n v="0"/>
    <n v="0"/>
  </r>
  <r>
    <x v="6"/>
    <s v="ITALIA"/>
    <s v="AIFAR S.P.A"/>
    <s v="Baja aportación"/>
    <s v="AN0005IT"/>
    <s v="ALCAPLANT NEW, 5 KG"/>
    <n v="5"/>
    <n v="1.9"/>
    <n v="1.980517325768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59922785967791"/>
    <n v="360.23853293338789"/>
    <n v="0"/>
    <n v="0"/>
    <n v="0"/>
    <n v="0"/>
    <n v="189.59922785967791"/>
    <n v="360.23853293338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5"/>
    <n v="406.00605178247417"/>
    <n v="0"/>
    <n v="0"/>
    <n v="0"/>
    <n v="0"/>
    <n v="205"/>
    <n v="406.00605178247417"/>
    <n v="15.40077214032209"/>
    <n v="8.1228031960763974E-2"/>
    <n v="45.767518849086287"/>
    <n v="0.12704781600237422"/>
  </r>
  <r>
    <x v="6"/>
    <s v="ITALIA"/>
    <s v="AIFAR S.P.A"/>
    <s v="Baja aportación"/>
    <s v="FIORI1000IT"/>
    <s v="RADIFIORI, 1000 L"/>
    <n v="1000"/>
    <n v="4"/>
    <n v="4.1695101595119306"/>
    <n v="0"/>
    <n v="0"/>
    <n v="2967.7070225796401"/>
    <n v="11870.82809031856"/>
    <n v="2967.7070225796401"/>
    <n v="11870.82809031856"/>
    <n v="0"/>
    <n v="0"/>
    <n v="2967.7070225796401"/>
    <n v="11870.82809031856"/>
    <n v="2967.7070225796401"/>
    <n v="11870.82809031856"/>
    <n v="0"/>
    <n v="0"/>
    <n v="0"/>
    <n v="0"/>
    <n v="0"/>
    <n v="0"/>
    <n v="2843.9884178951679"/>
    <n v="11375.95367158067"/>
    <n v="0"/>
    <n v="0"/>
    <n v="2843.9884178951679"/>
    <n v="11375.95367158067"/>
    <n v="17558.804926108896"/>
    <n v="70235.219704435585"/>
    <n v="0"/>
    <n v="0"/>
    <n v="3000"/>
    <n v="12508.530478535789"/>
    <n v="3000"/>
    <n v="12508.530478535789"/>
    <n v="0"/>
    <n v="0"/>
    <n v="3000"/>
    <n v="12508.530478535789"/>
    <n v="3000"/>
    <n v="12508.530478535789"/>
    <n v="0"/>
    <n v="0"/>
    <n v="0"/>
    <n v="0"/>
    <n v="0"/>
    <n v="0"/>
    <n v="3000"/>
    <n v="12508.530478535789"/>
    <n v="0"/>
    <n v="0"/>
    <n v="3000"/>
    <n v="12508.530478535789"/>
    <n v="18000"/>
    <n v="75051.18287121474"/>
    <n v="441.19507389110368"/>
    <n v="2.5126714246655413E-2"/>
    <n v="4815.9631667791546"/>
    <n v="6.8569062459628224E-2"/>
  </r>
  <r>
    <x v="6"/>
    <s v="NETHERLANS"/>
    <s v="LEKKERBIO B.V."/>
    <s v="Con potencial"/>
    <s v="AGXK0005MX"/>
    <s v="AGROXILATO-K"/>
    <n v="5"/>
    <n v="3.35"/>
    <n v="3.4919647585912421"/>
    <n v="0"/>
    <n v="0"/>
    <n v="0"/>
    <n v="0"/>
    <n v="791.38853935457064"/>
    <n v="2651.151606837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651.151606837811"/>
    <n v="0"/>
    <n v="0"/>
    <n v="0"/>
    <n v="0"/>
    <n v="915"/>
    <n v="3195.1477541109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5"/>
    <n v="3195.1477541109862"/>
    <n v="123.61146064542936"/>
    <n v="0.15619566685441594"/>
    <n v="543.99614727317521"/>
    <n v="0.20519239483328996"/>
  </r>
  <r>
    <x v="6"/>
    <s v="NETHERLANS"/>
    <s v="LEKKERBIO B.V."/>
    <s v="Con potencial"/>
    <s v="AGXK0020MX"/>
    <s v="AGROXILATO-K"/>
    <n v="20"/>
    <n v="3.09"/>
    <n v="3.2209465982229659"/>
    <n v="0"/>
    <n v="0"/>
    <n v="0"/>
    <n v="0"/>
    <n v="6014.5528990947369"/>
    <n v="18584.96845820274"/>
    <n v="0"/>
    <n v="0"/>
    <n v="0"/>
    <n v="0"/>
    <n v="0"/>
    <n v="0"/>
    <n v="0"/>
    <n v="0"/>
    <n v="0"/>
    <n v="0"/>
    <n v="0"/>
    <n v="0"/>
    <n v="9100.762937264537"/>
    <n v="28121.357476147419"/>
    <n v="0"/>
    <n v="0"/>
    <n v="0"/>
    <n v="0"/>
    <n v="15115.315836359274"/>
    <n v="46706.325934350156"/>
    <n v="0"/>
    <n v="0"/>
    <n v="0"/>
    <n v="0"/>
    <n v="6940"/>
    <n v="22353.36939166738"/>
    <n v="0"/>
    <n v="0"/>
    <n v="0"/>
    <n v="0"/>
    <n v="0"/>
    <n v="0"/>
    <n v="0"/>
    <n v="0"/>
    <n v="0"/>
    <n v="0"/>
    <n v="0"/>
    <n v="0"/>
    <n v="10520"/>
    <n v="33884.358213305597"/>
    <n v="0"/>
    <n v="0"/>
    <n v="0"/>
    <n v="0"/>
    <n v="17460"/>
    <n v="56237.727604972977"/>
    <n v="2344.6841636407262"/>
    <n v="0.15511975991931867"/>
    <n v="9531.4016706228213"/>
    <n v="0.20407089360914502"/>
  </r>
  <r>
    <x v="6"/>
    <s v="NETHERLANS"/>
    <s v="LEKKERBIO B.V."/>
    <s v="Con potencial"/>
    <s v="AGXK0020MX"/>
    <s v="AGROXILATO-K, 20 L"/>
    <n v="20"/>
    <n v="3.09"/>
    <n v="3.2209465982229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26.335140212939"/>
    <n v="49212.375583257977"/>
    <n v="0"/>
    <n v="0"/>
    <n v="15926.335140212939"/>
    <n v="49212.3755832579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00"/>
    <n v="59265.417407302579"/>
    <n v="0"/>
    <n v="0"/>
    <n v="18400"/>
    <n v="59265.417407302579"/>
    <n v="2473.6648597870608"/>
    <n v="0.15531915145633354"/>
    <n v="10053.041824044602"/>
    <n v="0.20427873486897147"/>
  </r>
  <r>
    <x v="6"/>
    <s v="NETHERLANS"/>
    <s v="LEKKERBIO B.V."/>
    <s v="Con potencial"/>
    <s v="AO0020MX"/>
    <s v="ALCAPLANT NEW"/>
    <n v="20"/>
    <n v="1.7"/>
    <n v="1.7729821424504599"/>
    <n v="43526.369664501377"/>
    <n v="73994.828429652349"/>
    <n v="0"/>
    <n v="0"/>
    <n v="0"/>
    <n v="0"/>
    <n v="0"/>
    <n v="0"/>
    <n v="21763.184832250688"/>
    <n v="36997.414214826167"/>
    <n v="0"/>
    <n v="0"/>
    <n v="0"/>
    <n v="0"/>
    <n v="0"/>
    <n v="0"/>
    <n v="0"/>
    <n v="0"/>
    <n v="0"/>
    <n v="0"/>
    <n v="0"/>
    <n v="0"/>
    <n v="0"/>
    <n v="0"/>
    <n v="65289.554496752069"/>
    <n v="110992.24264447851"/>
    <n v="50260"/>
    <n v="89098.262598610439"/>
    <n v="0"/>
    <n v="0"/>
    <n v="0"/>
    <n v="0"/>
    <n v="0"/>
    <n v="0"/>
    <n v="25120"/>
    <n v="44549.13129930522"/>
    <n v="0"/>
    <n v="0"/>
    <n v="0"/>
    <n v="0"/>
    <n v="0"/>
    <n v="0"/>
    <n v="0"/>
    <n v="0"/>
    <n v="0"/>
    <n v="0"/>
    <n v="0"/>
    <n v="0"/>
    <n v="0"/>
    <n v="0"/>
    <n v="75380"/>
    <n v="133647.39389791567"/>
    <n v="10090.445503247931"/>
    <n v="0.15454915538977826"/>
    <n v="22655.151253437158"/>
    <n v="0.20411472652196361"/>
  </r>
  <r>
    <x v="6"/>
    <s v="NETHERLANS"/>
    <s v="LEKKERBIO B.V."/>
    <s v="Con potencial"/>
    <s v="AO0020MX"/>
    <s v="ALCAPLANT NEW, 20 KG"/>
    <n v="20"/>
    <n v="1.7175"/>
    <n v="1.7908778840801529"/>
    <n v="0"/>
    <n v="0"/>
    <n v="0"/>
    <n v="0"/>
    <n v="0"/>
    <n v="0"/>
    <n v="0"/>
    <n v="0"/>
    <n v="21763.184832250688"/>
    <n v="36997.414214826167"/>
    <n v="7617.1146912877421"/>
    <n v="13177.608415927791"/>
    <n v="0"/>
    <n v="0"/>
    <n v="22851.344073863231"/>
    <n v="39532.825247783381"/>
    <n v="0"/>
    <n v="0"/>
    <n v="0"/>
    <n v="0"/>
    <n v="0"/>
    <n v="0"/>
    <n v="0"/>
    <n v="0"/>
    <n v="52231.643597401664"/>
    <n v="89707.847878537345"/>
    <n v="0"/>
    <n v="0"/>
    <n v="0"/>
    <n v="0"/>
    <n v="0"/>
    <n v="0"/>
    <n v="0"/>
    <n v="0"/>
    <n v="25120"/>
    <n v="44549.13129930522"/>
    <n v="8800"/>
    <n v="15869.15566710241"/>
    <n v="0"/>
    <n v="0"/>
    <n v="26400"/>
    <n v="47607.467001307217"/>
    <n v="0"/>
    <n v="0"/>
    <n v="0"/>
    <n v="0"/>
    <n v="0"/>
    <n v="0"/>
    <n v="0"/>
    <n v="0"/>
    <n v="60320"/>
    <n v="108025.75396771485"/>
    <n v="8088.356402598336"/>
    <n v="0.15485548310412928"/>
    <n v="18317.906089177501"/>
    <n v="0.20419513478887136"/>
  </r>
  <r>
    <x v="6"/>
    <s v="NETHERLANS"/>
    <s v="LEKKERBIO B.V."/>
    <s v="Con potencial"/>
    <s v="AO0020MX"/>
    <s v="ALCAPLANT OMRI, 20 KG"/>
    <n v="20"/>
    <n v="1.644814814814815"/>
    <n v="1.7159432222333479"/>
    <n v="0"/>
    <n v="0"/>
    <n v="0"/>
    <n v="0"/>
    <n v="0"/>
    <n v="0"/>
    <n v="0"/>
    <n v="0"/>
    <n v="0"/>
    <n v="0"/>
    <n v="0"/>
    <n v="0"/>
    <n v="0"/>
    <n v="0"/>
    <n v="0"/>
    <n v="0"/>
    <n v="20855.91506456456"/>
    <n v="34304.118074715283"/>
    <n v="0"/>
    <n v="0"/>
    <n v="20855.91506456456"/>
    <n v="34304.118074715283"/>
    <n v="20855.91506456456"/>
    <n v="34304.118074715283"/>
    <n v="62567.745193693685"/>
    <n v="102912.35422414585"/>
    <n v="0"/>
    <n v="0"/>
    <n v="0"/>
    <n v="0"/>
    <n v="0"/>
    <n v="0"/>
    <n v="0"/>
    <n v="0"/>
    <n v="0"/>
    <n v="0"/>
    <n v="0"/>
    <n v="0"/>
    <n v="0"/>
    <n v="0"/>
    <n v="0"/>
    <n v="0"/>
    <n v="24060"/>
    <n v="41285.593926934358"/>
    <n v="0"/>
    <n v="0"/>
    <n v="24060"/>
    <n v="41285.593926934358"/>
    <n v="24060"/>
    <n v="41285.593926934358"/>
    <n v="72180"/>
    <n v="123856.78178080308"/>
    <n v="9612.254806306315"/>
    <n v="0.15362955427831448"/>
    <n v="20944.427556657232"/>
    <n v="0.20351713566905399"/>
  </r>
  <r>
    <x v="6"/>
    <s v="NETHERLANS"/>
    <s v="LEKKERBIO B.V."/>
    <s v="Con potencial"/>
    <s v="AO0020MX"/>
    <s v="ALCAPLANT OMRI"/>
    <n v="20"/>
    <n v="1.644814814814815"/>
    <n v="1.7159432222333479"/>
    <n v="0"/>
    <n v="0"/>
    <n v="0"/>
    <n v="0"/>
    <n v="0"/>
    <n v="0"/>
    <n v="0"/>
    <n v="0"/>
    <n v="0"/>
    <n v="0"/>
    <n v="0"/>
    <n v="0"/>
    <n v="0"/>
    <n v="0"/>
    <n v="0"/>
    <n v="0"/>
    <n v="20855.91506456456"/>
    <n v="34304.118074715283"/>
    <n v="20855.91506456456"/>
    <n v="34304.118074715283"/>
    <n v="20855.91506456456"/>
    <n v="34304.118074715283"/>
    <n v="20855.91506456456"/>
    <n v="34304.118074715283"/>
    <n v="83423.660258258242"/>
    <n v="137216.47229886113"/>
    <n v="0"/>
    <n v="0"/>
    <n v="0"/>
    <n v="0"/>
    <n v="0"/>
    <n v="0"/>
    <n v="0"/>
    <n v="0"/>
    <n v="0"/>
    <n v="0"/>
    <n v="0"/>
    <n v="0"/>
    <n v="0"/>
    <n v="0"/>
    <n v="0"/>
    <n v="0"/>
    <n v="24060"/>
    <n v="41285.593926934358"/>
    <n v="24060"/>
    <n v="41285.593926934358"/>
    <n v="24060"/>
    <n v="41285.593926934358"/>
    <n v="24060"/>
    <n v="41285.593926934358"/>
    <n v="96240"/>
    <n v="165142.37570773743"/>
    <n v="12816.339741741758"/>
    <n v="0.15362955427831457"/>
    <n v="27925.9034088763"/>
    <n v="0.20351713566905391"/>
  </r>
  <r>
    <x v="6"/>
    <s v="NETHERLANS"/>
    <s v="LEKKERBIO B.V."/>
    <s v="Con potencial"/>
    <s v="AO1000MX"/>
    <s v="ALCAPLANT OMRI, 1000 KG"/>
    <n v="1000"/>
    <n v="1.62"/>
    <n v="1.688651614602332"/>
    <n v="0"/>
    <n v="0"/>
    <n v="0"/>
    <n v="0"/>
    <n v="0"/>
    <n v="0"/>
    <n v="0"/>
    <n v="0"/>
    <n v="0"/>
    <n v="0"/>
    <n v="15432.076517414131"/>
    <n v="24999.963958210879"/>
    <n v="0"/>
    <n v="0"/>
    <n v="0"/>
    <n v="0"/>
    <n v="0"/>
    <n v="0"/>
    <n v="0"/>
    <n v="0"/>
    <n v="0"/>
    <n v="0"/>
    <n v="0"/>
    <n v="0"/>
    <n v="15432.076517414131"/>
    <n v="24999.963958210879"/>
    <n v="0"/>
    <n v="0"/>
    <n v="0"/>
    <n v="0"/>
    <n v="0"/>
    <n v="0"/>
    <n v="0"/>
    <n v="0"/>
    <n v="0"/>
    <n v="0"/>
    <n v="18000"/>
    <n v="30395.729062841969"/>
    <n v="0"/>
    <n v="0"/>
    <n v="0"/>
    <n v="0"/>
    <n v="0"/>
    <n v="0"/>
    <n v="0"/>
    <n v="0"/>
    <n v="0"/>
    <n v="0"/>
    <n v="0"/>
    <n v="0"/>
    <n v="18000"/>
    <n v="30395.729062841969"/>
    <n v="2567.9234825858694"/>
    <n v="0.16640168156813689"/>
    <n v="5395.7651046310893"/>
    <n v="0.21583091534253704"/>
  </r>
  <r>
    <x v="6"/>
    <s v="NETHERLANS"/>
    <s v="LEKKERBIO B.V."/>
    <s v="Con potencial"/>
    <s v="C-CU0020MX"/>
    <s v="CODICOBRE"/>
    <n v="20"/>
    <n v="3.72"/>
    <n v="3.877644448346095"/>
    <n v="0"/>
    <n v="0"/>
    <n v="0"/>
    <n v="0"/>
    <n v="7913.8853935457046"/>
    <n v="29439.65366399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3.8853935457046"/>
    <n v="29439.65366399003"/>
    <n v="0"/>
    <n v="0"/>
    <n v="0"/>
    <n v="0"/>
    <n v="9000"/>
    <n v="34898.800035114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0"/>
    <n v="34898.800035114858"/>
    <n v="1086.1146064542954"/>
    <n v="0.13724163952893398"/>
    <n v="5459.1463711248289"/>
    <n v="0.18543514245897338"/>
  </r>
  <r>
    <x v="6"/>
    <s v="NETHERLANS"/>
    <s v="LEKKERBIO B.V."/>
    <s v="Con potencial"/>
    <s v="SS0005MX"/>
    <s v="SAL-WAX-Ca"/>
    <n v="5"/>
    <n v="4.1000000000000014"/>
    <n v="4.2737479134997294"/>
    <n v="0"/>
    <n v="0"/>
    <n v="0"/>
    <n v="0"/>
    <n v="3956.9426967728532"/>
    <n v="16223.4650567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6.9426967728532"/>
    <n v="16223.4650567687"/>
    <n v="0"/>
    <n v="0"/>
    <n v="0"/>
    <n v="0"/>
    <n v="4505"/>
    <n v="19253.234350316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05"/>
    <n v="19253.234350316281"/>
    <n v="548.0573032271468"/>
    <n v="0.13850524135063252"/>
    <n v="3029.7692935475807"/>
    <n v="0.18675229261726123"/>
  </r>
  <r>
    <x v="6"/>
    <s v="NETHERLANS"/>
    <s v="LEKKERBIO B.V."/>
    <s v="Con potencial"/>
    <s v="SS0005MX"/>
    <s v="SALWAX-CA, 5 KG"/>
    <n v="5"/>
    <n v="4.085074626865671"/>
    <n v="4.258190039770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745.26995002893"/>
    <n v="0"/>
    <n v="0"/>
    <n v="1895.992278596779"/>
    <n v="7745.26995002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9197.6904859036476"/>
    <n v="0"/>
    <n v="0"/>
    <n v="2160"/>
    <n v="9197.6904859036476"/>
    <n v="264.00772140322101"/>
    <n v="0.13924514587085382"/>
    <n v="1452.4205358747176"/>
    <n v="0.18752355247079447"/>
  </r>
  <r>
    <x v="6"/>
    <s v="NETHERLANS"/>
    <s v="LEKKERBIO B.V."/>
    <s v="Con potencial"/>
    <s v="SS0005MX"/>
    <s v="SAL-WAX-Ca sólido"/>
    <n v="5"/>
    <n v="4.085074626865671"/>
    <n v="4.258190039770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5.992278596779"/>
    <n v="7745.26995002893"/>
    <n v="0"/>
    <n v="0"/>
    <n v="1895.992278596779"/>
    <n v="7745.26995002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9197.6904859036476"/>
    <n v="0"/>
    <n v="0"/>
    <n v="2160"/>
    <n v="9197.6904859036476"/>
    <n v="264.00772140322101"/>
    <n v="0.13924514587085382"/>
    <n v="1452.4205358747176"/>
    <n v="0.18752355247079447"/>
  </r>
  <r>
    <x v="6"/>
    <s v="PANAMÁ"/>
    <s v="SERVICIOS AGROPECUARIOS EL LLANO, S. A."/>
    <s v="Consolidado/estratégico"/>
    <s v="A-500001PA"/>
    <s v="CODIORGAN  A-50"/>
    <n v="1"/>
    <n v="6.5"/>
    <n v="6.7754540092068876"/>
    <n v="0"/>
    <n v="0"/>
    <n v="522.3164359740166"/>
    <n v="3395.0568338311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.3164359740166"/>
    <n v="3395.0568338311082"/>
    <n v="0"/>
    <n v="0"/>
    <n v="568"/>
    <n v="3848.4578772295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"/>
    <n v="3848.4578772295122"/>
    <n v="45.683564025983401"/>
    <n v="8.7463385946859221E-2"/>
    <n v="453.401043398404"/>
    <n v="0.13354740895066827"/>
  </r>
  <r>
    <x v="6"/>
    <s v="PANAMÁ"/>
    <s v="SERVICIOS AGROPECUARIOS EL LLANO, S. A."/>
    <s v="Consolidado/estratégico"/>
    <s v="AGXCR0001PA"/>
    <s v="AGROXILATO-K  (0-5-20), 1 L"/>
    <n v="1"/>
    <n v="5.7699999999999987"/>
    <n v="6.0145184050959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1.6258846486489"/>
    <n v="8664.3813544227014"/>
    <n v="0"/>
    <n v="0"/>
    <n v="1501.6258846486489"/>
    <n v="8664.3813544227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6"/>
    <n v="9960.04247883891"/>
    <n v="0"/>
    <n v="0"/>
    <n v="1656"/>
    <n v="9960.04247883891"/>
    <n v="154.37411535135107"/>
    <n v="0.10280464457195447"/>
    <n v="1295.6611244162086"/>
    <n v="0.1495387923749274"/>
  </r>
  <r>
    <x v="6"/>
    <s v="PANAMÁ"/>
    <s v="SERVICIOS AGROPECUARIOS EL LLANO, S. A."/>
    <s v="Consolidado/estratégico"/>
    <s v="AGXCR0005PA"/>
    <s v="AGROXILATO-K (0-5-20), 5 Lts."/>
    <n v="5"/>
    <n v="4.6500000000000012"/>
    <n v="4.8470555604326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3526.545638190009"/>
    <n v="0"/>
    <n v="0"/>
    <n v="758.39691143871141"/>
    <n v="3526.54563819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5"/>
    <n v="4047.2913929612382"/>
    <n v="0"/>
    <n v="0"/>
    <n v="835"/>
    <n v="4047.2913929612382"/>
    <n v="76.603088561288587"/>
    <n v="0.10100659352102219"/>
    <n v="520.74575477122926"/>
    <n v="0.14766454434388115"/>
  </r>
  <r>
    <x v="6"/>
    <s v="PANAMÁ"/>
    <s v="SERVICIOS AGROPECUARIOS EL LLANO, S. A."/>
    <s v="Consolidado/estratégico"/>
    <s v="AN0005PA"/>
    <s v="ALCAPLANT"/>
    <n v="5"/>
    <n v="2.2400000000000002"/>
    <n v="2.3349256893266812"/>
    <n v="0"/>
    <n v="0"/>
    <n v="10446.328719480331"/>
    <n v="23399.776331635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46.328719480331"/>
    <n v="23399.776331635949"/>
    <n v="0"/>
    <n v="0"/>
    <n v="11515"/>
    <n v="26886.669312596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15"/>
    <n v="26886.669312596739"/>
    <n v="1068.6712805196694"/>
    <n v="0.10230113461074697"/>
    <n v="3486.8929809607907"/>
    <n v="0.14901394490025929"/>
  </r>
  <r>
    <x v="6"/>
    <s v="PANAMÁ"/>
    <s v="SERVICIOS AGROPECUARIOS EL LLANO, S. A."/>
    <s v="Consolidado/estratégico"/>
    <s v="AN0005PA"/>
    <s v="ALCAPLANT NEW, 5 KG"/>
    <n v="5"/>
    <n v="2.2400000000000002"/>
    <n v="2.3349256893266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87.9768357903358"/>
    <n v="12741.068112170349"/>
    <n v="0"/>
    <n v="0"/>
    <n v="5687.9768357903358"/>
    <n v="12741.068112170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0"/>
    <n v="14639.98407207829"/>
    <n v="0"/>
    <n v="0"/>
    <n v="6270"/>
    <n v="14639.98407207829"/>
    <n v="582.02316420966417"/>
    <n v="0.102325164291706"/>
    <n v="1898.9159599079412"/>
    <n v="0.14903899289998179"/>
  </r>
  <r>
    <x v="6"/>
    <s v="PANAMÁ"/>
    <s v="SERVICIOS AGROPECUARIOS EL LLANO, S. A."/>
    <s v="Consolidado/estratégico"/>
    <s v="BIO0001PA"/>
    <s v="BIORAD-20"/>
    <n v="1"/>
    <n v="4.2"/>
    <n v="4.379464217189482"/>
    <n v="0"/>
    <n v="0"/>
    <n v="2350.4239618830752"/>
    <n v="9871.780639908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0.4239618830752"/>
    <n v="9871.780639908915"/>
    <n v="0"/>
    <n v="0"/>
    <n v="2961"/>
    <n v="12967.59354709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1"/>
    <n v="12967.59354709806"/>
    <n v="610.57603811692479"/>
    <n v="0.25977272526942469"/>
    <n v="3095.8129071891453"/>
    <n v="0.31360227907350563"/>
  </r>
  <r>
    <x v="6"/>
    <s v="PANAMÁ"/>
    <s v="SERVICIOS AGROPECUARIOS EL LLANO, S. A."/>
    <s v="Consolidado/estratégico"/>
    <s v="BIO0005PA"/>
    <s v="BIORAD-20"/>
    <n v="5"/>
    <n v="3.2"/>
    <n v="3.3356081276095439"/>
    <n v="0"/>
    <n v="0"/>
    <n v="791.38853935457064"/>
    <n v="2532.443325934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532.443325934626"/>
    <n v="0"/>
    <n v="0"/>
    <n v="995"/>
    <n v="3318.93008697149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5"/>
    <n v="3318.9300869714971"/>
    <n v="203.61146064542936"/>
    <n v="0.25728381259032118"/>
    <n v="786.48676103687103"/>
    <n v="0.3105644074963097"/>
  </r>
  <r>
    <x v="6"/>
    <s v="PANAMÁ"/>
    <s v="SERVICIOS AGROPECUARIOS EL LLANO, S. A."/>
    <s v="Consolidado/estratégico"/>
    <s v="BIO0020PA"/>
    <s v="BIORAD-20"/>
    <n v="20"/>
    <n v="2.9"/>
    <n v="3.0228948656461498"/>
    <n v="0"/>
    <n v="0"/>
    <n v="949.66624722548465"/>
    <n v="2754.0321169539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9.66624722548465"/>
    <n v="2754.0321169539061"/>
    <n v="0"/>
    <n v="0"/>
    <n v="1200"/>
    <n v="3627.47383877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3627.47383877538"/>
    <n v="250.33375277451535"/>
    <n v="0.26360182169881541"/>
    <n v="873.44172182147395"/>
    <n v="0.31715015828774834"/>
  </r>
  <r>
    <x v="6"/>
    <s v="PANAMÁ"/>
    <s v="SERVICIOS AGROPECUARIOS EL LLANO, S. A."/>
    <s v="Consolidado/estratégico"/>
    <s v="CODIR0001PA"/>
    <s v="CODIRESIST, 1 L"/>
    <n v="1"/>
    <n v="6.3"/>
    <n v="6.5669785012312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1.6258846486489"/>
    <n v="9460.2430732864868"/>
    <n v="0"/>
    <n v="0"/>
    <n v="1501.6258846486489"/>
    <n v="9460.24307328648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3"/>
    <n v="11905.93202273233"/>
    <n v="0"/>
    <n v="0"/>
    <n v="1813"/>
    <n v="11905.93202273233"/>
    <n v="311.37411535135107"/>
    <n v="0.20735798345951295"/>
    <n v="2445.6889494458428"/>
    <n v="0.25852284455056934"/>
  </r>
  <r>
    <x v="6"/>
    <s v="PANAMÁ"/>
    <s v="SERVICIOS AGROPECUARIOS EL LLANO, S. A."/>
    <s v="Consolidado/estratégico"/>
    <s v="CODIR0005PA"/>
    <s v="CODIRESIST, 5 L"/>
    <n v="5"/>
    <n v="4.3000000000000007"/>
    <n v="4.4822234214753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.39691143871141"/>
    <n v="3261.106719186459"/>
    <n v="0"/>
    <n v="0"/>
    <n v="758.39691143871141"/>
    <n v="3261.106719186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5"/>
    <n v="4101.2344306499217"/>
    <n v="0"/>
    <n v="0"/>
    <n v="915"/>
    <n v="4101.2344306499217"/>
    <n v="156.60308856128859"/>
    <n v="0.20649225517573089"/>
    <n v="840.12771146346267"/>
    <n v="0.25762042883191738"/>
  </r>
  <r>
    <x v="6"/>
    <s v="PANAMÁ"/>
    <s v="SERVICIOS AGROPECUARIOS EL LLANO, S. A."/>
    <s v="Consolidado/estratégico"/>
    <s v="FLORCR0001PA"/>
    <s v="FLORAMEC"/>
    <n v="1"/>
    <n v="5.0999999999999996"/>
    <n v="5.3161254533777109"/>
    <n v="0"/>
    <n v="0"/>
    <n v="783.47465396102484"/>
    <n v="3995.72073520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3995.720735201226"/>
    <n v="0"/>
    <n v="0"/>
    <n v="851"/>
    <n v="4524.0227608244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1"/>
    <n v="4524.0227608244322"/>
    <n v="67.525346038975158"/>
    <n v="8.618702047039585E-2"/>
    <n v="528.30202562320619"/>
    <n v="0.13221695424532734"/>
  </r>
  <r>
    <x v="6"/>
    <s v="PANAMÁ"/>
    <s v="SERVICIOS AGROPECUARIOS EL LLANO, S. A."/>
    <s v="Consolidado/estratégico"/>
    <s v="FLORCR0001PA"/>
    <s v="FLORAMEC CR, 1 L"/>
    <n v="1"/>
    <n v="5.0999999999999996"/>
    <n v="5.3161254533777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1.6258846486489"/>
    <n v="7658.2920117081076"/>
    <n v="0"/>
    <n v="0"/>
    <n v="1501.6258846486489"/>
    <n v="7658.2920117081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2"/>
    <n v="8675.9167399124253"/>
    <n v="0"/>
    <n v="0"/>
    <n v="1632"/>
    <n v="8675.9167399124253"/>
    <n v="130.37411535135107"/>
    <n v="8.682196856366528E-2"/>
    <n v="1017.6247282043178"/>
    <n v="0.13287880987673992"/>
  </r>
  <r>
    <x v="6"/>
    <s v="PANAMÁ"/>
    <s v="SERVICIOS AGROPECUARIOS EL LLANO, S. A."/>
    <s v="Consolidado/estratégico"/>
    <s v="FLORCR0005PA"/>
    <s v="FLORAMEC"/>
    <n v="5"/>
    <n v="2.88"/>
    <n v="3.00204731484859"/>
    <n v="0"/>
    <n v="0"/>
    <n v="791.38853935457064"/>
    <n v="2279.1989933411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2279.1989933411628"/>
    <n v="0"/>
    <n v="0"/>
    <n v="865"/>
    <n v="2596.77092734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5"/>
    <n v="2596.77092734403"/>
    <n v="73.611460645429361"/>
    <n v="9.3015575769475181E-2"/>
    <n v="317.57193400286724"/>
    <n v="0.13933488691890245"/>
  </r>
  <r>
    <x v="6"/>
    <s v="PANAMÁ"/>
    <s v="SERVICIOS AGROPECUARIOS EL LLANO, S. A."/>
    <s v="Consolidado/estratégico"/>
    <s v="FLORCR0005PA"/>
    <s v="FLORAMEC CR, 5 L"/>
    <n v="5"/>
    <n v="2.88"/>
    <n v="3.00204731484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1092.091552471745"/>
    <n v="0"/>
    <n v="0"/>
    <n v="379.19845571935571"/>
    <n v="1092.091552471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"/>
    <n v="1245.8496356621649"/>
    <n v="0"/>
    <n v="0"/>
    <n v="415"/>
    <n v="1245.8496356621649"/>
    <n v="35.801544280644293"/>
    <n v="9.44137396676029E-2"/>
    <n v="153.75808319041994"/>
    <n v="0.14079230156337832"/>
  </r>
  <r>
    <x v="6"/>
    <s v="PANAMÁ"/>
    <s v="SERVICIOS AGROPECUARIOS EL LLANO, S. A."/>
    <s v="Consolidado/estratégico"/>
    <s v="G0001PA"/>
    <s v="TRANSLOCADOR"/>
    <n v="1"/>
    <n v="9.6"/>
    <n v="10.006824382828629"/>
    <n v="0"/>
    <n v="0"/>
    <n v="783.47465396102484"/>
    <n v="7521.3566780258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.47465396102484"/>
    <n v="7521.3566780258388"/>
    <n v="0"/>
    <n v="0"/>
    <n v="864"/>
    <n v="8645.8962667639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"/>
    <n v="8645.8962667639389"/>
    <n v="80.525346038975158"/>
    <n v="0.1027797716644207"/>
    <n v="1124.5395887381001"/>
    <n v="0.14951286541476219"/>
  </r>
  <r>
    <x v="6"/>
    <s v="PANAMÁ"/>
    <s v="SERVICIOS AGROPECUARIOS EL LLANO, S. A."/>
    <s v="Consolidado/estratégico"/>
    <s v="G0001PA"/>
    <s v="GREEN-UP EXPORTACION, 1 L"/>
    <n v="1"/>
    <n v="9.6"/>
    <n v="10.006824382828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.81294232432435"/>
    <n v="7207.8042463135134"/>
    <n v="0"/>
    <n v="0"/>
    <n v="750.81294232432435"/>
    <n v="7207.8042463135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"/>
    <n v="8285.6505889821092"/>
    <n v="0"/>
    <n v="0"/>
    <n v="828"/>
    <n v="8285.6505889821092"/>
    <n v="77.187057675675646"/>
    <n v="0.10280464457195464"/>
    <n v="1077.8463426685958"/>
    <n v="0.14953879237492729"/>
  </r>
  <r>
    <x v="6"/>
    <s v="PANAMÁ"/>
    <s v="SERVICIOS AGROPECUARIOS EL LLANO, S. A."/>
    <s v="Consolidado/estratégico"/>
    <s v="G0005PA"/>
    <s v="TRANSLOCADOR"/>
    <n v="5"/>
    <n v="7.8999999999999986"/>
    <n v="8.2347825650360633"/>
    <n v="0"/>
    <n v="0"/>
    <n v="791.38853935457064"/>
    <n v="6251.9694609011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.38853935457064"/>
    <n v="6251.9694609011076"/>
    <n v="0"/>
    <n v="0"/>
    <n v="875"/>
    <n v="7205.4347444065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5"/>
    <n v="7205.4347444065561"/>
    <n v="83.611460645429361"/>
    <n v="0.10565159398646334"/>
    <n v="953.4652835054485"/>
    <n v="0.15250638850178003"/>
  </r>
  <r>
    <x v="6"/>
    <s v="PANAMÁ"/>
    <s v="SERVICIOS AGROPECUARIOS EL LLANO, S. A."/>
    <s v="Consolidado/estratégico"/>
    <s v="G0005PA"/>
    <s v="GREEN-UP EXPORTACION, 5 L"/>
    <n v="5"/>
    <n v="7.9000000000000012"/>
    <n v="8.23478256503606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.19845571935571"/>
    <n v="2995.66780018291"/>
    <n v="0"/>
    <n v="0"/>
    <n v="379.19845571935571"/>
    <n v="2995.66780018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"/>
    <n v="3458.608677315146"/>
    <n v="0"/>
    <n v="0"/>
    <n v="420"/>
    <n v="3458.608677315146"/>
    <n v="40.801544280644293"/>
    <n v="0.10759944737444148"/>
    <n v="462.94087713223598"/>
    <n v="0.15453678712438329"/>
  </r>
  <r>
    <x v="6"/>
    <s v="PANAMÁ"/>
    <s v="SERVICIOS AGROPECUARIOS EL LLANO, S. A."/>
    <s v="Consolidado/estratégico"/>
    <s v="PT0001PA"/>
    <s v="POTASION PLUS"/>
    <n v="1"/>
    <n v="6"/>
    <n v="6.2542652392678946"/>
    <n v="0"/>
    <n v="0"/>
    <n v="522.3164359740166"/>
    <n v="3133.89861584409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2.3164359740166"/>
    <n v="3133.8986158440989"/>
    <n v="0"/>
    <n v="0"/>
    <n v="576"/>
    <n v="3602.4567778183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3602.4567778183082"/>
    <n v="53.683564025983401"/>
    <n v="0.10277977166442062"/>
    <n v="468.55816197420927"/>
    <n v="0.1495128654147625"/>
  </r>
  <r>
    <x v="6"/>
    <s v="PANAMÁ"/>
    <s v="SERVICIOS AGROPECUARIOS EL LLANO, S. A."/>
    <s v="Consolidado/estratégico"/>
    <s v="PT0001PA"/>
    <s v="AGROPOTASION, 1 L"/>
    <n v="1"/>
    <n v="6"/>
    <n v="6.2542652392678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.54196154954963"/>
    <n v="3003.251769297297"/>
    <n v="0"/>
    <n v="0"/>
    <n v="500.54196154954963"/>
    <n v="3003.251769297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"/>
    <n v="3452.3544120758788"/>
    <n v="0"/>
    <n v="0"/>
    <n v="552"/>
    <n v="3452.3544120758788"/>
    <n v="51.458038450450374"/>
    <n v="0.10280464457195451"/>
    <n v="449.10264277858187"/>
    <n v="0.1495387923749274"/>
  </r>
  <r>
    <x v="6"/>
    <s v="PANAMÁ"/>
    <s v="SERVICIOS AGROPECUARIOS EL LLANO, S. A."/>
    <s v="Consolidado/estratégico"/>
    <s v="SS0001PA"/>
    <s v="SAL WAX MAX"/>
    <n v="1"/>
    <n v="5.75"/>
    <n v="5.9936708542983999"/>
    <n v="0"/>
    <n v="0"/>
    <n v="1392.843829264044"/>
    <n v="8008.8520182682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2.843829264044"/>
    <n v="8008.8520182682541"/>
    <n v="0"/>
    <n v="0"/>
    <n v="1536"/>
    <n v="9206.2784322023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6"/>
    <n v="9206.2784322023417"/>
    <n v="143.15617073595604"/>
    <n v="0.10277977166442087"/>
    <n v="1197.4264139340876"/>
    <n v="0.14951286541476214"/>
  </r>
  <r>
    <x v="6"/>
    <s v="PANAMÁ"/>
    <s v="SERVICIOS AGROPECUARIOS EL LLANO, S. A."/>
    <s v="Consolidado/estratégico"/>
    <s v="SS0001PA"/>
    <s v="SALWAX-CA, 1 KG"/>
    <n v="1"/>
    <n v="5.75"/>
    <n v="5.9936708542983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.54196154954963"/>
    <n v="2878.1162789099099"/>
    <n v="0"/>
    <n v="0"/>
    <n v="500.54196154954963"/>
    <n v="2878.11627890990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"/>
    <n v="3308.5063115727171"/>
    <n v="0"/>
    <n v="0"/>
    <n v="552"/>
    <n v="3308.5063115727171"/>
    <n v="51.458038450450374"/>
    <n v="0.10280464457195451"/>
    <n v="430.39003266280724"/>
    <n v="0.14953879237492726"/>
  </r>
  <r>
    <x v="6"/>
    <s v="PERÚ"/>
    <s v="BCOMERCE E.I.R.L."/>
    <s v="Baja aportación"/>
    <s v="AN0020PE"/>
    <s v="ALCAPLANT NEW, 20 KG"/>
    <n v="20"/>
    <n v="1.95"/>
    <n v="2.0326362027620659"/>
    <n v="0"/>
    <n v="0"/>
    <n v="0"/>
    <n v="0"/>
    <n v="0"/>
    <n v="0"/>
    <n v="0"/>
    <n v="0"/>
    <n v="0"/>
    <n v="0"/>
    <n v="0"/>
    <n v="0"/>
    <n v="1088.159241612535"/>
    <n v="2121.910521144443"/>
    <n v="0"/>
    <n v="0"/>
    <n v="0"/>
    <n v="0"/>
    <n v="0"/>
    <n v="0"/>
    <n v="0"/>
    <n v="0"/>
    <n v="0"/>
    <n v="0"/>
    <n v="1088.159241612535"/>
    <n v="2121.910521144443"/>
    <n v="0"/>
    <n v="0"/>
    <n v="0"/>
    <n v="0"/>
    <n v="0"/>
    <n v="0"/>
    <n v="0"/>
    <n v="0"/>
    <n v="0"/>
    <n v="0"/>
    <n v="0"/>
    <n v="0"/>
    <n v="1180"/>
    <n v="2398.5107192592382"/>
    <n v="0"/>
    <n v="0"/>
    <n v="0"/>
    <n v="0"/>
    <n v="0"/>
    <n v="0"/>
    <n v="0"/>
    <n v="0"/>
    <n v="0"/>
    <n v="0"/>
    <n v="1180"/>
    <n v="2398.5107192592382"/>
    <n v="91.84075838746503"/>
    <n v="8.4400108803346557E-2"/>
    <n v="276.60019811479515"/>
    <n v="0.13035431765784924"/>
  </r>
  <r>
    <x v="6"/>
    <s v="PERÚ"/>
    <s v="HORTIFRUT - PERU, S.A.C."/>
    <s v="Consolidado/estratégico"/>
    <s v="AN0020PE"/>
    <s v="ALCAPLANT NEW, 20 KG"/>
    <n v="20"/>
    <n v="1.72"/>
    <n v="1.7928893685901299"/>
    <n v="0"/>
    <n v="0"/>
    <n v="0"/>
    <n v="0"/>
    <n v="0"/>
    <n v="0"/>
    <n v="652.89554496752078"/>
    <n v="1122.9803373441359"/>
    <n v="0"/>
    <n v="0"/>
    <n v="0"/>
    <n v="0"/>
    <n v="0"/>
    <n v="0"/>
    <n v="0"/>
    <n v="0"/>
    <n v="0"/>
    <n v="0"/>
    <n v="0"/>
    <n v="0"/>
    <n v="0"/>
    <n v="0"/>
    <n v="0"/>
    <n v="0"/>
    <n v="652.89554496752078"/>
    <n v="1122.9803373441359"/>
    <n v="0"/>
    <n v="0"/>
    <n v="0"/>
    <n v="0"/>
    <n v="0"/>
    <n v="0"/>
    <n v="720"/>
    <n v="1290.8803453848941"/>
    <n v="0"/>
    <n v="0"/>
    <n v="0"/>
    <n v="0"/>
    <n v="0"/>
    <n v="0"/>
    <n v="0"/>
    <n v="0"/>
    <n v="0"/>
    <n v="0"/>
    <n v="0"/>
    <n v="0"/>
    <n v="0"/>
    <n v="0"/>
    <n v="0"/>
    <n v="0"/>
    <n v="720"/>
    <n v="1290.8803453848941"/>
    <n v="67.104455032479223"/>
    <n v="0.10277977166442058"/>
    <n v="167.90000804075817"/>
    <n v="0.1495128654147623"/>
  </r>
  <r>
    <x v="6"/>
    <s v="PERÚ"/>
    <s v="HORTIFRUT - PERU, S.A.C."/>
    <s v="Consolidado/estratégico"/>
    <s v="CSIL1000PE"/>
    <s v="FITOKONTROL-K, 1000 L"/>
    <n v="1000"/>
    <n v="2.72"/>
    <n v="2.8352669084681121"/>
    <n v="0"/>
    <n v="0"/>
    <n v="0"/>
    <n v="0"/>
    <n v="0"/>
    <n v="0"/>
    <n v="16817.006461284629"/>
    <n v="45742.25757469418"/>
    <n v="0"/>
    <n v="0"/>
    <n v="0"/>
    <n v="0"/>
    <n v="0"/>
    <n v="0"/>
    <n v="0"/>
    <n v="0"/>
    <n v="0"/>
    <n v="0"/>
    <n v="0"/>
    <n v="0"/>
    <n v="0"/>
    <n v="0"/>
    <n v="0"/>
    <n v="0"/>
    <n v="16817.006461284629"/>
    <n v="45742.25757469418"/>
    <n v="0"/>
    <n v="0"/>
    <n v="0"/>
    <n v="0"/>
    <n v="0"/>
    <n v="0"/>
    <n v="18000"/>
    <n v="51034.804352426021"/>
    <n v="0"/>
    <n v="0"/>
    <n v="0"/>
    <n v="0"/>
    <n v="0"/>
    <n v="0"/>
    <n v="0"/>
    <n v="0"/>
    <n v="0"/>
    <n v="0"/>
    <n v="0"/>
    <n v="0"/>
    <n v="0"/>
    <n v="0"/>
    <n v="0"/>
    <n v="0"/>
    <n v="18000"/>
    <n v="51034.804352426021"/>
    <n v="1182.993538715371"/>
    <n v="7.034507249781978E-2"/>
    <n v="5292.5467777318408"/>
    <n v="0.11570366349079843"/>
  </r>
  <r>
    <x v="6"/>
    <s v="PERÚ"/>
    <s v="HORTIFRUT PERU, S.A.C."/>
    <s v="Consolidado/estratégico"/>
    <s v="CSIL1000PE"/>
    <s v="FITOKONTROL -K"/>
    <n v="1000"/>
    <n v="2.72"/>
    <n v="2.835266908468113"/>
    <n v="0"/>
    <n v="0"/>
    <n v="33634.012922569251"/>
    <n v="91484.51514938836"/>
    <n v="16817.006461284629"/>
    <n v="45742.25757469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51.019383853883"/>
    <n v="137226.77272408255"/>
    <n v="0"/>
    <n v="0"/>
    <n v="35000"/>
    <n v="99234.341796383946"/>
    <n v="18000"/>
    <n v="51034.804352426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00"/>
    <n v="150269.14614880996"/>
    <n v="2548.9806161461165"/>
    <n v="5.0523867451563939E-2"/>
    <n v="13042.373424727411"/>
    <n v="9.504248453726513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3ECDC-262A-48E4-B8F7-75DDE85BECBC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0" firstDataRow="1" firstDataCol="0"/>
  <pivotFields count="6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164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dataField="1" numFmtId="3" showAll="0"/>
    <pivotField dataField="1"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64" showAll="0"/>
    <pivotField numFmtId="3" showAll="0"/>
    <pivotField numFmtId="10" showAll="0"/>
    <pivotField numFmtId="164" showAll="0"/>
    <pivotField numFmtId="1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Oct-26 (u)" fld="27" baseField="0" baseItem="0" numFmtId="3"/>
    <dataField name="Suma de Oct-26 (€)" fld="28" baseField="0" baseItem="0" numFmtId="164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A64E-B370-44F7-82FC-5BAC7B346E54}">
  <dimension ref="A3:C6"/>
  <sheetViews>
    <sheetView showGridLines="0" tabSelected="1" workbookViewId="0">
      <selection activeCell="D11" sqref="D11"/>
    </sheetView>
  </sheetViews>
  <sheetFormatPr baseColWidth="10" defaultRowHeight="14.5" x14ac:dyDescent="0.35"/>
  <cols>
    <col min="1" max="1" width="16.90625" bestFit="1" customWidth="1"/>
    <col min="2" max="2" width="19.1796875" bestFit="1" customWidth="1"/>
    <col min="3" max="3" width="9.54296875" style="17" bestFit="1" customWidth="1"/>
  </cols>
  <sheetData>
    <row r="3" spans="1:3" x14ac:dyDescent="0.35">
      <c r="A3" s="18" t="s">
        <v>973</v>
      </c>
      <c r="B3" s="18" t="s">
        <v>974</v>
      </c>
      <c r="C3" s="19" t="s">
        <v>975</v>
      </c>
    </row>
    <row r="4" spans="1:3" x14ac:dyDescent="0.35">
      <c r="A4" s="20">
        <v>273596.42578221147</v>
      </c>
      <c r="B4" s="21">
        <v>791748.09021418763</v>
      </c>
      <c r="C4" s="21">
        <f>GETPIVOTDATA("Suma de Oct-26 (€)",$A$3)/GETPIVOTDATA("Suma de Oct-26 (u)",$A$3)</f>
        <v>2.8938539235320122</v>
      </c>
    </row>
    <row r="5" spans="1:3" x14ac:dyDescent="0.35">
      <c r="A5" s="19" t="s">
        <v>976</v>
      </c>
      <c r="B5" s="19" t="s">
        <v>976</v>
      </c>
      <c r="C5" s="19" t="s">
        <v>975</v>
      </c>
    </row>
    <row r="6" spans="1:3" x14ac:dyDescent="0.35">
      <c r="A6" s="20">
        <v>311317</v>
      </c>
      <c r="B6" s="21">
        <v>910333.5500000004</v>
      </c>
      <c r="C6" s="21">
        <f>B6/A6</f>
        <v>2.9241369729247051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67"/>
  <sheetViews>
    <sheetView workbookViewId="0">
      <pane xSplit="7" ySplit="1" topLeftCell="BH1241" activePane="bottomRight" state="frozen"/>
      <selection pane="topRight"/>
      <selection pane="bottomLeft"/>
      <selection pane="bottomRight" sqref="A1:BM1266"/>
    </sheetView>
  </sheetViews>
  <sheetFormatPr baseColWidth="10" defaultColWidth="8.7265625" defaultRowHeight="14.5" x14ac:dyDescent="0.35"/>
  <cols>
    <col min="1" max="2" width="13" customWidth="1"/>
    <col min="3" max="3" width="30" customWidth="1"/>
    <col min="4" max="4" width="20" customWidth="1"/>
    <col min="5" max="5" width="16" customWidth="1"/>
    <col min="6" max="6" width="32" customWidth="1"/>
    <col min="7" max="33" width="12" customWidth="1"/>
    <col min="34" max="35" width="15" customWidth="1"/>
    <col min="36" max="59" width="12" customWidth="1"/>
    <col min="60" max="61" width="15" customWidth="1"/>
    <col min="62" max="65" width="14" customWidth="1"/>
  </cols>
  <sheetData>
    <row r="1" spans="1:6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15" customHeight="1" x14ac:dyDescent="0.4">
      <c r="A2" s="2" t="s">
        <v>65</v>
      </c>
      <c r="B2" s="2" t="s">
        <v>66</v>
      </c>
      <c r="C2" s="2" t="s">
        <v>67</v>
      </c>
      <c r="D2" s="3" t="s">
        <v>68</v>
      </c>
      <c r="E2" s="3" t="s">
        <v>69</v>
      </c>
      <c r="F2" s="2" t="s">
        <v>70</v>
      </c>
      <c r="G2" s="4">
        <v>20</v>
      </c>
      <c r="H2" s="5">
        <v>4.74</v>
      </c>
      <c r="I2" s="5">
        <v>4.9408695390216382</v>
      </c>
      <c r="J2" s="6">
        <v>0</v>
      </c>
      <c r="K2" s="5">
        <v>0</v>
      </c>
      <c r="L2" s="6">
        <v>455.04841012887812</v>
      </c>
      <c r="M2" s="5">
        <v>2156.9294640108819</v>
      </c>
      <c r="N2" s="6">
        <v>890.31210677389186</v>
      </c>
      <c r="O2" s="5">
        <v>4220.0793861082466</v>
      </c>
      <c r="P2" s="6">
        <v>0</v>
      </c>
      <c r="Q2" s="5">
        <v>0</v>
      </c>
      <c r="R2" s="6">
        <v>0</v>
      </c>
      <c r="S2" s="5">
        <v>0</v>
      </c>
      <c r="T2" s="6">
        <v>0</v>
      </c>
      <c r="U2" s="5">
        <v>0</v>
      </c>
      <c r="V2" s="6">
        <v>0</v>
      </c>
      <c r="W2" s="5">
        <v>0</v>
      </c>
      <c r="X2" s="6">
        <v>0</v>
      </c>
      <c r="Y2" s="5">
        <v>0</v>
      </c>
      <c r="Z2" s="6">
        <v>0</v>
      </c>
      <c r="AA2" s="5">
        <v>0</v>
      </c>
      <c r="AB2" s="6">
        <v>0</v>
      </c>
      <c r="AC2" s="5">
        <v>0</v>
      </c>
      <c r="AD2" s="6">
        <v>0</v>
      </c>
      <c r="AE2" s="5">
        <v>0</v>
      </c>
      <c r="AF2" s="6">
        <v>0</v>
      </c>
      <c r="AG2" s="5">
        <v>0</v>
      </c>
      <c r="AH2" s="7">
        <f t="shared" ref="AH2:AH65" si="0">J2+L2+N2+P2+R2+T2+V2+X2+Z2+AB2+AD2+AF2</f>
        <v>1345.3605169027701</v>
      </c>
      <c r="AI2" s="8">
        <f t="shared" ref="AI2:AI65" si="1">K2+M2+O2+Q2+S2+U2+W2+Y2+AA2+AC2+AE2+AG2</f>
        <v>6377.0088501191285</v>
      </c>
      <c r="AJ2" s="6">
        <v>0</v>
      </c>
      <c r="AK2" s="5">
        <v>0</v>
      </c>
      <c r="AL2" s="6">
        <v>540</v>
      </c>
      <c r="AM2" s="5">
        <v>2668.0695510716851</v>
      </c>
      <c r="AN2" s="6">
        <v>1080</v>
      </c>
      <c r="AO2" s="5">
        <v>5336.1391021433683</v>
      </c>
      <c r="AP2" s="6">
        <v>0</v>
      </c>
      <c r="AQ2" s="5">
        <v>0</v>
      </c>
      <c r="AR2" s="6">
        <v>0</v>
      </c>
      <c r="AS2" s="5">
        <v>0</v>
      </c>
      <c r="AT2" s="6">
        <v>0</v>
      </c>
      <c r="AU2" s="5">
        <v>0</v>
      </c>
      <c r="AV2" s="6">
        <v>0</v>
      </c>
      <c r="AW2" s="5">
        <v>0</v>
      </c>
      <c r="AX2" s="6">
        <v>0</v>
      </c>
      <c r="AY2" s="5">
        <v>0</v>
      </c>
      <c r="AZ2" s="6">
        <v>0</v>
      </c>
      <c r="BA2" s="5">
        <v>0</v>
      </c>
      <c r="BB2" s="6">
        <v>0</v>
      </c>
      <c r="BC2" s="5">
        <v>0</v>
      </c>
      <c r="BD2" s="6">
        <v>0</v>
      </c>
      <c r="BE2" s="5">
        <v>0</v>
      </c>
      <c r="BF2" s="6">
        <v>0</v>
      </c>
      <c r="BG2" s="5">
        <v>0</v>
      </c>
      <c r="BH2" s="9">
        <f t="shared" ref="BH2:BH65" si="2">AJ2+AL2+AN2+AP2+AR2+AT2+AV2+AX2+AZ2+BB2+BD2+BF2</f>
        <v>1620</v>
      </c>
      <c r="BI2" s="10">
        <f t="shared" ref="BI2:BI65" si="3">AK2+AM2+AO2+AQ2+AS2+AU2+AW2+AY2+BA2+BC2+BE2+BG2</f>
        <v>8004.2086532150533</v>
      </c>
      <c r="BJ2" s="6">
        <f t="shared" ref="BJ2:BJ65" si="4">BH2-AH2</f>
        <v>274.63948309722991</v>
      </c>
      <c r="BK2" s="11">
        <f t="shared" ref="BK2:BK65" si="5">IF(AH2&gt;0, BJ2/AH2, 0)</f>
        <v>0.20413820656004747</v>
      </c>
      <c r="BL2" s="5">
        <f t="shared" ref="BL2:BL65" si="6">BI2-AI2</f>
        <v>1627.1998030959248</v>
      </c>
      <c r="BM2" s="11">
        <f t="shared" ref="BM2:BM65" si="7">IF(AI2&gt;0, BL2/AI2, 0)</f>
        <v>0.25516662142714874</v>
      </c>
    </row>
    <row r="3" spans="1:65" ht="15" customHeight="1" x14ac:dyDescent="0.4">
      <c r="A3" s="2" t="s">
        <v>65</v>
      </c>
      <c r="B3" s="2" t="s">
        <v>66</v>
      </c>
      <c r="C3" s="2" t="s">
        <v>67</v>
      </c>
      <c r="D3" s="3" t="s">
        <v>68</v>
      </c>
      <c r="E3" s="3" t="s">
        <v>71</v>
      </c>
      <c r="F3" s="2" t="s">
        <v>72</v>
      </c>
      <c r="G3" s="4">
        <v>20</v>
      </c>
      <c r="H3" s="5">
        <v>2.3571794871794869</v>
      </c>
      <c r="I3" s="5">
        <v>2.457048986982564</v>
      </c>
      <c r="J3" s="6">
        <v>494.61783709660659</v>
      </c>
      <c r="K3" s="5">
        <v>1162.3519171770261</v>
      </c>
      <c r="L3" s="6">
        <v>276.98598877409972</v>
      </c>
      <c r="M3" s="5">
        <v>656.45679339461617</v>
      </c>
      <c r="N3" s="6">
        <v>0</v>
      </c>
      <c r="O3" s="5">
        <v>0</v>
      </c>
      <c r="P3" s="6">
        <v>0</v>
      </c>
      <c r="Q3" s="5">
        <v>0</v>
      </c>
      <c r="R3" s="6">
        <v>0</v>
      </c>
      <c r="S3" s="5">
        <v>0</v>
      </c>
      <c r="T3" s="6">
        <v>0</v>
      </c>
      <c r="U3" s="5">
        <v>0</v>
      </c>
      <c r="V3" s="6">
        <v>0</v>
      </c>
      <c r="W3" s="5">
        <v>0</v>
      </c>
      <c r="X3" s="6">
        <v>0</v>
      </c>
      <c r="Y3" s="5">
        <v>0</v>
      </c>
      <c r="Z3" s="6">
        <v>910.07629372645374</v>
      </c>
      <c r="AA3" s="5">
        <v>2145.213171340331</v>
      </c>
      <c r="AB3" s="6">
        <v>910.07629372645374</v>
      </c>
      <c r="AC3" s="5">
        <v>2145.213171340331</v>
      </c>
      <c r="AD3" s="6">
        <v>0</v>
      </c>
      <c r="AE3" s="5">
        <v>0</v>
      </c>
      <c r="AF3" s="6">
        <v>910.07629372645374</v>
      </c>
      <c r="AG3" s="5">
        <v>2145.213171340331</v>
      </c>
      <c r="AH3" s="7">
        <f t="shared" si="0"/>
        <v>3501.8327070500673</v>
      </c>
      <c r="AI3" s="8">
        <f t="shared" si="1"/>
        <v>8254.4482245926356</v>
      </c>
      <c r="AJ3" s="6">
        <v>620</v>
      </c>
      <c r="AK3" s="5">
        <v>1518.7440756022211</v>
      </c>
      <c r="AL3" s="6">
        <v>340</v>
      </c>
      <c r="AM3" s="5">
        <v>839.94782163367802</v>
      </c>
      <c r="AN3" s="6">
        <v>0</v>
      </c>
      <c r="AO3" s="5">
        <v>0</v>
      </c>
      <c r="AP3" s="6">
        <v>0</v>
      </c>
      <c r="AQ3" s="5">
        <v>0</v>
      </c>
      <c r="AR3" s="6">
        <v>0</v>
      </c>
      <c r="AS3" s="5">
        <v>0</v>
      </c>
      <c r="AT3" s="6">
        <v>0</v>
      </c>
      <c r="AU3" s="5">
        <v>0</v>
      </c>
      <c r="AV3" s="6">
        <v>0</v>
      </c>
      <c r="AW3" s="5">
        <v>0</v>
      </c>
      <c r="AX3" s="6">
        <v>0</v>
      </c>
      <c r="AY3" s="5">
        <v>0</v>
      </c>
      <c r="AZ3" s="6">
        <v>1140</v>
      </c>
      <c r="BA3" s="5">
        <v>2801.0608885825782</v>
      </c>
      <c r="BB3" s="6">
        <v>1140</v>
      </c>
      <c r="BC3" s="5">
        <v>2801.0608885825782</v>
      </c>
      <c r="BD3" s="6">
        <v>0</v>
      </c>
      <c r="BE3" s="5">
        <v>0</v>
      </c>
      <c r="BF3" s="6">
        <v>1140</v>
      </c>
      <c r="BG3" s="5">
        <v>2801.0608885825782</v>
      </c>
      <c r="BH3" s="9">
        <f t="shared" si="2"/>
        <v>4380</v>
      </c>
      <c r="BI3" s="10">
        <f t="shared" si="3"/>
        <v>10761.874562983634</v>
      </c>
      <c r="BJ3" s="6">
        <f t="shared" si="4"/>
        <v>878.16729294993274</v>
      </c>
      <c r="BK3" s="11">
        <f t="shared" si="5"/>
        <v>0.25077362810106885</v>
      </c>
      <c r="BL3" s="5">
        <f t="shared" si="6"/>
        <v>2507.4263383909984</v>
      </c>
      <c r="BM3" s="11">
        <f t="shared" si="7"/>
        <v>0.30376668072380358</v>
      </c>
    </row>
    <row r="4" spans="1:65" ht="15" customHeight="1" x14ac:dyDescent="0.4">
      <c r="A4" s="2" t="s">
        <v>65</v>
      </c>
      <c r="B4" s="2" t="s">
        <v>66</v>
      </c>
      <c r="C4" s="2" t="s">
        <v>67</v>
      </c>
      <c r="D4" s="3" t="s">
        <v>68</v>
      </c>
      <c r="E4" s="3" t="s">
        <v>73</v>
      </c>
      <c r="F4" s="2" t="s">
        <v>74</v>
      </c>
      <c r="G4" s="4">
        <v>20</v>
      </c>
      <c r="H4" s="5">
        <v>2.897272727272727</v>
      </c>
      <c r="I4" s="5">
        <v>3.0199878563138189</v>
      </c>
      <c r="J4" s="6">
        <v>494.61783709660659</v>
      </c>
      <c r="K4" s="5">
        <v>1424.4993708382269</v>
      </c>
      <c r="L4" s="6">
        <v>375.90955619342111</v>
      </c>
      <c r="M4" s="5">
        <v>1097.655904084789</v>
      </c>
      <c r="N4" s="6">
        <v>0</v>
      </c>
      <c r="O4" s="5">
        <v>0</v>
      </c>
      <c r="P4" s="6">
        <v>0</v>
      </c>
      <c r="Q4" s="5">
        <v>0</v>
      </c>
      <c r="R4" s="6">
        <v>0</v>
      </c>
      <c r="S4" s="5">
        <v>0</v>
      </c>
      <c r="T4" s="6">
        <v>0</v>
      </c>
      <c r="U4" s="5">
        <v>0</v>
      </c>
      <c r="V4" s="6">
        <v>0</v>
      </c>
      <c r="W4" s="5">
        <v>0</v>
      </c>
      <c r="X4" s="6">
        <v>0</v>
      </c>
      <c r="Y4" s="5">
        <v>0</v>
      </c>
      <c r="Z4" s="6">
        <v>910.07629372645374</v>
      </c>
      <c r="AA4" s="5">
        <v>2636.7392255510981</v>
      </c>
      <c r="AB4" s="6">
        <v>872.15644815451822</v>
      </c>
      <c r="AC4" s="5">
        <v>2526.8750911531361</v>
      </c>
      <c r="AD4" s="6">
        <v>0</v>
      </c>
      <c r="AE4" s="5">
        <v>0</v>
      </c>
      <c r="AF4" s="6">
        <v>910.07629372645374</v>
      </c>
      <c r="AG4" s="5">
        <v>2636.7392255510981</v>
      </c>
      <c r="AH4" s="7">
        <f t="shared" si="0"/>
        <v>3562.8364288974535</v>
      </c>
      <c r="AI4" s="8">
        <f t="shared" si="1"/>
        <v>10322.508817178348</v>
      </c>
      <c r="AJ4" s="6">
        <v>540</v>
      </c>
      <c r="AK4" s="5">
        <v>1621.105550018239</v>
      </c>
      <c r="AL4" s="6">
        <v>400</v>
      </c>
      <c r="AM4" s="5">
        <v>1217.4969665774829</v>
      </c>
      <c r="AN4" s="6">
        <v>0</v>
      </c>
      <c r="AO4" s="5">
        <v>0</v>
      </c>
      <c r="AP4" s="6">
        <v>0</v>
      </c>
      <c r="AQ4" s="5">
        <v>0</v>
      </c>
      <c r="AR4" s="6">
        <v>0</v>
      </c>
      <c r="AS4" s="5">
        <v>0</v>
      </c>
      <c r="AT4" s="6">
        <v>0</v>
      </c>
      <c r="AU4" s="5">
        <v>0</v>
      </c>
      <c r="AV4" s="6">
        <v>0</v>
      </c>
      <c r="AW4" s="5">
        <v>0</v>
      </c>
      <c r="AX4" s="6">
        <v>0</v>
      </c>
      <c r="AY4" s="5">
        <v>0</v>
      </c>
      <c r="AZ4" s="6">
        <v>980</v>
      </c>
      <c r="BA4" s="5">
        <v>2959.6509774539159</v>
      </c>
      <c r="BB4" s="6">
        <v>940</v>
      </c>
      <c r="BC4" s="5">
        <v>2838.848896741511</v>
      </c>
      <c r="BD4" s="6">
        <v>0</v>
      </c>
      <c r="BE4" s="5">
        <v>0</v>
      </c>
      <c r="BF4" s="6">
        <v>980</v>
      </c>
      <c r="BG4" s="5">
        <v>2959.6509774539159</v>
      </c>
      <c r="BH4" s="9">
        <f t="shared" si="2"/>
        <v>3840</v>
      </c>
      <c r="BI4" s="10">
        <f t="shared" si="3"/>
        <v>11596.753368245063</v>
      </c>
      <c r="BJ4" s="6">
        <f t="shared" si="4"/>
        <v>277.16357110254648</v>
      </c>
      <c r="BK4" s="11">
        <f t="shared" si="5"/>
        <v>7.7792954190803773E-2</v>
      </c>
      <c r="BL4" s="5">
        <f t="shared" si="6"/>
        <v>1274.2445510667148</v>
      </c>
      <c r="BM4" s="11">
        <f t="shared" si="7"/>
        <v>0.12344329984452644</v>
      </c>
    </row>
    <row r="5" spans="1:65" ht="15" customHeight="1" x14ac:dyDescent="0.4">
      <c r="A5" s="2" t="s">
        <v>65</v>
      </c>
      <c r="B5" s="2" t="s">
        <v>66</v>
      </c>
      <c r="C5" s="2" t="s">
        <v>67</v>
      </c>
      <c r="D5" s="3" t="s">
        <v>68</v>
      </c>
      <c r="E5" s="3" t="s">
        <v>75</v>
      </c>
      <c r="F5" s="2" t="s">
        <v>76</v>
      </c>
      <c r="G5" s="4">
        <v>20</v>
      </c>
      <c r="H5" s="5">
        <v>2.84</v>
      </c>
      <c r="I5" s="5">
        <v>2.9603522132534712</v>
      </c>
      <c r="J5" s="6">
        <v>0</v>
      </c>
      <c r="K5" s="5">
        <v>0</v>
      </c>
      <c r="L5" s="6">
        <v>0</v>
      </c>
      <c r="M5" s="5">
        <v>0</v>
      </c>
      <c r="N5" s="6">
        <v>613.32611799979225</v>
      </c>
      <c r="O5" s="5">
        <v>1741.84617511941</v>
      </c>
      <c r="P5" s="6">
        <v>217.6318483225069</v>
      </c>
      <c r="Q5" s="5">
        <v>618.07444923591959</v>
      </c>
      <c r="R5" s="6">
        <v>0</v>
      </c>
      <c r="S5" s="5">
        <v>0</v>
      </c>
      <c r="T5" s="6">
        <v>0</v>
      </c>
      <c r="U5" s="5">
        <v>0</v>
      </c>
      <c r="V5" s="6">
        <v>0</v>
      </c>
      <c r="W5" s="5">
        <v>0</v>
      </c>
      <c r="X5" s="6">
        <v>0</v>
      </c>
      <c r="Y5" s="5">
        <v>0</v>
      </c>
      <c r="Z5" s="6">
        <v>0</v>
      </c>
      <c r="AA5" s="5">
        <v>0</v>
      </c>
      <c r="AB5" s="6">
        <v>0</v>
      </c>
      <c r="AC5" s="5">
        <v>0</v>
      </c>
      <c r="AD5" s="6">
        <v>0</v>
      </c>
      <c r="AE5" s="5">
        <v>0</v>
      </c>
      <c r="AF5" s="6">
        <v>0</v>
      </c>
      <c r="AG5" s="5">
        <v>0</v>
      </c>
      <c r="AH5" s="7">
        <f t="shared" si="0"/>
        <v>830.95796632229917</v>
      </c>
      <c r="AI5" s="8">
        <f t="shared" si="1"/>
        <v>2359.9206243553294</v>
      </c>
      <c r="AJ5" s="6">
        <v>0</v>
      </c>
      <c r="AK5" s="5">
        <v>0</v>
      </c>
      <c r="AL5" s="6">
        <v>0</v>
      </c>
      <c r="AM5" s="5">
        <v>0</v>
      </c>
      <c r="AN5" s="6">
        <v>660</v>
      </c>
      <c r="AO5" s="5">
        <v>1953.83246074729</v>
      </c>
      <c r="AP5" s="6">
        <v>240</v>
      </c>
      <c r="AQ5" s="5">
        <v>710.48453118083296</v>
      </c>
      <c r="AR5" s="6">
        <v>0</v>
      </c>
      <c r="AS5" s="5">
        <v>0</v>
      </c>
      <c r="AT5" s="6">
        <v>0</v>
      </c>
      <c r="AU5" s="5">
        <v>0</v>
      </c>
      <c r="AV5" s="6">
        <v>0</v>
      </c>
      <c r="AW5" s="5">
        <v>0</v>
      </c>
      <c r="AX5" s="6">
        <v>0</v>
      </c>
      <c r="AY5" s="5">
        <v>0</v>
      </c>
      <c r="AZ5" s="6">
        <v>0</v>
      </c>
      <c r="BA5" s="5">
        <v>0</v>
      </c>
      <c r="BB5" s="6">
        <v>0</v>
      </c>
      <c r="BC5" s="5">
        <v>0</v>
      </c>
      <c r="BD5" s="6">
        <v>0</v>
      </c>
      <c r="BE5" s="5">
        <v>0</v>
      </c>
      <c r="BF5" s="6">
        <v>0</v>
      </c>
      <c r="BG5" s="5">
        <v>0</v>
      </c>
      <c r="BH5" s="9">
        <f t="shared" si="2"/>
        <v>900</v>
      </c>
      <c r="BI5" s="10">
        <f t="shared" si="3"/>
        <v>2664.3169919281231</v>
      </c>
      <c r="BJ5" s="6">
        <f t="shared" si="4"/>
        <v>69.042033677700829</v>
      </c>
      <c r="BK5" s="11">
        <f t="shared" si="5"/>
        <v>8.3087275741841632E-2</v>
      </c>
      <c r="BL5" s="5">
        <f t="shared" si="6"/>
        <v>304.39636757279368</v>
      </c>
      <c r="BM5" s="11">
        <f t="shared" si="7"/>
        <v>0.12898584996092699</v>
      </c>
    </row>
    <row r="6" spans="1:65" ht="15" customHeight="1" x14ac:dyDescent="0.4">
      <c r="A6" s="2" t="s">
        <v>65</v>
      </c>
      <c r="B6" s="2" t="s">
        <v>66</v>
      </c>
      <c r="C6" s="2" t="s">
        <v>67</v>
      </c>
      <c r="D6" s="3" t="s">
        <v>68</v>
      </c>
      <c r="E6" s="3" t="s">
        <v>77</v>
      </c>
      <c r="F6" s="2" t="s">
        <v>78</v>
      </c>
      <c r="G6" s="4">
        <v>20</v>
      </c>
      <c r="H6" s="5">
        <v>2.5099999999999998</v>
      </c>
      <c r="I6" s="5">
        <v>2.6163676250937362</v>
      </c>
      <c r="J6" s="6">
        <v>0</v>
      </c>
      <c r="K6" s="5">
        <v>0</v>
      </c>
      <c r="L6" s="6">
        <v>0</v>
      </c>
      <c r="M6" s="5">
        <v>0</v>
      </c>
      <c r="N6" s="6">
        <v>613.32611799979225</v>
      </c>
      <c r="O6" s="5">
        <v>1539.4485561794779</v>
      </c>
      <c r="P6" s="6">
        <v>0</v>
      </c>
      <c r="Q6" s="5">
        <v>0</v>
      </c>
      <c r="R6" s="6">
        <v>0</v>
      </c>
      <c r="S6" s="5">
        <v>0</v>
      </c>
      <c r="T6" s="6">
        <v>0</v>
      </c>
      <c r="U6" s="5">
        <v>0</v>
      </c>
      <c r="V6" s="6">
        <v>0</v>
      </c>
      <c r="W6" s="5">
        <v>0</v>
      </c>
      <c r="X6" s="6">
        <v>0</v>
      </c>
      <c r="Y6" s="5">
        <v>0</v>
      </c>
      <c r="Z6" s="6">
        <v>0</v>
      </c>
      <c r="AA6" s="5">
        <v>0</v>
      </c>
      <c r="AB6" s="6">
        <v>0</v>
      </c>
      <c r="AC6" s="5">
        <v>0</v>
      </c>
      <c r="AD6" s="6">
        <v>0</v>
      </c>
      <c r="AE6" s="5">
        <v>0</v>
      </c>
      <c r="AF6" s="6">
        <v>0</v>
      </c>
      <c r="AG6" s="5">
        <v>0</v>
      </c>
      <c r="AH6" s="7">
        <f t="shared" si="0"/>
        <v>613.32611799979225</v>
      </c>
      <c r="AI6" s="8">
        <f t="shared" si="1"/>
        <v>1539.4485561794779</v>
      </c>
      <c r="AJ6" s="6">
        <v>0</v>
      </c>
      <c r="AK6" s="5">
        <v>0</v>
      </c>
      <c r="AL6" s="6">
        <v>0</v>
      </c>
      <c r="AM6" s="5">
        <v>0</v>
      </c>
      <c r="AN6" s="6">
        <v>660</v>
      </c>
      <c r="AO6" s="5">
        <v>1726.8026325618659</v>
      </c>
      <c r="AP6" s="6">
        <v>0</v>
      </c>
      <c r="AQ6" s="5">
        <v>0</v>
      </c>
      <c r="AR6" s="6">
        <v>0</v>
      </c>
      <c r="AS6" s="5">
        <v>0</v>
      </c>
      <c r="AT6" s="6">
        <v>0</v>
      </c>
      <c r="AU6" s="5">
        <v>0</v>
      </c>
      <c r="AV6" s="6">
        <v>0</v>
      </c>
      <c r="AW6" s="5">
        <v>0</v>
      </c>
      <c r="AX6" s="6">
        <v>0</v>
      </c>
      <c r="AY6" s="5">
        <v>0</v>
      </c>
      <c r="AZ6" s="6">
        <v>0</v>
      </c>
      <c r="BA6" s="5">
        <v>0</v>
      </c>
      <c r="BB6" s="6">
        <v>0</v>
      </c>
      <c r="BC6" s="5">
        <v>0</v>
      </c>
      <c r="BD6" s="6">
        <v>0</v>
      </c>
      <c r="BE6" s="5">
        <v>0</v>
      </c>
      <c r="BF6" s="6">
        <v>0</v>
      </c>
      <c r="BG6" s="5">
        <v>0</v>
      </c>
      <c r="BH6" s="9">
        <f t="shared" si="2"/>
        <v>660</v>
      </c>
      <c r="BI6" s="10">
        <f t="shared" si="3"/>
        <v>1726.8026325618659</v>
      </c>
      <c r="BJ6" s="6">
        <f t="shared" si="4"/>
        <v>46.673882000207755</v>
      </c>
      <c r="BK6" s="11">
        <f t="shared" si="5"/>
        <v>7.6099615898345879E-2</v>
      </c>
      <c r="BL6" s="5">
        <f t="shared" si="6"/>
        <v>187.35407638238803</v>
      </c>
      <c r="BM6" s="11">
        <f t="shared" si="7"/>
        <v>0.12170207028376023</v>
      </c>
    </row>
    <row r="7" spans="1:65" ht="15" customHeight="1" x14ac:dyDescent="0.4">
      <c r="A7" s="2" t="s">
        <v>65</v>
      </c>
      <c r="B7" s="2" t="s">
        <v>66</v>
      </c>
      <c r="C7" s="2" t="s">
        <v>67</v>
      </c>
      <c r="D7" s="3" t="s">
        <v>68</v>
      </c>
      <c r="E7" s="3" t="s">
        <v>79</v>
      </c>
      <c r="F7" s="2" t="s">
        <v>80</v>
      </c>
      <c r="G7" s="4">
        <v>20</v>
      </c>
      <c r="H7" s="5">
        <v>3.2507920792079208</v>
      </c>
      <c r="I7" s="5">
        <v>3.3885798589542531</v>
      </c>
      <c r="J7" s="6">
        <v>158.2777078709141</v>
      </c>
      <c r="K7" s="5">
        <v>517.56810473788926</v>
      </c>
      <c r="L7" s="6">
        <v>0</v>
      </c>
      <c r="M7" s="5">
        <v>0</v>
      </c>
      <c r="N7" s="6">
        <v>949.66624722548465</v>
      </c>
      <c r="O7" s="5">
        <v>3086.415303482825</v>
      </c>
      <c r="P7" s="6">
        <v>1543.207651741413</v>
      </c>
      <c r="Q7" s="5">
        <v>5015.4248681595909</v>
      </c>
      <c r="R7" s="6">
        <v>1345.3605169027701</v>
      </c>
      <c r="S7" s="5">
        <v>4372.4216799340029</v>
      </c>
      <c r="T7" s="6">
        <v>0</v>
      </c>
      <c r="U7" s="5">
        <v>0</v>
      </c>
      <c r="V7" s="6">
        <v>0</v>
      </c>
      <c r="W7" s="5">
        <v>0</v>
      </c>
      <c r="X7" s="6">
        <v>0</v>
      </c>
      <c r="Y7" s="5">
        <v>0</v>
      </c>
      <c r="Z7" s="6">
        <v>0</v>
      </c>
      <c r="AA7" s="5">
        <v>0</v>
      </c>
      <c r="AB7" s="6">
        <v>0</v>
      </c>
      <c r="AC7" s="5">
        <v>0</v>
      </c>
      <c r="AD7" s="6">
        <v>0</v>
      </c>
      <c r="AE7" s="5">
        <v>0</v>
      </c>
      <c r="AF7" s="6">
        <v>0</v>
      </c>
      <c r="AG7" s="5">
        <v>0</v>
      </c>
      <c r="AH7" s="7">
        <f t="shared" si="0"/>
        <v>3996.5121237405815</v>
      </c>
      <c r="AI7" s="8">
        <f t="shared" si="1"/>
        <v>12991.829956314308</v>
      </c>
      <c r="AJ7" s="6">
        <v>180</v>
      </c>
      <c r="AK7" s="5">
        <v>613.54341997218069</v>
      </c>
      <c r="AL7" s="6">
        <v>0</v>
      </c>
      <c r="AM7" s="5">
        <v>0</v>
      </c>
      <c r="AN7" s="6">
        <v>1040</v>
      </c>
      <c r="AO7" s="5">
        <v>3523.2360847875821</v>
      </c>
      <c r="AP7" s="6">
        <v>1700</v>
      </c>
      <c r="AQ7" s="5">
        <v>5759.1359078258538</v>
      </c>
      <c r="AR7" s="6">
        <v>1480</v>
      </c>
      <c r="AS7" s="5">
        <v>5013.835966813097</v>
      </c>
      <c r="AT7" s="6">
        <v>0</v>
      </c>
      <c r="AU7" s="5">
        <v>0</v>
      </c>
      <c r="AV7" s="6">
        <v>0</v>
      </c>
      <c r="AW7" s="5">
        <v>0</v>
      </c>
      <c r="AX7" s="6">
        <v>0</v>
      </c>
      <c r="AY7" s="5">
        <v>0</v>
      </c>
      <c r="AZ7" s="6">
        <v>0</v>
      </c>
      <c r="BA7" s="5">
        <v>0</v>
      </c>
      <c r="BB7" s="6">
        <v>0</v>
      </c>
      <c r="BC7" s="5">
        <v>0</v>
      </c>
      <c r="BD7" s="6">
        <v>0</v>
      </c>
      <c r="BE7" s="5">
        <v>0</v>
      </c>
      <c r="BF7" s="6">
        <v>0</v>
      </c>
      <c r="BG7" s="5">
        <v>0</v>
      </c>
      <c r="BH7" s="9">
        <f t="shared" si="2"/>
        <v>4400</v>
      </c>
      <c r="BI7" s="10">
        <f t="shared" si="3"/>
        <v>14909.751379398713</v>
      </c>
      <c r="BJ7" s="6">
        <f t="shared" si="4"/>
        <v>403.4878762594185</v>
      </c>
      <c r="BK7" s="11">
        <f t="shared" si="5"/>
        <v>0.10096000306431434</v>
      </c>
      <c r="BL7" s="5">
        <f t="shared" si="6"/>
        <v>1917.9214230844045</v>
      </c>
      <c r="BM7" s="11">
        <f t="shared" si="7"/>
        <v>0.14762519441322072</v>
      </c>
    </row>
    <row r="8" spans="1:65" ht="15" customHeight="1" x14ac:dyDescent="0.4">
      <c r="A8" s="2" t="s">
        <v>65</v>
      </c>
      <c r="B8" s="2" t="s">
        <v>66</v>
      </c>
      <c r="C8" s="2" t="s">
        <v>81</v>
      </c>
      <c r="D8" s="3" t="s">
        <v>68</v>
      </c>
      <c r="E8" s="3" t="s">
        <v>82</v>
      </c>
      <c r="F8" s="2" t="s">
        <v>83</v>
      </c>
      <c r="G8" s="4">
        <v>20</v>
      </c>
      <c r="H8" s="5">
        <v>3.089999999999999</v>
      </c>
      <c r="I8" s="5">
        <v>3.2209465982229659</v>
      </c>
      <c r="J8" s="6">
        <v>0</v>
      </c>
      <c r="K8" s="5">
        <v>0</v>
      </c>
      <c r="L8" s="6">
        <v>0</v>
      </c>
      <c r="M8" s="5">
        <v>0</v>
      </c>
      <c r="N8" s="6">
        <v>0</v>
      </c>
      <c r="O8" s="5">
        <v>0</v>
      </c>
      <c r="P8" s="6">
        <v>633.11083148365651</v>
      </c>
      <c r="Q8" s="5">
        <v>1956.3124692844981</v>
      </c>
      <c r="R8" s="6">
        <v>0</v>
      </c>
      <c r="S8" s="5">
        <v>0</v>
      </c>
      <c r="T8" s="6">
        <v>0</v>
      </c>
      <c r="U8" s="5">
        <v>0</v>
      </c>
      <c r="V8" s="6">
        <v>0</v>
      </c>
      <c r="W8" s="5">
        <v>0</v>
      </c>
      <c r="X8" s="6">
        <v>0</v>
      </c>
      <c r="Y8" s="5">
        <v>0</v>
      </c>
      <c r="Z8" s="6">
        <v>0</v>
      </c>
      <c r="AA8" s="5">
        <v>0</v>
      </c>
      <c r="AB8" s="6">
        <v>0</v>
      </c>
      <c r="AC8" s="5">
        <v>0</v>
      </c>
      <c r="AD8" s="6">
        <v>0</v>
      </c>
      <c r="AE8" s="5">
        <v>0</v>
      </c>
      <c r="AF8" s="6">
        <v>0</v>
      </c>
      <c r="AG8" s="5">
        <v>0</v>
      </c>
      <c r="AH8" s="7">
        <f t="shared" si="0"/>
        <v>633.11083148365651</v>
      </c>
      <c r="AI8" s="8">
        <f t="shared" si="1"/>
        <v>1956.3124692844981</v>
      </c>
      <c r="AJ8" s="6">
        <v>0</v>
      </c>
      <c r="AK8" s="5">
        <v>0</v>
      </c>
      <c r="AL8" s="6">
        <v>0</v>
      </c>
      <c r="AM8" s="5">
        <v>0</v>
      </c>
      <c r="AN8" s="6">
        <v>0</v>
      </c>
      <c r="AO8" s="5">
        <v>0</v>
      </c>
      <c r="AP8" s="6">
        <v>700</v>
      </c>
      <c r="AQ8" s="5">
        <v>2254.662618756076</v>
      </c>
      <c r="AR8" s="6">
        <v>0</v>
      </c>
      <c r="AS8" s="5">
        <v>0</v>
      </c>
      <c r="AT8" s="6">
        <v>0</v>
      </c>
      <c r="AU8" s="5">
        <v>0</v>
      </c>
      <c r="AV8" s="6">
        <v>0</v>
      </c>
      <c r="AW8" s="5">
        <v>0</v>
      </c>
      <c r="AX8" s="6">
        <v>0</v>
      </c>
      <c r="AY8" s="5">
        <v>0</v>
      </c>
      <c r="AZ8" s="6">
        <v>0</v>
      </c>
      <c r="BA8" s="5">
        <v>0</v>
      </c>
      <c r="BB8" s="6">
        <v>0</v>
      </c>
      <c r="BC8" s="5">
        <v>0</v>
      </c>
      <c r="BD8" s="6">
        <v>0</v>
      </c>
      <c r="BE8" s="5">
        <v>0</v>
      </c>
      <c r="BF8" s="6">
        <v>0</v>
      </c>
      <c r="BG8" s="5">
        <v>0</v>
      </c>
      <c r="BH8" s="9">
        <f t="shared" si="2"/>
        <v>700</v>
      </c>
      <c r="BI8" s="10">
        <f t="shared" si="3"/>
        <v>2254.662618756076</v>
      </c>
      <c r="BJ8" s="6">
        <f t="shared" si="4"/>
        <v>66.889168516343489</v>
      </c>
      <c r="BK8" s="11">
        <f t="shared" si="5"/>
        <v>0.10565159398646334</v>
      </c>
      <c r="BL8" s="5">
        <f t="shared" si="6"/>
        <v>298.35014947157788</v>
      </c>
      <c r="BM8" s="11">
        <f t="shared" si="7"/>
        <v>0.15250638850177983</v>
      </c>
    </row>
    <row r="9" spans="1:65" ht="15" customHeight="1" x14ac:dyDescent="0.4">
      <c r="A9" s="2" t="s">
        <v>65</v>
      </c>
      <c r="B9" s="2" t="s">
        <v>66</v>
      </c>
      <c r="C9" s="2" t="s">
        <v>81</v>
      </c>
      <c r="D9" s="3" t="s">
        <v>68</v>
      </c>
      <c r="E9" s="3" t="s">
        <v>84</v>
      </c>
      <c r="F9" s="2" t="s">
        <v>85</v>
      </c>
      <c r="G9" s="4">
        <v>20</v>
      </c>
      <c r="H9" s="5">
        <v>0</v>
      </c>
      <c r="I9" s="5">
        <v>0</v>
      </c>
      <c r="J9" s="6">
        <v>0</v>
      </c>
      <c r="K9" s="5">
        <v>0</v>
      </c>
      <c r="L9" s="6">
        <v>197.84713483864269</v>
      </c>
      <c r="M9" s="5">
        <v>0</v>
      </c>
      <c r="N9" s="6">
        <v>0</v>
      </c>
      <c r="O9" s="5">
        <v>0</v>
      </c>
      <c r="P9" s="6">
        <v>0</v>
      </c>
      <c r="Q9" s="5">
        <v>0</v>
      </c>
      <c r="R9" s="6">
        <v>0</v>
      </c>
      <c r="S9" s="5">
        <v>0</v>
      </c>
      <c r="T9" s="6">
        <v>0</v>
      </c>
      <c r="U9" s="5">
        <v>0</v>
      </c>
      <c r="V9" s="6">
        <v>0</v>
      </c>
      <c r="W9" s="5">
        <v>0</v>
      </c>
      <c r="X9" s="6">
        <v>0</v>
      </c>
      <c r="Y9" s="5">
        <v>0</v>
      </c>
      <c r="Z9" s="6">
        <v>0</v>
      </c>
      <c r="AA9" s="5">
        <v>0</v>
      </c>
      <c r="AB9" s="6">
        <v>0</v>
      </c>
      <c r="AC9" s="5">
        <v>0</v>
      </c>
      <c r="AD9" s="6">
        <v>0</v>
      </c>
      <c r="AE9" s="5">
        <v>0</v>
      </c>
      <c r="AF9" s="6">
        <v>0</v>
      </c>
      <c r="AG9" s="5">
        <v>0</v>
      </c>
      <c r="AH9" s="7">
        <f t="shared" si="0"/>
        <v>197.84713483864269</v>
      </c>
      <c r="AI9" s="8">
        <f t="shared" si="1"/>
        <v>0</v>
      </c>
      <c r="AJ9" s="6">
        <v>0</v>
      </c>
      <c r="AK9" s="5">
        <v>0</v>
      </c>
      <c r="AL9" s="6">
        <v>220</v>
      </c>
      <c r="AM9" s="5">
        <v>0</v>
      </c>
      <c r="AN9" s="6">
        <v>0</v>
      </c>
      <c r="AO9" s="5">
        <v>0</v>
      </c>
      <c r="AP9" s="6">
        <v>0</v>
      </c>
      <c r="AQ9" s="5">
        <v>0</v>
      </c>
      <c r="AR9" s="6">
        <v>0</v>
      </c>
      <c r="AS9" s="5">
        <v>0</v>
      </c>
      <c r="AT9" s="6">
        <v>0</v>
      </c>
      <c r="AU9" s="5">
        <v>0</v>
      </c>
      <c r="AV9" s="6">
        <v>0</v>
      </c>
      <c r="AW9" s="5">
        <v>0</v>
      </c>
      <c r="AX9" s="6">
        <v>0</v>
      </c>
      <c r="AY9" s="5">
        <v>0</v>
      </c>
      <c r="AZ9" s="6">
        <v>0</v>
      </c>
      <c r="BA9" s="5">
        <v>0</v>
      </c>
      <c r="BB9" s="6">
        <v>0</v>
      </c>
      <c r="BC9" s="5">
        <v>0</v>
      </c>
      <c r="BD9" s="6">
        <v>0</v>
      </c>
      <c r="BE9" s="5">
        <v>0</v>
      </c>
      <c r="BF9" s="6">
        <v>0</v>
      </c>
      <c r="BG9" s="5">
        <v>0</v>
      </c>
      <c r="BH9" s="9">
        <f t="shared" si="2"/>
        <v>220</v>
      </c>
      <c r="BI9" s="10">
        <f t="shared" si="3"/>
        <v>0</v>
      </c>
      <c r="BJ9" s="6">
        <f t="shared" si="4"/>
        <v>22.152865161357312</v>
      </c>
      <c r="BK9" s="11">
        <f t="shared" si="5"/>
        <v>0.11196960309495725</v>
      </c>
      <c r="BL9" s="5">
        <f t="shared" si="6"/>
        <v>0</v>
      </c>
      <c r="BM9" s="11">
        <f t="shared" si="7"/>
        <v>0</v>
      </c>
    </row>
    <row r="10" spans="1:65" ht="15" customHeight="1" x14ac:dyDescent="0.4">
      <c r="A10" s="2" t="s">
        <v>65</v>
      </c>
      <c r="B10" s="2" t="s">
        <v>66</v>
      </c>
      <c r="C10" s="2" t="s">
        <v>81</v>
      </c>
      <c r="D10" s="3" t="s">
        <v>68</v>
      </c>
      <c r="E10" s="3" t="s">
        <v>86</v>
      </c>
      <c r="F10" s="2" t="s">
        <v>87</v>
      </c>
      <c r="G10" s="4">
        <v>20</v>
      </c>
      <c r="H10" s="5">
        <v>0.84000000000000008</v>
      </c>
      <c r="I10" s="5">
        <v>0.87559713349750556</v>
      </c>
      <c r="J10" s="6">
        <v>0</v>
      </c>
      <c r="K10" s="5">
        <v>0</v>
      </c>
      <c r="L10" s="6">
        <v>1088.159241612535</v>
      </c>
      <c r="M10" s="5">
        <v>0</v>
      </c>
      <c r="N10" s="6">
        <v>0</v>
      </c>
      <c r="O10" s="5">
        <v>0</v>
      </c>
      <c r="P10" s="6">
        <v>0</v>
      </c>
      <c r="Q10" s="5">
        <v>0</v>
      </c>
      <c r="R10" s="6">
        <v>1088.159241612535</v>
      </c>
      <c r="S10" s="5">
        <v>1828.107525909058</v>
      </c>
      <c r="T10" s="6">
        <v>0</v>
      </c>
      <c r="U10" s="5">
        <v>0</v>
      </c>
      <c r="V10" s="6">
        <v>0</v>
      </c>
      <c r="W10" s="5">
        <v>0</v>
      </c>
      <c r="X10" s="6">
        <v>0</v>
      </c>
      <c r="Y10" s="5">
        <v>0</v>
      </c>
      <c r="Z10" s="6">
        <v>0</v>
      </c>
      <c r="AA10" s="5">
        <v>0</v>
      </c>
      <c r="AB10" s="6">
        <v>0</v>
      </c>
      <c r="AC10" s="5">
        <v>0</v>
      </c>
      <c r="AD10" s="6">
        <v>0</v>
      </c>
      <c r="AE10" s="5">
        <v>0</v>
      </c>
      <c r="AF10" s="6">
        <v>0</v>
      </c>
      <c r="AG10" s="5">
        <v>0</v>
      </c>
      <c r="AH10" s="7">
        <f t="shared" si="0"/>
        <v>2176.3184832250699</v>
      </c>
      <c r="AI10" s="8">
        <f t="shared" si="1"/>
        <v>1828.107525909058</v>
      </c>
      <c r="AJ10" s="6">
        <v>0</v>
      </c>
      <c r="AK10" s="5">
        <v>0</v>
      </c>
      <c r="AL10" s="6">
        <v>1200</v>
      </c>
      <c r="AM10" s="5">
        <v>0</v>
      </c>
      <c r="AN10" s="6">
        <v>0</v>
      </c>
      <c r="AO10" s="5">
        <v>0</v>
      </c>
      <c r="AP10" s="6">
        <v>0</v>
      </c>
      <c r="AQ10" s="5">
        <v>0</v>
      </c>
      <c r="AR10" s="6">
        <v>1200</v>
      </c>
      <c r="AS10" s="5">
        <v>2101.4331203940128</v>
      </c>
      <c r="AT10" s="6">
        <v>0</v>
      </c>
      <c r="AU10" s="5">
        <v>0</v>
      </c>
      <c r="AV10" s="6">
        <v>0</v>
      </c>
      <c r="AW10" s="5">
        <v>0</v>
      </c>
      <c r="AX10" s="6">
        <v>0</v>
      </c>
      <c r="AY10" s="5">
        <v>0</v>
      </c>
      <c r="AZ10" s="6">
        <v>0</v>
      </c>
      <c r="BA10" s="5">
        <v>0</v>
      </c>
      <c r="BB10" s="6">
        <v>0</v>
      </c>
      <c r="BC10" s="5">
        <v>0</v>
      </c>
      <c r="BD10" s="6">
        <v>0</v>
      </c>
      <c r="BE10" s="5">
        <v>0</v>
      </c>
      <c r="BF10" s="6">
        <v>0</v>
      </c>
      <c r="BG10" s="5">
        <v>0</v>
      </c>
      <c r="BH10" s="9">
        <f t="shared" si="2"/>
        <v>2400</v>
      </c>
      <c r="BI10" s="10">
        <f t="shared" si="3"/>
        <v>2101.4331203940128</v>
      </c>
      <c r="BJ10" s="6">
        <f t="shared" si="4"/>
        <v>223.68151677493006</v>
      </c>
      <c r="BK10" s="11">
        <f t="shared" si="5"/>
        <v>0.10277977166442023</v>
      </c>
      <c r="BL10" s="5">
        <f t="shared" si="6"/>
        <v>273.32559448495476</v>
      </c>
      <c r="BM10" s="11">
        <f t="shared" si="7"/>
        <v>0.14951286541476214</v>
      </c>
    </row>
    <row r="11" spans="1:65" ht="15" customHeight="1" x14ac:dyDescent="0.4">
      <c r="A11" s="2" t="s">
        <v>65</v>
      </c>
      <c r="B11" s="2" t="s">
        <v>66</v>
      </c>
      <c r="C11" s="2" t="s">
        <v>81</v>
      </c>
      <c r="D11" s="3" t="s">
        <v>68</v>
      </c>
      <c r="E11" s="3" t="s">
        <v>71</v>
      </c>
      <c r="F11" s="2" t="s">
        <v>72</v>
      </c>
      <c r="G11" s="4">
        <v>20</v>
      </c>
      <c r="H11" s="5">
        <v>0</v>
      </c>
      <c r="I11" s="5">
        <v>0</v>
      </c>
      <c r="J11" s="6">
        <v>0</v>
      </c>
      <c r="K11" s="5">
        <v>0</v>
      </c>
      <c r="L11" s="6">
        <v>395.69426967728532</v>
      </c>
      <c r="M11" s="5">
        <v>0</v>
      </c>
      <c r="N11" s="6">
        <v>0</v>
      </c>
      <c r="O11" s="5">
        <v>0</v>
      </c>
      <c r="P11" s="6">
        <v>0</v>
      </c>
      <c r="Q11" s="5">
        <v>0</v>
      </c>
      <c r="R11" s="6">
        <v>0</v>
      </c>
      <c r="S11" s="5">
        <v>0</v>
      </c>
      <c r="T11" s="6">
        <v>0</v>
      </c>
      <c r="U11" s="5">
        <v>0</v>
      </c>
      <c r="V11" s="6">
        <v>0</v>
      </c>
      <c r="W11" s="5">
        <v>0</v>
      </c>
      <c r="X11" s="6">
        <v>0</v>
      </c>
      <c r="Y11" s="5">
        <v>0</v>
      </c>
      <c r="Z11" s="6">
        <v>0</v>
      </c>
      <c r="AA11" s="5">
        <v>0</v>
      </c>
      <c r="AB11" s="6">
        <v>0</v>
      </c>
      <c r="AC11" s="5">
        <v>0</v>
      </c>
      <c r="AD11" s="6">
        <v>0</v>
      </c>
      <c r="AE11" s="5">
        <v>0</v>
      </c>
      <c r="AF11" s="6">
        <v>0</v>
      </c>
      <c r="AG11" s="5">
        <v>0</v>
      </c>
      <c r="AH11" s="7">
        <f t="shared" si="0"/>
        <v>395.69426967728532</v>
      </c>
      <c r="AI11" s="8">
        <f t="shared" si="1"/>
        <v>0</v>
      </c>
      <c r="AJ11" s="6">
        <v>0</v>
      </c>
      <c r="AK11" s="5">
        <v>0</v>
      </c>
      <c r="AL11" s="6">
        <v>500</v>
      </c>
      <c r="AM11" s="5">
        <v>0</v>
      </c>
      <c r="AN11" s="6">
        <v>0</v>
      </c>
      <c r="AO11" s="5">
        <v>0</v>
      </c>
      <c r="AP11" s="6">
        <v>0</v>
      </c>
      <c r="AQ11" s="5">
        <v>0</v>
      </c>
      <c r="AR11" s="6">
        <v>0</v>
      </c>
      <c r="AS11" s="5">
        <v>0</v>
      </c>
      <c r="AT11" s="6">
        <v>0</v>
      </c>
      <c r="AU11" s="5">
        <v>0</v>
      </c>
      <c r="AV11" s="6">
        <v>0</v>
      </c>
      <c r="AW11" s="5">
        <v>0</v>
      </c>
      <c r="AX11" s="6">
        <v>0</v>
      </c>
      <c r="AY11" s="5">
        <v>0</v>
      </c>
      <c r="AZ11" s="6">
        <v>0</v>
      </c>
      <c r="BA11" s="5">
        <v>0</v>
      </c>
      <c r="BB11" s="6">
        <v>0</v>
      </c>
      <c r="BC11" s="5">
        <v>0</v>
      </c>
      <c r="BD11" s="6">
        <v>0</v>
      </c>
      <c r="BE11" s="5">
        <v>0</v>
      </c>
      <c r="BF11" s="6">
        <v>0</v>
      </c>
      <c r="BG11" s="5">
        <v>0</v>
      </c>
      <c r="BH11" s="9">
        <f t="shared" si="2"/>
        <v>500</v>
      </c>
      <c r="BI11" s="10">
        <f t="shared" si="3"/>
        <v>0</v>
      </c>
      <c r="BJ11" s="6">
        <f t="shared" si="4"/>
        <v>104.30573032271468</v>
      </c>
      <c r="BK11" s="11">
        <f t="shared" si="5"/>
        <v>0.26360182169881524</v>
      </c>
      <c r="BL11" s="5">
        <f t="shared" si="6"/>
        <v>0</v>
      </c>
      <c r="BM11" s="11">
        <f t="shared" si="7"/>
        <v>0</v>
      </c>
    </row>
    <row r="12" spans="1:65" ht="15" customHeight="1" x14ac:dyDescent="0.4">
      <c r="A12" s="2" t="s">
        <v>65</v>
      </c>
      <c r="B12" s="2" t="s">
        <v>66</v>
      </c>
      <c r="C12" s="2" t="s">
        <v>81</v>
      </c>
      <c r="D12" s="3" t="s">
        <v>68</v>
      </c>
      <c r="E12" s="3" t="s">
        <v>88</v>
      </c>
      <c r="F12" s="2" t="s">
        <v>89</v>
      </c>
      <c r="G12" s="4">
        <v>5</v>
      </c>
      <c r="H12" s="5">
        <v>2.3649999999999989</v>
      </c>
      <c r="I12" s="5">
        <v>2.465933593770437</v>
      </c>
      <c r="J12" s="6">
        <v>0</v>
      </c>
      <c r="K12" s="5">
        <v>0</v>
      </c>
      <c r="L12" s="6">
        <v>0</v>
      </c>
      <c r="M12" s="5">
        <v>0</v>
      </c>
      <c r="N12" s="6">
        <v>0</v>
      </c>
      <c r="O12" s="5">
        <v>0</v>
      </c>
      <c r="P12" s="6">
        <v>0</v>
      </c>
      <c r="Q12" s="5">
        <v>0</v>
      </c>
      <c r="R12" s="6">
        <v>0</v>
      </c>
      <c r="S12" s="5">
        <v>0</v>
      </c>
      <c r="T12" s="6">
        <v>59.354140451592791</v>
      </c>
      <c r="U12" s="5">
        <v>134.14035742059971</v>
      </c>
      <c r="V12" s="6">
        <v>138.49299438704989</v>
      </c>
      <c r="W12" s="5">
        <v>333.7681164727901</v>
      </c>
      <c r="X12" s="6">
        <v>0</v>
      </c>
      <c r="Y12" s="5">
        <v>0</v>
      </c>
      <c r="Z12" s="6">
        <v>0</v>
      </c>
      <c r="AA12" s="5">
        <v>0</v>
      </c>
      <c r="AB12" s="6">
        <v>0</v>
      </c>
      <c r="AC12" s="5">
        <v>0</v>
      </c>
      <c r="AD12" s="6">
        <v>0</v>
      </c>
      <c r="AE12" s="5">
        <v>0</v>
      </c>
      <c r="AF12" s="6">
        <v>0</v>
      </c>
      <c r="AG12" s="5">
        <v>0</v>
      </c>
      <c r="AH12" s="7">
        <f t="shared" si="0"/>
        <v>197.84713483864269</v>
      </c>
      <c r="AI12" s="8">
        <f t="shared" si="1"/>
        <v>467.90847389338978</v>
      </c>
      <c r="AJ12" s="6">
        <v>0</v>
      </c>
      <c r="AK12" s="5">
        <v>0</v>
      </c>
      <c r="AL12" s="6">
        <v>0</v>
      </c>
      <c r="AM12" s="5">
        <v>0</v>
      </c>
      <c r="AN12" s="6">
        <v>0</v>
      </c>
      <c r="AO12" s="5">
        <v>0</v>
      </c>
      <c r="AP12" s="6">
        <v>0</v>
      </c>
      <c r="AQ12" s="5">
        <v>0</v>
      </c>
      <c r="AR12" s="6">
        <v>0</v>
      </c>
      <c r="AS12" s="5">
        <v>0</v>
      </c>
      <c r="AT12" s="6">
        <v>65</v>
      </c>
      <c r="AU12" s="5">
        <v>153.12526060807571</v>
      </c>
      <c r="AV12" s="6">
        <v>155</v>
      </c>
      <c r="AW12" s="5">
        <v>389.38013002142043</v>
      </c>
      <c r="AX12" s="6">
        <v>0</v>
      </c>
      <c r="AY12" s="5">
        <v>0</v>
      </c>
      <c r="AZ12" s="6">
        <v>0</v>
      </c>
      <c r="BA12" s="5">
        <v>0</v>
      </c>
      <c r="BB12" s="6">
        <v>0</v>
      </c>
      <c r="BC12" s="5">
        <v>0</v>
      </c>
      <c r="BD12" s="6">
        <v>0</v>
      </c>
      <c r="BE12" s="5">
        <v>0</v>
      </c>
      <c r="BF12" s="6">
        <v>0</v>
      </c>
      <c r="BG12" s="5">
        <v>0</v>
      </c>
      <c r="BH12" s="9">
        <f t="shared" si="2"/>
        <v>220</v>
      </c>
      <c r="BI12" s="10">
        <f t="shared" si="3"/>
        <v>542.50539062949611</v>
      </c>
      <c r="BJ12" s="6">
        <f t="shared" si="4"/>
        <v>22.152865161357312</v>
      </c>
      <c r="BK12" s="11">
        <f t="shared" si="5"/>
        <v>0.11196960309495725</v>
      </c>
      <c r="BL12" s="5">
        <f t="shared" si="6"/>
        <v>74.596916736106323</v>
      </c>
      <c r="BM12" s="11">
        <f t="shared" si="7"/>
        <v>0.15942630000990921</v>
      </c>
    </row>
    <row r="13" spans="1:65" ht="15" customHeight="1" x14ac:dyDescent="0.4">
      <c r="A13" s="2" t="s">
        <v>65</v>
      </c>
      <c r="B13" s="2" t="s">
        <v>66</v>
      </c>
      <c r="C13" s="2" t="s">
        <v>81</v>
      </c>
      <c r="D13" s="3" t="s">
        <v>68</v>
      </c>
      <c r="E13" s="3" t="s">
        <v>73</v>
      </c>
      <c r="F13" s="2" t="s">
        <v>74</v>
      </c>
      <c r="G13" s="4">
        <v>20</v>
      </c>
      <c r="H13" s="5">
        <v>0</v>
      </c>
      <c r="I13" s="5">
        <v>0</v>
      </c>
      <c r="J13" s="6">
        <v>0</v>
      </c>
      <c r="K13" s="5">
        <v>0</v>
      </c>
      <c r="L13" s="6">
        <v>296.77070225796399</v>
      </c>
      <c r="M13" s="5">
        <v>0</v>
      </c>
      <c r="N13" s="6">
        <v>0</v>
      </c>
      <c r="O13" s="5">
        <v>0</v>
      </c>
      <c r="P13" s="6">
        <v>0</v>
      </c>
      <c r="Q13" s="5">
        <v>0</v>
      </c>
      <c r="R13" s="6">
        <v>0</v>
      </c>
      <c r="S13" s="5">
        <v>0</v>
      </c>
      <c r="T13" s="6">
        <v>0</v>
      </c>
      <c r="U13" s="5">
        <v>0</v>
      </c>
      <c r="V13" s="6">
        <v>0</v>
      </c>
      <c r="W13" s="5">
        <v>0</v>
      </c>
      <c r="X13" s="6">
        <v>0</v>
      </c>
      <c r="Y13" s="5">
        <v>0</v>
      </c>
      <c r="Z13" s="6">
        <v>0</v>
      </c>
      <c r="AA13" s="5">
        <v>0</v>
      </c>
      <c r="AB13" s="6">
        <v>0</v>
      </c>
      <c r="AC13" s="5">
        <v>0</v>
      </c>
      <c r="AD13" s="6">
        <v>0</v>
      </c>
      <c r="AE13" s="5">
        <v>0</v>
      </c>
      <c r="AF13" s="6">
        <v>0</v>
      </c>
      <c r="AG13" s="5">
        <v>0</v>
      </c>
      <c r="AH13" s="7">
        <f t="shared" si="0"/>
        <v>296.77070225796399</v>
      </c>
      <c r="AI13" s="8">
        <f t="shared" si="1"/>
        <v>0</v>
      </c>
      <c r="AJ13" s="6">
        <v>0</v>
      </c>
      <c r="AK13" s="5">
        <v>0</v>
      </c>
      <c r="AL13" s="6">
        <v>320</v>
      </c>
      <c r="AM13" s="5">
        <v>0</v>
      </c>
      <c r="AN13" s="6">
        <v>0</v>
      </c>
      <c r="AO13" s="5">
        <v>0</v>
      </c>
      <c r="AP13" s="6">
        <v>0</v>
      </c>
      <c r="AQ13" s="5">
        <v>0</v>
      </c>
      <c r="AR13" s="6">
        <v>0</v>
      </c>
      <c r="AS13" s="5">
        <v>0</v>
      </c>
      <c r="AT13" s="6">
        <v>0</v>
      </c>
      <c r="AU13" s="5">
        <v>0</v>
      </c>
      <c r="AV13" s="6">
        <v>0</v>
      </c>
      <c r="AW13" s="5">
        <v>0</v>
      </c>
      <c r="AX13" s="6">
        <v>0</v>
      </c>
      <c r="AY13" s="5">
        <v>0</v>
      </c>
      <c r="AZ13" s="6">
        <v>0</v>
      </c>
      <c r="BA13" s="5">
        <v>0</v>
      </c>
      <c r="BB13" s="6">
        <v>0</v>
      </c>
      <c r="BC13" s="5">
        <v>0</v>
      </c>
      <c r="BD13" s="6">
        <v>0</v>
      </c>
      <c r="BE13" s="5">
        <v>0</v>
      </c>
      <c r="BF13" s="6">
        <v>0</v>
      </c>
      <c r="BG13" s="5">
        <v>0</v>
      </c>
      <c r="BH13" s="9">
        <f t="shared" si="2"/>
        <v>320</v>
      </c>
      <c r="BI13" s="10">
        <f t="shared" si="3"/>
        <v>0</v>
      </c>
      <c r="BJ13" s="6">
        <f t="shared" si="4"/>
        <v>23.22929774203601</v>
      </c>
      <c r="BK13" s="11">
        <f t="shared" si="5"/>
        <v>7.8273554516322341E-2</v>
      </c>
      <c r="BL13" s="5">
        <f t="shared" si="6"/>
        <v>0</v>
      </c>
      <c r="BM13" s="11">
        <f t="shared" si="7"/>
        <v>0</v>
      </c>
    </row>
    <row r="14" spans="1:65" ht="15" customHeight="1" x14ac:dyDescent="0.4">
      <c r="A14" s="2" t="s">
        <v>65</v>
      </c>
      <c r="B14" s="2" t="s">
        <v>66</v>
      </c>
      <c r="C14" s="2" t="s">
        <v>81</v>
      </c>
      <c r="D14" s="3" t="s">
        <v>68</v>
      </c>
      <c r="E14" s="3" t="s">
        <v>90</v>
      </c>
      <c r="F14" s="2" t="s">
        <v>91</v>
      </c>
      <c r="G14" s="4">
        <v>20</v>
      </c>
      <c r="H14" s="5">
        <v>0</v>
      </c>
      <c r="I14" s="5">
        <v>0</v>
      </c>
      <c r="J14" s="6">
        <v>0</v>
      </c>
      <c r="K14" s="5">
        <v>0</v>
      </c>
      <c r="L14" s="6">
        <v>296.77070225796399</v>
      </c>
      <c r="M14" s="5">
        <v>0</v>
      </c>
      <c r="N14" s="6">
        <v>0</v>
      </c>
      <c r="O14" s="5">
        <v>0</v>
      </c>
      <c r="P14" s="6">
        <v>0</v>
      </c>
      <c r="Q14" s="5">
        <v>0</v>
      </c>
      <c r="R14" s="6">
        <v>0</v>
      </c>
      <c r="S14" s="5">
        <v>0</v>
      </c>
      <c r="T14" s="6">
        <v>0</v>
      </c>
      <c r="U14" s="5">
        <v>0</v>
      </c>
      <c r="V14" s="6">
        <v>0</v>
      </c>
      <c r="W14" s="5">
        <v>0</v>
      </c>
      <c r="X14" s="6">
        <v>0</v>
      </c>
      <c r="Y14" s="5">
        <v>0</v>
      </c>
      <c r="Z14" s="6">
        <v>0</v>
      </c>
      <c r="AA14" s="5">
        <v>0</v>
      </c>
      <c r="AB14" s="6">
        <v>0</v>
      </c>
      <c r="AC14" s="5">
        <v>0</v>
      </c>
      <c r="AD14" s="6">
        <v>0</v>
      </c>
      <c r="AE14" s="5">
        <v>0</v>
      </c>
      <c r="AF14" s="6">
        <v>0</v>
      </c>
      <c r="AG14" s="5">
        <v>0</v>
      </c>
      <c r="AH14" s="7">
        <f t="shared" si="0"/>
        <v>296.77070225796399</v>
      </c>
      <c r="AI14" s="8">
        <f t="shared" si="1"/>
        <v>0</v>
      </c>
      <c r="AJ14" s="6">
        <v>0</v>
      </c>
      <c r="AK14" s="5">
        <v>0</v>
      </c>
      <c r="AL14" s="6">
        <v>320</v>
      </c>
      <c r="AM14" s="5">
        <v>0</v>
      </c>
      <c r="AN14" s="6">
        <v>0</v>
      </c>
      <c r="AO14" s="5">
        <v>0</v>
      </c>
      <c r="AP14" s="6">
        <v>0</v>
      </c>
      <c r="AQ14" s="5">
        <v>0</v>
      </c>
      <c r="AR14" s="6">
        <v>0</v>
      </c>
      <c r="AS14" s="5">
        <v>0</v>
      </c>
      <c r="AT14" s="6">
        <v>0</v>
      </c>
      <c r="AU14" s="5">
        <v>0</v>
      </c>
      <c r="AV14" s="6">
        <v>0</v>
      </c>
      <c r="AW14" s="5">
        <v>0</v>
      </c>
      <c r="AX14" s="6">
        <v>0</v>
      </c>
      <c r="AY14" s="5">
        <v>0</v>
      </c>
      <c r="AZ14" s="6">
        <v>0</v>
      </c>
      <c r="BA14" s="5">
        <v>0</v>
      </c>
      <c r="BB14" s="6">
        <v>0</v>
      </c>
      <c r="BC14" s="5">
        <v>0</v>
      </c>
      <c r="BD14" s="6">
        <v>0</v>
      </c>
      <c r="BE14" s="5">
        <v>0</v>
      </c>
      <c r="BF14" s="6">
        <v>0</v>
      </c>
      <c r="BG14" s="5">
        <v>0</v>
      </c>
      <c r="BH14" s="9">
        <f t="shared" si="2"/>
        <v>320</v>
      </c>
      <c r="BI14" s="10">
        <f t="shared" si="3"/>
        <v>0</v>
      </c>
      <c r="BJ14" s="6">
        <f t="shared" si="4"/>
        <v>23.22929774203601</v>
      </c>
      <c r="BK14" s="11">
        <f t="shared" si="5"/>
        <v>7.8273554516322341E-2</v>
      </c>
      <c r="BL14" s="5">
        <f t="shared" si="6"/>
        <v>0</v>
      </c>
      <c r="BM14" s="11">
        <f t="shared" si="7"/>
        <v>0</v>
      </c>
    </row>
    <row r="15" spans="1:65" ht="15" customHeight="1" x14ac:dyDescent="0.4">
      <c r="A15" s="2" t="s">
        <v>65</v>
      </c>
      <c r="B15" s="2" t="s">
        <v>66</v>
      </c>
      <c r="C15" s="2" t="s">
        <v>81</v>
      </c>
      <c r="D15" s="3" t="s">
        <v>68</v>
      </c>
      <c r="E15" s="3" t="s">
        <v>92</v>
      </c>
      <c r="F15" s="2" t="s">
        <v>93</v>
      </c>
      <c r="G15" s="4">
        <v>20</v>
      </c>
      <c r="H15" s="5">
        <v>4.34</v>
      </c>
      <c r="I15" s="5">
        <v>4.5239185230704448</v>
      </c>
      <c r="J15" s="6">
        <v>0</v>
      </c>
      <c r="K15" s="5">
        <v>0</v>
      </c>
      <c r="L15" s="6">
        <v>0</v>
      </c>
      <c r="M15" s="5">
        <v>0</v>
      </c>
      <c r="N15" s="6">
        <v>0</v>
      </c>
      <c r="O15" s="5">
        <v>0</v>
      </c>
      <c r="P15" s="6">
        <v>0</v>
      </c>
      <c r="Q15" s="5">
        <v>0</v>
      </c>
      <c r="R15" s="6">
        <v>0</v>
      </c>
      <c r="S15" s="5">
        <v>0</v>
      </c>
      <c r="T15" s="6">
        <v>0</v>
      </c>
      <c r="U15" s="5">
        <v>0</v>
      </c>
      <c r="V15" s="6">
        <v>98.92356741932133</v>
      </c>
      <c r="W15" s="5">
        <v>429.32828259985462</v>
      </c>
      <c r="X15" s="6">
        <v>0</v>
      </c>
      <c r="Y15" s="5">
        <v>0</v>
      </c>
      <c r="Z15" s="6">
        <v>0</v>
      </c>
      <c r="AA15" s="5">
        <v>0</v>
      </c>
      <c r="AB15" s="6">
        <v>0</v>
      </c>
      <c r="AC15" s="5">
        <v>0</v>
      </c>
      <c r="AD15" s="6">
        <v>0</v>
      </c>
      <c r="AE15" s="5">
        <v>0</v>
      </c>
      <c r="AF15" s="6">
        <v>0</v>
      </c>
      <c r="AG15" s="5">
        <v>0</v>
      </c>
      <c r="AH15" s="7">
        <f t="shared" si="0"/>
        <v>98.92356741932133</v>
      </c>
      <c r="AI15" s="8">
        <f t="shared" si="1"/>
        <v>429.32828259985462</v>
      </c>
      <c r="AJ15" s="6">
        <v>0</v>
      </c>
      <c r="AK15" s="5">
        <v>0</v>
      </c>
      <c r="AL15" s="6">
        <v>0</v>
      </c>
      <c r="AM15" s="5">
        <v>0</v>
      </c>
      <c r="AN15" s="6">
        <v>0</v>
      </c>
      <c r="AO15" s="5">
        <v>0</v>
      </c>
      <c r="AP15" s="6">
        <v>0</v>
      </c>
      <c r="AQ15" s="5">
        <v>0</v>
      </c>
      <c r="AR15" s="6">
        <v>0</v>
      </c>
      <c r="AS15" s="5">
        <v>0</v>
      </c>
      <c r="AT15" s="6">
        <v>0</v>
      </c>
      <c r="AU15" s="5">
        <v>0</v>
      </c>
      <c r="AV15" s="6">
        <v>100</v>
      </c>
      <c r="AW15" s="5">
        <v>452.39185230704447</v>
      </c>
      <c r="AX15" s="6">
        <v>0</v>
      </c>
      <c r="AY15" s="5">
        <v>0</v>
      </c>
      <c r="AZ15" s="6">
        <v>0</v>
      </c>
      <c r="BA15" s="5">
        <v>0</v>
      </c>
      <c r="BB15" s="6">
        <v>0</v>
      </c>
      <c r="BC15" s="5">
        <v>0</v>
      </c>
      <c r="BD15" s="6">
        <v>0</v>
      </c>
      <c r="BE15" s="5">
        <v>0</v>
      </c>
      <c r="BF15" s="6">
        <v>0</v>
      </c>
      <c r="BG15" s="5">
        <v>0</v>
      </c>
      <c r="BH15" s="9">
        <f t="shared" si="2"/>
        <v>100</v>
      </c>
      <c r="BI15" s="10">
        <f t="shared" si="3"/>
        <v>452.39185230704447</v>
      </c>
      <c r="BJ15" s="6">
        <f t="shared" si="4"/>
        <v>1.0764325806786701</v>
      </c>
      <c r="BK15" s="11">
        <f t="shared" si="5"/>
        <v>1.0881457359052195E-2</v>
      </c>
      <c r="BL15" s="5">
        <f t="shared" si="6"/>
        <v>23.063569707189856</v>
      </c>
      <c r="BM15" s="11">
        <f t="shared" si="7"/>
        <v>5.3720126630198546E-2</v>
      </c>
    </row>
    <row r="16" spans="1:65" ht="15" customHeight="1" x14ac:dyDescent="0.4">
      <c r="A16" s="2" t="s">
        <v>65</v>
      </c>
      <c r="B16" s="2" t="s">
        <v>66</v>
      </c>
      <c r="C16" s="2" t="s">
        <v>81</v>
      </c>
      <c r="D16" s="3" t="s">
        <v>68</v>
      </c>
      <c r="E16" s="3" t="s">
        <v>77</v>
      </c>
      <c r="F16" s="2" t="s">
        <v>78</v>
      </c>
      <c r="G16" s="4">
        <v>20</v>
      </c>
      <c r="H16" s="5">
        <v>0</v>
      </c>
      <c r="I16" s="5">
        <v>0</v>
      </c>
      <c r="J16" s="6">
        <v>0</v>
      </c>
      <c r="K16" s="5">
        <v>0</v>
      </c>
      <c r="L16" s="6">
        <v>296.77070225796399</v>
      </c>
      <c r="M16" s="5">
        <v>0</v>
      </c>
      <c r="N16" s="6">
        <v>0</v>
      </c>
      <c r="O16" s="5">
        <v>0</v>
      </c>
      <c r="P16" s="6">
        <v>0</v>
      </c>
      <c r="Q16" s="5">
        <v>0</v>
      </c>
      <c r="R16" s="6">
        <v>0</v>
      </c>
      <c r="S16" s="5">
        <v>0</v>
      </c>
      <c r="T16" s="6">
        <v>0</v>
      </c>
      <c r="U16" s="5">
        <v>0</v>
      </c>
      <c r="V16" s="6">
        <v>0</v>
      </c>
      <c r="W16" s="5">
        <v>0</v>
      </c>
      <c r="X16" s="6">
        <v>0</v>
      </c>
      <c r="Y16" s="5">
        <v>0</v>
      </c>
      <c r="Z16" s="6">
        <v>0</v>
      </c>
      <c r="AA16" s="5">
        <v>0</v>
      </c>
      <c r="AB16" s="6">
        <v>0</v>
      </c>
      <c r="AC16" s="5">
        <v>0</v>
      </c>
      <c r="AD16" s="6">
        <v>0</v>
      </c>
      <c r="AE16" s="5">
        <v>0</v>
      </c>
      <c r="AF16" s="6">
        <v>0</v>
      </c>
      <c r="AG16" s="5">
        <v>0</v>
      </c>
      <c r="AH16" s="7">
        <f t="shared" si="0"/>
        <v>296.77070225796399</v>
      </c>
      <c r="AI16" s="8">
        <f t="shared" si="1"/>
        <v>0</v>
      </c>
      <c r="AJ16" s="6">
        <v>0</v>
      </c>
      <c r="AK16" s="5">
        <v>0</v>
      </c>
      <c r="AL16" s="6">
        <v>320</v>
      </c>
      <c r="AM16" s="5">
        <v>0</v>
      </c>
      <c r="AN16" s="6">
        <v>0</v>
      </c>
      <c r="AO16" s="5">
        <v>0</v>
      </c>
      <c r="AP16" s="6">
        <v>0</v>
      </c>
      <c r="AQ16" s="5">
        <v>0</v>
      </c>
      <c r="AR16" s="6">
        <v>0</v>
      </c>
      <c r="AS16" s="5">
        <v>0</v>
      </c>
      <c r="AT16" s="6">
        <v>0</v>
      </c>
      <c r="AU16" s="5">
        <v>0</v>
      </c>
      <c r="AV16" s="6">
        <v>0</v>
      </c>
      <c r="AW16" s="5">
        <v>0</v>
      </c>
      <c r="AX16" s="6">
        <v>0</v>
      </c>
      <c r="AY16" s="5">
        <v>0</v>
      </c>
      <c r="AZ16" s="6">
        <v>0</v>
      </c>
      <c r="BA16" s="5">
        <v>0</v>
      </c>
      <c r="BB16" s="6">
        <v>0</v>
      </c>
      <c r="BC16" s="5">
        <v>0</v>
      </c>
      <c r="BD16" s="6">
        <v>0</v>
      </c>
      <c r="BE16" s="5">
        <v>0</v>
      </c>
      <c r="BF16" s="6">
        <v>0</v>
      </c>
      <c r="BG16" s="5">
        <v>0</v>
      </c>
      <c r="BH16" s="9">
        <f t="shared" si="2"/>
        <v>320</v>
      </c>
      <c r="BI16" s="10">
        <f t="shared" si="3"/>
        <v>0</v>
      </c>
      <c r="BJ16" s="6">
        <f t="shared" si="4"/>
        <v>23.22929774203601</v>
      </c>
      <c r="BK16" s="11">
        <f t="shared" si="5"/>
        <v>7.8273554516322341E-2</v>
      </c>
      <c r="BL16" s="5">
        <f t="shared" si="6"/>
        <v>0</v>
      </c>
      <c r="BM16" s="11">
        <f t="shared" si="7"/>
        <v>0</v>
      </c>
    </row>
    <row r="17" spans="1:65" ht="15" customHeight="1" x14ac:dyDescent="0.4">
      <c r="A17" s="2" t="s">
        <v>65</v>
      </c>
      <c r="B17" s="2" t="s">
        <v>66</v>
      </c>
      <c r="C17" s="2" t="s">
        <v>81</v>
      </c>
      <c r="D17" s="3" t="s">
        <v>68</v>
      </c>
      <c r="E17" s="3" t="s">
        <v>94</v>
      </c>
      <c r="F17" s="2" t="s">
        <v>95</v>
      </c>
      <c r="G17" s="4">
        <v>20</v>
      </c>
      <c r="H17" s="5">
        <v>2.08</v>
      </c>
      <c r="I17" s="5">
        <v>2.1681452829462038</v>
      </c>
      <c r="J17" s="6">
        <v>0</v>
      </c>
      <c r="K17" s="5">
        <v>0</v>
      </c>
      <c r="L17" s="6">
        <v>0</v>
      </c>
      <c r="M17" s="5">
        <v>0</v>
      </c>
      <c r="N17" s="6">
        <v>0</v>
      </c>
      <c r="O17" s="5">
        <v>0</v>
      </c>
      <c r="P17" s="6">
        <v>0</v>
      </c>
      <c r="Q17" s="5">
        <v>0</v>
      </c>
      <c r="R17" s="6">
        <v>0</v>
      </c>
      <c r="S17" s="5">
        <v>0</v>
      </c>
      <c r="T17" s="6">
        <v>633.11083148365651</v>
      </c>
      <c r="U17" s="5">
        <v>1316.870529486006</v>
      </c>
      <c r="V17" s="6">
        <v>0</v>
      </c>
      <c r="W17" s="5">
        <v>0</v>
      </c>
      <c r="X17" s="6">
        <v>0</v>
      </c>
      <c r="Y17" s="5">
        <v>0</v>
      </c>
      <c r="Z17" s="6">
        <v>0</v>
      </c>
      <c r="AA17" s="5">
        <v>0</v>
      </c>
      <c r="AB17" s="6">
        <v>0</v>
      </c>
      <c r="AC17" s="5">
        <v>0</v>
      </c>
      <c r="AD17" s="6">
        <v>0</v>
      </c>
      <c r="AE17" s="5">
        <v>0</v>
      </c>
      <c r="AF17" s="6">
        <v>0</v>
      </c>
      <c r="AG17" s="5">
        <v>0</v>
      </c>
      <c r="AH17" s="7">
        <f t="shared" si="0"/>
        <v>633.11083148365651</v>
      </c>
      <c r="AI17" s="8">
        <f t="shared" si="1"/>
        <v>1316.870529486006</v>
      </c>
      <c r="AJ17" s="6">
        <v>0</v>
      </c>
      <c r="AK17" s="5">
        <v>0</v>
      </c>
      <c r="AL17" s="6">
        <v>0</v>
      </c>
      <c r="AM17" s="5">
        <v>0</v>
      </c>
      <c r="AN17" s="6">
        <v>0</v>
      </c>
      <c r="AO17" s="5">
        <v>0</v>
      </c>
      <c r="AP17" s="6">
        <v>0</v>
      </c>
      <c r="AQ17" s="5">
        <v>0</v>
      </c>
      <c r="AR17" s="6">
        <v>0</v>
      </c>
      <c r="AS17" s="5">
        <v>0</v>
      </c>
      <c r="AT17" s="6">
        <v>680</v>
      </c>
      <c r="AU17" s="5">
        <v>1474.3387924034189</v>
      </c>
      <c r="AV17" s="6">
        <v>0</v>
      </c>
      <c r="AW17" s="5">
        <v>0</v>
      </c>
      <c r="AX17" s="6">
        <v>0</v>
      </c>
      <c r="AY17" s="5">
        <v>0</v>
      </c>
      <c r="AZ17" s="6">
        <v>0</v>
      </c>
      <c r="BA17" s="5">
        <v>0</v>
      </c>
      <c r="BB17" s="6">
        <v>0</v>
      </c>
      <c r="BC17" s="5">
        <v>0</v>
      </c>
      <c r="BD17" s="6">
        <v>0</v>
      </c>
      <c r="BE17" s="5">
        <v>0</v>
      </c>
      <c r="BF17" s="6">
        <v>0</v>
      </c>
      <c r="BG17" s="5">
        <v>0</v>
      </c>
      <c r="BH17" s="9">
        <f t="shared" si="2"/>
        <v>680</v>
      </c>
      <c r="BI17" s="10">
        <f t="shared" si="3"/>
        <v>1474.3387924034189</v>
      </c>
      <c r="BJ17" s="6">
        <f t="shared" si="4"/>
        <v>46.889168516343489</v>
      </c>
      <c r="BK17" s="11">
        <f t="shared" si="5"/>
        <v>7.4061548443992958E-2</v>
      </c>
      <c r="BL17" s="5">
        <f t="shared" si="6"/>
        <v>157.46826291741286</v>
      </c>
      <c r="BM17" s="11">
        <f t="shared" si="7"/>
        <v>0.11957763454458582</v>
      </c>
    </row>
    <row r="18" spans="1:65" ht="15" customHeight="1" x14ac:dyDescent="0.4">
      <c r="A18" s="2" t="s">
        <v>65</v>
      </c>
      <c r="B18" s="2" t="s">
        <v>66</v>
      </c>
      <c r="C18" s="2" t="s">
        <v>81</v>
      </c>
      <c r="D18" s="3" t="s">
        <v>68</v>
      </c>
      <c r="E18" s="3" t="s">
        <v>96</v>
      </c>
      <c r="F18" s="2" t="s">
        <v>97</v>
      </c>
      <c r="G18" s="4">
        <v>1000</v>
      </c>
      <c r="H18" s="5">
        <v>1.8</v>
      </c>
      <c r="I18" s="5">
        <v>1.8762795717803691</v>
      </c>
      <c r="J18" s="6">
        <v>0</v>
      </c>
      <c r="K18" s="5">
        <v>0</v>
      </c>
      <c r="L18" s="6">
        <v>0</v>
      </c>
      <c r="M18" s="5">
        <v>0</v>
      </c>
      <c r="N18" s="6">
        <v>989.23567419321319</v>
      </c>
      <c r="O18" s="5">
        <v>1780.6242135477839</v>
      </c>
      <c r="P18" s="6">
        <v>0</v>
      </c>
      <c r="Q18" s="5">
        <v>0</v>
      </c>
      <c r="R18" s="6">
        <v>0</v>
      </c>
      <c r="S18" s="5">
        <v>0</v>
      </c>
      <c r="T18" s="6">
        <v>0</v>
      </c>
      <c r="U18" s="5">
        <v>0</v>
      </c>
      <c r="V18" s="6">
        <v>0</v>
      </c>
      <c r="W18" s="5">
        <v>0</v>
      </c>
      <c r="X18" s="6">
        <v>0</v>
      </c>
      <c r="Y18" s="5">
        <v>0</v>
      </c>
      <c r="Z18" s="6">
        <v>0</v>
      </c>
      <c r="AA18" s="5">
        <v>0</v>
      </c>
      <c r="AB18" s="6">
        <v>0</v>
      </c>
      <c r="AC18" s="5">
        <v>0</v>
      </c>
      <c r="AD18" s="6">
        <v>0</v>
      </c>
      <c r="AE18" s="5">
        <v>0</v>
      </c>
      <c r="AF18" s="6">
        <v>0</v>
      </c>
      <c r="AG18" s="5">
        <v>0</v>
      </c>
      <c r="AH18" s="7">
        <f t="shared" si="0"/>
        <v>989.23567419321319</v>
      </c>
      <c r="AI18" s="8">
        <f t="shared" si="1"/>
        <v>1780.6242135477839</v>
      </c>
      <c r="AJ18" s="6">
        <v>0</v>
      </c>
      <c r="AK18" s="5">
        <v>0</v>
      </c>
      <c r="AL18" s="6">
        <v>0</v>
      </c>
      <c r="AM18" s="5">
        <v>0</v>
      </c>
      <c r="AN18" s="6">
        <v>1000</v>
      </c>
      <c r="AO18" s="5">
        <v>1876.279571780369</v>
      </c>
      <c r="AP18" s="6">
        <v>0</v>
      </c>
      <c r="AQ18" s="5">
        <v>0</v>
      </c>
      <c r="AR18" s="6">
        <v>0</v>
      </c>
      <c r="AS18" s="5">
        <v>0</v>
      </c>
      <c r="AT18" s="6">
        <v>0</v>
      </c>
      <c r="AU18" s="5">
        <v>0</v>
      </c>
      <c r="AV18" s="6">
        <v>0</v>
      </c>
      <c r="AW18" s="5">
        <v>0</v>
      </c>
      <c r="AX18" s="6">
        <v>0</v>
      </c>
      <c r="AY18" s="5">
        <v>0</v>
      </c>
      <c r="AZ18" s="6">
        <v>0</v>
      </c>
      <c r="BA18" s="5">
        <v>0</v>
      </c>
      <c r="BB18" s="6">
        <v>0</v>
      </c>
      <c r="BC18" s="5">
        <v>0</v>
      </c>
      <c r="BD18" s="6">
        <v>0</v>
      </c>
      <c r="BE18" s="5">
        <v>0</v>
      </c>
      <c r="BF18" s="6">
        <v>0</v>
      </c>
      <c r="BG18" s="5">
        <v>0</v>
      </c>
      <c r="BH18" s="9">
        <f t="shared" si="2"/>
        <v>1000</v>
      </c>
      <c r="BI18" s="10">
        <f t="shared" si="3"/>
        <v>1876.279571780369</v>
      </c>
      <c r="BJ18" s="6">
        <f t="shared" si="4"/>
        <v>10.764325806786815</v>
      </c>
      <c r="BK18" s="11">
        <f t="shared" si="5"/>
        <v>1.0881457359052311E-2</v>
      </c>
      <c r="BL18" s="5">
        <f t="shared" si="6"/>
        <v>95.655358232585058</v>
      </c>
      <c r="BM18" s="11">
        <f t="shared" si="7"/>
        <v>5.3720126630198775E-2</v>
      </c>
    </row>
    <row r="19" spans="1:65" ht="15" customHeight="1" x14ac:dyDescent="0.4">
      <c r="A19" s="2" t="s">
        <v>65</v>
      </c>
      <c r="B19" s="2" t="s">
        <v>66</v>
      </c>
      <c r="C19" s="2" t="s">
        <v>81</v>
      </c>
      <c r="D19" s="3" t="s">
        <v>68</v>
      </c>
      <c r="E19" s="3" t="s">
        <v>98</v>
      </c>
      <c r="F19" s="2" t="s">
        <v>99</v>
      </c>
      <c r="G19" s="4">
        <v>5</v>
      </c>
      <c r="H19" s="5">
        <v>5.0599999999999996</v>
      </c>
      <c r="I19" s="5">
        <v>5.2744303517825921</v>
      </c>
      <c r="J19" s="6">
        <v>0</v>
      </c>
      <c r="K19" s="5">
        <v>0</v>
      </c>
      <c r="L19" s="6">
        <v>0</v>
      </c>
      <c r="M19" s="5">
        <v>0</v>
      </c>
      <c r="N19" s="6">
        <v>0</v>
      </c>
      <c r="O19" s="5">
        <v>0</v>
      </c>
      <c r="P19" s="6">
        <v>0</v>
      </c>
      <c r="Q19" s="5">
        <v>0</v>
      </c>
      <c r="R19" s="6">
        <v>0</v>
      </c>
      <c r="S19" s="5">
        <v>0</v>
      </c>
      <c r="T19" s="6">
        <v>19.78471348386427</v>
      </c>
      <c r="U19" s="5">
        <v>100.11065022835319</v>
      </c>
      <c r="V19" s="6">
        <v>0</v>
      </c>
      <c r="W19" s="5">
        <v>0</v>
      </c>
      <c r="X19" s="6">
        <v>0</v>
      </c>
      <c r="Y19" s="5">
        <v>0</v>
      </c>
      <c r="Z19" s="6">
        <v>0</v>
      </c>
      <c r="AA19" s="5">
        <v>0</v>
      </c>
      <c r="AB19" s="6">
        <v>0</v>
      </c>
      <c r="AC19" s="5">
        <v>0</v>
      </c>
      <c r="AD19" s="6">
        <v>0</v>
      </c>
      <c r="AE19" s="5">
        <v>0</v>
      </c>
      <c r="AF19" s="6">
        <v>0</v>
      </c>
      <c r="AG19" s="5">
        <v>0</v>
      </c>
      <c r="AH19" s="7">
        <f t="shared" si="0"/>
        <v>19.78471348386427</v>
      </c>
      <c r="AI19" s="8">
        <f t="shared" si="1"/>
        <v>100.11065022835319</v>
      </c>
      <c r="AJ19" s="6">
        <v>0</v>
      </c>
      <c r="AK19" s="5">
        <v>0</v>
      </c>
      <c r="AL19" s="6">
        <v>0</v>
      </c>
      <c r="AM19" s="5">
        <v>0</v>
      </c>
      <c r="AN19" s="6">
        <v>0</v>
      </c>
      <c r="AO19" s="5">
        <v>0</v>
      </c>
      <c r="AP19" s="6">
        <v>0</v>
      </c>
      <c r="AQ19" s="5">
        <v>0</v>
      </c>
      <c r="AR19" s="6">
        <v>0</v>
      </c>
      <c r="AS19" s="5">
        <v>0</v>
      </c>
      <c r="AT19" s="6">
        <v>20</v>
      </c>
      <c r="AU19" s="5">
        <v>105.4886070356518</v>
      </c>
      <c r="AV19" s="6">
        <v>0</v>
      </c>
      <c r="AW19" s="5">
        <v>0</v>
      </c>
      <c r="AX19" s="6">
        <v>0</v>
      </c>
      <c r="AY19" s="5">
        <v>0</v>
      </c>
      <c r="AZ19" s="6">
        <v>0</v>
      </c>
      <c r="BA19" s="5">
        <v>0</v>
      </c>
      <c r="BB19" s="6">
        <v>0</v>
      </c>
      <c r="BC19" s="5">
        <v>0</v>
      </c>
      <c r="BD19" s="6">
        <v>0</v>
      </c>
      <c r="BE19" s="5">
        <v>0</v>
      </c>
      <c r="BF19" s="6">
        <v>0</v>
      </c>
      <c r="BG19" s="5">
        <v>0</v>
      </c>
      <c r="BH19" s="9">
        <f t="shared" si="2"/>
        <v>20</v>
      </c>
      <c r="BI19" s="10">
        <f t="shared" si="3"/>
        <v>105.4886070356518</v>
      </c>
      <c r="BJ19" s="6">
        <f t="shared" si="4"/>
        <v>0.21528651613573047</v>
      </c>
      <c r="BK19" s="11">
        <f t="shared" si="5"/>
        <v>1.0881457359052014E-2</v>
      </c>
      <c r="BL19" s="5">
        <f t="shared" si="6"/>
        <v>5.3779568072986024</v>
      </c>
      <c r="BM19" s="11">
        <f t="shared" si="7"/>
        <v>5.3720126630198081E-2</v>
      </c>
    </row>
    <row r="20" spans="1:65" ht="15" customHeight="1" x14ac:dyDescent="0.4">
      <c r="A20" s="2" t="s">
        <v>65</v>
      </c>
      <c r="B20" s="2" t="s">
        <v>66</v>
      </c>
      <c r="C20" s="2" t="s">
        <v>100</v>
      </c>
      <c r="D20" s="3" t="s">
        <v>101</v>
      </c>
      <c r="E20" s="3" t="s">
        <v>102</v>
      </c>
      <c r="F20" s="2" t="s">
        <v>103</v>
      </c>
      <c r="G20" s="4">
        <v>5</v>
      </c>
      <c r="H20" s="5">
        <v>5.0999999999999996</v>
      </c>
      <c r="I20" s="5">
        <v>5.3161254533777118</v>
      </c>
      <c r="J20" s="6">
        <v>0</v>
      </c>
      <c r="K20" s="5">
        <v>0</v>
      </c>
      <c r="L20" s="6">
        <v>0</v>
      </c>
      <c r="M20" s="5">
        <v>0</v>
      </c>
      <c r="N20" s="6">
        <v>0</v>
      </c>
      <c r="O20" s="5">
        <v>0</v>
      </c>
      <c r="P20" s="6">
        <v>49.461783709660658</v>
      </c>
      <c r="Q20" s="5">
        <v>252.25509691926939</v>
      </c>
      <c r="R20" s="6">
        <v>0</v>
      </c>
      <c r="S20" s="5">
        <v>0</v>
      </c>
      <c r="T20" s="6">
        <v>0</v>
      </c>
      <c r="U20" s="5">
        <v>0</v>
      </c>
      <c r="V20" s="6">
        <v>0</v>
      </c>
      <c r="W20" s="5">
        <v>0</v>
      </c>
      <c r="X20" s="6">
        <v>0</v>
      </c>
      <c r="Y20" s="5">
        <v>0</v>
      </c>
      <c r="Z20" s="6">
        <v>0</v>
      </c>
      <c r="AA20" s="5">
        <v>0</v>
      </c>
      <c r="AB20" s="6">
        <v>0</v>
      </c>
      <c r="AC20" s="5">
        <v>0</v>
      </c>
      <c r="AD20" s="6">
        <v>0</v>
      </c>
      <c r="AE20" s="5">
        <v>0</v>
      </c>
      <c r="AF20" s="6">
        <v>0</v>
      </c>
      <c r="AG20" s="5">
        <v>0</v>
      </c>
      <c r="AH20" s="7">
        <f t="shared" si="0"/>
        <v>49.461783709660658</v>
      </c>
      <c r="AI20" s="8">
        <f t="shared" si="1"/>
        <v>252.25509691926939</v>
      </c>
      <c r="AJ20" s="6">
        <v>0</v>
      </c>
      <c r="AK20" s="5">
        <v>0</v>
      </c>
      <c r="AL20" s="6">
        <v>0</v>
      </c>
      <c r="AM20" s="5">
        <v>0</v>
      </c>
      <c r="AN20" s="6">
        <v>0</v>
      </c>
      <c r="AO20" s="5">
        <v>0</v>
      </c>
      <c r="AP20" s="6">
        <v>65</v>
      </c>
      <c r="AQ20" s="5">
        <v>345.54815446955132</v>
      </c>
      <c r="AR20" s="6">
        <v>0</v>
      </c>
      <c r="AS20" s="5">
        <v>0</v>
      </c>
      <c r="AT20" s="6">
        <v>0</v>
      </c>
      <c r="AU20" s="5">
        <v>0</v>
      </c>
      <c r="AV20" s="6">
        <v>0</v>
      </c>
      <c r="AW20" s="5">
        <v>0</v>
      </c>
      <c r="AX20" s="6">
        <v>0</v>
      </c>
      <c r="AY20" s="5">
        <v>0</v>
      </c>
      <c r="AZ20" s="6">
        <v>0</v>
      </c>
      <c r="BA20" s="5">
        <v>0</v>
      </c>
      <c r="BB20" s="6">
        <v>0</v>
      </c>
      <c r="BC20" s="5">
        <v>0</v>
      </c>
      <c r="BD20" s="6">
        <v>0</v>
      </c>
      <c r="BE20" s="5">
        <v>0</v>
      </c>
      <c r="BF20" s="6">
        <v>0</v>
      </c>
      <c r="BG20" s="5">
        <v>0</v>
      </c>
      <c r="BH20" s="9">
        <f t="shared" si="2"/>
        <v>65</v>
      </c>
      <c r="BI20" s="10">
        <f t="shared" si="3"/>
        <v>345.54815446955132</v>
      </c>
      <c r="BJ20" s="6">
        <f t="shared" si="4"/>
        <v>15.538216290339342</v>
      </c>
      <c r="BK20" s="11">
        <f t="shared" si="5"/>
        <v>0.31414589456676806</v>
      </c>
      <c r="BL20" s="5">
        <f t="shared" si="6"/>
        <v>93.293057550281929</v>
      </c>
      <c r="BM20" s="11">
        <f t="shared" si="7"/>
        <v>0.36983616461925856</v>
      </c>
    </row>
    <row r="21" spans="1:65" ht="15" customHeight="1" x14ac:dyDescent="0.4">
      <c r="A21" s="2" t="s">
        <v>65</v>
      </c>
      <c r="B21" s="2" t="s">
        <v>66</v>
      </c>
      <c r="C21" s="2" t="s">
        <v>100</v>
      </c>
      <c r="D21" s="3" t="s">
        <v>101</v>
      </c>
      <c r="E21" s="3" t="s">
        <v>104</v>
      </c>
      <c r="F21" s="2" t="s">
        <v>105</v>
      </c>
      <c r="G21" s="4">
        <v>1</v>
      </c>
      <c r="H21" s="5">
        <v>5.6980000000000004</v>
      </c>
      <c r="I21" s="5">
        <v>5.9394672222247449</v>
      </c>
      <c r="J21" s="6">
        <v>0</v>
      </c>
      <c r="K21" s="5">
        <v>0</v>
      </c>
      <c r="L21" s="6">
        <v>0</v>
      </c>
      <c r="M21" s="5">
        <v>0</v>
      </c>
      <c r="N21" s="6">
        <v>0</v>
      </c>
      <c r="O21" s="5">
        <v>0</v>
      </c>
      <c r="P21" s="6">
        <v>0</v>
      </c>
      <c r="Q21" s="5">
        <v>0</v>
      </c>
      <c r="R21" s="6">
        <v>11.870828090318559</v>
      </c>
      <c r="S21" s="5">
        <v>73.124301036362326</v>
      </c>
      <c r="T21" s="6">
        <v>35.612484270955683</v>
      </c>
      <c r="U21" s="5">
        <v>224.71477574973031</v>
      </c>
      <c r="V21" s="6">
        <v>71.224968541911352</v>
      </c>
      <c r="W21" s="5">
        <v>378.5607078002588</v>
      </c>
      <c r="X21" s="6">
        <v>0</v>
      </c>
      <c r="Y21" s="5">
        <v>0</v>
      </c>
      <c r="Z21" s="6">
        <v>0</v>
      </c>
      <c r="AA21" s="5">
        <v>0</v>
      </c>
      <c r="AB21" s="6">
        <v>0</v>
      </c>
      <c r="AC21" s="5">
        <v>0</v>
      </c>
      <c r="AD21" s="6">
        <v>0</v>
      </c>
      <c r="AE21" s="5">
        <v>0</v>
      </c>
      <c r="AF21" s="6">
        <v>0</v>
      </c>
      <c r="AG21" s="5">
        <v>0</v>
      </c>
      <c r="AH21" s="7">
        <f t="shared" si="0"/>
        <v>118.7082809031856</v>
      </c>
      <c r="AI21" s="8">
        <f t="shared" si="1"/>
        <v>676.39978458635142</v>
      </c>
      <c r="AJ21" s="6">
        <v>0</v>
      </c>
      <c r="AK21" s="5">
        <v>0</v>
      </c>
      <c r="AL21" s="6">
        <v>0</v>
      </c>
      <c r="AM21" s="5">
        <v>0</v>
      </c>
      <c r="AN21" s="6">
        <v>0</v>
      </c>
      <c r="AO21" s="5">
        <v>0</v>
      </c>
      <c r="AP21" s="6">
        <v>0</v>
      </c>
      <c r="AQ21" s="5">
        <v>0</v>
      </c>
      <c r="AR21" s="6">
        <v>14</v>
      </c>
      <c r="AS21" s="5">
        <v>89.894639039077234</v>
      </c>
      <c r="AT21" s="6">
        <v>42</v>
      </c>
      <c r="AU21" s="5">
        <v>276.25089561846301</v>
      </c>
      <c r="AV21" s="6">
        <v>84</v>
      </c>
      <c r="AW21" s="5">
        <v>465.37987645392411</v>
      </c>
      <c r="AX21" s="6">
        <v>0</v>
      </c>
      <c r="AY21" s="5">
        <v>0</v>
      </c>
      <c r="AZ21" s="6">
        <v>0</v>
      </c>
      <c r="BA21" s="5">
        <v>0</v>
      </c>
      <c r="BB21" s="6">
        <v>0</v>
      </c>
      <c r="BC21" s="5">
        <v>0</v>
      </c>
      <c r="BD21" s="6">
        <v>0</v>
      </c>
      <c r="BE21" s="5">
        <v>0</v>
      </c>
      <c r="BF21" s="6">
        <v>0</v>
      </c>
      <c r="BG21" s="5">
        <v>0</v>
      </c>
      <c r="BH21" s="9">
        <f t="shared" si="2"/>
        <v>140</v>
      </c>
      <c r="BI21" s="10">
        <f t="shared" si="3"/>
        <v>831.52541111146434</v>
      </c>
      <c r="BJ21" s="6">
        <f t="shared" si="4"/>
        <v>21.291719096814404</v>
      </c>
      <c r="BK21" s="11">
        <f t="shared" si="5"/>
        <v>0.17936170025222756</v>
      </c>
      <c r="BL21" s="5">
        <f t="shared" si="6"/>
        <v>155.12562652511292</v>
      </c>
      <c r="BM21" s="11">
        <f t="shared" si="7"/>
        <v>0.22934014773523198</v>
      </c>
    </row>
    <row r="22" spans="1:65" ht="15" customHeight="1" x14ac:dyDescent="0.4">
      <c r="A22" s="2" t="s">
        <v>65</v>
      </c>
      <c r="B22" s="2" t="s">
        <v>66</v>
      </c>
      <c r="C22" s="2" t="s">
        <v>100</v>
      </c>
      <c r="D22" s="3" t="s">
        <v>101</v>
      </c>
      <c r="E22" s="3" t="s">
        <v>106</v>
      </c>
      <c r="F22" s="2" t="s">
        <v>107</v>
      </c>
      <c r="G22" s="4">
        <v>5</v>
      </c>
      <c r="H22" s="5">
        <v>4.83</v>
      </c>
      <c r="I22" s="5">
        <v>5.0346835176106577</v>
      </c>
      <c r="J22" s="6">
        <v>0</v>
      </c>
      <c r="K22" s="5">
        <v>0</v>
      </c>
      <c r="L22" s="6">
        <v>0</v>
      </c>
      <c r="M22" s="5">
        <v>0</v>
      </c>
      <c r="N22" s="6">
        <v>0</v>
      </c>
      <c r="O22" s="5">
        <v>0</v>
      </c>
      <c r="P22" s="6">
        <v>59.354140451592791</v>
      </c>
      <c r="Q22" s="5">
        <v>286.68049838119322</v>
      </c>
      <c r="R22" s="6">
        <v>29.677070225796399</v>
      </c>
      <c r="S22" s="5">
        <v>143.34024919059661</v>
      </c>
      <c r="T22" s="6">
        <v>0</v>
      </c>
      <c r="U22" s="5">
        <v>0</v>
      </c>
      <c r="V22" s="6">
        <v>0</v>
      </c>
      <c r="W22" s="5">
        <v>0</v>
      </c>
      <c r="X22" s="6">
        <v>0</v>
      </c>
      <c r="Y22" s="5">
        <v>0</v>
      </c>
      <c r="Z22" s="6">
        <v>0</v>
      </c>
      <c r="AA22" s="5">
        <v>0</v>
      </c>
      <c r="AB22" s="6">
        <v>0</v>
      </c>
      <c r="AC22" s="5">
        <v>0</v>
      </c>
      <c r="AD22" s="6">
        <v>0</v>
      </c>
      <c r="AE22" s="5">
        <v>0</v>
      </c>
      <c r="AF22" s="6">
        <v>0</v>
      </c>
      <c r="AG22" s="5">
        <v>0</v>
      </c>
      <c r="AH22" s="7">
        <f t="shared" si="0"/>
        <v>89.031210677389197</v>
      </c>
      <c r="AI22" s="8">
        <f t="shared" si="1"/>
        <v>430.0207475717898</v>
      </c>
      <c r="AJ22" s="6">
        <v>0</v>
      </c>
      <c r="AK22" s="5">
        <v>0</v>
      </c>
      <c r="AL22" s="6">
        <v>0</v>
      </c>
      <c r="AM22" s="5">
        <v>0</v>
      </c>
      <c r="AN22" s="6">
        <v>0</v>
      </c>
      <c r="AO22" s="5">
        <v>0</v>
      </c>
      <c r="AP22" s="6">
        <v>70</v>
      </c>
      <c r="AQ22" s="5">
        <v>352.42784623274599</v>
      </c>
      <c r="AR22" s="6">
        <v>35</v>
      </c>
      <c r="AS22" s="5">
        <v>176.213923116373</v>
      </c>
      <c r="AT22" s="6">
        <v>0</v>
      </c>
      <c r="AU22" s="5">
        <v>0</v>
      </c>
      <c r="AV22" s="6">
        <v>0</v>
      </c>
      <c r="AW22" s="5">
        <v>0</v>
      </c>
      <c r="AX22" s="6">
        <v>0</v>
      </c>
      <c r="AY22" s="5">
        <v>0</v>
      </c>
      <c r="AZ22" s="6">
        <v>0</v>
      </c>
      <c r="BA22" s="5">
        <v>0</v>
      </c>
      <c r="BB22" s="6">
        <v>0</v>
      </c>
      <c r="BC22" s="5">
        <v>0</v>
      </c>
      <c r="BD22" s="6">
        <v>0</v>
      </c>
      <c r="BE22" s="5">
        <v>0</v>
      </c>
      <c r="BF22" s="6">
        <v>0</v>
      </c>
      <c r="BG22" s="5">
        <v>0</v>
      </c>
      <c r="BH22" s="9">
        <f t="shared" si="2"/>
        <v>105</v>
      </c>
      <c r="BI22" s="10">
        <f t="shared" si="3"/>
        <v>528.64176934911893</v>
      </c>
      <c r="BJ22" s="6">
        <f t="shared" si="4"/>
        <v>15.968789322610803</v>
      </c>
      <c r="BK22" s="11">
        <f t="shared" si="5"/>
        <v>0.17936170025222756</v>
      </c>
      <c r="BL22" s="5">
        <f t="shared" si="6"/>
        <v>98.621021777329133</v>
      </c>
      <c r="BM22" s="11">
        <f t="shared" si="7"/>
        <v>0.2293401477352319</v>
      </c>
    </row>
    <row r="23" spans="1:65" ht="15" customHeight="1" x14ac:dyDescent="0.4">
      <c r="A23" s="2" t="s">
        <v>65</v>
      </c>
      <c r="B23" s="2" t="s">
        <v>66</v>
      </c>
      <c r="C23" s="2" t="s">
        <v>100</v>
      </c>
      <c r="D23" s="3" t="s">
        <v>101</v>
      </c>
      <c r="E23" s="3" t="s">
        <v>108</v>
      </c>
      <c r="F23" s="2" t="s">
        <v>109</v>
      </c>
      <c r="G23" s="4">
        <v>5</v>
      </c>
      <c r="H23" s="5">
        <v>3.55</v>
      </c>
      <c r="I23" s="5">
        <v>3.7004402665668379</v>
      </c>
      <c r="J23" s="6">
        <v>0</v>
      </c>
      <c r="K23" s="5">
        <v>0</v>
      </c>
      <c r="L23" s="6">
        <v>0</v>
      </c>
      <c r="M23" s="5">
        <v>0</v>
      </c>
      <c r="N23" s="6">
        <v>0</v>
      </c>
      <c r="O23" s="5">
        <v>0</v>
      </c>
      <c r="P23" s="6">
        <v>39.569426967728532</v>
      </c>
      <c r="Q23" s="5">
        <v>140.47146573543631</v>
      </c>
      <c r="R23" s="6">
        <v>0</v>
      </c>
      <c r="S23" s="5">
        <v>0</v>
      </c>
      <c r="T23" s="6">
        <v>0</v>
      </c>
      <c r="U23" s="5">
        <v>0</v>
      </c>
      <c r="V23" s="6">
        <v>0</v>
      </c>
      <c r="W23" s="5">
        <v>0</v>
      </c>
      <c r="X23" s="6">
        <v>0</v>
      </c>
      <c r="Y23" s="5">
        <v>0</v>
      </c>
      <c r="Z23" s="6">
        <v>0</v>
      </c>
      <c r="AA23" s="5">
        <v>0</v>
      </c>
      <c r="AB23" s="6">
        <v>0</v>
      </c>
      <c r="AC23" s="5">
        <v>0</v>
      </c>
      <c r="AD23" s="6">
        <v>0</v>
      </c>
      <c r="AE23" s="5">
        <v>0</v>
      </c>
      <c r="AF23" s="6">
        <v>0</v>
      </c>
      <c r="AG23" s="5">
        <v>0</v>
      </c>
      <c r="AH23" s="7">
        <f t="shared" si="0"/>
        <v>39.569426967728532</v>
      </c>
      <c r="AI23" s="8">
        <f t="shared" si="1"/>
        <v>140.47146573543631</v>
      </c>
      <c r="AJ23" s="6">
        <v>0</v>
      </c>
      <c r="AK23" s="5">
        <v>0</v>
      </c>
      <c r="AL23" s="6">
        <v>0</v>
      </c>
      <c r="AM23" s="5">
        <v>0</v>
      </c>
      <c r="AN23" s="6">
        <v>0</v>
      </c>
      <c r="AO23" s="5">
        <v>0</v>
      </c>
      <c r="AP23" s="6">
        <v>50</v>
      </c>
      <c r="AQ23" s="5">
        <v>185.0220133283419</v>
      </c>
      <c r="AR23" s="6">
        <v>0</v>
      </c>
      <c r="AS23" s="5">
        <v>0</v>
      </c>
      <c r="AT23" s="6">
        <v>0</v>
      </c>
      <c r="AU23" s="5">
        <v>0</v>
      </c>
      <c r="AV23" s="6">
        <v>0</v>
      </c>
      <c r="AW23" s="5">
        <v>0</v>
      </c>
      <c r="AX23" s="6">
        <v>0</v>
      </c>
      <c r="AY23" s="5">
        <v>0</v>
      </c>
      <c r="AZ23" s="6">
        <v>0</v>
      </c>
      <c r="BA23" s="5">
        <v>0</v>
      </c>
      <c r="BB23" s="6">
        <v>0</v>
      </c>
      <c r="BC23" s="5">
        <v>0</v>
      </c>
      <c r="BD23" s="6">
        <v>0</v>
      </c>
      <c r="BE23" s="5">
        <v>0</v>
      </c>
      <c r="BF23" s="6">
        <v>0</v>
      </c>
      <c r="BG23" s="5">
        <v>0</v>
      </c>
      <c r="BH23" s="9">
        <f t="shared" si="2"/>
        <v>50</v>
      </c>
      <c r="BI23" s="10">
        <f t="shared" si="3"/>
        <v>185.0220133283419</v>
      </c>
      <c r="BJ23" s="6">
        <f t="shared" si="4"/>
        <v>10.430573032271468</v>
      </c>
      <c r="BK23" s="11">
        <f t="shared" si="5"/>
        <v>0.26360182169881524</v>
      </c>
      <c r="BL23" s="5">
        <f t="shared" si="6"/>
        <v>44.550547592905588</v>
      </c>
      <c r="BM23" s="11">
        <f t="shared" si="7"/>
        <v>0.31715015828774795</v>
      </c>
    </row>
    <row r="24" spans="1:65" ht="15" customHeight="1" x14ac:dyDescent="0.4">
      <c r="A24" s="2" t="s">
        <v>65</v>
      </c>
      <c r="B24" s="2" t="s">
        <v>66</v>
      </c>
      <c r="C24" s="2" t="s">
        <v>100</v>
      </c>
      <c r="D24" s="3" t="s">
        <v>101</v>
      </c>
      <c r="E24" s="3" t="s">
        <v>110</v>
      </c>
      <c r="F24" s="2" t="s">
        <v>111</v>
      </c>
      <c r="G24" s="4">
        <v>5</v>
      </c>
      <c r="H24" s="5">
        <v>3.5950000000000002</v>
      </c>
      <c r="I24" s="5">
        <v>3.7473472558613481</v>
      </c>
      <c r="J24" s="6">
        <v>0</v>
      </c>
      <c r="K24" s="5">
        <v>0</v>
      </c>
      <c r="L24" s="6">
        <v>0</v>
      </c>
      <c r="M24" s="5">
        <v>0</v>
      </c>
      <c r="N24" s="6">
        <v>0</v>
      </c>
      <c r="O24" s="5">
        <v>0</v>
      </c>
      <c r="P24" s="6">
        <v>19.78471348386427</v>
      </c>
      <c r="Q24" s="5">
        <v>72.609898485781855</v>
      </c>
      <c r="R24" s="6">
        <v>19.78471348386427</v>
      </c>
      <c r="S24" s="5">
        <v>69.642191463202224</v>
      </c>
      <c r="T24" s="6">
        <v>0</v>
      </c>
      <c r="U24" s="5">
        <v>0</v>
      </c>
      <c r="V24" s="6">
        <v>0</v>
      </c>
      <c r="W24" s="5">
        <v>0</v>
      </c>
      <c r="X24" s="6">
        <v>0</v>
      </c>
      <c r="Y24" s="5">
        <v>0</v>
      </c>
      <c r="Z24" s="6">
        <v>0</v>
      </c>
      <c r="AA24" s="5">
        <v>0</v>
      </c>
      <c r="AB24" s="6">
        <v>0</v>
      </c>
      <c r="AC24" s="5">
        <v>0</v>
      </c>
      <c r="AD24" s="6">
        <v>0</v>
      </c>
      <c r="AE24" s="5">
        <v>0</v>
      </c>
      <c r="AF24" s="6">
        <v>0</v>
      </c>
      <c r="AG24" s="5">
        <v>0</v>
      </c>
      <c r="AH24" s="7">
        <f t="shared" si="0"/>
        <v>39.569426967728539</v>
      </c>
      <c r="AI24" s="8">
        <f t="shared" si="1"/>
        <v>142.25208994898406</v>
      </c>
      <c r="AJ24" s="6">
        <v>0</v>
      </c>
      <c r="AK24" s="5">
        <v>0</v>
      </c>
      <c r="AL24" s="6">
        <v>0</v>
      </c>
      <c r="AM24" s="5">
        <v>0</v>
      </c>
      <c r="AN24" s="6">
        <v>0</v>
      </c>
      <c r="AO24" s="5">
        <v>0</v>
      </c>
      <c r="AP24" s="6">
        <v>25</v>
      </c>
      <c r="AQ24" s="5">
        <v>95.638139283804918</v>
      </c>
      <c r="AR24" s="6">
        <v>25</v>
      </c>
      <c r="AS24" s="5">
        <v>91.729223509262482</v>
      </c>
      <c r="AT24" s="6">
        <v>0</v>
      </c>
      <c r="AU24" s="5">
        <v>0</v>
      </c>
      <c r="AV24" s="6">
        <v>0</v>
      </c>
      <c r="AW24" s="5">
        <v>0</v>
      </c>
      <c r="AX24" s="6">
        <v>0</v>
      </c>
      <c r="AY24" s="5">
        <v>0</v>
      </c>
      <c r="AZ24" s="6">
        <v>0</v>
      </c>
      <c r="BA24" s="5">
        <v>0</v>
      </c>
      <c r="BB24" s="6">
        <v>0</v>
      </c>
      <c r="BC24" s="5">
        <v>0</v>
      </c>
      <c r="BD24" s="6">
        <v>0</v>
      </c>
      <c r="BE24" s="5">
        <v>0</v>
      </c>
      <c r="BF24" s="6">
        <v>0</v>
      </c>
      <c r="BG24" s="5">
        <v>0</v>
      </c>
      <c r="BH24" s="9">
        <f t="shared" si="2"/>
        <v>50</v>
      </c>
      <c r="BI24" s="10">
        <f t="shared" si="3"/>
        <v>187.3673627930674</v>
      </c>
      <c r="BJ24" s="6">
        <f t="shared" si="4"/>
        <v>10.430573032271461</v>
      </c>
      <c r="BK24" s="11">
        <f t="shared" si="5"/>
        <v>0.26360182169881502</v>
      </c>
      <c r="BL24" s="5">
        <f t="shared" si="6"/>
        <v>45.115272844083336</v>
      </c>
      <c r="BM24" s="11">
        <f t="shared" si="7"/>
        <v>0.31715015828774851</v>
      </c>
    </row>
    <row r="25" spans="1:65" ht="15" customHeight="1" x14ac:dyDescent="0.4">
      <c r="A25" s="2" t="s">
        <v>65</v>
      </c>
      <c r="B25" s="2" t="s">
        <v>66</v>
      </c>
      <c r="C25" s="2" t="s">
        <v>100</v>
      </c>
      <c r="D25" s="3" t="s">
        <v>101</v>
      </c>
      <c r="E25" s="3" t="s">
        <v>82</v>
      </c>
      <c r="F25" s="2" t="s">
        <v>83</v>
      </c>
      <c r="G25" s="4">
        <v>20</v>
      </c>
      <c r="H25" s="5">
        <v>3.2595652173913039</v>
      </c>
      <c r="I25" s="5">
        <v>3.3953443789333209</v>
      </c>
      <c r="J25" s="6">
        <v>0</v>
      </c>
      <c r="K25" s="5">
        <v>0</v>
      </c>
      <c r="L25" s="6">
        <v>0</v>
      </c>
      <c r="M25" s="5">
        <v>0</v>
      </c>
      <c r="N25" s="6">
        <v>0</v>
      </c>
      <c r="O25" s="5">
        <v>0</v>
      </c>
      <c r="P25" s="6">
        <v>59.354140451592791</v>
      </c>
      <c r="Q25" s="5">
        <v>201.21053613089961</v>
      </c>
      <c r="R25" s="6">
        <v>395.69426967728532</v>
      </c>
      <c r="S25" s="5">
        <v>1282.0494337544039</v>
      </c>
      <c r="T25" s="6">
        <v>0</v>
      </c>
      <c r="U25" s="5">
        <v>0</v>
      </c>
      <c r="V25" s="6">
        <v>0</v>
      </c>
      <c r="W25" s="5">
        <v>0</v>
      </c>
      <c r="X25" s="6">
        <v>0</v>
      </c>
      <c r="Y25" s="5">
        <v>0</v>
      </c>
      <c r="Z25" s="6">
        <v>0</v>
      </c>
      <c r="AA25" s="5">
        <v>0</v>
      </c>
      <c r="AB25" s="6">
        <v>0</v>
      </c>
      <c r="AC25" s="5">
        <v>0</v>
      </c>
      <c r="AD25" s="6">
        <v>0</v>
      </c>
      <c r="AE25" s="5">
        <v>0</v>
      </c>
      <c r="AF25" s="6">
        <v>0</v>
      </c>
      <c r="AG25" s="5">
        <v>0</v>
      </c>
      <c r="AH25" s="7">
        <f t="shared" si="0"/>
        <v>455.04841012887812</v>
      </c>
      <c r="AI25" s="8">
        <f t="shared" si="1"/>
        <v>1483.2599698853035</v>
      </c>
      <c r="AJ25" s="6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6">
        <v>60</v>
      </c>
      <c r="AQ25" s="5">
        <v>212.01959161118171</v>
      </c>
      <c r="AR25" s="6">
        <v>460</v>
      </c>
      <c r="AS25" s="5">
        <v>1553.559485434145</v>
      </c>
      <c r="AT25" s="6">
        <v>0</v>
      </c>
      <c r="AU25" s="5">
        <v>0</v>
      </c>
      <c r="AV25" s="6">
        <v>0</v>
      </c>
      <c r="AW25" s="5">
        <v>0</v>
      </c>
      <c r="AX25" s="6">
        <v>0</v>
      </c>
      <c r="AY25" s="5">
        <v>0</v>
      </c>
      <c r="AZ25" s="6">
        <v>0</v>
      </c>
      <c r="BA25" s="5">
        <v>0</v>
      </c>
      <c r="BB25" s="6">
        <v>0</v>
      </c>
      <c r="BC25" s="5">
        <v>0</v>
      </c>
      <c r="BD25" s="6">
        <v>0</v>
      </c>
      <c r="BE25" s="5">
        <v>0</v>
      </c>
      <c r="BF25" s="6">
        <v>0</v>
      </c>
      <c r="BG25" s="5">
        <v>0</v>
      </c>
      <c r="BH25" s="9">
        <f t="shared" si="2"/>
        <v>520</v>
      </c>
      <c r="BI25" s="10">
        <f t="shared" si="3"/>
        <v>1765.5790770453268</v>
      </c>
      <c r="BJ25" s="6">
        <f t="shared" si="4"/>
        <v>64.951589871121882</v>
      </c>
      <c r="BK25" s="11">
        <f t="shared" si="5"/>
        <v>0.14273556049284161</v>
      </c>
      <c r="BL25" s="5">
        <f t="shared" si="6"/>
        <v>282.31910716002335</v>
      </c>
      <c r="BM25" s="11">
        <f t="shared" si="7"/>
        <v>0.19033690175152124</v>
      </c>
    </row>
    <row r="26" spans="1:65" ht="15" customHeight="1" x14ac:dyDescent="0.4">
      <c r="A26" s="2" t="s">
        <v>65</v>
      </c>
      <c r="B26" s="2" t="s">
        <v>66</v>
      </c>
      <c r="C26" s="2" t="s">
        <v>100</v>
      </c>
      <c r="D26" s="3" t="s">
        <v>101</v>
      </c>
      <c r="E26" s="3" t="s">
        <v>112</v>
      </c>
      <c r="F26" s="2" t="s">
        <v>113</v>
      </c>
      <c r="G26" s="4">
        <v>5</v>
      </c>
      <c r="H26" s="5">
        <v>2.87</v>
      </c>
      <c r="I26" s="5">
        <v>2.9916235394498099</v>
      </c>
      <c r="J26" s="6">
        <v>0</v>
      </c>
      <c r="K26" s="5">
        <v>0</v>
      </c>
      <c r="L26" s="6">
        <v>0</v>
      </c>
      <c r="M26" s="5">
        <v>0</v>
      </c>
      <c r="N26" s="6">
        <v>0</v>
      </c>
      <c r="O26" s="5">
        <v>0</v>
      </c>
      <c r="P26" s="6">
        <v>0</v>
      </c>
      <c r="Q26" s="5">
        <v>0</v>
      </c>
      <c r="R26" s="6">
        <v>39.569426967728532</v>
      </c>
      <c r="S26" s="5">
        <v>113.5642553973809</v>
      </c>
      <c r="T26" s="6">
        <v>0</v>
      </c>
      <c r="U26" s="5">
        <v>0</v>
      </c>
      <c r="V26" s="6">
        <v>0</v>
      </c>
      <c r="W26" s="5">
        <v>0</v>
      </c>
      <c r="X26" s="6">
        <v>0</v>
      </c>
      <c r="Y26" s="5">
        <v>0</v>
      </c>
      <c r="Z26" s="6">
        <v>0</v>
      </c>
      <c r="AA26" s="5">
        <v>0</v>
      </c>
      <c r="AB26" s="6">
        <v>0</v>
      </c>
      <c r="AC26" s="5">
        <v>0</v>
      </c>
      <c r="AD26" s="6">
        <v>0</v>
      </c>
      <c r="AE26" s="5">
        <v>0</v>
      </c>
      <c r="AF26" s="6">
        <v>0</v>
      </c>
      <c r="AG26" s="5">
        <v>0</v>
      </c>
      <c r="AH26" s="7">
        <f t="shared" si="0"/>
        <v>39.569426967728532</v>
      </c>
      <c r="AI26" s="8">
        <f t="shared" si="1"/>
        <v>113.5642553973809</v>
      </c>
      <c r="AJ26" s="6">
        <v>0</v>
      </c>
      <c r="AK26" s="5">
        <v>0</v>
      </c>
      <c r="AL26" s="6">
        <v>0</v>
      </c>
      <c r="AM26" s="5">
        <v>0</v>
      </c>
      <c r="AN26" s="6">
        <v>0</v>
      </c>
      <c r="AO26" s="5">
        <v>0</v>
      </c>
      <c r="AP26" s="6">
        <v>0</v>
      </c>
      <c r="AQ26" s="5">
        <v>0</v>
      </c>
      <c r="AR26" s="6">
        <v>45</v>
      </c>
      <c r="AS26" s="5">
        <v>134.62305927524139</v>
      </c>
      <c r="AT26" s="6">
        <v>0</v>
      </c>
      <c r="AU26" s="5">
        <v>0</v>
      </c>
      <c r="AV26" s="6">
        <v>0</v>
      </c>
      <c r="AW26" s="5">
        <v>0</v>
      </c>
      <c r="AX26" s="6">
        <v>0</v>
      </c>
      <c r="AY26" s="5">
        <v>0</v>
      </c>
      <c r="AZ26" s="6">
        <v>0</v>
      </c>
      <c r="BA26" s="5">
        <v>0</v>
      </c>
      <c r="BB26" s="6">
        <v>0</v>
      </c>
      <c r="BC26" s="5">
        <v>0</v>
      </c>
      <c r="BD26" s="6">
        <v>0</v>
      </c>
      <c r="BE26" s="5">
        <v>0</v>
      </c>
      <c r="BF26" s="6">
        <v>0</v>
      </c>
      <c r="BG26" s="5">
        <v>0</v>
      </c>
      <c r="BH26" s="9">
        <f t="shared" si="2"/>
        <v>45</v>
      </c>
      <c r="BI26" s="10">
        <f t="shared" si="3"/>
        <v>134.62305927524139</v>
      </c>
      <c r="BJ26" s="6">
        <f t="shared" si="4"/>
        <v>5.430573032271468</v>
      </c>
      <c r="BK26" s="11">
        <f t="shared" si="5"/>
        <v>0.13724163952893373</v>
      </c>
      <c r="BL26" s="5">
        <f t="shared" si="6"/>
        <v>21.058803877860484</v>
      </c>
      <c r="BM26" s="11">
        <f t="shared" si="7"/>
        <v>0.18543514245897266</v>
      </c>
    </row>
    <row r="27" spans="1:65" ht="15" customHeight="1" x14ac:dyDescent="0.4">
      <c r="A27" s="2" t="s">
        <v>65</v>
      </c>
      <c r="B27" s="2" t="s">
        <v>66</v>
      </c>
      <c r="C27" s="2" t="s">
        <v>100</v>
      </c>
      <c r="D27" s="3" t="s">
        <v>101</v>
      </c>
      <c r="E27" s="3" t="s">
        <v>114</v>
      </c>
      <c r="F27" s="2" t="s">
        <v>115</v>
      </c>
      <c r="G27" s="4">
        <v>5</v>
      </c>
      <c r="H27" s="5">
        <v>1.98</v>
      </c>
      <c r="I27" s="5">
        <v>2.0628292073654282</v>
      </c>
      <c r="J27" s="6">
        <v>0</v>
      </c>
      <c r="K27" s="5">
        <v>0</v>
      </c>
      <c r="L27" s="6">
        <v>0</v>
      </c>
      <c r="M27" s="5">
        <v>0</v>
      </c>
      <c r="N27" s="6">
        <v>0</v>
      </c>
      <c r="O27" s="5">
        <v>0</v>
      </c>
      <c r="P27" s="6">
        <v>59.354140451592791</v>
      </c>
      <c r="Q27" s="5">
        <v>119.3018223077015</v>
      </c>
      <c r="R27" s="6">
        <v>19.78471348386427</v>
      </c>
      <c r="S27" s="5">
        <v>38.778038428373961</v>
      </c>
      <c r="T27" s="6">
        <v>19.78471348386427</v>
      </c>
      <c r="U27" s="5">
        <v>36.997414214826172</v>
      </c>
      <c r="V27" s="6">
        <v>19.78471348386427</v>
      </c>
      <c r="W27" s="5">
        <v>39.96512123740581</v>
      </c>
      <c r="X27" s="6">
        <v>0</v>
      </c>
      <c r="Y27" s="5">
        <v>0</v>
      </c>
      <c r="Z27" s="6">
        <v>0</v>
      </c>
      <c r="AA27" s="5">
        <v>0</v>
      </c>
      <c r="AB27" s="6">
        <v>0</v>
      </c>
      <c r="AC27" s="5">
        <v>0</v>
      </c>
      <c r="AD27" s="6">
        <v>0</v>
      </c>
      <c r="AE27" s="5">
        <v>0</v>
      </c>
      <c r="AF27" s="6">
        <v>0</v>
      </c>
      <c r="AG27" s="5">
        <v>0</v>
      </c>
      <c r="AH27" s="7">
        <f t="shared" si="0"/>
        <v>118.7082809031856</v>
      </c>
      <c r="AI27" s="8">
        <f t="shared" si="1"/>
        <v>235.04239618830744</v>
      </c>
      <c r="AJ27" s="6">
        <v>0</v>
      </c>
      <c r="AK27" s="5">
        <v>0</v>
      </c>
      <c r="AL27" s="6">
        <v>0</v>
      </c>
      <c r="AM27" s="5">
        <v>0</v>
      </c>
      <c r="AN27" s="6">
        <v>0</v>
      </c>
      <c r="AO27" s="5">
        <v>0</v>
      </c>
      <c r="AP27" s="6">
        <v>70</v>
      </c>
      <c r="AQ27" s="5">
        <v>146.66251986083219</v>
      </c>
      <c r="AR27" s="6">
        <v>25</v>
      </c>
      <c r="AS27" s="5">
        <v>51.076499454021153</v>
      </c>
      <c r="AT27" s="6">
        <v>25</v>
      </c>
      <c r="AU27" s="5">
        <v>48.73114998929568</v>
      </c>
      <c r="AV27" s="6">
        <v>25</v>
      </c>
      <c r="AW27" s="5">
        <v>52.640065763838123</v>
      </c>
      <c r="AX27" s="6">
        <v>0</v>
      </c>
      <c r="AY27" s="5">
        <v>0</v>
      </c>
      <c r="AZ27" s="6">
        <v>0</v>
      </c>
      <c r="BA27" s="5">
        <v>0</v>
      </c>
      <c r="BB27" s="6">
        <v>0</v>
      </c>
      <c r="BC27" s="5">
        <v>0</v>
      </c>
      <c r="BD27" s="6">
        <v>0</v>
      </c>
      <c r="BE27" s="5">
        <v>0</v>
      </c>
      <c r="BF27" s="6">
        <v>0</v>
      </c>
      <c r="BG27" s="5">
        <v>0</v>
      </c>
      <c r="BH27" s="9">
        <f t="shared" si="2"/>
        <v>145</v>
      </c>
      <c r="BI27" s="10">
        <f t="shared" si="3"/>
        <v>299.11023506798716</v>
      </c>
      <c r="BJ27" s="6">
        <f t="shared" si="4"/>
        <v>26.291719096814404</v>
      </c>
      <c r="BK27" s="11">
        <f t="shared" si="5"/>
        <v>0.22148176097552141</v>
      </c>
      <c r="BL27" s="5">
        <f t="shared" si="6"/>
        <v>64.067838879679726</v>
      </c>
      <c r="BM27" s="11">
        <f t="shared" si="7"/>
        <v>0.27257992565881989</v>
      </c>
    </row>
    <row r="28" spans="1:65" ht="15" customHeight="1" x14ac:dyDescent="0.4">
      <c r="A28" s="2" t="s">
        <v>65</v>
      </c>
      <c r="B28" s="2" t="s">
        <v>66</v>
      </c>
      <c r="C28" s="2" t="s">
        <v>100</v>
      </c>
      <c r="D28" s="3" t="s">
        <v>101</v>
      </c>
      <c r="E28" s="3" t="s">
        <v>86</v>
      </c>
      <c r="F28" s="2" t="s">
        <v>87</v>
      </c>
      <c r="G28" s="4">
        <v>20</v>
      </c>
      <c r="H28" s="5">
        <v>1.799729729729729</v>
      </c>
      <c r="I28" s="5">
        <v>1.8755135388355411</v>
      </c>
      <c r="J28" s="6">
        <v>0</v>
      </c>
      <c r="K28" s="5">
        <v>0</v>
      </c>
      <c r="L28" s="6">
        <v>0</v>
      </c>
      <c r="M28" s="5">
        <v>0</v>
      </c>
      <c r="N28" s="6">
        <v>0</v>
      </c>
      <c r="O28" s="5">
        <v>0</v>
      </c>
      <c r="P28" s="6">
        <v>514.40255058047092</v>
      </c>
      <c r="Q28" s="5">
        <v>920.18702413452695</v>
      </c>
      <c r="R28" s="6">
        <v>0</v>
      </c>
      <c r="S28" s="5">
        <v>0</v>
      </c>
      <c r="T28" s="6">
        <v>158.2777078709141</v>
      </c>
      <c r="U28" s="5">
        <v>288.65896972957961</v>
      </c>
      <c r="V28" s="6">
        <v>59.354140451592791</v>
      </c>
      <c r="W28" s="5">
        <v>108.6180770264148</v>
      </c>
      <c r="X28" s="6">
        <v>0</v>
      </c>
      <c r="Y28" s="5">
        <v>0</v>
      </c>
      <c r="Z28" s="6">
        <v>0</v>
      </c>
      <c r="AA28" s="5">
        <v>0</v>
      </c>
      <c r="AB28" s="6">
        <v>0</v>
      </c>
      <c r="AC28" s="5">
        <v>0</v>
      </c>
      <c r="AD28" s="6">
        <v>0</v>
      </c>
      <c r="AE28" s="5">
        <v>0</v>
      </c>
      <c r="AF28" s="6">
        <v>0</v>
      </c>
      <c r="AG28" s="5">
        <v>0</v>
      </c>
      <c r="AH28" s="7">
        <f t="shared" si="0"/>
        <v>732.03439890297784</v>
      </c>
      <c r="AI28" s="8">
        <f t="shared" si="1"/>
        <v>1317.4640708905213</v>
      </c>
      <c r="AJ28" s="6">
        <v>0</v>
      </c>
      <c r="AK28" s="5">
        <v>0</v>
      </c>
      <c r="AL28" s="6">
        <v>0</v>
      </c>
      <c r="AM28" s="5">
        <v>0</v>
      </c>
      <c r="AN28" s="6">
        <v>0</v>
      </c>
      <c r="AO28" s="5">
        <v>0</v>
      </c>
      <c r="AP28" s="6">
        <v>600</v>
      </c>
      <c r="AQ28" s="5">
        <v>1118.7918318398069</v>
      </c>
      <c r="AR28" s="6">
        <v>0</v>
      </c>
      <c r="AS28" s="5">
        <v>0</v>
      </c>
      <c r="AT28" s="6">
        <v>180</v>
      </c>
      <c r="AU28" s="5">
        <v>342.18648690344469</v>
      </c>
      <c r="AV28" s="6">
        <v>60</v>
      </c>
      <c r="AW28" s="5">
        <v>114.4530538786025</v>
      </c>
      <c r="AX28" s="6">
        <v>0</v>
      </c>
      <c r="AY28" s="5">
        <v>0</v>
      </c>
      <c r="AZ28" s="6">
        <v>0</v>
      </c>
      <c r="BA28" s="5">
        <v>0</v>
      </c>
      <c r="BB28" s="6">
        <v>0</v>
      </c>
      <c r="BC28" s="5">
        <v>0</v>
      </c>
      <c r="BD28" s="6">
        <v>0</v>
      </c>
      <c r="BE28" s="5">
        <v>0</v>
      </c>
      <c r="BF28" s="6">
        <v>0</v>
      </c>
      <c r="BG28" s="5">
        <v>0</v>
      </c>
      <c r="BH28" s="9">
        <f t="shared" si="2"/>
        <v>840</v>
      </c>
      <c r="BI28" s="10">
        <f t="shared" si="3"/>
        <v>1575.4313726218543</v>
      </c>
      <c r="BJ28" s="6">
        <f t="shared" si="4"/>
        <v>107.96560109702216</v>
      </c>
      <c r="BK28" s="11">
        <f t="shared" si="5"/>
        <v>0.14748705970487005</v>
      </c>
      <c r="BL28" s="5">
        <f t="shared" si="6"/>
        <v>257.96730173133301</v>
      </c>
      <c r="BM28" s="11">
        <f t="shared" si="7"/>
        <v>0.19580594828439127</v>
      </c>
    </row>
    <row r="29" spans="1:65" ht="15" customHeight="1" x14ac:dyDescent="0.4">
      <c r="A29" s="2" t="s">
        <v>65</v>
      </c>
      <c r="B29" s="2" t="s">
        <v>66</v>
      </c>
      <c r="C29" s="2" t="s">
        <v>100</v>
      </c>
      <c r="D29" s="3" t="s">
        <v>101</v>
      </c>
      <c r="E29" s="3" t="s">
        <v>116</v>
      </c>
      <c r="F29" s="2" t="s">
        <v>117</v>
      </c>
      <c r="G29" s="4">
        <v>5</v>
      </c>
      <c r="H29" s="5">
        <v>13.45</v>
      </c>
      <c r="I29" s="5">
        <v>14.019977911358859</v>
      </c>
      <c r="J29" s="6">
        <v>0</v>
      </c>
      <c r="K29" s="5">
        <v>0</v>
      </c>
      <c r="L29" s="6">
        <v>0</v>
      </c>
      <c r="M29" s="5">
        <v>0</v>
      </c>
      <c r="N29" s="6">
        <v>0</v>
      </c>
      <c r="O29" s="5">
        <v>0</v>
      </c>
      <c r="P29" s="6">
        <v>19.78471348386427</v>
      </c>
      <c r="Q29" s="5">
        <v>266.10439635797428</v>
      </c>
      <c r="R29" s="6">
        <v>0</v>
      </c>
      <c r="S29" s="5">
        <v>0</v>
      </c>
      <c r="T29" s="6">
        <v>0</v>
      </c>
      <c r="U29" s="5">
        <v>0</v>
      </c>
      <c r="V29" s="6">
        <v>0</v>
      </c>
      <c r="W29" s="5">
        <v>0</v>
      </c>
      <c r="X29" s="6">
        <v>0</v>
      </c>
      <c r="Y29" s="5">
        <v>0</v>
      </c>
      <c r="Z29" s="6">
        <v>0</v>
      </c>
      <c r="AA29" s="5">
        <v>0</v>
      </c>
      <c r="AB29" s="6">
        <v>0</v>
      </c>
      <c r="AC29" s="5">
        <v>0</v>
      </c>
      <c r="AD29" s="6">
        <v>0</v>
      </c>
      <c r="AE29" s="5">
        <v>0</v>
      </c>
      <c r="AF29" s="6">
        <v>0</v>
      </c>
      <c r="AG29" s="5">
        <v>0</v>
      </c>
      <c r="AH29" s="7">
        <f t="shared" si="0"/>
        <v>19.78471348386427</v>
      </c>
      <c r="AI29" s="8">
        <f t="shared" si="1"/>
        <v>266.10439635797428</v>
      </c>
      <c r="AJ29" s="6">
        <v>0</v>
      </c>
      <c r="AK29" s="5">
        <v>0</v>
      </c>
      <c r="AL29" s="6">
        <v>0</v>
      </c>
      <c r="AM29" s="5">
        <v>0</v>
      </c>
      <c r="AN29" s="6">
        <v>0</v>
      </c>
      <c r="AO29" s="5">
        <v>0</v>
      </c>
      <c r="AP29" s="6">
        <v>25</v>
      </c>
      <c r="AQ29" s="5">
        <v>350.49944778397162</v>
      </c>
      <c r="AR29" s="6">
        <v>0</v>
      </c>
      <c r="AS29" s="5">
        <v>0</v>
      </c>
      <c r="AT29" s="6">
        <v>0</v>
      </c>
      <c r="AU29" s="5">
        <v>0</v>
      </c>
      <c r="AV29" s="6">
        <v>0</v>
      </c>
      <c r="AW29" s="5">
        <v>0</v>
      </c>
      <c r="AX29" s="6">
        <v>0</v>
      </c>
      <c r="AY29" s="5">
        <v>0</v>
      </c>
      <c r="AZ29" s="6">
        <v>0</v>
      </c>
      <c r="BA29" s="5">
        <v>0</v>
      </c>
      <c r="BB29" s="6">
        <v>0</v>
      </c>
      <c r="BC29" s="5">
        <v>0</v>
      </c>
      <c r="BD29" s="6">
        <v>0</v>
      </c>
      <c r="BE29" s="5">
        <v>0</v>
      </c>
      <c r="BF29" s="6">
        <v>0</v>
      </c>
      <c r="BG29" s="5">
        <v>0</v>
      </c>
      <c r="BH29" s="9">
        <f t="shared" si="2"/>
        <v>25</v>
      </c>
      <c r="BI29" s="10">
        <f t="shared" si="3"/>
        <v>350.49944778397162</v>
      </c>
      <c r="BJ29" s="6">
        <f t="shared" si="4"/>
        <v>5.2152865161357305</v>
      </c>
      <c r="BK29" s="11">
        <f t="shared" si="5"/>
        <v>0.26360182169881502</v>
      </c>
      <c r="BL29" s="5">
        <f t="shared" si="6"/>
        <v>84.395051425997337</v>
      </c>
      <c r="BM29" s="11">
        <f t="shared" si="7"/>
        <v>0.31715015828774862</v>
      </c>
    </row>
    <row r="30" spans="1:65" ht="15" customHeight="1" x14ac:dyDescent="0.4">
      <c r="A30" s="2" t="s">
        <v>65</v>
      </c>
      <c r="B30" s="2" t="s">
        <v>66</v>
      </c>
      <c r="C30" s="2" t="s">
        <v>100</v>
      </c>
      <c r="D30" s="3" t="s">
        <v>101</v>
      </c>
      <c r="E30" s="3" t="s">
        <v>71</v>
      </c>
      <c r="F30" s="2" t="s">
        <v>72</v>
      </c>
      <c r="G30" s="4">
        <v>20</v>
      </c>
      <c r="H30" s="5">
        <v>2.4900000000000002</v>
      </c>
      <c r="I30" s="5">
        <v>2.5955200742961759</v>
      </c>
      <c r="J30" s="6">
        <v>0</v>
      </c>
      <c r="K30" s="5">
        <v>0</v>
      </c>
      <c r="L30" s="6">
        <v>197.84713483864269</v>
      </c>
      <c r="M30" s="5">
        <v>492.6393657482202</v>
      </c>
      <c r="N30" s="6">
        <v>0</v>
      </c>
      <c r="O30" s="5">
        <v>0</v>
      </c>
      <c r="P30" s="6">
        <v>0</v>
      </c>
      <c r="Q30" s="5">
        <v>0</v>
      </c>
      <c r="R30" s="6">
        <v>0</v>
      </c>
      <c r="S30" s="5">
        <v>0</v>
      </c>
      <c r="T30" s="6">
        <v>0</v>
      </c>
      <c r="U30" s="5">
        <v>0</v>
      </c>
      <c r="V30" s="6">
        <v>0</v>
      </c>
      <c r="W30" s="5">
        <v>0</v>
      </c>
      <c r="X30" s="6">
        <v>0</v>
      </c>
      <c r="Y30" s="5">
        <v>0</v>
      </c>
      <c r="Z30" s="6">
        <v>0</v>
      </c>
      <c r="AA30" s="5">
        <v>0</v>
      </c>
      <c r="AB30" s="6">
        <v>0</v>
      </c>
      <c r="AC30" s="5">
        <v>0</v>
      </c>
      <c r="AD30" s="6">
        <v>0</v>
      </c>
      <c r="AE30" s="5">
        <v>0</v>
      </c>
      <c r="AF30" s="6">
        <v>0</v>
      </c>
      <c r="AG30" s="5">
        <v>0</v>
      </c>
      <c r="AH30" s="7">
        <f t="shared" si="0"/>
        <v>197.84713483864269</v>
      </c>
      <c r="AI30" s="8">
        <f t="shared" si="1"/>
        <v>492.6393657482202</v>
      </c>
      <c r="AJ30" s="6">
        <v>0</v>
      </c>
      <c r="AK30" s="5">
        <v>0</v>
      </c>
      <c r="AL30" s="6">
        <v>260</v>
      </c>
      <c r="AM30" s="5">
        <v>674.83521931700591</v>
      </c>
      <c r="AN30" s="6">
        <v>0</v>
      </c>
      <c r="AO30" s="5">
        <v>0</v>
      </c>
      <c r="AP30" s="6">
        <v>0</v>
      </c>
      <c r="AQ30" s="5">
        <v>0</v>
      </c>
      <c r="AR30" s="6">
        <v>0</v>
      </c>
      <c r="AS30" s="5">
        <v>0</v>
      </c>
      <c r="AT30" s="6">
        <v>0</v>
      </c>
      <c r="AU30" s="5">
        <v>0</v>
      </c>
      <c r="AV30" s="6">
        <v>0</v>
      </c>
      <c r="AW30" s="5">
        <v>0</v>
      </c>
      <c r="AX30" s="6">
        <v>0</v>
      </c>
      <c r="AY30" s="5">
        <v>0</v>
      </c>
      <c r="AZ30" s="6">
        <v>0</v>
      </c>
      <c r="BA30" s="5">
        <v>0</v>
      </c>
      <c r="BB30" s="6">
        <v>0</v>
      </c>
      <c r="BC30" s="5">
        <v>0</v>
      </c>
      <c r="BD30" s="6">
        <v>0</v>
      </c>
      <c r="BE30" s="5">
        <v>0</v>
      </c>
      <c r="BF30" s="6">
        <v>0</v>
      </c>
      <c r="BG30" s="5">
        <v>0</v>
      </c>
      <c r="BH30" s="9">
        <f t="shared" si="2"/>
        <v>260</v>
      </c>
      <c r="BI30" s="10">
        <f t="shared" si="3"/>
        <v>674.83521931700591</v>
      </c>
      <c r="BJ30" s="6">
        <f t="shared" si="4"/>
        <v>62.152865161357312</v>
      </c>
      <c r="BK30" s="11">
        <f t="shared" si="5"/>
        <v>0.31414589456676767</v>
      </c>
      <c r="BL30" s="5">
        <f t="shared" si="6"/>
        <v>182.19585356878571</v>
      </c>
      <c r="BM30" s="11">
        <f t="shared" si="7"/>
        <v>0.36983616461925817</v>
      </c>
    </row>
    <row r="31" spans="1:65" ht="15" customHeight="1" x14ac:dyDescent="0.4">
      <c r="A31" s="2" t="s">
        <v>65</v>
      </c>
      <c r="B31" s="2" t="s">
        <v>66</v>
      </c>
      <c r="C31" s="2" t="s">
        <v>100</v>
      </c>
      <c r="D31" s="3" t="s">
        <v>101</v>
      </c>
      <c r="E31" s="3" t="s">
        <v>118</v>
      </c>
      <c r="F31" s="2" t="s">
        <v>119</v>
      </c>
      <c r="G31" s="4">
        <v>5</v>
      </c>
      <c r="H31" s="5">
        <v>2.6619999999999999</v>
      </c>
      <c r="I31" s="5">
        <v>2.77480901115519</v>
      </c>
      <c r="J31" s="6">
        <v>0</v>
      </c>
      <c r="K31" s="5">
        <v>0</v>
      </c>
      <c r="L31" s="6">
        <v>0</v>
      </c>
      <c r="M31" s="5">
        <v>0</v>
      </c>
      <c r="N31" s="6">
        <v>0</v>
      </c>
      <c r="O31" s="5">
        <v>0</v>
      </c>
      <c r="P31" s="6">
        <v>0</v>
      </c>
      <c r="Q31" s="5">
        <v>0</v>
      </c>
      <c r="R31" s="6">
        <v>0</v>
      </c>
      <c r="S31" s="5">
        <v>0</v>
      </c>
      <c r="T31" s="6">
        <v>197.84713483864269</v>
      </c>
      <c r="U31" s="5">
        <v>506.48866518692518</v>
      </c>
      <c r="V31" s="6">
        <v>296.77070225796399</v>
      </c>
      <c r="W31" s="5">
        <v>810.18401716424171</v>
      </c>
      <c r="X31" s="6">
        <v>0</v>
      </c>
      <c r="Y31" s="5">
        <v>0</v>
      </c>
      <c r="Z31" s="6">
        <v>0</v>
      </c>
      <c r="AA31" s="5">
        <v>0</v>
      </c>
      <c r="AB31" s="6">
        <v>0</v>
      </c>
      <c r="AC31" s="5">
        <v>0</v>
      </c>
      <c r="AD31" s="6">
        <v>0</v>
      </c>
      <c r="AE31" s="5">
        <v>0</v>
      </c>
      <c r="AF31" s="6">
        <v>0</v>
      </c>
      <c r="AG31" s="5">
        <v>0</v>
      </c>
      <c r="AH31" s="7">
        <f t="shared" si="0"/>
        <v>494.61783709660665</v>
      </c>
      <c r="AI31" s="8">
        <f t="shared" si="1"/>
        <v>1316.6726823511669</v>
      </c>
      <c r="AJ31" s="6">
        <v>0</v>
      </c>
      <c r="AK31" s="5">
        <v>0</v>
      </c>
      <c r="AL31" s="6">
        <v>0</v>
      </c>
      <c r="AM31" s="5">
        <v>0</v>
      </c>
      <c r="AN31" s="6">
        <v>0</v>
      </c>
      <c r="AO31" s="5">
        <v>0</v>
      </c>
      <c r="AP31" s="6">
        <v>0</v>
      </c>
      <c r="AQ31" s="5">
        <v>0</v>
      </c>
      <c r="AR31" s="6">
        <v>0</v>
      </c>
      <c r="AS31" s="5">
        <v>0</v>
      </c>
      <c r="AT31" s="6">
        <v>230</v>
      </c>
      <c r="AU31" s="5">
        <v>613.75189548015601</v>
      </c>
      <c r="AV31" s="6">
        <v>345</v>
      </c>
      <c r="AW31" s="5">
        <v>981.763285934078</v>
      </c>
      <c r="AX31" s="6">
        <v>0</v>
      </c>
      <c r="AY31" s="5">
        <v>0</v>
      </c>
      <c r="AZ31" s="6">
        <v>0</v>
      </c>
      <c r="BA31" s="5">
        <v>0</v>
      </c>
      <c r="BB31" s="6">
        <v>0</v>
      </c>
      <c r="BC31" s="5">
        <v>0</v>
      </c>
      <c r="BD31" s="6">
        <v>0</v>
      </c>
      <c r="BE31" s="5">
        <v>0</v>
      </c>
      <c r="BF31" s="6">
        <v>0</v>
      </c>
      <c r="BG31" s="5">
        <v>0</v>
      </c>
      <c r="BH31" s="9">
        <f t="shared" si="2"/>
        <v>575</v>
      </c>
      <c r="BI31" s="10">
        <f t="shared" si="3"/>
        <v>1595.5151814142341</v>
      </c>
      <c r="BJ31" s="6">
        <f t="shared" si="4"/>
        <v>80.38216290339335</v>
      </c>
      <c r="BK31" s="11">
        <f t="shared" si="5"/>
        <v>0.16251367596291003</v>
      </c>
      <c r="BL31" s="5">
        <f t="shared" si="6"/>
        <v>278.84249906306718</v>
      </c>
      <c r="BM31" s="11">
        <f t="shared" si="7"/>
        <v>0.21177814562472838</v>
      </c>
    </row>
    <row r="32" spans="1:65" ht="15" customHeight="1" x14ac:dyDescent="0.4">
      <c r="A32" s="2" t="s">
        <v>65</v>
      </c>
      <c r="B32" s="2" t="s">
        <v>66</v>
      </c>
      <c r="C32" s="2" t="s">
        <v>100</v>
      </c>
      <c r="D32" s="3" t="s">
        <v>101</v>
      </c>
      <c r="E32" s="3" t="s">
        <v>73</v>
      </c>
      <c r="F32" s="2" t="s">
        <v>74</v>
      </c>
      <c r="G32" s="4">
        <v>20</v>
      </c>
      <c r="H32" s="5">
        <v>3.07</v>
      </c>
      <c r="I32" s="5">
        <v>3.200099047425407</v>
      </c>
      <c r="J32" s="6">
        <v>0</v>
      </c>
      <c r="K32" s="5">
        <v>0</v>
      </c>
      <c r="L32" s="6">
        <v>197.84713483864269</v>
      </c>
      <c r="M32" s="5">
        <v>607.39070395463295</v>
      </c>
      <c r="N32" s="6">
        <v>0</v>
      </c>
      <c r="O32" s="5">
        <v>0</v>
      </c>
      <c r="P32" s="6">
        <v>0</v>
      </c>
      <c r="Q32" s="5">
        <v>0</v>
      </c>
      <c r="R32" s="6">
        <v>0</v>
      </c>
      <c r="S32" s="5">
        <v>0</v>
      </c>
      <c r="T32" s="6">
        <v>0</v>
      </c>
      <c r="U32" s="5">
        <v>0</v>
      </c>
      <c r="V32" s="6">
        <v>0</v>
      </c>
      <c r="W32" s="5">
        <v>0</v>
      </c>
      <c r="X32" s="6">
        <v>0</v>
      </c>
      <c r="Y32" s="5">
        <v>0</v>
      </c>
      <c r="Z32" s="6">
        <v>0</v>
      </c>
      <c r="AA32" s="5">
        <v>0</v>
      </c>
      <c r="AB32" s="6">
        <v>0</v>
      </c>
      <c r="AC32" s="5">
        <v>0</v>
      </c>
      <c r="AD32" s="6">
        <v>0</v>
      </c>
      <c r="AE32" s="5">
        <v>0</v>
      </c>
      <c r="AF32" s="6">
        <v>0</v>
      </c>
      <c r="AG32" s="5">
        <v>0</v>
      </c>
      <c r="AH32" s="7">
        <f t="shared" si="0"/>
        <v>197.84713483864269</v>
      </c>
      <c r="AI32" s="8">
        <f t="shared" si="1"/>
        <v>607.39070395463295</v>
      </c>
      <c r="AJ32" s="6">
        <v>0</v>
      </c>
      <c r="AK32" s="5">
        <v>0</v>
      </c>
      <c r="AL32" s="6">
        <v>220</v>
      </c>
      <c r="AM32" s="5">
        <v>704.02179043358956</v>
      </c>
      <c r="AN32" s="6">
        <v>0</v>
      </c>
      <c r="AO32" s="5">
        <v>0</v>
      </c>
      <c r="AP32" s="6">
        <v>0</v>
      </c>
      <c r="AQ32" s="5">
        <v>0</v>
      </c>
      <c r="AR32" s="6">
        <v>0</v>
      </c>
      <c r="AS32" s="5">
        <v>0</v>
      </c>
      <c r="AT32" s="6">
        <v>0</v>
      </c>
      <c r="AU32" s="5">
        <v>0</v>
      </c>
      <c r="AV32" s="6">
        <v>0</v>
      </c>
      <c r="AW32" s="5">
        <v>0</v>
      </c>
      <c r="AX32" s="6">
        <v>0</v>
      </c>
      <c r="AY32" s="5">
        <v>0</v>
      </c>
      <c r="AZ32" s="6">
        <v>0</v>
      </c>
      <c r="BA32" s="5">
        <v>0</v>
      </c>
      <c r="BB32" s="6">
        <v>0</v>
      </c>
      <c r="BC32" s="5">
        <v>0</v>
      </c>
      <c r="BD32" s="6">
        <v>0</v>
      </c>
      <c r="BE32" s="5">
        <v>0</v>
      </c>
      <c r="BF32" s="6">
        <v>0</v>
      </c>
      <c r="BG32" s="5">
        <v>0</v>
      </c>
      <c r="BH32" s="9">
        <f t="shared" si="2"/>
        <v>220</v>
      </c>
      <c r="BI32" s="10">
        <f t="shared" si="3"/>
        <v>704.02179043358956</v>
      </c>
      <c r="BJ32" s="6">
        <f t="shared" si="4"/>
        <v>22.152865161357312</v>
      </c>
      <c r="BK32" s="11">
        <f t="shared" si="5"/>
        <v>0.11196960309495725</v>
      </c>
      <c r="BL32" s="5">
        <f t="shared" si="6"/>
        <v>96.631086478956604</v>
      </c>
      <c r="BM32" s="11">
        <f t="shared" si="7"/>
        <v>0.15909213929321867</v>
      </c>
    </row>
    <row r="33" spans="1:65" ht="15" customHeight="1" x14ac:dyDescent="0.4">
      <c r="A33" s="2" t="s">
        <v>65</v>
      </c>
      <c r="B33" s="2" t="s">
        <v>66</v>
      </c>
      <c r="C33" s="2" t="s">
        <v>100</v>
      </c>
      <c r="D33" s="3" t="s">
        <v>101</v>
      </c>
      <c r="E33" s="3" t="s">
        <v>120</v>
      </c>
      <c r="F33" s="2" t="s">
        <v>121</v>
      </c>
      <c r="G33" s="4">
        <v>5</v>
      </c>
      <c r="H33" s="5">
        <v>4.1500000000000004</v>
      </c>
      <c r="I33" s="5">
        <v>4.3258667904936283</v>
      </c>
      <c r="J33" s="6">
        <v>0</v>
      </c>
      <c r="K33" s="5">
        <v>0</v>
      </c>
      <c r="L33" s="6">
        <v>0</v>
      </c>
      <c r="M33" s="5">
        <v>0</v>
      </c>
      <c r="N33" s="6">
        <v>0</v>
      </c>
      <c r="O33" s="5">
        <v>0</v>
      </c>
      <c r="P33" s="6">
        <v>118.7082809031856</v>
      </c>
      <c r="Q33" s="5">
        <v>498.57477979337949</v>
      </c>
      <c r="R33" s="6">
        <v>0</v>
      </c>
      <c r="S33" s="5">
        <v>0</v>
      </c>
      <c r="T33" s="6">
        <v>39.569426967728532</v>
      </c>
      <c r="U33" s="5">
        <v>158.2777078709141</v>
      </c>
      <c r="V33" s="6">
        <v>0</v>
      </c>
      <c r="W33" s="5">
        <v>0</v>
      </c>
      <c r="X33" s="6">
        <v>0</v>
      </c>
      <c r="Y33" s="5">
        <v>0</v>
      </c>
      <c r="Z33" s="6">
        <v>0</v>
      </c>
      <c r="AA33" s="5">
        <v>0</v>
      </c>
      <c r="AB33" s="6">
        <v>0</v>
      </c>
      <c r="AC33" s="5">
        <v>0</v>
      </c>
      <c r="AD33" s="6">
        <v>0</v>
      </c>
      <c r="AE33" s="5">
        <v>0</v>
      </c>
      <c r="AF33" s="6">
        <v>0</v>
      </c>
      <c r="AG33" s="5">
        <v>0</v>
      </c>
      <c r="AH33" s="7">
        <f t="shared" si="0"/>
        <v>158.27770787091413</v>
      </c>
      <c r="AI33" s="8">
        <f t="shared" si="1"/>
        <v>656.85248766429356</v>
      </c>
      <c r="AJ33" s="6">
        <v>0</v>
      </c>
      <c r="AK33" s="5">
        <v>0</v>
      </c>
      <c r="AL33" s="6">
        <v>0</v>
      </c>
      <c r="AM33" s="5">
        <v>0</v>
      </c>
      <c r="AN33" s="6">
        <v>0</v>
      </c>
      <c r="AO33" s="5">
        <v>0</v>
      </c>
      <c r="AP33" s="6">
        <v>135</v>
      </c>
      <c r="AQ33" s="5">
        <v>591.02806511081621</v>
      </c>
      <c r="AR33" s="6">
        <v>0</v>
      </c>
      <c r="AS33" s="5">
        <v>0</v>
      </c>
      <c r="AT33" s="6">
        <v>45</v>
      </c>
      <c r="AU33" s="5">
        <v>187.62795717803689</v>
      </c>
      <c r="AV33" s="6">
        <v>0</v>
      </c>
      <c r="AW33" s="5">
        <v>0</v>
      </c>
      <c r="AX33" s="6">
        <v>0</v>
      </c>
      <c r="AY33" s="5">
        <v>0</v>
      </c>
      <c r="AZ33" s="6">
        <v>0</v>
      </c>
      <c r="BA33" s="5">
        <v>0</v>
      </c>
      <c r="BB33" s="6">
        <v>0</v>
      </c>
      <c r="BC33" s="5">
        <v>0</v>
      </c>
      <c r="BD33" s="6">
        <v>0</v>
      </c>
      <c r="BE33" s="5">
        <v>0</v>
      </c>
      <c r="BF33" s="6">
        <v>0</v>
      </c>
      <c r="BG33" s="5">
        <v>0</v>
      </c>
      <c r="BH33" s="9">
        <f t="shared" si="2"/>
        <v>180</v>
      </c>
      <c r="BI33" s="10">
        <f t="shared" si="3"/>
        <v>778.65602228885314</v>
      </c>
      <c r="BJ33" s="6">
        <f t="shared" si="4"/>
        <v>21.722292129085872</v>
      </c>
      <c r="BK33" s="11">
        <f t="shared" si="5"/>
        <v>0.13724163952893373</v>
      </c>
      <c r="BL33" s="5">
        <f t="shared" si="6"/>
        <v>121.80353462455957</v>
      </c>
      <c r="BM33" s="11">
        <f t="shared" si="7"/>
        <v>0.18543514245897375</v>
      </c>
    </row>
    <row r="34" spans="1:65" ht="15" customHeight="1" x14ac:dyDescent="0.4">
      <c r="A34" s="2" t="s">
        <v>65</v>
      </c>
      <c r="B34" s="2" t="s">
        <v>66</v>
      </c>
      <c r="C34" s="2" t="s">
        <v>100</v>
      </c>
      <c r="D34" s="3" t="s">
        <v>101</v>
      </c>
      <c r="E34" s="3" t="s">
        <v>90</v>
      </c>
      <c r="F34" s="2" t="s">
        <v>91</v>
      </c>
      <c r="G34" s="4">
        <v>20</v>
      </c>
      <c r="H34" s="5">
        <v>3.91</v>
      </c>
      <c r="I34" s="5">
        <v>4.0756961809229129</v>
      </c>
      <c r="J34" s="6">
        <v>0</v>
      </c>
      <c r="K34" s="5">
        <v>0</v>
      </c>
      <c r="L34" s="6">
        <v>0</v>
      </c>
      <c r="M34" s="5">
        <v>0</v>
      </c>
      <c r="N34" s="6">
        <v>0</v>
      </c>
      <c r="O34" s="5">
        <v>0</v>
      </c>
      <c r="P34" s="6">
        <v>0</v>
      </c>
      <c r="Q34" s="5">
        <v>0</v>
      </c>
      <c r="R34" s="6">
        <v>19.78471348386427</v>
      </c>
      <c r="S34" s="5">
        <v>77.358229721909282</v>
      </c>
      <c r="T34" s="6">
        <v>0</v>
      </c>
      <c r="U34" s="5">
        <v>0</v>
      </c>
      <c r="V34" s="6">
        <v>0</v>
      </c>
      <c r="W34" s="5">
        <v>0</v>
      </c>
      <c r="X34" s="6">
        <v>0</v>
      </c>
      <c r="Y34" s="5">
        <v>0</v>
      </c>
      <c r="Z34" s="6">
        <v>0</v>
      </c>
      <c r="AA34" s="5">
        <v>0</v>
      </c>
      <c r="AB34" s="6">
        <v>0</v>
      </c>
      <c r="AC34" s="5">
        <v>0</v>
      </c>
      <c r="AD34" s="6">
        <v>0</v>
      </c>
      <c r="AE34" s="5">
        <v>0</v>
      </c>
      <c r="AF34" s="6">
        <v>0</v>
      </c>
      <c r="AG34" s="5">
        <v>0</v>
      </c>
      <c r="AH34" s="7">
        <f t="shared" si="0"/>
        <v>19.78471348386427</v>
      </c>
      <c r="AI34" s="8">
        <f t="shared" si="1"/>
        <v>77.358229721909282</v>
      </c>
      <c r="AJ34" s="6">
        <v>0</v>
      </c>
      <c r="AK34" s="5">
        <v>0</v>
      </c>
      <c r="AL34" s="6">
        <v>0</v>
      </c>
      <c r="AM34" s="5">
        <v>0</v>
      </c>
      <c r="AN34" s="6">
        <v>0</v>
      </c>
      <c r="AO34" s="5">
        <v>0</v>
      </c>
      <c r="AP34" s="6">
        <v>0</v>
      </c>
      <c r="AQ34" s="5">
        <v>0</v>
      </c>
      <c r="AR34" s="6">
        <v>20</v>
      </c>
      <c r="AS34" s="5">
        <v>81.51392361845825</v>
      </c>
      <c r="AT34" s="6">
        <v>0</v>
      </c>
      <c r="AU34" s="5">
        <v>0</v>
      </c>
      <c r="AV34" s="6">
        <v>0</v>
      </c>
      <c r="AW34" s="5">
        <v>0</v>
      </c>
      <c r="AX34" s="6">
        <v>0</v>
      </c>
      <c r="AY34" s="5">
        <v>0</v>
      </c>
      <c r="AZ34" s="6">
        <v>0</v>
      </c>
      <c r="BA34" s="5">
        <v>0</v>
      </c>
      <c r="BB34" s="6">
        <v>0</v>
      </c>
      <c r="BC34" s="5">
        <v>0</v>
      </c>
      <c r="BD34" s="6">
        <v>0</v>
      </c>
      <c r="BE34" s="5">
        <v>0</v>
      </c>
      <c r="BF34" s="6">
        <v>0</v>
      </c>
      <c r="BG34" s="5">
        <v>0</v>
      </c>
      <c r="BH34" s="9">
        <f t="shared" si="2"/>
        <v>20</v>
      </c>
      <c r="BI34" s="10">
        <f t="shared" si="3"/>
        <v>81.51392361845825</v>
      </c>
      <c r="BJ34" s="6">
        <f t="shared" si="4"/>
        <v>0.21528651613573047</v>
      </c>
      <c r="BK34" s="11">
        <f t="shared" si="5"/>
        <v>1.0881457359052014E-2</v>
      </c>
      <c r="BL34" s="5">
        <f t="shared" si="6"/>
        <v>4.1556938965489678</v>
      </c>
      <c r="BM34" s="11">
        <f t="shared" si="7"/>
        <v>5.3720126630198706E-2</v>
      </c>
    </row>
    <row r="35" spans="1:65" ht="15" customHeight="1" x14ac:dyDescent="0.4">
      <c r="A35" s="2" t="s">
        <v>65</v>
      </c>
      <c r="B35" s="2" t="s">
        <v>66</v>
      </c>
      <c r="C35" s="2" t="s">
        <v>100</v>
      </c>
      <c r="D35" s="3" t="s">
        <v>101</v>
      </c>
      <c r="E35" s="3" t="s">
        <v>122</v>
      </c>
      <c r="F35" s="2" t="s">
        <v>123</v>
      </c>
      <c r="G35" s="4">
        <v>5</v>
      </c>
      <c r="H35" s="5">
        <v>4.4983333333333331</v>
      </c>
      <c r="I35" s="5">
        <v>4.6889616335511253</v>
      </c>
      <c r="J35" s="6">
        <v>0</v>
      </c>
      <c r="K35" s="5">
        <v>0</v>
      </c>
      <c r="L35" s="6">
        <v>0</v>
      </c>
      <c r="M35" s="5">
        <v>0</v>
      </c>
      <c r="N35" s="6">
        <v>0</v>
      </c>
      <c r="O35" s="5">
        <v>0</v>
      </c>
      <c r="P35" s="6">
        <v>0</v>
      </c>
      <c r="Q35" s="5">
        <v>0</v>
      </c>
      <c r="R35" s="6">
        <v>39.569426967728532</v>
      </c>
      <c r="S35" s="5">
        <v>182.81075259090579</v>
      </c>
      <c r="T35" s="6">
        <v>59.354140451592791</v>
      </c>
      <c r="U35" s="5">
        <v>261.1582179870083</v>
      </c>
      <c r="V35" s="6">
        <v>19.78471348386427</v>
      </c>
      <c r="W35" s="5">
        <v>90.020446351582407</v>
      </c>
      <c r="X35" s="6">
        <v>0</v>
      </c>
      <c r="Y35" s="5">
        <v>0</v>
      </c>
      <c r="Z35" s="6">
        <v>0</v>
      </c>
      <c r="AA35" s="5">
        <v>0</v>
      </c>
      <c r="AB35" s="6">
        <v>0</v>
      </c>
      <c r="AC35" s="5">
        <v>0</v>
      </c>
      <c r="AD35" s="6">
        <v>0</v>
      </c>
      <c r="AE35" s="5">
        <v>0</v>
      </c>
      <c r="AF35" s="6">
        <v>0</v>
      </c>
      <c r="AG35" s="5">
        <v>0</v>
      </c>
      <c r="AH35" s="7">
        <f t="shared" si="0"/>
        <v>118.7082809031856</v>
      </c>
      <c r="AI35" s="8">
        <f t="shared" si="1"/>
        <v>533.98941692949654</v>
      </c>
      <c r="AJ35" s="6">
        <v>0</v>
      </c>
      <c r="AK35" s="5">
        <v>0</v>
      </c>
      <c r="AL35" s="6">
        <v>0</v>
      </c>
      <c r="AM35" s="5">
        <v>0</v>
      </c>
      <c r="AN35" s="6">
        <v>0</v>
      </c>
      <c r="AO35" s="5">
        <v>0</v>
      </c>
      <c r="AP35" s="6">
        <v>0</v>
      </c>
      <c r="AQ35" s="5">
        <v>0</v>
      </c>
      <c r="AR35" s="6">
        <v>50</v>
      </c>
      <c r="AS35" s="5">
        <v>240.789211711814</v>
      </c>
      <c r="AT35" s="6">
        <v>75</v>
      </c>
      <c r="AU35" s="5">
        <v>343.98458815973419</v>
      </c>
      <c r="AV35" s="6">
        <v>25</v>
      </c>
      <c r="AW35" s="5">
        <v>118.5704451611205</v>
      </c>
      <c r="AX35" s="6">
        <v>0</v>
      </c>
      <c r="AY35" s="5">
        <v>0</v>
      </c>
      <c r="AZ35" s="6">
        <v>0</v>
      </c>
      <c r="BA35" s="5">
        <v>0</v>
      </c>
      <c r="BB35" s="6">
        <v>0</v>
      </c>
      <c r="BC35" s="5">
        <v>0</v>
      </c>
      <c r="BD35" s="6">
        <v>0</v>
      </c>
      <c r="BE35" s="5">
        <v>0</v>
      </c>
      <c r="BF35" s="6">
        <v>0</v>
      </c>
      <c r="BG35" s="5">
        <v>0</v>
      </c>
      <c r="BH35" s="9">
        <f t="shared" si="2"/>
        <v>150</v>
      </c>
      <c r="BI35" s="10">
        <f t="shared" si="3"/>
        <v>703.3442450326686</v>
      </c>
      <c r="BJ35" s="6">
        <f t="shared" si="4"/>
        <v>31.291719096814404</v>
      </c>
      <c r="BK35" s="11">
        <f t="shared" si="5"/>
        <v>0.26360182169881524</v>
      </c>
      <c r="BL35" s="5">
        <f t="shared" si="6"/>
        <v>169.35482810317205</v>
      </c>
      <c r="BM35" s="11">
        <f t="shared" si="7"/>
        <v>0.31715015828774795</v>
      </c>
    </row>
    <row r="36" spans="1:65" ht="15" customHeight="1" x14ac:dyDescent="0.4">
      <c r="A36" s="2" t="s">
        <v>65</v>
      </c>
      <c r="B36" s="2" t="s">
        <v>66</v>
      </c>
      <c r="C36" s="2" t="s">
        <v>100</v>
      </c>
      <c r="D36" s="3" t="s">
        <v>101</v>
      </c>
      <c r="E36" s="3" t="s">
        <v>124</v>
      </c>
      <c r="F36" s="2" t="s">
        <v>125</v>
      </c>
      <c r="G36" s="4">
        <v>20</v>
      </c>
      <c r="H36" s="5">
        <v>4.12</v>
      </c>
      <c r="I36" s="5">
        <v>4.2945954642972888</v>
      </c>
      <c r="J36" s="6">
        <v>0</v>
      </c>
      <c r="K36" s="5">
        <v>0</v>
      </c>
      <c r="L36" s="6">
        <v>0</v>
      </c>
      <c r="M36" s="5">
        <v>0</v>
      </c>
      <c r="N36" s="6">
        <v>0</v>
      </c>
      <c r="O36" s="5">
        <v>0</v>
      </c>
      <c r="P36" s="6">
        <v>118.7082809031856</v>
      </c>
      <c r="Q36" s="5">
        <v>489.07811732112458</v>
      </c>
      <c r="R36" s="6">
        <v>0</v>
      </c>
      <c r="S36" s="5">
        <v>0</v>
      </c>
      <c r="T36" s="6">
        <v>0</v>
      </c>
      <c r="U36" s="5">
        <v>0</v>
      </c>
      <c r="V36" s="6">
        <v>0</v>
      </c>
      <c r="W36" s="5">
        <v>0</v>
      </c>
      <c r="X36" s="6">
        <v>0</v>
      </c>
      <c r="Y36" s="5">
        <v>0</v>
      </c>
      <c r="Z36" s="6">
        <v>0</v>
      </c>
      <c r="AA36" s="5">
        <v>0</v>
      </c>
      <c r="AB36" s="6">
        <v>0</v>
      </c>
      <c r="AC36" s="5">
        <v>0</v>
      </c>
      <c r="AD36" s="6">
        <v>0</v>
      </c>
      <c r="AE36" s="5">
        <v>0</v>
      </c>
      <c r="AF36" s="6">
        <v>0</v>
      </c>
      <c r="AG36" s="5">
        <v>0</v>
      </c>
      <c r="AH36" s="7">
        <f t="shared" si="0"/>
        <v>118.7082809031856</v>
      </c>
      <c r="AI36" s="8">
        <f t="shared" si="1"/>
        <v>489.07811732112458</v>
      </c>
      <c r="AJ36" s="6">
        <v>0</v>
      </c>
      <c r="AK36" s="5">
        <v>0</v>
      </c>
      <c r="AL36" s="6">
        <v>0</v>
      </c>
      <c r="AM36" s="5">
        <v>0</v>
      </c>
      <c r="AN36" s="6">
        <v>0</v>
      </c>
      <c r="AO36" s="5">
        <v>0</v>
      </c>
      <c r="AP36" s="6">
        <v>140</v>
      </c>
      <c r="AQ36" s="5">
        <v>601.24336500162042</v>
      </c>
      <c r="AR36" s="6">
        <v>0</v>
      </c>
      <c r="AS36" s="5">
        <v>0</v>
      </c>
      <c r="AT36" s="6">
        <v>0</v>
      </c>
      <c r="AU36" s="5">
        <v>0</v>
      </c>
      <c r="AV36" s="6">
        <v>0</v>
      </c>
      <c r="AW36" s="5">
        <v>0</v>
      </c>
      <c r="AX36" s="6">
        <v>0</v>
      </c>
      <c r="AY36" s="5">
        <v>0</v>
      </c>
      <c r="AZ36" s="6">
        <v>0</v>
      </c>
      <c r="BA36" s="5">
        <v>0</v>
      </c>
      <c r="BB36" s="6">
        <v>0</v>
      </c>
      <c r="BC36" s="5">
        <v>0</v>
      </c>
      <c r="BD36" s="6">
        <v>0</v>
      </c>
      <c r="BE36" s="5">
        <v>0</v>
      </c>
      <c r="BF36" s="6">
        <v>0</v>
      </c>
      <c r="BG36" s="5">
        <v>0</v>
      </c>
      <c r="BH36" s="9">
        <f t="shared" si="2"/>
        <v>140</v>
      </c>
      <c r="BI36" s="10">
        <f t="shared" si="3"/>
        <v>601.24336500162042</v>
      </c>
      <c r="BJ36" s="6">
        <f t="shared" si="4"/>
        <v>21.291719096814404</v>
      </c>
      <c r="BK36" s="11">
        <f t="shared" si="5"/>
        <v>0.17936170025222756</v>
      </c>
      <c r="BL36" s="5">
        <f t="shared" si="6"/>
        <v>112.16524768049584</v>
      </c>
      <c r="BM36" s="11">
        <f t="shared" si="7"/>
        <v>0.22934014773523201</v>
      </c>
    </row>
    <row r="37" spans="1:65" ht="15" customHeight="1" x14ac:dyDescent="0.4">
      <c r="A37" s="2" t="s">
        <v>65</v>
      </c>
      <c r="B37" s="2" t="s">
        <v>66</v>
      </c>
      <c r="C37" s="2" t="s">
        <v>100</v>
      </c>
      <c r="D37" s="3" t="s">
        <v>101</v>
      </c>
      <c r="E37" s="3" t="s">
        <v>126</v>
      </c>
      <c r="F37" s="2" t="s">
        <v>127</v>
      </c>
      <c r="G37" s="4">
        <v>20</v>
      </c>
      <c r="H37" s="5">
        <v>6.3459999999999992</v>
      </c>
      <c r="I37" s="5">
        <v>6.6157807224164857</v>
      </c>
      <c r="J37" s="6">
        <v>0</v>
      </c>
      <c r="K37" s="5">
        <v>0</v>
      </c>
      <c r="L37" s="6">
        <v>0</v>
      </c>
      <c r="M37" s="5">
        <v>0</v>
      </c>
      <c r="N37" s="6">
        <v>0</v>
      </c>
      <c r="O37" s="5">
        <v>0</v>
      </c>
      <c r="P37" s="6">
        <v>751.81911238684211</v>
      </c>
      <c r="Q37" s="5">
        <v>4766.5331725325786</v>
      </c>
      <c r="R37" s="6">
        <v>197.84713483864269</v>
      </c>
      <c r="S37" s="5">
        <v>1254.350834876994</v>
      </c>
      <c r="T37" s="6">
        <v>39.569426967728532</v>
      </c>
      <c r="U37" s="5">
        <v>256.80558102055818</v>
      </c>
      <c r="V37" s="6">
        <v>0</v>
      </c>
      <c r="W37" s="5">
        <v>0</v>
      </c>
      <c r="X37" s="6">
        <v>0</v>
      </c>
      <c r="Y37" s="5">
        <v>0</v>
      </c>
      <c r="Z37" s="6">
        <v>0</v>
      </c>
      <c r="AA37" s="5">
        <v>0</v>
      </c>
      <c r="AB37" s="6">
        <v>0</v>
      </c>
      <c r="AC37" s="5">
        <v>0</v>
      </c>
      <c r="AD37" s="6">
        <v>0</v>
      </c>
      <c r="AE37" s="5">
        <v>0</v>
      </c>
      <c r="AF37" s="6">
        <v>0</v>
      </c>
      <c r="AG37" s="5">
        <v>0</v>
      </c>
      <c r="AH37" s="7">
        <f t="shared" si="0"/>
        <v>989.2356741932133</v>
      </c>
      <c r="AI37" s="8">
        <f t="shared" si="1"/>
        <v>6277.6895884301302</v>
      </c>
      <c r="AJ37" s="6">
        <v>0</v>
      </c>
      <c r="AK37" s="5">
        <v>0</v>
      </c>
      <c r="AL37" s="6">
        <v>0</v>
      </c>
      <c r="AM37" s="5">
        <v>0</v>
      </c>
      <c r="AN37" s="6">
        <v>0</v>
      </c>
      <c r="AO37" s="5">
        <v>0</v>
      </c>
      <c r="AP37" s="6">
        <v>1000</v>
      </c>
      <c r="AQ37" s="5">
        <v>6608.6736028264086</v>
      </c>
      <c r="AR37" s="6">
        <v>260</v>
      </c>
      <c r="AS37" s="5">
        <v>1718.255136734866</v>
      </c>
      <c r="AT37" s="6">
        <v>60</v>
      </c>
      <c r="AU37" s="5">
        <v>405.90181402848651</v>
      </c>
      <c r="AV37" s="6">
        <v>0</v>
      </c>
      <c r="AW37" s="5">
        <v>0</v>
      </c>
      <c r="AX37" s="6">
        <v>0</v>
      </c>
      <c r="AY37" s="5">
        <v>0</v>
      </c>
      <c r="AZ37" s="6">
        <v>0</v>
      </c>
      <c r="BA37" s="5">
        <v>0</v>
      </c>
      <c r="BB37" s="6">
        <v>0</v>
      </c>
      <c r="BC37" s="5">
        <v>0</v>
      </c>
      <c r="BD37" s="6">
        <v>0</v>
      </c>
      <c r="BE37" s="5">
        <v>0</v>
      </c>
      <c r="BF37" s="6">
        <v>0</v>
      </c>
      <c r="BG37" s="5">
        <v>0</v>
      </c>
      <c r="BH37" s="9">
        <f t="shared" si="2"/>
        <v>1320</v>
      </c>
      <c r="BI37" s="10">
        <f t="shared" si="3"/>
        <v>8732.8305535897598</v>
      </c>
      <c r="BJ37" s="6">
        <f t="shared" si="4"/>
        <v>330.7643258067867</v>
      </c>
      <c r="BK37" s="11">
        <f t="shared" si="5"/>
        <v>0.3343635237139489</v>
      </c>
      <c r="BL37" s="5">
        <f t="shared" si="6"/>
        <v>2455.1409651596296</v>
      </c>
      <c r="BM37" s="11">
        <f t="shared" si="7"/>
        <v>0.39108989550622075</v>
      </c>
    </row>
    <row r="38" spans="1:65" ht="15" customHeight="1" x14ac:dyDescent="0.4">
      <c r="A38" s="2" t="s">
        <v>65</v>
      </c>
      <c r="B38" s="2" t="s">
        <v>66</v>
      </c>
      <c r="C38" s="2" t="s">
        <v>100</v>
      </c>
      <c r="D38" s="3" t="s">
        <v>101</v>
      </c>
      <c r="E38" s="3" t="s">
        <v>128</v>
      </c>
      <c r="F38" s="2" t="s">
        <v>129</v>
      </c>
      <c r="G38" s="4">
        <v>5</v>
      </c>
      <c r="H38" s="5">
        <v>3.6999999999999988</v>
      </c>
      <c r="I38" s="5">
        <v>3.8567968975485361</v>
      </c>
      <c r="J38" s="6">
        <v>0</v>
      </c>
      <c r="K38" s="5">
        <v>0</v>
      </c>
      <c r="L38" s="6">
        <v>0</v>
      </c>
      <c r="M38" s="5">
        <v>0</v>
      </c>
      <c r="N38" s="6">
        <v>0</v>
      </c>
      <c r="O38" s="5">
        <v>0</v>
      </c>
      <c r="P38" s="6">
        <v>0</v>
      </c>
      <c r="Q38" s="5">
        <v>0</v>
      </c>
      <c r="R38" s="6">
        <v>19.78471348386427</v>
      </c>
      <c r="S38" s="5">
        <v>73.203439890297773</v>
      </c>
      <c r="T38" s="6">
        <v>0</v>
      </c>
      <c r="U38" s="5">
        <v>0</v>
      </c>
      <c r="V38" s="6">
        <v>0</v>
      </c>
      <c r="W38" s="5">
        <v>0</v>
      </c>
      <c r="X38" s="6">
        <v>0</v>
      </c>
      <c r="Y38" s="5">
        <v>0</v>
      </c>
      <c r="Z38" s="6">
        <v>0</v>
      </c>
      <c r="AA38" s="5">
        <v>0</v>
      </c>
      <c r="AB38" s="6">
        <v>0</v>
      </c>
      <c r="AC38" s="5">
        <v>0</v>
      </c>
      <c r="AD38" s="6">
        <v>0</v>
      </c>
      <c r="AE38" s="5">
        <v>0</v>
      </c>
      <c r="AF38" s="6">
        <v>0</v>
      </c>
      <c r="AG38" s="5">
        <v>0</v>
      </c>
      <c r="AH38" s="7">
        <f t="shared" si="0"/>
        <v>19.78471348386427</v>
      </c>
      <c r="AI38" s="8">
        <f t="shared" si="1"/>
        <v>73.203439890297773</v>
      </c>
      <c r="AJ38" s="6">
        <v>0</v>
      </c>
      <c r="AK38" s="5">
        <v>0</v>
      </c>
      <c r="AL38" s="6">
        <v>0</v>
      </c>
      <c r="AM38" s="5">
        <v>0</v>
      </c>
      <c r="AN38" s="6">
        <v>0</v>
      </c>
      <c r="AO38" s="5">
        <v>0</v>
      </c>
      <c r="AP38" s="6">
        <v>0</v>
      </c>
      <c r="AQ38" s="5">
        <v>0</v>
      </c>
      <c r="AR38" s="6">
        <v>25</v>
      </c>
      <c r="AS38" s="5">
        <v>96.419922438713385</v>
      </c>
      <c r="AT38" s="6">
        <v>0</v>
      </c>
      <c r="AU38" s="5">
        <v>0</v>
      </c>
      <c r="AV38" s="6">
        <v>0</v>
      </c>
      <c r="AW38" s="5">
        <v>0</v>
      </c>
      <c r="AX38" s="6">
        <v>0</v>
      </c>
      <c r="AY38" s="5">
        <v>0</v>
      </c>
      <c r="AZ38" s="6">
        <v>0</v>
      </c>
      <c r="BA38" s="5">
        <v>0</v>
      </c>
      <c r="BB38" s="6">
        <v>0</v>
      </c>
      <c r="BC38" s="5">
        <v>0</v>
      </c>
      <c r="BD38" s="6">
        <v>0</v>
      </c>
      <c r="BE38" s="5">
        <v>0</v>
      </c>
      <c r="BF38" s="6">
        <v>0</v>
      </c>
      <c r="BG38" s="5">
        <v>0</v>
      </c>
      <c r="BH38" s="9">
        <f t="shared" si="2"/>
        <v>25</v>
      </c>
      <c r="BI38" s="10">
        <f t="shared" si="3"/>
        <v>96.419922438713385</v>
      </c>
      <c r="BJ38" s="6">
        <f t="shared" si="4"/>
        <v>5.2152865161357305</v>
      </c>
      <c r="BK38" s="11">
        <f t="shared" si="5"/>
        <v>0.26360182169881502</v>
      </c>
      <c r="BL38" s="5">
        <f t="shared" si="6"/>
        <v>23.216482548415613</v>
      </c>
      <c r="BM38" s="11">
        <f t="shared" si="7"/>
        <v>0.3171501582877484</v>
      </c>
    </row>
    <row r="39" spans="1:65" ht="15" customHeight="1" x14ac:dyDescent="0.4">
      <c r="A39" s="2" t="s">
        <v>65</v>
      </c>
      <c r="B39" s="2" t="s">
        <v>66</v>
      </c>
      <c r="C39" s="2" t="s">
        <v>100</v>
      </c>
      <c r="D39" s="3" t="s">
        <v>101</v>
      </c>
      <c r="E39" s="3" t="s">
        <v>79</v>
      </c>
      <c r="F39" s="2" t="s">
        <v>80</v>
      </c>
      <c r="G39" s="4">
        <v>20</v>
      </c>
      <c r="H39" s="5">
        <v>1.826785714285714</v>
      </c>
      <c r="I39" s="5">
        <v>1.888332062085208</v>
      </c>
      <c r="J39" s="6">
        <v>0</v>
      </c>
      <c r="K39" s="5">
        <v>0</v>
      </c>
      <c r="L39" s="6">
        <v>257.20127529023551</v>
      </c>
      <c r="M39" s="5">
        <v>0</v>
      </c>
      <c r="N39" s="6">
        <v>0</v>
      </c>
      <c r="O39" s="5">
        <v>0</v>
      </c>
      <c r="P39" s="6">
        <v>0</v>
      </c>
      <c r="Q39" s="5">
        <v>0</v>
      </c>
      <c r="R39" s="6">
        <v>296.77070225796399</v>
      </c>
      <c r="S39" s="5">
        <v>1011.988094699657</v>
      </c>
      <c r="T39" s="6">
        <v>0</v>
      </c>
      <c r="U39" s="5">
        <v>0</v>
      </c>
      <c r="V39" s="6">
        <v>0</v>
      </c>
      <c r="W39" s="5">
        <v>0</v>
      </c>
      <c r="X39" s="6">
        <v>0</v>
      </c>
      <c r="Y39" s="5">
        <v>0</v>
      </c>
      <c r="Z39" s="6">
        <v>0</v>
      </c>
      <c r="AA39" s="5">
        <v>0</v>
      </c>
      <c r="AB39" s="6">
        <v>0</v>
      </c>
      <c r="AC39" s="5">
        <v>0</v>
      </c>
      <c r="AD39" s="6">
        <v>0</v>
      </c>
      <c r="AE39" s="5">
        <v>0</v>
      </c>
      <c r="AF39" s="6">
        <v>0</v>
      </c>
      <c r="AG39" s="5">
        <v>0</v>
      </c>
      <c r="AH39" s="7">
        <f t="shared" si="0"/>
        <v>553.97197754819945</v>
      </c>
      <c r="AI39" s="8">
        <f t="shared" si="1"/>
        <v>1011.988094699657</v>
      </c>
      <c r="AJ39" s="6">
        <v>0</v>
      </c>
      <c r="AK39" s="5">
        <v>0</v>
      </c>
      <c r="AL39" s="6">
        <v>300</v>
      </c>
      <c r="AM39" s="5">
        <v>0</v>
      </c>
      <c r="AN39" s="6">
        <v>0</v>
      </c>
      <c r="AO39" s="5">
        <v>0</v>
      </c>
      <c r="AP39" s="6">
        <v>0</v>
      </c>
      <c r="AQ39" s="5">
        <v>0</v>
      </c>
      <c r="AR39" s="6">
        <v>340</v>
      </c>
      <c r="AS39" s="5">
        <v>1208.532519734533</v>
      </c>
      <c r="AT39" s="6">
        <v>0</v>
      </c>
      <c r="AU39" s="5">
        <v>0</v>
      </c>
      <c r="AV39" s="6">
        <v>0</v>
      </c>
      <c r="AW39" s="5">
        <v>0</v>
      </c>
      <c r="AX39" s="6">
        <v>0</v>
      </c>
      <c r="AY39" s="5">
        <v>0</v>
      </c>
      <c r="AZ39" s="6">
        <v>0</v>
      </c>
      <c r="BA39" s="5">
        <v>0</v>
      </c>
      <c r="BB39" s="6">
        <v>0</v>
      </c>
      <c r="BC39" s="5">
        <v>0</v>
      </c>
      <c r="BD39" s="6">
        <v>0</v>
      </c>
      <c r="BE39" s="5">
        <v>0</v>
      </c>
      <c r="BF39" s="6">
        <v>0</v>
      </c>
      <c r="BG39" s="5">
        <v>0</v>
      </c>
      <c r="BH39" s="9">
        <f t="shared" si="2"/>
        <v>640</v>
      </c>
      <c r="BI39" s="10">
        <f t="shared" si="3"/>
        <v>1208.532519734533</v>
      </c>
      <c r="BJ39" s="6">
        <f t="shared" si="4"/>
        <v>86.028022451800553</v>
      </c>
      <c r="BK39" s="11">
        <f t="shared" si="5"/>
        <v>0.15529309412463108</v>
      </c>
      <c r="BL39" s="5">
        <f t="shared" si="6"/>
        <v>196.54442503487599</v>
      </c>
      <c r="BM39" s="11">
        <f t="shared" si="7"/>
        <v>0.19421614351422528</v>
      </c>
    </row>
    <row r="40" spans="1:65" ht="15" customHeight="1" x14ac:dyDescent="0.4">
      <c r="A40" s="2" t="s">
        <v>65</v>
      </c>
      <c r="B40" s="2" t="s">
        <v>66</v>
      </c>
      <c r="C40" s="2" t="s">
        <v>100</v>
      </c>
      <c r="D40" s="3" t="s">
        <v>101</v>
      </c>
      <c r="E40" s="3" t="s">
        <v>94</v>
      </c>
      <c r="F40" s="2" t="s">
        <v>130</v>
      </c>
      <c r="G40" s="4">
        <v>20</v>
      </c>
      <c r="H40" s="5">
        <v>2.1800000000000002</v>
      </c>
      <c r="I40" s="5">
        <v>2.2723830369340021</v>
      </c>
      <c r="J40" s="6">
        <v>0</v>
      </c>
      <c r="K40" s="5">
        <v>0</v>
      </c>
      <c r="L40" s="6">
        <v>158.2777078709141</v>
      </c>
      <c r="M40" s="5">
        <v>345.04540315859282</v>
      </c>
      <c r="N40" s="6">
        <v>0</v>
      </c>
      <c r="O40" s="5">
        <v>0</v>
      </c>
      <c r="P40" s="6">
        <v>0</v>
      </c>
      <c r="Q40" s="5">
        <v>0</v>
      </c>
      <c r="R40" s="6">
        <v>0</v>
      </c>
      <c r="S40" s="5">
        <v>0</v>
      </c>
      <c r="T40" s="6">
        <v>0</v>
      </c>
      <c r="U40" s="5">
        <v>0</v>
      </c>
      <c r="V40" s="6">
        <v>0</v>
      </c>
      <c r="W40" s="5">
        <v>0</v>
      </c>
      <c r="X40" s="6">
        <v>0</v>
      </c>
      <c r="Y40" s="5">
        <v>0</v>
      </c>
      <c r="Z40" s="6">
        <v>0</v>
      </c>
      <c r="AA40" s="5">
        <v>0</v>
      </c>
      <c r="AB40" s="6">
        <v>0</v>
      </c>
      <c r="AC40" s="5">
        <v>0</v>
      </c>
      <c r="AD40" s="6">
        <v>0</v>
      </c>
      <c r="AE40" s="5">
        <v>0</v>
      </c>
      <c r="AF40" s="6">
        <v>0</v>
      </c>
      <c r="AG40" s="5">
        <v>0</v>
      </c>
      <c r="AH40" s="7">
        <f t="shared" si="0"/>
        <v>158.2777078709141</v>
      </c>
      <c r="AI40" s="8">
        <f t="shared" si="1"/>
        <v>345.04540315859282</v>
      </c>
      <c r="AJ40" s="6">
        <v>0</v>
      </c>
      <c r="AK40" s="5">
        <v>0</v>
      </c>
      <c r="AL40" s="6">
        <v>180</v>
      </c>
      <c r="AM40" s="5">
        <v>409.02894664812032</v>
      </c>
      <c r="AN40" s="6">
        <v>0</v>
      </c>
      <c r="AO40" s="5">
        <v>0</v>
      </c>
      <c r="AP40" s="6">
        <v>0</v>
      </c>
      <c r="AQ40" s="5">
        <v>0</v>
      </c>
      <c r="AR40" s="6">
        <v>0</v>
      </c>
      <c r="AS40" s="5">
        <v>0</v>
      </c>
      <c r="AT40" s="6">
        <v>0</v>
      </c>
      <c r="AU40" s="5">
        <v>0</v>
      </c>
      <c r="AV40" s="6">
        <v>0</v>
      </c>
      <c r="AW40" s="5">
        <v>0</v>
      </c>
      <c r="AX40" s="6">
        <v>0</v>
      </c>
      <c r="AY40" s="5">
        <v>0</v>
      </c>
      <c r="AZ40" s="6">
        <v>0</v>
      </c>
      <c r="BA40" s="5">
        <v>0</v>
      </c>
      <c r="BB40" s="6">
        <v>0</v>
      </c>
      <c r="BC40" s="5">
        <v>0</v>
      </c>
      <c r="BD40" s="6">
        <v>0</v>
      </c>
      <c r="BE40" s="5">
        <v>0</v>
      </c>
      <c r="BF40" s="6">
        <v>0</v>
      </c>
      <c r="BG40" s="5">
        <v>0</v>
      </c>
      <c r="BH40" s="9">
        <f t="shared" si="2"/>
        <v>180</v>
      </c>
      <c r="BI40" s="10">
        <f t="shared" si="3"/>
        <v>409.02894664812032</v>
      </c>
      <c r="BJ40" s="6">
        <f t="shared" si="4"/>
        <v>21.722292129085901</v>
      </c>
      <c r="BK40" s="11">
        <f t="shared" si="5"/>
        <v>0.13724163952893392</v>
      </c>
      <c r="BL40" s="5">
        <f t="shared" si="6"/>
        <v>63.983543489527506</v>
      </c>
      <c r="BM40" s="11">
        <f t="shared" si="7"/>
        <v>0.18543514245897322</v>
      </c>
    </row>
    <row r="41" spans="1:65" ht="15" customHeight="1" x14ac:dyDescent="0.4">
      <c r="A41" s="2" t="s">
        <v>65</v>
      </c>
      <c r="B41" s="2" t="s">
        <v>66</v>
      </c>
      <c r="C41" s="2" t="s">
        <v>100</v>
      </c>
      <c r="D41" s="3" t="s">
        <v>101</v>
      </c>
      <c r="E41" s="3" t="s">
        <v>94</v>
      </c>
      <c r="F41" s="2" t="s">
        <v>95</v>
      </c>
      <c r="G41" s="4">
        <v>20</v>
      </c>
      <c r="H41" s="5">
        <v>2.1936363636363638</v>
      </c>
      <c r="I41" s="5">
        <v>2.286597276114156</v>
      </c>
      <c r="J41" s="6">
        <v>0</v>
      </c>
      <c r="K41" s="5">
        <v>0</v>
      </c>
      <c r="L41" s="6">
        <v>0</v>
      </c>
      <c r="M41" s="5">
        <v>0</v>
      </c>
      <c r="N41" s="6">
        <v>0</v>
      </c>
      <c r="O41" s="5">
        <v>0</v>
      </c>
      <c r="P41" s="6">
        <v>435.26369664501379</v>
      </c>
      <c r="Q41" s="5">
        <v>954.8102727312895</v>
      </c>
      <c r="R41" s="6">
        <v>0</v>
      </c>
      <c r="S41" s="5">
        <v>0</v>
      </c>
      <c r="T41" s="6">
        <v>0</v>
      </c>
      <c r="U41" s="5">
        <v>0</v>
      </c>
      <c r="V41" s="6">
        <v>0</v>
      </c>
      <c r="W41" s="5">
        <v>0</v>
      </c>
      <c r="X41" s="6">
        <v>0</v>
      </c>
      <c r="Y41" s="5">
        <v>0</v>
      </c>
      <c r="Z41" s="6">
        <v>0</v>
      </c>
      <c r="AA41" s="5">
        <v>0</v>
      </c>
      <c r="AB41" s="6">
        <v>0</v>
      </c>
      <c r="AC41" s="5">
        <v>0</v>
      </c>
      <c r="AD41" s="6">
        <v>0</v>
      </c>
      <c r="AE41" s="5">
        <v>0</v>
      </c>
      <c r="AF41" s="6">
        <v>0</v>
      </c>
      <c r="AG41" s="5">
        <v>0</v>
      </c>
      <c r="AH41" s="7">
        <f t="shared" si="0"/>
        <v>435.26369664501379</v>
      </c>
      <c r="AI41" s="8">
        <f t="shared" si="1"/>
        <v>954.8102727312895</v>
      </c>
      <c r="AJ41" s="6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6">
        <v>500</v>
      </c>
      <c r="AQ41" s="5">
        <v>1143.2986380570781</v>
      </c>
      <c r="AR41" s="6">
        <v>0</v>
      </c>
      <c r="AS41" s="5">
        <v>0</v>
      </c>
      <c r="AT41" s="6">
        <v>0</v>
      </c>
      <c r="AU41" s="5">
        <v>0</v>
      </c>
      <c r="AV41" s="6">
        <v>0</v>
      </c>
      <c r="AW41" s="5">
        <v>0</v>
      </c>
      <c r="AX41" s="6">
        <v>0</v>
      </c>
      <c r="AY41" s="5">
        <v>0</v>
      </c>
      <c r="AZ41" s="6">
        <v>0</v>
      </c>
      <c r="BA41" s="5">
        <v>0</v>
      </c>
      <c r="BB41" s="6">
        <v>0</v>
      </c>
      <c r="BC41" s="5">
        <v>0</v>
      </c>
      <c r="BD41" s="6">
        <v>0</v>
      </c>
      <c r="BE41" s="5">
        <v>0</v>
      </c>
      <c r="BF41" s="6">
        <v>0</v>
      </c>
      <c r="BG41" s="5">
        <v>0</v>
      </c>
      <c r="BH41" s="9">
        <f t="shared" si="2"/>
        <v>500</v>
      </c>
      <c r="BI41" s="10">
        <f t="shared" si="3"/>
        <v>1143.2986380570781</v>
      </c>
      <c r="BJ41" s="6">
        <f t="shared" si="4"/>
        <v>64.736303354986205</v>
      </c>
      <c r="BK41" s="11">
        <f t="shared" si="5"/>
        <v>0.14872892881710492</v>
      </c>
      <c r="BL41" s="5">
        <f t="shared" si="6"/>
        <v>188.48836532578855</v>
      </c>
      <c r="BM41" s="11">
        <f t="shared" si="7"/>
        <v>0.1974092348070437</v>
      </c>
    </row>
    <row r="42" spans="1:65" ht="15" customHeight="1" x14ac:dyDescent="0.4">
      <c r="A42" s="2" t="s">
        <v>65</v>
      </c>
      <c r="B42" s="2" t="s">
        <v>66</v>
      </c>
      <c r="C42" s="2" t="s">
        <v>100</v>
      </c>
      <c r="D42" s="3" t="s">
        <v>101</v>
      </c>
      <c r="E42" s="3" t="s">
        <v>98</v>
      </c>
      <c r="F42" s="2" t="s">
        <v>99</v>
      </c>
      <c r="G42" s="4">
        <v>5</v>
      </c>
      <c r="H42" s="5">
        <v>0</v>
      </c>
      <c r="I42" s="5">
        <v>0</v>
      </c>
      <c r="J42" s="6">
        <v>0</v>
      </c>
      <c r="K42" s="5">
        <v>0</v>
      </c>
      <c r="L42" s="6">
        <v>39.569426967728532</v>
      </c>
      <c r="M42" s="5">
        <v>0</v>
      </c>
      <c r="N42" s="6">
        <v>0</v>
      </c>
      <c r="O42" s="5">
        <v>0</v>
      </c>
      <c r="P42" s="6">
        <v>0</v>
      </c>
      <c r="Q42" s="5">
        <v>0</v>
      </c>
      <c r="R42" s="6">
        <v>0</v>
      </c>
      <c r="S42" s="5">
        <v>0</v>
      </c>
      <c r="T42" s="6">
        <v>0</v>
      </c>
      <c r="U42" s="5">
        <v>0</v>
      </c>
      <c r="V42" s="6">
        <v>0</v>
      </c>
      <c r="W42" s="5">
        <v>0</v>
      </c>
      <c r="X42" s="6">
        <v>0</v>
      </c>
      <c r="Y42" s="5">
        <v>0</v>
      </c>
      <c r="Z42" s="6">
        <v>0</v>
      </c>
      <c r="AA42" s="5">
        <v>0</v>
      </c>
      <c r="AB42" s="6">
        <v>0</v>
      </c>
      <c r="AC42" s="5">
        <v>0</v>
      </c>
      <c r="AD42" s="6">
        <v>0</v>
      </c>
      <c r="AE42" s="5">
        <v>0</v>
      </c>
      <c r="AF42" s="6">
        <v>0</v>
      </c>
      <c r="AG42" s="5">
        <v>0</v>
      </c>
      <c r="AH42" s="7">
        <f t="shared" si="0"/>
        <v>39.569426967728532</v>
      </c>
      <c r="AI42" s="8">
        <f t="shared" si="1"/>
        <v>0</v>
      </c>
      <c r="AJ42" s="6">
        <v>0</v>
      </c>
      <c r="AK42" s="5">
        <v>0</v>
      </c>
      <c r="AL42" s="6">
        <v>45</v>
      </c>
      <c r="AM42" s="5">
        <v>0</v>
      </c>
      <c r="AN42" s="6">
        <v>0</v>
      </c>
      <c r="AO42" s="5">
        <v>0</v>
      </c>
      <c r="AP42" s="6">
        <v>0</v>
      </c>
      <c r="AQ42" s="5">
        <v>0</v>
      </c>
      <c r="AR42" s="6">
        <v>0</v>
      </c>
      <c r="AS42" s="5">
        <v>0</v>
      </c>
      <c r="AT42" s="6">
        <v>0</v>
      </c>
      <c r="AU42" s="5">
        <v>0</v>
      </c>
      <c r="AV42" s="6">
        <v>0</v>
      </c>
      <c r="AW42" s="5">
        <v>0</v>
      </c>
      <c r="AX42" s="6">
        <v>0</v>
      </c>
      <c r="AY42" s="5">
        <v>0</v>
      </c>
      <c r="AZ42" s="6">
        <v>0</v>
      </c>
      <c r="BA42" s="5">
        <v>0</v>
      </c>
      <c r="BB42" s="6">
        <v>0</v>
      </c>
      <c r="BC42" s="5">
        <v>0</v>
      </c>
      <c r="BD42" s="6">
        <v>0</v>
      </c>
      <c r="BE42" s="5">
        <v>0</v>
      </c>
      <c r="BF42" s="6">
        <v>0</v>
      </c>
      <c r="BG42" s="5">
        <v>0</v>
      </c>
      <c r="BH42" s="9">
        <f t="shared" si="2"/>
        <v>45</v>
      </c>
      <c r="BI42" s="10">
        <f t="shared" si="3"/>
        <v>0</v>
      </c>
      <c r="BJ42" s="6">
        <f t="shared" si="4"/>
        <v>5.430573032271468</v>
      </c>
      <c r="BK42" s="11">
        <f t="shared" si="5"/>
        <v>0.13724163952893373</v>
      </c>
      <c r="BL42" s="5">
        <f t="shared" si="6"/>
        <v>0</v>
      </c>
      <c r="BM42" s="11">
        <f t="shared" si="7"/>
        <v>0</v>
      </c>
    </row>
    <row r="43" spans="1:65" ht="15" customHeight="1" x14ac:dyDescent="0.4">
      <c r="A43" s="2" t="s">
        <v>65</v>
      </c>
      <c r="B43" s="2" t="s">
        <v>66</v>
      </c>
      <c r="C43" s="2" t="s">
        <v>100</v>
      </c>
      <c r="D43" s="3" t="s">
        <v>101</v>
      </c>
      <c r="E43" s="3" t="s">
        <v>131</v>
      </c>
      <c r="F43" s="2" t="s">
        <v>132</v>
      </c>
      <c r="G43" s="4">
        <v>20</v>
      </c>
      <c r="H43" s="5">
        <v>1.94</v>
      </c>
      <c r="I43" s="5">
        <v>2.0222124273632862</v>
      </c>
      <c r="J43" s="6">
        <v>0</v>
      </c>
      <c r="K43" s="5">
        <v>0</v>
      </c>
      <c r="L43" s="6">
        <v>0</v>
      </c>
      <c r="M43" s="5">
        <v>0</v>
      </c>
      <c r="N43" s="6">
        <v>0</v>
      </c>
      <c r="O43" s="5">
        <v>0</v>
      </c>
      <c r="P43" s="6">
        <v>0</v>
      </c>
      <c r="Q43" s="5">
        <v>0</v>
      </c>
      <c r="R43" s="6">
        <v>0</v>
      </c>
      <c r="S43" s="5">
        <v>0</v>
      </c>
      <c r="T43" s="6">
        <v>0</v>
      </c>
      <c r="U43" s="5">
        <v>0</v>
      </c>
      <c r="V43" s="6">
        <v>197.84713483864269</v>
      </c>
      <c r="W43" s="5">
        <v>383.82344158696668</v>
      </c>
      <c r="X43" s="6">
        <v>0</v>
      </c>
      <c r="Y43" s="5">
        <v>0</v>
      </c>
      <c r="Z43" s="6">
        <v>0</v>
      </c>
      <c r="AA43" s="5">
        <v>0</v>
      </c>
      <c r="AB43" s="6">
        <v>0</v>
      </c>
      <c r="AC43" s="5">
        <v>0</v>
      </c>
      <c r="AD43" s="6">
        <v>0</v>
      </c>
      <c r="AE43" s="5">
        <v>0</v>
      </c>
      <c r="AF43" s="6">
        <v>0</v>
      </c>
      <c r="AG43" s="5">
        <v>0</v>
      </c>
      <c r="AH43" s="7">
        <f t="shared" si="0"/>
        <v>197.84713483864269</v>
      </c>
      <c r="AI43" s="8">
        <f t="shared" si="1"/>
        <v>383.82344158696668</v>
      </c>
      <c r="AJ43" s="6">
        <v>0</v>
      </c>
      <c r="AK43" s="5">
        <v>0</v>
      </c>
      <c r="AL43" s="6">
        <v>0</v>
      </c>
      <c r="AM43" s="5">
        <v>0</v>
      </c>
      <c r="AN43" s="6">
        <v>0</v>
      </c>
      <c r="AO43" s="5">
        <v>0</v>
      </c>
      <c r="AP43" s="6">
        <v>0</v>
      </c>
      <c r="AQ43" s="5">
        <v>0</v>
      </c>
      <c r="AR43" s="6">
        <v>0</v>
      </c>
      <c r="AS43" s="5">
        <v>0</v>
      </c>
      <c r="AT43" s="6">
        <v>0</v>
      </c>
      <c r="AU43" s="5">
        <v>0</v>
      </c>
      <c r="AV43" s="6">
        <v>220</v>
      </c>
      <c r="AW43" s="5">
        <v>444.88673401992298</v>
      </c>
      <c r="AX43" s="6">
        <v>0</v>
      </c>
      <c r="AY43" s="5">
        <v>0</v>
      </c>
      <c r="AZ43" s="6">
        <v>0</v>
      </c>
      <c r="BA43" s="5">
        <v>0</v>
      </c>
      <c r="BB43" s="6">
        <v>0</v>
      </c>
      <c r="BC43" s="5">
        <v>0</v>
      </c>
      <c r="BD43" s="6">
        <v>0</v>
      </c>
      <c r="BE43" s="5">
        <v>0</v>
      </c>
      <c r="BF43" s="6">
        <v>0</v>
      </c>
      <c r="BG43" s="5">
        <v>0</v>
      </c>
      <c r="BH43" s="9">
        <f t="shared" si="2"/>
        <v>220</v>
      </c>
      <c r="BI43" s="10">
        <f t="shared" si="3"/>
        <v>444.88673401992298</v>
      </c>
      <c r="BJ43" s="6">
        <f t="shared" si="4"/>
        <v>22.152865161357312</v>
      </c>
      <c r="BK43" s="11">
        <f t="shared" si="5"/>
        <v>0.11196960309495725</v>
      </c>
      <c r="BL43" s="5">
        <f t="shared" si="6"/>
        <v>61.063292432956302</v>
      </c>
      <c r="BM43" s="11">
        <f t="shared" si="7"/>
        <v>0.15909213929321872</v>
      </c>
    </row>
    <row r="44" spans="1:65" ht="15" customHeight="1" x14ac:dyDescent="0.4">
      <c r="A44" s="2" t="s">
        <v>65</v>
      </c>
      <c r="B44" s="2" t="s">
        <v>66</v>
      </c>
      <c r="C44" s="2" t="s">
        <v>133</v>
      </c>
      <c r="D44" s="3" t="s">
        <v>134</v>
      </c>
      <c r="E44" s="3" t="s">
        <v>102</v>
      </c>
      <c r="F44" s="2" t="s">
        <v>103</v>
      </c>
      <c r="G44" s="4">
        <v>5</v>
      </c>
      <c r="H44" s="5">
        <v>4.9899999999999993</v>
      </c>
      <c r="I44" s="5">
        <v>5.2014639239911329</v>
      </c>
      <c r="J44" s="6">
        <v>0</v>
      </c>
      <c r="K44" s="5">
        <v>0</v>
      </c>
      <c r="L44" s="6">
        <v>0</v>
      </c>
      <c r="M44" s="5">
        <v>0</v>
      </c>
      <c r="N44" s="6">
        <v>0</v>
      </c>
      <c r="O44" s="5">
        <v>0</v>
      </c>
      <c r="P44" s="6">
        <v>0</v>
      </c>
      <c r="Q44" s="5">
        <v>0</v>
      </c>
      <c r="R44" s="6">
        <v>0</v>
      </c>
      <c r="S44" s="5">
        <v>0</v>
      </c>
      <c r="T44" s="6">
        <v>791.38853935457064</v>
      </c>
      <c r="U44" s="5">
        <v>3949.0288113793072</v>
      </c>
      <c r="V44" s="6">
        <v>0</v>
      </c>
      <c r="W44" s="5">
        <v>0</v>
      </c>
      <c r="X44" s="6">
        <v>0</v>
      </c>
      <c r="Y44" s="5">
        <v>0</v>
      </c>
      <c r="Z44" s="6">
        <v>0</v>
      </c>
      <c r="AA44" s="5">
        <v>0</v>
      </c>
      <c r="AB44" s="6">
        <v>0</v>
      </c>
      <c r="AC44" s="5">
        <v>0</v>
      </c>
      <c r="AD44" s="6">
        <v>0</v>
      </c>
      <c r="AE44" s="5">
        <v>0</v>
      </c>
      <c r="AF44" s="6">
        <v>0</v>
      </c>
      <c r="AG44" s="5">
        <v>0</v>
      </c>
      <c r="AH44" s="7">
        <f t="shared" si="0"/>
        <v>791.38853935457064</v>
      </c>
      <c r="AI44" s="8">
        <f t="shared" si="1"/>
        <v>3949.0288113793072</v>
      </c>
      <c r="AJ44" s="6">
        <v>0</v>
      </c>
      <c r="AK44" s="5">
        <v>0</v>
      </c>
      <c r="AL44" s="6">
        <v>0</v>
      </c>
      <c r="AM44" s="5">
        <v>0</v>
      </c>
      <c r="AN44" s="6">
        <v>0</v>
      </c>
      <c r="AO44" s="5">
        <v>0</v>
      </c>
      <c r="AP44" s="6">
        <v>0</v>
      </c>
      <c r="AQ44" s="5">
        <v>0</v>
      </c>
      <c r="AR44" s="6">
        <v>0</v>
      </c>
      <c r="AS44" s="5">
        <v>0</v>
      </c>
      <c r="AT44" s="6">
        <v>980</v>
      </c>
      <c r="AU44" s="5">
        <v>5097.43464551131</v>
      </c>
      <c r="AV44" s="6">
        <v>0</v>
      </c>
      <c r="AW44" s="5">
        <v>0</v>
      </c>
      <c r="AX44" s="6">
        <v>0</v>
      </c>
      <c r="AY44" s="5">
        <v>0</v>
      </c>
      <c r="AZ44" s="6">
        <v>0</v>
      </c>
      <c r="BA44" s="5">
        <v>0</v>
      </c>
      <c r="BB44" s="6">
        <v>0</v>
      </c>
      <c r="BC44" s="5">
        <v>0</v>
      </c>
      <c r="BD44" s="6">
        <v>0</v>
      </c>
      <c r="BE44" s="5">
        <v>0</v>
      </c>
      <c r="BF44" s="6">
        <v>0</v>
      </c>
      <c r="BG44" s="5">
        <v>0</v>
      </c>
      <c r="BH44" s="9">
        <f t="shared" si="2"/>
        <v>980</v>
      </c>
      <c r="BI44" s="10">
        <f t="shared" si="3"/>
        <v>5097.43464551131</v>
      </c>
      <c r="BJ44" s="6">
        <f t="shared" si="4"/>
        <v>188.61146064542936</v>
      </c>
      <c r="BK44" s="11">
        <f t="shared" si="5"/>
        <v>0.23832978526483894</v>
      </c>
      <c r="BL44" s="5">
        <f t="shared" si="6"/>
        <v>1148.4058341320028</v>
      </c>
      <c r="BM44" s="11">
        <f t="shared" si="7"/>
        <v>0.29080715512199323</v>
      </c>
    </row>
    <row r="45" spans="1:65" ht="15" customHeight="1" x14ac:dyDescent="0.4">
      <c r="A45" s="2" t="s">
        <v>65</v>
      </c>
      <c r="B45" s="2" t="s">
        <v>66</v>
      </c>
      <c r="C45" s="2" t="s">
        <v>133</v>
      </c>
      <c r="D45" s="3" t="s">
        <v>134</v>
      </c>
      <c r="E45" s="3" t="s">
        <v>108</v>
      </c>
      <c r="F45" s="2" t="s">
        <v>135</v>
      </c>
      <c r="G45" s="4">
        <v>5</v>
      </c>
      <c r="H45" s="5">
        <v>3.47</v>
      </c>
      <c r="I45" s="5">
        <v>3.617050063376599</v>
      </c>
      <c r="J45" s="6">
        <v>0</v>
      </c>
      <c r="K45" s="5">
        <v>0</v>
      </c>
      <c r="L45" s="6">
        <v>0</v>
      </c>
      <c r="M45" s="5">
        <v>0</v>
      </c>
      <c r="N45" s="6">
        <v>0</v>
      </c>
      <c r="O45" s="5">
        <v>0</v>
      </c>
      <c r="P45" s="6">
        <v>0</v>
      </c>
      <c r="Q45" s="5">
        <v>0</v>
      </c>
      <c r="R45" s="6">
        <v>0</v>
      </c>
      <c r="S45" s="5">
        <v>0</v>
      </c>
      <c r="T45" s="6">
        <v>791.38853935457064</v>
      </c>
      <c r="U45" s="5">
        <v>2746.1182315603601</v>
      </c>
      <c r="V45" s="6">
        <v>0</v>
      </c>
      <c r="W45" s="5">
        <v>0</v>
      </c>
      <c r="X45" s="6">
        <v>0</v>
      </c>
      <c r="Y45" s="5">
        <v>0</v>
      </c>
      <c r="Z45" s="6">
        <v>0</v>
      </c>
      <c r="AA45" s="5">
        <v>0</v>
      </c>
      <c r="AB45" s="6">
        <v>0</v>
      </c>
      <c r="AC45" s="5">
        <v>0</v>
      </c>
      <c r="AD45" s="6">
        <v>0</v>
      </c>
      <c r="AE45" s="5">
        <v>0</v>
      </c>
      <c r="AF45" s="6">
        <v>0</v>
      </c>
      <c r="AG45" s="5">
        <v>0</v>
      </c>
      <c r="AH45" s="7">
        <f t="shared" si="0"/>
        <v>791.38853935457064</v>
      </c>
      <c r="AI45" s="8">
        <f t="shared" si="1"/>
        <v>2746.1182315603601</v>
      </c>
      <c r="AJ45" s="6">
        <v>0</v>
      </c>
      <c r="AK45" s="5">
        <v>0</v>
      </c>
      <c r="AL45" s="6">
        <v>0</v>
      </c>
      <c r="AM45" s="5">
        <v>0</v>
      </c>
      <c r="AN45" s="6">
        <v>0</v>
      </c>
      <c r="AO45" s="5">
        <v>0</v>
      </c>
      <c r="AP45" s="6">
        <v>0</v>
      </c>
      <c r="AQ45" s="5">
        <v>0</v>
      </c>
      <c r="AR45" s="6">
        <v>0</v>
      </c>
      <c r="AS45" s="5">
        <v>0</v>
      </c>
      <c r="AT45" s="6">
        <v>935</v>
      </c>
      <c r="AU45" s="5">
        <v>3381.94180925712</v>
      </c>
      <c r="AV45" s="6">
        <v>0</v>
      </c>
      <c r="AW45" s="5">
        <v>0</v>
      </c>
      <c r="AX45" s="6">
        <v>0</v>
      </c>
      <c r="AY45" s="5">
        <v>0</v>
      </c>
      <c r="AZ45" s="6">
        <v>0</v>
      </c>
      <c r="BA45" s="5">
        <v>0</v>
      </c>
      <c r="BB45" s="6">
        <v>0</v>
      </c>
      <c r="BC45" s="5">
        <v>0</v>
      </c>
      <c r="BD45" s="6">
        <v>0</v>
      </c>
      <c r="BE45" s="5">
        <v>0</v>
      </c>
      <c r="BF45" s="6">
        <v>0</v>
      </c>
      <c r="BG45" s="5">
        <v>0</v>
      </c>
      <c r="BH45" s="9">
        <f t="shared" si="2"/>
        <v>935</v>
      </c>
      <c r="BI45" s="10">
        <f t="shared" si="3"/>
        <v>3381.94180925712</v>
      </c>
      <c r="BJ45" s="6">
        <f t="shared" si="4"/>
        <v>143.61146064542936</v>
      </c>
      <c r="BK45" s="11">
        <f t="shared" si="5"/>
        <v>0.18146770328839226</v>
      </c>
      <c r="BL45" s="5">
        <f t="shared" si="6"/>
        <v>635.82357769675991</v>
      </c>
      <c r="BM45" s="11">
        <f t="shared" si="7"/>
        <v>0.23153539799904438</v>
      </c>
    </row>
    <row r="46" spans="1:65" ht="15" customHeight="1" x14ac:dyDescent="0.4">
      <c r="A46" s="2" t="s">
        <v>65</v>
      </c>
      <c r="B46" s="2" t="s">
        <v>66</v>
      </c>
      <c r="C46" s="2" t="s">
        <v>133</v>
      </c>
      <c r="D46" s="3" t="s">
        <v>134</v>
      </c>
      <c r="E46" s="3" t="s">
        <v>82</v>
      </c>
      <c r="F46" s="2" t="s">
        <v>83</v>
      </c>
      <c r="G46" s="4">
        <v>20</v>
      </c>
      <c r="H46" s="5">
        <v>3.169999999999999</v>
      </c>
      <c r="I46" s="5">
        <v>3.304336801413204</v>
      </c>
      <c r="J46" s="6">
        <v>0</v>
      </c>
      <c r="K46" s="5">
        <v>0</v>
      </c>
      <c r="L46" s="6">
        <v>633.11083148365651</v>
      </c>
      <c r="M46" s="5">
        <v>2006.9613358031911</v>
      </c>
      <c r="N46" s="6">
        <v>0</v>
      </c>
      <c r="O46" s="5">
        <v>0</v>
      </c>
      <c r="P46" s="6">
        <v>0</v>
      </c>
      <c r="Q46" s="5">
        <v>0</v>
      </c>
      <c r="R46" s="6">
        <v>0</v>
      </c>
      <c r="S46" s="5">
        <v>0</v>
      </c>
      <c r="T46" s="6">
        <v>0</v>
      </c>
      <c r="U46" s="5">
        <v>0</v>
      </c>
      <c r="V46" s="6">
        <v>0</v>
      </c>
      <c r="W46" s="5">
        <v>0</v>
      </c>
      <c r="X46" s="6">
        <v>0</v>
      </c>
      <c r="Y46" s="5">
        <v>0</v>
      </c>
      <c r="Z46" s="6">
        <v>0</v>
      </c>
      <c r="AA46" s="5">
        <v>0</v>
      </c>
      <c r="AB46" s="6">
        <v>0</v>
      </c>
      <c r="AC46" s="5">
        <v>0</v>
      </c>
      <c r="AD46" s="6">
        <v>0</v>
      </c>
      <c r="AE46" s="5">
        <v>0</v>
      </c>
      <c r="AF46" s="6">
        <v>0</v>
      </c>
      <c r="AG46" s="5">
        <v>0</v>
      </c>
      <c r="AH46" s="7">
        <f t="shared" si="0"/>
        <v>633.11083148365651</v>
      </c>
      <c r="AI46" s="8">
        <f t="shared" si="1"/>
        <v>2006.9613358031911</v>
      </c>
      <c r="AJ46" s="6">
        <v>0</v>
      </c>
      <c r="AK46" s="5">
        <v>0</v>
      </c>
      <c r="AL46" s="6">
        <v>680</v>
      </c>
      <c r="AM46" s="5">
        <v>2246.9490249609789</v>
      </c>
      <c r="AN46" s="6">
        <v>0</v>
      </c>
      <c r="AO46" s="5">
        <v>0</v>
      </c>
      <c r="AP46" s="6">
        <v>0</v>
      </c>
      <c r="AQ46" s="5">
        <v>0</v>
      </c>
      <c r="AR46" s="6">
        <v>0</v>
      </c>
      <c r="AS46" s="5">
        <v>0</v>
      </c>
      <c r="AT46" s="6">
        <v>0</v>
      </c>
      <c r="AU46" s="5">
        <v>0</v>
      </c>
      <c r="AV46" s="6">
        <v>0</v>
      </c>
      <c r="AW46" s="5">
        <v>0</v>
      </c>
      <c r="AX46" s="6">
        <v>0</v>
      </c>
      <c r="AY46" s="5">
        <v>0</v>
      </c>
      <c r="AZ46" s="6">
        <v>0</v>
      </c>
      <c r="BA46" s="5">
        <v>0</v>
      </c>
      <c r="BB46" s="6">
        <v>0</v>
      </c>
      <c r="BC46" s="5">
        <v>0</v>
      </c>
      <c r="BD46" s="6">
        <v>0</v>
      </c>
      <c r="BE46" s="5">
        <v>0</v>
      </c>
      <c r="BF46" s="6">
        <v>0</v>
      </c>
      <c r="BG46" s="5">
        <v>0</v>
      </c>
      <c r="BH46" s="9">
        <f t="shared" si="2"/>
        <v>680</v>
      </c>
      <c r="BI46" s="10">
        <f t="shared" si="3"/>
        <v>2246.9490249609789</v>
      </c>
      <c r="BJ46" s="6">
        <f t="shared" si="4"/>
        <v>46.889168516343489</v>
      </c>
      <c r="BK46" s="11">
        <f t="shared" si="5"/>
        <v>7.4061548443992958E-2</v>
      </c>
      <c r="BL46" s="5">
        <f t="shared" si="6"/>
        <v>239.98768915778783</v>
      </c>
      <c r="BM46" s="11">
        <f t="shared" si="7"/>
        <v>0.11957763454458585</v>
      </c>
    </row>
    <row r="47" spans="1:65" ht="15" customHeight="1" x14ac:dyDescent="0.4">
      <c r="A47" s="2" t="s">
        <v>65</v>
      </c>
      <c r="B47" s="2" t="s">
        <v>66</v>
      </c>
      <c r="C47" s="2" t="s">
        <v>133</v>
      </c>
      <c r="D47" s="3" t="s">
        <v>134</v>
      </c>
      <c r="E47" s="3" t="s">
        <v>136</v>
      </c>
      <c r="F47" s="2" t="s">
        <v>137</v>
      </c>
      <c r="G47" s="4">
        <v>20</v>
      </c>
      <c r="H47" s="5">
        <v>4.8599999999999994</v>
      </c>
      <c r="I47" s="5">
        <v>5.0659548438069946</v>
      </c>
      <c r="J47" s="6">
        <v>0</v>
      </c>
      <c r="K47" s="5">
        <v>0</v>
      </c>
      <c r="L47" s="6">
        <v>633.11083148365651</v>
      </c>
      <c r="M47" s="5">
        <v>3076.9186410105699</v>
      </c>
      <c r="N47" s="6">
        <v>0</v>
      </c>
      <c r="O47" s="5">
        <v>0</v>
      </c>
      <c r="P47" s="6">
        <v>0</v>
      </c>
      <c r="Q47" s="5">
        <v>0</v>
      </c>
      <c r="R47" s="6">
        <v>0</v>
      </c>
      <c r="S47" s="5">
        <v>0</v>
      </c>
      <c r="T47" s="6">
        <v>0</v>
      </c>
      <c r="U47" s="5">
        <v>0</v>
      </c>
      <c r="V47" s="6">
        <v>0</v>
      </c>
      <c r="W47" s="5">
        <v>0</v>
      </c>
      <c r="X47" s="6">
        <v>0</v>
      </c>
      <c r="Y47" s="5">
        <v>0</v>
      </c>
      <c r="Z47" s="6">
        <v>0</v>
      </c>
      <c r="AA47" s="5">
        <v>0</v>
      </c>
      <c r="AB47" s="6">
        <v>0</v>
      </c>
      <c r="AC47" s="5">
        <v>0</v>
      </c>
      <c r="AD47" s="6">
        <v>0</v>
      </c>
      <c r="AE47" s="5">
        <v>0</v>
      </c>
      <c r="AF47" s="6">
        <v>0</v>
      </c>
      <c r="AG47" s="5">
        <v>0</v>
      </c>
      <c r="AH47" s="7">
        <f t="shared" si="0"/>
        <v>633.11083148365651</v>
      </c>
      <c r="AI47" s="8">
        <f t="shared" si="1"/>
        <v>3076.9186410105699</v>
      </c>
      <c r="AJ47" s="6">
        <v>0</v>
      </c>
      <c r="AK47" s="5">
        <v>0</v>
      </c>
      <c r="AL47" s="6">
        <v>680</v>
      </c>
      <c r="AM47" s="5">
        <v>3444.8492937887559</v>
      </c>
      <c r="AN47" s="6">
        <v>0</v>
      </c>
      <c r="AO47" s="5">
        <v>0</v>
      </c>
      <c r="AP47" s="6">
        <v>0</v>
      </c>
      <c r="AQ47" s="5">
        <v>0</v>
      </c>
      <c r="AR47" s="6">
        <v>0</v>
      </c>
      <c r="AS47" s="5">
        <v>0</v>
      </c>
      <c r="AT47" s="6">
        <v>0</v>
      </c>
      <c r="AU47" s="5">
        <v>0</v>
      </c>
      <c r="AV47" s="6">
        <v>0</v>
      </c>
      <c r="AW47" s="5">
        <v>0</v>
      </c>
      <c r="AX47" s="6">
        <v>0</v>
      </c>
      <c r="AY47" s="5">
        <v>0</v>
      </c>
      <c r="AZ47" s="6">
        <v>0</v>
      </c>
      <c r="BA47" s="5">
        <v>0</v>
      </c>
      <c r="BB47" s="6">
        <v>0</v>
      </c>
      <c r="BC47" s="5">
        <v>0</v>
      </c>
      <c r="BD47" s="6">
        <v>0</v>
      </c>
      <c r="BE47" s="5">
        <v>0</v>
      </c>
      <c r="BF47" s="6">
        <v>0</v>
      </c>
      <c r="BG47" s="5">
        <v>0</v>
      </c>
      <c r="BH47" s="9">
        <f t="shared" si="2"/>
        <v>680</v>
      </c>
      <c r="BI47" s="10">
        <f t="shared" si="3"/>
        <v>3444.8492937887559</v>
      </c>
      <c r="BJ47" s="6">
        <f t="shared" si="4"/>
        <v>46.889168516343489</v>
      </c>
      <c r="BK47" s="11">
        <f t="shared" si="5"/>
        <v>7.4061548443992958E-2</v>
      </c>
      <c r="BL47" s="5">
        <f t="shared" si="6"/>
        <v>367.93065277818596</v>
      </c>
      <c r="BM47" s="11">
        <f t="shared" si="7"/>
        <v>0.11957763454458595</v>
      </c>
    </row>
    <row r="48" spans="1:65" ht="15" customHeight="1" x14ac:dyDescent="0.4">
      <c r="A48" s="2" t="s">
        <v>65</v>
      </c>
      <c r="B48" s="2" t="s">
        <v>66</v>
      </c>
      <c r="C48" s="2" t="s">
        <v>133</v>
      </c>
      <c r="D48" s="3" t="s">
        <v>134</v>
      </c>
      <c r="E48" s="3" t="s">
        <v>138</v>
      </c>
      <c r="F48" s="2" t="s">
        <v>139</v>
      </c>
      <c r="G48" s="4">
        <v>5</v>
      </c>
      <c r="H48" s="5">
        <v>3.24</v>
      </c>
      <c r="I48" s="5">
        <v>3.3773032292046632</v>
      </c>
      <c r="J48" s="6">
        <v>593.54140451592798</v>
      </c>
      <c r="K48" s="5">
        <v>1923.074150631606</v>
      </c>
      <c r="L48" s="6">
        <v>0</v>
      </c>
      <c r="M48" s="5">
        <v>0</v>
      </c>
      <c r="N48" s="6">
        <v>0</v>
      </c>
      <c r="O48" s="5">
        <v>0</v>
      </c>
      <c r="P48" s="6">
        <v>0</v>
      </c>
      <c r="Q48" s="5">
        <v>0</v>
      </c>
      <c r="R48" s="6">
        <v>0</v>
      </c>
      <c r="S48" s="5">
        <v>0</v>
      </c>
      <c r="T48" s="6">
        <v>0</v>
      </c>
      <c r="U48" s="5">
        <v>0</v>
      </c>
      <c r="V48" s="6">
        <v>0</v>
      </c>
      <c r="W48" s="5">
        <v>0</v>
      </c>
      <c r="X48" s="6">
        <v>0</v>
      </c>
      <c r="Y48" s="5">
        <v>0</v>
      </c>
      <c r="Z48" s="6">
        <v>0</v>
      </c>
      <c r="AA48" s="5">
        <v>0</v>
      </c>
      <c r="AB48" s="6">
        <v>0</v>
      </c>
      <c r="AC48" s="5">
        <v>0</v>
      </c>
      <c r="AD48" s="6">
        <v>0</v>
      </c>
      <c r="AE48" s="5">
        <v>0</v>
      </c>
      <c r="AF48" s="6">
        <v>0</v>
      </c>
      <c r="AG48" s="5">
        <v>0</v>
      </c>
      <c r="AH48" s="7">
        <f t="shared" si="0"/>
        <v>593.54140451592798</v>
      </c>
      <c r="AI48" s="8">
        <f t="shared" si="1"/>
        <v>1923.074150631606</v>
      </c>
      <c r="AJ48" s="6">
        <v>635</v>
      </c>
      <c r="AK48" s="5">
        <v>2144.5875505449608</v>
      </c>
      <c r="AL48" s="6">
        <v>0</v>
      </c>
      <c r="AM48" s="5">
        <v>0</v>
      </c>
      <c r="AN48" s="6">
        <v>0</v>
      </c>
      <c r="AO48" s="5">
        <v>0</v>
      </c>
      <c r="AP48" s="6">
        <v>0</v>
      </c>
      <c r="AQ48" s="5">
        <v>0</v>
      </c>
      <c r="AR48" s="6">
        <v>0</v>
      </c>
      <c r="AS48" s="5">
        <v>0</v>
      </c>
      <c r="AT48" s="6">
        <v>0</v>
      </c>
      <c r="AU48" s="5">
        <v>0</v>
      </c>
      <c r="AV48" s="6">
        <v>0</v>
      </c>
      <c r="AW48" s="5">
        <v>0</v>
      </c>
      <c r="AX48" s="6">
        <v>0</v>
      </c>
      <c r="AY48" s="5">
        <v>0</v>
      </c>
      <c r="AZ48" s="6">
        <v>0</v>
      </c>
      <c r="BA48" s="5">
        <v>0</v>
      </c>
      <c r="BB48" s="6">
        <v>0</v>
      </c>
      <c r="BC48" s="5">
        <v>0</v>
      </c>
      <c r="BD48" s="6">
        <v>0</v>
      </c>
      <c r="BE48" s="5">
        <v>0</v>
      </c>
      <c r="BF48" s="6">
        <v>0</v>
      </c>
      <c r="BG48" s="5">
        <v>0</v>
      </c>
      <c r="BH48" s="9">
        <f t="shared" si="2"/>
        <v>635</v>
      </c>
      <c r="BI48" s="10">
        <f t="shared" si="3"/>
        <v>2144.5875505449608</v>
      </c>
      <c r="BJ48" s="6">
        <f t="shared" si="4"/>
        <v>41.458595484072021</v>
      </c>
      <c r="BK48" s="11">
        <f t="shared" si="5"/>
        <v>6.9849542371663575E-2</v>
      </c>
      <c r="BL48" s="5">
        <f t="shared" si="6"/>
        <v>221.51339991335476</v>
      </c>
      <c r="BM48" s="11">
        <f t="shared" si="7"/>
        <v>0.11518713401696022</v>
      </c>
    </row>
    <row r="49" spans="1:65" ht="15" customHeight="1" x14ac:dyDescent="0.4">
      <c r="A49" s="2" t="s">
        <v>65</v>
      </c>
      <c r="B49" s="2" t="s">
        <v>66</v>
      </c>
      <c r="C49" s="2" t="s">
        <v>133</v>
      </c>
      <c r="D49" s="3" t="s">
        <v>134</v>
      </c>
      <c r="E49" s="3" t="s">
        <v>120</v>
      </c>
      <c r="F49" s="2" t="s">
        <v>121</v>
      </c>
      <c r="G49" s="4">
        <v>5</v>
      </c>
      <c r="H49" s="5">
        <v>4.0999999999999996</v>
      </c>
      <c r="I49" s="5">
        <v>4.2737479134997276</v>
      </c>
      <c r="J49" s="6">
        <v>0</v>
      </c>
      <c r="K49" s="5">
        <v>0</v>
      </c>
      <c r="L49" s="6">
        <v>0</v>
      </c>
      <c r="M49" s="5">
        <v>0</v>
      </c>
      <c r="N49" s="6">
        <v>0</v>
      </c>
      <c r="O49" s="5">
        <v>0</v>
      </c>
      <c r="P49" s="6">
        <v>0</v>
      </c>
      <c r="Q49" s="5">
        <v>0</v>
      </c>
      <c r="R49" s="6">
        <v>0</v>
      </c>
      <c r="S49" s="5">
        <v>0</v>
      </c>
      <c r="T49" s="6">
        <v>791.38853935457064</v>
      </c>
      <c r="U49" s="5">
        <v>3244.6930113537401</v>
      </c>
      <c r="V49" s="6">
        <v>0</v>
      </c>
      <c r="W49" s="5">
        <v>0</v>
      </c>
      <c r="X49" s="6">
        <v>0</v>
      </c>
      <c r="Y49" s="5">
        <v>0</v>
      </c>
      <c r="Z49" s="6">
        <v>0</v>
      </c>
      <c r="AA49" s="5">
        <v>0</v>
      </c>
      <c r="AB49" s="6">
        <v>0</v>
      </c>
      <c r="AC49" s="5">
        <v>0</v>
      </c>
      <c r="AD49" s="6">
        <v>0</v>
      </c>
      <c r="AE49" s="5">
        <v>0</v>
      </c>
      <c r="AF49" s="6">
        <v>0</v>
      </c>
      <c r="AG49" s="5">
        <v>0</v>
      </c>
      <c r="AH49" s="7">
        <f t="shared" si="0"/>
        <v>791.38853935457064</v>
      </c>
      <c r="AI49" s="8">
        <f t="shared" si="1"/>
        <v>3244.6930113537401</v>
      </c>
      <c r="AJ49" s="6">
        <v>0</v>
      </c>
      <c r="AK49" s="5">
        <v>0</v>
      </c>
      <c r="AL49" s="6">
        <v>0</v>
      </c>
      <c r="AM49" s="5">
        <v>0</v>
      </c>
      <c r="AN49" s="6">
        <v>0</v>
      </c>
      <c r="AO49" s="5">
        <v>0</v>
      </c>
      <c r="AP49" s="6">
        <v>0</v>
      </c>
      <c r="AQ49" s="5">
        <v>0</v>
      </c>
      <c r="AR49" s="6">
        <v>0</v>
      </c>
      <c r="AS49" s="5">
        <v>0</v>
      </c>
      <c r="AT49" s="6">
        <v>845</v>
      </c>
      <c r="AU49" s="5">
        <v>3611.3169869072708</v>
      </c>
      <c r="AV49" s="6">
        <v>0</v>
      </c>
      <c r="AW49" s="5">
        <v>0</v>
      </c>
      <c r="AX49" s="6">
        <v>0</v>
      </c>
      <c r="AY49" s="5">
        <v>0</v>
      </c>
      <c r="AZ49" s="6">
        <v>0</v>
      </c>
      <c r="BA49" s="5">
        <v>0</v>
      </c>
      <c r="BB49" s="6">
        <v>0</v>
      </c>
      <c r="BC49" s="5">
        <v>0</v>
      </c>
      <c r="BD49" s="6">
        <v>0</v>
      </c>
      <c r="BE49" s="5">
        <v>0</v>
      </c>
      <c r="BF49" s="6">
        <v>0</v>
      </c>
      <c r="BG49" s="5">
        <v>0</v>
      </c>
      <c r="BH49" s="9">
        <f t="shared" si="2"/>
        <v>845</v>
      </c>
      <c r="BI49" s="10">
        <f t="shared" si="3"/>
        <v>3611.3169869072708</v>
      </c>
      <c r="BJ49" s="6">
        <f t="shared" si="4"/>
        <v>53.611460645429361</v>
      </c>
      <c r="BK49" s="11">
        <f t="shared" si="5"/>
        <v>6.7743539335498884E-2</v>
      </c>
      <c r="BL49" s="5">
        <f t="shared" si="6"/>
        <v>366.62397555353073</v>
      </c>
      <c r="BM49" s="11">
        <f t="shared" si="7"/>
        <v>0.11299188375314714</v>
      </c>
    </row>
    <row r="50" spans="1:65" ht="15" customHeight="1" x14ac:dyDescent="0.4">
      <c r="A50" s="2" t="s">
        <v>65</v>
      </c>
      <c r="B50" s="2" t="s">
        <v>66</v>
      </c>
      <c r="C50" s="2" t="s">
        <v>133</v>
      </c>
      <c r="D50" s="3" t="s">
        <v>134</v>
      </c>
      <c r="E50" s="3" t="s">
        <v>122</v>
      </c>
      <c r="F50" s="2" t="s">
        <v>123</v>
      </c>
      <c r="G50" s="4">
        <v>5</v>
      </c>
      <c r="H50" s="5">
        <v>4.2799999999999994</v>
      </c>
      <c r="I50" s="5">
        <v>4.4613758706777649</v>
      </c>
      <c r="J50" s="6">
        <v>0</v>
      </c>
      <c r="K50" s="5">
        <v>0</v>
      </c>
      <c r="L50" s="6">
        <v>0</v>
      </c>
      <c r="M50" s="5">
        <v>0</v>
      </c>
      <c r="N50" s="6">
        <v>0</v>
      </c>
      <c r="O50" s="5">
        <v>0</v>
      </c>
      <c r="P50" s="6">
        <v>0</v>
      </c>
      <c r="Q50" s="5">
        <v>0</v>
      </c>
      <c r="R50" s="6">
        <v>0</v>
      </c>
      <c r="S50" s="5">
        <v>0</v>
      </c>
      <c r="T50" s="6">
        <v>0</v>
      </c>
      <c r="U50" s="5">
        <v>0</v>
      </c>
      <c r="V50" s="6">
        <v>0</v>
      </c>
      <c r="W50" s="5">
        <v>0</v>
      </c>
      <c r="X50" s="6">
        <v>296.77070225796399</v>
      </c>
      <c r="Y50" s="5">
        <v>1270.178605664086</v>
      </c>
      <c r="Z50" s="6">
        <v>0</v>
      </c>
      <c r="AA50" s="5">
        <v>0</v>
      </c>
      <c r="AB50" s="6">
        <v>0</v>
      </c>
      <c r="AC50" s="5">
        <v>0</v>
      </c>
      <c r="AD50" s="6">
        <v>0</v>
      </c>
      <c r="AE50" s="5">
        <v>0</v>
      </c>
      <c r="AF50" s="6">
        <v>0</v>
      </c>
      <c r="AG50" s="5">
        <v>0</v>
      </c>
      <c r="AH50" s="7">
        <f t="shared" si="0"/>
        <v>296.77070225796399</v>
      </c>
      <c r="AI50" s="8">
        <f t="shared" si="1"/>
        <v>1270.178605664086</v>
      </c>
      <c r="AJ50" s="6">
        <v>0</v>
      </c>
      <c r="AK50" s="5">
        <v>0</v>
      </c>
      <c r="AL50" s="6">
        <v>0</v>
      </c>
      <c r="AM50" s="5">
        <v>0</v>
      </c>
      <c r="AN50" s="6">
        <v>0</v>
      </c>
      <c r="AO50" s="5">
        <v>0</v>
      </c>
      <c r="AP50" s="6">
        <v>0</v>
      </c>
      <c r="AQ50" s="5">
        <v>0</v>
      </c>
      <c r="AR50" s="6">
        <v>0</v>
      </c>
      <c r="AS50" s="5">
        <v>0</v>
      </c>
      <c r="AT50" s="6">
        <v>0</v>
      </c>
      <c r="AU50" s="5">
        <v>0</v>
      </c>
      <c r="AV50" s="6">
        <v>0</v>
      </c>
      <c r="AW50" s="5">
        <v>0</v>
      </c>
      <c r="AX50" s="6">
        <v>350</v>
      </c>
      <c r="AY50" s="5">
        <v>1561.4815547372179</v>
      </c>
      <c r="AZ50" s="6">
        <v>0</v>
      </c>
      <c r="BA50" s="5">
        <v>0</v>
      </c>
      <c r="BB50" s="6">
        <v>0</v>
      </c>
      <c r="BC50" s="5">
        <v>0</v>
      </c>
      <c r="BD50" s="6">
        <v>0</v>
      </c>
      <c r="BE50" s="5">
        <v>0</v>
      </c>
      <c r="BF50" s="6">
        <v>0</v>
      </c>
      <c r="BG50" s="5">
        <v>0</v>
      </c>
      <c r="BH50" s="9">
        <f t="shared" si="2"/>
        <v>350</v>
      </c>
      <c r="BI50" s="10">
        <f t="shared" si="3"/>
        <v>1561.4815547372179</v>
      </c>
      <c r="BJ50" s="6">
        <f t="shared" si="4"/>
        <v>53.22929774203601</v>
      </c>
      <c r="BK50" s="11">
        <f t="shared" si="5"/>
        <v>0.17936170025222756</v>
      </c>
      <c r="BL50" s="5">
        <f t="shared" si="6"/>
        <v>291.30294907313191</v>
      </c>
      <c r="BM50" s="11">
        <f t="shared" si="7"/>
        <v>0.22934014773523156</v>
      </c>
    </row>
    <row r="51" spans="1:65" ht="15" customHeight="1" x14ac:dyDescent="0.4">
      <c r="A51" s="2" t="s">
        <v>65</v>
      </c>
      <c r="B51" s="2" t="s">
        <v>66</v>
      </c>
      <c r="C51" s="2" t="s">
        <v>133</v>
      </c>
      <c r="D51" s="3" t="s">
        <v>134</v>
      </c>
      <c r="E51" s="3" t="s">
        <v>128</v>
      </c>
      <c r="F51" s="2" t="s">
        <v>129</v>
      </c>
      <c r="G51" s="4">
        <v>5</v>
      </c>
      <c r="H51" s="5">
        <v>3.609999999999999</v>
      </c>
      <c r="I51" s="5">
        <v>3.762982918959517</v>
      </c>
      <c r="J51" s="6">
        <v>0</v>
      </c>
      <c r="K51" s="5">
        <v>0</v>
      </c>
      <c r="L51" s="6">
        <v>0</v>
      </c>
      <c r="M51" s="5">
        <v>0</v>
      </c>
      <c r="N51" s="6">
        <v>0</v>
      </c>
      <c r="O51" s="5">
        <v>0</v>
      </c>
      <c r="P51" s="6">
        <v>0</v>
      </c>
      <c r="Q51" s="5">
        <v>0</v>
      </c>
      <c r="R51" s="6">
        <v>0</v>
      </c>
      <c r="S51" s="5">
        <v>0</v>
      </c>
      <c r="T51" s="6">
        <v>0</v>
      </c>
      <c r="U51" s="5">
        <v>0</v>
      </c>
      <c r="V51" s="6">
        <v>0</v>
      </c>
      <c r="W51" s="5">
        <v>0</v>
      </c>
      <c r="X51" s="6">
        <v>39.569426967728532</v>
      </c>
      <c r="Y51" s="5">
        <v>142.84563135350001</v>
      </c>
      <c r="Z51" s="6">
        <v>0</v>
      </c>
      <c r="AA51" s="5">
        <v>0</v>
      </c>
      <c r="AB51" s="6">
        <v>0</v>
      </c>
      <c r="AC51" s="5">
        <v>0</v>
      </c>
      <c r="AD51" s="6">
        <v>0</v>
      </c>
      <c r="AE51" s="5">
        <v>0</v>
      </c>
      <c r="AF51" s="6">
        <v>0</v>
      </c>
      <c r="AG51" s="5">
        <v>0</v>
      </c>
      <c r="AH51" s="7">
        <f t="shared" si="0"/>
        <v>39.569426967728532</v>
      </c>
      <c r="AI51" s="8">
        <f t="shared" si="1"/>
        <v>142.84563135350001</v>
      </c>
      <c r="AJ51" s="6">
        <v>0</v>
      </c>
      <c r="AK51" s="5">
        <v>0</v>
      </c>
      <c r="AL51" s="6">
        <v>0</v>
      </c>
      <c r="AM51" s="5">
        <v>0</v>
      </c>
      <c r="AN51" s="6">
        <v>0</v>
      </c>
      <c r="AO51" s="5">
        <v>0</v>
      </c>
      <c r="AP51" s="6">
        <v>0</v>
      </c>
      <c r="AQ51" s="5">
        <v>0</v>
      </c>
      <c r="AR51" s="6">
        <v>0</v>
      </c>
      <c r="AS51" s="5">
        <v>0</v>
      </c>
      <c r="AT51" s="6">
        <v>0</v>
      </c>
      <c r="AU51" s="5">
        <v>0</v>
      </c>
      <c r="AV51" s="6">
        <v>0</v>
      </c>
      <c r="AW51" s="5">
        <v>0</v>
      </c>
      <c r="AX51" s="6">
        <v>45</v>
      </c>
      <c r="AY51" s="5">
        <v>169.33423135317821</v>
      </c>
      <c r="AZ51" s="6">
        <v>0</v>
      </c>
      <c r="BA51" s="5">
        <v>0</v>
      </c>
      <c r="BB51" s="6">
        <v>0</v>
      </c>
      <c r="BC51" s="5">
        <v>0</v>
      </c>
      <c r="BD51" s="6">
        <v>0</v>
      </c>
      <c r="BE51" s="5">
        <v>0</v>
      </c>
      <c r="BF51" s="6">
        <v>0</v>
      </c>
      <c r="BG51" s="5">
        <v>0</v>
      </c>
      <c r="BH51" s="9">
        <f t="shared" si="2"/>
        <v>45</v>
      </c>
      <c r="BI51" s="10">
        <f t="shared" si="3"/>
        <v>169.33423135317821</v>
      </c>
      <c r="BJ51" s="6">
        <f t="shared" si="4"/>
        <v>5.430573032271468</v>
      </c>
      <c r="BK51" s="11">
        <f t="shared" si="5"/>
        <v>0.13724163952893373</v>
      </c>
      <c r="BL51" s="5">
        <f t="shared" si="6"/>
        <v>26.4885999996782</v>
      </c>
      <c r="BM51" s="11">
        <f t="shared" si="7"/>
        <v>0.18543514245897291</v>
      </c>
    </row>
    <row r="52" spans="1:65" ht="15" customHeight="1" x14ac:dyDescent="0.4">
      <c r="A52" s="2" t="s">
        <v>65</v>
      </c>
      <c r="B52" s="2" t="s">
        <v>66</v>
      </c>
      <c r="C52" s="2" t="s">
        <v>133</v>
      </c>
      <c r="D52" s="3" t="s">
        <v>134</v>
      </c>
      <c r="E52" s="3" t="s">
        <v>140</v>
      </c>
      <c r="F52" s="2" t="s">
        <v>141</v>
      </c>
      <c r="G52" s="4">
        <v>5</v>
      </c>
      <c r="H52" s="5">
        <v>10.94</v>
      </c>
      <c r="I52" s="5">
        <v>11.403610286265129</v>
      </c>
      <c r="J52" s="6">
        <v>0</v>
      </c>
      <c r="K52" s="5">
        <v>0</v>
      </c>
      <c r="L52" s="6">
        <v>0</v>
      </c>
      <c r="M52" s="5">
        <v>0</v>
      </c>
      <c r="N52" s="6">
        <v>0</v>
      </c>
      <c r="O52" s="5">
        <v>0</v>
      </c>
      <c r="P52" s="6">
        <v>98.92356741932133</v>
      </c>
      <c r="Q52" s="5">
        <v>1082.2238275673751</v>
      </c>
      <c r="R52" s="6">
        <v>0</v>
      </c>
      <c r="S52" s="5">
        <v>0</v>
      </c>
      <c r="T52" s="6">
        <v>0</v>
      </c>
      <c r="U52" s="5">
        <v>0</v>
      </c>
      <c r="V52" s="6">
        <v>0</v>
      </c>
      <c r="W52" s="5">
        <v>0</v>
      </c>
      <c r="X52" s="6">
        <v>0</v>
      </c>
      <c r="Y52" s="5">
        <v>0</v>
      </c>
      <c r="Z52" s="6">
        <v>0</v>
      </c>
      <c r="AA52" s="5">
        <v>0</v>
      </c>
      <c r="AB52" s="6">
        <v>0</v>
      </c>
      <c r="AC52" s="5">
        <v>0</v>
      </c>
      <c r="AD52" s="6">
        <v>0</v>
      </c>
      <c r="AE52" s="5">
        <v>0</v>
      </c>
      <c r="AF52" s="6">
        <v>0</v>
      </c>
      <c r="AG52" s="5">
        <v>0</v>
      </c>
      <c r="AH52" s="7">
        <f t="shared" si="0"/>
        <v>98.92356741932133</v>
      </c>
      <c r="AI52" s="8">
        <f t="shared" si="1"/>
        <v>1082.2238275673751</v>
      </c>
      <c r="AJ52" s="6">
        <v>0</v>
      </c>
      <c r="AK52" s="5">
        <v>0</v>
      </c>
      <c r="AL52" s="6">
        <v>0</v>
      </c>
      <c r="AM52" s="5">
        <v>0</v>
      </c>
      <c r="AN52" s="6">
        <v>0</v>
      </c>
      <c r="AO52" s="5">
        <v>0</v>
      </c>
      <c r="AP52" s="6">
        <v>115</v>
      </c>
      <c r="AQ52" s="5">
        <v>1311.41518292049</v>
      </c>
      <c r="AR52" s="6">
        <v>0</v>
      </c>
      <c r="AS52" s="5">
        <v>0</v>
      </c>
      <c r="AT52" s="6">
        <v>0</v>
      </c>
      <c r="AU52" s="5">
        <v>0</v>
      </c>
      <c r="AV52" s="6">
        <v>0</v>
      </c>
      <c r="AW52" s="5">
        <v>0</v>
      </c>
      <c r="AX52" s="6">
        <v>0</v>
      </c>
      <c r="AY52" s="5">
        <v>0</v>
      </c>
      <c r="AZ52" s="6">
        <v>0</v>
      </c>
      <c r="BA52" s="5">
        <v>0</v>
      </c>
      <c r="BB52" s="6">
        <v>0</v>
      </c>
      <c r="BC52" s="5">
        <v>0</v>
      </c>
      <c r="BD52" s="6">
        <v>0</v>
      </c>
      <c r="BE52" s="5">
        <v>0</v>
      </c>
      <c r="BF52" s="6">
        <v>0</v>
      </c>
      <c r="BG52" s="5">
        <v>0</v>
      </c>
      <c r="BH52" s="9">
        <f t="shared" si="2"/>
        <v>115</v>
      </c>
      <c r="BI52" s="10">
        <f t="shared" si="3"/>
        <v>1311.41518292049</v>
      </c>
      <c r="BJ52" s="6">
        <f t="shared" si="4"/>
        <v>16.07643258067867</v>
      </c>
      <c r="BK52" s="11">
        <f t="shared" si="5"/>
        <v>0.16251367596291003</v>
      </c>
      <c r="BL52" s="5">
        <f t="shared" si="6"/>
        <v>229.19135535311489</v>
      </c>
      <c r="BM52" s="11">
        <f t="shared" si="7"/>
        <v>0.21177814562472874</v>
      </c>
    </row>
    <row r="53" spans="1:65" ht="15" customHeight="1" x14ac:dyDescent="0.4">
      <c r="A53" s="2" t="s">
        <v>65</v>
      </c>
      <c r="B53" s="2" t="s">
        <v>66</v>
      </c>
      <c r="C53" s="2" t="s">
        <v>142</v>
      </c>
      <c r="D53" s="3" t="s">
        <v>101</v>
      </c>
      <c r="E53" s="3" t="s">
        <v>102</v>
      </c>
      <c r="F53" s="2" t="s">
        <v>103</v>
      </c>
      <c r="G53" s="4">
        <v>5</v>
      </c>
      <c r="H53" s="5">
        <v>4.8600000000000003</v>
      </c>
      <c r="I53" s="5">
        <v>5.0659548438069963</v>
      </c>
      <c r="J53" s="6">
        <v>0</v>
      </c>
      <c r="K53" s="5">
        <v>0</v>
      </c>
      <c r="L53" s="6">
        <v>0</v>
      </c>
      <c r="M53" s="5">
        <v>0</v>
      </c>
      <c r="N53" s="6">
        <v>0</v>
      </c>
      <c r="O53" s="5">
        <v>0</v>
      </c>
      <c r="P53" s="6">
        <v>148.38535112898199</v>
      </c>
      <c r="Q53" s="5">
        <v>721.15280648685246</v>
      </c>
      <c r="R53" s="6">
        <v>999.12803093514538</v>
      </c>
      <c r="S53" s="5">
        <v>4855.762230344807</v>
      </c>
      <c r="T53" s="6">
        <v>0</v>
      </c>
      <c r="U53" s="5">
        <v>0</v>
      </c>
      <c r="V53" s="6">
        <v>0</v>
      </c>
      <c r="W53" s="5">
        <v>0</v>
      </c>
      <c r="X53" s="6">
        <v>395.69426967728532</v>
      </c>
      <c r="Y53" s="5">
        <v>1923.074150631606</v>
      </c>
      <c r="Z53" s="6">
        <v>0</v>
      </c>
      <c r="AA53" s="5">
        <v>0</v>
      </c>
      <c r="AB53" s="6">
        <v>0</v>
      </c>
      <c r="AC53" s="5">
        <v>0</v>
      </c>
      <c r="AD53" s="6">
        <v>0</v>
      </c>
      <c r="AE53" s="5">
        <v>0</v>
      </c>
      <c r="AF53" s="6">
        <v>0</v>
      </c>
      <c r="AG53" s="5">
        <v>0</v>
      </c>
      <c r="AH53" s="7">
        <f t="shared" si="0"/>
        <v>1543.2076517414127</v>
      </c>
      <c r="AI53" s="8">
        <f t="shared" si="1"/>
        <v>7499.9891874632658</v>
      </c>
      <c r="AJ53" s="6">
        <v>0</v>
      </c>
      <c r="AK53" s="5">
        <v>0</v>
      </c>
      <c r="AL53" s="6">
        <v>0</v>
      </c>
      <c r="AM53" s="5">
        <v>0</v>
      </c>
      <c r="AN53" s="6">
        <v>0</v>
      </c>
      <c r="AO53" s="5">
        <v>0</v>
      </c>
      <c r="AP53" s="6">
        <v>195</v>
      </c>
      <c r="AQ53" s="5">
        <v>987.86119454236405</v>
      </c>
      <c r="AR53" s="6">
        <v>1320</v>
      </c>
      <c r="AS53" s="5">
        <v>6687.0603938252343</v>
      </c>
      <c r="AT53" s="6">
        <v>0</v>
      </c>
      <c r="AU53" s="5">
        <v>0</v>
      </c>
      <c r="AV53" s="6">
        <v>0</v>
      </c>
      <c r="AW53" s="5">
        <v>0</v>
      </c>
      <c r="AX53" s="6">
        <v>520</v>
      </c>
      <c r="AY53" s="5">
        <v>2634.2965187796381</v>
      </c>
      <c r="AZ53" s="6">
        <v>0</v>
      </c>
      <c r="BA53" s="5">
        <v>0</v>
      </c>
      <c r="BB53" s="6">
        <v>0</v>
      </c>
      <c r="BC53" s="5">
        <v>0</v>
      </c>
      <c r="BD53" s="6">
        <v>0</v>
      </c>
      <c r="BE53" s="5">
        <v>0</v>
      </c>
      <c r="BF53" s="6">
        <v>0</v>
      </c>
      <c r="BG53" s="5">
        <v>0</v>
      </c>
      <c r="BH53" s="9">
        <f t="shared" si="2"/>
        <v>2035</v>
      </c>
      <c r="BI53" s="10">
        <f t="shared" si="3"/>
        <v>10309.218107147237</v>
      </c>
      <c r="BJ53" s="6">
        <f t="shared" si="4"/>
        <v>491.79234825858725</v>
      </c>
      <c r="BK53" s="11">
        <f t="shared" si="5"/>
        <v>0.31868190110619948</v>
      </c>
      <c r="BL53" s="5">
        <f t="shared" si="6"/>
        <v>2809.2289196839711</v>
      </c>
      <c r="BM53" s="11">
        <f t="shared" si="7"/>
        <v>0.37456439595670155</v>
      </c>
    </row>
    <row r="54" spans="1:65" ht="15" customHeight="1" x14ac:dyDescent="0.4">
      <c r="A54" s="2" t="s">
        <v>65</v>
      </c>
      <c r="B54" s="2" t="s">
        <v>66</v>
      </c>
      <c r="C54" s="2" t="s">
        <v>142</v>
      </c>
      <c r="D54" s="3" t="s">
        <v>101</v>
      </c>
      <c r="E54" s="3" t="s">
        <v>108</v>
      </c>
      <c r="F54" s="2" t="s">
        <v>109</v>
      </c>
      <c r="G54" s="4">
        <v>5</v>
      </c>
      <c r="H54" s="5">
        <v>3.379999999999999</v>
      </c>
      <c r="I54" s="5">
        <v>3.5232360847875812</v>
      </c>
      <c r="J54" s="6">
        <v>0</v>
      </c>
      <c r="K54" s="5">
        <v>0</v>
      </c>
      <c r="L54" s="6">
        <v>0</v>
      </c>
      <c r="M54" s="5">
        <v>0</v>
      </c>
      <c r="N54" s="6">
        <v>0</v>
      </c>
      <c r="O54" s="5">
        <v>0</v>
      </c>
      <c r="P54" s="6">
        <v>138.49299438704989</v>
      </c>
      <c r="Q54" s="5">
        <v>468.10632102822848</v>
      </c>
      <c r="R54" s="6">
        <v>0</v>
      </c>
      <c r="S54" s="5">
        <v>0</v>
      </c>
      <c r="T54" s="6">
        <v>0</v>
      </c>
      <c r="U54" s="5">
        <v>0</v>
      </c>
      <c r="V54" s="6">
        <v>0</v>
      </c>
      <c r="W54" s="5">
        <v>0</v>
      </c>
      <c r="X54" s="6">
        <v>0</v>
      </c>
      <c r="Y54" s="5">
        <v>0</v>
      </c>
      <c r="Z54" s="6">
        <v>0</v>
      </c>
      <c r="AA54" s="5">
        <v>0</v>
      </c>
      <c r="AB54" s="6">
        <v>0</v>
      </c>
      <c r="AC54" s="5">
        <v>0</v>
      </c>
      <c r="AD54" s="6">
        <v>0</v>
      </c>
      <c r="AE54" s="5">
        <v>0</v>
      </c>
      <c r="AF54" s="6">
        <v>0</v>
      </c>
      <c r="AG54" s="5">
        <v>0</v>
      </c>
      <c r="AH54" s="7">
        <f t="shared" si="0"/>
        <v>138.49299438704989</v>
      </c>
      <c r="AI54" s="8">
        <f t="shared" si="1"/>
        <v>468.10632102822848</v>
      </c>
      <c r="AJ54" s="6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6">
        <v>175</v>
      </c>
      <c r="AQ54" s="5">
        <v>616.56631483782667</v>
      </c>
      <c r="AR54" s="6">
        <v>0</v>
      </c>
      <c r="AS54" s="5">
        <v>0</v>
      </c>
      <c r="AT54" s="6">
        <v>0</v>
      </c>
      <c r="AU54" s="5">
        <v>0</v>
      </c>
      <c r="AV54" s="6">
        <v>0</v>
      </c>
      <c r="AW54" s="5">
        <v>0</v>
      </c>
      <c r="AX54" s="6">
        <v>0</v>
      </c>
      <c r="AY54" s="5">
        <v>0</v>
      </c>
      <c r="AZ54" s="6">
        <v>0</v>
      </c>
      <c r="BA54" s="5">
        <v>0</v>
      </c>
      <c r="BB54" s="6">
        <v>0</v>
      </c>
      <c r="BC54" s="5">
        <v>0</v>
      </c>
      <c r="BD54" s="6">
        <v>0</v>
      </c>
      <c r="BE54" s="5">
        <v>0</v>
      </c>
      <c r="BF54" s="6">
        <v>0</v>
      </c>
      <c r="BG54" s="5">
        <v>0</v>
      </c>
      <c r="BH54" s="9">
        <f t="shared" si="2"/>
        <v>175</v>
      </c>
      <c r="BI54" s="10">
        <f t="shared" si="3"/>
        <v>616.56631483782667</v>
      </c>
      <c r="BJ54" s="6">
        <f t="shared" si="4"/>
        <v>36.50700561295011</v>
      </c>
      <c r="BK54" s="11">
        <f t="shared" si="5"/>
        <v>0.26360182169881496</v>
      </c>
      <c r="BL54" s="5">
        <f t="shared" si="6"/>
        <v>148.45999380959819</v>
      </c>
      <c r="BM54" s="11">
        <f t="shared" si="7"/>
        <v>0.31715015828774828</v>
      </c>
    </row>
    <row r="55" spans="1:65" ht="15" customHeight="1" x14ac:dyDescent="0.4">
      <c r="A55" s="2" t="s">
        <v>65</v>
      </c>
      <c r="B55" s="2" t="s">
        <v>66</v>
      </c>
      <c r="C55" s="2" t="s">
        <v>142</v>
      </c>
      <c r="D55" s="3" t="s">
        <v>101</v>
      </c>
      <c r="E55" s="3" t="s">
        <v>108</v>
      </c>
      <c r="F55" s="2" t="s">
        <v>135</v>
      </c>
      <c r="G55" s="4">
        <v>5</v>
      </c>
      <c r="H55" s="5">
        <v>3.4175</v>
      </c>
      <c r="I55" s="5">
        <v>3.5623252425330061</v>
      </c>
      <c r="J55" s="6">
        <v>0</v>
      </c>
      <c r="K55" s="5">
        <v>0</v>
      </c>
      <c r="L55" s="6">
        <v>0</v>
      </c>
      <c r="M55" s="5">
        <v>0</v>
      </c>
      <c r="N55" s="6">
        <v>0</v>
      </c>
      <c r="O55" s="5">
        <v>0</v>
      </c>
      <c r="P55" s="6">
        <v>0</v>
      </c>
      <c r="Q55" s="5">
        <v>0</v>
      </c>
      <c r="R55" s="6">
        <v>593.54140451592798</v>
      </c>
      <c r="S55" s="5">
        <v>2006.169947263837</v>
      </c>
      <c r="T55" s="6">
        <v>197.84713483864269</v>
      </c>
      <c r="U55" s="5">
        <v>698.40038598040849</v>
      </c>
      <c r="V55" s="6">
        <v>0</v>
      </c>
      <c r="W55" s="5">
        <v>0</v>
      </c>
      <c r="X55" s="6">
        <v>0</v>
      </c>
      <c r="Y55" s="5">
        <v>0</v>
      </c>
      <c r="Z55" s="6">
        <v>0</v>
      </c>
      <c r="AA55" s="5">
        <v>0</v>
      </c>
      <c r="AB55" s="6">
        <v>0</v>
      </c>
      <c r="AC55" s="5">
        <v>0</v>
      </c>
      <c r="AD55" s="6">
        <v>0</v>
      </c>
      <c r="AE55" s="5">
        <v>0</v>
      </c>
      <c r="AF55" s="6">
        <v>0</v>
      </c>
      <c r="AG55" s="5">
        <v>0</v>
      </c>
      <c r="AH55" s="7">
        <f t="shared" si="0"/>
        <v>791.38853935457064</v>
      </c>
      <c r="AI55" s="8">
        <f t="shared" si="1"/>
        <v>2704.5703332442454</v>
      </c>
      <c r="AJ55" s="6">
        <v>0</v>
      </c>
      <c r="AK55" s="5">
        <v>0</v>
      </c>
      <c r="AL55" s="6">
        <v>0</v>
      </c>
      <c r="AM55" s="5">
        <v>0</v>
      </c>
      <c r="AN55" s="6">
        <v>0</v>
      </c>
      <c r="AO55" s="5">
        <v>0</v>
      </c>
      <c r="AP55" s="6">
        <v>0</v>
      </c>
      <c r="AQ55" s="5">
        <v>0</v>
      </c>
      <c r="AR55" s="6">
        <v>750</v>
      </c>
      <c r="AS55" s="5">
        <v>2642.427063590686</v>
      </c>
      <c r="AT55" s="6">
        <v>250</v>
      </c>
      <c r="AU55" s="5">
        <v>919.89817894231953</v>
      </c>
      <c r="AV55" s="6">
        <v>0</v>
      </c>
      <c r="AW55" s="5">
        <v>0</v>
      </c>
      <c r="AX55" s="6">
        <v>0</v>
      </c>
      <c r="AY55" s="5">
        <v>0</v>
      </c>
      <c r="AZ55" s="6">
        <v>0</v>
      </c>
      <c r="BA55" s="5">
        <v>0</v>
      </c>
      <c r="BB55" s="6">
        <v>0</v>
      </c>
      <c r="BC55" s="5">
        <v>0</v>
      </c>
      <c r="BD55" s="6">
        <v>0</v>
      </c>
      <c r="BE55" s="5">
        <v>0</v>
      </c>
      <c r="BF55" s="6">
        <v>0</v>
      </c>
      <c r="BG55" s="5">
        <v>0</v>
      </c>
      <c r="BH55" s="9">
        <f t="shared" si="2"/>
        <v>1000</v>
      </c>
      <c r="BI55" s="10">
        <f t="shared" si="3"/>
        <v>3562.3252425330056</v>
      </c>
      <c r="BJ55" s="6">
        <f t="shared" si="4"/>
        <v>208.61146064542936</v>
      </c>
      <c r="BK55" s="11">
        <f t="shared" si="5"/>
        <v>0.26360182169881524</v>
      </c>
      <c r="BL55" s="5">
        <f t="shared" si="6"/>
        <v>857.75490928876025</v>
      </c>
      <c r="BM55" s="11">
        <f t="shared" si="7"/>
        <v>0.31715015828774817</v>
      </c>
    </row>
    <row r="56" spans="1:65" ht="15" customHeight="1" x14ac:dyDescent="0.4">
      <c r="A56" s="2" t="s">
        <v>65</v>
      </c>
      <c r="B56" s="2" t="s">
        <v>66</v>
      </c>
      <c r="C56" s="2" t="s">
        <v>142</v>
      </c>
      <c r="D56" s="3" t="s">
        <v>101</v>
      </c>
      <c r="E56" s="3" t="s">
        <v>110</v>
      </c>
      <c r="F56" s="2" t="s">
        <v>111</v>
      </c>
      <c r="G56" s="4">
        <v>5</v>
      </c>
      <c r="H56" s="5">
        <v>3.492777777777778</v>
      </c>
      <c r="I56" s="5">
        <v>3.6401581919714849</v>
      </c>
      <c r="J56" s="6">
        <v>19.78471348386427</v>
      </c>
      <c r="K56" s="5">
        <v>66.674484440622578</v>
      </c>
      <c r="L56" s="6">
        <v>0</v>
      </c>
      <c r="M56" s="5">
        <v>0</v>
      </c>
      <c r="N56" s="6">
        <v>0</v>
      </c>
      <c r="O56" s="5">
        <v>0</v>
      </c>
      <c r="P56" s="6">
        <v>0</v>
      </c>
      <c r="Q56" s="5">
        <v>0</v>
      </c>
      <c r="R56" s="6">
        <v>0</v>
      </c>
      <c r="S56" s="5">
        <v>0</v>
      </c>
      <c r="T56" s="6">
        <v>0</v>
      </c>
      <c r="U56" s="5">
        <v>0</v>
      </c>
      <c r="V56" s="6">
        <v>336.34012922569252</v>
      </c>
      <c r="W56" s="5">
        <v>1177.190452289924</v>
      </c>
      <c r="X56" s="6">
        <v>0</v>
      </c>
      <c r="Y56" s="5">
        <v>0</v>
      </c>
      <c r="Z56" s="6">
        <v>0</v>
      </c>
      <c r="AA56" s="5">
        <v>0</v>
      </c>
      <c r="AB56" s="6">
        <v>0</v>
      </c>
      <c r="AC56" s="5">
        <v>0</v>
      </c>
      <c r="AD56" s="6">
        <v>0</v>
      </c>
      <c r="AE56" s="5">
        <v>0</v>
      </c>
      <c r="AF56" s="6">
        <v>0</v>
      </c>
      <c r="AG56" s="5">
        <v>0</v>
      </c>
      <c r="AH56" s="7">
        <f t="shared" si="0"/>
        <v>356.12484270955679</v>
      </c>
      <c r="AI56" s="8">
        <f t="shared" si="1"/>
        <v>1243.8649367305466</v>
      </c>
      <c r="AJ56" s="6">
        <v>25</v>
      </c>
      <c r="AK56" s="5">
        <v>87.820307734720032</v>
      </c>
      <c r="AL56" s="6">
        <v>0</v>
      </c>
      <c r="AM56" s="5">
        <v>0</v>
      </c>
      <c r="AN56" s="6">
        <v>0</v>
      </c>
      <c r="AO56" s="5">
        <v>0</v>
      </c>
      <c r="AP56" s="6">
        <v>0</v>
      </c>
      <c r="AQ56" s="5">
        <v>0</v>
      </c>
      <c r="AR56" s="6">
        <v>0</v>
      </c>
      <c r="AS56" s="5">
        <v>0</v>
      </c>
      <c r="AT56" s="6">
        <v>0</v>
      </c>
      <c r="AU56" s="5">
        <v>0</v>
      </c>
      <c r="AV56" s="6">
        <v>390</v>
      </c>
      <c r="AW56" s="5">
        <v>1422.845341933446</v>
      </c>
      <c r="AX56" s="6">
        <v>0</v>
      </c>
      <c r="AY56" s="5">
        <v>0</v>
      </c>
      <c r="AZ56" s="6">
        <v>0</v>
      </c>
      <c r="BA56" s="5">
        <v>0</v>
      </c>
      <c r="BB56" s="6">
        <v>0</v>
      </c>
      <c r="BC56" s="5">
        <v>0</v>
      </c>
      <c r="BD56" s="6">
        <v>0</v>
      </c>
      <c r="BE56" s="5">
        <v>0</v>
      </c>
      <c r="BF56" s="6">
        <v>0</v>
      </c>
      <c r="BG56" s="5">
        <v>0</v>
      </c>
      <c r="BH56" s="9">
        <f t="shared" si="2"/>
        <v>415</v>
      </c>
      <c r="BI56" s="10">
        <f t="shared" si="3"/>
        <v>1510.665649668166</v>
      </c>
      <c r="BJ56" s="6">
        <f t="shared" si="4"/>
        <v>58.875157290443212</v>
      </c>
      <c r="BK56" s="11">
        <f t="shared" si="5"/>
        <v>0.16532168001112962</v>
      </c>
      <c r="BL56" s="5">
        <f t="shared" si="6"/>
        <v>266.80071293761944</v>
      </c>
      <c r="BM56" s="11">
        <f t="shared" si="7"/>
        <v>0.21449331439384034</v>
      </c>
    </row>
    <row r="57" spans="1:65" ht="15" customHeight="1" x14ac:dyDescent="0.4">
      <c r="A57" s="2" t="s">
        <v>65</v>
      </c>
      <c r="B57" s="2" t="s">
        <v>66</v>
      </c>
      <c r="C57" s="2" t="s">
        <v>142</v>
      </c>
      <c r="D57" s="3" t="s">
        <v>101</v>
      </c>
      <c r="E57" s="3" t="s">
        <v>86</v>
      </c>
      <c r="F57" s="2" t="s">
        <v>87</v>
      </c>
      <c r="G57" s="4">
        <v>20</v>
      </c>
      <c r="H57" s="5">
        <v>1.2676363636363639</v>
      </c>
      <c r="I57" s="5">
        <v>1.3213556741871451</v>
      </c>
      <c r="J57" s="6">
        <v>0</v>
      </c>
      <c r="K57" s="5">
        <v>0</v>
      </c>
      <c r="L57" s="6">
        <v>0</v>
      </c>
      <c r="M57" s="5">
        <v>0</v>
      </c>
      <c r="N57" s="6">
        <v>2176.318483225069</v>
      </c>
      <c r="O57" s="5">
        <v>1861.3458445619499</v>
      </c>
      <c r="P57" s="6">
        <v>0</v>
      </c>
      <c r="Q57" s="5">
        <v>0</v>
      </c>
      <c r="R57" s="6">
        <v>1088.159241612535</v>
      </c>
      <c r="S57" s="5">
        <v>1828.107525909058</v>
      </c>
      <c r="T57" s="6">
        <v>1088.159241612535</v>
      </c>
      <c r="U57" s="5">
        <v>1828.107525909058</v>
      </c>
      <c r="V57" s="6">
        <v>0</v>
      </c>
      <c r="W57" s="5">
        <v>0</v>
      </c>
      <c r="X57" s="6">
        <v>0</v>
      </c>
      <c r="Y57" s="5">
        <v>0</v>
      </c>
      <c r="Z57" s="6">
        <v>0</v>
      </c>
      <c r="AA57" s="5">
        <v>0</v>
      </c>
      <c r="AB57" s="6">
        <v>0</v>
      </c>
      <c r="AC57" s="5">
        <v>0</v>
      </c>
      <c r="AD57" s="6">
        <v>0</v>
      </c>
      <c r="AE57" s="5">
        <v>0</v>
      </c>
      <c r="AF57" s="6">
        <v>0</v>
      </c>
      <c r="AG57" s="5">
        <v>0</v>
      </c>
      <c r="AH57" s="7">
        <f t="shared" si="0"/>
        <v>4352.636966450139</v>
      </c>
      <c r="AI57" s="8">
        <f t="shared" si="1"/>
        <v>5517.560896380066</v>
      </c>
      <c r="AJ57" s="6">
        <v>0</v>
      </c>
      <c r="AK57" s="5">
        <v>0</v>
      </c>
      <c r="AL57" s="6">
        <v>0</v>
      </c>
      <c r="AM57" s="5">
        <v>0</v>
      </c>
      <c r="AN57" s="6">
        <v>2520</v>
      </c>
      <c r="AO57" s="5">
        <v>2246.6230450757821</v>
      </c>
      <c r="AP57" s="6">
        <v>0</v>
      </c>
      <c r="AQ57" s="5">
        <v>0</v>
      </c>
      <c r="AR57" s="6">
        <v>1260</v>
      </c>
      <c r="AS57" s="5">
        <v>2206.5047764137139</v>
      </c>
      <c r="AT57" s="6">
        <v>1260</v>
      </c>
      <c r="AU57" s="5">
        <v>2206.5047764137139</v>
      </c>
      <c r="AV57" s="6">
        <v>0</v>
      </c>
      <c r="AW57" s="5">
        <v>0</v>
      </c>
      <c r="AX57" s="6">
        <v>0</v>
      </c>
      <c r="AY57" s="5">
        <v>0</v>
      </c>
      <c r="AZ57" s="6">
        <v>0</v>
      </c>
      <c r="BA57" s="5">
        <v>0</v>
      </c>
      <c r="BB57" s="6">
        <v>0</v>
      </c>
      <c r="BC57" s="5">
        <v>0</v>
      </c>
      <c r="BD57" s="6">
        <v>0</v>
      </c>
      <c r="BE57" s="5">
        <v>0</v>
      </c>
      <c r="BF57" s="6">
        <v>0</v>
      </c>
      <c r="BG57" s="5">
        <v>0</v>
      </c>
      <c r="BH57" s="9">
        <f t="shared" si="2"/>
        <v>5040</v>
      </c>
      <c r="BI57" s="10">
        <f t="shared" si="3"/>
        <v>6659.6325979032099</v>
      </c>
      <c r="BJ57" s="6">
        <f t="shared" si="4"/>
        <v>687.36303354986103</v>
      </c>
      <c r="BK57" s="11">
        <f t="shared" si="5"/>
        <v>0.15791876024764148</v>
      </c>
      <c r="BL57" s="5">
        <f t="shared" si="6"/>
        <v>1142.0717015231439</v>
      </c>
      <c r="BM57" s="11">
        <f t="shared" si="7"/>
        <v>0.20698850868550064</v>
      </c>
    </row>
    <row r="58" spans="1:65" ht="15" customHeight="1" x14ac:dyDescent="0.4">
      <c r="A58" s="2" t="s">
        <v>65</v>
      </c>
      <c r="B58" s="2" t="s">
        <v>66</v>
      </c>
      <c r="C58" s="2" t="s">
        <v>142</v>
      </c>
      <c r="D58" s="3" t="s">
        <v>101</v>
      </c>
      <c r="E58" s="3" t="s">
        <v>88</v>
      </c>
      <c r="F58" s="2" t="s">
        <v>89</v>
      </c>
      <c r="G58" s="4">
        <v>5</v>
      </c>
      <c r="H58" s="5">
        <v>2.2599999999999998</v>
      </c>
      <c r="I58" s="5">
        <v>2.3557732401242411</v>
      </c>
      <c r="J58" s="6">
        <v>0</v>
      </c>
      <c r="K58" s="5">
        <v>0</v>
      </c>
      <c r="L58" s="6">
        <v>0</v>
      </c>
      <c r="M58" s="5">
        <v>0</v>
      </c>
      <c r="N58" s="6">
        <v>0</v>
      </c>
      <c r="O58" s="5">
        <v>0</v>
      </c>
      <c r="P58" s="6">
        <v>0</v>
      </c>
      <c r="Q58" s="5">
        <v>0</v>
      </c>
      <c r="R58" s="6">
        <v>0</v>
      </c>
      <c r="S58" s="5">
        <v>0</v>
      </c>
      <c r="T58" s="6">
        <v>0</v>
      </c>
      <c r="U58" s="5">
        <v>0</v>
      </c>
      <c r="V58" s="6">
        <v>0</v>
      </c>
      <c r="W58" s="5">
        <v>0</v>
      </c>
      <c r="X58" s="6">
        <v>98.92356741932133</v>
      </c>
      <c r="Y58" s="5">
        <v>223.56726236766619</v>
      </c>
      <c r="Z58" s="6">
        <v>0</v>
      </c>
      <c r="AA58" s="5">
        <v>0</v>
      </c>
      <c r="AB58" s="6">
        <v>0</v>
      </c>
      <c r="AC58" s="5">
        <v>0</v>
      </c>
      <c r="AD58" s="6">
        <v>0</v>
      </c>
      <c r="AE58" s="5">
        <v>0</v>
      </c>
      <c r="AF58" s="6">
        <v>0</v>
      </c>
      <c r="AG58" s="5">
        <v>0</v>
      </c>
      <c r="AH58" s="7">
        <f t="shared" si="0"/>
        <v>98.92356741932133</v>
      </c>
      <c r="AI58" s="8">
        <f t="shared" si="1"/>
        <v>223.56726236766619</v>
      </c>
      <c r="AJ58" s="6">
        <v>0</v>
      </c>
      <c r="AK58" s="5">
        <v>0</v>
      </c>
      <c r="AL58" s="6">
        <v>0</v>
      </c>
      <c r="AM58" s="5">
        <v>0</v>
      </c>
      <c r="AN58" s="6">
        <v>0</v>
      </c>
      <c r="AO58" s="5">
        <v>0</v>
      </c>
      <c r="AP58" s="6">
        <v>0</v>
      </c>
      <c r="AQ58" s="5">
        <v>0</v>
      </c>
      <c r="AR58" s="6">
        <v>0</v>
      </c>
      <c r="AS58" s="5">
        <v>0</v>
      </c>
      <c r="AT58" s="6">
        <v>0</v>
      </c>
      <c r="AU58" s="5">
        <v>0</v>
      </c>
      <c r="AV58" s="6">
        <v>0</v>
      </c>
      <c r="AW58" s="5">
        <v>0</v>
      </c>
      <c r="AX58" s="6">
        <v>115</v>
      </c>
      <c r="AY58" s="5">
        <v>270.91392261428769</v>
      </c>
      <c r="AZ58" s="6">
        <v>0</v>
      </c>
      <c r="BA58" s="5">
        <v>0</v>
      </c>
      <c r="BB58" s="6">
        <v>0</v>
      </c>
      <c r="BC58" s="5">
        <v>0</v>
      </c>
      <c r="BD58" s="6">
        <v>0</v>
      </c>
      <c r="BE58" s="5">
        <v>0</v>
      </c>
      <c r="BF58" s="6">
        <v>0</v>
      </c>
      <c r="BG58" s="5">
        <v>0</v>
      </c>
      <c r="BH58" s="9">
        <f t="shared" si="2"/>
        <v>115</v>
      </c>
      <c r="BI58" s="10">
        <f t="shared" si="3"/>
        <v>270.91392261428769</v>
      </c>
      <c r="BJ58" s="6">
        <f t="shared" si="4"/>
        <v>16.07643258067867</v>
      </c>
      <c r="BK58" s="11">
        <f t="shared" si="5"/>
        <v>0.16251367596291003</v>
      </c>
      <c r="BL58" s="5">
        <f t="shared" si="6"/>
        <v>47.346660246621497</v>
      </c>
      <c r="BM58" s="11">
        <f t="shared" si="7"/>
        <v>0.21177814562472852</v>
      </c>
    </row>
    <row r="59" spans="1:65" ht="15" customHeight="1" x14ac:dyDescent="0.4">
      <c r="A59" s="2" t="s">
        <v>65</v>
      </c>
      <c r="B59" s="2" t="s">
        <v>66</v>
      </c>
      <c r="C59" s="2" t="s">
        <v>142</v>
      </c>
      <c r="D59" s="3" t="s">
        <v>101</v>
      </c>
      <c r="E59" s="3" t="s">
        <v>120</v>
      </c>
      <c r="F59" s="2" t="s">
        <v>121</v>
      </c>
      <c r="G59" s="4">
        <v>5</v>
      </c>
      <c r="H59" s="5">
        <v>4</v>
      </c>
      <c r="I59" s="5">
        <v>4.1695101595119306</v>
      </c>
      <c r="J59" s="6">
        <v>0</v>
      </c>
      <c r="K59" s="5">
        <v>0</v>
      </c>
      <c r="L59" s="6">
        <v>0</v>
      </c>
      <c r="M59" s="5">
        <v>0</v>
      </c>
      <c r="N59" s="6">
        <v>0</v>
      </c>
      <c r="O59" s="5">
        <v>0</v>
      </c>
      <c r="P59" s="6">
        <v>0</v>
      </c>
      <c r="Q59" s="5">
        <v>0</v>
      </c>
      <c r="R59" s="6">
        <v>197.84713483864269</v>
      </c>
      <c r="S59" s="5">
        <v>791.38853935457064</v>
      </c>
      <c r="T59" s="6">
        <v>0</v>
      </c>
      <c r="U59" s="5">
        <v>0</v>
      </c>
      <c r="V59" s="6">
        <v>0</v>
      </c>
      <c r="W59" s="5">
        <v>0</v>
      </c>
      <c r="X59" s="6">
        <v>98.92356741932133</v>
      </c>
      <c r="Y59" s="5">
        <v>395.69426967728532</v>
      </c>
      <c r="Z59" s="6">
        <v>0</v>
      </c>
      <c r="AA59" s="5">
        <v>0</v>
      </c>
      <c r="AB59" s="6">
        <v>0</v>
      </c>
      <c r="AC59" s="5">
        <v>0</v>
      </c>
      <c r="AD59" s="6">
        <v>0</v>
      </c>
      <c r="AE59" s="5">
        <v>0</v>
      </c>
      <c r="AF59" s="6">
        <v>0</v>
      </c>
      <c r="AG59" s="5">
        <v>0</v>
      </c>
      <c r="AH59" s="7">
        <f t="shared" si="0"/>
        <v>296.77070225796399</v>
      </c>
      <c r="AI59" s="8">
        <f t="shared" si="1"/>
        <v>1187.082809031856</v>
      </c>
      <c r="AJ59" s="6">
        <v>0</v>
      </c>
      <c r="AK59" s="5">
        <v>0</v>
      </c>
      <c r="AL59" s="6">
        <v>0</v>
      </c>
      <c r="AM59" s="5">
        <v>0</v>
      </c>
      <c r="AN59" s="6">
        <v>0</v>
      </c>
      <c r="AO59" s="5">
        <v>0</v>
      </c>
      <c r="AP59" s="6">
        <v>0</v>
      </c>
      <c r="AQ59" s="5">
        <v>0</v>
      </c>
      <c r="AR59" s="6">
        <v>225</v>
      </c>
      <c r="AS59" s="5">
        <v>938.13978589018438</v>
      </c>
      <c r="AT59" s="6">
        <v>0</v>
      </c>
      <c r="AU59" s="5">
        <v>0</v>
      </c>
      <c r="AV59" s="6">
        <v>0</v>
      </c>
      <c r="AW59" s="5">
        <v>0</v>
      </c>
      <c r="AX59" s="6">
        <v>115</v>
      </c>
      <c r="AY59" s="5">
        <v>479.49366834387212</v>
      </c>
      <c r="AZ59" s="6">
        <v>0</v>
      </c>
      <c r="BA59" s="5">
        <v>0</v>
      </c>
      <c r="BB59" s="6">
        <v>0</v>
      </c>
      <c r="BC59" s="5">
        <v>0</v>
      </c>
      <c r="BD59" s="6">
        <v>0</v>
      </c>
      <c r="BE59" s="5">
        <v>0</v>
      </c>
      <c r="BF59" s="6">
        <v>0</v>
      </c>
      <c r="BG59" s="5">
        <v>0</v>
      </c>
      <c r="BH59" s="9">
        <f t="shared" si="2"/>
        <v>340</v>
      </c>
      <c r="BI59" s="10">
        <f t="shared" si="3"/>
        <v>1417.6334542340564</v>
      </c>
      <c r="BJ59" s="6">
        <f t="shared" si="4"/>
        <v>43.22929774203601</v>
      </c>
      <c r="BK59" s="11">
        <f t="shared" si="5"/>
        <v>0.14566565167359249</v>
      </c>
      <c r="BL59" s="5">
        <f t="shared" si="6"/>
        <v>230.55064520220049</v>
      </c>
      <c r="BM59" s="11">
        <f t="shared" si="7"/>
        <v>0.19421614351422517</v>
      </c>
    </row>
    <row r="60" spans="1:65" ht="15" customHeight="1" x14ac:dyDescent="0.4">
      <c r="A60" s="2" t="s">
        <v>65</v>
      </c>
      <c r="B60" s="2" t="s">
        <v>66</v>
      </c>
      <c r="C60" s="2" t="s">
        <v>142</v>
      </c>
      <c r="D60" s="3" t="s">
        <v>101</v>
      </c>
      <c r="E60" s="3" t="s">
        <v>143</v>
      </c>
      <c r="F60" s="2" t="s">
        <v>144</v>
      </c>
      <c r="G60" s="4">
        <v>1</v>
      </c>
      <c r="H60" s="5">
        <v>8.44</v>
      </c>
      <c r="I60" s="5">
        <v>8.7976664365701733</v>
      </c>
      <c r="J60" s="6">
        <v>0</v>
      </c>
      <c r="K60" s="5">
        <v>0</v>
      </c>
      <c r="L60" s="6">
        <v>0</v>
      </c>
      <c r="M60" s="5">
        <v>0</v>
      </c>
      <c r="N60" s="6">
        <v>0</v>
      </c>
      <c r="O60" s="5">
        <v>0</v>
      </c>
      <c r="P60" s="6">
        <v>0</v>
      </c>
      <c r="Q60" s="5">
        <v>0</v>
      </c>
      <c r="R60" s="6">
        <v>0</v>
      </c>
      <c r="S60" s="5">
        <v>0</v>
      </c>
      <c r="T60" s="6">
        <v>0</v>
      </c>
      <c r="U60" s="5">
        <v>0</v>
      </c>
      <c r="V60" s="6">
        <v>261.1582179870083</v>
      </c>
      <c r="W60" s="5">
        <v>2204.1753598103501</v>
      </c>
      <c r="X60" s="6">
        <v>0</v>
      </c>
      <c r="Y60" s="5">
        <v>0</v>
      </c>
      <c r="Z60" s="6">
        <v>0</v>
      </c>
      <c r="AA60" s="5">
        <v>0</v>
      </c>
      <c r="AB60" s="6">
        <v>0</v>
      </c>
      <c r="AC60" s="5">
        <v>0</v>
      </c>
      <c r="AD60" s="6">
        <v>0</v>
      </c>
      <c r="AE60" s="5">
        <v>0</v>
      </c>
      <c r="AF60" s="6">
        <v>0</v>
      </c>
      <c r="AG60" s="5">
        <v>0</v>
      </c>
      <c r="AH60" s="7">
        <f t="shared" si="0"/>
        <v>261.1582179870083</v>
      </c>
      <c r="AI60" s="8">
        <f t="shared" si="1"/>
        <v>2204.1753598103501</v>
      </c>
      <c r="AJ60" s="6">
        <v>0</v>
      </c>
      <c r="AK60" s="5">
        <v>0</v>
      </c>
      <c r="AL60" s="6">
        <v>0</v>
      </c>
      <c r="AM60" s="5">
        <v>0</v>
      </c>
      <c r="AN60" s="6">
        <v>0</v>
      </c>
      <c r="AO60" s="5">
        <v>0</v>
      </c>
      <c r="AP60" s="6">
        <v>0</v>
      </c>
      <c r="AQ60" s="5">
        <v>0</v>
      </c>
      <c r="AR60" s="6">
        <v>0</v>
      </c>
      <c r="AS60" s="5">
        <v>0</v>
      </c>
      <c r="AT60" s="6">
        <v>0</v>
      </c>
      <c r="AU60" s="5">
        <v>0</v>
      </c>
      <c r="AV60" s="6">
        <v>330</v>
      </c>
      <c r="AW60" s="5">
        <v>2903.2299240681568</v>
      </c>
      <c r="AX60" s="6">
        <v>0</v>
      </c>
      <c r="AY60" s="5">
        <v>0</v>
      </c>
      <c r="AZ60" s="6">
        <v>0</v>
      </c>
      <c r="BA60" s="5">
        <v>0</v>
      </c>
      <c r="BB60" s="6">
        <v>0</v>
      </c>
      <c r="BC60" s="5">
        <v>0</v>
      </c>
      <c r="BD60" s="6">
        <v>0</v>
      </c>
      <c r="BE60" s="5">
        <v>0</v>
      </c>
      <c r="BF60" s="6">
        <v>0</v>
      </c>
      <c r="BG60" s="5">
        <v>0</v>
      </c>
      <c r="BH60" s="9">
        <f t="shared" si="2"/>
        <v>330</v>
      </c>
      <c r="BI60" s="10">
        <f t="shared" si="3"/>
        <v>2903.2299240681568</v>
      </c>
      <c r="BJ60" s="6">
        <f t="shared" si="4"/>
        <v>68.8417820129917</v>
      </c>
      <c r="BK60" s="11">
        <f t="shared" si="5"/>
        <v>0.2636018216988153</v>
      </c>
      <c r="BL60" s="5">
        <f t="shared" si="6"/>
        <v>699.05456425780676</v>
      </c>
      <c r="BM60" s="11">
        <f t="shared" si="7"/>
        <v>0.31715015828774817</v>
      </c>
    </row>
    <row r="61" spans="1:65" ht="15" customHeight="1" x14ac:dyDescent="0.4">
      <c r="A61" s="2" t="s">
        <v>65</v>
      </c>
      <c r="B61" s="2" t="s">
        <v>66</v>
      </c>
      <c r="C61" s="2" t="s">
        <v>142</v>
      </c>
      <c r="D61" s="3" t="s">
        <v>101</v>
      </c>
      <c r="E61" s="3" t="s">
        <v>145</v>
      </c>
      <c r="F61" s="2" t="s">
        <v>146</v>
      </c>
      <c r="G61" s="4">
        <v>20</v>
      </c>
      <c r="H61" s="5">
        <v>3.35</v>
      </c>
      <c r="I61" s="5">
        <v>3.4919647585912421</v>
      </c>
      <c r="J61" s="6">
        <v>0</v>
      </c>
      <c r="K61" s="5">
        <v>0</v>
      </c>
      <c r="L61" s="6">
        <v>0</v>
      </c>
      <c r="M61" s="5">
        <v>0</v>
      </c>
      <c r="N61" s="6">
        <v>0</v>
      </c>
      <c r="O61" s="5">
        <v>0</v>
      </c>
      <c r="P61" s="6">
        <v>1483.8535112898201</v>
      </c>
      <c r="Q61" s="5">
        <v>4970.9092628208964</v>
      </c>
      <c r="R61" s="6">
        <v>0</v>
      </c>
      <c r="S61" s="5">
        <v>0</v>
      </c>
      <c r="T61" s="6">
        <v>0</v>
      </c>
      <c r="U61" s="5">
        <v>0</v>
      </c>
      <c r="V61" s="6">
        <v>0</v>
      </c>
      <c r="W61" s="5">
        <v>0</v>
      </c>
      <c r="X61" s="6">
        <v>0</v>
      </c>
      <c r="Y61" s="5">
        <v>0</v>
      </c>
      <c r="Z61" s="6">
        <v>0</v>
      </c>
      <c r="AA61" s="5">
        <v>0</v>
      </c>
      <c r="AB61" s="6">
        <v>0</v>
      </c>
      <c r="AC61" s="5">
        <v>0</v>
      </c>
      <c r="AD61" s="6">
        <v>0</v>
      </c>
      <c r="AE61" s="5">
        <v>0</v>
      </c>
      <c r="AF61" s="6">
        <v>0</v>
      </c>
      <c r="AG61" s="5">
        <v>0</v>
      </c>
      <c r="AH61" s="7">
        <f t="shared" si="0"/>
        <v>1483.8535112898201</v>
      </c>
      <c r="AI61" s="8">
        <f t="shared" si="1"/>
        <v>4970.9092628208964</v>
      </c>
      <c r="AJ61" s="6">
        <v>0</v>
      </c>
      <c r="AK61" s="5">
        <v>0</v>
      </c>
      <c r="AL61" s="6">
        <v>0</v>
      </c>
      <c r="AM61" s="5">
        <v>0</v>
      </c>
      <c r="AN61" s="6">
        <v>0</v>
      </c>
      <c r="AO61" s="5">
        <v>0</v>
      </c>
      <c r="AP61" s="6">
        <v>1660</v>
      </c>
      <c r="AQ61" s="5">
        <v>5796.6614992614623</v>
      </c>
      <c r="AR61" s="6">
        <v>0</v>
      </c>
      <c r="AS61" s="5">
        <v>0</v>
      </c>
      <c r="AT61" s="6">
        <v>0</v>
      </c>
      <c r="AU61" s="5">
        <v>0</v>
      </c>
      <c r="AV61" s="6">
        <v>0</v>
      </c>
      <c r="AW61" s="5">
        <v>0</v>
      </c>
      <c r="AX61" s="6">
        <v>0</v>
      </c>
      <c r="AY61" s="5">
        <v>0</v>
      </c>
      <c r="AZ61" s="6">
        <v>0</v>
      </c>
      <c r="BA61" s="5">
        <v>0</v>
      </c>
      <c r="BB61" s="6">
        <v>0</v>
      </c>
      <c r="BC61" s="5">
        <v>0</v>
      </c>
      <c r="BD61" s="6">
        <v>0</v>
      </c>
      <c r="BE61" s="5">
        <v>0</v>
      </c>
      <c r="BF61" s="6">
        <v>0</v>
      </c>
      <c r="BG61" s="5">
        <v>0</v>
      </c>
      <c r="BH61" s="9">
        <f t="shared" si="2"/>
        <v>1660</v>
      </c>
      <c r="BI61" s="10">
        <f t="shared" si="3"/>
        <v>5796.6614992614623</v>
      </c>
      <c r="BJ61" s="6">
        <f t="shared" si="4"/>
        <v>176.14648871017994</v>
      </c>
      <c r="BK61" s="11">
        <f t="shared" si="5"/>
        <v>0.11870881281068435</v>
      </c>
      <c r="BL61" s="5">
        <f t="shared" si="6"/>
        <v>825.75223644056587</v>
      </c>
      <c r="BM61" s="11">
        <f t="shared" si="7"/>
        <v>0.16611694013742009</v>
      </c>
    </row>
    <row r="62" spans="1:65" ht="15" customHeight="1" x14ac:dyDescent="0.4">
      <c r="A62" s="2" t="s">
        <v>65</v>
      </c>
      <c r="B62" s="2" t="s">
        <v>66</v>
      </c>
      <c r="C62" s="2" t="s">
        <v>142</v>
      </c>
      <c r="D62" s="3" t="s">
        <v>101</v>
      </c>
      <c r="E62" s="3" t="s">
        <v>147</v>
      </c>
      <c r="F62" s="2" t="s">
        <v>148</v>
      </c>
      <c r="G62" s="4">
        <v>5</v>
      </c>
      <c r="H62" s="5">
        <v>2.839999999999999</v>
      </c>
      <c r="I62" s="5">
        <v>2.9603522132534699</v>
      </c>
      <c r="J62" s="6">
        <v>0</v>
      </c>
      <c r="K62" s="5">
        <v>0</v>
      </c>
      <c r="L62" s="6">
        <v>0</v>
      </c>
      <c r="M62" s="5">
        <v>0</v>
      </c>
      <c r="N62" s="6">
        <v>0</v>
      </c>
      <c r="O62" s="5">
        <v>0</v>
      </c>
      <c r="P62" s="6">
        <v>0</v>
      </c>
      <c r="Q62" s="5">
        <v>0</v>
      </c>
      <c r="R62" s="6">
        <v>0</v>
      </c>
      <c r="S62" s="5">
        <v>0</v>
      </c>
      <c r="T62" s="6">
        <v>39.569426967728532</v>
      </c>
      <c r="U62" s="5">
        <v>112.377172588349</v>
      </c>
      <c r="V62" s="6">
        <v>0</v>
      </c>
      <c r="W62" s="5">
        <v>0</v>
      </c>
      <c r="X62" s="6">
        <v>0</v>
      </c>
      <c r="Y62" s="5">
        <v>0</v>
      </c>
      <c r="Z62" s="6">
        <v>0</v>
      </c>
      <c r="AA62" s="5">
        <v>0</v>
      </c>
      <c r="AB62" s="6">
        <v>0</v>
      </c>
      <c r="AC62" s="5">
        <v>0</v>
      </c>
      <c r="AD62" s="6">
        <v>0</v>
      </c>
      <c r="AE62" s="5">
        <v>0</v>
      </c>
      <c r="AF62" s="6">
        <v>0</v>
      </c>
      <c r="AG62" s="5">
        <v>0</v>
      </c>
      <c r="AH62" s="7">
        <f t="shared" si="0"/>
        <v>39.569426967728532</v>
      </c>
      <c r="AI62" s="8">
        <f t="shared" si="1"/>
        <v>112.377172588349</v>
      </c>
      <c r="AJ62" s="6">
        <v>0</v>
      </c>
      <c r="AK62" s="5">
        <v>0</v>
      </c>
      <c r="AL62" s="6">
        <v>0</v>
      </c>
      <c r="AM62" s="5">
        <v>0</v>
      </c>
      <c r="AN62" s="6">
        <v>0</v>
      </c>
      <c r="AO62" s="5">
        <v>0</v>
      </c>
      <c r="AP62" s="6">
        <v>0</v>
      </c>
      <c r="AQ62" s="5">
        <v>0</v>
      </c>
      <c r="AR62" s="6">
        <v>0</v>
      </c>
      <c r="AS62" s="5">
        <v>0</v>
      </c>
      <c r="AT62" s="6">
        <v>50</v>
      </c>
      <c r="AU62" s="5">
        <v>148.01761066267349</v>
      </c>
      <c r="AV62" s="6">
        <v>0</v>
      </c>
      <c r="AW62" s="5">
        <v>0</v>
      </c>
      <c r="AX62" s="6">
        <v>0</v>
      </c>
      <c r="AY62" s="5">
        <v>0</v>
      </c>
      <c r="AZ62" s="6">
        <v>0</v>
      </c>
      <c r="BA62" s="5">
        <v>0</v>
      </c>
      <c r="BB62" s="6">
        <v>0</v>
      </c>
      <c r="BC62" s="5">
        <v>0</v>
      </c>
      <c r="BD62" s="6">
        <v>0</v>
      </c>
      <c r="BE62" s="5">
        <v>0</v>
      </c>
      <c r="BF62" s="6">
        <v>0</v>
      </c>
      <c r="BG62" s="5">
        <v>0</v>
      </c>
      <c r="BH62" s="9">
        <f t="shared" si="2"/>
        <v>50</v>
      </c>
      <c r="BI62" s="10">
        <f t="shared" si="3"/>
        <v>148.01761066267349</v>
      </c>
      <c r="BJ62" s="6">
        <f t="shared" si="4"/>
        <v>10.430573032271468</v>
      </c>
      <c r="BK62" s="11">
        <f t="shared" si="5"/>
        <v>0.26360182169881524</v>
      </c>
      <c r="BL62" s="5">
        <f t="shared" si="6"/>
        <v>35.640438074324493</v>
      </c>
      <c r="BM62" s="11">
        <f t="shared" si="7"/>
        <v>0.31715015828774828</v>
      </c>
    </row>
    <row r="63" spans="1:65" ht="15" customHeight="1" x14ac:dyDescent="0.4">
      <c r="A63" s="2" t="s">
        <v>65</v>
      </c>
      <c r="B63" s="2" t="s">
        <v>66</v>
      </c>
      <c r="C63" s="2" t="s">
        <v>142</v>
      </c>
      <c r="D63" s="3" t="s">
        <v>101</v>
      </c>
      <c r="E63" s="3" t="s">
        <v>149</v>
      </c>
      <c r="F63" s="2" t="s">
        <v>150</v>
      </c>
      <c r="G63" s="4">
        <v>5</v>
      </c>
      <c r="H63" s="5">
        <v>3.14</v>
      </c>
      <c r="I63" s="5">
        <v>3.2730654752168649</v>
      </c>
      <c r="J63" s="6">
        <v>0</v>
      </c>
      <c r="K63" s="5">
        <v>0</v>
      </c>
      <c r="L63" s="6">
        <v>0</v>
      </c>
      <c r="M63" s="5">
        <v>0</v>
      </c>
      <c r="N63" s="6">
        <v>0</v>
      </c>
      <c r="O63" s="5">
        <v>0</v>
      </c>
      <c r="P63" s="6">
        <v>79.138853935457064</v>
      </c>
      <c r="Q63" s="5">
        <v>248.49600135733519</v>
      </c>
      <c r="R63" s="6">
        <v>0</v>
      </c>
      <c r="S63" s="5">
        <v>0</v>
      </c>
      <c r="T63" s="6">
        <v>0</v>
      </c>
      <c r="U63" s="5">
        <v>0</v>
      </c>
      <c r="V63" s="6">
        <v>0</v>
      </c>
      <c r="W63" s="5">
        <v>0</v>
      </c>
      <c r="X63" s="6">
        <v>0</v>
      </c>
      <c r="Y63" s="5">
        <v>0</v>
      </c>
      <c r="Z63" s="6">
        <v>0</v>
      </c>
      <c r="AA63" s="5">
        <v>0</v>
      </c>
      <c r="AB63" s="6">
        <v>0</v>
      </c>
      <c r="AC63" s="5">
        <v>0</v>
      </c>
      <c r="AD63" s="6">
        <v>0</v>
      </c>
      <c r="AE63" s="5">
        <v>0</v>
      </c>
      <c r="AF63" s="6">
        <v>0</v>
      </c>
      <c r="AG63" s="5">
        <v>0</v>
      </c>
      <c r="AH63" s="7">
        <f t="shared" si="0"/>
        <v>79.138853935457064</v>
      </c>
      <c r="AI63" s="8">
        <f t="shared" si="1"/>
        <v>248.49600135733519</v>
      </c>
      <c r="AJ63" s="6">
        <v>0</v>
      </c>
      <c r="AK63" s="5">
        <v>0</v>
      </c>
      <c r="AL63" s="6">
        <v>0</v>
      </c>
      <c r="AM63" s="5">
        <v>0</v>
      </c>
      <c r="AN63" s="6">
        <v>0</v>
      </c>
      <c r="AO63" s="5">
        <v>0</v>
      </c>
      <c r="AP63" s="6">
        <v>90</v>
      </c>
      <c r="AQ63" s="5">
        <v>294.57589276951779</v>
      </c>
      <c r="AR63" s="6">
        <v>0</v>
      </c>
      <c r="AS63" s="5">
        <v>0</v>
      </c>
      <c r="AT63" s="6">
        <v>0</v>
      </c>
      <c r="AU63" s="5">
        <v>0</v>
      </c>
      <c r="AV63" s="6">
        <v>0</v>
      </c>
      <c r="AW63" s="5">
        <v>0</v>
      </c>
      <c r="AX63" s="6">
        <v>0</v>
      </c>
      <c r="AY63" s="5">
        <v>0</v>
      </c>
      <c r="AZ63" s="6">
        <v>0</v>
      </c>
      <c r="BA63" s="5">
        <v>0</v>
      </c>
      <c r="BB63" s="6">
        <v>0</v>
      </c>
      <c r="BC63" s="5">
        <v>0</v>
      </c>
      <c r="BD63" s="6">
        <v>0</v>
      </c>
      <c r="BE63" s="5">
        <v>0</v>
      </c>
      <c r="BF63" s="6">
        <v>0</v>
      </c>
      <c r="BG63" s="5">
        <v>0</v>
      </c>
      <c r="BH63" s="9">
        <f t="shared" si="2"/>
        <v>90</v>
      </c>
      <c r="BI63" s="10">
        <f t="shared" si="3"/>
        <v>294.57589276951779</v>
      </c>
      <c r="BJ63" s="6">
        <f t="shared" si="4"/>
        <v>10.861146064542936</v>
      </c>
      <c r="BK63" s="11">
        <f t="shared" si="5"/>
        <v>0.13724163952893373</v>
      </c>
      <c r="BL63" s="5">
        <f t="shared" si="6"/>
        <v>46.079891412182604</v>
      </c>
      <c r="BM63" s="11">
        <f t="shared" si="7"/>
        <v>0.18543514245897302</v>
      </c>
    </row>
    <row r="64" spans="1:65" ht="15" customHeight="1" x14ac:dyDescent="0.4">
      <c r="A64" s="2" t="s">
        <v>65</v>
      </c>
      <c r="B64" s="2" t="s">
        <v>66</v>
      </c>
      <c r="C64" s="2" t="s">
        <v>142</v>
      </c>
      <c r="D64" s="3" t="s">
        <v>101</v>
      </c>
      <c r="E64" s="3" t="s">
        <v>151</v>
      </c>
      <c r="F64" s="2" t="s">
        <v>152</v>
      </c>
      <c r="G64" s="4">
        <v>5</v>
      </c>
      <c r="H64" s="5">
        <v>2.7293750000000001</v>
      </c>
      <c r="I64" s="5">
        <v>2.8449718028049071</v>
      </c>
      <c r="J64" s="6">
        <v>0</v>
      </c>
      <c r="K64" s="5">
        <v>0</v>
      </c>
      <c r="L64" s="6">
        <v>0</v>
      </c>
      <c r="M64" s="5">
        <v>0</v>
      </c>
      <c r="N64" s="6">
        <v>296.77070225796399</v>
      </c>
      <c r="O64" s="5">
        <v>807.21631014166201</v>
      </c>
      <c r="P64" s="6">
        <v>0</v>
      </c>
      <c r="Q64" s="5">
        <v>0</v>
      </c>
      <c r="R64" s="6">
        <v>0</v>
      </c>
      <c r="S64" s="5">
        <v>0</v>
      </c>
      <c r="T64" s="6">
        <v>296.77070225796399</v>
      </c>
      <c r="U64" s="5">
        <v>807.21631014166201</v>
      </c>
      <c r="V64" s="6">
        <v>39.569426967728532</v>
      </c>
      <c r="W64" s="5">
        <v>113.5642553973809</v>
      </c>
      <c r="X64" s="6">
        <v>0</v>
      </c>
      <c r="Y64" s="5">
        <v>0</v>
      </c>
      <c r="Z64" s="6">
        <v>0</v>
      </c>
      <c r="AA64" s="5">
        <v>0</v>
      </c>
      <c r="AB64" s="6">
        <v>0</v>
      </c>
      <c r="AC64" s="5">
        <v>0</v>
      </c>
      <c r="AD64" s="6">
        <v>0</v>
      </c>
      <c r="AE64" s="5">
        <v>0</v>
      </c>
      <c r="AF64" s="6">
        <v>0</v>
      </c>
      <c r="AG64" s="5">
        <v>0</v>
      </c>
      <c r="AH64" s="7">
        <f t="shared" si="0"/>
        <v>633.11083148365651</v>
      </c>
      <c r="AI64" s="8">
        <f t="shared" si="1"/>
        <v>1727.996875680705</v>
      </c>
      <c r="AJ64" s="6">
        <v>0</v>
      </c>
      <c r="AK64" s="5">
        <v>0</v>
      </c>
      <c r="AL64" s="6">
        <v>0</v>
      </c>
      <c r="AM64" s="5">
        <v>0</v>
      </c>
      <c r="AN64" s="6">
        <v>340</v>
      </c>
      <c r="AO64" s="5">
        <v>963.99074887915822</v>
      </c>
      <c r="AP64" s="6">
        <v>0</v>
      </c>
      <c r="AQ64" s="5">
        <v>0</v>
      </c>
      <c r="AR64" s="6">
        <v>0</v>
      </c>
      <c r="AS64" s="5">
        <v>0</v>
      </c>
      <c r="AT64" s="6">
        <v>340</v>
      </c>
      <c r="AU64" s="5">
        <v>963.99074887915822</v>
      </c>
      <c r="AV64" s="6">
        <v>45</v>
      </c>
      <c r="AW64" s="5">
        <v>134.62305927524139</v>
      </c>
      <c r="AX64" s="6">
        <v>0</v>
      </c>
      <c r="AY64" s="5">
        <v>0</v>
      </c>
      <c r="AZ64" s="6">
        <v>0</v>
      </c>
      <c r="BA64" s="5">
        <v>0</v>
      </c>
      <c r="BB64" s="6">
        <v>0</v>
      </c>
      <c r="BC64" s="5">
        <v>0</v>
      </c>
      <c r="BD64" s="6">
        <v>0</v>
      </c>
      <c r="BE64" s="5">
        <v>0</v>
      </c>
      <c r="BF64" s="6">
        <v>0</v>
      </c>
      <c r="BG64" s="5">
        <v>0</v>
      </c>
      <c r="BH64" s="9">
        <f t="shared" si="2"/>
        <v>725</v>
      </c>
      <c r="BI64" s="10">
        <f t="shared" si="3"/>
        <v>2062.6045570335577</v>
      </c>
      <c r="BJ64" s="6">
        <f t="shared" si="4"/>
        <v>91.889168516343489</v>
      </c>
      <c r="BK64" s="11">
        <f t="shared" si="5"/>
        <v>0.14513915091455132</v>
      </c>
      <c r="BL64" s="5">
        <f t="shared" si="6"/>
        <v>334.60768135285275</v>
      </c>
      <c r="BM64" s="11">
        <f t="shared" si="7"/>
        <v>0.19363905459669403</v>
      </c>
    </row>
    <row r="65" spans="1:65" ht="15" customHeight="1" x14ac:dyDescent="0.4">
      <c r="A65" s="2" t="s">
        <v>65</v>
      </c>
      <c r="B65" s="2" t="s">
        <v>66</v>
      </c>
      <c r="C65" s="2" t="s">
        <v>142</v>
      </c>
      <c r="D65" s="3" t="s">
        <v>101</v>
      </c>
      <c r="E65" s="3" t="s">
        <v>128</v>
      </c>
      <c r="F65" s="2" t="s">
        <v>129</v>
      </c>
      <c r="G65" s="4">
        <v>5</v>
      </c>
      <c r="H65" s="5">
        <v>3.5519148936170208</v>
      </c>
      <c r="I65" s="5">
        <v>3.7026219869991408</v>
      </c>
      <c r="J65" s="6">
        <v>0</v>
      </c>
      <c r="K65" s="5">
        <v>0</v>
      </c>
      <c r="L65" s="6">
        <v>0</v>
      </c>
      <c r="M65" s="5">
        <v>0</v>
      </c>
      <c r="N65" s="6">
        <v>0</v>
      </c>
      <c r="O65" s="5">
        <v>0</v>
      </c>
      <c r="P65" s="6">
        <v>395.69426967728532</v>
      </c>
      <c r="Q65" s="5">
        <v>1392.843829264044</v>
      </c>
      <c r="R65" s="6">
        <v>474.83312361274233</v>
      </c>
      <c r="S65" s="5">
        <v>1671.412595116853</v>
      </c>
      <c r="T65" s="6">
        <v>593.54140451592798</v>
      </c>
      <c r="U65" s="5">
        <v>2089.2657438960659</v>
      </c>
      <c r="V65" s="6">
        <v>197.84713483864269</v>
      </c>
      <c r="W65" s="5">
        <v>726.09898485781855</v>
      </c>
      <c r="X65" s="6">
        <v>197.84713483864269</v>
      </c>
      <c r="Y65" s="5">
        <v>726.09898485781855</v>
      </c>
      <c r="Z65" s="6">
        <v>0</v>
      </c>
      <c r="AA65" s="5">
        <v>0</v>
      </c>
      <c r="AB65" s="6">
        <v>0</v>
      </c>
      <c r="AC65" s="5">
        <v>0</v>
      </c>
      <c r="AD65" s="6">
        <v>0</v>
      </c>
      <c r="AE65" s="5">
        <v>0</v>
      </c>
      <c r="AF65" s="6">
        <v>0</v>
      </c>
      <c r="AG65" s="5">
        <v>0</v>
      </c>
      <c r="AH65" s="7">
        <f t="shared" si="0"/>
        <v>1859.763067483241</v>
      </c>
      <c r="AI65" s="8">
        <f t="shared" si="1"/>
        <v>6605.7201379925991</v>
      </c>
      <c r="AJ65" s="6">
        <v>0</v>
      </c>
      <c r="AK65" s="5">
        <v>0</v>
      </c>
      <c r="AL65" s="6">
        <v>0</v>
      </c>
      <c r="AM65" s="5">
        <v>0</v>
      </c>
      <c r="AN65" s="6">
        <v>0</v>
      </c>
      <c r="AO65" s="5">
        <v>0</v>
      </c>
      <c r="AP65" s="6">
        <v>455</v>
      </c>
      <c r="AQ65" s="5">
        <v>1669.471867868577</v>
      </c>
      <c r="AR65" s="6">
        <v>550</v>
      </c>
      <c r="AS65" s="5">
        <v>2018.042917203775</v>
      </c>
      <c r="AT65" s="6">
        <v>685</v>
      </c>
      <c r="AU65" s="5">
        <v>2513.380724153792</v>
      </c>
      <c r="AV65" s="6">
        <v>230</v>
      </c>
      <c r="AW65" s="5">
        <v>879.87088141100514</v>
      </c>
      <c r="AX65" s="6">
        <v>230</v>
      </c>
      <c r="AY65" s="5">
        <v>879.87088141100514</v>
      </c>
      <c r="AZ65" s="6">
        <v>0</v>
      </c>
      <c r="BA65" s="5">
        <v>0</v>
      </c>
      <c r="BB65" s="6">
        <v>0</v>
      </c>
      <c r="BC65" s="5">
        <v>0</v>
      </c>
      <c r="BD65" s="6">
        <v>0</v>
      </c>
      <c r="BE65" s="5">
        <v>0</v>
      </c>
      <c r="BF65" s="6">
        <v>0</v>
      </c>
      <c r="BG65" s="5">
        <v>0</v>
      </c>
      <c r="BH65" s="9">
        <f t="shared" si="2"/>
        <v>2150</v>
      </c>
      <c r="BI65" s="10">
        <f t="shared" si="3"/>
        <v>7960.637272048154</v>
      </c>
      <c r="BJ65" s="6">
        <f t="shared" si="4"/>
        <v>290.236932516759</v>
      </c>
      <c r="BK65" s="11">
        <f t="shared" si="5"/>
        <v>0.15606124112870332</v>
      </c>
      <c r="BL65" s="5">
        <f t="shared" si="6"/>
        <v>1354.9171340555549</v>
      </c>
      <c r="BM65" s="11">
        <f t="shared" si="7"/>
        <v>0.20511270622301875</v>
      </c>
    </row>
    <row r="66" spans="1:65" ht="15" customHeight="1" x14ac:dyDescent="0.4">
      <c r="A66" s="2" t="s">
        <v>65</v>
      </c>
      <c r="B66" s="2" t="s">
        <v>66</v>
      </c>
      <c r="C66" s="2" t="s">
        <v>142</v>
      </c>
      <c r="D66" s="3" t="s">
        <v>101</v>
      </c>
      <c r="E66" s="3" t="s">
        <v>94</v>
      </c>
      <c r="F66" s="2" t="s">
        <v>95</v>
      </c>
      <c r="G66" s="4">
        <v>20</v>
      </c>
      <c r="H66" s="5">
        <v>2.08</v>
      </c>
      <c r="I66" s="5">
        <v>2.1681452829462038</v>
      </c>
      <c r="J66" s="6">
        <v>0</v>
      </c>
      <c r="K66" s="5">
        <v>0</v>
      </c>
      <c r="L66" s="6">
        <v>0</v>
      </c>
      <c r="M66" s="5">
        <v>0</v>
      </c>
      <c r="N66" s="6">
        <v>0</v>
      </c>
      <c r="O66" s="5">
        <v>0</v>
      </c>
      <c r="P66" s="6">
        <v>0</v>
      </c>
      <c r="Q66" s="5">
        <v>0</v>
      </c>
      <c r="R66" s="6">
        <v>237.41656180637119</v>
      </c>
      <c r="S66" s="5">
        <v>493.82644855725198</v>
      </c>
      <c r="T66" s="6">
        <v>0</v>
      </c>
      <c r="U66" s="5">
        <v>0</v>
      </c>
      <c r="V66" s="6">
        <v>0</v>
      </c>
      <c r="W66" s="5">
        <v>0</v>
      </c>
      <c r="X66" s="6">
        <v>0</v>
      </c>
      <c r="Y66" s="5">
        <v>0</v>
      </c>
      <c r="Z66" s="6">
        <v>0</v>
      </c>
      <c r="AA66" s="5">
        <v>0</v>
      </c>
      <c r="AB66" s="6">
        <v>0</v>
      </c>
      <c r="AC66" s="5">
        <v>0</v>
      </c>
      <c r="AD66" s="6">
        <v>0</v>
      </c>
      <c r="AE66" s="5">
        <v>0</v>
      </c>
      <c r="AF66" s="6">
        <v>0</v>
      </c>
      <c r="AG66" s="5">
        <v>0</v>
      </c>
      <c r="AH66" s="7">
        <f t="shared" ref="AH66:AH129" si="8">J66+L66+N66+P66+R66+T66+V66+X66+Z66+AB66+AD66+AF66</f>
        <v>237.41656180637119</v>
      </c>
      <c r="AI66" s="8">
        <f t="shared" ref="AI66:AI129" si="9">K66+M66+O66+Q66+S66+U66+W66+Y66+AA66+AC66+AE66+AG66</f>
        <v>493.82644855725198</v>
      </c>
      <c r="AJ66" s="6">
        <v>0</v>
      </c>
      <c r="AK66" s="5">
        <v>0</v>
      </c>
      <c r="AL66" s="6">
        <v>0</v>
      </c>
      <c r="AM66" s="5">
        <v>0</v>
      </c>
      <c r="AN66" s="6">
        <v>0</v>
      </c>
      <c r="AO66" s="5">
        <v>0</v>
      </c>
      <c r="AP66" s="6">
        <v>0</v>
      </c>
      <c r="AQ66" s="5">
        <v>0</v>
      </c>
      <c r="AR66" s="6">
        <v>280</v>
      </c>
      <c r="AS66" s="5">
        <v>607.08067922493706</v>
      </c>
      <c r="AT66" s="6">
        <v>0</v>
      </c>
      <c r="AU66" s="5">
        <v>0</v>
      </c>
      <c r="AV66" s="6">
        <v>0</v>
      </c>
      <c r="AW66" s="5">
        <v>0</v>
      </c>
      <c r="AX66" s="6">
        <v>0</v>
      </c>
      <c r="AY66" s="5">
        <v>0</v>
      </c>
      <c r="AZ66" s="6">
        <v>0</v>
      </c>
      <c r="BA66" s="5">
        <v>0</v>
      </c>
      <c r="BB66" s="6">
        <v>0</v>
      </c>
      <c r="BC66" s="5">
        <v>0</v>
      </c>
      <c r="BD66" s="6">
        <v>0</v>
      </c>
      <c r="BE66" s="5">
        <v>0</v>
      </c>
      <c r="BF66" s="6">
        <v>0</v>
      </c>
      <c r="BG66" s="5">
        <v>0</v>
      </c>
      <c r="BH66" s="9">
        <f t="shared" ref="BH66:BH129" si="10">AJ66+AL66+AN66+AP66+AR66+AT66+AV66+AX66+AZ66+BB66+BD66+BF66</f>
        <v>280</v>
      </c>
      <c r="BI66" s="10">
        <f t="shared" ref="BI66:BI129" si="11">AK66+AM66+AO66+AQ66+AS66+AU66+AW66+AY66+BA66+BC66+BE66+BG66</f>
        <v>607.08067922493706</v>
      </c>
      <c r="BJ66" s="6">
        <f t="shared" ref="BJ66:BJ129" si="12">BH66-AH66</f>
        <v>42.583438193628808</v>
      </c>
      <c r="BK66" s="11">
        <f t="shared" ref="BK66:BK129" si="13">IF(AH66&gt;0, BJ66/AH66, 0)</f>
        <v>0.17936170025222756</v>
      </c>
      <c r="BL66" s="5">
        <f t="shared" ref="BL66:BL129" si="14">BI66-AI66</f>
        <v>113.25423066768508</v>
      </c>
      <c r="BM66" s="11">
        <f t="shared" ref="BM66:BM129" si="15">IF(AI66&gt;0, BL66/AI66, 0)</f>
        <v>0.22934014773523193</v>
      </c>
    </row>
    <row r="67" spans="1:65" ht="15" customHeight="1" x14ac:dyDescent="0.4">
      <c r="A67" s="2" t="s">
        <v>65</v>
      </c>
      <c r="B67" s="2" t="s">
        <v>66</v>
      </c>
      <c r="C67" s="2" t="s">
        <v>142</v>
      </c>
      <c r="D67" s="3" t="s">
        <v>101</v>
      </c>
      <c r="E67" s="3" t="s">
        <v>131</v>
      </c>
      <c r="F67" s="2" t="s">
        <v>132</v>
      </c>
      <c r="G67" s="4">
        <v>20</v>
      </c>
      <c r="H67" s="5">
        <v>1.89</v>
      </c>
      <c r="I67" s="5">
        <v>1.9716264585162671</v>
      </c>
      <c r="J67" s="6">
        <v>0</v>
      </c>
      <c r="K67" s="5">
        <v>0</v>
      </c>
      <c r="L67" s="6">
        <v>0</v>
      </c>
      <c r="M67" s="5">
        <v>0</v>
      </c>
      <c r="N67" s="6">
        <v>0</v>
      </c>
      <c r="O67" s="5">
        <v>0</v>
      </c>
      <c r="P67" s="6">
        <v>0</v>
      </c>
      <c r="Q67" s="5">
        <v>0</v>
      </c>
      <c r="R67" s="6">
        <v>0</v>
      </c>
      <c r="S67" s="5">
        <v>0</v>
      </c>
      <c r="T67" s="6">
        <v>197.84713483864269</v>
      </c>
      <c r="U67" s="5">
        <v>354.14637136117028</v>
      </c>
      <c r="V67" s="6">
        <v>395.69426967728532</v>
      </c>
      <c r="W67" s="5">
        <v>767.64688317393347</v>
      </c>
      <c r="X67" s="6">
        <v>0</v>
      </c>
      <c r="Y67" s="5">
        <v>0</v>
      </c>
      <c r="Z67" s="6">
        <v>0</v>
      </c>
      <c r="AA67" s="5">
        <v>0</v>
      </c>
      <c r="AB67" s="6">
        <v>0</v>
      </c>
      <c r="AC67" s="5">
        <v>0</v>
      </c>
      <c r="AD67" s="6">
        <v>0</v>
      </c>
      <c r="AE67" s="5">
        <v>0</v>
      </c>
      <c r="AF67" s="6">
        <v>0</v>
      </c>
      <c r="AG67" s="5">
        <v>0</v>
      </c>
      <c r="AH67" s="7">
        <f t="shared" si="8"/>
        <v>593.54140451592798</v>
      </c>
      <c r="AI67" s="8">
        <f t="shared" si="9"/>
        <v>1121.7932545351036</v>
      </c>
      <c r="AJ67" s="6">
        <v>0</v>
      </c>
      <c r="AK67" s="5">
        <v>0</v>
      </c>
      <c r="AL67" s="6">
        <v>0</v>
      </c>
      <c r="AM67" s="5">
        <v>0</v>
      </c>
      <c r="AN67" s="6">
        <v>0</v>
      </c>
      <c r="AO67" s="5">
        <v>0</v>
      </c>
      <c r="AP67" s="6">
        <v>0</v>
      </c>
      <c r="AQ67" s="5">
        <v>0</v>
      </c>
      <c r="AR67" s="6">
        <v>0</v>
      </c>
      <c r="AS67" s="5">
        <v>0</v>
      </c>
      <c r="AT67" s="6">
        <v>220</v>
      </c>
      <c r="AU67" s="5">
        <v>410.48827520394963</v>
      </c>
      <c r="AV67" s="6">
        <v>460</v>
      </c>
      <c r="AW67" s="5">
        <v>930.21771658711179</v>
      </c>
      <c r="AX67" s="6">
        <v>0</v>
      </c>
      <c r="AY67" s="5">
        <v>0</v>
      </c>
      <c r="AZ67" s="6">
        <v>0</v>
      </c>
      <c r="BA67" s="5">
        <v>0</v>
      </c>
      <c r="BB67" s="6">
        <v>0</v>
      </c>
      <c r="BC67" s="5">
        <v>0</v>
      </c>
      <c r="BD67" s="6">
        <v>0</v>
      </c>
      <c r="BE67" s="5">
        <v>0</v>
      </c>
      <c r="BF67" s="6">
        <v>0</v>
      </c>
      <c r="BG67" s="5">
        <v>0</v>
      </c>
      <c r="BH67" s="9">
        <f t="shared" si="10"/>
        <v>680</v>
      </c>
      <c r="BI67" s="10">
        <f t="shared" si="11"/>
        <v>1340.7059917910615</v>
      </c>
      <c r="BJ67" s="6">
        <f t="shared" si="12"/>
        <v>86.458595484072021</v>
      </c>
      <c r="BK67" s="11">
        <f t="shared" si="13"/>
        <v>0.14566565167359249</v>
      </c>
      <c r="BL67" s="5">
        <f t="shared" si="14"/>
        <v>218.91273725595784</v>
      </c>
      <c r="BM67" s="11">
        <f t="shared" si="15"/>
        <v>0.19514534997509875</v>
      </c>
    </row>
    <row r="68" spans="1:65" ht="15" customHeight="1" x14ac:dyDescent="0.4">
      <c r="A68" s="2" t="s">
        <v>65</v>
      </c>
      <c r="B68" s="2" t="s">
        <v>66</v>
      </c>
      <c r="C68" s="2" t="s">
        <v>153</v>
      </c>
      <c r="D68" s="3" t="s">
        <v>68</v>
      </c>
      <c r="E68" s="3" t="s">
        <v>102</v>
      </c>
      <c r="F68" s="2" t="s">
        <v>103</v>
      </c>
      <c r="G68" s="4">
        <v>5</v>
      </c>
      <c r="H68" s="5">
        <v>4.8564705882352941</v>
      </c>
      <c r="I68" s="5">
        <v>5.0622794796038884</v>
      </c>
      <c r="J68" s="6">
        <v>0</v>
      </c>
      <c r="K68" s="5">
        <v>0</v>
      </c>
      <c r="L68" s="6">
        <v>0</v>
      </c>
      <c r="M68" s="5">
        <v>0</v>
      </c>
      <c r="N68" s="6">
        <v>0</v>
      </c>
      <c r="O68" s="5">
        <v>0</v>
      </c>
      <c r="P68" s="6">
        <v>494.61783709660659</v>
      </c>
      <c r="Q68" s="5">
        <v>2403.8426882895078</v>
      </c>
      <c r="R68" s="6">
        <v>1187.082809031856</v>
      </c>
      <c r="S68" s="5">
        <v>5763.28703784966</v>
      </c>
      <c r="T68" s="6">
        <v>0</v>
      </c>
      <c r="U68" s="5">
        <v>0</v>
      </c>
      <c r="V68" s="6">
        <v>0</v>
      </c>
      <c r="W68" s="5">
        <v>0</v>
      </c>
      <c r="X68" s="6">
        <v>0</v>
      </c>
      <c r="Y68" s="5">
        <v>0</v>
      </c>
      <c r="Z68" s="6">
        <v>0</v>
      </c>
      <c r="AA68" s="5">
        <v>0</v>
      </c>
      <c r="AB68" s="6">
        <v>0</v>
      </c>
      <c r="AC68" s="5">
        <v>0</v>
      </c>
      <c r="AD68" s="6">
        <v>0</v>
      </c>
      <c r="AE68" s="5">
        <v>0</v>
      </c>
      <c r="AF68" s="6">
        <v>0</v>
      </c>
      <c r="AG68" s="5">
        <v>0</v>
      </c>
      <c r="AH68" s="7">
        <f t="shared" si="8"/>
        <v>1681.7006461284625</v>
      </c>
      <c r="AI68" s="8">
        <f t="shared" si="9"/>
        <v>8167.1297261391683</v>
      </c>
      <c r="AJ68" s="6">
        <v>0</v>
      </c>
      <c r="AK68" s="5">
        <v>0</v>
      </c>
      <c r="AL68" s="6">
        <v>0</v>
      </c>
      <c r="AM68" s="5">
        <v>0</v>
      </c>
      <c r="AN68" s="6">
        <v>0</v>
      </c>
      <c r="AO68" s="5">
        <v>0</v>
      </c>
      <c r="AP68" s="6">
        <v>625</v>
      </c>
      <c r="AQ68" s="5">
        <v>3166.2217773793718</v>
      </c>
      <c r="AR68" s="6">
        <v>1495</v>
      </c>
      <c r="AS68" s="5">
        <v>7565.8107193808701</v>
      </c>
      <c r="AT68" s="6">
        <v>0</v>
      </c>
      <c r="AU68" s="5">
        <v>0</v>
      </c>
      <c r="AV68" s="6">
        <v>0</v>
      </c>
      <c r="AW68" s="5">
        <v>0</v>
      </c>
      <c r="AX68" s="6">
        <v>0</v>
      </c>
      <c r="AY68" s="5">
        <v>0</v>
      </c>
      <c r="AZ68" s="6">
        <v>0</v>
      </c>
      <c r="BA68" s="5">
        <v>0</v>
      </c>
      <c r="BB68" s="6">
        <v>0</v>
      </c>
      <c r="BC68" s="5">
        <v>0</v>
      </c>
      <c r="BD68" s="6">
        <v>0</v>
      </c>
      <c r="BE68" s="5">
        <v>0</v>
      </c>
      <c r="BF68" s="6">
        <v>0</v>
      </c>
      <c r="BG68" s="5">
        <v>0</v>
      </c>
      <c r="BH68" s="9">
        <f t="shared" si="10"/>
        <v>2120</v>
      </c>
      <c r="BI68" s="10">
        <f t="shared" si="11"/>
        <v>10732.032496760243</v>
      </c>
      <c r="BJ68" s="6">
        <f t="shared" si="12"/>
        <v>438.29935387153751</v>
      </c>
      <c r="BK68" s="11">
        <f t="shared" si="13"/>
        <v>0.26062864094187693</v>
      </c>
      <c r="BL68" s="5">
        <f t="shared" si="14"/>
        <v>2564.9027706210745</v>
      </c>
      <c r="BM68" s="11">
        <f t="shared" si="15"/>
        <v>0.31405191990669851</v>
      </c>
    </row>
    <row r="69" spans="1:65" ht="15" customHeight="1" x14ac:dyDescent="0.4">
      <c r="A69" s="2" t="s">
        <v>65</v>
      </c>
      <c r="B69" s="2" t="s">
        <v>66</v>
      </c>
      <c r="C69" s="2" t="s">
        <v>153</v>
      </c>
      <c r="D69" s="3" t="s">
        <v>68</v>
      </c>
      <c r="E69" s="3" t="s">
        <v>106</v>
      </c>
      <c r="F69" s="2" t="s">
        <v>107</v>
      </c>
      <c r="G69" s="4">
        <v>5</v>
      </c>
      <c r="H69" s="5">
        <v>4.5999999999999996</v>
      </c>
      <c r="I69" s="5">
        <v>4.7949366834387197</v>
      </c>
      <c r="J69" s="6">
        <v>0</v>
      </c>
      <c r="K69" s="5">
        <v>0</v>
      </c>
      <c r="L69" s="6">
        <v>0</v>
      </c>
      <c r="M69" s="5">
        <v>0</v>
      </c>
      <c r="N69" s="6">
        <v>0</v>
      </c>
      <c r="O69" s="5">
        <v>0</v>
      </c>
      <c r="P69" s="6">
        <v>0</v>
      </c>
      <c r="Q69" s="5">
        <v>0</v>
      </c>
      <c r="R69" s="6">
        <v>296.77070225796399</v>
      </c>
      <c r="S69" s="5">
        <v>1365.145230386634</v>
      </c>
      <c r="T69" s="6">
        <v>0</v>
      </c>
      <c r="U69" s="5">
        <v>0</v>
      </c>
      <c r="V69" s="6">
        <v>0</v>
      </c>
      <c r="W69" s="5">
        <v>0</v>
      </c>
      <c r="X69" s="6">
        <v>0</v>
      </c>
      <c r="Y69" s="5">
        <v>0</v>
      </c>
      <c r="Z69" s="6">
        <v>0</v>
      </c>
      <c r="AA69" s="5">
        <v>0</v>
      </c>
      <c r="AB69" s="6">
        <v>0</v>
      </c>
      <c r="AC69" s="5">
        <v>0</v>
      </c>
      <c r="AD69" s="6">
        <v>0</v>
      </c>
      <c r="AE69" s="5">
        <v>0</v>
      </c>
      <c r="AF69" s="6">
        <v>0</v>
      </c>
      <c r="AG69" s="5">
        <v>0</v>
      </c>
      <c r="AH69" s="7">
        <f t="shared" si="8"/>
        <v>296.77070225796399</v>
      </c>
      <c r="AI69" s="8">
        <f t="shared" si="9"/>
        <v>1365.145230386634</v>
      </c>
      <c r="AJ69" s="6">
        <v>0</v>
      </c>
      <c r="AK69" s="5">
        <v>0</v>
      </c>
      <c r="AL69" s="6">
        <v>0</v>
      </c>
      <c r="AM69" s="5">
        <v>0</v>
      </c>
      <c r="AN69" s="6">
        <v>0</v>
      </c>
      <c r="AO69" s="5">
        <v>0</v>
      </c>
      <c r="AP69" s="6">
        <v>0</v>
      </c>
      <c r="AQ69" s="5">
        <v>0</v>
      </c>
      <c r="AR69" s="6">
        <v>335</v>
      </c>
      <c r="AS69" s="5">
        <v>1606.303788951971</v>
      </c>
      <c r="AT69" s="6">
        <v>0</v>
      </c>
      <c r="AU69" s="5">
        <v>0</v>
      </c>
      <c r="AV69" s="6">
        <v>0</v>
      </c>
      <c r="AW69" s="5">
        <v>0</v>
      </c>
      <c r="AX69" s="6">
        <v>0</v>
      </c>
      <c r="AY69" s="5">
        <v>0</v>
      </c>
      <c r="AZ69" s="6">
        <v>0</v>
      </c>
      <c r="BA69" s="5">
        <v>0</v>
      </c>
      <c r="BB69" s="6">
        <v>0</v>
      </c>
      <c r="BC69" s="5">
        <v>0</v>
      </c>
      <c r="BD69" s="6">
        <v>0</v>
      </c>
      <c r="BE69" s="5">
        <v>0</v>
      </c>
      <c r="BF69" s="6">
        <v>0</v>
      </c>
      <c r="BG69" s="5">
        <v>0</v>
      </c>
      <c r="BH69" s="9">
        <f t="shared" si="10"/>
        <v>335</v>
      </c>
      <c r="BI69" s="10">
        <f t="shared" si="11"/>
        <v>1606.303788951971</v>
      </c>
      <c r="BJ69" s="6">
        <f t="shared" si="12"/>
        <v>38.22929774203601</v>
      </c>
      <c r="BK69" s="11">
        <f t="shared" si="13"/>
        <v>0.12881762738427496</v>
      </c>
      <c r="BL69" s="5">
        <f t="shared" si="14"/>
        <v>241.15855856533699</v>
      </c>
      <c r="BM69" s="11">
        <f t="shared" si="15"/>
        <v>0.17665414140372193</v>
      </c>
    </row>
    <row r="70" spans="1:65" ht="15" customHeight="1" x14ac:dyDescent="0.4">
      <c r="A70" s="2" t="s">
        <v>65</v>
      </c>
      <c r="B70" s="2" t="s">
        <v>66</v>
      </c>
      <c r="C70" s="2" t="s">
        <v>153</v>
      </c>
      <c r="D70" s="3" t="s">
        <v>68</v>
      </c>
      <c r="E70" s="3" t="s">
        <v>108</v>
      </c>
      <c r="F70" s="2" t="s">
        <v>135</v>
      </c>
      <c r="G70" s="4">
        <v>5</v>
      </c>
      <c r="H70" s="5">
        <v>3.38</v>
      </c>
      <c r="I70" s="5">
        <v>3.5232360847875821</v>
      </c>
      <c r="J70" s="6">
        <v>0</v>
      </c>
      <c r="K70" s="5">
        <v>0</v>
      </c>
      <c r="L70" s="6">
        <v>0</v>
      </c>
      <c r="M70" s="5">
        <v>0</v>
      </c>
      <c r="N70" s="6">
        <v>197.84713483864269</v>
      </c>
      <c r="O70" s="5">
        <v>668.72331575461214</v>
      </c>
      <c r="P70" s="6">
        <v>0</v>
      </c>
      <c r="Q70" s="5">
        <v>0</v>
      </c>
      <c r="R70" s="6">
        <v>0</v>
      </c>
      <c r="S70" s="5">
        <v>0</v>
      </c>
      <c r="T70" s="6">
        <v>0</v>
      </c>
      <c r="U70" s="5">
        <v>0</v>
      </c>
      <c r="V70" s="6">
        <v>0</v>
      </c>
      <c r="W70" s="5">
        <v>0</v>
      </c>
      <c r="X70" s="6">
        <v>0</v>
      </c>
      <c r="Y70" s="5">
        <v>0</v>
      </c>
      <c r="Z70" s="6">
        <v>0</v>
      </c>
      <c r="AA70" s="5">
        <v>0</v>
      </c>
      <c r="AB70" s="6">
        <v>0</v>
      </c>
      <c r="AC70" s="5">
        <v>0</v>
      </c>
      <c r="AD70" s="6">
        <v>0</v>
      </c>
      <c r="AE70" s="5">
        <v>0</v>
      </c>
      <c r="AF70" s="6">
        <v>0</v>
      </c>
      <c r="AG70" s="5">
        <v>0</v>
      </c>
      <c r="AH70" s="7">
        <f t="shared" si="8"/>
        <v>197.84713483864269</v>
      </c>
      <c r="AI70" s="8">
        <f t="shared" si="9"/>
        <v>668.72331575461214</v>
      </c>
      <c r="AJ70" s="6">
        <v>0</v>
      </c>
      <c r="AK70" s="5">
        <v>0</v>
      </c>
      <c r="AL70" s="6">
        <v>0</v>
      </c>
      <c r="AM70" s="5">
        <v>0</v>
      </c>
      <c r="AN70" s="6">
        <v>240</v>
      </c>
      <c r="AO70" s="5">
        <v>845.57666034901956</v>
      </c>
      <c r="AP70" s="6">
        <v>0</v>
      </c>
      <c r="AQ70" s="5">
        <v>0</v>
      </c>
      <c r="AR70" s="6">
        <v>0</v>
      </c>
      <c r="AS70" s="5">
        <v>0</v>
      </c>
      <c r="AT70" s="6">
        <v>0</v>
      </c>
      <c r="AU70" s="5">
        <v>0</v>
      </c>
      <c r="AV70" s="6">
        <v>0</v>
      </c>
      <c r="AW70" s="5">
        <v>0</v>
      </c>
      <c r="AX70" s="6">
        <v>0</v>
      </c>
      <c r="AY70" s="5">
        <v>0</v>
      </c>
      <c r="AZ70" s="6">
        <v>0</v>
      </c>
      <c r="BA70" s="5">
        <v>0</v>
      </c>
      <c r="BB70" s="6">
        <v>0</v>
      </c>
      <c r="BC70" s="5">
        <v>0</v>
      </c>
      <c r="BD70" s="6">
        <v>0</v>
      </c>
      <c r="BE70" s="5">
        <v>0</v>
      </c>
      <c r="BF70" s="6">
        <v>0</v>
      </c>
      <c r="BG70" s="5">
        <v>0</v>
      </c>
      <c r="BH70" s="9">
        <f t="shared" si="10"/>
        <v>240</v>
      </c>
      <c r="BI70" s="10">
        <f t="shared" si="11"/>
        <v>845.57666034901956</v>
      </c>
      <c r="BJ70" s="6">
        <f t="shared" si="12"/>
        <v>42.152865161357312</v>
      </c>
      <c r="BK70" s="11">
        <f t="shared" si="13"/>
        <v>0.21305774883086245</v>
      </c>
      <c r="BL70" s="5">
        <f t="shared" si="14"/>
        <v>176.85334459440742</v>
      </c>
      <c r="BM70" s="11">
        <f t="shared" si="15"/>
        <v>0.26446415195623851</v>
      </c>
    </row>
    <row r="71" spans="1:65" ht="15" customHeight="1" x14ac:dyDescent="0.4">
      <c r="A71" s="2" t="s">
        <v>65</v>
      </c>
      <c r="B71" s="2" t="s">
        <v>66</v>
      </c>
      <c r="C71" s="2" t="s">
        <v>153</v>
      </c>
      <c r="D71" s="3" t="s">
        <v>68</v>
      </c>
      <c r="E71" s="3" t="s">
        <v>154</v>
      </c>
      <c r="F71" s="2" t="s">
        <v>155</v>
      </c>
      <c r="G71" s="4">
        <v>20</v>
      </c>
      <c r="H71" s="5">
        <v>3.08</v>
      </c>
      <c r="I71" s="5">
        <v>3.2105228228241849</v>
      </c>
      <c r="J71" s="6">
        <v>0</v>
      </c>
      <c r="K71" s="5">
        <v>0</v>
      </c>
      <c r="L71" s="6">
        <v>0</v>
      </c>
      <c r="M71" s="5">
        <v>0</v>
      </c>
      <c r="N71" s="6">
        <v>633.11083148365651</v>
      </c>
      <c r="O71" s="5">
        <v>1949.9813609696621</v>
      </c>
      <c r="P71" s="6">
        <v>0</v>
      </c>
      <c r="Q71" s="5">
        <v>0</v>
      </c>
      <c r="R71" s="6">
        <v>633.11083148365651</v>
      </c>
      <c r="S71" s="5">
        <v>1949.9813609696621</v>
      </c>
      <c r="T71" s="6">
        <v>633.11083148365651</v>
      </c>
      <c r="U71" s="5">
        <v>1949.9813609696621</v>
      </c>
      <c r="V71" s="6">
        <v>0</v>
      </c>
      <c r="W71" s="5">
        <v>0</v>
      </c>
      <c r="X71" s="6">
        <v>0</v>
      </c>
      <c r="Y71" s="5">
        <v>0</v>
      </c>
      <c r="Z71" s="6">
        <v>0</v>
      </c>
      <c r="AA71" s="5">
        <v>0</v>
      </c>
      <c r="AB71" s="6">
        <v>0</v>
      </c>
      <c r="AC71" s="5">
        <v>0</v>
      </c>
      <c r="AD71" s="6">
        <v>0</v>
      </c>
      <c r="AE71" s="5">
        <v>0</v>
      </c>
      <c r="AF71" s="6">
        <v>0</v>
      </c>
      <c r="AG71" s="5">
        <v>0</v>
      </c>
      <c r="AH71" s="7">
        <f t="shared" si="8"/>
        <v>1899.3324944509695</v>
      </c>
      <c r="AI71" s="8">
        <f t="shared" si="9"/>
        <v>5849.9440829089863</v>
      </c>
      <c r="AJ71" s="6">
        <v>0</v>
      </c>
      <c r="AK71" s="5">
        <v>0</v>
      </c>
      <c r="AL71" s="6">
        <v>0</v>
      </c>
      <c r="AM71" s="5">
        <v>0</v>
      </c>
      <c r="AN71" s="6">
        <v>760</v>
      </c>
      <c r="AO71" s="5">
        <v>2439.9973453463808</v>
      </c>
      <c r="AP71" s="6">
        <v>0</v>
      </c>
      <c r="AQ71" s="5">
        <v>0</v>
      </c>
      <c r="AR71" s="6">
        <v>760</v>
      </c>
      <c r="AS71" s="5">
        <v>2439.9973453463808</v>
      </c>
      <c r="AT71" s="6">
        <v>760</v>
      </c>
      <c r="AU71" s="5">
        <v>2439.9973453463808</v>
      </c>
      <c r="AV71" s="6">
        <v>0</v>
      </c>
      <c r="AW71" s="5">
        <v>0</v>
      </c>
      <c r="AX71" s="6">
        <v>0</v>
      </c>
      <c r="AY71" s="5">
        <v>0</v>
      </c>
      <c r="AZ71" s="6">
        <v>0</v>
      </c>
      <c r="BA71" s="5">
        <v>0</v>
      </c>
      <c r="BB71" s="6">
        <v>0</v>
      </c>
      <c r="BC71" s="5">
        <v>0</v>
      </c>
      <c r="BD71" s="6">
        <v>0</v>
      </c>
      <c r="BE71" s="5">
        <v>0</v>
      </c>
      <c r="BF71" s="6">
        <v>0</v>
      </c>
      <c r="BG71" s="5">
        <v>0</v>
      </c>
      <c r="BH71" s="9">
        <f t="shared" si="10"/>
        <v>2280</v>
      </c>
      <c r="BI71" s="10">
        <f t="shared" si="11"/>
        <v>7319.9920360391425</v>
      </c>
      <c r="BJ71" s="6">
        <f t="shared" si="12"/>
        <v>380.66750554903047</v>
      </c>
      <c r="BK71" s="11">
        <f t="shared" si="13"/>
        <v>0.20042173061387447</v>
      </c>
      <c r="BL71" s="5">
        <f t="shared" si="14"/>
        <v>1470.0479531301562</v>
      </c>
      <c r="BM71" s="11">
        <f t="shared" si="15"/>
        <v>0.2512926503733604</v>
      </c>
    </row>
    <row r="72" spans="1:65" ht="15" customHeight="1" x14ac:dyDescent="0.4">
      <c r="A72" s="2" t="s">
        <v>65</v>
      </c>
      <c r="B72" s="2" t="s">
        <v>66</v>
      </c>
      <c r="C72" s="2" t="s">
        <v>153</v>
      </c>
      <c r="D72" s="3" t="s">
        <v>68</v>
      </c>
      <c r="E72" s="3" t="s">
        <v>82</v>
      </c>
      <c r="F72" s="2" t="s">
        <v>83</v>
      </c>
      <c r="G72" s="4">
        <v>20</v>
      </c>
      <c r="H72" s="5">
        <v>3.089999999999999</v>
      </c>
      <c r="I72" s="5">
        <v>3.2209465982229659</v>
      </c>
      <c r="J72" s="6">
        <v>0</v>
      </c>
      <c r="K72" s="5">
        <v>0</v>
      </c>
      <c r="L72" s="6">
        <v>0</v>
      </c>
      <c r="M72" s="5">
        <v>0</v>
      </c>
      <c r="N72" s="6">
        <v>0</v>
      </c>
      <c r="O72" s="5">
        <v>0</v>
      </c>
      <c r="P72" s="6">
        <v>2532.443325934626</v>
      </c>
      <c r="Q72" s="5">
        <v>7825.2498771379933</v>
      </c>
      <c r="R72" s="6">
        <v>0</v>
      </c>
      <c r="S72" s="5">
        <v>0</v>
      </c>
      <c r="T72" s="6">
        <v>0</v>
      </c>
      <c r="U72" s="5">
        <v>0</v>
      </c>
      <c r="V72" s="6">
        <v>0</v>
      </c>
      <c r="W72" s="5">
        <v>0</v>
      </c>
      <c r="X72" s="6">
        <v>0</v>
      </c>
      <c r="Y72" s="5">
        <v>0</v>
      </c>
      <c r="Z72" s="6">
        <v>0</v>
      </c>
      <c r="AA72" s="5">
        <v>0</v>
      </c>
      <c r="AB72" s="6">
        <v>0</v>
      </c>
      <c r="AC72" s="5">
        <v>0</v>
      </c>
      <c r="AD72" s="6">
        <v>0</v>
      </c>
      <c r="AE72" s="5">
        <v>0</v>
      </c>
      <c r="AF72" s="6">
        <v>0</v>
      </c>
      <c r="AG72" s="5">
        <v>0</v>
      </c>
      <c r="AH72" s="7">
        <f t="shared" si="8"/>
        <v>2532.443325934626</v>
      </c>
      <c r="AI72" s="8">
        <f t="shared" si="9"/>
        <v>7825.2498771379933</v>
      </c>
      <c r="AJ72" s="6">
        <v>0</v>
      </c>
      <c r="AK72" s="5">
        <v>0</v>
      </c>
      <c r="AL72" s="6">
        <v>0</v>
      </c>
      <c r="AM72" s="5">
        <v>0</v>
      </c>
      <c r="AN72" s="6">
        <v>0</v>
      </c>
      <c r="AO72" s="5">
        <v>0</v>
      </c>
      <c r="AP72" s="6">
        <v>2800</v>
      </c>
      <c r="AQ72" s="5">
        <v>9018.6504750243057</v>
      </c>
      <c r="AR72" s="6">
        <v>0</v>
      </c>
      <c r="AS72" s="5">
        <v>0</v>
      </c>
      <c r="AT72" s="6">
        <v>0</v>
      </c>
      <c r="AU72" s="5">
        <v>0</v>
      </c>
      <c r="AV72" s="6">
        <v>0</v>
      </c>
      <c r="AW72" s="5">
        <v>0</v>
      </c>
      <c r="AX72" s="6">
        <v>0</v>
      </c>
      <c r="AY72" s="5">
        <v>0</v>
      </c>
      <c r="AZ72" s="6">
        <v>0</v>
      </c>
      <c r="BA72" s="5">
        <v>0</v>
      </c>
      <c r="BB72" s="6">
        <v>0</v>
      </c>
      <c r="BC72" s="5">
        <v>0</v>
      </c>
      <c r="BD72" s="6">
        <v>0</v>
      </c>
      <c r="BE72" s="5">
        <v>0</v>
      </c>
      <c r="BF72" s="6">
        <v>0</v>
      </c>
      <c r="BG72" s="5">
        <v>0</v>
      </c>
      <c r="BH72" s="9">
        <f t="shared" si="10"/>
        <v>2800</v>
      </c>
      <c r="BI72" s="10">
        <f t="shared" si="11"/>
        <v>9018.6504750243057</v>
      </c>
      <c r="BJ72" s="6">
        <f t="shared" si="12"/>
        <v>267.55667406537395</v>
      </c>
      <c r="BK72" s="11">
        <f t="shared" si="13"/>
        <v>0.10565159398646334</v>
      </c>
      <c r="BL72" s="5">
        <f t="shared" si="14"/>
        <v>1193.4005978863124</v>
      </c>
      <c r="BM72" s="11">
        <f t="shared" si="15"/>
        <v>0.15250638850177992</v>
      </c>
    </row>
    <row r="73" spans="1:65" ht="15" customHeight="1" x14ac:dyDescent="0.4">
      <c r="A73" s="2" t="s">
        <v>65</v>
      </c>
      <c r="B73" s="2" t="s">
        <v>66</v>
      </c>
      <c r="C73" s="2" t="s">
        <v>153</v>
      </c>
      <c r="D73" s="3" t="s">
        <v>68</v>
      </c>
      <c r="E73" s="3" t="s">
        <v>86</v>
      </c>
      <c r="F73" s="2" t="s">
        <v>87</v>
      </c>
      <c r="G73" s="4">
        <v>20</v>
      </c>
      <c r="H73" s="5">
        <v>1.6708695652173911</v>
      </c>
      <c r="I73" s="5">
        <v>1.7416630872339709</v>
      </c>
      <c r="J73" s="6">
        <v>989.23567419321319</v>
      </c>
      <c r="K73" s="5">
        <v>1642.131219160734</v>
      </c>
      <c r="L73" s="6">
        <v>1088.159241612535</v>
      </c>
      <c r="M73" s="5">
        <v>1828.107525909058</v>
      </c>
      <c r="N73" s="6">
        <v>0</v>
      </c>
      <c r="O73" s="5">
        <v>0</v>
      </c>
      <c r="P73" s="6">
        <v>593.54140451592798</v>
      </c>
      <c r="Q73" s="5">
        <v>997.14955958675898</v>
      </c>
      <c r="R73" s="6">
        <v>1879.5477809671049</v>
      </c>
      <c r="S73" s="5">
        <v>3135.8770871924862</v>
      </c>
      <c r="T73" s="6">
        <v>0</v>
      </c>
      <c r="U73" s="5">
        <v>0</v>
      </c>
      <c r="V73" s="6">
        <v>0</v>
      </c>
      <c r="W73" s="5">
        <v>0</v>
      </c>
      <c r="X73" s="6">
        <v>0</v>
      </c>
      <c r="Y73" s="5">
        <v>0</v>
      </c>
      <c r="Z73" s="6">
        <v>0</v>
      </c>
      <c r="AA73" s="5">
        <v>0</v>
      </c>
      <c r="AB73" s="6">
        <v>0</v>
      </c>
      <c r="AC73" s="5">
        <v>0</v>
      </c>
      <c r="AD73" s="6">
        <v>0</v>
      </c>
      <c r="AE73" s="5">
        <v>0</v>
      </c>
      <c r="AF73" s="6">
        <v>0</v>
      </c>
      <c r="AG73" s="5">
        <v>0</v>
      </c>
      <c r="AH73" s="7">
        <f t="shared" si="8"/>
        <v>4550.4841012887809</v>
      </c>
      <c r="AI73" s="8">
        <f t="shared" si="9"/>
        <v>7603.2653918490369</v>
      </c>
      <c r="AJ73" s="6">
        <v>1100</v>
      </c>
      <c r="AK73" s="5">
        <v>1903.381387817197</v>
      </c>
      <c r="AL73" s="6">
        <v>1200</v>
      </c>
      <c r="AM73" s="5">
        <v>2101.4331203940128</v>
      </c>
      <c r="AN73" s="6">
        <v>0</v>
      </c>
      <c r="AO73" s="5">
        <v>0</v>
      </c>
      <c r="AP73" s="6">
        <v>660</v>
      </c>
      <c r="AQ73" s="5">
        <v>1155.788216216707</v>
      </c>
      <c r="AR73" s="6">
        <v>2080</v>
      </c>
      <c r="AS73" s="5">
        <v>3617.379235231298</v>
      </c>
      <c r="AT73" s="6">
        <v>0</v>
      </c>
      <c r="AU73" s="5">
        <v>0</v>
      </c>
      <c r="AV73" s="6">
        <v>0</v>
      </c>
      <c r="AW73" s="5">
        <v>0</v>
      </c>
      <c r="AX73" s="6">
        <v>0</v>
      </c>
      <c r="AY73" s="5">
        <v>0</v>
      </c>
      <c r="AZ73" s="6">
        <v>0</v>
      </c>
      <c r="BA73" s="5">
        <v>0</v>
      </c>
      <c r="BB73" s="6">
        <v>0</v>
      </c>
      <c r="BC73" s="5">
        <v>0</v>
      </c>
      <c r="BD73" s="6">
        <v>0</v>
      </c>
      <c r="BE73" s="5">
        <v>0</v>
      </c>
      <c r="BF73" s="6">
        <v>0</v>
      </c>
      <c r="BG73" s="5">
        <v>0</v>
      </c>
      <c r="BH73" s="9">
        <f t="shared" si="10"/>
        <v>5040</v>
      </c>
      <c r="BI73" s="10">
        <f t="shared" si="11"/>
        <v>8777.9819596592151</v>
      </c>
      <c r="BJ73" s="6">
        <f t="shared" si="12"/>
        <v>489.51589871121905</v>
      </c>
      <c r="BK73" s="11">
        <f t="shared" si="13"/>
        <v>0.10757446632383115</v>
      </c>
      <c r="BL73" s="5">
        <f t="shared" si="14"/>
        <v>1174.7165678101783</v>
      </c>
      <c r="BM73" s="11">
        <f t="shared" si="15"/>
        <v>0.15450158678789708</v>
      </c>
    </row>
    <row r="74" spans="1:65" ht="15" customHeight="1" x14ac:dyDescent="0.4">
      <c r="A74" s="2" t="s">
        <v>65</v>
      </c>
      <c r="B74" s="2" t="s">
        <v>66</v>
      </c>
      <c r="C74" s="2" t="s">
        <v>153</v>
      </c>
      <c r="D74" s="3" t="s">
        <v>68</v>
      </c>
      <c r="E74" s="3" t="s">
        <v>116</v>
      </c>
      <c r="F74" s="2" t="s">
        <v>117</v>
      </c>
      <c r="G74" s="4">
        <v>5</v>
      </c>
      <c r="H74" s="5">
        <v>12.81</v>
      </c>
      <c r="I74" s="5">
        <v>13.35285628583696</v>
      </c>
      <c r="J74" s="6">
        <v>0</v>
      </c>
      <c r="K74" s="5">
        <v>0</v>
      </c>
      <c r="L74" s="6">
        <v>0</v>
      </c>
      <c r="M74" s="5">
        <v>0</v>
      </c>
      <c r="N74" s="6">
        <v>39.569426967728532</v>
      </c>
      <c r="O74" s="5">
        <v>506.88435945660251</v>
      </c>
      <c r="P74" s="6">
        <v>0</v>
      </c>
      <c r="Q74" s="5">
        <v>0</v>
      </c>
      <c r="R74" s="6">
        <v>39.569426967728532</v>
      </c>
      <c r="S74" s="5">
        <v>506.88435945660251</v>
      </c>
      <c r="T74" s="6">
        <v>98.92356741932133</v>
      </c>
      <c r="U74" s="5">
        <v>1267.210898641506</v>
      </c>
      <c r="V74" s="6">
        <v>0</v>
      </c>
      <c r="W74" s="5">
        <v>0</v>
      </c>
      <c r="X74" s="6">
        <v>0</v>
      </c>
      <c r="Y74" s="5">
        <v>0</v>
      </c>
      <c r="Z74" s="6">
        <v>0</v>
      </c>
      <c r="AA74" s="5">
        <v>0</v>
      </c>
      <c r="AB74" s="6">
        <v>0</v>
      </c>
      <c r="AC74" s="5">
        <v>0</v>
      </c>
      <c r="AD74" s="6">
        <v>0</v>
      </c>
      <c r="AE74" s="5">
        <v>0</v>
      </c>
      <c r="AF74" s="6">
        <v>0</v>
      </c>
      <c r="AG74" s="5">
        <v>0</v>
      </c>
      <c r="AH74" s="7">
        <f t="shared" si="8"/>
        <v>178.06242135477839</v>
      </c>
      <c r="AI74" s="8">
        <f t="shared" si="9"/>
        <v>2280.9796175547108</v>
      </c>
      <c r="AJ74" s="6">
        <v>0</v>
      </c>
      <c r="AK74" s="5">
        <v>0</v>
      </c>
      <c r="AL74" s="6">
        <v>0</v>
      </c>
      <c r="AM74" s="5">
        <v>0</v>
      </c>
      <c r="AN74" s="6">
        <v>50</v>
      </c>
      <c r="AO74" s="5">
        <v>667.6428142918478</v>
      </c>
      <c r="AP74" s="6">
        <v>0</v>
      </c>
      <c r="AQ74" s="5">
        <v>0</v>
      </c>
      <c r="AR74" s="6">
        <v>50</v>
      </c>
      <c r="AS74" s="5">
        <v>667.6428142918478</v>
      </c>
      <c r="AT74" s="6">
        <v>120</v>
      </c>
      <c r="AU74" s="5">
        <v>1602.342754300435</v>
      </c>
      <c r="AV74" s="6">
        <v>0</v>
      </c>
      <c r="AW74" s="5">
        <v>0</v>
      </c>
      <c r="AX74" s="6">
        <v>0</v>
      </c>
      <c r="AY74" s="5">
        <v>0</v>
      </c>
      <c r="AZ74" s="6">
        <v>0</v>
      </c>
      <c r="BA74" s="5">
        <v>0</v>
      </c>
      <c r="BB74" s="6">
        <v>0</v>
      </c>
      <c r="BC74" s="5">
        <v>0</v>
      </c>
      <c r="BD74" s="6">
        <v>0</v>
      </c>
      <c r="BE74" s="5">
        <v>0</v>
      </c>
      <c r="BF74" s="6">
        <v>0</v>
      </c>
      <c r="BG74" s="5">
        <v>0</v>
      </c>
      <c r="BH74" s="9">
        <f t="shared" si="10"/>
        <v>220</v>
      </c>
      <c r="BI74" s="10">
        <f t="shared" si="11"/>
        <v>2937.6283828841306</v>
      </c>
      <c r="BJ74" s="6">
        <f t="shared" si="12"/>
        <v>41.937578645221606</v>
      </c>
      <c r="BK74" s="11">
        <f t="shared" si="13"/>
        <v>0.23552178121661935</v>
      </c>
      <c r="BL74" s="5">
        <f t="shared" si="14"/>
        <v>656.6487653294198</v>
      </c>
      <c r="BM74" s="11">
        <f t="shared" si="15"/>
        <v>0.28788015477024298</v>
      </c>
    </row>
    <row r="75" spans="1:65" ht="15" customHeight="1" x14ac:dyDescent="0.4">
      <c r="A75" s="2" t="s">
        <v>65</v>
      </c>
      <c r="B75" s="2" t="s">
        <v>66</v>
      </c>
      <c r="C75" s="2" t="s">
        <v>153</v>
      </c>
      <c r="D75" s="3" t="s">
        <v>68</v>
      </c>
      <c r="E75" s="3" t="s">
        <v>156</v>
      </c>
      <c r="F75" s="2" t="s">
        <v>157</v>
      </c>
      <c r="G75" s="4">
        <v>20</v>
      </c>
      <c r="H75" s="5">
        <v>11.6</v>
      </c>
      <c r="I75" s="5">
        <v>12.091579462584599</v>
      </c>
      <c r="J75" s="6">
        <v>0</v>
      </c>
      <c r="K75" s="5">
        <v>0</v>
      </c>
      <c r="L75" s="6">
        <v>0</v>
      </c>
      <c r="M75" s="5">
        <v>0</v>
      </c>
      <c r="N75" s="6">
        <v>59.354140451592791</v>
      </c>
      <c r="O75" s="5">
        <v>688.50802923847641</v>
      </c>
      <c r="P75" s="6">
        <v>0</v>
      </c>
      <c r="Q75" s="5">
        <v>0</v>
      </c>
      <c r="R75" s="6">
        <v>59.354140451592791</v>
      </c>
      <c r="S75" s="5">
        <v>688.50802923847641</v>
      </c>
      <c r="T75" s="6">
        <v>296.77070225796399</v>
      </c>
      <c r="U75" s="5">
        <v>3442.5401461923821</v>
      </c>
      <c r="V75" s="6">
        <v>0</v>
      </c>
      <c r="W75" s="5">
        <v>0</v>
      </c>
      <c r="X75" s="6">
        <v>0</v>
      </c>
      <c r="Y75" s="5">
        <v>0</v>
      </c>
      <c r="Z75" s="6">
        <v>0</v>
      </c>
      <c r="AA75" s="5">
        <v>0</v>
      </c>
      <c r="AB75" s="6">
        <v>0</v>
      </c>
      <c r="AC75" s="5">
        <v>0</v>
      </c>
      <c r="AD75" s="6">
        <v>0</v>
      </c>
      <c r="AE75" s="5">
        <v>0</v>
      </c>
      <c r="AF75" s="6">
        <v>0</v>
      </c>
      <c r="AG75" s="5">
        <v>0</v>
      </c>
      <c r="AH75" s="7">
        <f t="shared" si="8"/>
        <v>415.47898316114959</v>
      </c>
      <c r="AI75" s="8">
        <f t="shared" si="9"/>
        <v>4819.5562046693349</v>
      </c>
      <c r="AJ75" s="6">
        <v>0</v>
      </c>
      <c r="AK75" s="5">
        <v>0</v>
      </c>
      <c r="AL75" s="6">
        <v>0</v>
      </c>
      <c r="AM75" s="5">
        <v>0</v>
      </c>
      <c r="AN75" s="6">
        <v>80</v>
      </c>
      <c r="AO75" s="5">
        <v>967.32635700676792</v>
      </c>
      <c r="AP75" s="6">
        <v>0</v>
      </c>
      <c r="AQ75" s="5">
        <v>0</v>
      </c>
      <c r="AR75" s="6">
        <v>80</v>
      </c>
      <c r="AS75" s="5">
        <v>967.32635700676792</v>
      </c>
      <c r="AT75" s="6">
        <v>360</v>
      </c>
      <c r="AU75" s="5">
        <v>4352.968606530455</v>
      </c>
      <c r="AV75" s="6">
        <v>0</v>
      </c>
      <c r="AW75" s="5">
        <v>0</v>
      </c>
      <c r="AX75" s="6">
        <v>0</v>
      </c>
      <c r="AY75" s="5">
        <v>0</v>
      </c>
      <c r="AZ75" s="6">
        <v>0</v>
      </c>
      <c r="BA75" s="5">
        <v>0</v>
      </c>
      <c r="BB75" s="6">
        <v>0</v>
      </c>
      <c r="BC75" s="5">
        <v>0</v>
      </c>
      <c r="BD75" s="6">
        <v>0</v>
      </c>
      <c r="BE75" s="5">
        <v>0</v>
      </c>
      <c r="BF75" s="6">
        <v>0</v>
      </c>
      <c r="BG75" s="5">
        <v>0</v>
      </c>
      <c r="BH75" s="9">
        <f t="shared" si="10"/>
        <v>520</v>
      </c>
      <c r="BI75" s="10">
        <f t="shared" si="11"/>
        <v>6287.6213205439908</v>
      </c>
      <c r="BJ75" s="6">
        <f t="shared" si="12"/>
        <v>104.52101683885041</v>
      </c>
      <c r="BK75" s="11">
        <f t="shared" si="13"/>
        <v>0.25156751863501703</v>
      </c>
      <c r="BL75" s="5">
        <f t="shared" si="14"/>
        <v>1468.0651158746559</v>
      </c>
      <c r="BM75" s="11">
        <f t="shared" si="15"/>
        <v>0.30460587106596021</v>
      </c>
    </row>
    <row r="76" spans="1:65" ht="15" customHeight="1" x14ac:dyDescent="0.4">
      <c r="A76" s="2" t="s">
        <v>65</v>
      </c>
      <c r="B76" s="2" t="s">
        <v>66</v>
      </c>
      <c r="C76" s="2" t="s">
        <v>153</v>
      </c>
      <c r="D76" s="3" t="s">
        <v>68</v>
      </c>
      <c r="E76" s="3" t="s">
        <v>71</v>
      </c>
      <c r="F76" s="2" t="s">
        <v>72</v>
      </c>
      <c r="G76" s="4">
        <v>20</v>
      </c>
      <c r="H76" s="5">
        <v>2.3664444444444439</v>
      </c>
      <c r="I76" s="5">
        <v>2.4667181274959731</v>
      </c>
      <c r="J76" s="6">
        <v>316.55541574182831</v>
      </c>
      <c r="K76" s="5">
        <v>743.90522699329631</v>
      </c>
      <c r="L76" s="6">
        <v>0</v>
      </c>
      <c r="M76" s="5">
        <v>0</v>
      </c>
      <c r="N76" s="6">
        <v>633.11083148365651</v>
      </c>
      <c r="O76" s="5">
        <v>1500.472670616266</v>
      </c>
      <c r="P76" s="6">
        <v>197.84713483864269</v>
      </c>
      <c r="Q76" s="5">
        <v>468.89770956758309</v>
      </c>
      <c r="R76" s="6">
        <v>633.11083148365651</v>
      </c>
      <c r="S76" s="5">
        <v>1500.472670616266</v>
      </c>
      <c r="T76" s="6">
        <v>0</v>
      </c>
      <c r="U76" s="5">
        <v>0</v>
      </c>
      <c r="V76" s="6">
        <v>0</v>
      </c>
      <c r="W76" s="5">
        <v>0</v>
      </c>
      <c r="X76" s="6">
        <v>0</v>
      </c>
      <c r="Y76" s="5">
        <v>0</v>
      </c>
      <c r="Z76" s="6">
        <v>379.19845571935571</v>
      </c>
      <c r="AA76" s="5">
        <v>897.35207887898218</v>
      </c>
      <c r="AB76" s="6">
        <v>284.39884178951678</v>
      </c>
      <c r="AC76" s="5">
        <v>673.01405915923658</v>
      </c>
      <c r="AD76" s="6">
        <v>379.19845571935571</v>
      </c>
      <c r="AE76" s="5">
        <v>897.35207887898218</v>
      </c>
      <c r="AF76" s="6">
        <v>0</v>
      </c>
      <c r="AG76" s="5">
        <v>0</v>
      </c>
      <c r="AH76" s="7">
        <f t="shared" si="8"/>
        <v>2823.4199667760122</v>
      </c>
      <c r="AI76" s="8">
        <f t="shared" si="9"/>
        <v>6681.4664947106112</v>
      </c>
      <c r="AJ76" s="6">
        <v>400</v>
      </c>
      <c r="AK76" s="5">
        <v>979.83488748530362</v>
      </c>
      <c r="AL76" s="6">
        <v>0</v>
      </c>
      <c r="AM76" s="5">
        <v>0</v>
      </c>
      <c r="AN76" s="6">
        <v>800</v>
      </c>
      <c r="AO76" s="5">
        <v>1976.3478156086551</v>
      </c>
      <c r="AP76" s="6">
        <v>240</v>
      </c>
      <c r="AQ76" s="5">
        <v>592.9043446825965</v>
      </c>
      <c r="AR76" s="6">
        <v>800</v>
      </c>
      <c r="AS76" s="5">
        <v>1976.3478156086551</v>
      </c>
      <c r="AT76" s="6">
        <v>0</v>
      </c>
      <c r="AU76" s="5">
        <v>0</v>
      </c>
      <c r="AV76" s="6">
        <v>0</v>
      </c>
      <c r="AW76" s="5">
        <v>0</v>
      </c>
      <c r="AX76" s="6">
        <v>0</v>
      </c>
      <c r="AY76" s="5">
        <v>0</v>
      </c>
      <c r="AZ76" s="6">
        <v>480</v>
      </c>
      <c r="BA76" s="5">
        <v>1184.029698363802</v>
      </c>
      <c r="BB76" s="6">
        <v>360</v>
      </c>
      <c r="BC76" s="5">
        <v>888.02227377285112</v>
      </c>
      <c r="BD76" s="6">
        <v>480</v>
      </c>
      <c r="BE76" s="5">
        <v>1184.029698363802</v>
      </c>
      <c r="BF76" s="6">
        <v>0</v>
      </c>
      <c r="BG76" s="5">
        <v>0</v>
      </c>
      <c r="BH76" s="9">
        <f t="shared" si="10"/>
        <v>3560</v>
      </c>
      <c r="BI76" s="10">
        <f t="shared" si="11"/>
        <v>8781.5165338856641</v>
      </c>
      <c r="BJ76" s="6">
        <f t="shared" si="12"/>
        <v>736.58003322398781</v>
      </c>
      <c r="BK76" s="11">
        <f t="shared" si="13"/>
        <v>0.2608822073554537</v>
      </c>
      <c r="BL76" s="5">
        <f t="shared" si="14"/>
        <v>2100.0500391750529</v>
      </c>
      <c r="BM76" s="11">
        <f t="shared" si="15"/>
        <v>0.31430974634648834</v>
      </c>
    </row>
    <row r="77" spans="1:65" ht="15" customHeight="1" x14ac:dyDescent="0.4">
      <c r="A77" s="2" t="s">
        <v>65</v>
      </c>
      <c r="B77" s="2" t="s">
        <v>66</v>
      </c>
      <c r="C77" s="2" t="s">
        <v>153</v>
      </c>
      <c r="D77" s="3" t="s">
        <v>68</v>
      </c>
      <c r="E77" s="3" t="s">
        <v>88</v>
      </c>
      <c r="F77" s="2" t="s">
        <v>89</v>
      </c>
      <c r="G77" s="4">
        <v>5</v>
      </c>
      <c r="H77" s="5">
        <v>2.58</v>
      </c>
      <c r="I77" s="5">
        <v>2.689334052885195</v>
      </c>
      <c r="J77" s="6">
        <v>0</v>
      </c>
      <c r="K77" s="5">
        <v>0</v>
      </c>
      <c r="L77" s="6">
        <v>0</v>
      </c>
      <c r="M77" s="5">
        <v>0</v>
      </c>
      <c r="N77" s="6">
        <v>0</v>
      </c>
      <c r="O77" s="5">
        <v>0</v>
      </c>
      <c r="P77" s="6">
        <v>0</v>
      </c>
      <c r="Q77" s="5">
        <v>0</v>
      </c>
      <c r="R77" s="6">
        <v>197.84713483864269</v>
      </c>
      <c r="S77" s="5">
        <v>510.44560788369802</v>
      </c>
      <c r="T77" s="6">
        <v>0</v>
      </c>
      <c r="U77" s="5">
        <v>0</v>
      </c>
      <c r="V77" s="6">
        <v>0</v>
      </c>
      <c r="W77" s="5">
        <v>0</v>
      </c>
      <c r="X77" s="6">
        <v>0</v>
      </c>
      <c r="Y77" s="5">
        <v>0</v>
      </c>
      <c r="Z77" s="6">
        <v>0</v>
      </c>
      <c r="AA77" s="5">
        <v>0</v>
      </c>
      <c r="AB77" s="6">
        <v>0</v>
      </c>
      <c r="AC77" s="5">
        <v>0</v>
      </c>
      <c r="AD77" s="6">
        <v>0</v>
      </c>
      <c r="AE77" s="5">
        <v>0</v>
      </c>
      <c r="AF77" s="6">
        <v>0</v>
      </c>
      <c r="AG77" s="5">
        <v>0</v>
      </c>
      <c r="AH77" s="7">
        <f t="shared" si="8"/>
        <v>197.84713483864269</v>
      </c>
      <c r="AI77" s="8">
        <f t="shared" si="9"/>
        <v>510.44560788369802</v>
      </c>
      <c r="AJ77" s="6">
        <v>0</v>
      </c>
      <c r="AK77" s="5">
        <v>0</v>
      </c>
      <c r="AL77" s="6">
        <v>0</v>
      </c>
      <c r="AM77" s="5">
        <v>0</v>
      </c>
      <c r="AN77" s="6">
        <v>0</v>
      </c>
      <c r="AO77" s="5">
        <v>0</v>
      </c>
      <c r="AP77" s="6">
        <v>0</v>
      </c>
      <c r="AQ77" s="5">
        <v>0</v>
      </c>
      <c r="AR77" s="6">
        <v>220</v>
      </c>
      <c r="AS77" s="5">
        <v>591.65349163474298</v>
      </c>
      <c r="AT77" s="6">
        <v>0</v>
      </c>
      <c r="AU77" s="5">
        <v>0</v>
      </c>
      <c r="AV77" s="6">
        <v>0</v>
      </c>
      <c r="AW77" s="5">
        <v>0</v>
      </c>
      <c r="AX77" s="6">
        <v>0</v>
      </c>
      <c r="AY77" s="5">
        <v>0</v>
      </c>
      <c r="AZ77" s="6">
        <v>0</v>
      </c>
      <c r="BA77" s="5">
        <v>0</v>
      </c>
      <c r="BB77" s="6">
        <v>0</v>
      </c>
      <c r="BC77" s="5">
        <v>0</v>
      </c>
      <c r="BD77" s="6">
        <v>0</v>
      </c>
      <c r="BE77" s="5">
        <v>0</v>
      </c>
      <c r="BF77" s="6">
        <v>0</v>
      </c>
      <c r="BG77" s="5">
        <v>0</v>
      </c>
      <c r="BH77" s="9">
        <f t="shared" si="10"/>
        <v>220</v>
      </c>
      <c r="BI77" s="10">
        <f t="shared" si="11"/>
        <v>591.65349163474298</v>
      </c>
      <c r="BJ77" s="6">
        <f t="shared" si="12"/>
        <v>22.152865161357312</v>
      </c>
      <c r="BK77" s="11">
        <f t="shared" si="13"/>
        <v>0.11196960309495725</v>
      </c>
      <c r="BL77" s="5">
        <f t="shared" si="14"/>
        <v>81.20788375104496</v>
      </c>
      <c r="BM77" s="11">
        <f t="shared" si="15"/>
        <v>0.15909213929321867</v>
      </c>
    </row>
    <row r="78" spans="1:65" ht="15" customHeight="1" x14ac:dyDescent="0.4">
      <c r="A78" s="2" t="s">
        <v>65</v>
      </c>
      <c r="B78" s="2" t="s">
        <v>66</v>
      </c>
      <c r="C78" s="2" t="s">
        <v>153</v>
      </c>
      <c r="D78" s="3" t="s">
        <v>68</v>
      </c>
      <c r="E78" s="3" t="s">
        <v>73</v>
      </c>
      <c r="F78" s="2" t="s">
        <v>74</v>
      </c>
      <c r="G78" s="4">
        <v>20</v>
      </c>
      <c r="H78" s="5">
        <v>2.899999999999999</v>
      </c>
      <c r="I78" s="5">
        <v>3.022894865646149</v>
      </c>
      <c r="J78" s="6">
        <v>633.11083148365651</v>
      </c>
      <c r="K78" s="5">
        <v>1823.3591946729309</v>
      </c>
      <c r="L78" s="6">
        <v>633.11083148365651</v>
      </c>
      <c r="M78" s="5">
        <v>1848.683627932277</v>
      </c>
      <c r="N78" s="6">
        <v>0</v>
      </c>
      <c r="O78" s="5">
        <v>0</v>
      </c>
      <c r="P78" s="6">
        <v>0</v>
      </c>
      <c r="Q78" s="5">
        <v>0</v>
      </c>
      <c r="R78" s="6">
        <v>0</v>
      </c>
      <c r="S78" s="5">
        <v>0</v>
      </c>
      <c r="T78" s="6">
        <v>0</v>
      </c>
      <c r="U78" s="5">
        <v>0</v>
      </c>
      <c r="V78" s="6">
        <v>0</v>
      </c>
      <c r="W78" s="5">
        <v>0</v>
      </c>
      <c r="X78" s="6">
        <v>0</v>
      </c>
      <c r="Y78" s="5">
        <v>0</v>
      </c>
      <c r="Z78" s="6">
        <v>0</v>
      </c>
      <c r="AA78" s="5">
        <v>0</v>
      </c>
      <c r="AB78" s="6">
        <v>606.7175291509692</v>
      </c>
      <c r="AC78" s="5">
        <v>1759.480834537811</v>
      </c>
      <c r="AD78" s="6">
        <v>0</v>
      </c>
      <c r="AE78" s="5">
        <v>0</v>
      </c>
      <c r="AF78" s="6">
        <v>0</v>
      </c>
      <c r="AG78" s="5">
        <v>0</v>
      </c>
      <c r="AH78" s="7">
        <f t="shared" si="8"/>
        <v>1872.9391921182823</v>
      </c>
      <c r="AI78" s="8">
        <f t="shared" si="9"/>
        <v>5431.5236571430196</v>
      </c>
      <c r="AJ78" s="6">
        <v>680</v>
      </c>
      <c r="AK78" s="5">
        <v>2041.3921740970411</v>
      </c>
      <c r="AL78" s="6">
        <v>680</v>
      </c>
      <c r="AM78" s="5">
        <v>2069.744843181722</v>
      </c>
      <c r="AN78" s="6">
        <v>0</v>
      </c>
      <c r="AO78" s="5">
        <v>0</v>
      </c>
      <c r="AP78" s="6">
        <v>0</v>
      </c>
      <c r="AQ78" s="5">
        <v>0</v>
      </c>
      <c r="AR78" s="6">
        <v>0</v>
      </c>
      <c r="AS78" s="5">
        <v>0</v>
      </c>
      <c r="AT78" s="6">
        <v>0</v>
      </c>
      <c r="AU78" s="5">
        <v>0</v>
      </c>
      <c r="AV78" s="6">
        <v>0</v>
      </c>
      <c r="AW78" s="5">
        <v>0</v>
      </c>
      <c r="AX78" s="6">
        <v>0</v>
      </c>
      <c r="AY78" s="5">
        <v>0</v>
      </c>
      <c r="AZ78" s="6">
        <v>0</v>
      </c>
      <c r="BA78" s="5">
        <v>0</v>
      </c>
      <c r="BB78" s="6">
        <v>660</v>
      </c>
      <c r="BC78" s="5">
        <v>1995.1106113264591</v>
      </c>
      <c r="BD78" s="6">
        <v>0</v>
      </c>
      <c r="BE78" s="5">
        <v>0</v>
      </c>
      <c r="BF78" s="6">
        <v>0</v>
      </c>
      <c r="BG78" s="5">
        <v>0</v>
      </c>
      <c r="BH78" s="9">
        <f t="shared" si="10"/>
        <v>2020</v>
      </c>
      <c r="BI78" s="10">
        <f t="shared" si="11"/>
        <v>6106.2476286052224</v>
      </c>
      <c r="BJ78" s="6">
        <f t="shared" si="12"/>
        <v>147.06080788171766</v>
      </c>
      <c r="BK78" s="11">
        <f t="shared" si="13"/>
        <v>7.851873061366868E-2</v>
      </c>
      <c r="BL78" s="5">
        <f t="shared" si="14"/>
        <v>674.72397146220283</v>
      </c>
      <c r="BM78" s="11">
        <f t="shared" si="15"/>
        <v>0.1242237011294005</v>
      </c>
    </row>
    <row r="79" spans="1:65" ht="15" customHeight="1" x14ac:dyDescent="0.4">
      <c r="A79" s="2" t="s">
        <v>65</v>
      </c>
      <c r="B79" s="2" t="s">
        <v>66</v>
      </c>
      <c r="C79" s="2" t="s">
        <v>153</v>
      </c>
      <c r="D79" s="3" t="s">
        <v>68</v>
      </c>
      <c r="E79" s="3" t="s">
        <v>90</v>
      </c>
      <c r="F79" s="2" t="s">
        <v>91</v>
      </c>
      <c r="G79" s="4">
        <v>20</v>
      </c>
      <c r="H79" s="5">
        <v>3.72</v>
      </c>
      <c r="I79" s="5">
        <v>3.877644448346095</v>
      </c>
      <c r="J79" s="6">
        <v>0</v>
      </c>
      <c r="K79" s="5">
        <v>0</v>
      </c>
      <c r="L79" s="6">
        <v>0</v>
      </c>
      <c r="M79" s="5">
        <v>0</v>
      </c>
      <c r="N79" s="6">
        <v>0</v>
      </c>
      <c r="O79" s="5">
        <v>0</v>
      </c>
      <c r="P79" s="6">
        <v>1365.145230386634</v>
      </c>
      <c r="Q79" s="5">
        <v>5078.3402570382796</v>
      </c>
      <c r="R79" s="6">
        <v>2532.443325934626</v>
      </c>
      <c r="S79" s="5">
        <v>9420.6891724768084</v>
      </c>
      <c r="T79" s="6">
        <v>0</v>
      </c>
      <c r="U79" s="5">
        <v>0</v>
      </c>
      <c r="V79" s="6">
        <v>0</v>
      </c>
      <c r="W79" s="5">
        <v>0</v>
      </c>
      <c r="X79" s="6">
        <v>0</v>
      </c>
      <c r="Y79" s="5">
        <v>0</v>
      </c>
      <c r="Z79" s="6">
        <v>0</v>
      </c>
      <c r="AA79" s="5">
        <v>0</v>
      </c>
      <c r="AB79" s="6">
        <v>0</v>
      </c>
      <c r="AC79" s="5">
        <v>0</v>
      </c>
      <c r="AD79" s="6">
        <v>0</v>
      </c>
      <c r="AE79" s="5">
        <v>0</v>
      </c>
      <c r="AF79" s="6">
        <v>0</v>
      </c>
      <c r="AG79" s="5">
        <v>0</v>
      </c>
      <c r="AH79" s="7">
        <f t="shared" si="8"/>
        <v>3897.5885563212601</v>
      </c>
      <c r="AI79" s="8">
        <f t="shared" si="9"/>
        <v>14499.029429515089</v>
      </c>
      <c r="AJ79" s="6">
        <v>0</v>
      </c>
      <c r="AK79" s="5">
        <v>0</v>
      </c>
      <c r="AL79" s="6">
        <v>0</v>
      </c>
      <c r="AM79" s="5">
        <v>0</v>
      </c>
      <c r="AN79" s="6">
        <v>0</v>
      </c>
      <c r="AO79" s="5">
        <v>0</v>
      </c>
      <c r="AP79" s="6">
        <v>1480</v>
      </c>
      <c r="AQ79" s="5">
        <v>5738.9137835522224</v>
      </c>
      <c r="AR79" s="6">
        <v>2760</v>
      </c>
      <c r="AS79" s="5">
        <v>10702.298677435219</v>
      </c>
      <c r="AT79" s="6">
        <v>0</v>
      </c>
      <c r="AU79" s="5">
        <v>0</v>
      </c>
      <c r="AV79" s="6">
        <v>0</v>
      </c>
      <c r="AW79" s="5">
        <v>0</v>
      </c>
      <c r="AX79" s="6">
        <v>0</v>
      </c>
      <c r="AY79" s="5">
        <v>0</v>
      </c>
      <c r="AZ79" s="6">
        <v>0</v>
      </c>
      <c r="BA79" s="5">
        <v>0</v>
      </c>
      <c r="BB79" s="6">
        <v>0</v>
      </c>
      <c r="BC79" s="5">
        <v>0</v>
      </c>
      <c r="BD79" s="6">
        <v>0</v>
      </c>
      <c r="BE79" s="5">
        <v>0</v>
      </c>
      <c r="BF79" s="6">
        <v>0</v>
      </c>
      <c r="BG79" s="5">
        <v>0</v>
      </c>
      <c r="BH79" s="9">
        <f t="shared" si="10"/>
        <v>4240</v>
      </c>
      <c r="BI79" s="10">
        <f t="shared" si="11"/>
        <v>16441.212460987441</v>
      </c>
      <c r="BJ79" s="6">
        <f t="shared" si="12"/>
        <v>342.41144367873994</v>
      </c>
      <c r="BK79" s="11">
        <f t="shared" si="13"/>
        <v>8.7852126701112102E-2</v>
      </c>
      <c r="BL79" s="5">
        <f t="shared" si="14"/>
        <v>1942.183031472352</v>
      </c>
      <c r="BM79" s="11">
        <f t="shared" si="15"/>
        <v>0.13395262358173635</v>
      </c>
    </row>
    <row r="80" spans="1:65" ht="15" customHeight="1" x14ac:dyDescent="0.4">
      <c r="A80" s="2" t="s">
        <v>65</v>
      </c>
      <c r="B80" s="2" t="s">
        <v>66</v>
      </c>
      <c r="C80" s="2" t="s">
        <v>153</v>
      </c>
      <c r="D80" s="3" t="s">
        <v>68</v>
      </c>
      <c r="E80" s="3" t="s">
        <v>122</v>
      </c>
      <c r="F80" s="2" t="s">
        <v>123</v>
      </c>
      <c r="G80" s="4">
        <v>5</v>
      </c>
      <c r="H80" s="5">
        <v>4.4000000000000004</v>
      </c>
      <c r="I80" s="5">
        <v>4.5864611754631239</v>
      </c>
      <c r="J80" s="6">
        <v>0</v>
      </c>
      <c r="K80" s="5">
        <v>0</v>
      </c>
      <c r="L80" s="6">
        <v>0</v>
      </c>
      <c r="M80" s="5">
        <v>0</v>
      </c>
      <c r="N80" s="6">
        <v>59.354140451592791</v>
      </c>
      <c r="O80" s="5">
        <v>261.1582179870083</v>
      </c>
      <c r="P80" s="6">
        <v>0</v>
      </c>
      <c r="Q80" s="5">
        <v>0</v>
      </c>
      <c r="R80" s="6">
        <v>0</v>
      </c>
      <c r="S80" s="5">
        <v>0</v>
      </c>
      <c r="T80" s="6">
        <v>0</v>
      </c>
      <c r="U80" s="5">
        <v>0</v>
      </c>
      <c r="V80" s="6">
        <v>0</v>
      </c>
      <c r="W80" s="5">
        <v>0</v>
      </c>
      <c r="X80" s="6">
        <v>0</v>
      </c>
      <c r="Y80" s="5">
        <v>0</v>
      </c>
      <c r="Z80" s="6">
        <v>0</v>
      </c>
      <c r="AA80" s="5">
        <v>0</v>
      </c>
      <c r="AB80" s="6">
        <v>0</v>
      </c>
      <c r="AC80" s="5">
        <v>0</v>
      </c>
      <c r="AD80" s="6">
        <v>0</v>
      </c>
      <c r="AE80" s="5">
        <v>0</v>
      </c>
      <c r="AF80" s="6">
        <v>0</v>
      </c>
      <c r="AG80" s="5">
        <v>0</v>
      </c>
      <c r="AH80" s="7">
        <f t="shared" si="8"/>
        <v>59.354140451592791</v>
      </c>
      <c r="AI80" s="8">
        <f t="shared" si="9"/>
        <v>261.1582179870083</v>
      </c>
      <c r="AJ80" s="6">
        <v>0</v>
      </c>
      <c r="AK80" s="5">
        <v>0</v>
      </c>
      <c r="AL80" s="6">
        <v>0</v>
      </c>
      <c r="AM80" s="5">
        <v>0</v>
      </c>
      <c r="AN80" s="6">
        <v>70</v>
      </c>
      <c r="AO80" s="5">
        <v>321.05228228241867</v>
      </c>
      <c r="AP80" s="6">
        <v>0</v>
      </c>
      <c r="AQ80" s="5">
        <v>0</v>
      </c>
      <c r="AR80" s="6">
        <v>0</v>
      </c>
      <c r="AS80" s="5">
        <v>0</v>
      </c>
      <c r="AT80" s="6">
        <v>0</v>
      </c>
      <c r="AU80" s="5">
        <v>0</v>
      </c>
      <c r="AV80" s="6">
        <v>0</v>
      </c>
      <c r="AW80" s="5">
        <v>0</v>
      </c>
      <c r="AX80" s="6">
        <v>0</v>
      </c>
      <c r="AY80" s="5">
        <v>0</v>
      </c>
      <c r="AZ80" s="6">
        <v>0</v>
      </c>
      <c r="BA80" s="5">
        <v>0</v>
      </c>
      <c r="BB80" s="6">
        <v>0</v>
      </c>
      <c r="BC80" s="5">
        <v>0</v>
      </c>
      <c r="BD80" s="6">
        <v>0</v>
      </c>
      <c r="BE80" s="5">
        <v>0</v>
      </c>
      <c r="BF80" s="6">
        <v>0</v>
      </c>
      <c r="BG80" s="5">
        <v>0</v>
      </c>
      <c r="BH80" s="9">
        <f t="shared" si="10"/>
        <v>70</v>
      </c>
      <c r="BI80" s="10">
        <f t="shared" si="11"/>
        <v>321.05228228241867</v>
      </c>
      <c r="BJ80" s="6">
        <f t="shared" si="12"/>
        <v>10.645859548407209</v>
      </c>
      <c r="BK80" s="11">
        <f t="shared" si="13"/>
        <v>0.1793617002522277</v>
      </c>
      <c r="BL80" s="5">
        <f t="shared" si="14"/>
        <v>59.894064295410374</v>
      </c>
      <c r="BM80" s="11">
        <f t="shared" si="15"/>
        <v>0.22934014773523187</v>
      </c>
    </row>
    <row r="81" spans="1:65" ht="15" customHeight="1" x14ac:dyDescent="0.4">
      <c r="A81" s="2" t="s">
        <v>65</v>
      </c>
      <c r="B81" s="2" t="s">
        <v>66</v>
      </c>
      <c r="C81" s="2" t="s">
        <v>153</v>
      </c>
      <c r="D81" s="3" t="s">
        <v>68</v>
      </c>
      <c r="E81" s="3" t="s">
        <v>158</v>
      </c>
      <c r="F81" s="2" t="s">
        <v>159</v>
      </c>
      <c r="G81" s="4">
        <v>20</v>
      </c>
      <c r="H81" s="5">
        <v>4.09</v>
      </c>
      <c r="I81" s="5">
        <v>4.2633241381009492</v>
      </c>
      <c r="J81" s="6">
        <v>0</v>
      </c>
      <c r="K81" s="5">
        <v>0</v>
      </c>
      <c r="L81" s="6">
        <v>0</v>
      </c>
      <c r="M81" s="5">
        <v>0</v>
      </c>
      <c r="N81" s="6">
        <v>0</v>
      </c>
      <c r="O81" s="5">
        <v>0</v>
      </c>
      <c r="P81" s="6">
        <v>0</v>
      </c>
      <c r="Q81" s="5">
        <v>0</v>
      </c>
      <c r="R81" s="6">
        <v>633.11083148365651</v>
      </c>
      <c r="S81" s="5">
        <v>2589.4233007681551</v>
      </c>
      <c r="T81" s="6">
        <v>0</v>
      </c>
      <c r="U81" s="5">
        <v>0</v>
      </c>
      <c r="V81" s="6">
        <v>0</v>
      </c>
      <c r="W81" s="5">
        <v>0</v>
      </c>
      <c r="X81" s="6">
        <v>0</v>
      </c>
      <c r="Y81" s="5">
        <v>0</v>
      </c>
      <c r="Z81" s="6">
        <v>0</v>
      </c>
      <c r="AA81" s="5">
        <v>0</v>
      </c>
      <c r="AB81" s="6">
        <v>0</v>
      </c>
      <c r="AC81" s="5">
        <v>0</v>
      </c>
      <c r="AD81" s="6">
        <v>0</v>
      </c>
      <c r="AE81" s="5">
        <v>0</v>
      </c>
      <c r="AF81" s="6">
        <v>0</v>
      </c>
      <c r="AG81" s="5">
        <v>0</v>
      </c>
      <c r="AH81" s="7">
        <f t="shared" si="8"/>
        <v>633.11083148365651</v>
      </c>
      <c r="AI81" s="8">
        <f t="shared" si="9"/>
        <v>2589.4233007681551</v>
      </c>
      <c r="AJ81" s="6">
        <v>0</v>
      </c>
      <c r="AK81" s="5">
        <v>0</v>
      </c>
      <c r="AL81" s="6">
        <v>0</v>
      </c>
      <c r="AM81" s="5">
        <v>0</v>
      </c>
      <c r="AN81" s="6">
        <v>0</v>
      </c>
      <c r="AO81" s="5">
        <v>0</v>
      </c>
      <c r="AP81" s="6">
        <v>0</v>
      </c>
      <c r="AQ81" s="5">
        <v>0</v>
      </c>
      <c r="AR81" s="6">
        <v>760</v>
      </c>
      <c r="AS81" s="5">
        <v>3240.1263449567209</v>
      </c>
      <c r="AT81" s="6">
        <v>0</v>
      </c>
      <c r="AU81" s="5">
        <v>0</v>
      </c>
      <c r="AV81" s="6">
        <v>0</v>
      </c>
      <c r="AW81" s="5">
        <v>0</v>
      </c>
      <c r="AX81" s="6">
        <v>0</v>
      </c>
      <c r="AY81" s="5">
        <v>0</v>
      </c>
      <c r="AZ81" s="6">
        <v>0</v>
      </c>
      <c r="BA81" s="5">
        <v>0</v>
      </c>
      <c r="BB81" s="6">
        <v>0</v>
      </c>
      <c r="BC81" s="5">
        <v>0</v>
      </c>
      <c r="BD81" s="6">
        <v>0</v>
      </c>
      <c r="BE81" s="5">
        <v>0</v>
      </c>
      <c r="BF81" s="6">
        <v>0</v>
      </c>
      <c r="BG81" s="5">
        <v>0</v>
      </c>
      <c r="BH81" s="9">
        <f t="shared" si="10"/>
        <v>760</v>
      </c>
      <c r="BI81" s="10">
        <f t="shared" si="11"/>
        <v>3240.1263449567209</v>
      </c>
      <c r="BJ81" s="6">
        <f t="shared" si="12"/>
        <v>126.88916851634349</v>
      </c>
      <c r="BK81" s="11">
        <f t="shared" si="13"/>
        <v>0.20042173061387447</v>
      </c>
      <c r="BL81" s="5">
        <f t="shared" si="14"/>
        <v>650.70304418856585</v>
      </c>
      <c r="BM81" s="11">
        <f t="shared" si="15"/>
        <v>0.25129265037336079</v>
      </c>
    </row>
    <row r="82" spans="1:65" ht="15" customHeight="1" x14ac:dyDescent="0.4">
      <c r="A82" s="2" t="s">
        <v>65</v>
      </c>
      <c r="B82" s="2" t="s">
        <v>66</v>
      </c>
      <c r="C82" s="2" t="s">
        <v>153</v>
      </c>
      <c r="D82" s="3" t="s">
        <v>68</v>
      </c>
      <c r="E82" s="3" t="s">
        <v>145</v>
      </c>
      <c r="F82" s="2" t="s">
        <v>146</v>
      </c>
      <c r="G82" s="4">
        <v>20</v>
      </c>
      <c r="H82" s="5">
        <v>3.35</v>
      </c>
      <c r="I82" s="5">
        <v>3.4919647585912421</v>
      </c>
      <c r="J82" s="6">
        <v>0</v>
      </c>
      <c r="K82" s="5">
        <v>0</v>
      </c>
      <c r="L82" s="6">
        <v>0</v>
      </c>
      <c r="M82" s="5">
        <v>0</v>
      </c>
      <c r="N82" s="6">
        <v>0</v>
      </c>
      <c r="O82" s="5">
        <v>0</v>
      </c>
      <c r="P82" s="6">
        <v>0</v>
      </c>
      <c r="Q82" s="5">
        <v>0</v>
      </c>
      <c r="R82" s="6">
        <v>593.54140451592798</v>
      </c>
      <c r="S82" s="5">
        <v>1988.363705128359</v>
      </c>
      <c r="T82" s="6">
        <v>0</v>
      </c>
      <c r="U82" s="5">
        <v>0</v>
      </c>
      <c r="V82" s="6">
        <v>0</v>
      </c>
      <c r="W82" s="5">
        <v>0</v>
      </c>
      <c r="X82" s="6">
        <v>0</v>
      </c>
      <c r="Y82" s="5">
        <v>0</v>
      </c>
      <c r="Z82" s="6">
        <v>0</v>
      </c>
      <c r="AA82" s="5">
        <v>0</v>
      </c>
      <c r="AB82" s="6">
        <v>0</v>
      </c>
      <c r="AC82" s="5">
        <v>0</v>
      </c>
      <c r="AD82" s="6">
        <v>0</v>
      </c>
      <c r="AE82" s="5">
        <v>0</v>
      </c>
      <c r="AF82" s="6">
        <v>0</v>
      </c>
      <c r="AG82" s="5">
        <v>0</v>
      </c>
      <c r="AH82" s="7">
        <f t="shared" si="8"/>
        <v>593.54140451592798</v>
      </c>
      <c r="AI82" s="8">
        <f t="shared" si="9"/>
        <v>1988.363705128359</v>
      </c>
      <c r="AJ82" s="6">
        <v>0</v>
      </c>
      <c r="AK82" s="5">
        <v>0</v>
      </c>
      <c r="AL82" s="6">
        <v>0</v>
      </c>
      <c r="AM82" s="5">
        <v>0</v>
      </c>
      <c r="AN82" s="6">
        <v>0</v>
      </c>
      <c r="AO82" s="5">
        <v>0</v>
      </c>
      <c r="AP82" s="6">
        <v>0</v>
      </c>
      <c r="AQ82" s="5">
        <v>0</v>
      </c>
      <c r="AR82" s="6">
        <v>640</v>
      </c>
      <c r="AS82" s="5">
        <v>2234.857445498395</v>
      </c>
      <c r="AT82" s="6">
        <v>0</v>
      </c>
      <c r="AU82" s="5">
        <v>0</v>
      </c>
      <c r="AV82" s="6">
        <v>0</v>
      </c>
      <c r="AW82" s="5">
        <v>0</v>
      </c>
      <c r="AX82" s="6">
        <v>0</v>
      </c>
      <c r="AY82" s="5">
        <v>0</v>
      </c>
      <c r="AZ82" s="6">
        <v>0</v>
      </c>
      <c r="BA82" s="5">
        <v>0</v>
      </c>
      <c r="BB82" s="6">
        <v>0</v>
      </c>
      <c r="BC82" s="5">
        <v>0</v>
      </c>
      <c r="BD82" s="6">
        <v>0</v>
      </c>
      <c r="BE82" s="5">
        <v>0</v>
      </c>
      <c r="BF82" s="6">
        <v>0</v>
      </c>
      <c r="BG82" s="5">
        <v>0</v>
      </c>
      <c r="BH82" s="9">
        <f t="shared" si="10"/>
        <v>640</v>
      </c>
      <c r="BI82" s="10">
        <f t="shared" si="11"/>
        <v>2234.857445498395</v>
      </c>
      <c r="BJ82" s="6">
        <f t="shared" si="12"/>
        <v>46.458595484072021</v>
      </c>
      <c r="BK82" s="11">
        <f t="shared" si="13"/>
        <v>7.8273554516322341E-2</v>
      </c>
      <c r="BL82" s="5">
        <f t="shared" si="14"/>
        <v>246.49374037003599</v>
      </c>
      <c r="BM82" s="11">
        <f t="shared" si="15"/>
        <v>0.12396813507221184</v>
      </c>
    </row>
    <row r="83" spans="1:65" ht="15" customHeight="1" x14ac:dyDescent="0.4">
      <c r="A83" s="2" t="s">
        <v>65</v>
      </c>
      <c r="B83" s="2" t="s">
        <v>66</v>
      </c>
      <c r="C83" s="2" t="s">
        <v>153</v>
      </c>
      <c r="D83" s="3" t="s">
        <v>68</v>
      </c>
      <c r="E83" s="3" t="s">
        <v>160</v>
      </c>
      <c r="F83" s="2" t="s">
        <v>161</v>
      </c>
      <c r="G83" s="4">
        <v>5</v>
      </c>
      <c r="H83" s="5">
        <v>4.1999999999999993</v>
      </c>
      <c r="I83" s="5">
        <v>4.3779856674875264</v>
      </c>
      <c r="J83" s="6">
        <v>0</v>
      </c>
      <c r="K83" s="5">
        <v>0</v>
      </c>
      <c r="L83" s="6">
        <v>0</v>
      </c>
      <c r="M83" s="5">
        <v>0</v>
      </c>
      <c r="N83" s="6">
        <v>0</v>
      </c>
      <c r="O83" s="5">
        <v>0</v>
      </c>
      <c r="P83" s="6">
        <v>39.569426967728532</v>
      </c>
      <c r="Q83" s="5">
        <v>166.19159326445981</v>
      </c>
      <c r="R83" s="6">
        <v>0</v>
      </c>
      <c r="S83" s="5">
        <v>0</v>
      </c>
      <c r="T83" s="6">
        <v>0</v>
      </c>
      <c r="U83" s="5">
        <v>0</v>
      </c>
      <c r="V83" s="6">
        <v>0</v>
      </c>
      <c r="W83" s="5">
        <v>0</v>
      </c>
      <c r="X83" s="6">
        <v>0</v>
      </c>
      <c r="Y83" s="5">
        <v>0</v>
      </c>
      <c r="Z83" s="6">
        <v>0</v>
      </c>
      <c r="AA83" s="5">
        <v>0</v>
      </c>
      <c r="AB83" s="6">
        <v>0</v>
      </c>
      <c r="AC83" s="5">
        <v>0</v>
      </c>
      <c r="AD83" s="6">
        <v>0</v>
      </c>
      <c r="AE83" s="5">
        <v>0</v>
      </c>
      <c r="AF83" s="6">
        <v>0</v>
      </c>
      <c r="AG83" s="5">
        <v>0</v>
      </c>
      <c r="AH83" s="7">
        <f t="shared" si="8"/>
        <v>39.569426967728532</v>
      </c>
      <c r="AI83" s="8">
        <f t="shared" si="9"/>
        <v>166.19159326445981</v>
      </c>
      <c r="AJ83" s="6">
        <v>0</v>
      </c>
      <c r="AK83" s="5">
        <v>0</v>
      </c>
      <c r="AL83" s="6">
        <v>0</v>
      </c>
      <c r="AM83" s="5">
        <v>0</v>
      </c>
      <c r="AN83" s="6">
        <v>0</v>
      </c>
      <c r="AO83" s="5">
        <v>0</v>
      </c>
      <c r="AP83" s="6">
        <v>45</v>
      </c>
      <c r="AQ83" s="5">
        <v>197.0093550369387</v>
      </c>
      <c r="AR83" s="6">
        <v>0</v>
      </c>
      <c r="AS83" s="5">
        <v>0</v>
      </c>
      <c r="AT83" s="6">
        <v>0</v>
      </c>
      <c r="AU83" s="5">
        <v>0</v>
      </c>
      <c r="AV83" s="6">
        <v>0</v>
      </c>
      <c r="AW83" s="5">
        <v>0</v>
      </c>
      <c r="AX83" s="6">
        <v>0</v>
      </c>
      <c r="AY83" s="5">
        <v>0</v>
      </c>
      <c r="AZ83" s="6">
        <v>0</v>
      </c>
      <c r="BA83" s="5">
        <v>0</v>
      </c>
      <c r="BB83" s="6">
        <v>0</v>
      </c>
      <c r="BC83" s="5">
        <v>0</v>
      </c>
      <c r="BD83" s="6">
        <v>0</v>
      </c>
      <c r="BE83" s="5">
        <v>0</v>
      </c>
      <c r="BF83" s="6">
        <v>0</v>
      </c>
      <c r="BG83" s="5">
        <v>0</v>
      </c>
      <c r="BH83" s="9">
        <f t="shared" si="10"/>
        <v>45</v>
      </c>
      <c r="BI83" s="10">
        <f t="shared" si="11"/>
        <v>197.0093550369387</v>
      </c>
      <c r="BJ83" s="6">
        <f t="shared" si="12"/>
        <v>5.430573032271468</v>
      </c>
      <c r="BK83" s="11">
        <f t="shared" si="13"/>
        <v>0.13724163952893373</v>
      </c>
      <c r="BL83" s="5">
        <f t="shared" si="14"/>
        <v>30.817761772478889</v>
      </c>
      <c r="BM83" s="11">
        <f t="shared" si="15"/>
        <v>0.18543514245897352</v>
      </c>
    </row>
    <row r="84" spans="1:65" ht="15" customHeight="1" x14ac:dyDescent="0.4">
      <c r="A84" s="2" t="s">
        <v>65</v>
      </c>
      <c r="B84" s="2" t="s">
        <v>66</v>
      </c>
      <c r="C84" s="2" t="s">
        <v>153</v>
      </c>
      <c r="D84" s="3" t="s">
        <v>68</v>
      </c>
      <c r="E84" s="3" t="s">
        <v>124</v>
      </c>
      <c r="F84" s="2" t="s">
        <v>125</v>
      </c>
      <c r="G84" s="4">
        <v>20</v>
      </c>
      <c r="H84" s="5">
        <v>3.919999999999999</v>
      </c>
      <c r="I84" s="5">
        <v>4.0861199563216921</v>
      </c>
      <c r="J84" s="6">
        <v>0</v>
      </c>
      <c r="K84" s="5">
        <v>0</v>
      </c>
      <c r="L84" s="6">
        <v>0</v>
      </c>
      <c r="M84" s="5">
        <v>0</v>
      </c>
      <c r="N84" s="6">
        <v>0</v>
      </c>
      <c r="O84" s="5">
        <v>0</v>
      </c>
      <c r="P84" s="6">
        <v>98.92356741932133</v>
      </c>
      <c r="Q84" s="5">
        <v>387.78038428373958</v>
      </c>
      <c r="R84" s="6">
        <v>0</v>
      </c>
      <c r="S84" s="5">
        <v>0</v>
      </c>
      <c r="T84" s="6">
        <v>0</v>
      </c>
      <c r="U84" s="5">
        <v>0</v>
      </c>
      <c r="V84" s="6">
        <v>0</v>
      </c>
      <c r="W84" s="5">
        <v>0</v>
      </c>
      <c r="X84" s="6">
        <v>0</v>
      </c>
      <c r="Y84" s="5">
        <v>0</v>
      </c>
      <c r="Z84" s="6">
        <v>0</v>
      </c>
      <c r="AA84" s="5">
        <v>0</v>
      </c>
      <c r="AB84" s="6">
        <v>0</v>
      </c>
      <c r="AC84" s="5">
        <v>0</v>
      </c>
      <c r="AD84" s="6">
        <v>0</v>
      </c>
      <c r="AE84" s="5">
        <v>0</v>
      </c>
      <c r="AF84" s="6">
        <v>0</v>
      </c>
      <c r="AG84" s="5">
        <v>0</v>
      </c>
      <c r="AH84" s="7">
        <f t="shared" si="8"/>
        <v>98.92356741932133</v>
      </c>
      <c r="AI84" s="8">
        <f t="shared" si="9"/>
        <v>387.78038428373958</v>
      </c>
      <c r="AJ84" s="6">
        <v>0</v>
      </c>
      <c r="AK84" s="5">
        <v>0</v>
      </c>
      <c r="AL84" s="6">
        <v>0</v>
      </c>
      <c r="AM84" s="5">
        <v>0</v>
      </c>
      <c r="AN84" s="6">
        <v>0</v>
      </c>
      <c r="AO84" s="5">
        <v>0</v>
      </c>
      <c r="AP84" s="6">
        <v>100</v>
      </c>
      <c r="AQ84" s="5">
        <v>408.61199563216923</v>
      </c>
      <c r="AR84" s="6">
        <v>0</v>
      </c>
      <c r="AS84" s="5">
        <v>0</v>
      </c>
      <c r="AT84" s="6">
        <v>0</v>
      </c>
      <c r="AU84" s="5">
        <v>0</v>
      </c>
      <c r="AV84" s="6">
        <v>0</v>
      </c>
      <c r="AW84" s="5">
        <v>0</v>
      </c>
      <c r="AX84" s="6">
        <v>0</v>
      </c>
      <c r="AY84" s="5">
        <v>0</v>
      </c>
      <c r="AZ84" s="6">
        <v>0</v>
      </c>
      <c r="BA84" s="5">
        <v>0</v>
      </c>
      <c r="BB84" s="6">
        <v>0</v>
      </c>
      <c r="BC84" s="5">
        <v>0</v>
      </c>
      <c r="BD84" s="6">
        <v>0</v>
      </c>
      <c r="BE84" s="5">
        <v>0</v>
      </c>
      <c r="BF84" s="6">
        <v>0</v>
      </c>
      <c r="BG84" s="5">
        <v>0</v>
      </c>
      <c r="BH84" s="9">
        <f t="shared" si="10"/>
        <v>100</v>
      </c>
      <c r="BI84" s="10">
        <f t="shared" si="11"/>
        <v>408.61199563216923</v>
      </c>
      <c r="BJ84" s="6">
        <f t="shared" si="12"/>
        <v>1.0764325806786701</v>
      </c>
      <c r="BK84" s="11">
        <f t="shared" si="13"/>
        <v>1.0881457359052195E-2</v>
      </c>
      <c r="BL84" s="5">
        <f t="shared" si="14"/>
        <v>20.831611348429647</v>
      </c>
      <c r="BM84" s="11">
        <f t="shared" si="15"/>
        <v>5.372012663019881E-2</v>
      </c>
    </row>
    <row r="85" spans="1:65" ht="15" customHeight="1" x14ac:dyDescent="0.4">
      <c r="A85" s="2" t="s">
        <v>65</v>
      </c>
      <c r="B85" s="2" t="s">
        <v>66</v>
      </c>
      <c r="C85" s="2" t="s">
        <v>153</v>
      </c>
      <c r="D85" s="3" t="s">
        <v>68</v>
      </c>
      <c r="E85" s="3" t="s">
        <v>147</v>
      </c>
      <c r="F85" s="2" t="s">
        <v>148</v>
      </c>
      <c r="G85" s="4">
        <v>5</v>
      </c>
      <c r="H85" s="5">
        <v>2.69</v>
      </c>
      <c r="I85" s="5">
        <v>2.803995582271773</v>
      </c>
      <c r="J85" s="6">
        <v>0</v>
      </c>
      <c r="K85" s="5">
        <v>0</v>
      </c>
      <c r="L85" s="6">
        <v>0</v>
      </c>
      <c r="M85" s="5">
        <v>0</v>
      </c>
      <c r="N85" s="6">
        <v>0</v>
      </c>
      <c r="O85" s="5">
        <v>0</v>
      </c>
      <c r="P85" s="6">
        <v>1384.9299438704991</v>
      </c>
      <c r="Q85" s="5">
        <v>3725.4615490116412</v>
      </c>
      <c r="R85" s="6">
        <v>0</v>
      </c>
      <c r="S85" s="5">
        <v>0</v>
      </c>
      <c r="T85" s="6">
        <v>0</v>
      </c>
      <c r="U85" s="5">
        <v>0</v>
      </c>
      <c r="V85" s="6">
        <v>0</v>
      </c>
      <c r="W85" s="5">
        <v>0</v>
      </c>
      <c r="X85" s="6">
        <v>0</v>
      </c>
      <c r="Y85" s="5">
        <v>0</v>
      </c>
      <c r="Z85" s="6">
        <v>0</v>
      </c>
      <c r="AA85" s="5">
        <v>0</v>
      </c>
      <c r="AB85" s="6">
        <v>0</v>
      </c>
      <c r="AC85" s="5">
        <v>0</v>
      </c>
      <c r="AD85" s="6">
        <v>0</v>
      </c>
      <c r="AE85" s="5">
        <v>0</v>
      </c>
      <c r="AF85" s="6">
        <v>0</v>
      </c>
      <c r="AG85" s="5">
        <v>0</v>
      </c>
      <c r="AH85" s="7">
        <f t="shared" si="8"/>
        <v>1384.9299438704991</v>
      </c>
      <c r="AI85" s="8">
        <f t="shared" si="9"/>
        <v>3725.4615490116412</v>
      </c>
      <c r="AJ85" s="6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6">
        <v>1745</v>
      </c>
      <c r="AQ85" s="5">
        <v>4892.972291064244</v>
      </c>
      <c r="AR85" s="6">
        <v>0</v>
      </c>
      <c r="AS85" s="5">
        <v>0</v>
      </c>
      <c r="AT85" s="6">
        <v>0</v>
      </c>
      <c r="AU85" s="5">
        <v>0</v>
      </c>
      <c r="AV85" s="6">
        <v>0</v>
      </c>
      <c r="AW85" s="5">
        <v>0</v>
      </c>
      <c r="AX85" s="6">
        <v>0</v>
      </c>
      <c r="AY85" s="5">
        <v>0</v>
      </c>
      <c r="AZ85" s="6">
        <v>0</v>
      </c>
      <c r="BA85" s="5">
        <v>0</v>
      </c>
      <c r="BB85" s="6">
        <v>0</v>
      </c>
      <c r="BC85" s="5">
        <v>0</v>
      </c>
      <c r="BD85" s="6">
        <v>0</v>
      </c>
      <c r="BE85" s="5">
        <v>0</v>
      </c>
      <c r="BF85" s="6">
        <v>0</v>
      </c>
      <c r="BG85" s="5">
        <v>0</v>
      </c>
      <c r="BH85" s="9">
        <f t="shared" si="10"/>
        <v>1745</v>
      </c>
      <c r="BI85" s="10">
        <f t="shared" si="11"/>
        <v>4892.972291064244</v>
      </c>
      <c r="BJ85" s="6">
        <f t="shared" si="12"/>
        <v>360.07005612950093</v>
      </c>
      <c r="BK85" s="11">
        <f t="shared" si="13"/>
        <v>0.25999153077967535</v>
      </c>
      <c r="BL85" s="5">
        <f t="shared" si="14"/>
        <v>1167.5107420526028</v>
      </c>
      <c r="BM85" s="11">
        <f t="shared" si="15"/>
        <v>0.3133868721212118</v>
      </c>
    </row>
    <row r="86" spans="1:65" ht="15" customHeight="1" x14ac:dyDescent="0.4">
      <c r="A86" s="2" t="s">
        <v>65</v>
      </c>
      <c r="B86" s="2" t="s">
        <v>66</v>
      </c>
      <c r="C86" s="2" t="s">
        <v>153</v>
      </c>
      <c r="D86" s="3" t="s">
        <v>68</v>
      </c>
      <c r="E86" s="3" t="s">
        <v>77</v>
      </c>
      <c r="F86" s="2" t="s">
        <v>78</v>
      </c>
      <c r="G86" s="4">
        <v>20</v>
      </c>
      <c r="H86" s="5">
        <v>2.5099999999999998</v>
      </c>
      <c r="I86" s="5">
        <v>2.6163676250937362</v>
      </c>
      <c r="J86" s="6">
        <v>0</v>
      </c>
      <c r="K86" s="5">
        <v>0</v>
      </c>
      <c r="L86" s="6">
        <v>0</v>
      </c>
      <c r="M86" s="5">
        <v>0</v>
      </c>
      <c r="N86" s="6">
        <v>0</v>
      </c>
      <c r="O86" s="5">
        <v>0</v>
      </c>
      <c r="P86" s="6">
        <v>296.77070225796399</v>
      </c>
      <c r="Q86" s="5">
        <v>744.89446266748962</v>
      </c>
      <c r="R86" s="6">
        <v>197.84713483864269</v>
      </c>
      <c r="S86" s="5">
        <v>496.59630844499299</v>
      </c>
      <c r="T86" s="6">
        <v>0</v>
      </c>
      <c r="U86" s="5">
        <v>0</v>
      </c>
      <c r="V86" s="6">
        <v>0</v>
      </c>
      <c r="W86" s="5">
        <v>0</v>
      </c>
      <c r="X86" s="6">
        <v>0</v>
      </c>
      <c r="Y86" s="5">
        <v>0</v>
      </c>
      <c r="Z86" s="6">
        <v>0</v>
      </c>
      <c r="AA86" s="5">
        <v>0</v>
      </c>
      <c r="AB86" s="6">
        <v>0</v>
      </c>
      <c r="AC86" s="5">
        <v>0</v>
      </c>
      <c r="AD86" s="6">
        <v>0</v>
      </c>
      <c r="AE86" s="5">
        <v>0</v>
      </c>
      <c r="AF86" s="6">
        <v>0</v>
      </c>
      <c r="AG86" s="5">
        <v>0</v>
      </c>
      <c r="AH86" s="7">
        <f t="shared" si="8"/>
        <v>494.61783709660665</v>
      </c>
      <c r="AI86" s="8">
        <f t="shared" si="9"/>
        <v>1241.4907711124827</v>
      </c>
      <c r="AJ86" s="6">
        <v>0</v>
      </c>
      <c r="AK86" s="5">
        <v>0</v>
      </c>
      <c r="AL86" s="6">
        <v>0</v>
      </c>
      <c r="AM86" s="5">
        <v>0</v>
      </c>
      <c r="AN86" s="6">
        <v>0</v>
      </c>
      <c r="AO86" s="5">
        <v>0</v>
      </c>
      <c r="AP86" s="6">
        <v>320</v>
      </c>
      <c r="AQ86" s="5">
        <v>837.23764002999565</v>
      </c>
      <c r="AR86" s="6">
        <v>220</v>
      </c>
      <c r="AS86" s="5">
        <v>575.60087752062191</v>
      </c>
      <c r="AT86" s="6">
        <v>0</v>
      </c>
      <c r="AU86" s="5">
        <v>0</v>
      </c>
      <c r="AV86" s="6">
        <v>0</v>
      </c>
      <c r="AW86" s="5">
        <v>0</v>
      </c>
      <c r="AX86" s="6">
        <v>0</v>
      </c>
      <c r="AY86" s="5">
        <v>0</v>
      </c>
      <c r="AZ86" s="6">
        <v>0</v>
      </c>
      <c r="BA86" s="5">
        <v>0</v>
      </c>
      <c r="BB86" s="6">
        <v>0</v>
      </c>
      <c r="BC86" s="5">
        <v>0</v>
      </c>
      <c r="BD86" s="6">
        <v>0</v>
      </c>
      <c r="BE86" s="5">
        <v>0</v>
      </c>
      <c r="BF86" s="6">
        <v>0</v>
      </c>
      <c r="BG86" s="5">
        <v>0</v>
      </c>
      <c r="BH86" s="9">
        <f t="shared" si="10"/>
        <v>540</v>
      </c>
      <c r="BI86" s="10">
        <f t="shared" si="11"/>
        <v>1412.8385175506176</v>
      </c>
      <c r="BJ86" s="6">
        <f t="shared" si="12"/>
        <v>45.38216290339335</v>
      </c>
      <c r="BK86" s="11">
        <f t="shared" si="13"/>
        <v>9.1751973947776372E-2</v>
      </c>
      <c r="BL86" s="5">
        <f t="shared" si="14"/>
        <v>171.34774643813489</v>
      </c>
      <c r="BM86" s="11">
        <f t="shared" si="15"/>
        <v>0.13801773676061446</v>
      </c>
    </row>
    <row r="87" spans="1:65" ht="15" customHeight="1" x14ac:dyDescent="0.4">
      <c r="A87" s="2" t="s">
        <v>65</v>
      </c>
      <c r="B87" s="2" t="s">
        <v>66</v>
      </c>
      <c r="C87" s="2" t="s">
        <v>153</v>
      </c>
      <c r="D87" s="3" t="s">
        <v>68</v>
      </c>
      <c r="E87" s="3" t="s">
        <v>128</v>
      </c>
      <c r="F87" s="2" t="s">
        <v>129</v>
      </c>
      <c r="G87" s="4">
        <v>5</v>
      </c>
      <c r="H87" s="5">
        <v>3.52</v>
      </c>
      <c r="I87" s="5">
        <v>3.6691689403704988</v>
      </c>
      <c r="J87" s="6">
        <v>0</v>
      </c>
      <c r="K87" s="5">
        <v>0</v>
      </c>
      <c r="L87" s="6">
        <v>0</v>
      </c>
      <c r="M87" s="5">
        <v>0</v>
      </c>
      <c r="N87" s="6">
        <v>0</v>
      </c>
      <c r="O87" s="5">
        <v>0</v>
      </c>
      <c r="P87" s="6">
        <v>197.84713483864269</v>
      </c>
      <c r="Q87" s="5">
        <v>696.42191463202209</v>
      </c>
      <c r="R87" s="6">
        <v>0</v>
      </c>
      <c r="S87" s="5">
        <v>0</v>
      </c>
      <c r="T87" s="6">
        <v>0</v>
      </c>
      <c r="U87" s="5">
        <v>0</v>
      </c>
      <c r="V87" s="6">
        <v>0</v>
      </c>
      <c r="W87" s="5">
        <v>0</v>
      </c>
      <c r="X87" s="6">
        <v>0</v>
      </c>
      <c r="Y87" s="5">
        <v>0</v>
      </c>
      <c r="Z87" s="6">
        <v>0</v>
      </c>
      <c r="AA87" s="5">
        <v>0</v>
      </c>
      <c r="AB87" s="6">
        <v>0</v>
      </c>
      <c r="AC87" s="5">
        <v>0</v>
      </c>
      <c r="AD87" s="6">
        <v>0</v>
      </c>
      <c r="AE87" s="5">
        <v>0</v>
      </c>
      <c r="AF87" s="6">
        <v>0</v>
      </c>
      <c r="AG87" s="5">
        <v>0</v>
      </c>
      <c r="AH87" s="7">
        <f t="shared" si="8"/>
        <v>197.84713483864269</v>
      </c>
      <c r="AI87" s="8">
        <f t="shared" si="9"/>
        <v>696.42191463202209</v>
      </c>
      <c r="AJ87" s="6">
        <v>0</v>
      </c>
      <c r="AK87" s="5">
        <v>0</v>
      </c>
      <c r="AL87" s="6">
        <v>0</v>
      </c>
      <c r="AM87" s="5">
        <v>0</v>
      </c>
      <c r="AN87" s="6">
        <v>0</v>
      </c>
      <c r="AO87" s="5">
        <v>0</v>
      </c>
      <c r="AP87" s="6">
        <v>220</v>
      </c>
      <c r="AQ87" s="5">
        <v>807.2171668815098</v>
      </c>
      <c r="AR87" s="6">
        <v>0</v>
      </c>
      <c r="AS87" s="5">
        <v>0</v>
      </c>
      <c r="AT87" s="6">
        <v>0</v>
      </c>
      <c r="AU87" s="5">
        <v>0</v>
      </c>
      <c r="AV87" s="6">
        <v>0</v>
      </c>
      <c r="AW87" s="5">
        <v>0</v>
      </c>
      <c r="AX87" s="6">
        <v>0</v>
      </c>
      <c r="AY87" s="5">
        <v>0</v>
      </c>
      <c r="AZ87" s="6">
        <v>0</v>
      </c>
      <c r="BA87" s="5">
        <v>0</v>
      </c>
      <c r="BB87" s="6">
        <v>0</v>
      </c>
      <c r="BC87" s="5">
        <v>0</v>
      </c>
      <c r="BD87" s="6">
        <v>0</v>
      </c>
      <c r="BE87" s="5">
        <v>0</v>
      </c>
      <c r="BF87" s="6">
        <v>0</v>
      </c>
      <c r="BG87" s="5">
        <v>0</v>
      </c>
      <c r="BH87" s="9">
        <f t="shared" si="10"/>
        <v>220</v>
      </c>
      <c r="BI87" s="10">
        <f t="shared" si="11"/>
        <v>807.2171668815098</v>
      </c>
      <c r="BJ87" s="6">
        <f t="shared" si="12"/>
        <v>22.152865161357312</v>
      </c>
      <c r="BK87" s="11">
        <f t="shared" si="13"/>
        <v>0.11196960309495725</v>
      </c>
      <c r="BL87" s="5">
        <f t="shared" si="14"/>
        <v>110.7952522494877</v>
      </c>
      <c r="BM87" s="11">
        <f t="shared" si="15"/>
        <v>0.15909213929321867</v>
      </c>
    </row>
    <row r="88" spans="1:65" ht="15" customHeight="1" x14ac:dyDescent="0.4">
      <c r="A88" s="2" t="s">
        <v>65</v>
      </c>
      <c r="B88" s="2" t="s">
        <v>66</v>
      </c>
      <c r="C88" s="2" t="s">
        <v>153</v>
      </c>
      <c r="D88" s="3" t="s">
        <v>68</v>
      </c>
      <c r="E88" s="3" t="s">
        <v>79</v>
      </c>
      <c r="F88" s="2" t="s">
        <v>80</v>
      </c>
      <c r="G88" s="4">
        <v>20</v>
      </c>
      <c r="H88" s="5">
        <v>2.640625</v>
      </c>
      <c r="I88" s="5">
        <v>2.7525281912402981</v>
      </c>
      <c r="J88" s="6">
        <v>0</v>
      </c>
      <c r="K88" s="5">
        <v>0</v>
      </c>
      <c r="L88" s="6">
        <v>633.11083148365651</v>
      </c>
      <c r="M88" s="5">
        <v>1671.808289386531</v>
      </c>
      <c r="N88" s="6">
        <v>0</v>
      </c>
      <c r="O88" s="5">
        <v>0</v>
      </c>
      <c r="P88" s="6">
        <v>1266.221662967313</v>
      </c>
      <c r="Q88" s="5">
        <v>3343.6165787730611</v>
      </c>
      <c r="R88" s="6">
        <v>0</v>
      </c>
      <c r="S88" s="5">
        <v>0</v>
      </c>
      <c r="T88" s="6">
        <v>633.11083148365651</v>
      </c>
      <c r="U88" s="5">
        <v>1671.808289386531</v>
      </c>
      <c r="V88" s="6">
        <v>0</v>
      </c>
      <c r="W88" s="5">
        <v>0</v>
      </c>
      <c r="X88" s="6">
        <v>0</v>
      </c>
      <c r="Y88" s="5">
        <v>0</v>
      </c>
      <c r="Z88" s="6">
        <v>0</v>
      </c>
      <c r="AA88" s="5">
        <v>0</v>
      </c>
      <c r="AB88" s="6">
        <v>0</v>
      </c>
      <c r="AC88" s="5">
        <v>0</v>
      </c>
      <c r="AD88" s="6">
        <v>0</v>
      </c>
      <c r="AE88" s="5">
        <v>0</v>
      </c>
      <c r="AF88" s="6">
        <v>0</v>
      </c>
      <c r="AG88" s="5">
        <v>0</v>
      </c>
      <c r="AH88" s="7">
        <f t="shared" si="8"/>
        <v>2532.443325934626</v>
      </c>
      <c r="AI88" s="8">
        <f t="shared" si="9"/>
        <v>6687.233157546123</v>
      </c>
      <c r="AJ88" s="6">
        <v>0</v>
      </c>
      <c r="AK88" s="5">
        <v>0</v>
      </c>
      <c r="AL88" s="6">
        <v>700</v>
      </c>
      <c r="AM88" s="5">
        <v>1926.769733868209</v>
      </c>
      <c r="AN88" s="6">
        <v>0</v>
      </c>
      <c r="AO88" s="5">
        <v>0</v>
      </c>
      <c r="AP88" s="6">
        <v>1400</v>
      </c>
      <c r="AQ88" s="5">
        <v>3853.539467736417</v>
      </c>
      <c r="AR88" s="6">
        <v>0</v>
      </c>
      <c r="AS88" s="5">
        <v>0</v>
      </c>
      <c r="AT88" s="6">
        <v>700</v>
      </c>
      <c r="AU88" s="5">
        <v>1926.769733868209</v>
      </c>
      <c r="AV88" s="6">
        <v>0</v>
      </c>
      <c r="AW88" s="5">
        <v>0</v>
      </c>
      <c r="AX88" s="6">
        <v>0</v>
      </c>
      <c r="AY88" s="5">
        <v>0</v>
      </c>
      <c r="AZ88" s="6">
        <v>0</v>
      </c>
      <c r="BA88" s="5">
        <v>0</v>
      </c>
      <c r="BB88" s="6">
        <v>0</v>
      </c>
      <c r="BC88" s="5">
        <v>0</v>
      </c>
      <c r="BD88" s="6">
        <v>0</v>
      </c>
      <c r="BE88" s="5">
        <v>0</v>
      </c>
      <c r="BF88" s="6">
        <v>0</v>
      </c>
      <c r="BG88" s="5">
        <v>0</v>
      </c>
      <c r="BH88" s="9">
        <f t="shared" si="10"/>
        <v>2800</v>
      </c>
      <c r="BI88" s="10">
        <f t="shared" si="11"/>
        <v>7707.0789354728349</v>
      </c>
      <c r="BJ88" s="6">
        <f t="shared" si="12"/>
        <v>267.55667406537395</v>
      </c>
      <c r="BK88" s="11">
        <f t="shared" si="13"/>
        <v>0.10565159398646334</v>
      </c>
      <c r="BL88" s="5">
        <f t="shared" si="14"/>
        <v>1019.8457779267119</v>
      </c>
      <c r="BM88" s="11">
        <f t="shared" si="15"/>
        <v>0.15250638850177969</v>
      </c>
    </row>
    <row r="89" spans="1:65" ht="15" customHeight="1" x14ac:dyDescent="0.4">
      <c r="A89" s="2" t="s">
        <v>65</v>
      </c>
      <c r="B89" s="2" t="s">
        <v>66</v>
      </c>
      <c r="C89" s="2" t="s">
        <v>153</v>
      </c>
      <c r="D89" s="3" t="s">
        <v>68</v>
      </c>
      <c r="E89" s="3" t="s">
        <v>162</v>
      </c>
      <c r="F89" s="2" t="s">
        <v>163</v>
      </c>
      <c r="G89" s="4">
        <v>5</v>
      </c>
      <c r="H89" s="5">
        <v>7.4499999999999993</v>
      </c>
      <c r="I89" s="5">
        <v>7.7657126720909702</v>
      </c>
      <c r="J89" s="6">
        <v>98.92356741932133</v>
      </c>
      <c r="K89" s="5">
        <v>736.98057727394382</v>
      </c>
      <c r="L89" s="6">
        <v>0</v>
      </c>
      <c r="M89" s="5">
        <v>0</v>
      </c>
      <c r="N89" s="6">
        <v>0</v>
      </c>
      <c r="O89" s="5">
        <v>0</v>
      </c>
      <c r="P89" s="6">
        <v>0</v>
      </c>
      <c r="Q89" s="5">
        <v>0</v>
      </c>
      <c r="R89" s="6">
        <v>0</v>
      </c>
      <c r="S89" s="5">
        <v>0</v>
      </c>
      <c r="T89" s="6">
        <v>0</v>
      </c>
      <c r="U89" s="5">
        <v>0</v>
      </c>
      <c r="V89" s="6">
        <v>0</v>
      </c>
      <c r="W89" s="5">
        <v>0</v>
      </c>
      <c r="X89" s="6">
        <v>0</v>
      </c>
      <c r="Y89" s="5">
        <v>0</v>
      </c>
      <c r="Z89" s="6">
        <v>0</v>
      </c>
      <c r="AA89" s="5">
        <v>0</v>
      </c>
      <c r="AB89" s="6">
        <v>0</v>
      </c>
      <c r="AC89" s="5">
        <v>0</v>
      </c>
      <c r="AD89" s="6">
        <v>0</v>
      </c>
      <c r="AE89" s="5">
        <v>0</v>
      </c>
      <c r="AF89" s="6">
        <v>0</v>
      </c>
      <c r="AG89" s="5">
        <v>0</v>
      </c>
      <c r="AH89" s="7">
        <f t="shared" si="8"/>
        <v>98.92356741932133</v>
      </c>
      <c r="AI89" s="8">
        <f t="shared" si="9"/>
        <v>736.98057727394382</v>
      </c>
      <c r="AJ89" s="6">
        <v>125</v>
      </c>
      <c r="AK89" s="5">
        <v>970.71408401137126</v>
      </c>
      <c r="AL89" s="6">
        <v>0</v>
      </c>
      <c r="AM89" s="5">
        <v>0</v>
      </c>
      <c r="AN89" s="6">
        <v>0</v>
      </c>
      <c r="AO89" s="5">
        <v>0</v>
      </c>
      <c r="AP89" s="6">
        <v>0</v>
      </c>
      <c r="AQ89" s="5">
        <v>0</v>
      </c>
      <c r="AR89" s="6">
        <v>0</v>
      </c>
      <c r="AS89" s="5">
        <v>0</v>
      </c>
      <c r="AT89" s="6">
        <v>0</v>
      </c>
      <c r="AU89" s="5">
        <v>0</v>
      </c>
      <c r="AV89" s="6">
        <v>0</v>
      </c>
      <c r="AW89" s="5">
        <v>0</v>
      </c>
      <c r="AX89" s="6">
        <v>0</v>
      </c>
      <c r="AY89" s="5">
        <v>0</v>
      </c>
      <c r="AZ89" s="6">
        <v>0</v>
      </c>
      <c r="BA89" s="5">
        <v>0</v>
      </c>
      <c r="BB89" s="6">
        <v>0</v>
      </c>
      <c r="BC89" s="5">
        <v>0</v>
      </c>
      <c r="BD89" s="6">
        <v>0</v>
      </c>
      <c r="BE89" s="5">
        <v>0</v>
      </c>
      <c r="BF89" s="6">
        <v>0</v>
      </c>
      <c r="BG89" s="5">
        <v>0</v>
      </c>
      <c r="BH89" s="9">
        <f t="shared" si="10"/>
        <v>125</v>
      </c>
      <c r="BI89" s="10">
        <f t="shared" si="11"/>
        <v>970.71408401137126</v>
      </c>
      <c r="BJ89" s="6">
        <f t="shared" si="12"/>
        <v>26.07643258067867</v>
      </c>
      <c r="BK89" s="11">
        <f t="shared" si="13"/>
        <v>0.26360182169881524</v>
      </c>
      <c r="BL89" s="5">
        <f t="shared" si="14"/>
        <v>233.73350673742743</v>
      </c>
      <c r="BM89" s="11">
        <f t="shared" si="15"/>
        <v>0.31715015828774834</v>
      </c>
    </row>
    <row r="90" spans="1:65" ht="15" customHeight="1" x14ac:dyDescent="0.4">
      <c r="A90" s="2" t="s">
        <v>65</v>
      </c>
      <c r="B90" s="2" t="s">
        <v>66</v>
      </c>
      <c r="C90" s="2" t="s">
        <v>153</v>
      </c>
      <c r="D90" s="3" t="s">
        <v>68</v>
      </c>
      <c r="E90" s="3" t="s">
        <v>164</v>
      </c>
      <c r="F90" s="2" t="s">
        <v>165</v>
      </c>
      <c r="G90" s="4">
        <v>20</v>
      </c>
      <c r="H90" s="5">
        <v>7.14</v>
      </c>
      <c r="I90" s="5">
        <v>7.4425756347287964</v>
      </c>
      <c r="J90" s="6">
        <v>197.84713483864269</v>
      </c>
      <c r="K90" s="5">
        <v>1412.628542747909</v>
      </c>
      <c r="L90" s="6">
        <v>0</v>
      </c>
      <c r="M90" s="5">
        <v>0</v>
      </c>
      <c r="N90" s="6">
        <v>0</v>
      </c>
      <c r="O90" s="5">
        <v>0</v>
      </c>
      <c r="P90" s="6">
        <v>0</v>
      </c>
      <c r="Q90" s="5">
        <v>0</v>
      </c>
      <c r="R90" s="6">
        <v>0</v>
      </c>
      <c r="S90" s="5">
        <v>0</v>
      </c>
      <c r="T90" s="6">
        <v>0</v>
      </c>
      <c r="U90" s="5">
        <v>0</v>
      </c>
      <c r="V90" s="6">
        <v>0</v>
      </c>
      <c r="W90" s="5">
        <v>0</v>
      </c>
      <c r="X90" s="6">
        <v>0</v>
      </c>
      <c r="Y90" s="5">
        <v>0</v>
      </c>
      <c r="Z90" s="6">
        <v>0</v>
      </c>
      <c r="AA90" s="5">
        <v>0</v>
      </c>
      <c r="AB90" s="6">
        <v>0</v>
      </c>
      <c r="AC90" s="5">
        <v>0</v>
      </c>
      <c r="AD90" s="6">
        <v>0</v>
      </c>
      <c r="AE90" s="5">
        <v>0</v>
      </c>
      <c r="AF90" s="6">
        <v>0</v>
      </c>
      <c r="AG90" s="5">
        <v>0</v>
      </c>
      <c r="AH90" s="7">
        <f t="shared" si="8"/>
        <v>197.84713483864269</v>
      </c>
      <c r="AI90" s="8">
        <f t="shared" si="9"/>
        <v>1412.628542747909</v>
      </c>
      <c r="AJ90" s="6">
        <v>240</v>
      </c>
      <c r="AK90" s="5">
        <v>1786.2181523349111</v>
      </c>
      <c r="AL90" s="6">
        <v>0</v>
      </c>
      <c r="AM90" s="5">
        <v>0</v>
      </c>
      <c r="AN90" s="6">
        <v>0</v>
      </c>
      <c r="AO90" s="5">
        <v>0</v>
      </c>
      <c r="AP90" s="6">
        <v>0</v>
      </c>
      <c r="AQ90" s="5">
        <v>0</v>
      </c>
      <c r="AR90" s="6">
        <v>0</v>
      </c>
      <c r="AS90" s="5">
        <v>0</v>
      </c>
      <c r="AT90" s="6">
        <v>0</v>
      </c>
      <c r="AU90" s="5">
        <v>0</v>
      </c>
      <c r="AV90" s="6">
        <v>0</v>
      </c>
      <c r="AW90" s="5">
        <v>0</v>
      </c>
      <c r="AX90" s="6">
        <v>0</v>
      </c>
      <c r="AY90" s="5">
        <v>0</v>
      </c>
      <c r="AZ90" s="6">
        <v>0</v>
      </c>
      <c r="BA90" s="5">
        <v>0</v>
      </c>
      <c r="BB90" s="6">
        <v>0</v>
      </c>
      <c r="BC90" s="5">
        <v>0</v>
      </c>
      <c r="BD90" s="6">
        <v>0</v>
      </c>
      <c r="BE90" s="5">
        <v>0</v>
      </c>
      <c r="BF90" s="6">
        <v>0</v>
      </c>
      <c r="BG90" s="5">
        <v>0</v>
      </c>
      <c r="BH90" s="9">
        <f t="shared" si="10"/>
        <v>240</v>
      </c>
      <c r="BI90" s="10">
        <f t="shared" si="11"/>
        <v>1786.2181523349111</v>
      </c>
      <c r="BJ90" s="6">
        <f t="shared" si="12"/>
        <v>42.152865161357312</v>
      </c>
      <c r="BK90" s="11">
        <f t="shared" si="13"/>
        <v>0.21305774883086245</v>
      </c>
      <c r="BL90" s="5">
        <f t="shared" si="14"/>
        <v>373.58960958700209</v>
      </c>
      <c r="BM90" s="11">
        <f t="shared" si="15"/>
        <v>0.26446415195623801</v>
      </c>
    </row>
    <row r="91" spans="1:65" ht="15" customHeight="1" x14ac:dyDescent="0.4">
      <c r="A91" s="2" t="s">
        <v>65</v>
      </c>
      <c r="B91" s="2" t="s">
        <v>66</v>
      </c>
      <c r="C91" s="2" t="s">
        <v>153</v>
      </c>
      <c r="D91" s="3" t="s">
        <v>68</v>
      </c>
      <c r="E91" s="3" t="s">
        <v>94</v>
      </c>
      <c r="F91" s="2" t="s">
        <v>130</v>
      </c>
      <c r="G91" s="4">
        <v>20</v>
      </c>
      <c r="H91" s="5">
        <v>1.228</v>
      </c>
      <c r="I91" s="5">
        <v>1.277760933185313</v>
      </c>
      <c r="J91" s="6">
        <v>633.11083148365651</v>
      </c>
      <c r="K91" s="5">
        <v>1253.5594463376401</v>
      </c>
      <c r="L91" s="6">
        <v>1266.221662967313</v>
      </c>
      <c r="M91" s="5">
        <v>0</v>
      </c>
      <c r="N91" s="6">
        <v>1266.221662967313</v>
      </c>
      <c r="O91" s="5">
        <v>2633.7410589720112</v>
      </c>
      <c r="P91" s="6">
        <v>0</v>
      </c>
      <c r="Q91" s="5">
        <v>0</v>
      </c>
      <c r="R91" s="6">
        <v>0</v>
      </c>
      <c r="S91" s="5">
        <v>0</v>
      </c>
      <c r="T91" s="6">
        <v>0</v>
      </c>
      <c r="U91" s="5">
        <v>0</v>
      </c>
      <c r="V91" s="6">
        <v>0</v>
      </c>
      <c r="W91" s="5">
        <v>0</v>
      </c>
      <c r="X91" s="6">
        <v>0</v>
      </c>
      <c r="Y91" s="5">
        <v>0</v>
      </c>
      <c r="Z91" s="6">
        <v>0</v>
      </c>
      <c r="AA91" s="5">
        <v>0</v>
      </c>
      <c r="AB91" s="6">
        <v>0</v>
      </c>
      <c r="AC91" s="5">
        <v>0</v>
      </c>
      <c r="AD91" s="6">
        <v>0</v>
      </c>
      <c r="AE91" s="5">
        <v>0</v>
      </c>
      <c r="AF91" s="6">
        <v>0</v>
      </c>
      <c r="AG91" s="5">
        <v>0</v>
      </c>
      <c r="AH91" s="7">
        <f t="shared" si="8"/>
        <v>3165.5541574182826</v>
      </c>
      <c r="AI91" s="8">
        <f t="shared" si="9"/>
        <v>3887.3005053096513</v>
      </c>
      <c r="AJ91" s="6">
        <v>680</v>
      </c>
      <c r="AK91" s="5">
        <v>1403.4571196917159</v>
      </c>
      <c r="AL91" s="6">
        <v>1380</v>
      </c>
      <c r="AM91" s="5">
        <v>0</v>
      </c>
      <c r="AN91" s="6">
        <v>1380</v>
      </c>
      <c r="AO91" s="5">
        <v>2992.0404904657612</v>
      </c>
      <c r="AP91" s="6">
        <v>0</v>
      </c>
      <c r="AQ91" s="5">
        <v>0</v>
      </c>
      <c r="AR91" s="6">
        <v>0</v>
      </c>
      <c r="AS91" s="5">
        <v>0</v>
      </c>
      <c r="AT91" s="6">
        <v>0</v>
      </c>
      <c r="AU91" s="5">
        <v>0</v>
      </c>
      <c r="AV91" s="6">
        <v>0</v>
      </c>
      <c r="AW91" s="5">
        <v>0</v>
      </c>
      <c r="AX91" s="6">
        <v>0</v>
      </c>
      <c r="AY91" s="5">
        <v>0</v>
      </c>
      <c r="AZ91" s="6">
        <v>0</v>
      </c>
      <c r="BA91" s="5">
        <v>0</v>
      </c>
      <c r="BB91" s="6">
        <v>0</v>
      </c>
      <c r="BC91" s="5">
        <v>0</v>
      </c>
      <c r="BD91" s="6">
        <v>0</v>
      </c>
      <c r="BE91" s="5">
        <v>0</v>
      </c>
      <c r="BF91" s="6">
        <v>0</v>
      </c>
      <c r="BG91" s="5">
        <v>0</v>
      </c>
      <c r="BH91" s="9">
        <f t="shared" si="10"/>
        <v>3440</v>
      </c>
      <c r="BI91" s="10">
        <f t="shared" si="11"/>
        <v>4395.4976101574775</v>
      </c>
      <c r="BJ91" s="6">
        <f t="shared" si="12"/>
        <v>274.44584258171744</v>
      </c>
      <c r="BK91" s="11">
        <f t="shared" si="13"/>
        <v>8.6697566660981107E-2</v>
      </c>
      <c r="BL91" s="5">
        <f t="shared" si="14"/>
        <v>508.19710484782627</v>
      </c>
      <c r="BM91" s="11">
        <f t="shared" si="15"/>
        <v>0.13073265217177871</v>
      </c>
    </row>
    <row r="92" spans="1:65" ht="15" customHeight="1" x14ac:dyDescent="0.4">
      <c r="A92" s="2" t="s">
        <v>65</v>
      </c>
      <c r="B92" s="2" t="s">
        <v>66</v>
      </c>
      <c r="C92" s="2" t="s">
        <v>153</v>
      </c>
      <c r="D92" s="3" t="s">
        <v>68</v>
      </c>
      <c r="E92" s="3" t="s">
        <v>94</v>
      </c>
      <c r="F92" s="2" t="s">
        <v>95</v>
      </c>
      <c r="G92" s="4">
        <v>20</v>
      </c>
      <c r="H92" s="5">
        <v>2.0299999999999998</v>
      </c>
      <c r="I92" s="5">
        <v>2.116026405952304</v>
      </c>
      <c r="J92" s="6">
        <v>0</v>
      </c>
      <c r="K92" s="5">
        <v>0</v>
      </c>
      <c r="L92" s="6">
        <v>0</v>
      </c>
      <c r="M92" s="5">
        <v>0</v>
      </c>
      <c r="N92" s="6">
        <v>0</v>
      </c>
      <c r="O92" s="5">
        <v>0</v>
      </c>
      <c r="P92" s="6">
        <v>1266.221662967313</v>
      </c>
      <c r="Q92" s="5">
        <v>2633.7410589720112</v>
      </c>
      <c r="R92" s="6">
        <v>1266.221662967313</v>
      </c>
      <c r="S92" s="5">
        <v>2507.1188926752802</v>
      </c>
      <c r="T92" s="6">
        <v>0</v>
      </c>
      <c r="U92" s="5">
        <v>0</v>
      </c>
      <c r="V92" s="6">
        <v>0</v>
      </c>
      <c r="W92" s="5">
        <v>0</v>
      </c>
      <c r="X92" s="6">
        <v>0</v>
      </c>
      <c r="Y92" s="5">
        <v>0</v>
      </c>
      <c r="Z92" s="6">
        <v>0</v>
      </c>
      <c r="AA92" s="5">
        <v>0</v>
      </c>
      <c r="AB92" s="6">
        <v>0</v>
      </c>
      <c r="AC92" s="5">
        <v>0</v>
      </c>
      <c r="AD92" s="6">
        <v>0</v>
      </c>
      <c r="AE92" s="5">
        <v>0</v>
      </c>
      <c r="AF92" s="6">
        <v>0</v>
      </c>
      <c r="AG92" s="5">
        <v>0</v>
      </c>
      <c r="AH92" s="7">
        <f t="shared" si="8"/>
        <v>2532.443325934626</v>
      </c>
      <c r="AI92" s="8">
        <f t="shared" si="9"/>
        <v>5140.8599516472914</v>
      </c>
      <c r="AJ92" s="6">
        <v>0</v>
      </c>
      <c r="AK92" s="5">
        <v>0</v>
      </c>
      <c r="AL92" s="6">
        <v>0</v>
      </c>
      <c r="AM92" s="5">
        <v>0</v>
      </c>
      <c r="AN92" s="6">
        <v>0</v>
      </c>
      <c r="AO92" s="5">
        <v>0</v>
      </c>
      <c r="AP92" s="6">
        <v>1380</v>
      </c>
      <c r="AQ92" s="5">
        <v>2992.0404904657612</v>
      </c>
      <c r="AR92" s="6">
        <v>1380</v>
      </c>
      <c r="AS92" s="5">
        <v>2848.1923899625999</v>
      </c>
      <c r="AT92" s="6">
        <v>0</v>
      </c>
      <c r="AU92" s="5">
        <v>0</v>
      </c>
      <c r="AV92" s="6">
        <v>0</v>
      </c>
      <c r="AW92" s="5">
        <v>0</v>
      </c>
      <c r="AX92" s="6">
        <v>0</v>
      </c>
      <c r="AY92" s="5">
        <v>0</v>
      </c>
      <c r="AZ92" s="6">
        <v>0</v>
      </c>
      <c r="BA92" s="5">
        <v>0</v>
      </c>
      <c r="BB92" s="6">
        <v>0</v>
      </c>
      <c r="BC92" s="5">
        <v>0</v>
      </c>
      <c r="BD92" s="6">
        <v>0</v>
      </c>
      <c r="BE92" s="5">
        <v>0</v>
      </c>
      <c r="BF92" s="6">
        <v>0</v>
      </c>
      <c r="BG92" s="5">
        <v>0</v>
      </c>
      <c r="BH92" s="9">
        <f t="shared" si="10"/>
        <v>2760</v>
      </c>
      <c r="BI92" s="10">
        <f t="shared" si="11"/>
        <v>5840.2328804283607</v>
      </c>
      <c r="BJ92" s="6">
        <f t="shared" si="12"/>
        <v>227.55667406537395</v>
      </c>
      <c r="BK92" s="11">
        <f t="shared" si="13"/>
        <v>8.9856571215228151E-2</v>
      </c>
      <c r="BL92" s="5">
        <f t="shared" si="14"/>
        <v>699.37292878106928</v>
      </c>
      <c r="BM92" s="11">
        <f t="shared" si="15"/>
        <v>0.13604201152318271</v>
      </c>
    </row>
    <row r="93" spans="1:65" ht="15" customHeight="1" x14ac:dyDescent="0.4">
      <c r="A93" s="2" t="s">
        <v>65</v>
      </c>
      <c r="B93" s="2" t="s">
        <v>66</v>
      </c>
      <c r="C93" s="2" t="s">
        <v>153</v>
      </c>
      <c r="D93" s="3" t="s">
        <v>68</v>
      </c>
      <c r="E93" s="3" t="s">
        <v>131</v>
      </c>
      <c r="F93" s="2" t="s">
        <v>132</v>
      </c>
      <c r="G93" s="4">
        <v>20</v>
      </c>
      <c r="H93" s="5">
        <v>1.79</v>
      </c>
      <c r="I93" s="5">
        <v>1.8658557963815889</v>
      </c>
      <c r="J93" s="6">
        <v>0</v>
      </c>
      <c r="K93" s="5">
        <v>0</v>
      </c>
      <c r="L93" s="6">
        <v>0</v>
      </c>
      <c r="M93" s="5">
        <v>0</v>
      </c>
      <c r="N93" s="6">
        <v>0</v>
      </c>
      <c r="O93" s="5">
        <v>0</v>
      </c>
      <c r="P93" s="6">
        <v>0</v>
      </c>
      <c r="Q93" s="5">
        <v>0</v>
      </c>
      <c r="R93" s="6">
        <v>0</v>
      </c>
      <c r="S93" s="5">
        <v>0</v>
      </c>
      <c r="T93" s="6">
        <v>593.54140451592798</v>
      </c>
      <c r="U93" s="5">
        <v>1062.439114083511</v>
      </c>
      <c r="V93" s="6">
        <v>0</v>
      </c>
      <c r="W93" s="5">
        <v>0</v>
      </c>
      <c r="X93" s="6">
        <v>0</v>
      </c>
      <c r="Y93" s="5">
        <v>0</v>
      </c>
      <c r="Z93" s="6">
        <v>0</v>
      </c>
      <c r="AA93" s="5">
        <v>0</v>
      </c>
      <c r="AB93" s="6">
        <v>0</v>
      </c>
      <c r="AC93" s="5">
        <v>0</v>
      </c>
      <c r="AD93" s="6">
        <v>0</v>
      </c>
      <c r="AE93" s="5">
        <v>0</v>
      </c>
      <c r="AF93" s="6">
        <v>0</v>
      </c>
      <c r="AG93" s="5">
        <v>0</v>
      </c>
      <c r="AH93" s="7">
        <f t="shared" si="8"/>
        <v>593.54140451592798</v>
      </c>
      <c r="AI93" s="8">
        <f t="shared" si="9"/>
        <v>1062.439114083511</v>
      </c>
      <c r="AJ93" s="6">
        <v>0</v>
      </c>
      <c r="AK93" s="5">
        <v>0</v>
      </c>
      <c r="AL93" s="6">
        <v>0</v>
      </c>
      <c r="AM93" s="5">
        <v>0</v>
      </c>
      <c r="AN93" s="6">
        <v>0</v>
      </c>
      <c r="AO93" s="5">
        <v>0</v>
      </c>
      <c r="AP93" s="6">
        <v>0</v>
      </c>
      <c r="AQ93" s="5">
        <v>0</v>
      </c>
      <c r="AR93" s="6">
        <v>0</v>
      </c>
      <c r="AS93" s="5">
        <v>0</v>
      </c>
      <c r="AT93" s="6">
        <v>640</v>
      </c>
      <c r="AU93" s="5">
        <v>1194.147709684217</v>
      </c>
      <c r="AV93" s="6">
        <v>0</v>
      </c>
      <c r="AW93" s="5">
        <v>0</v>
      </c>
      <c r="AX93" s="6">
        <v>0</v>
      </c>
      <c r="AY93" s="5">
        <v>0</v>
      </c>
      <c r="AZ93" s="6">
        <v>0</v>
      </c>
      <c r="BA93" s="5">
        <v>0</v>
      </c>
      <c r="BB93" s="6">
        <v>0</v>
      </c>
      <c r="BC93" s="5">
        <v>0</v>
      </c>
      <c r="BD93" s="6">
        <v>0</v>
      </c>
      <c r="BE93" s="5">
        <v>0</v>
      </c>
      <c r="BF93" s="6">
        <v>0</v>
      </c>
      <c r="BG93" s="5">
        <v>0</v>
      </c>
      <c r="BH93" s="9">
        <f t="shared" si="10"/>
        <v>640</v>
      </c>
      <c r="BI93" s="10">
        <f t="shared" si="11"/>
        <v>1194.147709684217</v>
      </c>
      <c r="BJ93" s="6">
        <f t="shared" si="12"/>
        <v>46.458595484072021</v>
      </c>
      <c r="BK93" s="11">
        <f t="shared" si="13"/>
        <v>7.8273554516322341E-2</v>
      </c>
      <c r="BL93" s="5">
        <f t="shared" si="14"/>
        <v>131.70859560070608</v>
      </c>
      <c r="BM93" s="11">
        <f t="shared" si="15"/>
        <v>0.12396813507221213</v>
      </c>
    </row>
    <row r="94" spans="1:65" ht="15" customHeight="1" x14ac:dyDescent="0.4">
      <c r="A94" s="2" t="s">
        <v>65</v>
      </c>
      <c r="B94" s="2" t="s">
        <v>66</v>
      </c>
      <c r="C94" s="2" t="s">
        <v>166</v>
      </c>
      <c r="D94" s="3" t="s">
        <v>134</v>
      </c>
      <c r="E94" s="3" t="s">
        <v>110</v>
      </c>
      <c r="F94" s="2" t="s">
        <v>111</v>
      </c>
      <c r="G94" s="4">
        <v>5</v>
      </c>
      <c r="H94" s="5">
        <v>4.1999999999999993</v>
      </c>
      <c r="I94" s="5">
        <v>4.3779856674875273</v>
      </c>
      <c r="J94" s="6">
        <v>0</v>
      </c>
      <c r="K94" s="5">
        <v>0</v>
      </c>
      <c r="L94" s="6">
        <v>0</v>
      </c>
      <c r="M94" s="5">
        <v>0</v>
      </c>
      <c r="N94" s="6">
        <v>0</v>
      </c>
      <c r="O94" s="5">
        <v>0</v>
      </c>
      <c r="P94" s="6">
        <v>0</v>
      </c>
      <c r="Q94" s="5">
        <v>0</v>
      </c>
      <c r="R94" s="6">
        <v>0</v>
      </c>
      <c r="S94" s="5">
        <v>0</v>
      </c>
      <c r="T94" s="6">
        <v>19.78471348386427</v>
      </c>
      <c r="U94" s="5">
        <v>83.095796632229906</v>
      </c>
      <c r="V94" s="6">
        <v>0</v>
      </c>
      <c r="W94" s="5">
        <v>0</v>
      </c>
      <c r="X94" s="6">
        <v>0</v>
      </c>
      <c r="Y94" s="5">
        <v>0</v>
      </c>
      <c r="Z94" s="6">
        <v>0</v>
      </c>
      <c r="AA94" s="5">
        <v>0</v>
      </c>
      <c r="AB94" s="6">
        <v>0</v>
      </c>
      <c r="AC94" s="5">
        <v>0</v>
      </c>
      <c r="AD94" s="6">
        <v>0</v>
      </c>
      <c r="AE94" s="5">
        <v>0</v>
      </c>
      <c r="AF94" s="6">
        <v>0</v>
      </c>
      <c r="AG94" s="5">
        <v>0</v>
      </c>
      <c r="AH94" s="7">
        <f t="shared" si="8"/>
        <v>19.78471348386427</v>
      </c>
      <c r="AI94" s="8">
        <f t="shared" si="9"/>
        <v>83.095796632229906</v>
      </c>
      <c r="AJ94" s="6">
        <v>0</v>
      </c>
      <c r="AK94" s="5">
        <v>0</v>
      </c>
      <c r="AL94" s="6">
        <v>0</v>
      </c>
      <c r="AM94" s="5">
        <v>0</v>
      </c>
      <c r="AN94" s="6">
        <v>0</v>
      </c>
      <c r="AO94" s="5">
        <v>0</v>
      </c>
      <c r="AP94" s="6">
        <v>0</v>
      </c>
      <c r="AQ94" s="5">
        <v>0</v>
      </c>
      <c r="AR94" s="6">
        <v>0</v>
      </c>
      <c r="AS94" s="5">
        <v>0</v>
      </c>
      <c r="AT94" s="6">
        <v>20</v>
      </c>
      <c r="AU94" s="5">
        <v>87.559713349750538</v>
      </c>
      <c r="AV94" s="6">
        <v>0</v>
      </c>
      <c r="AW94" s="5">
        <v>0</v>
      </c>
      <c r="AX94" s="6">
        <v>0</v>
      </c>
      <c r="AY94" s="5">
        <v>0</v>
      </c>
      <c r="AZ94" s="6">
        <v>0</v>
      </c>
      <c r="BA94" s="5">
        <v>0</v>
      </c>
      <c r="BB94" s="6">
        <v>0</v>
      </c>
      <c r="BC94" s="5">
        <v>0</v>
      </c>
      <c r="BD94" s="6">
        <v>0</v>
      </c>
      <c r="BE94" s="5">
        <v>0</v>
      </c>
      <c r="BF94" s="6">
        <v>0</v>
      </c>
      <c r="BG94" s="5">
        <v>0</v>
      </c>
      <c r="BH94" s="9">
        <f t="shared" si="10"/>
        <v>20</v>
      </c>
      <c r="BI94" s="10">
        <f t="shared" si="11"/>
        <v>87.559713349750538</v>
      </c>
      <c r="BJ94" s="6">
        <f t="shared" si="12"/>
        <v>0.21528651613573047</v>
      </c>
      <c r="BK94" s="11">
        <f t="shared" si="13"/>
        <v>1.0881457359052014E-2</v>
      </c>
      <c r="BL94" s="5">
        <f t="shared" si="14"/>
        <v>4.4639167175206325</v>
      </c>
      <c r="BM94" s="11">
        <f t="shared" si="15"/>
        <v>5.372012663019874E-2</v>
      </c>
    </row>
    <row r="95" spans="1:65" ht="15" customHeight="1" x14ac:dyDescent="0.4">
      <c r="A95" s="2" t="s">
        <v>65</v>
      </c>
      <c r="B95" s="2" t="s">
        <v>66</v>
      </c>
      <c r="C95" s="2" t="s">
        <v>166</v>
      </c>
      <c r="D95" s="3" t="s">
        <v>134</v>
      </c>
      <c r="E95" s="3" t="s">
        <v>167</v>
      </c>
      <c r="F95" s="2" t="s">
        <v>168</v>
      </c>
      <c r="G95" s="4">
        <v>5</v>
      </c>
      <c r="H95" s="5">
        <v>4.6900000000000004</v>
      </c>
      <c r="I95" s="5">
        <v>4.8887506620277366</v>
      </c>
      <c r="J95" s="6">
        <v>0</v>
      </c>
      <c r="K95" s="5">
        <v>0</v>
      </c>
      <c r="L95" s="6">
        <v>0</v>
      </c>
      <c r="M95" s="5">
        <v>0</v>
      </c>
      <c r="N95" s="6">
        <v>0</v>
      </c>
      <c r="O95" s="5">
        <v>0</v>
      </c>
      <c r="P95" s="6">
        <v>0</v>
      </c>
      <c r="Q95" s="5">
        <v>0</v>
      </c>
      <c r="R95" s="6">
        <v>0</v>
      </c>
      <c r="S95" s="5">
        <v>0</v>
      </c>
      <c r="T95" s="6">
        <v>19.78471348386427</v>
      </c>
      <c r="U95" s="5">
        <v>92.790306239323399</v>
      </c>
      <c r="V95" s="6">
        <v>0</v>
      </c>
      <c r="W95" s="5">
        <v>0</v>
      </c>
      <c r="X95" s="6">
        <v>0</v>
      </c>
      <c r="Y95" s="5">
        <v>0</v>
      </c>
      <c r="Z95" s="6">
        <v>0</v>
      </c>
      <c r="AA95" s="5">
        <v>0</v>
      </c>
      <c r="AB95" s="6">
        <v>0</v>
      </c>
      <c r="AC95" s="5">
        <v>0</v>
      </c>
      <c r="AD95" s="6">
        <v>0</v>
      </c>
      <c r="AE95" s="5">
        <v>0</v>
      </c>
      <c r="AF95" s="6">
        <v>0</v>
      </c>
      <c r="AG95" s="5">
        <v>0</v>
      </c>
      <c r="AH95" s="7">
        <f t="shared" si="8"/>
        <v>19.78471348386427</v>
      </c>
      <c r="AI95" s="8">
        <f t="shared" si="9"/>
        <v>92.790306239323399</v>
      </c>
      <c r="AJ95" s="6">
        <v>0</v>
      </c>
      <c r="AK95" s="5">
        <v>0</v>
      </c>
      <c r="AL95" s="6">
        <v>0</v>
      </c>
      <c r="AM95" s="5">
        <v>0</v>
      </c>
      <c r="AN95" s="6">
        <v>0</v>
      </c>
      <c r="AO95" s="5">
        <v>0</v>
      </c>
      <c r="AP95" s="6">
        <v>0</v>
      </c>
      <c r="AQ95" s="5">
        <v>0</v>
      </c>
      <c r="AR95" s="6">
        <v>0</v>
      </c>
      <c r="AS95" s="5">
        <v>0</v>
      </c>
      <c r="AT95" s="6">
        <v>20</v>
      </c>
      <c r="AU95" s="5">
        <v>97.775013240554756</v>
      </c>
      <c r="AV95" s="6">
        <v>0</v>
      </c>
      <c r="AW95" s="5">
        <v>0</v>
      </c>
      <c r="AX95" s="6">
        <v>0</v>
      </c>
      <c r="AY95" s="5">
        <v>0</v>
      </c>
      <c r="AZ95" s="6">
        <v>0</v>
      </c>
      <c r="BA95" s="5">
        <v>0</v>
      </c>
      <c r="BB95" s="6">
        <v>0</v>
      </c>
      <c r="BC95" s="5">
        <v>0</v>
      </c>
      <c r="BD95" s="6">
        <v>0</v>
      </c>
      <c r="BE95" s="5">
        <v>0</v>
      </c>
      <c r="BF95" s="6">
        <v>0</v>
      </c>
      <c r="BG95" s="5">
        <v>0</v>
      </c>
      <c r="BH95" s="9">
        <f t="shared" si="10"/>
        <v>20</v>
      </c>
      <c r="BI95" s="10">
        <f t="shared" si="11"/>
        <v>97.775013240554756</v>
      </c>
      <c r="BJ95" s="6">
        <f t="shared" si="12"/>
        <v>0.21528651613573047</v>
      </c>
      <c r="BK95" s="11">
        <f t="shared" si="13"/>
        <v>1.0881457359052014E-2</v>
      </c>
      <c r="BL95" s="5">
        <f t="shared" si="14"/>
        <v>4.9847070012313566</v>
      </c>
      <c r="BM95" s="11">
        <f t="shared" si="15"/>
        <v>5.372012663019856E-2</v>
      </c>
    </row>
    <row r="96" spans="1:65" ht="15" customHeight="1" x14ac:dyDescent="0.4">
      <c r="A96" s="2" t="s">
        <v>65</v>
      </c>
      <c r="B96" s="2" t="s">
        <v>66</v>
      </c>
      <c r="C96" s="2" t="s">
        <v>166</v>
      </c>
      <c r="D96" s="3" t="s">
        <v>134</v>
      </c>
      <c r="E96" s="3" t="s">
        <v>128</v>
      </c>
      <c r="F96" s="2" t="s">
        <v>129</v>
      </c>
      <c r="G96" s="4">
        <v>5</v>
      </c>
      <c r="H96" s="5">
        <v>4.41</v>
      </c>
      <c r="I96" s="5">
        <v>4.5968849508619032</v>
      </c>
      <c r="J96" s="6">
        <v>0</v>
      </c>
      <c r="K96" s="5">
        <v>0</v>
      </c>
      <c r="L96" s="6">
        <v>0</v>
      </c>
      <c r="M96" s="5">
        <v>0</v>
      </c>
      <c r="N96" s="6">
        <v>0</v>
      </c>
      <c r="O96" s="5">
        <v>0</v>
      </c>
      <c r="P96" s="6">
        <v>0</v>
      </c>
      <c r="Q96" s="5">
        <v>0</v>
      </c>
      <c r="R96" s="6">
        <v>0</v>
      </c>
      <c r="S96" s="5">
        <v>0</v>
      </c>
      <c r="T96" s="6">
        <v>19.78471348386427</v>
      </c>
      <c r="U96" s="5">
        <v>87.250586463841415</v>
      </c>
      <c r="V96" s="6">
        <v>0</v>
      </c>
      <c r="W96" s="5">
        <v>0</v>
      </c>
      <c r="X96" s="6">
        <v>0</v>
      </c>
      <c r="Y96" s="5">
        <v>0</v>
      </c>
      <c r="Z96" s="6">
        <v>0</v>
      </c>
      <c r="AA96" s="5">
        <v>0</v>
      </c>
      <c r="AB96" s="6">
        <v>0</v>
      </c>
      <c r="AC96" s="5">
        <v>0</v>
      </c>
      <c r="AD96" s="6">
        <v>0</v>
      </c>
      <c r="AE96" s="5">
        <v>0</v>
      </c>
      <c r="AF96" s="6">
        <v>0</v>
      </c>
      <c r="AG96" s="5">
        <v>0</v>
      </c>
      <c r="AH96" s="7">
        <f t="shared" si="8"/>
        <v>19.78471348386427</v>
      </c>
      <c r="AI96" s="8">
        <f t="shared" si="9"/>
        <v>87.250586463841415</v>
      </c>
      <c r="AJ96" s="6">
        <v>0</v>
      </c>
      <c r="AK96" s="5">
        <v>0</v>
      </c>
      <c r="AL96" s="6">
        <v>0</v>
      </c>
      <c r="AM96" s="5">
        <v>0</v>
      </c>
      <c r="AN96" s="6">
        <v>0</v>
      </c>
      <c r="AO96" s="5">
        <v>0</v>
      </c>
      <c r="AP96" s="6">
        <v>0</v>
      </c>
      <c r="AQ96" s="5">
        <v>0</v>
      </c>
      <c r="AR96" s="6">
        <v>0</v>
      </c>
      <c r="AS96" s="5">
        <v>0</v>
      </c>
      <c r="AT96" s="6">
        <v>20</v>
      </c>
      <c r="AU96" s="5">
        <v>91.93769901723806</v>
      </c>
      <c r="AV96" s="6">
        <v>0</v>
      </c>
      <c r="AW96" s="5">
        <v>0</v>
      </c>
      <c r="AX96" s="6">
        <v>0</v>
      </c>
      <c r="AY96" s="5">
        <v>0</v>
      </c>
      <c r="AZ96" s="6">
        <v>0</v>
      </c>
      <c r="BA96" s="5">
        <v>0</v>
      </c>
      <c r="BB96" s="6">
        <v>0</v>
      </c>
      <c r="BC96" s="5">
        <v>0</v>
      </c>
      <c r="BD96" s="6">
        <v>0</v>
      </c>
      <c r="BE96" s="5">
        <v>0</v>
      </c>
      <c r="BF96" s="6">
        <v>0</v>
      </c>
      <c r="BG96" s="5">
        <v>0</v>
      </c>
      <c r="BH96" s="9">
        <f t="shared" si="10"/>
        <v>20</v>
      </c>
      <c r="BI96" s="10">
        <f t="shared" si="11"/>
        <v>91.93769901723806</v>
      </c>
      <c r="BJ96" s="6">
        <f t="shared" si="12"/>
        <v>0.21528651613573047</v>
      </c>
      <c r="BK96" s="11">
        <f t="shared" si="13"/>
        <v>1.0881457359052014E-2</v>
      </c>
      <c r="BL96" s="5">
        <f t="shared" si="14"/>
        <v>4.6871125533966449</v>
      </c>
      <c r="BM96" s="11">
        <f t="shared" si="15"/>
        <v>5.3720126630198511E-2</v>
      </c>
    </row>
    <row r="97" spans="1:65" ht="15" customHeight="1" x14ac:dyDescent="0.4">
      <c r="A97" s="2" t="s">
        <v>65</v>
      </c>
      <c r="B97" s="2" t="s">
        <v>66</v>
      </c>
      <c r="C97" s="2" t="s">
        <v>169</v>
      </c>
      <c r="D97" s="3" t="s">
        <v>134</v>
      </c>
      <c r="E97" s="3" t="s">
        <v>86</v>
      </c>
      <c r="F97" s="2" t="s">
        <v>87</v>
      </c>
      <c r="G97" s="4">
        <v>20</v>
      </c>
      <c r="H97" s="5">
        <v>2.1</v>
      </c>
      <c r="I97" s="5">
        <v>2.1889928337437641</v>
      </c>
      <c r="J97" s="6">
        <v>0</v>
      </c>
      <c r="K97" s="5">
        <v>0</v>
      </c>
      <c r="L97" s="6">
        <v>0</v>
      </c>
      <c r="M97" s="5">
        <v>0</v>
      </c>
      <c r="N97" s="6">
        <v>0</v>
      </c>
      <c r="O97" s="5">
        <v>0</v>
      </c>
      <c r="P97" s="6">
        <v>1088.159241612535</v>
      </c>
      <c r="Q97" s="5">
        <v>2285.134407386322</v>
      </c>
      <c r="R97" s="6">
        <v>0</v>
      </c>
      <c r="S97" s="5">
        <v>0</v>
      </c>
      <c r="T97" s="6">
        <v>0</v>
      </c>
      <c r="U97" s="5">
        <v>0</v>
      </c>
      <c r="V97" s="6">
        <v>0</v>
      </c>
      <c r="W97" s="5">
        <v>0</v>
      </c>
      <c r="X97" s="6">
        <v>0</v>
      </c>
      <c r="Y97" s="5">
        <v>0</v>
      </c>
      <c r="Z97" s="6">
        <v>0</v>
      </c>
      <c r="AA97" s="5">
        <v>0</v>
      </c>
      <c r="AB97" s="6">
        <v>0</v>
      </c>
      <c r="AC97" s="5">
        <v>0</v>
      </c>
      <c r="AD97" s="6">
        <v>0</v>
      </c>
      <c r="AE97" s="5">
        <v>0</v>
      </c>
      <c r="AF97" s="6">
        <v>0</v>
      </c>
      <c r="AG97" s="5">
        <v>0</v>
      </c>
      <c r="AH97" s="7">
        <f t="shared" si="8"/>
        <v>1088.159241612535</v>
      </c>
      <c r="AI97" s="8">
        <f t="shared" si="9"/>
        <v>2285.134407386322</v>
      </c>
      <c r="AJ97" s="6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6">
        <v>1180</v>
      </c>
      <c r="AQ97" s="5">
        <v>2583.0115438176408</v>
      </c>
      <c r="AR97" s="6">
        <v>0</v>
      </c>
      <c r="AS97" s="5">
        <v>0</v>
      </c>
      <c r="AT97" s="6">
        <v>0</v>
      </c>
      <c r="AU97" s="5">
        <v>0</v>
      </c>
      <c r="AV97" s="6">
        <v>0</v>
      </c>
      <c r="AW97" s="5">
        <v>0</v>
      </c>
      <c r="AX97" s="6">
        <v>0</v>
      </c>
      <c r="AY97" s="5">
        <v>0</v>
      </c>
      <c r="AZ97" s="6">
        <v>0</v>
      </c>
      <c r="BA97" s="5">
        <v>0</v>
      </c>
      <c r="BB97" s="6">
        <v>0</v>
      </c>
      <c r="BC97" s="5">
        <v>0</v>
      </c>
      <c r="BD97" s="6">
        <v>0</v>
      </c>
      <c r="BE97" s="5">
        <v>0</v>
      </c>
      <c r="BF97" s="6">
        <v>0</v>
      </c>
      <c r="BG97" s="5">
        <v>0</v>
      </c>
      <c r="BH97" s="9">
        <f t="shared" si="10"/>
        <v>1180</v>
      </c>
      <c r="BI97" s="10">
        <f t="shared" si="11"/>
        <v>2583.0115438176408</v>
      </c>
      <c r="BJ97" s="6">
        <f t="shared" si="12"/>
        <v>91.84075838746503</v>
      </c>
      <c r="BK97" s="11">
        <f t="shared" si="13"/>
        <v>8.4400108803346557E-2</v>
      </c>
      <c r="BL97" s="5">
        <f t="shared" si="14"/>
        <v>297.87713643131883</v>
      </c>
      <c r="BM97" s="11">
        <f t="shared" si="15"/>
        <v>0.13035431765784974</v>
      </c>
    </row>
    <row r="98" spans="1:65" ht="15" customHeight="1" x14ac:dyDescent="0.4">
      <c r="A98" s="2" t="s">
        <v>65</v>
      </c>
      <c r="B98" s="2" t="s">
        <v>66</v>
      </c>
      <c r="C98" s="2" t="s">
        <v>170</v>
      </c>
      <c r="D98" s="3" t="s">
        <v>101</v>
      </c>
      <c r="E98" s="3" t="s">
        <v>102</v>
      </c>
      <c r="F98" s="2" t="s">
        <v>171</v>
      </c>
      <c r="G98" s="4">
        <v>5</v>
      </c>
      <c r="H98" s="5">
        <v>5.4</v>
      </c>
      <c r="I98" s="5">
        <v>5.6288387153411064</v>
      </c>
      <c r="J98" s="6">
        <v>0</v>
      </c>
      <c r="K98" s="5">
        <v>0</v>
      </c>
      <c r="L98" s="6">
        <v>0</v>
      </c>
      <c r="M98" s="5">
        <v>0</v>
      </c>
      <c r="N98" s="6">
        <v>98.92356741932133</v>
      </c>
      <c r="O98" s="5">
        <v>534.18726406433518</v>
      </c>
      <c r="P98" s="6">
        <v>0</v>
      </c>
      <c r="Q98" s="5">
        <v>0</v>
      </c>
      <c r="R98" s="6">
        <v>0</v>
      </c>
      <c r="S98" s="5">
        <v>0</v>
      </c>
      <c r="T98" s="6">
        <v>0</v>
      </c>
      <c r="U98" s="5">
        <v>0</v>
      </c>
      <c r="V98" s="6">
        <v>0</v>
      </c>
      <c r="W98" s="5">
        <v>0</v>
      </c>
      <c r="X98" s="6">
        <v>0</v>
      </c>
      <c r="Y98" s="5">
        <v>0</v>
      </c>
      <c r="Z98" s="6">
        <v>0</v>
      </c>
      <c r="AA98" s="5">
        <v>0</v>
      </c>
      <c r="AB98" s="6">
        <v>0</v>
      </c>
      <c r="AC98" s="5">
        <v>0</v>
      </c>
      <c r="AD98" s="6">
        <v>0</v>
      </c>
      <c r="AE98" s="5">
        <v>0</v>
      </c>
      <c r="AF98" s="6">
        <v>0</v>
      </c>
      <c r="AG98" s="5">
        <v>0</v>
      </c>
      <c r="AH98" s="7">
        <f t="shared" si="8"/>
        <v>98.92356741932133</v>
      </c>
      <c r="AI98" s="8">
        <f t="shared" si="9"/>
        <v>534.18726406433518</v>
      </c>
      <c r="AJ98" s="6">
        <v>0</v>
      </c>
      <c r="AK98" s="5">
        <v>0</v>
      </c>
      <c r="AL98" s="6">
        <v>0</v>
      </c>
      <c r="AM98" s="5">
        <v>0</v>
      </c>
      <c r="AN98" s="6">
        <v>130</v>
      </c>
      <c r="AO98" s="5">
        <v>731.74903299434379</v>
      </c>
      <c r="AP98" s="6">
        <v>0</v>
      </c>
      <c r="AQ98" s="5">
        <v>0</v>
      </c>
      <c r="AR98" s="6">
        <v>0</v>
      </c>
      <c r="AS98" s="5">
        <v>0</v>
      </c>
      <c r="AT98" s="6">
        <v>0</v>
      </c>
      <c r="AU98" s="5">
        <v>0</v>
      </c>
      <c r="AV98" s="6">
        <v>0</v>
      </c>
      <c r="AW98" s="5">
        <v>0</v>
      </c>
      <c r="AX98" s="6">
        <v>0</v>
      </c>
      <c r="AY98" s="5">
        <v>0</v>
      </c>
      <c r="AZ98" s="6">
        <v>0</v>
      </c>
      <c r="BA98" s="5">
        <v>0</v>
      </c>
      <c r="BB98" s="6">
        <v>0</v>
      </c>
      <c r="BC98" s="5">
        <v>0</v>
      </c>
      <c r="BD98" s="6">
        <v>0</v>
      </c>
      <c r="BE98" s="5">
        <v>0</v>
      </c>
      <c r="BF98" s="6">
        <v>0</v>
      </c>
      <c r="BG98" s="5">
        <v>0</v>
      </c>
      <c r="BH98" s="9">
        <f t="shared" si="10"/>
        <v>130</v>
      </c>
      <c r="BI98" s="10">
        <f t="shared" si="11"/>
        <v>731.74903299434379</v>
      </c>
      <c r="BJ98" s="6">
        <f t="shared" si="12"/>
        <v>31.07643258067867</v>
      </c>
      <c r="BK98" s="11">
        <f t="shared" si="13"/>
        <v>0.31414589456676784</v>
      </c>
      <c r="BL98" s="5">
        <f t="shared" si="14"/>
        <v>197.56176893000861</v>
      </c>
      <c r="BM98" s="11">
        <f t="shared" si="15"/>
        <v>0.36983616461925817</v>
      </c>
    </row>
    <row r="99" spans="1:65" ht="15" customHeight="1" x14ac:dyDescent="0.4">
      <c r="A99" s="2" t="s">
        <v>65</v>
      </c>
      <c r="B99" s="2" t="s">
        <v>66</v>
      </c>
      <c r="C99" s="2" t="s">
        <v>170</v>
      </c>
      <c r="D99" s="3" t="s">
        <v>101</v>
      </c>
      <c r="E99" s="3" t="s">
        <v>102</v>
      </c>
      <c r="F99" s="2" t="s">
        <v>103</v>
      </c>
      <c r="G99" s="4">
        <v>5</v>
      </c>
      <c r="H99" s="5">
        <v>5.2720000000000002</v>
      </c>
      <c r="I99" s="5">
        <v>5.4945931230840932</v>
      </c>
      <c r="J99" s="6">
        <v>0</v>
      </c>
      <c r="K99" s="5">
        <v>0</v>
      </c>
      <c r="L99" s="6">
        <v>0</v>
      </c>
      <c r="M99" s="5">
        <v>0</v>
      </c>
      <c r="N99" s="6">
        <v>0</v>
      </c>
      <c r="O99" s="5">
        <v>0</v>
      </c>
      <c r="P99" s="6">
        <v>123.65445927415161</v>
      </c>
      <c r="Q99" s="5">
        <v>667.73408008041895</v>
      </c>
      <c r="R99" s="6">
        <v>49.461783709660658</v>
      </c>
      <c r="S99" s="5">
        <v>259.67436447571839</v>
      </c>
      <c r="T99" s="6">
        <v>74.192675564490997</v>
      </c>
      <c r="U99" s="5">
        <v>360.57640324342623</v>
      </c>
      <c r="V99" s="6">
        <v>98.92356741932133</v>
      </c>
      <c r="W99" s="5">
        <v>534.18726406433518</v>
      </c>
      <c r="X99" s="6">
        <v>24.730891854830329</v>
      </c>
      <c r="Y99" s="5">
        <v>133.5468160160838</v>
      </c>
      <c r="Z99" s="6">
        <v>0</v>
      </c>
      <c r="AA99" s="5">
        <v>0</v>
      </c>
      <c r="AB99" s="6">
        <v>0</v>
      </c>
      <c r="AC99" s="5">
        <v>0</v>
      </c>
      <c r="AD99" s="6">
        <v>0</v>
      </c>
      <c r="AE99" s="5">
        <v>0</v>
      </c>
      <c r="AF99" s="6">
        <v>0</v>
      </c>
      <c r="AG99" s="5">
        <v>0</v>
      </c>
      <c r="AH99" s="7">
        <f t="shared" si="8"/>
        <v>370.9633778224549</v>
      </c>
      <c r="AI99" s="8">
        <f t="shared" si="9"/>
        <v>1955.7189278799826</v>
      </c>
      <c r="AJ99" s="6">
        <v>0</v>
      </c>
      <c r="AK99" s="5">
        <v>0</v>
      </c>
      <c r="AL99" s="6">
        <v>0</v>
      </c>
      <c r="AM99" s="5">
        <v>0</v>
      </c>
      <c r="AN99" s="6">
        <v>0</v>
      </c>
      <c r="AO99" s="5">
        <v>0</v>
      </c>
      <c r="AP99" s="6">
        <v>165</v>
      </c>
      <c r="AQ99" s="5">
        <v>928.75838803128249</v>
      </c>
      <c r="AR99" s="6">
        <v>65</v>
      </c>
      <c r="AS99" s="5">
        <v>355.71133548336149</v>
      </c>
      <c r="AT99" s="6">
        <v>100</v>
      </c>
      <c r="AU99" s="5">
        <v>506.59548438069947</v>
      </c>
      <c r="AV99" s="6">
        <v>130</v>
      </c>
      <c r="AW99" s="5">
        <v>731.74903299434379</v>
      </c>
      <c r="AX99" s="6">
        <v>35</v>
      </c>
      <c r="AY99" s="5">
        <v>197.0093550369387</v>
      </c>
      <c r="AZ99" s="6">
        <v>0</v>
      </c>
      <c r="BA99" s="5">
        <v>0</v>
      </c>
      <c r="BB99" s="6">
        <v>0</v>
      </c>
      <c r="BC99" s="5">
        <v>0</v>
      </c>
      <c r="BD99" s="6">
        <v>0</v>
      </c>
      <c r="BE99" s="5">
        <v>0</v>
      </c>
      <c r="BF99" s="6">
        <v>0</v>
      </c>
      <c r="BG99" s="5">
        <v>0</v>
      </c>
      <c r="BH99" s="9">
        <f t="shared" si="10"/>
        <v>495</v>
      </c>
      <c r="BI99" s="10">
        <f t="shared" si="11"/>
        <v>2719.8235959266262</v>
      </c>
      <c r="BJ99" s="6">
        <f t="shared" si="12"/>
        <v>124.0366221775451</v>
      </c>
      <c r="BK99" s="11">
        <f t="shared" si="13"/>
        <v>0.33436352371394923</v>
      </c>
      <c r="BL99" s="5">
        <f t="shared" si="14"/>
        <v>764.10466804664361</v>
      </c>
      <c r="BM99" s="11">
        <f t="shared" si="15"/>
        <v>0.39070270126952245</v>
      </c>
    </row>
    <row r="100" spans="1:65" ht="15" customHeight="1" x14ac:dyDescent="0.4">
      <c r="A100" s="2" t="s">
        <v>65</v>
      </c>
      <c r="B100" s="2" t="s">
        <v>66</v>
      </c>
      <c r="C100" s="2" t="s">
        <v>170</v>
      </c>
      <c r="D100" s="3" t="s">
        <v>101</v>
      </c>
      <c r="E100" s="3" t="s">
        <v>104</v>
      </c>
      <c r="F100" s="2" t="s">
        <v>105</v>
      </c>
      <c r="G100" s="4">
        <v>1</v>
      </c>
      <c r="H100" s="5">
        <v>5.3900000000000006</v>
      </c>
      <c r="I100" s="5">
        <v>5.6184149399423271</v>
      </c>
      <c r="J100" s="6">
        <v>0</v>
      </c>
      <c r="K100" s="5">
        <v>0</v>
      </c>
      <c r="L100" s="6">
        <v>0</v>
      </c>
      <c r="M100" s="5">
        <v>0</v>
      </c>
      <c r="N100" s="6">
        <v>0</v>
      </c>
      <c r="O100" s="5">
        <v>0</v>
      </c>
      <c r="P100" s="6">
        <v>0</v>
      </c>
      <c r="Q100" s="5">
        <v>0</v>
      </c>
      <c r="R100" s="6">
        <v>0</v>
      </c>
      <c r="S100" s="5">
        <v>0</v>
      </c>
      <c r="T100" s="6">
        <v>0</v>
      </c>
      <c r="U100" s="5">
        <v>0</v>
      </c>
      <c r="V100" s="6">
        <v>0</v>
      </c>
      <c r="W100" s="5">
        <v>0</v>
      </c>
      <c r="X100" s="6">
        <v>23.741656180637118</v>
      </c>
      <c r="Y100" s="5">
        <v>127.96752681363409</v>
      </c>
      <c r="Z100" s="6">
        <v>0</v>
      </c>
      <c r="AA100" s="5">
        <v>0</v>
      </c>
      <c r="AB100" s="6">
        <v>0</v>
      </c>
      <c r="AC100" s="5">
        <v>0</v>
      </c>
      <c r="AD100" s="6">
        <v>0</v>
      </c>
      <c r="AE100" s="5">
        <v>0</v>
      </c>
      <c r="AF100" s="6">
        <v>0</v>
      </c>
      <c r="AG100" s="5">
        <v>0</v>
      </c>
      <c r="AH100" s="7">
        <f t="shared" si="8"/>
        <v>23.741656180637118</v>
      </c>
      <c r="AI100" s="8">
        <f t="shared" si="9"/>
        <v>127.96752681363409</v>
      </c>
      <c r="AJ100" s="6">
        <v>0</v>
      </c>
      <c r="AK100" s="5">
        <v>0</v>
      </c>
      <c r="AL100" s="6">
        <v>0</v>
      </c>
      <c r="AM100" s="5">
        <v>0</v>
      </c>
      <c r="AN100" s="6">
        <v>0</v>
      </c>
      <c r="AO100" s="5">
        <v>0</v>
      </c>
      <c r="AP100" s="6">
        <v>0</v>
      </c>
      <c r="AQ100" s="5">
        <v>0</v>
      </c>
      <c r="AR100" s="6">
        <v>0</v>
      </c>
      <c r="AS100" s="5">
        <v>0</v>
      </c>
      <c r="AT100" s="6">
        <v>0</v>
      </c>
      <c r="AU100" s="5">
        <v>0</v>
      </c>
      <c r="AV100" s="6">
        <v>0</v>
      </c>
      <c r="AW100" s="5">
        <v>0</v>
      </c>
      <c r="AX100" s="6">
        <v>28</v>
      </c>
      <c r="AY100" s="5">
        <v>157.31561831838519</v>
      </c>
      <c r="AZ100" s="6">
        <v>0</v>
      </c>
      <c r="BA100" s="5">
        <v>0</v>
      </c>
      <c r="BB100" s="6">
        <v>0</v>
      </c>
      <c r="BC100" s="5">
        <v>0</v>
      </c>
      <c r="BD100" s="6">
        <v>0</v>
      </c>
      <c r="BE100" s="5">
        <v>0</v>
      </c>
      <c r="BF100" s="6">
        <v>0</v>
      </c>
      <c r="BG100" s="5">
        <v>0</v>
      </c>
      <c r="BH100" s="9">
        <f t="shared" si="10"/>
        <v>28</v>
      </c>
      <c r="BI100" s="10">
        <f t="shared" si="11"/>
        <v>157.31561831838519</v>
      </c>
      <c r="BJ100" s="6">
        <f t="shared" si="12"/>
        <v>4.2583438193628815</v>
      </c>
      <c r="BK100" s="11">
        <f t="shared" si="13"/>
        <v>0.17936170025222758</v>
      </c>
      <c r="BL100" s="5">
        <f t="shared" si="14"/>
        <v>29.348091504751096</v>
      </c>
      <c r="BM100" s="11">
        <f t="shared" si="15"/>
        <v>0.22934014773523193</v>
      </c>
    </row>
    <row r="101" spans="1:65" ht="15" customHeight="1" x14ac:dyDescent="0.4">
      <c r="A101" s="2" t="s">
        <v>65</v>
      </c>
      <c r="B101" s="2" t="s">
        <v>66</v>
      </c>
      <c r="C101" s="2" t="s">
        <v>170</v>
      </c>
      <c r="D101" s="3" t="s">
        <v>101</v>
      </c>
      <c r="E101" s="3" t="s">
        <v>108</v>
      </c>
      <c r="F101" s="2" t="s">
        <v>109</v>
      </c>
      <c r="G101" s="4">
        <v>5</v>
      </c>
      <c r="H101" s="5">
        <v>3.8</v>
      </c>
      <c r="I101" s="5">
        <v>3.9610346515363339</v>
      </c>
      <c r="J101" s="6">
        <v>0</v>
      </c>
      <c r="K101" s="5">
        <v>0</v>
      </c>
      <c r="L101" s="6">
        <v>0</v>
      </c>
      <c r="M101" s="5">
        <v>0</v>
      </c>
      <c r="N101" s="6">
        <v>0</v>
      </c>
      <c r="O101" s="5">
        <v>0</v>
      </c>
      <c r="P101" s="6">
        <v>0</v>
      </c>
      <c r="Q101" s="5">
        <v>0</v>
      </c>
      <c r="R101" s="6">
        <v>0</v>
      </c>
      <c r="S101" s="5">
        <v>0</v>
      </c>
      <c r="T101" s="6">
        <v>0</v>
      </c>
      <c r="U101" s="5">
        <v>0</v>
      </c>
      <c r="V101" s="6">
        <v>39.569426967728532</v>
      </c>
      <c r="W101" s="5">
        <v>150.36382247736839</v>
      </c>
      <c r="X101" s="6">
        <v>0</v>
      </c>
      <c r="Y101" s="5">
        <v>0</v>
      </c>
      <c r="Z101" s="6">
        <v>0</v>
      </c>
      <c r="AA101" s="5">
        <v>0</v>
      </c>
      <c r="AB101" s="6">
        <v>0</v>
      </c>
      <c r="AC101" s="5">
        <v>0</v>
      </c>
      <c r="AD101" s="6">
        <v>0</v>
      </c>
      <c r="AE101" s="5">
        <v>0</v>
      </c>
      <c r="AF101" s="6">
        <v>0</v>
      </c>
      <c r="AG101" s="5">
        <v>0</v>
      </c>
      <c r="AH101" s="7">
        <f t="shared" si="8"/>
        <v>39.569426967728532</v>
      </c>
      <c r="AI101" s="8">
        <f t="shared" si="9"/>
        <v>150.36382247736839</v>
      </c>
      <c r="AJ101" s="6">
        <v>0</v>
      </c>
      <c r="AK101" s="5">
        <v>0</v>
      </c>
      <c r="AL101" s="6">
        <v>0</v>
      </c>
      <c r="AM101" s="5">
        <v>0</v>
      </c>
      <c r="AN101" s="6">
        <v>0</v>
      </c>
      <c r="AO101" s="5">
        <v>0</v>
      </c>
      <c r="AP101" s="6">
        <v>0</v>
      </c>
      <c r="AQ101" s="5">
        <v>0</v>
      </c>
      <c r="AR101" s="6">
        <v>0</v>
      </c>
      <c r="AS101" s="5">
        <v>0</v>
      </c>
      <c r="AT101" s="6">
        <v>0</v>
      </c>
      <c r="AU101" s="5">
        <v>0</v>
      </c>
      <c r="AV101" s="6">
        <v>50</v>
      </c>
      <c r="AW101" s="5">
        <v>198.0517325768167</v>
      </c>
      <c r="AX101" s="6">
        <v>0</v>
      </c>
      <c r="AY101" s="5">
        <v>0</v>
      </c>
      <c r="AZ101" s="6">
        <v>0</v>
      </c>
      <c r="BA101" s="5">
        <v>0</v>
      </c>
      <c r="BB101" s="6">
        <v>0</v>
      </c>
      <c r="BC101" s="5">
        <v>0</v>
      </c>
      <c r="BD101" s="6">
        <v>0</v>
      </c>
      <c r="BE101" s="5">
        <v>0</v>
      </c>
      <c r="BF101" s="6">
        <v>0</v>
      </c>
      <c r="BG101" s="5">
        <v>0</v>
      </c>
      <c r="BH101" s="9">
        <f t="shared" si="10"/>
        <v>50</v>
      </c>
      <c r="BI101" s="10">
        <f t="shared" si="11"/>
        <v>198.0517325768167</v>
      </c>
      <c r="BJ101" s="6">
        <f t="shared" si="12"/>
        <v>10.430573032271468</v>
      </c>
      <c r="BK101" s="11">
        <f t="shared" si="13"/>
        <v>0.26360182169881524</v>
      </c>
      <c r="BL101" s="5">
        <f t="shared" si="14"/>
        <v>47.687910099448317</v>
      </c>
      <c r="BM101" s="11">
        <f t="shared" si="15"/>
        <v>0.31715015828774862</v>
      </c>
    </row>
    <row r="102" spans="1:65" ht="15" customHeight="1" x14ac:dyDescent="0.4">
      <c r="A102" s="2" t="s">
        <v>65</v>
      </c>
      <c r="B102" s="2" t="s">
        <v>66</v>
      </c>
      <c r="C102" s="2" t="s">
        <v>170</v>
      </c>
      <c r="D102" s="3" t="s">
        <v>101</v>
      </c>
      <c r="E102" s="3" t="s">
        <v>154</v>
      </c>
      <c r="F102" s="2" t="s">
        <v>155</v>
      </c>
      <c r="G102" s="4">
        <v>20</v>
      </c>
      <c r="H102" s="5">
        <v>3.080000000000001</v>
      </c>
      <c r="I102" s="5">
        <v>3.210522822824188</v>
      </c>
      <c r="J102" s="6">
        <v>0</v>
      </c>
      <c r="K102" s="5">
        <v>0</v>
      </c>
      <c r="L102" s="6">
        <v>0</v>
      </c>
      <c r="M102" s="5">
        <v>0</v>
      </c>
      <c r="N102" s="6">
        <v>0</v>
      </c>
      <c r="O102" s="5">
        <v>0</v>
      </c>
      <c r="P102" s="6">
        <v>0</v>
      </c>
      <c r="Q102" s="5">
        <v>0</v>
      </c>
      <c r="R102" s="6">
        <v>0</v>
      </c>
      <c r="S102" s="5">
        <v>0</v>
      </c>
      <c r="T102" s="6">
        <v>59.354140451592791</v>
      </c>
      <c r="U102" s="5">
        <v>182.81075259090579</v>
      </c>
      <c r="V102" s="6">
        <v>0</v>
      </c>
      <c r="W102" s="5">
        <v>0</v>
      </c>
      <c r="X102" s="6">
        <v>0</v>
      </c>
      <c r="Y102" s="5">
        <v>0</v>
      </c>
      <c r="Z102" s="6">
        <v>0</v>
      </c>
      <c r="AA102" s="5">
        <v>0</v>
      </c>
      <c r="AB102" s="6">
        <v>0</v>
      </c>
      <c r="AC102" s="5">
        <v>0</v>
      </c>
      <c r="AD102" s="6">
        <v>0</v>
      </c>
      <c r="AE102" s="5">
        <v>0</v>
      </c>
      <c r="AF102" s="6">
        <v>0</v>
      </c>
      <c r="AG102" s="5">
        <v>0</v>
      </c>
      <c r="AH102" s="7">
        <f t="shared" si="8"/>
        <v>59.354140451592791</v>
      </c>
      <c r="AI102" s="8">
        <f t="shared" si="9"/>
        <v>182.81075259090579</v>
      </c>
      <c r="AJ102" s="6">
        <v>0</v>
      </c>
      <c r="AK102" s="5">
        <v>0</v>
      </c>
      <c r="AL102" s="6">
        <v>0</v>
      </c>
      <c r="AM102" s="5">
        <v>0</v>
      </c>
      <c r="AN102" s="6">
        <v>0</v>
      </c>
      <c r="AO102" s="5">
        <v>0</v>
      </c>
      <c r="AP102" s="6">
        <v>0</v>
      </c>
      <c r="AQ102" s="5">
        <v>0</v>
      </c>
      <c r="AR102" s="6">
        <v>0</v>
      </c>
      <c r="AS102" s="5">
        <v>0</v>
      </c>
      <c r="AT102" s="6">
        <v>80</v>
      </c>
      <c r="AU102" s="5">
        <v>256.84182582593502</v>
      </c>
      <c r="AV102" s="6">
        <v>0</v>
      </c>
      <c r="AW102" s="5">
        <v>0</v>
      </c>
      <c r="AX102" s="6">
        <v>0</v>
      </c>
      <c r="AY102" s="5">
        <v>0</v>
      </c>
      <c r="AZ102" s="6">
        <v>0</v>
      </c>
      <c r="BA102" s="5">
        <v>0</v>
      </c>
      <c r="BB102" s="6">
        <v>0</v>
      </c>
      <c r="BC102" s="5">
        <v>0</v>
      </c>
      <c r="BD102" s="6">
        <v>0</v>
      </c>
      <c r="BE102" s="5">
        <v>0</v>
      </c>
      <c r="BF102" s="6">
        <v>0</v>
      </c>
      <c r="BG102" s="5">
        <v>0</v>
      </c>
      <c r="BH102" s="9">
        <f t="shared" si="10"/>
        <v>80</v>
      </c>
      <c r="BI102" s="10">
        <f t="shared" si="11"/>
        <v>256.84182582593502</v>
      </c>
      <c r="BJ102" s="6">
        <f t="shared" si="12"/>
        <v>20.645859548407209</v>
      </c>
      <c r="BK102" s="11">
        <f t="shared" si="13"/>
        <v>0.34784194314540307</v>
      </c>
      <c r="BL102" s="5">
        <f t="shared" si="14"/>
        <v>74.031073235029226</v>
      </c>
      <c r="BM102" s="11">
        <f t="shared" si="15"/>
        <v>0.40496016884026559</v>
      </c>
    </row>
    <row r="103" spans="1:65" ht="15" customHeight="1" x14ac:dyDescent="0.4">
      <c r="A103" s="2" t="s">
        <v>65</v>
      </c>
      <c r="B103" s="2" t="s">
        <v>66</v>
      </c>
      <c r="C103" s="2" t="s">
        <v>170</v>
      </c>
      <c r="D103" s="3" t="s">
        <v>101</v>
      </c>
      <c r="E103" s="3" t="s">
        <v>110</v>
      </c>
      <c r="F103" s="2" t="s">
        <v>111</v>
      </c>
      <c r="G103" s="4">
        <v>5</v>
      </c>
      <c r="H103" s="5">
        <v>3.7324999999999999</v>
      </c>
      <c r="I103" s="5">
        <v>3.89173063131742</v>
      </c>
      <c r="J103" s="6">
        <v>0</v>
      </c>
      <c r="K103" s="5">
        <v>0</v>
      </c>
      <c r="L103" s="6">
        <v>0</v>
      </c>
      <c r="M103" s="5">
        <v>0</v>
      </c>
      <c r="N103" s="6">
        <v>0</v>
      </c>
      <c r="O103" s="5">
        <v>0</v>
      </c>
      <c r="P103" s="6">
        <v>19.78471348386427</v>
      </c>
      <c r="Q103" s="5">
        <v>74.58836983416829</v>
      </c>
      <c r="R103" s="6">
        <v>39.569426967728532</v>
      </c>
      <c r="S103" s="5">
        <v>143.24132562317729</v>
      </c>
      <c r="T103" s="6">
        <v>39.569426967728532</v>
      </c>
      <c r="U103" s="5">
        <v>149.17673966833661</v>
      </c>
      <c r="V103" s="6">
        <v>0</v>
      </c>
      <c r="W103" s="5">
        <v>0</v>
      </c>
      <c r="X103" s="6">
        <v>59.354140451592798</v>
      </c>
      <c r="Y103" s="5">
        <v>223.76510950250491</v>
      </c>
      <c r="Z103" s="6">
        <v>0</v>
      </c>
      <c r="AA103" s="5">
        <v>0</v>
      </c>
      <c r="AB103" s="6">
        <v>0</v>
      </c>
      <c r="AC103" s="5">
        <v>0</v>
      </c>
      <c r="AD103" s="6">
        <v>0</v>
      </c>
      <c r="AE103" s="5">
        <v>0</v>
      </c>
      <c r="AF103" s="6">
        <v>0</v>
      </c>
      <c r="AG103" s="5">
        <v>0</v>
      </c>
      <c r="AH103" s="7">
        <f t="shared" si="8"/>
        <v>158.27770787091413</v>
      </c>
      <c r="AI103" s="8">
        <f t="shared" si="9"/>
        <v>590.77154462818703</v>
      </c>
      <c r="AJ103" s="6">
        <v>0</v>
      </c>
      <c r="AK103" s="5">
        <v>0</v>
      </c>
      <c r="AL103" s="6">
        <v>0</v>
      </c>
      <c r="AM103" s="5">
        <v>0</v>
      </c>
      <c r="AN103" s="6">
        <v>0</v>
      </c>
      <c r="AO103" s="5">
        <v>0</v>
      </c>
      <c r="AP103" s="6">
        <v>25</v>
      </c>
      <c r="AQ103" s="5">
        <v>98.244083133499885</v>
      </c>
      <c r="AR103" s="6">
        <v>45</v>
      </c>
      <c r="AS103" s="5">
        <v>169.8033012461234</v>
      </c>
      <c r="AT103" s="6">
        <v>45</v>
      </c>
      <c r="AU103" s="5">
        <v>176.83934964029979</v>
      </c>
      <c r="AV103" s="6">
        <v>0</v>
      </c>
      <c r="AW103" s="5">
        <v>0</v>
      </c>
      <c r="AX103" s="6">
        <v>70</v>
      </c>
      <c r="AY103" s="5">
        <v>275.0834327737997</v>
      </c>
      <c r="AZ103" s="6">
        <v>0</v>
      </c>
      <c r="BA103" s="5">
        <v>0</v>
      </c>
      <c r="BB103" s="6">
        <v>0</v>
      </c>
      <c r="BC103" s="5">
        <v>0</v>
      </c>
      <c r="BD103" s="6">
        <v>0</v>
      </c>
      <c r="BE103" s="5">
        <v>0</v>
      </c>
      <c r="BF103" s="6">
        <v>0</v>
      </c>
      <c r="BG103" s="5">
        <v>0</v>
      </c>
      <c r="BH103" s="9">
        <f t="shared" si="10"/>
        <v>185</v>
      </c>
      <c r="BI103" s="10">
        <f t="shared" si="11"/>
        <v>719.9701667937228</v>
      </c>
      <c r="BJ103" s="6">
        <f t="shared" si="12"/>
        <v>26.722292129085872</v>
      </c>
      <c r="BK103" s="11">
        <f t="shared" si="13"/>
        <v>0.16883168507140411</v>
      </c>
      <c r="BL103" s="5">
        <f t="shared" si="14"/>
        <v>129.19862216553577</v>
      </c>
      <c r="BM103" s="11">
        <f t="shared" si="15"/>
        <v>0.21869472783569713</v>
      </c>
    </row>
    <row r="104" spans="1:65" ht="15" customHeight="1" x14ac:dyDescent="0.4">
      <c r="A104" s="2" t="s">
        <v>65</v>
      </c>
      <c r="B104" s="2" t="s">
        <v>66</v>
      </c>
      <c r="C104" s="2" t="s">
        <v>170</v>
      </c>
      <c r="D104" s="3" t="s">
        <v>101</v>
      </c>
      <c r="E104" s="3" t="s">
        <v>112</v>
      </c>
      <c r="F104" s="2" t="s">
        <v>113</v>
      </c>
      <c r="G104" s="4">
        <v>5</v>
      </c>
      <c r="H104" s="5">
        <v>2.3250000000000002</v>
      </c>
      <c r="I104" s="5">
        <v>2.4235277802163102</v>
      </c>
      <c r="J104" s="6">
        <v>0</v>
      </c>
      <c r="K104" s="5">
        <v>0</v>
      </c>
      <c r="L104" s="6">
        <v>0</v>
      </c>
      <c r="M104" s="5">
        <v>0</v>
      </c>
      <c r="N104" s="6">
        <v>39.569426967728532</v>
      </c>
      <c r="O104" s="5">
        <v>0</v>
      </c>
      <c r="P104" s="6">
        <v>0</v>
      </c>
      <c r="Q104" s="5">
        <v>0</v>
      </c>
      <c r="R104" s="6">
        <v>0</v>
      </c>
      <c r="S104" s="5">
        <v>0</v>
      </c>
      <c r="T104" s="6">
        <v>39.569426967728532</v>
      </c>
      <c r="U104" s="5">
        <v>122.6652235999584</v>
      </c>
      <c r="V104" s="6">
        <v>39.569426967728532</v>
      </c>
      <c r="W104" s="5">
        <v>122.6652235999584</v>
      </c>
      <c r="X104" s="6">
        <v>39.569426967728532</v>
      </c>
      <c r="Y104" s="5">
        <v>122.6652235999584</v>
      </c>
      <c r="Z104" s="6">
        <v>0</v>
      </c>
      <c r="AA104" s="5">
        <v>0</v>
      </c>
      <c r="AB104" s="6">
        <v>0</v>
      </c>
      <c r="AC104" s="5">
        <v>0</v>
      </c>
      <c r="AD104" s="6">
        <v>0</v>
      </c>
      <c r="AE104" s="5">
        <v>0</v>
      </c>
      <c r="AF104" s="6">
        <v>0</v>
      </c>
      <c r="AG104" s="5">
        <v>0</v>
      </c>
      <c r="AH104" s="7">
        <f t="shared" si="8"/>
        <v>158.27770787091413</v>
      </c>
      <c r="AI104" s="8">
        <f t="shared" si="9"/>
        <v>367.9956707998752</v>
      </c>
      <c r="AJ104" s="6">
        <v>0</v>
      </c>
      <c r="AK104" s="5">
        <v>0</v>
      </c>
      <c r="AL104" s="6">
        <v>0</v>
      </c>
      <c r="AM104" s="5">
        <v>0</v>
      </c>
      <c r="AN104" s="6">
        <v>45</v>
      </c>
      <c r="AO104" s="5">
        <v>0</v>
      </c>
      <c r="AP104" s="6">
        <v>0</v>
      </c>
      <c r="AQ104" s="5">
        <v>0</v>
      </c>
      <c r="AR104" s="6">
        <v>0</v>
      </c>
      <c r="AS104" s="5">
        <v>0</v>
      </c>
      <c r="AT104" s="6">
        <v>45</v>
      </c>
      <c r="AU104" s="5">
        <v>145.41166681297861</v>
      </c>
      <c r="AV104" s="6">
        <v>45</v>
      </c>
      <c r="AW104" s="5">
        <v>145.41166681297861</v>
      </c>
      <c r="AX104" s="6">
        <v>45</v>
      </c>
      <c r="AY104" s="5">
        <v>145.41166681297861</v>
      </c>
      <c r="AZ104" s="6">
        <v>0</v>
      </c>
      <c r="BA104" s="5">
        <v>0</v>
      </c>
      <c r="BB104" s="6">
        <v>0</v>
      </c>
      <c r="BC104" s="5">
        <v>0</v>
      </c>
      <c r="BD104" s="6">
        <v>0</v>
      </c>
      <c r="BE104" s="5">
        <v>0</v>
      </c>
      <c r="BF104" s="6">
        <v>0</v>
      </c>
      <c r="BG104" s="5">
        <v>0</v>
      </c>
      <c r="BH104" s="9">
        <f t="shared" si="10"/>
        <v>180</v>
      </c>
      <c r="BI104" s="10">
        <f t="shared" si="11"/>
        <v>436.2350004389358</v>
      </c>
      <c r="BJ104" s="6">
        <f t="shared" si="12"/>
        <v>21.722292129085872</v>
      </c>
      <c r="BK104" s="11">
        <f t="shared" si="13"/>
        <v>0.13724163952893373</v>
      </c>
      <c r="BL104" s="5">
        <f t="shared" si="14"/>
        <v>68.2393296390606</v>
      </c>
      <c r="BM104" s="11">
        <f t="shared" si="15"/>
        <v>0.18543514245897411</v>
      </c>
    </row>
    <row r="105" spans="1:65" ht="15" customHeight="1" x14ac:dyDescent="0.4">
      <c r="A105" s="2" t="s">
        <v>65</v>
      </c>
      <c r="B105" s="2" t="s">
        <v>66</v>
      </c>
      <c r="C105" s="2" t="s">
        <v>170</v>
      </c>
      <c r="D105" s="3" t="s">
        <v>101</v>
      </c>
      <c r="E105" s="3" t="s">
        <v>114</v>
      </c>
      <c r="F105" s="2" t="s">
        <v>115</v>
      </c>
      <c r="G105" s="4">
        <v>5</v>
      </c>
      <c r="H105" s="5">
        <v>2.0950000000000002</v>
      </c>
      <c r="I105" s="5">
        <v>2.183780946044374</v>
      </c>
      <c r="J105" s="6">
        <v>0</v>
      </c>
      <c r="K105" s="5">
        <v>0</v>
      </c>
      <c r="L105" s="6">
        <v>0</v>
      </c>
      <c r="M105" s="5">
        <v>0</v>
      </c>
      <c r="N105" s="6">
        <v>0</v>
      </c>
      <c r="O105" s="5">
        <v>0</v>
      </c>
      <c r="P105" s="6">
        <v>0</v>
      </c>
      <c r="Q105" s="5">
        <v>0</v>
      </c>
      <c r="R105" s="6">
        <v>19.78471348386427</v>
      </c>
      <c r="S105" s="5">
        <v>39.96512123740581</v>
      </c>
      <c r="T105" s="6">
        <v>0</v>
      </c>
      <c r="U105" s="5">
        <v>0</v>
      </c>
      <c r="V105" s="6">
        <v>0</v>
      </c>
      <c r="W105" s="5">
        <v>0</v>
      </c>
      <c r="X105" s="6">
        <v>19.78471348386427</v>
      </c>
      <c r="Y105" s="5">
        <v>42.932828259985463</v>
      </c>
      <c r="Z105" s="6">
        <v>0</v>
      </c>
      <c r="AA105" s="5">
        <v>0</v>
      </c>
      <c r="AB105" s="6">
        <v>0</v>
      </c>
      <c r="AC105" s="5">
        <v>0</v>
      </c>
      <c r="AD105" s="6">
        <v>0</v>
      </c>
      <c r="AE105" s="5">
        <v>0</v>
      </c>
      <c r="AF105" s="6">
        <v>0</v>
      </c>
      <c r="AG105" s="5">
        <v>0</v>
      </c>
      <c r="AH105" s="7">
        <f t="shared" si="8"/>
        <v>39.569426967728539</v>
      </c>
      <c r="AI105" s="8">
        <f t="shared" si="9"/>
        <v>82.897949497391267</v>
      </c>
      <c r="AJ105" s="6">
        <v>0</v>
      </c>
      <c r="AK105" s="5">
        <v>0</v>
      </c>
      <c r="AL105" s="6">
        <v>0</v>
      </c>
      <c r="AM105" s="5">
        <v>0</v>
      </c>
      <c r="AN105" s="6">
        <v>0</v>
      </c>
      <c r="AO105" s="5">
        <v>0</v>
      </c>
      <c r="AP105" s="6">
        <v>0</v>
      </c>
      <c r="AQ105" s="5">
        <v>0</v>
      </c>
      <c r="AR105" s="6">
        <v>25</v>
      </c>
      <c r="AS105" s="5">
        <v>52.640065763838123</v>
      </c>
      <c r="AT105" s="6">
        <v>0</v>
      </c>
      <c r="AU105" s="5">
        <v>0</v>
      </c>
      <c r="AV105" s="6">
        <v>0</v>
      </c>
      <c r="AW105" s="5">
        <v>0</v>
      </c>
      <c r="AX105" s="6">
        <v>25</v>
      </c>
      <c r="AY105" s="5">
        <v>56.548981538380559</v>
      </c>
      <c r="AZ105" s="6">
        <v>0</v>
      </c>
      <c r="BA105" s="5">
        <v>0</v>
      </c>
      <c r="BB105" s="6">
        <v>0</v>
      </c>
      <c r="BC105" s="5">
        <v>0</v>
      </c>
      <c r="BD105" s="6">
        <v>0</v>
      </c>
      <c r="BE105" s="5">
        <v>0</v>
      </c>
      <c r="BF105" s="6">
        <v>0</v>
      </c>
      <c r="BG105" s="5">
        <v>0</v>
      </c>
      <c r="BH105" s="9">
        <f t="shared" si="10"/>
        <v>50</v>
      </c>
      <c r="BI105" s="10">
        <f t="shared" si="11"/>
        <v>109.18904730221868</v>
      </c>
      <c r="BJ105" s="6">
        <f t="shared" si="12"/>
        <v>10.430573032271461</v>
      </c>
      <c r="BK105" s="11">
        <f t="shared" si="13"/>
        <v>0.26360182169881502</v>
      </c>
      <c r="BL105" s="5">
        <f t="shared" si="14"/>
        <v>26.291097804827416</v>
      </c>
      <c r="BM105" s="11">
        <f t="shared" si="15"/>
        <v>0.31715015828774845</v>
      </c>
    </row>
    <row r="106" spans="1:65" ht="15" customHeight="1" x14ac:dyDescent="0.4">
      <c r="A106" s="2" t="s">
        <v>65</v>
      </c>
      <c r="B106" s="2" t="s">
        <v>66</v>
      </c>
      <c r="C106" s="2" t="s">
        <v>170</v>
      </c>
      <c r="D106" s="3" t="s">
        <v>101</v>
      </c>
      <c r="E106" s="3" t="s">
        <v>172</v>
      </c>
      <c r="F106" s="2" t="s">
        <v>173</v>
      </c>
      <c r="G106" s="4">
        <v>1</v>
      </c>
      <c r="H106" s="5">
        <v>14.585000000000001</v>
      </c>
      <c r="I106" s="5">
        <v>15.20307641912038</v>
      </c>
      <c r="J106" s="6">
        <v>0</v>
      </c>
      <c r="K106" s="5">
        <v>0</v>
      </c>
      <c r="L106" s="6">
        <v>0</v>
      </c>
      <c r="M106" s="5">
        <v>0</v>
      </c>
      <c r="N106" s="6">
        <v>0</v>
      </c>
      <c r="O106" s="5">
        <v>0</v>
      </c>
      <c r="P106" s="6">
        <v>11.870828090318559</v>
      </c>
      <c r="Q106" s="5">
        <v>180.67400353464839</v>
      </c>
      <c r="R106" s="6">
        <v>0</v>
      </c>
      <c r="S106" s="5">
        <v>0</v>
      </c>
      <c r="T106" s="6">
        <v>11.870828090318559</v>
      </c>
      <c r="U106" s="5">
        <v>165.59805185994389</v>
      </c>
      <c r="V106" s="6">
        <v>0</v>
      </c>
      <c r="W106" s="5">
        <v>0</v>
      </c>
      <c r="X106" s="6">
        <v>0</v>
      </c>
      <c r="Y106" s="5">
        <v>0</v>
      </c>
      <c r="Z106" s="6">
        <v>0</v>
      </c>
      <c r="AA106" s="5">
        <v>0</v>
      </c>
      <c r="AB106" s="6">
        <v>0</v>
      </c>
      <c r="AC106" s="5">
        <v>0</v>
      </c>
      <c r="AD106" s="6">
        <v>0</v>
      </c>
      <c r="AE106" s="5">
        <v>0</v>
      </c>
      <c r="AF106" s="6">
        <v>0</v>
      </c>
      <c r="AG106" s="5">
        <v>0</v>
      </c>
      <c r="AH106" s="7">
        <f t="shared" si="8"/>
        <v>23.741656180637118</v>
      </c>
      <c r="AI106" s="8">
        <f t="shared" si="9"/>
        <v>346.27205539459226</v>
      </c>
      <c r="AJ106" s="6">
        <v>0</v>
      </c>
      <c r="AK106" s="5">
        <v>0</v>
      </c>
      <c r="AL106" s="6">
        <v>0</v>
      </c>
      <c r="AM106" s="5">
        <v>0</v>
      </c>
      <c r="AN106" s="6">
        <v>0</v>
      </c>
      <c r="AO106" s="5">
        <v>0</v>
      </c>
      <c r="AP106" s="6">
        <v>15</v>
      </c>
      <c r="AQ106" s="5">
        <v>237.9747923541434</v>
      </c>
      <c r="AR106" s="6">
        <v>0</v>
      </c>
      <c r="AS106" s="5">
        <v>0</v>
      </c>
      <c r="AT106" s="6">
        <v>15</v>
      </c>
      <c r="AU106" s="5">
        <v>218.11750021946779</v>
      </c>
      <c r="AV106" s="6">
        <v>0</v>
      </c>
      <c r="AW106" s="5">
        <v>0</v>
      </c>
      <c r="AX106" s="6">
        <v>0</v>
      </c>
      <c r="AY106" s="5">
        <v>0</v>
      </c>
      <c r="AZ106" s="6">
        <v>0</v>
      </c>
      <c r="BA106" s="5">
        <v>0</v>
      </c>
      <c r="BB106" s="6">
        <v>0</v>
      </c>
      <c r="BC106" s="5">
        <v>0</v>
      </c>
      <c r="BD106" s="6">
        <v>0</v>
      </c>
      <c r="BE106" s="5">
        <v>0</v>
      </c>
      <c r="BF106" s="6">
        <v>0</v>
      </c>
      <c r="BG106" s="5">
        <v>0</v>
      </c>
      <c r="BH106" s="9">
        <f t="shared" si="10"/>
        <v>30</v>
      </c>
      <c r="BI106" s="10">
        <f t="shared" si="11"/>
        <v>456.09229257361119</v>
      </c>
      <c r="BJ106" s="6">
        <f t="shared" si="12"/>
        <v>6.2583438193628815</v>
      </c>
      <c r="BK106" s="11">
        <f t="shared" si="13"/>
        <v>0.2636018216988153</v>
      </c>
      <c r="BL106" s="5">
        <f t="shared" si="14"/>
        <v>109.82023717901893</v>
      </c>
      <c r="BM106" s="11">
        <f t="shared" si="15"/>
        <v>0.31715015828774845</v>
      </c>
    </row>
    <row r="107" spans="1:65" ht="15" customHeight="1" x14ac:dyDescent="0.4">
      <c r="A107" s="2" t="s">
        <v>65</v>
      </c>
      <c r="B107" s="2" t="s">
        <v>66</v>
      </c>
      <c r="C107" s="2" t="s">
        <v>170</v>
      </c>
      <c r="D107" s="3" t="s">
        <v>101</v>
      </c>
      <c r="E107" s="3" t="s">
        <v>116</v>
      </c>
      <c r="F107" s="2" t="s">
        <v>117</v>
      </c>
      <c r="G107" s="4">
        <v>5</v>
      </c>
      <c r="H107" s="5">
        <v>13.98</v>
      </c>
      <c r="I107" s="5">
        <v>14.572438007494201</v>
      </c>
      <c r="J107" s="6">
        <v>0</v>
      </c>
      <c r="K107" s="5">
        <v>0</v>
      </c>
      <c r="L107" s="6">
        <v>0</v>
      </c>
      <c r="M107" s="5">
        <v>0</v>
      </c>
      <c r="N107" s="6">
        <v>0</v>
      </c>
      <c r="O107" s="5">
        <v>0</v>
      </c>
      <c r="P107" s="6">
        <v>19.78471348386427</v>
      </c>
      <c r="Q107" s="5">
        <v>276.59029450442239</v>
      </c>
      <c r="R107" s="6">
        <v>0</v>
      </c>
      <c r="S107" s="5">
        <v>0</v>
      </c>
      <c r="T107" s="6">
        <v>0</v>
      </c>
      <c r="U107" s="5">
        <v>0</v>
      </c>
      <c r="V107" s="6">
        <v>0</v>
      </c>
      <c r="W107" s="5">
        <v>0</v>
      </c>
      <c r="X107" s="6">
        <v>0</v>
      </c>
      <c r="Y107" s="5">
        <v>0</v>
      </c>
      <c r="Z107" s="6">
        <v>0</v>
      </c>
      <c r="AA107" s="5">
        <v>0</v>
      </c>
      <c r="AB107" s="6">
        <v>0</v>
      </c>
      <c r="AC107" s="5">
        <v>0</v>
      </c>
      <c r="AD107" s="6">
        <v>0</v>
      </c>
      <c r="AE107" s="5">
        <v>0</v>
      </c>
      <c r="AF107" s="6">
        <v>0</v>
      </c>
      <c r="AG107" s="5">
        <v>0</v>
      </c>
      <c r="AH107" s="7">
        <f t="shared" si="8"/>
        <v>19.78471348386427</v>
      </c>
      <c r="AI107" s="8">
        <f t="shared" si="9"/>
        <v>276.59029450442239</v>
      </c>
      <c r="AJ107" s="6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6">
        <v>25</v>
      </c>
      <c r="AQ107" s="5">
        <v>364.31095018735499</v>
      </c>
      <c r="AR107" s="6">
        <v>0</v>
      </c>
      <c r="AS107" s="5">
        <v>0</v>
      </c>
      <c r="AT107" s="6">
        <v>0</v>
      </c>
      <c r="AU107" s="5">
        <v>0</v>
      </c>
      <c r="AV107" s="6">
        <v>0</v>
      </c>
      <c r="AW107" s="5">
        <v>0</v>
      </c>
      <c r="AX107" s="6">
        <v>0</v>
      </c>
      <c r="AY107" s="5">
        <v>0</v>
      </c>
      <c r="AZ107" s="6">
        <v>0</v>
      </c>
      <c r="BA107" s="5">
        <v>0</v>
      </c>
      <c r="BB107" s="6">
        <v>0</v>
      </c>
      <c r="BC107" s="5">
        <v>0</v>
      </c>
      <c r="BD107" s="6">
        <v>0</v>
      </c>
      <c r="BE107" s="5">
        <v>0</v>
      </c>
      <c r="BF107" s="6">
        <v>0</v>
      </c>
      <c r="BG107" s="5">
        <v>0</v>
      </c>
      <c r="BH107" s="9">
        <f t="shared" si="10"/>
        <v>25</v>
      </c>
      <c r="BI107" s="10">
        <f t="shared" si="11"/>
        <v>364.31095018735499</v>
      </c>
      <c r="BJ107" s="6">
        <f t="shared" si="12"/>
        <v>5.2152865161357305</v>
      </c>
      <c r="BK107" s="11">
        <f t="shared" si="13"/>
        <v>0.26360182169881502</v>
      </c>
      <c r="BL107" s="5">
        <f t="shared" si="14"/>
        <v>87.720655682932602</v>
      </c>
      <c r="BM107" s="11">
        <f t="shared" si="15"/>
        <v>0.31715015828774873</v>
      </c>
    </row>
    <row r="108" spans="1:65" ht="15" customHeight="1" x14ac:dyDescent="0.4">
      <c r="A108" s="2" t="s">
        <v>65</v>
      </c>
      <c r="B108" s="2" t="s">
        <v>66</v>
      </c>
      <c r="C108" s="2" t="s">
        <v>170</v>
      </c>
      <c r="D108" s="3" t="s">
        <v>101</v>
      </c>
      <c r="E108" s="3" t="s">
        <v>174</v>
      </c>
      <c r="F108" s="2" t="s">
        <v>175</v>
      </c>
      <c r="G108" s="4">
        <v>5</v>
      </c>
      <c r="H108" s="5">
        <v>5.3999999999999986</v>
      </c>
      <c r="I108" s="5">
        <v>5.6317704021720134</v>
      </c>
      <c r="J108" s="6">
        <v>0</v>
      </c>
      <c r="K108" s="5">
        <v>0</v>
      </c>
      <c r="L108" s="6">
        <v>0</v>
      </c>
      <c r="M108" s="5">
        <v>0</v>
      </c>
      <c r="N108" s="6">
        <v>19.78471348386427</v>
      </c>
      <c r="O108" s="5">
        <v>110.39870123996261</v>
      </c>
      <c r="P108" s="6">
        <v>19.78471348386427</v>
      </c>
      <c r="Q108" s="5">
        <v>110.39870123996261</v>
      </c>
      <c r="R108" s="6">
        <v>39.569426967728532</v>
      </c>
      <c r="S108" s="5">
        <v>214.86198843476589</v>
      </c>
      <c r="T108" s="6">
        <v>118.7082809031856</v>
      </c>
      <c r="U108" s="5">
        <v>618.47014350559698</v>
      </c>
      <c r="V108" s="6">
        <v>79.138853935457064</v>
      </c>
      <c r="W108" s="5">
        <v>441.59480495985042</v>
      </c>
      <c r="X108" s="6">
        <v>0</v>
      </c>
      <c r="Y108" s="5">
        <v>0</v>
      </c>
      <c r="Z108" s="6">
        <v>0</v>
      </c>
      <c r="AA108" s="5">
        <v>0</v>
      </c>
      <c r="AB108" s="6">
        <v>0</v>
      </c>
      <c r="AC108" s="5">
        <v>0</v>
      </c>
      <c r="AD108" s="6">
        <v>0</v>
      </c>
      <c r="AE108" s="5">
        <v>0</v>
      </c>
      <c r="AF108" s="6">
        <v>0</v>
      </c>
      <c r="AG108" s="5">
        <v>0</v>
      </c>
      <c r="AH108" s="7">
        <f t="shared" si="8"/>
        <v>276.98598877409972</v>
      </c>
      <c r="AI108" s="8">
        <f t="shared" si="9"/>
        <v>1495.7243393801386</v>
      </c>
      <c r="AJ108" s="6">
        <v>0</v>
      </c>
      <c r="AK108" s="5">
        <v>0</v>
      </c>
      <c r="AL108" s="6">
        <v>0</v>
      </c>
      <c r="AM108" s="5">
        <v>0</v>
      </c>
      <c r="AN108" s="6">
        <v>25</v>
      </c>
      <c r="AO108" s="5">
        <v>145.41166681297861</v>
      </c>
      <c r="AP108" s="6">
        <v>25</v>
      </c>
      <c r="AQ108" s="5">
        <v>145.41166681297861</v>
      </c>
      <c r="AR108" s="6">
        <v>45</v>
      </c>
      <c r="AS108" s="5">
        <v>254.70495186918501</v>
      </c>
      <c r="AT108" s="6">
        <v>135</v>
      </c>
      <c r="AU108" s="5">
        <v>733.15624267317924</v>
      </c>
      <c r="AV108" s="6">
        <v>90</v>
      </c>
      <c r="AW108" s="5">
        <v>523.4820005267228</v>
      </c>
      <c r="AX108" s="6">
        <v>0</v>
      </c>
      <c r="AY108" s="5">
        <v>0</v>
      </c>
      <c r="AZ108" s="6">
        <v>0</v>
      </c>
      <c r="BA108" s="5">
        <v>0</v>
      </c>
      <c r="BB108" s="6">
        <v>0</v>
      </c>
      <c r="BC108" s="5">
        <v>0</v>
      </c>
      <c r="BD108" s="6">
        <v>0</v>
      </c>
      <c r="BE108" s="5">
        <v>0</v>
      </c>
      <c r="BF108" s="6">
        <v>0</v>
      </c>
      <c r="BG108" s="5">
        <v>0</v>
      </c>
      <c r="BH108" s="9">
        <f t="shared" si="10"/>
        <v>320</v>
      </c>
      <c r="BI108" s="10">
        <f t="shared" si="11"/>
        <v>1802.1665286950442</v>
      </c>
      <c r="BJ108" s="6">
        <f t="shared" si="12"/>
        <v>43.014011225900276</v>
      </c>
      <c r="BK108" s="11">
        <f t="shared" si="13"/>
        <v>0.15529309412463108</v>
      </c>
      <c r="BL108" s="5">
        <f t="shared" si="14"/>
        <v>306.44218931490559</v>
      </c>
      <c r="BM108" s="11">
        <f t="shared" si="15"/>
        <v>0.20487878765274492</v>
      </c>
    </row>
    <row r="109" spans="1:65" ht="15" customHeight="1" x14ac:dyDescent="0.4">
      <c r="A109" s="2" t="s">
        <v>65</v>
      </c>
      <c r="B109" s="2" t="s">
        <v>66</v>
      </c>
      <c r="C109" s="2" t="s">
        <v>170</v>
      </c>
      <c r="D109" s="3" t="s">
        <v>101</v>
      </c>
      <c r="E109" s="3" t="s">
        <v>176</v>
      </c>
      <c r="F109" s="2" t="s">
        <v>177</v>
      </c>
      <c r="G109" s="4">
        <v>5</v>
      </c>
      <c r="H109" s="5">
        <v>3.6850000000000001</v>
      </c>
      <c r="I109" s="5">
        <v>3.8411612344503658</v>
      </c>
      <c r="J109" s="6">
        <v>0</v>
      </c>
      <c r="K109" s="5">
        <v>0</v>
      </c>
      <c r="L109" s="6">
        <v>0</v>
      </c>
      <c r="M109" s="5">
        <v>0</v>
      </c>
      <c r="N109" s="6">
        <v>0</v>
      </c>
      <c r="O109" s="5">
        <v>0</v>
      </c>
      <c r="P109" s="6">
        <v>0</v>
      </c>
      <c r="Q109" s="5">
        <v>0</v>
      </c>
      <c r="R109" s="6">
        <v>19.78471348386427</v>
      </c>
      <c r="S109" s="5">
        <v>71.422815676749991</v>
      </c>
      <c r="T109" s="6">
        <v>0</v>
      </c>
      <c r="U109" s="5">
        <v>0</v>
      </c>
      <c r="V109" s="6">
        <v>0</v>
      </c>
      <c r="W109" s="5">
        <v>0</v>
      </c>
      <c r="X109" s="6">
        <v>19.78471348386427</v>
      </c>
      <c r="Y109" s="5">
        <v>74.390522699329637</v>
      </c>
      <c r="Z109" s="6">
        <v>0</v>
      </c>
      <c r="AA109" s="5">
        <v>0</v>
      </c>
      <c r="AB109" s="6">
        <v>0</v>
      </c>
      <c r="AC109" s="5">
        <v>0</v>
      </c>
      <c r="AD109" s="6">
        <v>0</v>
      </c>
      <c r="AE109" s="5">
        <v>0</v>
      </c>
      <c r="AF109" s="6">
        <v>0</v>
      </c>
      <c r="AG109" s="5">
        <v>0</v>
      </c>
      <c r="AH109" s="7">
        <f t="shared" si="8"/>
        <v>39.569426967728539</v>
      </c>
      <c r="AI109" s="8">
        <f t="shared" si="9"/>
        <v>145.81333837607963</v>
      </c>
      <c r="AJ109" s="6">
        <v>0</v>
      </c>
      <c r="AK109" s="5">
        <v>0</v>
      </c>
      <c r="AL109" s="6">
        <v>0</v>
      </c>
      <c r="AM109" s="5">
        <v>0</v>
      </c>
      <c r="AN109" s="6">
        <v>0</v>
      </c>
      <c r="AO109" s="5">
        <v>0</v>
      </c>
      <c r="AP109" s="6">
        <v>0</v>
      </c>
      <c r="AQ109" s="5">
        <v>0</v>
      </c>
      <c r="AR109" s="6">
        <v>25</v>
      </c>
      <c r="AS109" s="5">
        <v>94.074572973987912</v>
      </c>
      <c r="AT109" s="6">
        <v>0</v>
      </c>
      <c r="AU109" s="5">
        <v>0</v>
      </c>
      <c r="AV109" s="6">
        <v>0</v>
      </c>
      <c r="AW109" s="5">
        <v>0</v>
      </c>
      <c r="AX109" s="6">
        <v>25</v>
      </c>
      <c r="AY109" s="5">
        <v>97.983488748530362</v>
      </c>
      <c r="AZ109" s="6">
        <v>0</v>
      </c>
      <c r="BA109" s="5">
        <v>0</v>
      </c>
      <c r="BB109" s="6">
        <v>0</v>
      </c>
      <c r="BC109" s="5">
        <v>0</v>
      </c>
      <c r="BD109" s="6">
        <v>0</v>
      </c>
      <c r="BE109" s="5">
        <v>0</v>
      </c>
      <c r="BF109" s="6">
        <v>0</v>
      </c>
      <c r="BG109" s="5">
        <v>0</v>
      </c>
      <c r="BH109" s="9">
        <f t="shared" si="10"/>
        <v>50</v>
      </c>
      <c r="BI109" s="10">
        <f t="shared" si="11"/>
        <v>192.05806172251829</v>
      </c>
      <c r="BJ109" s="6">
        <f t="shared" si="12"/>
        <v>10.430573032271461</v>
      </c>
      <c r="BK109" s="11">
        <f t="shared" si="13"/>
        <v>0.26360182169881502</v>
      </c>
      <c r="BL109" s="5">
        <f t="shared" si="14"/>
        <v>46.244723346438661</v>
      </c>
      <c r="BM109" s="11">
        <f t="shared" si="15"/>
        <v>0.31715015828774834</v>
      </c>
    </row>
    <row r="110" spans="1:65" ht="15" customHeight="1" x14ac:dyDescent="0.4">
      <c r="A110" s="2" t="s">
        <v>65</v>
      </c>
      <c r="B110" s="2" t="s">
        <v>66</v>
      </c>
      <c r="C110" s="2" t="s">
        <v>170</v>
      </c>
      <c r="D110" s="3" t="s">
        <v>101</v>
      </c>
      <c r="E110" s="3" t="s">
        <v>178</v>
      </c>
      <c r="F110" s="2" t="s">
        <v>179</v>
      </c>
      <c r="G110" s="4">
        <v>5</v>
      </c>
      <c r="H110" s="5">
        <v>2.98</v>
      </c>
      <c r="I110" s="5">
        <v>3.1062850688363879</v>
      </c>
      <c r="J110" s="6">
        <v>0</v>
      </c>
      <c r="K110" s="5">
        <v>0</v>
      </c>
      <c r="L110" s="6">
        <v>0</v>
      </c>
      <c r="M110" s="5">
        <v>0</v>
      </c>
      <c r="N110" s="6">
        <v>0</v>
      </c>
      <c r="O110" s="5">
        <v>0</v>
      </c>
      <c r="P110" s="6">
        <v>0</v>
      </c>
      <c r="Q110" s="5">
        <v>0</v>
      </c>
      <c r="R110" s="6">
        <v>0</v>
      </c>
      <c r="S110" s="5">
        <v>0</v>
      </c>
      <c r="T110" s="6">
        <v>0</v>
      </c>
      <c r="U110" s="5">
        <v>0</v>
      </c>
      <c r="V110" s="6">
        <v>0</v>
      </c>
      <c r="W110" s="5">
        <v>0</v>
      </c>
      <c r="X110" s="6">
        <v>39.569426967728532</v>
      </c>
      <c r="Y110" s="5">
        <v>117.916892363831</v>
      </c>
      <c r="Z110" s="6">
        <v>0</v>
      </c>
      <c r="AA110" s="5">
        <v>0</v>
      </c>
      <c r="AB110" s="6">
        <v>0</v>
      </c>
      <c r="AC110" s="5">
        <v>0</v>
      </c>
      <c r="AD110" s="6">
        <v>0</v>
      </c>
      <c r="AE110" s="5">
        <v>0</v>
      </c>
      <c r="AF110" s="6">
        <v>0</v>
      </c>
      <c r="AG110" s="5">
        <v>0</v>
      </c>
      <c r="AH110" s="7">
        <f t="shared" si="8"/>
        <v>39.569426967728532</v>
      </c>
      <c r="AI110" s="8">
        <f t="shared" si="9"/>
        <v>117.916892363831</v>
      </c>
      <c r="AJ110" s="6">
        <v>0</v>
      </c>
      <c r="AK110" s="5">
        <v>0</v>
      </c>
      <c r="AL110" s="6">
        <v>0</v>
      </c>
      <c r="AM110" s="5">
        <v>0</v>
      </c>
      <c r="AN110" s="6">
        <v>0</v>
      </c>
      <c r="AO110" s="5">
        <v>0</v>
      </c>
      <c r="AP110" s="6">
        <v>0</v>
      </c>
      <c r="AQ110" s="5">
        <v>0</v>
      </c>
      <c r="AR110" s="6">
        <v>0</v>
      </c>
      <c r="AS110" s="5">
        <v>0</v>
      </c>
      <c r="AT110" s="6">
        <v>0</v>
      </c>
      <c r="AU110" s="5">
        <v>0</v>
      </c>
      <c r="AV110" s="6">
        <v>0</v>
      </c>
      <c r="AW110" s="5">
        <v>0</v>
      </c>
      <c r="AX110" s="6">
        <v>50</v>
      </c>
      <c r="AY110" s="5">
        <v>155.3142534418194</v>
      </c>
      <c r="AZ110" s="6">
        <v>0</v>
      </c>
      <c r="BA110" s="5">
        <v>0</v>
      </c>
      <c r="BB110" s="6">
        <v>0</v>
      </c>
      <c r="BC110" s="5">
        <v>0</v>
      </c>
      <c r="BD110" s="6">
        <v>0</v>
      </c>
      <c r="BE110" s="5">
        <v>0</v>
      </c>
      <c r="BF110" s="6">
        <v>0</v>
      </c>
      <c r="BG110" s="5">
        <v>0</v>
      </c>
      <c r="BH110" s="9">
        <f t="shared" si="10"/>
        <v>50</v>
      </c>
      <c r="BI110" s="10">
        <f t="shared" si="11"/>
        <v>155.3142534418194</v>
      </c>
      <c r="BJ110" s="6">
        <f t="shared" si="12"/>
        <v>10.430573032271468</v>
      </c>
      <c r="BK110" s="11">
        <f t="shared" si="13"/>
        <v>0.26360182169881524</v>
      </c>
      <c r="BL110" s="5">
        <f t="shared" si="14"/>
        <v>37.397361077988407</v>
      </c>
      <c r="BM110" s="11">
        <f t="shared" si="15"/>
        <v>0.31715015828774851</v>
      </c>
    </row>
    <row r="111" spans="1:65" ht="15" customHeight="1" x14ac:dyDescent="0.4">
      <c r="A111" s="2" t="s">
        <v>65</v>
      </c>
      <c r="B111" s="2" t="s">
        <v>66</v>
      </c>
      <c r="C111" s="2" t="s">
        <v>170</v>
      </c>
      <c r="D111" s="3" t="s">
        <v>101</v>
      </c>
      <c r="E111" s="3" t="s">
        <v>138</v>
      </c>
      <c r="F111" s="2" t="s">
        <v>139</v>
      </c>
      <c r="G111" s="4">
        <v>5</v>
      </c>
      <c r="H111" s="5">
        <v>3.456</v>
      </c>
      <c r="I111" s="5">
        <v>3.6072053866110858</v>
      </c>
      <c r="J111" s="6">
        <v>0</v>
      </c>
      <c r="K111" s="5">
        <v>0</v>
      </c>
      <c r="L111" s="6">
        <v>0</v>
      </c>
      <c r="M111" s="5">
        <v>0</v>
      </c>
      <c r="N111" s="6">
        <v>0</v>
      </c>
      <c r="O111" s="5">
        <v>0</v>
      </c>
      <c r="P111" s="6">
        <v>0</v>
      </c>
      <c r="Q111" s="5">
        <v>0</v>
      </c>
      <c r="R111" s="6">
        <v>0</v>
      </c>
      <c r="S111" s="5">
        <v>0</v>
      </c>
      <c r="T111" s="6">
        <v>59.354140451592791</v>
      </c>
      <c r="U111" s="5">
        <v>198.63852337799719</v>
      </c>
      <c r="V111" s="6">
        <v>19.78471348386427</v>
      </c>
      <c r="W111" s="5">
        <v>71.620662811588645</v>
      </c>
      <c r="X111" s="6">
        <v>19.78471348386427</v>
      </c>
      <c r="Y111" s="5">
        <v>71.620662811588645</v>
      </c>
      <c r="Z111" s="6">
        <v>0</v>
      </c>
      <c r="AA111" s="5">
        <v>0</v>
      </c>
      <c r="AB111" s="6">
        <v>0</v>
      </c>
      <c r="AC111" s="5">
        <v>0</v>
      </c>
      <c r="AD111" s="6">
        <v>0</v>
      </c>
      <c r="AE111" s="5">
        <v>0</v>
      </c>
      <c r="AF111" s="6">
        <v>0</v>
      </c>
      <c r="AG111" s="5">
        <v>0</v>
      </c>
      <c r="AH111" s="7">
        <f t="shared" si="8"/>
        <v>98.92356741932133</v>
      </c>
      <c r="AI111" s="8">
        <f t="shared" si="9"/>
        <v>341.87984900117448</v>
      </c>
      <c r="AJ111" s="6">
        <v>0</v>
      </c>
      <c r="AK111" s="5">
        <v>0</v>
      </c>
      <c r="AL111" s="6">
        <v>0</v>
      </c>
      <c r="AM111" s="5">
        <v>0</v>
      </c>
      <c r="AN111" s="6">
        <v>0</v>
      </c>
      <c r="AO111" s="5">
        <v>0</v>
      </c>
      <c r="AP111" s="6">
        <v>0</v>
      </c>
      <c r="AQ111" s="5">
        <v>0</v>
      </c>
      <c r="AR111" s="6">
        <v>0</v>
      </c>
      <c r="AS111" s="5">
        <v>0</v>
      </c>
      <c r="AT111" s="6">
        <v>70</v>
      </c>
      <c r="AU111" s="5">
        <v>244.19431167541541</v>
      </c>
      <c r="AV111" s="6">
        <v>25</v>
      </c>
      <c r="AW111" s="5">
        <v>94.335167358957435</v>
      </c>
      <c r="AX111" s="6">
        <v>25</v>
      </c>
      <c r="AY111" s="5">
        <v>94.335167358957435</v>
      </c>
      <c r="AZ111" s="6">
        <v>0</v>
      </c>
      <c r="BA111" s="5">
        <v>0</v>
      </c>
      <c r="BB111" s="6">
        <v>0</v>
      </c>
      <c r="BC111" s="5">
        <v>0</v>
      </c>
      <c r="BD111" s="6">
        <v>0</v>
      </c>
      <c r="BE111" s="5">
        <v>0</v>
      </c>
      <c r="BF111" s="6">
        <v>0</v>
      </c>
      <c r="BG111" s="5">
        <v>0</v>
      </c>
      <c r="BH111" s="9">
        <f t="shared" si="10"/>
        <v>120</v>
      </c>
      <c r="BI111" s="10">
        <f t="shared" si="11"/>
        <v>432.8646463933303</v>
      </c>
      <c r="BJ111" s="6">
        <f t="shared" si="12"/>
        <v>21.07643258067867</v>
      </c>
      <c r="BK111" s="11">
        <f t="shared" si="13"/>
        <v>0.21305774883086265</v>
      </c>
      <c r="BL111" s="5">
        <f t="shared" si="14"/>
        <v>90.984797392155826</v>
      </c>
      <c r="BM111" s="11">
        <f t="shared" si="15"/>
        <v>0.26613091604542993</v>
      </c>
    </row>
    <row r="112" spans="1:65" ht="15" customHeight="1" x14ac:dyDescent="0.4">
      <c r="A112" s="2" t="s">
        <v>65</v>
      </c>
      <c r="B112" s="2" t="s">
        <v>66</v>
      </c>
      <c r="C112" s="2" t="s">
        <v>170</v>
      </c>
      <c r="D112" s="3" t="s">
        <v>101</v>
      </c>
      <c r="E112" s="3" t="s">
        <v>120</v>
      </c>
      <c r="F112" s="2" t="s">
        <v>121</v>
      </c>
      <c r="G112" s="4">
        <v>5</v>
      </c>
      <c r="H112" s="5">
        <v>3.686923076923077</v>
      </c>
      <c r="I112" s="5">
        <v>3.8608505879813948</v>
      </c>
      <c r="J112" s="6">
        <v>0</v>
      </c>
      <c r="K112" s="5">
        <v>0</v>
      </c>
      <c r="L112" s="6">
        <v>0</v>
      </c>
      <c r="M112" s="5">
        <v>0</v>
      </c>
      <c r="N112" s="6">
        <v>39.569426967728532</v>
      </c>
      <c r="O112" s="5">
        <v>0</v>
      </c>
      <c r="P112" s="6">
        <v>39.569426967728532</v>
      </c>
      <c r="Q112" s="5">
        <v>176.8753385457465</v>
      </c>
      <c r="R112" s="6">
        <v>39.569426967728532</v>
      </c>
      <c r="S112" s="5">
        <v>170.9399245005873</v>
      </c>
      <c r="T112" s="6">
        <v>59.354140451592791</v>
      </c>
      <c r="U112" s="5">
        <v>246.71537714378741</v>
      </c>
      <c r="V112" s="6">
        <v>0</v>
      </c>
      <c r="W112" s="5">
        <v>0</v>
      </c>
      <c r="X112" s="6">
        <v>79.138853935457064</v>
      </c>
      <c r="Y112" s="5">
        <v>353.75067709149312</v>
      </c>
      <c r="Z112" s="6">
        <v>0</v>
      </c>
      <c r="AA112" s="5">
        <v>0</v>
      </c>
      <c r="AB112" s="6">
        <v>0</v>
      </c>
      <c r="AC112" s="5">
        <v>0</v>
      </c>
      <c r="AD112" s="6">
        <v>0</v>
      </c>
      <c r="AE112" s="5">
        <v>0</v>
      </c>
      <c r="AF112" s="6">
        <v>0</v>
      </c>
      <c r="AG112" s="5">
        <v>0</v>
      </c>
      <c r="AH112" s="7">
        <f t="shared" si="8"/>
        <v>257.20127529023546</v>
      </c>
      <c r="AI112" s="8">
        <f t="shared" si="9"/>
        <v>948.28131728161429</v>
      </c>
      <c r="AJ112" s="6">
        <v>0</v>
      </c>
      <c r="AK112" s="5">
        <v>0</v>
      </c>
      <c r="AL112" s="6">
        <v>0</v>
      </c>
      <c r="AM112" s="5">
        <v>0</v>
      </c>
      <c r="AN112" s="6">
        <v>45</v>
      </c>
      <c r="AO112" s="5">
        <v>0</v>
      </c>
      <c r="AP112" s="6">
        <v>45</v>
      </c>
      <c r="AQ112" s="5">
        <v>209.67424214645621</v>
      </c>
      <c r="AR112" s="6">
        <v>45</v>
      </c>
      <c r="AS112" s="5">
        <v>202.63819375227979</v>
      </c>
      <c r="AT112" s="6">
        <v>70</v>
      </c>
      <c r="AU112" s="5">
        <v>303.29711818649707</v>
      </c>
      <c r="AV112" s="6">
        <v>0</v>
      </c>
      <c r="AW112" s="5">
        <v>0</v>
      </c>
      <c r="AX112" s="6">
        <v>95</v>
      </c>
      <c r="AY112" s="5">
        <v>442.64562230918528</v>
      </c>
      <c r="AZ112" s="6">
        <v>0</v>
      </c>
      <c r="BA112" s="5">
        <v>0</v>
      </c>
      <c r="BB112" s="6">
        <v>0</v>
      </c>
      <c r="BC112" s="5">
        <v>0</v>
      </c>
      <c r="BD112" s="6">
        <v>0</v>
      </c>
      <c r="BE112" s="5">
        <v>0</v>
      </c>
      <c r="BF112" s="6">
        <v>0</v>
      </c>
      <c r="BG112" s="5">
        <v>0</v>
      </c>
      <c r="BH112" s="9">
        <f t="shared" si="10"/>
        <v>300</v>
      </c>
      <c r="BI112" s="10">
        <f t="shared" si="11"/>
        <v>1158.2551763944184</v>
      </c>
      <c r="BJ112" s="6">
        <f t="shared" si="12"/>
        <v>42.798724709764542</v>
      </c>
      <c r="BK112" s="11">
        <f t="shared" si="13"/>
        <v>0.16640168156813714</v>
      </c>
      <c r="BL112" s="5">
        <f t="shared" si="14"/>
        <v>209.97385911280412</v>
      </c>
      <c r="BM112" s="11">
        <f t="shared" si="15"/>
        <v>0.22142570488968885</v>
      </c>
    </row>
    <row r="113" spans="1:65" ht="15" customHeight="1" x14ac:dyDescent="0.4">
      <c r="A113" s="2" t="s">
        <v>65</v>
      </c>
      <c r="B113" s="2" t="s">
        <v>66</v>
      </c>
      <c r="C113" s="2" t="s">
        <v>170</v>
      </c>
      <c r="D113" s="3" t="s">
        <v>101</v>
      </c>
      <c r="E113" s="3" t="s">
        <v>180</v>
      </c>
      <c r="F113" s="2" t="s">
        <v>181</v>
      </c>
      <c r="G113" s="4">
        <v>5</v>
      </c>
      <c r="H113" s="5">
        <v>9.1</v>
      </c>
      <c r="I113" s="5">
        <v>9.4856356128896415</v>
      </c>
      <c r="J113" s="6">
        <v>0</v>
      </c>
      <c r="K113" s="5">
        <v>0</v>
      </c>
      <c r="L113" s="6">
        <v>0</v>
      </c>
      <c r="M113" s="5">
        <v>0</v>
      </c>
      <c r="N113" s="6">
        <v>0</v>
      </c>
      <c r="O113" s="5">
        <v>0</v>
      </c>
      <c r="P113" s="6">
        <v>0</v>
      </c>
      <c r="Q113" s="5">
        <v>0</v>
      </c>
      <c r="R113" s="6">
        <v>0</v>
      </c>
      <c r="S113" s="5">
        <v>0</v>
      </c>
      <c r="T113" s="6">
        <v>0</v>
      </c>
      <c r="U113" s="5">
        <v>0</v>
      </c>
      <c r="V113" s="6">
        <v>0</v>
      </c>
      <c r="W113" s="5">
        <v>0</v>
      </c>
      <c r="X113" s="6">
        <v>24.730891854830329</v>
      </c>
      <c r="Y113" s="5">
        <v>225.05111587895601</v>
      </c>
      <c r="Z113" s="6">
        <v>0</v>
      </c>
      <c r="AA113" s="5">
        <v>0</v>
      </c>
      <c r="AB113" s="6">
        <v>0</v>
      </c>
      <c r="AC113" s="5">
        <v>0</v>
      </c>
      <c r="AD113" s="6">
        <v>0</v>
      </c>
      <c r="AE113" s="5">
        <v>0</v>
      </c>
      <c r="AF113" s="6">
        <v>0</v>
      </c>
      <c r="AG113" s="5">
        <v>0</v>
      </c>
      <c r="AH113" s="7">
        <f t="shared" si="8"/>
        <v>24.730891854830329</v>
      </c>
      <c r="AI113" s="8">
        <f t="shared" si="9"/>
        <v>225.05111587895601</v>
      </c>
      <c r="AJ113" s="6">
        <v>0</v>
      </c>
      <c r="AK113" s="5">
        <v>0</v>
      </c>
      <c r="AL113" s="6">
        <v>0</v>
      </c>
      <c r="AM113" s="5">
        <v>0</v>
      </c>
      <c r="AN113" s="6">
        <v>0</v>
      </c>
      <c r="AO113" s="5">
        <v>0</v>
      </c>
      <c r="AP113" s="6">
        <v>0</v>
      </c>
      <c r="AQ113" s="5">
        <v>0</v>
      </c>
      <c r="AR113" s="6">
        <v>0</v>
      </c>
      <c r="AS113" s="5">
        <v>0</v>
      </c>
      <c r="AT113" s="6">
        <v>0</v>
      </c>
      <c r="AU113" s="5">
        <v>0</v>
      </c>
      <c r="AV113" s="6">
        <v>0</v>
      </c>
      <c r="AW113" s="5">
        <v>0</v>
      </c>
      <c r="AX113" s="6">
        <v>30</v>
      </c>
      <c r="AY113" s="5">
        <v>284.56906838668931</v>
      </c>
      <c r="AZ113" s="6">
        <v>0</v>
      </c>
      <c r="BA113" s="5">
        <v>0</v>
      </c>
      <c r="BB113" s="6">
        <v>0</v>
      </c>
      <c r="BC113" s="5">
        <v>0</v>
      </c>
      <c r="BD113" s="6">
        <v>0</v>
      </c>
      <c r="BE113" s="5">
        <v>0</v>
      </c>
      <c r="BF113" s="6">
        <v>0</v>
      </c>
      <c r="BG113" s="5">
        <v>0</v>
      </c>
      <c r="BH113" s="9">
        <f t="shared" si="10"/>
        <v>30</v>
      </c>
      <c r="BI113" s="10">
        <f t="shared" si="11"/>
        <v>284.56906838668931</v>
      </c>
      <c r="BJ113" s="6">
        <f t="shared" si="12"/>
        <v>5.2691081451696711</v>
      </c>
      <c r="BK113" s="11">
        <f t="shared" si="13"/>
        <v>0.21305774883086281</v>
      </c>
      <c r="BL113" s="5">
        <f t="shared" si="14"/>
        <v>59.517952507733298</v>
      </c>
      <c r="BM113" s="11">
        <f t="shared" si="15"/>
        <v>0.26446415195623868</v>
      </c>
    </row>
    <row r="114" spans="1:65" ht="15" customHeight="1" x14ac:dyDescent="0.4">
      <c r="A114" s="2" t="s">
        <v>65</v>
      </c>
      <c r="B114" s="2" t="s">
        <v>66</v>
      </c>
      <c r="C114" s="2" t="s">
        <v>170</v>
      </c>
      <c r="D114" s="3" t="s">
        <v>101</v>
      </c>
      <c r="E114" s="3" t="s">
        <v>182</v>
      </c>
      <c r="F114" s="2" t="s">
        <v>183</v>
      </c>
      <c r="G114" s="4">
        <v>5</v>
      </c>
      <c r="H114" s="5">
        <v>7.02</v>
      </c>
      <c r="I114" s="5">
        <v>7.3174903299434382</v>
      </c>
      <c r="J114" s="6">
        <v>0</v>
      </c>
      <c r="K114" s="5">
        <v>0</v>
      </c>
      <c r="L114" s="6">
        <v>0</v>
      </c>
      <c r="M114" s="5">
        <v>0</v>
      </c>
      <c r="N114" s="6">
        <v>0</v>
      </c>
      <c r="O114" s="5">
        <v>0</v>
      </c>
      <c r="P114" s="6">
        <v>39.569426967728532</v>
      </c>
      <c r="Q114" s="5">
        <v>277.77737731345428</v>
      </c>
      <c r="R114" s="6">
        <v>0</v>
      </c>
      <c r="S114" s="5">
        <v>0</v>
      </c>
      <c r="T114" s="6">
        <v>0</v>
      </c>
      <c r="U114" s="5">
        <v>0</v>
      </c>
      <c r="V114" s="6">
        <v>98.92356741932133</v>
      </c>
      <c r="W114" s="5">
        <v>694.4434432836357</v>
      </c>
      <c r="X114" s="6">
        <v>59.354140451592798</v>
      </c>
      <c r="Y114" s="5">
        <v>416.66606597018142</v>
      </c>
      <c r="Z114" s="6">
        <v>0</v>
      </c>
      <c r="AA114" s="5">
        <v>0</v>
      </c>
      <c r="AB114" s="6">
        <v>0</v>
      </c>
      <c r="AC114" s="5">
        <v>0</v>
      </c>
      <c r="AD114" s="6">
        <v>0</v>
      </c>
      <c r="AE114" s="5">
        <v>0</v>
      </c>
      <c r="AF114" s="6">
        <v>0</v>
      </c>
      <c r="AG114" s="5">
        <v>0</v>
      </c>
      <c r="AH114" s="7">
        <f t="shared" si="8"/>
        <v>197.84713483864266</v>
      </c>
      <c r="AI114" s="8">
        <f t="shared" si="9"/>
        <v>1388.8868865672714</v>
      </c>
      <c r="AJ114" s="6">
        <v>0</v>
      </c>
      <c r="AK114" s="5">
        <v>0</v>
      </c>
      <c r="AL114" s="6">
        <v>0</v>
      </c>
      <c r="AM114" s="5">
        <v>0</v>
      </c>
      <c r="AN114" s="6">
        <v>0</v>
      </c>
      <c r="AO114" s="5">
        <v>0</v>
      </c>
      <c r="AP114" s="6">
        <v>50</v>
      </c>
      <c r="AQ114" s="5">
        <v>365.8745164971719</v>
      </c>
      <c r="AR114" s="6">
        <v>0</v>
      </c>
      <c r="AS114" s="5">
        <v>0</v>
      </c>
      <c r="AT114" s="6">
        <v>0</v>
      </c>
      <c r="AU114" s="5">
        <v>0</v>
      </c>
      <c r="AV114" s="6">
        <v>130</v>
      </c>
      <c r="AW114" s="5">
        <v>951.27374289264685</v>
      </c>
      <c r="AX114" s="6">
        <v>75</v>
      </c>
      <c r="AY114" s="5">
        <v>548.81177474575782</v>
      </c>
      <c r="AZ114" s="6">
        <v>0</v>
      </c>
      <c r="BA114" s="5">
        <v>0</v>
      </c>
      <c r="BB114" s="6">
        <v>0</v>
      </c>
      <c r="BC114" s="5">
        <v>0</v>
      </c>
      <c r="BD114" s="6">
        <v>0</v>
      </c>
      <c r="BE114" s="5">
        <v>0</v>
      </c>
      <c r="BF114" s="6">
        <v>0</v>
      </c>
      <c r="BG114" s="5">
        <v>0</v>
      </c>
      <c r="BH114" s="9">
        <f t="shared" si="10"/>
        <v>255</v>
      </c>
      <c r="BI114" s="10">
        <f t="shared" si="11"/>
        <v>1865.9600341355767</v>
      </c>
      <c r="BJ114" s="6">
        <f t="shared" si="12"/>
        <v>57.15286516135734</v>
      </c>
      <c r="BK114" s="11">
        <f t="shared" si="13"/>
        <v>0.28887385813279154</v>
      </c>
      <c r="BL114" s="5">
        <f t="shared" si="14"/>
        <v>477.07314756830533</v>
      </c>
      <c r="BM114" s="11">
        <f t="shared" si="15"/>
        <v>0.34349316145350334</v>
      </c>
    </row>
    <row r="115" spans="1:65" ht="15" customHeight="1" x14ac:dyDescent="0.4">
      <c r="A115" s="2" t="s">
        <v>65</v>
      </c>
      <c r="B115" s="2" t="s">
        <v>66</v>
      </c>
      <c r="C115" s="2" t="s">
        <v>170</v>
      </c>
      <c r="D115" s="3" t="s">
        <v>101</v>
      </c>
      <c r="E115" s="3" t="s">
        <v>184</v>
      </c>
      <c r="F115" s="2" t="s">
        <v>185</v>
      </c>
      <c r="G115" s="4">
        <v>5</v>
      </c>
      <c r="H115" s="5">
        <v>4.2399999999999993</v>
      </c>
      <c r="I115" s="5">
        <v>4.4196807690826452</v>
      </c>
      <c r="J115" s="6">
        <v>0</v>
      </c>
      <c r="K115" s="5">
        <v>0</v>
      </c>
      <c r="L115" s="6">
        <v>0</v>
      </c>
      <c r="M115" s="5">
        <v>0</v>
      </c>
      <c r="N115" s="6">
        <v>0</v>
      </c>
      <c r="O115" s="5">
        <v>0</v>
      </c>
      <c r="P115" s="6">
        <v>0</v>
      </c>
      <c r="Q115" s="5">
        <v>0</v>
      </c>
      <c r="R115" s="6">
        <v>0</v>
      </c>
      <c r="S115" s="5">
        <v>0</v>
      </c>
      <c r="T115" s="6">
        <v>39.569426967728532</v>
      </c>
      <c r="U115" s="5">
        <v>167.77437034316901</v>
      </c>
      <c r="V115" s="6">
        <v>39.569426967728532</v>
      </c>
      <c r="W115" s="5">
        <v>167.77437034316901</v>
      </c>
      <c r="X115" s="6">
        <v>0</v>
      </c>
      <c r="Y115" s="5">
        <v>0</v>
      </c>
      <c r="Z115" s="6">
        <v>0</v>
      </c>
      <c r="AA115" s="5">
        <v>0</v>
      </c>
      <c r="AB115" s="6">
        <v>0</v>
      </c>
      <c r="AC115" s="5">
        <v>0</v>
      </c>
      <c r="AD115" s="6">
        <v>0</v>
      </c>
      <c r="AE115" s="5">
        <v>0</v>
      </c>
      <c r="AF115" s="6">
        <v>0</v>
      </c>
      <c r="AG115" s="5">
        <v>0</v>
      </c>
      <c r="AH115" s="7">
        <f t="shared" si="8"/>
        <v>79.138853935457064</v>
      </c>
      <c r="AI115" s="8">
        <f t="shared" si="9"/>
        <v>335.54874068633802</v>
      </c>
      <c r="AJ115" s="6">
        <v>0</v>
      </c>
      <c r="AK115" s="5">
        <v>0</v>
      </c>
      <c r="AL115" s="6">
        <v>0</v>
      </c>
      <c r="AM115" s="5">
        <v>0</v>
      </c>
      <c r="AN115" s="6">
        <v>0</v>
      </c>
      <c r="AO115" s="5">
        <v>0</v>
      </c>
      <c r="AP115" s="6">
        <v>0</v>
      </c>
      <c r="AQ115" s="5">
        <v>0</v>
      </c>
      <c r="AR115" s="6">
        <v>0</v>
      </c>
      <c r="AS115" s="5">
        <v>0</v>
      </c>
      <c r="AT115" s="6">
        <v>45</v>
      </c>
      <c r="AU115" s="5">
        <v>198.88563460871899</v>
      </c>
      <c r="AV115" s="6">
        <v>45</v>
      </c>
      <c r="AW115" s="5">
        <v>198.88563460871899</v>
      </c>
      <c r="AX115" s="6">
        <v>0</v>
      </c>
      <c r="AY115" s="5">
        <v>0</v>
      </c>
      <c r="AZ115" s="6">
        <v>0</v>
      </c>
      <c r="BA115" s="5">
        <v>0</v>
      </c>
      <c r="BB115" s="6">
        <v>0</v>
      </c>
      <c r="BC115" s="5">
        <v>0</v>
      </c>
      <c r="BD115" s="6">
        <v>0</v>
      </c>
      <c r="BE115" s="5">
        <v>0</v>
      </c>
      <c r="BF115" s="6">
        <v>0</v>
      </c>
      <c r="BG115" s="5">
        <v>0</v>
      </c>
      <c r="BH115" s="9">
        <f t="shared" si="10"/>
        <v>90</v>
      </c>
      <c r="BI115" s="10">
        <f t="shared" si="11"/>
        <v>397.77126921743798</v>
      </c>
      <c r="BJ115" s="6">
        <f t="shared" si="12"/>
        <v>10.861146064542936</v>
      </c>
      <c r="BK115" s="11">
        <f t="shared" si="13"/>
        <v>0.13724163952893373</v>
      </c>
      <c r="BL115" s="5">
        <f t="shared" si="14"/>
        <v>62.222528531099954</v>
      </c>
      <c r="BM115" s="11">
        <f t="shared" si="15"/>
        <v>0.18543514245897263</v>
      </c>
    </row>
    <row r="116" spans="1:65" ht="15" customHeight="1" x14ac:dyDescent="0.4">
      <c r="A116" s="2" t="s">
        <v>65</v>
      </c>
      <c r="B116" s="2" t="s">
        <v>66</v>
      </c>
      <c r="C116" s="2" t="s">
        <v>170</v>
      </c>
      <c r="D116" s="3" t="s">
        <v>101</v>
      </c>
      <c r="E116" s="3" t="s">
        <v>186</v>
      </c>
      <c r="F116" s="2" t="s">
        <v>187</v>
      </c>
      <c r="G116" s="4">
        <v>5</v>
      </c>
      <c r="H116" s="5">
        <v>3.07</v>
      </c>
      <c r="I116" s="5">
        <v>3.200099047425407</v>
      </c>
      <c r="J116" s="6">
        <v>0</v>
      </c>
      <c r="K116" s="5">
        <v>0</v>
      </c>
      <c r="L116" s="6">
        <v>0</v>
      </c>
      <c r="M116" s="5">
        <v>0</v>
      </c>
      <c r="N116" s="6">
        <v>0</v>
      </c>
      <c r="O116" s="5">
        <v>0</v>
      </c>
      <c r="P116" s="6">
        <v>0</v>
      </c>
      <c r="Q116" s="5">
        <v>0</v>
      </c>
      <c r="R116" s="6">
        <v>39.569426967728532</v>
      </c>
      <c r="S116" s="5">
        <v>121.4781407909266</v>
      </c>
      <c r="T116" s="6">
        <v>0</v>
      </c>
      <c r="U116" s="5">
        <v>0</v>
      </c>
      <c r="V116" s="6">
        <v>0</v>
      </c>
      <c r="W116" s="5">
        <v>0</v>
      </c>
      <c r="X116" s="6">
        <v>0</v>
      </c>
      <c r="Y116" s="5">
        <v>0</v>
      </c>
      <c r="Z116" s="6">
        <v>0</v>
      </c>
      <c r="AA116" s="5">
        <v>0</v>
      </c>
      <c r="AB116" s="6">
        <v>0</v>
      </c>
      <c r="AC116" s="5">
        <v>0</v>
      </c>
      <c r="AD116" s="6">
        <v>0</v>
      </c>
      <c r="AE116" s="5">
        <v>0</v>
      </c>
      <c r="AF116" s="6">
        <v>0</v>
      </c>
      <c r="AG116" s="5">
        <v>0</v>
      </c>
      <c r="AH116" s="7">
        <f t="shared" si="8"/>
        <v>39.569426967728532</v>
      </c>
      <c r="AI116" s="8">
        <f t="shared" si="9"/>
        <v>121.4781407909266</v>
      </c>
      <c r="AJ116" s="6">
        <v>0</v>
      </c>
      <c r="AK116" s="5">
        <v>0</v>
      </c>
      <c r="AL116" s="6">
        <v>0</v>
      </c>
      <c r="AM116" s="5">
        <v>0</v>
      </c>
      <c r="AN116" s="6">
        <v>0</v>
      </c>
      <c r="AO116" s="5">
        <v>0</v>
      </c>
      <c r="AP116" s="6">
        <v>0</v>
      </c>
      <c r="AQ116" s="5">
        <v>0</v>
      </c>
      <c r="AR116" s="6">
        <v>45</v>
      </c>
      <c r="AS116" s="5">
        <v>144.00445713414331</v>
      </c>
      <c r="AT116" s="6">
        <v>0</v>
      </c>
      <c r="AU116" s="5">
        <v>0</v>
      </c>
      <c r="AV116" s="6">
        <v>0</v>
      </c>
      <c r="AW116" s="5">
        <v>0</v>
      </c>
      <c r="AX116" s="6">
        <v>0</v>
      </c>
      <c r="AY116" s="5">
        <v>0</v>
      </c>
      <c r="AZ116" s="6">
        <v>0</v>
      </c>
      <c r="BA116" s="5">
        <v>0</v>
      </c>
      <c r="BB116" s="6">
        <v>0</v>
      </c>
      <c r="BC116" s="5">
        <v>0</v>
      </c>
      <c r="BD116" s="6">
        <v>0</v>
      </c>
      <c r="BE116" s="5">
        <v>0</v>
      </c>
      <c r="BF116" s="6">
        <v>0</v>
      </c>
      <c r="BG116" s="5">
        <v>0</v>
      </c>
      <c r="BH116" s="9">
        <f t="shared" si="10"/>
        <v>45</v>
      </c>
      <c r="BI116" s="10">
        <f t="shared" si="11"/>
        <v>144.00445713414331</v>
      </c>
      <c r="BJ116" s="6">
        <f t="shared" si="12"/>
        <v>5.430573032271468</v>
      </c>
      <c r="BK116" s="11">
        <f t="shared" si="13"/>
        <v>0.13724163952893373</v>
      </c>
      <c r="BL116" s="5">
        <f t="shared" si="14"/>
        <v>22.526316343216706</v>
      </c>
      <c r="BM116" s="11">
        <f t="shared" si="15"/>
        <v>0.18543514245897344</v>
      </c>
    </row>
    <row r="117" spans="1:65" ht="15" customHeight="1" x14ac:dyDescent="0.4">
      <c r="A117" s="2" t="s">
        <v>65</v>
      </c>
      <c r="B117" s="2" t="s">
        <v>66</v>
      </c>
      <c r="C117" s="2" t="s">
        <v>170</v>
      </c>
      <c r="D117" s="3" t="s">
        <v>101</v>
      </c>
      <c r="E117" s="3" t="s">
        <v>128</v>
      </c>
      <c r="F117" s="2" t="s">
        <v>129</v>
      </c>
      <c r="G117" s="4">
        <v>5</v>
      </c>
      <c r="H117" s="5">
        <v>3.7842857142857151</v>
      </c>
      <c r="I117" s="5">
        <v>3.9473534463254349</v>
      </c>
      <c r="J117" s="6">
        <v>0</v>
      </c>
      <c r="K117" s="5">
        <v>0</v>
      </c>
      <c r="L117" s="6">
        <v>0</v>
      </c>
      <c r="M117" s="5">
        <v>0</v>
      </c>
      <c r="N117" s="6">
        <v>0</v>
      </c>
      <c r="O117" s="5">
        <v>0</v>
      </c>
      <c r="P117" s="6">
        <v>19.78471348386427</v>
      </c>
      <c r="Q117" s="5">
        <v>78.149618261263839</v>
      </c>
      <c r="R117" s="6">
        <v>39.569426967728532</v>
      </c>
      <c r="S117" s="5">
        <v>150.36382247736839</v>
      </c>
      <c r="T117" s="6">
        <v>39.569426967728532</v>
      </c>
      <c r="U117" s="5">
        <v>139.28438292640439</v>
      </c>
      <c r="V117" s="6">
        <v>39.569426967728532</v>
      </c>
      <c r="W117" s="5">
        <v>156.29923652252771</v>
      </c>
      <c r="X117" s="6">
        <v>0</v>
      </c>
      <c r="Y117" s="5">
        <v>0</v>
      </c>
      <c r="Z117" s="6">
        <v>0</v>
      </c>
      <c r="AA117" s="5">
        <v>0</v>
      </c>
      <c r="AB117" s="6">
        <v>0</v>
      </c>
      <c r="AC117" s="5">
        <v>0</v>
      </c>
      <c r="AD117" s="6">
        <v>0</v>
      </c>
      <c r="AE117" s="5">
        <v>0</v>
      </c>
      <c r="AF117" s="6">
        <v>0</v>
      </c>
      <c r="AG117" s="5">
        <v>0</v>
      </c>
      <c r="AH117" s="7">
        <f t="shared" si="8"/>
        <v>138.49299438704986</v>
      </c>
      <c r="AI117" s="8">
        <f t="shared" si="9"/>
        <v>524.09706018756435</v>
      </c>
      <c r="AJ117" s="6">
        <v>0</v>
      </c>
      <c r="AK117" s="5">
        <v>0</v>
      </c>
      <c r="AL117" s="6">
        <v>0</v>
      </c>
      <c r="AM117" s="5">
        <v>0</v>
      </c>
      <c r="AN117" s="6">
        <v>0</v>
      </c>
      <c r="AO117" s="5">
        <v>0</v>
      </c>
      <c r="AP117" s="6">
        <v>25</v>
      </c>
      <c r="AQ117" s="5">
        <v>102.9347820629508</v>
      </c>
      <c r="AR117" s="6">
        <v>45</v>
      </c>
      <c r="AS117" s="5">
        <v>178.246559319135</v>
      </c>
      <c r="AT117" s="6">
        <v>45</v>
      </c>
      <c r="AU117" s="5">
        <v>165.11260231667251</v>
      </c>
      <c r="AV117" s="6">
        <v>45</v>
      </c>
      <c r="AW117" s="5">
        <v>185.28260771331139</v>
      </c>
      <c r="AX117" s="6">
        <v>0</v>
      </c>
      <c r="AY117" s="5">
        <v>0</v>
      </c>
      <c r="AZ117" s="6">
        <v>0</v>
      </c>
      <c r="BA117" s="5">
        <v>0</v>
      </c>
      <c r="BB117" s="6">
        <v>0</v>
      </c>
      <c r="BC117" s="5">
        <v>0</v>
      </c>
      <c r="BD117" s="6">
        <v>0</v>
      </c>
      <c r="BE117" s="5">
        <v>0</v>
      </c>
      <c r="BF117" s="6">
        <v>0</v>
      </c>
      <c r="BG117" s="5">
        <v>0</v>
      </c>
      <c r="BH117" s="9">
        <f t="shared" si="10"/>
        <v>160</v>
      </c>
      <c r="BI117" s="10">
        <f t="shared" si="11"/>
        <v>631.57655141206965</v>
      </c>
      <c r="BJ117" s="6">
        <f t="shared" si="12"/>
        <v>21.507005612950138</v>
      </c>
      <c r="BK117" s="11">
        <f t="shared" si="13"/>
        <v>0.15529309412463108</v>
      </c>
      <c r="BL117" s="5">
        <f t="shared" si="14"/>
        <v>107.4794912245053</v>
      </c>
      <c r="BM117" s="11">
        <f t="shared" si="15"/>
        <v>0.2050755468577527</v>
      </c>
    </row>
    <row r="118" spans="1:65" ht="15" customHeight="1" x14ac:dyDescent="0.4">
      <c r="A118" s="2" t="s">
        <v>65</v>
      </c>
      <c r="B118" s="2" t="s">
        <v>66</v>
      </c>
      <c r="C118" s="2" t="s">
        <v>170</v>
      </c>
      <c r="D118" s="3" t="s">
        <v>101</v>
      </c>
      <c r="E118" s="3" t="s">
        <v>162</v>
      </c>
      <c r="F118" s="2" t="s">
        <v>163</v>
      </c>
      <c r="G118" s="4">
        <v>5</v>
      </c>
      <c r="H118" s="5">
        <v>8.1909523809523819</v>
      </c>
      <c r="I118" s="5">
        <v>8.5368807896667569</v>
      </c>
      <c r="J118" s="6">
        <v>0</v>
      </c>
      <c r="K118" s="5">
        <v>0</v>
      </c>
      <c r="L118" s="6">
        <v>0</v>
      </c>
      <c r="M118" s="5">
        <v>0</v>
      </c>
      <c r="N118" s="6">
        <v>79.138853935457064</v>
      </c>
      <c r="O118" s="5">
        <v>660.80943036106646</v>
      </c>
      <c r="P118" s="6">
        <v>19.78471348386427</v>
      </c>
      <c r="Q118" s="5">
        <v>165.20235759026659</v>
      </c>
      <c r="R118" s="6">
        <v>39.569426967728532</v>
      </c>
      <c r="S118" s="5">
        <v>324.46930113537388</v>
      </c>
      <c r="T118" s="6">
        <v>79.138853935457064</v>
      </c>
      <c r="U118" s="5">
        <v>600.66390137011911</v>
      </c>
      <c r="V118" s="6">
        <v>79.138853935457064</v>
      </c>
      <c r="W118" s="5">
        <v>660.80943036106646</v>
      </c>
      <c r="X118" s="6">
        <v>118.7082809031856</v>
      </c>
      <c r="Y118" s="5">
        <v>991.21414554159969</v>
      </c>
      <c r="Z118" s="6">
        <v>0</v>
      </c>
      <c r="AA118" s="5">
        <v>0</v>
      </c>
      <c r="AB118" s="6">
        <v>0</v>
      </c>
      <c r="AC118" s="5">
        <v>0</v>
      </c>
      <c r="AD118" s="6">
        <v>0</v>
      </c>
      <c r="AE118" s="5">
        <v>0</v>
      </c>
      <c r="AF118" s="6">
        <v>0</v>
      </c>
      <c r="AG118" s="5">
        <v>0</v>
      </c>
      <c r="AH118" s="7">
        <f t="shared" si="8"/>
        <v>415.47898316114959</v>
      </c>
      <c r="AI118" s="8">
        <f t="shared" si="9"/>
        <v>3403.1685663594926</v>
      </c>
      <c r="AJ118" s="6">
        <v>0</v>
      </c>
      <c r="AK118" s="5">
        <v>0</v>
      </c>
      <c r="AL118" s="6">
        <v>0</v>
      </c>
      <c r="AM118" s="5">
        <v>0</v>
      </c>
      <c r="AN118" s="6">
        <v>105</v>
      </c>
      <c r="AO118" s="5">
        <v>913.90450808802143</v>
      </c>
      <c r="AP118" s="6">
        <v>25</v>
      </c>
      <c r="AQ118" s="5">
        <v>217.59631144952891</v>
      </c>
      <c r="AR118" s="6">
        <v>50</v>
      </c>
      <c r="AS118" s="5">
        <v>427.37479134997278</v>
      </c>
      <c r="AT118" s="6">
        <v>105</v>
      </c>
      <c r="AU118" s="5">
        <v>830.72278040575827</v>
      </c>
      <c r="AV118" s="6">
        <v>105</v>
      </c>
      <c r="AW118" s="5">
        <v>913.90450808802143</v>
      </c>
      <c r="AX118" s="6">
        <v>155</v>
      </c>
      <c r="AY118" s="5">
        <v>1349.097130987079</v>
      </c>
      <c r="AZ118" s="6">
        <v>0</v>
      </c>
      <c r="BA118" s="5">
        <v>0</v>
      </c>
      <c r="BB118" s="6">
        <v>0</v>
      </c>
      <c r="BC118" s="5">
        <v>0</v>
      </c>
      <c r="BD118" s="6">
        <v>0</v>
      </c>
      <c r="BE118" s="5">
        <v>0</v>
      </c>
      <c r="BF118" s="6">
        <v>0</v>
      </c>
      <c r="BG118" s="5">
        <v>0</v>
      </c>
      <c r="BH118" s="9">
        <f t="shared" si="10"/>
        <v>545</v>
      </c>
      <c r="BI118" s="10">
        <f t="shared" si="11"/>
        <v>4652.6000303683822</v>
      </c>
      <c r="BJ118" s="6">
        <f t="shared" si="12"/>
        <v>129.52101683885041</v>
      </c>
      <c r="BK118" s="11">
        <f t="shared" si="13"/>
        <v>0.3117390339540082</v>
      </c>
      <c r="BL118" s="5">
        <f t="shared" si="14"/>
        <v>1249.4314640088896</v>
      </c>
      <c r="BM118" s="11">
        <f t="shared" si="15"/>
        <v>0.36713769525247381</v>
      </c>
    </row>
    <row r="119" spans="1:65" ht="15" customHeight="1" x14ac:dyDescent="0.4">
      <c r="A119" s="2" t="s">
        <v>65</v>
      </c>
      <c r="B119" s="2" t="s">
        <v>66</v>
      </c>
      <c r="C119" s="2" t="s">
        <v>170</v>
      </c>
      <c r="D119" s="3" t="s">
        <v>101</v>
      </c>
      <c r="E119" s="3" t="s">
        <v>188</v>
      </c>
      <c r="F119" s="2" t="s">
        <v>189</v>
      </c>
      <c r="G119" s="4">
        <v>5</v>
      </c>
      <c r="H119" s="5">
        <v>0</v>
      </c>
      <c r="I119" s="5">
        <v>0</v>
      </c>
      <c r="J119" s="6">
        <v>0</v>
      </c>
      <c r="K119" s="5">
        <v>0</v>
      </c>
      <c r="L119" s="6">
        <v>0</v>
      </c>
      <c r="M119" s="5">
        <v>0</v>
      </c>
      <c r="N119" s="6">
        <v>59.354140451592791</v>
      </c>
      <c r="O119" s="5">
        <v>0</v>
      </c>
      <c r="P119" s="6">
        <v>0</v>
      </c>
      <c r="Q119" s="5">
        <v>0</v>
      </c>
      <c r="R119" s="6">
        <v>0</v>
      </c>
      <c r="S119" s="5">
        <v>0</v>
      </c>
      <c r="T119" s="6">
        <v>0</v>
      </c>
      <c r="U119" s="5">
        <v>0</v>
      </c>
      <c r="V119" s="6">
        <v>0</v>
      </c>
      <c r="W119" s="5">
        <v>0</v>
      </c>
      <c r="X119" s="6">
        <v>0</v>
      </c>
      <c r="Y119" s="5">
        <v>0</v>
      </c>
      <c r="Z119" s="6">
        <v>0</v>
      </c>
      <c r="AA119" s="5">
        <v>0</v>
      </c>
      <c r="AB119" s="6">
        <v>0</v>
      </c>
      <c r="AC119" s="5">
        <v>0</v>
      </c>
      <c r="AD119" s="6">
        <v>0</v>
      </c>
      <c r="AE119" s="5">
        <v>0</v>
      </c>
      <c r="AF119" s="6">
        <v>0</v>
      </c>
      <c r="AG119" s="5">
        <v>0</v>
      </c>
      <c r="AH119" s="7">
        <f t="shared" si="8"/>
        <v>59.354140451592791</v>
      </c>
      <c r="AI119" s="8">
        <f t="shared" si="9"/>
        <v>0</v>
      </c>
      <c r="AJ119" s="6">
        <v>0</v>
      </c>
      <c r="AK119" s="5">
        <v>0</v>
      </c>
      <c r="AL119" s="6">
        <v>0</v>
      </c>
      <c r="AM119" s="5">
        <v>0</v>
      </c>
      <c r="AN119" s="6">
        <v>70</v>
      </c>
      <c r="AO119" s="5">
        <v>0</v>
      </c>
      <c r="AP119" s="6">
        <v>0</v>
      </c>
      <c r="AQ119" s="5">
        <v>0</v>
      </c>
      <c r="AR119" s="6">
        <v>0</v>
      </c>
      <c r="AS119" s="5">
        <v>0</v>
      </c>
      <c r="AT119" s="6">
        <v>0</v>
      </c>
      <c r="AU119" s="5">
        <v>0</v>
      </c>
      <c r="AV119" s="6">
        <v>0</v>
      </c>
      <c r="AW119" s="5">
        <v>0</v>
      </c>
      <c r="AX119" s="6">
        <v>0</v>
      </c>
      <c r="AY119" s="5">
        <v>0</v>
      </c>
      <c r="AZ119" s="6">
        <v>0</v>
      </c>
      <c r="BA119" s="5">
        <v>0</v>
      </c>
      <c r="BB119" s="6">
        <v>0</v>
      </c>
      <c r="BC119" s="5">
        <v>0</v>
      </c>
      <c r="BD119" s="6">
        <v>0</v>
      </c>
      <c r="BE119" s="5">
        <v>0</v>
      </c>
      <c r="BF119" s="6">
        <v>0</v>
      </c>
      <c r="BG119" s="5">
        <v>0</v>
      </c>
      <c r="BH119" s="9">
        <f t="shared" si="10"/>
        <v>70</v>
      </c>
      <c r="BI119" s="10">
        <f t="shared" si="11"/>
        <v>0</v>
      </c>
      <c r="BJ119" s="6">
        <f t="shared" si="12"/>
        <v>10.645859548407209</v>
      </c>
      <c r="BK119" s="11">
        <f t="shared" si="13"/>
        <v>0.1793617002522277</v>
      </c>
      <c r="BL119" s="5">
        <f t="shared" si="14"/>
        <v>0</v>
      </c>
      <c r="BM119" s="11">
        <f t="shared" si="15"/>
        <v>0</v>
      </c>
    </row>
    <row r="120" spans="1:65" ht="15" customHeight="1" x14ac:dyDescent="0.4">
      <c r="A120" s="2" t="s">
        <v>65</v>
      </c>
      <c r="B120" s="2" t="s">
        <v>66</v>
      </c>
      <c r="C120" s="2" t="s">
        <v>170</v>
      </c>
      <c r="D120" s="3" t="s">
        <v>101</v>
      </c>
      <c r="E120" s="3" t="s">
        <v>188</v>
      </c>
      <c r="F120" s="2" t="s">
        <v>190</v>
      </c>
      <c r="G120" s="4">
        <v>5</v>
      </c>
      <c r="H120" s="5">
        <v>2.6144444444444441</v>
      </c>
      <c r="I120" s="5">
        <v>2.726198624417465</v>
      </c>
      <c r="J120" s="6">
        <v>0</v>
      </c>
      <c r="K120" s="5">
        <v>0</v>
      </c>
      <c r="L120" s="6">
        <v>0</v>
      </c>
      <c r="M120" s="5">
        <v>0</v>
      </c>
      <c r="N120" s="6">
        <v>0</v>
      </c>
      <c r="O120" s="5">
        <v>0</v>
      </c>
      <c r="P120" s="6">
        <v>39.569426967728532</v>
      </c>
      <c r="Q120" s="5">
        <v>106.44175854318971</v>
      </c>
      <c r="R120" s="6">
        <v>0</v>
      </c>
      <c r="S120" s="5">
        <v>0</v>
      </c>
      <c r="T120" s="6">
        <v>39.569426967728532</v>
      </c>
      <c r="U120" s="5">
        <v>92.988153374162039</v>
      </c>
      <c r="V120" s="6">
        <v>98.92356741932133</v>
      </c>
      <c r="W120" s="5">
        <v>266.10439635797428</v>
      </c>
      <c r="X120" s="6">
        <v>0</v>
      </c>
      <c r="Y120" s="5">
        <v>0</v>
      </c>
      <c r="Z120" s="6">
        <v>0</v>
      </c>
      <c r="AA120" s="5">
        <v>0</v>
      </c>
      <c r="AB120" s="6">
        <v>0</v>
      </c>
      <c r="AC120" s="5">
        <v>0</v>
      </c>
      <c r="AD120" s="6">
        <v>0</v>
      </c>
      <c r="AE120" s="5">
        <v>0</v>
      </c>
      <c r="AF120" s="6">
        <v>0</v>
      </c>
      <c r="AG120" s="5">
        <v>0</v>
      </c>
      <c r="AH120" s="7">
        <f t="shared" si="8"/>
        <v>178.06242135477839</v>
      </c>
      <c r="AI120" s="8">
        <f t="shared" si="9"/>
        <v>465.534308275326</v>
      </c>
      <c r="AJ120" s="6">
        <v>0</v>
      </c>
      <c r="AK120" s="5">
        <v>0</v>
      </c>
      <c r="AL120" s="6">
        <v>0</v>
      </c>
      <c r="AM120" s="5">
        <v>0</v>
      </c>
      <c r="AN120" s="6">
        <v>0</v>
      </c>
      <c r="AO120" s="5">
        <v>0</v>
      </c>
      <c r="AP120" s="6">
        <v>45</v>
      </c>
      <c r="AQ120" s="5">
        <v>126.1798012022298</v>
      </c>
      <c r="AR120" s="6">
        <v>0</v>
      </c>
      <c r="AS120" s="5">
        <v>0</v>
      </c>
      <c r="AT120" s="6">
        <v>45</v>
      </c>
      <c r="AU120" s="5">
        <v>110.2314248420967</v>
      </c>
      <c r="AV120" s="6">
        <v>115</v>
      </c>
      <c r="AW120" s="5">
        <v>322.45949196125389</v>
      </c>
      <c r="AX120" s="6">
        <v>0</v>
      </c>
      <c r="AY120" s="5">
        <v>0</v>
      </c>
      <c r="AZ120" s="6">
        <v>0</v>
      </c>
      <c r="BA120" s="5">
        <v>0</v>
      </c>
      <c r="BB120" s="6">
        <v>0</v>
      </c>
      <c r="BC120" s="5">
        <v>0</v>
      </c>
      <c r="BD120" s="6">
        <v>0</v>
      </c>
      <c r="BE120" s="5">
        <v>0</v>
      </c>
      <c r="BF120" s="6">
        <v>0</v>
      </c>
      <c r="BG120" s="5">
        <v>0</v>
      </c>
      <c r="BH120" s="9">
        <f t="shared" si="10"/>
        <v>205</v>
      </c>
      <c r="BI120" s="10">
        <f t="shared" si="11"/>
        <v>558.87071800558033</v>
      </c>
      <c r="BJ120" s="6">
        <f t="shared" si="12"/>
        <v>26.937578645221606</v>
      </c>
      <c r="BK120" s="11">
        <f t="shared" si="13"/>
        <v>0.15128165977003166</v>
      </c>
      <c r="BL120" s="5">
        <f t="shared" si="14"/>
        <v>93.336409730254331</v>
      </c>
      <c r="BM120" s="11">
        <f t="shared" si="15"/>
        <v>0.20049308519503009</v>
      </c>
    </row>
    <row r="121" spans="1:65" ht="15" customHeight="1" x14ac:dyDescent="0.4">
      <c r="A121" s="2" t="s">
        <v>65</v>
      </c>
      <c r="B121" s="2" t="s">
        <v>66</v>
      </c>
      <c r="C121" s="2" t="s">
        <v>170</v>
      </c>
      <c r="D121" s="3" t="s">
        <v>101</v>
      </c>
      <c r="E121" s="3" t="s">
        <v>94</v>
      </c>
      <c r="F121" s="2" t="s">
        <v>95</v>
      </c>
      <c r="G121" s="4">
        <v>20</v>
      </c>
      <c r="H121" s="5">
        <v>2.313333333333333</v>
      </c>
      <c r="I121" s="5">
        <v>2.41258281604759</v>
      </c>
      <c r="J121" s="6">
        <v>0</v>
      </c>
      <c r="K121" s="5">
        <v>0</v>
      </c>
      <c r="L121" s="6">
        <v>0</v>
      </c>
      <c r="M121" s="5">
        <v>0</v>
      </c>
      <c r="N121" s="6">
        <v>0</v>
      </c>
      <c r="O121" s="5">
        <v>0</v>
      </c>
      <c r="P121" s="6">
        <v>39.569426967728532</v>
      </c>
      <c r="Q121" s="5">
        <v>94.966624722548474</v>
      </c>
      <c r="R121" s="6">
        <v>79.138853935457064</v>
      </c>
      <c r="S121" s="5">
        <v>178.06242135477839</v>
      </c>
      <c r="T121" s="6">
        <v>59.354140451592791</v>
      </c>
      <c r="U121" s="5">
        <v>123.45661213931299</v>
      </c>
      <c r="V121" s="6">
        <v>118.7082809031856</v>
      </c>
      <c r="W121" s="5">
        <v>284.89987416764541</v>
      </c>
      <c r="X121" s="6">
        <v>59.354140451592791</v>
      </c>
      <c r="Y121" s="5">
        <v>142.4499370838227</v>
      </c>
      <c r="Z121" s="6">
        <v>0</v>
      </c>
      <c r="AA121" s="5">
        <v>0</v>
      </c>
      <c r="AB121" s="6">
        <v>0</v>
      </c>
      <c r="AC121" s="5">
        <v>0</v>
      </c>
      <c r="AD121" s="6">
        <v>0</v>
      </c>
      <c r="AE121" s="5">
        <v>0</v>
      </c>
      <c r="AF121" s="6">
        <v>0</v>
      </c>
      <c r="AG121" s="5">
        <v>0</v>
      </c>
      <c r="AH121" s="7">
        <f t="shared" si="8"/>
        <v>356.12484270955679</v>
      </c>
      <c r="AI121" s="8">
        <f t="shared" si="9"/>
        <v>823.83546946810793</v>
      </c>
      <c r="AJ121" s="6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6">
        <v>40</v>
      </c>
      <c r="AQ121" s="5">
        <v>100.0682438282863</v>
      </c>
      <c r="AR121" s="6">
        <v>100</v>
      </c>
      <c r="AS121" s="5">
        <v>234.5349464725461</v>
      </c>
      <c r="AT121" s="6">
        <v>60</v>
      </c>
      <c r="AU121" s="5">
        <v>130.08871697677219</v>
      </c>
      <c r="AV121" s="6">
        <v>140</v>
      </c>
      <c r="AW121" s="5">
        <v>350.23885339900221</v>
      </c>
      <c r="AX121" s="6">
        <v>60</v>
      </c>
      <c r="AY121" s="5">
        <v>150.1023657424295</v>
      </c>
      <c r="AZ121" s="6">
        <v>0</v>
      </c>
      <c r="BA121" s="5">
        <v>0</v>
      </c>
      <c r="BB121" s="6">
        <v>0</v>
      </c>
      <c r="BC121" s="5">
        <v>0</v>
      </c>
      <c r="BD121" s="6">
        <v>0</v>
      </c>
      <c r="BE121" s="5">
        <v>0</v>
      </c>
      <c r="BF121" s="6">
        <v>0</v>
      </c>
      <c r="BG121" s="5">
        <v>0</v>
      </c>
      <c r="BH121" s="9">
        <f t="shared" si="10"/>
        <v>400</v>
      </c>
      <c r="BI121" s="10">
        <f t="shared" si="11"/>
        <v>965.03312641903631</v>
      </c>
      <c r="BJ121" s="6">
        <f t="shared" si="12"/>
        <v>43.875157290443212</v>
      </c>
      <c r="BK121" s="11">
        <f t="shared" si="13"/>
        <v>0.12320161928783577</v>
      </c>
      <c r="BL121" s="5">
        <f t="shared" si="14"/>
        <v>141.19765695092838</v>
      </c>
      <c r="BM121" s="11">
        <f t="shared" si="15"/>
        <v>0.17139060186628002</v>
      </c>
    </row>
    <row r="122" spans="1:65" ht="15" customHeight="1" x14ac:dyDescent="0.4">
      <c r="A122" s="2" t="s">
        <v>65</v>
      </c>
      <c r="B122" s="2" t="s">
        <v>66</v>
      </c>
      <c r="C122" s="2" t="s">
        <v>170</v>
      </c>
      <c r="D122" s="3" t="s">
        <v>101</v>
      </c>
      <c r="E122" s="3" t="s">
        <v>140</v>
      </c>
      <c r="F122" s="2" t="s">
        <v>141</v>
      </c>
      <c r="G122" s="4">
        <v>5</v>
      </c>
      <c r="H122" s="5">
        <v>10.73</v>
      </c>
      <c r="I122" s="5">
        <v>11.184711002890751</v>
      </c>
      <c r="J122" s="6">
        <v>0</v>
      </c>
      <c r="K122" s="5">
        <v>0</v>
      </c>
      <c r="L122" s="6">
        <v>0</v>
      </c>
      <c r="M122" s="5">
        <v>0</v>
      </c>
      <c r="N122" s="6">
        <v>0</v>
      </c>
      <c r="O122" s="5">
        <v>0</v>
      </c>
      <c r="P122" s="6">
        <v>0</v>
      </c>
      <c r="Q122" s="5">
        <v>0</v>
      </c>
      <c r="R122" s="6">
        <v>0</v>
      </c>
      <c r="S122" s="5">
        <v>0</v>
      </c>
      <c r="T122" s="6">
        <v>0</v>
      </c>
      <c r="U122" s="5">
        <v>0</v>
      </c>
      <c r="V122" s="6">
        <v>0</v>
      </c>
      <c r="W122" s="5">
        <v>0</v>
      </c>
      <c r="X122" s="6">
        <v>19.78471348386427</v>
      </c>
      <c r="Y122" s="5">
        <v>212.28997568186361</v>
      </c>
      <c r="Z122" s="6">
        <v>0</v>
      </c>
      <c r="AA122" s="5">
        <v>0</v>
      </c>
      <c r="AB122" s="6">
        <v>0</v>
      </c>
      <c r="AC122" s="5">
        <v>0</v>
      </c>
      <c r="AD122" s="6">
        <v>0</v>
      </c>
      <c r="AE122" s="5">
        <v>0</v>
      </c>
      <c r="AF122" s="6">
        <v>0</v>
      </c>
      <c r="AG122" s="5">
        <v>0</v>
      </c>
      <c r="AH122" s="7">
        <f t="shared" si="8"/>
        <v>19.78471348386427</v>
      </c>
      <c r="AI122" s="8">
        <f t="shared" si="9"/>
        <v>212.28997568186361</v>
      </c>
      <c r="AJ122" s="6">
        <v>0</v>
      </c>
      <c r="AK122" s="5">
        <v>0</v>
      </c>
      <c r="AL122" s="6">
        <v>0</v>
      </c>
      <c r="AM122" s="5">
        <v>0</v>
      </c>
      <c r="AN122" s="6">
        <v>0</v>
      </c>
      <c r="AO122" s="5">
        <v>0</v>
      </c>
      <c r="AP122" s="6">
        <v>0</v>
      </c>
      <c r="AQ122" s="5">
        <v>0</v>
      </c>
      <c r="AR122" s="6">
        <v>0</v>
      </c>
      <c r="AS122" s="5">
        <v>0</v>
      </c>
      <c r="AT122" s="6">
        <v>0</v>
      </c>
      <c r="AU122" s="5">
        <v>0</v>
      </c>
      <c r="AV122" s="6">
        <v>0</v>
      </c>
      <c r="AW122" s="5">
        <v>0</v>
      </c>
      <c r="AX122" s="6">
        <v>25</v>
      </c>
      <c r="AY122" s="5">
        <v>279.61777507226878</v>
      </c>
      <c r="AZ122" s="6">
        <v>0</v>
      </c>
      <c r="BA122" s="5">
        <v>0</v>
      </c>
      <c r="BB122" s="6">
        <v>0</v>
      </c>
      <c r="BC122" s="5">
        <v>0</v>
      </c>
      <c r="BD122" s="6">
        <v>0</v>
      </c>
      <c r="BE122" s="5">
        <v>0</v>
      </c>
      <c r="BF122" s="6">
        <v>0</v>
      </c>
      <c r="BG122" s="5">
        <v>0</v>
      </c>
      <c r="BH122" s="9">
        <f t="shared" si="10"/>
        <v>25</v>
      </c>
      <c r="BI122" s="10">
        <f t="shared" si="11"/>
        <v>279.61777507226878</v>
      </c>
      <c r="BJ122" s="6">
        <f t="shared" si="12"/>
        <v>5.2152865161357305</v>
      </c>
      <c r="BK122" s="11">
        <f t="shared" si="13"/>
        <v>0.26360182169881502</v>
      </c>
      <c r="BL122" s="5">
        <f t="shared" si="14"/>
        <v>67.327799390405175</v>
      </c>
      <c r="BM122" s="11">
        <f t="shared" si="15"/>
        <v>0.31715015828774779</v>
      </c>
    </row>
    <row r="123" spans="1:65" ht="15" customHeight="1" x14ac:dyDescent="0.4">
      <c r="A123" s="2" t="s">
        <v>65</v>
      </c>
      <c r="B123" s="2" t="s">
        <v>66</v>
      </c>
      <c r="C123" s="2" t="s">
        <v>191</v>
      </c>
      <c r="D123" s="3" t="s">
        <v>134</v>
      </c>
      <c r="E123" s="3" t="s">
        <v>69</v>
      </c>
      <c r="F123" s="2" t="s">
        <v>192</v>
      </c>
      <c r="G123" s="4">
        <v>20</v>
      </c>
      <c r="H123" s="5">
        <v>4.74</v>
      </c>
      <c r="I123" s="5">
        <v>4.9408695390216373</v>
      </c>
      <c r="J123" s="6">
        <v>0</v>
      </c>
      <c r="K123" s="5">
        <v>0</v>
      </c>
      <c r="L123" s="6">
        <v>0</v>
      </c>
      <c r="M123" s="5">
        <v>0</v>
      </c>
      <c r="N123" s="6">
        <v>0</v>
      </c>
      <c r="O123" s="5">
        <v>0</v>
      </c>
      <c r="P123" s="6">
        <v>0</v>
      </c>
      <c r="Q123" s="5">
        <v>0</v>
      </c>
      <c r="R123" s="6">
        <v>0</v>
      </c>
      <c r="S123" s="5">
        <v>0</v>
      </c>
      <c r="T123" s="6">
        <v>98.92356741932133</v>
      </c>
      <c r="U123" s="5">
        <v>468.89770956758309</v>
      </c>
      <c r="V123" s="6">
        <v>0</v>
      </c>
      <c r="W123" s="5">
        <v>0</v>
      </c>
      <c r="X123" s="6">
        <v>0</v>
      </c>
      <c r="Y123" s="5">
        <v>0</v>
      </c>
      <c r="Z123" s="6">
        <v>0</v>
      </c>
      <c r="AA123" s="5">
        <v>0</v>
      </c>
      <c r="AB123" s="6">
        <v>0</v>
      </c>
      <c r="AC123" s="5">
        <v>0</v>
      </c>
      <c r="AD123" s="6">
        <v>0</v>
      </c>
      <c r="AE123" s="5">
        <v>0</v>
      </c>
      <c r="AF123" s="6">
        <v>0</v>
      </c>
      <c r="AG123" s="5">
        <v>0</v>
      </c>
      <c r="AH123" s="7">
        <f t="shared" si="8"/>
        <v>98.92356741932133</v>
      </c>
      <c r="AI123" s="8">
        <f t="shared" si="9"/>
        <v>468.89770956758309</v>
      </c>
      <c r="AJ123" s="6">
        <v>0</v>
      </c>
      <c r="AK123" s="5">
        <v>0</v>
      </c>
      <c r="AL123" s="6">
        <v>0</v>
      </c>
      <c r="AM123" s="5">
        <v>0</v>
      </c>
      <c r="AN123" s="6">
        <v>0</v>
      </c>
      <c r="AO123" s="5">
        <v>0</v>
      </c>
      <c r="AP123" s="6">
        <v>0</v>
      </c>
      <c r="AQ123" s="5">
        <v>0</v>
      </c>
      <c r="AR123" s="6">
        <v>0</v>
      </c>
      <c r="AS123" s="5">
        <v>0</v>
      </c>
      <c r="AT123" s="6">
        <v>120</v>
      </c>
      <c r="AU123" s="5">
        <v>592.9043446825965</v>
      </c>
      <c r="AV123" s="6">
        <v>0</v>
      </c>
      <c r="AW123" s="5">
        <v>0</v>
      </c>
      <c r="AX123" s="6">
        <v>0</v>
      </c>
      <c r="AY123" s="5">
        <v>0</v>
      </c>
      <c r="AZ123" s="6">
        <v>0</v>
      </c>
      <c r="BA123" s="5">
        <v>0</v>
      </c>
      <c r="BB123" s="6">
        <v>0</v>
      </c>
      <c r="BC123" s="5">
        <v>0</v>
      </c>
      <c r="BD123" s="6">
        <v>0</v>
      </c>
      <c r="BE123" s="5">
        <v>0</v>
      </c>
      <c r="BF123" s="6">
        <v>0</v>
      </c>
      <c r="BG123" s="5">
        <v>0</v>
      </c>
      <c r="BH123" s="9">
        <f t="shared" si="10"/>
        <v>120</v>
      </c>
      <c r="BI123" s="10">
        <f t="shared" si="11"/>
        <v>592.9043446825965</v>
      </c>
      <c r="BJ123" s="6">
        <f t="shared" si="12"/>
        <v>21.07643258067867</v>
      </c>
      <c r="BK123" s="11">
        <f t="shared" si="13"/>
        <v>0.21305774883086265</v>
      </c>
      <c r="BL123" s="5">
        <f t="shared" si="14"/>
        <v>124.00663511501341</v>
      </c>
      <c r="BM123" s="11">
        <f t="shared" si="15"/>
        <v>0.26446415195623835</v>
      </c>
    </row>
    <row r="124" spans="1:65" ht="15" customHeight="1" x14ac:dyDescent="0.4">
      <c r="A124" s="2" t="s">
        <v>65</v>
      </c>
      <c r="B124" s="2" t="s">
        <v>66</v>
      </c>
      <c r="C124" s="2" t="s">
        <v>191</v>
      </c>
      <c r="D124" s="3" t="s">
        <v>134</v>
      </c>
      <c r="E124" s="3" t="s">
        <v>154</v>
      </c>
      <c r="F124" s="2" t="s">
        <v>155</v>
      </c>
      <c r="G124" s="4">
        <v>20</v>
      </c>
      <c r="H124" s="5">
        <v>3.48</v>
      </c>
      <c r="I124" s="5">
        <v>3.62747383877538</v>
      </c>
      <c r="J124" s="6">
        <v>0</v>
      </c>
      <c r="K124" s="5">
        <v>0</v>
      </c>
      <c r="L124" s="6">
        <v>0</v>
      </c>
      <c r="M124" s="5">
        <v>0</v>
      </c>
      <c r="N124" s="6">
        <v>0</v>
      </c>
      <c r="O124" s="5">
        <v>0</v>
      </c>
      <c r="P124" s="6">
        <v>0</v>
      </c>
      <c r="Q124" s="5">
        <v>0</v>
      </c>
      <c r="R124" s="6">
        <v>0</v>
      </c>
      <c r="S124" s="5">
        <v>0</v>
      </c>
      <c r="T124" s="6">
        <v>98.92356741932133</v>
      </c>
      <c r="U124" s="5">
        <v>344.25401461923821</v>
      </c>
      <c r="V124" s="6">
        <v>0</v>
      </c>
      <c r="W124" s="5">
        <v>0</v>
      </c>
      <c r="X124" s="6">
        <v>0</v>
      </c>
      <c r="Y124" s="5">
        <v>0</v>
      </c>
      <c r="Z124" s="6">
        <v>0</v>
      </c>
      <c r="AA124" s="5">
        <v>0</v>
      </c>
      <c r="AB124" s="6">
        <v>0</v>
      </c>
      <c r="AC124" s="5">
        <v>0</v>
      </c>
      <c r="AD124" s="6">
        <v>0</v>
      </c>
      <c r="AE124" s="5">
        <v>0</v>
      </c>
      <c r="AF124" s="6">
        <v>0</v>
      </c>
      <c r="AG124" s="5">
        <v>0</v>
      </c>
      <c r="AH124" s="7">
        <f t="shared" si="8"/>
        <v>98.92356741932133</v>
      </c>
      <c r="AI124" s="8">
        <f t="shared" si="9"/>
        <v>344.25401461923821</v>
      </c>
      <c r="AJ124" s="6">
        <v>0</v>
      </c>
      <c r="AK124" s="5">
        <v>0</v>
      </c>
      <c r="AL124" s="6">
        <v>0</v>
      </c>
      <c r="AM124" s="5">
        <v>0</v>
      </c>
      <c r="AN124" s="6">
        <v>0</v>
      </c>
      <c r="AO124" s="5">
        <v>0</v>
      </c>
      <c r="AP124" s="6">
        <v>0</v>
      </c>
      <c r="AQ124" s="5">
        <v>0</v>
      </c>
      <c r="AR124" s="6">
        <v>0</v>
      </c>
      <c r="AS124" s="5">
        <v>0</v>
      </c>
      <c r="AT124" s="6">
        <v>120</v>
      </c>
      <c r="AU124" s="5">
        <v>435.29686065304548</v>
      </c>
      <c r="AV124" s="6">
        <v>0</v>
      </c>
      <c r="AW124" s="5">
        <v>0</v>
      </c>
      <c r="AX124" s="6">
        <v>0</v>
      </c>
      <c r="AY124" s="5">
        <v>0</v>
      </c>
      <c r="AZ124" s="6">
        <v>0</v>
      </c>
      <c r="BA124" s="5">
        <v>0</v>
      </c>
      <c r="BB124" s="6">
        <v>0</v>
      </c>
      <c r="BC124" s="5">
        <v>0</v>
      </c>
      <c r="BD124" s="6">
        <v>0</v>
      </c>
      <c r="BE124" s="5">
        <v>0</v>
      </c>
      <c r="BF124" s="6">
        <v>0</v>
      </c>
      <c r="BG124" s="5">
        <v>0</v>
      </c>
      <c r="BH124" s="9">
        <f t="shared" si="10"/>
        <v>120</v>
      </c>
      <c r="BI124" s="10">
        <f t="shared" si="11"/>
        <v>435.29686065304548</v>
      </c>
      <c r="BJ124" s="6">
        <f t="shared" si="12"/>
        <v>21.07643258067867</v>
      </c>
      <c r="BK124" s="11">
        <f t="shared" si="13"/>
        <v>0.21305774883086265</v>
      </c>
      <c r="BL124" s="5">
        <f t="shared" si="14"/>
        <v>91.04284603380728</v>
      </c>
      <c r="BM124" s="11">
        <f t="shared" si="15"/>
        <v>0.26446415195623824</v>
      </c>
    </row>
    <row r="125" spans="1:65" ht="15" customHeight="1" x14ac:dyDescent="0.4">
      <c r="A125" s="2" t="s">
        <v>65</v>
      </c>
      <c r="B125" s="2" t="s">
        <v>66</v>
      </c>
      <c r="C125" s="2" t="s">
        <v>191</v>
      </c>
      <c r="D125" s="3" t="s">
        <v>134</v>
      </c>
      <c r="E125" s="3" t="s">
        <v>82</v>
      </c>
      <c r="F125" s="2" t="s">
        <v>83</v>
      </c>
      <c r="G125" s="4">
        <v>20</v>
      </c>
      <c r="H125" s="5">
        <v>2.99</v>
      </c>
      <c r="I125" s="5">
        <v>3.116708844235168</v>
      </c>
      <c r="J125" s="6">
        <v>0</v>
      </c>
      <c r="K125" s="5">
        <v>0</v>
      </c>
      <c r="L125" s="6">
        <v>0</v>
      </c>
      <c r="M125" s="5">
        <v>0</v>
      </c>
      <c r="N125" s="6">
        <v>0</v>
      </c>
      <c r="O125" s="5">
        <v>0</v>
      </c>
      <c r="P125" s="6">
        <v>0</v>
      </c>
      <c r="Q125" s="5">
        <v>0</v>
      </c>
      <c r="R125" s="6">
        <v>0</v>
      </c>
      <c r="S125" s="5">
        <v>0</v>
      </c>
      <c r="T125" s="6">
        <v>0</v>
      </c>
      <c r="U125" s="5">
        <v>0</v>
      </c>
      <c r="V125" s="6">
        <v>39.569426967728532</v>
      </c>
      <c r="W125" s="5">
        <v>118.3125866335083</v>
      </c>
      <c r="X125" s="6">
        <v>0</v>
      </c>
      <c r="Y125" s="5">
        <v>0</v>
      </c>
      <c r="Z125" s="6">
        <v>0</v>
      </c>
      <c r="AA125" s="5">
        <v>0</v>
      </c>
      <c r="AB125" s="6">
        <v>0</v>
      </c>
      <c r="AC125" s="5">
        <v>0</v>
      </c>
      <c r="AD125" s="6">
        <v>0</v>
      </c>
      <c r="AE125" s="5">
        <v>0</v>
      </c>
      <c r="AF125" s="6">
        <v>0</v>
      </c>
      <c r="AG125" s="5">
        <v>0</v>
      </c>
      <c r="AH125" s="7">
        <f t="shared" si="8"/>
        <v>39.569426967728532</v>
      </c>
      <c r="AI125" s="8">
        <f t="shared" si="9"/>
        <v>118.3125866335083</v>
      </c>
      <c r="AJ125" s="6">
        <v>0</v>
      </c>
      <c r="AK125" s="5">
        <v>0</v>
      </c>
      <c r="AL125" s="6">
        <v>0</v>
      </c>
      <c r="AM125" s="5">
        <v>0</v>
      </c>
      <c r="AN125" s="6">
        <v>0</v>
      </c>
      <c r="AO125" s="5">
        <v>0</v>
      </c>
      <c r="AP125" s="6">
        <v>0</v>
      </c>
      <c r="AQ125" s="5">
        <v>0</v>
      </c>
      <c r="AR125" s="6">
        <v>0</v>
      </c>
      <c r="AS125" s="5">
        <v>0</v>
      </c>
      <c r="AT125" s="6">
        <v>0</v>
      </c>
      <c r="AU125" s="5">
        <v>0</v>
      </c>
      <c r="AV125" s="6">
        <v>40</v>
      </c>
      <c r="AW125" s="5">
        <v>124.66835376940671</v>
      </c>
      <c r="AX125" s="6">
        <v>0</v>
      </c>
      <c r="AY125" s="5">
        <v>0</v>
      </c>
      <c r="AZ125" s="6">
        <v>0</v>
      </c>
      <c r="BA125" s="5">
        <v>0</v>
      </c>
      <c r="BB125" s="6">
        <v>0</v>
      </c>
      <c r="BC125" s="5">
        <v>0</v>
      </c>
      <c r="BD125" s="6">
        <v>0</v>
      </c>
      <c r="BE125" s="5">
        <v>0</v>
      </c>
      <c r="BF125" s="6">
        <v>0</v>
      </c>
      <c r="BG125" s="5">
        <v>0</v>
      </c>
      <c r="BH125" s="9">
        <f t="shared" si="10"/>
        <v>40</v>
      </c>
      <c r="BI125" s="10">
        <f t="shared" si="11"/>
        <v>124.66835376940671</v>
      </c>
      <c r="BJ125" s="6">
        <f t="shared" si="12"/>
        <v>0.43057303227146804</v>
      </c>
      <c r="BK125" s="11">
        <f t="shared" si="13"/>
        <v>1.0881457359052195E-2</v>
      </c>
      <c r="BL125" s="5">
        <f t="shared" si="14"/>
        <v>6.3557671358984038</v>
      </c>
      <c r="BM125" s="11">
        <f t="shared" si="15"/>
        <v>5.372012663019856E-2</v>
      </c>
    </row>
    <row r="126" spans="1:65" ht="15" customHeight="1" x14ac:dyDescent="0.4">
      <c r="A126" s="2" t="s">
        <v>65</v>
      </c>
      <c r="B126" s="2" t="s">
        <v>66</v>
      </c>
      <c r="C126" s="2" t="s">
        <v>191</v>
      </c>
      <c r="D126" s="3" t="s">
        <v>134</v>
      </c>
      <c r="E126" s="3" t="s">
        <v>86</v>
      </c>
      <c r="F126" s="2" t="s">
        <v>87</v>
      </c>
      <c r="G126" s="4">
        <v>20</v>
      </c>
      <c r="H126" s="5">
        <v>1.68</v>
      </c>
      <c r="I126" s="5">
        <v>1.7511942669950109</v>
      </c>
      <c r="J126" s="6">
        <v>0</v>
      </c>
      <c r="K126" s="5">
        <v>0</v>
      </c>
      <c r="L126" s="6">
        <v>0</v>
      </c>
      <c r="M126" s="5">
        <v>0</v>
      </c>
      <c r="N126" s="6">
        <v>0</v>
      </c>
      <c r="O126" s="5">
        <v>0</v>
      </c>
      <c r="P126" s="6">
        <v>0</v>
      </c>
      <c r="Q126" s="5">
        <v>0</v>
      </c>
      <c r="R126" s="6">
        <v>0</v>
      </c>
      <c r="S126" s="5">
        <v>0</v>
      </c>
      <c r="T126" s="6">
        <v>98.92356741932133</v>
      </c>
      <c r="U126" s="5">
        <v>166.19159326445981</v>
      </c>
      <c r="V126" s="6">
        <v>0</v>
      </c>
      <c r="W126" s="5">
        <v>0</v>
      </c>
      <c r="X126" s="6">
        <v>0</v>
      </c>
      <c r="Y126" s="5">
        <v>0</v>
      </c>
      <c r="Z126" s="6">
        <v>0</v>
      </c>
      <c r="AA126" s="5">
        <v>0</v>
      </c>
      <c r="AB126" s="6">
        <v>0</v>
      </c>
      <c r="AC126" s="5">
        <v>0</v>
      </c>
      <c r="AD126" s="6">
        <v>0</v>
      </c>
      <c r="AE126" s="5">
        <v>0</v>
      </c>
      <c r="AF126" s="6">
        <v>0</v>
      </c>
      <c r="AG126" s="5">
        <v>0</v>
      </c>
      <c r="AH126" s="7">
        <f t="shared" si="8"/>
        <v>98.92356741932133</v>
      </c>
      <c r="AI126" s="8">
        <f t="shared" si="9"/>
        <v>166.19159326445981</v>
      </c>
      <c r="AJ126" s="6">
        <v>0</v>
      </c>
      <c r="AK126" s="5">
        <v>0</v>
      </c>
      <c r="AL126" s="6">
        <v>0</v>
      </c>
      <c r="AM126" s="5">
        <v>0</v>
      </c>
      <c r="AN126" s="6">
        <v>0</v>
      </c>
      <c r="AO126" s="5">
        <v>0</v>
      </c>
      <c r="AP126" s="6">
        <v>0</v>
      </c>
      <c r="AQ126" s="5">
        <v>0</v>
      </c>
      <c r="AR126" s="6">
        <v>0</v>
      </c>
      <c r="AS126" s="5">
        <v>0</v>
      </c>
      <c r="AT126" s="6">
        <v>100</v>
      </c>
      <c r="AU126" s="5">
        <v>175.1194266995011</v>
      </c>
      <c r="AV126" s="6">
        <v>0</v>
      </c>
      <c r="AW126" s="5">
        <v>0</v>
      </c>
      <c r="AX126" s="6">
        <v>0</v>
      </c>
      <c r="AY126" s="5">
        <v>0</v>
      </c>
      <c r="AZ126" s="6">
        <v>0</v>
      </c>
      <c r="BA126" s="5">
        <v>0</v>
      </c>
      <c r="BB126" s="6">
        <v>0</v>
      </c>
      <c r="BC126" s="5">
        <v>0</v>
      </c>
      <c r="BD126" s="6">
        <v>0</v>
      </c>
      <c r="BE126" s="5">
        <v>0</v>
      </c>
      <c r="BF126" s="6">
        <v>0</v>
      </c>
      <c r="BG126" s="5">
        <v>0</v>
      </c>
      <c r="BH126" s="9">
        <f t="shared" si="10"/>
        <v>100</v>
      </c>
      <c r="BI126" s="10">
        <f t="shared" si="11"/>
        <v>175.1194266995011</v>
      </c>
      <c r="BJ126" s="6">
        <f t="shared" si="12"/>
        <v>1.0764325806786701</v>
      </c>
      <c r="BK126" s="11">
        <f t="shared" si="13"/>
        <v>1.0881457359052195E-2</v>
      </c>
      <c r="BL126" s="5">
        <f t="shared" si="14"/>
        <v>8.9278334350412933</v>
      </c>
      <c r="BM126" s="11">
        <f t="shared" si="15"/>
        <v>5.3720126630198907E-2</v>
      </c>
    </row>
    <row r="127" spans="1:65" ht="15" customHeight="1" x14ac:dyDescent="0.4">
      <c r="A127" s="2" t="s">
        <v>65</v>
      </c>
      <c r="B127" s="2" t="s">
        <v>66</v>
      </c>
      <c r="C127" s="2" t="s">
        <v>191</v>
      </c>
      <c r="D127" s="3" t="s">
        <v>134</v>
      </c>
      <c r="E127" s="3" t="s">
        <v>136</v>
      </c>
      <c r="F127" s="2" t="s">
        <v>137</v>
      </c>
      <c r="G127" s="4">
        <v>20</v>
      </c>
      <c r="H127" s="5">
        <v>4.59</v>
      </c>
      <c r="I127" s="5">
        <v>4.7845129080399413</v>
      </c>
      <c r="J127" s="6">
        <v>0</v>
      </c>
      <c r="K127" s="5">
        <v>0</v>
      </c>
      <c r="L127" s="6">
        <v>0</v>
      </c>
      <c r="M127" s="5">
        <v>0</v>
      </c>
      <c r="N127" s="6">
        <v>0</v>
      </c>
      <c r="O127" s="5">
        <v>0</v>
      </c>
      <c r="P127" s="6">
        <v>0</v>
      </c>
      <c r="Q127" s="5">
        <v>0</v>
      </c>
      <c r="R127" s="6">
        <v>0</v>
      </c>
      <c r="S127" s="5">
        <v>0</v>
      </c>
      <c r="T127" s="6">
        <v>0</v>
      </c>
      <c r="U127" s="5">
        <v>0</v>
      </c>
      <c r="V127" s="6">
        <v>79.138853935457064</v>
      </c>
      <c r="W127" s="5">
        <v>363.24733956374791</v>
      </c>
      <c r="X127" s="6">
        <v>0</v>
      </c>
      <c r="Y127" s="5">
        <v>0</v>
      </c>
      <c r="Z127" s="6">
        <v>0</v>
      </c>
      <c r="AA127" s="5">
        <v>0</v>
      </c>
      <c r="AB127" s="6">
        <v>0</v>
      </c>
      <c r="AC127" s="5">
        <v>0</v>
      </c>
      <c r="AD127" s="6">
        <v>0</v>
      </c>
      <c r="AE127" s="5">
        <v>0</v>
      </c>
      <c r="AF127" s="6">
        <v>0</v>
      </c>
      <c r="AG127" s="5">
        <v>0</v>
      </c>
      <c r="AH127" s="7">
        <f t="shared" si="8"/>
        <v>79.138853935457064</v>
      </c>
      <c r="AI127" s="8">
        <f t="shared" si="9"/>
        <v>363.24733956374791</v>
      </c>
      <c r="AJ127" s="6">
        <v>0</v>
      </c>
      <c r="AK127" s="5">
        <v>0</v>
      </c>
      <c r="AL127" s="6">
        <v>0</v>
      </c>
      <c r="AM127" s="5">
        <v>0</v>
      </c>
      <c r="AN127" s="6">
        <v>0</v>
      </c>
      <c r="AO127" s="5">
        <v>0</v>
      </c>
      <c r="AP127" s="6">
        <v>0</v>
      </c>
      <c r="AQ127" s="5">
        <v>0</v>
      </c>
      <c r="AR127" s="6">
        <v>0</v>
      </c>
      <c r="AS127" s="5">
        <v>0</v>
      </c>
      <c r="AT127" s="6">
        <v>0</v>
      </c>
      <c r="AU127" s="5">
        <v>0</v>
      </c>
      <c r="AV127" s="6">
        <v>80</v>
      </c>
      <c r="AW127" s="5">
        <v>382.76103264319528</v>
      </c>
      <c r="AX127" s="6">
        <v>0</v>
      </c>
      <c r="AY127" s="5">
        <v>0</v>
      </c>
      <c r="AZ127" s="6">
        <v>0</v>
      </c>
      <c r="BA127" s="5">
        <v>0</v>
      </c>
      <c r="BB127" s="6">
        <v>0</v>
      </c>
      <c r="BC127" s="5">
        <v>0</v>
      </c>
      <c r="BD127" s="6">
        <v>0</v>
      </c>
      <c r="BE127" s="5">
        <v>0</v>
      </c>
      <c r="BF127" s="6">
        <v>0</v>
      </c>
      <c r="BG127" s="5">
        <v>0</v>
      </c>
      <c r="BH127" s="9">
        <f t="shared" si="10"/>
        <v>80</v>
      </c>
      <c r="BI127" s="10">
        <f t="shared" si="11"/>
        <v>382.76103264319528</v>
      </c>
      <c r="BJ127" s="6">
        <f t="shared" si="12"/>
        <v>0.86114606454293607</v>
      </c>
      <c r="BK127" s="11">
        <f t="shared" si="13"/>
        <v>1.0881457359052195E-2</v>
      </c>
      <c r="BL127" s="5">
        <f t="shared" si="14"/>
        <v>19.513693079447364</v>
      </c>
      <c r="BM127" s="11">
        <f t="shared" si="15"/>
        <v>5.372012663019881E-2</v>
      </c>
    </row>
    <row r="128" spans="1:65" ht="15" customHeight="1" x14ac:dyDescent="0.4">
      <c r="A128" s="2" t="s">
        <v>65</v>
      </c>
      <c r="B128" s="2" t="s">
        <v>66</v>
      </c>
      <c r="C128" s="2" t="s">
        <v>191</v>
      </c>
      <c r="D128" s="3" t="s">
        <v>134</v>
      </c>
      <c r="E128" s="3" t="s">
        <v>90</v>
      </c>
      <c r="F128" s="2" t="s">
        <v>91</v>
      </c>
      <c r="G128" s="4">
        <v>20</v>
      </c>
      <c r="H128" s="5">
        <v>3.69</v>
      </c>
      <c r="I128" s="5">
        <v>3.8463731221497559</v>
      </c>
      <c r="J128" s="6">
        <v>0</v>
      </c>
      <c r="K128" s="5">
        <v>0</v>
      </c>
      <c r="L128" s="6">
        <v>0</v>
      </c>
      <c r="M128" s="5">
        <v>0</v>
      </c>
      <c r="N128" s="6">
        <v>0</v>
      </c>
      <c r="O128" s="5">
        <v>0</v>
      </c>
      <c r="P128" s="6">
        <v>0</v>
      </c>
      <c r="Q128" s="5">
        <v>0</v>
      </c>
      <c r="R128" s="6">
        <v>0</v>
      </c>
      <c r="S128" s="5">
        <v>0</v>
      </c>
      <c r="T128" s="6">
        <v>98.92356741932133</v>
      </c>
      <c r="U128" s="5">
        <v>367.99567079987531</v>
      </c>
      <c r="V128" s="6">
        <v>59.354140451592791</v>
      </c>
      <c r="W128" s="5">
        <v>216.04907124379781</v>
      </c>
      <c r="X128" s="6">
        <v>0</v>
      </c>
      <c r="Y128" s="5">
        <v>0</v>
      </c>
      <c r="Z128" s="6">
        <v>0</v>
      </c>
      <c r="AA128" s="5">
        <v>0</v>
      </c>
      <c r="AB128" s="6">
        <v>0</v>
      </c>
      <c r="AC128" s="5">
        <v>0</v>
      </c>
      <c r="AD128" s="6">
        <v>0</v>
      </c>
      <c r="AE128" s="5">
        <v>0</v>
      </c>
      <c r="AF128" s="6">
        <v>0</v>
      </c>
      <c r="AG128" s="5">
        <v>0</v>
      </c>
      <c r="AH128" s="7">
        <f t="shared" si="8"/>
        <v>158.27770787091413</v>
      </c>
      <c r="AI128" s="8">
        <f t="shared" si="9"/>
        <v>584.04474204367307</v>
      </c>
      <c r="AJ128" s="6">
        <v>0</v>
      </c>
      <c r="AK128" s="5">
        <v>0</v>
      </c>
      <c r="AL128" s="6">
        <v>0</v>
      </c>
      <c r="AM128" s="5">
        <v>0</v>
      </c>
      <c r="AN128" s="6">
        <v>0</v>
      </c>
      <c r="AO128" s="5">
        <v>0</v>
      </c>
      <c r="AP128" s="6">
        <v>0</v>
      </c>
      <c r="AQ128" s="5">
        <v>0</v>
      </c>
      <c r="AR128" s="6">
        <v>0</v>
      </c>
      <c r="AS128" s="5">
        <v>0</v>
      </c>
      <c r="AT128" s="6">
        <v>100</v>
      </c>
      <c r="AU128" s="5">
        <v>387.76444483460949</v>
      </c>
      <c r="AV128" s="6">
        <v>60</v>
      </c>
      <c r="AW128" s="5">
        <v>227.6552547093514</v>
      </c>
      <c r="AX128" s="6">
        <v>0</v>
      </c>
      <c r="AY128" s="5">
        <v>0</v>
      </c>
      <c r="AZ128" s="6">
        <v>0</v>
      </c>
      <c r="BA128" s="5">
        <v>0</v>
      </c>
      <c r="BB128" s="6">
        <v>0</v>
      </c>
      <c r="BC128" s="5">
        <v>0</v>
      </c>
      <c r="BD128" s="6">
        <v>0</v>
      </c>
      <c r="BE128" s="5">
        <v>0</v>
      </c>
      <c r="BF128" s="6">
        <v>0</v>
      </c>
      <c r="BG128" s="5">
        <v>0</v>
      </c>
      <c r="BH128" s="9">
        <f t="shared" si="10"/>
        <v>160</v>
      </c>
      <c r="BI128" s="10">
        <f t="shared" si="11"/>
        <v>615.41969954396086</v>
      </c>
      <c r="BJ128" s="6">
        <f t="shared" si="12"/>
        <v>1.7222921290858721</v>
      </c>
      <c r="BK128" s="11">
        <f t="shared" si="13"/>
        <v>1.0881457359052195E-2</v>
      </c>
      <c r="BL128" s="5">
        <f t="shared" si="14"/>
        <v>31.374957500287792</v>
      </c>
      <c r="BM128" s="11">
        <f t="shared" si="15"/>
        <v>5.3720126630198595E-2</v>
      </c>
    </row>
    <row r="129" spans="1:65" ht="15" customHeight="1" x14ac:dyDescent="0.4">
      <c r="A129" s="2" t="s">
        <v>65</v>
      </c>
      <c r="B129" s="2" t="s">
        <v>66</v>
      </c>
      <c r="C129" s="2" t="s">
        <v>191</v>
      </c>
      <c r="D129" s="3" t="s">
        <v>134</v>
      </c>
      <c r="E129" s="3" t="s">
        <v>193</v>
      </c>
      <c r="F129" s="2" t="s">
        <v>194</v>
      </c>
      <c r="G129" s="4">
        <v>20</v>
      </c>
      <c r="H129" s="5">
        <v>4.8599999999999994</v>
      </c>
      <c r="I129" s="5">
        <v>5.0659548438069946</v>
      </c>
      <c r="J129" s="6">
        <v>0</v>
      </c>
      <c r="K129" s="5">
        <v>0</v>
      </c>
      <c r="L129" s="6">
        <v>0</v>
      </c>
      <c r="M129" s="5">
        <v>0</v>
      </c>
      <c r="N129" s="6">
        <v>0</v>
      </c>
      <c r="O129" s="5">
        <v>0</v>
      </c>
      <c r="P129" s="6">
        <v>0</v>
      </c>
      <c r="Q129" s="5">
        <v>0</v>
      </c>
      <c r="R129" s="6">
        <v>0</v>
      </c>
      <c r="S129" s="5">
        <v>0</v>
      </c>
      <c r="T129" s="6">
        <v>0</v>
      </c>
      <c r="U129" s="5">
        <v>0</v>
      </c>
      <c r="V129" s="6">
        <v>19.78471348386427</v>
      </c>
      <c r="W129" s="5">
        <v>96.153707531580324</v>
      </c>
      <c r="X129" s="6">
        <v>0</v>
      </c>
      <c r="Y129" s="5">
        <v>0</v>
      </c>
      <c r="Z129" s="6">
        <v>0</v>
      </c>
      <c r="AA129" s="5">
        <v>0</v>
      </c>
      <c r="AB129" s="6">
        <v>0</v>
      </c>
      <c r="AC129" s="5">
        <v>0</v>
      </c>
      <c r="AD129" s="6">
        <v>0</v>
      </c>
      <c r="AE129" s="5">
        <v>0</v>
      </c>
      <c r="AF129" s="6">
        <v>0</v>
      </c>
      <c r="AG129" s="5">
        <v>0</v>
      </c>
      <c r="AH129" s="7">
        <f t="shared" si="8"/>
        <v>19.78471348386427</v>
      </c>
      <c r="AI129" s="8">
        <f t="shared" si="9"/>
        <v>96.153707531580324</v>
      </c>
      <c r="AJ129" s="6">
        <v>0</v>
      </c>
      <c r="AK129" s="5">
        <v>0</v>
      </c>
      <c r="AL129" s="6">
        <v>0</v>
      </c>
      <c r="AM129" s="5">
        <v>0</v>
      </c>
      <c r="AN129" s="6">
        <v>0</v>
      </c>
      <c r="AO129" s="5">
        <v>0</v>
      </c>
      <c r="AP129" s="6">
        <v>0</v>
      </c>
      <c r="AQ129" s="5">
        <v>0</v>
      </c>
      <c r="AR129" s="6">
        <v>0</v>
      </c>
      <c r="AS129" s="5">
        <v>0</v>
      </c>
      <c r="AT129" s="6">
        <v>0</v>
      </c>
      <c r="AU129" s="5">
        <v>0</v>
      </c>
      <c r="AV129" s="6">
        <v>20</v>
      </c>
      <c r="AW129" s="5">
        <v>101.31909687613989</v>
      </c>
      <c r="AX129" s="6">
        <v>0</v>
      </c>
      <c r="AY129" s="5">
        <v>0</v>
      </c>
      <c r="AZ129" s="6">
        <v>0</v>
      </c>
      <c r="BA129" s="5">
        <v>0</v>
      </c>
      <c r="BB129" s="6">
        <v>0</v>
      </c>
      <c r="BC129" s="5">
        <v>0</v>
      </c>
      <c r="BD129" s="6">
        <v>0</v>
      </c>
      <c r="BE129" s="5">
        <v>0</v>
      </c>
      <c r="BF129" s="6">
        <v>0</v>
      </c>
      <c r="BG129" s="5">
        <v>0</v>
      </c>
      <c r="BH129" s="9">
        <f t="shared" si="10"/>
        <v>20</v>
      </c>
      <c r="BI129" s="10">
        <f t="shared" si="11"/>
        <v>101.31909687613989</v>
      </c>
      <c r="BJ129" s="6">
        <f t="shared" si="12"/>
        <v>0.21528651613573047</v>
      </c>
      <c r="BK129" s="11">
        <f t="shared" si="13"/>
        <v>1.0881457359052014E-2</v>
      </c>
      <c r="BL129" s="5">
        <f t="shared" si="14"/>
        <v>5.1653893445595713</v>
      </c>
      <c r="BM129" s="11">
        <f t="shared" si="15"/>
        <v>5.3720126630198553E-2</v>
      </c>
    </row>
    <row r="130" spans="1:65" ht="15" customHeight="1" x14ac:dyDescent="0.4">
      <c r="A130" s="2" t="s">
        <v>65</v>
      </c>
      <c r="B130" s="2" t="s">
        <v>66</v>
      </c>
      <c r="C130" s="2" t="s">
        <v>191</v>
      </c>
      <c r="D130" s="3" t="s">
        <v>134</v>
      </c>
      <c r="E130" s="3" t="s">
        <v>77</v>
      </c>
      <c r="F130" s="2" t="s">
        <v>78</v>
      </c>
      <c r="G130" s="4">
        <v>20</v>
      </c>
      <c r="H130" s="5">
        <v>2.859999999999999</v>
      </c>
      <c r="I130" s="5">
        <v>2.9811997640510302</v>
      </c>
      <c r="J130" s="6">
        <v>0</v>
      </c>
      <c r="K130" s="5">
        <v>0</v>
      </c>
      <c r="L130" s="6">
        <v>0</v>
      </c>
      <c r="M130" s="5">
        <v>0</v>
      </c>
      <c r="N130" s="6">
        <v>0</v>
      </c>
      <c r="O130" s="5">
        <v>0</v>
      </c>
      <c r="P130" s="6">
        <v>0</v>
      </c>
      <c r="Q130" s="5">
        <v>0</v>
      </c>
      <c r="R130" s="6">
        <v>0</v>
      </c>
      <c r="S130" s="5">
        <v>0</v>
      </c>
      <c r="T130" s="6">
        <v>98.92356741932133</v>
      </c>
      <c r="U130" s="5">
        <v>282.92140281925901</v>
      </c>
      <c r="V130" s="6">
        <v>0</v>
      </c>
      <c r="W130" s="5">
        <v>0</v>
      </c>
      <c r="X130" s="6">
        <v>0</v>
      </c>
      <c r="Y130" s="5">
        <v>0</v>
      </c>
      <c r="Z130" s="6">
        <v>0</v>
      </c>
      <c r="AA130" s="5">
        <v>0</v>
      </c>
      <c r="AB130" s="6">
        <v>0</v>
      </c>
      <c r="AC130" s="5">
        <v>0</v>
      </c>
      <c r="AD130" s="6">
        <v>0</v>
      </c>
      <c r="AE130" s="5">
        <v>0</v>
      </c>
      <c r="AF130" s="6">
        <v>0</v>
      </c>
      <c r="AG130" s="5">
        <v>0</v>
      </c>
      <c r="AH130" s="7">
        <f t="shared" ref="AH130:AH193" si="16">J130+L130+N130+P130+R130+T130+V130+X130+Z130+AB130+AD130+AF130</f>
        <v>98.92356741932133</v>
      </c>
      <c r="AI130" s="8">
        <f t="shared" ref="AI130:AI193" si="17">K130+M130+O130+Q130+S130+U130+W130+Y130+AA130+AC130+AE130+AG130</f>
        <v>282.92140281925901</v>
      </c>
      <c r="AJ130" s="6">
        <v>0</v>
      </c>
      <c r="AK130" s="5">
        <v>0</v>
      </c>
      <c r="AL130" s="6">
        <v>0</v>
      </c>
      <c r="AM130" s="5">
        <v>0</v>
      </c>
      <c r="AN130" s="6">
        <v>0</v>
      </c>
      <c r="AO130" s="5">
        <v>0</v>
      </c>
      <c r="AP130" s="6">
        <v>0</v>
      </c>
      <c r="AQ130" s="5">
        <v>0</v>
      </c>
      <c r="AR130" s="6">
        <v>0</v>
      </c>
      <c r="AS130" s="5">
        <v>0</v>
      </c>
      <c r="AT130" s="6">
        <v>100</v>
      </c>
      <c r="AU130" s="5">
        <v>298.11997640510299</v>
      </c>
      <c r="AV130" s="6">
        <v>0</v>
      </c>
      <c r="AW130" s="5">
        <v>0</v>
      </c>
      <c r="AX130" s="6">
        <v>0</v>
      </c>
      <c r="AY130" s="5">
        <v>0</v>
      </c>
      <c r="AZ130" s="6">
        <v>0</v>
      </c>
      <c r="BA130" s="5">
        <v>0</v>
      </c>
      <c r="BB130" s="6">
        <v>0</v>
      </c>
      <c r="BC130" s="5">
        <v>0</v>
      </c>
      <c r="BD130" s="6">
        <v>0</v>
      </c>
      <c r="BE130" s="5">
        <v>0</v>
      </c>
      <c r="BF130" s="6">
        <v>0</v>
      </c>
      <c r="BG130" s="5">
        <v>0</v>
      </c>
      <c r="BH130" s="9">
        <f t="shared" ref="BH130:BH193" si="18">AJ130+AL130+AN130+AP130+AR130+AT130+AV130+AX130+AZ130+BB130+BD130+BF130</f>
        <v>100</v>
      </c>
      <c r="BI130" s="10">
        <f t="shared" ref="BI130:BI193" si="19">AK130+AM130+AO130+AQ130+AS130+AU130+AW130+AY130+BA130+BC130+BE130+BG130</f>
        <v>298.11997640510299</v>
      </c>
      <c r="BJ130" s="6">
        <f t="shared" ref="BJ130:BJ193" si="20">BH130-AH130</f>
        <v>1.0764325806786701</v>
      </c>
      <c r="BK130" s="11">
        <f t="shared" ref="BK130:BK193" si="21">IF(AH130&gt;0, BJ130/AH130, 0)</f>
        <v>1.0881457359052195E-2</v>
      </c>
      <c r="BL130" s="5">
        <f t="shared" ref="BL130:BL193" si="22">BI130-AI130</f>
        <v>15.198573585843974</v>
      </c>
      <c r="BM130" s="11">
        <f t="shared" ref="BM130:BM193" si="23">IF(AI130&gt;0, BL130/AI130, 0)</f>
        <v>5.3720126630198435E-2</v>
      </c>
    </row>
    <row r="131" spans="1:65" ht="15" customHeight="1" x14ac:dyDescent="0.4">
      <c r="A131" s="2" t="s">
        <v>65</v>
      </c>
      <c r="B131" s="2" t="s">
        <v>66</v>
      </c>
      <c r="C131" s="2" t="s">
        <v>191</v>
      </c>
      <c r="D131" s="3" t="s">
        <v>134</v>
      </c>
      <c r="E131" s="3" t="s">
        <v>79</v>
      </c>
      <c r="F131" s="2" t="s">
        <v>80</v>
      </c>
      <c r="G131" s="4">
        <v>20</v>
      </c>
      <c r="H131" s="5">
        <v>3.25</v>
      </c>
      <c r="I131" s="5">
        <v>3.3877270046034429</v>
      </c>
      <c r="J131" s="6">
        <v>0</v>
      </c>
      <c r="K131" s="5">
        <v>0</v>
      </c>
      <c r="L131" s="6">
        <v>0</v>
      </c>
      <c r="M131" s="5">
        <v>0</v>
      </c>
      <c r="N131" s="6">
        <v>0</v>
      </c>
      <c r="O131" s="5">
        <v>0</v>
      </c>
      <c r="P131" s="6">
        <v>0</v>
      </c>
      <c r="Q131" s="5">
        <v>0</v>
      </c>
      <c r="R131" s="6">
        <v>0</v>
      </c>
      <c r="S131" s="5">
        <v>0</v>
      </c>
      <c r="T131" s="6">
        <v>98.92356741932133</v>
      </c>
      <c r="U131" s="5">
        <v>321.50159411279429</v>
      </c>
      <c r="V131" s="6">
        <v>0</v>
      </c>
      <c r="W131" s="5">
        <v>0</v>
      </c>
      <c r="X131" s="6">
        <v>0</v>
      </c>
      <c r="Y131" s="5">
        <v>0</v>
      </c>
      <c r="Z131" s="6">
        <v>0</v>
      </c>
      <c r="AA131" s="5">
        <v>0</v>
      </c>
      <c r="AB131" s="6">
        <v>0</v>
      </c>
      <c r="AC131" s="5">
        <v>0</v>
      </c>
      <c r="AD131" s="6">
        <v>0</v>
      </c>
      <c r="AE131" s="5">
        <v>0</v>
      </c>
      <c r="AF131" s="6">
        <v>0</v>
      </c>
      <c r="AG131" s="5">
        <v>0</v>
      </c>
      <c r="AH131" s="7">
        <f t="shared" si="16"/>
        <v>98.92356741932133</v>
      </c>
      <c r="AI131" s="8">
        <f t="shared" si="17"/>
        <v>321.50159411279429</v>
      </c>
      <c r="AJ131" s="6">
        <v>0</v>
      </c>
      <c r="AK131" s="5">
        <v>0</v>
      </c>
      <c r="AL131" s="6">
        <v>0</v>
      </c>
      <c r="AM131" s="5">
        <v>0</v>
      </c>
      <c r="AN131" s="6">
        <v>0</v>
      </c>
      <c r="AO131" s="5">
        <v>0</v>
      </c>
      <c r="AP131" s="6">
        <v>0</v>
      </c>
      <c r="AQ131" s="5">
        <v>0</v>
      </c>
      <c r="AR131" s="6">
        <v>0</v>
      </c>
      <c r="AS131" s="5">
        <v>0</v>
      </c>
      <c r="AT131" s="6">
        <v>100</v>
      </c>
      <c r="AU131" s="5">
        <v>338.77270046034431</v>
      </c>
      <c r="AV131" s="6">
        <v>0</v>
      </c>
      <c r="AW131" s="5">
        <v>0</v>
      </c>
      <c r="AX131" s="6">
        <v>0</v>
      </c>
      <c r="AY131" s="5">
        <v>0</v>
      </c>
      <c r="AZ131" s="6">
        <v>0</v>
      </c>
      <c r="BA131" s="5">
        <v>0</v>
      </c>
      <c r="BB131" s="6">
        <v>0</v>
      </c>
      <c r="BC131" s="5">
        <v>0</v>
      </c>
      <c r="BD131" s="6">
        <v>0</v>
      </c>
      <c r="BE131" s="5">
        <v>0</v>
      </c>
      <c r="BF131" s="6">
        <v>0</v>
      </c>
      <c r="BG131" s="5">
        <v>0</v>
      </c>
      <c r="BH131" s="9">
        <f t="shared" si="18"/>
        <v>100</v>
      </c>
      <c r="BI131" s="10">
        <f t="shared" si="19"/>
        <v>338.77270046034431</v>
      </c>
      <c r="BJ131" s="6">
        <f t="shared" si="20"/>
        <v>1.0764325806786701</v>
      </c>
      <c r="BK131" s="11">
        <f t="shared" si="21"/>
        <v>1.0881457359052195E-2</v>
      </c>
      <c r="BL131" s="5">
        <f t="shared" si="22"/>
        <v>17.271106347550017</v>
      </c>
      <c r="BM131" s="11">
        <f t="shared" si="23"/>
        <v>5.3720126630198581E-2</v>
      </c>
    </row>
    <row r="132" spans="1:65" ht="15" customHeight="1" x14ac:dyDescent="0.4">
      <c r="A132" s="2" t="s">
        <v>65</v>
      </c>
      <c r="B132" s="2" t="s">
        <v>66</v>
      </c>
      <c r="C132" s="2" t="s">
        <v>191</v>
      </c>
      <c r="D132" s="3" t="s">
        <v>134</v>
      </c>
      <c r="E132" s="3" t="s">
        <v>94</v>
      </c>
      <c r="F132" s="2" t="s">
        <v>95</v>
      </c>
      <c r="G132" s="4">
        <v>20</v>
      </c>
      <c r="H132" s="5">
        <v>2.08</v>
      </c>
      <c r="I132" s="5">
        <v>2.1681452829462029</v>
      </c>
      <c r="J132" s="6">
        <v>0</v>
      </c>
      <c r="K132" s="5">
        <v>0</v>
      </c>
      <c r="L132" s="6">
        <v>0</v>
      </c>
      <c r="M132" s="5">
        <v>0</v>
      </c>
      <c r="N132" s="6">
        <v>0</v>
      </c>
      <c r="O132" s="5">
        <v>0</v>
      </c>
      <c r="P132" s="6">
        <v>0</v>
      </c>
      <c r="Q132" s="5">
        <v>0</v>
      </c>
      <c r="R132" s="6">
        <v>0</v>
      </c>
      <c r="S132" s="5">
        <v>0</v>
      </c>
      <c r="T132" s="6">
        <v>197.84713483864269</v>
      </c>
      <c r="U132" s="5">
        <v>411.52204046437669</v>
      </c>
      <c r="V132" s="6">
        <v>0</v>
      </c>
      <c r="W132" s="5">
        <v>0</v>
      </c>
      <c r="X132" s="6">
        <v>0</v>
      </c>
      <c r="Y132" s="5">
        <v>0</v>
      </c>
      <c r="Z132" s="6">
        <v>0</v>
      </c>
      <c r="AA132" s="5">
        <v>0</v>
      </c>
      <c r="AB132" s="6">
        <v>0</v>
      </c>
      <c r="AC132" s="5">
        <v>0</v>
      </c>
      <c r="AD132" s="6">
        <v>0</v>
      </c>
      <c r="AE132" s="5">
        <v>0</v>
      </c>
      <c r="AF132" s="6">
        <v>0</v>
      </c>
      <c r="AG132" s="5">
        <v>0</v>
      </c>
      <c r="AH132" s="7">
        <f t="shared" si="16"/>
        <v>197.84713483864269</v>
      </c>
      <c r="AI132" s="8">
        <f t="shared" si="17"/>
        <v>411.52204046437669</v>
      </c>
      <c r="AJ132" s="6">
        <v>0</v>
      </c>
      <c r="AK132" s="5">
        <v>0</v>
      </c>
      <c r="AL132" s="6">
        <v>0</v>
      </c>
      <c r="AM132" s="5">
        <v>0</v>
      </c>
      <c r="AN132" s="6">
        <v>0</v>
      </c>
      <c r="AO132" s="5">
        <v>0</v>
      </c>
      <c r="AP132" s="6">
        <v>0</v>
      </c>
      <c r="AQ132" s="5">
        <v>0</v>
      </c>
      <c r="AR132" s="6">
        <v>0</v>
      </c>
      <c r="AS132" s="5">
        <v>0</v>
      </c>
      <c r="AT132" s="6">
        <v>220</v>
      </c>
      <c r="AU132" s="5">
        <v>476.99196224816478</v>
      </c>
      <c r="AV132" s="6">
        <v>0</v>
      </c>
      <c r="AW132" s="5">
        <v>0</v>
      </c>
      <c r="AX132" s="6">
        <v>0</v>
      </c>
      <c r="AY132" s="5">
        <v>0</v>
      </c>
      <c r="AZ132" s="6">
        <v>0</v>
      </c>
      <c r="BA132" s="5">
        <v>0</v>
      </c>
      <c r="BB132" s="6">
        <v>0</v>
      </c>
      <c r="BC132" s="5">
        <v>0</v>
      </c>
      <c r="BD132" s="6">
        <v>0</v>
      </c>
      <c r="BE132" s="5">
        <v>0</v>
      </c>
      <c r="BF132" s="6">
        <v>0</v>
      </c>
      <c r="BG132" s="5">
        <v>0</v>
      </c>
      <c r="BH132" s="9">
        <f t="shared" si="18"/>
        <v>220</v>
      </c>
      <c r="BI132" s="10">
        <f t="shared" si="19"/>
        <v>476.99196224816478</v>
      </c>
      <c r="BJ132" s="6">
        <f t="shared" si="20"/>
        <v>22.152865161357312</v>
      </c>
      <c r="BK132" s="11">
        <f t="shared" si="21"/>
        <v>0.11196960309495725</v>
      </c>
      <c r="BL132" s="5">
        <f t="shared" si="22"/>
        <v>65.469921783788095</v>
      </c>
      <c r="BM132" s="11">
        <f t="shared" si="23"/>
        <v>0.15909213929321844</v>
      </c>
    </row>
    <row r="133" spans="1:65" ht="15" customHeight="1" x14ac:dyDescent="0.4">
      <c r="A133" s="2" t="s">
        <v>65</v>
      </c>
      <c r="B133" s="2" t="s">
        <v>66</v>
      </c>
      <c r="C133" s="2" t="s">
        <v>195</v>
      </c>
      <c r="D133" s="3" t="s">
        <v>101</v>
      </c>
      <c r="E133" s="3" t="s">
        <v>102</v>
      </c>
      <c r="F133" s="2" t="s">
        <v>103</v>
      </c>
      <c r="G133" s="4">
        <v>5</v>
      </c>
      <c r="H133" s="5">
        <v>5.1150000000000002</v>
      </c>
      <c r="I133" s="5">
        <v>5.3322107042326969</v>
      </c>
      <c r="J133" s="6">
        <v>0</v>
      </c>
      <c r="K133" s="5">
        <v>0</v>
      </c>
      <c r="L133" s="6">
        <v>0</v>
      </c>
      <c r="M133" s="5">
        <v>0</v>
      </c>
      <c r="N133" s="6">
        <v>0</v>
      </c>
      <c r="O133" s="5">
        <v>0</v>
      </c>
      <c r="P133" s="6">
        <v>0</v>
      </c>
      <c r="Q133" s="5">
        <v>0</v>
      </c>
      <c r="R133" s="6">
        <v>0</v>
      </c>
      <c r="S133" s="5">
        <v>0</v>
      </c>
      <c r="T133" s="6">
        <v>296.77070225796399</v>
      </c>
      <c r="U133" s="5">
        <v>1513.5305815156159</v>
      </c>
      <c r="V133" s="6">
        <v>296.77070225796399</v>
      </c>
      <c r="W133" s="5">
        <v>1442.3056129737049</v>
      </c>
      <c r="X133" s="6">
        <v>593.54140451592798</v>
      </c>
      <c r="Y133" s="5">
        <v>3116.0923737086218</v>
      </c>
      <c r="Z133" s="6">
        <v>0</v>
      </c>
      <c r="AA133" s="5">
        <v>0</v>
      </c>
      <c r="AB133" s="6">
        <v>0</v>
      </c>
      <c r="AC133" s="5">
        <v>0</v>
      </c>
      <c r="AD133" s="6">
        <v>0</v>
      </c>
      <c r="AE133" s="5">
        <v>0</v>
      </c>
      <c r="AF133" s="6">
        <v>0</v>
      </c>
      <c r="AG133" s="5">
        <v>0</v>
      </c>
      <c r="AH133" s="7">
        <f t="shared" si="16"/>
        <v>1187.082809031856</v>
      </c>
      <c r="AI133" s="8">
        <f t="shared" si="17"/>
        <v>6071.9285681979427</v>
      </c>
      <c r="AJ133" s="6">
        <v>0</v>
      </c>
      <c r="AK133" s="5">
        <v>0</v>
      </c>
      <c r="AL133" s="6">
        <v>0</v>
      </c>
      <c r="AM133" s="5">
        <v>0</v>
      </c>
      <c r="AN133" s="6">
        <v>0</v>
      </c>
      <c r="AO133" s="5">
        <v>0</v>
      </c>
      <c r="AP133" s="6">
        <v>0</v>
      </c>
      <c r="AQ133" s="5">
        <v>0</v>
      </c>
      <c r="AR133" s="6">
        <v>0</v>
      </c>
      <c r="AS133" s="5">
        <v>0</v>
      </c>
      <c r="AT133" s="6">
        <v>390</v>
      </c>
      <c r="AU133" s="5">
        <v>2073.2889268173071</v>
      </c>
      <c r="AV133" s="6">
        <v>390</v>
      </c>
      <c r="AW133" s="5">
        <v>1975.7223890847281</v>
      </c>
      <c r="AX133" s="6">
        <v>785</v>
      </c>
      <c r="AY133" s="5">
        <v>4295.8984362221363</v>
      </c>
      <c r="AZ133" s="6">
        <v>0</v>
      </c>
      <c r="BA133" s="5">
        <v>0</v>
      </c>
      <c r="BB133" s="6">
        <v>0</v>
      </c>
      <c r="BC133" s="5">
        <v>0</v>
      </c>
      <c r="BD133" s="6">
        <v>0</v>
      </c>
      <c r="BE133" s="5">
        <v>0</v>
      </c>
      <c r="BF133" s="6">
        <v>0</v>
      </c>
      <c r="BG133" s="5">
        <v>0</v>
      </c>
      <c r="BH133" s="9">
        <f t="shared" si="18"/>
        <v>1565</v>
      </c>
      <c r="BI133" s="10">
        <f t="shared" si="19"/>
        <v>8344.9097521241711</v>
      </c>
      <c r="BJ133" s="6">
        <f t="shared" si="20"/>
        <v>377.91719096814404</v>
      </c>
      <c r="BK133" s="11">
        <f t="shared" si="21"/>
        <v>0.31835790063909725</v>
      </c>
      <c r="BL133" s="5">
        <f t="shared" si="22"/>
        <v>2272.9811839262284</v>
      </c>
      <c r="BM133" s="11">
        <f t="shared" si="23"/>
        <v>0.3743425434599299</v>
      </c>
    </row>
    <row r="134" spans="1:65" ht="15" customHeight="1" x14ac:dyDescent="0.4">
      <c r="A134" s="2" t="s">
        <v>65</v>
      </c>
      <c r="B134" s="2" t="s">
        <v>66</v>
      </c>
      <c r="C134" s="2" t="s">
        <v>195</v>
      </c>
      <c r="D134" s="3" t="s">
        <v>101</v>
      </c>
      <c r="E134" s="3" t="s">
        <v>110</v>
      </c>
      <c r="F134" s="2" t="s">
        <v>111</v>
      </c>
      <c r="G134" s="4">
        <v>5</v>
      </c>
      <c r="H134" s="5">
        <v>3.52</v>
      </c>
      <c r="I134" s="5">
        <v>3.6691689403704988</v>
      </c>
      <c r="J134" s="6">
        <v>0</v>
      </c>
      <c r="K134" s="5">
        <v>0</v>
      </c>
      <c r="L134" s="6">
        <v>0</v>
      </c>
      <c r="M134" s="5">
        <v>0</v>
      </c>
      <c r="N134" s="6">
        <v>0</v>
      </c>
      <c r="O134" s="5">
        <v>0</v>
      </c>
      <c r="P134" s="6">
        <v>0</v>
      </c>
      <c r="Q134" s="5">
        <v>0</v>
      </c>
      <c r="R134" s="6">
        <v>0</v>
      </c>
      <c r="S134" s="5">
        <v>0</v>
      </c>
      <c r="T134" s="6">
        <v>197.84713483864269</v>
      </c>
      <c r="U134" s="5">
        <v>696.42191463202209</v>
      </c>
      <c r="V134" s="6">
        <v>0</v>
      </c>
      <c r="W134" s="5">
        <v>0</v>
      </c>
      <c r="X134" s="6">
        <v>0</v>
      </c>
      <c r="Y134" s="5">
        <v>0</v>
      </c>
      <c r="Z134" s="6">
        <v>0</v>
      </c>
      <c r="AA134" s="5">
        <v>0</v>
      </c>
      <c r="AB134" s="6">
        <v>0</v>
      </c>
      <c r="AC134" s="5">
        <v>0</v>
      </c>
      <c r="AD134" s="6">
        <v>0</v>
      </c>
      <c r="AE134" s="5">
        <v>0</v>
      </c>
      <c r="AF134" s="6">
        <v>0</v>
      </c>
      <c r="AG134" s="5">
        <v>0</v>
      </c>
      <c r="AH134" s="7">
        <f t="shared" si="16"/>
        <v>197.84713483864269</v>
      </c>
      <c r="AI134" s="8">
        <f t="shared" si="17"/>
        <v>696.42191463202209</v>
      </c>
      <c r="AJ134" s="6">
        <v>0</v>
      </c>
      <c r="AK134" s="5">
        <v>0</v>
      </c>
      <c r="AL134" s="6">
        <v>0</v>
      </c>
      <c r="AM134" s="5">
        <v>0</v>
      </c>
      <c r="AN134" s="6">
        <v>0</v>
      </c>
      <c r="AO134" s="5">
        <v>0</v>
      </c>
      <c r="AP134" s="6">
        <v>0</v>
      </c>
      <c r="AQ134" s="5">
        <v>0</v>
      </c>
      <c r="AR134" s="6">
        <v>0</v>
      </c>
      <c r="AS134" s="5">
        <v>0</v>
      </c>
      <c r="AT134" s="6">
        <v>230</v>
      </c>
      <c r="AU134" s="5">
        <v>843.90885628521471</v>
      </c>
      <c r="AV134" s="6">
        <v>0</v>
      </c>
      <c r="AW134" s="5">
        <v>0</v>
      </c>
      <c r="AX134" s="6">
        <v>0</v>
      </c>
      <c r="AY134" s="5">
        <v>0</v>
      </c>
      <c r="AZ134" s="6">
        <v>0</v>
      </c>
      <c r="BA134" s="5">
        <v>0</v>
      </c>
      <c r="BB134" s="6">
        <v>0</v>
      </c>
      <c r="BC134" s="5">
        <v>0</v>
      </c>
      <c r="BD134" s="6">
        <v>0</v>
      </c>
      <c r="BE134" s="5">
        <v>0</v>
      </c>
      <c r="BF134" s="6">
        <v>0</v>
      </c>
      <c r="BG134" s="5">
        <v>0</v>
      </c>
      <c r="BH134" s="9">
        <f t="shared" si="18"/>
        <v>230</v>
      </c>
      <c r="BI134" s="10">
        <f t="shared" si="19"/>
        <v>843.90885628521471</v>
      </c>
      <c r="BJ134" s="6">
        <f t="shared" si="20"/>
        <v>32.152865161357312</v>
      </c>
      <c r="BK134" s="11">
        <f t="shared" si="21"/>
        <v>0.16251367596290986</v>
      </c>
      <c r="BL134" s="5">
        <f t="shared" si="22"/>
        <v>147.48694165319262</v>
      </c>
      <c r="BM134" s="11">
        <f t="shared" si="23"/>
        <v>0.21177814562472849</v>
      </c>
    </row>
    <row r="135" spans="1:65" ht="15" customHeight="1" x14ac:dyDescent="0.4">
      <c r="A135" s="2" t="s">
        <v>65</v>
      </c>
      <c r="B135" s="2" t="s">
        <v>66</v>
      </c>
      <c r="C135" s="2" t="s">
        <v>195</v>
      </c>
      <c r="D135" s="3" t="s">
        <v>101</v>
      </c>
      <c r="E135" s="3" t="s">
        <v>112</v>
      </c>
      <c r="F135" s="2" t="s">
        <v>113</v>
      </c>
      <c r="G135" s="4">
        <v>5</v>
      </c>
      <c r="H135" s="5">
        <v>0</v>
      </c>
      <c r="I135" s="5">
        <v>0</v>
      </c>
      <c r="J135" s="6">
        <v>0</v>
      </c>
      <c r="K135" s="5">
        <v>0</v>
      </c>
      <c r="L135" s="6">
        <v>0</v>
      </c>
      <c r="M135" s="5">
        <v>0</v>
      </c>
      <c r="N135" s="6">
        <v>0</v>
      </c>
      <c r="O135" s="5">
        <v>0</v>
      </c>
      <c r="P135" s="6">
        <v>0</v>
      </c>
      <c r="Q135" s="5">
        <v>0</v>
      </c>
      <c r="R135" s="6">
        <v>0</v>
      </c>
      <c r="S135" s="5">
        <v>0</v>
      </c>
      <c r="T135" s="6">
        <v>197.84713483864269</v>
      </c>
      <c r="U135" s="5">
        <v>0</v>
      </c>
      <c r="V135" s="6">
        <v>0</v>
      </c>
      <c r="W135" s="5">
        <v>0</v>
      </c>
      <c r="X135" s="6">
        <v>0</v>
      </c>
      <c r="Y135" s="5">
        <v>0</v>
      </c>
      <c r="Z135" s="6">
        <v>0</v>
      </c>
      <c r="AA135" s="5">
        <v>0</v>
      </c>
      <c r="AB135" s="6">
        <v>0</v>
      </c>
      <c r="AC135" s="5">
        <v>0</v>
      </c>
      <c r="AD135" s="6">
        <v>0</v>
      </c>
      <c r="AE135" s="5">
        <v>0</v>
      </c>
      <c r="AF135" s="6">
        <v>0</v>
      </c>
      <c r="AG135" s="5">
        <v>0</v>
      </c>
      <c r="AH135" s="7">
        <f t="shared" si="16"/>
        <v>197.84713483864269</v>
      </c>
      <c r="AI135" s="8">
        <f t="shared" si="17"/>
        <v>0</v>
      </c>
      <c r="AJ135" s="6">
        <v>0</v>
      </c>
      <c r="AK135" s="5">
        <v>0</v>
      </c>
      <c r="AL135" s="6">
        <v>0</v>
      </c>
      <c r="AM135" s="5">
        <v>0</v>
      </c>
      <c r="AN135" s="6">
        <v>0</v>
      </c>
      <c r="AO135" s="5">
        <v>0</v>
      </c>
      <c r="AP135" s="6">
        <v>0</v>
      </c>
      <c r="AQ135" s="5">
        <v>0</v>
      </c>
      <c r="AR135" s="6">
        <v>0</v>
      </c>
      <c r="AS135" s="5">
        <v>0</v>
      </c>
      <c r="AT135" s="6">
        <v>225</v>
      </c>
      <c r="AU135" s="5">
        <v>0</v>
      </c>
      <c r="AV135" s="6">
        <v>0</v>
      </c>
      <c r="AW135" s="5">
        <v>0</v>
      </c>
      <c r="AX135" s="6">
        <v>0</v>
      </c>
      <c r="AY135" s="5">
        <v>0</v>
      </c>
      <c r="AZ135" s="6">
        <v>0</v>
      </c>
      <c r="BA135" s="5">
        <v>0</v>
      </c>
      <c r="BB135" s="6">
        <v>0</v>
      </c>
      <c r="BC135" s="5">
        <v>0</v>
      </c>
      <c r="BD135" s="6">
        <v>0</v>
      </c>
      <c r="BE135" s="5">
        <v>0</v>
      </c>
      <c r="BF135" s="6">
        <v>0</v>
      </c>
      <c r="BG135" s="5">
        <v>0</v>
      </c>
      <c r="BH135" s="9">
        <f t="shared" si="18"/>
        <v>225</v>
      </c>
      <c r="BI135" s="10">
        <f t="shared" si="19"/>
        <v>0</v>
      </c>
      <c r="BJ135" s="6">
        <f t="shared" si="20"/>
        <v>27.152865161357312</v>
      </c>
      <c r="BK135" s="11">
        <f t="shared" si="21"/>
        <v>0.13724163952893356</v>
      </c>
      <c r="BL135" s="5">
        <f t="shared" si="22"/>
        <v>0</v>
      </c>
      <c r="BM135" s="11">
        <f t="shared" si="23"/>
        <v>0</v>
      </c>
    </row>
    <row r="136" spans="1:65" ht="15" customHeight="1" x14ac:dyDescent="0.4">
      <c r="A136" s="2" t="s">
        <v>65</v>
      </c>
      <c r="B136" s="2" t="s">
        <v>66</v>
      </c>
      <c r="C136" s="2" t="s">
        <v>195</v>
      </c>
      <c r="D136" s="3" t="s">
        <v>101</v>
      </c>
      <c r="E136" s="3" t="s">
        <v>114</v>
      </c>
      <c r="F136" s="2" t="s">
        <v>115</v>
      </c>
      <c r="G136" s="4">
        <v>5</v>
      </c>
      <c r="H136" s="5">
        <v>1.87</v>
      </c>
      <c r="I136" s="5">
        <v>1.9492459995718281</v>
      </c>
      <c r="J136" s="6">
        <v>0</v>
      </c>
      <c r="K136" s="5">
        <v>0</v>
      </c>
      <c r="L136" s="6">
        <v>0</v>
      </c>
      <c r="M136" s="5">
        <v>0</v>
      </c>
      <c r="N136" s="6">
        <v>0</v>
      </c>
      <c r="O136" s="5">
        <v>0</v>
      </c>
      <c r="P136" s="6">
        <v>0</v>
      </c>
      <c r="Q136" s="5">
        <v>0</v>
      </c>
      <c r="R136" s="6">
        <v>0</v>
      </c>
      <c r="S136" s="5">
        <v>0</v>
      </c>
      <c r="T136" s="6">
        <v>0</v>
      </c>
      <c r="U136" s="5">
        <v>0</v>
      </c>
      <c r="V136" s="6">
        <v>0</v>
      </c>
      <c r="W136" s="5">
        <v>0</v>
      </c>
      <c r="X136" s="6">
        <v>296.77070225796399</v>
      </c>
      <c r="Y136" s="5">
        <v>554.96121322239264</v>
      </c>
      <c r="Z136" s="6">
        <v>0</v>
      </c>
      <c r="AA136" s="5">
        <v>0</v>
      </c>
      <c r="AB136" s="6">
        <v>0</v>
      </c>
      <c r="AC136" s="5">
        <v>0</v>
      </c>
      <c r="AD136" s="6">
        <v>0</v>
      </c>
      <c r="AE136" s="5">
        <v>0</v>
      </c>
      <c r="AF136" s="6">
        <v>0</v>
      </c>
      <c r="AG136" s="5">
        <v>0</v>
      </c>
      <c r="AH136" s="7">
        <f t="shared" si="16"/>
        <v>296.77070225796399</v>
      </c>
      <c r="AI136" s="8">
        <f t="shared" si="17"/>
        <v>554.96121322239264</v>
      </c>
      <c r="AJ136" s="6">
        <v>0</v>
      </c>
      <c r="AK136" s="5">
        <v>0</v>
      </c>
      <c r="AL136" s="6">
        <v>0</v>
      </c>
      <c r="AM136" s="5">
        <v>0</v>
      </c>
      <c r="AN136" s="6">
        <v>0</v>
      </c>
      <c r="AO136" s="5">
        <v>0</v>
      </c>
      <c r="AP136" s="6">
        <v>0</v>
      </c>
      <c r="AQ136" s="5">
        <v>0</v>
      </c>
      <c r="AR136" s="6">
        <v>0</v>
      </c>
      <c r="AS136" s="5">
        <v>0</v>
      </c>
      <c r="AT136" s="6">
        <v>0</v>
      </c>
      <c r="AU136" s="5">
        <v>0</v>
      </c>
      <c r="AV136" s="6">
        <v>0</v>
      </c>
      <c r="AW136" s="5">
        <v>0</v>
      </c>
      <c r="AX136" s="6">
        <v>345</v>
      </c>
      <c r="AY136" s="5">
        <v>672.48986985228055</v>
      </c>
      <c r="AZ136" s="6">
        <v>0</v>
      </c>
      <c r="BA136" s="5">
        <v>0</v>
      </c>
      <c r="BB136" s="6">
        <v>0</v>
      </c>
      <c r="BC136" s="5">
        <v>0</v>
      </c>
      <c r="BD136" s="6">
        <v>0</v>
      </c>
      <c r="BE136" s="5">
        <v>0</v>
      </c>
      <c r="BF136" s="6">
        <v>0</v>
      </c>
      <c r="BG136" s="5">
        <v>0</v>
      </c>
      <c r="BH136" s="9">
        <f t="shared" si="18"/>
        <v>345</v>
      </c>
      <c r="BI136" s="10">
        <f t="shared" si="19"/>
        <v>672.48986985228055</v>
      </c>
      <c r="BJ136" s="6">
        <f t="shared" si="20"/>
        <v>48.22929774203601</v>
      </c>
      <c r="BK136" s="11">
        <f t="shared" si="21"/>
        <v>0.16251367596291003</v>
      </c>
      <c r="BL136" s="5">
        <f t="shared" si="22"/>
        <v>117.52865662988791</v>
      </c>
      <c r="BM136" s="11">
        <f t="shared" si="23"/>
        <v>0.21177814562472855</v>
      </c>
    </row>
    <row r="137" spans="1:65" ht="15" customHeight="1" x14ac:dyDescent="0.4">
      <c r="A137" s="2" t="s">
        <v>65</v>
      </c>
      <c r="B137" s="2" t="s">
        <v>66</v>
      </c>
      <c r="C137" s="2" t="s">
        <v>195</v>
      </c>
      <c r="D137" s="3" t="s">
        <v>101</v>
      </c>
      <c r="E137" s="3" t="s">
        <v>86</v>
      </c>
      <c r="F137" s="2" t="s">
        <v>87</v>
      </c>
      <c r="G137" s="4">
        <v>20</v>
      </c>
      <c r="H137" s="5">
        <v>1.76</v>
      </c>
      <c r="I137" s="5">
        <v>1.8345844701852501</v>
      </c>
      <c r="J137" s="6">
        <v>0</v>
      </c>
      <c r="K137" s="5">
        <v>0</v>
      </c>
      <c r="L137" s="6">
        <v>0</v>
      </c>
      <c r="M137" s="5">
        <v>0</v>
      </c>
      <c r="N137" s="6">
        <v>0</v>
      </c>
      <c r="O137" s="5">
        <v>0</v>
      </c>
      <c r="P137" s="6">
        <v>0</v>
      </c>
      <c r="Q137" s="5">
        <v>0</v>
      </c>
      <c r="R137" s="6">
        <v>0</v>
      </c>
      <c r="S137" s="5">
        <v>0</v>
      </c>
      <c r="T137" s="6">
        <v>296.77070225796399</v>
      </c>
      <c r="U137" s="5">
        <v>522.3164359740166</v>
      </c>
      <c r="V137" s="6">
        <v>0</v>
      </c>
      <c r="W137" s="5">
        <v>0</v>
      </c>
      <c r="X137" s="6">
        <v>0</v>
      </c>
      <c r="Y137" s="5">
        <v>0</v>
      </c>
      <c r="Z137" s="6">
        <v>0</v>
      </c>
      <c r="AA137" s="5">
        <v>0</v>
      </c>
      <c r="AB137" s="6">
        <v>0</v>
      </c>
      <c r="AC137" s="5">
        <v>0</v>
      </c>
      <c r="AD137" s="6">
        <v>0</v>
      </c>
      <c r="AE137" s="5">
        <v>0</v>
      </c>
      <c r="AF137" s="6">
        <v>0</v>
      </c>
      <c r="AG137" s="5">
        <v>0</v>
      </c>
      <c r="AH137" s="7">
        <f t="shared" si="16"/>
        <v>296.77070225796399</v>
      </c>
      <c r="AI137" s="8">
        <f t="shared" si="17"/>
        <v>522.3164359740166</v>
      </c>
      <c r="AJ137" s="6">
        <v>0</v>
      </c>
      <c r="AK137" s="5">
        <v>0</v>
      </c>
      <c r="AL137" s="6">
        <v>0</v>
      </c>
      <c r="AM137" s="5">
        <v>0</v>
      </c>
      <c r="AN137" s="6">
        <v>0</v>
      </c>
      <c r="AO137" s="5">
        <v>0</v>
      </c>
      <c r="AP137" s="6">
        <v>0</v>
      </c>
      <c r="AQ137" s="5">
        <v>0</v>
      </c>
      <c r="AR137" s="6">
        <v>0</v>
      </c>
      <c r="AS137" s="5">
        <v>0</v>
      </c>
      <c r="AT137" s="6">
        <v>340</v>
      </c>
      <c r="AU137" s="5">
        <v>623.75871986298489</v>
      </c>
      <c r="AV137" s="6">
        <v>0</v>
      </c>
      <c r="AW137" s="5">
        <v>0</v>
      </c>
      <c r="AX137" s="6">
        <v>0</v>
      </c>
      <c r="AY137" s="5">
        <v>0</v>
      </c>
      <c r="AZ137" s="6">
        <v>0</v>
      </c>
      <c r="BA137" s="5">
        <v>0</v>
      </c>
      <c r="BB137" s="6">
        <v>0</v>
      </c>
      <c r="BC137" s="5">
        <v>0</v>
      </c>
      <c r="BD137" s="6">
        <v>0</v>
      </c>
      <c r="BE137" s="5">
        <v>0</v>
      </c>
      <c r="BF137" s="6">
        <v>0</v>
      </c>
      <c r="BG137" s="5">
        <v>0</v>
      </c>
      <c r="BH137" s="9">
        <f t="shared" si="18"/>
        <v>340</v>
      </c>
      <c r="BI137" s="10">
        <f t="shared" si="19"/>
        <v>623.75871986298489</v>
      </c>
      <c r="BJ137" s="6">
        <f t="shared" si="20"/>
        <v>43.22929774203601</v>
      </c>
      <c r="BK137" s="11">
        <f t="shared" si="21"/>
        <v>0.14566565167359249</v>
      </c>
      <c r="BL137" s="5">
        <f t="shared" si="22"/>
        <v>101.44228388896829</v>
      </c>
      <c r="BM137" s="11">
        <f t="shared" si="23"/>
        <v>0.19421614351422534</v>
      </c>
    </row>
    <row r="138" spans="1:65" ht="15" customHeight="1" x14ac:dyDescent="0.4">
      <c r="A138" s="2" t="s">
        <v>65</v>
      </c>
      <c r="B138" s="2" t="s">
        <v>66</v>
      </c>
      <c r="C138" s="2" t="s">
        <v>195</v>
      </c>
      <c r="D138" s="3" t="s">
        <v>101</v>
      </c>
      <c r="E138" s="3" t="s">
        <v>143</v>
      </c>
      <c r="F138" s="2" t="s">
        <v>144</v>
      </c>
      <c r="G138" s="4">
        <v>1</v>
      </c>
      <c r="H138" s="5">
        <v>8.2899999999999991</v>
      </c>
      <c r="I138" s="5">
        <v>8.6413098055884756</v>
      </c>
      <c r="J138" s="6">
        <v>0</v>
      </c>
      <c r="K138" s="5">
        <v>0</v>
      </c>
      <c r="L138" s="6">
        <v>0</v>
      </c>
      <c r="M138" s="5">
        <v>0</v>
      </c>
      <c r="N138" s="6">
        <v>0</v>
      </c>
      <c r="O138" s="5">
        <v>0</v>
      </c>
      <c r="P138" s="6">
        <v>0</v>
      </c>
      <c r="Q138" s="5">
        <v>0</v>
      </c>
      <c r="R138" s="6">
        <v>0</v>
      </c>
      <c r="S138" s="5">
        <v>0</v>
      </c>
      <c r="T138" s="6">
        <v>0</v>
      </c>
      <c r="U138" s="5">
        <v>0</v>
      </c>
      <c r="V138" s="6">
        <v>296.77070225796399</v>
      </c>
      <c r="W138" s="5">
        <v>2460.2291217185211</v>
      </c>
      <c r="X138" s="6">
        <v>0</v>
      </c>
      <c r="Y138" s="5">
        <v>0</v>
      </c>
      <c r="Z138" s="6">
        <v>0</v>
      </c>
      <c r="AA138" s="5">
        <v>0</v>
      </c>
      <c r="AB138" s="6">
        <v>0</v>
      </c>
      <c r="AC138" s="5">
        <v>0</v>
      </c>
      <c r="AD138" s="6">
        <v>0</v>
      </c>
      <c r="AE138" s="5">
        <v>0</v>
      </c>
      <c r="AF138" s="6">
        <v>0</v>
      </c>
      <c r="AG138" s="5">
        <v>0</v>
      </c>
      <c r="AH138" s="7">
        <f t="shared" si="16"/>
        <v>296.77070225796399</v>
      </c>
      <c r="AI138" s="8">
        <f t="shared" si="17"/>
        <v>2460.2291217185211</v>
      </c>
      <c r="AJ138" s="6">
        <v>0</v>
      </c>
      <c r="AK138" s="5">
        <v>0</v>
      </c>
      <c r="AL138" s="6">
        <v>0</v>
      </c>
      <c r="AM138" s="5">
        <v>0</v>
      </c>
      <c r="AN138" s="6">
        <v>0</v>
      </c>
      <c r="AO138" s="5">
        <v>0</v>
      </c>
      <c r="AP138" s="6">
        <v>0</v>
      </c>
      <c r="AQ138" s="5">
        <v>0</v>
      </c>
      <c r="AR138" s="6">
        <v>0</v>
      </c>
      <c r="AS138" s="5">
        <v>0</v>
      </c>
      <c r="AT138" s="6">
        <v>0</v>
      </c>
      <c r="AU138" s="5">
        <v>0</v>
      </c>
      <c r="AV138" s="6">
        <v>375</v>
      </c>
      <c r="AW138" s="5">
        <v>3240.4911770956778</v>
      </c>
      <c r="AX138" s="6">
        <v>0</v>
      </c>
      <c r="AY138" s="5">
        <v>0</v>
      </c>
      <c r="AZ138" s="6">
        <v>0</v>
      </c>
      <c r="BA138" s="5">
        <v>0</v>
      </c>
      <c r="BB138" s="6">
        <v>0</v>
      </c>
      <c r="BC138" s="5">
        <v>0</v>
      </c>
      <c r="BD138" s="6">
        <v>0</v>
      </c>
      <c r="BE138" s="5">
        <v>0</v>
      </c>
      <c r="BF138" s="6">
        <v>0</v>
      </c>
      <c r="BG138" s="5">
        <v>0</v>
      </c>
      <c r="BH138" s="9">
        <f t="shared" si="18"/>
        <v>375</v>
      </c>
      <c r="BI138" s="10">
        <f t="shared" si="19"/>
        <v>3240.4911770956778</v>
      </c>
      <c r="BJ138" s="6">
        <f t="shared" si="20"/>
        <v>78.22929774203601</v>
      </c>
      <c r="BK138" s="11">
        <f t="shared" si="21"/>
        <v>0.26360182169881524</v>
      </c>
      <c r="BL138" s="5">
        <f t="shared" si="22"/>
        <v>780.26205537715668</v>
      </c>
      <c r="BM138" s="11">
        <f t="shared" si="23"/>
        <v>0.31715015828774817</v>
      </c>
    </row>
    <row r="139" spans="1:65" ht="15" customHeight="1" x14ac:dyDescent="0.4">
      <c r="A139" s="2" t="s">
        <v>65</v>
      </c>
      <c r="B139" s="2" t="s">
        <v>66</v>
      </c>
      <c r="C139" s="2" t="s">
        <v>195</v>
      </c>
      <c r="D139" s="3" t="s">
        <v>101</v>
      </c>
      <c r="E139" s="3" t="s">
        <v>196</v>
      </c>
      <c r="F139" s="2" t="s">
        <v>197</v>
      </c>
      <c r="G139" s="4">
        <v>5</v>
      </c>
      <c r="H139" s="5">
        <v>3.399999999999999</v>
      </c>
      <c r="I139" s="5">
        <v>3.5440836355851411</v>
      </c>
      <c r="J139" s="6">
        <v>0</v>
      </c>
      <c r="K139" s="5">
        <v>0</v>
      </c>
      <c r="L139" s="6">
        <v>0</v>
      </c>
      <c r="M139" s="5">
        <v>0</v>
      </c>
      <c r="N139" s="6">
        <v>0</v>
      </c>
      <c r="O139" s="5">
        <v>0</v>
      </c>
      <c r="P139" s="6">
        <v>0</v>
      </c>
      <c r="Q139" s="5">
        <v>0</v>
      </c>
      <c r="R139" s="6">
        <v>0</v>
      </c>
      <c r="S139" s="5">
        <v>0</v>
      </c>
      <c r="T139" s="6">
        <v>0</v>
      </c>
      <c r="U139" s="5">
        <v>0</v>
      </c>
      <c r="V139" s="6">
        <v>0</v>
      </c>
      <c r="W139" s="5">
        <v>0</v>
      </c>
      <c r="X139" s="6">
        <v>296.77070225796399</v>
      </c>
      <c r="Y139" s="5">
        <v>1009.020387677077</v>
      </c>
      <c r="Z139" s="6">
        <v>0</v>
      </c>
      <c r="AA139" s="5">
        <v>0</v>
      </c>
      <c r="AB139" s="6">
        <v>0</v>
      </c>
      <c r="AC139" s="5">
        <v>0</v>
      </c>
      <c r="AD139" s="6">
        <v>0</v>
      </c>
      <c r="AE139" s="5">
        <v>0</v>
      </c>
      <c r="AF139" s="6">
        <v>0</v>
      </c>
      <c r="AG139" s="5">
        <v>0</v>
      </c>
      <c r="AH139" s="7">
        <f t="shared" si="16"/>
        <v>296.77070225796399</v>
      </c>
      <c r="AI139" s="8">
        <f t="shared" si="17"/>
        <v>1009.020387677077</v>
      </c>
      <c r="AJ139" s="6">
        <v>0</v>
      </c>
      <c r="AK139" s="5">
        <v>0</v>
      </c>
      <c r="AL139" s="6">
        <v>0</v>
      </c>
      <c r="AM139" s="5">
        <v>0</v>
      </c>
      <c r="AN139" s="6">
        <v>0</v>
      </c>
      <c r="AO139" s="5">
        <v>0</v>
      </c>
      <c r="AP139" s="6">
        <v>0</v>
      </c>
      <c r="AQ139" s="5">
        <v>0</v>
      </c>
      <c r="AR139" s="6">
        <v>0</v>
      </c>
      <c r="AS139" s="5">
        <v>0</v>
      </c>
      <c r="AT139" s="6">
        <v>0</v>
      </c>
      <c r="AU139" s="5">
        <v>0</v>
      </c>
      <c r="AV139" s="6">
        <v>0</v>
      </c>
      <c r="AW139" s="5">
        <v>0</v>
      </c>
      <c r="AX139" s="6">
        <v>340</v>
      </c>
      <c r="AY139" s="5">
        <v>1204.9884360989479</v>
      </c>
      <c r="AZ139" s="6">
        <v>0</v>
      </c>
      <c r="BA139" s="5">
        <v>0</v>
      </c>
      <c r="BB139" s="6">
        <v>0</v>
      </c>
      <c r="BC139" s="5">
        <v>0</v>
      </c>
      <c r="BD139" s="6">
        <v>0</v>
      </c>
      <c r="BE139" s="5">
        <v>0</v>
      </c>
      <c r="BF139" s="6">
        <v>0</v>
      </c>
      <c r="BG139" s="5">
        <v>0</v>
      </c>
      <c r="BH139" s="9">
        <f t="shared" si="18"/>
        <v>340</v>
      </c>
      <c r="BI139" s="10">
        <f t="shared" si="19"/>
        <v>1204.9884360989479</v>
      </c>
      <c r="BJ139" s="6">
        <f t="shared" si="20"/>
        <v>43.22929774203601</v>
      </c>
      <c r="BK139" s="11">
        <f t="shared" si="21"/>
        <v>0.14566565167359249</v>
      </c>
      <c r="BL139" s="5">
        <f t="shared" si="22"/>
        <v>195.96804842187089</v>
      </c>
      <c r="BM139" s="11">
        <f t="shared" si="23"/>
        <v>0.19421614351422575</v>
      </c>
    </row>
    <row r="140" spans="1:65" ht="15" customHeight="1" x14ac:dyDescent="0.4">
      <c r="A140" s="2" t="s">
        <v>65</v>
      </c>
      <c r="B140" s="2" t="s">
        <v>66</v>
      </c>
      <c r="C140" s="2" t="s">
        <v>195</v>
      </c>
      <c r="D140" s="3" t="s">
        <v>101</v>
      </c>
      <c r="E140" s="3" t="s">
        <v>149</v>
      </c>
      <c r="F140" s="2" t="s">
        <v>150</v>
      </c>
      <c r="G140" s="4">
        <v>5</v>
      </c>
      <c r="H140" s="5">
        <v>3.14</v>
      </c>
      <c r="I140" s="5">
        <v>3.2730654752168649</v>
      </c>
      <c r="J140" s="6">
        <v>0</v>
      </c>
      <c r="K140" s="5">
        <v>0</v>
      </c>
      <c r="L140" s="6">
        <v>0</v>
      </c>
      <c r="M140" s="5">
        <v>0</v>
      </c>
      <c r="N140" s="6">
        <v>0</v>
      </c>
      <c r="O140" s="5">
        <v>0</v>
      </c>
      <c r="P140" s="6">
        <v>0</v>
      </c>
      <c r="Q140" s="5">
        <v>0</v>
      </c>
      <c r="R140" s="6">
        <v>0</v>
      </c>
      <c r="S140" s="5">
        <v>0</v>
      </c>
      <c r="T140" s="6">
        <v>0</v>
      </c>
      <c r="U140" s="5">
        <v>0</v>
      </c>
      <c r="V140" s="6">
        <v>0</v>
      </c>
      <c r="W140" s="5">
        <v>0</v>
      </c>
      <c r="X140" s="6">
        <v>296.77070225796399</v>
      </c>
      <c r="Y140" s="5">
        <v>931.86000509000689</v>
      </c>
      <c r="Z140" s="6">
        <v>0</v>
      </c>
      <c r="AA140" s="5">
        <v>0</v>
      </c>
      <c r="AB140" s="6">
        <v>0</v>
      </c>
      <c r="AC140" s="5">
        <v>0</v>
      </c>
      <c r="AD140" s="6">
        <v>0</v>
      </c>
      <c r="AE140" s="5">
        <v>0</v>
      </c>
      <c r="AF140" s="6">
        <v>0</v>
      </c>
      <c r="AG140" s="5">
        <v>0</v>
      </c>
      <c r="AH140" s="7">
        <f t="shared" si="16"/>
        <v>296.77070225796399</v>
      </c>
      <c r="AI140" s="8">
        <f t="shared" si="17"/>
        <v>931.86000509000689</v>
      </c>
      <c r="AJ140" s="6">
        <v>0</v>
      </c>
      <c r="AK140" s="5">
        <v>0</v>
      </c>
      <c r="AL140" s="6">
        <v>0</v>
      </c>
      <c r="AM140" s="5">
        <v>0</v>
      </c>
      <c r="AN140" s="6">
        <v>0</v>
      </c>
      <c r="AO140" s="5">
        <v>0</v>
      </c>
      <c r="AP140" s="6">
        <v>0</v>
      </c>
      <c r="AQ140" s="5">
        <v>0</v>
      </c>
      <c r="AR140" s="6">
        <v>0</v>
      </c>
      <c r="AS140" s="5">
        <v>0</v>
      </c>
      <c r="AT140" s="6">
        <v>0</v>
      </c>
      <c r="AU140" s="5">
        <v>0</v>
      </c>
      <c r="AV140" s="6">
        <v>0</v>
      </c>
      <c r="AW140" s="5">
        <v>0</v>
      </c>
      <c r="AX140" s="6">
        <v>335</v>
      </c>
      <c r="AY140" s="5">
        <v>1096.4769341976501</v>
      </c>
      <c r="AZ140" s="6">
        <v>0</v>
      </c>
      <c r="BA140" s="5">
        <v>0</v>
      </c>
      <c r="BB140" s="6">
        <v>0</v>
      </c>
      <c r="BC140" s="5">
        <v>0</v>
      </c>
      <c r="BD140" s="6">
        <v>0</v>
      </c>
      <c r="BE140" s="5">
        <v>0</v>
      </c>
      <c r="BF140" s="6">
        <v>0</v>
      </c>
      <c r="BG140" s="5">
        <v>0</v>
      </c>
      <c r="BH140" s="9">
        <f t="shared" si="18"/>
        <v>335</v>
      </c>
      <c r="BI140" s="10">
        <f t="shared" si="19"/>
        <v>1096.4769341976501</v>
      </c>
      <c r="BJ140" s="6">
        <f t="shared" si="20"/>
        <v>38.22929774203601</v>
      </c>
      <c r="BK140" s="11">
        <f t="shared" si="21"/>
        <v>0.12881762738427496</v>
      </c>
      <c r="BL140" s="5">
        <f t="shared" si="22"/>
        <v>164.61692910764316</v>
      </c>
      <c r="BM140" s="11">
        <f t="shared" si="23"/>
        <v>0.17665414140372199</v>
      </c>
    </row>
    <row r="141" spans="1:65" ht="15" customHeight="1" x14ac:dyDescent="0.4">
      <c r="A141" s="2" t="s">
        <v>65</v>
      </c>
      <c r="B141" s="2" t="s">
        <v>66</v>
      </c>
      <c r="C141" s="2" t="s">
        <v>195</v>
      </c>
      <c r="D141" s="3" t="s">
        <v>101</v>
      </c>
      <c r="E141" s="3" t="s">
        <v>128</v>
      </c>
      <c r="F141" s="2" t="s">
        <v>129</v>
      </c>
      <c r="G141" s="4">
        <v>5</v>
      </c>
      <c r="H141" s="5">
        <v>3.5885106382978722</v>
      </c>
      <c r="I141" s="5">
        <v>3.7406251327960409</v>
      </c>
      <c r="J141" s="6">
        <v>0</v>
      </c>
      <c r="K141" s="5">
        <v>0</v>
      </c>
      <c r="L141" s="6">
        <v>0</v>
      </c>
      <c r="M141" s="5">
        <v>0</v>
      </c>
      <c r="N141" s="6">
        <v>0</v>
      </c>
      <c r="O141" s="5">
        <v>0</v>
      </c>
      <c r="P141" s="6">
        <v>0</v>
      </c>
      <c r="Q141" s="5">
        <v>0</v>
      </c>
      <c r="R141" s="6">
        <v>0</v>
      </c>
      <c r="S141" s="5">
        <v>0</v>
      </c>
      <c r="T141" s="6">
        <v>791.38853935457064</v>
      </c>
      <c r="U141" s="5">
        <v>2854.934155721613</v>
      </c>
      <c r="V141" s="6">
        <v>791.38853935457064</v>
      </c>
      <c r="W141" s="5">
        <v>2785.6876585280879</v>
      </c>
      <c r="X141" s="6">
        <v>3066.6305899989611</v>
      </c>
      <c r="Y141" s="5">
        <v>11043.827066693029</v>
      </c>
      <c r="Z141" s="6">
        <v>0</v>
      </c>
      <c r="AA141" s="5">
        <v>0</v>
      </c>
      <c r="AB141" s="6">
        <v>0</v>
      </c>
      <c r="AC141" s="5">
        <v>0</v>
      </c>
      <c r="AD141" s="6">
        <v>0</v>
      </c>
      <c r="AE141" s="5">
        <v>0</v>
      </c>
      <c r="AF141" s="6">
        <v>0</v>
      </c>
      <c r="AG141" s="5">
        <v>0</v>
      </c>
      <c r="AH141" s="7">
        <f t="shared" si="16"/>
        <v>4649.4076687081024</v>
      </c>
      <c r="AI141" s="8">
        <f t="shared" si="17"/>
        <v>16684.448880942731</v>
      </c>
      <c r="AJ141" s="6">
        <v>0</v>
      </c>
      <c r="AK141" s="5">
        <v>0</v>
      </c>
      <c r="AL141" s="6">
        <v>0</v>
      </c>
      <c r="AM141" s="5">
        <v>0</v>
      </c>
      <c r="AN141" s="6">
        <v>0</v>
      </c>
      <c r="AO141" s="5">
        <v>0</v>
      </c>
      <c r="AP141" s="6">
        <v>0</v>
      </c>
      <c r="AQ141" s="5">
        <v>0</v>
      </c>
      <c r="AR141" s="6">
        <v>0</v>
      </c>
      <c r="AS141" s="5">
        <v>0</v>
      </c>
      <c r="AT141" s="6">
        <v>915</v>
      </c>
      <c r="AU141" s="5">
        <v>3440.744932225487</v>
      </c>
      <c r="AV141" s="6">
        <v>915</v>
      </c>
      <c r="AW141" s="5">
        <v>3357.2895804390059</v>
      </c>
      <c r="AX141" s="6">
        <v>3545</v>
      </c>
      <c r="AY141" s="5">
        <v>13307.82557611423</v>
      </c>
      <c r="AZ141" s="6">
        <v>0</v>
      </c>
      <c r="BA141" s="5">
        <v>0</v>
      </c>
      <c r="BB141" s="6">
        <v>0</v>
      </c>
      <c r="BC141" s="5">
        <v>0</v>
      </c>
      <c r="BD141" s="6">
        <v>0</v>
      </c>
      <c r="BE141" s="5">
        <v>0</v>
      </c>
      <c r="BF141" s="6">
        <v>0</v>
      </c>
      <c r="BG141" s="5">
        <v>0</v>
      </c>
      <c r="BH141" s="9">
        <f t="shared" si="18"/>
        <v>5375</v>
      </c>
      <c r="BI141" s="10">
        <f t="shared" si="19"/>
        <v>20105.860088778725</v>
      </c>
      <c r="BJ141" s="6">
        <f t="shared" si="20"/>
        <v>725.59233129189761</v>
      </c>
      <c r="BK141" s="11">
        <f t="shared" si="21"/>
        <v>0.15606124112870334</v>
      </c>
      <c r="BL141" s="5">
        <f t="shared" si="22"/>
        <v>3421.411207835994</v>
      </c>
      <c r="BM141" s="11">
        <f t="shared" si="23"/>
        <v>0.20506588094402026</v>
      </c>
    </row>
    <row r="142" spans="1:65" ht="15" customHeight="1" x14ac:dyDescent="0.4">
      <c r="A142" s="2" t="s">
        <v>65</v>
      </c>
      <c r="B142" s="2" t="s">
        <v>66</v>
      </c>
      <c r="C142" s="2" t="s">
        <v>195</v>
      </c>
      <c r="D142" s="3" t="s">
        <v>101</v>
      </c>
      <c r="E142" s="3" t="s">
        <v>164</v>
      </c>
      <c r="F142" s="2" t="s">
        <v>165</v>
      </c>
      <c r="G142" s="4">
        <v>20</v>
      </c>
      <c r="H142" s="5">
        <v>7.879999999999999</v>
      </c>
      <c r="I142" s="5">
        <v>8.213935014238503</v>
      </c>
      <c r="J142" s="6">
        <v>0</v>
      </c>
      <c r="K142" s="5">
        <v>0</v>
      </c>
      <c r="L142" s="6">
        <v>0</v>
      </c>
      <c r="M142" s="5">
        <v>0</v>
      </c>
      <c r="N142" s="6">
        <v>0</v>
      </c>
      <c r="O142" s="5">
        <v>0</v>
      </c>
      <c r="P142" s="6">
        <v>0</v>
      </c>
      <c r="Q142" s="5">
        <v>0</v>
      </c>
      <c r="R142" s="6">
        <v>0</v>
      </c>
      <c r="S142" s="5">
        <v>0</v>
      </c>
      <c r="T142" s="6">
        <v>0</v>
      </c>
      <c r="U142" s="5">
        <v>0</v>
      </c>
      <c r="V142" s="6">
        <v>0</v>
      </c>
      <c r="W142" s="5">
        <v>0</v>
      </c>
      <c r="X142" s="6">
        <v>296.77070225796399</v>
      </c>
      <c r="Y142" s="5">
        <v>2338.5531337927559</v>
      </c>
      <c r="Z142" s="6">
        <v>0</v>
      </c>
      <c r="AA142" s="5">
        <v>0</v>
      </c>
      <c r="AB142" s="6">
        <v>0</v>
      </c>
      <c r="AC142" s="5">
        <v>0</v>
      </c>
      <c r="AD142" s="6">
        <v>0</v>
      </c>
      <c r="AE142" s="5">
        <v>0</v>
      </c>
      <c r="AF142" s="6">
        <v>0</v>
      </c>
      <c r="AG142" s="5">
        <v>0</v>
      </c>
      <c r="AH142" s="7">
        <f t="shared" si="16"/>
        <v>296.77070225796399</v>
      </c>
      <c r="AI142" s="8">
        <f t="shared" si="17"/>
        <v>2338.5531337927559</v>
      </c>
      <c r="AJ142" s="6">
        <v>0</v>
      </c>
      <c r="AK142" s="5">
        <v>0</v>
      </c>
      <c r="AL142" s="6">
        <v>0</v>
      </c>
      <c r="AM142" s="5">
        <v>0</v>
      </c>
      <c r="AN142" s="6">
        <v>0</v>
      </c>
      <c r="AO142" s="5">
        <v>0</v>
      </c>
      <c r="AP142" s="6">
        <v>0</v>
      </c>
      <c r="AQ142" s="5">
        <v>0</v>
      </c>
      <c r="AR142" s="6">
        <v>0</v>
      </c>
      <c r="AS142" s="5">
        <v>0</v>
      </c>
      <c r="AT142" s="6">
        <v>0</v>
      </c>
      <c r="AU142" s="5">
        <v>0</v>
      </c>
      <c r="AV142" s="6">
        <v>0</v>
      </c>
      <c r="AW142" s="5">
        <v>0</v>
      </c>
      <c r="AX142" s="6">
        <v>400</v>
      </c>
      <c r="AY142" s="5">
        <v>3285.574005695401</v>
      </c>
      <c r="AZ142" s="6">
        <v>0</v>
      </c>
      <c r="BA142" s="5">
        <v>0</v>
      </c>
      <c r="BB142" s="6">
        <v>0</v>
      </c>
      <c r="BC142" s="5">
        <v>0</v>
      </c>
      <c r="BD142" s="6">
        <v>0</v>
      </c>
      <c r="BE142" s="5">
        <v>0</v>
      </c>
      <c r="BF142" s="6">
        <v>0</v>
      </c>
      <c r="BG142" s="5">
        <v>0</v>
      </c>
      <c r="BH142" s="9">
        <f t="shared" si="18"/>
        <v>400</v>
      </c>
      <c r="BI142" s="10">
        <f t="shared" si="19"/>
        <v>3285.574005695401</v>
      </c>
      <c r="BJ142" s="6">
        <f t="shared" si="20"/>
        <v>103.22929774203601</v>
      </c>
      <c r="BK142" s="11">
        <f t="shared" si="21"/>
        <v>0.34784194314540295</v>
      </c>
      <c r="BL142" s="5">
        <f t="shared" si="22"/>
        <v>947.02087190264501</v>
      </c>
      <c r="BM142" s="11">
        <f t="shared" si="23"/>
        <v>0.40496016884026487</v>
      </c>
    </row>
    <row r="143" spans="1:65" ht="15" customHeight="1" x14ac:dyDescent="0.4">
      <c r="A143" s="2" t="s">
        <v>65</v>
      </c>
      <c r="B143" s="2" t="s">
        <v>66</v>
      </c>
      <c r="C143" s="2" t="s">
        <v>195</v>
      </c>
      <c r="D143" s="3" t="s">
        <v>101</v>
      </c>
      <c r="E143" s="3" t="s">
        <v>188</v>
      </c>
      <c r="F143" s="2" t="s">
        <v>190</v>
      </c>
      <c r="G143" s="4">
        <v>5</v>
      </c>
      <c r="H143" s="5">
        <v>2.41</v>
      </c>
      <c r="I143" s="5">
        <v>2.5121298711059379</v>
      </c>
      <c r="J143" s="6">
        <v>0</v>
      </c>
      <c r="K143" s="5">
        <v>0</v>
      </c>
      <c r="L143" s="6">
        <v>0</v>
      </c>
      <c r="M143" s="5">
        <v>0</v>
      </c>
      <c r="N143" s="6">
        <v>0</v>
      </c>
      <c r="O143" s="5">
        <v>0</v>
      </c>
      <c r="P143" s="6">
        <v>0</v>
      </c>
      <c r="Q143" s="5">
        <v>0</v>
      </c>
      <c r="R143" s="6">
        <v>0</v>
      </c>
      <c r="S143" s="5">
        <v>0</v>
      </c>
      <c r="T143" s="6">
        <v>296.77070225796399</v>
      </c>
      <c r="U143" s="5">
        <v>733.02363457717104</v>
      </c>
      <c r="V143" s="6">
        <v>0</v>
      </c>
      <c r="W143" s="5">
        <v>0</v>
      </c>
      <c r="X143" s="6">
        <v>296.77070225796399</v>
      </c>
      <c r="Y143" s="5">
        <v>697.41115030621529</v>
      </c>
      <c r="Z143" s="6">
        <v>0</v>
      </c>
      <c r="AA143" s="5">
        <v>0</v>
      </c>
      <c r="AB143" s="6">
        <v>0</v>
      </c>
      <c r="AC143" s="5">
        <v>0</v>
      </c>
      <c r="AD143" s="6">
        <v>0</v>
      </c>
      <c r="AE143" s="5">
        <v>0</v>
      </c>
      <c r="AF143" s="6">
        <v>0</v>
      </c>
      <c r="AG143" s="5">
        <v>0</v>
      </c>
      <c r="AH143" s="7">
        <f t="shared" si="16"/>
        <v>593.54140451592798</v>
      </c>
      <c r="AI143" s="8">
        <f t="shared" si="17"/>
        <v>1430.4347848833863</v>
      </c>
      <c r="AJ143" s="6">
        <v>0</v>
      </c>
      <c r="AK143" s="5">
        <v>0</v>
      </c>
      <c r="AL143" s="6">
        <v>0</v>
      </c>
      <c r="AM143" s="5">
        <v>0</v>
      </c>
      <c r="AN143" s="6">
        <v>0</v>
      </c>
      <c r="AO143" s="5">
        <v>0</v>
      </c>
      <c r="AP143" s="6">
        <v>0</v>
      </c>
      <c r="AQ143" s="5">
        <v>0</v>
      </c>
      <c r="AR143" s="6">
        <v>0</v>
      </c>
      <c r="AS143" s="5">
        <v>0</v>
      </c>
      <c r="AT143" s="6">
        <v>340</v>
      </c>
      <c r="AU143" s="5">
        <v>875.38865798952975</v>
      </c>
      <c r="AV143" s="6">
        <v>0</v>
      </c>
      <c r="AW143" s="5">
        <v>0</v>
      </c>
      <c r="AX143" s="6">
        <v>340</v>
      </c>
      <c r="AY143" s="5">
        <v>832.85965436250808</v>
      </c>
      <c r="AZ143" s="6">
        <v>0</v>
      </c>
      <c r="BA143" s="5">
        <v>0</v>
      </c>
      <c r="BB143" s="6">
        <v>0</v>
      </c>
      <c r="BC143" s="5">
        <v>0</v>
      </c>
      <c r="BD143" s="6">
        <v>0</v>
      </c>
      <c r="BE143" s="5">
        <v>0</v>
      </c>
      <c r="BF143" s="6">
        <v>0</v>
      </c>
      <c r="BG143" s="5">
        <v>0</v>
      </c>
      <c r="BH143" s="9">
        <f t="shared" si="18"/>
        <v>680</v>
      </c>
      <c r="BI143" s="10">
        <f t="shared" si="19"/>
        <v>1708.2483123520378</v>
      </c>
      <c r="BJ143" s="6">
        <f t="shared" si="20"/>
        <v>86.458595484072021</v>
      </c>
      <c r="BK143" s="11">
        <f t="shared" si="21"/>
        <v>0.14566565167359249</v>
      </c>
      <c r="BL143" s="5">
        <f t="shared" si="22"/>
        <v>277.8135274686515</v>
      </c>
      <c r="BM143" s="11">
        <f t="shared" si="23"/>
        <v>0.19421614351422511</v>
      </c>
    </row>
    <row r="144" spans="1:65" ht="15" customHeight="1" x14ac:dyDescent="0.4">
      <c r="A144" s="2" t="s">
        <v>65</v>
      </c>
      <c r="B144" s="2" t="s">
        <v>66</v>
      </c>
      <c r="C144" s="2" t="s">
        <v>198</v>
      </c>
      <c r="D144" s="3" t="s">
        <v>134</v>
      </c>
      <c r="E144" s="3" t="s">
        <v>154</v>
      </c>
      <c r="F144" s="2" t="s">
        <v>155</v>
      </c>
      <c r="G144" s="4">
        <v>20</v>
      </c>
      <c r="H144" s="5">
        <v>3.1278723404255322</v>
      </c>
      <c r="I144" s="5">
        <v>3.2607311837992481</v>
      </c>
      <c r="J144" s="6">
        <v>0</v>
      </c>
      <c r="K144" s="5">
        <v>0</v>
      </c>
      <c r="L144" s="6">
        <v>0</v>
      </c>
      <c r="M144" s="5">
        <v>0</v>
      </c>
      <c r="N144" s="6">
        <v>0</v>
      </c>
      <c r="O144" s="5">
        <v>0</v>
      </c>
      <c r="P144" s="6">
        <v>0</v>
      </c>
      <c r="Q144" s="5">
        <v>0</v>
      </c>
      <c r="R144" s="6">
        <v>1226.652235999584</v>
      </c>
      <c r="S144" s="5">
        <v>3867.1200975561092</v>
      </c>
      <c r="T144" s="6">
        <v>633.11083148365651</v>
      </c>
      <c r="U144" s="5">
        <v>1949.9813609696621</v>
      </c>
      <c r="V144" s="6">
        <v>0</v>
      </c>
      <c r="W144" s="5">
        <v>0</v>
      </c>
      <c r="X144" s="6">
        <v>0</v>
      </c>
      <c r="Y144" s="5">
        <v>0</v>
      </c>
      <c r="Z144" s="6">
        <v>0</v>
      </c>
      <c r="AA144" s="5">
        <v>0</v>
      </c>
      <c r="AB144" s="6">
        <v>0</v>
      </c>
      <c r="AC144" s="5">
        <v>0</v>
      </c>
      <c r="AD144" s="6">
        <v>0</v>
      </c>
      <c r="AE144" s="5">
        <v>0</v>
      </c>
      <c r="AF144" s="6">
        <v>0</v>
      </c>
      <c r="AG144" s="5">
        <v>0</v>
      </c>
      <c r="AH144" s="7">
        <f t="shared" si="16"/>
        <v>1859.7630674832405</v>
      </c>
      <c r="AI144" s="8">
        <f t="shared" si="17"/>
        <v>5817.1014585257708</v>
      </c>
      <c r="AJ144" s="6">
        <v>0</v>
      </c>
      <c r="AK144" s="5">
        <v>0</v>
      </c>
      <c r="AL144" s="6">
        <v>0</v>
      </c>
      <c r="AM144" s="5">
        <v>0</v>
      </c>
      <c r="AN144" s="6">
        <v>0</v>
      </c>
      <c r="AO144" s="5">
        <v>0</v>
      </c>
      <c r="AP144" s="6">
        <v>0</v>
      </c>
      <c r="AQ144" s="5">
        <v>0</v>
      </c>
      <c r="AR144" s="6">
        <v>1460</v>
      </c>
      <c r="AS144" s="5">
        <v>4797.8217154684471</v>
      </c>
      <c r="AT144" s="6">
        <v>740</v>
      </c>
      <c r="AU144" s="5">
        <v>2375.7868888898979</v>
      </c>
      <c r="AV144" s="6">
        <v>0</v>
      </c>
      <c r="AW144" s="5">
        <v>0</v>
      </c>
      <c r="AX144" s="6">
        <v>0</v>
      </c>
      <c r="AY144" s="5">
        <v>0</v>
      </c>
      <c r="AZ144" s="6">
        <v>0</v>
      </c>
      <c r="BA144" s="5">
        <v>0</v>
      </c>
      <c r="BB144" s="6">
        <v>0</v>
      </c>
      <c r="BC144" s="5">
        <v>0</v>
      </c>
      <c r="BD144" s="6">
        <v>0</v>
      </c>
      <c r="BE144" s="5">
        <v>0</v>
      </c>
      <c r="BF144" s="6">
        <v>0</v>
      </c>
      <c r="BG144" s="5">
        <v>0</v>
      </c>
      <c r="BH144" s="9">
        <f t="shared" si="18"/>
        <v>2200</v>
      </c>
      <c r="BI144" s="10">
        <f t="shared" si="19"/>
        <v>7173.6086043583455</v>
      </c>
      <c r="BJ144" s="6">
        <f t="shared" si="20"/>
        <v>340.23693251675945</v>
      </c>
      <c r="BK144" s="11">
        <f t="shared" si="21"/>
        <v>0.18294638627123158</v>
      </c>
      <c r="BL144" s="5">
        <f t="shared" si="22"/>
        <v>1356.5071458325747</v>
      </c>
      <c r="BM144" s="11">
        <f t="shared" si="23"/>
        <v>0.23319296654941868</v>
      </c>
    </row>
    <row r="145" spans="1:65" ht="15" customHeight="1" x14ac:dyDescent="0.4">
      <c r="A145" s="2" t="s">
        <v>65</v>
      </c>
      <c r="B145" s="2" t="s">
        <v>66</v>
      </c>
      <c r="C145" s="2" t="s">
        <v>198</v>
      </c>
      <c r="D145" s="3" t="s">
        <v>134</v>
      </c>
      <c r="E145" s="3" t="s">
        <v>120</v>
      </c>
      <c r="F145" s="2" t="s">
        <v>121</v>
      </c>
      <c r="G145" s="4">
        <v>5</v>
      </c>
      <c r="H145" s="5">
        <v>4.2</v>
      </c>
      <c r="I145" s="5">
        <v>4.3779856674875282</v>
      </c>
      <c r="J145" s="6">
        <v>0</v>
      </c>
      <c r="K145" s="5">
        <v>0</v>
      </c>
      <c r="L145" s="6">
        <v>0</v>
      </c>
      <c r="M145" s="5">
        <v>0</v>
      </c>
      <c r="N145" s="6">
        <v>0</v>
      </c>
      <c r="O145" s="5">
        <v>0</v>
      </c>
      <c r="P145" s="6">
        <v>0</v>
      </c>
      <c r="Q145" s="5">
        <v>0</v>
      </c>
      <c r="R145" s="6">
        <v>197.84713483864269</v>
      </c>
      <c r="S145" s="5">
        <v>830.95796632229917</v>
      </c>
      <c r="T145" s="6">
        <v>0</v>
      </c>
      <c r="U145" s="5">
        <v>0</v>
      </c>
      <c r="V145" s="6">
        <v>0</v>
      </c>
      <c r="W145" s="5">
        <v>0</v>
      </c>
      <c r="X145" s="6">
        <v>0</v>
      </c>
      <c r="Y145" s="5">
        <v>0</v>
      </c>
      <c r="Z145" s="6">
        <v>0</v>
      </c>
      <c r="AA145" s="5">
        <v>0</v>
      </c>
      <c r="AB145" s="6">
        <v>0</v>
      </c>
      <c r="AC145" s="5">
        <v>0</v>
      </c>
      <c r="AD145" s="6">
        <v>0</v>
      </c>
      <c r="AE145" s="5">
        <v>0</v>
      </c>
      <c r="AF145" s="6">
        <v>0</v>
      </c>
      <c r="AG145" s="5">
        <v>0</v>
      </c>
      <c r="AH145" s="7">
        <f t="shared" si="16"/>
        <v>197.84713483864269</v>
      </c>
      <c r="AI145" s="8">
        <f t="shared" si="17"/>
        <v>830.95796632229917</v>
      </c>
      <c r="AJ145" s="6">
        <v>0</v>
      </c>
      <c r="AK145" s="5">
        <v>0</v>
      </c>
      <c r="AL145" s="6">
        <v>0</v>
      </c>
      <c r="AM145" s="5">
        <v>0</v>
      </c>
      <c r="AN145" s="6">
        <v>0</v>
      </c>
      <c r="AO145" s="5">
        <v>0</v>
      </c>
      <c r="AP145" s="6">
        <v>0</v>
      </c>
      <c r="AQ145" s="5">
        <v>0</v>
      </c>
      <c r="AR145" s="6">
        <v>210</v>
      </c>
      <c r="AS145" s="5">
        <v>919.37699017238083</v>
      </c>
      <c r="AT145" s="6">
        <v>0</v>
      </c>
      <c r="AU145" s="5">
        <v>0</v>
      </c>
      <c r="AV145" s="6">
        <v>0</v>
      </c>
      <c r="AW145" s="5">
        <v>0</v>
      </c>
      <c r="AX145" s="6">
        <v>0</v>
      </c>
      <c r="AY145" s="5">
        <v>0</v>
      </c>
      <c r="AZ145" s="6">
        <v>0</v>
      </c>
      <c r="BA145" s="5">
        <v>0</v>
      </c>
      <c r="BB145" s="6">
        <v>0</v>
      </c>
      <c r="BC145" s="5">
        <v>0</v>
      </c>
      <c r="BD145" s="6">
        <v>0</v>
      </c>
      <c r="BE145" s="5">
        <v>0</v>
      </c>
      <c r="BF145" s="6">
        <v>0</v>
      </c>
      <c r="BG145" s="5">
        <v>0</v>
      </c>
      <c r="BH145" s="9">
        <f t="shared" si="18"/>
        <v>210</v>
      </c>
      <c r="BI145" s="10">
        <f t="shared" si="19"/>
        <v>919.37699017238083</v>
      </c>
      <c r="BJ145" s="6">
        <f t="shared" si="20"/>
        <v>12.152865161357312</v>
      </c>
      <c r="BK145" s="11">
        <f t="shared" si="21"/>
        <v>6.142553022700465E-2</v>
      </c>
      <c r="BL145" s="5">
        <f t="shared" si="22"/>
        <v>88.419023850081658</v>
      </c>
      <c r="BM145" s="11">
        <f t="shared" si="23"/>
        <v>0.10640613296170874</v>
      </c>
    </row>
    <row r="146" spans="1:65" ht="15" customHeight="1" x14ac:dyDescent="0.4">
      <c r="A146" s="2" t="s">
        <v>65</v>
      </c>
      <c r="B146" s="2" t="s">
        <v>66</v>
      </c>
      <c r="C146" s="2" t="s">
        <v>198</v>
      </c>
      <c r="D146" s="3" t="s">
        <v>134</v>
      </c>
      <c r="E146" s="3" t="s">
        <v>90</v>
      </c>
      <c r="F146" s="2" t="s">
        <v>91</v>
      </c>
      <c r="G146" s="4">
        <v>20</v>
      </c>
      <c r="H146" s="5">
        <v>3.91</v>
      </c>
      <c r="I146" s="5">
        <v>4.075696180922912</v>
      </c>
      <c r="J146" s="6">
        <v>0</v>
      </c>
      <c r="K146" s="5">
        <v>0</v>
      </c>
      <c r="L146" s="6">
        <v>0</v>
      </c>
      <c r="M146" s="5">
        <v>0</v>
      </c>
      <c r="N146" s="6">
        <v>0</v>
      </c>
      <c r="O146" s="5">
        <v>0</v>
      </c>
      <c r="P146" s="6">
        <v>0</v>
      </c>
      <c r="Q146" s="5">
        <v>0</v>
      </c>
      <c r="R146" s="6">
        <v>98.92356741932133</v>
      </c>
      <c r="S146" s="5">
        <v>386.79114860954638</v>
      </c>
      <c r="T146" s="6">
        <v>0</v>
      </c>
      <c r="U146" s="5">
        <v>0</v>
      </c>
      <c r="V146" s="6">
        <v>0</v>
      </c>
      <c r="W146" s="5">
        <v>0</v>
      </c>
      <c r="X146" s="6">
        <v>0</v>
      </c>
      <c r="Y146" s="5">
        <v>0</v>
      </c>
      <c r="Z146" s="6">
        <v>0</v>
      </c>
      <c r="AA146" s="5">
        <v>0</v>
      </c>
      <c r="AB146" s="6">
        <v>0</v>
      </c>
      <c r="AC146" s="5">
        <v>0</v>
      </c>
      <c r="AD146" s="6">
        <v>0</v>
      </c>
      <c r="AE146" s="5">
        <v>0</v>
      </c>
      <c r="AF146" s="6">
        <v>0</v>
      </c>
      <c r="AG146" s="5">
        <v>0</v>
      </c>
      <c r="AH146" s="7">
        <f t="shared" si="16"/>
        <v>98.92356741932133</v>
      </c>
      <c r="AI146" s="8">
        <f t="shared" si="17"/>
        <v>386.79114860954638</v>
      </c>
      <c r="AJ146" s="6">
        <v>0</v>
      </c>
      <c r="AK146" s="5">
        <v>0</v>
      </c>
      <c r="AL146" s="6">
        <v>0</v>
      </c>
      <c r="AM146" s="5">
        <v>0</v>
      </c>
      <c r="AN146" s="6">
        <v>0</v>
      </c>
      <c r="AO146" s="5">
        <v>0</v>
      </c>
      <c r="AP146" s="6">
        <v>0</v>
      </c>
      <c r="AQ146" s="5">
        <v>0</v>
      </c>
      <c r="AR146" s="6">
        <v>100</v>
      </c>
      <c r="AS146" s="5">
        <v>407.56961809229119</v>
      </c>
      <c r="AT146" s="6">
        <v>0</v>
      </c>
      <c r="AU146" s="5">
        <v>0</v>
      </c>
      <c r="AV146" s="6">
        <v>0</v>
      </c>
      <c r="AW146" s="5">
        <v>0</v>
      </c>
      <c r="AX146" s="6">
        <v>0</v>
      </c>
      <c r="AY146" s="5">
        <v>0</v>
      </c>
      <c r="AZ146" s="6">
        <v>0</v>
      </c>
      <c r="BA146" s="5">
        <v>0</v>
      </c>
      <c r="BB146" s="6">
        <v>0</v>
      </c>
      <c r="BC146" s="5">
        <v>0</v>
      </c>
      <c r="BD146" s="6">
        <v>0</v>
      </c>
      <c r="BE146" s="5">
        <v>0</v>
      </c>
      <c r="BF146" s="6">
        <v>0</v>
      </c>
      <c r="BG146" s="5">
        <v>0</v>
      </c>
      <c r="BH146" s="9">
        <f t="shared" si="18"/>
        <v>100</v>
      </c>
      <c r="BI146" s="10">
        <f t="shared" si="19"/>
        <v>407.56961809229119</v>
      </c>
      <c r="BJ146" s="6">
        <f t="shared" si="20"/>
        <v>1.0764325806786701</v>
      </c>
      <c r="BK146" s="11">
        <f t="shared" si="21"/>
        <v>1.0881457359052195E-2</v>
      </c>
      <c r="BL146" s="5">
        <f t="shared" si="22"/>
        <v>20.778469482744811</v>
      </c>
      <c r="BM146" s="11">
        <f t="shared" si="23"/>
        <v>5.3720126630198636E-2</v>
      </c>
    </row>
    <row r="147" spans="1:65" ht="15" customHeight="1" x14ac:dyDescent="0.4">
      <c r="A147" s="2" t="s">
        <v>65</v>
      </c>
      <c r="B147" s="2" t="s">
        <v>66</v>
      </c>
      <c r="C147" s="2" t="s">
        <v>198</v>
      </c>
      <c r="D147" s="3" t="s">
        <v>134</v>
      </c>
      <c r="E147" s="3" t="s">
        <v>122</v>
      </c>
      <c r="F147" s="2" t="s">
        <v>123</v>
      </c>
      <c r="G147" s="4">
        <v>5</v>
      </c>
      <c r="H147" s="5">
        <v>4.6199999999999992</v>
      </c>
      <c r="I147" s="5">
        <v>4.8157842342362791</v>
      </c>
      <c r="J147" s="6">
        <v>0</v>
      </c>
      <c r="K147" s="5">
        <v>0</v>
      </c>
      <c r="L147" s="6">
        <v>0</v>
      </c>
      <c r="M147" s="5">
        <v>0</v>
      </c>
      <c r="N147" s="6">
        <v>0</v>
      </c>
      <c r="O147" s="5">
        <v>0</v>
      </c>
      <c r="P147" s="6">
        <v>0</v>
      </c>
      <c r="Q147" s="5">
        <v>0</v>
      </c>
      <c r="R147" s="6">
        <v>197.84713483864269</v>
      </c>
      <c r="S147" s="5">
        <v>914.05376295452902</v>
      </c>
      <c r="T147" s="6">
        <v>0</v>
      </c>
      <c r="U147" s="5">
        <v>0</v>
      </c>
      <c r="V147" s="6">
        <v>0</v>
      </c>
      <c r="W147" s="5">
        <v>0</v>
      </c>
      <c r="X147" s="6">
        <v>0</v>
      </c>
      <c r="Y147" s="5">
        <v>0</v>
      </c>
      <c r="Z147" s="6">
        <v>0</v>
      </c>
      <c r="AA147" s="5">
        <v>0</v>
      </c>
      <c r="AB147" s="6">
        <v>0</v>
      </c>
      <c r="AC147" s="5">
        <v>0</v>
      </c>
      <c r="AD147" s="6">
        <v>0</v>
      </c>
      <c r="AE147" s="5">
        <v>0</v>
      </c>
      <c r="AF147" s="6">
        <v>0</v>
      </c>
      <c r="AG147" s="5">
        <v>0</v>
      </c>
      <c r="AH147" s="7">
        <f t="shared" si="16"/>
        <v>197.84713483864269</v>
      </c>
      <c r="AI147" s="8">
        <f t="shared" si="17"/>
        <v>914.05376295452902</v>
      </c>
      <c r="AJ147" s="6">
        <v>0</v>
      </c>
      <c r="AK147" s="5">
        <v>0</v>
      </c>
      <c r="AL147" s="6">
        <v>0</v>
      </c>
      <c r="AM147" s="5">
        <v>0</v>
      </c>
      <c r="AN147" s="6">
        <v>0</v>
      </c>
      <c r="AO147" s="5">
        <v>0</v>
      </c>
      <c r="AP147" s="6">
        <v>0</v>
      </c>
      <c r="AQ147" s="5">
        <v>0</v>
      </c>
      <c r="AR147" s="6">
        <v>235</v>
      </c>
      <c r="AS147" s="5">
        <v>1131.709295045526</v>
      </c>
      <c r="AT147" s="6">
        <v>0</v>
      </c>
      <c r="AU147" s="5">
        <v>0</v>
      </c>
      <c r="AV147" s="6">
        <v>0</v>
      </c>
      <c r="AW147" s="5">
        <v>0</v>
      </c>
      <c r="AX147" s="6">
        <v>0</v>
      </c>
      <c r="AY147" s="5">
        <v>0</v>
      </c>
      <c r="AZ147" s="6">
        <v>0</v>
      </c>
      <c r="BA147" s="5">
        <v>0</v>
      </c>
      <c r="BB147" s="6">
        <v>0</v>
      </c>
      <c r="BC147" s="5">
        <v>0</v>
      </c>
      <c r="BD147" s="6">
        <v>0</v>
      </c>
      <c r="BE147" s="5">
        <v>0</v>
      </c>
      <c r="BF147" s="6">
        <v>0</v>
      </c>
      <c r="BG147" s="5">
        <v>0</v>
      </c>
      <c r="BH147" s="9">
        <f t="shared" si="18"/>
        <v>235</v>
      </c>
      <c r="BI147" s="10">
        <f t="shared" si="19"/>
        <v>1131.709295045526</v>
      </c>
      <c r="BJ147" s="6">
        <f t="shared" si="20"/>
        <v>37.152865161357312</v>
      </c>
      <c r="BK147" s="11">
        <f t="shared" si="21"/>
        <v>0.18778571239688616</v>
      </c>
      <c r="BL147" s="5">
        <f t="shared" si="22"/>
        <v>217.65553209099699</v>
      </c>
      <c r="BM147" s="11">
        <f t="shared" si="23"/>
        <v>0.23812114879048377</v>
      </c>
    </row>
    <row r="148" spans="1:65" ht="15" customHeight="1" x14ac:dyDescent="0.4">
      <c r="A148" s="2" t="s">
        <v>65</v>
      </c>
      <c r="B148" s="2" t="s">
        <v>66</v>
      </c>
      <c r="C148" s="2" t="s">
        <v>198</v>
      </c>
      <c r="D148" s="3" t="s">
        <v>134</v>
      </c>
      <c r="E148" s="3" t="s">
        <v>158</v>
      </c>
      <c r="F148" s="2" t="s">
        <v>159</v>
      </c>
      <c r="G148" s="4">
        <v>20</v>
      </c>
      <c r="H148" s="5">
        <v>4.29</v>
      </c>
      <c r="I148" s="5">
        <v>4.471799646076545</v>
      </c>
      <c r="J148" s="6">
        <v>0</v>
      </c>
      <c r="K148" s="5">
        <v>0</v>
      </c>
      <c r="L148" s="6">
        <v>0</v>
      </c>
      <c r="M148" s="5">
        <v>0</v>
      </c>
      <c r="N148" s="6">
        <v>0</v>
      </c>
      <c r="O148" s="5">
        <v>0</v>
      </c>
      <c r="P148" s="6">
        <v>0</v>
      </c>
      <c r="Q148" s="5">
        <v>0</v>
      </c>
      <c r="R148" s="6">
        <v>197.84713483864269</v>
      </c>
      <c r="S148" s="5">
        <v>848.76420845777693</v>
      </c>
      <c r="T148" s="6">
        <v>0</v>
      </c>
      <c r="U148" s="5">
        <v>0</v>
      </c>
      <c r="V148" s="6">
        <v>0</v>
      </c>
      <c r="W148" s="5">
        <v>0</v>
      </c>
      <c r="X148" s="6">
        <v>0</v>
      </c>
      <c r="Y148" s="5">
        <v>0</v>
      </c>
      <c r="Z148" s="6">
        <v>0</v>
      </c>
      <c r="AA148" s="5">
        <v>0</v>
      </c>
      <c r="AB148" s="6">
        <v>0</v>
      </c>
      <c r="AC148" s="5">
        <v>0</v>
      </c>
      <c r="AD148" s="6">
        <v>0</v>
      </c>
      <c r="AE148" s="5">
        <v>0</v>
      </c>
      <c r="AF148" s="6">
        <v>0</v>
      </c>
      <c r="AG148" s="5">
        <v>0</v>
      </c>
      <c r="AH148" s="7">
        <f t="shared" si="16"/>
        <v>197.84713483864269</v>
      </c>
      <c r="AI148" s="8">
        <f t="shared" si="17"/>
        <v>848.76420845777693</v>
      </c>
      <c r="AJ148" s="6">
        <v>0</v>
      </c>
      <c r="AK148" s="5">
        <v>0</v>
      </c>
      <c r="AL148" s="6">
        <v>0</v>
      </c>
      <c r="AM148" s="5">
        <v>0</v>
      </c>
      <c r="AN148" s="6">
        <v>0</v>
      </c>
      <c r="AO148" s="5">
        <v>0</v>
      </c>
      <c r="AP148" s="6">
        <v>0</v>
      </c>
      <c r="AQ148" s="5">
        <v>0</v>
      </c>
      <c r="AR148" s="6">
        <v>240</v>
      </c>
      <c r="AS148" s="5">
        <v>1073.231915058371</v>
      </c>
      <c r="AT148" s="6">
        <v>0</v>
      </c>
      <c r="AU148" s="5">
        <v>0</v>
      </c>
      <c r="AV148" s="6">
        <v>0</v>
      </c>
      <c r="AW148" s="5">
        <v>0</v>
      </c>
      <c r="AX148" s="6">
        <v>0</v>
      </c>
      <c r="AY148" s="5">
        <v>0</v>
      </c>
      <c r="AZ148" s="6">
        <v>0</v>
      </c>
      <c r="BA148" s="5">
        <v>0</v>
      </c>
      <c r="BB148" s="6">
        <v>0</v>
      </c>
      <c r="BC148" s="5">
        <v>0</v>
      </c>
      <c r="BD148" s="6">
        <v>0</v>
      </c>
      <c r="BE148" s="5">
        <v>0</v>
      </c>
      <c r="BF148" s="6">
        <v>0</v>
      </c>
      <c r="BG148" s="5">
        <v>0</v>
      </c>
      <c r="BH148" s="9">
        <f t="shared" si="18"/>
        <v>240</v>
      </c>
      <c r="BI148" s="10">
        <f t="shared" si="19"/>
        <v>1073.231915058371</v>
      </c>
      <c r="BJ148" s="6">
        <f t="shared" si="20"/>
        <v>42.152865161357312</v>
      </c>
      <c r="BK148" s="11">
        <f t="shared" si="21"/>
        <v>0.21305774883086245</v>
      </c>
      <c r="BL148" s="5">
        <f t="shared" si="22"/>
        <v>224.46770660059406</v>
      </c>
      <c r="BM148" s="11">
        <f t="shared" si="23"/>
        <v>0.26446415195623857</v>
      </c>
    </row>
    <row r="149" spans="1:65" ht="15" customHeight="1" x14ac:dyDescent="0.4">
      <c r="A149" s="2" t="s">
        <v>65</v>
      </c>
      <c r="B149" s="2" t="s">
        <v>66</v>
      </c>
      <c r="C149" s="2" t="s">
        <v>199</v>
      </c>
      <c r="D149" s="3" t="s">
        <v>101</v>
      </c>
      <c r="E149" s="3" t="s">
        <v>69</v>
      </c>
      <c r="F149" s="2" t="s">
        <v>192</v>
      </c>
      <c r="G149" s="4">
        <v>20</v>
      </c>
      <c r="H149" s="5">
        <v>4.7399999999999993</v>
      </c>
      <c r="I149" s="5">
        <v>4.9408695390216373</v>
      </c>
      <c r="J149" s="6">
        <v>0</v>
      </c>
      <c r="K149" s="5">
        <v>0</v>
      </c>
      <c r="L149" s="6">
        <v>0</v>
      </c>
      <c r="M149" s="5">
        <v>0</v>
      </c>
      <c r="N149" s="6">
        <v>0</v>
      </c>
      <c r="O149" s="5">
        <v>0</v>
      </c>
      <c r="P149" s="6">
        <v>0</v>
      </c>
      <c r="Q149" s="5">
        <v>0</v>
      </c>
      <c r="R149" s="6">
        <v>593.54140451592798</v>
      </c>
      <c r="S149" s="5">
        <v>2813.3862574054979</v>
      </c>
      <c r="T149" s="6">
        <v>0</v>
      </c>
      <c r="U149" s="5">
        <v>0</v>
      </c>
      <c r="V149" s="6">
        <v>0</v>
      </c>
      <c r="W149" s="5">
        <v>0</v>
      </c>
      <c r="X149" s="6">
        <v>0</v>
      </c>
      <c r="Y149" s="5">
        <v>0</v>
      </c>
      <c r="Z149" s="6">
        <v>0</v>
      </c>
      <c r="AA149" s="5">
        <v>0</v>
      </c>
      <c r="AB149" s="6">
        <v>0</v>
      </c>
      <c r="AC149" s="5">
        <v>0</v>
      </c>
      <c r="AD149" s="6">
        <v>0</v>
      </c>
      <c r="AE149" s="5">
        <v>0</v>
      </c>
      <c r="AF149" s="6">
        <v>0</v>
      </c>
      <c r="AG149" s="5">
        <v>0</v>
      </c>
      <c r="AH149" s="7">
        <f t="shared" si="16"/>
        <v>593.54140451592798</v>
      </c>
      <c r="AI149" s="8">
        <f t="shared" si="17"/>
        <v>2813.3862574054979</v>
      </c>
      <c r="AJ149" s="6">
        <v>0</v>
      </c>
      <c r="AK149" s="5">
        <v>0</v>
      </c>
      <c r="AL149" s="6">
        <v>0</v>
      </c>
      <c r="AM149" s="5">
        <v>0</v>
      </c>
      <c r="AN149" s="6">
        <v>0</v>
      </c>
      <c r="AO149" s="5">
        <v>0</v>
      </c>
      <c r="AP149" s="6">
        <v>0</v>
      </c>
      <c r="AQ149" s="5">
        <v>0</v>
      </c>
      <c r="AR149" s="6">
        <v>760</v>
      </c>
      <c r="AS149" s="5">
        <v>3755.0608496564441</v>
      </c>
      <c r="AT149" s="6">
        <v>0</v>
      </c>
      <c r="AU149" s="5">
        <v>0</v>
      </c>
      <c r="AV149" s="6">
        <v>0</v>
      </c>
      <c r="AW149" s="5">
        <v>0</v>
      </c>
      <c r="AX149" s="6">
        <v>0</v>
      </c>
      <c r="AY149" s="5">
        <v>0</v>
      </c>
      <c r="AZ149" s="6">
        <v>0</v>
      </c>
      <c r="BA149" s="5">
        <v>0</v>
      </c>
      <c r="BB149" s="6">
        <v>0</v>
      </c>
      <c r="BC149" s="5">
        <v>0</v>
      </c>
      <c r="BD149" s="6">
        <v>0</v>
      </c>
      <c r="BE149" s="5">
        <v>0</v>
      </c>
      <c r="BF149" s="6">
        <v>0</v>
      </c>
      <c r="BG149" s="5">
        <v>0</v>
      </c>
      <c r="BH149" s="9">
        <f t="shared" si="18"/>
        <v>760</v>
      </c>
      <c r="BI149" s="10">
        <f t="shared" si="19"/>
        <v>3755.0608496564441</v>
      </c>
      <c r="BJ149" s="6">
        <f t="shared" si="20"/>
        <v>166.45859548407202</v>
      </c>
      <c r="BK149" s="11">
        <f t="shared" si="21"/>
        <v>0.28044984598813277</v>
      </c>
      <c r="BL149" s="5">
        <f t="shared" si="22"/>
        <v>941.67459225094626</v>
      </c>
      <c r="BM149" s="11">
        <f t="shared" si="23"/>
        <v>0.3347121603982518</v>
      </c>
    </row>
    <row r="150" spans="1:65" ht="15" customHeight="1" x14ac:dyDescent="0.4">
      <c r="A150" s="2" t="s">
        <v>65</v>
      </c>
      <c r="B150" s="2" t="s">
        <v>66</v>
      </c>
      <c r="C150" s="2" t="s">
        <v>199</v>
      </c>
      <c r="D150" s="3" t="s">
        <v>101</v>
      </c>
      <c r="E150" s="3" t="s">
        <v>118</v>
      </c>
      <c r="F150" s="2" t="s">
        <v>119</v>
      </c>
      <c r="G150" s="4">
        <v>5</v>
      </c>
      <c r="H150" s="5">
        <v>2.58</v>
      </c>
      <c r="I150" s="5">
        <v>2.689334052885195</v>
      </c>
      <c r="J150" s="6">
        <v>0</v>
      </c>
      <c r="K150" s="5">
        <v>0</v>
      </c>
      <c r="L150" s="6">
        <v>0</v>
      </c>
      <c r="M150" s="5">
        <v>0</v>
      </c>
      <c r="N150" s="6">
        <v>0</v>
      </c>
      <c r="O150" s="5">
        <v>0</v>
      </c>
      <c r="P150" s="6">
        <v>0</v>
      </c>
      <c r="Q150" s="5">
        <v>0</v>
      </c>
      <c r="R150" s="6">
        <v>0</v>
      </c>
      <c r="S150" s="5">
        <v>0</v>
      </c>
      <c r="T150" s="6">
        <v>1088.159241612535</v>
      </c>
      <c r="U150" s="5">
        <v>2807.4508433603391</v>
      </c>
      <c r="V150" s="6">
        <v>0</v>
      </c>
      <c r="W150" s="5">
        <v>0</v>
      </c>
      <c r="X150" s="6">
        <v>0</v>
      </c>
      <c r="Y150" s="5">
        <v>0</v>
      </c>
      <c r="Z150" s="6">
        <v>0</v>
      </c>
      <c r="AA150" s="5">
        <v>0</v>
      </c>
      <c r="AB150" s="6">
        <v>0</v>
      </c>
      <c r="AC150" s="5">
        <v>0</v>
      </c>
      <c r="AD150" s="6">
        <v>0</v>
      </c>
      <c r="AE150" s="5">
        <v>0</v>
      </c>
      <c r="AF150" s="6">
        <v>0</v>
      </c>
      <c r="AG150" s="5">
        <v>0</v>
      </c>
      <c r="AH150" s="7">
        <f t="shared" si="16"/>
        <v>1088.159241612535</v>
      </c>
      <c r="AI150" s="8">
        <f t="shared" si="17"/>
        <v>2807.4508433603391</v>
      </c>
      <c r="AJ150" s="6">
        <v>0</v>
      </c>
      <c r="AK150" s="5">
        <v>0</v>
      </c>
      <c r="AL150" s="6">
        <v>0</v>
      </c>
      <c r="AM150" s="5">
        <v>0</v>
      </c>
      <c r="AN150" s="6">
        <v>0</v>
      </c>
      <c r="AO150" s="5">
        <v>0</v>
      </c>
      <c r="AP150" s="6">
        <v>0</v>
      </c>
      <c r="AQ150" s="5">
        <v>0</v>
      </c>
      <c r="AR150" s="6">
        <v>0</v>
      </c>
      <c r="AS150" s="5">
        <v>0</v>
      </c>
      <c r="AT150" s="6">
        <v>1255</v>
      </c>
      <c r="AU150" s="5">
        <v>3375.11423637092</v>
      </c>
      <c r="AV150" s="6">
        <v>0</v>
      </c>
      <c r="AW150" s="5">
        <v>0</v>
      </c>
      <c r="AX150" s="6">
        <v>0</v>
      </c>
      <c r="AY150" s="5">
        <v>0</v>
      </c>
      <c r="AZ150" s="6">
        <v>0</v>
      </c>
      <c r="BA150" s="5">
        <v>0</v>
      </c>
      <c r="BB150" s="6">
        <v>0</v>
      </c>
      <c r="BC150" s="5">
        <v>0</v>
      </c>
      <c r="BD150" s="6">
        <v>0</v>
      </c>
      <c r="BE150" s="5">
        <v>0</v>
      </c>
      <c r="BF150" s="6">
        <v>0</v>
      </c>
      <c r="BG150" s="5">
        <v>0</v>
      </c>
      <c r="BH150" s="9">
        <f t="shared" si="18"/>
        <v>1255</v>
      </c>
      <c r="BI150" s="10">
        <f t="shared" si="19"/>
        <v>3375.11423637092</v>
      </c>
      <c r="BJ150" s="6">
        <f t="shared" si="20"/>
        <v>166.84075838746503</v>
      </c>
      <c r="BK150" s="11">
        <f t="shared" si="21"/>
        <v>0.15332384453237283</v>
      </c>
      <c r="BL150" s="5">
        <f t="shared" si="22"/>
        <v>567.66339301058088</v>
      </c>
      <c r="BM150" s="11">
        <f t="shared" si="23"/>
        <v>0.20219887174627219</v>
      </c>
    </row>
    <row r="151" spans="1:65" ht="15" customHeight="1" x14ac:dyDescent="0.4">
      <c r="A151" s="2" t="s">
        <v>65</v>
      </c>
      <c r="B151" s="2" t="s">
        <v>66</v>
      </c>
      <c r="C151" s="2" t="s">
        <v>199</v>
      </c>
      <c r="D151" s="3" t="s">
        <v>101</v>
      </c>
      <c r="E151" s="3" t="s">
        <v>122</v>
      </c>
      <c r="F151" s="2" t="s">
        <v>123</v>
      </c>
      <c r="G151" s="4">
        <v>5</v>
      </c>
      <c r="H151" s="5">
        <v>4.4000000000000004</v>
      </c>
      <c r="I151" s="5">
        <v>4.5864611754631239</v>
      </c>
      <c r="J151" s="6">
        <v>0</v>
      </c>
      <c r="K151" s="5">
        <v>0</v>
      </c>
      <c r="L151" s="6">
        <v>0</v>
      </c>
      <c r="M151" s="5">
        <v>0</v>
      </c>
      <c r="N151" s="6">
        <v>0</v>
      </c>
      <c r="O151" s="5">
        <v>0</v>
      </c>
      <c r="P151" s="6">
        <v>0</v>
      </c>
      <c r="Q151" s="5">
        <v>0</v>
      </c>
      <c r="R151" s="6">
        <v>0</v>
      </c>
      <c r="S151" s="5">
        <v>0</v>
      </c>
      <c r="T151" s="6">
        <v>593.54140451592798</v>
      </c>
      <c r="U151" s="5">
        <v>2611.5821798700831</v>
      </c>
      <c r="V151" s="6">
        <v>0</v>
      </c>
      <c r="W151" s="5">
        <v>0</v>
      </c>
      <c r="X151" s="6">
        <v>0</v>
      </c>
      <c r="Y151" s="5">
        <v>0</v>
      </c>
      <c r="Z151" s="6">
        <v>0</v>
      </c>
      <c r="AA151" s="5">
        <v>0</v>
      </c>
      <c r="AB151" s="6">
        <v>0</v>
      </c>
      <c r="AC151" s="5">
        <v>0</v>
      </c>
      <c r="AD151" s="6">
        <v>0</v>
      </c>
      <c r="AE151" s="5">
        <v>0</v>
      </c>
      <c r="AF151" s="6">
        <v>0</v>
      </c>
      <c r="AG151" s="5">
        <v>0</v>
      </c>
      <c r="AH151" s="7">
        <f t="shared" si="16"/>
        <v>593.54140451592798</v>
      </c>
      <c r="AI151" s="8">
        <f t="shared" si="17"/>
        <v>2611.5821798700831</v>
      </c>
      <c r="AJ151" s="6">
        <v>0</v>
      </c>
      <c r="AK151" s="5">
        <v>0</v>
      </c>
      <c r="AL151" s="6">
        <v>0</v>
      </c>
      <c r="AM151" s="5">
        <v>0</v>
      </c>
      <c r="AN151" s="6">
        <v>0</v>
      </c>
      <c r="AO151" s="5">
        <v>0</v>
      </c>
      <c r="AP151" s="6">
        <v>0</v>
      </c>
      <c r="AQ151" s="5">
        <v>0</v>
      </c>
      <c r="AR151" s="6">
        <v>0</v>
      </c>
      <c r="AS151" s="5">
        <v>0</v>
      </c>
      <c r="AT151" s="6">
        <v>750</v>
      </c>
      <c r="AU151" s="5">
        <v>3439.8458815973431</v>
      </c>
      <c r="AV151" s="6">
        <v>0</v>
      </c>
      <c r="AW151" s="5">
        <v>0</v>
      </c>
      <c r="AX151" s="6">
        <v>0</v>
      </c>
      <c r="AY151" s="5">
        <v>0</v>
      </c>
      <c r="AZ151" s="6">
        <v>0</v>
      </c>
      <c r="BA151" s="5">
        <v>0</v>
      </c>
      <c r="BB151" s="6">
        <v>0</v>
      </c>
      <c r="BC151" s="5">
        <v>0</v>
      </c>
      <c r="BD151" s="6">
        <v>0</v>
      </c>
      <c r="BE151" s="5">
        <v>0</v>
      </c>
      <c r="BF151" s="6">
        <v>0</v>
      </c>
      <c r="BG151" s="5">
        <v>0</v>
      </c>
      <c r="BH151" s="9">
        <f t="shared" si="18"/>
        <v>750</v>
      </c>
      <c r="BI151" s="10">
        <f t="shared" si="19"/>
        <v>3439.8458815973431</v>
      </c>
      <c r="BJ151" s="6">
        <f t="shared" si="20"/>
        <v>156.45859548407202</v>
      </c>
      <c r="BK151" s="11">
        <f t="shared" si="21"/>
        <v>0.26360182169881524</v>
      </c>
      <c r="BL151" s="5">
        <f t="shared" si="22"/>
        <v>828.26370172726001</v>
      </c>
      <c r="BM151" s="11">
        <f t="shared" si="23"/>
        <v>0.31715015828774845</v>
      </c>
    </row>
    <row r="152" spans="1:65" ht="15" customHeight="1" x14ac:dyDescent="0.4">
      <c r="A152" s="2" t="s">
        <v>65</v>
      </c>
      <c r="B152" s="2" t="s">
        <v>66</v>
      </c>
      <c r="C152" s="2" t="s">
        <v>199</v>
      </c>
      <c r="D152" s="3" t="s">
        <v>101</v>
      </c>
      <c r="E152" s="3" t="s">
        <v>126</v>
      </c>
      <c r="F152" s="2" t="s">
        <v>127</v>
      </c>
      <c r="G152" s="4">
        <v>20</v>
      </c>
      <c r="H152" s="5">
        <v>6.0399999999999991</v>
      </c>
      <c r="I152" s="5">
        <v>6.2959603408630151</v>
      </c>
      <c r="J152" s="6">
        <v>0</v>
      </c>
      <c r="K152" s="5">
        <v>0</v>
      </c>
      <c r="L152" s="6">
        <v>0</v>
      </c>
      <c r="M152" s="5">
        <v>0</v>
      </c>
      <c r="N152" s="6">
        <v>0</v>
      </c>
      <c r="O152" s="5">
        <v>0</v>
      </c>
      <c r="P152" s="6">
        <v>0</v>
      </c>
      <c r="Q152" s="5">
        <v>0</v>
      </c>
      <c r="R152" s="6">
        <v>0</v>
      </c>
      <c r="S152" s="5">
        <v>0</v>
      </c>
      <c r="T152" s="6">
        <v>633.11083148365651</v>
      </c>
      <c r="U152" s="5">
        <v>3823.9894221612849</v>
      </c>
      <c r="V152" s="6">
        <v>1266.221662967313</v>
      </c>
      <c r="W152" s="5">
        <v>7647.9788443225698</v>
      </c>
      <c r="X152" s="6">
        <v>0</v>
      </c>
      <c r="Y152" s="5">
        <v>0</v>
      </c>
      <c r="Z152" s="6">
        <v>0</v>
      </c>
      <c r="AA152" s="5">
        <v>0</v>
      </c>
      <c r="AB152" s="6">
        <v>0</v>
      </c>
      <c r="AC152" s="5">
        <v>0</v>
      </c>
      <c r="AD152" s="6">
        <v>0</v>
      </c>
      <c r="AE152" s="5">
        <v>0</v>
      </c>
      <c r="AF152" s="6">
        <v>0</v>
      </c>
      <c r="AG152" s="5">
        <v>0</v>
      </c>
      <c r="AH152" s="7">
        <f t="shared" si="16"/>
        <v>1899.3324944509695</v>
      </c>
      <c r="AI152" s="8">
        <f t="shared" si="17"/>
        <v>11471.968266483855</v>
      </c>
      <c r="AJ152" s="6">
        <v>0</v>
      </c>
      <c r="AK152" s="5">
        <v>0</v>
      </c>
      <c r="AL152" s="6">
        <v>0</v>
      </c>
      <c r="AM152" s="5">
        <v>0</v>
      </c>
      <c r="AN152" s="6">
        <v>0</v>
      </c>
      <c r="AO152" s="5">
        <v>0</v>
      </c>
      <c r="AP152" s="6">
        <v>0</v>
      </c>
      <c r="AQ152" s="5">
        <v>0</v>
      </c>
      <c r="AR152" s="6">
        <v>0</v>
      </c>
      <c r="AS152" s="5">
        <v>0</v>
      </c>
      <c r="AT152" s="6">
        <v>840</v>
      </c>
      <c r="AU152" s="5">
        <v>5288.6066863249334</v>
      </c>
      <c r="AV152" s="6">
        <v>1680</v>
      </c>
      <c r="AW152" s="5">
        <v>10577.213372649871</v>
      </c>
      <c r="AX152" s="6">
        <v>0</v>
      </c>
      <c r="AY152" s="5">
        <v>0</v>
      </c>
      <c r="AZ152" s="6">
        <v>0</v>
      </c>
      <c r="BA152" s="5">
        <v>0</v>
      </c>
      <c r="BB152" s="6">
        <v>0</v>
      </c>
      <c r="BC152" s="5">
        <v>0</v>
      </c>
      <c r="BD152" s="6">
        <v>0</v>
      </c>
      <c r="BE152" s="5">
        <v>0</v>
      </c>
      <c r="BF152" s="6">
        <v>0</v>
      </c>
      <c r="BG152" s="5">
        <v>0</v>
      </c>
      <c r="BH152" s="9">
        <f t="shared" si="18"/>
        <v>2520</v>
      </c>
      <c r="BI152" s="10">
        <f t="shared" si="19"/>
        <v>15865.820058974805</v>
      </c>
      <c r="BJ152" s="6">
        <f t="shared" si="20"/>
        <v>620.66750554903047</v>
      </c>
      <c r="BK152" s="11">
        <f t="shared" si="21"/>
        <v>0.32678191278375601</v>
      </c>
      <c r="BL152" s="5">
        <f t="shared" si="22"/>
        <v>4393.8517924909502</v>
      </c>
      <c r="BM152" s="11">
        <f t="shared" si="23"/>
        <v>0.38300766620213644</v>
      </c>
    </row>
    <row r="153" spans="1:65" ht="15" customHeight="1" x14ac:dyDescent="0.4">
      <c r="A153" s="2" t="s">
        <v>65</v>
      </c>
      <c r="B153" s="2" t="s">
        <v>66</v>
      </c>
      <c r="C153" s="2" t="s">
        <v>200</v>
      </c>
      <c r="D153" s="3" t="s">
        <v>134</v>
      </c>
      <c r="E153" s="3" t="s">
        <v>88</v>
      </c>
      <c r="F153" s="2" t="s">
        <v>89</v>
      </c>
      <c r="G153" s="4">
        <v>5</v>
      </c>
      <c r="H153" s="5">
        <v>2.37</v>
      </c>
      <c r="I153" s="5">
        <v>2.4704347695108191</v>
      </c>
      <c r="J153" s="6">
        <v>0</v>
      </c>
      <c r="K153" s="5">
        <v>0</v>
      </c>
      <c r="L153" s="6">
        <v>98.92356741932133</v>
      </c>
      <c r="M153" s="5">
        <v>234.44885478379149</v>
      </c>
      <c r="N153" s="6">
        <v>0</v>
      </c>
      <c r="O153" s="5">
        <v>0</v>
      </c>
      <c r="P153" s="6">
        <v>0</v>
      </c>
      <c r="Q153" s="5">
        <v>0</v>
      </c>
      <c r="R153" s="6">
        <v>0</v>
      </c>
      <c r="S153" s="5">
        <v>0</v>
      </c>
      <c r="T153" s="6">
        <v>0</v>
      </c>
      <c r="U153" s="5">
        <v>0</v>
      </c>
      <c r="V153" s="6">
        <v>0</v>
      </c>
      <c r="W153" s="5">
        <v>0</v>
      </c>
      <c r="X153" s="6">
        <v>0</v>
      </c>
      <c r="Y153" s="5">
        <v>0</v>
      </c>
      <c r="Z153" s="6">
        <v>0</v>
      </c>
      <c r="AA153" s="5">
        <v>0</v>
      </c>
      <c r="AB153" s="6">
        <v>0</v>
      </c>
      <c r="AC153" s="5">
        <v>0</v>
      </c>
      <c r="AD153" s="6">
        <v>0</v>
      </c>
      <c r="AE153" s="5">
        <v>0</v>
      </c>
      <c r="AF153" s="6">
        <v>0</v>
      </c>
      <c r="AG153" s="5">
        <v>0</v>
      </c>
      <c r="AH153" s="7">
        <f t="shared" si="16"/>
        <v>98.92356741932133</v>
      </c>
      <c r="AI153" s="8">
        <f t="shared" si="17"/>
        <v>234.44885478379149</v>
      </c>
      <c r="AJ153" s="6">
        <v>0</v>
      </c>
      <c r="AK153" s="5">
        <v>0</v>
      </c>
      <c r="AL153" s="6">
        <v>105</v>
      </c>
      <c r="AM153" s="5">
        <v>259.39565079863598</v>
      </c>
      <c r="AN153" s="6">
        <v>0</v>
      </c>
      <c r="AO153" s="5">
        <v>0</v>
      </c>
      <c r="AP153" s="6">
        <v>0</v>
      </c>
      <c r="AQ153" s="5">
        <v>0</v>
      </c>
      <c r="AR153" s="6">
        <v>0</v>
      </c>
      <c r="AS153" s="5">
        <v>0</v>
      </c>
      <c r="AT153" s="6">
        <v>0</v>
      </c>
      <c r="AU153" s="5">
        <v>0</v>
      </c>
      <c r="AV153" s="6">
        <v>0</v>
      </c>
      <c r="AW153" s="5">
        <v>0</v>
      </c>
      <c r="AX153" s="6">
        <v>0</v>
      </c>
      <c r="AY153" s="5">
        <v>0</v>
      </c>
      <c r="AZ153" s="6">
        <v>0</v>
      </c>
      <c r="BA153" s="5">
        <v>0</v>
      </c>
      <c r="BB153" s="6">
        <v>0</v>
      </c>
      <c r="BC153" s="5">
        <v>0</v>
      </c>
      <c r="BD153" s="6">
        <v>0</v>
      </c>
      <c r="BE153" s="5">
        <v>0</v>
      </c>
      <c r="BF153" s="6">
        <v>0</v>
      </c>
      <c r="BG153" s="5">
        <v>0</v>
      </c>
      <c r="BH153" s="9">
        <f t="shared" si="18"/>
        <v>105</v>
      </c>
      <c r="BI153" s="10">
        <f t="shared" si="19"/>
        <v>259.39565079863598</v>
      </c>
      <c r="BJ153" s="6">
        <f t="shared" si="20"/>
        <v>6.0764325806786701</v>
      </c>
      <c r="BK153" s="11">
        <f t="shared" si="21"/>
        <v>6.1425530227004803E-2</v>
      </c>
      <c r="BL153" s="5">
        <f t="shared" si="22"/>
        <v>24.946796014844494</v>
      </c>
      <c r="BM153" s="11">
        <f t="shared" si="23"/>
        <v>0.10640613296170888</v>
      </c>
    </row>
    <row r="154" spans="1:65" ht="15" customHeight="1" x14ac:dyDescent="0.4">
      <c r="A154" s="2" t="s">
        <v>65</v>
      </c>
      <c r="B154" s="2" t="s">
        <v>66</v>
      </c>
      <c r="C154" s="2" t="s">
        <v>200</v>
      </c>
      <c r="D154" s="3" t="s">
        <v>134</v>
      </c>
      <c r="E154" s="3" t="s">
        <v>118</v>
      </c>
      <c r="F154" s="2" t="s">
        <v>119</v>
      </c>
      <c r="G154" s="4">
        <v>5</v>
      </c>
      <c r="H154" s="5">
        <v>2.4900000000000002</v>
      </c>
      <c r="I154" s="5">
        <v>2.5955200742961768</v>
      </c>
      <c r="J154" s="6">
        <v>0</v>
      </c>
      <c r="K154" s="5">
        <v>0</v>
      </c>
      <c r="L154" s="6">
        <v>0</v>
      </c>
      <c r="M154" s="5">
        <v>0</v>
      </c>
      <c r="N154" s="6">
        <v>0</v>
      </c>
      <c r="O154" s="5">
        <v>0</v>
      </c>
      <c r="P154" s="6">
        <v>0</v>
      </c>
      <c r="Q154" s="5">
        <v>0</v>
      </c>
      <c r="R154" s="6">
        <v>0</v>
      </c>
      <c r="S154" s="5">
        <v>0</v>
      </c>
      <c r="T154" s="6">
        <v>0</v>
      </c>
      <c r="U154" s="5">
        <v>0</v>
      </c>
      <c r="V154" s="6">
        <v>494.61783709660659</v>
      </c>
      <c r="W154" s="5">
        <v>1231.59841437055</v>
      </c>
      <c r="X154" s="6">
        <v>0</v>
      </c>
      <c r="Y154" s="5">
        <v>0</v>
      </c>
      <c r="Z154" s="6">
        <v>0</v>
      </c>
      <c r="AA154" s="5">
        <v>0</v>
      </c>
      <c r="AB154" s="6">
        <v>0</v>
      </c>
      <c r="AC154" s="5">
        <v>0</v>
      </c>
      <c r="AD154" s="6">
        <v>0</v>
      </c>
      <c r="AE154" s="5">
        <v>0</v>
      </c>
      <c r="AF154" s="6">
        <v>0</v>
      </c>
      <c r="AG154" s="5">
        <v>0</v>
      </c>
      <c r="AH154" s="7">
        <f t="shared" si="16"/>
        <v>494.61783709660659</v>
      </c>
      <c r="AI154" s="8">
        <f t="shared" si="17"/>
        <v>1231.59841437055</v>
      </c>
      <c r="AJ154" s="6">
        <v>0</v>
      </c>
      <c r="AK154" s="5">
        <v>0</v>
      </c>
      <c r="AL154" s="6">
        <v>0</v>
      </c>
      <c r="AM154" s="5">
        <v>0</v>
      </c>
      <c r="AN154" s="6">
        <v>0</v>
      </c>
      <c r="AO154" s="5">
        <v>0</v>
      </c>
      <c r="AP154" s="6">
        <v>0</v>
      </c>
      <c r="AQ154" s="5">
        <v>0</v>
      </c>
      <c r="AR154" s="6">
        <v>0</v>
      </c>
      <c r="AS154" s="5">
        <v>0</v>
      </c>
      <c r="AT154" s="6">
        <v>0</v>
      </c>
      <c r="AU154" s="5">
        <v>0</v>
      </c>
      <c r="AV154" s="6">
        <v>535</v>
      </c>
      <c r="AW154" s="5">
        <v>1388.6032397484551</v>
      </c>
      <c r="AX154" s="6">
        <v>0</v>
      </c>
      <c r="AY154" s="5">
        <v>0</v>
      </c>
      <c r="AZ154" s="6">
        <v>0</v>
      </c>
      <c r="BA154" s="5">
        <v>0</v>
      </c>
      <c r="BB154" s="6">
        <v>0</v>
      </c>
      <c r="BC154" s="5">
        <v>0</v>
      </c>
      <c r="BD154" s="6">
        <v>0</v>
      </c>
      <c r="BE154" s="5">
        <v>0</v>
      </c>
      <c r="BF154" s="6">
        <v>0</v>
      </c>
      <c r="BG154" s="5">
        <v>0</v>
      </c>
      <c r="BH154" s="9">
        <f t="shared" si="18"/>
        <v>535</v>
      </c>
      <c r="BI154" s="10">
        <f t="shared" si="19"/>
        <v>1388.6032397484551</v>
      </c>
      <c r="BJ154" s="6">
        <f t="shared" si="20"/>
        <v>40.382162903393407</v>
      </c>
      <c r="BK154" s="11">
        <f t="shared" si="21"/>
        <v>8.1643159374185967E-2</v>
      </c>
      <c r="BL154" s="5">
        <f t="shared" si="22"/>
        <v>157.00482537790504</v>
      </c>
      <c r="BM154" s="11">
        <f t="shared" si="23"/>
        <v>0.12748053549431343</v>
      </c>
    </row>
    <row r="155" spans="1:65" ht="15" customHeight="1" x14ac:dyDescent="0.4">
      <c r="A155" s="2" t="s">
        <v>65</v>
      </c>
      <c r="B155" s="2" t="s">
        <v>66</v>
      </c>
      <c r="C155" s="2" t="s">
        <v>200</v>
      </c>
      <c r="D155" s="3" t="s">
        <v>134</v>
      </c>
      <c r="E155" s="3" t="s">
        <v>122</v>
      </c>
      <c r="F155" s="2" t="s">
        <v>123</v>
      </c>
      <c r="G155" s="4">
        <v>5</v>
      </c>
      <c r="H155" s="5">
        <v>4.63</v>
      </c>
      <c r="I155" s="5">
        <v>4.8262080096350592</v>
      </c>
      <c r="J155" s="6">
        <v>0</v>
      </c>
      <c r="K155" s="5">
        <v>0</v>
      </c>
      <c r="L155" s="6">
        <v>0</v>
      </c>
      <c r="M155" s="5">
        <v>0</v>
      </c>
      <c r="N155" s="6">
        <v>0</v>
      </c>
      <c r="O155" s="5">
        <v>0</v>
      </c>
      <c r="P155" s="6">
        <v>0</v>
      </c>
      <c r="Q155" s="5">
        <v>0</v>
      </c>
      <c r="R155" s="6">
        <v>0</v>
      </c>
      <c r="S155" s="5">
        <v>0</v>
      </c>
      <c r="T155" s="6">
        <v>0</v>
      </c>
      <c r="U155" s="5">
        <v>0</v>
      </c>
      <c r="V155" s="6">
        <v>98.92356741932133</v>
      </c>
      <c r="W155" s="5">
        <v>458.01611715145771</v>
      </c>
      <c r="X155" s="6">
        <v>0</v>
      </c>
      <c r="Y155" s="5">
        <v>0</v>
      </c>
      <c r="Z155" s="6">
        <v>0</v>
      </c>
      <c r="AA155" s="5">
        <v>0</v>
      </c>
      <c r="AB155" s="6">
        <v>0</v>
      </c>
      <c r="AC155" s="5">
        <v>0</v>
      </c>
      <c r="AD155" s="6">
        <v>0</v>
      </c>
      <c r="AE155" s="5">
        <v>0</v>
      </c>
      <c r="AF155" s="6">
        <v>0</v>
      </c>
      <c r="AG155" s="5">
        <v>0</v>
      </c>
      <c r="AH155" s="7">
        <f t="shared" si="16"/>
        <v>98.92356741932133</v>
      </c>
      <c r="AI155" s="8">
        <f t="shared" si="17"/>
        <v>458.01611715145771</v>
      </c>
      <c r="AJ155" s="6">
        <v>0</v>
      </c>
      <c r="AK155" s="5">
        <v>0</v>
      </c>
      <c r="AL155" s="6">
        <v>0</v>
      </c>
      <c r="AM155" s="5">
        <v>0</v>
      </c>
      <c r="AN155" s="6">
        <v>0</v>
      </c>
      <c r="AO155" s="5">
        <v>0</v>
      </c>
      <c r="AP155" s="6">
        <v>0</v>
      </c>
      <c r="AQ155" s="5">
        <v>0</v>
      </c>
      <c r="AR155" s="6">
        <v>0</v>
      </c>
      <c r="AS155" s="5">
        <v>0</v>
      </c>
      <c r="AT155" s="6">
        <v>0</v>
      </c>
      <c r="AU155" s="5">
        <v>0</v>
      </c>
      <c r="AV155" s="6">
        <v>115</v>
      </c>
      <c r="AW155" s="5">
        <v>555.01392110803181</v>
      </c>
      <c r="AX155" s="6">
        <v>0</v>
      </c>
      <c r="AY155" s="5">
        <v>0</v>
      </c>
      <c r="AZ155" s="6">
        <v>0</v>
      </c>
      <c r="BA155" s="5">
        <v>0</v>
      </c>
      <c r="BB155" s="6">
        <v>0</v>
      </c>
      <c r="BC155" s="5">
        <v>0</v>
      </c>
      <c r="BD155" s="6">
        <v>0</v>
      </c>
      <c r="BE155" s="5">
        <v>0</v>
      </c>
      <c r="BF155" s="6">
        <v>0</v>
      </c>
      <c r="BG155" s="5">
        <v>0</v>
      </c>
      <c r="BH155" s="9">
        <f t="shared" si="18"/>
        <v>115</v>
      </c>
      <c r="BI155" s="10">
        <f t="shared" si="19"/>
        <v>555.01392110803181</v>
      </c>
      <c r="BJ155" s="6">
        <f t="shared" si="20"/>
        <v>16.07643258067867</v>
      </c>
      <c r="BK155" s="11">
        <f t="shared" si="21"/>
        <v>0.16251367596291003</v>
      </c>
      <c r="BL155" s="5">
        <f t="shared" si="22"/>
        <v>96.997803956574103</v>
      </c>
      <c r="BM155" s="11">
        <f t="shared" si="23"/>
        <v>0.21177814562472846</v>
      </c>
    </row>
    <row r="156" spans="1:65" ht="15" customHeight="1" x14ac:dyDescent="0.4">
      <c r="A156" s="2" t="s">
        <v>65</v>
      </c>
      <c r="B156" s="2" t="s">
        <v>66</v>
      </c>
      <c r="C156" s="2" t="s">
        <v>200</v>
      </c>
      <c r="D156" s="3" t="s">
        <v>134</v>
      </c>
      <c r="E156" s="3" t="s">
        <v>201</v>
      </c>
      <c r="F156" s="2" t="s">
        <v>202</v>
      </c>
      <c r="G156" s="4">
        <v>5</v>
      </c>
      <c r="H156" s="5">
        <v>4.5299999999999994</v>
      </c>
      <c r="I156" s="5">
        <v>4.7219702556472614</v>
      </c>
      <c r="J156" s="6">
        <v>0</v>
      </c>
      <c r="K156" s="5">
        <v>0</v>
      </c>
      <c r="L156" s="6">
        <v>79.138853935457064</v>
      </c>
      <c r="M156" s="5">
        <v>358.49900832762052</v>
      </c>
      <c r="N156" s="6">
        <v>0</v>
      </c>
      <c r="O156" s="5">
        <v>0</v>
      </c>
      <c r="P156" s="6">
        <v>0</v>
      </c>
      <c r="Q156" s="5">
        <v>0</v>
      </c>
      <c r="R156" s="6">
        <v>0</v>
      </c>
      <c r="S156" s="5">
        <v>0</v>
      </c>
      <c r="T156" s="6">
        <v>0</v>
      </c>
      <c r="U156" s="5">
        <v>0</v>
      </c>
      <c r="V156" s="6">
        <v>0</v>
      </c>
      <c r="W156" s="5">
        <v>0</v>
      </c>
      <c r="X156" s="6">
        <v>0</v>
      </c>
      <c r="Y156" s="5">
        <v>0</v>
      </c>
      <c r="Z156" s="6">
        <v>0</v>
      </c>
      <c r="AA156" s="5">
        <v>0</v>
      </c>
      <c r="AB156" s="6">
        <v>0</v>
      </c>
      <c r="AC156" s="5">
        <v>0</v>
      </c>
      <c r="AD156" s="6">
        <v>0</v>
      </c>
      <c r="AE156" s="5">
        <v>0</v>
      </c>
      <c r="AF156" s="6">
        <v>0</v>
      </c>
      <c r="AG156" s="5">
        <v>0</v>
      </c>
      <c r="AH156" s="7">
        <f t="shared" si="16"/>
        <v>79.138853935457064</v>
      </c>
      <c r="AI156" s="8">
        <f t="shared" si="17"/>
        <v>358.49900832762052</v>
      </c>
      <c r="AJ156" s="6">
        <v>0</v>
      </c>
      <c r="AK156" s="5">
        <v>0</v>
      </c>
      <c r="AL156" s="6">
        <v>85</v>
      </c>
      <c r="AM156" s="5">
        <v>401.3674717300172</v>
      </c>
      <c r="AN156" s="6">
        <v>0</v>
      </c>
      <c r="AO156" s="5">
        <v>0</v>
      </c>
      <c r="AP156" s="6">
        <v>0</v>
      </c>
      <c r="AQ156" s="5">
        <v>0</v>
      </c>
      <c r="AR156" s="6">
        <v>0</v>
      </c>
      <c r="AS156" s="5">
        <v>0</v>
      </c>
      <c r="AT156" s="6">
        <v>0</v>
      </c>
      <c r="AU156" s="5">
        <v>0</v>
      </c>
      <c r="AV156" s="6">
        <v>0</v>
      </c>
      <c r="AW156" s="5">
        <v>0</v>
      </c>
      <c r="AX156" s="6">
        <v>0</v>
      </c>
      <c r="AY156" s="5">
        <v>0</v>
      </c>
      <c r="AZ156" s="6">
        <v>0</v>
      </c>
      <c r="BA156" s="5">
        <v>0</v>
      </c>
      <c r="BB156" s="6">
        <v>0</v>
      </c>
      <c r="BC156" s="5">
        <v>0</v>
      </c>
      <c r="BD156" s="6">
        <v>0</v>
      </c>
      <c r="BE156" s="5">
        <v>0</v>
      </c>
      <c r="BF156" s="6">
        <v>0</v>
      </c>
      <c r="BG156" s="5">
        <v>0</v>
      </c>
      <c r="BH156" s="9">
        <f t="shared" si="18"/>
        <v>85</v>
      </c>
      <c r="BI156" s="10">
        <f t="shared" si="19"/>
        <v>401.3674717300172</v>
      </c>
      <c r="BJ156" s="6">
        <f t="shared" si="20"/>
        <v>5.8611460645429361</v>
      </c>
      <c r="BK156" s="11">
        <f t="shared" si="21"/>
        <v>7.4061548443992958E-2</v>
      </c>
      <c r="BL156" s="5">
        <f t="shared" si="22"/>
        <v>42.868463402396685</v>
      </c>
      <c r="BM156" s="11">
        <f t="shared" si="23"/>
        <v>0.11957763454458596</v>
      </c>
    </row>
    <row r="157" spans="1:65" ht="15" customHeight="1" x14ac:dyDescent="0.4">
      <c r="A157" s="2" t="s">
        <v>65</v>
      </c>
      <c r="B157" s="2" t="s">
        <v>66</v>
      </c>
      <c r="C157" s="2" t="s">
        <v>200</v>
      </c>
      <c r="D157" s="3" t="s">
        <v>134</v>
      </c>
      <c r="E157" s="3" t="s">
        <v>203</v>
      </c>
      <c r="F157" s="2" t="s">
        <v>204</v>
      </c>
      <c r="G157" s="4">
        <v>5</v>
      </c>
      <c r="H157" s="5">
        <v>4.42</v>
      </c>
      <c r="I157" s="5">
        <v>4.6073087262606833</v>
      </c>
      <c r="J157" s="6">
        <v>0</v>
      </c>
      <c r="K157" s="5">
        <v>0</v>
      </c>
      <c r="L157" s="6">
        <v>0</v>
      </c>
      <c r="M157" s="5">
        <v>0</v>
      </c>
      <c r="N157" s="6">
        <v>0</v>
      </c>
      <c r="O157" s="5">
        <v>0</v>
      </c>
      <c r="P157" s="6">
        <v>0</v>
      </c>
      <c r="Q157" s="5">
        <v>0</v>
      </c>
      <c r="R157" s="6">
        <v>0</v>
      </c>
      <c r="S157" s="5">
        <v>0</v>
      </c>
      <c r="T157" s="6">
        <v>0</v>
      </c>
      <c r="U157" s="5">
        <v>0</v>
      </c>
      <c r="V157" s="6">
        <v>98.92356741932133</v>
      </c>
      <c r="W157" s="5">
        <v>437.24216799340019</v>
      </c>
      <c r="X157" s="6">
        <v>0</v>
      </c>
      <c r="Y157" s="5">
        <v>0</v>
      </c>
      <c r="Z157" s="6">
        <v>0</v>
      </c>
      <c r="AA157" s="5">
        <v>0</v>
      </c>
      <c r="AB157" s="6">
        <v>0</v>
      </c>
      <c r="AC157" s="5">
        <v>0</v>
      </c>
      <c r="AD157" s="6">
        <v>0</v>
      </c>
      <c r="AE157" s="5">
        <v>0</v>
      </c>
      <c r="AF157" s="6">
        <v>0</v>
      </c>
      <c r="AG157" s="5">
        <v>0</v>
      </c>
      <c r="AH157" s="7">
        <f t="shared" si="16"/>
        <v>98.92356741932133</v>
      </c>
      <c r="AI157" s="8">
        <f t="shared" si="17"/>
        <v>437.24216799340019</v>
      </c>
      <c r="AJ157" s="6">
        <v>0</v>
      </c>
      <c r="AK157" s="5">
        <v>0</v>
      </c>
      <c r="AL157" s="6">
        <v>0</v>
      </c>
      <c r="AM157" s="5">
        <v>0</v>
      </c>
      <c r="AN157" s="6">
        <v>0</v>
      </c>
      <c r="AO157" s="5">
        <v>0</v>
      </c>
      <c r="AP157" s="6">
        <v>0</v>
      </c>
      <c r="AQ157" s="5">
        <v>0</v>
      </c>
      <c r="AR157" s="6">
        <v>0</v>
      </c>
      <c r="AS157" s="5">
        <v>0</v>
      </c>
      <c r="AT157" s="6">
        <v>0</v>
      </c>
      <c r="AU157" s="5">
        <v>0</v>
      </c>
      <c r="AV157" s="6">
        <v>105</v>
      </c>
      <c r="AW157" s="5">
        <v>483.76741625737179</v>
      </c>
      <c r="AX157" s="6">
        <v>0</v>
      </c>
      <c r="AY157" s="5">
        <v>0</v>
      </c>
      <c r="AZ157" s="6">
        <v>0</v>
      </c>
      <c r="BA157" s="5">
        <v>0</v>
      </c>
      <c r="BB157" s="6">
        <v>0</v>
      </c>
      <c r="BC157" s="5">
        <v>0</v>
      </c>
      <c r="BD157" s="6">
        <v>0</v>
      </c>
      <c r="BE157" s="5">
        <v>0</v>
      </c>
      <c r="BF157" s="6">
        <v>0</v>
      </c>
      <c r="BG157" s="5">
        <v>0</v>
      </c>
      <c r="BH157" s="9">
        <f t="shared" si="18"/>
        <v>105</v>
      </c>
      <c r="BI157" s="10">
        <f t="shared" si="19"/>
        <v>483.76741625737179</v>
      </c>
      <c r="BJ157" s="6">
        <f t="shared" si="20"/>
        <v>6.0764325806786701</v>
      </c>
      <c r="BK157" s="11">
        <f t="shared" si="21"/>
        <v>6.1425530227004803E-2</v>
      </c>
      <c r="BL157" s="5">
        <f t="shared" si="22"/>
        <v>46.525248263971605</v>
      </c>
      <c r="BM157" s="11">
        <f t="shared" si="23"/>
        <v>0.10640613296170891</v>
      </c>
    </row>
    <row r="158" spans="1:65" ht="15" customHeight="1" x14ac:dyDescent="0.4">
      <c r="A158" s="2" t="s">
        <v>65</v>
      </c>
      <c r="B158" s="2" t="s">
        <v>66</v>
      </c>
      <c r="C158" s="2" t="s">
        <v>200</v>
      </c>
      <c r="D158" s="3" t="s">
        <v>134</v>
      </c>
      <c r="E158" s="3" t="s">
        <v>205</v>
      </c>
      <c r="F158" s="2" t="s">
        <v>206</v>
      </c>
      <c r="G158" s="4">
        <v>1</v>
      </c>
      <c r="H158" s="5">
        <v>13.16</v>
      </c>
      <c r="I158" s="5">
        <v>13.71768842479425</v>
      </c>
      <c r="J158" s="6">
        <v>0</v>
      </c>
      <c r="K158" s="5">
        <v>0</v>
      </c>
      <c r="L158" s="6">
        <v>35.612484270955683</v>
      </c>
      <c r="M158" s="5">
        <v>468.66029300577668</v>
      </c>
      <c r="N158" s="6">
        <v>0</v>
      </c>
      <c r="O158" s="5">
        <v>0</v>
      </c>
      <c r="P158" s="6">
        <v>0</v>
      </c>
      <c r="Q158" s="5">
        <v>0</v>
      </c>
      <c r="R158" s="6">
        <v>0</v>
      </c>
      <c r="S158" s="5">
        <v>0</v>
      </c>
      <c r="T158" s="6">
        <v>0</v>
      </c>
      <c r="U158" s="5">
        <v>0</v>
      </c>
      <c r="V158" s="6">
        <v>0</v>
      </c>
      <c r="W158" s="5">
        <v>0</v>
      </c>
      <c r="X158" s="6">
        <v>0</v>
      </c>
      <c r="Y158" s="5">
        <v>0</v>
      </c>
      <c r="Z158" s="6">
        <v>0</v>
      </c>
      <c r="AA158" s="5">
        <v>0</v>
      </c>
      <c r="AB158" s="6">
        <v>0</v>
      </c>
      <c r="AC158" s="5">
        <v>0</v>
      </c>
      <c r="AD158" s="6">
        <v>0</v>
      </c>
      <c r="AE158" s="5">
        <v>0</v>
      </c>
      <c r="AF158" s="6">
        <v>0</v>
      </c>
      <c r="AG158" s="5">
        <v>0</v>
      </c>
      <c r="AH158" s="7">
        <f t="shared" si="16"/>
        <v>35.612484270955683</v>
      </c>
      <c r="AI158" s="8">
        <f t="shared" si="17"/>
        <v>468.66029300577668</v>
      </c>
      <c r="AJ158" s="6">
        <v>0</v>
      </c>
      <c r="AK158" s="5">
        <v>0</v>
      </c>
      <c r="AL158" s="6">
        <v>39</v>
      </c>
      <c r="AM158" s="5">
        <v>534.98984856697587</v>
      </c>
      <c r="AN158" s="6">
        <v>0</v>
      </c>
      <c r="AO158" s="5">
        <v>0</v>
      </c>
      <c r="AP158" s="6">
        <v>0</v>
      </c>
      <c r="AQ158" s="5">
        <v>0</v>
      </c>
      <c r="AR158" s="6">
        <v>0</v>
      </c>
      <c r="AS158" s="5">
        <v>0</v>
      </c>
      <c r="AT158" s="6">
        <v>0</v>
      </c>
      <c r="AU158" s="5">
        <v>0</v>
      </c>
      <c r="AV158" s="6">
        <v>0</v>
      </c>
      <c r="AW158" s="5">
        <v>0</v>
      </c>
      <c r="AX158" s="6">
        <v>0</v>
      </c>
      <c r="AY158" s="5">
        <v>0</v>
      </c>
      <c r="AZ158" s="6">
        <v>0</v>
      </c>
      <c r="BA158" s="5">
        <v>0</v>
      </c>
      <c r="BB158" s="6">
        <v>0</v>
      </c>
      <c r="BC158" s="5">
        <v>0</v>
      </c>
      <c r="BD158" s="6">
        <v>0</v>
      </c>
      <c r="BE158" s="5">
        <v>0</v>
      </c>
      <c r="BF158" s="6">
        <v>0</v>
      </c>
      <c r="BG158" s="5">
        <v>0</v>
      </c>
      <c r="BH158" s="9">
        <f t="shared" si="18"/>
        <v>39</v>
      </c>
      <c r="BI158" s="10">
        <f t="shared" si="19"/>
        <v>534.98984856697587</v>
      </c>
      <c r="BJ158" s="6">
        <f t="shared" si="20"/>
        <v>3.387515729044317</v>
      </c>
      <c r="BK158" s="11">
        <f t="shared" si="21"/>
        <v>9.5121578805639748E-2</v>
      </c>
      <c r="BL158" s="5">
        <f t="shared" si="22"/>
        <v>66.329555561199186</v>
      </c>
      <c r="BM158" s="11">
        <f t="shared" si="23"/>
        <v>0.14153013718271543</v>
      </c>
    </row>
    <row r="159" spans="1:65" ht="15" customHeight="1" x14ac:dyDescent="0.4">
      <c r="A159" s="2" t="s">
        <v>65</v>
      </c>
      <c r="B159" s="2" t="s">
        <v>66</v>
      </c>
      <c r="C159" s="2" t="s">
        <v>200</v>
      </c>
      <c r="D159" s="3" t="s">
        <v>134</v>
      </c>
      <c r="E159" s="3" t="s">
        <v>131</v>
      </c>
      <c r="F159" s="2" t="s">
        <v>132</v>
      </c>
      <c r="G159" s="4">
        <v>20</v>
      </c>
      <c r="H159" s="5">
        <v>1.8028571428571429</v>
      </c>
      <c r="I159" s="5">
        <v>1.8792577933228769</v>
      </c>
      <c r="J159" s="6">
        <v>0</v>
      </c>
      <c r="K159" s="5">
        <v>0</v>
      </c>
      <c r="L159" s="6">
        <v>39.569426967728532</v>
      </c>
      <c r="M159" s="5">
        <v>75.577605508361501</v>
      </c>
      <c r="N159" s="6">
        <v>0</v>
      </c>
      <c r="O159" s="5">
        <v>0</v>
      </c>
      <c r="P159" s="6">
        <v>0</v>
      </c>
      <c r="Q159" s="5">
        <v>0</v>
      </c>
      <c r="R159" s="6">
        <v>0</v>
      </c>
      <c r="S159" s="5">
        <v>0</v>
      </c>
      <c r="T159" s="6">
        <v>0</v>
      </c>
      <c r="U159" s="5">
        <v>0</v>
      </c>
      <c r="V159" s="6">
        <v>98.92356741932133</v>
      </c>
      <c r="W159" s="5">
        <v>174.1054786580055</v>
      </c>
      <c r="X159" s="6">
        <v>0</v>
      </c>
      <c r="Y159" s="5">
        <v>0</v>
      </c>
      <c r="Z159" s="6">
        <v>0</v>
      </c>
      <c r="AA159" s="5">
        <v>0</v>
      </c>
      <c r="AB159" s="6">
        <v>0</v>
      </c>
      <c r="AC159" s="5">
        <v>0</v>
      </c>
      <c r="AD159" s="6">
        <v>0</v>
      </c>
      <c r="AE159" s="5">
        <v>0</v>
      </c>
      <c r="AF159" s="6">
        <v>0</v>
      </c>
      <c r="AG159" s="5">
        <v>0</v>
      </c>
      <c r="AH159" s="7">
        <f t="shared" si="16"/>
        <v>138.49299438704986</v>
      </c>
      <c r="AI159" s="8">
        <f t="shared" si="17"/>
        <v>249.683084166367</v>
      </c>
      <c r="AJ159" s="6">
        <v>0</v>
      </c>
      <c r="AK159" s="5">
        <v>0</v>
      </c>
      <c r="AL159" s="6">
        <v>40</v>
      </c>
      <c r="AM159" s="5">
        <v>79.637644046677892</v>
      </c>
      <c r="AN159" s="6">
        <v>0</v>
      </c>
      <c r="AO159" s="5">
        <v>0</v>
      </c>
      <c r="AP159" s="6">
        <v>0</v>
      </c>
      <c r="AQ159" s="5">
        <v>0</v>
      </c>
      <c r="AR159" s="6">
        <v>0</v>
      </c>
      <c r="AS159" s="5">
        <v>0</v>
      </c>
      <c r="AT159" s="6">
        <v>0</v>
      </c>
      <c r="AU159" s="5">
        <v>0</v>
      </c>
      <c r="AV159" s="6">
        <v>100</v>
      </c>
      <c r="AW159" s="5">
        <v>183.45844701852491</v>
      </c>
      <c r="AX159" s="6">
        <v>0</v>
      </c>
      <c r="AY159" s="5">
        <v>0</v>
      </c>
      <c r="AZ159" s="6">
        <v>0</v>
      </c>
      <c r="BA159" s="5">
        <v>0</v>
      </c>
      <c r="BB159" s="6">
        <v>0</v>
      </c>
      <c r="BC159" s="5">
        <v>0</v>
      </c>
      <c r="BD159" s="6">
        <v>0</v>
      </c>
      <c r="BE159" s="5">
        <v>0</v>
      </c>
      <c r="BF159" s="6">
        <v>0</v>
      </c>
      <c r="BG159" s="5">
        <v>0</v>
      </c>
      <c r="BH159" s="9">
        <f t="shared" si="18"/>
        <v>140</v>
      </c>
      <c r="BI159" s="10">
        <f t="shared" si="19"/>
        <v>263.09609106520281</v>
      </c>
      <c r="BJ159" s="6">
        <f t="shared" si="20"/>
        <v>1.5070056129501381</v>
      </c>
      <c r="BK159" s="11">
        <f t="shared" si="21"/>
        <v>1.0881457359052195E-2</v>
      </c>
      <c r="BL159" s="5">
        <f t="shared" si="22"/>
        <v>13.413006898835818</v>
      </c>
      <c r="BM159" s="11">
        <f t="shared" si="23"/>
        <v>5.3720126630198789E-2</v>
      </c>
    </row>
    <row r="160" spans="1:65" ht="15" customHeight="1" x14ac:dyDescent="0.4">
      <c r="A160" s="2" t="s">
        <v>65</v>
      </c>
      <c r="B160" s="2" t="s">
        <v>66</v>
      </c>
      <c r="C160" s="2" t="s">
        <v>207</v>
      </c>
      <c r="D160" s="3" t="s">
        <v>101</v>
      </c>
      <c r="E160" s="3" t="s">
        <v>102</v>
      </c>
      <c r="F160" s="2" t="s">
        <v>103</v>
      </c>
      <c r="G160" s="4">
        <v>5</v>
      </c>
      <c r="H160" s="5">
        <v>5.0999999999999996</v>
      </c>
      <c r="I160" s="5">
        <v>5.3161254533777118</v>
      </c>
      <c r="J160" s="6">
        <v>0</v>
      </c>
      <c r="K160" s="5">
        <v>0</v>
      </c>
      <c r="L160" s="6">
        <v>0</v>
      </c>
      <c r="M160" s="5">
        <v>0</v>
      </c>
      <c r="N160" s="6">
        <v>0</v>
      </c>
      <c r="O160" s="5">
        <v>0</v>
      </c>
      <c r="P160" s="6">
        <v>989.23567419321319</v>
      </c>
      <c r="Q160" s="5">
        <v>5045.1019383853873</v>
      </c>
      <c r="R160" s="6">
        <v>0</v>
      </c>
      <c r="S160" s="5">
        <v>0</v>
      </c>
      <c r="T160" s="6">
        <v>0</v>
      </c>
      <c r="U160" s="5">
        <v>0</v>
      </c>
      <c r="V160" s="6">
        <v>0</v>
      </c>
      <c r="W160" s="5">
        <v>0</v>
      </c>
      <c r="X160" s="6">
        <v>0</v>
      </c>
      <c r="Y160" s="5">
        <v>0</v>
      </c>
      <c r="Z160" s="6">
        <v>0</v>
      </c>
      <c r="AA160" s="5">
        <v>0</v>
      </c>
      <c r="AB160" s="6">
        <v>0</v>
      </c>
      <c r="AC160" s="5">
        <v>0</v>
      </c>
      <c r="AD160" s="6">
        <v>0</v>
      </c>
      <c r="AE160" s="5">
        <v>0</v>
      </c>
      <c r="AF160" s="6">
        <v>0</v>
      </c>
      <c r="AG160" s="5">
        <v>0</v>
      </c>
      <c r="AH160" s="7">
        <f t="shared" si="16"/>
        <v>989.23567419321319</v>
      </c>
      <c r="AI160" s="8">
        <f t="shared" si="17"/>
        <v>5045.1019383853873</v>
      </c>
      <c r="AJ160" s="6">
        <v>0</v>
      </c>
      <c r="AK160" s="5">
        <v>0</v>
      </c>
      <c r="AL160" s="6">
        <v>0</v>
      </c>
      <c r="AM160" s="5">
        <v>0</v>
      </c>
      <c r="AN160" s="6">
        <v>0</v>
      </c>
      <c r="AO160" s="5">
        <v>0</v>
      </c>
      <c r="AP160" s="6">
        <v>1305</v>
      </c>
      <c r="AQ160" s="5">
        <v>6937.543716657914</v>
      </c>
      <c r="AR160" s="6">
        <v>0</v>
      </c>
      <c r="AS160" s="5">
        <v>0</v>
      </c>
      <c r="AT160" s="6">
        <v>0</v>
      </c>
      <c r="AU160" s="5">
        <v>0</v>
      </c>
      <c r="AV160" s="6">
        <v>0</v>
      </c>
      <c r="AW160" s="5">
        <v>0</v>
      </c>
      <c r="AX160" s="6">
        <v>0</v>
      </c>
      <c r="AY160" s="5">
        <v>0</v>
      </c>
      <c r="AZ160" s="6">
        <v>0</v>
      </c>
      <c r="BA160" s="5">
        <v>0</v>
      </c>
      <c r="BB160" s="6">
        <v>0</v>
      </c>
      <c r="BC160" s="5">
        <v>0</v>
      </c>
      <c r="BD160" s="6">
        <v>0</v>
      </c>
      <c r="BE160" s="5">
        <v>0</v>
      </c>
      <c r="BF160" s="6">
        <v>0</v>
      </c>
      <c r="BG160" s="5">
        <v>0</v>
      </c>
      <c r="BH160" s="9">
        <f t="shared" si="18"/>
        <v>1305</v>
      </c>
      <c r="BI160" s="10">
        <f t="shared" si="19"/>
        <v>6937.543716657914</v>
      </c>
      <c r="BJ160" s="6">
        <f t="shared" si="20"/>
        <v>315.76432580678681</v>
      </c>
      <c r="BK160" s="11">
        <f t="shared" si="21"/>
        <v>0.31920030185356324</v>
      </c>
      <c r="BL160" s="5">
        <f t="shared" si="22"/>
        <v>1892.4417782725268</v>
      </c>
      <c r="BM160" s="11">
        <f t="shared" si="23"/>
        <v>0.37510476525240949</v>
      </c>
    </row>
    <row r="161" spans="1:65" ht="15" customHeight="1" x14ac:dyDescent="0.4">
      <c r="A161" s="2" t="s">
        <v>65</v>
      </c>
      <c r="B161" s="2" t="s">
        <v>66</v>
      </c>
      <c r="C161" s="2" t="s">
        <v>207</v>
      </c>
      <c r="D161" s="3" t="s">
        <v>101</v>
      </c>
      <c r="E161" s="3" t="s">
        <v>108</v>
      </c>
      <c r="F161" s="2" t="s">
        <v>109</v>
      </c>
      <c r="G161" s="4">
        <v>5</v>
      </c>
      <c r="H161" s="5">
        <v>3.55</v>
      </c>
      <c r="I161" s="5">
        <v>3.7004402665668379</v>
      </c>
      <c r="J161" s="6">
        <v>0</v>
      </c>
      <c r="K161" s="5">
        <v>0</v>
      </c>
      <c r="L161" s="6">
        <v>0</v>
      </c>
      <c r="M161" s="5">
        <v>0</v>
      </c>
      <c r="N161" s="6">
        <v>0</v>
      </c>
      <c r="O161" s="5">
        <v>0</v>
      </c>
      <c r="P161" s="6">
        <v>1483.8535112898201</v>
      </c>
      <c r="Q161" s="5">
        <v>5267.6799650788607</v>
      </c>
      <c r="R161" s="6">
        <v>0</v>
      </c>
      <c r="S161" s="5">
        <v>0</v>
      </c>
      <c r="T161" s="6">
        <v>0</v>
      </c>
      <c r="U161" s="5">
        <v>0</v>
      </c>
      <c r="V161" s="6">
        <v>0</v>
      </c>
      <c r="W161" s="5">
        <v>0</v>
      </c>
      <c r="X161" s="6">
        <v>0</v>
      </c>
      <c r="Y161" s="5">
        <v>0</v>
      </c>
      <c r="Z161" s="6">
        <v>0</v>
      </c>
      <c r="AA161" s="5">
        <v>0</v>
      </c>
      <c r="AB161" s="6">
        <v>0</v>
      </c>
      <c r="AC161" s="5">
        <v>0</v>
      </c>
      <c r="AD161" s="6">
        <v>0</v>
      </c>
      <c r="AE161" s="5">
        <v>0</v>
      </c>
      <c r="AF161" s="6">
        <v>0</v>
      </c>
      <c r="AG161" s="5">
        <v>0</v>
      </c>
      <c r="AH161" s="7">
        <f t="shared" si="16"/>
        <v>1483.8535112898201</v>
      </c>
      <c r="AI161" s="8">
        <f t="shared" si="17"/>
        <v>5267.6799650788607</v>
      </c>
      <c r="AJ161" s="6">
        <v>0</v>
      </c>
      <c r="AK161" s="5">
        <v>0</v>
      </c>
      <c r="AL161" s="6">
        <v>0</v>
      </c>
      <c r="AM161" s="5">
        <v>0</v>
      </c>
      <c r="AN161" s="6">
        <v>0</v>
      </c>
      <c r="AO161" s="5">
        <v>0</v>
      </c>
      <c r="AP161" s="6">
        <v>1875</v>
      </c>
      <c r="AQ161" s="5">
        <v>6938.3254998128223</v>
      </c>
      <c r="AR161" s="6">
        <v>0</v>
      </c>
      <c r="AS161" s="5">
        <v>0</v>
      </c>
      <c r="AT161" s="6">
        <v>0</v>
      </c>
      <c r="AU161" s="5">
        <v>0</v>
      </c>
      <c r="AV161" s="6">
        <v>0</v>
      </c>
      <c r="AW161" s="5">
        <v>0</v>
      </c>
      <c r="AX161" s="6">
        <v>0</v>
      </c>
      <c r="AY161" s="5">
        <v>0</v>
      </c>
      <c r="AZ161" s="6">
        <v>0</v>
      </c>
      <c r="BA161" s="5">
        <v>0</v>
      </c>
      <c r="BB161" s="6">
        <v>0</v>
      </c>
      <c r="BC161" s="5">
        <v>0</v>
      </c>
      <c r="BD161" s="6">
        <v>0</v>
      </c>
      <c r="BE161" s="5">
        <v>0</v>
      </c>
      <c r="BF161" s="6">
        <v>0</v>
      </c>
      <c r="BG161" s="5">
        <v>0</v>
      </c>
      <c r="BH161" s="9">
        <f t="shared" si="18"/>
        <v>1875</v>
      </c>
      <c r="BI161" s="10">
        <f t="shared" si="19"/>
        <v>6938.3254998128223</v>
      </c>
      <c r="BJ161" s="6">
        <f t="shared" si="20"/>
        <v>391.14648871017994</v>
      </c>
      <c r="BK161" s="11">
        <f t="shared" si="21"/>
        <v>0.26360182169881513</v>
      </c>
      <c r="BL161" s="5">
        <f t="shared" si="22"/>
        <v>1670.6455347339615</v>
      </c>
      <c r="BM161" s="11">
        <f t="shared" si="23"/>
        <v>0.3171501582877484</v>
      </c>
    </row>
    <row r="162" spans="1:65" ht="15" customHeight="1" x14ac:dyDescent="0.4">
      <c r="A162" s="2" t="s">
        <v>65</v>
      </c>
      <c r="B162" s="2" t="s">
        <v>66</v>
      </c>
      <c r="C162" s="2" t="s">
        <v>208</v>
      </c>
      <c r="D162" s="3" t="s">
        <v>101</v>
      </c>
      <c r="E162" s="3" t="s">
        <v>209</v>
      </c>
      <c r="F162" s="2" t="s">
        <v>210</v>
      </c>
      <c r="G162" s="4">
        <v>1</v>
      </c>
      <c r="H162" s="5">
        <v>10.95</v>
      </c>
      <c r="I162" s="5">
        <v>11.41403406166391</v>
      </c>
      <c r="J162" s="6">
        <v>0</v>
      </c>
      <c r="K162" s="5">
        <v>0</v>
      </c>
      <c r="L162" s="6">
        <v>0</v>
      </c>
      <c r="M162" s="5">
        <v>0</v>
      </c>
      <c r="N162" s="6">
        <v>0</v>
      </c>
      <c r="O162" s="5">
        <v>0</v>
      </c>
      <c r="P162" s="6">
        <v>47.483312361274237</v>
      </c>
      <c r="Q162" s="5">
        <v>519.94227035595293</v>
      </c>
      <c r="R162" s="6">
        <v>0</v>
      </c>
      <c r="S162" s="5">
        <v>0</v>
      </c>
      <c r="T162" s="6">
        <v>0</v>
      </c>
      <c r="U162" s="5">
        <v>0</v>
      </c>
      <c r="V162" s="6">
        <v>0</v>
      </c>
      <c r="W162" s="5">
        <v>0</v>
      </c>
      <c r="X162" s="6">
        <v>0</v>
      </c>
      <c r="Y162" s="5">
        <v>0</v>
      </c>
      <c r="Z162" s="6">
        <v>0</v>
      </c>
      <c r="AA162" s="5">
        <v>0</v>
      </c>
      <c r="AB162" s="6">
        <v>0</v>
      </c>
      <c r="AC162" s="5">
        <v>0</v>
      </c>
      <c r="AD162" s="6">
        <v>0</v>
      </c>
      <c r="AE162" s="5">
        <v>0</v>
      </c>
      <c r="AF162" s="6">
        <v>0</v>
      </c>
      <c r="AG162" s="5">
        <v>0</v>
      </c>
      <c r="AH162" s="7">
        <f t="shared" si="16"/>
        <v>47.483312361274237</v>
      </c>
      <c r="AI162" s="8">
        <f t="shared" si="17"/>
        <v>519.94227035595293</v>
      </c>
      <c r="AJ162" s="6">
        <v>0</v>
      </c>
      <c r="AK162" s="5">
        <v>0</v>
      </c>
      <c r="AL162" s="6">
        <v>0</v>
      </c>
      <c r="AM162" s="5">
        <v>0</v>
      </c>
      <c r="AN162" s="6">
        <v>0</v>
      </c>
      <c r="AO162" s="5">
        <v>0</v>
      </c>
      <c r="AP162" s="6">
        <v>51</v>
      </c>
      <c r="AQ162" s="5">
        <v>582.11573714485939</v>
      </c>
      <c r="AR162" s="6">
        <v>0</v>
      </c>
      <c r="AS162" s="5">
        <v>0</v>
      </c>
      <c r="AT162" s="6">
        <v>0</v>
      </c>
      <c r="AU162" s="5">
        <v>0</v>
      </c>
      <c r="AV162" s="6">
        <v>0</v>
      </c>
      <c r="AW162" s="5">
        <v>0</v>
      </c>
      <c r="AX162" s="6">
        <v>0</v>
      </c>
      <c r="AY162" s="5">
        <v>0</v>
      </c>
      <c r="AZ162" s="6">
        <v>0</v>
      </c>
      <c r="BA162" s="5">
        <v>0</v>
      </c>
      <c r="BB162" s="6">
        <v>0</v>
      </c>
      <c r="BC162" s="5">
        <v>0</v>
      </c>
      <c r="BD162" s="6">
        <v>0</v>
      </c>
      <c r="BE162" s="5">
        <v>0</v>
      </c>
      <c r="BF162" s="6">
        <v>0</v>
      </c>
      <c r="BG162" s="5">
        <v>0</v>
      </c>
      <c r="BH162" s="9">
        <f t="shared" si="18"/>
        <v>51</v>
      </c>
      <c r="BI162" s="10">
        <f t="shared" si="19"/>
        <v>582.11573714485939</v>
      </c>
      <c r="BJ162" s="6">
        <f t="shared" si="20"/>
        <v>3.5166876387257631</v>
      </c>
      <c r="BK162" s="11">
        <f t="shared" si="21"/>
        <v>7.4061548443992986E-2</v>
      </c>
      <c r="BL162" s="5">
        <f t="shared" si="22"/>
        <v>62.173466788906467</v>
      </c>
      <c r="BM162" s="11">
        <f t="shared" si="23"/>
        <v>0.11957763454458599</v>
      </c>
    </row>
    <row r="163" spans="1:65" ht="15" customHeight="1" x14ac:dyDescent="0.4">
      <c r="A163" s="2" t="s">
        <v>65</v>
      </c>
      <c r="B163" s="2" t="s">
        <v>66</v>
      </c>
      <c r="C163" s="2" t="s">
        <v>208</v>
      </c>
      <c r="D163" s="3" t="s">
        <v>101</v>
      </c>
      <c r="E163" s="3" t="s">
        <v>108</v>
      </c>
      <c r="F163" s="2" t="s">
        <v>135</v>
      </c>
      <c r="G163" s="4">
        <v>5</v>
      </c>
      <c r="H163" s="5">
        <v>3.38</v>
      </c>
      <c r="I163" s="5">
        <v>3.5232360847875821</v>
      </c>
      <c r="J163" s="6">
        <v>0</v>
      </c>
      <c r="K163" s="5">
        <v>0</v>
      </c>
      <c r="L163" s="6">
        <v>0</v>
      </c>
      <c r="M163" s="5">
        <v>0</v>
      </c>
      <c r="N163" s="6">
        <v>197.84713483864269</v>
      </c>
      <c r="O163" s="5">
        <v>668.72331575461214</v>
      </c>
      <c r="P163" s="6">
        <v>0</v>
      </c>
      <c r="Q163" s="5">
        <v>0</v>
      </c>
      <c r="R163" s="6">
        <v>0</v>
      </c>
      <c r="S163" s="5">
        <v>0</v>
      </c>
      <c r="T163" s="6">
        <v>0</v>
      </c>
      <c r="U163" s="5">
        <v>0</v>
      </c>
      <c r="V163" s="6">
        <v>0</v>
      </c>
      <c r="W163" s="5">
        <v>0</v>
      </c>
      <c r="X163" s="6">
        <v>0</v>
      </c>
      <c r="Y163" s="5">
        <v>0</v>
      </c>
      <c r="Z163" s="6">
        <v>0</v>
      </c>
      <c r="AA163" s="5">
        <v>0</v>
      </c>
      <c r="AB163" s="6">
        <v>0</v>
      </c>
      <c r="AC163" s="5">
        <v>0</v>
      </c>
      <c r="AD163" s="6">
        <v>0</v>
      </c>
      <c r="AE163" s="5">
        <v>0</v>
      </c>
      <c r="AF163" s="6">
        <v>0</v>
      </c>
      <c r="AG163" s="5">
        <v>0</v>
      </c>
      <c r="AH163" s="7">
        <f t="shared" si="16"/>
        <v>197.84713483864269</v>
      </c>
      <c r="AI163" s="8">
        <f t="shared" si="17"/>
        <v>668.72331575461214</v>
      </c>
      <c r="AJ163" s="6">
        <v>0</v>
      </c>
      <c r="AK163" s="5">
        <v>0</v>
      </c>
      <c r="AL163" s="6">
        <v>0</v>
      </c>
      <c r="AM163" s="5">
        <v>0</v>
      </c>
      <c r="AN163" s="6">
        <v>235</v>
      </c>
      <c r="AO163" s="5">
        <v>827.9604799250817</v>
      </c>
      <c r="AP163" s="6">
        <v>0</v>
      </c>
      <c r="AQ163" s="5">
        <v>0</v>
      </c>
      <c r="AR163" s="6">
        <v>0</v>
      </c>
      <c r="AS163" s="5">
        <v>0</v>
      </c>
      <c r="AT163" s="6">
        <v>0</v>
      </c>
      <c r="AU163" s="5">
        <v>0</v>
      </c>
      <c r="AV163" s="6">
        <v>0</v>
      </c>
      <c r="AW163" s="5">
        <v>0</v>
      </c>
      <c r="AX163" s="6">
        <v>0</v>
      </c>
      <c r="AY163" s="5">
        <v>0</v>
      </c>
      <c r="AZ163" s="6">
        <v>0</v>
      </c>
      <c r="BA163" s="5">
        <v>0</v>
      </c>
      <c r="BB163" s="6">
        <v>0</v>
      </c>
      <c r="BC163" s="5">
        <v>0</v>
      </c>
      <c r="BD163" s="6">
        <v>0</v>
      </c>
      <c r="BE163" s="5">
        <v>0</v>
      </c>
      <c r="BF163" s="6">
        <v>0</v>
      </c>
      <c r="BG163" s="5">
        <v>0</v>
      </c>
      <c r="BH163" s="9">
        <f t="shared" si="18"/>
        <v>235</v>
      </c>
      <c r="BI163" s="10">
        <f t="shared" si="19"/>
        <v>827.9604799250817</v>
      </c>
      <c r="BJ163" s="6">
        <f t="shared" si="20"/>
        <v>37.152865161357312</v>
      </c>
      <c r="BK163" s="11">
        <f t="shared" si="21"/>
        <v>0.18778571239688616</v>
      </c>
      <c r="BL163" s="5">
        <f t="shared" si="22"/>
        <v>159.23716417046955</v>
      </c>
      <c r="BM163" s="11">
        <f t="shared" si="23"/>
        <v>0.23812114879048363</v>
      </c>
    </row>
    <row r="164" spans="1:65" ht="15" customHeight="1" x14ac:dyDescent="0.4">
      <c r="A164" s="2" t="s">
        <v>65</v>
      </c>
      <c r="B164" s="2" t="s">
        <v>66</v>
      </c>
      <c r="C164" s="2" t="s">
        <v>208</v>
      </c>
      <c r="D164" s="3" t="s">
        <v>101</v>
      </c>
      <c r="E164" s="3" t="s">
        <v>86</v>
      </c>
      <c r="F164" s="2" t="s">
        <v>87</v>
      </c>
      <c r="G164" s="4">
        <v>20</v>
      </c>
      <c r="H164" s="5">
        <v>1.68</v>
      </c>
      <c r="I164" s="5">
        <v>1.7511942669950109</v>
      </c>
      <c r="J164" s="6">
        <v>0</v>
      </c>
      <c r="K164" s="5">
        <v>0</v>
      </c>
      <c r="L164" s="6">
        <v>0</v>
      </c>
      <c r="M164" s="5">
        <v>0</v>
      </c>
      <c r="N164" s="6">
        <v>0</v>
      </c>
      <c r="O164" s="5">
        <v>0</v>
      </c>
      <c r="P164" s="6">
        <v>0</v>
      </c>
      <c r="Q164" s="5">
        <v>0</v>
      </c>
      <c r="R164" s="6">
        <v>197.84713483864269</v>
      </c>
      <c r="S164" s="5">
        <v>332.38318652891962</v>
      </c>
      <c r="T164" s="6">
        <v>0</v>
      </c>
      <c r="U164" s="5">
        <v>0</v>
      </c>
      <c r="V164" s="6">
        <v>0</v>
      </c>
      <c r="W164" s="5">
        <v>0</v>
      </c>
      <c r="X164" s="6">
        <v>0</v>
      </c>
      <c r="Y164" s="5">
        <v>0</v>
      </c>
      <c r="Z164" s="6">
        <v>0</v>
      </c>
      <c r="AA164" s="5">
        <v>0</v>
      </c>
      <c r="AB164" s="6">
        <v>0</v>
      </c>
      <c r="AC164" s="5">
        <v>0</v>
      </c>
      <c r="AD164" s="6">
        <v>0</v>
      </c>
      <c r="AE164" s="5">
        <v>0</v>
      </c>
      <c r="AF164" s="6">
        <v>0</v>
      </c>
      <c r="AG164" s="5">
        <v>0</v>
      </c>
      <c r="AH164" s="7">
        <f t="shared" si="16"/>
        <v>197.84713483864269</v>
      </c>
      <c r="AI164" s="8">
        <f t="shared" si="17"/>
        <v>332.38318652891962</v>
      </c>
      <c r="AJ164" s="6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6">
        <v>0</v>
      </c>
      <c r="AQ164" s="5">
        <v>0</v>
      </c>
      <c r="AR164" s="6">
        <v>220</v>
      </c>
      <c r="AS164" s="5">
        <v>385.26273873890233</v>
      </c>
      <c r="AT164" s="6">
        <v>0</v>
      </c>
      <c r="AU164" s="5">
        <v>0</v>
      </c>
      <c r="AV164" s="6">
        <v>0</v>
      </c>
      <c r="AW164" s="5">
        <v>0</v>
      </c>
      <c r="AX164" s="6">
        <v>0</v>
      </c>
      <c r="AY164" s="5">
        <v>0</v>
      </c>
      <c r="AZ164" s="6">
        <v>0</v>
      </c>
      <c r="BA164" s="5">
        <v>0</v>
      </c>
      <c r="BB164" s="6">
        <v>0</v>
      </c>
      <c r="BC164" s="5">
        <v>0</v>
      </c>
      <c r="BD164" s="6">
        <v>0</v>
      </c>
      <c r="BE164" s="5">
        <v>0</v>
      </c>
      <c r="BF164" s="6">
        <v>0</v>
      </c>
      <c r="BG164" s="5">
        <v>0</v>
      </c>
      <c r="BH164" s="9">
        <f t="shared" si="18"/>
        <v>220</v>
      </c>
      <c r="BI164" s="10">
        <f t="shared" si="19"/>
        <v>385.26273873890233</v>
      </c>
      <c r="BJ164" s="6">
        <f t="shared" si="20"/>
        <v>22.152865161357312</v>
      </c>
      <c r="BK164" s="11">
        <f t="shared" si="21"/>
        <v>0.11196960309495725</v>
      </c>
      <c r="BL164" s="5">
        <f t="shared" si="22"/>
        <v>52.879552209982705</v>
      </c>
      <c r="BM164" s="11">
        <f t="shared" si="23"/>
        <v>0.1590921392932185</v>
      </c>
    </row>
    <row r="165" spans="1:65" ht="15" customHeight="1" x14ac:dyDescent="0.4">
      <c r="A165" s="2" t="s">
        <v>65</v>
      </c>
      <c r="B165" s="2" t="s">
        <v>66</v>
      </c>
      <c r="C165" s="2" t="s">
        <v>208</v>
      </c>
      <c r="D165" s="3" t="s">
        <v>101</v>
      </c>
      <c r="E165" s="3" t="s">
        <v>116</v>
      </c>
      <c r="F165" s="2" t="s">
        <v>117</v>
      </c>
      <c r="G165" s="4">
        <v>5</v>
      </c>
      <c r="H165" s="5">
        <v>0</v>
      </c>
      <c r="I165" s="5">
        <v>0</v>
      </c>
      <c r="J165" s="6">
        <v>0</v>
      </c>
      <c r="K165" s="5">
        <v>0</v>
      </c>
      <c r="L165" s="6">
        <v>0</v>
      </c>
      <c r="M165" s="5">
        <v>0</v>
      </c>
      <c r="N165" s="6">
        <v>0</v>
      </c>
      <c r="O165" s="5">
        <v>0</v>
      </c>
      <c r="P165" s="6">
        <v>0</v>
      </c>
      <c r="Q165" s="5">
        <v>0</v>
      </c>
      <c r="R165" s="6">
        <v>0</v>
      </c>
      <c r="S165" s="5">
        <v>0</v>
      </c>
      <c r="T165" s="6">
        <v>0</v>
      </c>
      <c r="U165" s="5">
        <v>0</v>
      </c>
      <c r="V165" s="6">
        <v>59.354140451592791</v>
      </c>
      <c r="W165" s="5">
        <v>0</v>
      </c>
      <c r="X165" s="6">
        <v>0</v>
      </c>
      <c r="Y165" s="5">
        <v>0</v>
      </c>
      <c r="Z165" s="6">
        <v>0</v>
      </c>
      <c r="AA165" s="5">
        <v>0</v>
      </c>
      <c r="AB165" s="6">
        <v>0</v>
      </c>
      <c r="AC165" s="5">
        <v>0</v>
      </c>
      <c r="AD165" s="6">
        <v>0</v>
      </c>
      <c r="AE165" s="5">
        <v>0</v>
      </c>
      <c r="AF165" s="6">
        <v>0</v>
      </c>
      <c r="AG165" s="5">
        <v>0</v>
      </c>
      <c r="AH165" s="7">
        <f t="shared" si="16"/>
        <v>59.354140451592791</v>
      </c>
      <c r="AI165" s="8">
        <f t="shared" si="17"/>
        <v>0</v>
      </c>
      <c r="AJ165" s="6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6">
        <v>0</v>
      </c>
      <c r="AQ165" s="5">
        <v>0</v>
      </c>
      <c r="AR165" s="6">
        <v>0</v>
      </c>
      <c r="AS165" s="5">
        <v>0</v>
      </c>
      <c r="AT165" s="6">
        <v>0</v>
      </c>
      <c r="AU165" s="5">
        <v>0</v>
      </c>
      <c r="AV165" s="6">
        <v>70</v>
      </c>
      <c r="AW165" s="5">
        <v>0</v>
      </c>
      <c r="AX165" s="6">
        <v>0</v>
      </c>
      <c r="AY165" s="5">
        <v>0</v>
      </c>
      <c r="AZ165" s="6">
        <v>0</v>
      </c>
      <c r="BA165" s="5">
        <v>0</v>
      </c>
      <c r="BB165" s="6">
        <v>0</v>
      </c>
      <c r="BC165" s="5">
        <v>0</v>
      </c>
      <c r="BD165" s="6">
        <v>0</v>
      </c>
      <c r="BE165" s="5">
        <v>0</v>
      </c>
      <c r="BF165" s="6">
        <v>0</v>
      </c>
      <c r="BG165" s="5">
        <v>0</v>
      </c>
      <c r="BH165" s="9">
        <f t="shared" si="18"/>
        <v>70</v>
      </c>
      <c r="BI165" s="10">
        <f t="shared" si="19"/>
        <v>0</v>
      </c>
      <c r="BJ165" s="6">
        <f t="shared" si="20"/>
        <v>10.645859548407209</v>
      </c>
      <c r="BK165" s="11">
        <f t="shared" si="21"/>
        <v>0.1793617002522277</v>
      </c>
      <c r="BL165" s="5">
        <f t="shared" si="22"/>
        <v>0</v>
      </c>
      <c r="BM165" s="11">
        <f t="shared" si="23"/>
        <v>0</v>
      </c>
    </row>
    <row r="166" spans="1:65" ht="15" customHeight="1" x14ac:dyDescent="0.4">
      <c r="A166" s="2" t="s">
        <v>65</v>
      </c>
      <c r="B166" s="2" t="s">
        <v>66</v>
      </c>
      <c r="C166" s="2" t="s">
        <v>208</v>
      </c>
      <c r="D166" s="3" t="s">
        <v>101</v>
      </c>
      <c r="E166" s="3" t="s">
        <v>90</v>
      </c>
      <c r="F166" s="2" t="s">
        <v>91</v>
      </c>
      <c r="G166" s="4">
        <v>20</v>
      </c>
      <c r="H166" s="5">
        <v>3.6863551401869161</v>
      </c>
      <c r="I166" s="5">
        <v>3.8427755359501772</v>
      </c>
      <c r="J166" s="6">
        <v>0</v>
      </c>
      <c r="K166" s="5">
        <v>0</v>
      </c>
      <c r="L166" s="6">
        <v>0</v>
      </c>
      <c r="M166" s="5">
        <v>0</v>
      </c>
      <c r="N166" s="6">
        <v>0</v>
      </c>
      <c r="O166" s="5">
        <v>0</v>
      </c>
      <c r="P166" s="6">
        <v>1187.082809031856</v>
      </c>
      <c r="Q166" s="5">
        <v>4344.7230810565916</v>
      </c>
      <c r="R166" s="6">
        <v>692.46497193524931</v>
      </c>
      <c r="S166" s="5">
        <v>2575.9696955991271</v>
      </c>
      <c r="T166" s="6">
        <v>0</v>
      </c>
      <c r="U166" s="5">
        <v>0</v>
      </c>
      <c r="V166" s="6">
        <v>237.41656180637119</v>
      </c>
      <c r="W166" s="5">
        <v>883.18960991970073</v>
      </c>
      <c r="X166" s="6">
        <v>0</v>
      </c>
      <c r="Y166" s="5">
        <v>0</v>
      </c>
      <c r="Z166" s="6">
        <v>0</v>
      </c>
      <c r="AA166" s="5">
        <v>0</v>
      </c>
      <c r="AB166" s="6">
        <v>0</v>
      </c>
      <c r="AC166" s="5">
        <v>0</v>
      </c>
      <c r="AD166" s="6">
        <v>0</v>
      </c>
      <c r="AE166" s="5">
        <v>0</v>
      </c>
      <c r="AF166" s="6">
        <v>0</v>
      </c>
      <c r="AG166" s="5">
        <v>0</v>
      </c>
      <c r="AH166" s="7">
        <f t="shared" si="16"/>
        <v>2116.9643427734763</v>
      </c>
      <c r="AI166" s="8">
        <f t="shared" si="17"/>
        <v>7803.8823865754193</v>
      </c>
      <c r="AJ166" s="6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6">
        <v>1260</v>
      </c>
      <c r="AQ166" s="5">
        <v>4807.0282629013054</v>
      </c>
      <c r="AR166" s="6">
        <v>740</v>
      </c>
      <c r="AS166" s="5">
        <v>2869.4568917761098</v>
      </c>
      <c r="AT166" s="6">
        <v>0</v>
      </c>
      <c r="AU166" s="5">
        <v>0</v>
      </c>
      <c r="AV166" s="6">
        <v>260</v>
      </c>
      <c r="AW166" s="5">
        <v>1008.187556569985</v>
      </c>
      <c r="AX166" s="6">
        <v>0</v>
      </c>
      <c r="AY166" s="5">
        <v>0</v>
      </c>
      <c r="AZ166" s="6">
        <v>0</v>
      </c>
      <c r="BA166" s="5">
        <v>0</v>
      </c>
      <c r="BB166" s="6">
        <v>0</v>
      </c>
      <c r="BC166" s="5">
        <v>0</v>
      </c>
      <c r="BD166" s="6">
        <v>0</v>
      </c>
      <c r="BE166" s="5">
        <v>0</v>
      </c>
      <c r="BF166" s="6">
        <v>0</v>
      </c>
      <c r="BG166" s="5">
        <v>0</v>
      </c>
      <c r="BH166" s="9">
        <f t="shared" si="18"/>
        <v>2260</v>
      </c>
      <c r="BI166" s="10">
        <f t="shared" si="19"/>
        <v>8684.6727112474</v>
      </c>
      <c r="BJ166" s="6">
        <f t="shared" si="20"/>
        <v>143.03565722652365</v>
      </c>
      <c r="BK166" s="11">
        <f t="shared" si="21"/>
        <v>6.7566398893204718E-2</v>
      </c>
      <c r="BL166" s="5">
        <f t="shared" si="22"/>
        <v>880.79032467198067</v>
      </c>
      <c r="BM166" s="11">
        <f t="shared" si="23"/>
        <v>0.11286565853262406</v>
      </c>
    </row>
    <row r="167" spans="1:65" ht="15" customHeight="1" x14ac:dyDescent="0.4">
      <c r="A167" s="2" t="s">
        <v>65</v>
      </c>
      <c r="B167" s="2" t="s">
        <v>66</v>
      </c>
      <c r="C167" s="2" t="s">
        <v>208</v>
      </c>
      <c r="D167" s="3" t="s">
        <v>101</v>
      </c>
      <c r="E167" s="3" t="s">
        <v>158</v>
      </c>
      <c r="F167" s="2" t="s">
        <v>159</v>
      </c>
      <c r="G167" s="4">
        <v>20</v>
      </c>
      <c r="H167" s="5">
        <v>4.09</v>
      </c>
      <c r="I167" s="5">
        <v>4.2633241381009492</v>
      </c>
      <c r="J167" s="6">
        <v>0</v>
      </c>
      <c r="K167" s="5">
        <v>0</v>
      </c>
      <c r="L167" s="6">
        <v>0</v>
      </c>
      <c r="M167" s="5">
        <v>0</v>
      </c>
      <c r="N167" s="6">
        <v>633.11083148365651</v>
      </c>
      <c r="O167" s="5">
        <v>2589.4233007681551</v>
      </c>
      <c r="P167" s="6">
        <v>0</v>
      </c>
      <c r="Q167" s="5">
        <v>0</v>
      </c>
      <c r="R167" s="6">
        <v>0</v>
      </c>
      <c r="S167" s="5">
        <v>0</v>
      </c>
      <c r="T167" s="6">
        <v>0</v>
      </c>
      <c r="U167" s="5">
        <v>0</v>
      </c>
      <c r="V167" s="6">
        <v>633.11083148365651</v>
      </c>
      <c r="W167" s="5">
        <v>2589.4233007681551</v>
      </c>
      <c r="X167" s="6">
        <v>0</v>
      </c>
      <c r="Y167" s="5">
        <v>0</v>
      </c>
      <c r="Z167" s="6">
        <v>0</v>
      </c>
      <c r="AA167" s="5">
        <v>0</v>
      </c>
      <c r="AB167" s="6">
        <v>0</v>
      </c>
      <c r="AC167" s="5">
        <v>0</v>
      </c>
      <c r="AD167" s="6">
        <v>0</v>
      </c>
      <c r="AE167" s="5">
        <v>0</v>
      </c>
      <c r="AF167" s="6">
        <v>0</v>
      </c>
      <c r="AG167" s="5">
        <v>0</v>
      </c>
      <c r="AH167" s="7">
        <f t="shared" si="16"/>
        <v>1266.221662967313</v>
      </c>
      <c r="AI167" s="8">
        <f t="shared" si="17"/>
        <v>5178.8466015363101</v>
      </c>
      <c r="AJ167" s="6">
        <v>0</v>
      </c>
      <c r="AK167" s="5">
        <v>0</v>
      </c>
      <c r="AL167" s="6">
        <v>0</v>
      </c>
      <c r="AM167" s="5">
        <v>0</v>
      </c>
      <c r="AN167" s="6">
        <v>740</v>
      </c>
      <c r="AO167" s="5">
        <v>3154.8598621947031</v>
      </c>
      <c r="AP167" s="6">
        <v>0</v>
      </c>
      <c r="AQ167" s="5">
        <v>0</v>
      </c>
      <c r="AR167" s="6">
        <v>0</v>
      </c>
      <c r="AS167" s="5">
        <v>0</v>
      </c>
      <c r="AT167" s="6">
        <v>0</v>
      </c>
      <c r="AU167" s="5">
        <v>0</v>
      </c>
      <c r="AV167" s="6">
        <v>760</v>
      </c>
      <c r="AW167" s="5">
        <v>3240.1263449567209</v>
      </c>
      <c r="AX167" s="6">
        <v>0</v>
      </c>
      <c r="AY167" s="5">
        <v>0</v>
      </c>
      <c r="AZ167" s="6">
        <v>0</v>
      </c>
      <c r="BA167" s="5">
        <v>0</v>
      </c>
      <c r="BB167" s="6">
        <v>0</v>
      </c>
      <c r="BC167" s="5">
        <v>0</v>
      </c>
      <c r="BD167" s="6">
        <v>0</v>
      </c>
      <c r="BE167" s="5">
        <v>0</v>
      </c>
      <c r="BF167" s="6">
        <v>0</v>
      </c>
      <c r="BG167" s="5">
        <v>0</v>
      </c>
      <c r="BH167" s="9">
        <f t="shared" si="18"/>
        <v>1500</v>
      </c>
      <c r="BI167" s="10">
        <f t="shared" si="19"/>
        <v>6394.9862071514235</v>
      </c>
      <c r="BJ167" s="6">
        <f t="shared" si="20"/>
        <v>233.77833703268698</v>
      </c>
      <c r="BK167" s="11">
        <f t="shared" si="21"/>
        <v>0.18462670784263929</v>
      </c>
      <c r="BL167" s="5">
        <f t="shared" si="22"/>
        <v>1216.1396056151134</v>
      </c>
      <c r="BM167" s="11">
        <f t="shared" si="23"/>
        <v>0.23482827339476406</v>
      </c>
    </row>
    <row r="168" spans="1:65" ht="15" customHeight="1" x14ac:dyDescent="0.4">
      <c r="A168" s="2" t="s">
        <v>65</v>
      </c>
      <c r="B168" s="2" t="s">
        <v>66</v>
      </c>
      <c r="C168" s="2" t="s">
        <v>208</v>
      </c>
      <c r="D168" s="3" t="s">
        <v>101</v>
      </c>
      <c r="E168" s="3" t="s">
        <v>79</v>
      </c>
      <c r="F168" s="2" t="s">
        <v>80</v>
      </c>
      <c r="G168" s="4">
        <v>20</v>
      </c>
      <c r="H168" s="5">
        <v>3.25</v>
      </c>
      <c r="I168" s="5">
        <v>3.3877270046034429</v>
      </c>
      <c r="J168" s="6">
        <v>0</v>
      </c>
      <c r="K168" s="5">
        <v>0</v>
      </c>
      <c r="L168" s="6">
        <v>0</v>
      </c>
      <c r="M168" s="5">
        <v>0</v>
      </c>
      <c r="N168" s="6">
        <v>0</v>
      </c>
      <c r="O168" s="5">
        <v>0</v>
      </c>
      <c r="P168" s="6">
        <v>197.84713483864269</v>
      </c>
      <c r="Q168" s="5">
        <v>643.00318822558859</v>
      </c>
      <c r="R168" s="6">
        <v>0</v>
      </c>
      <c r="S168" s="5">
        <v>0</v>
      </c>
      <c r="T168" s="6">
        <v>0</v>
      </c>
      <c r="U168" s="5">
        <v>0</v>
      </c>
      <c r="V168" s="6">
        <v>0</v>
      </c>
      <c r="W168" s="5">
        <v>0</v>
      </c>
      <c r="X168" s="6">
        <v>0</v>
      </c>
      <c r="Y168" s="5">
        <v>0</v>
      </c>
      <c r="Z168" s="6">
        <v>0</v>
      </c>
      <c r="AA168" s="5">
        <v>0</v>
      </c>
      <c r="AB168" s="6">
        <v>0</v>
      </c>
      <c r="AC168" s="5">
        <v>0</v>
      </c>
      <c r="AD168" s="6">
        <v>0</v>
      </c>
      <c r="AE168" s="5">
        <v>0</v>
      </c>
      <c r="AF168" s="6">
        <v>0</v>
      </c>
      <c r="AG168" s="5">
        <v>0</v>
      </c>
      <c r="AH168" s="7">
        <f t="shared" si="16"/>
        <v>197.84713483864269</v>
      </c>
      <c r="AI168" s="8">
        <f t="shared" si="17"/>
        <v>643.00318822558859</v>
      </c>
      <c r="AJ168" s="6">
        <v>0</v>
      </c>
      <c r="AK168" s="5">
        <v>0</v>
      </c>
      <c r="AL168" s="6">
        <v>0</v>
      </c>
      <c r="AM168" s="5">
        <v>0</v>
      </c>
      <c r="AN168" s="6">
        <v>0</v>
      </c>
      <c r="AO168" s="5">
        <v>0</v>
      </c>
      <c r="AP168" s="6">
        <v>220</v>
      </c>
      <c r="AQ168" s="5">
        <v>745.29994101275747</v>
      </c>
      <c r="AR168" s="6">
        <v>0</v>
      </c>
      <c r="AS168" s="5">
        <v>0</v>
      </c>
      <c r="AT168" s="6">
        <v>0</v>
      </c>
      <c r="AU168" s="5">
        <v>0</v>
      </c>
      <c r="AV168" s="6">
        <v>0</v>
      </c>
      <c r="AW168" s="5">
        <v>0</v>
      </c>
      <c r="AX168" s="6">
        <v>0</v>
      </c>
      <c r="AY168" s="5">
        <v>0</v>
      </c>
      <c r="AZ168" s="6">
        <v>0</v>
      </c>
      <c r="BA168" s="5">
        <v>0</v>
      </c>
      <c r="BB168" s="6">
        <v>0</v>
      </c>
      <c r="BC168" s="5">
        <v>0</v>
      </c>
      <c r="BD168" s="6">
        <v>0</v>
      </c>
      <c r="BE168" s="5">
        <v>0</v>
      </c>
      <c r="BF168" s="6">
        <v>0</v>
      </c>
      <c r="BG168" s="5">
        <v>0</v>
      </c>
      <c r="BH168" s="9">
        <f t="shared" si="18"/>
        <v>220</v>
      </c>
      <c r="BI168" s="10">
        <f t="shared" si="19"/>
        <v>745.29994101275747</v>
      </c>
      <c r="BJ168" s="6">
        <f t="shared" si="20"/>
        <v>22.152865161357312</v>
      </c>
      <c r="BK168" s="11">
        <f t="shared" si="21"/>
        <v>0.11196960309495725</v>
      </c>
      <c r="BL168" s="5">
        <f t="shared" si="22"/>
        <v>102.29675278716888</v>
      </c>
      <c r="BM168" s="11">
        <f t="shared" si="23"/>
        <v>0.15909213929321842</v>
      </c>
    </row>
    <row r="169" spans="1:65" ht="15" customHeight="1" x14ac:dyDescent="0.4">
      <c r="A169" s="2" t="s">
        <v>65</v>
      </c>
      <c r="B169" s="2" t="s">
        <v>66</v>
      </c>
      <c r="C169" s="2" t="s">
        <v>208</v>
      </c>
      <c r="D169" s="3" t="s">
        <v>101</v>
      </c>
      <c r="E169" s="3" t="s">
        <v>94</v>
      </c>
      <c r="F169" s="2" t="s">
        <v>95</v>
      </c>
      <c r="G169" s="4">
        <v>20</v>
      </c>
      <c r="H169" s="5">
        <v>2.08</v>
      </c>
      <c r="I169" s="5">
        <v>2.1681452829462038</v>
      </c>
      <c r="J169" s="6">
        <v>0</v>
      </c>
      <c r="K169" s="5">
        <v>0</v>
      </c>
      <c r="L169" s="6">
        <v>0</v>
      </c>
      <c r="M169" s="5">
        <v>0</v>
      </c>
      <c r="N169" s="6">
        <v>0</v>
      </c>
      <c r="O169" s="5">
        <v>0</v>
      </c>
      <c r="P169" s="6">
        <v>0</v>
      </c>
      <c r="Q169" s="5">
        <v>0</v>
      </c>
      <c r="R169" s="6">
        <v>158.2777078709141</v>
      </c>
      <c r="S169" s="5">
        <v>329.2176323715014</v>
      </c>
      <c r="T169" s="6">
        <v>0</v>
      </c>
      <c r="U169" s="5">
        <v>0</v>
      </c>
      <c r="V169" s="6">
        <v>0</v>
      </c>
      <c r="W169" s="5">
        <v>0</v>
      </c>
      <c r="X169" s="6">
        <v>0</v>
      </c>
      <c r="Y169" s="5">
        <v>0</v>
      </c>
      <c r="Z169" s="6">
        <v>0</v>
      </c>
      <c r="AA169" s="5">
        <v>0</v>
      </c>
      <c r="AB169" s="6">
        <v>0</v>
      </c>
      <c r="AC169" s="5">
        <v>0</v>
      </c>
      <c r="AD169" s="6">
        <v>0</v>
      </c>
      <c r="AE169" s="5">
        <v>0</v>
      </c>
      <c r="AF169" s="6">
        <v>0</v>
      </c>
      <c r="AG169" s="5">
        <v>0</v>
      </c>
      <c r="AH169" s="7">
        <f t="shared" si="16"/>
        <v>158.2777078709141</v>
      </c>
      <c r="AI169" s="8">
        <f t="shared" si="17"/>
        <v>329.2176323715014</v>
      </c>
      <c r="AJ169" s="6">
        <v>0</v>
      </c>
      <c r="AK169" s="5">
        <v>0</v>
      </c>
      <c r="AL169" s="6">
        <v>0</v>
      </c>
      <c r="AM169" s="5">
        <v>0</v>
      </c>
      <c r="AN169" s="6">
        <v>0</v>
      </c>
      <c r="AO169" s="5">
        <v>0</v>
      </c>
      <c r="AP169" s="6">
        <v>0</v>
      </c>
      <c r="AQ169" s="5">
        <v>0</v>
      </c>
      <c r="AR169" s="6">
        <v>160</v>
      </c>
      <c r="AS169" s="5">
        <v>346.90324527139268</v>
      </c>
      <c r="AT169" s="6">
        <v>0</v>
      </c>
      <c r="AU169" s="5">
        <v>0</v>
      </c>
      <c r="AV169" s="6">
        <v>0</v>
      </c>
      <c r="AW169" s="5">
        <v>0</v>
      </c>
      <c r="AX169" s="6">
        <v>0</v>
      </c>
      <c r="AY169" s="5">
        <v>0</v>
      </c>
      <c r="AZ169" s="6">
        <v>0</v>
      </c>
      <c r="BA169" s="5">
        <v>0</v>
      </c>
      <c r="BB169" s="6">
        <v>0</v>
      </c>
      <c r="BC169" s="5">
        <v>0</v>
      </c>
      <c r="BD169" s="6">
        <v>0</v>
      </c>
      <c r="BE169" s="5">
        <v>0</v>
      </c>
      <c r="BF169" s="6">
        <v>0</v>
      </c>
      <c r="BG169" s="5">
        <v>0</v>
      </c>
      <c r="BH169" s="9">
        <f t="shared" si="18"/>
        <v>160</v>
      </c>
      <c r="BI169" s="10">
        <f t="shared" si="19"/>
        <v>346.90324527139268</v>
      </c>
      <c r="BJ169" s="6">
        <f t="shared" si="20"/>
        <v>1.7222921290859006</v>
      </c>
      <c r="BK169" s="11">
        <f t="shared" si="21"/>
        <v>1.0881457359052377E-2</v>
      </c>
      <c r="BL169" s="5">
        <f t="shared" si="22"/>
        <v>17.685612899891282</v>
      </c>
      <c r="BM169" s="11">
        <f t="shared" si="23"/>
        <v>5.3720126630198775E-2</v>
      </c>
    </row>
    <row r="170" spans="1:65" ht="15" customHeight="1" x14ac:dyDescent="0.4">
      <c r="A170" s="2" t="s">
        <v>65</v>
      </c>
      <c r="B170" s="2" t="s">
        <v>66</v>
      </c>
      <c r="C170" s="2" t="s">
        <v>208</v>
      </c>
      <c r="D170" s="3" t="s">
        <v>101</v>
      </c>
      <c r="E170" s="3" t="s">
        <v>131</v>
      </c>
      <c r="F170" s="2" t="s">
        <v>132</v>
      </c>
      <c r="G170" s="4">
        <v>20</v>
      </c>
      <c r="H170" s="5">
        <v>1.79</v>
      </c>
      <c r="I170" s="5">
        <v>1.8658557963815889</v>
      </c>
      <c r="J170" s="6">
        <v>0</v>
      </c>
      <c r="K170" s="5">
        <v>0</v>
      </c>
      <c r="L170" s="6">
        <v>0</v>
      </c>
      <c r="M170" s="5">
        <v>0</v>
      </c>
      <c r="N170" s="6">
        <v>0</v>
      </c>
      <c r="O170" s="5">
        <v>0</v>
      </c>
      <c r="P170" s="6">
        <v>0</v>
      </c>
      <c r="Q170" s="5">
        <v>0</v>
      </c>
      <c r="R170" s="6">
        <v>0</v>
      </c>
      <c r="S170" s="5">
        <v>0</v>
      </c>
      <c r="T170" s="6">
        <v>1978.4713483864259</v>
      </c>
      <c r="U170" s="5">
        <v>3541.463713611703</v>
      </c>
      <c r="V170" s="6">
        <v>395.69426967728532</v>
      </c>
      <c r="W170" s="5">
        <v>708.29274272234068</v>
      </c>
      <c r="X170" s="6">
        <v>0</v>
      </c>
      <c r="Y170" s="5">
        <v>0</v>
      </c>
      <c r="Z170" s="6">
        <v>0</v>
      </c>
      <c r="AA170" s="5">
        <v>0</v>
      </c>
      <c r="AB170" s="6">
        <v>0</v>
      </c>
      <c r="AC170" s="5">
        <v>0</v>
      </c>
      <c r="AD170" s="6">
        <v>0</v>
      </c>
      <c r="AE170" s="5">
        <v>0</v>
      </c>
      <c r="AF170" s="6">
        <v>0</v>
      </c>
      <c r="AG170" s="5">
        <v>0</v>
      </c>
      <c r="AH170" s="7">
        <f t="shared" si="16"/>
        <v>2374.165618063711</v>
      </c>
      <c r="AI170" s="8">
        <f t="shared" si="17"/>
        <v>4249.7564563340438</v>
      </c>
      <c r="AJ170" s="6">
        <v>0</v>
      </c>
      <c r="AK170" s="5">
        <v>0</v>
      </c>
      <c r="AL170" s="6">
        <v>0</v>
      </c>
      <c r="AM170" s="5">
        <v>0</v>
      </c>
      <c r="AN170" s="6">
        <v>0</v>
      </c>
      <c r="AO170" s="5">
        <v>0</v>
      </c>
      <c r="AP170" s="6">
        <v>0</v>
      </c>
      <c r="AQ170" s="5">
        <v>0</v>
      </c>
      <c r="AR170" s="6">
        <v>0</v>
      </c>
      <c r="AS170" s="5">
        <v>0</v>
      </c>
      <c r="AT170" s="6">
        <v>2100</v>
      </c>
      <c r="AU170" s="5">
        <v>3918.2971724013369</v>
      </c>
      <c r="AV170" s="6">
        <v>420</v>
      </c>
      <c r="AW170" s="5">
        <v>783.65943448026724</v>
      </c>
      <c r="AX170" s="6">
        <v>0</v>
      </c>
      <c r="AY170" s="5">
        <v>0</v>
      </c>
      <c r="AZ170" s="6">
        <v>0</v>
      </c>
      <c r="BA170" s="5">
        <v>0</v>
      </c>
      <c r="BB170" s="6">
        <v>0</v>
      </c>
      <c r="BC170" s="5">
        <v>0</v>
      </c>
      <c r="BD170" s="6">
        <v>0</v>
      </c>
      <c r="BE170" s="5">
        <v>0</v>
      </c>
      <c r="BF170" s="6">
        <v>0</v>
      </c>
      <c r="BG170" s="5">
        <v>0</v>
      </c>
      <c r="BH170" s="9">
        <f t="shared" si="18"/>
        <v>2520</v>
      </c>
      <c r="BI170" s="10">
        <f t="shared" si="19"/>
        <v>4701.9566068816039</v>
      </c>
      <c r="BJ170" s="6">
        <f t="shared" si="20"/>
        <v>145.83438193628899</v>
      </c>
      <c r="BK170" s="11">
        <f t="shared" si="21"/>
        <v>6.1425530227005212E-2</v>
      </c>
      <c r="BL170" s="5">
        <f t="shared" si="22"/>
        <v>452.20015054756004</v>
      </c>
      <c r="BM170" s="11">
        <f t="shared" si="23"/>
        <v>0.10640613296170864</v>
      </c>
    </row>
    <row r="171" spans="1:65" ht="15" customHeight="1" x14ac:dyDescent="0.4">
      <c r="A171" s="2" t="s">
        <v>65</v>
      </c>
      <c r="B171" s="2" t="s">
        <v>66</v>
      </c>
      <c r="C171" s="2" t="s">
        <v>211</v>
      </c>
      <c r="D171" s="3" t="s">
        <v>101</v>
      </c>
      <c r="E171" s="3" t="s">
        <v>120</v>
      </c>
      <c r="F171" s="2" t="s">
        <v>121</v>
      </c>
      <c r="G171" s="4">
        <v>5</v>
      </c>
      <c r="H171" s="5">
        <v>4.1709090909090909</v>
      </c>
      <c r="I171" s="5">
        <v>4.3520284228670363</v>
      </c>
      <c r="J171" s="6">
        <v>0</v>
      </c>
      <c r="K171" s="5">
        <v>0</v>
      </c>
      <c r="L171" s="6">
        <v>0</v>
      </c>
      <c r="M171" s="5">
        <v>0</v>
      </c>
      <c r="N171" s="6">
        <v>0</v>
      </c>
      <c r="O171" s="5">
        <v>0</v>
      </c>
      <c r="P171" s="6">
        <v>0</v>
      </c>
      <c r="Q171" s="5">
        <v>0</v>
      </c>
      <c r="R171" s="6">
        <v>0</v>
      </c>
      <c r="S171" s="5">
        <v>0</v>
      </c>
      <c r="T171" s="6">
        <v>0</v>
      </c>
      <c r="U171" s="5">
        <v>0</v>
      </c>
      <c r="V171" s="6">
        <v>79.138853935457064</v>
      </c>
      <c r="W171" s="5">
        <v>353.75067709149312</v>
      </c>
      <c r="X171" s="6">
        <v>138.49299438704989</v>
      </c>
      <c r="Y171" s="5">
        <v>553.97197754819945</v>
      </c>
      <c r="Z171" s="6">
        <v>0</v>
      </c>
      <c r="AA171" s="5">
        <v>0</v>
      </c>
      <c r="AB171" s="6">
        <v>0</v>
      </c>
      <c r="AC171" s="5">
        <v>0</v>
      </c>
      <c r="AD171" s="6">
        <v>0</v>
      </c>
      <c r="AE171" s="5">
        <v>0</v>
      </c>
      <c r="AF171" s="6">
        <v>0</v>
      </c>
      <c r="AG171" s="5">
        <v>0</v>
      </c>
      <c r="AH171" s="7">
        <f t="shared" si="16"/>
        <v>217.63184832250695</v>
      </c>
      <c r="AI171" s="8">
        <f t="shared" si="17"/>
        <v>907.72265463969256</v>
      </c>
      <c r="AJ171" s="6">
        <v>0</v>
      </c>
      <c r="AK171" s="5">
        <v>0</v>
      </c>
      <c r="AL171" s="6">
        <v>0</v>
      </c>
      <c r="AM171" s="5">
        <v>0</v>
      </c>
      <c r="AN171" s="6">
        <v>0</v>
      </c>
      <c r="AO171" s="5">
        <v>0</v>
      </c>
      <c r="AP171" s="6">
        <v>0</v>
      </c>
      <c r="AQ171" s="5">
        <v>0</v>
      </c>
      <c r="AR171" s="6">
        <v>0</v>
      </c>
      <c r="AS171" s="5">
        <v>0</v>
      </c>
      <c r="AT171" s="6">
        <v>0</v>
      </c>
      <c r="AU171" s="5">
        <v>0</v>
      </c>
      <c r="AV171" s="6">
        <v>95</v>
      </c>
      <c r="AW171" s="5">
        <v>442.64562230918528</v>
      </c>
      <c r="AX171" s="6">
        <v>160</v>
      </c>
      <c r="AY171" s="5">
        <v>667.12162552190887</v>
      </c>
      <c r="AZ171" s="6">
        <v>0</v>
      </c>
      <c r="BA171" s="5">
        <v>0</v>
      </c>
      <c r="BB171" s="6">
        <v>0</v>
      </c>
      <c r="BC171" s="5">
        <v>0</v>
      </c>
      <c r="BD171" s="6">
        <v>0</v>
      </c>
      <c r="BE171" s="5">
        <v>0</v>
      </c>
      <c r="BF171" s="6">
        <v>0</v>
      </c>
      <c r="BG171" s="5">
        <v>0</v>
      </c>
      <c r="BH171" s="9">
        <f t="shared" si="18"/>
        <v>255</v>
      </c>
      <c r="BI171" s="10">
        <f t="shared" si="19"/>
        <v>1109.7672478310942</v>
      </c>
      <c r="BJ171" s="6">
        <f t="shared" si="20"/>
        <v>37.368151677493046</v>
      </c>
      <c r="BK171" s="11">
        <f t="shared" si="21"/>
        <v>0.1717035073934467</v>
      </c>
      <c r="BL171" s="5">
        <f t="shared" si="22"/>
        <v>202.04459319140165</v>
      </c>
      <c r="BM171" s="11">
        <f t="shared" si="23"/>
        <v>0.22258405930344477</v>
      </c>
    </row>
    <row r="172" spans="1:65" ht="15" customHeight="1" x14ac:dyDescent="0.4">
      <c r="A172" s="2" t="s">
        <v>65</v>
      </c>
      <c r="B172" s="2" t="s">
        <v>66</v>
      </c>
      <c r="C172" s="2" t="s">
        <v>211</v>
      </c>
      <c r="D172" s="3" t="s">
        <v>101</v>
      </c>
      <c r="E172" s="3" t="s">
        <v>122</v>
      </c>
      <c r="F172" s="2" t="s">
        <v>123</v>
      </c>
      <c r="G172" s="4">
        <v>5</v>
      </c>
      <c r="H172" s="5">
        <v>4.6999999999999993</v>
      </c>
      <c r="I172" s="5">
        <v>4.8991744374265176</v>
      </c>
      <c r="J172" s="6">
        <v>0</v>
      </c>
      <c r="K172" s="5">
        <v>0</v>
      </c>
      <c r="L172" s="6">
        <v>0</v>
      </c>
      <c r="M172" s="5">
        <v>0</v>
      </c>
      <c r="N172" s="6">
        <v>0</v>
      </c>
      <c r="O172" s="5">
        <v>0</v>
      </c>
      <c r="P172" s="6">
        <v>0</v>
      </c>
      <c r="Q172" s="5">
        <v>0</v>
      </c>
      <c r="R172" s="6">
        <v>0</v>
      </c>
      <c r="S172" s="5">
        <v>0</v>
      </c>
      <c r="T172" s="6">
        <v>0</v>
      </c>
      <c r="U172" s="5">
        <v>0</v>
      </c>
      <c r="V172" s="6">
        <v>59.354140451592791</v>
      </c>
      <c r="W172" s="5">
        <v>290.8352882128047</v>
      </c>
      <c r="X172" s="6">
        <v>39.569426967728532</v>
      </c>
      <c r="Y172" s="5">
        <v>174.1054786580055</v>
      </c>
      <c r="Z172" s="6">
        <v>0</v>
      </c>
      <c r="AA172" s="5">
        <v>0</v>
      </c>
      <c r="AB172" s="6">
        <v>0</v>
      </c>
      <c r="AC172" s="5">
        <v>0</v>
      </c>
      <c r="AD172" s="6">
        <v>0</v>
      </c>
      <c r="AE172" s="5">
        <v>0</v>
      </c>
      <c r="AF172" s="6">
        <v>0</v>
      </c>
      <c r="AG172" s="5">
        <v>0</v>
      </c>
      <c r="AH172" s="7">
        <f t="shared" si="16"/>
        <v>98.92356741932133</v>
      </c>
      <c r="AI172" s="8">
        <f t="shared" si="17"/>
        <v>464.94076687081019</v>
      </c>
      <c r="AJ172" s="6">
        <v>0</v>
      </c>
      <c r="AK172" s="5">
        <v>0</v>
      </c>
      <c r="AL172" s="6">
        <v>0</v>
      </c>
      <c r="AM172" s="5">
        <v>0</v>
      </c>
      <c r="AN172" s="6">
        <v>0</v>
      </c>
      <c r="AO172" s="5">
        <v>0</v>
      </c>
      <c r="AP172" s="6">
        <v>0</v>
      </c>
      <c r="AQ172" s="5">
        <v>0</v>
      </c>
      <c r="AR172" s="6">
        <v>0</v>
      </c>
      <c r="AS172" s="5">
        <v>0</v>
      </c>
      <c r="AT172" s="6">
        <v>0</v>
      </c>
      <c r="AU172" s="5">
        <v>0</v>
      </c>
      <c r="AV172" s="6">
        <v>75</v>
      </c>
      <c r="AW172" s="5">
        <v>383.0737459051586</v>
      </c>
      <c r="AX172" s="6">
        <v>50</v>
      </c>
      <c r="AY172" s="5">
        <v>229.32305877315619</v>
      </c>
      <c r="AZ172" s="6">
        <v>0</v>
      </c>
      <c r="BA172" s="5">
        <v>0</v>
      </c>
      <c r="BB172" s="6">
        <v>0</v>
      </c>
      <c r="BC172" s="5">
        <v>0</v>
      </c>
      <c r="BD172" s="6">
        <v>0</v>
      </c>
      <c r="BE172" s="5">
        <v>0</v>
      </c>
      <c r="BF172" s="6">
        <v>0</v>
      </c>
      <c r="BG172" s="5">
        <v>0</v>
      </c>
      <c r="BH172" s="9">
        <f t="shared" si="18"/>
        <v>125</v>
      </c>
      <c r="BI172" s="10">
        <f t="shared" si="19"/>
        <v>612.39680467831477</v>
      </c>
      <c r="BJ172" s="6">
        <f t="shared" si="20"/>
        <v>26.07643258067867</v>
      </c>
      <c r="BK172" s="11">
        <f t="shared" si="21"/>
        <v>0.26360182169881524</v>
      </c>
      <c r="BL172" s="5">
        <f t="shared" si="22"/>
        <v>147.45603780750457</v>
      </c>
      <c r="BM172" s="11">
        <f t="shared" si="23"/>
        <v>0.3171501582877484</v>
      </c>
    </row>
    <row r="173" spans="1:65" ht="15" customHeight="1" x14ac:dyDescent="0.4">
      <c r="A173" s="2" t="s">
        <v>65</v>
      </c>
      <c r="B173" s="2" t="s">
        <v>66</v>
      </c>
      <c r="C173" s="2" t="s">
        <v>211</v>
      </c>
      <c r="D173" s="3" t="s">
        <v>101</v>
      </c>
      <c r="E173" s="3" t="s">
        <v>201</v>
      </c>
      <c r="F173" s="2" t="s">
        <v>202</v>
      </c>
      <c r="G173" s="4">
        <v>5</v>
      </c>
      <c r="H173" s="5">
        <v>4.7</v>
      </c>
      <c r="I173" s="5">
        <v>4.8994350318114872</v>
      </c>
      <c r="J173" s="6">
        <v>0</v>
      </c>
      <c r="K173" s="5">
        <v>0</v>
      </c>
      <c r="L173" s="6">
        <v>593.54140451592798</v>
      </c>
      <c r="M173" s="5">
        <v>2777.7737731345428</v>
      </c>
      <c r="N173" s="6">
        <v>0</v>
      </c>
      <c r="O173" s="5">
        <v>0</v>
      </c>
      <c r="P173" s="6">
        <v>0</v>
      </c>
      <c r="Q173" s="5">
        <v>0</v>
      </c>
      <c r="R173" s="6">
        <v>0</v>
      </c>
      <c r="S173" s="5">
        <v>0</v>
      </c>
      <c r="T173" s="6">
        <v>0</v>
      </c>
      <c r="U173" s="5">
        <v>0</v>
      </c>
      <c r="V173" s="6">
        <v>79.138853935457064</v>
      </c>
      <c r="W173" s="5">
        <v>393.32010405922159</v>
      </c>
      <c r="X173" s="6">
        <v>39.569426967728532</v>
      </c>
      <c r="Y173" s="5">
        <v>176.47964427606931</v>
      </c>
      <c r="Z173" s="6">
        <v>0</v>
      </c>
      <c r="AA173" s="5">
        <v>0</v>
      </c>
      <c r="AB173" s="6">
        <v>0</v>
      </c>
      <c r="AC173" s="5">
        <v>0</v>
      </c>
      <c r="AD173" s="6">
        <v>0</v>
      </c>
      <c r="AE173" s="5">
        <v>0</v>
      </c>
      <c r="AF173" s="6">
        <v>0</v>
      </c>
      <c r="AG173" s="5">
        <v>0</v>
      </c>
      <c r="AH173" s="7">
        <f t="shared" si="16"/>
        <v>712.24968541911358</v>
      </c>
      <c r="AI173" s="8">
        <f t="shared" si="17"/>
        <v>3347.5735214698338</v>
      </c>
      <c r="AJ173" s="6">
        <v>0</v>
      </c>
      <c r="AK173" s="5">
        <v>0</v>
      </c>
      <c r="AL173" s="6">
        <v>665</v>
      </c>
      <c r="AM173" s="5">
        <v>3244.0873796082569</v>
      </c>
      <c r="AN173" s="6">
        <v>0</v>
      </c>
      <c r="AO173" s="5">
        <v>0</v>
      </c>
      <c r="AP173" s="6">
        <v>0</v>
      </c>
      <c r="AQ173" s="5">
        <v>0</v>
      </c>
      <c r="AR173" s="6">
        <v>0</v>
      </c>
      <c r="AS173" s="5">
        <v>0</v>
      </c>
      <c r="AT173" s="6">
        <v>0</v>
      </c>
      <c r="AU173" s="5">
        <v>0</v>
      </c>
      <c r="AV173" s="6">
        <v>90</v>
      </c>
      <c r="AW173" s="5">
        <v>466.25547358742159</v>
      </c>
      <c r="AX173" s="6">
        <v>45</v>
      </c>
      <c r="AY173" s="5">
        <v>209.20517225351111</v>
      </c>
      <c r="AZ173" s="6">
        <v>0</v>
      </c>
      <c r="BA173" s="5">
        <v>0</v>
      </c>
      <c r="BB173" s="6">
        <v>0</v>
      </c>
      <c r="BC173" s="5">
        <v>0</v>
      </c>
      <c r="BD173" s="6">
        <v>0</v>
      </c>
      <c r="BE173" s="5">
        <v>0</v>
      </c>
      <c r="BF173" s="6">
        <v>0</v>
      </c>
      <c r="BG173" s="5">
        <v>0</v>
      </c>
      <c r="BH173" s="9">
        <f t="shared" si="18"/>
        <v>800</v>
      </c>
      <c r="BI173" s="10">
        <f t="shared" si="19"/>
        <v>3919.5480254491895</v>
      </c>
      <c r="BJ173" s="6">
        <f t="shared" si="20"/>
        <v>87.750314580886425</v>
      </c>
      <c r="BK173" s="11">
        <f t="shared" si="21"/>
        <v>0.12320161928783577</v>
      </c>
      <c r="BL173" s="5">
        <f t="shared" si="22"/>
        <v>571.97450397935563</v>
      </c>
      <c r="BM173" s="11">
        <f t="shared" si="23"/>
        <v>0.17086241730344917</v>
      </c>
    </row>
    <row r="174" spans="1:65" ht="15" customHeight="1" x14ac:dyDescent="0.4">
      <c r="A174" s="2" t="s">
        <v>65</v>
      </c>
      <c r="B174" s="2" t="s">
        <v>66</v>
      </c>
      <c r="C174" s="2" t="s">
        <v>211</v>
      </c>
      <c r="D174" s="3" t="s">
        <v>101</v>
      </c>
      <c r="E174" s="3" t="s">
        <v>131</v>
      </c>
      <c r="F174" s="2" t="s">
        <v>132</v>
      </c>
      <c r="G174" s="4">
        <v>20</v>
      </c>
      <c r="H174" s="5">
        <v>1.93</v>
      </c>
      <c r="I174" s="5">
        <v>2.0117886519645061</v>
      </c>
      <c r="J174" s="6">
        <v>0</v>
      </c>
      <c r="K174" s="5">
        <v>0</v>
      </c>
      <c r="L174" s="6">
        <v>0</v>
      </c>
      <c r="M174" s="5">
        <v>0</v>
      </c>
      <c r="N174" s="6">
        <v>0</v>
      </c>
      <c r="O174" s="5">
        <v>0</v>
      </c>
      <c r="P174" s="6">
        <v>0</v>
      </c>
      <c r="Q174" s="5">
        <v>0</v>
      </c>
      <c r="R174" s="6">
        <v>0</v>
      </c>
      <c r="S174" s="5">
        <v>0</v>
      </c>
      <c r="T174" s="6">
        <v>0</v>
      </c>
      <c r="U174" s="5">
        <v>0</v>
      </c>
      <c r="V174" s="6">
        <v>19.78471348386427</v>
      </c>
      <c r="W174" s="5">
        <v>38.184497023858029</v>
      </c>
      <c r="X174" s="6">
        <v>0</v>
      </c>
      <c r="Y174" s="5">
        <v>0</v>
      </c>
      <c r="Z174" s="6">
        <v>0</v>
      </c>
      <c r="AA174" s="5">
        <v>0</v>
      </c>
      <c r="AB174" s="6">
        <v>0</v>
      </c>
      <c r="AC174" s="5">
        <v>0</v>
      </c>
      <c r="AD174" s="6">
        <v>0</v>
      </c>
      <c r="AE174" s="5">
        <v>0</v>
      </c>
      <c r="AF174" s="6">
        <v>0</v>
      </c>
      <c r="AG174" s="5">
        <v>0</v>
      </c>
      <c r="AH174" s="7">
        <f t="shared" si="16"/>
        <v>19.78471348386427</v>
      </c>
      <c r="AI174" s="8">
        <f t="shared" si="17"/>
        <v>38.184497023858029</v>
      </c>
      <c r="AJ174" s="6">
        <v>0</v>
      </c>
      <c r="AK174" s="5">
        <v>0</v>
      </c>
      <c r="AL174" s="6">
        <v>0</v>
      </c>
      <c r="AM174" s="5">
        <v>0</v>
      </c>
      <c r="AN174" s="6">
        <v>0</v>
      </c>
      <c r="AO174" s="5">
        <v>0</v>
      </c>
      <c r="AP174" s="6">
        <v>0</v>
      </c>
      <c r="AQ174" s="5">
        <v>0</v>
      </c>
      <c r="AR174" s="6">
        <v>0</v>
      </c>
      <c r="AS174" s="5">
        <v>0</v>
      </c>
      <c r="AT174" s="6">
        <v>0</v>
      </c>
      <c r="AU174" s="5">
        <v>0</v>
      </c>
      <c r="AV174" s="6">
        <v>20</v>
      </c>
      <c r="AW174" s="5">
        <v>40.235773039290123</v>
      </c>
      <c r="AX174" s="6">
        <v>0</v>
      </c>
      <c r="AY174" s="5">
        <v>0</v>
      </c>
      <c r="AZ174" s="6">
        <v>0</v>
      </c>
      <c r="BA174" s="5">
        <v>0</v>
      </c>
      <c r="BB174" s="6">
        <v>0</v>
      </c>
      <c r="BC174" s="5">
        <v>0</v>
      </c>
      <c r="BD174" s="6">
        <v>0</v>
      </c>
      <c r="BE174" s="5">
        <v>0</v>
      </c>
      <c r="BF174" s="6">
        <v>0</v>
      </c>
      <c r="BG174" s="5">
        <v>0</v>
      </c>
      <c r="BH174" s="9">
        <f t="shared" si="18"/>
        <v>20</v>
      </c>
      <c r="BI174" s="10">
        <f t="shared" si="19"/>
        <v>40.235773039290123</v>
      </c>
      <c r="BJ174" s="6">
        <f t="shared" si="20"/>
        <v>0.21528651613573047</v>
      </c>
      <c r="BK174" s="11">
        <f t="shared" si="21"/>
        <v>1.0881457359052014E-2</v>
      </c>
      <c r="BL174" s="5">
        <f t="shared" si="22"/>
        <v>2.0512760154320944</v>
      </c>
      <c r="BM174" s="11">
        <f t="shared" si="23"/>
        <v>5.3720126630198588E-2</v>
      </c>
    </row>
    <row r="175" spans="1:65" ht="15" customHeight="1" x14ac:dyDescent="0.4">
      <c r="A175" s="2" t="s">
        <v>65</v>
      </c>
      <c r="B175" s="2" t="s">
        <v>66</v>
      </c>
      <c r="C175" s="2" t="s">
        <v>212</v>
      </c>
      <c r="D175" s="3" t="s">
        <v>134</v>
      </c>
      <c r="E175" s="3" t="s">
        <v>69</v>
      </c>
      <c r="F175" s="2" t="s">
        <v>192</v>
      </c>
      <c r="G175" s="4">
        <v>20</v>
      </c>
      <c r="H175" s="5">
        <v>4.8899999999999997</v>
      </c>
      <c r="I175" s="5">
        <v>5.097226170003335</v>
      </c>
      <c r="J175" s="6">
        <v>0</v>
      </c>
      <c r="K175" s="5">
        <v>0</v>
      </c>
      <c r="L175" s="6">
        <v>0</v>
      </c>
      <c r="M175" s="5">
        <v>0</v>
      </c>
      <c r="N175" s="6">
        <v>0</v>
      </c>
      <c r="O175" s="5">
        <v>0</v>
      </c>
      <c r="P175" s="6">
        <v>0</v>
      </c>
      <c r="Q175" s="5">
        <v>0</v>
      </c>
      <c r="R175" s="6">
        <v>0</v>
      </c>
      <c r="S175" s="5">
        <v>0</v>
      </c>
      <c r="T175" s="6">
        <v>0</v>
      </c>
      <c r="U175" s="5">
        <v>0</v>
      </c>
      <c r="V175" s="6">
        <v>0</v>
      </c>
      <c r="W175" s="5">
        <v>0</v>
      </c>
      <c r="X175" s="6">
        <v>19.78471348386427</v>
      </c>
      <c r="Y175" s="5">
        <v>96.747248936096256</v>
      </c>
      <c r="Z175" s="6">
        <v>0</v>
      </c>
      <c r="AA175" s="5">
        <v>0</v>
      </c>
      <c r="AB175" s="6">
        <v>0</v>
      </c>
      <c r="AC175" s="5">
        <v>0</v>
      </c>
      <c r="AD175" s="6">
        <v>0</v>
      </c>
      <c r="AE175" s="5">
        <v>0</v>
      </c>
      <c r="AF175" s="6">
        <v>0</v>
      </c>
      <c r="AG175" s="5">
        <v>0</v>
      </c>
      <c r="AH175" s="7">
        <f t="shared" si="16"/>
        <v>19.78471348386427</v>
      </c>
      <c r="AI175" s="8">
        <f t="shared" si="17"/>
        <v>96.747248936096256</v>
      </c>
      <c r="AJ175" s="6">
        <v>0</v>
      </c>
      <c r="AK175" s="5">
        <v>0</v>
      </c>
      <c r="AL175" s="6">
        <v>0</v>
      </c>
      <c r="AM175" s="5">
        <v>0</v>
      </c>
      <c r="AN175" s="6">
        <v>0</v>
      </c>
      <c r="AO175" s="5">
        <v>0</v>
      </c>
      <c r="AP175" s="6">
        <v>0</v>
      </c>
      <c r="AQ175" s="5">
        <v>0</v>
      </c>
      <c r="AR175" s="6">
        <v>0</v>
      </c>
      <c r="AS175" s="5">
        <v>0</v>
      </c>
      <c r="AT175" s="6">
        <v>0</v>
      </c>
      <c r="AU175" s="5">
        <v>0</v>
      </c>
      <c r="AV175" s="6">
        <v>0</v>
      </c>
      <c r="AW175" s="5">
        <v>0</v>
      </c>
      <c r="AX175" s="6">
        <v>20</v>
      </c>
      <c r="AY175" s="5">
        <v>101.9445234000667</v>
      </c>
      <c r="AZ175" s="6">
        <v>0</v>
      </c>
      <c r="BA175" s="5">
        <v>0</v>
      </c>
      <c r="BB175" s="6">
        <v>0</v>
      </c>
      <c r="BC175" s="5">
        <v>0</v>
      </c>
      <c r="BD175" s="6">
        <v>0</v>
      </c>
      <c r="BE175" s="5">
        <v>0</v>
      </c>
      <c r="BF175" s="6">
        <v>0</v>
      </c>
      <c r="BG175" s="5">
        <v>0</v>
      </c>
      <c r="BH175" s="9">
        <f t="shared" si="18"/>
        <v>20</v>
      </c>
      <c r="BI175" s="10">
        <f t="shared" si="19"/>
        <v>101.9445234000667</v>
      </c>
      <c r="BJ175" s="6">
        <f t="shared" si="20"/>
        <v>0.21528651613573047</v>
      </c>
      <c r="BK175" s="11">
        <f t="shared" si="21"/>
        <v>1.0881457359052014E-2</v>
      </c>
      <c r="BL175" s="5">
        <f t="shared" si="22"/>
        <v>5.1972744639704445</v>
      </c>
      <c r="BM175" s="11">
        <f t="shared" si="23"/>
        <v>5.3720126630198671E-2</v>
      </c>
    </row>
    <row r="176" spans="1:65" ht="15" customHeight="1" x14ac:dyDescent="0.4">
      <c r="A176" s="2" t="s">
        <v>65</v>
      </c>
      <c r="B176" s="2" t="s">
        <v>66</v>
      </c>
      <c r="C176" s="2" t="s">
        <v>212</v>
      </c>
      <c r="D176" s="3" t="s">
        <v>134</v>
      </c>
      <c r="E176" s="3" t="s">
        <v>114</v>
      </c>
      <c r="F176" s="2" t="s">
        <v>115</v>
      </c>
      <c r="G176" s="4">
        <v>5</v>
      </c>
      <c r="H176" s="5">
        <v>1.9450000000000001</v>
      </c>
      <c r="I176" s="5">
        <v>2.0274243150626758</v>
      </c>
      <c r="J176" s="6">
        <v>0</v>
      </c>
      <c r="K176" s="5">
        <v>0</v>
      </c>
      <c r="L176" s="6">
        <v>0</v>
      </c>
      <c r="M176" s="5">
        <v>0</v>
      </c>
      <c r="N176" s="6">
        <v>0</v>
      </c>
      <c r="O176" s="5">
        <v>0</v>
      </c>
      <c r="P176" s="6">
        <v>0</v>
      </c>
      <c r="Q176" s="5">
        <v>0</v>
      </c>
      <c r="R176" s="6">
        <v>0</v>
      </c>
      <c r="S176" s="5">
        <v>0</v>
      </c>
      <c r="T176" s="6">
        <v>19.78471348386427</v>
      </c>
      <c r="U176" s="5">
        <v>36.997414214826172</v>
      </c>
      <c r="V176" s="6">
        <v>0</v>
      </c>
      <c r="W176" s="5">
        <v>0</v>
      </c>
      <c r="X176" s="6">
        <v>19.78471348386427</v>
      </c>
      <c r="Y176" s="5">
        <v>39.96512123740581</v>
      </c>
      <c r="Z176" s="6">
        <v>0</v>
      </c>
      <c r="AA176" s="5">
        <v>0</v>
      </c>
      <c r="AB176" s="6">
        <v>0</v>
      </c>
      <c r="AC176" s="5">
        <v>0</v>
      </c>
      <c r="AD176" s="6">
        <v>0</v>
      </c>
      <c r="AE176" s="5">
        <v>0</v>
      </c>
      <c r="AF176" s="6">
        <v>0</v>
      </c>
      <c r="AG176" s="5">
        <v>0</v>
      </c>
      <c r="AH176" s="7">
        <f t="shared" si="16"/>
        <v>39.569426967728539</v>
      </c>
      <c r="AI176" s="8">
        <f t="shared" si="17"/>
        <v>76.962535452231975</v>
      </c>
      <c r="AJ176" s="6">
        <v>0</v>
      </c>
      <c r="AK176" s="5">
        <v>0</v>
      </c>
      <c r="AL176" s="6">
        <v>0</v>
      </c>
      <c r="AM176" s="5">
        <v>0</v>
      </c>
      <c r="AN176" s="6">
        <v>0</v>
      </c>
      <c r="AO176" s="5">
        <v>0</v>
      </c>
      <c r="AP176" s="6">
        <v>0</v>
      </c>
      <c r="AQ176" s="5">
        <v>0</v>
      </c>
      <c r="AR176" s="6">
        <v>0</v>
      </c>
      <c r="AS176" s="5">
        <v>0</v>
      </c>
      <c r="AT176" s="6">
        <v>20</v>
      </c>
      <c r="AU176" s="5">
        <v>38.984919991436549</v>
      </c>
      <c r="AV176" s="6">
        <v>0</v>
      </c>
      <c r="AW176" s="5">
        <v>0</v>
      </c>
      <c r="AX176" s="6">
        <v>20</v>
      </c>
      <c r="AY176" s="5">
        <v>42.112052611070489</v>
      </c>
      <c r="AZ176" s="6">
        <v>0</v>
      </c>
      <c r="BA176" s="5">
        <v>0</v>
      </c>
      <c r="BB176" s="6">
        <v>0</v>
      </c>
      <c r="BC176" s="5">
        <v>0</v>
      </c>
      <c r="BD176" s="6">
        <v>0</v>
      </c>
      <c r="BE176" s="5">
        <v>0</v>
      </c>
      <c r="BF176" s="6">
        <v>0</v>
      </c>
      <c r="BG176" s="5">
        <v>0</v>
      </c>
      <c r="BH176" s="9">
        <f t="shared" si="18"/>
        <v>40</v>
      </c>
      <c r="BI176" s="10">
        <f t="shared" si="19"/>
        <v>81.096972602507037</v>
      </c>
      <c r="BJ176" s="6">
        <f t="shared" si="20"/>
        <v>0.43057303227146093</v>
      </c>
      <c r="BK176" s="11">
        <f t="shared" si="21"/>
        <v>1.0881457359052014E-2</v>
      </c>
      <c r="BL176" s="5">
        <f t="shared" si="22"/>
        <v>4.1344371502750619</v>
      </c>
      <c r="BM176" s="11">
        <f t="shared" si="23"/>
        <v>5.3720126630198747E-2</v>
      </c>
    </row>
    <row r="177" spans="1:65" ht="15" customHeight="1" x14ac:dyDescent="0.4">
      <c r="A177" s="2" t="s">
        <v>65</v>
      </c>
      <c r="B177" s="2" t="s">
        <v>66</v>
      </c>
      <c r="C177" s="2" t="s">
        <v>212</v>
      </c>
      <c r="D177" s="3" t="s">
        <v>134</v>
      </c>
      <c r="E177" s="3" t="s">
        <v>86</v>
      </c>
      <c r="F177" s="2" t="s">
        <v>87</v>
      </c>
      <c r="G177" s="4">
        <v>20</v>
      </c>
      <c r="H177" s="5">
        <v>1.7549999999999999</v>
      </c>
      <c r="I177" s="5">
        <v>1.82937258248586</v>
      </c>
      <c r="J177" s="6">
        <v>0</v>
      </c>
      <c r="K177" s="5">
        <v>0</v>
      </c>
      <c r="L177" s="6">
        <v>0</v>
      </c>
      <c r="M177" s="5">
        <v>0</v>
      </c>
      <c r="N177" s="6">
        <v>0</v>
      </c>
      <c r="O177" s="5">
        <v>0</v>
      </c>
      <c r="P177" s="6">
        <v>0</v>
      </c>
      <c r="Q177" s="5">
        <v>0</v>
      </c>
      <c r="R177" s="6">
        <v>0</v>
      </c>
      <c r="S177" s="5">
        <v>0</v>
      </c>
      <c r="T177" s="6">
        <v>39.569426967728532</v>
      </c>
      <c r="U177" s="5">
        <v>66.476637305783939</v>
      </c>
      <c r="V177" s="6">
        <v>0</v>
      </c>
      <c r="W177" s="5">
        <v>0</v>
      </c>
      <c r="X177" s="6">
        <v>39.569426967728532</v>
      </c>
      <c r="Y177" s="5">
        <v>72.412051350943216</v>
      </c>
      <c r="Z177" s="6">
        <v>0</v>
      </c>
      <c r="AA177" s="5">
        <v>0</v>
      </c>
      <c r="AB177" s="6">
        <v>0</v>
      </c>
      <c r="AC177" s="5">
        <v>0</v>
      </c>
      <c r="AD177" s="6">
        <v>0</v>
      </c>
      <c r="AE177" s="5">
        <v>0</v>
      </c>
      <c r="AF177" s="6">
        <v>0</v>
      </c>
      <c r="AG177" s="5">
        <v>0</v>
      </c>
      <c r="AH177" s="7">
        <f t="shared" si="16"/>
        <v>79.138853935457064</v>
      </c>
      <c r="AI177" s="8">
        <f t="shared" si="17"/>
        <v>138.88868865672714</v>
      </c>
      <c r="AJ177" s="6">
        <v>0</v>
      </c>
      <c r="AK177" s="5">
        <v>0</v>
      </c>
      <c r="AL177" s="6">
        <v>0</v>
      </c>
      <c r="AM177" s="5">
        <v>0</v>
      </c>
      <c r="AN177" s="6">
        <v>0</v>
      </c>
      <c r="AO177" s="5">
        <v>0</v>
      </c>
      <c r="AP177" s="6">
        <v>0</v>
      </c>
      <c r="AQ177" s="5">
        <v>0</v>
      </c>
      <c r="AR177" s="6">
        <v>0</v>
      </c>
      <c r="AS177" s="5">
        <v>0</v>
      </c>
      <c r="AT177" s="6">
        <v>40</v>
      </c>
      <c r="AU177" s="5">
        <v>70.04777067980045</v>
      </c>
      <c r="AV177" s="6">
        <v>0</v>
      </c>
      <c r="AW177" s="5">
        <v>0</v>
      </c>
      <c r="AX177" s="6">
        <v>40</v>
      </c>
      <c r="AY177" s="5">
        <v>76.302035919068331</v>
      </c>
      <c r="AZ177" s="6">
        <v>0</v>
      </c>
      <c r="BA177" s="5">
        <v>0</v>
      </c>
      <c r="BB177" s="6">
        <v>0</v>
      </c>
      <c r="BC177" s="5">
        <v>0</v>
      </c>
      <c r="BD177" s="6">
        <v>0</v>
      </c>
      <c r="BE177" s="5">
        <v>0</v>
      </c>
      <c r="BF177" s="6">
        <v>0</v>
      </c>
      <c r="BG177" s="5">
        <v>0</v>
      </c>
      <c r="BH177" s="9">
        <f t="shared" si="18"/>
        <v>80</v>
      </c>
      <c r="BI177" s="10">
        <f t="shared" si="19"/>
        <v>146.34980659886878</v>
      </c>
      <c r="BJ177" s="6">
        <f t="shared" si="20"/>
        <v>0.86114606454293607</v>
      </c>
      <c r="BK177" s="11">
        <f t="shared" si="21"/>
        <v>1.0881457359052195E-2</v>
      </c>
      <c r="BL177" s="5">
        <f t="shared" si="22"/>
        <v>7.4611179421416409</v>
      </c>
      <c r="BM177" s="11">
        <f t="shared" si="23"/>
        <v>5.3720126630198824E-2</v>
      </c>
    </row>
    <row r="178" spans="1:65" ht="15" customHeight="1" x14ac:dyDescent="0.4">
      <c r="A178" s="2" t="s">
        <v>65</v>
      </c>
      <c r="B178" s="2" t="s">
        <v>66</v>
      </c>
      <c r="C178" s="2" t="s">
        <v>212</v>
      </c>
      <c r="D178" s="3" t="s">
        <v>134</v>
      </c>
      <c r="E178" s="3" t="s">
        <v>176</v>
      </c>
      <c r="F178" s="2" t="s">
        <v>177</v>
      </c>
      <c r="G178" s="4">
        <v>5</v>
      </c>
      <c r="H178" s="5">
        <v>3.2450000000000001</v>
      </c>
      <c r="I178" s="5">
        <v>3.3825151169040528</v>
      </c>
      <c r="J178" s="6">
        <v>0</v>
      </c>
      <c r="K178" s="5">
        <v>0</v>
      </c>
      <c r="L178" s="6">
        <v>0</v>
      </c>
      <c r="M178" s="5">
        <v>0</v>
      </c>
      <c r="N178" s="6">
        <v>0</v>
      </c>
      <c r="O178" s="5">
        <v>0</v>
      </c>
      <c r="P178" s="6">
        <v>0</v>
      </c>
      <c r="Q178" s="5">
        <v>0</v>
      </c>
      <c r="R178" s="6">
        <v>0</v>
      </c>
      <c r="S178" s="5">
        <v>0</v>
      </c>
      <c r="T178" s="6">
        <v>19.78471348386427</v>
      </c>
      <c r="U178" s="5">
        <v>66.080943036106646</v>
      </c>
      <c r="V178" s="6">
        <v>0</v>
      </c>
      <c r="W178" s="5">
        <v>0</v>
      </c>
      <c r="X178" s="6">
        <v>19.78471348386427</v>
      </c>
      <c r="Y178" s="5">
        <v>62.321847474172444</v>
      </c>
      <c r="Z178" s="6">
        <v>0</v>
      </c>
      <c r="AA178" s="5">
        <v>0</v>
      </c>
      <c r="AB178" s="6">
        <v>0</v>
      </c>
      <c r="AC178" s="5">
        <v>0</v>
      </c>
      <c r="AD178" s="6">
        <v>0</v>
      </c>
      <c r="AE178" s="5">
        <v>0</v>
      </c>
      <c r="AF178" s="6">
        <v>0</v>
      </c>
      <c r="AG178" s="5">
        <v>0</v>
      </c>
      <c r="AH178" s="7">
        <f t="shared" si="16"/>
        <v>39.569426967728539</v>
      </c>
      <c r="AI178" s="8">
        <f t="shared" si="17"/>
        <v>128.40279051027909</v>
      </c>
      <c r="AJ178" s="6">
        <v>0</v>
      </c>
      <c r="AK178" s="5">
        <v>0</v>
      </c>
      <c r="AL178" s="6">
        <v>0</v>
      </c>
      <c r="AM178" s="5">
        <v>0</v>
      </c>
      <c r="AN178" s="6">
        <v>0</v>
      </c>
      <c r="AO178" s="5">
        <v>0</v>
      </c>
      <c r="AP178" s="6">
        <v>0</v>
      </c>
      <c r="AQ178" s="5">
        <v>0</v>
      </c>
      <c r="AR178" s="6">
        <v>0</v>
      </c>
      <c r="AS178" s="5">
        <v>0</v>
      </c>
      <c r="AT178" s="6">
        <v>20</v>
      </c>
      <c r="AU178" s="5">
        <v>69.630819663849223</v>
      </c>
      <c r="AV178" s="6">
        <v>0</v>
      </c>
      <c r="AW178" s="5">
        <v>0</v>
      </c>
      <c r="AX178" s="6">
        <v>20</v>
      </c>
      <c r="AY178" s="5">
        <v>65.6697850123129</v>
      </c>
      <c r="AZ178" s="6">
        <v>0</v>
      </c>
      <c r="BA178" s="5">
        <v>0</v>
      </c>
      <c r="BB178" s="6">
        <v>0</v>
      </c>
      <c r="BC178" s="5">
        <v>0</v>
      </c>
      <c r="BD178" s="6">
        <v>0</v>
      </c>
      <c r="BE178" s="5">
        <v>0</v>
      </c>
      <c r="BF178" s="6">
        <v>0</v>
      </c>
      <c r="BG178" s="5">
        <v>0</v>
      </c>
      <c r="BH178" s="9">
        <f t="shared" si="18"/>
        <v>40</v>
      </c>
      <c r="BI178" s="10">
        <f t="shared" si="19"/>
        <v>135.30060467616212</v>
      </c>
      <c r="BJ178" s="6">
        <f t="shared" si="20"/>
        <v>0.43057303227146093</v>
      </c>
      <c r="BK178" s="11">
        <f t="shared" si="21"/>
        <v>1.0881457359052014E-2</v>
      </c>
      <c r="BL178" s="5">
        <f t="shared" si="22"/>
        <v>6.8978141658830339</v>
      </c>
      <c r="BM178" s="11">
        <f t="shared" si="23"/>
        <v>5.3720126630198428E-2</v>
      </c>
    </row>
    <row r="179" spans="1:65" ht="15" customHeight="1" x14ac:dyDescent="0.4">
      <c r="A179" s="2" t="s">
        <v>65</v>
      </c>
      <c r="B179" s="2" t="s">
        <v>66</v>
      </c>
      <c r="C179" s="2" t="s">
        <v>212</v>
      </c>
      <c r="D179" s="3" t="s">
        <v>134</v>
      </c>
      <c r="E179" s="3" t="s">
        <v>88</v>
      </c>
      <c r="F179" s="2" t="s">
        <v>89</v>
      </c>
      <c r="G179" s="4">
        <v>5</v>
      </c>
      <c r="H179" s="5">
        <v>2.41</v>
      </c>
      <c r="I179" s="5">
        <v>2.5121298711059379</v>
      </c>
      <c r="J179" s="6">
        <v>0</v>
      </c>
      <c r="K179" s="5">
        <v>0</v>
      </c>
      <c r="L179" s="6">
        <v>0</v>
      </c>
      <c r="M179" s="5">
        <v>0</v>
      </c>
      <c r="N179" s="6">
        <v>0</v>
      </c>
      <c r="O179" s="5">
        <v>0</v>
      </c>
      <c r="P179" s="6">
        <v>0</v>
      </c>
      <c r="Q179" s="5">
        <v>0</v>
      </c>
      <c r="R179" s="6">
        <v>0</v>
      </c>
      <c r="S179" s="5">
        <v>0</v>
      </c>
      <c r="T179" s="6">
        <v>0</v>
      </c>
      <c r="U179" s="5">
        <v>0</v>
      </c>
      <c r="V179" s="6">
        <v>0</v>
      </c>
      <c r="W179" s="5">
        <v>0</v>
      </c>
      <c r="X179" s="6">
        <v>19.78471348386427</v>
      </c>
      <c r="Y179" s="5">
        <v>47.681159496112883</v>
      </c>
      <c r="Z179" s="6">
        <v>0</v>
      </c>
      <c r="AA179" s="5">
        <v>0</v>
      </c>
      <c r="AB179" s="6">
        <v>0</v>
      </c>
      <c r="AC179" s="5">
        <v>0</v>
      </c>
      <c r="AD179" s="6">
        <v>0</v>
      </c>
      <c r="AE179" s="5">
        <v>0</v>
      </c>
      <c r="AF179" s="6">
        <v>0</v>
      </c>
      <c r="AG179" s="5">
        <v>0</v>
      </c>
      <c r="AH179" s="7">
        <f t="shared" si="16"/>
        <v>19.78471348386427</v>
      </c>
      <c r="AI179" s="8">
        <f t="shared" si="17"/>
        <v>47.681159496112883</v>
      </c>
      <c r="AJ179" s="6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6">
        <v>0</v>
      </c>
      <c r="AQ179" s="5">
        <v>0</v>
      </c>
      <c r="AR179" s="6">
        <v>0</v>
      </c>
      <c r="AS179" s="5">
        <v>0</v>
      </c>
      <c r="AT179" s="6">
        <v>0</v>
      </c>
      <c r="AU179" s="5">
        <v>0</v>
      </c>
      <c r="AV179" s="6">
        <v>0</v>
      </c>
      <c r="AW179" s="5">
        <v>0</v>
      </c>
      <c r="AX179" s="6">
        <v>20</v>
      </c>
      <c r="AY179" s="5">
        <v>50.24259742211877</v>
      </c>
      <c r="AZ179" s="6">
        <v>0</v>
      </c>
      <c r="BA179" s="5">
        <v>0</v>
      </c>
      <c r="BB179" s="6">
        <v>0</v>
      </c>
      <c r="BC179" s="5">
        <v>0</v>
      </c>
      <c r="BD179" s="6">
        <v>0</v>
      </c>
      <c r="BE179" s="5">
        <v>0</v>
      </c>
      <c r="BF179" s="6">
        <v>0</v>
      </c>
      <c r="BG179" s="5">
        <v>0</v>
      </c>
      <c r="BH179" s="9">
        <f t="shared" si="18"/>
        <v>20</v>
      </c>
      <c r="BI179" s="10">
        <f t="shared" si="19"/>
        <v>50.24259742211877</v>
      </c>
      <c r="BJ179" s="6">
        <f t="shared" si="20"/>
        <v>0.21528651613573047</v>
      </c>
      <c r="BK179" s="11">
        <f t="shared" si="21"/>
        <v>1.0881457359052014E-2</v>
      </c>
      <c r="BL179" s="5">
        <f t="shared" si="22"/>
        <v>2.5614379260058868</v>
      </c>
      <c r="BM179" s="11">
        <f t="shared" si="23"/>
        <v>5.3720126630198733E-2</v>
      </c>
    </row>
    <row r="180" spans="1:65" ht="15" customHeight="1" x14ac:dyDescent="0.4">
      <c r="A180" s="2" t="s">
        <v>65</v>
      </c>
      <c r="B180" s="2" t="s">
        <v>66</v>
      </c>
      <c r="C180" s="2" t="s">
        <v>212</v>
      </c>
      <c r="D180" s="3" t="s">
        <v>134</v>
      </c>
      <c r="E180" s="3" t="s">
        <v>73</v>
      </c>
      <c r="F180" s="2" t="s">
        <v>74</v>
      </c>
      <c r="G180" s="4">
        <v>20</v>
      </c>
      <c r="H180" s="5">
        <v>3.07</v>
      </c>
      <c r="I180" s="5">
        <v>3.200099047425407</v>
      </c>
      <c r="J180" s="6">
        <v>0</v>
      </c>
      <c r="K180" s="5">
        <v>0</v>
      </c>
      <c r="L180" s="6">
        <v>0</v>
      </c>
      <c r="M180" s="5">
        <v>0</v>
      </c>
      <c r="N180" s="6">
        <v>0</v>
      </c>
      <c r="O180" s="5">
        <v>0</v>
      </c>
      <c r="P180" s="6">
        <v>0</v>
      </c>
      <c r="Q180" s="5">
        <v>0</v>
      </c>
      <c r="R180" s="6">
        <v>0</v>
      </c>
      <c r="S180" s="5">
        <v>0</v>
      </c>
      <c r="T180" s="6">
        <v>0</v>
      </c>
      <c r="U180" s="5">
        <v>0</v>
      </c>
      <c r="V180" s="6">
        <v>0</v>
      </c>
      <c r="W180" s="5">
        <v>0</v>
      </c>
      <c r="X180" s="6">
        <v>59.354140451592791</v>
      </c>
      <c r="Y180" s="5">
        <v>182.2172111863899</v>
      </c>
      <c r="Z180" s="6">
        <v>0</v>
      </c>
      <c r="AA180" s="5">
        <v>0</v>
      </c>
      <c r="AB180" s="6">
        <v>0</v>
      </c>
      <c r="AC180" s="5">
        <v>0</v>
      </c>
      <c r="AD180" s="6">
        <v>0</v>
      </c>
      <c r="AE180" s="5">
        <v>0</v>
      </c>
      <c r="AF180" s="6">
        <v>0</v>
      </c>
      <c r="AG180" s="5">
        <v>0</v>
      </c>
      <c r="AH180" s="7">
        <f t="shared" si="16"/>
        <v>59.354140451592791</v>
      </c>
      <c r="AI180" s="8">
        <f t="shared" si="17"/>
        <v>182.2172111863899</v>
      </c>
      <c r="AJ180" s="6">
        <v>0</v>
      </c>
      <c r="AK180" s="5">
        <v>0</v>
      </c>
      <c r="AL180" s="6">
        <v>0</v>
      </c>
      <c r="AM180" s="5">
        <v>0</v>
      </c>
      <c r="AN180" s="6">
        <v>0</v>
      </c>
      <c r="AO180" s="5">
        <v>0</v>
      </c>
      <c r="AP180" s="6">
        <v>0</v>
      </c>
      <c r="AQ180" s="5">
        <v>0</v>
      </c>
      <c r="AR180" s="6">
        <v>0</v>
      </c>
      <c r="AS180" s="5">
        <v>0</v>
      </c>
      <c r="AT180" s="6">
        <v>0</v>
      </c>
      <c r="AU180" s="5">
        <v>0</v>
      </c>
      <c r="AV180" s="6">
        <v>0</v>
      </c>
      <c r="AW180" s="5">
        <v>0</v>
      </c>
      <c r="AX180" s="6">
        <v>60</v>
      </c>
      <c r="AY180" s="5">
        <v>192.0059428455244</v>
      </c>
      <c r="AZ180" s="6">
        <v>0</v>
      </c>
      <c r="BA180" s="5">
        <v>0</v>
      </c>
      <c r="BB180" s="6">
        <v>0</v>
      </c>
      <c r="BC180" s="5">
        <v>0</v>
      </c>
      <c r="BD180" s="6">
        <v>0</v>
      </c>
      <c r="BE180" s="5">
        <v>0</v>
      </c>
      <c r="BF180" s="6">
        <v>0</v>
      </c>
      <c r="BG180" s="5">
        <v>0</v>
      </c>
      <c r="BH180" s="9">
        <f t="shared" si="18"/>
        <v>60</v>
      </c>
      <c r="BI180" s="10">
        <f t="shared" si="19"/>
        <v>192.0059428455244</v>
      </c>
      <c r="BJ180" s="6">
        <f t="shared" si="20"/>
        <v>0.64585954840720916</v>
      </c>
      <c r="BK180" s="11">
        <f t="shared" si="21"/>
        <v>1.0881457359052316E-2</v>
      </c>
      <c r="BL180" s="5">
        <f t="shared" si="22"/>
        <v>9.7887316591344984</v>
      </c>
      <c r="BM180" s="11">
        <f t="shared" si="23"/>
        <v>5.3720126630198553E-2</v>
      </c>
    </row>
    <row r="181" spans="1:65" ht="15" customHeight="1" x14ac:dyDescent="0.4">
      <c r="A181" s="2" t="s">
        <v>65</v>
      </c>
      <c r="B181" s="2" t="s">
        <v>66</v>
      </c>
      <c r="C181" s="2" t="s">
        <v>212</v>
      </c>
      <c r="D181" s="3" t="s">
        <v>134</v>
      </c>
      <c r="E181" s="3" t="s">
        <v>120</v>
      </c>
      <c r="F181" s="2" t="s">
        <v>121</v>
      </c>
      <c r="G181" s="4">
        <v>5</v>
      </c>
      <c r="H181" s="5">
        <v>4.1499999999999986</v>
      </c>
      <c r="I181" s="5">
        <v>4.3258667904936274</v>
      </c>
      <c r="J181" s="6">
        <v>0</v>
      </c>
      <c r="K181" s="5">
        <v>0</v>
      </c>
      <c r="L181" s="6">
        <v>0</v>
      </c>
      <c r="M181" s="5">
        <v>0</v>
      </c>
      <c r="N181" s="6">
        <v>0</v>
      </c>
      <c r="O181" s="5">
        <v>0</v>
      </c>
      <c r="P181" s="6">
        <v>0</v>
      </c>
      <c r="Q181" s="5">
        <v>0</v>
      </c>
      <c r="R181" s="6">
        <v>0</v>
      </c>
      <c r="S181" s="5">
        <v>0</v>
      </c>
      <c r="T181" s="6">
        <v>0</v>
      </c>
      <c r="U181" s="5">
        <v>0</v>
      </c>
      <c r="V181" s="6">
        <v>0</v>
      </c>
      <c r="W181" s="5">
        <v>0</v>
      </c>
      <c r="X181" s="6">
        <v>39.569426967728532</v>
      </c>
      <c r="Y181" s="5">
        <v>164.21312191607339</v>
      </c>
      <c r="Z181" s="6">
        <v>0</v>
      </c>
      <c r="AA181" s="5">
        <v>0</v>
      </c>
      <c r="AB181" s="6">
        <v>0</v>
      </c>
      <c r="AC181" s="5">
        <v>0</v>
      </c>
      <c r="AD181" s="6">
        <v>0</v>
      </c>
      <c r="AE181" s="5">
        <v>0</v>
      </c>
      <c r="AF181" s="6">
        <v>0</v>
      </c>
      <c r="AG181" s="5">
        <v>0</v>
      </c>
      <c r="AH181" s="7">
        <f t="shared" si="16"/>
        <v>39.569426967728532</v>
      </c>
      <c r="AI181" s="8">
        <f t="shared" si="17"/>
        <v>164.21312191607339</v>
      </c>
      <c r="AJ181" s="6">
        <v>0</v>
      </c>
      <c r="AK181" s="5">
        <v>0</v>
      </c>
      <c r="AL181" s="6">
        <v>0</v>
      </c>
      <c r="AM181" s="5">
        <v>0</v>
      </c>
      <c r="AN181" s="6">
        <v>0</v>
      </c>
      <c r="AO181" s="5">
        <v>0</v>
      </c>
      <c r="AP181" s="6">
        <v>0</v>
      </c>
      <c r="AQ181" s="5">
        <v>0</v>
      </c>
      <c r="AR181" s="6">
        <v>0</v>
      </c>
      <c r="AS181" s="5">
        <v>0</v>
      </c>
      <c r="AT181" s="6">
        <v>0</v>
      </c>
      <c r="AU181" s="5">
        <v>0</v>
      </c>
      <c r="AV181" s="6">
        <v>0</v>
      </c>
      <c r="AW181" s="5">
        <v>0</v>
      </c>
      <c r="AX181" s="6">
        <v>40</v>
      </c>
      <c r="AY181" s="5">
        <v>173.0346716197451</v>
      </c>
      <c r="AZ181" s="6">
        <v>0</v>
      </c>
      <c r="BA181" s="5">
        <v>0</v>
      </c>
      <c r="BB181" s="6">
        <v>0</v>
      </c>
      <c r="BC181" s="5">
        <v>0</v>
      </c>
      <c r="BD181" s="6">
        <v>0</v>
      </c>
      <c r="BE181" s="5">
        <v>0</v>
      </c>
      <c r="BF181" s="6">
        <v>0</v>
      </c>
      <c r="BG181" s="5">
        <v>0</v>
      </c>
      <c r="BH181" s="9">
        <f t="shared" si="18"/>
        <v>40</v>
      </c>
      <c r="BI181" s="10">
        <f t="shared" si="19"/>
        <v>173.0346716197451</v>
      </c>
      <c r="BJ181" s="6">
        <f t="shared" si="20"/>
        <v>0.43057303227146804</v>
      </c>
      <c r="BK181" s="11">
        <f t="shared" si="21"/>
        <v>1.0881457359052195E-2</v>
      </c>
      <c r="BL181" s="5">
        <f t="shared" si="22"/>
        <v>8.8215497036717068</v>
      </c>
      <c r="BM181" s="11">
        <f t="shared" si="23"/>
        <v>5.3720126630198622E-2</v>
      </c>
    </row>
    <row r="182" spans="1:65" ht="15" customHeight="1" x14ac:dyDescent="0.4">
      <c r="A182" s="2" t="s">
        <v>65</v>
      </c>
      <c r="B182" s="2" t="s">
        <v>66</v>
      </c>
      <c r="C182" s="2" t="s">
        <v>212</v>
      </c>
      <c r="D182" s="3" t="s">
        <v>134</v>
      </c>
      <c r="E182" s="3" t="s">
        <v>79</v>
      </c>
      <c r="F182" s="2" t="s">
        <v>80</v>
      </c>
      <c r="G182" s="4">
        <v>20</v>
      </c>
      <c r="H182" s="5">
        <v>3.399999999999999</v>
      </c>
      <c r="I182" s="5">
        <v>3.5440836355851402</v>
      </c>
      <c r="J182" s="6">
        <v>0</v>
      </c>
      <c r="K182" s="5">
        <v>0</v>
      </c>
      <c r="L182" s="6">
        <v>0</v>
      </c>
      <c r="M182" s="5">
        <v>0</v>
      </c>
      <c r="N182" s="6">
        <v>0</v>
      </c>
      <c r="O182" s="5">
        <v>0</v>
      </c>
      <c r="P182" s="6">
        <v>0</v>
      </c>
      <c r="Q182" s="5">
        <v>0</v>
      </c>
      <c r="R182" s="6">
        <v>0</v>
      </c>
      <c r="S182" s="5">
        <v>0</v>
      </c>
      <c r="T182" s="6">
        <v>0</v>
      </c>
      <c r="U182" s="5">
        <v>0</v>
      </c>
      <c r="V182" s="6">
        <v>0</v>
      </c>
      <c r="W182" s="5">
        <v>0</v>
      </c>
      <c r="X182" s="6">
        <v>79.138853935457064</v>
      </c>
      <c r="Y182" s="5">
        <v>269.07210338055398</v>
      </c>
      <c r="Z182" s="6">
        <v>0</v>
      </c>
      <c r="AA182" s="5">
        <v>0</v>
      </c>
      <c r="AB182" s="6">
        <v>0</v>
      </c>
      <c r="AC182" s="5">
        <v>0</v>
      </c>
      <c r="AD182" s="6">
        <v>0</v>
      </c>
      <c r="AE182" s="5">
        <v>0</v>
      </c>
      <c r="AF182" s="6">
        <v>0</v>
      </c>
      <c r="AG182" s="5">
        <v>0</v>
      </c>
      <c r="AH182" s="7">
        <f t="shared" si="16"/>
        <v>79.138853935457064</v>
      </c>
      <c r="AI182" s="8">
        <f t="shared" si="17"/>
        <v>269.07210338055398</v>
      </c>
      <c r="AJ182" s="6">
        <v>0</v>
      </c>
      <c r="AK182" s="5">
        <v>0</v>
      </c>
      <c r="AL182" s="6">
        <v>0</v>
      </c>
      <c r="AM182" s="5">
        <v>0</v>
      </c>
      <c r="AN182" s="6">
        <v>0</v>
      </c>
      <c r="AO182" s="5">
        <v>0</v>
      </c>
      <c r="AP182" s="6">
        <v>0</v>
      </c>
      <c r="AQ182" s="5">
        <v>0</v>
      </c>
      <c r="AR182" s="6">
        <v>0</v>
      </c>
      <c r="AS182" s="5">
        <v>0</v>
      </c>
      <c r="AT182" s="6">
        <v>0</v>
      </c>
      <c r="AU182" s="5">
        <v>0</v>
      </c>
      <c r="AV182" s="6">
        <v>0</v>
      </c>
      <c r="AW182" s="5">
        <v>0</v>
      </c>
      <c r="AX182" s="6">
        <v>80</v>
      </c>
      <c r="AY182" s="5">
        <v>283.52669084681122</v>
      </c>
      <c r="AZ182" s="6">
        <v>0</v>
      </c>
      <c r="BA182" s="5">
        <v>0</v>
      </c>
      <c r="BB182" s="6">
        <v>0</v>
      </c>
      <c r="BC182" s="5">
        <v>0</v>
      </c>
      <c r="BD182" s="6">
        <v>0</v>
      </c>
      <c r="BE182" s="5">
        <v>0</v>
      </c>
      <c r="BF182" s="6">
        <v>0</v>
      </c>
      <c r="BG182" s="5">
        <v>0</v>
      </c>
      <c r="BH182" s="9">
        <f t="shared" si="18"/>
        <v>80</v>
      </c>
      <c r="BI182" s="10">
        <f t="shared" si="19"/>
        <v>283.52669084681122</v>
      </c>
      <c r="BJ182" s="6">
        <f t="shared" si="20"/>
        <v>0.86114606454293607</v>
      </c>
      <c r="BK182" s="11">
        <f t="shared" si="21"/>
        <v>1.0881457359052195E-2</v>
      </c>
      <c r="BL182" s="5">
        <f t="shared" si="22"/>
        <v>14.454587466257237</v>
      </c>
      <c r="BM182" s="11">
        <f t="shared" si="23"/>
        <v>5.372012663019856E-2</v>
      </c>
    </row>
    <row r="183" spans="1:65" ht="15" customHeight="1" x14ac:dyDescent="0.4">
      <c r="A183" s="2" t="s">
        <v>65</v>
      </c>
      <c r="B183" s="2" t="s">
        <v>66</v>
      </c>
      <c r="C183" s="2" t="s">
        <v>212</v>
      </c>
      <c r="D183" s="3" t="s">
        <v>134</v>
      </c>
      <c r="E183" s="3" t="s">
        <v>94</v>
      </c>
      <c r="F183" s="2" t="s">
        <v>95</v>
      </c>
      <c r="G183" s="4">
        <v>20</v>
      </c>
      <c r="H183" s="5">
        <v>2.1549999999999998</v>
      </c>
      <c r="I183" s="5">
        <v>2.2463235984370531</v>
      </c>
      <c r="J183" s="6">
        <v>0</v>
      </c>
      <c r="K183" s="5">
        <v>0</v>
      </c>
      <c r="L183" s="6">
        <v>0</v>
      </c>
      <c r="M183" s="5">
        <v>0</v>
      </c>
      <c r="N183" s="6">
        <v>0</v>
      </c>
      <c r="O183" s="5">
        <v>0</v>
      </c>
      <c r="P183" s="6">
        <v>0</v>
      </c>
      <c r="Q183" s="5">
        <v>0</v>
      </c>
      <c r="R183" s="6">
        <v>0</v>
      </c>
      <c r="S183" s="5">
        <v>0</v>
      </c>
      <c r="T183" s="6">
        <v>79.138853935457064</v>
      </c>
      <c r="U183" s="5">
        <v>164.6088161857507</v>
      </c>
      <c r="V183" s="6">
        <v>0</v>
      </c>
      <c r="W183" s="5">
        <v>0</v>
      </c>
      <c r="X183" s="6">
        <v>79.138853935457064</v>
      </c>
      <c r="Y183" s="5">
        <v>176.47964427606931</v>
      </c>
      <c r="Z183" s="6">
        <v>0</v>
      </c>
      <c r="AA183" s="5">
        <v>0</v>
      </c>
      <c r="AB183" s="6">
        <v>0</v>
      </c>
      <c r="AC183" s="5">
        <v>0</v>
      </c>
      <c r="AD183" s="6">
        <v>0</v>
      </c>
      <c r="AE183" s="5">
        <v>0</v>
      </c>
      <c r="AF183" s="6">
        <v>0</v>
      </c>
      <c r="AG183" s="5">
        <v>0</v>
      </c>
      <c r="AH183" s="7">
        <f t="shared" si="16"/>
        <v>158.27770787091413</v>
      </c>
      <c r="AI183" s="8">
        <f t="shared" si="17"/>
        <v>341.08846046181998</v>
      </c>
      <c r="AJ183" s="6">
        <v>0</v>
      </c>
      <c r="AK183" s="5">
        <v>0</v>
      </c>
      <c r="AL183" s="6">
        <v>0</v>
      </c>
      <c r="AM183" s="5">
        <v>0</v>
      </c>
      <c r="AN183" s="6">
        <v>0</v>
      </c>
      <c r="AO183" s="5">
        <v>0</v>
      </c>
      <c r="AP183" s="6">
        <v>0</v>
      </c>
      <c r="AQ183" s="5">
        <v>0</v>
      </c>
      <c r="AR183" s="6">
        <v>0</v>
      </c>
      <c r="AS183" s="5">
        <v>0</v>
      </c>
      <c r="AT183" s="6">
        <v>80</v>
      </c>
      <c r="AU183" s="5">
        <v>173.45162263569631</v>
      </c>
      <c r="AV183" s="6">
        <v>0</v>
      </c>
      <c r="AW183" s="5">
        <v>0</v>
      </c>
      <c r="AX183" s="6">
        <v>80</v>
      </c>
      <c r="AY183" s="5">
        <v>185.9601531142321</v>
      </c>
      <c r="AZ183" s="6">
        <v>0</v>
      </c>
      <c r="BA183" s="5">
        <v>0</v>
      </c>
      <c r="BB183" s="6">
        <v>0</v>
      </c>
      <c r="BC183" s="5">
        <v>0</v>
      </c>
      <c r="BD183" s="6">
        <v>0</v>
      </c>
      <c r="BE183" s="5">
        <v>0</v>
      </c>
      <c r="BF183" s="6">
        <v>0</v>
      </c>
      <c r="BG183" s="5">
        <v>0</v>
      </c>
      <c r="BH183" s="9">
        <f t="shared" si="18"/>
        <v>160</v>
      </c>
      <c r="BI183" s="10">
        <f t="shared" si="19"/>
        <v>359.41177574992844</v>
      </c>
      <c r="BJ183" s="6">
        <f t="shared" si="20"/>
        <v>1.7222921290858721</v>
      </c>
      <c r="BK183" s="11">
        <f t="shared" si="21"/>
        <v>1.0881457359052195E-2</v>
      </c>
      <c r="BL183" s="5">
        <f t="shared" si="22"/>
        <v>18.323315288108461</v>
      </c>
      <c r="BM183" s="11">
        <f t="shared" si="23"/>
        <v>5.3720126630198609E-2</v>
      </c>
    </row>
    <row r="184" spans="1:65" ht="15" customHeight="1" x14ac:dyDescent="0.4">
      <c r="A184" s="2" t="s">
        <v>65</v>
      </c>
      <c r="B184" s="2" t="s">
        <v>66</v>
      </c>
      <c r="C184" s="2" t="s">
        <v>213</v>
      </c>
      <c r="D184" s="3" t="s">
        <v>134</v>
      </c>
      <c r="E184" s="3" t="s">
        <v>214</v>
      </c>
      <c r="F184" s="2" t="s">
        <v>215</v>
      </c>
      <c r="G184" s="4">
        <v>1</v>
      </c>
      <c r="H184" s="5">
        <v>6.0699999999999994</v>
      </c>
      <c r="I184" s="5">
        <v>6.3272316670593538</v>
      </c>
      <c r="J184" s="6">
        <v>0</v>
      </c>
      <c r="K184" s="5">
        <v>0</v>
      </c>
      <c r="L184" s="6">
        <v>0</v>
      </c>
      <c r="M184" s="5">
        <v>0</v>
      </c>
      <c r="N184" s="6">
        <v>0</v>
      </c>
      <c r="O184" s="5">
        <v>0</v>
      </c>
      <c r="P184" s="6">
        <v>0</v>
      </c>
      <c r="Q184" s="5">
        <v>0</v>
      </c>
      <c r="R184" s="6">
        <v>0</v>
      </c>
      <c r="S184" s="5">
        <v>0</v>
      </c>
      <c r="T184" s="6">
        <v>1044.632871948033</v>
      </c>
      <c r="U184" s="5">
        <v>6340.9215327245611</v>
      </c>
      <c r="V184" s="6">
        <v>0</v>
      </c>
      <c r="W184" s="5">
        <v>0</v>
      </c>
      <c r="X184" s="6">
        <v>0</v>
      </c>
      <c r="Y184" s="5">
        <v>0</v>
      </c>
      <c r="Z184" s="6">
        <v>0</v>
      </c>
      <c r="AA184" s="5">
        <v>0</v>
      </c>
      <c r="AB184" s="6">
        <v>0</v>
      </c>
      <c r="AC184" s="5">
        <v>0</v>
      </c>
      <c r="AD184" s="6">
        <v>0</v>
      </c>
      <c r="AE184" s="5">
        <v>0</v>
      </c>
      <c r="AF184" s="6">
        <v>0</v>
      </c>
      <c r="AG184" s="5">
        <v>0</v>
      </c>
      <c r="AH184" s="7">
        <f t="shared" si="16"/>
        <v>1044.632871948033</v>
      </c>
      <c r="AI184" s="8">
        <f t="shared" si="17"/>
        <v>6340.9215327245611</v>
      </c>
      <c r="AJ184" s="6">
        <v>0</v>
      </c>
      <c r="AK184" s="5">
        <v>0</v>
      </c>
      <c r="AL184" s="6">
        <v>0</v>
      </c>
      <c r="AM184" s="5">
        <v>0</v>
      </c>
      <c r="AN184" s="6">
        <v>0</v>
      </c>
      <c r="AO184" s="5">
        <v>0</v>
      </c>
      <c r="AP184" s="6">
        <v>0</v>
      </c>
      <c r="AQ184" s="5">
        <v>0</v>
      </c>
      <c r="AR184" s="6">
        <v>0</v>
      </c>
      <c r="AS184" s="5">
        <v>0</v>
      </c>
      <c r="AT184" s="6">
        <v>1114</v>
      </c>
      <c r="AU184" s="5">
        <v>7048.5360771041214</v>
      </c>
      <c r="AV184" s="6">
        <v>0</v>
      </c>
      <c r="AW184" s="5">
        <v>0</v>
      </c>
      <c r="AX184" s="6">
        <v>0</v>
      </c>
      <c r="AY184" s="5">
        <v>0</v>
      </c>
      <c r="AZ184" s="6">
        <v>0</v>
      </c>
      <c r="BA184" s="5">
        <v>0</v>
      </c>
      <c r="BB184" s="6">
        <v>0</v>
      </c>
      <c r="BC184" s="5">
        <v>0</v>
      </c>
      <c r="BD184" s="6">
        <v>0</v>
      </c>
      <c r="BE184" s="5">
        <v>0</v>
      </c>
      <c r="BF184" s="6">
        <v>0</v>
      </c>
      <c r="BG184" s="5">
        <v>0</v>
      </c>
      <c r="BH184" s="9">
        <f t="shared" si="18"/>
        <v>1114</v>
      </c>
      <c r="BI184" s="10">
        <f t="shared" si="19"/>
        <v>7048.5360771041214</v>
      </c>
      <c r="BJ184" s="6">
        <f t="shared" si="20"/>
        <v>69.367128051967029</v>
      </c>
      <c r="BK184" s="11">
        <f t="shared" si="21"/>
        <v>6.6403355585212542E-2</v>
      </c>
      <c r="BL184" s="5">
        <f t="shared" si="22"/>
        <v>707.61454437956036</v>
      </c>
      <c r="BM184" s="11">
        <f t="shared" si="23"/>
        <v>0.11159490631253928</v>
      </c>
    </row>
    <row r="185" spans="1:65" ht="15" customHeight="1" x14ac:dyDescent="0.4">
      <c r="A185" s="2" t="s">
        <v>65</v>
      </c>
      <c r="B185" s="2" t="s">
        <v>66</v>
      </c>
      <c r="C185" s="2" t="s">
        <v>213</v>
      </c>
      <c r="D185" s="3" t="s">
        <v>134</v>
      </c>
      <c r="E185" s="3" t="s">
        <v>216</v>
      </c>
      <c r="F185" s="2" t="s">
        <v>217</v>
      </c>
      <c r="G185" s="4">
        <v>20</v>
      </c>
      <c r="H185" s="5">
        <v>3.899999999999999</v>
      </c>
      <c r="I185" s="5">
        <v>4.0652724055241318</v>
      </c>
      <c r="J185" s="6">
        <v>0</v>
      </c>
      <c r="K185" s="5">
        <v>0</v>
      </c>
      <c r="L185" s="6">
        <v>0</v>
      </c>
      <c r="M185" s="5">
        <v>0</v>
      </c>
      <c r="N185" s="6">
        <v>0</v>
      </c>
      <c r="O185" s="5">
        <v>0</v>
      </c>
      <c r="P185" s="6">
        <v>0</v>
      </c>
      <c r="Q185" s="5">
        <v>0</v>
      </c>
      <c r="R185" s="6">
        <v>0</v>
      </c>
      <c r="S185" s="5">
        <v>0</v>
      </c>
      <c r="T185" s="6">
        <v>1266.221662967313</v>
      </c>
      <c r="U185" s="5">
        <v>4938.2644855725202</v>
      </c>
      <c r="V185" s="6">
        <v>0</v>
      </c>
      <c r="W185" s="5">
        <v>0</v>
      </c>
      <c r="X185" s="6">
        <v>0</v>
      </c>
      <c r="Y185" s="5">
        <v>0</v>
      </c>
      <c r="Z185" s="6">
        <v>0</v>
      </c>
      <c r="AA185" s="5">
        <v>0</v>
      </c>
      <c r="AB185" s="6">
        <v>0</v>
      </c>
      <c r="AC185" s="5">
        <v>0</v>
      </c>
      <c r="AD185" s="6">
        <v>0</v>
      </c>
      <c r="AE185" s="5">
        <v>0</v>
      </c>
      <c r="AF185" s="6">
        <v>0</v>
      </c>
      <c r="AG185" s="5">
        <v>0</v>
      </c>
      <c r="AH185" s="7">
        <f t="shared" si="16"/>
        <v>1266.221662967313</v>
      </c>
      <c r="AI185" s="8">
        <f t="shared" si="17"/>
        <v>4938.2644855725202</v>
      </c>
      <c r="AJ185" s="6">
        <v>0</v>
      </c>
      <c r="AK185" s="5">
        <v>0</v>
      </c>
      <c r="AL185" s="6">
        <v>0</v>
      </c>
      <c r="AM185" s="5">
        <v>0</v>
      </c>
      <c r="AN185" s="6">
        <v>0</v>
      </c>
      <c r="AO185" s="5">
        <v>0</v>
      </c>
      <c r="AP185" s="6">
        <v>0</v>
      </c>
      <c r="AQ185" s="5">
        <v>0</v>
      </c>
      <c r="AR185" s="6">
        <v>0</v>
      </c>
      <c r="AS185" s="5">
        <v>0</v>
      </c>
      <c r="AT185" s="6">
        <v>1360</v>
      </c>
      <c r="AU185" s="5">
        <v>5528.7704715128193</v>
      </c>
      <c r="AV185" s="6">
        <v>0</v>
      </c>
      <c r="AW185" s="5">
        <v>0</v>
      </c>
      <c r="AX185" s="6">
        <v>0</v>
      </c>
      <c r="AY185" s="5">
        <v>0</v>
      </c>
      <c r="AZ185" s="6">
        <v>0</v>
      </c>
      <c r="BA185" s="5">
        <v>0</v>
      </c>
      <c r="BB185" s="6">
        <v>0</v>
      </c>
      <c r="BC185" s="5">
        <v>0</v>
      </c>
      <c r="BD185" s="6">
        <v>0</v>
      </c>
      <c r="BE185" s="5">
        <v>0</v>
      </c>
      <c r="BF185" s="6">
        <v>0</v>
      </c>
      <c r="BG185" s="5">
        <v>0</v>
      </c>
      <c r="BH185" s="9">
        <f t="shared" si="18"/>
        <v>1360</v>
      </c>
      <c r="BI185" s="10">
        <f t="shared" si="19"/>
        <v>5528.7704715128193</v>
      </c>
      <c r="BJ185" s="6">
        <f t="shared" si="20"/>
        <v>93.778337032686977</v>
      </c>
      <c r="BK185" s="11">
        <f t="shared" si="21"/>
        <v>7.4061548443992958E-2</v>
      </c>
      <c r="BL185" s="5">
        <f t="shared" si="22"/>
        <v>590.50598594029907</v>
      </c>
      <c r="BM185" s="11">
        <f t="shared" si="23"/>
        <v>0.11957763454458606</v>
      </c>
    </row>
    <row r="186" spans="1:65" ht="15" customHeight="1" x14ac:dyDescent="0.4">
      <c r="A186" s="2" t="s">
        <v>65</v>
      </c>
      <c r="B186" s="2" t="s">
        <v>66</v>
      </c>
      <c r="C186" s="2" t="s">
        <v>213</v>
      </c>
      <c r="D186" s="3" t="s">
        <v>134</v>
      </c>
      <c r="E186" s="3" t="s">
        <v>218</v>
      </c>
      <c r="F186" s="2" t="s">
        <v>219</v>
      </c>
      <c r="G186" s="4">
        <v>5</v>
      </c>
      <c r="H186" s="5">
        <v>4.0999999999999996</v>
      </c>
      <c r="I186" s="5">
        <v>4.2737479134997276</v>
      </c>
      <c r="J186" s="6">
        <v>0</v>
      </c>
      <c r="K186" s="5">
        <v>0</v>
      </c>
      <c r="L186" s="6">
        <v>0</v>
      </c>
      <c r="M186" s="5">
        <v>0</v>
      </c>
      <c r="N186" s="6">
        <v>0</v>
      </c>
      <c r="O186" s="5">
        <v>0</v>
      </c>
      <c r="P186" s="6">
        <v>0</v>
      </c>
      <c r="Q186" s="5">
        <v>0</v>
      </c>
      <c r="R186" s="6">
        <v>0</v>
      </c>
      <c r="S186" s="5">
        <v>0</v>
      </c>
      <c r="T186" s="6">
        <v>741.92675564490992</v>
      </c>
      <c r="U186" s="5">
        <v>3041.899698144131</v>
      </c>
      <c r="V186" s="6">
        <v>0</v>
      </c>
      <c r="W186" s="5">
        <v>0</v>
      </c>
      <c r="X186" s="6">
        <v>0</v>
      </c>
      <c r="Y186" s="5">
        <v>0</v>
      </c>
      <c r="Z186" s="6">
        <v>0</v>
      </c>
      <c r="AA186" s="5">
        <v>0</v>
      </c>
      <c r="AB186" s="6">
        <v>0</v>
      </c>
      <c r="AC186" s="5">
        <v>0</v>
      </c>
      <c r="AD186" s="6">
        <v>0</v>
      </c>
      <c r="AE186" s="5">
        <v>0</v>
      </c>
      <c r="AF186" s="6">
        <v>0</v>
      </c>
      <c r="AG186" s="5">
        <v>0</v>
      </c>
      <c r="AH186" s="7">
        <f t="shared" si="16"/>
        <v>741.92675564490992</v>
      </c>
      <c r="AI186" s="8">
        <f t="shared" si="17"/>
        <v>3041.899698144131</v>
      </c>
      <c r="AJ186" s="6">
        <v>0</v>
      </c>
      <c r="AK186" s="5">
        <v>0</v>
      </c>
      <c r="AL186" s="6">
        <v>0</v>
      </c>
      <c r="AM186" s="5">
        <v>0</v>
      </c>
      <c r="AN186" s="6">
        <v>0</v>
      </c>
      <c r="AO186" s="5">
        <v>0</v>
      </c>
      <c r="AP186" s="6">
        <v>0</v>
      </c>
      <c r="AQ186" s="5">
        <v>0</v>
      </c>
      <c r="AR186" s="6">
        <v>0</v>
      </c>
      <c r="AS186" s="5">
        <v>0</v>
      </c>
      <c r="AT186" s="6">
        <v>790</v>
      </c>
      <c r="AU186" s="5">
        <v>3376.2608516647861</v>
      </c>
      <c r="AV186" s="6">
        <v>0</v>
      </c>
      <c r="AW186" s="5">
        <v>0</v>
      </c>
      <c r="AX186" s="6">
        <v>0</v>
      </c>
      <c r="AY186" s="5">
        <v>0</v>
      </c>
      <c r="AZ186" s="6">
        <v>0</v>
      </c>
      <c r="BA186" s="5">
        <v>0</v>
      </c>
      <c r="BB186" s="6">
        <v>0</v>
      </c>
      <c r="BC186" s="5">
        <v>0</v>
      </c>
      <c r="BD186" s="6">
        <v>0</v>
      </c>
      <c r="BE186" s="5">
        <v>0</v>
      </c>
      <c r="BF186" s="6">
        <v>0</v>
      </c>
      <c r="BG186" s="5">
        <v>0</v>
      </c>
      <c r="BH186" s="9">
        <f t="shared" si="18"/>
        <v>790</v>
      </c>
      <c r="BI186" s="10">
        <f t="shared" si="19"/>
        <v>3376.2608516647861</v>
      </c>
      <c r="BJ186" s="6">
        <f t="shared" si="20"/>
        <v>48.073244355090083</v>
      </c>
      <c r="BK186" s="11">
        <f t="shared" si="21"/>
        <v>6.4795135084868394E-2</v>
      </c>
      <c r="BL186" s="5">
        <f t="shared" si="22"/>
        <v>334.36115352065508</v>
      </c>
      <c r="BM186" s="11">
        <f t="shared" si="23"/>
        <v>0.10991853338380929</v>
      </c>
    </row>
    <row r="187" spans="1:65" ht="15" customHeight="1" x14ac:dyDescent="0.4">
      <c r="A187" s="2" t="s">
        <v>65</v>
      </c>
      <c r="B187" s="2" t="s">
        <v>66</v>
      </c>
      <c r="C187" s="2" t="s">
        <v>220</v>
      </c>
      <c r="D187" s="3" t="s">
        <v>134</v>
      </c>
      <c r="E187" s="3" t="s">
        <v>221</v>
      </c>
      <c r="F187" s="2" t="s">
        <v>222</v>
      </c>
      <c r="G187" s="4">
        <v>200</v>
      </c>
      <c r="H187" s="5">
        <v>3.07</v>
      </c>
      <c r="I187" s="5">
        <v>3.200099047425407</v>
      </c>
      <c r="J187" s="6">
        <v>0</v>
      </c>
      <c r="K187" s="5">
        <v>0</v>
      </c>
      <c r="L187" s="6">
        <v>0</v>
      </c>
      <c r="M187" s="5">
        <v>0</v>
      </c>
      <c r="N187" s="6">
        <v>0</v>
      </c>
      <c r="O187" s="5">
        <v>0</v>
      </c>
      <c r="P187" s="6">
        <v>0</v>
      </c>
      <c r="Q187" s="5">
        <v>0</v>
      </c>
      <c r="R187" s="6">
        <v>0</v>
      </c>
      <c r="S187" s="5">
        <v>0</v>
      </c>
      <c r="T187" s="6">
        <v>0</v>
      </c>
      <c r="U187" s="5">
        <v>0</v>
      </c>
      <c r="V187" s="6">
        <v>0</v>
      </c>
      <c r="W187" s="5">
        <v>0</v>
      </c>
      <c r="X187" s="6">
        <v>593.54140451592798</v>
      </c>
      <c r="Y187" s="5">
        <v>1822.1721118638991</v>
      </c>
      <c r="Z187" s="6">
        <v>0</v>
      </c>
      <c r="AA187" s="5">
        <v>0</v>
      </c>
      <c r="AB187" s="6">
        <v>0</v>
      </c>
      <c r="AC187" s="5">
        <v>0</v>
      </c>
      <c r="AD187" s="6">
        <v>0</v>
      </c>
      <c r="AE187" s="5">
        <v>0</v>
      </c>
      <c r="AF187" s="6">
        <v>0</v>
      </c>
      <c r="AG187" s="5">
        <v>0</v>
      </c>
      <c r="AH187" s="7">
        <f t="shared" si="16"/>
        <v>593.54140451592798</v>
      </c>
      <c r="AI187" s="8">
        <f t="shared" si="17"/>
        <v>1822.1721118638991</v>
      </c>
      <c r="AJ187" s="6">
        <v>0</v>
      </c>
      <c r="AK187" s="5">
        <v>0</v>
      </c>
      <c r="AL187" s="6">
        <v>0</v>
      </c>
      <c r="AM187" s="5">
        <v>0</v>
      </c>
      <c r="AN187" s="6">
        <v>0</v>
      </c>
      <c r="AO187" s="5">
        <v>0</v>
      </c>
      <c r="AP187" s="6">
        <v>0</v>
      </c>
      <c r="AQ187" s="5">
        <v>0</v>
      </c>
      <c r="AR187" s="6">
        <v>0</v>
      </c>
      <c r="AS187" s="5">
        <v>0</v>
      </c>
      <c r="AT187" s="6">
        <v>0</v>
      </c>
      <c r="AU187" s="5">
        <v>0</v>
      </c>
      <c r="AV187" s="6">
        <v>0</v>
      </c>
      <c r="AW187" s="5">
        <v>0</v>
      </c>
      <c r="AX187" s="6">
        <v>600</v>
      </c>
      <c r="AY187" s="5">
        <v>1920.059428455244</v>
      </c>
      <c r="AZ187" s="6">
        <v>0</v>
      </c>
      <c r="BA187" s="5">
        <v>0</v>
      </c>
      <c r="BB187" s="6">
        <v>0</v>
      </c>
      <c r="BC187" s="5">
        <v>0</v>
      </c>
      <c r="BD187" s="6">
        <v>0</v>
      </c>
      <c r="BE187" s="5">
        <v>0</v>
      </c>
      <c r="BF187" s="6">
        <v>0</v>
      </c>
      <c r="BG187" s="5">
        <v>0</v>
      </c>
      <c r="BH187" s="9">
        <f t="shared" si="18"/>
        <v>600</v>
      </c>
      <c r="BI187" s="10">
        <f t="shared" si="19"/>
        <v>1920.059428455244</v>
      </c>
      <c r="BJ187" s="6">
        <f t="shared" si="20"/>
        <v>6.4585954840720206</v>
      </c>
      <c r="BK187" s="11">
        <f t="shared" si="21"/>
        <v>1.0881457359052195E-2</v>
      </c>
      <c r="BL187" s="5">
        <f t="shared" si="22"/>
        <v>97.88731659134487</v>
      </c>
      <c r="BM187" s="11">
        <f t="shared" si="23"/>
        <v>5.3720126630198491E-2</v>
      </c>
    </row>
    <row r="188" spans="1:65" ht="15" customHeight="1" x14ac:dyDescent="0.4">
      <c r="A188" s="2" t="s">
        <v>65</v>
      </c>
      <c r="B188" s="2" t="s">
        <v>66</v>
      </c>
      <c r="C188" s="2" t="s">
        <v>220</v>
      </c>
      <c r="D188" s="3" t="s">
        <v>134</v>
      </c>
      <c r="E188" s="3" t="s">
        <v>86</v>
      </c>
      <c r="F188" s="2" t="s">
        <v>87</v>
      </c>
      <c r="G188" s="4">
        <v>20</v>
      </c>
      <c r="H188" s="5">
        <v>1.65</v>
      </c>
      <c r="I188" s="5">
        <v>1.7199229407986709</v>
      </c>
      <c r="J188" s="6">
        <v>0</v>
      </c>
      <c r="K188" s="5">
        <v>0</v>
      </c>
      <c r="L188" s="6">
        <v>0</v>
      </c>
      <c r="M188" s="5">
        <v>0</v>
      </c>
      <c r="N188" s="6">
        <v>356.12484270955679</v>
      </c>
      <c r="O188" s="5">
        <v>587.60599047076869</v>
      </c>
      <c r="P188" s="6">
        <v>0</v>
      </c>
      <c r="Q188" s="5">
        <v>0</v>
      </c>
      <c r="R188" s="6">
        <v>0</v>
      </c>
      <c r="S188" s="5">
        <v>0</v>
      </c>
      <c r="T188" s="6">
        <v>0</v>
      </c>
      <c r="U188" s="5">
        <v>0</v>
      </c>
      <c r="V188" s="6">
        <v>0</v>
      </c>
      <c r="W188" s="5">
        <v>0</v>
      </c>
      <c r="X188" s="6">
        <v>0</v>
      </c>
      <c r="Y188" s="5">
        <v>0</v>
      </c>
      <c r="Z188" s="6">
        <v>0</v>
      </c>
      <c r="AA188" s="5">
        <v>0</v>
      </c>
      <c r="AB188" s="6">
        <v>0</v>
      </c>
      <c r="AC188" s="5">
        <v>0</v>
      </c>
      <c r="AD188" s="6">
        <v>0</v>
      </c>
      <c r="AE188" s="5">
        <v>0</v>
      </c>
      <c r="AF188" s="6">
        <v>0</v>
      </c>
      <c r="AG188" s="5">
        <v>0</v>
      </c>
      <c r="AH188" s="7">
        <f t="shared" si="16"/>
        <v>356.12484270955679</v>
      </c>
      <c r="AI188" s="8">
        <f t="shared" si="17"/>
        <v>587.60599047076869</v>
      </c>
      <c r="AJ188" s="6">
        <v>0</v>
      </c>
      <c r="AK188" s="5">
        <v>0</v>
      </c>
      <c r="AL188" s="6">
        <v>0</v>
      </c>
      <c r="AM188" s="5">
        <v>0</v>
      </c>
      <c r="AN188" s="6">
        <v>380</v>
      </c>
      <c r="AO188" s="5">
        <v>653.57071750349508</v>
      </c>
      <c r="AP188" s="6">
        <v>0</v>
      </c>
      <c r="AQ188" s="5">
        <v>0</v>
      </c>
      <c r="AR188" s="6">
        <v>0</v>
      </c>
      <c r="AS188" s="5">
        <v>0</v>
      </c>
      <c r="AT188" s="6">
        <v>0</v>
      </c>
      <c r="AU188" s="5">
        <v>0</v>
      </c>
      <c r="AV188" s="6">
        <v>0</v>
      </c>
      <c r="AW188" s="5">
        <v>0</v>
      </c>
      <c r="AX188" s="6">
        <v>0</v>
      </c>
      <c r="AY188" s="5">
        <v>0</v>
      </c>
      <c r="AZ188" s="6">
        <v>0</v>
      </c>
      <c r="BA188" s="5">
        <v>0</v>
      </c>
      <c r="BB188" s="6">
        <v>0</v>
      </c>
      <c r="BC188" s="5">
        <v>0</v>
      </c>
      <c r="BD188" s="6">
        <v>0</v>
      </c>
      <c r="BE188" s="5">
        <v>0</v>
      </c>
      <c r="BF188" s="6">
        <v>0</v>
      </c>
      <c r="BG188" s="5">
        <v>0</v>
      </c>
      <c r="BH188" s="9">
        <f t="shared" si="18"/>
        <v>380</v>
      </c>
      <c r="BI188" s="10">
        <f t="shared" si="19"/>
        <v>653.57071750349508</v>
      </c>
      <c r="BJ188" s="6">
        <f t="shared" si="20"/>
        <v>23.875157290443212</v>
      </c>
      <c r="BK188" s="11">
        <f t="shared" si="21"/>
        <v>6.7041538323443978E-2</v>
      </c>
      <c r="BL188" s="5">
        <f t="shared" si="22"/>
        <v>65.964727032726387</v>
      </c>
      <c r="BM188" s="11">
        <f t="shared" si="23"/>
        <v>0.11226013366520962</v>
      </c>
    </row>
    <row r="189" spans="1:65" ht="15" customHeight="1" x14ac:dyDescent="0.4">
      <c r="A189" s="2" t="s">
        <v>65</v>
      </c>
      <c r="B189" s="2" t="s">
        <v>66</v>
      </c>
      <c r="C189" s="2" t="s">
        <v>220</v>
      </c>
      <c r="D189" s="3" t="s">
        <v>134</v>
      </c>
      <c r="E189" s="3" t="s">
        <v>176</v>
      </c>
      <c r="F189" s="2" t="s">
        <v>177</v>
      </c>
      <c r="G189" s="4">
        <v>5</v>
      </c>
      <c r="H189" s="5">
        <v>3.28</v>
      </c>
      <c r="I189" s="5">
        <v>3.4189983307997842</v>
      </c>
      <c r="J189" s="6">
        <v>0</v>
      </c>
      <c r="K189" s="5">
        <v>0</v>
      </c>
      <c r="L189" s="6">
        <v>0</v>
      </c>
      <c r="M189" s="5">
        <v>0</v>
      </c>
      <c r="N189" s="6">
        <v>0</v>
      </c>
      <c r="O189" s="5">
        <v>0</v>
      </c>
      <c r="P189" s="6">
        <v>0</v>
      </c>
      <c r="Q189" s="5">
        <v>0</v>
      </c>
      <c r="R189" s="6">
        <v>59.354140451592791</v>
      </c>
      <c r="S189" s="5">
        <v>194.6815806812244</v>
      </c>
      <c r="T189" s="6">
        <v>0</v>
      </c>
      <c r="U189" s="5">
        <v>0</v>
      </c>
      <c r="V189" s="6">
        <v>0</v>
      </c>
      <c r="W189" s="5">
        <v>0</v>
      </c>
      <c r="X189" s="6">
        <v>0</v>
      </c>
      <c r="Y189" s="5">
        <v>0</v>
      </c>
      <c r="Z189" s="6">
        <v>0</v>
      </c>
      <c r="AA189" s="5">
        <v>0</v>
      </c>
      <c r="AB189" s="6">
        <v>0</v>
      </c>
      <c r="AC189" s="5">
        <v>0</v>
      </c>
      <c r="AD189" s="6">
        <v>0</v>
      </c>
      <c r="AE189" s="5">
        <v>0</v>
      </c>
      <c r="AF189" s="6">
        <v>0</v>
      </c>
      <c r="AG189" s="5">
        <v>0</v>
      </c>
      <c r="AH189" s="7">
        <f t="shared" si="16"/>
        <v>59.354140451592791</v>
      </c>
      <c r="AI189" s="8">
        <f t="shared" si="17"/>
        <v>194.6815806812244</v>
      </c>
      <c r="AJ189" s="6">
        <v>0</v>
      </c>
      <c r="AK189" s="5">
        <v>0</v>
      </c>
      <c r="AL189" s="6">
        <v>0</v>
      </c>
      <c r="AM189" s="5">
        <v>0</v>
      </c>
      <c r="AN189" s="6">
        <v>0</v>
      </c>
      <c r="AO189" s="5">
        <v>0</v>
      </c>
      <c r="AP189" s="6">
        <v>0</v>
      </c>
      <c r="AQ189" s="5">
        <v>0</v>
      </c>
      <c r="AR189" s="6">
        <v>65</v>
      </c>
      <c r="AS189" s="5">
        <v>222.23489150198591</v>
      </c>
      <c r="AT189" s="6">
        <v>0</v>
      </c>
      <c r="AU189" s="5">
        <v>0</v>
      </c>
      <c r="AV189" s="6">
        <v>0</v>
      </c>
      <c r="AW189" s="5">
        <v>0</v>
      </c>
      <c r="AX189" s="6">
        <v>0</v>
      </c>
      <c r="AY189" s="5">
        <v>0</v>
      </c>
      <c r="AZ189" s="6">
        <v>0</v>
      </c>
      <c r="BA189" s="5">
        <v>0</v>
      </c>
      <c r="BB189" s="6">
        <v>0</v>
      </c>
      <c r="BC189" s="5">
        <v>0</v>
      </c>
      <c r="BD189" s="6">
        <v>0</v>
      </c>
      <c r="BE189" s="5">
        <v>0</v>
      </c>
      <c r="BF189" s="6">
        <v>0</v>
      </c>
      <c r="BG189" s="5">
        <v>0</v>
      </c>
      <c r="BH189" s="9">
        <f t="shared" si="18"/>
        <v>65</v>
      </c>
      <c r="BI189" s="10">
        <f t="shared" si="19"/>
        <v>222.23489150198591</v>
      </c>
      <c r="BJ189" s="6">
        <f t="shared" si="20"/>
        <v>5.6458595484072092</v>
      </c>
      <c r="BK189" s="11">
        <f t="shared" si="21"/>
        <v>9.5121578805640011E-2</v>
      </c>
      <c r="BL189" s="5">
        <f t="shared" si="22"/>
        <v>27.55331082076151</v>
      </c>
      <c r="BM189" s="11">
        <f t="shared" si="23"/>
        <v>0.14153013718271512</v>
      </c>
    </row>
    <row r="190" spans="1:65" ht="15" customHeight="1" x14ac:dyDescent="0.4">
      <c r="A190" s="2" t="s">
        <v>65</v>
      </c>
      <c r="B190" s="2" t="s">
        <v>66</v>
      </c>
      <c r="C190" s="2" t="s">
        <v>220</v>
      </c>
      <c r="D190" s="3" t="s">
        <v>134</v>
      </c>
      <c r="E190" s="3" t="s">
        <v>223</v>
      </c>
      <c r="F190" s="2" t="s">
        <v>224</v>
      </c>
      <c r="G190" s="4">
        <v>20</v>
      </c>
      <c r="H190" s="5">
        <v>3.0659999999999998</v>
      </c>
      <c r="I190" s="5">
        <v>3.1912789297802862</v>
      </c>
      <c r="J190" s="6">
        <v>0</v>
      </c>
      <c r="K190" s="5">
        <v>0</v>
      </c>
      <c r="L190" s="6">
        <v>0</v>
      </c>
      <c r="M190" s="5">
        <v>0</v>
      </c>
      <c r="N190" s="6">
        <v>0</v>
      </c>
      <c r="O190" s="5">
        <v>0</v>
      </c>
      <c r="P190" s="6">
        <v>0</v>
      </c>
      <c r="Q190" s="5">
        <v>0</v>
      </c>
      <c r="R190" s="6">
        <v>296.77070225796399</v>
      </c>
      <c r="S190" s="5">
        <v>875.47357166099368</v>
      </c>
      <c r="T190" s="6">
        <v>0</v>
      </c>
      <c r="U190" s="5">
        <v>0</v>
      </c>
      <c r="V190" s="6">
        <v>197.84713483864269</v>
      </c>
      <c r="W190" s="5">
        <v>641.02471687720231</v>
      </c>
      <c r="X190" s="6">
        <v>0</v>
      </c>
      <c r="Y190" s="5">
        <v>0</v>
      </c>
      <c r="Z190" s="6">
        <v>0</v>
      </c>
      <c r="AA190" s="5">
        <v>0</v>
      </c>
      <c r="AB190" s="6">
        <v>0</v>
      </c>
      <c r="AC190" s="5">
        <v>0</v>
      </c>
      <c r="AD190" s="6">
        <v>0</v>
      </c>
      <c r="AE190" s="5">
        <v>0</v>
      </c>
      <c r="AF190" s="6">
        <v>0</v>
      </c>
      <c r="AG190" s="5">
        <v>0</v>
      </c>
      <c r="AH190" s="7">
        <f t="shared" si="16"/>
        <v>494.61783709660665</v>
      </c>
      <c r="AI190" s="8">
        <f t="shared" si="17"/>
        <v>1516.498288538196</v>
      </c>
      <c r="AJ190" s="6">
        <v>0</v>
      </c>
      <c r="AK190" s="5">
        <v>0</v>
      </c>
      <c r="AL190" s="6">
        <v>0</v>
      </c>
      <c r="AM190" s="5">
        <v>0</v>
      </c>
      <c r="AN190" s="6">
        <v>0</v>
      </c>
      <c r="AO190" s="5">
        <v>0</v>
      </c>
      <c r="AP190" s="6">
        <v>0</v>
      </c>
      <c r="AQ190" s="5">
        <v>0</v>
      </c>
      <c r="AR190" s="6">
        <v>320</v>
      </c>
      <c r="AS190" s="5">
        <v>984.00439764481553</v>
      </c>
      <c r="AT190" s="6">
        <v>0</v>
      </c>
      <c r="AU190" s="5">
        <v>0</v>
      </c>
      <c r="AV190" s="6">
        <v>200</v>
      </c>
      <c r="AW190" s="5">
        <v>675.4606458409329</v>
      </c>
      <c r="AX190" s="6">
        <v>0</v>
      </c>
      <c r="AY190" s="5">
        <v>0</v>
      </c>
      <c r="AZ190" s="6">
        <v>0</v>
      </c>
      <c r="BA190" s="5">
        <v>0</v>
      </c>
      <c r="BB190" s="6">
        <v>0</v>
      </c>
      <c r="BC190" s="5">
        <v>0</v>
      </c>
      <c r="BD190" s="6">
        <v>0</v>
      </c>
      <c r="BE190" s="5">
        <v>0</v>
      </c>
      <c r="BF190" s="6">
        <v>0</v>
      </c>
      <c r="BG190" s="5">
        <v>0</v>
      </c>
      <c r="BH190" s="9">
        <f t="shared" si="18"/>
        <v>520</v>
      </c>
      <c r="BI190" s="10">
        <f t="shared" si="19"/>
        <v>1659.4650434857485</v>
      </c>
      <c r="BJ190" s="6">
        <f t="shared" si="20"/>
        <v>25.38216290339335</v>
      </c>
      <c r="BK190" s="11">
        <f t="shared" si="21"/>
        <v>5.1316715653414287E-2</v>
      </c>
      <c r="BL190" s="5">
        <f t="shared" si="22"/>
        <v>142.96675494755254</v>
      </c>
      <c r="BM190" s="11">
        <f t="shared" si="23"/>
        <v>9.4274260662280757E-2</v>
      </c>
    </row>
    <row r="191" spans="1:65" ht="15" customHeight="1" x14ac:dyDescent="0.4">
      <c r="A191" s="2" t="s">
        <v>65</v>
      </c>
      <c r="B191" s="2" t="s">
        <v>66</v>
      </c>
      <c r="C191" s="2" t="s">
        <v>220</v>
      </c>
      <c r="D191" s="3" t="s">
        <v>134</v>
      </c>
      <c r="E191" s="3" t="s">
        <v>225</v>
      </c>
      <c r="F191" s="2" t="s">
        <v>226</v>
      </c>
      <c r="G191" s="4">
        <v>5</v>
      </c>
      <c r="H191" s="5">
        <v>5.6799999999999988</v>
      </c>
      <c r="I191" s="5">
        <v>5.9207044265069397</v>
      </c>
      <c r="J191" s="6">
        <v>0</v>
      </c>
      <c r="K191" s="5">
        <v>0</v>
      </c>
      <c r="L191" s="6">
        <v>0</v>
      </c>
      <c r="M191" s="5">
        <v>0</v>
      </c>
      <c r="N191" s="6">
        <v>0</v>
      </c>
      <c r="O191" s="5">
        <v>0</v>
      </c>
      <c r="P191" s="6">
        <v>0</v>
      </c>
      <c r="Q191" s="5">
        <v>0</v>
      </c>
      <c r="R191" s="6">
        <v>0</v>
      </c>
      <c r="S191" s="5">
        <v>0</v>
      </c>
      <c r="T191" s="6">
        <v>39.569426967728532</v>
      </c>
      <c r="U191" s="5">
        <v>224.754345176698</v>
      </c>
      <c r="V191" s="6">
        <v>0</v>
      </c>
      <c r="W191" s="5">
        <v>0</v>
      </c>
      <c r="X191" s="6">
        <v>0</v>
      </c>
      <c r="Y191" s="5">
        <v>0</v>
      </c>
      <c r="Z191" s="6">
        <v>0</v>
      </c>
      <c r="AA191" s="5">
        <v>0</v>
      </c>
      <c r="AB191" s="6">
        <v>0</v>
      </c>
      <c r="AC191" s="5">
        <v>0</v>
      </c>
      <c r="AD191" s="6">
        <v>0</v>
      </c>
      <c r="AE191" s="5">
        <v>0</v>
      </c>
      <c r="AF191" s="6">
        <v>0</v>
      </c>
      <c r="AG191" s="5">
        <v>0</v>
      </c>
      <c r="AH191" s="7">
        <f t="shared" si="16"/>
        <v>39.569426967728532</v>
      </c>
      <c r="AI191" s="8">
        <f t="shared" si="17"/>
        <v>224.754345176698</v>
      </c>
      <c r="AJ191" s="6">
        <v>0</v>
      </c>
      <c r="AK191" s="5">
        <v>0</v>
      </c>
      <c r="AL191" s="6">
        <v>0</v>
      </c>
      <c r="AM191" s="5">
        <v>0</v>
      </c>
      <c r="AN191" s="6">
        <v>0</v>
      </c>
      <c r="AO191" s="5">
        <v>0</v>
      </c>
      <c r="AP191" s="6">
        <v>0</v>
      </c>
      <c r="AQ191" s="5">
        <v>0</v>
      </c>
      <c r="AR191" s="6">
        <v>0</v>
      </c>
      <c r="AS191" s="5">
        <v>0</v>
      </c>
      <c r="AT191" s="6">
        <v>45</v>
      </c>
      <c r="AU191" s="5">
        <v>266.43169919281229</v>
      </c>
      <c r="AV191" s="6">
        <v>0</v>
      </c>
      <c r="AW191" s="5">
        <v>0</v>
      </c>
      <c r="AX191" s="6">
        <v>0</v>
      </c>
      <c r="AY191" s="5">
        <v>0</v>
      </c>
      <c r="AZ191" s="6">
        <v>0</v>
      </c>
      <c r="BA191" s="5">
        <v>0</v>
      </c>
      <c r="BB191" s="6">
        <v>0</v>
      </c>
      <c r="BC191" s="5">
        <v>0</v>
      </c>
      <c r="BD191" s="6">
        <v>0</v>
      </c>
      <c r="BE191" s="5">
        <v>0</v>
      </c>
      <c r="BF191" s="6">
        <v>0</v>
      </c>
      <c r="BG191" s="5">
        <v>0</v>
      </c>
      <c r="BH191" s="9">
        <f t="shared" si="18"/>
        <v>45</v>
      </c>
      <c r="BI191" s="10">
        <f t="shared" si="19"/>
        <v>266.43169919281229</v>
      </c>
      <c r="BJ191" s="6">
        <f t="shared" si="20"/>
        <v>5.430573032271468</v>
      </c>
      <c r="BK191" s="11">
        <f t="shared" si="21"/>
        <v>0.13724163952893373</v>
      </c>
      <c r="BL191" s="5">
        <f t="shared" si="22"/>
        <v>41.677354016114293</v>
      </c>
      <c r="BM191" s="11">
        <f t="shared" si="23"/>
        <v>0.1854351424589735</v>
      </c>
    </row>
    <row r="192" spans="1:65" ht="15" customHeight="1" x14ac:dyDescent="0.4">
      <c r="A192" s="2" t="s">
        <v>65</v>
      </c>
      <c r="B192" s="2" t="s">
        <v>66</v>
      </c>
      <c r="C192" s="2" t="s">
        <v>220</v>
      </c>
      <c r="D192" s="3" t="s">
        <v>134</v>
      </c>
      <c r="E192" s="3" t="s">
        <v>227</v>
      </c>
      <c r="F192" s="2" t="s">
        <v>228</v>
      </c>
      <c r="G192" s="4">
        <v>200</v>
      </c>
      <c r="H192" s="5">
        <v>4.93</v>
      </c>
      <c r="I192" s="5">
        <v>5.1389212715984547</v>
      </c>
      <c r="J192" s="6">
        <v>0</v>
      </c>
      <c r="K192" s="5">
        <v>0</v>
      </c>
      <c r="L192" s="6">
        <v>0</v>
      </c>
      <c r="M192" s="5">
        <v>0</v>
      </c>
      <c r="N192" s="6">
        <v>0</v>
      </c>
      <c r="O192" s="5">
        <v>0</v>
      </c>
      <c r="P192" s="6">
        <v>0</v>
      </c>
      <c r="Q192" s="5">
        <v>0</v>
      </c>
      <c r="R192" s="6">
        <v>395.69426967728532</v>
      </c>
      <c r="S192" s="5">
        <v>1950.772749509016</v>
      </c>
      <c r="T192" s="6">
        <v>0</v>
      </c>
      <c r="U192" s="5">
        <v>0</v>
      </c>
      <c r="V192" s="6">
        <v>0</v>
      </c>
      <c r="W192" s="5">
        <v>0</v>
      </c>
      <c r="X192" s="6">
        <v>0</v>
      </c>
      <c r="Y192" s="5">
        <v>0</v>
      </c>
      <c r="Z192" s="6">
        <v>0</v>
      </c>
      <c r="AA192" s="5">
        <v>0</v>
      </c>
      <c r="AB192" s="6">
        <v>0</v>
      </c>
      <c r="AC192" s="5">
        <v>0</v>
      </c>
      <c r="AD192" s="6">
        <v>0</v>
      </c>
      <c r="AE192" s="5">
        <v>0</v>
      </c>
      <c r="AF192" s="6">
        <v>0</v>
      </c>
      <c r="AG192" s="5">
        <v>0</v>
      </c>
      <c r="AH192" s="7">
        <f t="shared" si="16"/>
        <v>395.69426967728532</v>
      </c>
      <c r="AI192" s="8">
        <f t="shared" si="17"/>
        <v>1950.772749509016</v>
      </c>
      <c r="AJ192" s="6">
        <v>0</v>
      </c>
      <c r="AK192" s="5">
        <v>0</v>
      </c>
      <c r="AL192" s="6">
        <v>0</v>
      </c>
      <c r="AM192" s="5">
        <v>0</v>
      </c>
      <c r="AN192" s="6">
        <v>0</v>
      </c>
      <c r="AO192" s="5">
        <v>0</v>
      </c>
      <c r="AP192" s="6">
        <v>0</v>
      </c>
      <c r="AQ192" s="5">
        <v>0</v>
      </c>
      <c r="AR192" s="6">
        <v>400</v>
      </c>
      <c r="AS192" s="5">
        <v>2055.5685086393819</v>
      </c>
      <c r="AT192" s="6">
        <v>0</v>
      </c>
      <c r="AU192" s="5">
        <v>0</v>
      </c>
      <c r="AV192" s="6">
        <v>0</v>
      </c>
      <c r="AW192" s="5">
        <v>0</v>
      </c>
      <c r="AX192" s="6">
        <v>0</v>
      </c>
      <c r="AY192" s="5">
        <v>0</v>
      </c>
      <c r="AZ192" s="6">
        <v>0</v>
      </c>
      <c r="BA192" s="5">
        <v>0</v>
      </c>
      <c r="BB192" s="6">
        <v>0</v>
      </c>
      <c r="BC192" s="5">
        <v>0</v>
      </c>
      <c r="BD192" s="6">
        <v>0</v>
      </c>
      <c r="BE192" s="5">
        <v>0</v>
      </c>
      <c r="BF192" s="6">
        <v>0</v>
      </c>
      <c r="BG192" s="5">
        <v>0</v>
      </c>
      <c r="BH192" s="9">
        <f t="shared" si="18"/>
        <v>400</v>
      </c>
      <c r="BI192" s="10">
        <f t="shared" si="19"/>
        <v>2055.5685086393819</v>
      </c>
      <c r="BJ192" s="6">
        <f t="shared" si="20"/>
        <v>4.3057303227146804</v>
      </c>
      <c r="BK192" s="11">
        <f t="shared" si="21"/>
        <v>1.0881457359052195E-2</v>
      </c>
      <c r="BL192" s="5">
        <f t="shared" si="22"/>
        <v>104.79575913036592</v>
      </c>
      <c r="BM192" s="11">
        <f t="shared" si="23"/>
        <v>5.372012663019906E-2</v>
      </c>
    </row>
    <row r="193" spans="1:65" ht="15" customHeight="1" x14ac:dyDescent="0.4">
      <c r="A193" s="2" t="s">
        <v>65</v>
      </c>
      <c r="B193" s="2" t="s">
        <v>66</v>
      </c>
      <c r="C193" s="2" t="s">
        <v>220</v>
      </c>
      <c r="D193" s="3" t="s">
        <v>134</v>
      </c>
      <c r="E193" s="3" t="s">
        <v>229</v>
      </c>
      <c r="F193" s="2" t="s">
        <v>230</v>
      </c>
      <c r="G193" s="4">
        <v>20</v>
      </c>
      <c r="H193" s="5">
        <v>2.38</v>
      </c>
      <c r="I193" s="5">
        <v>2.4808585449096001</v>
      </c>
      <c r="J193" s="6">
        <v>0</v>
      </c>
      <c r="K193" s="5">
        <v>0</v>
      </c>
      <c r="L193" s="6">
        <v>0</v>
      </c>
      <c r="M193" s="5">
        <v>0</v>
      </c>
      <c r="N193" s="6">
        <v>59.354140451592791</v>
      </c>
      <c r="O193" s="5">
        <v>141.2628542747909</v>
      </c>
      <c r="P193" s="6">
        <v>0</v>
      </c>
      <c r="Q193" s="5">
        <v>0</v>
      </c>
      <c r="R193" s="6">
        <v>0</v>
      </c>
      <c r="S193" s="5">
        <v>0</v>
      </c>
      <c r="T193" s="6">
        <v>0</v>
      </c>
      <c r="U193" s="5">
        <v>0</v>
      </c>
      <c r="V193" s="6">
        <v>0</v>
      </c>
      <c r="W193" s="5">
        <v>0</v>
      </c>
      <c r="X193" s="6">
        <v>0</v>
      </c>
      <c r="Y193" s="5">
        <v>0</v>
      </c>
      <c r="Z193" s="6">
        <v>0</v>
      </c>
      <c r="AA193" s="5">
        <v>0</v>
      </c>
      <c r="AB193" s="6">
        <v>0</v>
      </c>
      <c r="AC193" s="5">
        <v>0</v>
      </c>
      <c r="AD193" s="6">
        <v>0</v>
      </c>
      <c r="AE193" s="5">
        <v>0</v>
      </c>
      <c r="AF193" s="6">
        <v>0</v>
      </c>
      <c r="AG193" s="5">
        <v>0</v>
      </c>
      <c r="AH193" s="7">
        <f t="shared" si="16"/>
        <v>59.354140451592791</v>
      </c>
      <c r="AI193" s="8">
        <f t="shared" si="17"/>
        <v>141.2628542747909</v>
      </c>
      <c r="AJ193" s="6">
        <v>0</v>
      </c>
      <c r="AK193" s="5">
        <v>0</v>
      </c>
      <c r="AL193" s="6">
        <v>0</v>
      </c>
      <c r="AM193" s="5">
        <v>0</v>
      </c>
      <c r="AN193" s="6">
        <v>60</v>
      </c>
      <c r="AO193" s="5">
        <v>148.851512694576</v>
      </c>
      <c r="AP193" s="6">
        <v>0</v>
      </c>
      <c r="AQ193" s="5">
        <v>0</v>
      </c>
      <c r="AR193" s="6">
        <v>0</v>
      </c>
      <c r="AS193" s="5">
        <v>0</v>
      </c>
      <c r="AT193" s="6">
        <v>0</v>
      </c>
      <c r="AU193" s="5">
        <v>0</v>
      </c>
      <c r="AV193" s="6">
        <v>0</v>
      </c>
      <c r="AW193" s="5">
        <v>0</v>
      </c>
      <c r="AX193" s="6">
        <v>0</v>
      </c>
      <c r="AY193" s="5">
        <v>0</v>
      </c>
      <c r="AZ193" s="6">
        <v>0</v>
      </c>
      <c r="BA193" s="5">
        <v>0</v>
      </c>
      <c r="BB193" s="6">
        <v>0</v>
      </c>
      <c r="BC193" s="5">
        <v>0</v>
      </c>
      <c r="BD193" s="6">
        <v>0</v>
      </c>
      <c r="BE193" s="5">
        <v>0</v>
      </c>
      <c r="BF193" s="6">
        <v>0</v>
      </c>
      <c r="BG193" s="5">
        <v>0</v>
      </c>
      <c r="BH193" s="9">
        <f t="shared" si="18"/>
        <v>60</v>
      </c>
      <c r="BI193" s="10">
        <f t="shared" si="19"/>
        <v>148.851512694576</v>
      </c>
      <c r="BJ193" s="6">
        <f t="shared" si="20"/>
        <v>0.64585954840720916</v>
      </c>
      <c r="BK193" s="11">
        <f t="shared" si="21"/>
        <v>1.0881457359052316E-2</v>
      </c>
      <c r="BL193" s="5">
        <f t="shared" si="22"/>
        <v>7.588658419785105</v>
      </c>
      <c r="BM193" s="11">
        <f t="shared" si="23"/>
        <v>5.3720126630198928E-2</v>
      </c>
    </row>
    <row r="194" spans="1:65" ht="15" customHeight="1" x14ac:dyDescent="0.4">
      <c r="A194" s="2" t="s">
        <v>65</v>
      </c>
      <c r="B194" s="2" t="s">
        <v>66</v>
      </c>
      <c r="C194" s="2" t="s">
        <v>220</v>
      </c>
      <c r="D194" s="3" t="s">
        <v>134</v>
      </c>
      <c r="E194" s="3" t="s">
        <v>79</v>
      </c>
      <c r="F194" s="2" t="s">
        <v>80</v>
      </c>
      <c r="G194" s="4">
        <v>20</v>
      </c>
      <c r="H194" s="5">
        <v>3.4651999999999989</v>
      </c>
      <c r="I194" s="5">
        <v>3.614948149818821</v>
      </c>
      <c r="J194" s="6">
        <v>0</v>
      </c>
      <c r="K194" s="5">
        <v>0</v>
      </c>
      <c r="L194" s="6">
        <v>0</v>
      </c>
      <c r="M194" s="5">
        <v>0</v>
      </c>
      <c r="N194" s="6">
        <v>0</v>
      </c>
      <c r="O194" s="5">
        <v>0</v>
      </c>
      <c r="P194" s="6">
        <v>0</v>
      </c>
      <c r="Q194" s="5">
        <v>0</v>
      </c>
      <c r="R194" s="6">
        <v>0</v>
      </c>
      <c r="S194" s="5">
        <v>0</v>
      </c>
      <c r="T194" s="6">
        <v>178.06242135477839</v>
      </c>
      <c r="U194" s="5">
        <v>595.71772299915301</v>
      </c>
      <c r="V194" s="6">
        <v>0</v>
      </c>
      <c r="W194" s="5">
        <v>0</v>
      </c>
      <c r="X194" s="6">
        <v>316.55541574182831</v>
      </c>
      <c r="Y194" s="5">
        <v>1118.2320061080079</v>
      </c>
      <c r="Z194" s="6">
        <v>0</v>
      </c>
      <c r="AA194" s="5">
        <v>0</v>
      </c>
      <c r="AB194" s="6">
        <v>0</v>
      </c>
      <c r="AC194" s="5">
        <v>0</v>
      </c>
      <c r="AD194" s="6">
        <v>0</v>
      </c>
      <c r="AE194" s="5">
        <v>0</v>
      </c>
      <c r="AF194" s="6">
        <v>0</v>
      </c>
      <c r="AG194" s="5">
        <v>0</v>
      </c>
      <c r="AH194" s="7">
        <f t="shared" ref="AH194:AH257" si="24">J194+L194+N194+P194+R194+T194+V194+X194+Z194+AB194+AD194+AF194</f>
        <v>494.61783709660671</v>
      </c>
      <c r="AI194" s="8">
        <f t="shared" ref="AI194:AI257" si="25">K194+M194+O194+Q194+S194+U194+W194+Y194+AA194+AC194+AE194+AG194</f>
        <v>1713.9497291071609</v>
      </c>
      <c r="AJ194" s="6">
        <v>0</v>
      </c>
      <c r="AK194" s="5">
        <v>0</v>
      </c>
      <c r="AL194" s="6">
        <v>0</v>
      </c>
      <c r="AM194" s="5">
        <v>0</v>
      </c>
      <c r="AN194" s="6">
        <v>0</v>
      </c>
      <c r="AO194" s="5">
        <v>0</v>
      </c>
      <c r="AP194" s="6">
        <v>0</v>
      </c>
      <c r="AQ194" s="5">
        <v>0</v>
      </c>
      <c r="AR194" s="6">
        <v>0</v>
      </c>
      <c r="AS194" s="5">
        <v>0</v>
      </c>
      <c r="AT194" s="6">
        <v>200</v>
      </c>
      <c r="AU194" s="5">
        <v>697.46639390502355</v>
      </c>
      <c r="AV194" s="6">
        <v>0</v>
      </c>
      <c r="AW194" s="5">
        <v>0</v>
      </c>
      <c r="AX194" s="6">
        <v>340</v>
      </c>
      <c r="AY194" s="5">
        <v>1254.6056069971401</v>
      </c>
      <c r="AZ194" s="6">
        <v>0</v>
      </c>
      <c r="BA194" s="5">
        <v>0</v>
      </c>
      <c r="BB194" s="6">
        <v>0</v>
      </c>
      <c r="BC194" s="5">
        <v>0</v>
      </c>
      <c r="BD194" s="6">
        <v>0</v>
      </c>
      <c r="BE194" s="5">
        <v>0</v>
      </c>
      <c r="BF194" s="6">
        <v>0</v>
      </c>
      <c r="BG194" s="5">
        <v>0</v>
      </c>
      <c r="BH194" s="9">
        <f t="shared" ref="BH194:BH257" si="26">AJ194+AL194+AN194+AP194+AR194+AT194+AV194+AX194+AZ194+BB194+BD194+BF194</f>
        <v>540</v>
      </c>
      <c r="BI194" s="10">
        <f t="shared" ref="BI194:BI257" si="27">AK194+AM194+AO194+AQ194+AS194+AU194+AW194+AY194+BA194+BC194+BE194+BG194</f>
        <v>1952.0720009021636</v>
      </c>
      <c r="BJ194" s="6">
        <f t="shared" ref="BJ194:BJ257" si="28">BH194-AH194</f>
        <v>45.382162903393294</v>
      </c>
      <c r="BK194" s="11">
        <f t="shared" ref="BK194:BK257" si="29">IF(AH194&gt;0, BJ194/AH194, 0)</f>
        <v>9.1751973947776247E-2</v>
      </c>
      <c r="BL194" s="5">
        <f t="shared" ref="BL194:BL257" si="30">BI194-AI194</f>
        <v>238.12227179500269</v>
      </c>
      <c r="BM194" s="11">
        <f t="shared" ref="BM194:BM257" si="31">IF(AI194&gt;0, BL194/AI194, 0)</f>
        <v>0.13893188799594869</v>
      </c>
    </row>
    <row r="195" spans="1:65" ht="15" customHeight="1" x14ac:dyDescent="0.4">
      <c r="A195" s="2" t="s">
        <v>65</v>
      </c>
      <c r="B195" s="2" t="s">
        <v>66</v>
      </c>
      <c r="C195" s="2" t="s">
        <v>220</v>
      </c>
      <c r="D195" s="3" t="s">
        <v>134</v>
      </c>
      <c r="E195" s="3" t="s">
        <v>231</v>
      </c>
      <c r="F195" s="2" t="s">
        <v>232</v>
      </c>
      <c r="G195" s="4">
        <v>200</v>
      </c>
      <c r="H195" s="5">
        <v>3.37</v>
      </c>
      <c r="I195" s="5">
        <v>3.5128123093888011</v>
      </c>
      <c r="J195" s="6">
        <v>0</v>
      </c>
      <c r="K195" s="5">
        <v>0</v>
      </c>
      <c r="L195" s="6">
        <v>0</v>
      </c>
      <c r="M195" s="5">
        <v>0</v>
      </c>
      <c r="N195" s="6">
        <v>0</v>
      </c>
      <c r="O195" s="5">
        <v>0</v>
      </c>
      <c r="P195" s="6">
        <v>0</v>
      </c>
      <c r="Q195" s="5">
        <v>0</v>
      </c>
      <c r="R195" s="6">
        <v>0</v>
      </c>
      <c r="S195" s="5">
        <v>0</v>
      </c>
      <c r="T195" s="6">
        <v>0</v>
      </c>
      <c r="U195" s="5">
        <v>0</v>
      </c>
      <c r="V195" s="6">
        <v>395.69426967728532</v>
      </c>
      <c r="W195" s="5">
        <v>1333.489688812452</v>
      </c>
      <c r="X195" s="6">
        <v>0</v>
      </c>
      <c r="Y195" s="5">
        <v>0</v>
      </c>
      <c r="Z195" s="6">
        <v>0</v>
      </c>
      <c r="AA195" s="5">
        <v>0</v>
      </c>
      <c r="AB195" s="6">
        <v>0</v>
      </c>
      <c r="AC195" s="5">
        <v>0</v>
      </c>
      <c r="AD195" s="6">
        <v>0</v>
      </c>
      <c r="AE195" s="5">
        <v>0</v>
      </c>
      <c r="AF195" s="6">
        <v>0</v>
      </c>
      <c r="AG195" s="5">
        <v>0</v>
      </c>
      <c r="AH195" s="7">
        <f t="shared" si="24"/>
        <v>395.69426967728532</v>
      </c>
      <c r="AI195" s="8">
        <f t="shared" si="25"/>
        <v>1333.489688812452</v>
      </c>
      <c r="AJ195" s="6">
        <v>0</v>
      </c>
      <c r="AK195" s="5">
        <v>0</v>
      </c>
      <c r="AL195" s="6">
        <v>0</v>
      </c>
      <c r="AM195" s="5">
        <v>0</v>
      </c>
      <c r="AN195" s="6">
        <v>0</v>
      </c>
      <c r="AO195" s="5">
        <v>0</v>
      </c>
      <c r="AP195" s="6">
        <v>0</v>
      </c>
      <c r="AQ195" s="5">
        <v>0</v>
      </c>
      <c r="AR195" s="6">
        <v>0</v>
      </c>
      <c r="AS195" s="5">
        <v>0</v>
      </c>
      <c r="AT195" s="6">
        <v>0</v>
      </c>
      <c r="AU195" s="5">
        <v>0</v>
      </c>
      <c r="AV195" s="6">
        <v>400</v>
      </c>
      <c r="AW195" s="5">
        <v>1405.124923755521</v>
      </c>
      <c r="AX195" s="6">
        <v>0</v>
      </c>
      <c r="AY195" s="5">
        <v>0</v>
      </c>
      <c r="AZ195" s="6">
        <v>0</v>
      </c>
      <c r="BA195" s="5">
        <v>0</v>
      </c>
      <c r="BB195" s="6">
        <v>0</v>
      </c>
      <c r="BC195" s="5">
        <v>0</v>
      </c>
      <c r="BD195" s="6">
        <v>0</v>
      </c>
      <c r="BE195" s="5">
        <v>0</v>
      </c>
      <c r="BF195" s="6">
        <v>0</v>
      </c>
      <c r="BG195" s="5">
        <v>0</v>
      </c>
      <c r="BH195" s="9">
        <f t="shared" si="26"/>
        <v>400</v>
      </c>
      <c r="BI195" s="10">
        <f t="shared" si="27"/>
        <v>1405.124923755521</v>
      </c>
      <c r="BJ195" s="6">
        <f t="shared" si="28"/>
        <v>4.3057303227146804</v>
      </c>
      <c r="BK195" s="11">
        <f t="shared" si="29"/>
        <v>1.0881457359052195E-2</v>
      </c>
      <c r="BL195" s="5">
        <f t="shared" si="30"/>
        <v>71.635234943069008</v>
      </c>
      <c r="BM195" s="11">
        <f t="shared" si="31"/>
        <v>5.3720126630198574E-2</v>
      </c>
    </row>
    <row r="196" spans="1:65" ht="15" customHeight="1" x14ac:dyDescent="0.4">
      <c r="A196" s="2" t="s">
        <v>65</v>
      </c>
      <c r="B196" s="2" t="s">
        <v>66</v>
      </c>
      <c r="C196" s="2" t="s">
        <v>220</v>
      </c>
      <c r="D196" s="3" t="s">
        <v>134</v>
      </c>
      <c r="E196" s="3" t="s">
        <v>233</v>
      </c>
      <c r="F196" s="2" t="s">
        <v>234</v>
      </c>
      <c r="G196" s="4">
        <v>1000</v>
      </c>
      <c r="H196" s="5">
        <v>3.04</v>
      </c>
      <c r="I196" s="5">
        <v>3.1688277212290679</v>
      </c>
      <c r="J196" s="6">
        <v>0</v>
      </c>
      <c r="K196" s="5">
        <v>0</v>
      </c>
      <c r="L196" s="6">
        <v>0</v>
      </c>
      <c r="M196" s="5">
        <v>0</v>
      </c>
      <c r="N196" s="6">
        <v>0</v>
      </c>
      <c r="O196" s="5">
        <v>0</v>
      </c>
      <c r="P196" s="6">
        <v>0</v>
      </c>
      <c r="Q196" s="5">
        <v>0</v>
      </c>
      <c r="R196" s="6">
        <v>989.23567419321319</v>
      </c>
      <c r="S196" s="5">
        <v>3007.276449547368</v>
      </c>
      <c r="T196" s="6">
        <v>0</v>
      </c>
      <c r="U196" s="5">
        <v>0</v>
      </c>
      <c r="V196" s="6">
        <v>0</v>
      </c>
      <c r="W196" s="5">
        <v>0</v>
      </c>
      <c r="X196" s="6">
        <v>0</v>
      </c>
      <c r="Y196" s="5">
        <v>0</v>
      </c>
      <c r="Z196" s="6">
        <v>0</v>
      </c>
      <c r="AA196" s="5">
        <v>0</v>
      </c>
      <c r="AB196" s="6">
        <v>0</v>
      </c>
      <c r="AC196" s="5">
        <v>0</v>
      </c>
      <c r="AD196" s="6">
        <v>0</v>
      </c>
      <c r="AE196" s="5">
        <v>0</v>
      </c>
      <c r="AF196" s="6">
        <v>0</v>
      </c>
      <c r="AG196" s="5">
        <v>0</v>
      </c>
      <c r="AH196" s="7">
        <f t="shared" si="24"/>
        <v>989.23567419321319</v>
      </c>
      <c r="AI196" s="8">
        <f t="shared" si="25"/>
        <v>3007.276449547368</v>
      </c>
      <c r="AJ196" s="6">
        <v>0</v>
      </c>
      <c r="AK196" s="5">
        <v>0</v>
      </c>
      <c r="AL196" s="6">
        <v>0</v>
      </c>
      <c r="AM196" s="5">
        <v>0</v>
      </c>
      <c r="AN196" s="6">
        <v>0</v>
      </c>
      <c r="AO196" s="5">
        <v>0</v>
      </c>
      <c r="AP196" s="6">
        <v>0</v>
      </c>
      <c r="AQ196" s="5">
        <v>0</v>
      </c>
      <c r="AR196" s="6">
        <v>1000</v>
      </c>
      <c r="AS196" s="5">
        <v>3168.8277212290682</v>
      </c>
      <c r="AT196" s="6">
        <v>0</v>
      </c>
      <c r="AU196" s="5">
        <v>0</v>
      </c>
      <c r="AV196" s="6">
        <v>0</v>
      </c>
      <c r="AW196" s="5">
        <v>0</v>
      </c>
      <c r="AX196" s="6">
        <v>0</v>
      </c>
      <c r="AY196" s="5">
        <v>0</v>
      </c>
      <c r="AZ196" s="6">
        <v>0</v>
      </c>
      <c r="BA196" s="5">
        <v>0</v>
      </c>
      <c r="BB196" s="6">
        <v>0</v>
      </c>
      <c r="BC196" s="5">
        <v>0</v>
      </c>
      <c r="BD196" s="6">
        <v>0</v>
      </c>
      <c r="BE196" s="5">
        <v>0</v>
      </c>
      <c r="BF196" s="6">
        <v>0</v>
      </c>
      <c r="BG196" s="5">
        <v>0</v>
      </c>
      <c r="BH196" s="9">
        <f t="shared" si="26"/>
        <v>1000</v>
      </c>
      <c r="BI196" s="10">
        <f t="shared" si="27"/>
        <v>3168.8277212290682</v>
      </c>
      <c r="BJ196" s="6">
        <f t="shared" si="28"/>
        <v>10.764325806786815</v>
      </c>
      <c r="BK196" s="11">
        <f t="shared" si="29"/>
        <v>1.0881457359052311E-2</v>
      </c>
      <c r="BL196" s="5">
        <f t="shared" si="30"/>
        <v>161.5512716817002</v>
      </c>
      <c r="BM196" s="11">
        <f t="shared" si="31"/>
        <v>5.3720126630199115E-2</v>
      </c>
    </row>
    <row r="197" spans="1:65" ht="15" customHeight="1" x14ac:dyDescent="0.4">
      <c r="A197" s="2" t="s">
        <v>65</v>
      </c>
      <c r="B197" s="2" t="s">
        <v>66</v>
      </c>
      <c r="C197" s="2" t="s">
        <v>220</v>
      </c>
      <c r="D197" s="3" t="s">
        <v>134</v>
      </c>
      <c r="E197" s="3" t="s">
        <v>235</v>
      </c>
      <c r="F197" s="2" t="s">
        <v>236</v>
      </c>
      <c r="G197" s="4">
        <v>200</v>
      </c>
      <c r="H197" s="5">
        <v>1.96</v>
      </c>
      <c r="I197" s="5">
        <v>2.0430599781608461</v>
      </c>
      <c r="J197" s="6">
        <v>0</v>
      </c>
      <c r="K197" s="5">
        <v>0</v>
      </c>
      <c r="L197" s="6">
        <v>0</v>
      </c>
      <c r="M197" s="5">
        <v>0</v>
      </c>
      <c r="N197" s="6">
        <v>197.84713483864269</v>
      </c>
      <c r="O197" s="5">
        <v>387.78038428373958</v>
      </c>
      <c r="P197" s="6">
        <v>0</v>
      </c>
      <c r="Q197" s="5">
        <v>0</v>
      </c>
      <c r="R197" s="6">
        <v>0</v>
      </c>
      <c r="S197" s="5">
        <v>0</v>
      </c>
      <c r="T197" s="6">
        <v>0</v>
      </c>
      <c r="U197" s="5">
        <v>0</v>
      </c>
      <c r="V197" s="6">
        <v>0</v>
      </c>
      <c r="W197" s="5">
        <v>0</v>
      </c>
      <c r="X197" s="6">
        <v>0</v>
      </c>
      <c r="Y197" s="5">
        <v>0</v>
      </c>
      <c r="Z197" s="6">
        <v>0</v>
      </c>
      <c r="AA197" s="5">
        <v>0</v>
      </c>
      <c r="AB197" s="6">
        <v>0</v>
      </c>
      <c r="AC197" s="5">
        <v>0</v>
      </c>
      <c r="AD197" s="6">
        <v>0</v>
      </c>
      <c r="AE197" s="5">
        <v>0</v>
      </c>
      <c r="AF197" s="6">
        <v>0</v>
      </c>
      <c r="AG197" s="5">
        <v>0</v>
      </c>
      <c r="AH197" s="7">
        <f t="shared" si="24"/>
        <v>197.84713483864269</v>
      </c>
      <c r="AI197" s="8">
        <f t="shared" si="25"/>
        <v>387.78038428373958</v>
      </c>
      <c r="AJ197" s="6">
        <v>0</v>
      </c>
      <c r="AK197" s="5">
        <v>0</v>
      </c>
      <c r="AL197" s="6">
        <v>0</v>
      </c>
      <c r="AM197" s="5">
        <v>0</v>
      </c>
      <c r="AN197" s="6">
        <v>200</v>
      </c>
      <c r="AO197" s="5">
        <v>408.61199563216923</v>
      </c>
      <c r="AP197" s="6">
        <v>0</v>
      </c>
      <c r="AQ197" s="5">
        <v>0</v>
      </c>
      <c r="AR197" s="6">
        <v>0</v>
      </c>
      <c r="AS197" s="5">
        <v>0</v>
      </c>
      <c r="AT197" s="6">
        <v>0</v>
      </c>
      <c r="AU197" s="5">
        <v>0</v>
      </c>
      <c r="AV197" s="6">
        <v>0</v>
      </c>
      <c r="AW197" s="5">
        <v>0</v>
      </c>
      <c r="AX197" s="6">
        <v>0</v>
      </c>
      <c r="AY197" s="5">
        <v>0</v>
      </c>
      <c r="AZ197" s="6">
        <v>0</v>
      </c>
      <c r="BA197" s="5">
        <v>0</v>
      </c>
      <c r="BB197" s="6">
        <v>0</v>
      </c>
      <c r="BC197" s="5">
        <v>0</v>
      </c>
      <c r="BD197" s="6">
        <v>0</v>
      </c>
      <c r="BE197" s="5">
        <v>0</v>
      </c>
      <c r="BF197" s="6">
        <v>0</v>
      </c>
      <c r="BG197" s="5">
        <v>0</v>
      </c>
      <c r="BH197" s="9">
        <f t="shared" si="26"/>
        <v>200</v>
      </c>
      <c r="BI197" s="10">
        <f t="shared" si="27"/>
        <v>408.61199563216923</v>
      </c>
      <c r="BJ197" s="6">
        <f t="shared" si="28"/>
        <v>2.1528651613573118</v>
      </c>
      <c r="BK197" s="11">
        <f t="shared" si="29"/>
        <v>1.0881457359052051E-2</v>
      </c>
      <c r="BL197" s="5">
        <f t="shared" si="30"/>
        <v>20.831611348429647</v>
      </c>
      <c r="BM197" s="11">
        <f t="shared" si="31"/>
        <v>5.372012663019881E-2</v>
      </c>
    </row>
    <row r="198" spans="1:65" ht="15" customHeight="1" x14ac:dyDescent="0.4">
      <c r="A198" s="2" t="s">
        <v>65</v>
      </c>
      <c r="B198" s="2" t="s">
        <v>66</v>
      </c>
      <c r="C198" s="2" t="s">
        <v>220</v>
      </c>
      <c r="D198" s="3" t="s">
        <v>134</v>
      </c>
      <c r="E198" s="3" t="s">
        <v>131</v>
      </c>
      <c r="F198" s="2" t="s">
        <v>132</v>
      </c>
      <c r="G198" s="4">
        <v>20</v>
      </c>
      <c r="H198" s="5">
        <v>1.8825000000000001</v>
      </c>
      <c r="I198" s="5">
        <v>1.962367693309115</v>
      </c>
      <c r="J198" s="6">
        <v>0</v>
      </c>
      <c r="K198" s="5">
        <v>0</v>
      </c>
      <c r="L198" s="6">
        <v>0</v>
      </c>
      <c r="M198" s="5">
        <v>0</v>
      </c>
      <c r="N198" s="6">
        <v>0</v>
      </c>
      <c r="O198" s="5">
        <v>0</v>
      </c>
      <c r="P198" s="6">
        <v>0</v>
      </c>
      <c r="Q198" s="5">
        <v>0</v>
      </c>
      <c r="R198" s="6">
        <v>1286.0063764511769</v>
      </c>
      <c r="S198" s="5">
        <v>2391.971860199189</v>
      </c>
      <c r="T198" s="6">
        <v>296.77070225796399</v>
      </c>
      <c r="U198" s="5">
        <v>587.60599047076869</v>
      </c>
      <c r="V198" s="6">
        <v>0</v>
      </c>
      <c r="W198" s="5">
        <v>0</v>
      </c>
      <c r="X198" s="6">
        <v>0</v>
      </c>
      <c r="Y198" s="5">
        <v>0</v>
      </c>
      <c r="Z198" s="6">
        <v>0</v>
      </c>
      <c r="AA198" s="5">
        <v>0</v>
      </c>
      <c r="AB198" s="6">
        <v>0</v>
      </c>
      <c r="AC198" s="5">
        <v>0</v>
      </c>
      <c r="AD198" s="6">
        <v>0</v>
      </c>
      <c r="AE198" s="5">
        <v>0</v>
      </c>
      <c r="AF198" s="6">
        <v>0</v>
      </c>
      <c r="AG198" s="5">
        <v>0</v>
      </c>
      <c r="AH198" s="7">
        <f t="shared" si="24"/>
        <v>1582.7770787091408</v>
      </c>
      <c r="AI198" s="8">
        <f t="shared" si="25"/>
        <v>2979.5778506699576</v>
      </c>
      <c r="AJ198" s="6">
        <v>0</v>
      </c>
      <c r="AK198" s="5">
        <v>0</v>
      </c>
      <c r="AL198" s="6">
        <v>0</v>
      </c>
      <c r="AM198" s="5">
        <v>0</v>
      </c>
      <c r="AN198" s="6">
        <v>0</v>
      </c>
      <c r="AO198" s="5">
        <v>0</v>
      </c>
      <c r="AP198" s="6">
        <v>0</v>
      </c>
      <c r="AQ198" s="5">
        <v>0</v>
      </c>
      <c r="AR198" s="6">
        <v>1380</v>
      </c>
      <c r="AS198" s="5">
        <v>2675.5746693588062</v>
      </c>
      <c r="AT198" s="6">
        <v>320</v>
      </c>
      <c r="AU198" s="5">
        <v>660.45040926668969</v>
      </c>
      <c r="AV198" s="6">
        <v>0</v>
      </c>
      <c r="AW198" s="5">
        <v>0</v>
      </c>
      <c r="AX198" s="6">
        <v>0</v>
      </c>
      <c r="AY198" s="5">
        <v>0</v>
      </c>
      <c r="AZ198" s="6">
        <v>0</v>
      </c>
      <c r="BA198" s="5">
        <v>0</v>
      </c>
      <c r="BB198" s="6">
        <v>0</v>
      </c>
      <c r="BC198" s="5">
        <v>0</v>
      </c>
      <c r="BD198" s="6">
        <v>0</v>
      </c>
      <c r="BE198" s="5">
        <v>0</v>
      </c>
      <c r="BF198" s="6">
        <v>0</v>
      </c>
      <c r="BG198" s="5">
        <v>0</v>
      </c>
      <c r="BH198" s="9">
        <f t="shared" si="26"/>
        <v>1700</v>
      </c>
      <c r="BI198" s="10">
        <f t="shared" si="27"/>
        <v>3336.025078625496</v>
      </c>
      <c r="BJ198" s="6">
        <f t="shared" si="28"/>
        <v>117.22292129085918</v>
      </c>
      <c r="BK198" s="11">
        <f t="shared" si="29"/>
        <v>7.4061548443993264E-2</v>
      </c>
      <c r="BL198" s="5">
        <f t="shared" si="30"/>
        <v>356.44722795553844</v>
      </c>
      <c r="BM198" s="11">
        <f t="shared" si="31"/>
        <v>0.11963011064651033</v>
      </c>
    </row>
    <row r="199" spans="1:65" ht="15" customHeight="1" x14ac:dyDescent="0.4">
      <c r="A199" s="2" t="s">
        <v>65</v>
      </c>
      <c r="B199" s="2" t="s">
        <v>66</v>
      </c>
      <c r="C199" s="2" t="s">
        <v>237</v>
      </c>
      <c r="D199" s="3" t="s">
        <v>134</v>
      </c>
      <c r="E199" s="3" t="s">
        <v>69</v>
      </c>
      <c r="F199" s="2" t="s">
        <v>192</v>
      </c>
      <c r="G199" s="4">
        <v>20</v>
      </c>
      <c r="H199" s="5">
        <v>5.1199999999999992</v>
      </c>
      <c r="I199" s="5">
        <v>5.3369730041752712</v>
      </c>
      <c r="J199" s="6">
        <v>0</v>
      </c>
      <c r="K199" s="5">
        <v>0</v>
      </c>
      <c r="L199" s="6">
        <v>0</v>
      </c>
      <c r="M199" s="5">
        <v>0</v>
      </c>
      <c r="N199" s="6">
        <v>0</v>
      </c>
      <c r="O199" s="5">
        <v>0</v>
      </c>
      <c r="P199" s="6">
        <v>0</v>
      </c>
      <c r="Q199" s="5">
        <v>0</v>
      </c>
      <c r="R199" s="6">
        <v>98.92356741932133</v>
      </c>
      <c r="S199" s="5">
        <v>506.48866518692518</v>
      </c>
      <c r="T199" s="6">
        <v>0</v>
      </c>
      <c r="U199" s="5">
        <v>0</v>
      </c>
      <c r="V199" s="6">
        <v>0</v>
      </c>
      <c r="W199" s="5">
        <v>0</v>
      </c>
      <c r="X199" s="6">
        <v>0</v>
      </c>
      <c r="Y199" s="5">
        <v>0</v>
      </c>
      <c r="Z199" s="6">
        <v>0</v>
      </c>
      <c r="AA199" s="5">
        <v>0</v>
      </c>
      <c r="AB199" s="6">
        <v>0</v>
      </c>
      <c r="AC199" s="5">
        <v>0</v>
      </c>
      <c r="AD199" s="6">
        <v>0</v>
      </c>
      <c r="AE199" s="5">
        <v>0</v>
      </c>
      <c r="AF199" s="6">
        <v>0</v>
      </c>
      <c r="AG199" s="5">
        <v>0</v>
      </c>
      <c r="AH199" s="7">
        <f t="shared" si="24"/>
        <v>98.92356741932133</v>
      </c>
      <c r="AI199" s="8">
        <f t="shared" si="25"/>
        <v>506.48866518692518</v>
      </c>
      <c r="AJ199" s="6">
        <v>0</v>
      </c>
      <c r="AK199" s="5">
        <v>0</v>
      </c>
      <c r="AL199" s="6">
        <v>0</v>
      </c>
      <c r="AM199" s="5">
        <v>0</v>
      </c>
      <c r="AN199" s="6">
        <v>0</v>
      </c>
      <c r="AO199" s="5">
        <v>0</v>
      </c>
      <c r="AP199" s="6">
        <v>0</v>
      </c>
      <c r="AQ199" s="5">
        <v>0</v>
      </c>
      <c r="AR199" s="6">
        <v>120</v>
      </c>
      <c r="AS199" s="5">
        <v>640.4367605010325</v>
      </c>
      <c r="AT199" s="6">
        <v>0</v>
      </c>
      <c r="AU199" s="5">
        <v>0</v>
      </c>
      <c r="AV199" s="6">
        <v>0</v>
      </c>
      <c r="AW199" s="5">
        <v>0</v>
      </c>
      <c r="AX199" s="6">
        <v>0</v>
      </c>
      <c r="AY199" s="5">
        <v>0</v>
      </c>
      <c r="AZ199" s="6">
        <v>0</v>
      </c>
      <c r="BA199" s="5">
        <v>0</v>
      </c>
      <c r="BB199" s="6">
        <v>0</v>
      </c>
      <c r="BC199" s="5">
        <v>0</v>
      </c>
      <c r="BD199" s="6">
        <v>0</v>
      </c>
      <c r="BE199" s="5">
        <v>0</v>
      </c>
      <c r="BF199" s="6">
        <v>0</v>
      </c>
      <c r="BG199" s="5">
        <v>0</v>
      </c>
      <c r="BH199" s="9">
        <f t="shared" si="26"/>
        <v>120</v>
      </c>
      <c r="BI199" s="10">
        <f t="shared" si="27"/>
        <v>640.4367605010325</v>
      </c>
      <c r="BJ199" s="6">
        <f t="shared" si="28"/>
        <v>21.07643258067867</v>
      </c>
      <c r="BK199" s="11">
        <f t="shared" si="29"/>
        <v>0.21305774883086265</v>
      </c>
      <c r="BL199" s="5">
        <f t="shared" si="30"/>
        <v>133.94809531410732</v>
      </c>
      <c r="BM199" s="11">
        <f t="shared" si="31"/>
        <v>0.26446415195623835</v>
      </c>
    </row>
    <row r="200" spans="1:65" ht="15" customHeight="1" x14ac:dyDescent="0.4">
      <c r="A200" s="2" t="s">
        <v>65</v>
      </c>
      <c r="B200" s="2" t="s">
        <v>66</v>
      </c>
      <c r="C200" s="2" t="s">
        <v>237</v>
      </c>
      <c r="D200" s="3" t="s">
        <v>134</v>
      </c>
      <c r="E200" s="3" t="s">
        <v>84</v>
      </c>
      <c r="F200" s="2" t="s">
        <v>85</v>
      </c>
      <c r="G200" s="4">
        <v>20</v>
      </c>
      <c r="H200" s="5">
        <v>2.61</v>
      </c>
      <c r="I200" s="5">
        <v>2.720605379081535</v>
      </c>
      <c r="J200" s="6">
        <v>0</v>
      </c>
      <c r="K200" s="5">
        <v>0</v>
      </c>
      <c r="L200" s="6">
        <v>0</v>
      </c>
      <c r="M200" s="5">
        <v>0</v>
      </c>
      <c r="N200" s="6">
        <v>0</v>
      </c>
      <c r="O200" s="5">
        <v>0</v>
      </c>
      <c r="P200" s="6">
        <v>0</v>
      </c>
      <c r="Q200" s="5">
        <v>0</v>
      </c>
      <c r="R200" s="6">
        <v>0</v>
      </c>
      <c r="S200" s="5">
        <v>0</v>
      </c>
      <c r="T200" s="6">
        <v>0</v>
      </c>
      <c r="U200" s="5">
        <v>0</v>
      </c>
      <c r="V200" s="6">
        <v>0</v>
      </c>
      <c r="W200" s="5">
        <v>0</v>
      </c>
      <c r="X200" s="6">
        <v>118.7082809031856</v>
      </c>
      <c r="Y200" s="5">
        <v>309.82861315731441</v>
      </c>
      <c r="Z200" s="6">
        <v>0</v>
      </c>
      <c r="AA200" s="5">
        <v>0</v>
      </c>
      <c r="AB200" s="6">
        <v>0</v>
      </c>
      <c r="AC200" s="5">
        <v>0</v>
      </c>
      <c r="AD200" s="6">
        <v>0</v>
      </c>
      <c r="AE200" s="5">
        <v>0</v>
      </c>
      <c r="AF200" s="6">
        <v>0</v>
      </c>
      <c r="AG200" s="5">
        <v>0</v>
      </c>
      <c r="AH200" s="7">
        <f t="shared" si="24"/>
        <v>118.7082809031856</v>
      </c>
      <c r="AI200" s="8">
        <f t="shared" si="25"/>
        <v>309.82861315731441</v>
      </c>
      <c r="AJ200" s="6">
        <v>0</v>
      </c>
      <c r="AK200" s="5">
        <v>0</v>
      </c>
      <c r="AL200" s="6">
        <v>0</v>
      </c>
      <c r="AM200" s="5">
        <v>0</v>
      </c>
      <c r="AN200" s="6">
        <v>0</v>
      </c>
      <c r="AO200" s="5">
        <v>0</v>
      </c>
      <c r="AP200" s="6">
        <v>0</v>
      </c>
      <c r="AQ200" s="5">
        <v>0</v>
      </c>
      <c r="AR200" s="6">
        <v>0</v>
      </c>
      <c r="AS200" s="5">
        <v>0</v>
      </c>
      <c r="AT200" s="6">
        <v>0</v>
      </c>
      <c r="AU200" s="5">
        <v>0</v>
      </c>
      <c r="AV200" s="6">
        <v>0</v>
      </c>
      <c r="AW200" s="5">
        <v>0</v>
      </c>
      <c r="AX200" s="6">
        <v>120</v>
      </c>
      <c r="AY200" s="5">
        <v>326.47264548978421</v>
      </c>
      <c r="AZ200" s="6">
        <v>0</v>
      </c>
      <c r="BA200" s="5">
        <v>0</v>
      </c>
      <c r="BB200" s="6">
        <v>0</v>
      </c>
      <c r="BC200" s="5">
        <v>0</v>
      </c>
      <c r="BD200" s="6">
        <v>0</v>
      </c>
      <c r="BE200" s="5">
        <v>0</v>
      </c>
      <c r="BF200" s="6">
        <v>0</v>
      </c>
      <c r="BG200" s="5">
        <v>0</v>
      </c>
      <c r="BH200" s="9">
        <f t="shared" si="26"/>
        <v>120</v>
      </c>
      <c r="BI200" s="10">
        <f t="shared" si="27"/>
        <v>326.47264548978421</v>
      </c>
      <c r="BJ200" s="6">
        <f t="shared" si="28"/>
        <v>1.2917190968144041</v>
      </c>
      <c r="BK200" s="11">
        <f t="shared" si="29"/>
        <v>1.0881457359052195E-2</v>
      </c>
      <c r="BL200" s="5">
        <f t="shared" si="30"/>
        <v>16.644032332469806</v>
      </c>
      <c r="BM200" s="11">
        <f t="shared" si="31"/>
        <v>5.3720126630198789E-2</v>
      </c>
    </row>
    <row r="201" spans="1:65" ht="15" customHeight="1" x14ac:dyDescent="0.4">
      <c r="A201" s="2" t="s">
        <v>65</v>
      </c>
      <c r="B201" s="2" t="s">
        <v>66</v>
      </c>
      <c r="C201" s="2" t="s">
        <v>237</v>
      </c>
      <c r="D201" s="3" t="s">
        <v>134</v>
      </c>
      <c r="E201" s="3" t="s">
        <v>86</v>
      </c>
      <c r="F201" s="2" t="s">
        <v>87</v>
      </c>
      <c r="G201" s="4">
        <v>20</v>
      </c>
      <c r="H201" s="5">
        <v>1.81</v>
      </c>
      <c r="I201" s="5">
        <v>1.886703347179149</v>
      </c>
      <c r="J201" s="6">
        <v>0</v>
      </c>
      <c r="K201" s="5">
        <v>0</v>
      </c>
      <c r="L201" s="6">
        <v>0</v>
      </c>
      <c r="M201" s="5">
        <v>0</v>
      </c>
      <c r="N201" s="6">
        <v>0</v>
      </c>
      <c r="O201" s="5">
        <v>0</v>
      </c>
      <c r="P201" s="6">
        <v>0</v>
      </c>
      <c r="Q201" s="5">
        <v>0</v>
      </c>
      <c r="R201" s="6">
        <v>257.20127529023551</v>
      </c>
      <c r="S201" s="5">
        <v>465.53430827532623</v>
      </c>
      <c r="T201" s="6">
        <v>0</v>
      </c>
      <c r="U201" s="5">
        <v>0</v>
      </c>
      <c r="V201" s="6">
        <v>0</v>
      </c>
      <c r="W201" s="5">
        <v>0</v>
      </c>
      <c r="X201" s="6">
        <v>0</v>
      </c>
      <c r="Y201" s="5">
        <v>0</v>
      </c>
      <c r="Z201" s="6">
        <v>0</v>
      </c>
      <c r="AA201" s="5">
        <v>0</v>
      </c>
      <c r="AB201" s="6">
        <v>0</v>
      </c>
      <c r="AC201" s="5">
        <v>0</v>
      </c>
      <c r="AD201" s="6">
        <v>0</v>
      </c>
      <c r="AE201" s="5">
        <v>0</v>
      </c>
      <c r="AF201" s="6">
        <v>0</v>
      </c>
      <c r="AG201" s="5">
        <v>0</v>
      </c>
      <c r="AH201" s="7">
        <f t="shared" si="24"/>
        <v>257.20127529023551</v>
      </c>
      <c r="AI201" s="8">
        <f t="shared" si="25"/>
        <v>465.53430827532623</v>
      </c>
      <c r="AJ201" s="6">
        <v>0</v>
      </c>
      <c r="AK201" s="5">
        <v>0</v>
      </c>
      <c r="AL201" s="6">
        <v>0</v>
      </c>
      <c r="AM201" s="5">
        <v>0</v>
      </c>
      <c r="AN201" s="6">
        <v>0</v>
      </c>
      <c r="AO201" s="5">
        <v>0</v>
      </c>
      <c r="AP201" s="6">
        <v>0</v>
      </c>
      <c r="AQ201" s="5">
        <v>0</v>
      </c>
      <c r="AR201" s="6">
        <v>280</v>
      </c>
      <c r="AS201" s="5">
        <v>528.27693721016169</v>
      </c>
      <c r="AT201" s="6">
        <v>0</v>
      </c>
      <c r="AU201" s="5">
        <v>0</v>
      </c>
      <c r="AV201" s="6">
        <v>0</v>
      </c>
      <c r="AW201" s="5">
        <v>0</v>
      </c>
      <c r="AX201" s="6">
        <v>0</v>
      </c>
      <c r="AY201" s="5">
        <v>0</v>
      </c>
      <c r="AZ201" s="6">
        <v>0</v>
      </c>
      <c r="BA201" s="5">
        <v>0</v>
      </c>
      <c r="BB201" s="6">
        <v>0</v>
      </c>
      <c r="BC201" s="5">
        <v>0</v>
      </c>
      <c r="BD201" s="6">
        <v>0</v>
      </c>
      <c r="BE201" s="5">
        <v>0</v>
      </c>
      <c r="BF201" s="6">
        <v>0</v>
      </c>
      <c r="BG201" s="5">
        <v>0</v>
      </c>
      <c r="BH201" s="9">
        <f t="shared" si="26"/>
        <v>280</v>
      </c>
      <c r="BI201" s="10">
        <f t="shared" si="27"/>
        <v>528.27693721016169</v>
      </c>
      <c r="BJ201" s="6">
        <f t="shared" si="28"/>
        <v>22.798724709764485</v>
      </c>
      <c r="BK201" s="11">
        <f t="shared" si="29"/>
        <v>8.864156946359443E-2</v>
      </c>
      <c r="BL201" s="5">
        <f t="shared" si="30"/>
        <v>62.742628934835466</v>
      </c>
      <c r="BM201" s="11">
        <f t="shared" si="31"/>
        <v>0.13477552098636783</v>
      </c>
    </row>
    <row r="202" spans="1:65" ht="15" customHeight="1" x14ac:dyDescent="0.4">
      <c r="A202" s="2" t="s">
        <v>65</v>
      </c>
      <c r="B202" s="2" t="s">
        <v>66</v>
      </c>
      <c r="C202" s="2" t="s">
        <v>237</v>
      </c>
      <c r="D202" s="3" t="s">
        <v>134</v>
      </c>
      <c r="E202" s="3" t="s">
        <v>88</v>
      </c>
      <c r="F202" s="2" t="s">
        <v>89</v>
      </c>
      <c r="G202" s="4">
        <v>5</v>
      </c>
      <c r="H202" s="5">
        <v>2.44</v>
      </c>
      <c r="I202" s="5">
        <v>2.5434011973022779</v>
      </c>
      <c r="J202" s="6">
        <v>0</v>
      </c>
      <c r="K202" s="5">
        <v>0</v>
      </c>
      <c r="L202" s="6">
        <v>0</v>
      </c>
      <c r="M202" s="5">
        <v>0</v>
      </c>
      <c r="N202" s="6">
        <v>0</v>
      </c>
      <c r="O202" s="5">
        <v>0</v>
      </c>
      <c r="P202" s="6">
        <v>0</v>
      </c>
      <c r="Q202" s="5">
        <v>0</v>
      </c>
      <c r="R202" s="6">
        <v>0</v>
      </c>
      <c r="S202" s="5">
        <v>0</v>
      </c>
      <c r="T202" s="6">
        <v>0</v>
      </c>
      <c r="U202" s="5">
        <v>0</v>
      </c>
      <c r="V202" s="6">
        <v>0</v>
      </c>
      <c r="W202" s="5">
        <v>0</v>
      </c>
      <c r="X202" s="6">
        <v>158.2777078709141</v>
      </c>
      <c r="Y202" s="5">
        <v>386.19760720503052</v>
      </c>
      <c r="Z202" s="6">
        <v>0</v>
      </c>
      <c r="AA202" s="5">
        <v>0</v>
      </c>
      <c r="AB202" s="6">
        <v>0</v>
      </c>
      <c r="AC202" s="5">
        <v>0</v>
      </c>
      <c r="AD202" s="6">
        <v>0</v>
      </c>
      <c r="AE202" s="5">
        <v>0</v>
      </c>
      <c r="AF202" s="6">
        <v>0</v>
      </c>
      <c r="AG202" s="5">
        <v>0</v>
      </c>
      <c r="AH202" s="7">
        <f t="shared" si="24"/>
        <v>158.2777078709141</v>
      </c>
      <c r="AI202" s="8">
        <f t="shared" si="25"/>
        <v>386.19760720503052</v>
      </c>
      <c r="AJ202" s="6">
        <v>0</v>
      </c>
      <c r="AK202" s="5">
        <v>0</v>
      </c>
      <c r="AL202" s="6">
        <v>0</v>
      </c>
      <c r="AM202" s="5">
        <v>0</v>
      </c>
      <c r="AN202" s="6">
        <v>0</v>
      </c>
      <c r="AO202" s="5">
        <v>0</v>
      </c>
      <c r="AP202" s="6">
        <v>0</v>
      </c>
      <c r="AQ202" s="5">
        <v>0</v>
      </c>
      <c r="AR202" s="6">
        <v>0</v>
      </c>
      <c r="AS202" s="5">
        <v>0</v>
      </c>
      <c r="AT202" s="6">
        <v>0</v>
      </c>
      <c r="AU202" s="5">
        <v>0</v>
      </c>
      <c r="AV202" s="6">
        <v>0</v>
      </c>
      <c r="AW202" s="5">
        <v>0</v>
      </c>
      <c r="AX202" s="6">
        <v>175</v>
      </c>
      <c r="AY202" s="5">
        <v>445.09520952789859</v>
      </c>
      <c r="AZ202" s="6">
        <v>0</v>
      </c>
      <c r="BA202" s="5">
        <v>0</v>
      </c>
      <c r="BB202" s="6">
        <v>0</v>
      </c>
      <c r="BC202" s="5">
        <v>0</v>
      </c>
      <c r="BD202" s="6">
        <v>0</v>
      </c>
      <c r="BE202" s="5">
        <v>0</v>
      </c>
      <c r="BF202" s="6">
        <v>0</v>
      </c>
      <c r="BG202" s="5">
        <v>0</v>
      </c>
      <c r="BH202" s="9">
        <f t="shared" si="26"/>
        <v>175</v>
      </c>
      <c r="BI202" s="10">
        <f t="shared" si="27"/>
        <v>445.09520952789859</v>
      </c>
      <c r="BJ202" s="6">
        <f t="shared" si="28"/>
        <v>16.722292129085901</v>
      </c>
      <c r="BK202" s="11">
        <f t="shared" si="29"/>
        <v>0.10565159398646354</v>
      </c>
      <c r="BL202" s="5">
        <f t="shared" si="30"/>
        <v>58.897602322868067</v>
      </c>
      <c r="BM202" s="11">
        <f t="shared" si="31"/>
        <v>0.15250638850177961</v>
      </c>
    </row>
    <row r="203" spans="1:65" ht="15" customHeight="1" x14ac:dyDescent="0.4">
      <c r="A203" s="2" t="s">
        <v>65</v>
      </c>
      <c r="B203" s="2" t="s">
        <v>66</v>
      </c>
      <c r="C203" s="2" t="s">
        <v>237</v>
      </c>
      <c r="D203" s="3" t="s">
        <v>134</v>
      </c>
      <c r="E203" s="3" t="s">
        <v>120</v>
      </c>
      <c r="F203" s="2" t="s">
        <v>121</v>
      </c>
      <c r="G203" s="4">
        <v>5</v>
      </c>
      <c r="H203" s="5">
        <v>4.3199999999999994</v>
      </c>
      <c r="I203" s="5">
        <v>4.5030709722728854</v>
      </c>
      <c r="J203" s="6">
        <v>0</v>
      </c>
      <c r="K203" s="5">
        <v>0</v>
      </c>
      <c r="L203" s="6">
        <v>0</v>
      </c>
      <c r="M203" s="5">
        <v>0</v>
      </c>
      <c r="N203" s="6">
        <v>0</v>
      </c>
      <c r="O203" s="5">
        <v>0</v>
      </c>
      <c r="P203" s="6">
        <v>0</v>
      </c>
      <c r="Q203" s="5">
        <v>0</v>
      </c>
      <c r="R203" s="6">
        <v>138.49299438704989</v>
      </c>
      <c r="S203" s="5">
        <v>598.28973575205532</v>
      </c>
      <c r="T203" s="6">
        <v>0</v>
      </c>
      <c r="U203" s="5">
        <v>0</v>
      </c>
      <c r="V203" s="6">
        <v>0</v>
      </c>
      <c r="W203" s="5">
        <v>0</v>
      </c>
      <c r="X203" s="6">
        <v>0</v>
      </c>
      <c r="Y203" s="5">
        <v>0</v>
      </c>
      <c r="Z203" s="6">
        <v>0</v>
      </c>
      <c r="AA203" s="5">
        <v>0</v>
      </c>
      <c r="AB203" s="6">
        <v>0</v>
      </c>
      <c r="AC203" s="5">
        <v>0</v>
      </c>
      <c r="AD203" s="6">
        <v>0</v>
      </c>
      <c r="AE203" s="5">
        <v>0</v>
      </c>
      <c r="AF203" s="6">
        <v>0</v>
      </c>
      <c r="AG203" s="5">
        <v>0</v>
      </c>
      <c r="AH203" s="7">
        <f t="shared" si="24"/>
        <v>138.49299438704989</v>
      </c>
      <c r="AI203" s="8">
        <f t="shared" si="25"/>
        <v>598.28973575205532</v>
      </c>
      <c r="AJ203" s="6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6">
        <v>0</v>
      </c>
      <c r="AQ203" s="5">
        <v>0</v>
      </c>
      <c r="AR203" s="6">
        <v>150</v>
      </c>
      <c r="AS203" s="5">
        <v>675.46064584093267</v>
      </c>
      <c r="AT203" s="6">
        <v>0</v>
      </c>
      <c r="AU203" s="5">
        <v>0</v>
      </c>
      <c r="AV203" s="6">
        <v>0</v>
      </c>
      <c r="AW203" s="5">
        <v>0</v>
      </c>
      <c r="AX203" s="6">
        <v>0</v>
      </c>
      <c r="AY203" s="5">
        <v>0</v>
      </c>
      <c r="AZ203" s="6">
        <v>0</v>
      </c>
      <c r="BA203" s="5">
        <v>0</v>
      </c>
      <c r="BB203" s="6">
        <v>0</v>
      </c>
      <c r="BC203" s="5">
        <v>0</v>
      </c>
      <c r="BD203" s="6">
        <v>0</v>
      </c>
      <c r="BE203" s="5">
        <v>0</v>
      </c>
      <c r="BF203" s="6">
        <v>0</v>
      </c>
      <c r="BG203" s="5">
        <v>0</v>
      </c>
      <c r="BH203" s="9">
        <f t="shared" si="26"/>
        <v>150</v>
      </c>
      <c r="BI203" s="10">
        <f t="shared" si="27"/>
        <v>675.46064584093267</v>
      </c>
      <c r="BJ203" s="6">
        <f t="shared" si="28"/>
        <v>11.50700561295011</v>
      </c>
      <c r="BK203" s="11">
        <f t="shared" si="29"/>
        <v>8.308727574184141E-2</v>
      </c>
      <c r="BL203" s="5">
        <f t="shared" si="30"/>
        <v>77.170910088877349</v>
      </c>
      <c r="BM203" s="11">
        <f t="shared" si="31"/>
        <v>0.12898584996092713</v>
      </c>
    </row>
    <row r="204" spans="1:65" ht="15" customHeight="1" x14ac:dyDescent="0.4">
      <c r="A204" s="2" t="s">
        <v>65</v>
      </c>
      <c r="B204" s="2" t="s">
        <v>66</v>
      </c>
      <c r="C204" s="2" t="s">
        <v>237</v>
      </c>
      <c r="D204" s="3" t="s">
        <v>134</v>
      </c>
      <c r="E204" s="3" t="s">
        <v>149</v>
      </c>
      <c r="F204" s="2" t="s">
        <v>150</v>
      </c>
      <c r="G204" s="4">
        <v>5</v>
      </c>
      <c r="H204" s="5">
        <v>3.39</v>
      </c>
      <c r="I204" s="5">
        <v>3.5336598601863609</v>
      </c>
      <c r="J204" s="6">
        <v>0</v>
      </c>
      <c r="K204" s="5">
        <v>0</v>
      </c>
      <c r="L204" s="6">
        <v>0</v>
      </c>
      <c r="M204" s="5">
        <v>0</v>
      </c>
      <c r="N204" s="6">
        <v>0</v>
      </c>
      <c r="O204" s="5">
        <v>0</v>
      </c>
      <c r="P204" s="6">
        <v>0</v>
      </c>
      <c r="Q204" s="5">
        <v>0</v>
      </c>
      <c r="R204" s="6">
        <v>158.2777078709141</v>
      </c>
      <c r="S204" s="5">
        <v>536.56142968239885</v>
      </c>
      <c r="T204" s="6">
        <v>0</v>
      </c>
      <c r="U204" s="5">
        <v>0</v>
      </c>
      <c r="V204" s="6">
        <v>0</v>
      </c>
      <c r="W204" s="5">
        <v>0</v>
      </c>
      <c r="X204" s="6">
        <v>0</v>
      </c>
      <c r="Y204" s="5">
        <v>0</v>
      </c>
      <c r="Z204" s="6">
        <v>0</v>
      </c>
      <c r="AA204" s="5">
        <v>0</v>
      </c>
      <c r="AB204" s="6">
        <v>0</v>
      </c>
      <c r="AC204" s="5">
        <v>0</v>
      </c>
      <c r="AD204" s="6">
        <v>0</v>
      </c>
      <c r="AE204" s="5">
        <v>0</v>
      </c>
      <c r="AF204" s="6">
        <v>0</v>
      </c>
      <c r="AG204" s="5">
        <v>0</v>
      </c>
      <c r="AH204" s="7">
        <f t="shared" si="24"/>
        <v>158.2777078709141</v>
      </c>
      <c r="AI204" s="8">
        <f t="shared" si="25"/>
        <v>536.56142968239885</v>
      </c>
      <c r="AJ204" s="6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6">
        <v>0</v>
      </c>
      <c r="AQ204" s="5">
        <v>0</v>
      </c>
      <c r="AR204" s="6">
        <v>165</v>
      </c>
      <c r="AS204" s="5">
        <v>583.05387693074954</v>
      </c>
      <c r="AT204" s="6">
        <v>0</v>
      </c>
      <c r="AU204" s="5">
        <v>0</v>
      </c>
      <c r="AV204" s="6">
        <v>0</v>
      </c>
      <c r="AW204" s="5">
        <v>0</v>
      </c>
      <c r="AX204" s="6">
        <v>0</v>
      </c>
      <c r="AY204" s="5">
        <v>0</v>
      </c>
      <c r="AZ204" s="6">
        <v>0</v>
      </c>
      <c r="BA204" s="5">
        <v>0</v>
      </c>
      <c r="BB204" s="6">
        <v>0</v>
      </c>
      <c r="BC204" s="5">
        <v>0</v>
      </c>
      <c r="BD204" s="6">
        <v>0</v>
      </c>
      <c r="BE204" s="5">
        <v>0</v>
      </c>
      <c r="BF204" s="6">
        <v>0</v>
      </c>
      <c r="BG204" s="5">
        <v>0</v>
      </c>
      <c r="BH204" s="9">
        <f t="shared" si="26"/>
        <v>165</v>
      </c>
      <c r="BI204" s="10">
        <f t="shared" si="27"/>
        <v>583.05387693074954</v>
      </c>
      <c r="BJ204" s="6">
        <f t="shared" si="28"/>
        <v>6.7222921290859006</v>
      </c>
      <c r="BK204" s="11">
        <f t="shared" si="29"/>
        <v>4.247150290152276E-2</v>
      </c>
      <c r="BL204" s="5">
        <f t="shared" si="30"/>
        <v>46.492447248350686</v>
      </c>
      <c r="BM204" s="11">
        <f t="shared" si="31"/>
        <v>8.6648880587392327E-2</v>
      </c>
    </row>
    <row r="205" spans="1:65" ht="15" customHeight="1" x14ac:dyDescent="0.4">
      <c r="A205" s="2" t="s">
        <v>65</v>
      </c>
      <c r="B205" s="2" t="s">
        <v>66</v>
      </c>
      <c r="C205" s="2" t="s">
        <v>237</v>
      </c>
      <c r="D205" s="3" t="s">
        <v>134</v>
      </c>
      <c r="E205" s="3" t="s">
        <v>75</v>
      </c>
      <c r="F205" s="2" t="s">
        <v>76</v>
      </c>
      <c r="G205" s="4">
        <v>20</v>
      </c>
      <c r="H205" s="5">
        <v>3.07</v>
      </c>
      <c r="I205" s="5">
        <v>3.200099047425407</v>
      </c>
      <c r="J205" s="6">
        <v>0</v>
      </c>
      <c r="K205" s="5">
        <v>0</v>
      </c>
      <c r="L205" s="6">
        <v>0</v>
      </c>
      <c r="M205" s="5">
        <v>0</v>
      </c>
      <c r="N205" s="6">
        <v>0</v>
      </c>
      <c r="O205" s="5">
        <v>0</v>
      </c>
      <c r="P205" s="6">
        <v>0</v>
      </c>
      <c r="Q205" s="5">
        <v>0</v>
      </c>
      <c r="R205" s="6">
        <v>0</v>
      </c>
      <c r="S205" s="5">
        <v>0</v>
      </c>
      <c r="T205" s="6">
        <v>0</v>
      </c>
      <c r="U205" s="5">
        <v>0</v>
      </c>
      <c r="V205" s="6">
        <v>0</v>
      </c>
      <c r="W205" s="5">
        <v>0</v>
      </c>
      <c r="X205" s="6">
        <v>138.49299438704989</v>
      </c>
      <c r="Y205" s="5">
        <v>425.17349276824308</v>
      </c>
      <c r="Z205" s="6">
        <v>0</v>
      </c>
      <c r="AA205" s="5">
        <v>0</v>
      </c>
      <c r="AB205" s="6">
        <v>0</v>
      </c>
      <c r="AC205" s="5">
        <v>0</v>
      </c>
      <c r="AD205" s="6">
        <v>0</v>
      </c>
      <c r="AE205" s="5">
        <v>0</v>
      </c>
      <c r="AF205" s="6">
        <v>0</v>
      </c>
      <c r="AG205" s="5">
        <v>0</v>
      </c>
      <c r="AH205" s="7">
        <f t="shared" si="24"/>
        <v>138.49299438704989</v>
      </c>
      <c r="AI205" s="8">
        <f t="shared" si="25"/>
        <v>425.17349276824308</v>
      </c>
      <c r="AJ205" s="6">
        <v>0</v>
      </c>
      <c r="AK205" s="5">
        <v>0</v>
      </c>
      <c r="AL205" s="6">
        <v>0</v>
      </c>
      <c r="AM205" s="5">
        <v>0</v>
      </c>
      <c r="AN205" s="6">
        <v>0</v>
      </c>
      <c r="AO205" s="5">
        <v>0</v>
      </c>
      <c r="AP205" s="6">
        <v>0</v>
      </c>
      <c r="AQ205" s="5">
        <v>0</v>
      </c>
      <c r="AR205" s="6">
        <v>0</v>
      </c>
      <c r="AS205" s="5">
        <v>0</v>
      </c>
      <c r="AT205" s="6">
        <v>0</v>
      </c>
      <c r="AU205" s="5">
        <v>0</v>
      </c>
      <c r="AV205" s="6">
        <v>0</v>
      </c>
      <c r="AW205" s="5">
        <v>0</v>
      </c>
      <c r="AX205" s="6">
        <v>140</v>
      </c>
      <c r="AY205" s="5">
        <v>448.01386663955702</v>
      </c>
      <c r="AZ205" s="6">
        <v>0</v>
      </c>
      <c r="BA205" s="5">
        <v>0</v>
      </c>
      <c r="BB205" s="6">
        <v>0</v>
      </c>
      <c r="BC205" s="5">
        <v>0</v>
      </c>
      <c r="BD205" s="6">
        <v>0</v>
      </c>
      <c r="BE205" s="5">
        <v>0</v>
      </c>
      <c r="BF205" s="6">
        <v>0</v>
      </c>
      <c r="BG205" s="5">
        <v>0</v>
      </c>
      <c r="BH205" s="9">
        <f t="shared" si="26"/>
        <v>140</v>
      </c>
      <c r="BI205" s="10">
        <f t="shared" si="27"/>
        <v>448.01386663955702</v>
      </c>
      <c r="BJ205" s="6">
        <f t="shared" si="28"/>
        <v>1.5070056129501097</v>
      </c>
      <c r="BK205" s="11">
        <f t="shared" si="29"/>
        <v>1.0881457359051988E-2</v>
      </c>
      <c r="BL205" s="5">
        <f t="shared" si="30"/>
        <v>22.840373871313943</v>
      </c>
      <c r="BM205" s="11">
        <f t="shared" si="31"/>
        <v>5.3720126630198824E-2</v>
      </c>
    </row>
    <row r="206" spans="1:65" ht="15" customHeight="1" x14ac:dyDescent="0.4">
      <c r="A206" s="2" t="s">
        <v>65</v>
      </c>
      <c r="B206" s="2" t="s">
        <v>66</v>
      </c>
      <c r="C206" s="2" t="s">
        <v>237</v>
      </c>
      <c r="D206" s="3" t="s">
        <v>134</v>
      </c>
      <c r="E206" s="3" t="s">
        <v>186</v>
      </c>
      <c r="F206" s="2" t="s">
        <v>187</v>
      </c>
      <c r="G206" s="4">
        <v>5</v>
      </c>
      <c r="H206" s="5">
        <v>3.07</v>
      </c>
      <c r="I206" s="5">
        <v>3.200099047425407</v>
      </c>
      <c r="J206" s="6">
        <v>0</v>
      </c>
      <c r="K206" s="5">
        <v>0</v>
      </c>
      <c r="L206" s="6">
        <v>0</v>
      </c>
      <c r="M206" s="5">
        <v>0</v>
      </c>
      <c r="N206" s="6">
        <v>0</v>
      </c>
      <c r="O206" s="5">
        <v>0</v>
      </c>
      <c r="P206" s="6">
        <v>0</v>
      </c>
      <c r="Q206" s="5">
        <v>0</v>
      </c>
      <c r="R206" s="6">
        <v>59.354140451592791</v>
      </c>
      <c r="S206" s="5">
        <v>182.2172111863899</v>
      </c>
      <c r="T206" s="6">
        <v>0</v>
      </c>
      <c r="U206" s="5">
        <v>0</v>
      </c>
      <c r="V206" s="6">
        <v>0</v>
      </c>
      <c r="W206" s="5">
        <v>0</v>
      </c>
      <c r="X206" s="6">
        <v>0</v>
      </c>
      <c r="Y206" s="5">
        <v>0</v>
      </c>
      <c r="Z206" s="6">
        <v>0</v>
      </c>
      <c r="AA206" s="5">
        <v>0</v>
      </c>
      <c r="AB206" s="6">
        <v>0</v>
      </c>
      <c r="AC206" s="5">
        <v>0</v>
      </c>
      <c r="AD206" s="6">
        <v>0</v>
      </c>
      <c r="AE206" s="5">
        <v>0</v>
      </c>
      <c r="AF206" s="6">
        <v>0</v>
      </c>
      <c r="AG206" s="5">
        <v>0</v>
      </c>
      <c r="AH206" s="7">
        <f t="shared" si="24"/>
        <v>59.354140451592791</v>
      </c>
      <c r="AI206" s="8">
        <f t="shared" si="25"/>
        <v>182.2172111863899</v>
      </c>
      <c r="AJ206" s="6">
        <v>0</v>
      </c>
      <c r="AK206" s="5">
        <v>0</v>
      </c>
      <c r="AL206" s="6">
        <v>0</v>
      </c>
      <c r="AM206" s="5">
        <v>0</v>
      </c>
      <c r="AN206" s="6">
        <v>0</v>
      </c>
      <c r="AO206" s="5">
        <v>0</v>
      </c>
      <c r="AP206" s="6">
        <v>0</v>
      </c>
      <c r="AQ206" s="5">
        <v>0</v>
      </c>
      <c r="AR206" s="6">
        <v>65</v>
      </c>
      <c r="AS206" s="5">
        <v>208.0064380826515</v>
      </c>
      <c r="AT206" s="6">
        <v>0</v>
      </c>
      <c r="AU206" s="5">
        <v>0</v>
      </c>
      <c r="AV206" s="6">
        <v>0</v>
      </c>
      <c r="AW206" s="5">
        <v>0</v>
      </c>
      <c r="AX206" s="6">
        <v>0</v>
      </c>
      <c r="AY206" s="5">
        <v>0</v>
      </c>
      <c r="AZ206" s="6">
        <v>0</v>
      </c>
      <c r="BA206" s="5">
        <v>0</v>
      </c>
      <c r="BB206" s="6">
        <v>0</v>
      </c>
      <c r="BC206" s="5">
        <v>0</v>
      </c>
      <c r="BD206" s="6">
        <v>0</v>
      </c>
      <c r="BE206" s="5">
        <v>0</v>
      </c>
      <c r="BF206" s="6">
        <v>0</v>
      </c>
      <c r="BG206" s="5">
        <v>0</v>
      </c>
      <c r="BH206" s="9">
        <f t="shared" si="26"/>
        <v>65</v>
      </c>
      <c r="BI206" s="10">
        <f t="shared" si="27"/>
        <v>208.0064380826515</v>
      </c>
      <c r="BJ206" s="6">
        <f t="shared" si="28"/>
        <v>5.6458595484072092</v>
      </c>
      <c r="BK206" s="11">
        <f t="shared" si="29"/>
        <v>9.5121578805640011E-2</v>
      </c>
      <c r="BL206" s="5">
        <f t="shared" si="30"/>
        <v>25.789226896261596</v>
      </c>
      <c r="BM206" s="11">
        <f t="shared" si="31"/>
        <v>0.14153013718271545</v>
      </c>
    </row>
    <row r="207" spans="1:65" ht="15" customHeight="1" x14ac:dyDescent="0.4">
      <c r="A207" s="2" t="s">
        <v>65</v>
      </c>
      <c r="B207" s="2" t="s">
        <v>66</v>
      </c>
      <c r="C207" s="2" t="s">
        <v>237</v>
      </c>
      <c r="D207" s="3" t="s">
        <v>134</v>
      </c>
      <c r="E207" s="3" t="s">
        <v>79</v>
      </c>
      <c r="F207" s="2" t="s">
        <v>80</v>
      </c>
      <c r="G207" s="4">
        <v>20</v>
      </c>
      <c r="H207" s="5">
        <v>3.51</v>
      </c>
      <c r="I207" s="5">
        <v>3.6587451649717191</v>
      </c>
      <c r="J207" s="6">
        <v>0</v>
      </c>
      <c r="K207" s="5">
        <v>0</v>
      </c>
      <c r="L207" s="6">
        <v>0</v>
      </c>
      <c r="M207" s="5">
        <v>0</v>
      </c>
      <c r="N207" s="6">
        <v>0</v>
      </c>
      <c r="O207" s="5">
        <v>0</v>
      </c>
      <c r="P207" s="6">
        <v>0</v>
      </c>
      <c r="Q207" s="5">
        <v>0</v>
      </c>
      <c r="R207" s="6">
        <v>197.84713483864269</v>
      </c>
      <c r="S207" s="5">
        <v>694.4434432836357</v>
      </c>
      <c r="T207" s="6">
        <v>0</v>
      </c>
      <c r="U207" s="5">
        <v>0</v>
      </c>
      <c r="V207" s="6">
        <v>0</v>
      </c>
      <c r="W207" s="5">
        <v>0</v>
      </c>
      <c r="X207" s="6">
        <v>0</v>
      </c>
      <c r="Y207" s="5">
        <v>0</v>
      </c>
      <c r="Z207" s="6">
        <v>0</v>
      </c>
      <c r="AA207" s="5">
        <v>0</v>
      </c>
      <c r="AB207" s="6">
        <v>0</v>
      </c>
      <c r="AC207" s="5">
        <v>0</v>
      </c>
      <c r="AD207" s="6">
        <v>0</v>
      </c>
      <c r="AE207" s="5">
        <v>0</v>
      </c>
      <c r="AF207" s="6">
        <v>0</v>
      </c>
      <c r="AG207" s="5">
        <v>0</v>
      </c>
      <c r="AH207" s="7">
        <f t="shared" si="24"/>
        <v>197.84713483864269</v>
      </c>
      <c r="AI207" s="8">
        <f t="shared" si="25"/>
        <v>694.4434432836357</v>
      </c>
      <c r="AJ207" s="6">
        <v>0</v>
      </c>
      <c r="AK207" s="5">
        <v>0</v>
      </c>
      <c r="AL207" s="6">
        <v>0</v>
      </c>
      <c r="AM207" s="5">
        <v>0</v>
      </c>
      <c r="AN207" s="6">
        <v>0</v>
      </c>
      <c r="AO207" s="5">
        <v>0</v>
      </c>
      <c r="AP207" s="6">
        <v>0</v>
      </c>
      <c r="AQ207" s="5">
        <v>0</v>
      </c>
      <c r="AR207" s="6">
        <v>220</v>
      </c>
      <c r="AS207" s="5">
        <v>804.92393629377807</v>
      </c>
      <c r="AT207" s="6">
        <v>0</v>
      </c>
      <c r="AU207" s="5">
        <v>0</v>
      </c>
      <c r="AV207" s="6">
        <v>0</v>
      </c>
      <c r="AW207" s="5">
        <v>0</v>
      </c>
      <c r="AX207" s="6">
        <v>0</v>
      </c>
      <c r="AY207" s="5">
        <v>0</v>
      </c>
      <c r="AZ207" s="6">
        <v>0</v>
      </c>
      <c r="BA207" s="5">
        <v>0</v>
      </c>
      <c r="BB207" s="6">
        <v>0</v>
      </c>
      <c r="BC207" s="5">
        <v>0</v>
      </c>
      <c r="BD207" s="6">
        <v>0</v>
      </c>
      <c r="BE207" s="5">
        <v>0</v>
      </c>
      <c r="BF207" s="6">
        <v>0</v>
      </c>
      <c r="BG207" s="5">
        <v>0</v>
      </c>
      <c r="BH207" s="9">
        <f t="shared" si="26"/>
        <v>220</v>
      </c>
      <c r="BI207" s="10">
        <f t="shared" si="27"/>
        <v>804.92393629377807</v>
      </c>
      <c r="BJ207" s="6">
        <f t="shared" si="28"/>
        <v>22.152865161357312</v>
      </c>
      <c r="BK207" s="11">
        <f t="shared" si="29"/>
        <v>0.11196960309495725</v>
      </c>
      <c r="BL207" s="5">
        <f t="shared" si="30"/>
        <v>110.48049301014237</v>
      </c>
      <c r="BM207" s="11">
        <f t="shared" si="31"/>
        <v>0.15909213929321839</v>
      </c>
    </row>
    <row r="208" spans="1:65" ht="15" customHeight="1" x14ac:dyDescent="0.4">
      <c r="A208" s="2" t="s">
        <v>65</v>
      </c>
      <c r="B208" s="2" t="s">
        <v>66</v>
      </c>
      <c r="C208" s="2" t="s">
        <v>237</v>
      </c>
      <c r="D208" s="3" t="s">
        <v>134</v>
      </c>
      <c r="E208" s="3" t="s">
        <v>131</v>
      </c>
      <c r="F208" s="2" t="s">
        <v>132</v>
      </c>
      <c r="G208" s="4">
        <v>20</v>
      </c>
      <c r="H208" s="5">
        <v>1.929999999999999</v>
      </c>
      <c r="I208" s="5">
        <v>2.0117886519645061</v>
      </c>
      <c r="J208" s="6">
        <v>0</v>
      </c>
      <c r="K208" s="5">
        <v>0</v>
      </c>
      <c r="L208" s="6">
        <v>0</v>
      </c>
      <c r="M208" s="5">
        <v>0</v>
      </c>
      <c r="N208" s="6">
        <v>0</v>
      </c>
      <c r="O208" s="5">
        <v>0</v>
      </c>
      <c r="P208" s="6">
        <v>0</v>
      </c>
      <c r="Q208" s="5">
        <v>0</v>
      </c>
      <c r="R208" s="6">
        <v>0</v>
      </c>
      <c r="S208" s="5">
        <v>0</v>
      </c>
      <c r="T208" s="6">
        <v>0</v>
      </c>
      <c r="U208" s="5">
        <v>0</v>
      </c>
      <c r="V208" s="6">
        <v>0</v>
      </c>
      <c r="W208" s="5">
        <v>0</v>
      </c>
      <c r="X208" s="6">
        <v>197.84713483864269</v>
      </c>
      <c r="Y208" s="5">
        <v>381.84497023858017</v>
      </c>
      <c r="Z208" s="6">
        <v>0</v>
      </c>
      <c r="AA208" s="5">
        <v>0</v>
      </c>
      <c r="AB208" s="6">
        <v>0</v>
      </c>
      <c r="AC208" s="5">
        <v>0</v>
      </c>
      <c r="AD208" s="6">
        <v>0</v>
      </c>
      <c r="AE208" s="5">
        <v>0</v>
      </c>
      <c r="AF208" s="6">
        <v>0</v>
      </c>
      <c r="AG208" s="5">
        <v>0</v>
      </c>
      <c r="AH208" s="7">
        <f t="shared" si="24"/>
        <v>197.84713483864269</v>
      </c>
      <c r="AI208" s="8">
        <f t="shared" si="25"/>
        <v>381.84497023858017</v>
      </c>
      <c r="AJ208" s="6">
        <v>0</v>
      </c>
      <c r="AK208" s="5">
        <v>0</v>
      </c>
      <c r="AL208" s="6">
        <v>0</v>
      </c>
      <c r="AM208" s="5">
        <v>0</v>
      </c>
      <c r="AN208" s="6">
        <v>0</v>
      </c>
      <c r="AO208" s="5">
        <v>0</v>
      </c>
      <c r="AP208" s="6">
        <v>0</v>
      </c>
      <c r="AQ208" s="5">
        <v>0</v>
      </c>
      <c r="AR208" s="6">
        <v>0</v>
      </c>
      <c r="AS208" s="5">
        <v>0</v>
      </c>
      <c r="AT208" s="6">
        <v>0</v>
      </c>
      <c r="AU208" s="5">
        <v>0</v>
      </c>
      <c r="AV208" s="6">
        <v>0</v>
      </c>
      <c r="AW208" s="5">
        <v>0</v>
      </c>
      <c r="AX208" s="6">
        <v>200</v>
      </c>
      <c r="AY208" s="5">
        <v>402.3577303929012</v>
      </c>
      <c r="AZ208" s="6">
        <v>0</v>
      </c>
      <c r="BA208" s="5">
        <v>0</v>
      </c>
      <c r="BB208" s="6">
        <v>0</v>
      </c>
      <c r="BC208" s="5">
        <v>0</v>
      </c>
      <c r="BD208" s="6">
        <v>0</v>
      </c>
      <c r="BE208" s="5">
        <v>0</v>
      </c>
      <c r="BF208" s="6">
        <v>0</v>
      </c>
      <c r="BG208" s="5">
        <v>0</v>
      </c>
      <c r="BH208" s="9">
        <f t="shared" si="26"/>
        <v>200</v>
      </c>
      <c r="BI208" s="10">
        <f t="shared" si="27"/>
        <v>402.3577303929012</v>
      </c>
      <c r="BJ208" s="6">
        <f t="shared" si="28"/>
        <v>2.1528651613573118</v>
      </c>
      <c r="BK208" s="11">
        <f t="shared" si="29"/>
        <v>1.0881457359052051E-2</v>
      </c>
      <c r="BL208" s="5">
        <f t="shared" si="30"/>
        <v>20.512760154321029</v>
      </c>
      <c r="BM208" s="11">
        <f t="shared" si="31"/>
        <v>5.3720126630198824E-2</v>
      </c>
    </row>
    <row r="209" spans="1:65" ht="15" customHeight="1" x14ac:dyDescent="0.4">
      <c r="A209" s="2" t="s">
        <v>65</v>
      </c>
      <c r="B209" s="2" t="s">
        <v>66</v>
      </c>
      <c r="C209" s="2" t="s">
        <v>238</v>
      </c>
      <c r="D209" s="3" t="s">
        <v>134</v>
      </c>
      <c r="E209" s="3" t="s">
        <v>239</v>
      </c>
      <c r="F209" s="2" t="s">
        <v>240</v>
      </c>
      <c r="G209" s="4">
        <v>5</v>
      </c>
      <c r="H209" s="5">
        <v>5.56</v>
      </c>
      <c r="I209" s="5">
        <v>5.7956191217215833</v>
      </c>
      <c r="J209" s="6">
        <v>0</v>
      </c>
      <c r="K209" s="5">
        <v>0</v>
      </c>
      <c r="L209" s="6">
        <v>0</v>
      </c>
      <c r="M209" s="5">
        <v>0</v>
      </c>
      <c r="N209" s="6">
        <v>0</v>
      </c>
      <c r="O209" s="5">
        <v>0</v>
      </c>
      <c r="P209" s="6">
        <v>0</v>
      </c>
      <c r="Q209" s="5">
        <v>0</v>
      </c>
      <c r="R209" s="6">
        <v>19.78471348386427</v>
      </c>
      <c r="S209" s="5">
        <v>110.0030069702853</v>
      </c>
      <c r="T209" s="6">
        <v>0</v>
      </c>
      <c r="U209" s="5">
        <v>0</v>
      </c>
      <c r="V209" s="6">
        <v>0</v>
      </c>
      <c r="W209" s="5">
        <v>0</v>
      </c>
      <c r="X209" s="6">
        <v>0</v>
      </c>
      <c r="Y209" s="5">
        <v>0</v>
      </c>
      <c r="Z209" s="6">
        <v>0</v>
      </c>
      <c r="AA209" s="5">
        <v>0</v>
      </c>
      <c r="AB209" s="6">
        <v>0</v>
      </c>
      <c r="AC209" s="5">
        <v>0</v>
      </c>
      <c r="AD209" s="6">
        <v>0</v>
      </c>
      <c r="AE209" s="5">
        <v>0</v>
      </c>
      <c r="AF209" s="6">
        <v>0</v>
      </c>
      <c r="AG209" s="5">
        <v>0</v>
      </c>
      <c r="AH209" s="7">
        <f t="shared" si="24"/>
        <v>19.78471348386427</v>
      </c>
      <c r="AI209" s="8">
        <f t="shared" si="25"/>
        <v>110.0030069702853</v>
      </c>
      <c r="AJ209" s="6">
        <v>0</v>
      </c>
      <c r="AK209" s="5">
        <v>0</v>
      </c>
      <c r="AL209" s="6">
        <v>0</v>
      </c>
      <c r="AM209" s="5">
        <v>0</v>
      </c>
      <c r="AN209" s="6">
        <v>0</v>
      </c>
      <c r="AO209" s="5">
        <v>0</v>
      </c>
      <c r="AP209" s="6">
        <v>0</v>
      </c>
      <c r="AQ209" s="5">
        <v>0</v>
      </c>
      <c r="AR209" s="6">
        <v>20</v>
      </c>
      <c r="AS209" s="5">
        <v>115.91238243443171</v>
      </c>
      <c r="AT209" s="6">
        <v>0</v>
      </c>
      <c r="AU209" s="5">
        <v>0</v>
      </c>
      <c r="AV209" s="6">
        <v>0</v>
      </c>
      <c r="AW209" s="5">
        <v>0</v>
      </c>
      <c r="AX209" s="6">
        <v>0</v>
      </c>
      <c r="AY209" s="5">
        <v>0</v>
      </c>
      <c r="AZ209" s="6">
        <v>0</v>
      </c>
      <c r="BA209" s="5">
        <v>0</v>
      </c>
      <c r="BB209" s="6">
        <v>0</v>
      </c>
      <c r="BC209" s="5">
        <v>0</v>
      </c>
      <c r="BD209" s="6">
        <v>0</v>
      </c>
      <c r="BE209" s="5">
        <v>0</v>
      </c>
      <c r="BF209" s="6">
        <v>0</v>
      </c>
      <c r="BG209" s="5">
        <v>0</v>
      </c>
      <c r="BH209" s="9">
        <f t="shared" si="26"/>
        <v>20</v>
      </c>
      <c r="BI209" s="10">
        <f t="shared" si="27"/>
        <v>115.91238243443171</v>
      </c>
      <c r="BJ209" s="6">
        <f t="shared" si="28"/>
        <v>0.21528651613573047</v>
      </c>
      <c r="BK209" s="11">
        <f t="shared" si="29"/>
        <v>1.0881457359052014E-2</v>
      </c>
      <c r="BL209" s="5">
        <f t="shared" si="30"/>
        <v>5.9093754641464074</v>
      </c>
      <c r="BM209" s="11">
        <f t="shared" si="31"/>
        <v>5.3720126630199164E-2</v>
      </c>
    </row>
    <row r="210" spans="1:65" ht="15" customHeight="1" x14ac:dyDescent="0.4">
      <c r="A210" s="2" t="s">
        <v>65</v>
      </c>
      <c r="B210" s="2" t="s">
        <v>66</v>
      </c>
      <c r="C210" s="2" t="s">
        <v>238</v>
      </c>
      <c r="D210" s="3" t="s">
        <v>134</v>
      </c>
      <c r="E210" s="3" t="s">
        <v>110</v>
      </c>
      <c r="F210" s="2" t="s">
        <v>111</v>
      </c>
      <c r="G210" s="4">
        <v>5</v>
      </c>
      <c r="H210" s="5">
        <v>3.5</v>
      </c>
      <c r="I210" s="5">
        <v>3.6483213895729389</v>
      </c>
      <c r="J210" s="6">
        <v>0</v>
      </c>
      <c r="K210" s="5">
        <v>0</v>
      </c>
      <c r="L210" s="6">
        <v>0</v>
      </c>
      <c r="M210" s="5">
        <v>0</v>
      </c>
      <c r="N210" s="6">
        <v>0</v>
      </c>
      <c r="O210" s="5">
        <v>0</v>
      </c>
      <c r="P210" s="6">
        <v>0</v>
      </c>
      <c r="Q210" s="5">
        <v>0</v>
      </c>
      <c r="R210" s="6">
        <v>0</v>
      </c>
      <c r="S210" s="5">
        <v>0</v>
      </c>
      <c r="T210" s="6">
        <v>0</v>
      </c>
      <c r="U210" s="5">
        <v>0</v>
      </c>
      <c r="V210" s="6">
        <v>19.78471348386427</v>
      </c>
      <c r="W210" s="5">
        <v>69.246497193524931</v>
      </c>
      <c r="X210" s="6">
        <v>0</v>
      </c>
      <c r="Y210" s="5">
        <v>0</v>
      </c>
      <c r="Z210" s="6">
        <v>0</v>
      </c>
      <c r="AA210" s="5">
        <v>0</v>
      </c>
      <c r="AB210" s="6">
        <v>0</v>
      </c>
      <c r="AC210" s="5">
        <v>0</v>
      </c>
      <c r="AD210" s="6">
        <v>0</v>
      </c>
      <c r="AE210" s="5">
        <v>0</v>
      </c>
      <c r="AF210" s="6">
        <v>0</v>
      </c>
      <c r="AG210" s="5">
        <v>0</v>
      </c>
      <c r="AH210" s="7">
        <f t="shared" si="24"/>
        <v>19.78471348386427</v>
      </c>
      <c r="AI210" s="8">
        <f t="shared" si="25"/>
        <v>69.246497193524931</v>
      </c>
      <c r="AJ210" s="6">
        <v>0</v>
      </c>
      <c r="AK210" s="5">
        <v>0</v>
      </c>
      <c r="AL210" s="6">
        <v>0</v>
      </c>
      <c r="AM210" s="5">
        <v>0</v>
      </c>
      <c r="AN210" s="6">
        <v>0</v>
      </c>
      <c r="AO210" s="5">
        <v>0</v>
      </c>
      <c r="AP210" s="6">
        <v>0</v>
      </c>
      <c r="AQ210" s="5">
        <v>0</v>
      </c>
      <c r="AR210" s="6">
        <v>0</v>
      </c>
      <c r="AS210" s="5">
        <v>0</v>
      </c>
      <c r="AT210" s="6">
        <v>0</v>
      </c>
      <c r="AU210" s="5">
        <v>0</v>
      </c>
      <c r="AV210" s="6">
        <v>20</v>
      </c>
      <c r="AW210" s="5">
        <v>72.966427791458784</v>
      </c>
      <c r="AX210" s="6">
        <v>0</v>
      </c>
      <c r="AY210" s="5">
        <v>0</v>
      </c>
      <c r="AZ210" s="6">
        <v>0</v>
      </c>
      <c r="BA210" s="5">
        <v>0</v>
      </c>
      <c r="BB210" s="6">
        <v>0</v>
      </c>
      <c r="BC210" s="5">
        <v>0</v>
      </c>
      <c r="BD210" s="6">
        <v>0</v>
      </c>
      <c r="BE210" s="5">
        <v>0</v>
      </c>
      <c r="BF210" s="6">
        <v>0</v>
      </c>
      <c r="BG210" s="5">
        <v>0</v>
      </c>
      <c r="BH210" s="9">
        <f t="shared" si="26"/>
        <v>20</v>
      </c>
      <c r="BI210" s="10">
        <f t="shared" si="27"/>
        <v>72.966427791458784</v>
      </c>
      <c r="BJ210" s="6">
        <f t="shared" si="28"/>
        <v>0.21528651613573047</v>
      </c>
      <c r="BK210" s="11">
        <f t="shared" si="29"/>
        <v>1.0881457359052014E-2</v>
      </c>
      <c r="BL210" s="5">
        <f t="shared" si="30"/>
        <v>3.7199305979338533</v>
      </c>
      <c r="BM210" s="11">
        <f t="shared" si="31"/>
        <v>5.3720126630198629E-2</v>
      </c>
    </row>
    <row r="211" spans="1:65" ht="15" customHeight="1" x14ac:dyDescent="0.4">
      <c r="A211" s="2" t="s">
        <v>65</v>
      </c>
      <c r="B211" s="2" t="s">
        <v>66</v>
      </c>
      <c r="C211" s="2" t="s">
        <v>238</v>
      </c>
      <c r="D211" s="3" t="s">
        <v>134</v>
      </c>
      <c r="E211" s="3" t="s">
        <v>86</v>
      </c>
      <c r="F211" s="2" t="s">
        <v>87</v>
      </c>
      <c r="G211" s="4">
        <v>20</v>
      </c>
      <c r="H211" s="5">
        <v>1.6936363636363629</v>
      </c>
      <c r="I211" s="5">
        <v>1.765408506175165</v>
      </c>
      <c r="J211" s="6">
        <v>0</v>
      </c>
      <c r="K211" s="5">
        <v>0</v>
      </c>
      <c r="L211" s="6">
        <v>0</v>
      </c>
      <c r="M211" s="5">
        <v>0</v>
      </c>
      <c r="N211" s="6">
        <v>118.7082809031856</v>
      </c>
      <c r="O211" s="5">
        <v>199.4299119173518</v>
      </c>
      <c r="P211" s="6">
        <v>0</v>
      </c>
      <c r="Q211" s="5">
        <v>0</v>
      </c>
      <c r="R211" s="6">
        <v>79.138853935457064</v>
      </c>
      <c r="S211" s="5">
        <v>132.95327461156791</v>
      </c>
      <c r="T211" s="6">
        <v>0</v>
      </c>
      <c r="U211" s="5">
        <v>0</v>
      </c>
      <c r="V211" s="6">
        <v>19.78471348386427</v>
      </c>
      <c r="W211" s="5">
        <v>36.206025675471608</v>
      </c>
      <c r="X211" s="6">
        <v>0</v>
      </c>
      <c r="Y211" s="5">
        <v>0</v>
      </c>
      <c r="Z211" s="6">
        <v>0</v>
      </c>
      <c r="AA211" s="5">
        <v>0</v>
      </c>
      <c r="AB211" s="6">
        <v>0</v>
      </c>
      <c r="AC211" s="5">
        <v>0</v>
      </c>
      <c r="AD211" s="6">
        <v>0</v>
      </c>
      <c r="AE211" s="5">
        <v>0</v>
      </c>
      <c r="AF211" s="6">
        <v>0</v>
      </c>
      <c r="AG211" s="5">
        <v>0</v>
      </c>
      <c r="AH211" s="7">
        <f t="shared" si="24"/>
        <v>217.63184832250693</v>
      </c>
      <c r="AI211" s="8">
        <f t="shared" si="25"/>
        <v>368.58921220439134</v>
      </c>
      <c r="AJ211" s="6">
        <v>0</v>
      </c>
      <c r="AK211" s="5">
        <v>0</v>
      </c>
      <c r="AL211" s="6">
        <v>0</v>
      </c>
      <c r="AM211" s="5">
        <v>0</v>
      </c>
      <c r="AN211" s="6">
        <v>120</v>
      </c>
      <c r="AO211" s="5">
        <v>210.14331203940131</v>
      </c>
      <c r="AP211" s="6">
        <v>0</v>
      </c>
      <c r="AQ211" s="5">
        <v>0</v>
      </c>
      <c r="AR211" s="6">
        <v>80</v>
      </c>
      <c r="AS211" s="5">
        <v>140.0955413596009</v>
      </c>
      <c r="AT211" s="6">
        <v>0</v>
      </c>
      <c r="AU211" s="5">
        <v>0</v>
      </c>
      <c r="AV211" s="6">
        <v>20</v>
      </c>
      <c r="AW211" s="5">
        <v>38.151017959534173</v>
      </c>
      <c r="AX211" s="6">
        <v>0</v>
      </c>
      <c r="AY211" s="5">
        <v>0</v>
      </c>
      <c r="AZ211" s="6">
        <v>0</v>
      </c>
      <c r="BA211" s="5">
        <v>0</v>
      </c>
      <c r="BB211" s="6">
        <v>0</v>
      </c>
      <c r="BC211" s="5">
        <v>0</v>
      </c>
      <c r="BD211" s="6">
        <v>0</v>
      </c>
      <c r="BE211" s="5">
        <v>0</v>
      </c>
      <c r="BF211" s="6">
        <v>0</v>
      </c>
      <c r="BG211" s="5">
        <v>0</v>
      </c>
      <c r="BH211" s="9">
        <f t="shared" si="26"/>
        <v>220</v>
      </c>
      <c r="BI211" s="10">
        <f t="shared" si="27"/>
        <v>388.38987135853637</v>
      </c>
      <c r="BJ211" s="6">
        <f t="shared" si="28"/>
        <v>2.3681516774930742</v>
      </c>
      <c r="BK211" s="11">
        <f t="shared" si="29"/>
        <v>1.0881457359052195E-2</v>
      </c>
      <c r="BL211" s="5">
        <f t="shared" si="30"/>
        <v>19.800659154145023</v>
      </c>
      <c r="BM211" s="11">
        <f t="shared" si="31"/>
        <v>5.3720126630198539E-2</v>
      </c>
    </row>
    <row r="212" spans="1:65" ht="15" customHeight="1" x14ac:dyDescent="0.4">
      <c r="A212" s="2" t="s">
        <v>65</v>
      </c>
      <c r="B212" s="2" t="s">
        <v>66</v>
      </c>
      <c r="C212" s="2" t="s">
        <v>238</v>
      </c>
      <c r="D212" s="3" t="s">
        <v>134</v>
      </c>
      <c r="E212" s="3" t="s">
        <v>174</v>
      </c>
      <c r="F212" s="2" t="s">
        <v>175</v>
      </c>
      <c r="G212" s="4">
        <v>5</v>
      </c>
      <c r="H212" s="5">
        <v>5.1050000000000004</v>
      </c>
      <c r="I212" s="5">
        <v>5.3213373410771014</v>
      </c>
      <c r="J212" s="6">
        <v>0</v>
      </c>
      <c r="K212" s="5">
        <v>0</v>
      </c>
      <c r="L212" s="6">
        <v>0</v>
      </c>
      <c r="M212" s="5">
        <v>0</v>
      </c>
      <c r="N212" s="6">
        <v>0</v>
      </c>
      <c r="O212" s="5">
        <v>0</v>
      </c>
      <c r="P212" s="6">
        <v>0</v>
      </c>
      <c r="Q212" s="5">
        <v>0</v>
      </c>
      <c r="R212" s="6">
        <v>0</v>
      </c>
      <c r="S212" s="5">
        <v>0</v>
      </c>
      <c r="T212" s="6">
        <v>19.78471348386427</v>
      </c>
      <c r="U212" s="5">
        <v>99.517108823837248</v>
      </c>
      <c r="V212" s="6">
        <v>19.78471348386427</v>
      </c>
      <c r="W212" s="5">
        <v>102.48481584641689</v>
      </c>
      <c r="X212" s="6">
        <v>0</v>
      </c>
      <c r="Y212" s="5">
        <v>0</v>
      </c>
      <c r="Z212" s="6">
        <v>0</v>
      </c>
      <c r="AA212" s="5">
        <v>0</v>
      </c>
      <c r="AB212" s="6">
        <v>0</v>
      </c>
      <c r="AC212" s="5">
        <v>0</v>
      </c>
      <c r="AD212" s="6">
        <v>0</v>
      </c>
      <c r="AE212" s="5">
        <v>0</v>
      </c>
      <c r="AF212" s="6">
        <v>0</v>
      </c>
      <c r="AG212" s="5">
        <v>0</v>
      </c>
      <c r="AH212" s="7">
        <f t="shared" si="24"/>
        <v>39.569426967728539</v>
      </c>
      <c r="AI212" s="8">
        <f t="shared" si="25"/>
        <v>202.00192467025414</v>
      </c>
      <c r="AJ212" s="6">
        <v>0</v>
      </c>
      <c r="AK212" s="5">
        <v>0</v>
      </c>
      <c r="AL212" s="6">
        <v>0</v>
      </c>
      <c r="AM212" s="5">
        <v>0</v>
      </c>
      <c r="AN212" s="6">
        <v>0</v>
      </c>
      <c r="AO212" s="5">
        <v>0</v>
      </c>
      <c r="AP212" s="6">
        <v>0</v>
      </c>
      <c r="AQ212" s="5">
        <v>0</v>
      </c>
      <c r="AR212" s="6">
        <v>0</v>
      </c>
      <c r="AS212" s="5">
        <v>0</v>
      </c>
      <c r="AT212" s="6">
        <v>20</v>
      </c>
      <c r="AU212" s="5">
        <v>104.86318051172501</v>
      </c>
      <c r="AV212" s="6">
        <v>20</v>
      </c>
      <c r="AW212" s="5">
        <v>107.990313131359</v>
      </c>
      <c r="AX212" s="6">
        <v>0</v>
      </c>
      <c r="AY212" s="5">
        <v>0</v>
      </c>
      <c r="AZ212" s="6">
        <v>0</v>
      </c>
      <c r="BA212" s="5">
        <v>0</v>
      </c>
      <c r="BB212" s="6">
        <v>0</v>
      </c>
      <c r="BC212" s="5">
        <v>0</v>
      </c>
      <c r="BD212" s="6">
        <v>0</v>
      </c>
      <c r="BE212" s="5">
        <v>0</v>
      </c>
      <c r="BF212" s="6">
        <v>0</v>
      </c>
      <c r="BG212" s="5">
        <v>0</v>
      </c>
      <c r="BH212" s="9">
        <f t="shared" si="26"/>
        <v>40</v>
      </c>
      <c r="BI212" s="10">
        <f t="shared" si="27"/>
        <v>212.85349364308399</v>
      </c>
      <c r="BJ212" s="6">
        <f t="shared" si="28"/>
        <v>0.43057303227146093</v>
      </c>
      <c r="BK212" s="11">
        <f t="shared" si="29"/>
        <v>1.0881457359052014E-2</v>
      </c>
      <c r="BL212" s="5">
        <f t="shared" si="30"/>
        <v>10.851568972829853</v>
      </c>
      <c r="BM212" s="11">
        <f t="shared" si="31"/>
        <v>5.3720126630198407E-2</v>
      </c>
    </row>
    <row r="213" spans="1:65" ht="15" customHeight="1" x14ac:dyDescent="0.4">
      <c r="A213" s="2" t="s">
        <v>65</v>
      </c>
      <c r="B213" s="2" t="s">
        <v>66</v>
      </c>
      <c r="C213" s="2" t="s">
        <v>238</v>
      </c>
      <c r="D213" s="3" t="s">
        <v>134</v>
      </c>
      <c r="E213" s="3" t="s">
        <v>241</v>
      </c>
      <c r="F213" s="2" t="s">
        <v>242</v>
      </c>
      <c r="G213" s="4">
        <v>1</v>
      </c>
      <c r="H213" s="5">
        <v>4.9800000000000004</v>
      </c>
      <c r="I213" s="5">
        <v>5.1910401485923554</v>
      </c>
      <c r="J213" s="6">
        <v>0</v>
      </c>
      <c r="K213" s="5">
        <v>0</v>
      </c>
      <c r="L213" s="6">
        <v>0</v>
      </c>
      <c r="M213" s="5">
        <v>0</v>
      </c>
      <c r="N213" s="6">
        <v>35.612484270955683</v>
      </c>
      <c r="O213" s="5">
        <v>175.56954745581149</v>
      </c>
      <c r="P213" s="6">
        <v>0</v>
      </c>
      <c r="Q213" s="5">
        <v>0</v>
      </c>
      <c r="R213" s="6">
        <v>0</v>
      </c>
      <c r="S213" s="5">
        <v>0</v>
      </c>
      <c r="T213" s="6">
        <v>35.612484270955683</v>
      </c>
      <c r="U213" s="5">
        <v>175.56954745581149</v>
      </c>
      <c r="V213" s="6">
        <v>35.612484270955683</v>
      </c>
      <c r="W213" s="5">
        <v>180.9114200964548</v>
      </c>
      <c r="X213" s="6">
        <v>0</v>
      </c>
      <c r="Y213" s="5">
        <v>0</v>
      </c>
      <c r="Z213" s="6">
        <v>0</v>
      </c>
      <c r="AA213" s="5">
        <v>0</v>
      </c>
      <c r="AB213" s="6">
        <v>0</v>
      </c>
      <c r="AC213" s="5">
        <v>0</v>
      </c>
      <c r="AD213" s="6">
        <v>0</v>
      </c>
      <c r="AE213" s="5">
        <v>0</v>
      </c>
      <c r="AF213" s="6">
        <v>0</v>
      </c>
      <c r="AG213" s="5">
        <v>0</v>
      </c>
      <c r="AH213" s="7">
        <f t="shared" si="24"/>
        <v>106.83745281286704</v>
      </c>
      <c r="AI213" s="8">
        <f t="shared" si="25"/>
        <v>532.05051500807781</v>
      </c>
      <c r="AJ213" s="6">
        <v>0</v>
      </c>
      <c r="AK213" s="5">
        <v>0</v>
      </c>
      <c r="AL213" s="6">
        <v>0</v>
      </c>
      <c r="AM213" s="5">
        <v>0</v>
      </c>
      <c r="AN213" s="6">
        <v>37</v>
      </c>
      <c r="AO213" s="5">
        <v>190.14008704914289</v>
      </c>
      <c r="AP213" s="6">
        <v>0</v>
      </c>
      <c r="AQ213" s="5">
        <v>0</v>
      </c>
      <c r="AR213" s="6">
        <v>0</v>
      </c>
      <c r="AS213" s="5">
        <v>0</v>
      </c>
      <c r="AT213" s="6">
        <v>37</v>
      </c>
      <c r="AU213" s="5">
        <v>190.14008704914289</v>
      </c>
      <c r="AV213" s="6">
        <v>37</v>
      </c>
      <c r="AW213" s="5">
        <v>195.92528239546559</v>
      </c>
      <c r="AX213" s="6">
        <v>0</v>
      </c>
      <c r="AY213" s="5">
        <v>0</v>
      </c>
      <c r="AZ213" s="6">
        <v>0</v>
      </c>
      <c r="BA213" s="5">
        <v>0</v>
      </c>
      <c r="BB213" s="6">
        <v>0</v>
      </c>
      <c r="BC213" s="5">
        <v>0</v>
      </c>
      <c r="BD213" s="6">
        <v>0</v>
      </c>
      <c r="BE213" s="5">
        <v>0</v>
      </c>
      <c r="BF213" s="6">
        <v>0</v>
      </c>
      <c r="BG213" s="5">
        <v>0</v>
      </c>
      <c r="BH213" s="9">
        <f t="shared" si="26"/>
        <v>111</v>
      </c>
      <c r="BI213" s="10">
        <f t="shared" si="27"/>
        <v>576.2054564937514</v>
      </c>
      <c r="BJ213" s="6">
        <f t="shared" si="28"/>
        <v>4.162547187132958</v>
      </c>
      <c r="BK213" s="11">
        <f t="shared" si="29"/>
        <v>3.8961497841248034E-2</v>
      </c>
      <c r="BL213" s="5">
        <f t="shared" si="30"/>
        <v>44.154941485673589</v>
      </c>
      <c r="BM213" s="11">
        <f t="shared" si="31"/>
        <v>8.2990130147704511E-2</v>
      </c>
    </row>
    <row r="214" spans="1:65" ht="15" customHeight="1" x14ac:dyDescent="0.4">
      <c r="A214" s="2" t="s">
        <v>65</v>
      </c>
      <c r="B214" s="2" t="s">
        <v>66</v>
      </c>
      <c r="C214" s="2" t="s">
        <v>238</v>
      </c>
      <c r="D214" s="3" t="s">
        <v>134</v>
      </c>
      <c r="E214" s="3" t="s">
        <v>176</v>
      </c>
      <c r="F214" s="2" t="s">
        <v>177</v>
      </c>
      <c r="G214" s="4">
        <v>5</v>
      </c>
      <c r="H214" s="5">
        <v>3.379999999999999</v>
      </c>
      <c r="I214" s="5">
        <v>3.523125193559935</v>
      </c>
      <c r="J214" s="6">
        <v>0</v>
      </c>
      <c r="K214" s="5">
        <v>0</v>
      </c>
      <c r="L214" s="6">
        <v>0</v>
      </c>
      <c r="M214" s="5">
        <v>0</v>
      </c>
      <c r="N214" s="6">
        <v>98.92356741932133</v>
      </c>
      <c r="O214" s="5">
        <v>330.40471518053317</v>
      </c>
      <c r="P214" s="6">
        <v>0</v>
      </c>
      <c r="Q214" s="5">
        <v>0</v>
      </c>
      <c r="R214" s="6">
        <v>0</v>
      </c>
      <c r="S214" s="5">
        <v>0</v>
      </c>
      <c r="T214" s="6">
        <v>108.81592416125341</v>
      </c>
      <c r="U214" s="5">
        <v>363.4451866985865</v>
      </c>
      <c r="V214" s="6">
        <v>237.41656180637119</v>
      </c>
      <c r="W214" s="5">
        <v>810.77755856875751</v>
      </c>
      <c r="X214" s="6">
        <v>0</v>
      </c>
      <c r="Y214" s="5">
        <v>0</v>
      </c>
      <c r="Z214" s="6">
        <v>0</v>
      </c>
      <c r="AA214" s="5">
        <v>0</v>
      </c>
      <c r="AB214" s="6">
        <v>0</v>
      </c>
      <c r="AC214" s="5">
        <v>0</v>
      </c>
      <c r="AD214" s="6">
        <v>0</v>
      </c>
      <c r="AE214" s="5">
        <v>0</v>
      </c>
      <c r="AF214" s="6">
        <v>0</v>
      </c>
      <c r="AG214" s="5">
        <v>0</v>
      </c>
      <c r="AH214" s="7">
        <f t="shared" si="24"/>
        <v>445.15605338694593</v>
      </c>
      <c r="AI214" s="8">
        <f t="shared" si="25"/>
        <v>1504.6274604478772</v>
      </c>
      <c r="AJ214" s="6">
        <v>0</v>
      </c>
      <c r="AK214" s="5">
        <v>0</v>
      </c>
      <c r="AL214" s="6">
        <v>0</v>
      </c>
      <c r="AM214" s="5">
        <v>0</v>
      </c>
      <c r="AN214" s="6">
        <v>105</v>
      </c>
      <c r="AO214" s="5">
        <v>365.56180323520852</v>
      </c>
      <c r="AP214" s="6">
        <v>0</v>
      </c>
      <c r="AQ214" s="5">
        <v>0</v>
      </c>
      <c r="AR214" s="6">
        <v>0</v>
      </c>
      <c r="AS214" s="5">
        <v>0</v>
      </c>
      <c r="AT214" s="6">
        <v>115</v>
      </c>
      <c r="AU214" s="5">
        <v>400.37721306713308</v>
      </c>
      <c r="AV214" s="6">
        <v>250</v>
      </c>
      <c r="AW214" s="5">
        <v>889.92982467082766</v>
      </c>
      <c r="AX214" s="6">
        <v>0</v>
      </c>
      <c r="AY214" s="5">
        <v>0</v>
      </c>
      <c r="AZ214" s="6">
        <v>0</v>
      </c>
      <c r="BA214" s="5">
        <v>0</v>
      </c>
      <c r="BB214" s="6">
        <v>0</v>
      </c>
      <c r="BC214" s="5">
        <v>0</v>
      </c>
      <c r="BD214" s="6">
        <v>0</v>
      </c>
      <c r="BE214" s="5">
        <v>0</v>
      </c>
      <c r="BF214" s="6">
        <v>0</v>
      </c>
      <c r="BG214" s="5">
        <v>0</v>
      </c>
      <c r="BH214" s="9">
        <f t="shared" si="26"/>
        <v>470</v>
      </c>
      <c r="BI214" s="10">
        <f t="shared" si="27"/>
        <v>1655.8688409731692</v>
      </c>
      <c r="BJ214" s="6">
        <f t="shared" si="28"/>
        <v>24.843946613054072</v>
      </c>
      <c r="BK214" s="11">
        <f t="shared" si="29"/>
        <v>5.580952213056576E-2</v>
      </c>
      <c r="BL214" s="5">
        <f t="shared" si="30"/>
        <v>151.24138052529202</v>
      </c>
      <c r="BM214" s="11">
        <f t="shared" si="31"/>
        <v>0.1005174932007904</v>
      </c>
    </row>
    <row r="215" spans="1:65" ht="15" customHeight="1" x14ac:dyDescent="0.4">
      <c r="A215" s="2" t="s">
        <v>65</v>
      </c>
      <c r="B215" s="2" t="s">
        <v>66</v>
      </c>
      <c r="C215" s="2" t="s">
        <v>238</v>
      </c>
      <c r="D215" s="3" t="s">
        <v>134</v>
      </c>
      <c r="E215" s="3" t="s">
        <v>178</v>
      </c>
      <c r="F215" s="2" t="s">
        <v>179</v>
      </c>
      <c r="G215" s="4">
        <v>5</v>
      </c>
      <c r="H215" s="5">
        <v>2.62</v>
      </c>
      <c r="I215" s="5">
        <v>2.7310291544803151</v>
      </c>
      <c r="J215" s="6">
        <v>0</v>
      </c>
      <c r="K215" s="5">
        <v>0</v>
      </c>
      <c r="L215" s="6">
        <v>0</v>
      </c>
      <c r="M215" s="5">
        <v>0</v>
      </c>
      <c r="N215" s="6">
        <v>98.92356741932133</v>
      </c>
      <c r="O215" s="5">
        <v>259.17974663862191</v>
      </c>
      <c r="P215" s="6">
        <v>0</v>
      </c>
      <c r="Q215" s="5">
        <v>0</v>
      </c>
      <c r="R215" s="6">
        <v>0</v>
      </c>
      <c r="S215" s="5">
        <v>0</v>
      </c>
      <c r="T215" s="6">
        <v>0</v>
      </c>
      <c r="U215" s="5">
        <v>0</v>
      </c>
      <c r="V215" s="6">
        <v>0</v>
      </c>
      <c r="W215" s="5">
        <v>0</v>
      </c>
      <c r="X215" s="6">
        <v>0</v>
      </c>
      <c r="Y215" s="5">
        <v>0</v>
      </c>
      <c r="Z215" s="6">
        <v>0</v>
      </c>
      <c r="AA215" s="5">
        <v>0</v>
      </c>
      <c r="AB215" s="6">
        <v>0</v>
      </c>
      <c r="AC215" s="5">
        <v>0</v>
      </c>
      <c r="AD215" s="6">
        <v>0</v>
      </c>
      <c r="AE215" s="5">
        <v>0</v>
      </c>
      <c r="AF215" s="6">
        <v>0</v>
      </c>
      <c r="AG215" s="5">
        <v>0</v>
      </c>
      <c r="AH215" s="7">
        <f t="shared" si="24"/>
        <v>98.92356741932133</v>
      </c>
      <c r="AI215" s="8">
        <f t="shared" si="25"/>
        <v>259.17974663862191</v>
      </c>
      <c r="AJ215" s="6">
        <v>0</v>
      </c>
      <c r="AK215" s="5">
        <v>0</v>
      </c>
      <c r="AL215" s="6">
        <v>0</v>
      </c>
      <c r="AM215" s="5">
        <v>0</v>
      </c>
      <c r="AN215" s="6">
        <v>120</v>
      </c>
      <c r="AO215" s="5">
        <v>327.72349853763768</v>
      </c>
      <c r="AP215" s="6">
        <v>0</v>
      </c>
      <c r="AQ215" s="5">
        <v>0</v>
      </c>
      <c r="AR215" s="6">
        <v>0</v>
      </c>
      <c r="AS215" s="5">
        <v>0</v>
      </c>
      <c r="AT215" s="6">
        <v>0</v>
      </c>
      <c r="AU215" s="5">
        <v>0</v>
      </c>
      <c r="AV215" s="6">
        <v>0</v>
      </c>
      <c r="AW215" s="5">
        <v>0</v>
      </c>
      <c r="AX215" s="6">
        <v>0</v>
      </c>
      <c r="AY215" s="5">
        <v>0</v>
      </c>
      <c r="AZ215" s="6">
        <v>0</v>
      </c>
      <c r="BA215" s="5">
        <v>0</v>
      </c>
      <c r="BB215" s="6">
        <v>0</v>
      </c>
      <c r="BC215" s="5">
        <v>0</v>
      </c>
      <c r="BD215" s="6">
        <v>0</v>
      </c>
      <c r="BE215" s="5">
        <v>0</v>
      </c>
      <c r="BF215" s="6">
        <v>0</v>
      </c>
      <c r="BG215" s="5">
        <v>0</v>
      </c>
      <c r="BH215" s="9">
        <f t="shared" si="26"/>
        <v>120</v>
      </c>
      <c r="BI215" s="10">
        <f t="shared" si="27"/>
        <v>327.72349853763768</v>
      </c>
      <c r="BJ215" s="6">
        <f t="shared" si="28"/>
        <v>21.07643258067867</v>
      </c>
      <c r="BK215" s="11">
        <f t="shared" si="29"/>
        <v>0.21305774883086265</v>
      </c>
      <c r="BL215" s="5">
        <f t="shared" si="30"/>
        <v>68.543751899015774</v>
      </c>
      <c r="BM215" s="11">
        <f t="shared" si="31"/>
        <v>0.26446415195623801</v>
      </c>
    </row>
    <row r="216" spans="1:65" ht="15" customHeight="1" x14ac:dyDescent="0.4">
      <c r="A216" s="2" t="s">
        <v>65</v>
      </c>
      <c r="B216" s="2" t="s">
        <v>66</v>
      </c>
      <c r="C216" s="2" t="s">
        <v>238</v>
      </c>
      <c r="D216" s="3" t="s">
        <v>134</v>
      </c>
      <c r="E216" s="3" t="s">
        <v>201</v>
      </c>
      <c r="F216" s="2" t="s">
        <v>202</v>
      </c>
      <c r="G216" s="4">
        <v>5</v>
      </c>
      <c r="H216" s="5">
        <v>4.46</v>
      </c>
      <c r="I216" s="5">
        <v>4.6490038278558021</v>
      </c>
      <c r="J216" s="6">
        <v>0</v>
      </c>
      <c r="K216" s="5">
        <v>0</v>
      </c>
      <c r="L216" s="6">
        <v>0</v>
      </c>
      <c r="M216" s="5">
        <v>0</v>
      </c>
      <c r="N216" s="6">
        <v>0</v>
      </c>
      <c r="O216" s="5">
        <v>0</v>
      </c>
      <c r="P216" s="6">
        <v>0</v>
      </c>
      <c r="Q216" s="5">
        <v>0</v>
      </c>
      <c r="R216" s="6">
        <v>0</v>
      </c>
      <c r="S216" s="5">
        <v>0</v>
      </c>
      <c r="T216" s="6">
        <v>19.78471348386427</v>
      </c>
      <c r="U216" s="5">
        <v>88.239822138034626</v>
      </c>
      <c r="V216" s="6">
        <v>0</v>
      </c>
      <c r="W216" s="5">
        <v>0</v>
      </c>
      <c r="X216" s="6">
        <v>0</v>
      </c>
      <c r="Y216" s="5">
        <v>0</v>
      </c>
      <c r="Z216" s="6">
        <v>0</v>
      </c>
      <c r="AA216" s="5">
        <v>0</v>
      </c>
      <c r="AB216" s="6">
        <v>0</v>
      </c>
      <c r="AC216" s="5">
        <v>0</v>
      </c>
      <c r="AD216" s="6">
        <v>0</v>
      </c>
      <c r="AE216" s="5">
        <v>0</v>
      </c>
      <c r="AF216" s="6">
        <v>0</v>
      </c>
      <c r="AG216" s="5">
        <v>0</v>
      </c>
      <c r="AH216" s="7">
        <f t="shared" si="24"/>
        <v>19.78471348386427</v>
      </c>
      <c r="AI216" s="8">
        <f t="shared" si="25"/>
        <v>88.239822138034626</v>
      </c>
      <c r="AJ216" s="6">
        <v>0</v>
      </c>
      <c r="AK216" s="5">
        <v>0</v>
      </c>
      <c r="AL216" s="6">
        <v>0</v>
      </c>
      <c r="AM216" s="5">
        <v>0</v>
      </c>
      <c r="AN216" s="6">
        <v>0</v>
      </c>
      <c r="AO216" s="5">
        <v>0</v>
      </c>
      <c r="AP216" s="6">
        <v>0</v>
      </c>
      <c r="AQ216" s="5">
        <v>0</v>
      </c>
      <c r="AR216" s="6">
        <v>0</v>
      </c>
      <c r="AS216" s="5">
        <v>0</v>
      </c>
      <c r="AT216" s="6">
        <v>20</v>
      </c>
      <c r="AU216" s="5">
        <v>92.98007655711605</v>
      </c>
      <c r="AV216" s="6">
        <v>0</v>
      </c>
      <c r="AW216" s="5">
        <v>0</v>
      </c>
      <c r="AX216" s="6">
        <v>0</v>
      </c>
      <c r="AY216" s="5">
        <v>0</v>
      </c>
      <c r="AZ216" s="6">
        <v>0</v>
      </c>
      <c r="BA216" s="5">
        <v>0</v>
      </c>
      <c r="BB216" s="6">
        <v>0</v>
      </c>
      <c r="BC216" s="5">
        <v>0</v>
      </c>
      <c r="BD216" s="6">
        <v>0</v>
      </c>
      <c r="BE216" s="5">
        <v>0</v>
      </c>
      <c r="BF216" s="6">
        <v>0</v>
      </c>
      <c r="BG216" s="5">
        <v>0</v>
      </c>
      <c r="BH216" s="9">
        <f t="shared" si="26"/>
        <v>20</v>
      </c>
      <c r="BI216" s="10">
        <f t="shared" si="27"/>
        <v>92.98007655711605</v>
      </c>
      <c r="BJ216" s="6">
        <f t="shared" si="28"/>
        <v>0.21528651613573047</v>
      </c>
      <c r="BK216" s="11">
        <f t="shared" si="29"/>
        <v>1.0881457359052014E-2</v>
      </c>
      <c r="BL216" s="5">
        <f t="shared" si="30"/>
        <v>4.740254419081424</v>
      </c>
      <c r="BM216" s="11">
        <f t="shared" si="31"/>
        <v>5.3720126630198622E-2</v>
      </c>
    </row>
    <row r="217" spans="1:65" ht="15" customHeight="1" x14ac:dyDescent="0.4">
      <c r="A217" s="2" t="s">
        <v>65</v>
      </c>
      <c r="B217" s="2" t="s">
        <v>66</v>
      </c>
      <c r="C217" s="2" t="s">
        <v>238</v>
      </c>
      <c r="D217" s="3" t="s">
        <v>134</v>
      </c>
      <c r="E217" s="3" t="s">
        <v>243</v>
      </c>
      <c r="F217" s="2" t="s">
        <v>244</v>
      </c>
      <c r="G217" s="4">
        <v>1</v>
      </c>
      <c r="H217" s="5">
        <v>4.71</v>
      </c>
      <c r="I217" s="5">
        <v>4.9095982128252986</v>
      </c>
      <c r="J217" s="6">
        <v>0</v>
      </c>
      <c r="K217" s="5">
        <v>0</v>
      </c>
      <c r="L217" s="6">
        <v>0</v>
      </c>
      <c r="M217" s="5">
        <v>0</v>
      </c>
      <c r="N217" s="6">
        <v>0</v>
      </c>
      <c r="O217" s="5">
        <v>0</v>
      </c>
      <c r="P217" s="6">
        <v>0</v>
      </c>
      <c r="Q217" s="5">
        <v>0</v>
      </c>
      <c r="R217" s="6">
        <v>0</v>
      </c>
      <c r="S217" s="5">
        <v>0</v>
      </c>
      <c r="T217" s="6">
        <v>0</v>
      </c>
      <c r="U217" s="5">
        <v>0</v>
      </c>
      <c r="V217" s="6">
        <v>23.741656180637118</v>
      </c>
      <c r="W217" s="5">
        <v>111.8232006108008</v>
      </c>
      <c r="X217" s="6">
        <v>0</v>
      </c>
      <c r="Y217" s="5">
        <v>0</v>
      </c>
      <c r="Z217" s="6">
        <v>0</v>
      </c>
      <c r="AA217" s="5">
        <v>0</v>
      </c>
      <c r="AB217" s="6">
        <v>0</v>
      </c>
      <c r="AC217" s="5">
        <v>0</v>
      </c>
      <c r="AD217" s="6">
        <v>0</v>
      </c>
      <c r="AE217" s="5">
        <v>0</v>
      </c>
      <c r="AF217" s="6">
        <v>0</v>
      </c>
      <c r="AG217" s="5">
        <v>0</v>
      </c>
      <c r="AH217" s="7">
        <f t="shared" si="24"/>
        <v>23.741656180637118</v>
      </c>
      <c r="AI217" s="8">
        <f t="shared" si="25"/>
        <v>111.8232006108008</v>
      </c>
      <c r="AJ217" s="6">
        <v>0</v>
      </c>
      <c r="AK217" s="5">
        <v>0</v>
      </c>
      <c r="AL217" s="6">
        <v>0</v>
      </c>
      <c r="AM217" s="5">
        <v>0</v>
      </c>
      <c r="AN217" s="6">
        <v>0</v>
      </c>
      <c r="AO217" s="5">
        <v>0</v>
      </c>
      <c r="AP217" s="6">
        <v>0</v>
      </c>
      <c r="AQ217" s="5">
        <v>0</v>
      </c>
      <c r="AR217" s="6">
        <v>0</v>
      </c>
      <c r="AS217" s="5">
        <v>0</v>
      </c>
      <c r="AT217" s="6">
        <v>0</v>
      </c>
      <c r="AU217" s="5">
        <v>0</v>
      </c>
      <c r="AV217" s="6">
        <v>25</v>
      </c>
      <c r="AW217" s="5">
        <v>122.7399553206325</v>
      </c>
      <c r="AX217" s="6">
        <v>0</v>
      </c>
      <c r="AY217" s="5">
        <v>0</v>
      </c>
      <c r="AZ217" s="6">
        <v>0</v>
      </c>
      <c r="BA217" s="5">
        <v>0</v>
      </c>
      <c r="BB217" s="6">
        <v>0</v>
      </c>
      <c r="BC217" s="5">
        <v>0</v>
      </c>
      <c r="BD217" s="6">
        <v>0</v>
      </c>
      <c r="BE217" s="5">
        <v>0</v>
      </c>
      <c r="BF217" s="6">
        <v>0</v>
      </c>
      <c r="BG217" s="5">
        <v>0</v>
      </c>
      <c r="BH217" s="9">
        <f t="shared" si="26"/>
        <v>25</v>
      </c>
      <c r="BI217" s="10">
        <f t="shared" si="27"/>
        <v>122.7399553206325</v>
      </c>
      <c r="BJ217" s="6">
        <f t="shared" si="28"/>
        <v>1.2583438193628815</v>
      </c>
      <c r="BK217" s="11">
        <f t="shared" si="29"/>
        <v>5.3001518082346072E-2</v>
      </c>
      <c r="BL217" s="5">
        <f t="shared" si="30"/>
        <v>10.916754709831707</v>
      </c>
      <c r="BM217" s="11">
        <f t="shared" si="31"/>
        <v>9.7625131906457691E-2</v>
      </c>
    </row>
    <row r="218" spans="1:65" ht="15" customHeight="1" x14ac:dyDescent="0.4">
      <c r="A218" s="2" t="s">
        <v>65</v>
      </c>
      <c r="B218" s="2" t="s">
        <v>66</v>
      </c>
      <c r="C218" s="2" t="s">
        <v>238</v>
      </c>
      <c r="D218" s="3" t="s">
        <v>134</v>
      </c>
      <c r="E218" s="3" t="s">
        <v>245</v>
      </c>
      <c r="F218" s="2" t="s">
        <v>246</v>
      </c>
      <c r="G218" s="4">
        <v>5</v>
      </c>
      <c r="H218" s="5">
        <v>3.76</v>
      </c>
      <c r="I218" s="5">
        <v>3.9193395499412151</v>
      </c>
      <c r="J218" s="6">
        <v>0</v>
      </c>
      <c r="K218" s="5">
        <v>0</v>
      </c>
      <c r="L218" s="6">
        <v>0</v>
      </c>
      <c r="M218" s="5">
        <v>0</v>
      </c>
      <c r="N218" s="6">
        <v>0</v>
      </c>
      <c r="O218" s="5">
        <v>0</v>
      </c>
      <c r="P218" s="6">
        <v>0</v>
      </c>
      <c r="Q218" s="5">
        <v>0</v>
      </c>
      <c r="R218" s="6">
        <v>0</v>
      </c>
      <c r="S218" s="5">
        <v>0</v>
      </c>
      <c r="T218" s="6">
        <v>0</v>
      </c>
      <c r="U218" s="5">
        <v>0</v>
      </c>
      <c r="V218" s="6">
        <v>39.569426967728532</v>
      </c>
      <c r="W218" s="5">
        <v>148.7810453986593</v>
      </c>
      <c r="X218" s="6">
        <v>0</v>
      </c>
      <c r="Y218" s="5">
        <v>0</v>
      </c>
      <c r="Z218" s="6">
        <v>0</v>
      </c>
      <c r="AA218" s="5">
        <v>0</v>
      </c>
      <c r="AB218" s="6">
        <v>0</v>
      </c>
      <c r="AC218" s="5">
        <v>0</v>
      </c>
      <c r="AD218" s="6">
        <v>0</v>
      </c>
      <c r="AE218" s="5">
        <v>0</v>
      </c>
      <c r="AF218" s="6">
        <v>0</v>
      </c>
      <c r="AG218" s="5">
        <v>0</v>
      </c>
      <c r="AH218" s="7">
        <f t="shared" si="24"/>
        <v>39.569426967728532</v>
      </c>
      <c r="AI218" s="8">
        <f t="shared" si="25"/>
        <v>148.7810453986593</v>
      </c>
      <c r="AJ218" s="6">
        <v>0</v>
      </c>
      <c r="AK218" s="5">
        <v>0</v>
      </c>
      <c r="AL218" s="6">
        <v>0</v>
      </c>
      <c r="AM218" s="5">
        <v>0</v>
      </c>
      <c r="AN218" s="6">
        <v>0</v>
      </c>
      <c r="AO218" s="5">
        <v>0</v>
      </c>
      <c r="AP218" s="6">
        <v>0</v>
      </c>
      <c r="AQ218" s="5">
        <v>0</v>
      </c>
      <c r="AR218" s="6">
        <v>0</v>
      </c>
      <c r="AS218" s="5">
        <v>0</v>
      </c>
      <c r="AT218" s="6">
        <v>0</v>
      </c>
      <c r="AU218" s="5">
        <v>0</v>
      </c>
      <c r="AV218" s="6">
        <v>40</v>
      </c>
      <c r="AW218" s="5">
        <v>156.77358199764859</v>
      </c>
      <c r="AX218" s="6">
        <v>0</v>
      </c>
      <c r="AY218" s="5">
        <v>0</v>
      </c>
      <c r="AZ218" s="6">
        <v>0</v>
      </c>
      <c r="BA218" s="5">
        <v>0</v>
      </c>
      <c r="BB218" s="6">
        <v>0</v>
      </c>
      <c r="BC218" s="5">
        <v>0</v>
      </c>
      <c r="BD218" s="6">
        <v>0</v>
      </c>
      <c r="BE218" s="5">
        <v>0</v>
      </c>
      <c r="BF218" s="6">
        <v>0</v>
      </c>
      <c r="BG218" s="5">
        <v>0</v>
      </c>
      <c r="BH218" s="9">
        <f t="shared" si="26"/>
        <v>40</v>
      </c>
      <c r="BI218" s="10">
        <f t="shared" si="27"/>
        <v>156.77358199764859</v>
      </c>
      <c r="BJ218" s="6">
        <f t="shared" si="28"/>
        <v>0.43057303227146804</v>
      </c>
      <c r="BK218" s="11">
        <f t="shared" si="29"/>
        <v>1.0881457359052195E-2</v>
      </c>
      <c r="BL218" s="5">
        <f t="shared" si="30"/>
        <v>7.9925365989892896</v>
      </c>
      <c r="BM218" s="11">
        <f t="shared" si="31"/>
        <v>5.3720126630198498E-2</v>
      </c>
    </row>
    <row r="219" spans="1:65" ht="15" customHeight="1" x14ac:dyDescent="0.4">
      <c r="A219" s="2" t="s">
        <v>65</v>
      </c>
      <c r="B219" s="2" t="s">
        <v>66</v>
      </c>
      <c r="C219" s="2" t="s">
        <v>238</v>
      </c>
      <c r="D219" s="3" t="s">
        <v>134</v>
      </c>
      <c r="E219" s="3" t="s">
        <v>247</v>
      </c>
      <c r="F219" s="2" t="s">
        <v>248</v>
      </c>
      <c r="G219" s="4">
        <v>5</v>
      </c>
      <c r="H219" s="5">
        <v>2.839999999999999</v>
      </c>
      <c r="I219" s="5">
        <v>2.9603522132534699</v>
      </c>
      <c r="J219" s="6">
        <v>0</v>
      </c>
      <c r="K219" s="5">
        <v>0</v>
      </c>
      <c r="L219" s="6">
        <v>0</v>
      </c>
      <c r="M219" s="5">
        <v>0</v>
      </c>
      <c r="N219" s="6">
        <v>0</v>
      </c>
      <c r="O219" s="5">
        <v>0</v>
      </c>
      <c r="P219" s="6">
        <v>0</v>
      </c>
      <c r="Q219" s="5">
        <v>0</v>
      </c>
      <c r="R219" s="6">
        <v>39.569426967728532</v>
      </c>
      <c r="S219" s="5">
        <v>112.377172588349</v>
      </c>
      <c r="T219" s="6">
        <v>0</v>
      </c>
      <c r="U219" s="5">
        <v>0</v>
      </c>
      <c r="V219" s="6">
        <v>0</v>
      </c>
      <c r="W219" s="5">
        <v>0</v>
      </c>
      <c r="X219" s="6">
        <v>0</v>
      </c>
      <c r="Y219" s="5">
        <v>0</v>
      </c>
      <c r="Z219" s="6">
        <v>0</v>
      </c>
      <c r="AA219" s="5">
        <v>0</v>
      </c>
      <c r="AB219" s="6">
        <v>0</v>
      </c>
      <c r="AC219" s="5">
        <v>0</v>
      </c>
      <c r="AD219" s="6">
        <v>0</v>
      </c>
      <c r="AE219" s="5">
        <v>0</v>
      </c>
      <c r="AF219" s="6">
        <v>0</v>
      </c>
      <c r="AG219" s="5">
        <v>0</v>
      </c>
      <c r="AH219" s="7">
        <f t="shared" si="24"/>
        <v>39.569426967728532</v>
      </c>
      <c r="AI219" s="8">
        <f t="shared" si="25"/>
        <v>112.377172588349</v>
      </c>
      <c r="AJ219" s="6">
        <v>0</v>
      </c>
      <c r="AK219" s="5">
        <v>0</v>
      </c>
      <c r="AL219" s="6">
        <v>0</v>
      </c>
      <c r="AM219" s="5">
        <v>0</v>
      </c>
      <c r="AN219" s="6">
        <v>0</v>
      </c>
      <c r="AO219" s="5">
        <v>0</v>
      </c>
      <c r="AP219" s="6">
        <v>0</v>
      </c>
      <c r="AQ219" s="5">
        <v>0</v>
      </c>
      <c r="AR219" s="6">
        <v>45</v>
      </c>
      <c r="AS219" s="5">
        <v>133.21584959640609</v>
      </c>
      <c r="AT219" s="6">
        <v>0</v>
      </c>
      <c r="AU219" s="5">
        <v>0</v>
      </c>
      <c r="AV219" s="6">
        <v>0</v>
      </c>
      <c r="AW219" s="5">
        <v>0</v>
      </c>
      <c r="AX219" s="6">
        <v>0</v>
      </c>
      <c r="AY219" s="5">
        <v>0</v>
      </c>
      <c r="AZ219" s="6">
        <v>0</v>
      </c>
      <c r="BA219" s="5">
        <v>0</v>
      </c>
      <c r="BB219" s="6">
        <v>0</v>
      </c>
      <c r="BC219" s="5">
        <v>0</v>
      </c>
      <c r="BD219" s="6">
        <v>0</v>
      </c>
      <c r="BE219" s="5">
        <v>0</v>
      </c>
      <c r="BF219" s="6">
        <v>0</v>
      </c>
      <c r="BG219" s="5">
        <v>0</v>
      </c>
      <c r="BH219" s="9">
        <f t="shared" si="26"/>
        <v>45</v>
      </c>
      <c r="BI219" s="10">
        <f t="shared" si="27"/>
        <v>133.21584959640609</v>
      </c>
      <c r="BJ219" s="6">
        <f t="shared" si="28"/>
        <v>5.430573032271468</v>
      </c>
      <c r="BK219" s="11">
        <f t="shared" si="29"/>
        <v>0.13724163952893373</v>
      </c>
      <c r="BL219" s="5">
        <f t="shared" si="30"/>
        <v>20.83867700805709</v>
      </c>
      <c r="BM219" s="11">
        <f t="shared" si="31"/>
        <v>0.18543514245897297</v>
      </c>
    </row>
    <row r="220" spans="1:65" ht="15" customHeight="1" x14ac:dyDescent="0.4">
      <c r="A220" s="2" t="s">
        <v>65</v>
      </c>
      <c r="B220" s="2" t="s">
        <v>66</v>
      </c>
      <c r="C220" s="2" t="s">
        <v>238</v>
      </c>
      <c r="D220" s="3" t="s">
        <v>134</v>
      </c>
      <c r="E220" s="3" t="s">
        <v>249</v>
      </c>
      <c r="F220" s="2" t="s">
        <v>250</v>
      </c>
      <c r="G220" s="4">
        <v>1</v>
      </c>
      <c r="H220" s="5">
        <v>4.58</v>
      </c>
      <c r="I220" s="5">
        <v>4.7740891326411603</v>
      </c>
      <c r="J220" s="6">
        <v>0</v>
      </c>
      <c r="K220" s="5">
        <v>0</v>
      </c>
      <c r="L220" s="6">
        <v>0</v>
      </c>
      <c r="M220" s="5">
        <v>0</v>
      </c>
      <c r="N220" s="6">
        <v>71.224968541911352</v>
      </c>
      <c r="O220" s="5">
        <v>326.21035592195398</v>
      </c>
      <c r="P220" s="6">
        <v>0</v>
      </c>
      <c r="Q220" s="5">
        <v>0</v>
      </c>
      <c r="R220" s="6">
        <v>0</v>
      </c>
      <c r="S220" s="5">
        <v>0</v>
      </c>
      <c r="T220" s="6">
        <v>11.870828090318559</v>
      </c>
      <c r="U220" s="5">
        <v>54.368392653659001</v>
      </c>
      <c r="V220" s="6">
        <v>0</v>
      </c>
      <c r="W220" s="5">
        <v>0</v>
      </c>
      <c r="X220" s="6">
        <v>0</v>
      </c>
      <c r="Y220" s="5">
        <v>0</v>
      </c>
      <c r="Z220" s="6">
        <v>0</v>
      </c>
      <c r="AA220" s="5">
        <v>0</v>
      </c>
      <c r="AB220" s="6">
        <v>0</v>
      </c>
      <c r="AC220" s="5">
        <v>0</v>
      </c>
      <c r="AD220" s="6">
        <v>0</v>
      </c>
      <c r="AE220" s="5">
        <v>0</v>
      </c>
      <c r="AF220" s="6">
        <v>0</v>
      </c>
      <c r="AG220" s="5">
        <v>0</v>
      </c>
      <c r="AH220" s="7">
        <f t="shared" si="24"/>
        <v>83.095796632229906</v>
      </c>
      <c r="AI220" s="8">
        <f t="shared" si="25"/>
        <v>380.57874857561296</v>
      </c>
      <c r="AJ220" s="6">
        <v>0</v>
      </c>
      <c r="AK220" s="5">
        <v>0</v>
      </c>
      <c r="AL220" s="6">
        <v>0</v>
      </c>
      <c r="AM220" s="5">
        <v>0</v>
      </c>
      <c r="AN220" s="6">
        <v>77</v>
      </c>
      <c r="AO220" s="5">
        <v>367.6048632133693</v>
      </c>
      <c r="AP220" s="6">
        <v>0</v>
      </c>
      <c r="AQ220" s="5">
        <v>0</v>
      </c>
      <c r="AR220" s="6">
        <v>0</v>
      </c>
      <c r="AS220" s="5">
        <v>0</v>
      </c>
      <c r="AT220" s="6">
        <v>13</v>
      </c>
      <c r="AU220" s="5">
        <v>62.063158724335082</v>
      </c>
      <c r="AV220" s="6">
        <v>0</v>
      </c>
      <c r="AW220" s="5">
        <v>0</v>
      </c>
      <c r="AX220" s="6">
        <v>0</v>
      </c>
      <c r="AY220" s="5">
        <v>0</v>
      </c>
      <c r="AZ220" s="6">
        <v>0</v>
      </c>
      <c r="BA220" s="5">
        <v>0</v>
      </c>
      <c r="BB220" s="6">
        <v>0</v>
      </c>
      <c r="BC220" s="5">
        <v>0</v>
      </c>
      <c r="BD220" s="6">
        <v>0</v>
      </c>
      <c r="BE220" s="5">
        <v>0</v>
      </c>
      <c r="BF220" s="6">
        <v>0</v>
      </c>
      <c r="BG220" s="5">
        <v>0</v>
      </c>
      <c r="BH220" s="9">
        <f t="shared" si="26"/>
        <v>90</v>
      </c>
      <c r="BI220" s="10">
        <f t="shared" si="27"/>
        <v>429.6680219377044</v>
      </c>
      <c r="BJ220" s="6">
        <f t="shared" si="28"/>
        <v>6.9042033677700942</v>
      </c>
      <c r="BK220" s="11">
        <f t="shared" si="29"/>
        <v>8.3087275741841785E-2</v>
      </c>
      <c r="BL220" s="5">
        <f t="shared" si="30"/>
        <v>49.089273362091433</v>
      </c>
      <c r="BM220" s="11">
        <f t="shared" si="31"/>
        <v>0.12898584996092716</v>
      </c>
    </row>
    <row r="221" spans="1:65" ht="15" customHeight="1" x14ac:dyDescent="0.4">
      <c r="A221" s="2" t="s">
        <v>65</v>
      </c>
      <c r="B221" s="2" t="s">
        <v>66</v>
      </c>
      <c r="C221" s="2" t="s">
        <v>238</v>
      </c>
      <c r="D221" s="3" t="s">
        <v>134</v>
      </c>
      <c r="E221" s="3" t="s">
        <v>128</v>
      </c>
      <c r="F221" s="2" t="s">
        <v>129</v>
      </c>
      <c r="G221" s="4">
        <v>5</v>
      </c>
      <c r="H221" s="5">
        <v>3.5603846153846148</v>
      </c>
      <c r="I221" s="5">
        <v>3.7110501808120251</v>
      </c>
      <c r="J221" s="6">
        <v>0</v>
      </c>
      <c r="K221" s="5">
        <v>0</v>
      </c>
      <c r="L221" s="6">
        <v>0</v>
      </c>
      <c r="M221" s="5">
        <v>0</v>
      </c>
      <c r="N221" s="6">
        <v>197.84713483864269</v>
      </c>
      <c r="O221" s="5">
        <v>696.42191463202209</v>
      </c>
      <c r="P221" s="6">
        <v>0</v>
      </c>
      <c r="Q221" s="5">
        <v>0</v>
      </c>
      <c r="R221" s="6">
        <v>39.569426967728532</v>
      </c>
      <c r="S221" s="5">
        <v>139.28438292640439</v>
      </c>
      <c r="T221" s="6">
        <v>19.78471348386427</v>
      </c>
      <c r="U221" s="5">
        <v>69.642191463202224</v>
      </c>
      <c r="V221" s="6">
        <v>257.20127529023551</v>
      </c>
      <c r="W221" s="5">
        <v>926.12243817968624</v>
      </c>
      <c r="X221" s="6">
        <v>0</v>
      </c>
      <c r="Y221" s="5">
        <v>0</v>
      </c>
      <c r="Z221" s="6">
        <v>0</v>
      </c>
      <c r="AA221" s="5">
        <v>0</v>
      </c>
      <c r="AB221" s="6">
        <v>0</v>
      </c>
      <c r="AC221" s="5">
        <v>0</v>
      </c>
      <c r="AD221" s="6">
        <v>0</v>
      </c>
      <c r="AE221" s="5">
        <v>0</v>
      </c>
      <c r="AF221" s="6">
        <v>0</v>
      </c>
      <c r="AG221" s="5">
        <v>0</v>
      </c>
      <c r="AH221" s="7">
        <f t="shared" si="24"/>
        <v>514.40255058047103</v>
      </c>
      <c r="AI221" s="8">
        <f t="shared" si="25"/>
        <v>1831.4709272013151</v>
      </c>
      <c r="AJ221" s="6">
        <v>0</v>
      </c>
      <c r="AK221" s="5">
        <v>0</v>
      </c>
      <c r="AL221" s="6">
        <v>0</v>
      </c>
      <c r="AM221" s="5">
        <v>0</v>
      </c>
      <c r="AN221" s="6">
        <v>215</v>
      </c>
      <c r="AO221" s="5">
        <v>788.87132217965723</v>
      </c>
      <c r="AP221" s="6">
        <v>0</v>
      </c>
      <c r="AQ221" s="5">
        <v>0</v>
      </c>
      <c r="AR221" s="6">
        <v>45</v>
      </c>
      <c r="AS221" s="5">
        <v>165.11260231667251</v>
      </c>
      <c r="AT221" s="6">
        <v>20</v>
      </c>
      <c r="AU221" s="5">
        <v>73.383378807409997</v>
      </c>
      <c r="AV221" s="6">
        <v>280</v>
      </c>
      <c r="AW221" s="5">
        <v>1050.8207979509939</v>
      </c>
      <c r="AX221" s="6">
        <v>0</v>
      </c>
      <c r="AY221" s="5">
        <v>0</v>
      </c>
      <c r="AZ221" s="6">
        <v>0</v>
      </c>
      <c r="BA221" s="5">
        <v>0</v>
      </c>
      <c r="BB221" s="6">
        <v>0</v>
      </c>
      <c r="BC221" s="5">
        <v>0</v>
      </c>
      <c r="BD221" s="6">
        <v>0</v>
      </c>
      <c r="BE221" s="5">
        <v>0</v>
      </c>
      <c r="BF221" s="6">
        <v>0</v>
      </c>
      <c r="BG221" s="5">
        <v>0</v>
      </c>
      <c r="BH221" s="9">
        <f t="shared" si="26"/>
        <v>560</v>
      </c>
      <c r="BI221" s="10">
        <f t="shared" si="27"/>
        <v>2078.1881012547337</v>
      </c>
      <c r="BJ221" s="6">
        <f t="shared" si="28"/>
        <v>45.597449419528971</v>
      </c>
      <c r="BK221" s="11">
        <f t="shared" si="29"/>
        <v>8.864156946359443E-2</v>
      </c>
      <c r="BL221" s="5">
        <f t="shared" si="30"/>
        <v>246.7171740534186</v>
      </c>
      <c r="BM221" s="11">
        <f t="shared" si="31"/>
        <v>0.13470985009324118</v>
      </c>
    </row>
    <row r="222" spans="1:65" ht="15" customHeight="1" x14ac:dyDescent="0.4">
      <c r="A222" s="2" t="s">
        <v>65</v>
      </c>
      <c r="B222" s="2" t="s">
        <v>66</v>
      </c>
      <c r="C222" s="2" t="s">
        <v>238</v>
      </c>
      <c r="D222" s="3" t="s">
        <v>134</v>
      </c>
      <c r="E222" s="3" t="s">
        <v>188</v>
      </c>
      <c r="F222" s="2" t="s">
        <v>189</v>
      </c>
      <c r="G222" s="4">
        <v>5</v>
      </c>
      <c r="H222" s="5">
        <v>2.35</v>
      </c>
      <c r="I222" s="5">
        <v>2.4495872187132588</v>
      </c>
      <c r="J222" s="6">
        <v>0</v>
      </c>
      <c r="K222" s="5">
        <v>0</v>
      </c>
      <c r="L222" s="6">
        <v>0</v>
      </c>
      <c r="M222" s="5">
        <v>0</v>
      </c>
      <c r="N222" s="6">
        <v>19.78471348386427</v>
      </c>
      <c r="O222" s="5">
        <v>46.494076687081019</v>
      </c>
      <c r="P222" s="6">
        <v>0</v>
      </c>
      <c r="Q222" s="5">
        <v>0</v>
      </c>
      <c r="R222" s="6">
        <v>0</v>
      </c>
      <c r="S222" s="5">
        <v>0</v>
      </c>
      <c r="T222" s="6">
        <v>0</v>
      </c>
      <c r="U222" s="5">
        <v>0</v>
      </c>
      <c r="V222" s="6">
        <v>0</v>
      </c>
      <c r="W222" s="5">
        <v>0</v>
      </c>
      <c r="X222" s="6">
        <v>0</v>
      </c>
      <c r="Y222" s="5">
        <v>0</v>
      </c>
      <c r="Z222" s="6">
        <v>0</v>
      </c>
      <c r="AA222" s="5">
        <v>0</v>
      </c>
      <c r="AB222" s="6">
        <v>0</v>
      </c>
      <c r="AC222" s="5">
        <v>0</v>
      </c>
      <c r="AD222" s="6">
        <v>0</v>
      </c>
      <c r="AE222" s="5">
        <v>0</v>
      </c>
      <c r="AF222" s="6">
        <v>0</v>
      </c>
      <c r="AG222" s="5">
        <v>0</v>
      </c>
      <c r="AH222" s="7">
        <f t="shared" si="24"/>
        <v>19.78471348386427</v>
      </c>
      <c r="AI222" s="8">
        <f t="shared" si="25"/>
        <v>46.494076687081019</v>
      </c>
      <c r="AJ222" s="6">
        <v>0</v>
      </c>
      <c r="AK222" s="5">
        <v>0</v>
      </c>
      <c r="AL222" s="6">
        <v>0</v>
      </c>
      <c r="AM222" s="5">
        <v>0</v>
      </c>
      <c r="AN222" s="6">
        <v>20</v>
      </c>
      <c r="AO222" s="5">
        <v>48.991744374265181</v>
      </c>
      <c r="AP222" s="6">
        <v>0</v>
      </c>
      <c r="AQ222" s="5">
        <v>0</v>
      </c>
      <c r="AR222" s="6">
        <v>0</v>
      </c>
      <c r="AS222" s="5">
        <v>0</v>
      </c>
      <c r="AT222" s="6">
        <v>0</v>
      </c>
      <c r="AU222" s="5">
        <v>0</v>
      </c>
      <c r="AV222" s="6">
        <v>0</v>
      </c>
      <c r="AW222" s="5">
        <v>0</v>
      </c>
      <c r="AX222" s="6">
        <v>0</v>
      </c>
      <c r="AY222" s="5">
        <v>0</v>
      </c>
      <c r="AZ222" s="6">
        <v>0</v>
      </c>
      <c r="BA222" s="5">
        <v>0</v>
      </c>
      <c r="BB222" s="6">
        <v>0</v>
      </c>
      <c r="BC222" s="5">
        <v>0</v>
      </c>
      <c r="BD222" s="6">
        <v>0</v>
      </c>
      <c r="BE222" s="5">
        <v>0</v>
      </c>
      <c r="BF222" s="6">
        <v>0</v>
      </c>
      <c r="BG222" s="5">
        <v>0</v>
      </c>
      <c r="BH222" s="9">
        <f t="shared" si="26"/>
        <v>20</v>
      </c>
      <c r="BI222" s="10">
        <f t="shared" si="27"/>
        <v>48.991744374265181</v>
      </c>
      <c r="BJ222" s="6">
        <f t="shared" si="28"/>
        <v>0.21528651613573047</v>
      </c>
      <c r="BK222" s="11">
        <f t="shared" si="29"/>
        <v>1.0881457359052014E-2</v>
      </c>
      <c r="BL222" s="5">
        <f t="shared" si="30"/>
        <v>2.4976676871841619</v>
      </c>
      <c r="BM222" s="11">
        <f t="shared" si="31"/>
        <v>5.3720126630198706E-2</v>
      </c>
    </row>
    <row r="223" spans="1:65" ht="15" customHeight="1" x14ac:dyDescent="0.4">
      <c r="A223" s="2" t="s">
        <v>65</v>
      </c>
      <c r="B223" s="2" t="s">
        <v>66</v>
      </c>
      <c r="C223" s="2" t="s">
        <v>238</v>
      </c>
      <c r="D223" s="3" t="s">
        <v>134</v>
      </c>
      <c r="E223" s="3" t="s">
        <v>188</v>
      </c>
      <c r="F223" s="2" t="s">
        <v>190</v>
      </c>
      <c r="G223" s="4">
        <v>5</v>
      </c>
      <c r="H223" s="5">
        <v>2.4249999999999998</v>
      </c>
      <c r="I223" s="5">
        <v>2.5277655342041081</v>
      </c>
      <c r="J223" s="6">
        <v>0</v>
      </c>
      <c r="K223" s="5">
        <v>0</v>
      </c>
      <c r="L223" s="6">
        <v>0</v>
      </c>
      <c r="M223" s="5">
        <v>0</v>
      </c>
      <c r="N223" s="6">
        <v>0</v>
      </c>
      <c r="O223" s="5">
        <v>0</v>
      </c>
      <c r="P223" s="6">
        <v>0</v>
      </c>
      <c r="Q223" s="5">
        <v>0</v>
      </c>
      <c r="R223" s="6">
        <v>39.569426967728532</v>
      </c>
      <c r="S223" s="5">
        <v>92.988153374162039</v>
      </c>
      <c r="T223" s="6">
        <v>0</v>
      </c>
      <c r="U223" s="5">
        <v>0</v>
      </c>
      <c r="V223" s="6">
        <v>39.569426967728532</v>
      </c>
      <c r="W223" s="5">
        <v>98.92356741932133</v>
      </c>
      <c r="X223" s="6">
        <v>0</v>
      </c>
      <c r="Y223" s="5">
        <v>0</v>
      </c>
      <c r="Z223" s="6">
        <v>0</v>
      </c>
      <c r="AA223" s="5">
        <v>0</v>
      </c>
      <c r="AB223" s="6">
        <v>0</v>
      </c>
      <c r="AC223" s="5">
        <v>0</v>
      </c>
      <c r="AD223" s="6">
        <v>0</v>
      </c>
      <c r="AE223" s="5">
        <v>0</v>
      </c>
      <c r="AF223" s="6">
        <v>0</v>
      </c>
      <c r="AG223" s="5">
        <v>0</v>
      </c>
      <c r="AH223" s="7">
        <f t="shared" si="24"/>
        <v>79.138853935457064</v>
      </c>
      <c r="AI223" s="8">
        <f t="shared" si="25"/>
        <v>191.91172079348337</v>
      </c>
      <c r="AJ223" s="6">
        <v>0</v>
      </c>
      <c r="AK223" s="5">
        <v>0</v>
      </c>
      <c r="AL223" s="6">
        <v>0</v>
      </c>
      <c r="AM223" s="5">
        <v>0</v>
      </c>
      <c r="AN223" s="6">
        <v>0</v>
      </c>
      <c r="AO223" s="5">
        <v>0</v>
      </c>
      <c r="AP223" s="6">
        <v>0</v>
      </c>
      <c r="AQ223" s="5">
        <v>0</v>
      </c>
      <c r="AR223" s="6">
        <v>40</v>
      </c>
      <c r="AS223" s="5">
        <v>97.983488748530362</v>
      </c>
      <c r="AT223" s="6">
        <v>0</v>
      </c>
      <c r="AU223" s="5">
        <v>0</v>
      </c>
      <c r="AV223" s="6">
        <v>40</v>
      </c>
      <c r="AW223" s="5">
        <v>104.2377539877983</v>
      </c>
      <c r="AX223" s="6">
        <v>0</v>
      </c>
      <c r="AY223" s="5">
        <v>0</v>
      </c>
      <c r="AZ223" s="6">
        <v>0</v>
      </c>
      <c r="BA223" s="5">
        <v>0</v>
      </c>
      <c r="BB223" s="6">
        <v>0</v>
      </c>
      <c r="BC223" s="5">
        <v>0</v>
      </c>
      <c r="BD223" s="6">
        <v>0</v>
      </c>
      <c r="BE223" s="5">
        <v>0</v>
      </c>
      <c r="BF223" s="6">
        <v>0</v>
      </c>
      <c r="BG223" s="5">
        <v>0</v>
      </c>
      <c r="BH223" s="9">
        <f t="shared" si="26"/>
        <v>80</v>
      </c>
      <c r="BI223" s="10">
        <f t="shared" si="27"/>
        <v>202.22124273632866</v>
      </c>
      <c r="BJ223" s="6">
        <f t="shared" si="28"/>
        <v>0.86114606454293607</v>
      </c>
      <c r="BK223" s="11">
        <f t="shared" si="29"/>
        <v>1.0881457359052195E-2</v>
      </c>
      <c r="BL223" s="5">
        <f t="shared" si="30"/>
        <v>10.309521942845294</v>
      </c>
      <c r="BM223" s="11">
        <f t="shared" si="31"/>
        <v>5.3720126630198858E-2</v>
      </c>
    </row>
    <row r="224" spans="1:65" ht="15" customHeight="1" x14ac:dyDescent="0.4">
      <c r="A224" s="2" t="s">
        <v>65</v>
      </c>
      <c r="B224" s="2" t="s">
        <v>66</v>
      </c>
      <c r="C224" s="2" t="s">
        <v>251</v>
      </c>
      <c r="D224" s="3" t="s">
        <v>134</v>
      </c>
      <c r="E224" s="3" t="s">
        <v>102</v>
      </c>
      <c r="F224" s="2" t="s">
        <v>103</v>
      </c>
      <c r="G224" s="4">
        <v>5</v>
      </c>
      <c r="H224" s="5">
        <v>5.25</v>
      </c>
      <c r="I224" s="5">
        <v>5.4724820843594104</v>
      </c>
      <c r="J224" s="6">
        <v>0</v>
      </c>
      <c r="K224" s="5">
        <v>0</v>
      </c>
      <c r="L224" s="6">
        <v>0</v>
      </c>
      <c r="M224" s="5">
        <v>0</v>
      </c>
      <c r="N224" s="6">
        <v>0</v>
      </c>
      <c r="O224" s="5">
        <v>0</v>
      </c>
      <c r="P224" s="6">
        <v>0</v>
      </c>
      <c r="Q224" s="5">
        <v>0</v>
      </c>
      <c r="R224" s="6">
        <v>0</v>
      </c>
      <c r="S224" s="5">
        <v>0</v>
      </c>
      <c r="T224" s="6">
        <v>79.138853935457064</v>
      </c>
      <c r="U224" s="5">
        <v>415.47898316114959</v>
      </c>
      <c r="V224" s="6">
        <v>0</v>
      </c>
      <c r="W224" s="5">
        <v>0</v>
      </c>
      <c r="X224" s="6">
        <v>0</v>
      </c>
      <c r="Y224" s="5">
        <v>0</v>
      </c>
      <c r="Z224" s="6">
        <v>0</v>
      </c>
      <c r="AA224" s="5">
        <v>0</v>
      </c>
      <c r="AB224" s="6">
        <v>0</v>
      </c>
      <c r="AC224" s="5">
        <v>0</v>
      </c>
      <c r="AD224" s="6">
        <v>0</v>
      </c>
      <c r="AE224" s="5">
        <v>0</v>
      </c>
      <c r="AF224" s="6">
        <v>0</v>
      </c>
      <c r="AG224" s="5">
        <v>0</v>
      </c>
      <c r="AH224" s="7">
        <f t="shared" si="24"/>
        <v>79.138853935457064</v>
      </c>
      <c r="AI224" s="8">
        <f t="shared" si="25"/>
        <v>415.47898316114959</v>
      </c>
      <c r="AJ224" s="6">
        <v>0</v>
      </c>
      <c r="AK224" s="5">
        <v>0</v>
      </c>
      <c r="AL224" s="6">
        <v>0</v>
      </c>
      <c r="AM224" s="5">
        <v>0</v>
      </c>
      <c r="AN224" s="6">
        <v>0</v>
      </c>
      <c r="AO224" s="5">
        <v>0</v>
      </c>
      <c r="AP224" s="6">
        <v>0</v>
      </c>
      <c r="AQ224" s="5">
        <v>0</v>
      </c>
      <c r="AR224" s="6">
        <v>0</v>
      </c>
      <c r="AS224" s="5">
        <v>0</v>
      </c>
      <c r="AT224" s="6">
        <v>100</v>
      </c>
      <c r="AU224" s="5">
        <v>547.24820843594091</v>
      </c>
      <c r="AV224" s="6">
        <v>0</v>
      </c>
      <c r="AW224" s="5">
        <v>0</v>
      </c>
      <c r="AX224" s="6">
        <v>0</v>
      </c>
      <c r="AY224" s="5">
        <v>0</v>
      </c>
      <c r="AZ224" s="6">
        <v>0</v>
      </c>
      <c r="BA224" s="5">
        <v>0</v>
      </c>
      <c r="BB224" s="6">
        <v>0</v>
      </c>
      <c r="BC224" s="5">
        <v>0</v>
      </c>
      <c r="BD224" s="6">
        <v>0</v>
      </c>
      <c r="BE224" s="5">
        <v>0</v>
      </c>
      <c r="BF224" s="6">
        <v>0</v>
      </c>
      <c r="BG224" s="5">
        <v>0</v>
      </c>
      <c r="BH224" s="9">
        <f t="shared" si="26"/>
        <v>100</v>
      </c>
      <c r="BI224" s="10">
        <f t="shared" si="27"/>
        <v>547.24820843594091</v>
      </c>
      <c r="BJ224" s="6">
        <f t="shared" si="28"/>
        <v>20.861146064542936</v>
      </c>
      <c r="BK224" s="11">
        <f t="shared" si="29"/>
        <v>0.26360182169881524</v>
      </c>
      <c r="BL224" s="5">
        <f t="shared" si="30"/>
        <v>131.76922527479132</v>
      </c>
      <c r="BM224" s="11">
        <f t="shared" si="31"/>
        <v>0.31715015828774834</v>
      </c>
    </row>
    <row r="225" spans="1:65" ht="15" customHeight="1" x14ac:dyDescent="0.4">
      <c r="A225" s="2" t="s">
        <v>65</v>
      </c>
      <c r="B225" s="2" t="s">
        <v>66</v>
      </c>
      <c r="C225" s="2" t="s">
        <v>251</v>
      </c>
      <c r="D225" s="3" t="s">
        <v>134</v>
      </c>
      <c r="E225" s="3" t="s">
        <v>69</v>
      </c>
      <c r="F225" s="2" t="s">
        <v>70</v>
      </c>
      <c r="G225" s="4">
        <v>20</v>
      </c>
      <c r="H225" s="5">
        <v>5.1199999999999992</v>
      </c>
      <c r="I225" s="5">
        <v>5.3369730041752712</v>
      </c>
      <c r="J225" s="6">
        <v>0</v>
      </c>
      <c r="K225" s="5">
        <v>0</v>
      </c>
      <c r="L225" s="6">
        <v>0</v>
      </c>
      <c r="M225" s="5">
        <v>0</v>
      </c>
      <c r="N225" s="6">
        <v>197.84713483864269</v>
      </c>
      <c r="O225" s="5">
        <v>1012.97733037385</v>
      </c>
      <c r="P225" s="6">
        <v>0</v>
      </c>
      <c r="Q225" s="5">
        <v>0</v>
      </c>
      <c r="R225" s="6">
        <v>0</v>
      </c>
      <c r="S225" s="5">
        <v>0</v>
      </c>
      <c r="T225" s="6">
        <v>0</v>
      </c>
      <c r="U225" s="5">
        <v>0</v>
      </c>
      <c r="V225" s="6">
        <v>0</v>
      </c>
      <c r="W225" s="5">
        <v>0</v>
      </c>
      <c r="X225" s="6">
        <v>0</v>
      </c>
      <c r="Y225" s="5">
        <v>0</v>
      </c>
      <c r="Z225" s="6">
        <v>0</v>
      </c>
      <c r="AA225" s="5">
        <v>0</v>
      </c>
      <c r="AB225" s="6">
        <v>0</v>
      </c>
      <c r="AC225" s="5">
        <v>0</v>
      </c>
      <c r="AD225" s="6">
        <v>0</v>
      </c>
      <c r="AE225" s="5">
        <v>0</v>
      </c>
      <c r="AF225" s="6">
        <v>0</v>
      </c>
      <c r="AG225" s="5">
        <v>0</v>
      </c>
      <c r="AH225" s="7">
        <f t="shared" si="24"/>
        <v>197.84713483864269</v>
      </c>
      <c r="AI225" s="8">
        <f t="shared" si="25"/>
        <v>1012.97733037385</v>
      </c>
      <c r="AJ225" s="6">
        <v>0</v>
      </c>
      <c r="AK225" s="5">
        <v>0</v>
      </c>
      <c r="AL225" s="6">
        <v>0</v>
      </c>
      <c r="AM225" s="5">
        <v>0</v>
      </c>
      <c r="AN225" s="6">
        <v>240</v>
      </c>
      <c r="AO225" s="5">
        <v>1280.873521002065</v>
      </c>
      <c r="AP225" s="6">
        <v>0</v>
      </c>
      <c r="AQ225" s="5">
        <v>0</v>
      </c>
      <c r="AR225" s="6">
        <v>0</v>
      </c>
      <c r="AS225" s="5">
        <v>0</v>
      </c>
      <c r="AT225" s="6">
        <v>0</v>
      </c>
      <c r="AU225" s="5">
        <v>0</v>
      </c>
      <c r="AV225" s="6">
        <v>0</v>
      </c>
      <c r="AW225" s="5">
        <v>0</v>
      </c>
      <c r="AX225" s="6">
        <v>0</v>
      </c>
      <c r="AY225" s="5">
        <v>0</v>
      </c>
      <c r="AZ225" s="6">
        <v>0</v>
      </c>
      <c r="BA225" s="5">
        <v>0</v>
      </c>
      <c r="BB225" s="6">
        <v>0</v>
      </c>
      <c r="BC225" s="5">
        <v>0</v>
      </c>
      <c r="BD225" s="6">
        <v>0</v>
      </c>
      <c r="BE225" s="5">
        <v>0</v>
      </c>
      <c r="BF225" s="6">
        <v>0</v>
      </c>
      <c r="BG225" s="5">
        <v>0</v>
      </c>
      <c r="BH225" s="9">
        <f t="shared" si="26"/>
        <v>240</v>
      </c>
      <c r="BI225" s="10">
        <f t="shared" si="27"/>
        <v>1280.873521002065</v>
      </c>
      <c r="BJ225" s="6">
        <f t="shared" si="28"/>
        <v>42.152865161357312</v>
      </c>
      <c r="BK225" s="11">
        <f t="shared" si="29"/>
        <v>0.21305774883086245</v>
      </c>
      <c r="BL225" s="5">
        <f t="shared" si="30"/>
        <v>267.89619062821498</v>
      </c>
      <c r="BM225" s="11">
        <f t="shared" si="31"/>
        <v>0.26446415195623879</v>
      </c>
    </row>
    <row r="226" spans="1:65" ht="15" customHeight="1" x14ac:dyDescent="0.4">
      <c r="A226" s="2" t="s">
        <v>65</v>
      </c>
      <c r="B226" s="2" t="s">
        <v>66</v>
      </c>
      <c r="C226" s="2" t="s">
        <v>251</v>
      </c>
      <c r="D226" s="3" t="s">
        <v>134</v>
      </c>
      <c r="E226" s="3" t="s">
        <v>82</v>
      </c>
      <c r="F226" s="2" t="s">
        <v>83</v>
      </c>
      <c r="G226" s="4">
        <v>20</v>
      </c>
      <c r="H226" s="5">
        <v>3.49</v>
      </c>
      <c r="I226" s="5">
        <v>3.6378976141741601</v>
      </c>
      <c r="J226" s="6">
        <v>0</v>
      </c>
      <c r="K226" s="5">
        <v>0</v>
      </c>
      <c r="L226" s="6">
        <v>0</v>
      </c>
      <c r="M226" s="5">
        <v>0</v>
      </c>
      <c r="N226" s="6">
        <v>0</v>
      </c>
      <c r="O226" s="5">
        <v>0</v>
      </c>
      <c r="P226" s="6">
        <v>0</v>
      </c>
      <c r="Q226" s="5">
        <v>0</v>
      </c>
      <c r="R226" s="6">
        <v>0</v>
      </c>
      <c r="S226" s="5">
        <v>0</v>
      </c>
      <c r="T226" s="6">
        <v>0</v>
      </c>
      <c r="U226" s="5">
        <v>0</v>
      </c>
      <c r="V226" s="6">
        <v>0</v>
      </c>
      <c r="W226" s="5">
        <v>0</v>
      </c>
      <c r="X226" s="6">
        <v>593.54140451592798</v>
      </c>
      <c r="Y226" s="5">
        <v>2071.459501760588</v>
      </c>
      <c r="Z226" s="6">
        <v>0</v>
      </c>
      <c r="AA226" s="5">
        <v>0</v>
      </c>
      <c r="AB226" s="6">
        <v>0</v>
      </c>
      <c r="AC226" s="5">
        <v>0</v>
      </c>
      <c r="AD226" s="6">
        <v>0</v>
      </c>
      <c r="AE226" s="5">
        <v>0</v>
      </c>
      <c r="AF226" s="6">
        <v>0</v>
      </c>
      <c r="AG226" s="5">
        <v>0</v>
      </c>
      <c r="AH226" s="7">
        <f t="shared" si="24"/>
        <v>593.54140451592798</v>
      </c>
      <c r="AI226" s="8">
        <f t="shared" si="25"/>
        <v>2071.459501760588</v>
      </c>
      <c r="AJ226" s="6">
        <v>0</v>
      </c>
      <c r="AK226" s="5">
        <v>0</v>
      </c>
      <c r="AL226" s="6">
        <v>0</v>
      </c>
      <c r="AM226" s="5">
        <v>0</v>
      </c>
      <c r="AN226" s="6">
        <v>0</v>
      </c>
      <c r="AO226" s="5">
        <v>0</v>
      </c>
      <c r="AP226" s="6">
        <v>0</v>
      </c>
      <c r="AQ226" s="5">
        <v>0</v>
      </c>
      <c r="AR226" s="6">
        <v>0</v>
      </c>
      <c r="AS226" s="5">
        <v>0</v>
      </c>
      <c r="AT226" s="6">
        <v>0</v>
      </c>
      <c r="AU226" s="5">
        <v>0</v>
      </c>
      <c r="AV226" s="6">
        <v>0</v>
      </c>
      <c r="AW226" s="5">
        <v>0</v>
      </c>
      <c r="AX226" s="6">
        <v>640</v>
      </c>
      <c r="AY226" s="5">
        <v>2328.2544730714631</v>
      </c>
      <c r="AZ226" s="6">
        <v>0</v>
      </c>
      <c r="BA226" s="5">
        <v>0</v>
      </c>
      <c r="BB226" s="6">
        <v>0</v>
      </c>
      <c r="BC226" s="5">
        <v>0</v>
      </c>
      <c r="BD226" s="6">
        <v>0</v>
      </c>
      <c r="BE226" s="5">
        <v>0</v>
      </c>
      <c r="BF226" s="6">
        <v>0</v>
      </c>
      <c r="BG226" s="5">
        <v>0</v>
      </c>
      <c r="BH226" s="9">
        <f t="shared" si="26"/>
        <v>640</v>
      </c>
      <c r="BI226" s="10">
        <f t="shared" si="27"/>
        <v>2328.2544730714631</v>
      </c>
      <c r="BJ226" s="6">
        <f t="shared" si="28"/>
        <v>46.458595484072021</v>
      </c>
      <c r="BK226" s="11">
        <f t="shared" si="29"/>
        <v>7.8273554516322341E-2</v>
      </c>
      <c r="BL226" s="5">
        <f t="shared" si="30"/>
        <v>256.7949713108751</v>
      </c>
      <c r="BM226" s="11">
        <f t="shared" si="31"/>
        <v>0.12396813507221276</v>
      </c>
    </row>
    <row r="227" spans="1:65" ht="15" customHeight="1" x14ac:dyDescent="0.4">
      <c r="A227" s="2" t="s">
        <v>65</v>
      </c>
      <c r="B227" s="2" t="s">
        <v>66</v>
      </c>
      <c r="C227" s="2" t="s">
        <v>251</v>
      </c>
      <c r="D227" s="3" t="s">
        <v>134</v>
      </c>
      <c r="E227" s="3" t="s">
        <v>86</v>
      </c>
      <c r="F227" s="2" t="s">
        <v>87</v>
      </c>
      <c r="G227" s="4">
        <v>20</v>
      </c>
      <c r="H227" s="5">
        <v>1.81</v>
      </c>
      <c r="I227" s="5">
        <v>1.8867033471791479</v>
      </c>
      <c r="J227" s="6">
        <v>0</v>
      </c>
      <c r="K227" s="5">
        <v>0</v>
      </c>
      <c r="L227" s="6">
        <v>0</v>
      </c>
      <c r="M227" s="5">
        <v>0</v>
      </c>
      <c r="N227" s="6">
        <v>0</v>
      </c>
      <c r="O227" s="5">
        <v>0</v>
      </c>
      <c r="P227" s="6">
        <v>0</v>
      </c>
      <c r="Q227" s="5">
        <v>0</v>
      </c>
      <c r="R227" s="6">
        <v>0</v>
      </c>
      <c r="S227" s="5">
        <v>0</v>
      </c>
      <c r="T227" s="6">
        <v>98.92356741932133</v>
      </c>
      <c r="U227" s="5">
        <v>179.05165702897159</v>
      </c>
      <c r="V227" s="6">
        <v>0</v>
      </c>
      <c r="W227" s="5">
        <v>0</v>
      </c>
      <c r="X227" s="6">
        <v>0</v>
      </c>
      <c r="Y227" s="5">
        <v>0</v>
      </c>
      <c r="Z227" s="6">
        <v>0</v>
      </c>
      <c r="AA227" s="5">
        <v>0</v>
      </c>
      <c r="AB227" s="6">
        <v>0</v>
      </c>
      <c r="AC227" s="5">
        <v>0</v>
      </c>
      <c r="AD227" s="6">
        <v>0</v>
      </c>
      <c r="AE227" s="5">
        <v>0</v>
      </c>
      <c r="AF227" s="6">
        <v>0</v>
      </c>
      <c r="AG227" s="5">
        <v>0</v>
      </c>
      <c r="AH227" s="7">
        <f t="shared" si="24"/>
        <v>98.92356741932133</v>
      </c>
      <c r="AI227" s="8">
        <f t="shared" si="25"/>
        <v>179.05165702897159</v>
      </c>
      <c r="AJ227" s="6">
        <v>0</v>
      </c>
      <c r="AK227" s="5">
        <v>0</v>
      </c>
      <c r="AL227" s="6">
        <v>0</v>
      </c>
      <c r="AM227" s="5">
        <v>0</v>
      </c>
      <c r="AN227" s="6">
        <v>0</v>
      </c>
      <c r="AO227" s="5">
        <v>0</v>
      </c>
      <c r="AP227" s="6">
        <v>0</v>
      </c>
      <c r="AQ227" s="5">
        <v>0</v>
      </c>
      <c r="AR227" s="6">
        <v>0</v>
      </c>
      <c r="AS227" s="5">
        <v>0</v>
      </c>
      <c r="AT227" s="6">
        <v>100</v>
      </c>
      <c r="AU227" s="5">
        <v>188.67033471791481</v>
      </c>
      <c r="AV227" s="6">
        <v>0</v>
      </c>
      <c r="AW227" s="5">
        <v>0</v>
      </c>
      <c r="AX227" s="6">
        <v>0</v>
      </c>
      <c r="AY227" s="5">
        <v>0</v>
      </c>
      <c r="AZ227" s="6">
        <v>0</v>
      </c>
      <c r="BA227" s="5">
        <v>0</v>
      </c>
      <c r="BB227" s="6">
        <v>0</v>
      </c>
      <c r="BC227" s="5">
        <v>0</v>
      </c>
      <c r="BD227" s="6">
        <v>0</v>
      </c>
      <c r="BE227" s="5">
        <v>0</v>
      </c>
      <c r="BF227" s="6">
        <v>0</v>
      </c>
      <c r="BG227" s="5">
        <v>0</v>
      </c>
      <c r="BH227" s="9">
        <f t="shared" si="26"/>
        <v>100</v>
      </c>
      <c r="BI227" s="10">
        <f t="shared" si="27"/>
        <v>188.67033471791481</v>
      </c>
      <c r="BJ227" s="6">
        <f t="shared" si="28"/>
        <v>1.0764325806786701</v>
      </c>
      <c r="BK227" s="11">
        <f t="shared" si="29"/>
        <v>1.0881457359052195E-2</v>
      </c>
      <c r="BL227" s="5">
        <f t="shared" si="30"/>
        <v>9.6186776889432224</v>
      </c>
      <c r="BM227" s="11">
        <f t="shared" si="31"/>
        <v>5.3720126630198484E-2</v>
      </c>
    </row>
    <row r="228" spans="1:65" ht="15" customHeight="1" x14ac:dyDescent="0.4">
      <c r="A228" s="2" t="s">
        <v>65</v>
      </c>
      <c r="B228" s="2" t="s">
        <v>66</v>
      </c>
      <c r="C228" s="2" t="s">
        <v>251</v>
      </c>
      <c r="D228" s="3" t="s">
        <v>134</v>
      </c>
      <c r="E228" s="3" t="s">
        <v>71</v>
      </c>
      <c r="F228" s="2" t="s">
        <v>72</v>
      </c>
      <c r="G228" s="4">
        <v>20</v>
      </c>
      <c r="H228" s="5">
        <v>2.56</v>
      </c>
      <c r="I228" s="5">
        <v>2.668486502087636</v>
      </c>
      <c r="J228" s="6">
        <v>0</v>
      </c>
      <c r="K228" s="5">
        <v>0</v>
      </c>
      <c r="L228" s="6">
        <v>0</v>
      </c>
      <c r="M228" s="5">
        <v>0</v>
      </c>
      <c r="N228" s="6">
        <v>0</v>
      </c>
      <c r="O228" s="5">
        <v>0</v>
      </c>
      <c r="P228" s="6">
        <v>0</v>
      </c>
      <c r="Q228" s="5">
        <v>0</v>
      </c>
      <c r="R228" s="6">
        <v>0</v>
      </c>
      <c r="S228" s="5">
        <v>0</v>
      </c>
      <c r="T228" s="6">
        <v>158.2777078709141</v>
      </c>
      <c r="U228" s="5">
        <v>405.19093214954017</v>
      </c>
      <c r="V228" s="6">
        <v>0</v>
      </c>
      <c r="W228" s="5">
        <v>0</v>
      </c>
      <c r="X228" s="6">
        <v>0</v>
      </c>
      <c r="Y228" s="5">
        <v>0</v>
      </c>
      <c r="Z228" s="6">
        <v>0</v>
      </c>
      <c r="AA228" s="5">
        <v>0</v>
      </c>
      <c r="AB228" s="6">
        <v>0</v>
      </c>
      <c r="AC228" s="5">
        <v>0</v>
      </c>
      <c r="AD228" s="6">
        <v>0</v>
      </c>
      <c r="AE228" s="5">
        <v>0</v>
      </c>
      <c r="AF228" s="6">
        <v>0</v>
      </c>
      <c r="AG228" s="5">
        <v>0</v>
      </c>
      <c r="AH228" s="7">
        <f t="shared" si="24"/>
        <v>158.2777078709141</v>
      </c>
      <c r="AI228" s="8">
        <f t="shared" si="25"/>
        <v>405.19093214954017</v>
      </c>
      <c r="AJ228" s="6">
        <v>0</v>
      </c>
      <c r="AK228" s="5">
        <v>0</v>
      </c>
      <c r="AL228" s="6">
        <v>0</v>
      </c>
      <c r="AM228" s="5">
        <v>0</v>
      </c>
      <c r="AN228" s="6">
        <v>0</v>
      </c>
      <c r="AO228" s="5">
        <v>0</v>
      </c>
      <c r="AP228" s="6">
        <v>0</v>
      </c>
      <c r="AQ228" s="5">
        <v>0</v>
      </c>
      <c r="AR228" s="6">
        <v>0</v>
      </c>
      <c r="AS228" s="5">
        <v>0</v>
      </c>
      <c r="AT228" s="6">
        <v>200</v>
      </c>
      <c r="AU228" s="5">
        <v>533.69730041752712</v>
      </c>
      <c r="AV228" s="6">
        <v>0</v>
      </c>
      <c r="AW228" s="5">
        <v>0</v>
      </c>
      <c r="AX228" s="6">
        <v>0</v>
      </c>
      <c r="AY228" s="5">
        <v>0</v>
      </c>
      <c r="AZ228" s="6">
        <v>0</v>
      </c>
      <c r="BA228" s="5">
        <v>0</v>
      </c>
      <c r="BB228" s="6">
        <v>0</v>
      </c>
      <c r="BC228" s="5">
        <v>0</v>
      </c>
      <c r="BD228" s="6">
        <v>0</v>
      </c>
      <c r="BE228" s="5">
        <v>0</v>
      </c>
      <c r="BF228" s="6">
        <v>0</v>
      </c>
      <c r="BG228" s="5">
        <v>0</v>
      </c>
      <c r="BH228" s="9">
        <f t="shared" si="26"/>
        <v>200</v>
      </c>
      <c r="BI228" s="10">
        <f t="shared" si="27"/>
        <v>533.69730041752712</v>
      </c>
      <c r="BJ228" s="6">
        <f t="shared" si="28"/>
        <v>41.722292129085901</v>
      </c>
      <c r="BK228" s="11">
        <f t="shared" si="29"/>
        <v>0.26360182169881546</v>
      </c>
      <c r="BL228" s="5">
        <f t="shared" si="30"/>
        <v>128.50636826798694</v>
      </c>
      <c r="BM228" s="11">
        <f t="shared" si="31"/>
        <v>0.31715015828774828</v>
      </c>
    </row>
    <row r="229" spans="1:65" ht="15" customHeight="1" x14ac:dyDescent="0.4">
      <c r="A229" s="2" t="s">
        <v>65</v>
      </c>
      <c r="B229" s="2" t="s">
        <v>66</v>
      </c>
      <c r="C229" s="2" t="s">
        <v>251</v>
      </c>
      <c r="D229" s="3" t="s">
        <v>134</v>
      </c>
      <c r="E229" s="3" t="s">
        <v>88</v>
      </c>
      <c r="F229" s="2" t="s">
        <v>89</v>
      </c>
      <c r="G229" s="4">
        <v>5</v>
      </c>
      <c r="H229" s="5">
        <v>2.44</v>
      </c>
      <c r="I229" s="5">
        <v>2.543401197302277</v>
      </c>
      <c r="J229" s="6">
        <v>0</v>
      </c>
      <c r="K229" s="5">
        <v>0</v>
      </c>
      <c r="L229" s="6">
        <v>0</v>
      </c>
      <c r="M229" s="5">
        <v>0</v>
      </c>
      <c r="N229" s="6">
        <v>0</v>
      </c>
      <c r="O229" s="5">
        <v>0</v>
      </c>
      <c r="P229" s="6">
        <v>0</v>
      </c>
      <c r="Q229" s="5">
        <v>0</v>
      </c>
      <c r="R229" s="6">
        <v>0</v>
      </c>
      <c r="S229" s="5">
        <v>0</v>
      </c>
      <c r="T229" s="6">
        <v>138.49299438704989</v>
      </c>
      <c r="U229" s="5">
        <v>337.92290630440158</v>
      </c>
      <c r="V229" s="6">
        <v>0</v>
      </c>
      <c r="W229" s="5">
        <v>0</v>
      </c>
      <c r="X229" s="6">
        <v>0</v>
      </c>
      <c r="Y229" s="5">
        <v>0</v>
      </c>
      <c r="Z229" s="6">
        <v>0</v>
      </c>
      <c r="AA229" s="5">
        <v>0</v>
      </c>
      <c r="AB229" s="6">
        <v>0</v>
      </c>
      <c r="AC229" s="5">
        <v>0</v>
      </c>
      <c r="AD229" s="6">
        <v>0</v>
      </c>
      <c r="AE229" s="5">
        <v>0</v>
      </c>
      <c r="AF229" s="6">
        <v>0</v>
      </c>
      <c r="AG229" s="5">
        <v>0</v>
      </c>
      <c r="AH229" s="7">
        <f t="shared" si="24"/>
        <v>138.49299438704989</v>
      </c>
      <c r="AI229" s="8">
        <f t="shared" si="25"/>
        <v>337.92290630440158</v>
      </c>
      <c r="AJ229" s="6">
        <v>0</v>
      </c>
      <c r="AK229" s="5">
        <v>0</v>
      </c>
      <c r="AL229" s="6">
        <v>0</v>
      </c>
      <c r="AM229" s="5">
        <v>0</v>
      </c>
      <c r="AN229" s="6">
        <v>0</v>
      </c>
      <c r="AO229" s="5">
        <v>0</v>
      </c>
      <c r="AP229" s="6">
        <v>0</v>
      </c>
      <c r="AQ229" s="5">
        <v>0</v>
      </c>
      <c r="AR229" s="6">
        <v>0</v>
      </c>
      <c r="AS229" s="5">
        <v>0</v>
      </c>
      <c r="AT229" s="6">
        <v>150</v>
      </c>
      <c r="AU229" s="5">
        <v>381.51017959534158</v>
      </c>
      <c r="AV229" s="6">
        <v>0</v>
      </c>
      <c r="AW229" s="5">
        <v>0</v>
      </c>
      <c r="AX229" s="6">
        <v>0</v>
      </c>
      <c r="AY229" s="5">
        <v>0</v>
      </c>
      <c r="AZ229" s="6">
        <v>0</v>
      </c>
      <c r="BA229" s="5">
        <v>0</v>
      </c>
      <c r="BB229" s="6">
        <v>0</v>
      </c>
      <c r="BC229" s="5">
        <v>0</v>
      </c>
      <c r="BD229" s="6">
        <v>0</v>
      </c>
      <c r="BE229" s="5">
        <v>0</v>
      </c>
      <c r="BF229" s="6">
        <v>0</v>
      </c>
      <c r="BG229" s="5">
        <v>0</v>
      </c>
      <c r="BH229" s="9">
        <f t="shared" si="26"/>
        <v>150</v>
      </c>
      <c r="BI229" s="10">
        <f t="shared" si="27"/>
        <v>381.51017959534158</v>
      </c>
      <c r="BJ229" s="6">
        <f t="shared" si="28"/>
        <v>11.50700561295011</v>
      </c>
      <c r="BK229" s="11">
        <f t="shared" si="29"/>
        <v>8.308727574184141E-2</v>
      </c>
      <c r="BL229" s="5">
        <f t="shared" si="30"/>
        <v>43.587273290940004</v>
      </c>
      <c r="BM229" s="11">
        <f t="shared" si="31"/>
        <v>0.12898584996092721</v>
      </c>
    </row>
    <row r="230" spans="1:65" ht="15" customHeight="1" x14ac:dyDescent="0.4">
      <c r="A230" s="2" t="s">
        <v>65</v>
      </c>
      <c r="B230" s="2" t="s">
        <v>66</v>
      </c>
      <c r="C230" s="2" t="s">
        <v>251</v>
      </c>
      <c r="D230" s="3" t="s">
        <v>134</v>
      </c>
      <c r="E230" s="3" t="s">
        <v>138</v>
      </c>
      <c r="F230" s="2" t="s">
        <v>139</v>
      </c>
      <c r="G230" s="4">
        <v>5</v>
      </c>
      <c r="H230" s="5">
        <v>3.47</v>
      </c>
      <c r="I230" s="5">
        <v>3.6170500633765998</v>
      </c>
      <c r="J230" s="6">
        <v>0</v>
      </c>
      <c r="K230" s="5">
        <v>0</v>
      </c>
      <c r="L230" s="6">
        <v>0</v>
      </c>
      <c r="M230" s="5">
        <v>0</v>
      </c>
      <c r="N230" s="6">
        <v>0</v>
      </c>
      <c r="O230" s="5">
        <v>0</v>
      </c>
      <c r="P230" s="6">
        <v>0</v>
      </c>
      <c r="Q230" s="5">
        <v>0</v>
      </c>
      <c r="R230" s="6">
        <v>0</v>
      </c>
      <c r="S230" s="5">
        <v>0</v>
      </c>
      <c r="T230" s="6">
        <v>59.354140451592791</v>
      </c>
      <c r="U230" s="5">
        <v>205.95886736702701</v>
      </c>
      <c r="V230" s="6">
        <v>0</v>
      </c>
      <c r="W230" s="5">
        <v>0</v>
      </c>
      <c r="X230" s="6">
        <v>0</v>
      </c>
      <c r="Y230" s="5">
        <v>0</v>
      </c>
      <c r="Z230" s="6">
        <v>0</v>
      </c>
      <c r="AA230" s="5">
        <v>0</v>
      </c>
      <c r="AB230" s="6">
        <v>0</v>
      </c>
      <c r="AC230" s="5">
        <v>0</v>
      </c>
      <c r="AD230" s="6">
        <v>0</v>
      </c>
      <c r="AE230" s="5">
        <v>0</v>
      </c>
      <c r="AF230" s="6">
        <v>0</v>
      </c>
      <c r="AG230" s="5">
        <v>0</v>
      </c>
      <c r="AH230" s="7">
        <f t="shared" si="24"/>
        <v>59.354140451592791</v>
      </c>
      <c r="AI230" s="8">
        <f t="shared" si="25"/>
        <v>205.95886736702701</v>
      </c>
      <c r="AJ230" s="6">
        <v>0</v>
      </c>
      <c r="AK230" s="5">
        <v>0</v>
      </c>
      <c r="AL230" s="6">
        <v>0</v>
      </c>
      <c r="AM230" s="5">
        <v>0</v>
      </c>
      <c r="AN230" s="6">
        <v>0</v>
      </c>
      <c r="AO230" s="5">
        <v>0</v>
      </c>
      <c r="AP230" s="6">
        <v>0</v>
      </c>
      <c r="AQ230" s="5">
        <v>0</v>
      </c>
      <c r="AR230" s="6">
        <v>0</v>
      </c>
      <c r="AS230" s="5">
        <v>0</v>
      </c>
      <c r="AT230" s="6">
        <v>65</v>
      </c>
      <c r="AU230" s="5">
        <v>235.108254119479</v>
      </c>
      <c r="AV230" s="6">
        <v>0</v>
      </c>
      <c r="AW230" s="5">
        <v>0</v>
      </c>
      <c r="AX230" s="6">
        <v>0</v>
      </c>
      <c r="AY230" s="5">
        <v>0</v>
      </c>
      <c r="AZ230" s="6">
        <v>0</v>
      </c>
      <c r="BA230" s="5">
        <v>0</v>
      </c>
      <c r="BB230" s="6">
        <v>0</v>
      </c>
      <c r="BC230" s="5">
        <v>0</v>
      </c>
      <c r="BD230" s="6">
        <v>0</v>
      </c>
      <c r="BE230" s="5">
        <v>0</v>
      </c>
      <c r="BF230" s="6">
        <v>0</v>
      </c>
      <c r="BG230" s="5">
        <v>0</v>
      </c>
      <c r="BH230" s="9">
        <f t="shared" si="26"/>
        <v>65</v>
      </c>
      <c r="BI230" s="10">
        <f t="shared" si="27"/>
        <v>235.108254119479</v>
      </c>
      <c r="BJ230" s="6">
        <f t="shared" si="28"/>
        <v>5.6458595484072092</v>
      </c>
      <c r="BK230" s="11">
        <f t="shared" si="29"/>
        <v>9.5121578805640011E-2</v>
      </c>
      <c r="BL230" s="5">
        <f t="shared" si="30"/>
        <v>29.149386752451989</v>
      </c>
      <c r="BM230" s="11">
        <f t="shared" si="31"/>
        <v>0.14153013718271526</v>
      </c>
    </row>
    <row r="231" spans="1:65" ht="15" customHeight="1" x14ac:dyDescent="0.4">
      <c r="A231" s="2" t="s">
        <v>65</v>
      </c>
      <c r="B231" s="2" t="s">
        <v>66</v>
      </c>
      <c r="C231" s="2" t="s">
        <v>251</v>
      </c>
      <c r="D231" s="3" t="s">
        <v>134</v>
      </c>
      <c r="E231" s="3" t="s">
        <v>90</v>
      </c>
      <c r="F231" s="2" t="s">
        <v>91</v>
      </c>
      <c r="G231" s="4">
        <v>20</v>
      </c>
      <c r="H231" s="5">
        <v>4.0199999999999996</v>
      </c>
      <c r="I231" s="5">
        <v>4.1903577103094909</v>
      </c>
      <c r="J231" s="6">
        <v>0</v>
      </c>
      <c r="K231" s="5">
        <v>0</v>
      </c>
      <c r="L231" s="6">
        <v>0</v>
      </c>
      <c r="M231" s="5">
        <v>0</v>
      </c>
      <c r="N231" s="6">
        <v>0</v>
      </c>
      <c r="O231" s="5">
        <v>0</v>
      </c>
      <c r="P231" s="6">
        <v>0</v>
      </c>
      <c r="Q231" s="5">
        <v>0</v>
      </c>
      <c r="R231" s="6">
        <v>0</v>
      </c>
      <c r="S231" s="5">
        <v>0</v>
      </c>
      <c r="T231" s="6">
        <v>118.7082809031856</v>
      </c>
      <c r="U231" s="5">
        <v>477.20728923080611</v>
      </c>
      <c r="V231" s="6">
        <v>0</v>
      </c>
      <c r="W231" s="5">
        <v>0</v>
      </c>
      <c r="X231" s="6">
        <v>0</v>
      </c>
      <c r="Y231" s="5">
        <v>0</v>
      </c>
      <c r="Z231" s="6">
        <v>0</v>
      </c>
      <c r="AA231" s="5">
        <v>0</v>
      </c>
      <c r="AB231" s="6">
        <v>0</v>
      </c>
      <c r="AC231" s="5">
        <v>0</v>
      </c>
      <c r="AD231" s="6">
        <v>0</v>
      </c>
      <c r="AE231" s="5">
        <v>0</v>
      </c>
      <c r="AF231" s="6">
        <v>0</v>
      </c>
      <c r="AG231" s="5">
        <v>0</v>
      </c>
      <c r="AH231" s="7">
        <f t="shared" si="24"/>
        <v>118.7082809031856</v>
      </c>
      <c r="AI231" s="8">
        <f t="shared" si="25"/>
        <v>477.20728923080611</v>
      </c>
      <c r="AJ231" s="6">
        <v>0</v>
      </c>
      <c r="AK231" s="5">
        <v>0</v>
      </c>
      <c r="AL231" s="6">
        <v>0</v>
      </c>
      <c r="AM231" s="5">
        <v>0</v>
      </c>
      <c r="AN231" s="6">
        <v>0</v>
      </c>
      <c r="AO231" s="5">
        <v>0</v>
      </c>
      <c r="AP231" s="6">
        <v>0</v>
      </c>
      <c r="AQ231" s="5">
        <v>0</v>
      </c>
      <c r="AR231" s="6">
        <v>0</v>
      </c>
      <c r="AS231" s="5">
        <v>0</v>
      </c>
      <c r="AT231" s="6">
        <v>120</v>
      </c>
      <c r="AU231" s="5">
        <v>502.8429252371389</v>
      </c>
      <c r="AV231" s="6">
        <v>0</v>
      </c>
      <c r="AW231" s="5">
        <v>0</v>
      </c>
      <c r="AX231" s="6">
        <v>0</v>
      </c>
      <c r="AY231" s="5">
        <v>0</v>
      </c>
      <c r="AZ231" s="6">
        <v>0</v>
      </c>
      <c r="BA231" s="5">
        <v>0</v>
      </c>
      <c r="BB231" s="6">
        <v>0</v>
      </c>
      <c r="BC231" s="5">
        <v>0</v>
      </c>
      <c r="BD231" s="6">
        <v>0</v>
      </c>
      <c r="BE231" s="5">
        <v>0</v>
      </c>
      <c r="BF231" s="6">
        <v>0</v>
      </c>
      <c r="BG231" s="5">
        <v>0</v>
      </c>
      <c r="BH231" s="9">
        <f t="shared" si="26"/>
        <v>120</v>
      </c>
      <c r="BI231" s="10">
        <f t="shared" si="27"/>
        <v>502.8429252371389</v>
      </c>
      <c r="BJ231" s="6">
        <f t="shared" si="28"/>
        <v>1.2917190968144041</v>
      </c>
      <c r="BK231" s="11">
        <f t="shared" si="29"/>
        <v>1.0881457359052195E-2</v>
      </c>
      <c r="BL231" s="5">
        <f t="shared" si="30"/>
        <v>25.635636006332788</v>
      </c>
      <c r="BM231" s="11">
        <f t="shared" si="31"/>
        <v>5.3720126630198761E-2</v>
      </c>
    </row>
    <row r="232" spans="1:65" ht="15" customHeight="1" x14ac:dyDescent="0.4">
      <c r="A232" s="2" t="s">
        <v>65</v>
      </c>
      <c r="B232" s="2" t="s">
        <v>66</v>
      </c>
      <c r="C232" s="2" t="s">
        <v>251</v>
      </c>
      <c r="D232" s="3" t="s">
        <v>134</v>
      </c>
      <c r="E232" s="3" t="s">
        <v>180</v>
      </c>
      <c r="F232" s="2" t="s">
        <v>181</v>
      </c>
      <c r="G232" s="4">
        <v>5</v>
      </c>
      <c r="H232" s="5">
        <v>9.1</v>
      </c>
      <c r="I232" s="5">
        <v>9.4856356128896415</v>
      </c>
      <c r="J232" s="6">
        <v>0</v>
      </c>
      <c r="K232" s="5">
        <v>0</v>
      </c>
      <c r="L232" s="6">
        <v>0</v>
      </c>
      <c r="M232" s="5">
        <v>0</v>
      </c>
      <c r="N232" s="6">
        <v>0</v>
      </c>
      <c r="O232" s="5">
        <v>0</v>
      </c>
      <c r="P232" s="6">
        <v>0</v>
      </c>
      <c r="Q232" s="5">
        <v>0</v>
      </c>
      <c r="R232" s="6">
        <v>0</v>
      </c>
      <c r="S232" s="5">
        <v>0</v>
      </c>
      <c r="T232" s="6">
        <v>0</v>
      </c>
      <c r="U232" s="5">
        <v>0</v>
      </c>
      <c r="V232" s="6">
        <v>0</v>
      </c>
      <c r="W232" s="5">
        <v>0</v>
      </c>
      <c r="X232" s="6">
        <v>39.569426967728532</v>
      </c>
      <c r="Y232" s="5">
        <v>360.08178540632957</v>
      </c>
      <c r="Z232" s="6">
        <v>0</v>
      </c>
      <c r="AA232" s="5">
        <v>0</v>
      </c>
      <c r="AB232" s="6">
        <v>0</v>
      </c>
      <c r="AC232" s="5">
        <v>0</v>
      </c>
      <c r="AD232" s="6">
        <v>0</v>
      </c>
      <c r="AE232" s="5">
        <v>0</v>
      </c>
      <c r="AF232" s="6">
        <v>0</v>
      </c>
      <c r="AG232" s="5">
        <v>0</v>
      </c>
      <c r="AH232" s="7">
        <f t="shared" si="24"/>
        <v>39.569426967728532</v>
      </c>
      <c r="AI232" s="8">
        <f t="shared" si="25"/>
        <v>360.08178540632957</v>
      </c>
      <c r="AJ232" s="6">
        <v>0</v>
      </c>
      <c r="AK232" s="5">
        <v>0</v>
      </c>
      <c r="AL232" s="6">
        <v>0</v>
      </c>
      <c r="AM232" s="5">
        <v>0</v>
      </c>
      <c r="AN232" s="6">
        <v>0</v>
      </c>
      <c r="AO232" s="5">
        <v>0</v>
      </c>
      <c r="AP232" s="6">
        <v>0</v>
      </c>
      <c r="AQ232" s="5">
        <v>0</v>
      </c>
      <c r="AR232" s="6">
        <v>0</v>
      </c>
      <c r="AS232" s="5">
        <v>0</v>
      </c>
      <c r="AT232" s="6">
        <v>0</v>
      </c>
      <c r="AU232" s="5">
        <v>0</v>
      </c>
      <c r="AV232" s="6">
        <v>0</v>
      </c>
      <c r="AW232" s="5">
        <v>0</v>
      </c>
      <c r="AX232" s="6">
        <v>45</v>
      </c>
      <c r="AY232" s="5">
        <v>426.85360258003391</v>
      </c>
      <c r="AZ232" s="6">
        <v>0</v>
      </c>
      <c r="BA232" s="5">
        <v>0</v>
      </c>
      <c r="BB232" s="6">
        <v>0</v>
      </c>
      <c r="BC232" s="5">
        <v>0</v>
      </c>
      <c r="BD232" s="6">
        <v>0</v>
      </c>
      <c r="BE232" s="5">
        <v>0</v>
      </c>
      <c r="BF232" s="6">
        <v>0</v>
      </c>
      <c r="BG232" s="5">
        <v>0</v>
      </c>
      <c r="BH232" s="9">
        <f t="shared" si="26"/>
        <v>45</v>
      </c>
      <c r="BI232" s="10">
        <f t="shared" si="27"/>
        <v>426.85360258003391</v>
      </c>
      <c r="BJ232" s="6">
        <f t="shared" si="28"/>
        <v>5.430573032271468</v>
      </c>
      <c r="BK232" s="11">
        <f t="shared" si="29"/>
        <v>0.13724163952893373</v>
      </c>
      <c r="BL232" s="5">
        <f t="shared" si="30"/>
        <v>66.771817173704335</v>
      </c>
      <c r="BM232" s="11">
        <f t="shared" si="31"/>
        <v>0.18543514245897375</v>
      </c>
    </row>
    <row r="233" spans="1:65" ht="15" customHeight="1" x14ac:dyDescent="0.4">
      <c r="A233" s="2" t="s">
        <v>65</v>
      </c>
      <c r="B233" s="2" t="s">
        <v>66</v>
      </c>
      <c r="C233" s="2" t="s">
        <v>251</v>
      </c>
      <c r="D233" s="3" t="s">
        <v>134</v>
      </c>
      <c r="E233" s="3" t="s">
        <v>79</v>
      </c>
      <c r="F233" s="2" t="s">
        <v>80</v>
      </c>
      <c r="G233" s="4">
        <v>20</v>
      </c>
      <c r="H233" s="5">
        <v>3.5474999999999999</v>
      </c>
      <c r="I233" s="5">
        <v>3.695972934253076</v>
      </c>
      <c r="J233" s="6">
        <v>0</v>
      </c>
      <c r="K233" s="5">
        <v>0</v>
      </c>
      <c r="L233" s="6">
        <v>0</v>
      </c>
      <c r="M233" s="5">
        <v>0</v>
      </c>
      <c r="N233" s="6">
        <v>395.69426967728532</v>
      </c>
      <c r="O233" s="5">
        <v>1388.8868865672709</v>
      </c>
      <c r="P233" s="6">
        <v>0</v>
      </c>
      <c r="Q233" s="5">
        <v>0</v>
      </c>
      <c r="R233" s="6">
        <v>0</v>
      </c>
      <c r="S233" s="5">
        <v>0</v>
      </c>
      <c r="T233" s="6">
        <v>197.84713483864269</v>
      </c>
      <c r="U233" s="5">
        <v>694.4434432836357</v>
      </c>
      <c r="V233" s="6">
        <v>0</v>
      </c>
      <c r="W233" s="5">
        <v>0</v>
      </c>
      <c r="X233" s="6">
        <v>197.84713483864269</v>
      </c>
      <c r="Y233" s="5">
        <v>724.12051350943204</v>
      </c>
      <c r="Z233" s="6">
        <v>0</v>
      </c>
      <c r="AA233" s="5">
        <v>0</v>
      </c>
      <c r="AB233" s="6">
        <v>0</v>
      </c>
      <c r="AC233" s="5">
        <v>0</v>
      </c>
      <c r="AD233" s="6">
        <v>0</v>
      </c>
      <c r="AE233" s="5">
        <v>0</v>
      </c>
      <c r="AF233" s="6">
        <v>0</v>
      </c>
      <c r="AG233" s="5">
        <v>0</v>
      </c>
      <c r="AH233" s="7">
        <f t="shared" si="24"/>
        <v>791.38853935457064</v>
      </c>
      <c r="AI233" s="8">
        <f t="shared" si="25"/>
        <v>2807.4508433603387</v>
      </c>
      <c r="AJ233" s="6">
        <v>0</v>
      </c>
      <c r="AK233" s="5">
        <v>0</v>
      </c>
      <c r="AL233" s="6">
        <v>0</v>
      </c>
      <c r="AM233" s="5">
        <v>0</v>
      </c>
      <c r="AN233" s="6">
        <v>420</v>
      </c>
      <c r="AO233" s="5">
        <v>1536.672969288122</v>
      </c>
      <c r="AP233" s="6">
        <v>0</v>
      </c>
      <c r="AQ233" s="5">
        <v>0</v>
      </c>
      <c r="AR233" s="6">
        <v>0</v>
      </c>
      <c r="AS233" s="5">
        <v>0</v>
      </c>
      <c r="AT233" s="6">
        <v>220</v>
      </c>
      <c r="AU233" s="5">
        <v>804.92393629377807</v>
      </c>
      <c r="AV233" s="6">
        <v>0</v>
      </c>
      <c r="AW233" s="5">
        <v>0</v>
      </c>
      <c r="AX233" s="6">
        <v>200</v>
      </c>
      <c r="AY233" s="5">
        <v>763.02035919068339</v>
      </c>
      <c r="AZ233" s="6">
        <v>0</v>
      </c>
      <c r="BA233" s="5">
        <v>0</v>
      </c>
      <c r="BB233" s="6">
        <v>0</v>
      </c>
      <c r="BC233" s="5">
        <v>0</v>
      </c>
      <c r="BD233" s="6">
        <v>0</v>
      </c>
      <c r="BE233" s="5">
        <v>0</v>
      </c>
      <c r="BF233" s="6">
        <v>0</v>
      </c>
      <c r="BG233" s="5">
        <v>0</v>
      </c>
      <c r="BH233" s="9">
        <f t="shared" si="26"/>
        <v>840</v>
      </c>
      <c r="BI233" s="10">
        <f t="shared" si="27"/>
        <v>3104.6172647725834</v>
      </c>
      <c r="BJ233" s="6">
        <f t="shared" si="28"/>
        <v>48.611460645429361</v>
      </c>
      <c r="BK233" s="11">
        <f t="shared" si="29"/>
        <v>6.1425530227004803E-2</v>
      </c>
      <c r="BL233" s="5">
        <f t="shared" si="30"/>
        <v>297.16642141224474</v>
      </c>
      <c r="BM233" s="11">
        <f t="shared" si="31"/>
        <v>0.10584919843389158</v>
      </c>
    </row>
    <row r="234" spans="1:65" ht="15" customHeight="1" x14ac:dyDescent="0.4">
      <c r="A234" s="2" t="s">
        <v>65</v>
      </c>
      <c r="B234" s="2" t="s">
        <v>66</v>
      </c>
      <c r="C234" s="2" t="s">
        <v>251</v>
      </c>
      <c r="D234" s="3" t="s">
        <v>134</v>
      </c>
      <c r="E234" s="3" t="s">
        <v>94</v>
      </c>
      <c r="F234" s="2" t="s">
        <v>95</v>
      </c>
      <c r="G234" s="4">
        <v>20</v>
      </c>
      <c r="H234" s="5">
        <v>2.25</v>
      </c>
      <c r="I234" s="5">
        <v>2.3453494647254609</v>
      </c>
      <c r="J234" s="6">
        <v>0</v>
      </c>
      <c r="K234" s="5">
        <v>0</v>
      </c>
      <c r="L234" s="6">
        <v>0</v>
      </c>
      <c r="M234" s="5">
        <v>0</v>
      </c>
      <c r="N234" s="6">
        <v>0</v>
      </c>
      <c r="O234" s="5">
        <v>0</v>
      </c>
      <c r="P234" s="6">
        <v>0</v>
      </c>
      <c r="Q234" s="5">
        <v>0</v>
      </c>
      <c r="R234" s="6">
        <v>0</v>
      </c>
      <c r="S234" s="5">
        <v>0</v>
      </c>
      <c r="T234" s="6">
        <v>138.49299438704989</v>
      </c>
      <c r="U234" s="5">
        <v>311.60923737086222</v>
      </c>
      <c r="V234" s="6">
        <v>0</v>
      </c>
      <c r="W234" s="5">
        <v>0</v>
      </c>
      <c r="X234" s="6">
        <v>0</v>
      </c>
      <c r="Y234" s="5">
        <v>0</v>
      </c>
      <c r="Z234" s="6">
        <v>0</v>
      </c>
      <c r="AA234" s="5">
        <v>0</v>
      </c>
      <c r="AB234" s="6">
        <v>0</v>
      </c>
      <c r="AC234" s="5">
        <v>0</v>
      </c>
      <c r="AD234" s="6">
        <v>0</v>
      </c>
      <c r="AE234" s="5">
        <v>0</v>
      </c>
      <c r="AF234" s="6">
        <v>0</v>
      </c>
      <c r="AG234" s="5">
        <v>0</v>
      </c>
      <c r="AH234" s="7">
        <f t="shared" si="24"/>
        <v>138.49299438704989</v>
      </c>
      <c r="AI234" s="8">
        <f t="shared" si="25"/>
        <v>311.60923737086222</v>
      </c>
      <c r="AJ234" s="6">
        <v>0</v>
      </c>
      <c r="AK234" s="5">
        <v>0</v>
      </c>
      <c r="AL234" s="6">
        <v>0</v>
      </c>
      <c r="AM234" s="5">
        <v>0</v>
      </c>
      <c r="AN234" s="6">
        <v>0</v>
      </c>
      <c r="AO234" s="5">
        <v>0</v>
      </c>
      <c r="AP234" s="6">
        <v>0</v>
      </c>
      <c r="AQ234" s="5">
        <v>0</v>
      </c>
      <c r="AR234" s="6">
        <v>0</v>
      </c>
      <c r="AS234" s="5">
        <v>0</v>
      </c>
      <c r="AT234" s="6">
        <v>140</v>
      </c>
      <c r="AU234" s="5">
        <v>328.3489250615645</v>
      </c>
      <c r="AV234" s="6">
        <v>0</v>
      </c>
      <c r="AW234" s="5">
        <v>0</v>
      </c>
      <c r="AX234" s="6">
        <v>0</v>
      </c>
      <c r="AY234" s="5">
        <v>0</v>
      </c>
      <c r="AZ234" s="6">
        <v>0</v>
      </c>
      <c r="BA234" s="5">
        <v>0</v>
      </c>
      <c r="BB234" s="6">
        <v>0</v>
      </c>
      <c r="BC234" s="5">
        <v>0</v>
      </c>
      <c r="BD234" s="6">
        <v>0</v>
      </c>
      <c r="BE234" s="5">
        <v>0</v>
      </c>
      <c r="BF234" s="6">
        <v>0</v>
      </c>
      <c r="BG234" s="5">
        <v>0</v>
      </c>
      <c r="BH234" s="9">
        <f t="shared" si="26"/>
        <v>140</v>
      </c>
      <c r="BI234" s="10">
        <f t="shared" si="27"/>
        <v>328.3489250615645</v>
      </c>
      <c r="BJ234" s="6">
        <f t="shared" si="28"/>
        <v>1.5070056129501097</v>
      </c>
      <c r="BK234" s="11">
        <f t="shared" si="29"/>
        <v>1.0881457359051988E-2</v>
      </c>
      <c r="BL234" s="5">
        <f t="shared" si="30"/>
        <v>16.739687690702283</v>
      </c>
      <c r="BM234" s="11">
        <f t="shared" si="31"/>
        <v>5.3720126630198442E-2</v>
      </c>
    </row>
    <row r="235" spans="1:65" ht="15" customHeight="1" x14ac:dyDescent="0.4">
      <c r="A235" s="2" t="s">
        <v>65</v>
      </c>
      <c r="B235" s="2" t="s">
        <v>66</v>
      </c>
      <c r="C235" s="2" t="s">
        <v>252</v>
      </c>
      <c r="D235" s="3" t="s">
        <v>134</v>
      </c>
      <c r="E235" s="3" t="s">
        <v>136</v>
      </c>
      <c r="F235" s="2" t="s">
        <v>137</v>
      </c>
      <c r="G235" s="4">
        <v>20</v>
      </c>
      <c r="H235" s="5">
        <v>4.8599999999999994</v>
      </c>
      <c r="I235" s="5">
        <v>5.0659548438069946</v>
      </c>
      <c r="J235" s="6">
        <v>0</v>
      </c>
      <c r="K235" s="5">
        <v>0</v>
      </c>
      <c r="L235" s="6">
        <v>19.78471348386427</v>
      </c>
      <c r="M235" s="5">
        <v>96.153707531580324</v>
      </c>
      <c r="N235" s="6">
        <v>0</v>
      </c>
      <c r="O235" s="5">
        <v>0</v>
      </c>
      <c r="P235" s="6">
        <v>0</v>
      </c>
      <c r="Q235" s="5">
        <v>0</v>
      </c>
      <c r="R235" s="6">
        <v>0</v>
      </c>
      <c r="S235" s="5">
        <v>0</v>
      </c>
      <c r="T235" s="6">
        <v>0</v>
      </c>
      <c r="U235" s="5">
        <v>0</v>
      </c>
      <c r="V235" s="6">
        <v>0</v>
      </c>
      <c r="W235" s="5">
        <v>0</v>
      </c>
      <c r="X235" s="6">
        <v>0</v>
      </c>
      <c r="Y235" s="5">
        <v>0</v>
      </c>
      <c r="Z235" s="6">
        <v>0</v>
      </c>
      <c r="AA235" s="5">
        <v>0</v>
      </c>
      <c r="AB235" s="6">
        <v>0</v>
      </c>
      <c r="AC235" s="5">
        <v>0</v>
      </c>
      <c r="AD235" s="6">
        <v>0</v>
      </c>
      <c r="AE235" s="5">
        <v>0</v>
      </c>
      <c r="AF235" s="6">
        <v>0</v>
      </c>
      <c r="AG235" s="5">
        <v>0</v>
      </c>
      <c r="AH235" s="7">
        <f t="shared" si="24"/>
        <v>19.78471348386427</v>
      </c>
      <c r="AI235" s="8">
        <f t="shared" si="25"/>
        <v>96.153707531580324</v>
      </c>
      <c r="AJ235" s="6">
        <v>0</v>
      </c>
      <c r="AK235" s="5">
        <v>0</v>
      </c>
      <c r="AL235" s="6">
        <v>20</v>
      </c>
      <c r="AM235" s="5">
        <v>101.31909687613989</v>
      </c>
      <c r="AN235" s="6">
        <v>0</v>
      </c>
      <c r="AO235" s="5">
        <v>0</v>
      </c>
      <c r="AP235" s="6">
        <v>0</v>
      </c>
      <c r="AQ235" s="5">
        <v>0</v>
      </c>
      <c r="AR235" s="6">
        <v>0</v>
      </c>
      <c r="AS235" s="5">
        <v>0</v>
      </c>
      <c r="AT235" s="6">
        <v>0</v>
      </c>
      <c r="AU235" s="5">
        <v>0</v>
      </c>
      <c r="AV235" s="6">
        <v>0</v>
      </c>
      <c r="AW235" s="5">
        <v>0</v>
      </c>
      <c r="AX235" s="6">
        <v>0</v>
      </c>
      <c r="AY235" s="5">
        <v>0</v>
      </c>
      <c r="AZ235" s="6">
        <v>0</v>
      </c>
      <c r="BA235" s="5">
        <v>0</v>
      </c>
      <c r="BB235" s="6">
        <v>0</v>
      </c>
      <c r="BC235" s="5">
        <v>0</v>
      </c>
      <c r="BD235" s="6">
        <v>0</v>
      </c>
      <c r="BE235" s="5">
        <v>0</v>
      </c>
      <c r="BF235" s="6">
        <v>0</v>
      </c>
      <c r="BG235" s="5">
        <v>0</v>
      </c>
      <c r="BH235" s="9">
        <f t="shared" si="26"/>
        <v>20</v>
      </c>
      <c r="BI235" s="10">
        <f t="shared" si="27"/>
        <v>101.31909687613989</v>
      </c>
      <c r="BJ235" s="6">
        <f t="shared" si="28"/>
        <v>0.21528651613573047</v>
      </c>
      <c r="BK235" s="11">
        <f t="shared" si="29"/>
        <v>1.0881457359052014E-2</v>
      </c>
      <c r="BL235" s="5">
        <f t="shared" si="30"/>
        <v>5.1653893445595713</v>
      </c>
      <c r="BM235" s="11">
        <f t="shared" si="31"/>
        <v>5.3720126630198553E-2</v>
      </c>
    </row>
    <row r="236" spans="1:65" ht="15" customHeight="1" x14ac:dyDescent="0.4">
      <c r="A236" s="2" t="s">
        <v>65</v>
      </c>
      <c r="B236" s="2" t="s">
        <v>66</v>
      </c>
      <c r="C236" s="2" t="s">
        <v>252</v>
      </c>
      <c r="D236" s="3" t="s">
        <v>134</v>
      </c>
      <c r="E236" s="3" t="s">
        <v>124</v>
      </c>
      <c r="F236" s="2" t="s">
        <v>125</v>
      </c>
      <c r="G236" s="4">
        <v>20</v>
      </c>
      <c r="H236" s="5">
        <v>3.92</v>
      </c>
      <c r="I236" s="5">
        <v>4.0861199563216921</v>
      </c>
      <c r="J236" s="6">
        <v>0</v>
      </c>
      <c r="K236" s="5">
        <v>0</v>
      </c>
      <c r="L236" s="6">
        <v>0</v>
      </c>
      <c r="M236" s="5">
        <v>0</v>
      </c>
      <c r="N236" s="6">
        <v>19.78471348386427</v>
      </c>
      <c r="O236" s="5">
        <v>77.556076856747922</v>
      </c>
      <c r="P236" s="6">
        <v>0</v>
      </c>
      <c r="Q236" s="5">
        <v>0</v>
      </c>
      <c r="R236" s="6">
        <v>0</v>
      </c>
      <c r="S236" s="5">
        <v>0</v>
      </c>
      <c r="T236" s="6">
        <v>0</v>
      </c>
      <c r="U236" s="5">
        <v>0</v>
      </c>
      <c r="V236" s="6">
        <v>0</v>
      </c>
      <c r="W236" s="5">
        <v>0</v>
      </c>
      <c r="X236" s="6">
        <v>0</v>
      </c>
      <c r="Y236" s="5">
        <v>0</v>
      </c>
      <c r="Z236" s="6">
        <v>0</v>
      </c>
      <c r="AA236" s="5">
        <v>0</v>
      </c>
      <c r="AB236" s="6">
        <v>0</v>
      </c>
      <c r="AC236" s="5">
        <v>0</v>
      </c>
      <c r="AD236" s="6">
        <v>0</v>
      </c>
      <c r="AE236" s="5">
        <v>0</v>
      </c>
      <c r="AF236" s="6">
        <v>0</v>
      </c>
      <c r="AG236" s="5">
        <v>0</v>
      </c>
      <c r="AH236" s="7">
        <f t="shared" si="24"/>
        <v>19.78471348386427</v>
      </c>
      <c r="AI236" s="8">
        <f t="shared" si="25"/>
        <v>77.556076856747922</v>
      </c>
      <c r="AJ236" s="6">
        <v>0</v>
      </c>
      <c r="AK236" s="5">
        <v>0</v>
      </c>
      <c r="AL236" s="6">
        <v>0</v>
      </c>
      <c r="AM236" s="5">
        <v>0</v>
      </c>
      <c r="AN236" s="6">
        <v>20</v>
      </c>
      <c r="AO236" s="5">
        <v>81.722399126433842</v>
      </c>
      <c r="AP236" s="6">
        <v>0</v>
      </c>
      <c r="AQ236" s="5">
        <v>0</v>
      </c>
      <c r="AR236" s="6">
        <v>0</v>
      </c>
      <c r="AS236" s="5">
        <v>0</v>
      </c>
      <c r="AT236" s="6">
        <v>0</v>
      </c>
      <c r="AU236" s="5">
        <v>0</v>
      </c>
      <c r="AV236" s="6">
        <v>0</v>
      </c>
      <c r="AW236" s="5">
        <v>0</v>
      </c>
      <c r="AX236" s="6">
        <v>0</v>
      </c>
      <c r="AY236" s="5">
        <v>0</v>
      </c>
      <c r="AZ236" s="6">
        <v>0</v>
      </c>
      <c r="BA236" s="5">
        <v>0</v>
      </c>
      <c r="BB236" s="6">
        <v>0</v>
      </c>
      <c r="BC236" s="5">
        <v>0</v>
      </c>
      <c r="BD236" s="6">
        <v>0</v>
      </c>
      <c r="BE236" s="5">
        <v>0</v>
      </c>
      <c r="BF236" s="6">
        <v>0</v>
      </c>
      <c r="BG236" s="5">
        <v>0</v>
      </c>
      <c r="BH236" s="9">
        <f t="shared" si="26"/>
        <v>20</v>
      </c>
      <c r="BI236" s="10">
        <f t="shared" si="27"/>
        <v>81.722399126433842</v>
      </c>
      <c r="BJ236" s="6">
        <f t="shared" si="28"/>
        <v>0.21528651613573047</v>
      </c>
      <c r="BK236" s="11">
        <f t="shared" si="29"/>
        <v>1.0881457359052014E-2</v>
      </c>
      <c r="BL236" s="5">
        <f t="shared" si="30"/>
        <v>4.1663222696859208</v>
      </c>
      <c r="BM236" s="11">
        <f t="shared" si="31"/>
        <v>5.3720126630198699E-2</v>
      </c>
    </row>
    <row r="237" spans="1:65" ht="15" customHeight="1" x14ac:dyDescent="0.4">
      <c r="A237" s="2" t="s">
        <v>65</v>
      </c>
      <c r="B237" s="2" t="s">
        <v>66</v>
      </c>
      <c r="C237" s="2" t="s">
        <v>252</v>
      </c>
      <c r="D237" s="3" t="s">
        <v>134</v>
      </c>
      <c r="E237" s="3" t="s">
        <v>126</v>
      </c>
      <c r="F237" s="2" t="s">
        <v>127</v>
      </c>
      <c r="G237" s="4">
        <v>20</v>
      </c>
      <c r="H237" s="5">
        <v>5.8599999999999994</v>
      </c>
      <c r="I237" s="5">
        <v>6.1083323836849779</v>
      </c>
      <c r="J237" s="6">
        <v>0</v>
      </c>
      <c r="K237" s="5">
        <v>0</v>
      </c>
      <c r="L237" s="6">
        <v>0</v>
      </c>
      <c r="M237" s="5">
        <v>0</v>
      </c>
      <c r="N237" s="6">
        <v>0</v>
      </c>
      <c r="O237" s="5">
        <v>0</v>
      </c>
      <c r="P237" s="6">
        <v>0</v>
      </c>
      <c r="Q237" s="5">
        <v>0</v>
      </c>
      <c r="R237" s="6">
        <v>0</v>
      </c>
      <c r="S237" s="5">
        <v>0</v>
      </c>
      <c r="T237" s="6">
        <v>0</v>
      </c>
      <c r="U237" s="5">
        <v>0</v>
      </c>
      <c r="V237" s="6">
        <v>0</v>
      </c>
      <c r="W237" s="5">
        <v>0</v>
      </c>
      <c r="X237" s="6">
        <v>19.78471348386427</v>
      </c>
      <c r="Y237" s="5">
        <v>115.9384210154446</v>
      </c>
      <c r="Z237" s="6">
        <v>0</v>
      </c>
      <c r="AA237" s="5">
        <v>0</v>
      </c>
      <c r="AB237" s="6">
        <v>0</v>
      </c>
      <c r="AC237" s="5">
        <v>0</v>
      </c>
      <c r="AD237" s="6">
        <v>0</v>
      </c>
      <c r="AE237" s="5">
        <v>0</v>
      </c>
      <c r="AF237" s="6">
        <v>0</v>
      </c>
      <c r="AG237" s="5">
        <v>0</v>
      </c>
      <c r="AH237" s="7">
        <f t="shared" si="24"/>
        <v>19.78471348386427</v>
      </c>
      <c r="AI237" s="8">
        <f t="shared" si="25"/>
        <v>115.9384210154446</v>
      </c>
      <c r="AJ237" s="6">
        <v>0</v>
      </c>
      <c r="AK237" s="5">
        <v>0</v>
      </c>
      <c r="AL237" s="6">
        <v>0</v>
      </c>
      <c r="AM237" s="5">
        <v>0</v>
      </c>
      <c r="AN237" s="6">
        <v>0</v>
      </c>
      <c r="AO237" s="5">
        <v>0</v>
      </c>
      <c r="AP237" s="6">
        <v>0</v>
      </c>
      <c r="AQ237" s="5">
        <v>0</v>
      </c>
      <c r="AR237" s="6">
        <v>0</v>
      </c>
      <c r="AS237" s="5">
        <v>0</v>
      </c>
      <c r="AT237" s="6">
        <v>0</v>
      </c>
      <c r="AU237" s="5">
        <v>0</v>
      </c>
      <c r="AV237" s="6">
        <v>0</v>
      </c>
      <c r="AW237" s="5">
        <v>0</v>
      </c>
      <c r="AX237" s="6">
        <v>20</v>
      </c>
      <c r="AY237" s="5">
        <v>122.1666476736996</v>
      </c>
      <c r="AZ237" s="6">
        <v>0</v>
      </c>
      <c r="BA237" s="5">
        <v>0</v>
      </c>
      <c r="BB237" s="6">
        <v>0</v>
      </c>
      <c r="BC237" s="5">
        <v>0</v>
      </c>
      <c r="BD237" s="6">
        <v>0</v>
      </c>
      <c r="BE237" s="5">
        <v>0</v>
      </c>
      <c r="BF237" s="6">
        <v>0</v>
      </c>
      <c r="BG237" s="5">
        <v>0</v>
      </c>
      <c r="BH237" s="9">
        <f t="shared" si="26"/>
        <v>20</v>
      </c>
      <c r="BI237" s="10">
        <f t="shared" si="27"/>
        <v>122.1666476736996</v>
      </c>
      <c r="BJ237" s="6">
        <f t="shared" si="28"/>
        <v>0.21528651613573047</v>
      </c>
      <c r="BK237" s="11">
        <f t="shared" si="29"/>
        <v>1.0881457359052014E-2</v>
      </c>
      <c r="BL237" s="5">
        <f t="shared" si="30"/>
        <v>6.2282266582549966</v>
      </c>
      <c r="BM237" s="11">
        <f t="shared" si="31"/>
        <v>5.3720126630198893E-2</v>
      </c>
    </row>
    <row r="238" spans="1:65" ht="15" customHeight="1" x14ac:dyDescent="0.4">
      <c r="A238" s="2" t="s">
        <v>65</v>
      </c>
      <c r="B238" s="2" t="s">
        <v>66</v>
      </c>
      <c r="C238" s="2" t="s">
        <v>252</v>
      </c>
      <c r="D238" s="3" t="s">
        <v>134</v>
      </c>
      <c r="E238" s="3" t="s">
        <v>128</v>
      </c>
      <c r="F238" s="2" t="s">
        <v>129</v>
      </c>
      <c r="G238" s="4">
        <v>5</v>
      </c>
      <c r="H238" s="5">
        <v>3.45</v>
      </c>
      <c r="I238" s="5">
        <v>3.59620251257904</v>
      </c>
      <c r="J238" s="6">
        <v>0</v>
      </c>
      <c r="K238" s="5">
        <v>0</v>
      </c>
      <c r="L238" s="6">
        <v>0</v>
      </c>
      <c r="M238" s="5">
        <v>0</v>
      </c>
      <c r="N238" s="6">
        <v>0</v>
      </c>
      <c r="O238" s="5">
        <v>0</v>
      </c>
      <c r="P238" s="6">
        <v>0</v>
      </c>
      <c r="Q238" s="5">
        <v>0</v>
      </c>
      <c r="R238" s="6">
        <v>0</v>
      </c>
      <c r="S238" s="5">
        <v>0</v>
      </c>
      <c r="T238" s="6">
        <v>0</v>
      </c>
      <c r="U238" s="5">
        <v>0</v>
      </c>
      <c r="V238" s="6">
        <v>593.54140451592798</v>
      </c>
      <c r="W238" s="5">
        <v>2047.717845579951</v>
      </c>
      <c r="X238" s="6">
        <v>39.569426967728532</v>
      </c>
      <c r="Y238" s="5">
        <v>136.51452303866341</v>
      </c>
      <c r="Z238" s="6">
        <v>0</v>
      </c>
      <c r="AA238" s="5">
        <v>0</v>
      </c>
      <c r="AB238" s="6">
        <v>0</v>
      </c>
      <c r="AC238" s="5">
        <v>0</v>
      </c>
      <c r="AD238" s="6">
        <v>0</v>
      </c>
      <c r="AE238" s="5">
        <v>0</v>
      </c>
      <c r="AF238" s="6">
        <v>0</v>
      </c>
      <c r="AG238" s="5">
        <v>0</v>
      </c>
      <c r="AH238" s="7">
        <f t="shared" si="24"/>
        <v>633.11083148365651</v>
      </c>
      <c r="AI238" s="8">
        <f t="shared" si="25"/>
        <v>2184.2323686186146</v>
      </c>
      <c r="AJ238" s="6">
        <v>0</v>
      </c>
      <c r="AK238" s="5">
        <v>0</v>
      </c>
      <c r="AL238" s="6">
        <v>0</v>
      </c>
      <c r="AM238" s="5">
        <v>0</v>
      </c>
      <c r="AN238" s="6">
        <v>0</v>
      </c>
      <c r="AO238" s="5">
        <v>0</v>
      </c>
      <c r="AP238" s="6">
        <v>0</v>
      </c>
      <c r="AQ238" s="5">
        <v>0</v>
      </c>
      <c r="AR238" s="6">
        <v>0</v>
      </c>
      <c r="AS238" s="5">
        <v>0</v>
      </c>
      <c r="AT238" s="6">
        <v>0</v>
      </c>
      <c r="AU238" s="5">
        <v>0</v>
      </c>
      <c r="AV238" s="6">
        <v>640</v>
      </c>
      <c r="AW238" s="5">
        <v>2301.569608050585</v>
      </c>
      <c r="AX238" s="6">
        <v>45</v>
      </c>
      <c r="AY238" s="5">
        <v>161.82911306605681</v>
      </c>
      <c r="AZ238" s="6">
        <v>0</v>
      </c>
      <c r="BA238" s="5">
        <v>0</v>
      </c>
      <c r="BB238" s="6">
        <v>0</v>
      </c>
      <c r="BC238" s="5">
        <v>0</v>
      </c>
      <c r="BD238" s="6">
        <v>0</v>
      </c>
      <c r="BE238" s="5">
        <v>0</v>
      </c>
      <c r="BF238" s="6">
        <v>0</v>
      </c>
      <c r="BG238" s="5">
        <v>0</v>
      </c>
      <c r="BH238" s="9">
        <f t="shared" si="26"/>
        <v>685</v>
      </c>
      <c r="BI238" s="10">
        <f t="shared" si="27"/>
        <v>2463.3987211166418</v>
      </c>
      <c r="BJ238" s="6">
        <f t="shared" si="28"/>
        <v>51.889168516343489</v>
      </c>
      <c r="BK238" s="11">
        <f t="shared" si="29"/>
        <v>8.1959059829610548E-2</v>
      </c>
      <c r="BL238" s="5">
        <f t="shared" si="30"/>
        <v>279.16635249802721</v>
      </c>
      <c r="BM238" s="11">
        <f t="shared" si="31"/>
        <v>0.12780982303388436</v>
      </c>
    </row>
    <row r="239" spans="1:65" ht="15" customHeight="1" x14ac:dyDescent="0.4">
      <c r="A239" s="2" t="s">
        <v>65</v>
      </c>
      <c r="B239" s="2" t="s">
        <v>66</v>
      </c>
      <c r="C239" s="2" t="s">
        <v>252</v>
      </c>
      <c r="D239" s="3" t="s">
        <v>134</v>
      </c>
      <c r="E239" s="3" t="s">
        <v>253</v>
      </c>
      <c r="F239" s="2" t="s">
        <v>254</v>
      </c>
      <c r="G239" s="4">
        <v>20</v>
      </c>
      <c r="H239" s="5">
        <v>3.859999999999999</v>
      </c>
      <c r="I239" s="5">
        <v>4.0235773039290121</v>
      </c>
      <c r="J239" s="6">
        <v>19.78471348386427</v>
      </c>
      <c r="K239" s="5">
        <v>76.368994047716058</v>
      </c>
      <c r="L239" s="6">
        <v>0</v>
      </c>
      <c r="M239" s="5">
        <v>0</v>
      </c>
      <c r="N239" s="6">
        <v>0</v>
      </c>
      <c r="O239" s="5">
        <v>0</v>
      </c>
      <c r="P239" s="6">
        <v>0</v>
      </c>
      <c r="Q239" s="5">
        <v>0</v>
      </c>
      <c r="R239" s="6">
        <v>0</v>
      </c>
      <c r="S239" s="5">
        <v>0</v>
      </c>
      <c r="T239" s="6">
        <v>0</v>
      </c>
      <c r="U239" s="5">
        <v>0</v>
      </c>
      <c r="V239" s="6">
        <v>0</v>
      </c>
      <c r="W239" s="5">
        <v>0</v>
      </c>
      <c r="X239" s="6">
        <v>0</v>
      </c>
      <c r="Y239" s="5">
        <v>0</v>
      </c>
      <c r="Z239" s="6">
        <v>0</v>
      </c>
      <c r="AA239" s="5">
        <v>0</v>
      </c>
      <c r="AB239" s="6">
        <v>0</v>
      </c>
      <c r="AC239" s="5">
        <v>0</v>
      </c>
      <c r="AD239" s="6">
        <v>0</v>
      </c>
      <c r="AE239" s="5">
        <v>0</v>
      </c>
      <c r="AF239" s="6">
        <v>0</v>
      </c>
      <c r="AG239" s="5">
        <v>0</v>
      </c>
      <c r="AH239" s="7">
        <f t="shared" si="24"/>
        <v>19.78471348386427</v>
      </c>
      <c r="AI239" s="8">
        <f t="shared" si="25"/>
        <v>76.368994047716058</v>
      </c>
      <c r="AJ239" s="6">
        <v>20</v>
      </c>
      <c r="AK239" s="5">
        <v>80.471546078580246</v>
      </c>
      <c r="AL239" s="6">
        <v>0</v>
      </c>
      <c r="AM239" s="5">
        <v>0</v>
      </c>
      <c r="AN239" s="6">
        <v>0</v>
      </c>
      <c r="AO239" s="5">
        <v>0</v>
      </c>
      <c r="AP239" s="6">
        <v>0</v>
      </c>
      <c r="AQ239" s="5">
        <v>0</v>
      </c>
      <c r="AR239" s="6">
        <v>0</v>
      </c>
      <c r="AS239" s="5">
        <v>0</v>
      </c>
      <c r="AT239" s="6">
        <v>0</v>
      </c>
      <c r="AU239" s="5">
        <v>0</v>
      </c>
      <c r="AV239" s="6">
        <v>0</v>
      </c>
      <c r="AW239" s="5">
        <v>0</v>
      </c>
      <c r="AX239" s="6">
        <v>0</v>
      </c>
      <c r="AY239" s="5">
        <v>0</v>
      </c>
      <c r="AZ239" s="6">
        <v>0</v>
      </c>
      <c r="BA239" s="5">
        <v>0</v>
      </c>
      <c r="BB239" s="6">
        <v>0</v>
      </c>
      <c r="BC239" s="5">
        <v>0</v>
      </c>
      <c r="BD239" s="6">
        <v>0</v>
      </c>
      <c r="BE239" s="5">
        <v>0</v>
      </c>
      <c r="BF239" s="6">
        <v>0</v>
      </c>
      <c r="BG239" s="5">
        <v>0</v>
      </c>
      <c r="BH239" s="9">
        <f t="shared" si="26"/>
        <v>20</v>
      </c>
      <c r="BI239" s="10">
        <f t="shared" si="27"/>
        <v>80.471546078580246</v>
      </c>
      <c r="BJ239" s="6">
        <f t="shared" si="28"/>
        <v>0.21528651613573047</v>
      </c>
      <c r="BK239" s="11">
        <f t="shared" si="29"/>
        <v>1.0881457359052014E-2</v>
      </c>
      <c r="BL239" s="5">
        <f t="shared" si="30"/>
        <v>4.1025520308641887</v>
      </c>
      <c r="BM239" s="11">
        <f t="shared" si="31"/>
        <v>5.3720126630198588E-2</v>
      </c>
    </row>
    <row r="240" spans="1:65" ht="15" customHeight="1" x14ac:dyDescent="0.4">
      <c r="A240" s="2" t="s">
        <v>65</v>
      </c>
      <c r="B240" s="2" t="s">
        <v>66</v>
      </c>
      <c r="C240" s="2" t="s">
        <v>255</v>
      </c>
      <c r="D240" s="3" t="s">
        <v>134</v>
      </c>
      <c r="E240" s="3" t="s">
        <v>102</v>
      </c>
      <c r="F240" s="2" t="s">
        <v>171</v>
      </c>
      <c r="G240" s="4">
        <v>5</v>
      </c>
      <c r="H240" s="5">
        <v>4.8599999999999994</v>
      </c>
      <c r="I240" s="5">
        <v>5.0659548438069946</v>
      </c>
      <c r="J240" s="6">
        <v>0</v>
      </c>
      <c r="K240" s="5">
        <v>0</v>
      </c>
      <c r="L240" s="6">
        <v>346.23248596762471</v>
      </c>
      <c r="M240" s="5">
        <v>1682.6898818026559</v>
      </c>
      <c r="N240" s="6">
        <v>0</v>
      </c>
      <c r="O240" s="5">
        <v>0</v>
      </c>
      <c r="P240" s="6">
        <v>0</v>
      </c>
      <c r="Q240" s="5">
        <v>0</v>
      </c>
      <c r="R240" s="6">
        <v>0</v>
      </c>
      <c r="S240" s="5">
        <v>0</v>
      </c>
      <c r="T240" s="6">
        <v>0</v>
      </c>
      <c r="U240" s="5">
        <v>0</v>
      </c>
      <c r="V240" s="6">
        <v>0</v>
      </c>
      <c r="W240" s="5">
        <v>0</v>
      </c>
      <c r="X240" s="6">
        <v>0</v>
      </c>
      <c r="Y240" s="5">
        <v>0</v>
      </c>
      <c r="Z240" s="6">
        <v>0</v>
      </c>
      <c r="AA240" s="5">
        <v>0</v>
      </c>
      <c r="AB240" s="6">
        <v>0</v>
      </c>
      <c r="AC240" s="5">
        <v>0</v>
      </c>
      <c r="AD240" s="6">
        <v>0</v>
      </c>
      <c r="AE240" s="5">
        <v>0</v>
      </c>
      <c r="AF240" s="6">
        <v>0</v>
      </c>
      <c r="AG240" s="5">
        <v>0</v>
      </c>
      <c r="AH240" s="7">
        <f t="shared" si="24"/>
        <v>346.23248596762471</v>
      </c>
      <c r="AI240" s="8">
        <f t="shared" si="25"/>
        <v>1682.6898818026559</v>
      </c>
      <c r="AJ240" s="6">
        <v>0</v>
      </c>
      <c r="AK240" s="5">
        <v>0</v>
      </c>
      <c r="AL240" s="6">
        <v>430</v>
      </c>
      <c r="AM240" s="5">
        <v>2178.3605828370082</v>
      </c>
      <c r="AN240" s="6">
        <v>0</v>
      </c>
      <c r="AO240" s="5">
        <v>0</v>
      </c>
      <c r="AP240" s="6">
        <v>0</v>
      </c>
      <c r="AQ240" s="5">
        <v>0</v>
      </c>
      <c r="AR240" s="6">
        <v>0</v>
      </c>
      <c r="AS240" s="5">
        <v>0</v>
      </c>
      <c r="AT240" s="6">
        <v>0</v>
      </c>
      <c r="AU240" s="5">
        <v>0</v>
      </c>
      <c r="AV240" s="6">
        <v>0</v>
      </c>
      <c r="AW240" s="5">
        <v>0</v>
      </c>
      <c r="AX240" s="6">
        <v>0</v>
      </c>
      <c r="AY240" s="5">
        <v>0</v>
      </c>
      <c r="AZ240" s="6">
        <v>0</v>
      </c>
      <c r="BA240" s="5">
        <v>0</v>
      </c>
      <c r="BB240" s="6">
        <v>0</v>
      </c>
      <c r="BC240" s="5">
        <v>0</v>
      </c>
      <c r="BD240" s="6">
        <v>0</v>
      </c>
      <c r="BE240" s="5">
        <v>0</v>
      </c>
      <c r="BF240" s="6">
        <v>0</v>
      </c>
      <c r="BG240" s="5">
        <v>0</v>
      </c>
      <c r="BH240" s="9">
        <f t="shared" si="26"/>
        <v>430</v>
      </c>
      <c r="BI240" s="10">
        <f t="shared" si="27"/>
        <v>2178.3605828370082</v>
      </c>
      <c r="BJ240" s="6">
        <f t="shared" si="28"/>
        <v>83.767514032375288</v>
      </c>
      <c r="BK240" s="11">
        <f t="shared" si="29"/>
        <v>0.2419400761839782</v>
      </c>
      <c r="BL240" s="5">
        <f t="shared" si="30"/>
        <v>495.67070103435231</v>
      </c>
      <c r="BM240" s="11">
        <f t="shared" si="31"/>
        <v>0.29457044128852972</v>
      </c>
    </row>
    <row r="241" spans="1:65" ht="15" customHeight="1" x14ac:dyDescent="0.4">
      <c r="A241" s="2" t="s">
        <v>65</v>
      </c>
      <c r="B241" s="2" t="s">
        <v>66</v>
      </c>
      <c r="C241" s="2" t="s">
        <v>255</v>
      </c>
      <c r="D241" s="3" t="s">
        <v>134</v>
      </c>
      <c r="E241" s="3" t="s">
        <v>102</v>
      </c>
      <c r="F241" s="2" t="s">
        <v>103</v>
      </c>
      <c r="G241" s="4">
        <v>5</v>
      </c>
      <c r="H241" s="5">
        <v>4.8600000000000003</v>
      </c>
      <c r="I241" s="5">
        <v>5.0659548438069946</v>
      </c>
      <c r="J241" s="6">
        <v>0</v>
      </c>
      <c r="K241" s="5">
        <v>0</v>
      </c>
      <c r="L241" s="6">
        <v>0</v>
      </c>
      <c r="M241" s="5">
        <v>0</v>
      </c>
      <c r="N241" s="6">
        <v>0</v>
      </c>
      <c r="O241" s="5">
        <v>0</v>
      </c>
      <c r="P241" s="6">
        <v>0</v>
      </c>
      <c r="Q241" s="5">
        <v>0</v>
      </c>
      <c r="R241" s="6">
        <v>445.15605338694593</v>
      </c>
      <c r="S241" s="5">
        <v>2163.4584194605568</v>
      </c>
      <c r="T241" s="6">
        <v>0</v>
      </c>
      <c r="U241" s="5">
        <v>0</v>
      </c>
      <c r="V241" s="6">
        <v>0</v>
      </c>
      <c r="W241" s="5">
        <v>0</v>
      </c>
      <c r="X241" s="6">
        <v>0</v>
      </c>
      <c r="Y241" s="5">
        <v>0</v>
      </c>
      <c r="Z241" s="6">
        <v>0</v>
      </c>
      <c r="AA241" s="5">
        <v>0</v>
      </c>
      <c r="AB241" s="6">
        <v>0</v>
      </c>
      <c r="AC241" s="5">
        <v>0</v>
      </c>
      <c r="AD241" s="6">
        <v>0</v>
      </c>
      <c r="AE241" s="5">
        <v>0</v>
      </c>
      <c r="AF241" s="6">
        <v>0</v>
      </c>
      <c r="AG241" s="5">
        <v>0</v>
      </c>
      <c r="AH241" s="7">
        <f t="shared" si="24"/>
        <v>445.15605338694593</v>
      </c>
      <c r="AI241" s="8">
        <f t="shared" si="25"/>
        <v>2163.4584194605568</v>
      </c>
      <c r="AJ241" s="6">
        <v>0</v>
      </c>
      <c r="AK241" s="5">
        <v>0</v>
      </c>
      <c r="AL241" s="6">
        <v>0</v>
      </c>
      <c r="AM241" s="5">
        <v>0</v>
      </c>
      <c r="AN241" s="6">
        <v>0</v>
      </c>
      <c r="AO241" s="5">
        <v>0</v>
      </c>
      <c r="AP241" s="6">
        <v>0</v>
      </c>
      <c r="AQ241" s="5">
        <v>0</v>
      </c>
      <c r="AR241" s="6">
        <v>550</v>
      </c>
      <c r="AS241" s="5">
        <v>2786.2751640938482</v>
      </c>
      <c r="AT241" s="6">
        <v>0</v>
      </c>
      <c r="AU241" s="5">
        <v>0</v>
      </c>
      <c r="AV241" s="6">
        <v>0</v>
      </c>
      <c r="AW241" s="5">
        <v>0</v>
      </c>
      <c r="AX241" s="6">
        <v>0</v>
      </c>
      <c r="AY241" s="5">
        <v>0</v>
      </c>
      <c r="AZ241" s="6">
        <v>0</v>
      </c>
      <c r="BA241" s="5">
        <v>0</v>
      </c>
      <c r="BB241" s="6">
        <v>0</v>
      </c>
      <c r="BC241" s="5">
        <v>0</v>
      </c>
      <c r="BD241" s="6">
        <v>0</v>
      </c>
      <c r="BE241" s="5">
        <v>0</v>
      </c>
      <c r="BF241" s="6">
        <v>0</v>
      </c>
      <c r="BG241" s="5">
        <v>0</v>
      </c>
      <c r="BH241" s="9">
        <f t="shared" si="26"/>
        <v>550</v>
      </c>
      <c r="BI241" s="10">
        <f t="shared" si="27"/>
        <v>2786.2751640938482</v>
      </c>
      <c r="BJ241" s="6">
        <f t="shared" si="28"/>
        <v>104.84394661305407</v>
      </c>
      <c r="BK241" s="11">
        <f t="shared" si="29"/>
        <v>0.23552178121661951</v>
      </c>
      <c r="BL241" s="5">
        <f t="shared" si="30"/>
        <v>622.81674463329136</v>
      </c>
      <c r="BM241" s="11">
        <f t="shared" si="31"/>
        <v>0.28788015477024342</v>
      </c>
    </row>
    <row r="242" spans="1:65" ht="15" customHeight="1" x14ac:dyDescent="0.4">
      <c r="A242" s="2" t="s">
        <v>65</v>
      </c>
      <c r="B242" s="2" t="s">
        <v>66</v>
      </c>
      <c r="C242" s="2" t="s">
        <v>255</v>
      </c>
      <c r="D242" s="3" t="s">
        <v>134</v>
      </c>
      <c r="E242" s="3" t="s">
        <v>88</v>
      </c>
      <c r="F242" s="2" t="s">
        <v>89</v>
      </c>
      <c r="G242" s="4">
        <v>5</v>
      </c>
      <c r="H242" s="5">
        <v>2.2599999999999998</v>
      </c>
      <c r="I242" s="5">
        <v>2.3557732401242411</v>
      </c>
      <c r="J242" s="6">
        <v>0</v>
      </c>
      <c r="K242" s="5">
        <v>0</v>
      </c>
      <c r="L242" s="6">
        <v>1088.159241612535</v>
      </c>
      <c r="M242" s="5">
        <v>2459.2398860443282</v>
      </c>
      <c r="N242" s="6">
        <v>0</v>
      </c>
      <c r="O242" s="5">
        <v>0</v>
      </c>
      <c r="P242" s="6">
        <v>0</v>
      </c>
      <c r="Q242" s="5">
        <v>0</v>
      </c>
      <c r="R242" s="6">
        <v>0</v>
      </c>
      <c r="S242" s="5">
        <v>0</v>
      </c>
      <c r="T242" s="6">
        <v>0</v>
      </c>
      <c r="U242" s="5">
        <v>0</v>
      </c>
      <c r="V242" s="6">
        <v>0</v>
      </c>
      <c r="W242" s="5">
        <v>0</v>
      </c>
      <c r="X242" s="6">
        <v>0</v>
      </c>
      <c r="Y242" s="5">
        <v>0</v>
      </c>
      <c r="Z242" s="6">
        <v>0</v>
      </c>
      <c r="AA242" s="5">
        <v>0</v>
      </c>
      <c r="AB242" s="6">
        <v>0</v>
      </c>
      <c r="AC242" s="5">
        <v>0</v>
      </c>
      <c r="AD242" s="6">
        <v>0</v>
      </c>
      <c r="AE242" s="5">
        <v>0</v>
      </c>
      <c r="AF242" s="6">
        <v>0</v>
      </c>
      <c r="AG242" s="5">
        <v>0</v>
      </c>
      <c r="AH242" s="7">
        <f t="shared" si="24"/>
        <v>1088.159241612535</v>
      </c>
      <c r="AI242" s="8">
        <f t="shared" si="25"/>
        <v>2459.2398860443282</v>
      </c>
      <c r="AJ242" s="6">
        <v>0</v>
      </c>
      <c r="AK242" s="5">
        <v>0</v>
      </c>
      <c r="AL242" s="6">
        <v>1175</v>
      </c>
      <c r="AM242" s="5">
        <v>2768.0335571459832</v>
      </c>
      <c r="AN242" s="6">
        <v>0</v>
      </c>
      <c r="AO242" s="5">
        <v>0</v>
      </c>
      <c r="AP242" s="6">
        <v>0</v>
      </c>
      <c r="AQ242" s="5">
        <v>0</v>
      </c>
      <c r="AR242" s="6">
        <v>0</v>
      </c>
      <c r="AS242" s="5">
        <v>0</v>
      </c>
      <c r="AT242" s="6">
        <v>0</v>
      </c>
      <c r="AU242" s="5">
        <v>0</v>
      </c>
      <c r="AV242" s="6">
        <v>0</v>
      </c>
      <c r="AW242" s="5">
        <v>0</v>
      </c>
      <c r="AX242" s="6">
        <v>0</v>
      </c>
      <c r="AY242" s="5">
        <v>0</v>
      </c>
      <c r="AZ242" s="6">
        <v>0</v>
      </c>
      <c r="BA242" s="5">
        <v>0</v>
      </c>
      <c r="BB242" s="6">
        <v>0</v>
      </c>
      <c r="BC242" s="5">
        <v>0</v>
      </c>
      <c r="BD242" s="6">
        <v>0</v>
      </c>
      <c r="BE242" s="5">
        <v>0</v>
      </c>
      <c r="BF242" s="6">
        <v>0</v>
      </c>
      <c r="BG242" s="5">
        <v>0</v>
      </c>
      <c r="BH242" s="9">
        <f t="shared" si="26"/>
        <v>1175</v>
      </c>
      <c r="BI242" s="10">
        <f t="shared" si="27"/>
        <v>2768.0335571459832</v>
      </c>
      <c r="BJ242" s="6">
        <f t="shared" si="28"/>
        <v>86.84075838746503</v>
      </c>
      <c r="BK242" s="11">
        <f t="shared" si="29"/>
        <v>7.9805193088078138E-2</v>
      </c>
      <c r="BL242" s="5">
        <f t="shared" si="30"/>
        <v>308.79367110165504</v>
      </c>
      <c r="BM242" s="11">
        <f t="shared" si="31"/>
        <v>0.12556468071862145</v>
      </c>
    </row>
    <row r="243" spans="1:65" ht="15" customHeight="1" x14ac:dyDescent="0.4">
      <c r="A243" s="2" t="s">
        <v>65</v>
      </c>
      <c r="B243" s="2" t="s">
        <v>66</v>
      </c>
      <c r="C243" s="2" t="s">
        <v>255</v>
      </c>
      <c r="D243" s="3" t="s">
        <v>134</v>
      </c>
      <c r="E243" s="3" t="s">
        <v>120</v>
      </c>
      <c r="F243" s="2" t="s">
        <v>121</v>
      </c>
      <c r="G243" s="4">
        <v>5</v>
      </c>
      <c r="H243" s="5">
        <v>4</v>
      </c>
      <c r="I243" s="5">
        <v>4.1695101595119306</v>
      </c>
      <c r="J243" s="6">
        <v>0</v>
      </c>
      <c r="K243" s="5">
        <v>0</v>
      </c>
      <c r="L243" s="6">
        <v>296.77070225796399</v>
      </c>
      <c r="M243" s="5">
        <v>1187.082809031856</v>
      </c>
      <c r="N243" s="6">
        <v>0</v>
      </c>
      <c r="O243" s="5">
        <v>0</v>
      </c>
      <c r="P243" s="6">
        <v>0</v>
      </c>
      <c r="Q243" s="5">
        <v>0</v>
      </c>
      <c r="R243" s="6">
        <v>0</v>
      </c>
      <c r="S243" s="5">
        <v>0</v>
      </c>
      <c r="T243" s="6">
        <v>0</v>
      </c>
      <c r="U243" s="5">
        <v>0</v>
      </c>
      <c r="V243" s="6">
        <v>0</v>
      </c>
      <c r="W243" s="5">
        <v>0</v>
      </c>
      <c r="X243" s="6">
        <v>0</v>
      </c>
      <c r="Y243" s="5">
        <v>0</v>
      </c>
      <c r="Z243" s="6">
        <v>0</v>
      </c>
      <c r="AA243" s="5">
        <v>0</v>
      </c>
      <c r="AB243" s="6">
        <v>0</v>
      </c>
      <c r="AC243" s="5">
        <v>0</v>
      </c>
      <c r="AD243" s="6">
        <v>0</v>
      </c>
      <c r="AE243" s="5">
        <v>0</v>
      </c>
      <c r="AF243" s="6">
        <v>0</v>
      </c>
      <c r="AG243" s="5">
        <v>0</v>
      </c>
      <c r="AH243" s="7">
        <f t="shared" si="24"/>
        <v>296.77070225796399</v>
      </c>
      <c r="AI243" s="8">
        <f t="shared" si="25"/>
        <v>1187.082809031856</v>
      </c>
      <c r="AJ243" s="6">
        <v>0</v>
      </c>
      <c r="AK243" s="5">
        <v>0</v>
      </c>
      <c r="AL243" s="6">
        <v>315</v>
      </c>
      <c r="AM243" s="5">
        <v>1313.395700246258</v>
      </c>
      <c r="AN243" s="6">
        <v>0</v>
      </c>
      <c r="AO243" s="5">
        <v>0</v>
      </c>
      <c r="AP243" s="6">
        <v>0</v>
      </c>
      <c r="AQ243" s="5">
        <v>0</v>
      </c>
      <c r="AR243" s="6">
        <v>0</v>
      </c>
      <c r="AS243" s="5">
        <v>0</v>
      </c>
      <c r="AT243" s="6">
        <v>0</v>
      </c>
      <c r="AU243" s="5">
        <v>0</v>
      </c>
      <c r="AV243" s="6">
        <v>0</v>
      </c>
      <c r="AW243" s="5">
        <v>0</v>
      </c>
      <c r="AX243" s="6">
        <v>0</v>
      </c>
      <c r="AY243" s="5">
        <v>0</v>
      </c>
      <c r="AZ243" s="6">
        <v>0</v>
      </c>
      <c r="BA243" s="5">
        <v>0</v>
      </c>
      <c r="BB243" s="6">
        <v>0</v>
      </c>
      <c r="BC243" s="5">
        <v>0</v>
      </c>
      <c r="BD243" s="6">
        <v>0</v>
      </c>
      <c r="BE243" s="5">
        <v>0</v>
      </c>
      <c r="BF243" s="6">
        <v>0</v>
      </c>
      <c r="BG243" s="5">
        <v>0</v>
      </c>
      <c r="BH243" s="9">
        <f t="shared" si="26"/>
        <v>315</v>
      </c>
      <c r="BI243" s="10">
        <f t="shared" si="27"/>
        <v>1313.395700246258</v>
      </c>
      <c r="BJ243" s="6">
        <f t="shared" si="28"/>
        <v>18.22929774203601</v>
      </c>
      <c r="BK243" s="11">
        <f t="shared" si="29"/>
        <v>6.1425530227004803E-2</v>
      </c>
      <c r="BL243" s="5">
        <f t="shared" si="30"/>
        <v>126.31289121440204</v>
      </c>
      <c r="BM243" s="11">
        <f t="shared" si="31"/>
        <v>0.10640613296170846</v>
      </c>
    </row>
    <row r="244" spans="1:65" ht="15" customHeight="1" x14ac:dyDescent="0.4">
      <c r="A244" s="2" t="s">
        <v>65</v>
      </c>
      <c r="B244" s="2" t="s">
        <v>66</v>
      </c>
      <c r="C244" s="2" t="s">
        <v>255</v>
      </c>
      <c r="D244" s="3" t="s">
        <v>134</v>
      </c>
      <c r="E244" s="3" t="s">
        <v>201</v>
      </c>
      <c r="F244" s="2" t="s">
        <v>202</v>
      </c>
      <c r="G244" s="4">
        <v>5</v>
      </c>
      <c r="H244" s="5">
        <v>4.46</v>
      </c>
      <c r="I244" s="5">
        <v>4.6490038278558021</v>
      </c>
      <c r="J244" s="6">
        <v>0</v>
      </c>
      <c r="K244" s="5">
        <v>0</v>
      </c>
      <c r="L244" s="6">
        <v>593.54140451592798</v>
      </c>
      <c r="M244" s="5">
        <v>2647.1946641410391</v>
      </c>
      <c r="N244" s="6">
        <v>0</v>
      </c>
      <c r="O244" s="5">
        <v>0</v>
      </c>
      <c r="P244" s="6">
        <v>0</v>
      </c>
      <c r="Q244" s="5">
        <v>0</v>
      </c>
      <c r="R244" s="6">
        <v>356.12484270955679</v>
      </c>
      <c r="S244" s="5">
        <v>1588.316798484623</v>
      </c>
      <c r="T244" s="6">
        <v>0</v>
      </c>
      <c r="U244" s="5">
        <v>0</v>
      </c>
      <c r="V244" s="6">
        <v>0</v>
      </c>
      <c r="W244" s="5">
        <v>0</v>
      </c>
      <c r="X244" s="6">
        <v>0</v>
      </c>
      <c r="Y244" s="5">
        <v>0</v>
      </c>
      <c r="Z244" s="6">
        <v>0</v>
      </c>
      <c r="AA244" s="5">
        <v>0</v>
      </c>
      <c r="AB244" s="6">
        <v>0</v>
      </c>
      <c r="AC244" s="5">
        <v>0</v>
      </c>
      <c r="AD244" s="6">
        <v>0</v>
      </c>
      <c r="AE244" s="5">
        <v>0</v>
      </c>
      <c r="AF244" s="6">
        <v>0</v>
      </c>
      <c r="AG244" s="5">
        <v>0</v>
      </c>
      <c r="AH244" s="7">
        <f t="shared" si="24"/>
        <v>949.66624722548477</v>
      </c>
      <c r="AI244" s="8">
        <f t="shared" si="25"/>
        <v>4235.5114626256618</v>
      </c>
      <c r="AJ244" s="6">
        <v>0</v>
      </c>
      <c r="AK244" s="5">
        <v>0</v>
      </c>
      <c r="AL244" s="6">
        <v>625</v>
      </c>
      <c r="AM244" s="5">
        <v>2905.6273924098759</v>
      </c>
      <c r="AN244" s="6">
        <v>0</v>
      </c>
      <c r="AO244" s="5">
        <v>0</v>
      </c>
      <c r="AP244" s="6">
        <v>0</v>
      </c>
      <c r="AQ244" s="5">
        <v>0</v>
      </c>
      <c r="AR244" s="6">
        <v>375</v>
      </c>
      <c r="AS244" s="5">
        <v>1743.3764354459261</v>
      </c>
      <c r="AT244" s="6">
        <v>0</v>
      </c>
      <c r="AU244" s="5">
        <v>0</v>
      </c>
      <c r="AV244" s="6">
        <v>0</v>
      </c>
      <c r="AW244" s="5">
        <v>0</v>
      </c>
      <c r="AX244" s="6">
        <v>0</v>
      </c>
      <c r="AY244" s="5">
        <v>0</v>
      </c>
      <c r="AZ244" s="6">
        <v>0</v>
      </c>
      <c r="BA244" s="5">
        <v>0</v>
      </c>
      <c r="BB244" s="6">
        <v>0</v>
      </c>
      <c r="BC244" s="5">
        <v>0</v>
      </c>
      <c r="BD244" s="6">
        <v>0</v>
      </c>
      <c r="BE244" s="5">
        <v>0</v>
      </c>
      <c r="BF244" s="6">
        <v>0</v>
      </c>
      <c r="BG244" s="5">
        <v>0</v>
      </c>
      <c r="BH244" s="9">
        <f t="shared" si="26"/>
        <v>1000</v>
      </c>
      <c r="BI244" s="10">
        <f t="shared" si="27"/>
        <v>4649.0038278558022</v>
      </c>
      <c r="BJ244" s="6">
        <f t="shared" si="28"/>
        <v>50.333752774515233</v>
      </c>
      <c r="BK244" s="11">
        <f t="shared" si="29"/>
        <v>5.3001518082346037E-2</v>
      </c>
      <c r="BL244" s="5">
        <f t="shared" si="30"/>
        <v>413.49236523014042</v>
      </c>
      <c r="BM244" s="11">
        <f t="shared" si="31"/>
        <v>9.76251319064569E-2</v>
      </c>
    </row>
    <row r="245" spans="1:65" ht="15" customHeight="1" x14ac:dyDescent="0.4">
      <c r="A245" s="2" t="s">
        <v>65</v>
      </c>
      <c r="B245" s="2" t="s">
        <v>66</v>
      </c>
      <c r="C245" s="2" t="s">
        <v>256</v>
      </c>
      <c r="D245" s="3" t="s">
        <v>134</v>
      </c>
      <c r="E245" s="3" t="s">
        <v>154</v>
      </c>
      <c r="F245" s="2" t="s">
        <v>155</v>
      </c>
      <c r="G245" s="4">
        <v>20</v>
      </c>
      <c r="H245" s="5">
        <v>3.3</v>
      </c>
      <c r="I245" s="5">
        <v>3.4398458815973432</v>
      </c>
      <c r="J245" s="6">
        <v>0</v>
      </c>
      <c r="K245" s="5">
        <v>0</v>
      </c>
      <c r="L245" s="6">
        <v>0</v>
      </c>
      <c r="M245" s="5">
        <v>0</v>
      </c>
      <c r="N245" s="6">
        <v>0</v>
      </c>
      <c r="O245" s="5">
        <v>0</v>
      </c>
      <c r="P245" s="6">
        <v>0</v>
      </c>
      <c r="Q245" s="5">
        <v>0</v>
      </c>
      <c r="R245" s="6">
        <v>1266.221662967313</v>
      </c>
      <c r="S245" s="5">
        <v>4178.5314877921328</v>
      </c>
      <c r="T245" s="6">
        <v>633.11083148365651</v>
      </c>
      <c r="U245" s="5">
        <v>2089.2657438960659</v>
      </c>
      <c r="V245" s="6">
        <v>633.11083148365651</v>
      </c>
      <c r="W245" s="5">
        <v>2089.2657438960659</v>
      </c>
      <c r="X245" s="6">
        <v>0</v>
      </c>
      <c r="Y245" s="5">
        <v>0</v>
      </c>
      <c r="Z245" s="6">
        <v>0</v>
      </c>
      <c r="AA245" s="5">
        <v>0</v>
      </c>
      <c r="AB245" s="6">
        <v>0</v>
      </c>
      <c r="AC245" s="5">
        <v>0</v>
      </c>
      <c r="AD245" s="6">
        <v>0</v>
      </c>
      <c r="AE245" s="5">
        <v>0</v>
      </c>
      <c r="AF245" s="6">
        <v>0</v>
      </c>
      <c r="AG245" s="5">
        <v>0</v>
      </c>
      <c r="AH245" s="7">
        <f t="shared" si="24"/>
        <v>2532.443325934626</v>
      </c>
      <c r="AI245" s="8">
        <f t="shared" si="25"/>
        <v>8357.0629755842638</v>
      </c>
      <c r="AJ245" s="6">
        <v>0</v>
      </c>
      <c r="AK245" s="5">
        <v>0</v>
      </c>
      <c r="AL245" s="6">
        <v>0</v>
      </c>
      <c r="AM245" s="5">
        <v>0</v>
      </c>
      <c r="AN245" s="6">
        <v>0</v>
      </c>
      <c r="AO245" s="5">
        <v>0</v>
      </c>
      <c r="AP245" s="6">
        <v>0</v>
      </c>
      <c r="AQ245" s="5">
        <v>0</v>
      </c>
      <c r="AR245" s="6">
        <v>1500</v>
      </c>
      <c r="AS245" s="5">
        <v>5159.768822396014</v>
      </c>
      <c r="AT245" s="6">
        <v>740</v>
      </c>
      <c r="AU245" s="5">
        <v>2545.4859523820342</v>
      </c>
      <c r="AV245" s="6">
        <v>740</v>
      </c>
      <c r="AW245" s="5">
        <v>2545.4859523820342</v>
      </c>
      <c r="AX245" s="6">
        <v>0</v>
      </c>
      <c r="AY245" s="5">
        <v>0</v>
      </c>
      <c r="AZ245" s="6">
        <v>0</v>
      </c>
      <c r="BA245" s="5">
        <v>0</v>
      </c>
      <c r="BB245" s="6">
        <v>0</v>
      </c>
      <c r="BC245" s="5">
        <v>0</v>
      </c>
      <c r="BD245" s="6">
        <v>0</v>
      </c>
      <c r="BE245" s="5">
        <v>0</v>
      </c>
      <c r="BF245" s="6">
        <v>0</v>
      </c>
      <c r="BG245" s="5">
        <v>0</v>
      </c>
      <c r="BH245" s="9">
        <f t="shared" si="26"/>
        <v>2980</v>
      </c>
      <c r="BI245" s="10">
        <f t="shared" si="27"/>
        <v>10250.740727160082</v>
      </c>
      <c r="BJ245" s="6">
        <f t="shared" si="28"/>
        <v>447.55667406537395</v>
      </c>
      <c r="BK245" s="11">
        <f t="shared" si="29"/>
        <v>0.1767291964570217</v>
      </c>
      <c r="BL245" s="5">
        <f t="shared" si="30"/>
        <v>1893.6777515758185</v>
      </c>
      <c r="BM245" s="11">
        <f t="shared" si="31"/>
        <v>0.22659608490546604</v>
      </c>
    </row>
    <row r="246" spans="1:65" ht="15" customHeight="1" x14ac:dyDescent="0.4">
      <c r="A246" s="2" t="s">
        <v>65</v>
      </c>
      <c r="B246" s="2" t="s">
        <v>66</v>
      </c>
      <c r="C246" s="2" t="s">
        <v>256</v>
      </c>
      <c r="D246" s="3" t="s">
        <v>134</v>
      </c>
      <c r="E246" s="3" t="s">
        <v>82</v>
      </c>
      <c r="F246" s="2" t="s">
        <v>83</v>
      </c>
      <c r="G246" s="4">
        <v>20</v>
      </c>
      <c r="H246" s="5">
        <v>3.31</v>
      </c>
      <c r="I246" s="5">
        <v>3.450269656996122</v>
      </c>
      <c r="J246" s="6">
        <v>0</v>
      </c>
      <c r="K246" s="5">
        <v>0</v>
      </c>
      <c r="L246" s="6">
        <v>0</v>
      </c>
      <c r="M246" s="5">
        <v>0</v>
      </c>
      <c r="N246" s="6">
        <v>0</v>
      </c>
      <c r="O246" s="5">
        <v>0</v>
      </c>
      <c r="P246" s="6">
        <v>0</v>
      </c>
      <c r="Q246" s="5">
        <v>0</v>
      </c>
      <c r="R246" s="6">
        <v>1266.221662967313</v>
      </c>
      <c r="S246" s="5">
        <v>4191.1937044218057</v>
      </c>
      <c r="T246" s="6">
        <v>0</v>
      </c>
      <c r="U246" s="5">
        <v>0</v>
      </c>
      <c r="V246" s="6">
        <v>0</v>
      </c>
      <c r="W246" s="5">
        <v>0</v>
      </c>
      <c r="X246" s="6">
        <v>0</v>
      </c>
      <c r="Y246" s="5">
        <v>0</v>
      </c>
      <c r="Z246" s="6">
        <v>0</v>
      </c>
      <c r="AA246" s="5">
        <v>0</v>
      </c>
      <c r="AB246" s="6">
        <v>0</v>
      </c>
      <c r="AC246" s="5">
        <v>0</v>
      </c>
      <c r="AD246" s="6">
        <v>0</v>
      </c>
      <c r="AE246" s="5">
        <v>0</v>
      </c>
      <c r="AF246" s="6">
        <v>0</v>
      </c>
      <c r="AG246" s="5">
        <v>0</v>
      </c>
      <c r="AH246" s="7">
        <f t="shared" si="24"/>
        <v>1266.221662967313</v>
      </c>
      <c r="AI246" s="8">
        <f t="shared" si="25"/>
        <v>4191.1937044218057</v>
      </c>
      <c r="AJ246" s="6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6">
        <v>0</v>
      </c>
      <c r="AQ246" s="5">
        <v>0</v>
      </c>
      <c r="AR246" s="6">
        <v>1360</v>
      </c>
      <c r="AS246" s="5">
        <v>4692.3667335147256</v>
      </c>
      <c r="AT246" s="6">
        <v>0</v>
      </c>
      <c r="AU246" s="5">
        <v>0</v>
      </c>
      <c r="AV246" s="6">
        <v>0</v>
      </c>
      <c r="AW246" s="5">
        <v>0</v>
      </c>
      <c r="AX246" s="6">
        <v>0</v>
      </c>
      <c r="AY246" s="5">
        <v>0</v>
      </c>
      <c r="AZ246" s="6">
        <v>0</v>
      </c>
      <c r="BA246" s="5">
        <v>0</v>
      </c>
      <c r="BB246" s="6">
        <v>0</v>
      </c>
      <c r="BC246" s="5">
        <v>0</v>
      </c>
      <c r="BD246" s="6">
        <v>0</v>
      </c>
      <c r="BE246" s="5">
        <v>0</v>
      </c>
      <c r="BF246" s="6">
        <v>0</v>
      </c>
      <c r="BG246" s="5">
        <v>0</v>
      </c>
      <c r="BH246" s="9">
        <f t="shared" si="26"/>
        <v>1360</v>
      </c>
      <c r="BI246" s="10">
        <f t="shared" si="27"/>
        <v>4692.3667335147256</v>
      </c>
      <c r="BJ246" s="6">
        <f t="shared" si="28"/>
        <v>93.778337032686977</v>
      </c>
      <c r="BK246" s="11">
        <f t="shared" si="29"/>
        <v>7.4061548443992958E-2</v>
      </c>
      <c r="BL246" s="5">
        <f t="shared" si="30"/>
        <v>501.17302909291993</v>
      </c>
      <c r="BM246" s="11">
        <f t="shared" si="31"/>
        <v>0.11957763454458592</v>
      </c>
    </row>
    <row r="247" spans="1:65" ht="15" customHeight="1" x14ac:dyDescent="0.4">
      <c r="A247" s="2" t="s">
        <v>65</v>
      </c>
      <c r="B247" s="2" t="s">
        <v>66</v>
      </c>
      <c r="C247" s="2" t="s">
        <v>256</v>
      </c>
      <c r="D247" s="3" t="s">
        <v>134</v>
      </c>
      <c r="E247" s="3" t="s">
        <v>79</v>
      </c>
      <c r="F247" s="2" t="s">
        <v>80</v>
      </c>
      <c r="G247" s="4">
        <v>20</v>
      </c>
      <c r="H247" s="5">
        <v>3.3266666666666662</v>
      </c>
      <c r="I247" s="5">
        <v>3.4676426159940892</v>
      </c>
      <c r="J247" s="6">
        <v>0</v>
      </c>
      <c r="K247" s="5">
        <v>0</v>
      </c>
      <c r="L247" s="6">
        <v>0</v>
      </c>
      <c r="M247" s="5">
        <v>0</v>
      </c>
      <c r="N247" s="6">
        <v>0</v>
      </c>
      <c r="O247" s="5">
        <v>0</v>
      </c>
      <c r="P247" s="6">
        <v>0</v>
      </c>
      <c r="Q247" s="5">
        <v>0</v>
      </c>
      <c r="R247" s="6">
        <v>0</v>
      </c>
      <c r="S247" s="5">
        <v>0</v>
      </c>
      <c r="T247" s="6">
        <v>0</v>
      </c>
      <c r="U247" s="5">
        <v>0</v>
      </c>
      <c r="V247" s="6">
        <v>1266.221662967313</v>
      </c>
      <c r="W247" s="5">
        <v>4406.4513871262488</v>
      </c>
      <c r="X247" s="6">
        <v>633.11083148365651</v>
      </c>
      <c r="Y247" s="5">
        <v>1911.994711080642</v>
      </c>
      <c r="Z247" s="6">
        <v>0</v>
      </c>
      <c r="AA247" s="5">
        <v>0</v>
      </c>
      <c r="AB247" s="6">
        <v>0</v>
      </c>
      <c r="AC247" s="5">
        <v>0</v>
      </c>
      <c r="AD247" s="6">
        <v>0</v>
      </c>
      <c r="AE247" s="5">
        <v>0</v>
      </c>
      <c r="AF247" s="6">
        <v>0</v>
      </c>
      <c r="AG247" s="5">
        <v>0</v>
      </c>
      <c r="AH247" s="7">
        <f t="shared" si="24"/>
        <v>1899.3324944509695</v>
      </c>
      <c r="AI247" s="8">
        <f t="shared" si="25"/>
        <v>6318.4460982068904</v>
      </c>
      <c r="AJ247" s="6">
        <v>0</v>
      </c>
      <c r="AK247" s="5">
        <v>0</v>
      </c>
      <c r="AL247" s="6">
        <v>0</v>
      </c>
      <c r="AM247" s="5">
        <v>0</v>
      </c>
      <c r="AN247" s="6">
        <v>0</v>
      </c>
      <c r="AO247" s="5">
        <v>0</v>
      </c>
      <c r="AP247" s="6">
        <v>0</v>
      </c>
      <c r="AQ247" s="5">
        <v>0</v>
      </c>
      <c r="AR247" s="6">
        <v>0</v>
      </c>
      <c r="AS247" s="5">
        <v>0</v>
      </c>
      <c r="AT247" s="6">
        <v>0</v>
      </c>
      <c r="AU247" s="5">
        <v>0</v>
      </c>
      <c r="AV247" s="6">
        <v>1360</v>
      </c>
      <c r="AW247" s="5">
        <v>4933.364420734516</v>
      </c>
      <c r="AX247" s="6">
        <v>680</v>
      </c>
      <c r="AY247" s="5">
        <v>2140.6265158934252</v>
      </c>
      <c r="AZ247" s="6">
        <v>0</v>
      </c>
      <c r="BA247" s="5">
        <v>0</v>
      </c>
      <c r="BB247" s="6">
        <v>0</v>
      </c>
      <c r="BC247" s="5">
        <v>0</v>
      </c>
      <c r="BD247" s="6">
        <v>0</v>
      </c>
      <c r="BE247" s="5">
        <v>0</v>
      </c>
      <c r="BF247" s="6">
        <v>0</v>
      </c>
      <c r="BG247" s="5">
        <v>0</v>
      </c>
      <c r="BH247" s="9">
        <f t="shared" si="26"/>
        <v>2040</v>
      </c>
      <c r="BI247" s="10">
        <f t="shared" si="27"/>
        <v>7073.9909366279408</v>
      </c>
      <c r="BJ247" s="6">
        <f t="shared" si="28"/>
        <v>140.66750554903047</v>
      </c>
      <c r="BK247" s="11">
        <f t="shared" si="29"/>
        <v>7.4061548443992958E-2</v>
      </c>
      <c r="BL247" s="5">
        <f t="shared" si="30"/>
        <v>755.54483842105037</v>
      </c>
      <c r="BM247" s="11">
        <f t="shared" si="31"/>
        <v>0.11957763454458624</v>
      </c>
    </row>
    <row r="248" spans="1:65" ht="15" customHeight="1" x14ac:dyDescent="0.4">
      <c r="A248" s="2" t="s">
        <v>65</v>
      </c>
      <c r="B248" s="2" t="s">
        <v>66</v>
      </c>
      <c r="C248" s="2" t="s">
        <v>256</v>
      </c>
      <c r="D248" s="3" t="s">
        <v>134</v>
      </c>
      <c r="E248" s="3" t="s">
        <v>94</v>
      </c>
      <c r="F248" s="2" t="s">
        <v>95</v>
      </c>
      <c r="G248" s="4">
        <v>20</v>
      </c>
      <c r="H248" s="5">
        <v>2.339999999999999</v>
      </c>
      <c r="I248" s="5">
        <v>2.4391634433144791</v>
      </c>
      <c r="J248" s="6">
        <v>0</v>
      </c>
      <c r="K248" s="5">
        <v>0</v>
      </c>
      <c r="L248" s="6">
        <v>0</v>
      </c>
      <c r="M248" s="5">
        <v>0</v>
      </c>
      <c r="N248" s="6">
        <v>0</v>
      </c>
      <c r="O248" s="5">
        <v>0</v>
      </c>
      <c r="P248" s="6">
        <v>0</v>
      </c>
      <c r="Q248" s="5">
        <v>0</v>
      </c>
      <c r="R248" s="6">
        <v>1266.221662967313</v>
      </c>
      <c r="S248" s="5">
        <v>2962.9586913435119</v>
      </c>
      <c r="T248" s="6">
        <v>0</v>
      </c>
      <c r="U248" s="5">
        <v>0</v>
      </c>
      <c r="V248" s="6">
        <v>0</v>
      </c>
      <c r="W248" s="5">
        <v>0</v>
      </c>
      <c r="X248" s="6">
        <v>0</v>
      </c>
      <c r="Y248" s="5">
        <v>0</v>
      </c>
      <c r="Z248" s="6">
        <v>0</v>
      </c>
      <c r="AA248" s="5">
        <v>0</v>
      </c>
      <c r="AB248" s="6">
        <v>0</v>
      </c>
      <c r="AC248" s="5">
        <v>0</v>
      </c>
      <c r="AD248" s="6">
        <v>0</v>
      </c>
      <c r="AE248" s="5">
        <v>0</v>
      </c>
      <c r="AF248" s="6">
        <v>0</v>
      </c>
      <c r="AG248" s="5">
        <v>0</v>
      </c>
      <c r="AH248" s="7">
        <f t="shared" si="24"/>
        <v>1266.221662967313</v>
      </c>
      <c r="AI248" s="8">
        <f t="shared" si="25"/>
        <v>2962.9586913435119</v>
      </c>
      <c r="AJ248" s="6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6">
        <v>0</v>
      </c>
      <c r="AQ248" s="5">
        <v>0</v>
      </c>
      <c r="AR248" s="6">
        <v>1340</v>
      </c>
      <c r="AS248" s="5">
        <v>3268.479014041402</v>
      </c>
      <c r="AT248" s="6">
        <v>0</v>
      </c>
      <c r="AU248" s="5">
        <v>0</v>
      </c>
      <c r="AV248" s="6">
        <v>0</v>
      </c>
      <c r="AW248" s="5">
        <v>0</v>
      </c>
      <c r="AX248" s="6">
        <v>0</v>
      </c>
      <c r="AY248" s="5">
        <v>0</v>
      </c>
      <c r="AZ248" s="6">
        <v>0</v>
      </c>
      <c r="BA248" s="5">
        <v>0</v>
      </c>
      <c r="BB248" s="6">
        <v>0</v>
      </c>
      <c r="BC248" s="5">
        <v>0</v>
      </c>
      <c r="BD248" s="6">
        <v>0</v>
      </c>
      <c r="BE248" s="5">
        <v>0</v>
      </c>
      <c r="BF248" s="6">
        <v>0</v>
      </c>
      <c r="BG248" s="5">
        <v>0</v>
      </c>
      <c r="BH248" s="9">
        <f t="shared" si="26"/>
        <v>1340</v>
      </c>
      <c r="BI248" s="10">
        <f t="shared" si="27"/>
        <v>3268.479014041402</v>
      </c>
      <c r="BJ248" s="6">
        <f t="shared" si="28"/>
        <v>73.778337032686977</v>
      </c>
      <c r="BK248" s="11">
        <f t="shared" si="29"/>
        <v>5.8266525672757766E-2</v>
      </c>
      <c r="BL248" s="5">
        <f t="shared" si="30"/>
        <v>305.52032269789015</v>
      </c>
      <c r="BM248" s="11">
        <f t="shared" si="31"/>
        <v>0.10311325756598931</v>
      </c>
    </row>
    <row r="249" spans="1:65" ht="15" customHeight="1" x14ac:dyDescent="0.4">
      <c r="A249" s="2" t="s">
        <v>65</v>
      </c>
      <c r="B249" s="2" t="s">
        <v>66</v>
      </c>
      <c r="C249" s="2" t="s">
        <v>257</v>
      </c>
      <c r="D249" s="3" t="s">
        <v>101</v>
      </c>
      <c r="E249" s="3" t="s">
        <v>69</v>
      </c>
      <c r="F249" s="2" t="s">
        <v>192</v>
      </c>
      <c r="G249" s="4">
        <v>20</v>
      </c>
      <c r="H249" s="5">
        <v>5.1199999999999992</v>
      </c>
      <c r="I249" s="5">
        <v>5.3369730041752703</v>
      </c>
      <c r="J249" s="6">
        <v>0</v>
      </c>
      <c r="K249" s="5">
        <v>0</v>
      </c>
      <c r="L249" s="6">
        <v>0</v>
      </c>
      <c r="M249" s="5">
        <v>0</v>
      </c>
      <c r="N249" s="6">
        <v>0</v>
      </c>
      <c r="O249" s="5">
        <v>0</v>
      </c>
      <c r="P249" s="6">
        <v>0</v>
      </c>
      <c r="Q249" s="5">
        <v>0</v>
      </c>
      <c r="R249" s="6">
        <v>197.84713483864269</v>
      </c>
      <c r="S249" s="5">
        <v>1012.97733037385</v>
      </c>
      <c r="T249" s="6">
        <v>0</v>
      </c>
      <c r="U249" s="5">
        <v>0</v>
      </c>
      <c r="V249" s="6">
        <v>0</v>
      </c>
      <c r="W249" s="5">
        <v>0</v>
      </c>
      <c r="X249" s="6">
        <v>0</v>
      </c>
      <c r="Y249" s="5">
        <v>0</v>
      </c>
      <c r="Z249" s="6">
        <v>0</v>
      </c>
      <c r="AA249" s="5">
        <v>0</v>
      </c>
      <c r="AB249" s="6">
        <v>0</v>
      </c>
      <c r="AC249" s="5">
        <v>0</v>
      </c>
      <c r="AD249" s="6">
        <v>0</v>
      </c>
      <c r="AE249" s="5">
        <v>0</v>
      </c>
      <c r="AF249" s="6">
        <v>0</v>
      </c>
      <c r="AG249" s="5">
        <v>0</v>
      </c>
      <c r="AH249" s="7">
        <f t="shared" si="24"/>
        <v>197.84713483864269</v>
      </c>
      <c r="AI249" s="8">
        <f t="shared" si="25"/>
        <v>1012.97733037385</v>
      </c>
      <c r="AJ249" s="6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6">
        <v>0</v>
      </c>
      <c r="AQ249" s="5">
        <v>0</v>
      </c>
      <c r="AR249" s="6">
        <v>260</v>
      </c>
      <c r="AS249" s="5">
        <v>1387.61298108557</v>
      </c>
      <c r="AT249" s="6">
        <v>0</v>
      </c>
      <c r="AU249" s="5">
        <v>0</v>
      </c>
      <c r="AV249" s="6">
        <v>0</v>
      </c>
      <c r="AW249" s="5">
        <v>0</v>
      </c>
      <c r="AX249" s="6">
        <v>0</v>
      </c>
      <c r="AY249" s="5">
        <v>0</v>
      </c>
      <c r="AZ249" s="6">
        <v>0</v>
      </c>
      <c r="BA249" s="5">
        <v>0</v>
      </c>
      <c r="BB249" s="6">
        <v>0</v>
      </c>
      <c r="BC249" s="5">
        <v>0</v>
      </c>
      <c r="BD249" s="6">
        <v>0</v>
      </c>
      <c r="BE249" s="5">
        <v>0</v>
      </c>
      <c r="BF249" s="6">
        <v>0</v>
      </c>
      <c r="BG249" s="5">
        <v>0</v>
      </c>
      <c r="BH249" s="9">
        <f t="shared" si="26"/>
        <v>260</v>
      </c>
      <c r="BI249" s="10">
        <f t="shared" si="27"/>
        <v>1387.61298108557</v>
      </c>
      <c r="BJ249" s="6">
        <f t="shared" si="28"/>
        <v>62.152865161357312</v>
      </c>
      <c r="BK249" s="11">
        <f t="shared" si="29"/>
        <v>0.31414589456676767</v>
      </c>
      <c r="BL249" s="5">
        <f t="shared" si="30"/>
        <v>374.63565071172002</v>
      </c>
      <c r="BM249" s="11">
        <f t="shared" si="31"/>
        <v>0.36983616461925833</v>
      </c>
    </row>
    <row r="250" spans="1:65" ht="15" customHeight="1" x14ac:dyDescent="0.4">
      <c r="A250" s="2" t="s">
        <v>65</v>
      </c>
      <c r="B250" s="2" t="s">
        <v>66</v>
      </c>
      <c r="C250" s="2" t="s">
        <v>257</v>
      </c>
      <c r="D250" s="3" t="s">
        <v>101</v>
      </c>
      <c r="E250" s="3" t="s">
        <v>154</v>
      </c>
      <c r="F250" s="2" t="s">
        <v>155</v>
      </c>
      <c r="G250" s="4">
        <v>20</v>
      </c>
      <c r="H250" s="5">
        <v>3.330000000000001</v>
      </c>
      <c r="I250" s="5">
        <v>3.4711172077936832</v>
      </c>
      <c r="J250" s="6">
        <v>0</v>
      </c>
      <c r="K250" s="5">
        <v>0</v>
      </c>
      <c r="L250" s="6">
        <v>0</v>
      </c>
      <c r="M250" s="5">
        <v>0</v>
      </c>
      <c r="N250" s="6">
        <v>0</v>
      </c>
      <c r="O250" s="5">
        <v>0</v>
      </c>
      <c r="P250" s="6">
        <v>0</v>
      </c>
      <c r="Q250" s="5">
        <v>0</v>
      </c>
      <c r="R250" s="6">
        <v>435.26369664501379</v>
      </c>
      <c r="S250" s="5">
        <v>1449.4281098278959</v>
      </c>
      <c r="T250" s="6">
        <v>0</v>
      </c>
      <c r="U250" s="5">
        <v>0</v>
      </c>
      <c r="V250" s="6">
        <v>0</v>
      </c>
      <c r="W250" s="5">
        <v>0</v>
      </c>
      <c r="X250" s="6">
        <v>0</v>
      </c>
      <c r="Y250" s="5">
        <v>0</v>
      </c>
      <c r="Z250" s="6">
        <v>0</v>
      </c>
      <c r="AA250" s="5">
        <v>0</v>
      </c>
      <c r="AB250" s="6">
        <v>0</v>
      </c>
      <c r="AC250" s="5">
        <v>0</v>
      </c>
      <c r="AD250" s="6">
        <v>0</v>
      </c>
      <c r="AE250" s="5">
        <v>0</v>
      </c>
      <c r="AF250" s="6">
        <v>0</v>
      </c>
      <c r="AG250" s="5">
        <v>0</v>
      </c>
      <c r="AH250" s="7">
        <f t="shared" si="24"/>
        <v>435.26369664501379</v>
      </c>
      <c r="AI250" s="8">
        <f t="shared" si="25"/>
        <v>1449.4281098278959</v>
      </c>
      <c r="AJ250" s="6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6">
        <v>0</v>
      </c>
      <c r="AQ250" s="5">
        <v>0</v>
      </c>
      <c r="AR250" s="6">
        <v>560</v>
      </c>
      <c r="AS250" s="5">
        <v>1943.8256363644621</v>
      </c>
      <c r="AT250" s="6">
        <v>0</v>
      </c>
      <c r="AU250" s="5">
        <v>0</v>
      </c>
      <c r="AV250" s="6">
        <v>0</v>
      </c>
      <c r="AW250" s="5">
        <v>0</v>
      </c>
      <c r="AX250" s="6">
        <v>0</v>
      </c>
      <c r="AY250" s="5">
        <v>0</v>
      </c>
      <c r="AZ250" s="6">
        <v>0</v>
      </c>
      <c r="BA250" s="5">
        <v>0</v>
      </c>
      <c r="BB250" s="6">
        <v>0</v>
      </c>
      <c r="BC250" s="5">
        <v>0</v>
      </c>
      <c r="BD250" s="6">
        <v>0</v>
      </c>
      <c r="BE250" s="5">
        <v>0</v>
      </c>
      <c r="BF250" s="6">
        <v>0</v>
      </c>
      <c r="BG250" s="5">
        <v>0</v>
      </c>
      <c r="BH250" s="9">
        <f t="shared" si="26"/>
        <v>560</v>
      </c>
      <c r="BI250" s="10">
        <f t="shared" si="27"/>
        <v>1943.8256363644621</v>
      </c>
      <c r="BJ250" s="6">
        <f t="shared" si="28"/>
        <v>124.73630335498621</v>
      </c>
      <c r="BK250" s="11">
        <f t="shared" si="29"/>
        <v>0.28657640027515752</v>
      </c>
      <c r="BL250" s="5">
        <f t="shared" si="30"/>
        <v>494.39752653656615</v>
      </c>
      <c r="BM250" s="11">
        <f t="shared" si="31"/>
        <v>0.34109834298388941</v>
      </c>
    </row>
    <row r="251" spans="1:65" ht="15" customHeight="1" x14ac:dyDescent="0.4">
      <c r="A251" s="2" t="s">
        <v>65</v>
      </c>
      <c r="B251" s="2" t="s">
        <v>66</v>
      </c>
      <c r="C251" s="2" t="s">
        <v>257</v>
      </c>
      <c r="D251" s="3" t="s">
        <v>101</v>
      </c>
      <c r="E251" s="3" t="s">
        <v>84</v>
      </c>
      <c r="F251" s="2" t="s">
        <v>85</v>
      </c>
      <c r="G251" s="4">
        <v>20</v>
      </c>
      <c r="H251" s="5">
        <v>2.61</v>
      </c>
      <c r="I251" s="5">
        <v>2.720605379081535</v>
      </c>
      <c r="J251" s="6">
        <v>0</v>
      </c>
      <c r="K251" s="5">
        <v>0</v>
      </c>
      <c r="L251" s="6">
        <v>0</v>
      </c>
      <c r="M251" s="5">
        <v>0</v>
      </c>
      <c r="N251" s="6">
        <v>0</v>
      </c>
      <c r="O251" s="5">
        <v>0</v>
      </c>
      <c r="P251" s="6">
        <v>0</v>
      </c>
      <c r="Q251" s="5">
        <v>0</v>
      </c>
      <c r="R251" s="6">
        <v>118.7082809031856</v>
      </c>
      <c r="S251" s="5">
        <v>309.82861315731441</v>
      </c>
      <c r="T251" s="6">
        <v>0</v>
      </c>
      <c r="U251" s="5">
        <v>0</v>
      </c>
      <c r="V251" s="6">
        <v>0</v>
      </c>
      <c r="W251" s="5">
        <v>0</v>
      </c>
      <c r="X251" s="6">
        <v>0</v>
      </c>
      <c r="Y251" s="5">
        <v>0</v>
      </c>
      <c r="Z251" s="6">
        <v>0</v>
      </c>
      <c r="AA251" s="5">
        <v>0</v>
      </c>
      <c r="AB251" s="6">
        <v>0</v>
      </c>
      <c r="AC251" s="5">
        <v>0</v>
      </c>
      <c r="AD251" s="6">
        <v>0</v>
      </c>
      <c r="AE251" s="5">
        <v>0</v>
      </c>
      <c r="AF251" s="6">
        <v>0</v>
      </c>
      <c r="AG251" s="5">
        <v>0</v>
      </c>
      <c r="AH251" s="7">
        <f t="shared" si="24"/>
        <v>118.7082809031856</v>
      </c>
      <c r="AI251" s="8">
        <f t="shared" si="25"/>
        <v>309.82861315731441</v>
      </c>
      <c r="AJ251" s="6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6">
        <v>0</v>
      </c>
      <c r="AQ251" s="5">
        <v>0</v>
      </c>
      <c r="AR251" s="6">
        <v>140</v>
      </c>
      <c r="AS251" s="5">
        <v>380.88475307141488</v>
      </c>
      <c r="AT251" s="6">
        <v>0</v>
      </c>
      <c r="AU251" s="5">
        <v>0</v>
      </c>
      <c r="AV251" s="6">
        <v>0</v>
      </c>
      <c r="AW251" s="5">
        <v>0</v>
      </c>
      <c r="AX251" s="6">
        <v>0</v>
      </c>
      <c r="AY251" s="5">
        <v>0</v>
      </c>
      <c r="AZ251" s="6">
        <v>0</v>
      </c>
      <c r="BA251" s="5">
        <v>0</v>
      </c>
      <c r="BB251" s="6">
        <v>0</v>
      </c>
      <c r="BC251" s="5">
        <v>0</v>
      </c>
      <c r="BD251" s="6">
        <v>0</v>
      </c>
      <c r="BE251" s="5">
        <v>0</v>
      </c>
      <c r="BF251" s="6">
        <v>0</v>
      </c>
      <c r="BG251" s="5">
        <v>0</v>
      </c>
      <c r="BH251" s="9">
        <f t="shared" si="26"/>
        <v>140</v>
      </c>
      <c r="BI251" s="10">
        <f t="shared" si="27"/>
        <v>380.88475307141488</v>
      </c>
      <c r="BJ251" s="6">
        <f t="shared" si="28"/>
        <v>21.291719096814404</v>
      </c>
      <c r="BK251" s="11">
        <f t="shared" si="29"/>
        <v>0.17936170025222756</v>
      </c>
      <c r="BL251" s="5">
        <f t="shared" si="30"/>
        <v>71.05613991410047</v>
      </c>
      <c r="BM251" s="11">
        <f t="shared" si="31"/>
        <v>0.22934014773523181</v>
      </c>
    </row>
    <row r="252" spans="1:65" ht="15" customHeight="1" x14ac:dyDescent="0.4">
      <c r="A252" s="2" t="s">
        <v>65</v>
      </c>
      <c r="B252" s="2" t="s">
        <v>66</v>
      </c>
      <c r="C252" s="2" t="s">
        <v>257</v>
      </c>
      <c r="D252" s="3" t="s">
        <v>101</v>
      </c>
      <c r="E252" s="3" t="s">
        <v>86</v>
      </c>
      <c r="F252" s="2" t="s">
        <v>87</v>
      </c>
      <c r="G252" s="4">
        <v>20</v>
      </c>
      <c r="H252" s="5">
        <v>1.795087719298246</v>
      </c>
      <c r="I252" s="5">
        <v>1.8711157938135889</v>
      </c>
      <c r="J252" s="6">
        <v>0</v>
      </c>
      <c r="K252" s="5">
        <v>0</v>
      </c>
      <c r="L252" s="6">
        <v>0</v>
      </c>
      <c r="M252" s="5">
        <v>0</v>
      </c>
      <c r="N252" s="6">
        <v>0</v>
      </c>
      <c r="O252" s="5">
        <v>0</v>
      </c>
      <c r="P252" s="6">
        <v>2769.8598877409968</v>
      </c>
      <c r="Q252" s="5">
        <v>5013.446396811205</v>
      </c>
      <c r="R252" s="6">
        <v>989.23567419321319</v>
      </c>
      <c r="S252" s="5">
        <v>1790.5165702897159</v>
      </c>
      <c r="T252" s="6">
        <v>989.23567419321319</v>
      </c>
      <c r="U252" s="5">
        <v>1661.9159326445979</v>
      </c>
      <c r="V252" s="6">
        <v>890.31210677389197</v>
      </c>
      <c r="W252" s="5">
        <v>1655.9805185994389</v>
      </c>
      <c r="X252" s="6">
        <v>0</v>
      </c>
      <c r="Y252" s="5">
        <v>0</v>
      </c>
      <c r="Z252" s="6">
        <v>0</v>
      </c>
      <c r="AA252" s="5">
        <v>0</v>
      </c>
      <c r="AB252" s="6">
        <v>0</v>
      </c>
      <c r="AC252" s="5">
        <v>0</v>
      </c>
      <c r="AD252" s="6">
        <v>0</v>
      </c>
      <c r="AE252" s="5">
        <v>0</v>
      </c>
      <c r="AF252" s="6">
        <v>0</v>
      </c>
      <c r="AG252" s="5">
        <v>0</v>
      </c>
      <c r="AH252" s="7">
        <f t="shared" si="24"/>
        <v>5638.643342901315</v>
      </c>
      <c r="AI252" s="8">
        <f t="shared" si="25"/>
        <v>10121.859418344959</v>
      </c>
      <c r="AJ252" s="6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6">
        <v>3200</v>
      </c>
      <c r="AQ252" s="5">
        <v>6037.4507109732758</v>
      </c>
      <c r="AR252" s="6">
        <v>1140</v>
      </c>
      <c r="AS252" s="5">
        <v>2150.8418157842289</v>
      </c>
      <c r="AT252" s="6">
        <v>1140</v>
      </c>
      <c r="AU252" s="5">
        <v>1996.3614643743131</v>
      </c>
      <c r="AV252" s="6">
        <v>1020</v>
      </c>
      <c r="AW252" s="5">
        <v>1977.5986686565091</v>
      </c>
      <c r="AX252" s="6">
        <v>0</v>
      </c>
      <c r="AY252" s="5">
        <v>0</v>
      </c>
      <c r="AZ252" s="6">
        <v>0</v>
      </c>
      <c r="BA252" s="5">
        <v>0</v>
      </c>
      <c r="BB252" s="6">
        <v>0</v>
      </c>
      <c r="BC252" s="5">
        <v>0</v>
      </c>
      <c r="BD252" s="6">
        <v>0</v>
      </c>
      <c r="BE252" s="5">
        <v>0</v>
      </c>
      <c r="BF252" s="6">
        <v>0</v>
      </c>
      <c r="BG252" s="5">
        <v>0</v>
      </c>
      <c r="BH252" s="9">
        <f t="shared" si="26"/>
        <v>6500</v>
      </c>
      <c r="BI252" s="10">
        <f t="shared" si="27"/>
        <v>12162.252659788326</v>
      </c>
      <c r="BJ252" s="6">
        <f t="shared" si="28"/>
        <v>861.35665709868499</v>
      </c>
      <c r="BK252" s="11">
        <f t="shared" si="29"/>
        <v>0.15275955663751584</v>
      </c>
      <c r="BL252" s="5">
        <f t="shared" si="30"/>
        <v>2040.3932414433675</v>
      </c>
      <c r="BM252" s="11">
        <f t="shared" si="31"/>
        <v>0.2015828472923995</v>
      </c>
    </row>
    <row r="253" spans="1:65" ht="15" customHeight="1" x14ac:dyDescent="0.4">
      <c r="A253" s="2" t="s">
        <v>65</v>
      </c>
      <c r="B253" s="2" t="s">
        <v>66</v>
      </c>
      <c r="C253" s="2" t="s">
        <v>257</v>
      </c>
      <c r="D253" s="3" t="s">
        <v>101</v>
      </c>
      <c r="E253" s="3" t="s">
        <v>156</v>
      </c>
      <c r="F253" s="2" t="s">
        <v>157</v>
      </c>
      <c r="G253" s="4">
        <v>20</v>
      </c>
      <c r="H253" s="5">
        <v>11.6</v>
      </c>
      <c r="I253" s="5">
        <v>12.091579462584599</v>
      </c>
      <c r="J253" s="6">
        <v>0</v>
      </c>
      <c r="K253" s="5">
        <v>0</v>
      </c>
      <c r="L253" s="6">
        <v>0</v>
      </c>
      <c r="M253" s="5">
        <v>0</v>
      </c>
      <c r="N253" s="6">
        <v>0</v>
      </c>
      <c r="O253" s="5">
        <v>0</v>
      </c>
      <c r="P253" s="6">
        <v>0</v>
      </c>
      <c r="Q253" s="5">
        <v>0</v>
      </c>
      <c r="R253" s="6">
        <v>0</v>
      </c>
      <c r="S253" s="5">
        <v>0</v>
      </c>
      <c r="T253" s="6">
        <v>197.84713483864269</v>
      </c>
      <c r="U253" s="5">
        <v>2295.0267641282549</v>
      </c>
      <c r="V253" s="6">
        <v>0</v>
      </c>
      <c r="W253" s="5">
        <v>0</v>
      </c>
      <c r="X253" s="6">
        <v>0</v>
      </c>
      <c r="Y253" s="5">
        <v>0</v>
      </c>
      <c r="Z253" s="6">
        <v>0</v>
      </c>
      <c r="AA253" s="5">
        <v>0</v>
      </c>
      <c r="AB253" s="6">
        <v>0</v>
      </c>
      <c r="AC253" s="5">
        <v>0</v>
      </c>
      <c r="AD253" s="6">
        <v>0</v>
      </c>
      <c r="AE253" s="5">
        <v>0</v>
      </c>
      <c r="AF253" s="6">
        <v>0</v>
      </c>
      <c r="AG253" s="5">
        <v>0</v>
      </c>
      <c r="AH253" s="7">
        <f t="shared" si="24"/>
        <v>197.84713483864269</v>
      </c>
      <c r="AI253" s="8">
        <f t="shared" si="25"/>
        <v>2295.0267641282549</v>
      </c>
      <c r="AJ253" s="6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6">
        <v>0</v>
      </c>
      <c r="AQ253" s="5">
        <v>0</v>
      </c>
      <c r="AR253" s="6">
        <v>0</v>
      </c>
      <c r="AS253" s="5">
        <v>0</v>
      </c>
      <c r="AT253" s="6">
        <v>260</v>
      </c>
      <c r="AU253" s="5">
        <v>3143.8106602719949</v>
      </c>
      <c r="AV253" s="6">
        <v>0</v>
      </c>
      <c r="AW253" s="5">
        <v>0</v>
      </c>
      <c r="AX253" s="6">
        <v>0</v>
      </c>
      <c r="AY253" s="5">
        <v>0</v>
      </c>
      <c r="AZ253" s="6">
        <v>0</v>
      </c>
      <c r="BA253" s="5">
        <v>0</v>
      </c>
      <c r="BB253" s="6">
        <v>0</v>
      </c>
      <c r="BC253" s="5">
        <v>0</v>
      </c>
      <c r="BD253" s="6">
        <v>0</v>
      </c>
      <c r="BE253" s="5">
        <v>0</v>
      </c>
      <c r="BF253" s="6">
        <v>0</v>
      </c>
      <c r="BG253" s="5">
        <v>0</v>
      </c>
      <c r="BH253" s="9">
        <f t="shared" si="26"/>
        <v>260</v>
      </c>
      <c r="BI253" s="10">
        <f t="shared" si="27"/>
        <v>3143.8106602719949</v>
      </c>
      <c r="BJ253" s="6">
        <f t="shared" si="28"/>
        <v>62.152865161357312</v>
      </c>
      <c r="BK253" s="11">
        <f t="shared" si="29"/>
        <v>0.31414589456676767</v>
      </c>
      <c r="BL253" s="5">
        <f t="shared" si="30"/>
        <v>848.78389614374009</v>
      </c>
      <c r="BM253" s="11">
        <f t="shared" si="31"/>
        <v>0.36983616461925795</v>
      </c>
    </row>
    <row r="254" spans="1:65" ht="15" customHeight="1" x14ac:dyDescent="0.4">
      <c r="A254" s="2" t="s">
        <v>65</v>
      </c>
      <c r="B254" s="2" t="s">
        <v>66</v>
      </c>
      <c r="C254" s="2" t="s">
        <v>257</v>
      </c>
      <c r="D254" s="3" t="s">
        <v>101</v>
      </c>
      <c r="E254" s="3" t="s">
        <v>90</v>
      </c>
      <c r="F254" s="2" t="s">
        <v>91</v>
      </c>
      <c r="G254" s="4">
        <v>20</v>
      </c>
      <c r="H254" s="5">
        <v>4.0199999999999996</v>
      </c>
      <c r="I254" s="5">
        <v>4.19035771030949</v>
      </c>
      <c r="J254" s="6">
        <v>0</v>
      </c>
      <c r="K254" s="5">
        <v>0</v>
      </c>
      <c r="L254" s="6">
        <v>0</v>
      </c>
      <c r="M254" s="5">
        <v>0</v>
      </c>
      <c r="N254" s="6">
        <v>0</v>
      </c>
      <c r="O254" s="5">
        <v>0</v>
      </c>
      <c r="P254" s="6">
        <v>0</v>
      </c>
      <c r="Q254" s="5">
        <v>0</v>
      </c>
      <c r="R254" s="6">
        <v>98.92356741932133</v>
      </c>
      <c r="S254" s="5">
        <v>397.67274102567171</v>
      </c>
      <c r="T254" s="6">
        <v>0</v>
      </c>
      <c r="U254" s="5">
        <v>0</v>
      </c>
      <c r="V254" s="6">
        <v>0</v>
      </c>
      <c r="W254" s="5">
        <v>0</v>
      </c>
      <c r="X254" s="6">
        <v>0</v>
      </c>
      <c r="Y254" s="5">
        <v>0</v>
      </c>
      <c r="Z254" s="6">
        <v>0</v>
      </c>
      <c r="AA254" s="5">
        <v>0</v>
      </c>
      <c r="AB254" s="6">
        <v>0</v>
      </c>
      <c r="AC254" s="5">
        <v>0</v>
      </c>
      <c r="AD254" s="6">
        <v>0</v>
      </c>
      <c r="AE254" s="5">
        <v>0</v>
      </c>
      <c r="AF254" s="6">
        <v>0</v>
      </c>
      <c r="AG254" s="5">
        <v>0</v>
      </c>
      <c r="AH254" s="7">
        <f t="shared" si="24"/>
        <v>98.92356741932133</v>
      </c>
      <c r="AI254" s="8">
        <f t="shared" si="25"/>
        <v>397.67274102567171</v>
      </c>
      <c r="AJ254" s="6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6">
        <v>0</v>
      </c>
      <c r="AQ254" s="5">
        <v>0</v>
      </c>
      <c r="AR254" s="6">
        <v>120</v>
      </c>
      <c r="AS254" s="5">
        <v>502.84292523713879</v>
      </c>
      <c r="AT254" s="6">
        <v>0</v>
      </c>
      <c r="AU254" s="5">
        <v>0</v>
      </c>
      <c r="AV254" s="6">
        <v>0</v>
      </c>
      <c r="AW254" s="5">
        <v>0</v>
      </c>
      <c r="AX254" s="6">
        <v>0</v>
      </c>
      <c r="AY254" s="5">
        <v>0</v>
      </c>
      <c r="AZ254" s="6">
        <v>0</v>
      </c>
      <c r="BA254" s="5">
        <v>0</v>
      </c>
      <c r="BB254" s="6">
        <v>0</v>
      </c>
      <c r="BC254" s="5">
        <v>0</v>
      </c>
      <c r="BD254" s="6">
        <v>0</v>
      </c>
      <c r="BE254" s="5">
        <v>0</v>
      </c>
      <c r="BF254" s="6">
        <v>0</v>
      </c>
      <c r="BG254" s="5">
        <v>0</v>
      </c>
      <c r="BH254" s="9">
        <f t="shared" si="26"/>
        <v>120</v>
      </c>
      <c r="BI254" s="10">
        <f t="shared" si="27"/>
        <v>502.84292523713879</v>
      </c>
      <c r="BJ254" s="6">
        <f t="shared" si="28"/>
        <v>21.07643258067867</v>
      </c>
      <c r="BK254" s="11">
        <f t="shared" si="29"/>
        <v>0.21305774883086265</v>
      </c>
      <c r="BL254" s="5">
        <f t="shared" si="30"/>
        <v>105.17018421146707</v>
      </c>
      <c r="BM254" s="11">
        <f t="shared" si="31"/>
        <v>0.26446415195623835</v>
      </c>
    </row>
    <row r="255" spans="1:65" ht="15" customHeight="1" x14ac:dyDescent="0.4">
      <c r="A255" s="2" t="s">
        <v>65</v>
      </c>
      <c r="B255" s="2" t="s">
        <v>66</v>
      </c>
      <c r="C255" s="2" t="s">
        <v>257</v>
      </c>
      <c r="D255" s="3" t="s">
        <v>101</v>
      </c>
      <c r="E255" s="3" t="s">
        <v>77</v>
      </c>
      <c r="F255" s="2" t="s">
        <v>78</v>
      </c>
      <c r="G255" s="4">
        <v>20</v>
      </c>
      <c r="H255" s="5">
        <v>2.71</v>
      </c>
      <c r="I255" s="5">
        <v>2.824843133069332</v>
      </c>
      <c r="J255" s="6">
        <v>0</v>
      </c>
      <c r="K255" s="5">
        <v>0</v>
      </c>
      <c r="L255" s="6">
        <v>0</v>
      </c>
      <c r="M255" s="5">
        <v>0</v>
      </c>
      <c r="N255" s="6">
        <v>0</v>
      </c>
      <c r="O255" s="5">
        <v>0</v>
      </c>
      <c r="P255" s="6">
        <v>0</v>
      </c>
      <c r="Q255" s="5">
        <v>0</v>
      </c>
      <c r="R255" s="6">
        <v>276.98598877409972</v>
      </c>
      <c r="S255" s="5">
        <v>750.63202957781016</v>
      </c>
      <c r="T255" s="6">
        <v>0</v>
      </c>
      <c r="U255" s="5">
        <v>0</v>
      </c>
      <c r="V255" s="6">
        <v>0</v>
      </c>
      <c r="W255" s="5">
        <v>0</v>
      </c>
      <c r="X255" s="6">
        <v>0</v>
      </c>
      <c r="Y255" s="5">
        <v>0</v>
      </c>
      <c r="Z255" s="6">
        <v>0</v>
      </c>
      <c r="AA255" s="5">
        <v>0</v>
      </c>
      <c r="AB255" s="6">
        <v>0</v>
      </c>
      <c r="AC255" s="5">
        <v>0</v>
      </c>
      <c r="AD255" s="6">
        <v>0</v>
      </c>
      <c r="AE255" s="5">
        <v>0</v>
      </c>
      <c r="AF255" s="6">
        <v>0</v>
      </c>
      <c r="AG255" s="5">
        <v>0</v>
      </c>
      <c r="AH255" s="7">
        <f t="shared" si="24"/>
        <v>276.98598877409972</v>
      </c>
      <c r="AI255" s="8">
        <f t="shared" si="25"/>
        <v>750.63202957781016</v>
      </c>
      <c r="AJ255" s="6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6">
        <v>0</v>
      </c>
      <c r="AQ255" s="5">
        <v>0</v>
      </c>
      <c r="AR255" s="6">
        <v>320</v>
      </c>
      <c r="AS255" s="5">
        <v>903.94980258218641</v>
      </c>
      <c r="AT255" s="6">
        <v>0</v>
      </c>
      <c r="AU255" s="5">
        <v>0</v>
      </c>
      <c r="AV255" s="6">
        <v>0</v>
      </c>
      <c r="AW255" s="5">
        <v>0</v>
      </c>
      <c r="AX255" s="6">
        <v>0</v>
      </c>
      <c r="AY255" s="5">
        <v>0</v>
      </c>
      <c r="AZ255" s="6">
        <v>0</v>
      </c>
      <c r="BA255" s="5">
        <v>0</v>
      </c>
      <c r="BB255" s="6">
        <v>0</v>
      </c>
      <c r="BC255" s="5">
        <v>0</v>
      </c>
      <c r="BD255" s="6">
        <v>0</v>
      </c>
      <c r="BE255" s="5">
        <v>0</v>
      </c>
      <c r="BF255" s="6">
        <v>0</v>
      </c>
      <c r="BG255" s="5">
        <v>0</v>
      </c>
      <c r="BH255" s="9">
        <f t="shared" si="26"/>
        <v>320</v>
      </c>
      <c r="BI255" s="10">
        <f t="shared" si="27"/>
        <v>903.94980258218641</v>
      </c>
      <c r="BJ255" s="6">
        <f t="shared" si="28"/>
        <v>43.014011225900276</v>
      </c>
      <c r="BK255" s="11">
        <f t="shared" si="29"/>
        <v>0.15529309412463108</v>
      </c>
      <c r="BL255" s="5">
        <f t="shared" si="30"/>
        <v>153.31777300437625</v>
      </c>
      <c r="BM255" s="11">
        <f t="shared" si="31"/>
        <v>0.20425157329165555</v>
      </c>
    </row>
    <row r="256" spans="1:65" ht="15" customHeight="1" x14ac:dyDescent="0.4">
      <c r="A256" s="2" t="s">
        <v>65</v>
      </c>
      <c r="B256" s="2" t="s">
        <v>66</v>
      </c>
      <c r="C256" s="2" t="s">
        <v>257</v>
      </c>
      <c r="D256" s="3" t="s">
        <v>101</v>
      </c>
      <c r="E256" s="3" t="s">
        <v>94</v>
      </c>
      <c r="F256" s="2" t="s">
        <v>95</v>
      </c>
      <c r="G256" s="4">
        <v>20</v>
      </c>
      <c r="H256" s="5">
        <v>2.2149006622516558</v>
      </c>
      <c r="I256" s="5">
        <v>2.3085596692003549</v>
      </c>
      <c r="J256" s="6">
        <v>0</v>
      </c>
      <c r="K256" s="5">
        <v>0</v>
      </c>
      <c r="L256" s="6">
        <v>0</v>
      </c>
      <c r="M256" s="5">
        <v>0</v>
      </c>
      <c r="N256" s="6">
        <v>0</v>
      </c>
      <c r="O256" s="5">
        <v>0</v>
      </c>
      <c r="P256" s="6">
        <v>1107.9439550963989</v>
      </c>
      <c r="Q256" s="5">
        <v>2492.8738989668968</v>
      </c>
      <c r="R256" s="6">
        <v>494.61783709660659</v>
      </c>
      <c r="S256" s="5">
        <v>1112.8901334673651</v>
      </c>
      <c r="T256" s="6">
        <v>791.38853935457064</v>
      </c>
      <c r="U256" s="5">
        <v>1646.088161857507</v>
      </c>
      <c r="V256" s="6">
        <v>593.54140451592798</v>
      </c>
      <c r="W256" s="5">
        <v>1365.145230386634</v>
      </c>
      <c r="X256" s="6">
        <v>0</v>
      </c>
      <c r="Y256" s="5">
        <v>0</v>
      </c>
      <c r="Z256" s="6">
        <v>0</v>
      </c>
      <c r="AA256" s="5">
        <v>0</v>
      </c>
      <c r="AB256" s="6">
        <v>0</v>
      </c>
      <c r="AC256" s="5">
        <v>0</v>
      </c>
      <c r="AD256" s="6">
        <v>0</v>
      </c>
      <c r="AE256" s="5">
        <v>0</v>
      </c>
      <c r="AF256" s="6">
        <v>0</v>
      </c>
      <c r="AG256" s="5">
        <v>0</v>
      </c>
      <c r="AH256" s="7">
        <f t="shared" si="24"/>
        <v>2987.4917360635036</v>
      </c>
      <c r="AI256" s="8">
        <f t="shared" si="25"/>
        <v>6616.9974246784022</v>
      </c>
      <c r="AJ256" s="6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6">
        <v>1260</v>
      </c>
      <c r="AQ256" s="5">
        <v>2955.1403255540808</v>
      </c>
      <c r="AR256" s="6">
        <v>560</v>
      </c>
      <c r="AS256" s="5">
        <v>1313.395700246258</v>
      </c>
      <c r="AT256" s="6">
        <v>900</v>
      </c>
      <c r="AU256" s="5">
        <v>1951.330754651583</v>
      </c>
      <c r="AV256" s="6">
        <v>680</v>
      </c>
      <c r="AW256" s="5">
        <v>1629.2360948292869</v>
      </c>
      <c r="AX256" s="6">
        <v>0</v>
      </c>
      <c r="AY256" s="5">
        <v>0</v>
      </c>
      <c r="AZ256" s="6">
        <v>0</v>
      </c>
      <c r="BA256" s="5">
        <v>0</v>
      </c>
      <c r="BB256" s="6">
        <v>0</v>
      </c>
      <c r="BC256" s="5">
        <v>0</v>
      </c>
      <c r="BD256" s="6">
        <v>0</v>
      </c>
      <c r="BE256" s="5">
        <v>0</v>
      </c>
      <c r="BF256" s="6">
        <v>0</v>
      </c>
      <c r="BG256" s="5">
        <v>0</v>
      </c>
      <c r="BH256" s="9">
        <f t="shared" si="26"/>
        <v>3400</v>
      </c>
      <c r="BI256" s="10">
        <f t="shared" si="27"/>
        <v>7849.1028752812081</v>
      </c>
      <c r="BJ256" s="6">
        <f t="shared" si="28"/>
        <v>412.50826393649641</v>
      </c>
      <c r="BK256" s="11">
        <f t="shared" si="29"/>
        <v>0.13807846192740997</v>
      </c>
      <c r="BL256" s="5">
        <f t="shared" si="30"/>
        <v>1232.1054506028058</v>
      </c>
      <c r="BM256" s="11">
        <f t="shared" si="31"/>
        <v>0.18620310263498227</v>
      </c>
    </row>
    <row r="257" spans="1:65" ht="15" customHeight="1" x14ac:dyDescent="0.4">
      <c r="A257" s="2" t="s">
        <v>65</v>
      </c>
      <c r="B257" s="2" t="s">
        <v>66</v>
      </c>
      <c r="C257" s="2" t="s">
        <v>258</v>
      </c>
      <c r="D257" s="3" t="s">
        <v>134</v>
      </c>
      <c r="E257" s="3" t="s">
        <v>102</v>
      </c>
      <c r="F257" s="2" t="s">
        <v>171</v>
      </c>
      <c r="G257" s="4">
        <v>5</v>
      </c>
      <c r="H257" s="5">
        <v>4.8599999999999994</v>
      </c>
      <c r="I257" s="5">
        <v>5.0659548438069946</v>
      </c>
      <c r="J257" s="6">
        <v>0</v>
      </c>
      <c r="K257" s="5">
        <v>0</v>
      </c>
      <c r="L257" s="6">
        <v>24.730891854830329</v>
      </c>
      <c r="M257" s="5">
        <v>120.1921344144754</v>
      </c>
      <c r="N257" s="6">
        <v>0</v>
      </c>
      <c r="O257" s="5">
        <v>0</v>
      </c>
      <c r="P257" s="6">
        <v>0</v>
      </c>
      <c r="Q257" s="5">
        <v>0</v>
      </c>
      <c r="R257" s="6">
        <v>0</v>
      </c>
      <c r="S257" s="5">
        <v>0</v>
      </c>
      <c r="T257" s="6">
        <v>0</v>
      </c>
      <c r="U257" s="5">
        <v>0</v>
      </c>
      <c r="V257" s="6">
        <v>0</v>
      </c>
      <c r="W257" s="5">
        <v>0</v>
      </c>
      <c r="X257" s="6">
        <v>0</v>
      </c>
      <c r="Y257" s="5">
        <v>0</v>
      </c>
      <c r="Z257" s="6">
        <v>0</v>
      </c>
      <c r="AA257" s="5">
        <v>0</v>
      </c>
      <c r="AB257" s="6">
        <v>0</v>
      </c>
      <c r="AC257" s="5">
        <v>0</v>
      </c>
      <c r="AD257" s="6">
        <v>0</v>
      </c>
      <c r="AE257" s="5">
        <v>0</v>
      </c>
      <c r="AF257" s="6">
        <v>0</v>
      </c>
      <c r="AG257" s="5">
        <v>0</v>
      </c>
      <c r="AH257" s="7">
        <f t="shared" si="24"/>
        <v>24.730891854830329</v>
      </c>
      <c r="AI257" s="8">
        <f t="shared" si="25"/>
        <v>120.1921344144754</v>
      </c>
      <c r="AJ257" s="6">
        <v>0</v>
      </c>
      <c r="AK257" s="5">
        <v>0</v>
      </c>
      <c r="AL257" s="6">
        <v>30</v>
      </c>
      <c r="AM257" s="5">
        <v>151.97864531420981</v>
      </c>
      <c r="AN257" s="6">
        <v>0</v>
      </c>
      <c r="AO257" s="5">
        <v>0</v>
      </c>
      <c r="AP257" s="6">
        <v>0</v>
      </c>
      <c r="AQ257" s="5">
        <v>0</v>
      </c>
      <c r="AR257" s="6">
        <v>0</v>
      </c>
      <c r="AS257" s="5">
        <v>0</v>
      </c>
      <c r="AT257" s="6">
        <v>0</v>
      </c>
      <c r="AU257" s="5">
        <v>0</v>
      </c>
      <c r="AV257" s="6">
        <v>0</v>
      </c>
      <c r="AW257" s="5">
        <v>0</v>
      </c>
      <c r="AX257" s="6">
        <v>0</v>
      </c>
      <c r="AY257" s="5">
        <v>0</v>
      </c>
      <c r="AZ257" s="6">
        <v>0</v>
      </c>
      <c r="BA257" s="5">
        <v>0</v>
      </c>
      <c r="BB257" s="6">
        <v>0</v>
      </c>
      <c r="BC257" s="5">
        <v>0</v>
      </c>
      <c r="BD257" s="6">
        <v>0</v>
      </c>
      <c r="BE257" s="5">
        <v>0</v>
      </c>
      <c r="BF257" s="6">
        <v>0</v>
      </c>
      <c r="BG257" s="5">
        <v>0</v>
      </c>
      <c r="BH257" s="9">
        <f t="shared" si="26"/>
        <v>30</v>
      </c>
      <c r="BI257" s="10">
        <f t="shared" si="27"/>
        <v>151.97864531420981</v>
      </c>
      <c r="BJ257" s="6">
        <f t="shared" si="28"/>
        <v>5.2691081451696711</v>
      </c>
      <c r="BK257" s="11">
        <f t="shared" si="29"/>
        <v>0.21305774883086281</v>
      </c>
      <c r="BL257" s="5">
        <f t="shared" si="30"/>
        <v>31.786510899734409</v>
      </c>
      <c r="BM257" s="11">
        <f t="shared" si="31"/>
        <v>0.26446415195623801</v>
      </c>
    </row>
    <row r="258" spans="1:65" ht="15" customHeight="1" x14ac:dyDescent="0.4">
      <c r="A258" s="2" t="s">
        <v>65</v>
      </c>
      <c r="B258" s="2" t="s">
        <v>66</v>
      </c>
      <c r="C258" s="2" t="s">
        <v>259</v>
      </c>
      <c r="D258" s="3" t="s">
        <v>68</v>
      </c>
      <c r="E258" s="3" t="s">
        <v>102</v>
      </c>
      <c r="F258" s="2" t="s">
        <v>171</v>
      </c>
      <c r="G258" s="4">
        <v>5</v>
      </c>
      <c r="H258" s="5">
        <v>4.8499999999999996</v>
      </c>
      <c r="I258" s="5">
        <v>5.0555310684082144</v>
      </c>
      <c r="J258" s="6">
        <v>49.461783709660658</v>
      </c>
      <c r="K258" s="5">
        <v>239.88965099185421</v>
      </c>
      <c r="L258" s="6">
        <v>0</v>
      </c>
      <c r="M258" s="5">
        <v>0</v>
      </c>
      <c r="N258" s="6">
        <v>0</v>
      </c>
      <c r="O258" s="5">
        <v>0</v>
      </c>
      <c r="P258" s="6">
        <v>0</v>
      </c>
      <c r="Q258" s="5">
        <v>0</v>
      </c>
      <c r="R258" s="6">
        <v>0</v>
      </c>
      <c r="S258" s="5">
        <v>0</v>
      </c>
      <c r="T258" s="6">
        <v>0</v>
      </c>
      <c r="U258" s="5">
        <v>0</v>
      </c>
      <c r="V258" s="6">
        <v>0</v>
      </c>
      <c r="W258" s="5">
        <v>0</v>
      </c>
      <c r="X258" s="6">
        <v>0</v>
      </c>
      <c r="Y258" s="5">
        <v>0</v>
      </c>
      <c r="Z258" s="6">
        <v>0</v>
      </c>
      <c r="AA258" s="5">
        <v>0</v>
      </c>
      <c r="AB258" s="6">
        <v>0</v>
      </c>
      <c r="AC258" s="5">
        <v>0</v>
      </c>
      <c r="AD258" s="6">
        <v>0</v>
      </c>
      <c r="AE258" s="5">
        <v>0</v>
      </c>
      <c r="AF258" s="6">
        <v>0</v>
      </c>
      <c r="AG258" s="5">
        <v>0</v>
      </c>
      <c r="AH258" s="7">
        <f t="shared" ref="AH258:AH321" si="32">J258+L258+N258+P258+R258+T258+V258+X258+Z258+AB258+AD258+AF258</f>
        <v>49.461783709660658</v>
      </c>
      <c r="AI258" s="8">
        <f t="shared" ref="AI258:AI321" si="33">K258+M258+O258+Q258+S258+U258+W258+Y258+AA258+AC258+AE258+AG258</f>
        <v>239.88965099185421</v>
      </c>
      <c r="AJ258" s="6">
        <v>60</v>
      </c>
      <c r="AK258" s="5">
        <v>303.33186410449292</v>
      </c>
      <c r="AL258" s="6">
        <v>0</v>
      </c>
      <c r="AM258" s="5">
        <v>0</v>
      </c>
      <c r="AN258" s="6">
        <v>0</v>
      </c>
      <c r="AO258" s="5">
        <v>0</v>
      </c>
      <c r="AP258" s="6">
        <v>0</v>
      </c>
      <c r="AQ258" s="5">
        <v>0</v>
      </c>
      <c r="AR258" s="6">
        <v>0</v>
      </c>
      <c r="AS258" s="5">
        <v>0</v>
      </c>
      <c r="AT258" s="6">
        <v>0</v>
      </c>
      <c r="AU258" s="5">
        <v>0</v>
      </c>
      <c r="AV258" s="6">
        <v>0</v>
      </c>
      <c r="AW258" s="5">
        <v>0</v>
      </c>
      <c r="AX258" s="6">
        <v>0</v>
      </c>
      <c r="AY258" s="5">
        <v>0</v>
      </c>
      <c r="AZ258" s="6">
        <v>0</v>
      </c>
      <c r="BA258" s="5">
        <v>0</v>
      </c>
      <c r="BB258" s="6">
        <v>0</v>
      </c>
      <c r="BC258" s="5">
        <v>0</v>
      </c>
      <c r="BD258" s="6">
        <v>0</v>
      </c>
      <c r="BE258" s="5">
        <v>0</v>
      </c>
      <c r="BF258" s="6">
        <v>0</v>
      </c>
      <c r="BG258" s="5">
        <v>0</v>
      </c>
      <c r="BH258" s="9">
        <f t="shared" ref="BH258:BH321" si="34">AJ258+AL258+AN258+AP258+AR258+AT258+AV258+AX258+AZ258+BB258+BD258+BF258</f>
        <v>60</v>
      </c>
      <c r="BI258" s="10">
        <f t="shared" ref="BI258:BI321" si="35">AK258+AM258+AO258+AQ258+AS258+AU258+AW258+AY258+BA258+BC258+BE258+BG258</f>
        <v>303.33186410449292</v>
      </c>
      <c r="BJ258" s="6">
        <f t="shared" ref="BJ258:BJ321" si="36">BH258-AH258</f>
        <v>10.538216290339342</v>
      </c>
      <c r="BK258" s="11">
        <f t="shared" ref="BK258:BK321" si="37">IF(AH258&gt;0, BJ258/AH258, 0)</f>
        <v>0.21305774883086281</v>
      </c>
      <c r="BL258" s="5">
        <f t="shared" ref="BL258:BL321" si="38">BI258-AI258</f>
        <v>63.442213112638711</v>
      </c>
      <c r="BM258" s="11">
        <f t="shared" ref="BM258:BM321" si="39">IF(AI258&gt;0, BL258/AI258, 0)</f>
        <v>0.26446415195623835</v>
      </c>
    </row>
    <row r="259" spans="1:65" ht="15" customHeight="1" x14ac:dyDescent="0.4">
      <c r="A259" s="2" t="s">
        <v>65</v>
      </c>
      <c r="B259" s="2" t="s">
        <v>66</v>
      </c>
      <c r="C259" s="2" t="s">
        <v>259</v>
      </c>
      <c r="D259" s="3" t="s">
        <v>68</v>
      </c>
      <c r="E259" s="3" t="s">
        <v>102</v>
      </c>
      <c r="F259" s="2" t="s">
        <v>103</v>
      </c>
      <c r="G259" s="4">
        <v>5</v>
      </c>
      <c r="H259" s="5">
        <v>4.8599999999999994</v>
      </c>
      <c r="I259" s="5">
        <v>5.0659548438069946</v>
      </c>
      <c r="J259" s="6">
        <v>0</v>
      </c>
      <c r="K259" s="5">
        <v>0</v>
      </c>
      <c r="L259" s="6">
        <v>0</v>
      </c>
      <c r="M259" s="5">
        <v>0</v>
      </c>
      <c r="N259" s="6">
        <v>0</v>
      </c>
      <c r="O259" s="5">
        <v>0</v>
      </c>
      <c r="P259" s="6">
        <v>0</v>
      </c>
      <c r="Q259" s="5">
        <v>0</v>
      </c>
      <c r="R259" s="6">
        <v>0</v>
      </c>
      <c r="S259" s="5">
        <v>0</v>
      </c>
      <c r="T259" s="6">
        <v>98.92356741932133</v>
      </c>
      <c r="U259" s="5">
        <v>480.76853765790162</v>
      </c>
      <c r="V259" s="6">
        <v>49.461783709660658</v>
      </c>
      <c r="W259" s="5">
        <v>240.38426882895081</v>
      </c>
      <c r="X259" s="6">
        <v>0</v>
      </c>
      <c r="Y259" s="5">
        <v>0</v>
      </c>
      <c r="Z259" s="6">
        <v>0</v>
      </c>
      <c r="AA259" s="5">
        <v>0</v>
      </c>
      <c r="AB259" s="6">
        <v>0</v>
      </c>
      <c r="AC259" s="5">
        <v>0</v>
      </c>
      <c r="AD259" s="6">
        <v>0</v>
      </c>
      <c r="AE259" s="5">
        <v>0</v>
      </c>
      <c r="AF259" s="6">
        <v>0</v>
      </c>
      <c r="AG259" s="5">
        <v>0</v>
      </c>
      <c r="AH259" s="7">
        <f t="shared" si="32"/>
        <v>148.38535112898199</v>
      </c>
      <c r="AI259" s="8">
        <f t="shared" si="33"/>
        <v>721.15280648685246</v>
      </c>
      <c r="AJ259" s="6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6">
        <v>0</v>
      </c>
      <c r="AQ259" s="5">
        <v>0</v>
      </c>
      <c r="AR259" s="6">
        <v>0</v>
      </c>
      <c r="AS259" s="5">
        <v>0</v>
      </c>
      <c r="AT259" s="6">
        <v>125</v>
      </c>
      <c r="AU259" s="5">
        <v>633.24435547587439</v>
      </c>
      <c r="AV259" s="6">
        <v>60</v>
      </c>
      <c r="AW259" s="5">
        <v>303.95729062841968</v>
      </c>
      <c r="AX259" s="6">
        <v>0</v>
      </c>
      <c r="AY259" s="5">
        <v>0</v>
      </c>
      <c r="AZ259" s="6">
        <v>0</v>
      </c>
      <c r="BA259" s="5">
        <v>0</v>
      </c>
      <c r="BB259" s="6">
        <v>0</v>
      </c>
      <c r="BC259" s="5">
        <v>0</v>
      </c>
      <c r="BD259" s="6">
        <v>0</v>
      </c>
      <c r="BE259" s="5">
        <v>0</v>
      </c>
      <c r="BF259" s="6">
        <v>0</v>
      </c>
      <c r="BG259" s="5">
        <v>0</v>
      </c>
      <c r="BH259" s="9">
        <f t="shared" si="34"/>
        <v>185</v>
      </c>
      <c r="BI259" s="10">
        <f t="shared" si="35"/>
        <v>937.20164610429401</v>
      </c>
      <c r="BJ259" s="6">
        <f t="shared" si="36"/>
        <v>36.614648871018005</v>
      </c>
      <c r="BK259" s="11">
        <f t="shared" si="37"/>
        <v>0.24675379740949771</v>
      </c>
      <c r="BL259" s="5">
        <f t="shared" si="38"/>
        <v>216.04883961744156</v>
      </c>
      <c r="BM259" s="11">
        <f t="shared" si="39"/>
        <v>0.29958815617724482</v>
      </c>
    </row>
    <row r="260" spans="1:65" ht="15" customHeight="1" x14ac:dyDescent="0.4">
      <c r="A260" s="2" t="s">
        <v>65</v>
      </c>
      <c r="B260" s="2" t="s">
        <v>66</v>
      </c>
      <c r="C260" s="2" t="s">
        <v>259</v>
      </c>
      <c r="D260" s="3" t="s">
        <v>68</v>
      </c>
      <c r="E260" s="3" t="s">
        <v>69</v>
      </c>
      <c r="F260" s="2" t="s">
        <v>192</v>
      </c>
      <c r="G260" s="4">
        <v>20</v>
      </c>
      <c r="H260" s="5">
        <v>4.7399999999999993</v>
      </c>
      <c r="I260" s="5">
        <v>4.9408695390216364</v>
      </c>
      <c r="J260" s="6">
        <v>0</v>
      </c>
      <c r="K260" s="5">
        <v>0</v>
      </c>
      <c r="L260" s="6">
        <v>0</v>
      </c>
      <c r="M260" s="5">
        <v>0</v>
      </c>
      <c r="N260" s="6">
        <v>0</v>
      </c>
      <c r="O260" s="5">
        <v>0</v>
      </c>
      <c r="P260" s="6">
        <v>0</v>
      </c>
      <c r="Q260" s="5">
        <v>0</v>
      </c>
      <c r="R260" s="6">
        <v>0</v>
      </c>
      <c r="S260" s="5">
        <v>0</v>
      </c>
      <c r="T260" s="6">
        <v>39.569426967728532</v>
      </c>
      <c r="U260" s="5">
        <v>187.55908382703319</v>
      </c>
      <c r="V260" s="6">
        <v>0</v>
      </c>
      <c r="W260" s="5">
        <v>0</v>
      </c>
      <c r="X260" s="6">
        <v>0</v>
      </c>
      <c r="Y260" s="5">
        <v>0</v>
      </c>
      <c r="Z260" s="6">
        <v>0</v>
      </c>
      <c r="AA260" s="5">
        <v>0</v>
      </c>
      <c r="AB260" s="6">
        <v>0</v>
      </c>
      <c r="AC260" s="5">
        <v>0</v>
      </c>
      <c r="AD260" s="6">
        <v>0</v>
      </c>
      <c r="AE260" s="5">
        <v>0</v>
      </c>
      <c r="AF260" s="6">
        <v>0</v>
      </c>
      <c r="AG260" s="5">
        <v>0</v>
      </c>
      <c r="AH260" s="7">
        <f t="shared" si="32"/>
        <v>39.569426967728532</v>
      </c>
      <c r="AI260" s="8">
        <f t="shared" si="33"/>
        <v>187.55908382703319</v>
      </c>
      <c r="AJ260" s="6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6">
        <v>0</v>
      </c>
      <c r="AQ260" s="5">
        <v>0</v>
      </c>
      <c r="AR260" s="6">
        <v>0</v>
      </c>
      <c r="AS260" s="5">
        <v>0</v>
      </c>
      <c r="AT260" s="6">
        <v>40</v>
      </c>
      <c r="AU260" s="5">
        <v>197.63478156086549</v>
      </c>
      <c r="AV260" s="6">
        <v>0</v>
      </c>
      <c r="AW260" s="5">
        <v>0</v>
      </c>
      <c r="AX260" s="6">
        <v>0</v>
      </c>
      <c r="AY260" s="5">
        <v>0</v>
      </c>
      <c r="AZ260" s="6">
        <v>0</v>
      </c>
      <c r="BA260" s="5">
        <v>0</v>
      </c>
      <c r="BB260" s="6">
        <v>0</v>
      </c>
      <c r="BC260" s="5">
        <v>0</v>
      </c>
      <c r="BD260" s="6">
        <v>0</v>
      </c>
      <c r="BE260" s="5">
        <v>0</v>
      </c>
      <c r="BF260" s="6">
        <v>0</v>
      </c>
      <c r="BG260" s="5">
        <v>0</v>
      </c>
      <c r="BH260" s="9">
        <f t="shared" si="34"/>
        <v>40</v>
      </c>
      <c r="BI260" s="10">
        <f t="shared" si="35"/>
        <v>197.63478156086549</v>
      </c>
      <c r="BJ260" s="6">
        <f t="shared" si="36"/>
        <v>0.43057303227146804</v>
      </c>
      <c r="BK260" s="11">
        <f t="shared" si="37"/>
        <v>1.0881457359052195E-2</v>
      </c>
      <c r="BL260" s="5">
        <f t="shared" si="38"/>
        <v>10.0756977338323</v>
      </c>
      <c r="BM260" s="11">
        <f t="shared" si="39"/>
        <v>5.3720126630198824E-2</v>
      </c>
    </row>
    <row r="261" spans="1:65" ht="15" customHeight="1" x14ac:dyDescent="0.4">
      <c r="A261" s="2" t="s">
        <v>65</v>
      </c>
      <c r="B261" s="2" t="s">
        <v>66</v>
      </c>
      <c r="C261" s="2" t="s">
        <v>259</v>
      </c>
      <c r="D261" s="3" t="s">
        <v>68</v>
      </c>
      <c r="E261" s="3" t="s">
        <v>209</v>
      </c>
      <c r="F261" s="2" t="s">
        <v>210</v>
      </c>
      <c r="G261" s="4">
        <v>1</v>
      </c>
      <c r="H261" s="5">
        <v>10.95</v>
      </c>
      <c r="I261" s="5">
        <v>11.41403406166391</v>
      </c>
      <c r="J261" s="6">
        <v>0</v>
      </c>
      <c r="K261" s="5">
        <v>0</v>
      </c>
      <c r="L261" s="6">
        <v>0</v>
      </c>
      <c r="M261" s="5">
        <v>0</v>
      </c>
      <c r="N261" s="6">
        <v>0</v>
      </c>
      <c r="O261" s="5">
        <v>0</v>
      </c>
      <c r="P261" s="6">
        <v>47.483312361274237</v>
      </c>
      <c r="Q261" s="5">
        <v>519.94227035595293</v>
      </c>
      <c r="R261" s="6">
        <v>0</v>
      </c>
      <c r="S261" s="5">
        <v>0</v>
      </c>
      <c r="T261" s="6">
        <v>0</v>
      </c>
      <c r="U261" s="5">
        <v>0</v>
      </c>
      <c r="V261" s="6">
        <v>0</v>
      </c>
      <c r="W261" s="5">
        <v>0</v>
      </c>
      <c r="X261" s="6">
        <v>0</v>
      </c>
      <c r="Y261" s="5">
        <v>0</v>
      </c>
      <c r="Z261" s="6">
        <v>0</v>
      </c>
      <c r="AA261" s="5">
        <v>0</v>
      </c>
      <c r="AB261" s="6">
        <v>0</v>
      </c>
      <c r="AC261" s="5">
        <v>0</v>
      </c>
      <c r="AD261" s="6">
        <v>0</v>
      </c>
      <c r="AE261" s="5">
        <v>0</v>
      </c>
      <c r="AF261" s="6">
        <v>0</v>
      </c>
      <c r="AG261" s="5">
        <v>0</v>
      </c>
      <c r="AH261" s="7">
        <f t="shared" si="32"/>
        <v>47.483312361274237</v>
      </c>
      <c r="AI261" s="8">
        <f t="shared" si="33"/>
        <v>519.94227035595293</v>
      </c>
      <c r="AJ261" s="6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6">
        <v>52</v>
      </c>
      <c r="AQ261" s="5">
        <v>593.52977120652338</v>
      </c>
      <c r="AR261" s="6">
        <v>0</v>
      </c>
      <c r="AS261" s="5">
        <v>0</v>
      </c>
      <c r="AT261" s="6">
        <v>0</v>
      </c>
      <c r="AU261" s="5">
        <v>0</v>
      </c>
      <c r="AV261" s="6">
        <v>0</v>
      </c>
      <c r="AW261" s="5">
        <v>0</v>
      </c>
      <c r="AX261" s="6">
        <v>0</v>
      </c>
      <c r="AY261" s="5">
        <v>0</v>
      </c>
      <c r="AZ261" s="6">
        <v>0</v>
      </c>
      <c r="BA261" s="5">
        <v>0</v>
      </c>
      <c r="BB261" s="6">
        <v>0</v>
      </c>
      <c r="BC261" s="5">
        <v>0</v>
      </c>
      <c r="BD261" s="6">
        <v>0</v>
      </c>
      <c r="BE261" s="5">
        <v>0</v>
      </c>
      <c r="BF261" s="6">
        <v>0</v>
      </c>
      <c r="BG261" s="5">
        <v>0</v>
      </c>
      <c r="BH261" s="9">
        <f t="shared" si="34"/>
        <v>52</v>
      </c>
      <c r="BI261" s="10">
        <f t="shared" si="35"/>
        <v>593.52977120652338</v>
      </c>
      <c r="BJ261" s="6">
        <f t="shared" si="36"/>
        <v>4.5166876387257631</v>
      </c>
      <c r="BK261" s="11">
        <f t="shared" si="37"/>
        <v>9.5121578805639914E-2</v>
      </c>
      <c r="BL261" s="5">
        <f t="shared" si="38"/>
        <v>73.58750085057045</v>
      </c>
      <c r="BM261" s="11">
        <f t="shared" si="39"/>
        <v>0.14153013718271526</v>
      </c>
    </row>
    <row r="262" spans="1:65" ht="15" customHeight="1" x14ac:dyDescent="0.4">
      <c r="A262" s="2" t="s">
        <v>65</v>
      </c>
      <c r="B262" s="2" t="s">
        <v>66</v>
      </c>
      <c r="C262" s="2" t="s">
        <v>259</v>
      </c>
      <c r="D262" s="3" t="s">
        <v>68</v>
      </c>
      <c r="E262" s="3" t="s">
        <v>104</v>
      </c>
      <c r="F262" s="2" t="s">
        <v>105</v>
      </c>
      <c r="G262" s="4">
        <v>1</v>
      </c>
      <c r="H262" s="5">
        <v>5.87</v>
      </c>
      <c r="I262" s="5">
        <v>6.1187561590837589</v>
      </c>
      <c r="J262" s="6">
        <v>0</v>
      </c>
      <c r="K262" s="5">
        <v>0</v>
      </c>
      <c r="L262" s="6">
        <v>0</v>
      </c>
      <c r="M262" s="5">
        <v>0</v>
      </c>
      <c r="N262" s="6">
        <v>0</v>
      </c>
      <c r="O262" s="5">
        <v>0</v>
      </c>
      <c r="P262" s="6">
        <v>0</v>
      </c>
      <c r="Q262" s="5">
        <v>0</v>
      </c>
      <c r="R262" s="6">
        <v>59.354140451592791</v>
      </c>
      <c r="S262" s="5">
        <v>348.40880445084969</v>
      </c>
      <c r="T262" s="6">
        <v>0</v>
      </c>
      <c r="U262" s="5">
        <v>0</v>
      </c>
      <c r="V262" s="6">
        <v>0</v>
      </c>
      <c r="W262" s="5">
        <v>0</v>
      </c>
      <c r="X262" s="6">
        <v>0</v>
      </c>
      <c r="Y262" s="5">
        <v>0</v>
      </c>
      <c r="Z262" s="6">
        <v>0</v>
      </c>
      <c r="AA262" s="5">
        <v>0</v>
      </c>
      <c r="AB262" s="6">
        <v>0</v>
      </c>
      <c r="AC262" s="5">
        <v>0</v>
      </c>
      <c r="AD262" s="6">
        <v>0</v>
      </c>
      <c r="AE262" s="5">
        <v>0</v>
      </c>
      <c r="AF262" s="6">
        <v>0</v>
      </c>
      <c r="AG262" s="5">
        <v>0</v>
      </c>
      <c r="AH262" s="7">
        <f t="shared" si="32"/>
        <v>59.354140451592791</v>
      </c>
      <c r="AI262" s="8">
        <f t="shared" si="33"/>
        <v>348.40880445084969</v>
      </c>
      <c r="AJ262" s="6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6">
        <v>0</v>
      </c>
      <c r="AQ262" s="5">
        <v>0</v>
      </c>
      <c r="AR262" s="6">
        <v>67</v>
      </c>
      <c r="AS262" s="5">
        <v>409.95666265861178</v>
      </c>
      <c r="AT262" s="6">
        <v>0</v>
      </c>
      <c r="AU262" s="5">
        <v>0</v>
      </c>
      <c r="AV262" s="6">
        <v>0</v>
      </c>
      <c r="AW262" s="5">
        <v>0</v>
      </c>
      <c r="AX262" s="6">
        <v>0</v>
      </c>
      <c r="AY262" s="5">
        <v>0</v>
      </c>
      <c r="AZ262" s="6">
        <v>0</v>
      </c>
      <c r="BA262" s="5">
        <v>0</v>
      </c>
      <c r="BB262" s="6">
        <v>0</v>
      </c>
      <c r="BC262" s="5">
        <v>0</v>
      </c>
      <c r="BD262" s="6">
        <v>0</v>
      </c>
      <c r="BE262" s="5">
        <v>0</v>
      </c>
      <c r="BF262" s="6">
        <v>0</v>
      </c>
      <c r="BG262" s="5">
        <v>0</v>
      </c>
      <c r="BH262" s="9">
        <f t="shared" si="34"/>
        <v>67</v>
      </c>
      <c r="BI262" s="10">
        <f t="shared" si="35"/>
        <v>409.95666265861178</v>
      </c>
      <c r="BJ262" s="6">
        <f t="shared" si="36"/>
        <v>7.6458595484072092</v>
      </c>
      <c r="BK262" s="11">
        <f t="shared" si="37"/>
        <v>0.12881762738427507</v>
      </c>
      <c r="BL262" s="5">
        <f t="shared" si="38"/>
        <v>61.54785820776209</v>
      </c>
      <c r="BM262" s="11">
        <f t="shared" si="39"/>
        <v>0.1766541414037219</v>
      </c>
    </row>
    <row r="263" spans="1:65" ht="15" customHeight="1" x14ac:dyDescent="0.4">
      <c r="A263" s="2" t="s">
        <v>65</v>
      </c>
      <c r="B263" s="2" t="s">
        <v>66</v>
      </c>
      <c r="C263" s="2" t="s">
        <v>259</v>
      </c>
      <c r="D263" s="3" t="s">
        <v>68</v>
      </c>
      <c r="E263" s="3" t="s">
        <v>106</v>
      </c>
      <c r="F263" s="2" t="s">
        <v>107</v>
      </c>
      <c r="G263" s="4">
        <v>5</v>
      </c>
      <c r="H263" s="5">
        <v>4.6000000000000014</v>
      </c>
      <c r="I263" s="5">
        <v>4.7949366834387206</v>
      </c>
      <c r="J263" s="6">
        <v>0</v>
      </c>
      <c r="K263" s="5">
        <v>0</v>
      </c>
      <c r="L263" s="6">
        <v>0</v>
      </c>
      <c r="M263" s="5">
        <v>0</v>
      </c>
      <c r="N263" s="6">
        <v>0</v>
      </c>
      <c r="O263" s="5">
        <v>0</v>
      </c>
      <c r="P263" s="6">
        <v>59.354140451592791</v>
      </c>
      <c r="Q263" s="5">
        <v>273.02904607732683</v>
      </c>
      <c r="R263" s="6">
        <v>113.7621025322195</v>
      </c>
      <c r="S263" s="5">
        <v>523.3056716482098</v>
      </c>
      <c r="T263" s="6">
        <v>19.78471348386427</v>
      </c>
      <c r="U263" s="5">
        <v>91.009682025775618</v>
      </c>
      <c r="V263" s="6">
        <v>0</v>
      </c>
      <c r="W263" s="5">
        <v>0</v>
      </c>
      <c r="X263" s="6">
        <v>0</v>
      </c>
      <c r="Y263" s="5">
        <v>0</v>
      </c>
      <c r="Z263" s="6">
        <v>0</v>
      </c>
      <c r="AA263" s="5">
        <v>0</v>
      </c>
      <c r="AB263" s="6">
        <v>0</v>
      </c>
      <c r="AC263" s="5">
        <v>0</v>
      </c>
      <c r="AD263" s="6">
        <v>0</v>
      </c>
      <c r="AE263" s="5">
        <v>0</v>
      </c>
      <c r="AF263" s="6">
        <v>0</v>
      </c>
      <c r="AG263" s="5">
        <v>0</v>
      </c>
      <c r="AH263" s="7">
        <f t="shared" si="32"/>
        <v>192.90095646767656</v>
      </c>
      <c r="AI263" s="8">
        <f t="shared" si="33"/>
        <v>887.34439975131227</v>
      </c>
      <c r="AJ263" s="6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6">
        <v>65</v>
      </c>
      <c r="AQ263" s="5">
        <v>311.67088442351678</v>
      </c>
      <c r="AR263" s="6">
        <v>130</v>
      </c>
      <c r="AS263" s="5">
        <v>623.34176884703379</v>
      </c>
      <c r="AT263" s="6">
        <v>20</v>
      </c>
      <c r="AU263" s="5">
        <v>95.898733668774398</v>
      </c>
      <c r="AV263" s="6">
        <v>0</v>
      </c>
      <c r="AW263" s="5">
        <v>0</v>
      </c>
      <c r="AX263" s="6">
        <v>0</v>
      </c>
      <c r="AY263" s="5">
        <v>0</v>
      </c>
      <c r="AZ263" s="6">
        <v>0</v>
      </c>
      <c r="BA263" s="5">
        <v>0</v>
      </c>
      <c r="BB263" s="6">
        <v>0</v>
      </c>
      <c r="BC263" s="5">
        <v>0</v>
      </c>
      <c r="BD263" s="6">
        <v>0</v>
      </c>
      <c r="BE263" s="5">
        <v>0</v>
      </c>
      <c r="BF263" s="6">
        <v>0</v>
      </c>
      <c r="BG263" s="5">
        <v>0</v>
      </c>
      <c r="BH263" s="9">
        <f t="shared" si="34"/>
        <v>215</v>
      </c>
      <c r="BI263" s="10">
        <f t="shared" si="35"/>
        <v>1030.911386939325</v>
      </c>
      <c r="BJ263" s="6">
        <f t="shared" si="36"/>
        <v>22.099043532323435</v>
      </c>
      <c r="BK263" s="11">
        <f t="shared" si="37"/>
        <v>0.11456160683177566</v>
      </c>
      <c r="BL263" s="5">
        <f t="shared" si="38"/>
        <v>143.56698718801272</v>
      </c>
      <c r="BM263" s="11">
        <f t="shared" si="39"/>
        <v>0.16179398577175771</v>
      </c>
    </row>
    <row r="264" spans="1:65" ht="15" customHeight="1" x14ac:dyDescent="0.4">
      <c r="A264" s="2" t="s">
        <v>65</v>
      </c>
      <c r="B264" s="2" t="s">
        <v>66</v>
      </c>
      <c r="C264" s="2" t="s">
        <v>259</v>
      </c>
      <c r="D264" s="3" t="s">
        <v>68</v>
      </c>
      <c r="E264" s="3" t="s">
        <v>112</v>
      </c>
      <c r="F264" s="2" t="s">
        <v>113</v>
      </c>
      <c r="G264" s="4">
        <v>5</v>
      </c>
      <c r="H264" s="5">
        <v>2.73</v>
      </c>
      <c r="I264" s="5">
        <v>2.8456906838668932</v>
      </c>
      <c r="J264" s="6">
        <v>0</v>
      </c>
      <c r="K264" s="5">
        <v>0</v>
      </c>
      <c r="L264" s="6">
        <v>0</v>
      </c>
      <c r="M264" s="5">
        <v>0</v>
      </c>
      <c r="N264" s="6">
        <v>0</v>
      </c>
      <c r="O264" s="5">
        <v>0</v>
      </c>
      <c r="P264" s="6">
        <v>0</v>
      </c>
      <c r="Q264" s="5">
        <v>0</v>
      </c>
      <c r="R264" s="6">
        <v>0</v>
      </c>
      <c r="S264" s="5">
        <v>0</v>
      </c>
      <c r="T264" s="6">
        <v>98.92356741932133</v>
      </c>
      <c r="U264" s="5">
        <v>270.06133905474718</v>
      </c>
      <c r="V264" s="6">
        <v>0</v>
      </c>
      <c r="W264" s="5">
        <v>0</v>
      </c>
      <c r="X264" s="6">
        <v>0</v>
      </c>
      <c r="Y264" s="5">
        <v>0</v>
      </c>
      <c r="Z264" s="6">
        <v>0</v>
      </c>
      <c r="AA264" s="5">
        <v>0</v>
      </c>
      <c r="AB264" s="6">
        <v>0</v>
      </c>
      <c r="AC264" s="5">
        <v>0</v>
      </c>
      <c r="AD264" s="6">
        <v>0</v>
      </c>
      <c r="AE264" s="5">
        <v>0</v>
      </c>
      <c r="AF264" s="6">
        <v>0</v>
      </c>
      <c r="AG264" s="5">
        <v>0</v>
      </c>
      <c r="AH264" s="7">
        <f t="shared" si="32"/>
        <v>98.92356741932133</v>
      </c>
      <c r="AI264" s="8">
        <f t="shared" si="33"/>
        <v>270.06133905474718</v>
      </c>
      <c r="AJ264" s="6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6">
        <v>0</v>
      </c>
      <c r="AQ264" s="5">
        <v>0</v>
      </c>
      <c r="AR264" s="6">
        <v>0</v>
      </c>
      <c r="AS264" s="5">
        <v>0</v>
      </c>
      <c r="AT264" s="6">
        <v>110</v>
      </c>
      <c r="AU264" s="5">
        <v>313.0259752253582</v>
      </c>
      <c r="AV264" s="6">
        <v>0</v>
      </c>
      <c r="AW264" s="5">
        <v>0</v>
      </c>
      <c r="AX264" s="6">
        <v>0</v>
      </c>
      <c r="AY264" s="5">
        <v>0</v>
      </c>
      <c r="AZ264" s="6">
        <v>0</v>
      </c>
      <c r="BA264" s="5">
        <v>0</v>
      </c>
      <c r="BB264" s="6">
        <v>0</v>
      </c>
      <c r="BC264" s="5">
        <v>0</v>
      </c>
      <c r="BD264" s="6">
        <v>0</v>
      </c>
      <c r="BE264" s="5">
        <v>0</v>
      </c>
      <c r="BF264" s="6">
        <v>0</v>
      </c>
      <c r="BG264" s="5">
        <v>0</v>
      </c>
      <c r="BH264" s="9">
        <f t="shared" si="34"/>
        <v>110</v>
      </c>
      <c r="BI264" s="10">
        <f t="shared" si="35"/>
        <v>313.0259752253582</v>
      </c>
      <c r="BJ264" s="6">
        <f t="shared" si="36"/>
        <v>11.07643258067867</v>
      </c>
      <c r="BK264" s="11">
        <f t="shared" si="37"/>
        <v>0.11196960309495742</v>
      </c>
      <c r="BL264" s="5">
        <f t="shared" si="38"/>
        <v>42.964636170611016</v>
      </c>
      <c r="BM264" s="11">
        <f t="shared" si="39"/>
        <v>0.15909213929321875</v>
      </c>
    </row>
    <row r="265" spans="1:65" ht="15" customHeight="1" x14ac:dyDescent="0.4">
      <c r="A265" s="2" t="s">
        <v>65</v>
      </c>
      <c r="B265" s="2" t="s">
        <v>66</v>
      </c>
      <c r="C265" s="2" t="s">
        <v>259</v>
      </c>
      <c r="D265" s="3" t="s">
        <v>68</v>
      </c>
      <c r="E265" s="3" t="s">
        <v>86</v>
      </c>
      <c r="F265" s="2" t="s">
        <v>87</v>
      </c>
      <c r="G265" s="4">
        <v>20</v>
      </c>
      <c r="H265" s="5">
        <v>1.6733333333333329</v>
      </c>
      <c r="I265" s="5">
        <v>1.744679407370773</v>
      </c>
      <c r="J265" s="6">
        <v>98.92356741932133</v>
      </c>
      <c r="K265" s="5">
        <v>164.21312191607339</v>
      </c>
      <c r="L265" s="6">
        <v>0</v>
      </c>
      <c r="M265" s="5">
        <v>0</v>
      </c>
      <c r="N265" s="6">
        <v>0</v>
      </c>
      <c r="O265" s="5">
        <v>0</v>
      </c>
      <c r="P265" s="6">
        <v>0</v>
      </c>
      <c r="Q265" s="5">
        <v>0</v>
      </c>
      <c r="R265" s="6">
        <v>197.84713483864269</v>
      </c>
      <c r="S265" s="5">
        <v>332.38318652891962</v>
      </c>
      <c r="T265" s="6">
        <v>0</v>
      </c>
      <c r="U265" s="5">
        <v>0</v>
      </c>
      <c r="V265" s="6">
        <v>0</v>
      </c>
      <c r="W265" s="5">
        <v>0</v>
      </c>
      <c r="X265" s="6">
        <v>0</v>
      </c>
      <c r="Y265" s="5">
        <v>0</v>
      </c>
      <c r="Z265" s="6">
        <v>0</v>
      </c>
      <c r="AA265" s="5">
        <v>0</v>
      </c>
      <c r="AB265" s="6">
        <v>0</v>
      </c>
      <c r="AC265" s="5">
        <v>0</v>
      </c>
      <c r="AD265" s="6">
        <v>0</v>
      </c>
      <c r="AE265" s="5">
        <v>0</v>
      </c>
      <c r="AF265" s="6">
        <v>0</v>
      </c>
      <c r="AG265" s="5">
        <v>0</v>
      </c>
      <c r="AH265" s="7">
        <f t="shared" si="32"/>
        <v>296.77070225796399</v>
      </c>
      <c r="AI265" s="8">
        <f t="shared" si="33"/>
        <v>496.59630844499304</v>
      </c>
      <c r="AJ265" s="6">
        <v>100</v>
      </c>
      <c r="AK265" s="5">
        <v>173.0346716197451</v>
      </c>
      <c r="AL265" s="6">
        <v>0</v>
      </c>
      <c r="AM265" s="5">
        <v>0</v>
      </c>
      <c r="AN265" s="6">
        <v>0</v>
      </c>
      <c r="AO265" s="5">
        <v>0</v>
      </c>
      <c r="AP265" s="6">
        <v>0</v>
      </c>
      <c r="AQ265" s="5">
        <v>0</v>
      </c>
      <c r="AR265" s="6">
        <v>220</v>
      </c>
      <c r="AS265" s="5">
        <v>385.26273873890233</v>
      </c>
      <c r="AT265" s="6">
        <v>0</v>
      </c>
      <c r="AU265" s="5">
        <v>0</v>
      </c>
      <c r="AV265" s="6">
        <v>0</v>
      </c>
      <c r="AW265" s="5">
        <v>0</v>
      </c>
      <c r="AX265" s="6">
        <v>0</v>
      </c>
      <c r="AY265" s="5">
        <v>0</v>
      </c>
      <c r="AZ265" s="6">
        <v>0</v>
      </c>
      <c r="BA265" s="5">
        <v>0</v>
      </c>
      <c r="BB265" s="6">
        <v>0</v>
      </c>
      <c r="BC265" s="5">
        <v>0</v>
      </c>
      <c r="BD265" s="6">
        <v>0</v>
      </c>
      <c r="BE265" s="5">
        <v>0</v>
      </c>
      <c r="BF265" s="6">
        <v>0</v>
      </c>
      <c r="BG265" s="5">
        <v>0</v>
      </c>
      <c r="BH265" s="9">
        <f t="shared" si="34"/>
        <v>320</v>
      </c>
      <c r="BI265" s="10">
        <f t="shared" si="35"/>
        <v>558.29741035864743</v>
      </c>
      <c r="BJ265" s="6">
        <f t="shared" si="36"/>
        <v>23.22929774203601</v>
      </c>
      <c r="BK265" s="11">
        <f t="shared" si="37"/>
        <v>7.8273554516322341E-2</v>
      </c>
      <c r="BL265" s="5">
        <f t="shared" si="38"/>
        <v>61.701101913654384</v>
      </c>
      <c r="BM265" s="11">
        <f t="shared" si="39"/>
        <v>0.12424800761580548</v>
      </c>
    </row>
    <row r="266" spans="1:65" ht="15" customHeight="1" x14ac:dyDescent="0.4">
      <c r="A266" s="2" t="s">
        <v>65</v>
      </c>
      <c r="B266" s="2" t="s">
        <v>66</v>
      </c>
      <c r="C266" s="2" t="s">
        <v>259</v>
      </c>
      <c r="D266" s="3" t="s">
        <v>68</v>
      </c>
      <c r="E266" s="3" t="s">
        <v>116</v>
      </c>
      <c r="F266" s="2" t="s">
        <v>117</v>
      </c>
      <c r="G266" s="4">
        <v>5</v>
      </c>
      <c r="H266" s="5">
        <v>12.81</v>
      </c>
      <c r="I266" s="5">
        <v>13.35285628583696</v>
      </c>
      <c r="J266" s="6">
        <v>0</v>
      </c>
      <c r="K266" s="5">
        <v>0</v>
      </c>
      <c r="L266" s="6">
        <v>0</v>
      </c>
      <c r="M266" s="5">
        <v>0</v>
      </c>
      <c r="N266" s="6">
        <v>0</v>
      </c>
      <c r="O266" s="5">
        <v>0</v>
      </c>
      <c r="P266" s="6">
        <v>0</v>
      </c>
      <c r="Q266" s="5">
        <v>0</v>
      </c>
      <c r="R266" s="6">
        <v>39.569426967728532</v>
      </c>
      <c r="S266" s="5">
        <v>506.88435945660251</v>
      </c>
      <c r="T266" s="6">
        <v>0</v>
      </c>
      <c r="U266" s="5">
        <v>0</v>
      </c>
      <c r="V266" s="6">
        <v>0</v>
      </c>
      <c r="W266" s="5">
        <v>0</v>
      </c>
      <c r="X266" s="6">
        <v>59.354140451592791</v>
      </c>
      <c r="Y266" s="5">
        <v>760.32653918490371</v>
      </c>
      <c r="Z266" s="6">
        <v>0</v>
      </c>
      <c r="AA266" s="5">
        <v>0</v>
      </c>
      <c r="AB266" s="6">
        <v>0</v>
      </c>
      <c r="AC266" s="5">
        <v>0</v>
      </c>
      <c r="AD266" s="6">
        <v>0</v>
      </c>
      <c r="AE266" s="5">
        <v>0</v>
      </c>
      <c r="AF266" s="6">
        <v>0</v>
      </c>
      <c r="AG266" s="5">
        <v>0</v>
      </c>
      <c r="AH266" s="7">
        <f t="shared" si="32"/>
        <v>98.92356741932133</v>
      </c>
      <c r="AI266" s="8">
        <f t="shared" si="33"/>
        <v>1267.2108986415062</v>
      </c>
      <c r="AJ266" s="6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6">
        <v>0</v>
      </c>
      <c r="AQ266" s="5">
        <v>0</v>
      </c>
      <c r="AR266" s="6">
        <v>50</v>
      </c>
      <c r="AS266" s="5">
        <v>667.6428142918478</v>
      </c>
      <c r="AT266" s="6">
        <v>0</v>
      </c>
      <c r="AU266" s="5">
        <v>0</v>
      </c>
      <c r="AV266" s="6">
        <v>0</v>
      </c>
      <c r="AW266" s="5">
        <v>0</v>
      </c>
      <c r="AX266" s="6">
        <v>70</v>
      </c>
      <c r="AY266" s="5">
        <v>934.69994000858719</v>
      </c>
      <c r="AZ266" s="6">
        <v>0</v>
      </c>
      <c r="BA266" s="5">
        <v>0</v>
      </c>
      <c r="BB266" s="6">
        <v>0</v>
      </c>
      <c r="BC266" s="5">
        <v>0</v>
      </c>
      <c r="BD266" s="6">
        <v>0</v>
      </c>
      <c r="BE266" s="5">
        <v>0</v>
      </c>
      <c r="BF266" s="6">
        <v>0</v>
      </c>
      <c r="BG266" s="5">
        <v>0</v>
      </c>
      <c r="BH266" s="9">
        <f t="shared" si="34"/>
        <v>120</v>
      </c>
      <c r="BI266" s="10">
        <f t="shared" si="35"/>
        <v>1602.342754300435</v>
      </c>
      <c r="BJ266" s="6">
        <f t="shared" si="36"/>
        <v>21.07643258067867</v>
      </c>
      <c r="BK266" s="11">
        <f t="shared" si="37"/>
        <v>0.21305774883086265</v>
      </c>
      <c r="BL266" s="5">
        <f t="shared" si="38"/>
        <v>335.13185565892877</v>
      </c>
      <c r="BM266" s="11">
        <f t="shared" si="39"/>
        <v>0.26446415195623846</v>
      </c>
    </row>
    <row r="267" spans="1:65" ht="15" customHeight="1" x14ac:dyDescent="0.4">
      <c r="A267" s="2" t="s">
        <v>65</v>
      </c>
      <c r="B267" s="2" t="s">
        <v>66</v>
      </c>
      <c r="C267" s="2" t="s">
        <v>259</v>
      </c>
      <c r="D267" s="3" t="s">
        <v>68</v>
      </c>
      <c r="E267" s="3" t="s">
        <v>136</v>
      </c>
      <c r="F267" s="2" t="s">
        <v>137</v>
      </c>
      <c r="G267" s="4">
        <v>20</v>
      </c>
      <c r="H267" s="5">
        <v>4.74</v>
      </c>
      <c r="I267" s="5">
        <v>4.9408695390216373</v>
      </c>
      <c r="J267" s="6">
        <v>0</v>
      </c>
      <c r="K267" s="5">
        <v>0</v>
      </c>
      <c r="L267" s="6">
        <v>0</v>
      </c>
      <c r="M267" s="5">
        <v>0</v>
      </c>
      <c r="N267" s="6">
        <v>415.47898316114959</v>
      </c>
      <c r="O267" s="5">
        <v>1969.370380183849</v>
      </c>
      <c r="P267" s="6">
        <v>0</v>
      </c>
      <c r="Q267" s="5">
        <v>0</v>
      </c>
      <c r="R267" s="6">
        <v>1266.221662967313</v>
      </c>
      <c r="S267" s="5">
        <v>6001.890682465063</v>
      </c>
      <c r="T267" s="6">
        <v>1266.221662967313</v>
      </c>
      <c r="U267" s="5">
        <v>6001.890682465063</v>
      </c>
      <c r="V267" s="6">
        <v>0</v>
      </c>
      <c r="W267" s="5">
        <v>0</v>
      </c>
      <c r="X267" s="6">
        <v>276.98598877409972</v>
      </c>
      <c r="Y267" s="5">
        <v>1312.913586789233</v>
      </c>
      <c r="Z267" s="6">
        <v>0</v>
      </c>
      <c r="AA267" s="5">
        <v>0</v>
      </c>
      <c r="AB267" s="6">
        <v>0</v>
      </c>
      <c r="AC267" s="5">
        <v>0</v>
      </c>
      <c r="AD267" s="6">
        <v>0</v>
      </c>
      <c r="AE267" s="5">
        <v>0</v>
      </c>
      <c r="AF267" s="6">
        <v>0</v>
      </c>
      <c r="AG267" s="5">
        <v>0</v>
      </c>
      <c r="AH267" s="7">
        <f t="shared" si="32"/>
        <v>3224.9082978698752</v>
      </c>
      <c r="AI267" s="8">
        <f t="shared" si="33"/>
        <v>15286.065331903208</v>
      </c>
      <c r="AJ267" s="6">
        <v>0</v>
      </c>
      <c r="AK267" s="5">
        <v>0</v>
      </c>
      <c r="AL267" s="6">
        <v>0</v>
      </c>
      <c r="AM267" s="5">
        <v>0</v>
      </c>
      <c r="AN267" s="6">
        <v>460</v>
      </c>
      <c r="AO267" s="5">
        <v>2272.799987949953</v>
      </c>
      <c r="AP267" s="6">
        <v>0</v>
      </c>
      <c r="AQ267" s="5">
        <v>0</v>
      </c>
      <c r="AR267" s="6">
        <v>1400</v>
      </c>
      <c r="AS267" s="5">
        <v>6917.2173546302911</v>
      </c>
      <c r="AT267" s="6">
        <v>1400</v>
      </c>
      <c r="AU267" s="5">
        <v>6917.2173546302911</v>
      </c>
      <c r="AV267" s="6">
        <v>0</v>
      </c>
      <c r="AW267" s="5">
        <v>0</v>
      </c>
      <c r="AX267" s="6">
        <v>300</v>
      </c>
      <c r="AY267" s="5">
        <v>1482.2608617064909</v>
      </c>
      <c r="AZ267" s="6">
        <v>0</v>
      </c>
      <c r="BA267" s="5">
        <v>0</v>
      </c>
      <c r="BB267" s="6">
        <v>0</v>
      </c>
      <c r="BC267" s="5">
        <v>0</v>
      </c>
      <c r="BD267" s="6">
        <v>0</v>
      </c>
      <c r="BE267" s="5">
        <v>0</v>
      </c>
      <c r="BF267" s="6">
        <v>0</v>
      </c>
      <c r="BG267" s="5">
        <v>0</v>
      </c>
      <c r="BH267" s="9">
        <f t="shared" si="34"/>
        <v>3560</v>
      </c>
      <c r="BI267" s="10">
        <f t="shared" si="35"/>
        <v>17589.495558917028</v>
      </c>
      <c r="BJ267" s="6">
        <f t="shared" si="36"/>
        <v>335.09170213012476</v>
      </c>
      <c r="BK267" s="11">
        <f t="shared" si="37"/>
        <v>0.10390735834301409</v>
      </c>
      <c r="BL267" s="5">
        <f t="shared" si="38"/>
        <v>2303.4302270138196</v>
      </c>
      <c r="BM267" s="11">
        <f t="shared" si="39"/>
        <v>0.15068823644279353</v>
      </c>
    </row>
    <row r="268" spans="1:65" ht="15" customHeight="1" x14ac:dyDescent="0.4">
      <c r="A268" s="2" t="s">
        <v>65</v>
      </c>
      <c r="B268" s="2" t="s">
        <v>66</v>
      </c>
      <c r="C268" s="2" t="s">
        <v>259</v>
      </c>
      <c r="D268" s="3" t="s">
        <v>68</v>
      </c>
      <c r="E268" s="3" t="s">
        <v>71</v>
      </c>
      <c r="F268" s="2" t="s">
        <v>72</v>
      </c>
      <c r="G268" s="4">
        <v>20</v>
      </c>
      <c r="H268" s="5">
        <v>2.37</v>
      </c>
      <c r="I268" s="5">
        <v>2.4704347695108191</v>
      </c>
      <c r="J268" s="6">
        <v>0</v>
      </c>
      <c r="K268" s="5">
        <v>0</v>
      </c>
      <c r="L268" s="6">
        <v>0</v>
      </c>
      <c r="M268" s="5">
        <v>0</v>
      </c>
      <c r="N268" s="6">
        <v>0</v>
      </c>
      <c r="O268" s="5">
        <v>0</v>
      </c>
      <c r="P268" s="6">
        <v>633.11083148365651</v>
      </c>
      <c r="Q268" s="5">
        <v>1500.472670616266</v>
      </c>
      <c r="R268" s="6">
        <v>0</v>
      </c>
      <c r="S268" s="5">
        <v>0</v>
      </c>
      <c r="T268" s="6">
        <v>633.11083148365651</v>
      </c>
      <c r="U268" s="5">
        <v>1500.472670616266</v>
      </c>
      <c r="V268" s="6">
        <v>0</v>
      </c>
      <c r="W268" s="5">
        <v>0</v>
      </c>
      <c r="X268" s="6">
        <v>118.7082809031856</v>
      </c>
      <c r="Y268" s="5">
        <v>281.33862574054979</v>
      </c>
      <c r="Z268" s="6">
        <v>0</v>
      </c>
      <c r="AA268" s="5">
        <v>0</v>
      </c>
      <c r="AB268" s="6">
        <v>284.39884178951678</v>
      </c>
      <c r="AC268" s="5">
        <v>674.02525504115476</v>
      </c>
      <c r="AD268" s="6">
        <v>0</v>
      </c>
      <c r="AE268" s="5">
        <v>0</v>
      </c>
      <c r="AF268" s="6">
        <v>0</v>
      </c>
      <c r="AG268" s="5">
        <v>0</v>
      </c>
      <c r="AH268" s="7">
        <f t="shared" si="32"/>
        <v>1669.3287856600155</v>
      </c>
      <c r="AI268" s="8">
        <f t="shared" si="33"/>
        <v>3956.3092220142366</v>
      </c>
      <c r="AJ268" s="6">
        <v>0</v>
      </c>
      <c r="AK268" s="5">
        <v>0</v>
      </c>
      <c r="AL268" s="6">
        <v>0</v>
      </c>
      <c r="AM268" s="5">
        <v>0</v>
      </c>
      <c r="AN268" s="6">
        <v>0</v>
      </c>
      <c r="AO268" s="5">
        <v>0</v>
      </c>
      <c r="AP268" s="6">
        <v>800</v>
      </c>
      <c r="AQ268" s="5">
        <v>1976.3478156086551</v>
      </c>
      <c r="AR268" s="6">
        <v>0</v>
      </c>
      <c r="AS268" s="5">
        <v>0</v>
      </c>
      <c r="AT268" s="6">
        <v>800</v>
      </c>
      <c r="AU268" s="5">
        <v>1976.3478156086551</v>
      </c>
      <c r="AV268" s="6">
        <v>0</v>
      </c>
      <c r="AW268" s="5">
        <v>0</v>
      </c>
      <c r="AX268" s="6">
        <v>140</v>
      </c>
      <c r="AY268" s="5">
        <v>345.86086773151459</v>
      </c>
      <c r="AZ268" s="6">
        <v>0</v>
      </c>
      <c r="BA268" s="5">
        <v>0</v>
      </c>
      <c r="BB268" s="6">
        <v>360</v>
      </c>
      <c r="BC268" s="5">
        <v>889.35651702389475</v>
      </c>
      <c r="BD268" s="6">
        <v>0</v>
      </c>
      <c r="BE268" s="5">
        <v>0</v>
      </c>
      <c r="BF268" s="6">
        <v>0</v>
      </c>
      <c r="BG268" s="5">
        <v>0</v>
      </c>
      <c r="BH268" s="9">
        <f t="shared" si="34"/>
        <v>2100</v>
      </c>
      <c r="BI268" s="10">
        <f t="shared" si="35"/>
        <v>5187.9130159727192</v>
      </c>
      <c r="BJ268" s="6">
        <f t="shared" si="36"/>
        <v>430.67121433998454</v>
      </c>
      <c r="BK268" s="11">
        <f t="shared" si="37"/>
        <v>0.25799064752226553</v>
      </c>
      <c r="BL268" s="5">
        <f t="shared" si="38"/>
        <v>1231.6037939584826</v>
      </c>
      <c r="BM268" s="11">
        <f t="shared" si="39"/>
        <v>0.3113011963537694</v>
      </c>
    </row>
    <row r="269" spans="1:65" ht="15" customHeight="1" x14ac:dyDescent="0.4">
      <c r="A269" s="2" t="s">
        <v>65</v>
      </c>
      <c r="B269" s="2" t="s">
        <v>66</v>
      </c>
      <c r="C269" s="2" t="s">
        <v>259</v>
      </c>
      <c r="D269" s="3" t="s">
        <v>68</v>
      </c>
      <c r="E269" s="3" t="s">
        <v>260</v>
      </c>
      <c r="F269" s="2" t="s">
        <v>261</v>
      </c>
      <c r="G269" s="4">
        <v>1000</v>
      </c>
      <c r="H269" s="5">
        <v>2.1</v>
      </c>
      <c r="I269" s="5">
        <v>2.1889928337437641</v>
      </c>
      <c r="J269" s="6">
        <v>0</v>
      </c>
      <c r="K269" s="5">
        <v>0</v>
      </c>
      <c r="L269" s="6">
        <v>0</v>
      </c>
      <c r="M269" s="5">
        <v>0</v>
      </c>
      <c r="N269" s="6">
        <v>0</v>
      </c>
      <c r="O269" s="5">
        <v>0</v>
      </c>
      <c r="P269" s="6">
        <v>0</v>
      </c>
      <c r="Q269" s="5">
        <v>0</v>
      </c>
      <c r="R269" s="6">
        <v>0</v>
      </c>
      <c r="S269" s="5">
        <v>0</v>
      </c>
      <c r="T269" s="6">
        <v>989.23567419321319</v>
      </c>
      <c r="U269" s="5">
        <v>2077.394915805748</v>
      </c>
      <c r="V269" s="6">
        <v>0</v>
      </c>
      <c r="W269" s="5">
        <v>0</v>
      </c>
      <c r="X269" s="6">
        <v>0</v>
      </c>
      <c r="Y269" s="5">
        <v>0</v>
      </c>
      <c r="Z269" s="6">
        <v>0</v>
      </c>
      <c r="AA269" s="5">
        <v>0</v>
      </c>
      <c r="AB269" s="6">
        <v>0</v>
      </c>
      <c r="AC269" s="5">
        <v>0</v>
      </c>
      <c r="AD269" s="6">
        <v>0</v>
      </c>
      <c r="AE269" s="5">
        <v>0</v>
      </c>
      <c r="AF269" s="6">
        <v>0</v>
      </c>
      <c r="AG269" s="5">
        <v>0</v>
      </c>
      <c r="AH269" s="7">
        <f t="shared" si="32"/>
        <v>989.23567419321319</v>
      </c>
      <c r="AI269" s="8">
        <f t="shared" si="33"/>
        <v>2077.394915805748</v>
      </c>
      <c r="AJ269" s="6">
        <v>0</v>
      </c>
      <c r="AK269" s="5">
        <v>0</v>
      </c>
      <c r="AL269" s="6">
        <v>0</v>
      </c>
      <c r="AM269" s="5">
        <v>0</v>
      </c>
      <c r="AN269" s="6">
        <v>0</v>
      </c>
      <c r="AO269" s="5">
        <v>0</v>
      </c>
      <c r="AP269" s="6">
        <v>0</v>
      </c>
      <c r="AQ269" s="5">
        <v>0</v>
      </c>
      <c r="AR269" s="6">
        <v>0</v>
      </c>
      <c r="AS269" s="5">
        <v>0</v>
      </c>
      <c r="AT269" s="6">
        <v>1000</v>
      </c>
      <c r="AU269" s="5">
        <v>2188.9928337437641</v>
      </c>
      <c r="AV269" s="6">
        <v>0</v>
      </c>
      <c r="AW269" s="5">
        <v>0</v>
      </c>
      <c r="AX269" s="6">
        <v>0</v>
      </c>
      <c r="AY269" s="5">
        <v>0</v>
      </c>
      <c r="AZ269" s="6">
        <v>0</v>
      </c>
      <c r="BA269" s="5">
        <v>0</v>
      </c>
      <c r="BB269" s="6">
        <v>0</v>
      </c>
      <c r="BC269" s="5">
        <v>0</v>
      </c>
      <c r="BD269" s="6">
        <v>0</v>
      </c>
      <c r="BE269" s="5">
        <v>0</v>
      </c>
      <c r="BF269" s="6">
        <v>0</v>
      </c>
      <c r="BG269" s="5">
        <v>0</v>
      </c>
      <c r="BH269" s="9">
        <f t="shared" si="34"/>
        <v>1000</v>
      </c>
      <c r="BI269" s="10">
        <f t="shared" si="35"/>
        <v>2188.9928337437641</v>
      </c>
      <c r="BJ269" s="6">
        <f t="shared" si="36"/>
        <v>10.764325806786815</v>
      </c>
      <c r="BK269" s="11">
        <f t="shared" si="37"/>
        <v>1.0881457359052311E-2</v>
      </c>
      <c r="BL269" s="5">
        <f t="shared" si="38"/>
        <v>111.59791793801605</v>
      </c>
      <c r="BM269" s="11">
        <f t="shared" si="39"/>
        <v>5.3720126630198844E-2</v>
      </c>
    </row>
    <row r="270" spans="1:65" ht="15" customHeight="1" x14ac:dyDescent="0.4">
      <c r="A270" s="2" t="s">
        <v>65</v>
      </c>
      <c r="B270" s="2" t="s">
        <v>66</v>
      </c>
      <c r="C270" s="2" t="s">
        <v>259</v>
      </c>
      <c r="D270" s="3" t="s">
        <v>68</v>
      </c>
      <c r="E270" s="3" t="s">
        <v>138</v>
      </c>
      <c r="F270" s="2" t="s">
        <v>139</v>
      </c>
      <c r="G270" s="4">
        <v>5</v>
      </c>
      <c r="H270" s="5">
        <v>3.21</v>
      </c>
      <c r="I270" s="5">
        <v>3.3460319030083241</v>
      </c>
      <c r="J270" s="6">
        <v>0</v>
      </c>
      <c r="K270" s="5">
        <v>0</v>
      </c>
      <c r="L270" s="6">
        <v>0</v>
      </c>
      <c r="M270" s="5">
        <v>0</v>
      </c>
      <c r="N270" s="6">
        <v>0</v>
      </c>
      <c r="O270" s="5">
        <v>0</v>
      </c>
      <c r="P270" s="6">
        <v>0</v>
      </c>
      <c r="Q270" s="5">
        <v>0</v>
      </c>
      <c r="R270" s="6">
        <v>316.55541574182831</v>
      </c>
      <c r="S270" s="5">
        <v>1016.142884531269</v>
      </c>
      <c r="T270" s="6">
        <v>0</v>
      </c>
      <c r="U270" s="5">
        <v>0</v>
      </c>
      <c r="V270" s="6">
        <v>0</v>
      </c>
      <c r="W270" s="5">
        <v>0</v>
      </c>
      <c r="X270" s="6">
        <v>0</v>
      </c>
      <c r="Y270" s="5">
        <v>0</v>
      </c>
      <c r="Z270" s="6">
        <v>0</v>
      </c>
      <c r="AA270" s="5">
        <v>0</v>
      </c>
      <c r="AB270" s="6">
        <v>0</v>
      </c>
      <c r="AC270" s="5">
        <v>0</v>
      </c>
      <c r="AD270" s="6">
        <v>0</v>
      </c>
      <c r="AE270" s="5">
        <v>0</v>
      </c>
      <c r="AF270" s="6">
        <v>0</v>
      </c>
      <c r="AG270" s="5">
        <v>0</v>
      </c>
      <c r="AH270" s="7">
        <f t="shared" si="32"/>
        <v>316.55541574182831</v>
      </c>
      <c r="AI270" s="8">
        <f t="shared" si="33"/>
        <v>1016.142884531269</v>
      </c>
      <c r="AJ270" s="6">
        <v>0</v>
      </c>
      <c r="AK270" s="5">
        <v>0</v>
      </c>
      <c r="AL270" s="6">
        <v>0</v>
      </c>
      <c r="AM270" s="5">
        <v>0</v>
      </c>
      <c r="AN270" s="6">
        <v>0</v>
      </c>
      <c r="AO270" s="5">
        <v>0</v>
      </c>
      <c r="AP270" s="6">
        <v>0</v>
      </c>
      <c r="AQ270" s="5">
        <v>0</v>
      </c>
      <c r="AR270" s="6">
        <v>345</v>
      </c>
      <c r="AS270" s="5">
        <v>1154.3810065378721</v>
      </c>
      <c r="AT270" s="6">
        <v>0</v>
      </c>
      <c r="AU270" s="5">
        <v>0</v>
      </c>
      <c r="AV270" s="6">
        <v>0</v>
      </c>
      <c r="AW270" s="5">
        <v>0</v>
      </c>
      <c r="AX270" s="6">
        <v>0</v>
      </c>
      <c r="AY270" s="5">
        <v>0</v>
      </c>
      <c r="AZ270" s="6">
        <v>0</v>
      </c>
      <c r="BA270" s="5">
        <v>0</v>
      </c>
      <c r="BB270" s="6">
        <v>0</v>
      </c>
      <c r="BC270" s="5">
        <v>0</v>
      </c>
      <c r="BD270" s="6">
        <v>0</v>
      </c>
      <c r="BE270" s="5">
        <v>0</v>
      </c>
      <c r="BF270" s="6">
        <v>0</v>
      </c>
      <c r="BG270" s="5">
        <v>0</v>
      </c>
      <c r="BH270" s="9">
        <f t="shared" si="34"/>
        <v>345</v>
      </c>
      <c r="BI270" s="10">
        <f t="shared" si="35"/>
        <v>1154.3810065378721</v>
      </c>
      <c r="BJ270" s="6">
        <f t="shared" si="36"/>
        <v>28.444584258171687</v>
      </c>
      <c r="BK270" s="11">
        <f t="shared" si="37"/>
        <v>8.9856571215227957E-2</v>
      </c>
      <c r="BL270" s="5">
        <f t="shared" si="38"/>
        <v>138.23812200660302</v>
      </c>
      <c r="BM270" s="11">
        <f t="shared" si="39"/>
        <v>0.13604201152318271</v>
      </c>
    </row>
    <row r="271" spans="1:65" ht="15" customHeight="1" x14ac:dyDescent="0.4">
      <c r="A271" s="2" t="s">
        <v>65</v>
      </c>
      <c r="B271" s="2" t="s">
        <v>66</v>
      </c>
      <c r="C271" s="2" t="s">
        <v>259</v>
      </c>
      <c r="D271" s="3" t="s">
        <v>68</v>
      </c>
      <c r="E271" s="3" t="s">
        <v>73</v>
      </c>
      <c r="F271" s="2" t="s">
        <v>74</v>
      </c>
      <c r="G271" s="4">
        <v>20</v>
      </c>
      <c r="H271" s="5">
        <v>2.919999999999999</v>
      </c>
      <c r="I271" s="5">
        <v>3.0437424164437088</v>
      </c>
      <c r="J271" s="6">
        <v>0</v>
      </c>
      <c r="K271" s="5">
        <v>0</v>
      </c>
      <c r="L271" s="6">
        <v>0</v>
      </c>
      <c r="M271" s="5">
        <v>0</v>
      </c>
      <c r="N271" s="6">
        <v>0</v>
      </c>
      <c r="O271" s="5">
        <v>0</v>
      </c>
      <c r="P271" s="6">
        <v>0</v>
      </c>
      <c r="Q271" s="5">
        <v>0</v>
      </c>
      <c r="R271" s="6">
        <v>0</v>
      </c>
      <c r="S271" s="5">
        <v>0</v>
      </c>
      <c r="T271" s="6">
        <v>633.11083148365651</v>
      </c>
      <c r="U271" s="5">
        <v>1848.683627932277</v>
      </c>
      <c r="V271" s="6">
        <v>0</v>
      </c>
      <c r="W271" s="5">
        <v>0</v>
      </c>
      <c r="X271" s="6">
        <v>316.55541574182831</v>
      </c>
      <c r="Y271" s="5">
        <v>924.34181396613837</v>
      </c>
      <c r="Z271" s="6">
        <v>0</v>
      </c>
      <c r="AA271" s="5">
        <v>0</v>
      </c>
      <c r="AB271" s="6">
        <v>606.7175291509692</v>
      </c>
      <c r="AC271" s="5">
        <v>1771.6151851208299</v>
      </c>
      <c r="AD271" s="6">
        <v>0</v>
      </c>
      <c r="AE271" s="5">
        <v>0</v>
      </c>
      <c r="AF271" s="6">
        <v>0</v>
      </c>
      <c r="AG271" s="5">
        <v>0</v>
      </c>
      <c r="AH271" s="7">
        <f t="shared" si="32"/>
        <v>1556.3837763764541</v>
      </c>
      <c r="AI271" s="8">
        <f t="shared" si="33"/>
        <v>4544.6406270192456</v>
      </c>
      <c r="AJ271" s="6">
        <v>0</v>
      </c>
      <c r="AK271" s="5">
        <v>0</v>
      </c>
      <c r="AL271" s="6">
        <v>0</v>
      </c>
      <c r="AM271" s="5">
        <v>0</v>
      </c>
      <c r="AN271" s="6">
        <v>0</v>
      </c>
      <c r="AO271" s="5">
        <v>0</v>
      </c>
      <c r="AP271" s="6">
        <v>0</v>
      </c>
      <c r="AQ271" s="5">
        <v>0</v>
      </c>
      <c r="AR271" s="6">
        <v>0</v>
      </c>
      <c r="AS271" s="5">
        <v>0</v>
      </c>
      <c r="AT271" s="6">
        <v>680</v>
      </c>
      <c r="AU271" s="5">
        <v>2069.744843181722</v>
      </c>
      <c r="AV271" s="6">
        <v>0</v>
      </c>
      <c r="AW271" s="5">
        <v>0</v>
      </c>
      <c r="AX271" s="6">
        <v>340</v>
      </c>
      <c r="AY271" s="5">
        <v>1034.872421590861</v>
      </c>
      <c r="AZ271" s="6">
        <v>0</v>
      </c>
      <c r="BA271" s="5">
        <v>0</v>
      </c>
      <c r="BB271" s="6">
        <v>660</v>
      </c>
      <c r="BC271" s="5">
        <v>2008.8699948528481</v>
      </c>
      <c r="BD271" s="6">
        <v>0</v>
      </c>
      <c r="BE271" s="5">
        <v>0</v>
      </c>
      <c r="BF271" s="6">
        <v>0</v>
      </c>
      <c r="BG271" s="5">
        <v>0</v>
      </c>
      <c r="BH271" s="9">
        <f t="shared" si="34"/>
        <v>1680</v>
      </c>
      <c r="BI271" s="10">
        <f t="shared" si="35"/>
        <v>5113.4872596254309</v>
      </c>
      <c r="BJ271" s="6">
        <f t="shared" si="36"/>
        <v>123.61622362354592</v>
      </c>
      <c r="BK271" s="11">
        <f t="shared" si="37"/>
        <v>7.9425284110418506E-2</v>
      </c>
      <c r="BL271" s="5">
        <f t="shared" si="38"/>
        <v>568.84663260618527</v>
      </c>
      <c r="BM271" s="11">
        <f t="shared" si="39"/>
        <v>0.12516867213311042</v>
      </c>
    </row>
    <row r="272" spans="1:65" ht="15" customHeight="1" x14ac:dyDescent="0.4">
      <c r="A272" s="2" t="s">
        <v>65</v>
      </c>
      <c r="B272" s="2" t="s">
        <v>66</v>
      </c>
      <c r="C272" s="2" t="s">
        <v>259</v>
      </c>
      <c r="D272" s="3" t="s">
        <v>68</v>
      </c>
      <c r="E272" s="3" t="s">
        <v>90</v>
      </c>
      <c r="F272" s="2" t="s">
        <v>91</v>
      </c>
      <c r="G272" s="4">
        <v>20</v>
      </c>
      <c r="H272" s="5">
        <v>3.629999999999999</v>
      </c>
      <c r="I272" s="5">
        <v>3.7838304697570759</v>
      </c>
      <c r="J272" s="6">
        <v>316.55541574182831</v>
      </c>
      <c r="K272" s="5">
        <v>1149.0961591428361</v>
      </c>
      <c r="L272" s="6">
        <v>0</v>
      </c>
      <c r="M272" s="5">
        <v>0</v>
      </c>
      <c r="N272" s="6">
        <v>0</v>
      </c>
      <c r="O272" s="5">
        <v>0</v>
      </c>
      <c r="P272" s="6">
        <v>0</v>
      </c>
      <c r="Q272" s="5">
        <v>0</v>
      </c>
      <c r="R272" s="6">
        <v>0</v>
      </c>
      <c r="S272" s="5">
        <v>0</v>
      </c>
      <c r="T272" s="6">
        <v>0</v>
      </c>
      <c r="U272" s="5">
        <v>0</v>
      </c>
      <c r="V272" s="6">
        <v>0</v>
      </c>
      <c r="W272" s="5">
        <v>0</v>
      </c>
      <c r="X272" s="6">
        <v>0</v>
      </c>
      <c r="Y272" s="5">
        <v>0</v>
      </c>
      <c r="Z272" s="6">
        <v>0</v>
      </c>
      <c r="AA272" s="5">
        <v>0</v>
      </c>
      <c r="AB272" s="6">
        <v>0</v>
      </c>
      <c r="AC272" s="5">
        <v>0</v>
      </c>
      <c r="AD272" s="6">
        <v>0</v>
      </c>
      <c r="AE272" s="5">
        <v>0</v>
      </c>
      <c r="AF272" s="6">
        <v>0</v>
      </c>
      <c r="AG272" s="5">
        <v>0</v>
      </c>
      <c r="AH272" s="7">
        <f t="shared" si="32"/>
        <v>316.55541574182831</v>
      </c>
      <c r="AI272" s="8">
        <f t="shared" si="33"/>
        <v>1149.0961591428361</v>
      </c>
      <c r="AJ272" s="6">
        <v>340</v>
      </c>
      <c r="AK272" s="5">
        <v>1286.5023597174061</v>
      </c>
      <c r="AL272" s="6">
        <v>0</v>
      </c>
      <c r="AM272" s="5">
        <v>0</v>
      </c>
      <c r="AN272" s="6">
        <v>0</v>
      </c>
      <c r="AO272" s="5">
        <v>0</v>
      </c>
      <c r="AP272" s="6">
        <v>0</v>
      </c>
      <c r="AQ272" s="5">
        <v>0</v>
      </c>
      <c r="AR272" s="6">
        <v>0</v>
      </c>
      <c r="AS272" s="5">
        <v>0</v>
      </c>
      <c r="AT272" s="6">
        <v>0</v>
      </c>
      <c r="AU272" s="5">
        <v>0</v>
      </c>
      <c r="AV272" s="6">
        <v>0</v>
      </c>
      <c r="AW272" s="5">
        <v>0</v>
      </c>
      <c r="AX272" s="6">
        <v>0</v>
      </c>
      <c r="AY272" s="5">
        <v>0</v>
      </c>
      <c r="AZ272" s="6">
        <v>0</v>
      </c>
      <c r="BA272" s="5">
        <v>0</v>
      </c>
      <c r="BB272" s="6">
        <v>0</v>
      </c>
      <c r="BC272" s="5">
        <v>0</v>
      </c>
      <c r="BD272" s="6">
        <v>0</v>
      </c>
      <c r="BE272" s="5">
        <v>0</v>
      </c>
      <c r="BF272" s="6">
        <v>0</v>
      </c>
      <c r="BG272" s="5">
        <v>0</v>
      </c>
      <c r="BH272" s="9">
        <f t="shared" si="34"/>
        <v>340</v>
      </c>
      <c r="BI272" s="10">
        <f t="shared" si="35"/>
        <v>1286.5023597174061</v>
      </c>
      <c r="BJ272" s="6">
        <f t="shared" si="36"/>
        <v>23.444584258171687</v>
      </c>
      <c r="BK272" s="11">
        <f t="shared" si="37"/>
        <v>7.4061548443992764E-2</v>
      </c>
      <c r="BL272" s="5">
        <f t="shared" si="38"/>
        <v>137.40620057456999</v>
      </c>
      <c r="BM272" s="11">
        <f t="shared" si="39"/>
        <v>0.11957763454458643</v>
      </c>
    </row>
    <row r="273" spans="1:65" ht="15" customHeight="1" x14ac:dyDescent="0.4">
      <c r="A273" s="2" t="s">
        <v>65</v>
      </c>
      <c r="B273" s="2" t="s">
        <v>66</v>
      </c>
      <c r="C273" s="2" t="s">
        <v>259</v>
      </c>
      <c r="D273" s="3" t="s">
        <v>68</v>
      </c>
      <c r="E273" s="3" t="s">
        <v>262</v>
      </c>
      <c r="F273" s="2" t="s">
        <v>263</v>
      </c>
      <c r="G273" s="4">
        <v>1</v>
      </c>
      <c r="H273" s="5">
        <v>5.6700000000000008</v>
      </c>
      <c r="I273" s="5">
        <v>5.9102806511081623</v>
      </c>
      <c r="J273" s="6">
        <v>0</v>
      </c>
      <c r="K273" s="5">
        <v>0</v>
      </c>
      <c r="L273" s="6">
        <v>0</v>
      </c>
      <c r="M273" s="5">
        <v>0</v>
      </c>
      <c r="N273" s="6">
        <v>0</v>
      </c>
      <c r="O273" s="5">
        <v>0</v>
      </c>
      <c r="P273" s="6">
        <v>0</v>
      </c>
      <c r="Q273" s="5">
        <v>0</v>
      </c>
      <c r="R273" s="6">
        <v>11.870828090318559</v>
      </c>
      <c r="S273" s="5">
        <v>67.307595272106241</v>
      </c>
      <c r="T273" s="6">
        <v>0</v>
      </c>
      <c r="U273" s="5">
        <v>0</v>
      </c>
      <c r="V273" s="6">
        <v>0</v>
      </c>
      <c r="W273" s="5">
        <v>0</v>
      </c>
      <c r="X273" s="6">
        <v>0</v>
      </c>
      <c r="Y273" s="5">
        <v>0</v>
      </c>
      <c r="Z273" s="6">
        <v>0</v>
      </c>
      <c r="AA273" s="5">
        <v>0</v>
      </c>
      <c r="AB273" s="6">
        <v>0</v>
      </c>
      <c r="AC273" s="5">
        <v>0</v>
      </c>
      <c r="AD273" s="6">
        <v>0</v>
      </c>
      <c r="AE273" s="5">
        <v>0</v>
      </c>
      <c r="AF273" s="6">
        <v>0</v>
      </c>
      <c r="AG273" s="5">
        <v>0</v>
      </c>
      <c r="AH273" s="7">
        <f t="shared" si="32"/>
        <v>11.870828090318559</v>
      </c>
      <c r="AI273" s="8">
        <f t="shared" si="33"/>
        <v>67.307595272106241</v>
      </c>
      <c r="AJ273" s="6">
        <v>0</v>
      </c>
      <c r="AK273" s="5">
        <v>0</v>
      </c>
      <c r="AL273" s="6">
        <v>0</v>
      </c>
      <c r="AM273" s="5">
        <v>0</v>
      </c>
      <c r="AN273" s="6">
        <v>0</v>
      </c>
      <c r="AO273" s="5">
        <v>0</v>
      </c>
      <c r="AP273" s="6">
        <v>0</v>
      </c>
      <c r="AQ273" s="5">
        <v>0</v>
      </c>
      <c r="AR273" s="6">
        <v>13</v>
      </c>
      <c r="AS273" s="5">
        <v>76.83364846440611</v>
      </c>
      <c r="AT273" s="6">
        <v>0</v>
      </c>
      <c r="AU273" s="5">
        <v>0</v>
      </c>
      <c r="AV273" s="6">
        <v>0</v>
      </c>
      <c r="AW273" s="5">
        <v>0</v>
      </c>
      <c r="AX273" s="6">
        <v>0</v>
      </c>
      <c r="AY273" s="5">
        <v>0</v>
      </c>
      <c r="AZ273" s="6">
        <v>0</v>
      </c>
      <c r="BA273" s="5">
        <v>0</v>
      </c>
      <c r="BB273" s="6">
        <v>0</v>
      </c>
      <c r="BC273" s="5">
        <v>0</v>
      </c>
      <c r="BD273" s="6">
        <v>0</v>
      </c>
      <c r="BE273" s="5">
        <v>0</v>
      </c>
      <c r="BF273" s="6">
        <v>0</v>
      </c>
      <c r="BG273" s="5">
        <v>0</v>
      </c>
      <c r="BH273" s="9">
        <f t="shared" si="34"/>
        <v>13</v>
      </c>
      <c r="BI273" s="10">
        <f t="shared" si="35"/>
        <v>76.83364846440611</v>
      </c>
      <c r="BJ273" s="6">
        <f t="shared" si="36"/>
        <v>1.1291719096814408</v>
      </c>
      <c r="BK273" s="11">
        <f t="shared" si="37"/>
        <v>9.5121578805639914E-2</v>
      </c>
      <c r="BL273" s="5">
        <f t="shared" si="38"/>
        <v>9.5260531922998695</v>
      </c>
      <c r="BM273" s="11">
        <f t="shared" si="39"/>
        <v>0.1415301371827152</v>
      </c>
    </row>
    <row r="274" spans="1:65" ht="15" customHeight="1" x14ac:dyDescent="0.4">
      <c r="A274" s="2" t="s">
        <v>65</v>
      </c>
      <c r="B274" s="2" t="s">
        <v>66</v>
      </c>
      <c r="C274" s="2" t="s">
        <v>259</v>
      </c>
      <c r="D274" s="3" t="s">
        <v>68</v>
      </c>
      <c r="E274" s="3" t="s">
        <v>201</v>
      </c>
      <c r="F274" s="2" t="s">
        <v>202</v>
      </c>
      <c r="G274" s="4">
        <v>5</v>
      </c>
      <c r="H274" s="5">
        <v>4.4599999999999991</v>
      </c>
      <c r="I274" s="5">
        <v>4.6490038278558021</v>
      </c>
      <c r="J274" s="6">
        <v>0</v>
      </c>
      <c r="K274" s="5">
        <v>0</v>
      </c>
      <c r="L274" s="6">
        <v>0</v>
      </c>
      <c r="M274" s="5">
        <v>0</v>
      </c>
      <c r="N274" s="6">
        <v>0</v>
      </c>
      <c r="O274" s="5">
        <v>0</v>
      </c>
      <c r="P274" s="6">
        <v>0</v>
      </c>
      <c r="Q274" s="5">
        <v>0</v>
      </c>
      <c r="R274" s="6">
        <v>98.92356741932133</v>
      </c>
      <c r="S274" s="5">
        <v>441.19911069017309</v>
      </c>
      <c r="T274" s="6">
        <v>0</v>
      </c>
      <c r="U274" s="5">
        <v>0</v>
      </c>
      <c r="V274" s="6">
        <v>0</v>
      </c>
      <c r="W274" s="5">
        <v>0</v>
      </c>
      <c r="X274" s="6">
        <v>59.354140451592791</v>
      </c>
      <c r="Y274" s="5">
        <v>264.71946641410392</v>
      </c>
      <c r="Z274" s="6">
        <v>0</v>
      </c>
      <c r="AA274" s="5">
        <v>0</v>
      </c>
      <c r="AB274" s="6">
        <v>0</v>
      </c>
      <c r="AC274" s="5">
        <v>0</v>
      </c>
      <c r="AD274" s="6">
        <v>0</v>
      </c>
      <c r="AE274" s="5">
        <v>0</v>
      </c>
      <c r="AF274" s="6">
        <v>0</v>
      </c>
      <c r="AG274" s="5">
        <v>0</v>
      </c>
      <c r="AH274" s="7">
        <f t="shared" si="32"/>
        <v>158.27770787091413</v>
      </c>
      <c r="AI274" s="8">
        <f t="shared" si="33"/>
        <v>705.91857710427701</v>
      </c>
      <c r="AJ274" s="6">
        <v>0</v>
      </c>
      <c r="AK274" s="5">
        <v>0</v>
      </c>
      <c r="AL274" s="6">
        <v>0</v>
      </c>
      <c r="AM274" s="5">
        <v>0</v>
      </c>
      <c r="AN274" s="6">
        <v>0</v>
      </c>
      <c r="AO274" s="5">
        <v>0</v>
      </c>
      <c r="AP274" s="6">
        <v>0</v>
      </c>
      <c r="AQ274" s="5">
        <v>0</v>
      </c>
      <c r="AR274" s="6">
        <v>105</v>
      </c>
      <c r="AS274" s="5">
        <v>488.14540192485919</v>
      </c>
      <c r="AT274" s="6">
        <v>0</v>
      </c>
      <c r="AU274" s="5">
        <v>0</v>
      </c>
      <c r="AV274" s="6">
        <v>0</v>
      </c>
      <c r="AW274" s="5">
        <v>0</v>
      </c>
      <c r="AX274" s="6">
        <v>65</v>
      </c>
      <c r="AY274" s="5">
        <v>302.18524881062717</v>
      </c>
      <c r="AZ274" s="6">
        <v>0</v>
      </c>
      <c r="BA274" s="5">
        <v>0</v>
      </c>
      <c r="BB274" s="6">
        <v>0</v>
      </c>
      <c r="BC274" s="5">
        <v>0</v>
      </c>
      <c r="BD274" s="6">
        <v>0</v>
      </c>
      <c r="BE274" s="5">
        <v>0</v>
      </c>
      <c r="BF274" s="6">
        <v>0</v>
      </c>
      <c r="BG274" s="5">
        <v>0</v>
      </c>
      <c r="BH274" s="9">
        <f t="shared" si="34"/>
        <v>170</v>
      </c>
      <c r="BI274" s="10">
        <f t="shared" si="35"/>
        <v>790.33065073548642</v>
      </c>
      <c r="BJ274" s="6">
        <f t="shared" si="36"/>
        <v>11.722292129085872</v>
      </c>
      <c r="BK274" s="11">
        <f t="shared" si="37"/>
        <v>7.4061548443992958E-2</v>
      </c>
      <c r="BL274" s="5">
        <f t="shared" si="38"/>
        <v>84.41207363120941</v>
      </c>
      <c r="BM274" s="11">
        <f t="shared" si="39"/>
        <v>0.11957763454458603</v>
      </c>
    </row>
    <row r="275" spans="1:65" ht="15" customHeight="1" x14ac:dyDescent="0.4">
      <c r="A275" s="2" t="s">
        <v>65</v>
      </c>
      <c r="B275" s="2" t="s">
        <v>66</v>
      </c>
      <c r="C275" s="2" t="s">
        <v>259</v>
      </c>
      <c r="D275" s="3" t="s">
        <v>68</v>
      </c>
      <c r="E275" s="3" t="s">
        <v>264</v>
      </c>
      <c r="F275" s="2" t="s">
        <v>265</v>
      </c>
      <c r="G275" s="4">
        <v>20</v>
      </c>
      <c r="H275" s="5">
        <v>2.36</v>
      </c>
      <c r="I275" s="5">
        <v>2.4600109941120389</v>
      </c>
      <c r="J275" s="6">
        <v>0</v>
      </c>
      <c r="K275" s="5">
        <v>0</v>
      </c>
      <c r="L275" s="6">
        <v>0</v>
      </c>
      <c r="M275" s="5">
        <v>0</v>
      </c>
      <c r="N275" s="6">
        <v>0</v>
      </c>
      <c r="O275" s="5">
        <v>0</v>
      </c>
      <c r="P275" s="6">
        <v>0</v>
      </c>
      <c r="Q275" s="5">
        <v>0</v>
      </c>
      <c r="R275" s="6">
        <v>0</v>
      </c>
      <c r="S275" s="5">
        <v>0</v>
      </c>
      <c r="T275" s="6">
        <v>0</v>
      </c>
      <c r="U275" s="5">
        <v>0</v>
      </c>
      <c r="V275" s="6">
        <v>0</v>
      </c>
      <c r="W275" s="5">
        <v>0</v>
      </c>
      <c r="X275" s="6">
        <v>197.84713483864269</v>
      </c>
      <c r="Y275" s="5">
        <v>466.91923821919659</v>
      </c>
      <c r="Z275" s="6">
        <v>0</v>
      </c>
      <c r="AA275" s="5">
        <v>0</v>
      </c>
      <c r="AB275" s="6">
        <v>0</v>
      </c>
      <c r="AC275" s="5">
        <v>0</v>
      </c>
      <c r="AD275" s="6">
        <v>0</v>
      </c>
      <c r="AE275" s="5">
        <v>0</v>
      </c>
      <c r="AF275" s="6">
        <v>0</v>
      </c>
      <c r="AG275" s="5">
        <v>0</v>
      </c>
      <c r="AH275" s="7">
        <f t="shared" si="32"/>
        <v>197.84713483864269</v>
      </c>
      <c r="AI275" s="8">
        <f t="shared" si="33"/>
        <v>466.91923821919659</v>
      </c>
      <c r="AJ275" s="6">
        <v>0</v>
      </c>
      <c r="AK275" s="5">
        <v>0</v>
      </c>
      <c r="AL275" s="6">
        <v>0</v>
      </c>
      <c r="AM275" s="5">
        <v>0</v>
      </c>
      <c r="AN275" s="6">
        <v>0</v>
      </c>
      <c r="AO275" s="5">
        <v>0</v>
      </c>
      <c r="AP275" s="6">
        <v>0</v>
      </c>
      <c r="AQ275" s="5">
        <v>0</v>
      </c>
      <c r="AR275" s="6">
        <v>0</v>
      </c>
      <c r="AS275" s="5">
        <v>0</v>
      </c>
      <c r="AT275" s="6">
        <v>0</v>
      </c>
      <c r="AU275" s="5">
        <v>0</v>
      </c>
      <c r="AV275" s="6">
        <v>0</v>
      </c>
      <c r="AW275" s="5">
        <v>0</v>
      </c>
      <c r="AX275" s="6">
        <v>220</v>
      </c>
      <c r="AY275" s="5">
        <v>541.20241870464861</v>
      </c>
      <c r="AZ275" s="6">
        <v>0</v>
      </c>
      <c r="BA275" s="5">
        <v>0</v>
      </c>
      <c r="BB275" s="6">
        <v>0</v>
      </c>
      <c r="BC275" s="5">
        <v>0</v>
      </c>
      <c r="BD275" s="6">
        <v>0</v>
      </c>
      <c r="BE275" s="5">
        <v>0</v>
      </c>
      <c r="BF275" s="6">
        <v>0</v>
      </c>
      <c r="BG275" s="5">
        <v>0</v>
      </c>
      <c r="BH275" s="9">
        <f t="shared" si="34"/>
        <v>220</v>
      </c>
      <c r="BI275" s="10">
        <f t="shared" si="35"/>
        <v>541.20241870464861</v>
      </c>
      <c r="BJ275" s="6">
        <f t="shared" si="36"/>
        <v>22.152865161357312</v>
      </c>
      <c r="BK275" s="11">
        <f t="shared" si="37"/>
        <v>0.11196960309495725</v>
      </c>
      <c r="BL275" s="5">
        <f t="shared" si="38"/>
        <v>74.283180485452021</v>
      </c>
      <c r="BM275" s="11">
        <f t="shared" si="39"/>
        <v>0.15909213929321878</v>
      </c>
    </row>
    <row r="276" spans="1:65" ht="15" customHeight="1" x14ac:dyDescent="0.4">
      <c r="A276" s="2" t="s">
        <v>65</v>
      </c>
      <c r="B276" s="2" t="s">
        <v>66</v>
      </c>
      <c r="C276" s="2" t="s">
        <v>259</v>
      </c>
      <c r="D276" s="3" t="s">
        <v>68</v>
      </c>
      <c r="E276" s="3" t="s">
        <v>145</v>
      </c>
      <c r="F276" s="2" t="s">
        <v>146</v>
      </c>
      <c r="G276" s="4">
        <v>20</v>
      </c>
      <c r="H276" s="5">
        <v>0</v>
      </c>
      <c r="I276" s="5">
        <v>0</v>
      </c>
      <c r="J276" s="6">
        <v>0</v>
      </c>
      <c r="K276" s="5">
        <v>0</v>
      </c>
      <c r="L276" s="6">
        <v>0</v>
      </c>
      <c r="M276" s="5">
        <v>0</v>
      </c>
      <c r="N276" s="6">
        <v>0</v>
      </c>
      <c r="O276" s="5">
        <v>0</v>
      </c>
      <c r="P276" s="6">
        <v>0</v>
      </c>
      <c r="Q276" s="5">
        <v>0</v>
      </c>
      <c r="R276" s="6">
        <v>0</v>
      </c>
      <c r="S276" s="5">
        <v>0</v>
      </c>
      <c r="T276" s="6">
        <v>2018.0407753541549</v>
      </c>
      <c r="U276" s="5">
        <v>0</v>
      </c>
      <c r="V276" s="6">
        <v>0</v>
      </c>
      <c r="W276" s="5">
        <v>0</v>
      </c>
      <c r="X276" s="6">
        <v>0</v>
      </c>
      <c r="Y276" s="5">
        <v>0</v>
      </c>
      <c r="Z276" s="6">
        <v>0</v>
      </c>
      <c r="AA276" s="5">
        <v>0</v>
      </c>
      <c r="AB276" s="6">
        <v>0</v>
      </c>
      <c r="AC276" s="5">
        <v>0</v>
      </c>
      <c r="AD276" s="6">
        <v>0</v>
      </c>
      <c r="AE276" s="5">
        <v>0</v>
      </c>
      <c r="AF276" s="6">
        <v>0</v>
      </c>
      <c r="AG276" s="5">
        <v>0</v>
      </c>
      <c r="AH276" s="7">
        <f t="shared" si="32"/>
        <v>2018.0407753541549</v>
      </c>
      <c r="AI276" s="8">
        <f t="shared" si="33"/>
        <v>0</v>
      </c>
      <c r="AJ276" s="6">
        <v>0</v>
      </c>
      <c r="AK276" s="5">
        <v>0</v>
      </c>
      <c r="AL276" s="6">
        <v>0</v>
      </c>
      <c r="AM276" s="5">
        <v>0</v>
      </c>
      <c r="AN276" s="6">
        <v>0</v>
      </c>
      <c r="AO276" s="5">
        <v>0</v>
      </c>
      <c r="AP276" s="6">
        <v>0</v>
      </c>
      <c r="AQ276" s="5">
        <v>0</v>
      </c>
      <c r="AR276" s="6">
        <v>0</v>
      </c>
      <c r="AS276" s="5">
        <v>0</v>
      </c>
      <c r="AT276" s="6">
        <v>2160</v>
      </c>
      <c r="AU276" s="5">
        <v>0</v>
      </c>
      <c r="AV276" s="6">
        <v>0</v>
      </c>
      <c r="AW276" s="5">
        <v>0</v>
      </c>
      <c r="AX276" s="6">
        <v>0</v>
      </c>
      <c r="AY276" s="5">
        <v>0</v>
      </c>
      <c r="AZ276" s="6">
        <v>0</v>
      </c>
      <c r="BA276" s="5">
        <v>0</v>
      </c>
      <c r="BB276" s="6">
        <v>0</v>
      </c>
      <c r="BC276" s="5">
        <v>0</v>
      </c>
      <c r="BD276" s="6">
        <v>0</v>
      </c>
      <c r="BE276" s="5">
        <v>0</v>
      </c>
      <c r="BF276" s="6">
        <v>0</v>
      </c>
      <c r="BG276" s="5">
        <v>0</v>
      </c>
      <c r="BH276" s="9">
        <f t="shared" si="34"/>
        <v>2160</v>
      </c>
      <c r="BI276" s="10">
        <f t="shared" si="35"/>
        <v>0</v>
      </c>
      <c r="BJ276" s="6">
        <f t="shared" si="36"/>
        <v>141.9592246458451</v>
      </c>
      <c r="BK276" s="11">
        <f t="shared" si="37"/>
        <v>7.0345072497820099E-2</v>
      </c>
      <c r="BL276" s="5">
        <f t="shared" si="38"/>
        <v>0</v>
      </c>
      <c r="BM276" s="11">
        <f t="shared" si="39"/>
        <v>0</v>
      </c>
    </row>
    <row r="277" spans="1:65" ht="15" customHeight="1" x14ac:dyDescent="0.4">
      <c r="A277" s="2" t="s">
        <v>65</v>
      </c>
      <c r="B277" s="2" t="s">
        <v>66</v>
      </c>
      <c r="C277" s="2" t="s">
        <v>259</v>
      </c>
      <c r="D277" s="3" t="s">
        <v>68</v>
      </c>
      <c r="E277" s="3" t="s">
        <v>266</v>
      </c>
      <c r="F277" s="2" t="s">
        <v>267</v>
      </c>
      <c r="G277" s="4">
        <v>20</v>
      </c>
      <c r="H277" s="5">
        <v>2.63</v>
      </c>
      <c r="I277" s="5">
        <v>2.7414529298790939</v>
      </c>
      <c r="J277" s="6">
        <v>0</v>
      </c>
      <c r="K277" s="5">
        <v>0</v>
      </c>
      <c r="L277" s="6">
        <v>0</v>
      </c>
      <c r="M277" s="5">
        <v>0</v>
      </c>
      <c r="N277" s="6">
        <v>0</v>
      </c>
      <c r="O277" s="5">
        <v>0</v>
      </c>
      <c r="P277" s="6">
        <v>0</v>
      </c>
      <c r="Q277" s="5">
        <v>0</v>
      </c>
      <c r="R277" s="6">
        <v>0</v>
      </c>
      <c r="S277" s="5">
        <v>0</v>
      </c>
      <c r="T277" s="6">
        <v>0</v>
      </c>
      <c r="U277" s="5">
        <v>0</v>
      </c>
      <c r="V277" s="6">
        <v>0</v>
      </c>
      <c r="W277" s="5">
        <v>0</v>
      </c>
      <c r="X277" s="6">
        <v>98.92356741932133</v>
      </c>
      <c r="Y277" s="5">
        <v>260.1689823128151</v>
      </c>
      <c r="Z277" s="6">
        <v>0</v>
      </c>
      <c r="AA277" s="5">
        <v>0</v>
      </c>
      <c r="AB277" s="6">
        <v>0</v>
      </c>
      <c r="AC277" s="5">
        <v>0</v>
      </c>
      <c r="AD277" s="6">
        <v>0</v>
      </c>
      <c r="AE277" s="5">
        <v>0</v>
      </c>
      <c r="AF277" s="6">
        <v>0</v>
      </c>
      <c r="AG277" s="5">
        <v>0</v>
      </c>
      <c r="AH277" s="7">
        <f t="shared" si="32"/>
        <v>98.92356741932133</v>
      </c>
      <c r="AI277" s="8">
        <f t="shared" si="33"/>
        <v>260.1689823128151</v>
      </c>
      <c r="AJ277" s="6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6">
        <v>0</v>
      </c>
      <c r="AQ277" s="5">
        <v>0</v>
      </c>
      <c r="AR277" s="6">
        <v>0</v>
      </c>
      <c r="AS277" s="5">
        <v>0</v>
      </c>
      <c r="AT277" s="6">
        <v>0</v>
      </c>
      <c r="AU277" s="5">
        <v>0</v>
      </c>
      <c r="AV277" s="6">
        <v>0</v>
      </c>
      <c r="AW277" s="5">
        <v>0</v>
      </c>
      <c r="AX277" s="6">
        <v>100</v>
      </c>
      <c r="AY277" s="5">
        <v>274.14529298790939</v>
      </c>
      <c r="AZ277" s="6">
        <v>0</v>
      </c>
      <c r="BA277" s="5">
        <v>0</v>
      </c>
      <c r="BB277" s="6">
        <v>0</v>
      </c>
      <c r="BC277" s="5">
        <v>0</v>
      </c>
      <c r="BD277" s="6">
        <v>0</v>
      </c>
      <c r="BE277" s="5">
        <v>0</v>
      </c>
      <c r="BF277" s="6">
        <v>0</v>
      </c>
      <c r="BG277" s="5">
        <v>0</v>
      </c>
      <c r="BH277" s="9">
        <f t="shared" si="34"/>
        <v>100</v>
      </c>
      <c r="BI277" s="10">
        <f t="shared" si="35"/>
        <v>274.14529298790939</v>
      </c>
      <c r="BJ277" s="6">
        <f t="shared" si="36"/>
        <v>1.0764325806786701</v>
      </c>
      <c r="BK277" s="11">
        <f t="shared" si="37"/>
        <v>1.0881457359052195E-2</v>
      </c>
      <c r="BL277" s="5">
        <f t="shared" si="38"/>
        <v>13.976310675094282</v>
      </c>
      <c r="BM277" s="11">
        <f t="shared" si="39"/>
        <v>5.3720126630198428E-2</v>
      </c>
    </row>
    <row r="278" spans="1:65" ht="15" customHeight="1" x14ac:dyDescent="0.4">
      <c r="A278" s="2" t="s">
        <v>65</v>
      </c>
      <c r="B278" s="2" t="s">
        <v>66</v>
      </c>
      <c r="C278" s="2" t="s">
        <v>259</v>
      </c>
      <c r="D278" s="3" t="s">
        <v>68</v>
      </c>
      <c r="E278" s="3" t="s">
        <v>147</v>
      </c>
      <c r="F278" s="2" t="s">
        <v>148</v>
      </c>
      <c r="G278" s="4">
        <v>5</v>
      </c>
      <c r="H278" s="5">
        <v>2.69</v>
      </c>
      <c r="I278" s="5">
        <v>2.803995582271773</v>
      </c>
      <c r="J278" s="6">
        <v>0</v>
      </c>
      <c r="K278" s="5">
        <v>0</v>
      </c>
      <c r="L278" s="6">
        <v>0</v>
      </c>
      <c r="M278" s="5">
        <v>0</v>
      </c>
      <c r="N278" s="6">
        <v>0</v>
      </c>
      <c r="O278" s="5">
        <v>0</v>
      </c>
      <c r="P278" s="6">
        <v>0</v>
      </c>
      <c r="Q278" s="5">
        <v>0</v>
      </c>
      <c r="R278" s="6">
        <v>0</v>
      </c>
      <c r="S278" s="5">
        <v>0</v>
      </c>
      <c r="T278" s="6">
        <v>98.92356741932133</v>
      </c>
      <c r="U278" s="5">
        <v>266.10439635797428</v>
      </c>
      <c r="V278" s="6">
        <v>0</v>
      </c>
      <c r="W278" s="5">
        <v>0</v>
      </c>
      <c r="X278" s="6">
        <v>0</v>
      </c>
      <c r="Y278" s="5">
        <v>0</v>
      </c>
      <c r="Z278" s="6">
        <v>0</v>
      </c>
      <c r="AA278" s="5">
        <v>0</v>
      </c>
      <c r="AB278" s="6">
        <v>0</v>
      </c>
      <c r="AC278" s="5">
        <v>0</v>
      </c>
      <c r="AD278" s="6">
        <v>0</v>
      </c>
      <c r="AE278" s="5">
        <v>0</v>
      </c>
      <c r="AF278" s="6">
        <v>0</v>
      </c>
      <c r="AG278" s="5">
        <v>0</v>
      </c>
      <c r="AH278" s="7">
        <f t="shared" si="32"/>
        <v>98.92356741932133</v>
      </c>
      <c r="AI278" s="8">
        <f t="shared" si="33"/>
        <v>266.10439635797428</v>
      </c>
      <c r="AJ278" s="6">
        <v>0</v>
      </c>
      <c r="AK278" s="5">
        <v>0</v>
      </c>
      <c r="AL278" s="6">
        <v>0</v>
      </c>
      <c r="AM278" s="5">
        <v>0</v>
      </c>
      <c r="AN278" s="6">
        <v>0</v>
      </c>
      <c r="AO278" s="5">
        <v>0</v>
      </c>
      <c r="AP278" s="6">
        <v>0</v>
      </c>
      <c r="AQ278" s="5">
        <v>0</v>
      </c>
      <c r="AR278" s="6">
        <v>0</v>
      </c>
      <c r="AS278" s="5">
        <v>0</v>
      </c>
      <c r="AT278" s="6">
        <v>125</v>
      </c>
      <c r="AU278" s="5">
        <v>350.49944778397162</v>
      </c>
      <c r="AV278" s="6">
        <v>0</v>
      </c>
      <c r="AW278" s="5">
        <v>0</v>
      </c>
      <c r="AX278" s="6">
        <v>0</v>
      </c>
      <c r="AY278" s="5">
        <v>0</v>
      </c>
      <c r="AZ278" s="6">
        <v>0</v>
      </c>
      <c r="BA278" s="5">
        <v>0</v>
      </c>
      <c r="BB278" s="6">
        <v>0</v>
      </c>
      <c r="BC278" s="5">
        <v>0</v>
      </c>
      <c r="BD278" s="6">
        <v>0</v>
      </c>
      <c r="BE278" s="5">
        <v>0</v>
      </c>
      <c r="BF278" s="6">
        <v>0</v>
      </c>
      <c r="BG278" s="5">
        <v>0</v>
      </c>
      <c r="BH278" s="9">
        <f t="shared" si="34"/>
        <v>125</v>
      </c>
      <c r="BI278" s="10">
        <f t="shared" si="35"/>
        <v>350.49944778397162</v>
      </c>
      <c r="BJ278" s="6">
        <f t="shared" si="36"/>
        <v>26.07643258067867</v>
      </c>
      <c r="BK278" s="11">
        <f t="shared" si="37"/>
        <v>0.26360182169881524</v>
      </c>
      <c r="BL278" s="5">
        <f t="shared" si="38"/>
        <v>84.395051425997337</v>
      </c>
      <c r="BM278" s="11">
        <f t="shared" si="39"/>
        <v>0.31715015828774862</v>
      </c>
    </row>
    <row r="279" spans="1:65" ht="15" customHeight="1" x14ac:dyDescent="0.4">
      <c r="A279" s="2" t="s">
        <v>65</v>
      </c>
      <c r="B279" s="2" t="s">
        <v>66</v>
      </c>
      <c r="C279" s="2" t="s">
        <v>259</v>
      </c>
      <c r="D279" s="3" t="s">
        <v>68</v>
      </c>
      <c r="E279" s="3" t="s">
        <v>249</v>
      </c>
      <c r="F279" s="2" t="s">
        <v>250</v>
      </c>
      <c r="G279" s="4">
        <v>1</v>
      </c>
      <c r="H279" s="5">
        <v>4.5999999999999996</v>
      </c>
      <c r="I279" s="5">
        <v>4.7949366834387197</v>
      </c>
      <c r="J279" s="6">
        <v>11.870828090318559</v>
      </c>
      <c r="K279" s="5">
        <v>54.605809215465371</v>
      </c>
      <c r="L279" s="6">
        <v>0</v>
      </c>
      <c r="M279" s="5">
        <v>0</v>
      </c>
      <c r="N279" s="6">
        <v>0</v>
      </c>
      <c r="O279" s="5">
        <v>0</v>
      </c>
      <c r="P279" s="6">
        <v>0</v>
      </c>
      <c r="Q279" s="5">
        <v>0</v>
      </c>
      <c r="R279" s="6">
        <v>0</v>
      </c>
      <c r="S279" s="5">
        <v>0</v>
      </c>
      <c r="T279" s="6">
        <v>0</v>
      </c>
      <c r="U279" s="5">
        <v>0</v>
      </c>
      <c r="V279" s="6">
        <v>0</v>
      </c>
      <c r="W279" s="5">
        <v>0</v>
      </c>
      <c r="X279" s="6">
        <v>0</v>
      </c>
      <c r="Y279" s="5">
        <v>0</v>
      </c>
      <c r="Z279" s="6">
        <v>0</v>
      </c>
      <c r="AA279" s="5">
        <v>0</v>
      </c>
      <c r="AB279" s="6">
        <v>0</v>
      </c>
      <c r="AC279" s="5">
        <v>0</v>
      </c>
      <c r="AD279" s="6">
        <v>0</v>
      </c>
      <c r="AE279" s="5">
        <v>0</v>
      </c>
      <c r="AF279" s="6">
        <v>0</v>
      </c>
      <c r="AG279" s="5">
        <v>0</v>
      </c>
      <c r="AH279" s="7">
        <f t="shared" si="32"/>
        <v>11.870828090318559</v>
      </c>
      <c r="AI279" s="8">
        <f t="shared" si="33"/>
        <v>54.605809215465371</v>
      </c>
      <c r="AJ279" s="6">
        <v>13</v>
      </c>
      <c r="AK279" s="5">
        <v>62.334176884703361</v>
      </c>
      <c r="AL279" s="6">
        <v>0</v>
      </c>
      <c r="AM279" s="5">
        <v>0</v>
      </c>
      <c r="AN279" s="6">
        <v>0</v>
      </c>
      <c r="AO279" s="5">
        <v>0</v>
      </c>
      <c r="AP279" s="6">
        <v>0</v>
      </c>
      <c r="AQ279" s="5">
        <v>0</v>
      </c>
      <c r="AR279" s="6">
        <v>0</v>
      </c>
      <c r="AS279" s="5">
        <v>0</v>
      </c>
      <c r="AT279" s="6">
        <v>0</v>
      </c>
      <c r="AU279" s="5">
        <v>0</v>
      </c>
      <c r="AV279" s="6">
        <v>0</v>
      </c>
      <c r="AW279" s="5">
        <v>0</v>
      </c>
      <c r="AX279" s="6">
        <v>0</v>
      </c>
      <c r="AY279" s="5">
        <v>0</v>
      </c>
      <c r="AZ279" s="6">
        <v>0</v>
      </c>
      <c r="BA279" s="5">
        <v>0</v>
      </c>
      <c r="BB279" s="6">
        <v>0</v>
      </c>
      <c r="BC279" s="5">
        <v>0</v>
      </c>
      <c r="BD279" s="6">
        <v>0</v>
      </c>
      <c r="BE279" s="5">
        <v>0</v>
      </c>
      <c r="BF279" s="6">
        <v>0</v>
      </c>
      <c r="BG279" s="5">
        <v>0</v>
      </c>
      <c r="BH279" s="9">
        <f t="shared" si="34"/>
        <v>13</v>
      </c>
      <c r="BI279" s="10">
        <f t="shared" si="35"/>
        <v>62.334176884703361</v>
      </c>
      <c r="BJ279" s="6">
        <f t="shared" si="36"/>
        <v>1.1291719096814408</v>
      </c>
      <c r="BK279" s="11">
        <f t="shared" si="37"/>
        <v>9.5121578805639914E-2</v>
      </c>
      <c r="BL279" s="5">
        <f t="shared" si="38"/>
        <v>7.7283676692379899</v>
      </c>
      <c r="BM279" s="11">
        <f t="shared" si="39"/>
        <v>0.14153013718271523</v>
      </c>
    </row>
    <row r="280" spans="1:65" ht="15" customHeight="1" x14ac:dyDescent="0.4">
      <c r="A280" s="2" t="s">
        <v>65</v>
      </c>
      <c r="B280" s="2" t="s">
        <v>66</v>
      </c>
      <c r="C280" s="2" t="s">
        <v>259</v>
      </c>
      <c r="D280" s="3" t="s">
        <v>68</v>
      </c>
      <c r="E280" s="3" t="s">
        <v>128</v>
      </c>
      <c r="F280" s="2" t="s">
        <v>129</v>
      </c>
      <c r="G280" s="4">
        <v>5</v>
      </c>
      <c r="H280" s="5">
        <v>3.52</v>
      </c>
      <c r="I280" s="5">
        <v>3.6691689403704988</v>
      </c>
      <c r="J280" s="6">
        <v>0</v>
      </c>
      <c r="K280" s="5">
        <v>0</v>
      </c>
      <c r="L280" s="6">
        <v>0</v>
      </c>
      <c r="M280" s="5">
        <v>0</v>
      </c>
      <c r="N280" s="6">
        <v>0</v>
      </c>
      <c r="O280" s="5">
        <v>0</v>
      </c>
      <c r="P280" s="6">
        <v>0</v>
      </c>
      <c r="Q280" s="5">
        <v>0</v>
      </c>
      <c r="R280" s="6">
        <v>98.92356741932133</v>
      </c>
      <c r="S280" s="5">
        <v>348.21095731601099</v>
      </c>
      <c r="T280" s="6">
        <v>0</v>
      </c>
      <c r="U280" s="5">
        <v>0</v>
      </c>
      <c r="V280" s="6">
        <v>39.569426967728532</v>
      </c>
      <c r="W280" s="5">
        <v>139.28438292640439</v>
      </c>
      <c r="X280" s="6">
        <v>0</v>
      </c>
      <c r="Y280" s="5">
        <v>0</v>
      </c>
      <c r="Z280" s="6">
        <v>0</v>
      </c>
      <c r="AA280" s="5">
        <v>0</v>
      </c>
      <c r="AB280" s="6">
        <v>0</v>
      </c>
      <c r="AC280" s="5">
        <v>0</v>
      </c>
      <c r="AD280" s="6">
        <v>0</v>
      </c>
      <c r="AE280" s="5">
        <v>0</v>
      </c>
      <c r="AF280" s="6">
        <v>0</v>
      </c>
      <c r="AG280" s="5">
        <v>0</v>
      </c>
      <c r="AH280" s="7">
        <f t="shared" si="32"/>
        <v>138.49299438704986</v>
      </c>
      <c r="AI280" s="8">
        <f t="shared" si="33"/>
        <v>487.49534024241541</v>
      </c>
      <c r="AJ280" s="6">
        <v>0</v>
      </c>
      <c r="AK280" s="5">
        <v>0</v>
      </c>
      <c r="AL280" s="6">
        <v>0</v>
      </c>
      <c r="AM280" s="5">
        <v>0</v>
      </c>
      <c r="AN280" s="6">
        <v>0</v>
      </c>
      <c r="AO280" s="5">
        <v>0</v>
      </c>
      <c r="AP280" s="6">
        <v>0</v>
      </c>
      <c r="AQ280" s="5">
        <v>0</v>
      </c>
      <c r="AR280" s="6">
        <v>110</v>
      </c>
      <c r="AS280" s="5">
        <v>403.6085834407549</v>
      </c>
      <c r="AT280" s="6">
        <v>0</v>
      </c>
      <c r="AU280" s="5">
        <v>0</v>
      </c>
      <c r="AV280" s="6">
        <v>45</v>
      </c>
      <c r="AW280" s="5">
        <v>165.11260231667251</v>
      </c>
      <c r="AX280" s="6">
        <v>0</v>
      </c>
      <c r="AY280" s="5">
        <v>0</v>
      </c>
      <c r="AZ280" s="6">
        <v>0</v>
      </c>
      <c r="BA280" s="5">
        <v>0</v>
      </c>
      <c r="BB280" s="6">
        <v>0</v>
      </c>
      <c r="BC280" s="5">
        <v>0</v>
      </c>
      <c r="BD280" s="6">
        <v>0</v>
      </c>
      <c r="BE280" s="5">
        <v>0</v>
      </c>
      <c r="BF280" s="6">
        <v>0</v>
      </c>
      <c r="BG280" s="5">
        <v>0</v>
      </c>
      <c r="BH280" s="9">
        <f t="shared" si="34"/>
        <v>155</v>
      </c>
      <c r="BI280" s="10">
        <f t="shared" si="35"/>
        <v>568.72118575742741</v>
      </c>
      <c r="BJ280" s="6">
        <f t="shared" si="36"/>
        <v>16.507005612950138</v>
      </c>
      <c r="BK280" s="11">
        <f t="shared" si="37"/>
        <v>0.11919018493323635</v>
      </c>
      <c r="BL280" s="5">
        <f t="shared" si="38"/>
        <v>81.225845515011997</v>
      </c>
      <c r="BM280" s="11">
        <f t="shared" si="39"/>
        <v>0.16661871162629177</v>
      </c>
    </row>
    <row r="281" spans="1:65" ht="15" customHeight="1" x14ac:dyDescent="0.4">
      <c r="A281" s="2" t="s">
        <v>65</v>
      </c>
      <c r="B281" s="2" t="s">
        <v>66</v>
      </c>
      <c r="C281" s="2" t="s">
        <v>259</v>
      </c>
      <c r="D281" s="3" t="s">
        <v>68</v>
      </c>
      <c r="E281" s="3" t="s">
        <v>79</v>
      </c>
      <c r="F281" s="2" t="s">
        <v>80</v>
      </c>
      <c r="G281" s="4">
        <v>20</v>
      </c>
      <c r="H281" s="5">
        <v>3.25</v>
      </c>
      <c r="I281" s="5">
        <v>3.3877270046034429</v>
      </c>
      <c r="J281" s="6">
        <v>0</v>
      </c>
      <c r="K281" s="5">
        <v>0</v>
      </c>
      <c r="L281" s="6">
        <v>0</v>
      </c>
      <c r="M281" s="5">
        <v>0</v>
      </c>
      <c r="N281" s="6">
        <v>0</v>
      </c>
      <c r="O281" s="5">
        <v>0</v>
      </c>
      <c r="P281" s="6">
        <v>0</v>
      </c>
      <c r="Q281" s="5">
        <v>0</v>
      </c>
      <c r="R281" s="6">
        <v>98.92356741932133</v>
      </c>
      <c r="S281" s="5">
        <v>321.50159411279429</v>
      </c>
      <c r="T281" s="6">
        <v>0</v>
      </c>
      <c r="U281" s="5">
        <v>0</v>
      </c>
      <c r="V281" s="6">
        <v>0</v>
      </c>
      <c r="W281" s="5">
        <v>0</v>
      </c>
      <c r="X281" s="6">
        <v>0</v>
      </c>
      <c r="Y281" s="5">
        <v>0</v>
      </c>
      <c r="Z281" s="6">
        <v>0</v>
      </c>
      <c r="AA281" s="5">
        <v>0</v>
      </c>
      <c r="AB281" s="6">
        <v>0</v>
      </c>
      <c r="AC281" s="5">
        <v>0</v>
      </c>
      <c r="AD281" s="6">
        <v>0</v>
      </c>
      <c r="AE281" s="5">
        <v>0</v>
      </c>
      <c r="AF281" s="6">
        <v>0</v>
      </c>
      <c r="AG281" s="5">
        <v>0</v>
      </c>
      <c r="AH281" s="7">
        <f t="shared" si="32"/>
        <v>98.92356741932133</v>
      </c>
      <c r="AI281" s="8">
        <f t="shared" si="33"/>
        <v>321.50159411279429</v>
      </c>
      <c r="AJ281" s="6">
        <v>0</v>
      </c>
      <c r="AK281" s="5">
        <v>0</v>
      </c>
      <c r="AL281" s="6">
        <v>0</v>
      </c>
      <c r="AM281" s="5">
        <v>0</v>
      </c>
      <c r="AN281" s="6">
        <v>0</v>
      </c>
      <c r="AO281" s="5">
        <v>0</v>
      </c>
      <c r="AP281" s="6">
        <v>0</v>
      </c>
      <c r="AQ281" s="5">
        <v>0</v>
      </c>
      <c r="AR281" s="6">
        <v>100</v>
      </c>
      <c r="AS281" s="5">
        <v>338.77270046034431</v>
      </c>
      <c r="AT281" s="6">
        <v>0</v>
      </c>
      <c r="AU281" s="5">
        <v>0</v>
      </c>
      <c r="AV281" s="6">
        <v>0</v>
      </c>
      <c r="AW281" s="5">
        <v>0</v>
      </c>
      <c r="AX281" s="6">
        <v>0</v>
      </c>
      <c r="AY281" s="5">
        <v>0</v>
      </c>
      <c r="AZ281" s="6">
        <v>0</v>
      </c>
      <c r="BA281" s="5">
        <v>0</v>
      </c>
      <c r="BB281" s="6">
        <v>0</v>
      </c>
      <c r="BC281" s="5">
        <v>0</v>
      </c>
      <c r="BD281" s="6">
        <v>0</v>
      </c>
      <c r="BE281" s="5">
        <v>0</v>
      </c>
      <c r="BF281" s="6">
        <v>0</v>
      </c>
      <c r="BG281" s="5">
        <v>0</v>
      </c>
      <c r="BH281" s="9">
        <f t="shared" si="34"/>
        <v>100</v>
      </c>
      <c r="BI281" s="10">
        <f t="shared" si="35"/>
        <v>338.77270046034431</v>
      </c>
      <c r="BJ281" s="6">
        <f t="shared" si="36"/>
        <v>1.0764325806786701</v>
      </c>
      <c r="BK281" s="11">
        <f t="shared" si="37"/>
        <v>1.0881457359052195E-2</v>
      </c>
      <c r="BL281" s="5">
        <f t="shared" si="38"/>
        <v>17.271106347550017</v>
      </c>
      <c r="BM281" s="11">
        <f t="shared" si="39"/>
        <v>5.3720126630198581E-2</v>
      </c>
    </row>
    <row r="282" spans="1:65" ht="15" customHeight="1" x14ac:dyDescent="0.4">
      <c r="A282" s="2" t="s">
        <v>65</v>
      </c>
      <c r="B282" s="2" t="s">
        <v>66</v>
      </c>
      <c r="C282" s="2" t="s">
        <v>259</v>
      </c>
      <c r="D282" s="3" t="s">
        <v>68</v>
      </c>
      <c r="E282" s="3" t="s">
        <v>94</v>
      </c>
      <c r="F282" s="2" t="s">
        <v>130</v>
      </c>
      <c r="G282" s="4">
        <v>20</v>
      </c>
      <c r="H282" s="5">
        <v>2.0466666666666669</v>
      </c>
      <c r="I282" s="5">
        <v>2.133399364950272</v>
      </c>
      <c r="J282" s="6">
        <v>316.55541574182831</v>
      </c>
      <c r="K282" s="5">
        <v>626.77972316881994</v>
      </c>
      <c r="L282" s="6">
        <v>0</v>
      </c>
      <c r="M282" s="5">
        <v>0</v>
      </c>
      <c r="N282" s="6">
        <v>633.11083148365651</v>
      </c>
      <c r="O282" s="5">
        <v>1316.870529486006</v>
      </c>
      <c r="P282" s="6">
        <v>0</v>
      </c>
      <c r="Q282" s="5">
        <v>0</v>
      </c>
      <c r="R282" s="6">
        <v>0</v>
      </c>
      <c r="S282" s="5">
        <v>0</v>
      </c>
      <c r="T282" s="6">
        <v>0</v>
      </c>
      <c r="U282" s="5">
        <v>0</v>
      </c>
      <c r="V282" s="6">
        <v>0</v>
      </c>
      <c r="W282" s="5">
        <v>0</v>
      </c>
      <c r="X282" s="6">
        <v>0</v>
      </c>
      <c r="Y282" s="5">
        <v>0</v>
      </c>
      <c r="Z282" s="6">
        <v>0</v>
      </c>
      <c r="AA282" s="5">
        <v>0</v>
      </c>
      <c r="AB282" s="6">
        <v>0</v>
      </c>
      <c r="AC282" s="5">
        <v>0</v>
      </c>
      <c r="AD282" s="6">
        <v>0</v>
      </c>
      <c r="AE282" s="5">
        <v>0</v>
      </c>
      <c r="AF282" s="6">
        <v>0</v>
      </c>
      <c r="AG282" s="5">
        <v>0</v>
      </c>
      <c r="AH282" s="7">
        <f t="shared" si="32"/>
        <v>949.66624722548477</v>
      </c>
      <c r="AI282" s="8">
        <f t="shared" si="33"/>
        <v>1943.6502526548261</v>
      </c>
      <c r="AJ282" s="6">
        <v>340</v>
      </c>
      <c r="AK282" s="5">
        <v>701.72855984585794</v>
      </c>
      <c r="AL282" s="6">
        <v>0</v>
      </c>
      <c r="AM282" s="5">
        <v>0</v>
      </c>
      <c r="AN282" s="6">
        <v>680</v>
      </c>
      <c r="AO282" s="5">
        <v>1474.3387924034189</v>
      </c>
      <c r="AP282" s="6">
        <v>0</v>
      </c>
      <c r="AQ282" s="5">
        <v>0</v>
      </c>
      <c r="AR282" s="6">
        <v>0</v>
      </c>
      <c r="AS282" s="5">
        <v>0</v>
      </c>
      <c r="AT282" s="6">
        <v>0</v>
      </c>
      <c r="AU282" s="5">
        <v>0</v>
      </c>
      <c r="AV282" s="6">
        <v>0</v>
      </c>
      <c r="AW282" s="5">
        <v>0</v>
      </c>
      <c r="AX282" s="6">
        <v>0</v>
      </c>
      <c r="AY282" s="5">
        <v>0</v>
      </c>
      <c r="AZ282" s="6">
        <v>0</v>
      </c>
      <c r="BA282" s="5">
        <v>0</v>
      </c>
      <c r="BB282" s="6">
        <v>0</v>
      </c>
      <c r="BC282" s="5">
        <v>0</v>
      </c>
      <c r="BD282" s="6">
        <v>0</v>
      </c>
      <c r="BE282" s="5">
        <v>0</v>
      </c>
      <c r="BF282" s="6">
        <v>0</v>
      </c>
      <c r="BG282" s="5">
        <v>0</v>
      </c>
      <c r="BH282" s="9">
        <f t="shared" si="34"/>
        <v>1020</v>
      </c>
      <c r="BI282" s="10">
        <f t="shared" si="35"/>
        <v>2176.0673522492771</v>
      </c>
      <c r="BJ282" s="6">
        <f t="shared" si="36"/>
        <v>70.333752774515233</v>
      </c>
      <c r="BK282" s="11">
        <f t="shared" si="37"/>
        <v>7.4061548443992958E-2</v>
      </c>
      <c r="BL282" s="5">
        <f t="shared" si="38"/>
        <v>232.41709959445097</v>
      </c>
      <c r="BM282" s="11">
        <f t="shared" si="39"/>
        <v>0.11957763454458596</v>
      </c>
    </row>
    <row r="283" spans="1:65" ht="15" customHeight="1" x14ac:dyDescent="0.4">
      <c r="A283" s="2" t="s">
        <v>65</v>
      </c>
      <c r="B283" s="2" t="s">
        <v>66</v>
      </c>
      <c r="C283" s="2" t="s">
        <v>259</v>
      </c>
      <c r="D283" s="3" t="s">
        <v>68</v>
      </c>
      <c r="E283" s="3" t="s">
        <v>94</v>
      </c>
      <c r="F283" s="2" t="s">
        <v>95</v>
      </c>
      <c r="G283" s="4">
        <v>20</v>
      </c>
      <c r="H283" s="5">
        <v>2.08</v>
      </c>
      <c r="I283" s="5">
        <v>2.1681452829462038</v>
      </c>
      <c r="J283" s="6">
        <v>0</v>
      </c>
      <c r="K283" s="5">
        <v>0</v>
      </c>
      <c r="L283" s="6">
        <v>0</v>
      </c>
      <c r="M283" s="5">
        <v>0</v>
      </c>
      <c r="N283" s="6">
        <v>0</v>
      </c>
      <c r="O283" s="5">
        <v>0</v>
      </c>
      <c r="P283" s="6">
        <v>1266.221662967313</v>
      </c>
      <c r="Q283" s="5">
        <v>2633.7410589720112</v>
      </c>
      <c r="R283" s="6">
        <v>1622.34650567687</v>
      </c>
      <c r="S283" s="5">
        <v>3374.4807318078888</v>
      </c>
      <c r="T283" s="6">
        <v>0</v>
      </c>
      <c r="U283" s="5">
        <v>0</v>
      </c>
      <c r="V283" s="6">
        <v>1266.221662967313</v>
      </c>
      <c r="W283" s="5">
        <v>2633.7410589720112</v>
      </c>
      <c r="X283" s="6">
        <v>633.11083148365651</v>
      </c>
      <c r="Y283" s="5">
        <v>1316.870529486006</v>
      </c>
      <c r="Z283" s="6">
        <v>0</v>
      </c>
      <c r="AA283" s="5">
        <v>0</v>
      </c>
      <c r="AB283" s="6">
        <v>0</v>
      </c>
      <c r="AC283" s="5">
        <v>0</v>
      </c>
      <c r="AD283" s="6">
        <v>0</v>
      </c>
      <c r="AE283" s="5">
        <v>0</v>
      </c>
      <c r="AF283" s="6">
        <v>0</v>
      </c>
      <c r="AG283" s="5">
        <v>0</v>
      </c>
      <c r="AH283" s="7">
        <f t="shared" si="32"/>
        <v>4787.9006630951526</v>
      </c>
      <c r="AI283" s="8">
        <f t="shared" si="33"/>
        <v>9958.8333792379181</v>
      </c>
      <c r="AJ283" s="6">
        <v>0</v>
      </c>
      <c r="AK283" s="5">
        <v>0</v>
      </c>
      <c r="AL283" s="6">
        <v>0</v>
      </c>
      <c r="AM283" s="5">
        <v>0</v>
      </c>
      <c r="AN283" s="6">
        <v>0</v>
      </c>
      <c r="AO283" s="5">
        <v>0</v>
      </c>
      <c r="AP283" s="6">
        <v>1380</v>
      </c>
      <c r="AQ283" s="5">
        <v>2992.0404904657612</v>
      </c>
      <c r="AR283" s="6">
        <v>1760</v>
      </c>
      <c r="AS283" s="5">
        <v>3815.9356979853178</v>
      </c>
      <c r="AT283" s="6">
        <v>0</v>
      </c>
      <c r="AU283" s="5">
        <v>0</v>
      </c>
      <c r="AV283" s="6">
        <v>1360</v>
      </c>
      <c r="AW283" s="5">
        <v>2948.6775848068378</v>
      </c>
      <c r="AX283" s="6">
        <v>680</v>
      </c>
      <c r="AY283" s="5">
        <v>1474.3387924034189</v>
      </c>
      <c r="AZ283" s="6">
        <v>0</v>
      </c>
      <c r="BA283" s="5">
        <v>0</v>
      </c>
      <c r="BB283" s="6">
        <v>0</v>
      </c>
      <c r="BC283" s="5">
        <v>0</v>
      </c>
      <c r="BD283" s="6">
        <v>0</v>
      </c>
      <c r="BE283" s="5">
        <v>0</v>
      </c>
      <c r="BF283" s="6">
        <v>0</v>
      </c>
      <c r="BG283" s="5">
        <v>0</v>
      </c>
      <c r="BH283" s="9">
        <f t="shared" si="34"/>
        <v>5180</v>
      </c>
      <c r="BI283" s="10">
        <f t="shared" si="35"/>
        <v>11230.992565661336</v>
      </c>
      <c r="BJ283" s="6">
        <f t="shared" si="36"/>
        <v>392.09933690484741</v>
      </c>
      <c r="BK283" s="11">
        <f t="shared" si="37"/>
        <v>8.1893791140473168E-2</v>
      </c>
      <c r="BL283" s="5">
        <f t="shared" si="38"/>
        <v>1272.1591864234179</v>
      </c>
      <c r="BM283" s="11">
        <f t="shared" si="39"/>
        <v>0.1277417884182703</v>
      </c>
    </row>
    <row r="284" spans="1:65" ht="15" customHeight="1" x14ac:dyDescent="0.4">
      <c r="A284" s="2" t="s">
        <v>65</v>
      </c>
      <c r="B284" s="2" t="s">
        <v>66</v>
      </c>
      <c r="C284" s="2" t="s">
        <v>259</v>
      </c>
      <c r="D284" s="3" t="s">
        <v>68</v>
      </c>
      <c r="E284" s="3" t="s">
        <v>96</v>
      </c>
      <c r="F284" s="2" t="s">
        <v>268</v>
      </c>
      <c r="G284" s="4">
        <v>1000</v>
      </c>
      <c r="H284" s="5">
        <v>1.8</v>
      </c>
      <c r="I284" s="5">
        <v>1.8762795717803691</v>
      </c>
      <c r="J284" s="6">
        <v>0</v>
      </c>
      <c r="K284" s="5">
        <v>0</v>
      </c>
      <c r="L284" s="6">
        <v>0</v>
      </c>
      <c r="M284" s="5">
        <v>0</v>
      </c>
      <c r="N284" s="6">
        <v>0</v>
      </c>
      <c r="O284" s="5">
        <v>0</v>
      </c>
      <c r="P284" s="6">
        <v>1978.4713483864259</v>
      </c>
      <c r="Q284" s="5">
        <v>3561.248427095567</v>
      </c>
      <c r="R284" s="6">
        <v>1978.4713483864259</v>
      </c>
      <c r="S284" s="5">
        <v>3561.248427095567</v>
      </c>
      <c r="T284" s="6">
        <v>2967.7070225796401</v>
      </c>
      <c r="U284" s="5">
        <v>5341.8726406433516</v>
      </c>
      <c r="V284" s="6">
        <v>1978.4713483864259</v>
      </c>
      <c r="W284" s="5">
        <v>3561.248427095567</v>
      </c>
      <c r="X284" s="6">
        <v>0</v>
      </c>
      <c r="Y284" s="5">
        <v>0</v>
      </c>
      <c r="Z284" s="6">
        <v>0</v>
      </c>
      <c r="AA284" s="5">
        <v>0</v>
      </c>
      <c r="AB284" s="6">
        <v>0</v>
      </c>
      <c r="AC284" s="5">
        <v>0</v>
      </c>
      <c r="AD284" s="6">
        <v>0</v>
      </c>
      <c r="AE284" s="5">
        <v>0</v>
      </c>
      <c r="AF284" s="6">
        <v>0</v>
      </c>
      <c r="AG284" s="5">
        <v>0</v>
      </c>
      <c r="AH284" s="7">
        <f t="shared" si="32"/>
        <v>8903.1210677389172</v>
      </c>
      <c r="AI284" s="8">
        <f t="shared" si="33"/>
        <v>16025.617921930052</v>
      </c>
      <c r="AJ284" s="6">
        <v>0</v>
      </c>
      <c r="AK284" s="5">
        <v>0</v>
      </c>
      <c r="AL284" s="6">
        <v>0</v>
      </c>
      <c r="AM284" s="5">
        <v>0</v>
      </c>
      <c r="AN284" s="6">
        <v>0</v>
      </c>
      <c r="AO284" s="5">
        <v>0</v>
      </c>
      <c r="AP284" s="6">
        <v>2000</v>
      </c>
      <c r="AQ284" s="5">
        <v>3752.559143560738</v>
      </c>
      <c r="AR284" s="6">
        <v>2000</v>
      </c>
      <c r="AS284" s="5">
        <v>3752.559143560738</v>
      </c>
      <c r="AT284" s="6">
        <v>3000</v>
      </c>
      <c r="AU284" s="5">
        <v>5628.8387153411068</v>
      </c>
      <c r="AV284" s="6">
        <v>2000</v>
      </c>
      <c r="AW284" s="5">
        <v>3752.559143560738</v>
      </c>
      <c r="AX284" s="6">
        <v>0</v>
      </c>
      <c r="AY284" s="5">
        <v>0</v>
      </c>
      <c r="AZ284" s="6">
        <v>0</v>
      </c>
      <c r="BA284" s="5">
        <v>0</v>
      </c>
      <c r="BB284" s="6">
        <v>0</v>
      </c>
      <c r="BC284" s="5">
        <v>0</v>
      </c>
      <c r="BD284" s="6">
        <v>0</v>
      </c>
      <c r="BE284" s="5">
        <v>0</v>
      </c>
      <c r="BF284" s="6">
        <v>0</v>
      </c>
      <c r="BG284" s="5">
        <v>0</v>
      </c>
      <c r="BH284" s="9">
        <f t="shared" si="34"/>
        <v>9000</v>
      </c>
      <c r="BI284" s="10">
        <f t="shared" si="35"/>
        <v>16886.516146023321</v>
      </c>
      <c r="BJ284" s="6">
        <f t="shared" si="36"/>
        <v>96.878932261082809</v>
      </c>
      <c r="BK284" s="11">
        <f t="shared" si="37"/>
        <v>1.0881457359052479E-2</v>
      </c>
      <c r="BL284" s="5">
        <f t="shared" si="38"/>
        <v>860.89822409326916</v>
      </c>
      <c r="BM284" s="11">
        <f t="shared" si="39"/>
        <v>5.3720126630199011E-2</v>
      </c>
    </row>
    <row r="285" spans="1:65" ht="15" customHeight="1" x14ac:dyDescent="0.4">
      <c r="A285" s="2" t="s">
        <v>65</v>
      </c>
      <c r="B285" s="2" t="s">
        <v>66</v>
      </c>
      <c r="C285" s="2" t="s">
        <v>259</v>
      </c>
      <c r="D285" s="3" t="s">
        <v>68</v>
      </c>
      <c r="E285" s="3" t="s">
        <v>140</v>
      </c>
      <c r="F285" s="2" t="s">
        <v>141</v>
      </c>
      <c r="G285" s="4">
        <v>5</v>
      </c>
      <c r="H285" s="5">
        <v>9.7999999999999989</v>
      </c>
      <c r="I285" s="5">
        <v>10.21529989080423</v>
      </c>
      <c r="J285" s="6">
        <v>0</v>
      </c>
      <c r="K285" s="5">
        <v>0</v>
      </c>
      <c r="L285" s="6">
        <v>0</v>
      </c>
      <c r="M285" s="5">
        <v>0</v>
      </c>
      <c r="N285" s="6">
        <v>0</v>
      </c>
      <c r="O285" s="5">
        <v>0</v>
      </c>
      <c r="P285" s="6">
        <v>0</v>
      </c>
      <c r="Q285" s="5">
        <v>0</v>
      </c>
      <c r="R285" s="6">
        <v>0</v>
      </c>
      <c r="S285" s="5">
        <v>0</v>
      </c>
      <c r="T285" s="6">
        <v>19.78471348386427</v>
      </c>
      <c r="U285" s="5">
        <v>193.89019214186979</v>
      </c>
      <c r="V285" s="6">
        <v>0</v>
      </c>
      <c r="W285" s="5">
        <v>0</v>
      </c>
      <c r="X285" s="6">
        <v>0</v>
      </c>
      <c r="Y285" s="5">
        <v>0</v>
      </c>
      <c r="Z285" s="6">
        <v>0</v>
      </c>
      <c r="AA285" s="5">
        <v>0</v>
      </c>
      <c r="AB285" s="6">
        <v>0</v>
      </c>
      <c r="AC285" s="5">
        <v>0</v>
      </c>
      <c r="AD285" s="6">
        <v>0</v>
      </c>
      <c r="AE285" s="5">
        <v>0</v>
      </c>
      <c r="AF285" s="6">
        <v>0</v>
      </c>
      <c r="AG285" s="5">
        <v>0</v>
      </c>
      <c r="AH285" s="7">
        <f t="shared" si="32"/>
        <v>19.78471348386427</v>
      </c>
      <c r="AI285" s="8">
        <f t="shared" si="33"/>
        <v>193.89019214186979</v>
      </c>
      <c r="AJ285" s="6">
        <v>0</v>
      </c>
      <c r="AK285" s="5">
        <v>0</v>
      </c>
      <c r="AL285" s="6">
        <v>0</v>
      </c>
      <c r="AM285" s="5">
        <v>0</v>
      </c>
      <c r="AN285" s="6">
        <v>0</v>
      </c>
      <c r="AO285" s="5">
        <v>0</v>
      </c>
      <c r="AP285" s="6">
        <v>0</v>
      </c>
      <c r="AQ285" s="5">
        <v>0</v>
      </c>
      <c r="AR285" s="6">
        <v>0</v>
      </c>
      <c r="AS285" s="5">
        <v>0</v>
      </c>
      <c r="AT285" s="6">
        <v>25</v>
      </c>
      <c r="AU285" s="5">
        <v>255.38249727010569</v>
      </c>
      <c r="AV285" s="6">
        <v>0</v>
      </c>
      <c r="AW285" s="5">
        <v>0</v>
      </c>
      <c r="AX285" s="6">
        <v>0</v>
      </c>
      <c r="AY285" s="5">
        <v>0</v>
      </c>
      <c r="AZ285" s="6">
        <v>0</v>
      </c>
      <c r="BA285" s="5">
        <v>0</v>
      </c>
      <c r="BB285" s="6">
        <v>0</v>
      </c>
      <c r="BC285" s="5">
        <v>0</v>
      </c>
      <c r="BD285" s="6">
        <v>0</v>
      </c>
      <c r="BE285" s="5">
        <v>0</v>
      </c>
      <c r="BF285" s="6">
        <v>0</v>
      </c>
      <c r="BG285" s="5">
        <v>0</v>
      </c>
      <c r="BH285" s="9">
        <f t="shared" si="34"/>
        <v>25</v>
      </c>
      <c r="BI285" s="10">
        <f t="shared" si="35"/>
        <v>255.38249727010569</v>
      </c>
      <c r="BJ285" s="6">
        <f t="shared" si="36"/>
        <v>5.2152865161357305</v>
      </c>
      <c r="BK285" s="11">
        <f t="shared" si="37"/>
        <v>0.26360182169881502</v>
      </c>
      <c r="BL285" s="5">
        <f t="shared" si="38"/>
        <v>61.492305128235898</v>
      </c>
      <c r="BM285" s="11">
        <f t="shared" si="39"/>
        <v>0.31715015828774812</v>
      </c>
    </row>
    <row r="286" spans="1:65" ht="15" customHeight="1" x14ac:dyDescent="0.4">
      <c r="A286" s="2" t="s">
        <v>65</v>
      </c>
      <c r="B286" s="2" t="s">
        <v>66</v>
      </c>
      <c r="C286" s="2" t="s">
        <v>259</v>
      </c>
      <c r="D286" s="3" t="s">
        <v>68</v>
      </c>
      <c r="E286" s="3" t="s">
        <v>131</v>
      </c>
      <c r="F286" s="2" t="s">
        <v>132</v>
      </c>
      <c r="G286" s="4">
        <v>20</v>
      </c>
      <c r="H286" s="5">
        <v>1.79</v>
      </c>
      <c r="I286" s="5">
        <v>1.8658557963815889</v>
      </c>
      <c r="J286" s="6">
        <v>0</v>
      </c>
      <c r="K286" s="5">
        <v>0</v>
      </c>
      <c r="L286" s="6">
        <v>0</v>
      </c>
      <c r="M286" s="5">
        <v>0</v>
      </c>
      <c r="N286" s="6">
        <v>0</v>
      </c>
      <c r="O286" s="5">
        <v>0</v>
      </c>
      <c r="P286" s="6">
        <v>0</v>
      </c>
      <c r="Q286" s="5">
        <v>0</v>
      </c>
      <c r="R286" s="6">
        <v>0</v>
      </c>
      <c r="S286" s="5">
        <v>0</v>
      </c>
      <c r="T286" s="6">
        <v>0</v>
      </c>
      <c r="U286" s="5">
        <v>0</v>
      </c>
      <c r="V286" s="6">
        <v>7617.1146912877412</v>
      </c>
      <c r="W286" s="5">
        <v>13634.635297405061</v>
      </c>
      <c r="X286" s="6">
        <v>4055.8662641921742</v>
      </c>
      <c r="Y286" s="5">
        <v>7260.0006129039921</v>
      </c>
      <c r="Z286" s="6">
        <v>0</v>
      </c>
      <c r="AA286" s="5">
        <v>0</v>
      </c>
      <c r="AB286" s="6">
        <v>0</v>
      </c>
      <c r="AC286" s="5">
        <v>0</v>
      </c>
      <c r="AD286" s="6">
        <v>0</v>
      </c>
      <c r="AE286" s="5">
        <v>0</v>
      </c>
      <c r="AF286" s="6">
        <v>0</v>
      </c>
      <c r="AG286" s="5">
        <v>0</v>
      </c>
      <c r="AH286" s="7">
        <f t="shared" si="32"/>
        <v>11672.980955479916</v>
      </c>
      <c r="AI286" s="8">
        <f t="shared" si="33"/>
        <v>20894.635910309051</v>
      </c>
      <c r="AJ286" s="6">
        <v>0</v>
      </c>
      <c r="AK286" s="5">
        <v>0</v>
      </c>
      <c r="AL286" s="6">
        <v>0</v>
      </c>
      <c r="AM286" s="5">
        <v>0</v>
      </c>
      <c r="AN286" s="6">
        <v>0</v>
      </c>
      <c r="AO286" s="5">
        <v>0</v>
      </c>
      <c r="AP286" s="6">
        <v>0</v>
      </c>
      <c r="AQ286" s="5">
        <v>0</v>
      </c>
      <c r="AR286" s="6">
        <v>0</v>
      </c>
      <c r="AS286" s="5">
        <v>0</v>
      </c>
      <c r="AT286" s="6">
        <v>0</v>
      </c>
      <c r="AU286" s="5">
        <v>0</v>
      </c>
      <c r="AV286" s="6">
        <v>8260</v>
      </c>
      <c r="AW286" s="5">
        <v>15411.96887811192</v>
      </c>
      <c r="AX286" s="6">
        <v>4400</v>
      </c>
      <c r="AY286" s="5">
        <v>8209.7655040789905</v>
      </c>
      <c r="AZ286" s="6">
        <v>0</v>
      </c>
      <c r="BA286" s="5">
        <v>0</v>
      </c>
      <c r="BB286" s="6">
        <v>0</v>
      </c>
      <c r="BC286" s="5">
        <v>0</v>
      </c>
      <c r="BD286" s="6">
        <v>0</v>
      </c>
      <c r="BE286" s="5">
        <v>0</v>
      </c>
      <c r="BF286" s="6">
        <v>0</v>
      </c>
      <c r="BG286" s="5">
        <v>0</v>
      </c>
      <c r="BH286" s="9">
        <f t="shared" si="34"/>
        <v>12660</v>
      </c>
      <c r="BI286" s="10">
        <f t="shared" si="35"/>
        <v>23621.734382190909</v>
      </c>
      <c r="BJ286" s="6">
        <f t="shared" si="36"/>
        <v>987.01904452008421</v>
      </c>
      <c r="BK286" s="11">
        <f t="shared" si="37"/>
        <v>8.4555868658101871E-2</v>
      </c>
      <c r="BL286" s="5">
        <f t="shared" si="38"/>
        <v>2727.0984718818581</v>
      </c>
      <c r="BM286" s="11">
        <f t="shared" si="39"/>
        <v>0.13051667823206026</v>
      </c>
    </row>
    <row r="287" spans="1:65" ht="15" customHeight="1" x14ac:dyDescent="0.4">
      <c r="A287" s="2" t="s">
        <v>269</v>
      </c>
      <c r="B287" s="2" t="s">
        <v>270</v>
      </c>
      <c r="C287" s="2" t="s">
        <v>271</v>
      </c>
      <c r="D287" s="3" t="s">
        <v>272</v>
      </c>
      <c r="E287" s="3" t="s">
        <v>273</v>
      </c>
      <c r="F287" s="2" t="s">
        <v>274</v>
      </c>
      <c r="G287" s="4">
        <v>5</v>
      </c>
      <c r="H287" s="5">
        <v>9.879999999999999</v>
      </c>
      <c r="I287" s="5">
        <v>10.29869009399447</v>
      </c>
      <c r="J287" s="6">
        <v>0</v>
      </c>
      <c r="K287" s="5">
        <v>0</v>
      </c>
      <c r="L287" s="6">
        <v>0</v>
      </c>
      <c r="M287" s="5">
        <v>0</v>
      </c>
      <c r="N287" s="6">
        <v>0</v>
      </c>
      <c r="O287" s="5">
        <v>0</v>
      </c>
      <c r="P287" s="6">
        <v>395.69426967728532</v>
      </c>
      <c r="Q287" s="5">
        <v>3909.4593844115789</v>
      </c>
      <c r="R287" s="6">
        <v>0</v>
      </c>
      <c r="S287" s="5">
        <v>0</v>
      </c>
      <c r="T287" s="6">
        <v>0</v>
      </c>
      <c r="U287" s="5">
        <v>0</v>
      </c>
      <c r="V287" s="6">
        <v>0</v>
      </c>
      <c r="W287" s="5">
        <v>0</v>
      </c>
      <c r="X287" s="6">
        <v>0</v>
      </c>
      <c r="Y287" s="5">
        <v>0</v>
      </c>
      <c r="Z287" s="6">
        <v>0</v>
      </c>
      <c r="AA287" s="5">
        <v>0</v>
      </c>
      <c r="AB287" s="6">
        <v>0</v>
      </c>
      <c r="AC287" s="5">
        <v>0</v>
      </c>
      <c r="AD287" s="6">
        <v>0</v>
      </c>
      <c r="AE287" s="5">
        <v>0</v>
      </c>
      <c r="AF287" s="6">
        <v>0</v>
      </c>
      <c r="AG287" s="5">
        <v>0</v>
      </c>
      <c r="AH287" s="7">
        <f t="shared" si="32"/>
        <v>395.69426967728532</v>
      </c>
      <c r="AI287" s="8">
        <f t="shared" si="33"/>
        <v>3909.4593844115789</v>
      </c>
      <c r="AJ287" s="6">
        <v>0</v>
      </c>
      <c r="AK287" s="5">
        <v>0</v>
      </c>
      <c r="AL287" s="6">
        <v>0</v>
      </c>
      <c r="AM287" s="5">
        <v>0</v>
      </c>
      <c r="AN287" s="6">
        <v>0</v>
      </c>
      <c r="AO287" s="5">
        <v>0</v>
      </c>
      <c r="AP287" s="6">
        <v>545</v>
      </c>
      <c r="AQ287" s="5">
        <v>5612.786101226985</v>
      </c>
      <c r="AR287" s="6">
        <v>0</v>
      </c>
      <c r="AS287" s="5">
        <v>0</v>
      </c>
      <c r="AT287" s="6">
        <v>0</v>
      </c>
      <c r="AU287" s="5">
        <v>0</v>
      </c>
      <c r="AV287" s="6">
        <v>0</v>
      </c>
      <c r="AW287" s="5">
        <v>0</v>
      </c>
      <c r="AX287" s="6">
        <v>0</v>
      </c>
      <c r="AY287" s="5">
        <v>0</v>
      </c>
      <c r="AZ287" s="6">
        <v>0</v>
      </c>
      <c r="BA287" s="5">
        <v>0</v>
      </c>
      <c r="BB287" s="6">
        <v>0</v>
      </c>
      <c r="BC287" s="5">
        <v>0</v>
      </c>
      <c r="BD287" s="6">
        <v>0</v>
      </c>
      <c r="BE287" s="5">
        <v>0</v>
      </c>
      <c r="BF287" s="6">
        <v>0</v>
      </c>
      <c r="BG287" s="5">
        <v>0</v>
      </c>
      <c r="BH287" s="9">
        <f t="shared" si="34"/>
        <v>545</v>
      </c>
      <c r="BI287" s="10">
        <f t="shared" si="35"/>
        <v>5612.786101226985</v>
      </c>
      <c r="BJ287" s="6">
        <f t="shared" si="36"/>
        <v>149.30573032271468</v>
      </c>
      <c r="BK287" s="11">
        <f t="shared" si="37"/>
        <v>0.37732598565170861</v>
      </c>
      <c r="BL287" s="5">
        <f t="shared" si="38"/>
        <v>1703.3267168154061</v>
      </c>
      <c r="BM287" s="11">
        <f t="shared" si="39"/>
        <v>0.4356936725336456</v>
      </c>
    </row>
    <row r="288" spans="1:65" ht="15" customHeight="1" x14ac:dyDescent="0.4">
      <c r="A288" s="2" t="s">
        <v>269</v>
      </c>
      <c r="B288" s="2" t="s">
        <v>270</v>
      </c>
      <c r="C288" s="2" t="s">
        <v>271</v>
      </c>
      <c r="D288" s="3" t="s">
        <v>272</v>
      </c>
      <c r="E288" s="3" t="s">
        <v>275</v>
      </c>
      <c r="F288" s="2" t="s">
        <v>179</v>
      </c>
      <c r="G288" s="4">
        <v>5</v>
      </c>
      <c r="H288" s="5">
        <v>2.62</v>
      </c>
      <c r="I288" s="5">
        <v>2.7310291544803138</v>
      </c>
      <c r="J288" s="6">
        <v>0</v>
      </c>
      <c r="K288" s="5">
        <v>0</v>
      </c>
      <c r="L288" s="6">
        <v>0</v>
      </c>
      <c r="M288" s="5">
        <v>0</v>
      </c>
      <c r="N288" s="6">
        <v>0</v>
      </c>
      <c r="O288" s="5">
        <v>0</v>
      </c>
      <c r="P288" s="6">
        <v>395.69426967728532</v>
      </c>
      <c r="Q288" s="5">
        <v>1036.7189865544869</v>
      </c>
      <c r="R288" s="6">
        <v>0</v>
      </c>
      <c r="S288" s="5">
        <v>0</v>
      </c>
      <c r="T288" s="6">
        <v>0</v>
      </c>
      <c r="U288" s="5">
        <v>0</v>
      </c>
      <c r="V288" s="6">
        <v>0</v>
      </c>
      <c r="W288" s="5">
        <v>0</v>
      </c>
      <c r="X288" s="6">
        <v>0</v>
      </c>
      <c r="Y288" s="5">
        <v>0</v>
      </c>
      <c r="Z288" s="6">
        <v>0</v>
      </c>
      <c r="AA288" s="5">
        <v>0</v>
      </c>
      <c r="AB288" s="6">
        <v>0</v>
      </c>
      <c r="AC288" s="5">
        <v>0</v>
      </c>
      <c r="AD288" s="6">
        <v>0</v>
      </c>
      <c r="AE288" s="5">
        <v>0</v>
      </c>
      <c r="AF288" s="6">
        <v>0</v>
      </c>
      <c r="AG288" s="5">
        <v>0</v>
      </c>
      <c r="AH288" s="7">
        <f t="shared" si="32"/>
        <v>395.69426967728532</v>
      </c>
      <c r="AI288" s="8">
        <f t="shared" si="33"/>
        <v>1036.7189865544869</v>
      </c>
      <c r="AJ288" s="6">
        <v>0</v>
      </c>
      <c r="AK288" s="5">
        <v>0</v>
      </c>
      <c r="AL288" s="6">
        <v>0</v>
      </c>
      <c r="AM288" s="5">
        <v>0</v>
      </c>
      <c r="AN288" s="6">
        <v>0</v>
      </c>
      <c r="AO288" s="5">
        <v>0</v>
      </c>
      <c r="AP288" s="6">
        <v>570</v>
      </c>
      <c r="AQ288" s="5">
        <v>1556.6866180537791</v>
      </c>
      <c r="AR288" s="6">
        <v>0</v>
      </c>
      <c r="AS288" s="5">
        <v>0</v>
      </c>
      <c r="AT288" s="6">
        <v>0</v>
      </c>
      <c r="AU288" s="5">
        <v>0</v>
      </c>
      <c r="AV288" s="6">
        <v>0</v>
      </c>
      <c r="AW288" s="5">
        <v>0</v>
      </c>
      <c r="AX288" s="6">
        <v>0</v>
      </c>
      <c r="AY288" s="5">
        <v>0</v>
      </c>
      <c r="AZ288" s="6">
        <v>0</v>
      </c>
      <c r="BA288" s="5">
        <v>0</v>
      </c>
      <c r="BB288" s="6">
        <v>0</v>
      </c>
      <c r="BC288" s="5">
        <v>0</v>
      </c>
      <c r="BD288" s="6">
        <v>0</v>
      </c>
      <c r="BE288" s="5">
        <v>0</v>
      </c>
      <c r="BF288" s="6">
        <v>0</v>
      </c>
      <c r="BG288" s="5">
        <v>0</v>
      </c>
      <c r="BH288" s="9">
        <f t="shared" si="34"/>
        <v>570</v>
      </c>
      <c r="BI288" s="10">
        <f t="shared" si="35"/>
        <v>1556.6866180537791</v>
      </c>
      <c r="BJ288" s="6">
        <f t="shared" si="36"/>
        <v>174.30573032271468</v>
      </c>
      <c r="BK288" s="11">
        <f t="shared" si="37"/>
        <v>0.44050607673664938</v>
      </c>
      <c r="BL288" s="5">
        <f t="shared" si="38"/>
        <v>519.96763149929211</v>
      </c>
      <c r="BM288" s="11">
        <f t="shared" si="39"/>
        <v>0.50155118044803371</v>
      </c>
    </row>
    <row r="289" spans="1:65" ht="15" customHeight="1" x14ac:dyDescent="0.4">
      <c r="A289" s="2" t="s">
        <v>269</v>
      </c>
      <c r="B289" s="2" t="s">
        <v>270</v>
      </c>
      <c r="C289" s="2" t="s">
        <v>271</v>
      </c>
      <c r="D289" s="3" t="s">
        <v>272</v>
      </c>
      <c r="E289" s="3" t="s">
        <v>276</v>
      </c>
      <c r="F289" s="2" t="s">
        <v>277</v>
      </c>
      <c r="G289" s="4">
        <v>1</v>
      </c>
      <c r="H289" s="5">
        <v>12.55</v>
      </c>
      <c r="I289" s="5">
        <v>13.08183812546868</v>
      </c>
      <c r="J289" s="6">
        <v>0</v>
      </c>
      <c r="K289" s="5">
        <v>0</v>
      </c>
      <c r="L289" s="6">
        <v>0</v>
      </c>
      <c r="M289" s="5">
        <v>0</v>
      </c>
      <c r="N289" s="6">
        <v>0</v>
      </c>
      <c r="O289" s="5">
        <v>0</v>
      </c>
      <c r="P289" s="6">
        <v>391.73732698051242</v>
      </c>
      <c r="Q289" s="5">
        <v>4916.3034536054311</v>
      </c>
      <c r="R289" s="6">
        <v>0</v>
      </c>
      <c r="S289" s="5">
        <v>0</v>
      </c>
      <c r="T289" s="6">
        <v>0</v>
      </c>
      <c r="U289" s="5">
        <v>0</v>
      </c>
      <c r="V289" s="6">
        <v>0</v>
      </c>
      <c r="W289" s="5">
        <v>0</v>
      </c>
      <c r="X289" s="6">
        <v>0</v>
      </c>
      <c r="Y289" s="5">
        <v>0</v>
      </c>
      <c r="Z289" s="6">
        <v>0</v>
      </c>
      <c r="AA289" s="5">
        <v>0</v>
      </c>
      <c r="AB289" s="6">
        <v>0</v>
      </c>
      <c r="AC289" s="5">
        <v>0</v>
      </c>
      <c r="AD289" s="6">
        <v>0</v>
      </c>
      <c r="AE289" s="5">
        <v>0</v>
      </c>
      <c r="AF289" s="6">
        <v>0</v>
      </c>
      <c r="AG289" s="5">
        <v>0</v>
      </c>
      <c r="AH289" s="7">
        <f t="shared" si="32"/>
        <v>391.73732698051242</v>
      </c>
      <c r="AI289" s="8">
        <f t="shared" si="33"/>
        <v>4916.3034536054311</v>
      </c>
      <c r="AJ289" s="6">
        <v>0</v>
      </c>
      <c r="AK289" s="5">
        <v>0</v>
      </c>
      <c r="AL289" s="6">
        <v>0</v>
      </c>
      <c r="AM289" s="5">
        <v>0</v>
      </c>
      <c r="AN289" s="6">
        <v>0</v>
      </c>
      <c r="AO289" s="5">
        <v>0</v>
      </c>
      <c r="AP289" s="6">
        <v>541</v>
      </c>
      <c r="AQ289" s="5">
        <v>7077.2744258785578</v>
      </c>
      <c r="AR289" s="6">
        <v>0</v>
      </c>
      <c r="AS289" s="5">
        <v>0</v>
      </c>
      <c r="AT289" s="6">
        <v>0</v>
      </c>
      <c r="AU289" s="5">
        <v>0</v>
      </c>
      <c r="AV289" s="6">
        <v>0</v>
      </c>
      <c r="AW289" s="5">
        <v>0</v>
      </c>
      <c r="AX289" s="6">
        <v>0</v>
      </c>
      <c r="AY289" s="5">
        <v>0</v>
      </c>
      <c r="AZ289" s="6">
        <v>0</v>
      </c>
      <c r="BA289" s="5">
        <v>0</v>
      </c>
      <c r="BB289" s="6">
        <v>0</v>
      </c>
      <c r="BC289" s="5">
        <v>0</v>
      </c>
      <c r="BD289" s="6">
        <v>0</v>
      </c>
      <c r="BE289" s="5">
        <v>0</v>
      </c>
      <c r="BF289" s="6">
        <v>0</v>
      </c>
      <c r="BG289" s="5">
        <v>0</v>
      </c>
      <c r="BH289" s="9">
        <f t="shared" si="34"/>
        <v>541</v>
      </c>
      <c r="BI289" s="10">
        <f t="shared" si="35"/>
        <v>7077.2744258785578</v>
      </c>
      <c r="BJ289" s="6">
        <f t="shared" si="36"/>
        <v>149.26267301948758</v>
      </c>
      <c r="BK289" s="11">
        <f t="shared" si="37"/>
        <v>0.3810274455334528</v>
      </c>
      <c r="BL289" s="5">
        <f t="shared" si="38"/>
        <v>2160.9709722731268</v>
      </c>
      <c r="BM289" s="11">
        <f t="shared" si="39"/>
        <v>0.43955199117913529</v>
      </c>
    </row>
    <row r="290" spans="1:65" ht="15" customHeight="1" x14ac:dyDescent="0.4">
      <c r="A290" s="2" t="s">
        <v>269</v>
      </c>
      <c r="B290" s="2" t="s">
        <v>270</v>
      </c>
      <c r="C290" s="2" t="s">
        <v>271</v>
      </c>
      <c r="D290" s="3" t="s">
        <v>272</v>
      </c>
      <c r="E290" s="3" t="s">
        <v>278</v>
      </c>
      <c r="F290" s="2" t="s">
        <v>279</v>
      </c>
      <c r="G290" s="4">
        <v>5</v>
      </c>
      <c r="H290" s="5">
        <v>3.87</v>
      </c>
      <c r="I290" s="5">
        <v>4.0356615037275976</v>
      </c>
      <c r="J290" s="6">
        <v>0</v>
      </c>
      <c r="K290" s="5">
        <v>0</v>
      </c>
      <c r="L290" s="6">
        <v>0</v>
      </c>
      <c r="M290" s="5">
        <v>0</v>
      </c>
      <c r="N290" s="6">
        <v>0</v>
      </c>
      <c r="O290" s="5">
        <v>0</v>
      </c>
      <c r="P290" s="6">
        <v>19290.095646767659</v>
      </c>
      <c r="Q290" s="5">
        <v>74652.670152990831</v>
      </c>
      <c r="R290" s="6">
        <v>0</v>
      </c>
      <c r="S290" s="5">
        <v>0</v>
      </c>
      <c r="T290" s="6">
        <v>0</v>
      </c>
      <c r="U290" s="5">
        <v>0</v>
      </c>
      <c r="V290" s="6">
        <v>0</v>
      </c>
      <c r="W290" s="5">
        <v>0</v>
      </c>
      <c r="X290" s="6">
        <v>0</v>
      </c>
      <c r="Y290" s="5">
        <v>0</v>
      </c>
      <c r="Z290" s="6">
        <v>0</v>
      </c>
      <c r="AA290" s="5">
        <v>0</v>
      </c>
      <c r="AB290" s="6">
        <v>0</v>
      </c>
      <c r="AC290" s="5">
        <v>0</v>
      </c>
      <c r="AD290" s="6">
        <v>0</v>
      </c>
      <c r="AE290" s="5">
        <v>0</v>
      </c>
      <c r="AF290" s="6">
        <v>0</v>
      </c>
      <c r="AG290" s="5">
        <v>0</v>
      </c>
      <c r="AH290" s="7">
        <f t="shared" si="32"/>
        <v>19290.095646767659</v>
      </c>
      <c r="AI290" s="8">
        <f t="shared" si="33"/>
        <v>74652.670152990831</v>
      </c>
      <c r="AJ290" s="6">
        <v>0</v>
      </c>
      <c r="AK290" s="5">
        <v>0</v>
      </c>
      <c r="AL290" s="6">
        <v>0</v>
      </c>
      <c r="AM290" s="5">
        <v>0</v>
      </c>
      <c r="AN290" s="6">
        <v>0</v>
      </c>
      <c r="AO290" s="5">
        <v>0</v>
      </c>
      <c r="AP290" s="6">
        <v>24295</v>
      </c>
      <c r="AQ290" s="5">
        <v>98046.396233061998</v>
      </c>
      <c r="AR290" s="6">
        <v>0</v>
      </c>
      <c r="AS290" s="5">
        <v>0</v>
      </c>
      <c r="AT290" s="6">
        <v>0</v>
      </c>
      <c r="AU290" s="5">
        <v>0</v>
      </c>
      <c r="AV290" s="6">
        <v>0</v>
      </c>
      <c r="AW290" s="5">
        <v>0</v>
      </c>
      <c r="AX290" s="6">
        <v>0</v>
      </c>
      <c r="AY290" s="5">
        <v>0</v>
      </c>
      <c r="AZ290" s="6">
        <v>0</v>
      </c>
      <c r="BA290" s="5">
        <v>0</v>
      </c>
      <c r="BB290" s="6">
        <v>0</v>
      </c>
      <c r="BC290" s="5">
        <v>0</v>
      </c>
      <c r="BD290" s="6">
        <v>0</v>
      </c>
      <c r="BE290" s="5">
        <v>0</v>
      </c>
      <c r="BF290" s="6">
        <v>0</v>
      </c>
      <c r="BG290" s="5">
        <v>0</v>
      </c>
      <c r="BH290" s="9">
        <f t="shared" si="34"/>
        <v>24295</v>
      </c>
      <c r="BI290" s="10">
        <f t="shared" si="35"/>
        <v>98046.396233061998</v>
      </c>
      <c r="BJ290" s="6">
        <f t="shared" si="36"/>
        <v>5004.9043532323412</v>
      </c>
      <c r="BK290" s="11">
        <f t="shared" si="37"/>
        <v>0.25945461571990636</v>
      </c>
      <c r="BL290" s="5">
        <f t="shared" si="38"/>
        <v>23393.726080071167</v>
      </c>
      <c r="BM290" s="11">
        <f t="shared" si="39"/>
        <v>0.31336757321779385</v>
      </c>
    </row>
    <row r="291" spans="1:65" ht="15" customHeight="1" x14ac:dyDescent="0.4">
      <c r="A291" s="2" t="s">
        <v>269</v>
      </c>
      <c r="B291" s="2" t="s">
        <v>280</v>
      </c>
      <c r="C291" s="2" t="s">
        <v>281</v>
      </c>
      <c r="D291" s="3" t="s">
        <v>68</v>
      </c>
      <c r="E291" s="3" t="s">
        <v>282</v>
      </c>
      <c r="F291" s="2" t="s">
        <v>283</v>
      </c>
      <c r="G291" s="4">
        <v>1</v>
      </c>
      <c r="H291" s="5">
        <v>5.57</v>
      </c>
      <c r="I291" s="5">
        <v>5.8076472195567046</v>
      </c>
      <c r="J291" s="6">
        <v>0</v>
      </c>
      <c r="K291" s="5">
        <v>0</v>
      </c>
      <c r="L291" s="6">
        <v>0</v>
      </c>
      <c r="M291" s="5">
        <v>0</v>
      </c>
      <c r="N291" s="6">
        <v>0</v>
      </c>
      <c r="O291" s="5">
        <v>0</v>
      </c>
      <c r="P291" s="6">
        <v>0</v>
      </c>
      <c r="Q291" s="5">
        <v>0</v>
      </c>
      <c r="R291" s="6">
        <v>3133.8986158440989</v>
      </c>
      <c r="S291" s="5">
        <v>17455.81529025163</v>
      </c>
      <c r="T291" s="6">
        <v>0</v>
      </c>
      <c r="U291" s="5">
        <v>0</v>
      </c>
      <c r="V291" s="6">
        <v>0</v>
      </c>
      <c r="W291" s="5">
        <v>0</v>
      </c>
      <c r="X291" s="6">
        <v>0</v>
      </c>
      <c r="Y291" s="5">
        <v>0</v>
      </c>
      <c r="Z291" s="6">
        <v>0</v>
      </c>
      <c r="AA291" s="5">
        <v>0</v>
      </c>
      <c r="AB291" s="6">
        <v>0</v>
      </c>
      <c r="AC291" s="5">
        <v>0</v>
      </c>
      <c r="AD291" s="6">
        <v>0</v>
      </c>
      <c r="AE291" s="5">
        <v>0</v>
      </c>
      <c r="AF291" s="6">
        <v>0</v>
      </c>
      <c r="AG291" s="5">
        <v>0</v>
      </c>
      <c r="AH291" s="7">
        <f t="shared" si="32"/>
        <v>3133.8986158440989</v>
      </c>
      <c r="AI291" s="8">
        <f t="shared" si="33"/>
        <v>17455.81529025163</v>
      </c>
      <c r="AJ291" s="6">
        <v>0</v>
      </c>
      <c r="AK291" s="5">
        <v>0</v>
      </c>
      <c r="AL291" s="6">
        <v>0</v>
      </c>
      <c r="AM291" s="5">
        <v>0</v>
      </c>
      <c r="AN291" s="6">
        <v>0</v>
      </c>
      <c r="AO291" s="5">
        <v>0</v>
      </c>
      <c r="AP291" s="6">
        <v>0</v>
      </c>
      <c r="AQ291" s="5">
        <v>0</v>
      </c>
      <c r="AR291" s="6">
        <v>3619</v>
      </c>
      <c r="AS291" s="5">
        <v>21017.875287575709</v>
      </c>
      <c r="AT291" s="6">
        <v>0</v>
      </c>
      <c r="AU291" s="5">
        <v>0</v>
      </c>
      <c r="AV291" s="6">
        <v>0</v>
      </c>
      <c r="AW291" s="5">
        <v>0</v>
      </c>
      <c r="AX291" s="6">
        <v>0</v>
      </c>
      <c r="AY291" s="5">
        <v>0</v>
      </c>
      <c r="AZ291" s="6">
        <v>0</v>
      </c>
      <c r="BA291" s="5">
        <v>0</v>
      </c>
      <c r="BB291" s="6">
        <v>0</v>
      </c>
      <c r="BC291" s="5">
        <v>0</v>
      </c>
      <c r="BD291" s="6">
        <v>0</v>
      </c>
      <c r="BE291" s="5">
        <v>0</v>
      </c>
      <c r="BF291" s="6">
        <v>0</v>
      </c>
      <c r="BG291" s="5">
        <v>0</v>
      </c>
      <c r="BH291" s="9">
        <f t="shared" si="34"/>
        <v>3619</v>
      </c>
      <c r="BI291" s="10">
        <f t="shared" si="35"/>
        <v>21017.875287575709</v>
      </c>
      <c r="BJ291" s="6">
        <f t="shared" si="36"/>
        <v>485.10138415590109</v>
      </c>
      <c r="BK291" s="11">
        <f t="shared" si="37"/>
        <v>0.15479166483030646</v>
      </c>
      <c r="BL291" s="5">
        <f t="shared" si="38"/>
        <v>3562.0599973240787</v>
      </c>
      <c r="BM291" s="11">
        <f t="shared" si="39"/>
        <v>0.20406150833374972</v>
      </c>
    </row>
    <row r="292" spans="1:65" ht="15" customHeight="1" x14ac:dyDescent="0.4">
      <c r="A292" s="2" t="s">
        <v>269</v>
      </c>
      <c r="B292" s="2" t="s">
        <v>280</v>
      </c>
      <c r="C292" s="2" t="s">
        <v>281</v>
      </c>
      <c r="D292" s="3" t="s">
        <v>68</v>
      </c>
      <c r="E292" s="3" t="s">
        <v>282</v>
      </c>
      <c r="F292" s="2" t="s">
        <v>284</v>
      </c>
      <c r="G292" s="4">
        <v>1</v>
      </c>
      <c r="H292" s="5">
        <v>5.57</v>
      </c>
      <c r="I292" s="5">
        <v>5.8071035553039794</v>
      </c>
      <c r="J292" s="6">
        <v>0</v>
      </c>
      <c r="K292" s="5">
        <v>0</v>
      </c>
      <c r="L292" s="6">
        <v>0</v>
      </c>
      <c r="M292" s="5">
        <v>0</v>
      </c>
      <c r="N292" s="6">
        <v>0</v>
      </c>
      <c r="O292" s="5">
        <v>0</v>
      </c>
      <c r="P292" s="6">
        <v>0</v>
      </c>
      <c r="Q292" s="5">
        <v>0</v>
      </c>
      <c r="R292" s="6">
        <v>0</v>
      </c>
      <c r="S292" s="5">
        <v>0</v>
      </c>
      <c r="T292" s="6">
        <v>0</v>
      </c>
      <c r="U292" s="5">
        <v>0</v>
      </c>
      <c r="V292" s="6">
        <v>0</v>
      </c>
      <c r="W292" s="5">
        <v>0</v>
      </c>
      <c r="X292" s="6">
        <v>0</v>
      </c>
      <c r="Y292" s="5">
        <v>0</v>
      </c>
      <c r="Z292" s="6">
        <v>0</v>
      </c>
      <c r="AA292" s="5">
        <v>0</v>
      </c>
      <c r="AB292" s="6">
        <v>0</v>
      </c>
      <c r="AC292" s="5">
        <v>0</v>
      </c>
      <c r="AD292" s="6">
        <v>0</v>
      </c>
      <c r="AE292" s="5">
        <v>0</v>
      </c>
      <c r="AF292" s="6">
        <v>4739.9806964919462</v>
      </c>
      <c r="AG292" s="5">
        <v>26401.69247946014</v>
      </c>
      <c r="AH292" s="7">
        <f t="shared" si="32"/>
        <v>4739.9806964919462</v>
      </c>
      <c r="AI292" s="8">
        <f t="shared" si="33"/>
        <v>26401.69247946014</v>
      </c>
      <c r="AJ292" s="6">
        <v>0</v>
      </c>
      <c r="AK292" s="5">
        <v>0</v>
      </c>
      <c r="AL292" s="6">
        <v>0</v>
      </c>
      <c r="AM292" s="5">
        <v>0</v>
      </c>
      <c r="AN292" s="6">
        <v>0</v>
      </c>
      <c r="AO292" s="5">
        <v>0</v>
      </c>
      <c r="AP292" s="6">
        <v>0</v>
      </c>
      <c r="AQ292" s="5">
        <v>0</v>
      </c>
      <c r="AR292" s="6">
        <v>0</v>
      </c>
      <c r="AS292" s="5">
        <v>0</v>
      </c>
      <c r="AT292" s="6">
        <v>0</v>
      </c>
      <c r="AU292" s="5">
        <v>0</v>
      </c>
      <c r="AV292" s="6">
        <v>0</v>
      </c>
      <c r="AW292" s="5">
        <v>0</v>
      </c>
      <c r="AX292" s="6">
        <v>0</v>
      </c>
      <c r="AY292" s="5">
        <v>0</v>
      </c>
      <c r="AZ292" s="6">
        <v>0</v>
      </c>
      <c r="BA292" s="5">
        <v>0</v>
      </c>
      <c r="BB292" s="6">
        <v>0</v>
      </c>
      <c r="BC292" s="5">
        <v>0</v>
      </c>
      <c r="BD292" s="6">
        <v>0</v>
      </c>
      <c r="BE292" s="5">
        <v>0</v>
      </c>
      <c r="BF292" s="6">
        <v>5474</v>
      </c>
      <c r="BG292" s="5">
        <v>31788.08486173398</v>
      </c>
      <c r="BH292" s="9">
        <f t="shared" si="34"/>
        <v>5474</v>
      </c>
      <c r="BI292" s="10">
        <f t="shared" si="35"/>
        <v>31788.08486173398</v>
      </c>
      <c r="BJ292" s="6">
        <f t="shared" si="36"/>
        <v>734.01930350805378</v>
      </c>
      <c r="BK292" s="11">
        <f t="shared" si="37"/>
        <v>0.154857023795751</v>
      </c>
      <c r="BL292" s="5">
        <f t="shared" si="38"/>
        <v>5386.3923822738398</v>
      </c>
      <c r="BM292" s="11">
        <f t="shared" si="39"/>
        <v>0.20401693514399954</v>
      </c>
    </row>
    <row r="293" spans="1:65" ht="15" customHeight="1" x14ac:dyDescent="0.4">
      <c r="A293" s="2" t="s">
        <v>269</v>
      </c>
      <c r="B293" s="2" t="s">
        <v>280</v>
      </c>
      <c r="C293" s="2" t="s">
        <v>281</v>
      </c>
      <c r="D293" s="3" t="s">
        <v>68</v>
      </c>
      <c r="E293" s="3" t="s">
        <v>285</v>
      </c>
      <c r="F293" s="2" t="s">
        <v>286</v>
      </c>
      <c r="G293" s="4">
        <v>5</v>
      </c>
      <c r="H293" s="5">
        <v>3.16</v>
      </c>
      <c r="I293" s="5">
        <v>3.293913026014426</v>
      </c>
      <c r="J293" s="6">
        <v>4748.3312361274238</v>
      </c>
      <c r="K293" s="5">
        <v>15004.726706162661</v>
      </c>
      <c r="L293" s="6">
        <v>0</v>
      </c>
      <c r="M293" s="5">
        <v>0</v>
      </c>
      <c r="N293" s="6">
        <v>0</v>
      </c>
      <c r="O293" s="5">
        <v>0</v>
      </c>
      <c r="P293" s="6">
        <v>0</v>
      </c>
      <c r="Q293" s="5">
        <v>0</v>
      </c>
      <c r="R293" s="6">
        <v>0</v>
      </c>
      <c r="S293" s="5">
        <v>0</v>
      </c>
      <c r="T293" s="6">
        <v>0</v>
      </c>
      <c r="U293" s="5">
        <v>0</v>
      </c>
      <c r="V293" s="6">
        <v>0</v>
      </c>
      <c r="W293" s="5">
        <v>0</v>
      </c>
      <c r="X293" s="6">
        <v>0</v>
      </c>
      <c r="Y293" s="5">
        <v>0</v>
      </c>
      <c r="Z293" s="6">
        <v>0</v>
      </c>
      <c r="AA293" s="5">
        <v>0</v>
      </c>
      <c r="AB293" s="6">
        <v>0</v>
      </c>
      <c r="AC293" s="5">
        <v>0</v>
      </c>
      <c r="AD293" s="6">
        <v>0</v>
      </c>
      <c r="AE293" s="5">
        <v>0</v>
      </c>
      <c r="AF293" s="6">
        <v>0</v>
      </c>
      <c r="AG293" s="5">
        <v>0</v>
      </c>
      <c r="AH293" s="7">
        <f t="shared" si="32"/>
        <v>4748.3312361274238</v>
      </c>
      <c r="AI293" s="8">
        <f t="shared" si="33"/>
        <v>15004.726706162661</v>
      </c>
      <c r="AJ293" s="6">
        <v>5235</v>
      </c>
      <c r="AK293" s="5">
        <v>17243.634691185522</v>
      </c>
      <c r="AL293" s="6">
        <v>0</v>
      </c>
      <c r="AM293" s="5">
        <v>0</v>
      </c>
      <c r="AN293" s="6">
        <v>0</v>
      </c>
      <c r="AO293" s="5">
        <v>0</v>
      </c>
      <c r="AP293" s="6">
        <v>0</v>
      </c>
      <c r="AQ293" s="5">
        <v>0</v>
      </c>
      <c r="AR293" s="6">
        <v>0</v>
      </c>
      <c r="AS293" s="5">
        <v>0</v>
      </c>
      <c r="AT293" s="6">
        <v>0</v>
      </c>
      <c r="AU293" s="5">
        <v>0</v>
      </c>
      <c r="AV293" s="6">
        <v>0</v>
      </c>
      <c r="AW293" s="5">
        <v>0</v>
      </c>
      <c r="AX293" s="6">
        <v>0</v>
      </c>
      <c r="AY293" s="5">
        <v>0</v>
      </c>
      <c r="AZ293" s="6">
        <v>0</v>
      </c>
      <c r="BA293" s="5">
        <v>0</v>
      </c>
      <c r="BB293" s="6">
        <v>0</v>
      </c>
      <c r="BC293" s="5">
        <v>0</v>
      </c>
      <c r="BD293" s="6">
        <v>0</v>
      </c>
      <c r="BE293" s="5">
        <v>0</v>
      </c>
      <c r="BF293" s="6">
        <v>0</v>
      </c>
      <c r="BG293" s="5">
        <v>0</v>
      </c>
      <c r="BH293" s="9">
        <f t="shared" si="34"/>
        <v>5235</v>
      </c>
      <c r="BI293" s="10">
        <f t="shared" si="35"/>
        <v>17243.634691185522</v>
      </c>
      <c r="BJ293" s="6">
        <f t="shared" si="36"/>
        <v>486.66876387257616</v>
      </c>
      <c r="BK293" s="11">
        <f t="shared" si="37"/>
        <v>0.1024925894322163</v>
      </c>
      <c r="BL293" s="5">
        <f t="shared" si="38"/>
        <v>2238.9079850228609</v>
      </c>
      <c r="BM293" s="11">
        <f t="shared" si="39"/>
        <v>0.14921351310606068</v>
      </c>
    </row>
    <row r="294" spans="1:65" ht="15" customHeight="1" x14ac:dyDescent="0.4">
      <c r="A294" s="2" t="s">
        <v>269</v>
      </c>
      <c r="B294" s="2" t="s">
        <v>280</v>
      </c>
      <c r="C294" s="2" t="s">
        <v>281</v>
      </c>
      <c r="D294" s="3" t="s">
        <v>68</v>
      </c>
      <c r="E294" s="3" t="s">
        <v>287</v>
      </c>
      <c r="F294" s="2" t="s">
        <v>288</v>
      </c>
      <c r="G294" s="4">
        <v>5</v>
      </c>
      <c r="H294" s="5">
        <v>3.29</v>
      </c>
      <c r="I294" s="5">
        <v>3.4303581477150962</v>
      </c>
      <c r="J294" s="6">
        <v>16619.159326445981</v>
      </c>
      <c r="K294" s="5">
        <v>54677.03418400728</v>
      </c>
      <c r="L294" s="6">
        <v>16619.159326445981</v>
      </c>
      <c r="M294" s="5">
        <v>54677.03418400728</v>
      </c>
      <c r="N294" s="6">
        <v>0</v>
      </c>
      <c r="O294" s="5">
        <v>0</v>
      </c>
      <c r="P294" s="6">
        <v>0</v>
      </c>
      <c r="Q294" s="5">
        <v>0</v>
      </c>
      <c r="R294" s="6">
        <v>0</v>
      </c>
      <c r="S294" s="5">
        <v>0</v>
      </c>
      <c r="T294" s="6">
        <v>33238.318652891961</v>
      </c>
      <c r="U294" s="5">
        <v>109354.0683680146</v>
      </c>
      <c r="V294" s="6">
        <v>0</v>
      </c>
      <c r="W294" s="5">
        <v>0</v>
      </c>
      <c r="X294" s="6">
        <v>0</v>
      </c>
      <c r="Y294" s="5">
        <v>0</v>
      </c>
      <c r="Z294" s="6">
        <v>0</v>
      </c>
      <c r="AA294" s="5">
        <v>0</v>
      </c>
      <c r="AB294" s="6">
        <v>0</v>
      </c>
      <c r="AC294" s="5">
        <v>0</v>
      </c>
      <c r="AD294" s="6">
        <v>0</v>
      </c>
      <c r="AE294" s="5">
        <v>0</v>
      </c>
      <c r="AF294" s="6">
        <v>0</v>
      </c>
      <c r="AG294" s="5">
        <v>0</v>
      </c>
      <c r="AH294" s="7">
        <f t="shared" si="32"/>
        <v>66476.637305783923</v>
      </c>
      <c r="AI294" s="8">
        <f t="shared" si="33"/>
        <v>218708.13673602918</v>
      </c>
      <c r="AJ294" s="6">
        <v>18320</v>
      </c>
      <c r="AK294" s="5">
        <v>62844.160096088657</v>
      </c>
      <c r="AL294" s="6">
        <v>18320</v>
      </c>
      <c r="AM294" s="5">
        <v>62844.160096088657</v>
      </c>
      <c r="AN294" s="6">
        <v>0</v>
      </c>
      <c r="AO294" s="5">
        <v>0</v>
      </c>
      <c r="AP294" s="6">
        <v>0</v>
      </c>
      <c r="AQ294" s="5">
        <v>0</v>
      </c>
      <c r="AR294" s="6">
        <v>0</v>
      </c>
      <c r="AS294" s="5">
        <v>0</v>
      </c>
      <c r="AT294" s="6">
        <v>36635</v>
      </c>
      <c r="AU294" s="5">
        <v>125671.1730816463</v>
      </c>
      <c r="AV294" s="6">
        <v>0</v>
      </c>
      <c r="AW294" s="5">
        <v>0</v>
      </c>
      <c r="AX294" s="6">
        <v>0</v>
      </c>
      <c r="AY294" s="5">
        <v>0</v>
      </c>
      <c r="AZ294" s="6">
        <v>0</v>
      </c>
      <c r="BA294" s="5">
        <v>0</v>
      </c>
      <c r="BB294" s="6">
        <v>0</v>
      </c>
      <c r="BC294" s="5">
        <v>0</v>
      </c>
      <c r="BD294" s="6">
        <v>0</v>
      </c>
      <c r="BE294" s="5">
        <v>0</v>
      </c>
      <c r="BF294" s="6">
        <v>0</v>
      </c>
      <c r="BG294" s="5">
        <v>0</v>
      </c>
      <c r="BH294" s="9">
        <f t="shared" si="34"/>
        <v>73275</v>
      </c>
      <c r="BI294" s="10">
        <f t="shared" si="35"/>
        <v>251359.49327382361</v>
      </c>
      <c r="BJ294" s="6">
        <f t="shared" si="36"/>
        <v>6798.3626942160772</v>
      </c>
      <c r="BK294" s="11">
        <f t="shared" si="37"/>
        <v>0.10226694624977027</v>
      </c>
      <c r="BL294" s="5">
        <f t="shared" si="38"/>
        <v>32651.356537794432</v>
      </c>
      <c r="BM294" s="11">
        <f t="shared" si="39"/>
        <v>0.14929191490119612</v>
      </c>
    </row>
    <row r="295" spans="1:65" ht="15" customHeight="1" x14ac:dyDescent="0.4">
      <c r="A295" s="2" t="s">
        <v>269</v>
      </c>
      <c r="B295" s="2" t="s">
        <v>280</v>
      </c>
      <c r="C295" s="2" t="s">
        <v>281</v>
      </c>
      <c r="D295" s="3" t="s">
        <v>68</v>
      </c>
      <c r="E295" s="3" t="s">
        <v>289</v>
      </c>
      <c r="F295" s="2" t="s">
        <v>290</v>
      </c>
      <c r="G295" s="4">
        <v>1</v>
      </c>
      <c r="H295" s="5">
        <v>6.14</v>
      </c>
      <c r="I295" s="5">
        <v>6.4018899262266658</v>
      </c>
      <c r="J295" s="6">
        <v>0</v>
      </c>
      <c r="K295" s="5">
        <v>0</v>
      </c>
      <c r="L295" s="6">
        <v>0</v>
      </c>
      <c r="M295" s="5">
        <v>0</v>
      </c>
      <c r="N295" s="6">
        <v>0</v>
      </c>
      <c r="O295" s="5">
        <v>0</v>
      </c>
      <c r="P295" s="6">
        <v>0</v>
      </c>
      <c r="Q295" s="5">
        <v>0</v>
      </c>
      <c r="R295" s="6">
        <v>0</v>
      </c>
      <c r="S295" s="5">
        <v>0</v>
      </c>
      <c r="T295" s="6">
        <v>0</v>
      </c>
      <c r="U295" s="5">
        <v>0</v>
      </c>
      <c r="V295" s="6">
        <v>3133.8986158440989</v>
      </c>
      <c r="W295" s="5">
        <v>19242.13750128277</v>
      </c>
      <c r="X295" s="6">
        <v>0</v>
      </c>
      <c r="Y295" s="5">
        <v>0</v>
      </c>
      <c r="Z295" s="6">
        <v>0</v>
      </c>
      <c r="AA295" s="5">
        <v>0</v>
      </c>
      <c r="AB295" s="6">
        <v>0</v>
      </c>
      <c r="AC295" s="5">
        <v>0</v>
      </c>
      <c r="AD295" s="6">
        <v>0</v>
      </c>
      <c r="AE295" s="5">
        <v>0</v>
      </c>
      <c r="AF295" s="6">
        <v>0</v>
      </c>
      <c r="AG295" s="5">
        <v>0</v>
      </c>
      <c r="AH295" s="7">
        <f t="shared" si="32"/>
        <v>3133.8986158440989</v>
      </c>
      <c r="AI295" s="8">
        <f t="shared" si="33"/>
        <v>19242.13750128277</v>
      </c>
      <c r="AJ295" s="6">
        <v>0</v>
      </c>
      <c r="AK295" s="5">
        <v>0</v>
      </c>
      <c r="AL295" s="6">
        <v>0</v>
      </c>
      <c r="AM295" s="5">
        <v>0</v>
      </c>
      <c r="AN295" s="6">
        <v>0</v>
      </c>
      <c r="AO295" s="5">
        <v>0</v>
      </c>
      <c r="AP295" s="6">
        <v>0</v>
      </c>
      <c r="AQ295" s="5">
        <v>0</v>
      </c>
      <c r="AR295" s="6">
        <v>0</v>
      </c>
      <c r="AS295" s="5">
        <v>0</v>
      </c>
      <c r="AT295" s="6">
        <v>0</v>
      </c>
      <c r="AU295" s="5">
        <v>0</v>
      </c>
      <c r="AV295" s="6">
        <v>3783</v>
      </c>
      <c r="AW295" s="5">
        <v>24218.349590915481</v>
      </c>
      <c r="AX295" s="6">
        <v>0</v>
      </c>
      <c r="AY295" s="5">
        <v>0</v>
      </c>
      <c r="AZ295" s="6">
        <v>0</v>
      </c>
      <c r="BA295" s="5">
        <v>0</v>
      </c>
      <c r="BB295" s="6">
        <v>0</v>
      </c>
      <c r="BC295" s="5">
        <v>0</v>
      </c>
      <c r="BD295" s="6">
        <v>0</v>
      </c>
      <c r="BE295" s="5">
        <v>0</v>
      </c>
      <c r="BF295" s="6">
        <v>0</v>
      </c>
      <c r="BG295" s="5">
        <v>0</v>
      </c>
      <c r="BH295" s="9">
        <f t="shared" si="34"/>
        <v>3783</v>
      </c>
      <c r="BI295" s="10">
        <f t="shared" si="35"/>
        <v>24218.349590915481</v>
      </c>
      <c r="BJ295" s="6">
        <f t="shared" si="36"/>
        <v>649.10138415590109</v>
      </c>
      <c r="BK295" s="11">
        <f t="shared" si="37"/>
        <v>0.20712264936530791</v>
      </c>
      <c r="BL295" s="5">
        <f t="shared" si="38"/>
        <v>4976.2120896327106</v>
      </c>
      <c r="BM295" s="11">
        <f t="shared" si="39"/>
        <v>0.25861015125273756</v>
      </c>
    </row>
    <row r="296" spans="1:65" ht="15" customHeight="1" x14ac:dyDescent="0.4">
      <c r="A296" s="2" t="s">
        <v>269</v>
      </c>
      <c r="B296" s="2" t="s">
        <v>280</v>
      </c>
      <c r="C296" s="2" t="s">
        <v>281</v>
      </c>
      <c r="D296" s="3" t="s">
        <v>68</v>
      </c>
      <c r="E296" s="3" t="s">
        <v>289</v>
      </c>
      <c r="F296" s="2" t="s">
        <v>291</v>
      </c>
      <c r="G296" s="4">
        <v>1</v>
      </c>
      <c r="H296" s="5">
        <v>6.1400000000000006</v>
      </c>
      <c r="I296" s="5">
        <v>6.4020624112198368</v>
      </c>
      <c r="J296" s="6">
        <v>0</v>
      </c>
      <c r="K296" s="5">
        <v>0</v>
      </c>
      <c r="L296" s="6">
        <v>0</v>
      </c>
      <c r="M296" s="5">
        <v>0</v>
      </c>
      <c r="N296" s="6">
        <v>0</v>
      </c>
      <c r="O296" s="5">
        <v>0</v>
      </c>
      <c r="P296" s="6">
        <v>0</v>
      </c>
      <c r="Q296" s="5">
        <v>0</v>
      </c>
      <c r="R296" s="6">
        <v>0</v>
      </c>
      <c r="S296" s="5">
        <v>0</v>
      </c>
      <c r="T296" s="6">
        <v>0</v>
      </c>
      <c r="U296" s="5">
        <v>0</v>
      </c>
      <c r="V296" s="6">
        <v>0</v>
      </c>
      <c r="W296" s="5">
        <v>0</v>
      </c>
      <c r="X296" s="6">
        <v>0</v>
      </c>
      <c r="Y296" s="5">
        <v>0</v>
      </c>
      <c r="Z296" s="6">
        <v>0</v>
      </c>
      <c r="AA296" s="5">
        <v>0</v>
      </c>
      <c r="AB296" s="6">
        <v>2843.9884178951679</v>
      </c>
      <c r="AC296" s="5">
        <v>17462.088885876328</v>
      </c>
      <c r="AD296" s="6">
        <v>0</v>
      </c>
      <c r="AE296" s="5">
        <v>0</v>
      </c>
      <c r="AF296" s="6">
        <v>0</v>
      </c>
      <c r="AG296" s="5">
        <v>0</v>
      </c>
      <c r="AH296" s="7">
        <f t="shared" si="32"/>
        <v>2843.9884178951679</v>
      </c>
      <c r="AI296" s="8">
        <f t="shared" si="33"/>
        <v>17462.088885876328</v>
      </c>
      <c r="AJ296" s="6">
        <v>0</v>
      </c>
      <c r="AK296" s="5">
        <v>0</v>
      </c>
      <c r="AL296" s="6">
        <v>0</v>
      </c>
      <c r="AM296" s="5">
        <v>0</v>
      </c>
      <c r="AN296" s="6">
        <v>0</v>
      </c>
      <c r="AO296" s="5">
        <v>0</v>
      </c>
      <c r="AP296" s="6">
        <v>0</v>
      </c>
      <c r="AQ296" s="5">
        <v>0</v>
      </c>
      <c r="AR296" s="6">
        <v>0</v>
      </c>
      <c r="AS296" s="5">
        <v>0</v>
      </c>
      <c r="AT296" s="6">
        <v>0</v>
      </c>
      <c r="AU296" s="5">
        <v>0</v>
      </c>
      <c r="AV296" s="6">
        <v>0</v>
      </c>
      <c r="AW296" s="5">
        <v>0</v>
      </c>
      <c r="AX296" s="6">
        <v>0</v>
      </c>
      <c r="AY296" s="5">
        <v>0</v>
      </c>
      <c r="AZ296" s="6">
        <v>0</v>
      </c>
      <c r="BA296" s="5">
        <v>0</v>
      </c>
      <c r="BB296" s="6">
        <v>3433</v>
      </c>
      <c r="BC296" s="5">
        <v>21978.280257717699</v>
      </c>
      <c r="BD296" s="6">
        <v>0</v>
      </c>
      <c r="BE296" s="5">
        <v>0</v>
      </c>
      <c r="BF296" s="6">
        <v>0</v>
      </c>
      <c r="BG296" s="5">
        <v>0</v>
      </c>
      <c r="BH296" s="9">
        <f t="shared" si="34"/>
        <v>3433</v>
      </c>
      <c r="BI296" s="10">
        <f t="shared" si="35"/>
        <v>21978.280257717699</v>
      </c>
      <c r="BJ296" s="6">
        <f t="shared" si="36"/>
        <v>589.01158210483209</v>
      </c>
      <c r="BK296" s="11">
        <f t="shared" si="37"/>
        <v>0.20710758820205</v>
      </c>
      <c r="BL296" s="5">
        <f t="shared" si="38"/>
        <v>4516.1913718413707</v>
      </c>
      <c r="BM296" s="11">
        <f t="shared" si="39"/>
        <v>0.25862835777305843</v>
      </c>
    </row>
    <row r="297" spans="1:65" ht="15" customHeight="1" x14ac:dyDescent="0.4">
      <c r="A297" s="2" t="s">
        <v>269</v>
      </c>
      <c r="B297" s="2" t="s">
        <v>280</v>
      </c>
      <c r="C297" s="2" t="s">
        <v>281</v>
      </c>
      <c r="D297" s="3" t="s">
        <v>68</v>
      </c>
      <c r="E297" s="3" t="s">
        <v>292</v>
      </c>
      <c r="F297" s="2" t="s">
        <v>293</v>
      </c>
      <c r="G297" s="4">
        <v>1</v>
      </c>
      <c r="H297" s="5">
        <v>5.23</v>
      </c>
      <c r="I297" s="5">
        <v>5.4524349497318054</v>
      </c>
      <c r="J297" s="6">
        <v>0</v>
      </c>
      <c r="K297" s="5">
        <v>0</v>
      </c>
      <c r="L297" s="6">
        <v>0</v>
      </c>
      <c r="M297" s="5">
        <v>0</v>
      </c>
      <c r="N297" s="6">
        <v>6267.7972316881987</v>
      </c>
      <c r="O297" s="5">
        <v>32780.579521729283</v>
      </c>
      <c r="P297" s="6">
        <v>0</v>
      </c>
      <c r="Q297" s="5">
        <v>0</v>
      </c>
      <c r="R297" s="6">
        <v>0</v>
      </c>
      <c r="S297" s="5">
        <v>0</v>
      </c>
      <c r="T297" s="6">
        <v>0</v>
      </c>
      <c r="U297" s="5">
        <v>0</v>
      </c>
      <c r="V297" s="6">
        <v>0</v>
      </c>
      <c r="W297" s="5">
        <v>0</v>
      </c>
      <c r="X297" s="6">
        <v>0</v>
      </c>
      <c r="Y297" s="5">
        <v>0</v>
      </c>
      <c r="Z297" s="6">
        <v>0</v>
      </c>
      <c r="AA297" s="5">
        <v>0</v>
      </c>
      <c r="AB297" s="6">
        <v>0</v>
      </c>
      <c r="AC297" s="5">
        <v>0</v>
      </c>
      <c r="AD297" s="6">
        <v>0</v>
      </c>
      <c r="AE297" s="5">
        <v>0</v>
      </c>
      <c r="AF297" s="6">
        <v>0</v>
      </c>
      <c r="AG297" s="5">
        <v>0</v>
      </c>
      <c r="AH297" s="7">
        <f t="shared" si="32"/>
        <v>6267.7972316881987</v>
      </c>
      <c r="AI297" s="8">
        <f t="shared" si="33"/>
        <v>32780.579521729283</v>
      </c>
      <c r="AJ297" s="6">
        <v>0</v>
      </c>
      <c r="AK297" s="5">
        <v>0</v>
      </c>
      <c r="AL297" s="6">
        <v>0</v>
      </c>
      <c r="AM297" s="5">
        <v>0</v>
      </c>
      <c r="AN297" s="6">
        <v>6811</v>
      </c>
      <c r="AO297" s="5">
        <v>37136.534442623321</v>
      </c>
      <c r="AP297" s="6">
        <v>0</v>
      </c>
      <c r="AQ297" s="5">
        <v>0</v>
      </c>
      <c r="AR297" s="6">
        <v>0</v>
      </c>
      <c r="AS297" s="5">
        <v>0</v>
      </c>
      <c r="AT297" s="6">
        <v>0</v>
      </c>
      <c r="AU297" s="5">
        <v>0</v>
      </c>
      <c r="AV297" s="6">
        <v>0</v>
      </c>
      <c r="AW297" s="5">
        <v>0</v>
      </c>
      <c r="AX297" s="6">
        <v>0</v>
      </c>
      <c r="AY297" s="5">
        <v>0</v>
      </c>
      <c r="AZ297" s="6">
        <v>0</v>
      </c>
      <c r="BA297" s="5">
        <v>0</v>
      </c>
      <c r="BB297" s="6">
        <v>0</v>
      </c>
      <c r="BC297" s="5">
        <v>0</v>
      </c>
      <c r="BD297" s="6">
        <v>0</v>
      </c>
      <c r="BE297" s="5">
        <v>0</v>
      </c>
      <c r="BF297" s="6">
        <v>0</v>
      </c>
      <c r="BG297" s="5">
        <v>0</v>
      </c>
      <c r="BH297" s="9">
        <f t="shared" si="34"/>
        <v>6811</v>
      </c>
      <c r="BI297" s="10">
        <f t="shared" si="35"/>
        <v>37136.534442623321</v>
      </c>
      <c r="BJ297" s="6">
        <f t="shared" si="36"/>
        <v>543.20276831180126</v>
      </c>
      <c r="BK297" s="11">
        <f t="shared" si="37"/>
        <v>8.6665657524069656E-2</v>
      </c>
      <c r="BL297" s="5">
        <f t="shared" si="38"/>
        <v>4355.9549208940371</v>
      </c>
      <c r="BM297" s="11">
        <f t="shared" si="39"/>
        <v>0.13288218159799775</v>
      </c>
    </row>
    <row r="298" spans="1:65" ht="15" customHeight="1" x14ac:dyDescent="0.4">
      <c r="A298" s="2" t="s">
        <v>269</v>
      </c>
      <c r="B298" s="2" t="s">
        <v>280</v>
      </c>
      <c r="C298" s="2" t="s">
        <v>281</v>
      </c>
      <c r="D298" s="3" t="s">
        <v>68</v>
      </c>
      <c r="E298" s="3" t="s">
        <v>294</v>
      </c>
      <c r="F298" s="2" t="s">
        <v>295</v>
      </c>
      <c r="G298" s="4">
        <v>1</v>
      </c>
      <c r="H298" s="5">
        <v>12.55</v>
      </c>
      <c r="I298" s="5">
        <v>13.08381383601925</v>
      </c>
      <c r="J298" s="6">
        <v>0</v>
      </c>
      <c r="K298" s="5">
        <v>0</v>
      </c>
      <c r="L298" s="6">
        <v>0</v>
      </c>
      <c r="M298" s="5">
        <v>0</v>
      </c>
      <c r="N298" s="6">
        <v>7834.7465396102489</v>
      </c>
      <c r="O298" s="5">
        <v>98326.069072108628</v>
      </c>
      <c r="P298" s="6">
        <v>0</v>
      </c>
      <c r="Q298" s="5">
        <v>0</v>
      </c>
      <c r="R298" s="6">
        <v>10185.17050149332</v>
      </c>
      <c r="S298" s="5">
        <v>127823.8897937412</v>
      </c>
      <c r="T298" s="6">
        <v>0</v>
      </c>
      <c r="U298" s="5">
        <v>0</v>
      </c>
      <c r="V298" s="6">
        <v>0</v>
      </c>
      <c r="W298" s="5">
        <v>0</v>
      </c>
      <c r="X298" s="6">
        <v>0</v>
      </c>
      <c r="Y298" s="5">
        <v>0</v>
      </c>
      <c r="Z298" s="6">
        <v>0</v>
      </c>
      <c r="AA298" s="5">
        <v>0</v>
      </c>
      <c r="AB298" s="6">
        <v>0</v>
      </c>
      <c r="AC298" s="5">
        <v>0</v>
      </c>
      <c r="AD298" s="6">
        <v>0</v>
      </c>
      <c r="AE298" s="5">
        <v>0</v>
      </c>
      <c r="AF298" s="6">
        <v>0</v>
      </c>
      <c r="AG298" s="5">
        <v>0</v>
      </c>
      <c r="AH298" s="7">
        <f t="shared" si="32"/>
        <v>18019.917041103567</v>
      </c>
      <c r="AI298" s="8">
        <f t="shared" si="33"/>
        <v>226149.95886584983</v>
      </c>
      <c r="AJ298" s="6">
        <v>0</v>
      </c>
      <c r="AK298" s="5">
        <v>0</v>
      </c>
      <c r="AL298" s="6">
        <v>0</v>
      </c>
      <c r="AM298" s="5">
        <v>0</v>
      </c>
      <c r="AN298" s="6">
        <v>8637</v>
      </c>
      <c r="AO298" s="5">
        <v>113000.9177277985</v>
      </c>
      <c r="AP298" s="6">
        <v>0</v>
      </c>
      <c r="AQ298" s="5">
        <v>0</v>
      </c>
      <c r="AR298" s="6">
        <v>11227</v>
      </c>
      <c r="AS298" s="5">
        <v>146895.96031088781</v>
      </c>
      <c r="AT298" s="6">
        <v>0</v>
      </c>
      <c r="AU298" s="5">
        <v>0</v>
      </c>
      <c r="AV298" s="6">
        <v>0</v>
      </c>
      <c r="AW298" s="5">
        <v>0</v>
      </c>
      <c r="AX298" s="6">
        <v>0</v>
      </c>
      <c r="AY298" s="5">
        <v>0</v>
      </c>
      <c r="AZ298" s="6">
        <v>0</v>
      </c>
      <c r="BA298" s="5">
        <v>0</v>
      </c>
      <c r="BB298" s="6">
        <v>0</v>
      </c>
      <c r="BC298" s="5">
        <v>0</v>
      </c>
      <c r="BD298" s="6">
        <v>0</v>
      </c>
      <c r="BE298" s="5">
        <v>0</v>
      </c>
      <c r="BF298" s="6">
        <v>0</v>
      </c>
      <c r="BG298" s="5">
        <v>0</v>
      </c>
      <c r="BH298" s="9">
        <f t="shared" si="34"/>
        <v>19864</v>
      </c>
      <c r="BI298" s="10">
        <f t="shared" si="35"/>
        <v>259896.87803868629</v>
      </c>
      <c r="BJ298" s="6">
        <f t="shared" si="36"/>
        <v>1844.0829588964334</v>
      </c>
      <c r="BK298" s="11">
        <f t="shared" si="37"/>
        <v>0.10233581845521632</v>
      </c>
      <c r="BL298" s="5">
        <f t="shared" si="38"/>
        <v>33746.919172836468</v>
      </c>
      <c r="BM298" s="11">
        <f t="shared" si="39"/>
        <v>0.14922363613099238</v>
      </c>
    </row>
    <row r="299" spans="1:65" ht="15" customHeight="1" x14ac:dyDescent="0.4">
      <c r="A299" s="2" t="s">
        <v>269</v>
      </c>
      <c r="B299" s="2" t="s">
        <v>280</v>
      </c>
      <c r="C299" s="2" t="s">
        <v>281</v>
      </c>
      <c r="D299" s="3" t="s">
        <v>68</v>
      </c>
      <c r="E299" s="3" t="s">
        <v>296</v>
      </c>
      <c r="F299" s="2" t="s">
        <v>297</v>
      </c>
      <c r="G299" s="4">
        <v>5</v>
      </c>
      <c r="H299" s="5">
        <v>3.86829268292683</v>
      </c>
      <c r="I299" s="5">
        <v>4.0334241398184716</v>
      </c>
      <c r="J299" s="6">
        <v>41547.898316114959</v>
      </c>
      <c r="K299" s="5">
        <v>160582.62699178429</v>
      </c>
      <c r="L299" s="6">
        <v>30666.305899989609</v>
      </c>
      <c r="M299" s="5">
        <v>118678.60383295979</v>
      </c>
      <c r="N299" s="6">
        <v>2967.7070225796401</v>
      </c>
      <c r="O299" s="5">
        <v>11485.02617738321</v>
      </c>
      <c r="P299" s="6">
        <v>0</v>
      </c>
      <c r="Q299" s="5">
        <v>0</v>
      </c>
      <c r="R299" s="6">
        <v>4946.1783709660658</v>
      </c>
      <c r="S299" s="5">
        <v>19141.710295638681</v>
      </c>
      <c r="T299" s="6">
        <v>41547.898316114959</v>
      </c>
      <c r="U299" s="5">
        <v>160790.36648336489</v>
      </c>
      <c r="V299" s="6">
        <v>0</v>
      </c>
      <c r="W299" s="5">
        <v>0</v>
      </c>
      <c r="X299" s="6">
        <v>0</v>
      </c>
      <c r="Y299" s="5">
        <v>0</v>
      </c>
      <c r="Z299" s="6">
        <v>0</v>
      </c>
      <c r="AA299" s="5">
        <v>0</v>
      </c>
      <c r="AB299" s="6">
        <v>0</v>
      </c>
      <c r="AC299" s="5">
        <v>0</v>
      </c>
      <c r="AD299" s="6">
        <v>0</v>
      </c>
      <c r="AE299" s="5">
        <v>0</v>
      </c>
      <c r="AF299" s="6">
        <v>0</v>
      </c>
      <c r="AG299" s="5">
        <v>0</v>
      </c>
      <c r="AH299" s="7">
        <f t="shared" si="32"/>
        <v>121675.98792576522</v>
      </c>
      <c r="AI299" s="8">
        <f t="shared" si="33"/>
        <v>470678.3337811309</v>
      </c>
      <c r="AJ299" s="6">
        <v>45790</v>
      </c>
      <c r="AK299" s="5">
        <v>184538.688922539</v>
      </c>
      <c r="AL299" s="6">
        <v>33800</v>
      </c>
      <c r="AM299" s="5">
        <v>136389.57649207269</v>
      </c>
      <c r="AN299" s="6">
        <v>3270</v>
      </c>
      <c r="AO299" s="5">
        <v>13191.18352940188</v>
      </c>
      <c r="AP299" s="6">
        <v>0</v>
      </c>
      <c r="AQ299" s="5">
        <v>0</v>
      </c>
      <c r="AR299" s="6">
        <v>5455</v>
      </c>
      <c r="AS299" s="5">
        <v>22005.475887733111</v>
      </c>
      <c r="AT299" s="6">
        <v>45790</v>
      </c>
      <c r="AU299" s="5">
        <v>184777.4194386095</v>
      </c>
      <c r="AV299" s="6">
        <v>0</v>
      </c>
      <c r="AW299" s="5">
        <v>0</v>
      </c>
      <c r="AX299" s="6">
        <v>0</v>
      </c>
      <c r="AY299" s="5">
        <v>0</v>
      </c>
      <c r="AZ299" s="6">
        <v>0</v>
      </c>
      <c r="BA299" s="5">
        <v>0</v>
      </c>
      <c r="BB299" s="6">
        <v>0</v>
      </c>
      <c r="BC299" s="5">
        <v>0</v>
      </c>
      <c r="BD299" s="6">
        <v>0</v>
      </c>
      <c r="BE299" s="5">
        <v>0</v>
      </c>
      <c r="BF299" s="6">
        <v>0</v>
      </c>
      <c r="BG299" s="5">
        <v>0</v>
      </c>
      <c r="BH299" s="9">
        <f t="shared" si="34"/>
        <v>134105</v>
      </c>
      <c r="BI299" s="10">
        <f t="shared" si="35"/>
        <v>540902.34427035623</v>
      </c>
      <c r="BJ299" s="6">
        <f t="shared" si="36"/>
        <v>12429.012074234779</v>
      </c>
      <c r="BK299" s="11">
        <f t="shared" si="37"/>
        <v>0.10214843771655049</v>
      </c>
      <c r="BL299" s="5">
        <f t="shared" si="38"/>
        <v>70224.010489225329</v>
      </c>
      <c r="BM299" s="11">
        <f t="shared" si="39"/>
        <v>0.14919745705116744</v>
      </c>
    </row>
    <row r="300" spans="1:65" ht="15" customHeight="1" x14ac:dyDescent="0.4">
      <c r="A300" s="2" t="s">
        <v>269</v>
      </c>
      <c r="B300" s="2" t="s">
        <v>280</v>
      </c>
      <c r="C300" s="2" t="s">
        <v>281</v>
      </c>
      <c r="D300" s="3" t="s">
        <v>68</v>
      </c>
      <c r="E300" s="3" t="s">
        <v>296</v>
      </c>
      <c r="F300" s="2" t="s">
        <v>279</v>
      </c>
      <c r="G300" s="4">
        <v>5</v>
      </c>
      <c r="H300" s="5">
        <v>3.87</v>
      </c>
      <c r="I300" s="5">
        <v>4.0340010793277923</v>
      </c>
      <c r="J300" s="6">
        <v>0</v>
      </c>
      <c r="K300" s="5">
        <v>0</v>
      </c>
      <c r="L300" s="6">
        <v>0</v>
      </c>
      <c r="M300" s="5">
        <v>0</v>
      </c>
      <c r="N300" s="6">
        <v>0</v>
      </c>
      <c r="O300" s="5">
        <v>0</v>
      </c>
      <c r="P300" s="6">
        <v>10881.59241612535</v>
      </c>
      <c r="Q300" s="5">
        <v>42111.762650405093</v>
      </c>
      <c r="R300" s="6">
        <v>0</v>
      </c>
      <c r="S300" s="5">
        <v>0</v>
      </c>
      <c r="T300" s="6">
        <v>0</v>
      </c>
      <c r="U300" s="5">
        <v>0</v>
      </c>
      <c r="V300" s="6">
        <v>0</v>
      </c>
      <c r="W300" s="5">
        <v>0</v>
      </c>
      <c r="X300" s="6">
        <v>0</v>
      </c>
      <c r="Y300" s="5">
        <v>0</v>
      </c>
      <c r="Z300" s="6">
        <v>0</v>
      </c>
      <c r="AA300" s="5">
        <v>0</v>
      </c>
      <c r="AB300" s="6">
        <v>0</v>
      </c>
      <c r="AC300" s="5">
        <v>0</v>
      </c>
      <c r="AD300" s="6">
        <v>0</v>
      </c>
      <c r="AE300" s="5">
        <v>0</v>
      </c>
      <c r="AF300" s="6">
        <v>0</v>
      </c>
      <c r="AG300" s="5">
        <v>0</v>
      </c>
      <c r="AH300" s="7">
        <f t="shared" si="32"/>
        <v>10881.59241612535</v>
      </c>
      <c r="AI300" s="8">
        <f t="shared" si="33"/>
        <v>42111.762650405093</v>
      </c>
      <c r="AJ300" s="6">
        <v>0</v>
      </c>
      <c r="AK300" s="5">
        <v>0</v>
      </c>
      <c r="AL300" s="6">
        <v>0</v>
      </c>
      <c r="AM300" s="5">
        <v>0</v>
      </c>
      <c r="AN300" s="6">
        <v>0</v>
      </c>
      <c r="AO300" s="5">
        <v>0</v>
      </c>
      <c r="AP300" s="6">
        <v>11995</v>
      </c>
      <c r="AQ300" s="5">
        <v>48387.842946536868</v>
      </c>
      <c r="AR300" s="6">
        <v>0</v>
      </c>
      <c r="AS300" s="5">
        <v>0</v>
      </c>
      <c r="AT300" s="6">
        <v>0</v>
      </c>
      <c r="AU300" s="5">
        <v>0</v>
      </c>
      <c r="AV300" s="6">
        <v>0</v>
      </c>
      <c r="AW300" s="5">
        <v>0</v>
      </c>
      <c r="AX300" s="6">
        <v>0</v>
      </c>
      <c r="AY300" s="5">
        <v>0</v>
      </c>
      <c r="AZ300" s="6">
        <v>0</v>
      </c>
      <c r="BA300" s="5">
        <v>0</v>
      </c>
      <c r="BB300" s="6">
        <v>0</v>
      </c>
      <c r="BC300" s="5">
        <v>0</v>
      </c>
      <c r="BD300" s="6">
        <v>0</v>
      </c>
      <c r="BE300" s="5">
        <v>0</v>
      </c>
      <c r="BF300" s="6">
        <v>0</v>
      </c>
      <c r="BG300" s="5">
        <v>0</v>
      </c>
      <c r="BH300" s="9">
        <f t="shared" si="34"/>
        <v>11995</v>
      </c>
      <c r="BI300" s="10">
        <f t="shared" si="35"/>
        <v>48387.842946536868</v>
      </c>
      <c r="BJ300" s="6">
        <f t="shared" si="36"/>
        <v>1113.4075838746503</v>
      </c>
      <c r="BK300" s="11">
        <f t="shared" si="37"/>
        <v>0.10232028009289339</v>
      </c>
      <c r="BL300" s="5">
        <f t="shared" si="38"/>
        <v>6276.080296131775</v>
      </c>
      <c r="BM300" s="11">
        <f t="shared" si="39"/>
        <v>0.14903390172083908</v>
      </c>
    </row>
    <row r="301" spans="1:65" ht="15" customHeight="1" x14ac:dyDescent="0.4">
      <c r="A301" s="2" t="s">
        <v>269</v>
      </c>
      <c r="B301" s="2" t="s">
        <v>280</v>
      </c>
      <c r="C301" s="2" t="s">
        <v>281</v>
      </c>
      <c r="D301" s="3" t="s">
        <v>68</v>
      </c>
      <c r="E301" s="3" t="s">
        <v>296</v>
      </c>
      <c r="F301" s="2" t="s">
        <v>298</v>
      </c>
      <c r="G301" s="4">
        <v>5</v>
      </c>
      <c r="H301" s="5">
        <v>3.87</v>
      </c>
      <c r="I301" s="5">
        <v>4.0354616155621619</v>
      </c>
      <c r="J301" s="6">
        <v>0</v>
      </c>
      <c r="K301" s="5">
        <v>0</v>
      </c>
      <c r="L301" s="6">
        <v>0</v>
      </c>
      <c r="M301" s="5">
        <v>0</v>
      </c>
      <c r="N301" s="6">
        <v>0</v>
      </c>
      <c r="O301" s="5">
        <v>0</v>
      </c>
      <c r="P301" s="6">
        <v>0</v>
      </c>
      <c r="Q301" s="5">
        <v>0</v>
      </c>
      <c r="R301" s="6">
        <v>0</v>
      </c>
      <c r="S301" s="5">
        <v>0</v>
      </c>
      <c r="T301" s="6">
        <v>0</v>
      </c>
      <c r="U301" s="5">
        <v>0</v>
      </c>
      <c r="V301" s="6">
        <v>37590.955619342101</v>
      </c>
      <c r="W301" s="5">
        <v>145476.99824685391</v>
      </c>
      <c r="X301" s="6">
        <v>0</v>
      </c>
      <c r="Y301" s="5">
        <v>0</v>
      </c>
      <c r="Z301" s="6">
        <v>0</v>
      </c>
      <c r="AA301" s="5">
        <v>0</v>
      </c>
      <c r="AB301" s="6">
        <v>0</v>
      </c>
      <c r="AC301" s="5">
        <v>0</v>
      </c>
      <c r="AD301" s="6">
        <v>0</v>
      </c>
      <c r="AE301" s="5">
        <v>0</v>
      </c>
      <c r="AF301" s="6">
        <v>0</v>
      </c>
      <c r="AG301" s="5">
        <v>0</v>
      </c>
      <c r="AH301" s="7">
        <f t="shared" si="32"/>
        <v>37590.955619342101</v>
      </c>
      <c r="AI301" s="8">
        <f t="shared" si="33"/>
        <v>145476.99824685391</v>
      </c>
      <c r="AJ301" s="6">
        <v>0</v>
      </c>
      <c r="AK301" s="5">
        <v>0</v>
      </c>
      <c r="AL301" s="6">
        <v>0</v>
      </c>
      <c r="AM301" s="5">
        <v>0</v>
      </c>
      <c r="AN301" s="6">
        <v>0</v>
      </c>
      <c r="AO301" s="5">
        <v>0</v>
      </c>
      <c r="AP301" s="6">
        <v>0</v>
      </c>
      <c r="AQ301" s="5">
        <v>0</v>
      </c>
      <c r="AR301" s="6">
        <v>0</v>
      </c>
      <c r="AS301" s="5">
        <v>0</v>
      </c>
      <c r="AT301" s="6">
        <v>0</v>
      </c>
      <c r="AU301" s="5">
        <v>0</v>
      </c>
      <c r="AV301" s="6">
        <v>41430</v>
      </c>
      <c r="AW301" s="5">
        <v>167189.17473274039</v>
      </c>
      <c r="AX301" s="6">
        <v>0</v>
      </c>
      <c r="AY301" s="5">
        <v>0</v>
      </c>
      <c r="AZ301" s="6">
        <v>0</v>
      </c>
      <c r="BA301" s="5">
        <v>0</v>
      </c>
      <c r="BB301" s="6">
        <v>0</v>
      </c>
      <c r="BC301" s="5">
        <v>0</v>
      </c>
      <c r="BD301" s="6">
        <v>0</v>
      </c>
      <c r="BE301" s="5">
        <v>0</v>
      </c>
      <c r="BF301" s="6">
        <v>0</v>
      </c>
      <c r="BG301" s="5">
        <v>0</v>
      </c>
      <c r="BH301" s="9">
        <f t="shared" si="34"/>
        <v>41430</v>
      </c>
      <c r="BI301" s="10">
        <f t="shared" si="35"/>
        <v>167189.17473274039</v>
      </c>
      <c r="BJ301" s="6">
        <f t="shared" si="36"/>
        <v>3839.0443806578987</v>
      </c>
      <c r="BK301" s="11">
        <f t="shared" si="37"/>
        <v>0.10212680995751414</v>
      </c>
      <c r="BL301" s="5">
        <f t="shared" si="38"/>
        <v>21712.176485886477</v>
      </c>
      <c r="BM301" s="11">
        <f t="shared" si="39"/>
        <v>0.1492481749523315</v>
      </c>
    </row>
    <row r="302" spans="1:65" ht="15" customHeight="1" x14ac:dyDescent="0.4">
      <c r="A302" s="2" t="s">
        <v>269</v>
      </c>
      <c r="B302" s="2" t="s">
        <v>280</v>
      </c>
      <c r="C302" s="2" t="s">
        <v>281</v>
      </c>
      <c r="D302" s="3" t="s">
        <v>68</v>
      </c>
      <c r="E302" s="3" t="s">
        <v>299</v>
      </c>
      <c r="F302" s="2" t="s">
        <v>297</v>
      </c>
      <c r="G302" s="4">
        <v>20</v>
      </c>
      <c r="H302" s="5">
        <v>3.7484615384615392</v>
      </c>
      <c r="I302" s="5">
        <v>3.907313247718081</v>
      </c>
      <c r="J302" s="6">
        <v>14838.5351128982</v>
      </c>
      <c r="K302" s="5">
        <v>55496.121322239262</v>
      </c>
      <c r="L302" s="6">
        <v>10881.59241612535</v>
      </c>
      <c r="M302" s="5">
        <v>40914.787484631299</v>
      </c>
      <c r="N302" s="6">
        <v>0</v>
      </c>
      <c r="O302" s="5">
        <v>0</v>
      </c>
      <c r="P302" s="6">
        <v>0</v>
      </c>
      <c r="Q302" s="5">
        <v>0</v>
      </c>
      <c r="R302" s="6">
        <v>0</v>
      </c>
      <c r="S302" s="5">
        <v>0</v>
      </c>
      <c r="T302" s="6">
        <v>0</v>
      </c>
      <c r="U302" s="5">
        <v>0</v>
      </c>
      <c r="V302" s="6">
        <v>0</v>
      </c>
      <c r="W302" s="5">
        <v>0</v>
      </c>
      <c r="X302" s="6">
        <v>0</v>
      </c>
      <c r="Y302" s="5">
        <v>0</v>
      </c>
      <c r="Z302" s="6">
        <v>0</v>
      </c>
      <c r="AA302" s="5">
        <v>0</v>
      </c>
      <c r="AB302" s="6">
        <v>0</v>
      </c>
      <c r="AC302" s="5">
        <v>0</v>
      </c>
      <c r="AD302" s="6">
        <v>0</v>
      </c>
      <c r="AE302" s="5">
        <v>0</v>
      </c>
      <c r="AF302" s="6">
        <v>0</v>
      </c>
      <c r="AG302" s="5">
        <v>0</v>
      </c>
      <c r="AH302" s="7">
        <f t="shared" si="32"/>
        <v>25720.12752902355</v>
      </c>
      <c r="AI302" s="8">
        <f t="shared" si="33"/>
        <v>96410.908806870561</v>
      </c>
      <c r="AJ302" s="6">
        <v>16360</v>
      </c>
      <c r="AK302" s="5">
        <v>63779.329105990197</v>
      </c>
      <c r="AL302" s="6">
        <v>12000</v>
      </c>
      <c r="AM302" s="5">
        <v>47032.074599294567</v>
      </c>
      <c r="AN302" s="6">
        <v>0</v>
      </c>
      <c r="AO302" s="5">
        <v>0</v>
      </c>
      <c r="AP302" s="6">
        <v>0</v>
      </c>
      <c r="AQ302" s="5">
        <v>0</v>
      </c>
      <c r="AR302" s="6">
        <v>0</v>
      </c>
      <c r="AS302" s="5">
        <v>0</v>
      </c>
      <c r="AT302" s="6">
        <v>0</v>
      </c>
      <c r="AU302" s="5">
        <v>0</v>
      </c>
      <c r="AV302" s="6">
        <v>0</v>
      </c>
      <c r="AW302" s="5">
        <v>0</v>
      </c>
      <c r="AX302" s="6">
        <v>0</v>
      </c>
      <c r="AY302" s="5">
        <v>0</v>
      </c>
      <c r="AZ302" s="6">
        <v>0</v>
      </c>
      <c r="BA302" s="5">
        <v>0</v>
      </c>
      <c r="BB302" s="6">
        <v>0</v>
      </c>
      <c r="BC302" s="5">
        <v>0</v>
      </c>
      <c r="BD302" s="6">
        <v>0</v>
      </c>
      <c r="BE302" s="5">
        <v>0</v>
      </c>
      <c r="BF302" s="6">
        <v>0</v>
      </c>
      <c r="BG302" s="5">
        <v>0</v>
      </c>
      <c r="BH302" s="9">
        <f t="shared" si="34"/>
        <v>28360</v>
      </c>
      <c r="BI302" s="10">
        <f t="shared" si="35"/>
        <v>110811.40370528476</v>
      </c>
      <c r="BJ302" s="6">
        <f t="shared" si="36"/>
        <v>2639.8724709764501</v>
      </c>
      <c r="BK302" s="11">
        <f t="shared" si="37"/>
        <v>0.10263838964241215</v>
      </c>
      <c r="BL302" s="5">
        <f t="shared" si="38"/>
        <v>14400.494898414196</v>
      </c>
      <c r="BM302" s="11">
        <f t="shared" si="39"/>
        <v>0.14936582464190989</v>
      </c>
    </row>
    <row r="303" spans="1:65" ht="15" customHeight="1" x14ac:dyDescent="0.4">
      <c r="A303" s="2" t="s">
        <v>269</v>
      </c>
      <c r="B303" s="2" t="s">
        <v>280</v>
      </c>
      <c r="C303" s="2" t="s">
        <v>281</v>
      </c>
      <c r="D303" s="3" t="s">
        <v>68</v>
      </c>
      <c r="E303" s="3" t="s">
        <v>299</v>
      </c>
      <c r="F303" s="2" t="s">
        <v>300</v>
      </c>
      <c r="G303" s="4">
        <v>20</v>
      </c>
      <c r="H303" s="5">
        <v>3.76</v>
      </c>
      <c r="I303" s="5">
        <v>3.9193395499412151</v>
      </c>
      <c r="J303" s="6">
        <v>0</v>
      </c>
      <c r="K303" s="5">
        <v>0</v>
      </c>
      <c r="L303" s="6">
        <v>0</v>
      </c>
      <c r="M303" s="5">
        <v>0</v>
      </c>
      <c r="N303" s="6">
        <v>0</v>
      </c>
      <c r="O303" s="5">
        <v>0</v>
      </c>
      <c r="P303" s="6">
        <v>9892.3567419321316</v>
      </c>
      <c r="Q303" s="5">
        <v>37195.261349664819</v>
      </c>
      <c r="R303" s="6">
        <v>0</v>
      </c>
      <c r="S303" s="5">
        <v>0</v>
      </c>
      <c r="T303" s="6">
        <v>0</v>
      </c>
      <c r="U303" s="5">
        <v>0</v>
      </c>
      <c r="V303" s="6">
        <v>0</v>
      </c>
      <c r="W303" s="5">
        <v>0</v>
      </c>
      <c r="X303" s="6">
        <v>0</v>
      </c>
      <c r="Y303" s="5">
        <v>0</v>
      </c>
      <c r="Z303" s="6">
        <v>0</v>
      </c>
      <c r="AA303" s="5">
        <v>0</v>
      </c>
      <c r="AB303" s="6">
        <v>0</v>
      </c>
      <c r="AC303" s="5">
        <v>0</v>
      </c>
      <c r="AD303" s="6">
        <v>0</v>
      </c>
      <c r="AE303" s="5">
        <v>0</v>
      </c>
      <c r="AF303" s="6">
        <v>0</v>
      </c>
      <c r="AG303" s="5">
        <v>0</v>
      </c>
      <c r="AH303" s="7">
        <f t="shared" si="32"/>
        <v>9892.3567419321316</v>
      </c>
      <c r="AI303" s="8">
        <f t="shared" si="33"/>
        <v>37195.261349664819</v>
      </c>
      <c r="AJ303" s="6">
        <v>0</v>
      </c>
      <c r="AK303" s="5">
        <v>0</v>
      </c>
      <c r="AL303" s="6">
        <v>0</v>
      </c>
      <c r="AM303" s="5">
        <v>0</v>
      </c>
      <c r="AN303" s="6">
        <v>0</v>
      </c>
      <c r="AO303" s="5">
        <v>0</v>
      </c>
      <c r="AP303" s="6">
        <v>10900</v>
      </c>
      <c r="AQ303" s="5">
        <v>42720.801094359253</v>
      </c>
      <c r="AR303" s="6">
        <v>0</v>
      </c>
      <c r="AS303" s="5">
        <v>0</v>
      </c>
      <c r="AT303" s="6">
        <v>0</v>
      </c>
      <c r="AU303" s="5">
        <v>0</v>
      </c>
      <c r="AV303" s="6">
        <v>0</v>
      </c>
      <c r="AW303" s="5">
        <v>0</v>
      </c>
      <c r="AX303" s="6">
        <v>0</v>
      </c>
      <c r="AY303" s="5">
        <v>0</v>
      </c>
      <c r="AZ303" s="6">
        <v>0</v>
      </c>
      <c r="BA303" s="5">
        <v>0</v>
      </c>
      <c r="BB303" s="6">
        <v>0</v>
      </c>
      <c r="BC303" s="5">
        <v>0</v>
      </c>
      <c r="BD303" s="6">
        <v>0</v>
      </c>
      <c r="BE303" s="5">
        <v>0</v>
      </c>
      <c r="BF303" s="6">
        <v>0</v>
      </c>
      <c r="BG303" s="5">
        <v>0</v>
      </c>
      <c r="BH303" s="9">
        <f t="shared" si="34"/>
        <v>10900</v>
      </c>
      <c r="BI303" s="10">
        <f t="shared" si="35"/>
        <v>42720.801094359253</v>
      </c>
      <c r="BJ303" s="6">
        <f t="shared" si="36"/>
        <v>1007.6432580678684</v>
      </c>
      <c r="BK303" s="11">
        <f t="shared" si="37"/>
        <v>0.10186078852136704</v>
      </c>
      <c r="BL303" s="5">
        <f t="shared" si="38"/>
        <v>5525.5397446944335</v>
      </c>
      <c r="BM303" s="11">
        <f t="shared" si="39"/>
        <v>0.14855493802691686</v>
      </c>
    </row>
    <row r="304" spans="1:65" ht="15" customHeight="1" x14ac:dyDescent="0.4">
      <c r="A304" s="2" t="s">
        <v>269</v>
      </c>
      <c r="B304" s="2" t="s">
        <v>280</v>
      </c>
      <c r="C304" s="2" t="s">
        <v>301</v>
      </c>
      <c r="D304" s="3" t="s">
        <v>68</v>
      </c>
      <c r="E304" s="3" t="s">
        <v>282</v>
      </c>
      <c r="F304" s="2" t="s">
        <v>283</v>
      </c>
      <c r="G304" s="4">
        <v>1</v>
      </c>
      <c r="H304" s="5">
        <v>5.5699999999999994</v>
      </c>
      <c r="I304" s="5">
        <v>5.807246097389168</v>
      </c>
      <c r="J304" s="6">
        <v>0</v>
      </c>
      <c r="K304" s="5">
        <v>0</v>
      </c>
      <c r="L304" s="6">
        <v>5223.1643597401662</v>
      </c>
      <c r="M304" s="5">
        <v>29093.025483752721</v>
      </c>
      <c r="N304" s="6">
        <v>0</v>
      </c>
      <c r="O304" s="5">
        <v>0</v>
      </c>
      <c r="P304" s="6">
        <v>0</v>
      </c>
      <c r="Q304" s="5">
        <v>0</v>
      </c>
      <c r="R304" s="6">
        <v>3133.8986158440989</v>
      </c>
      <c r="S304" s="5">
        <v>17455.81529025163</v>
      </c>
      <c r="T304" s="6">
        <v>0</v>
      </c>
      <c r="U304" s="5">
        <v>0</v>
      </c>
      <c r="V304" s="6">
        <v>0</v>
      </c>
      <c r="W304" s="5">
        <v>0</v>
      </c>
      <c r="X304" s="6">
        <v>0</v>
      </c>
      <c r="Y304" s="5">
        <v>0</v>
      </c>
      <c r="Z304" s="6">
        <v>0</v>
      </c>
      <c r="AA304" s="5">
        <v>0</v>
      </c>
      <c r="AB304" s="6">
        <v>0</v>
      </c>
      <c r="AC304" s="5">
        <v>0</v>
      </c>
      <c r="AD304" s="6">
        <v>0</v>
      </c>
      <c r="AE304" s="5">
        <v>0</v>
      </c>
      <c r="AF304" s="6">
        <v>0</v>
      </c>
      <c r="AG304" s="5">
        <v>0</v>
      </c>
      <c r="AH304" s="7">
        <f t="shared" si="32"/>
        <v>8357.0629755842656</v>
      </c>
      <c r="AI304" s="8">
        <f t="shared" si="33"/>
        <v>46548.840774004348</v>
      </c>
      <c r="AJ304" s="6">
        <v>0</v>
      </c>
      <c r="AK304" s="5">
        <v>0</v>
      </c>
      <c r="AL304" s="6">
        <v>6032</v>
      </c>
      <c r="AM304" s="5">
        <v>35027.85679832715</v>
      </c>
      <c r="AN304" s="6">
        <v>0</v>
      </c>
      <c r="AO304" s="5">
        <v>0</v>
      </c>
      <c r="AP304" s="6">
        <v>0</v>
      </c>
      <c r="AQ304" s="5">
        <v>0</v>
      </c>
      <c r="AR304" s="6">
        <v>3619</v>
      </c>
      <c r="AS304" s="5">
        <v>21017.875287575709</v>
      </c>
      <c r="AT304" s="6">
        <v>0</v>
      </c>
      <c r="AU304" s="5">
        <v>0</v>
      </c>
      <c r="AV304" s="6">
        <v>0</v>
      </c>
      <c r="AW304" s="5">
        <v>0</v>
      </c>
      <c r="AX304" s="6">
        <v>0</v>
      </c>
      <c r="AY304" s="5">
        <v>0</v>
      </c>
      <c r="AZ304" s="6">
        <v>0</v>
      </c>
      <c r="BA304" s="5">
        <v>0</v>
      </c>
      <c r="BB304" s="6">
        <v>0</v>
      </c>
      <c r="BC304" s="5">
        <v>0</v>
      </c>
      <c r="BD304" s="6">
        <v>0</v>
      </c>
      <c r="BE304" s="5">
        <v>0</v>
      </c>
      <c r="BF304" s="6">
        <v>0</v>
      </c>
      <c r="BG304" s="5">
        <v>0</v>
      </c>
      <c r="BH304" s="9">
        <f t="shared" si="34"/>
        <v>9651</v>
      </c>
      <c r="BI304" s="10">
        <f t="shared" si="35"/>
        <v>56045.732085902855</v>
      </c>
      <c r="BJ304" s="6">
        <f t="shared" si="36"/>
        <v>1293.9370244157344</v>
      </c>
      <c r="BK304" s="11">
        <f t="shared" si="37"/>
        <v>0.15483155125144568</v>
      </c>
      <c r="BL304" s="5">
        <f t="shared" si="38"/>
        <v>9496.8913118985074</v>
      </c>
      <c r="BM304" s="11">
        <f t="shared" si="39"/>
        <v>0.2040199316242079</v>
      </c>
    </row>
    <row r="305" spans="1:65" ht="15" customHeight="1" x14ac:dyDescent="0.4">
      <c r="A305" s="2" t="s">
        <v>269</v>
      </c>
      <c r="B305" s="2" t="s">
        <v>280</v>
      </c>
      <c r="C305" s="2" t="s">
        <v>301</v>
      </c>
      <c r="D305" s="3" t="s">
        <v>68</v>
      </c>
      <c r="E305" s="3" t="s">
        <v>282</v>
      </c>
      <c r="F305" s="2" t="s">
        <v>284</v>
      </c>
      <c r="G305" s="4">
        <v>1</v>
      </c>
      <c r="H305" s="5">
        <v>5.2914999999999992</v>
      </c>
      <c r="I305" s="5">
        <v>5.5168839109694776</v>
      </c>
      <c r="J305" s="6">
        <v>0</v>
      </c>
      <c r="K305" s="5">
        <v>0</v>
      </c>
      <c r="L305" s="6">
        <v>0</v>
      </c>
      <c r="M305" s="5">
        <v>0</v>
      </c>
      <c r="N305" s="6">
        <v>0</v>
      </c>
      <c r="O305" s="5">
        <v>0</v>
      </c>
      <c r="P305" s="6">
        <v>0</v>
      </c>
      <c r="Q305" s="5">
        <v>0</v>
      </c>
      <c r="R305" s="6">
        <v>0</v>
      </c>
      <c r="S305" s="5">
        <v>0</v>
      </c>
      <c r="T305" s="6">
        <v>0</v>
      </c>
      <c r="U305" s="5">
        <v>0</v>
      </c>
      <c r="V305" s="6">
        <v>0</v>
      </c>
      <c r="W305" s="5">
        <v>0</v>
      </c>
      <c r="X305" s="6">
        <v>4178.5314877921328</v>
      </c>
      <c r="Y305" s="5">
        <v>22110.699367652069</v>
      </c>
      <c r="Z305" s="6">
        <v>0</v>
      </c>
      <c r="AA305" s="5">
        <v>0</v>
      </c>
      <c r="AB305" s="6">
        <v>0</v>
      </c>
      <c r="AC305" s="5">
        <v>0</v>
      </c>
      <c r="AD305" s="6">
        <v>0</v>
      </c>
      <c r="AE305" s="5">
        <v>0</v>
      </c>
      <c r="AF305" s="6">
        <v>0</v>
      </c>
      <c r="AG305" s="5">
        <v>0</v>
      </c>
      <c r="AH305" s="7">
        <f t="shared" si="32"/>
        <v>4178.5314877921328</v>
      </c>
      <c r="AI305" s="8">
        <f t="shared" si="33"/>
        <v>22110.699367652069</v>
      </c>
      <c r="AJ305" s="6">
        <v>0</v>
      </c>
      <c r="AK305" s="5">
        <v>0</v>
      </c>
      <c r="AL305" s="6">
        <v>0</v>
      </c>
      <c r="AM305" s="5">
        <v>0</v>
      </c>
      <c r="AN305" s="6">
        <v>0</v>
      </c>
      <c r="AO305" s="5">
        <v>0</v>
      </c>
      <c r="AP305" s="6">
        <v>0</v>
      </c>
      <c r="AQ305" s="5">
        <v>0</v>
      </c>
      <c r="AR305" s="6">
        <v>0</v>
      </c>
      <c r="AS305" s="5">
        <v>0</v>
      </c>
      <c r="AT305" s="6">
        <v>0</v>
      </c>
      <c r="AU305" s="5">
        <v>0</v>
      </c>
      <c r="AV305" s="6">
        <v>0</v>
      </c>
      <c r="AW305" s="5">
        <v>0</v>
      </c>
      <c r="AX305" s="6">
        <v>4825</v>
      </c>
      <c r="AY305" s="5">
        <v>26618.964870427732</v>
      </c>
      <c r="AZ305" s="6">
        <v>0</v>
      </c>
      <c r="BA305" s="5">
        <v>0</v>
      </c>
      <c r="BB305" s="6">
        <v>0</v>
      </c>
      <c r="BC305" s="5">
        <v>0</v>
      </c>
      <c r="BD305" s="6">
        <v>0</v>
      </c>
      <c r="BE305" s="5">
        <v>0</v>
      </c>
      <c r="BF305" s="6">
        <v>0</v>
      </c>
      <c r="BG305" s="5">
        <v>0</v>
      </c>
      <c r="BH305" s="9">
        <f t="shared" si="34"/>
        <v>4825</v>
      </c>
      <c r="BI305" s="10">
        <f t="shared" si="35"/>
        <v>26618.964870427732</v>
      </c>
      <c r="BJ305" s="6">
        <f t="shared" si="36"/>
        <v>646.46851220786721</v>
      </c>
      <c r="BK305" s="11">
        <f t="shared" si="37"/>
        <v>0.15471189198802723</v>
      </c>
      <c r="BL305" s="5">
        <f t="shared" si="38"/>
        <v>4508.2655027756628</v>
      </c>
      <c r="BM305" s="11">
        <f t="shared" si="39"/>
        <v>0.2038952014955823</v>
      </c>
    </row>
    <row r="306" spans="1:65" ht="15" customHeight="1" x14ac:dyDescent="0.4">
      <c r="A306" s="2" t="s">
        <v>269</v>
      </c>
      <c r="B306" s="2" t="s">
        <v>280</v>
      </c>
      <c r="C306" s="2" t="s">
        <v>301</v>
      </c>
      <c r="D306" s="3" t="s">
        <v>68</v>
      </c>
      <c r="E306" s="3" t="s">
        <v>287</v>
      </c>
      <c r="F306" s="2" t="s">
        <v>288</v>
      </c>
      <c r="G306" s="4">
        <v>5</v>
      </c>
      <c r="H306" s="5">
        <v>3.29</v>
      </c>
      <c r="I306" s="5">
        <v>3.4303581690061868</v>
      </c>
      <c r="J306" s="6">
        <v>0</v>
      </c>
      <c r="K306" s="5">
        <v>0</v>
      </c>
      <c r="L306" s="6">
        <v>16619.159326445981</v>
      </c>
      <c r="M306" s="5">
        <v>54677.03418400728</v>
      </c>
      <c r="N306" s="6">
        <v>0</v>
      </c>
      <c r="O306" s="5">
        <v>0</v>
      </c>
      <c r="P306" s="6">
        <v>0</v>
      </c>
      <c r="Q306" s="5">
        <v>0</v>
      </c>
      <c r="R306" s="6">
        <v>0</v>
      </c>
      <c r="S306" s="5">
        <v>0</v>
      </c>
      <c r="T306" s="6">
        <v>33238.318652891961</v>
      </c>
      <c r="U306" s="5">
        <v>109354.0683680146</v>
      </c>
      <c r="V306" s="6">
        <v>0</v>
      </c>
      <c r="W306" s="5">
        <v>0</v>
      </c>
      <c r="X306" s="6">
        <v>0</v>
      </c>
      <c r="Y306" s="5">
        <v>0</v>
      </c>
      <c r="Z306" s="6">
        <v>0</v>
      </c>
      <c r="AA306" s="5">
        <v>0</v>
      </c>
      <c r="AB306" s="6">
        <v>0</v>
      </c>
      <c r="AC306" s="5">
        <v>0</v>
      </c>
      <c r="AD306" s="6">
        <v>0</v>
      </c>
      <c r="AE306" s="5">
        <v>0</v>
      </c>
      <c r="AF306" s="6">
        <v>0</v>
      </c>
      <c r="AG306" s="5">
        <v>0</v>
      </c>
      <c r="AH306" s="7">
        <f t="shared" si="32"/>
        <v>49857.477979337942</v>
      </c>
      <c r="AI306" s="8">
        <f t="shared" si="33"/>
        <v>164031.10255202188</v>
      </c>
      <c r="AJ306" s="6">
        <v>0</v>
      </c>
      <c r="AK306" s="5">
        <v>0</v>
      </c>
      <c r="AL306" s="6">
        <v>18320</v>
      </c>
      <c r="AM306" s="5">
        <v>62844.160096088657</v>
      </c>
      <c r="AN306" s="6">
        <v>0</v>
      </c>
      <c r="AO306" s="5">
        <v>0</v>
      </c>
      <c r="AP306" s="6">
        <v>0</v>
      </c>
      <c r="AQ306" s="5">
        <v>0</v>
      </c>
      <c r="AR306" s="6">
        <v>0</v>
      </c>
      <c r="AS306" s="5">
        <v>0</v>
      </c>
      <c r="AT306" s="6">
        <v>36635</v>
      </c>
      <c r="AU306" s="5">
        <v>125671.1730816463</v>
      </c>
      <c r="AV306" s="6">
        <v>0</v>
      </c>
      <c r="AW306" s="5">
        <v>0</v>
      </c>
      <c r="AX306" s="6">
        <v>0</v>
      </c>
      <c r="AY306" s="5">
        <v>0</v>
      </c>
      <c r="AZ306" s="6">
        <v>0</v>
      </c>
      <c r="BA306" s="5">
        <v>0</v>
      </c>
      <c r="BB306" s="6">
        <v>0</v>
      </c>
      <c r="BC306" s="5">
        <v>0</v>
      </c>
      <c r="BD306" s="6">
        <v>0</v>
      </c>
      <c r="BE306" s="5">
        <v>0</v>
      </c>
      <c r="BF306" s="6">
        <v>0</v>
      </c>
      <c r="BG306" s="5">
        <v>0</v>
      </c>
      <c r="BH306" s="9">
        <f t="shared" si="34"/>
        <v>54955</v>
      </c>
      <c r="BI306" s="10">
        <f t="shared" si="35"/>
        <v>188515.33317773495</v>
      </c>
      <c r="BJ306" s="6">
        <f t="shared" si="36"/>
        <v>5097.5220206620579</v>
      </c>
      <c r="BK306" s="11">
        <f t="shared" si="37"/>
        <v>0.10224187478505402</v>
      </c>
      <c r="BL306" s="5">
        <f t="shared" si="38"/>
        <v>24484.230625713069</v>
      </c>
      <c r="BM306" s="11">
        <f t="shared" si="39"/>
        <v>0.14926578096948401</v>
      </c>
    </row>
    <row r="307" spans="1:65" ht="15" customHeight="1" x14ac:dyDescent="0.4">
      <c r="A307" s="2" t="s">
        <v>269</v>
      </c>
      <c r="B307" s="2" t="s">
        <v>280</v>
      </c>
      <c r="C307" s="2" t="s">
        <v>301</v>
      </c>
      <c r="D307" s="3" t="s">
        <v>68</v>
      </c>
      <c r="E307" s="3" t="s">
        <v>302</v>
      </c>
      <c r="F307" s="2" t="s">
        <v>303</v>
      </c>
      <c r="G307" s="4">
        <v>1</v>
      </c>
      <c r="H307" s="5">
        <v>6.6199999999999992</v>
      </c>
      <c r="I307" s="5">
        <v>6.9017098889394868</v>
      </c>
      <c r="J307" s="6">
        <v>0</v>
      </c>
      <c r="K307" s="5">
        <v>0</v>
      </c>
      <c r="L307" s="6">
        <v>0</v>
      </c>
      <c r="M307" s="5">
        <v>0</v>
      </c>
      <c r="N307" s="6">
        <v>0</v>
      </c>
      <c r="O307" s="5">
        <v>0</v>
      </c>
      <c r="P307" s="6">
        <v>0</v>
      </c>
      <c r="Q307" s="5">
        <v>0</v>
      </c>
      <c r="R307" s="6">
        <v>5223.1643597401662</v>
      </c>
      <c r="S307" s="5">
        <v>34577.348061479897</v>
      </c>
      <c r="T307" s="6">
        <v>0</v>
      </c>
      <c r="U307" s="5">
        <v>0</v>
      </c>
      <c r="V307" s="6">
        <v>0</v>
      </c>
      <c r="W307" s="5">
        <v>0</v>
      </c>
      <c r="X307" s="6">
        <v>0</v>
      </c>
      <c r="Y307" s="5">
        <v>0</v>
      </c>
      <c r="Z307" s="6">
        <v>0</v>
      </c>
      <c r="AA307" s="5">
        <v>0</v>
      </c>
      <c r="AB307" s="6">
        <v>0</v>
      </c>
      <c r="AC307" s="5">
        <v>0</v>
      </c>
      <c r="AD307" s="6">
        <v>0</v>
      </c>
      <c r="AE307" s="5">
        <v>0</v>
      </c>
      <c r="AF307" s="6">
        <v>0</v>
      </c>
      <c r="AG307" s="5">
        <v>0</v>
      </c>
      <c r="AH307" s="7">
        <f t="shared" si="32"/>
        <v>5223.1643597401662</v>
      </c>
      <c r="AI307" s="8">
        <f t="shared" si="33"/>
        <v>34577.348061479897</v>
      </c>
      <c r="AJ307" s="6">
        <v>0</v>
      </c>
      <c r="AK307" s="5">
        <v>0</v>
      </c>
      <c r="AL307" s="6">
        <v>0</v>
      </c>
      <c r="AM307" s="5">
        <v>0</v>
      </c>
      <c r="AN307" s="6">
        <v>0</v>
      </c>
      <c r="AO307" s="5">
        <v>0</v>
      </c>
      <c r="AP307" s="6">
        <v>0</v>
      </c>
      <c r="AQ307" s="5">
        <v>0</v>
      </c>
      <c r="AR307" s="6">
        <v>5895</v>
      </c>
      <c r="AS307" s="5">
        <v>40685.579795298283</v>
      </c>
      <c r="AT307" s="6">
        <v>0</v>
      </c>
      <c r="AU307" s="5">
        <v>0</v>
      </c>
      <c r="AV307" s="6">
        <v>0</v>
      </c>
      <c r="AW307" s="5">
        <v>0</v>
      </c>
      <c r="AX307" s="6">
        <v>0</v>
      </c>
      <c r="AY307" s="5">
        <v>0</v>
      </c>
      <c r="AZ307" s="6">
        <v>0</v>
      </c>
      <c r="BA307" s="5">
        <v>0</v>
      </c>
      <c r="BB307" s="6">
        <v>0</v>
      </c>
      <c r="BC307" s="5">
        <v>0</v>
      </c>
      <c r="BD307" s="6">
        <v>0</v>
      </c>
      <c r="BE307" s="5">
        <v>0</v>
      </c>
      <c r="BF307" s="6">
        <v>0</v>
      </c>
      <c r="BG307" s="5">
        <v>0</v>
      </c>
      <c r="BH307" s="9">
        <f t="shared" si="34"/>
        <v>5895</v>
      </c>
      <c r="BI307" s="10">
        <f t="shared" si="35"/>
        <v>40685.579795298283</v>
      </c>
      <c r="BJ307" s="6">
        <f t="shared" si="36"/>
        <v>671.83564025983378</v>
      </c>
      <c r="BK307" s="11">
        <f t="shared" si="37"/>
        <v>0.12862617256280542</v>
      </c>
      <c r="BL307" s="5">
        <f t="shared" si="38"/>
        <v>6108.2317338183857</v>
      </c>
      <c r="BM307" s="11">
        <f t="shared" si="39"/>
        <v>0.1766541414037221</v>
      </c>
    </row>
    <row r="308" spans="1:65" ht="15" customHeight="1" x14ac:dyDescent="0.4">
      <c r="A308" s="2" t="s">
        <v>269</v>
      </c>
      <c r="B308" s="2" t="s">
        <v>280</v>
      </c>
      <c r="C308" s="2" t="s">
        <v>301</v>
      </c>
      <c r="D308" s="3" t="s">
        <v>68</v>
      </c>
      <c r="E308" s="3" t="s">
        <v>302</v>
      </c>
      <c r="F308" s="2" t="s">
        <v>304</v>
      </c>
      <c r="G308" s="4">
        <v>1</v>
      </c>
      <c r="H308" s="5">
        <v>6.6199999999999992</v>
      </c>
      <c r="I308" s="5">
        <v>6.9005393139922448</v>
      </c>
      <c r="J308" s="6">
        <v>0</v>
      </c>
      <c r="K308" s="5">
        <v>0</v>
      </c>
      <c r="L308" s="6">
        <v>0</v>
      </c>
      <c r="M308" s="5">
        <v>0</v>
      </c>
      <c r="N308" s="6">
        <v>0</v>
      </c>
      <c r="O308" s="5">
        <v>0</v>
      </c>
      <c r="P308" s="6">
        <v>0</v>
      </c>
      <c r="Q308" s="5">
        <v>0</v>
      </c>
      <c r="R308" s="6">
        <v>0</v>
      </c>
      <c r="S308" s="5">
        <v>0</v>
      </c>
      <c r="T308" s="6">
        <v>0</v>
      </c>
      <c r="U308" s="5">
        <v>0</v>
      </c>
      <c r="V308" s="6">
        <v>0</v>
      </c>
      <c r="W308" s="5">
        <v>0</v>
      </c>
      <c r="X308" s="6">
        <v>0</v>
      </c>
      <c r="Y308" s="5">
        <v>0</v>
      </c>
      <c r="Z308" s="6">
        <v>0</v>
      </c>
      <c r="AA308" s="5">
        <v>0</v>
      </c>
      <c r="AB308" s="6">
        <v>1895.992278596779</v>
      </c>
      <c r="AC308" s="5">
        <v>12551.468884310671</v>
      </c>
      <c r="AD308" s="6">
        <v>0</v>
      </c>
      <c r="AE308" s="5">
        <v>0</v>
      </c>
      <c r="AF308" s="6">
        <v>0</v>
      </c>
      <c r="AG308" s="5">
        <v>0</v>
      </c>
      <c r="AH308" s="7">
        <f t="shared" si="32"/>
        <v>1895.992278596779</v>
      </c>
      <c r="AI308" s="8">
        <f t="shared" si="33"/>
        <v>12551.468884310671</v>
      </c>
      <c r="AJ308" s="6">
        <v>0</v>
      </c>
      <c r="AK308" s="5">
        <v>0</v>
      </c>
      <c r="AL308" s="6">
        <v>0</v>
      </c>
      <c r="AM308" s="5">
        <v>0</v>
      </c>
      <c r="AN308" s="6">
        <v>0</v>
      </c>
      <c r="AO308" s="5">
        <v>0</v>
      </c>
      <c r="AP308" s="6">
        <v>0</v>
      </c>
      <c r="AQ308" s="5">
        <v>0</v>
      </c>
      <c r="AR308" s="6">
        <v>0</v>
      </c>
      <c r="AS308" s="5">
        <v>0</v>
      </c>
      <c r="AT308" s="6">
        <v>0</v>
      </c>
      <c r="AU308" s="5">
        <v>0</v>
      </c>
      <c r="AV308" s="6">
        <v>0</v>
      </c>
      <c r="AW308" s="5">
        <v>0</v>
      </c>
      <c r="AX308" s="6">
        <v>0</v>
      </c>
      <c r="AY308" s="5">
        <v>0</v>
      </c>
      <c r="AZ308" s="6">
        <v>0</v>
      </c>
      <c r="BA308" s="5">
        <v>0</v>
      </c>
      <c r="BB308" s="6">
        <v>2140</v>
      </c>
      <c r="BC308" s="5">
        <v>14767.1541319434</v>
      </c>
      <c r="BD308" s="6">
        <v>0</v>
      </c>
      <c r="BE308" s="5">
        <v>0</v>
      </c>
      <c r="BF308" s="6">
        <v>0</v>
      </c>
      <c r="BG308" s="5">
        <v>0</v>
      </c>
      <c r="BH308" s="9">
        <f t="shared" si="34"/>
        <v>2140</v>
      </c>
      <c r="BI308" s="10">
        <f t="shared" si="35"/>
        <v>14767.1541319434</v>
      </c>
      <c r="BJ308" s="6">
        <f t="shared" si="36"/>
        <v>244.00772140322101</v>
      </c>
      <c r="BK308" s="11">
        <f t="shared" si="37"/>
        <v>0.12869657970538295</v>
      </c>
      <c r="BL308" s="5">
        <f t="shared" si="38"/>
        <v>2215.6852476327294</v>
      </c>
      <c r="BM308" s="11">
        <f t="shared" si="39"/>
        <v>0.17652796402199067</v>
      </c>
    </row>
    <row r="309" spans="1:65" ht="15" customHeight="1" x14ac:dyDescent="0.4">
      <c r="A309" s="2" t="s">
        <v>269</v>
      </c>
      <c r="B309" s="2" t="s">
        <v>280</v>
      </c>
      <c r="C309" s="2" t="s">
        <v>301</v>
      </c>
      <c r="D309" s="3" t="s">
        <v>68</v>
      </c>
      <c r="E309" s="3" t="s">
        <v>305</v>
      </c>
      <c r="F309" s="2" t="s">
        <v>306</v>
      </c>
      <c r="G309" s="4">
        <v>1000</v>
      </c>
      <c r="H309" s="5">
        <v>1.620000000000001</v>
      </c>
      <c r="I309" s="5">
        <v>1.688651614602332</v>
      </c>
      <c r="J309" s="6">
        <v>0</v>
      </c>
      <c r="K309" s="5">
        <v>0</v>
      </c>
      <c r="L309" s="6">
        <v>43724.216799340022</v>
      </c>
      <c r="M309" s="5">
        <v>70833.231214930842</v>
      </c>
      <c r="N309" s="6">
        <v>21862.108399670011</v>
      </c>
      <c r="O309" s="5">
        <v>35416.615607465421</v>
      </c>
      <c r="P309" s="6">
        <v>0</v>
      </c>
      <c r="Q309" s="5">
        <v>0</v>
      </c>
      <c r="R309" s="6">
        <v>0</v>
      </c>
      <c r="S309" s="5">
        <v>0</v>
      </c>
      <c r="T309" s="6">
        <v>0</v>
      </c>
      <c r="U309" s="5">
        <v>0</v>
      </c>
      <c r="V309" s="6">
        <v>0</v>
      </c>
      <c r="W309" s="5">
        <v>0</v>
      </c>
      <c r="X309" s="6">
        <v>0</v>
      </c>
      <c r="Y309" s="5">
        <v>0</v>
      </c>
      <c r="Z309" s="6">
        <v>0</v>
      </c>
      <c r="AA309" s="5">
        <v>0</v>
      </c>
      <c r="AB309" s="6">
        <v>0</v>
      </c>
      <c r="AC309" s="5">
        <v>0</v>
      </c>
      <c r="AD309" s="6">
        <v>0</v>
      </c>
      <c r="AE309" s="5">
        <v>0</v>
      </c>
      <c r="AF309" s="6">
        <v>0</v>
      </c>
      <c r="AG309" s="5">
        <v>0</v>
      </c>
      <c r="AH309" s="7">
        <f t="shared" si="32"/>
        <v>65586.325199010025</v>
      </c>
      <c r="AI309" s="8">
        <f t="shared" si="33"/>
        <v>106249.84682239627</v>
      </c>
      <c r="AJ309" s="6">
        <v>0</v>
      </c>
      <c r="AK309" s="5">
        <v>0</v>
      </c>
      <c r="AL309" s="6">
        <v>48000</v>
      </c>
      <c r="AM309" s="5">
        <v>81055.277500911936</v>
      </c>
      <c r="AN309" s="6">
        <v>24000</v>
      </c>
      <c r="AO309" s="5">
        <v>40527.638750455968</v>
      </c>
      <c r="AP309" s="6">
        <v>0</v>
      </c>
      <c r="AQ309" s="5">
        <v>0</v>
      </c>
      <c r="AR309" s="6">
        <v>0</v>
      </c>
      <c r="AS309" s="5">
        <v>0</v>
      </c>
      <c r="AT309" s="6">
        <v>0</v>
      </c>
      <c r="AU309" s="5">
        <v>0</v>
      </c>
      <c r="AV309" s="6">
        <v>0</v>
      </c>
      <c r="AW309" s="5">
        <v>0</v>
      </c>
      <c r="AX309" s="6">
        <v>0</v>
      </c>
      <c r="AY309" s="5">
        <v>0</v>
      </c>
      <c r="AZ309" s="6">
        <v>0</v>
      </c>
      <c r="BA309" s="5">
        <v>0</v>
      </c>
      <c r="BB309" s="6">
        <v>0</v>
      </c>
      <c r="BC309" s="5">
        <v>0</v>
      </c>
      <c r="BD309" s="6">
        <v>0</v>
      </c>
      <c r="BE309" s="5">
        <v>0</v>
      </c>
      <c r="BF309" s="6">
        <v>0</v>
      </c>
      <c r="BG309" s="5">
        <v>0</v>
      </c>
      <c r="BH309" s="9">
        <f t="shared" si="34"/>
        <v>72000</v>
      </c>
      <c r="BI309" s="10">
        <f t="shared" si="35"/>
        <v>121582.9162513679</v>
      </c>
      <c r="BJ309" s="6">
        <f t="shared" si="36"/>
        <v>6413.6748009899748</v>
      </c>
      <c r="BK309" s="11">
        <f t="shared" si="37"/>
        <v>9.7789817946482296E-2</v>
      </c>
      <c r="BL309" s="5">
        <f t="shared" si="38"/>
        <v>15333.069428971634</v>
      </c>
      <c r="BM309" s="11">
        <f t="shared" si="39"/>
        <v>0.14431144973415241</v>
      </c>
    </row>
    <row r="310" spans="1:65" ht="15" customHeight="1" x14ac:dyDescent="0.4">
      <c r="A310" s="2" t="s">
        <v>269</v>
      </c>
      <c r="B310" s="2" t="s">
        <v>280</v>
      </c>
      <c r="C310" s="2" t="s">
        <v>301</v>
      </c>
      <c r="D310" s="3" t="s">
        <v>68</v>
      </c>
      <c r="E310" s="3" t="s">
        <v>305</v>
      </c>
      <c r="F310" s="2" t="s">
        <v>307</v>
      </c>
      <c r="G310" s="4">
        <v>1000</v>
      </c>
      <c r="H310" s="5">
        <v>1.62</v>
      </c>
      <c r="I310" s="5">
        <v>1.688651614602332</v>
      </c>
      <c r="J310" s="6">
        <v>0</v>
      </c>
      <c r="K310" s="5">
        <v>0</v>
      </c>
      <c r="L310" s="6">
        <v>0</v>
      </c>
      <c r="M310" s="5">
        <v>0</v>
      </c>
      <c r="N310" s="6">
        <v>0</v>
      </c>
      <c r="O310" s="5">
        <v>0</v>
      </c>
      <c r="P310" s="6">
        <v>21862.108399670011</v>
      </c>
      <c r="Q310" s="5">
        <v>35416.615607465421</v>
      </c>
      <c r="R310" s="6">
        <v>0</v>
      </c>
      <c r="S310" s="5">
        <v>0</v>
      </c>
      <c r="T310" s="6">
        <v>0</v>
      </c>
      <c r="U310" s="5">
        <v>0</v>
      </c>
      <c r="V310" s="6">
        <v>0</v>
      </c>
      <c r="W310" s="5">
        <v>0</v>
      </c>
      <c r="X310" s="6">
        <v>0</v>
      </c>
      <c r="Y310" s="5">
        <v>0</v>
      </c>
      <c r="Z310" s="6">
        <v>0</v>
      </c>
      <c r="AA310" s="5">
        <v>0</v>
      </c>
      <c r="AB310" s="6">
        <v>0</v>
      </c>
      <c r="AC310" s="5">
        <v>0</v>
      </c>
      <c r="AD310" s="6">
        <v>18959.922785967781</v>
      </c>
      <c r="AE310" s="5">
        <v>30715.074913267821</v>
      </c>
      <c r="AF310" s="6">
        <v>0</v>
      </c>
      <c r="AG310" s="5">
        <v>0</v>
      </c>
      <c r="AH310" s="7">
        <f t="shared" si="32"/>
        <v>40822.031185637796</v>
      </c>
      <c r="AI310" s="8">
        <f t="shared" si="33"/>
        <v>66131.690520733246</v>
      </c>
      <c r="AJ310" s="6">
        <v>0</v>
      </c>
      <c r="AK310" s="5">
        <v>0</v>
      </c>
      <c r="AL310" s="6">
        <v>0</v>
      </c>
      <c r="AM310" s="5">
        <v>0</v>
      </c>
      <c r="AN310" s="6">
        <v>0</v>
      </c>
      <c r="AO310" s="5">
        <v>0</v>
      </c>
      <c r="AP310" s="6">
        <v>24000</v>
      </c>
      <c r="AQ310" s="5">
        <v>40527.638750455968</v>
      </c>
      <c r="AR310" s="6">
        <v>0</v>
      </c>
      <c r="AS310" s="5">
        <v>0</v>
      </c>
      <c r="AT310" s="6">
        <v>0</v>
      </c>
      <c r="AU310" s="5">
        <v>0</v>
      </c>
      <c r="AV310" s="6">
        <v>0</v>
      </c>
      <c r="AW310" s="5">
        <v>0</v>
      </c>
      <c r="AX310" s="6">
        <v>0</v>
      </c>
      <c r="AY310" s="5">
        <v>0</v>
      </c>
      <c r="AZ310" s="6">
        <v>0</v>
      </c>
      <c r="BA310" s="5">
        <v>0</v>
      </c>
      <c r="BB310" s="6">
        <v>0</v>
      </c>
      <c r="BC310" s="5">
        <v>0</v>
      </c>
      <c r="BD310" s="6">
        <v>21000</v>
      </c>
      <c r="BE310" s="5">
        <v>35461.683906648977</v>
      </c>
      <c r="BF310" s="6">
        <v>0</v>
      </c>
      <c r="BG310" s="5">
        <v>0</v>
      </c>
      <c r="BH310" s="9">
        <f t="shared" si="34"/>
        <v>45000</v>
      </c>
      <c r="BI310" s="10">
        <f t="shared" si="35"/>
        <v>75989.322657104945</v>
      </c>
      <c r="BJ310" s="6">
        <f t="shared" si="36"/>
        <v>4177.9688143622043</v>
      </c>
      <c r="BK310" s="11">
        <f t="shared" si="37"/>
        <v>0.10234593167015456</v>
      </c>
      <c r="BL310" s="5">
        <f t="shared" si="38"/>
        <v>9857.6321363716997</v>
      </c>
      <c r="BM310" s="11">
        <f t="shared" si="39"/>
        <v>0.14906064034883834</v>
      </c>
    </row>
    <row r="311" spans="1:65" ht="15" customHeight="1" x14ac:dyDescent="0.4">
      <c r="A311" s="2" t="s">
        <v>269</v>
      </c>
      <c r="B311" s="2" t="s">
        <v>280</v>
      </c>
      <c r="C311" s="2" t="s">
        <v>301</v>
      </c>
      <c r="D311" s="3" t="s">
        <v>68</v>
      </c>
      <c r="E311" s="3" t="s">
        <v>305</v>
      </c>
      <c r="F311" s="2" t="s">
        <v>308</v>
      </c>
      <c r="G311" s="4">
        <v>1000</v>
      </c>
      <c r="H311" s="5">
        <v>1.62</v>
      </c>
      <c r="I311" s="5">
        <v>1.688651614602332</v>
      </c>
      <c r="J311" s="6">
        <v>0</v>
      </c>
      <c r="K311" s="5">
        <v>0</v>
      </c>
      <c r="L311" s="6">
        <v>0</v>
      </c>
      <c r="M311" s="5">
        <v>0</v>
      </c>
      <c r="N311" s="6">
        <v>0</v>
      </c>
      <c r="O311" s="5">
        <v>0</v>
      </c>
      <c r="P311" s="6">
        <v>0</v>
      </c>
      <c r="Q311" s="5">
        <v>0</v>
      </c>
      <c r="R311" s="6">
        <v>21862.108399670011</v>
      </c>
      <c r="S311" s="5">
        <v>35416.615607465421</v>
      </c>
      <c r="T311" s="6">
        <v>0</v>
      </c>
      <c r="U311" s="5">
        <v>0</v>
      </c>
      <c r="V311" s="6">
        <v>0</v>
      </c>
      <c r="W311" s="5">
        <v>0</v>
      </c>
      <c r="X311" s="6">
        <v>0</v>
      </c>
      <c r="Y311" s="5">
        <v>0</v>
      </c>
      <c r="Z311" s="6">
        <v>0</v>
      </c>
      <c r="AA311" s="5">
        <v>0</v>
      </c>
      <c r="AB311" s="6">
        <v>0</v>
      </c>
      <c r="AC311" s="5">
        <v>0</v>
      </c>
      <c r="AD311" s="6">
        <v>0</v>
      </c>
      <c r="AE311" s="5">
        <v>0</v>
      </c>
      <c r="AF311" s="6">
        <v>0</v>
      </c>
      <c r="AG311" s="5">
        <v>0</v>
      </c>
      <c r="AH311" s="7">
        <f t="shared" si="32"/>
        <v>21862.108399670011</v>
      </c>
      <c r="AI311" s="8">
        <f t="shared" si="33"/>
        <v>35416.615607465421</v>
      </c>
      <c r="AJ311" s="6">
        <v>0</v>
      </c>
      <c r="AK311" s="5">
        <v>0</v>
      </c>
      <c r="AL311" s="6">
        <v>0</v>
      </c>
      <c r="AM311" s="5">
        <v>0</v>
      </c>
      <c r="AN311" s="6">
        <v>0</v>
      </c>
      <c r="AO311" s="5">
        <v>0</v>
      </c>
      <c r="AP311" s="6">
        <v>0</v>
      </c>
      <c r="AQ311" s="5">
        <v>0</v>
      </c>
      <c r="AR311" s="6">
        <v>24000</v>
      </c>
      <c r="AS311" s="5">
        <v>40527.638750455968</v>
      </c>
      <c r="AT311" s="6">
        <v>0</v>
      </c>
      <c r="AU311" s="5">
        <v>0</v>
      </c>
      <c r="AV311" s="6">
        <v>0</v>
      </c>
      <c r="AW311" s="5">
        <v>0</v>
      </c>
      <c r="AX311" s="6">
        <v>0</v>
      </c>
      <c r="AY311" s="5">
        <v>0</v>
      </c>
      <c r="AZ311" s="6">
        <v>0</v>
      </c>
      <c r="BA311" s="5">
        <v>0</v>
      </c>
      <c r="BB311" s="6">
        <v>0</v>
      </c>
      <c r="BC311" s="5">
        <v>0</v>
      </c>
      <c r="BD311" s="6">
        <v>0</v>
      </c>
      <c r="BE311" s="5">
        <v>0</v>
      </c>
      <c r="BF311" s="6">
        <v>0</v>
      </c>
      <c r="BG311" s="5">
        <v>0</v>
      </c>
      <c r="BH311" s="9">
        <f t="shared" si="34"/>
        <v>24000</v>
      </c>
      <c r="BI311" s="10">
        <f t="shared" si="35"/>
        <v>40527.638750455968</v>
      </c>
      <c r="BJ311" s="6">
        <f t="shared" si="36"/>
        <v>2137.8916003299892</v>
      </c>
      <c r="BK311" s="11">
        <f t="shared" si="37"/>
        <v>9.7789817946482172E-2</v>
      </c>
      <c r="BL311" s="5">
        <f t="shared" si="38"/>
        <v>5111.0231429905471</v>
      </c>
      <c r="BM311" s="11">
        <f t="shared" si="39"/>
        <v>0.1443114497341525</v>
      </c>
    </row>
    <row r="312" spans="1:65" ht="15" customHeight="1" x14ac:dyDescent="0.4">
      <c r="A312" s="2" t="s">
        <v>269</v>
      </c>
      <c r="B312" s="2" t="s">
        <v>280</v>
      </c>
      <c r="C312" s="2" t="s">
        <v>301</v>
      </c>
      <c r="D312" s="3" t="s">
        <v>68</v>
      </c>
      <c r="E312" s="3" t="s">
        <v>305</v>
      </c>
      <c r="F312" s="2" t="s">
        <v>309</v>
      </c>
      <c r="G312" s="4">
        <v>1000</v>
      </c>
      <c r="H312" s="5">
        <v>1.5389999999999999</v>
      </c>
      <c r="I312" s="5">
        <v>1.604219033872216</v>
      </c>
      <c r="J312" s="6">
        <v>0</v>
      </c>
      <c r="K312" s="5">
        <v>0</v>
      </c>
      <c r="L312" s="6">
        <v>0</v>
      </c>
      <c r="M312" s="5">
        <v>0</v>
      </c>
      <c r="N312" s="6">
        <v>0</v>
      </c>
      <c r="O312" s="5">
        <v>0</v>
      </c>
      <c r="P312" s="6">
        <v>0</v>
      </c>
      <c r="Q312" s="5">
        <v>0</v>
      </c>
      <c r="R312" s="6">
        <v>0</v>
      </c>
      <c r="S312" s="5">
        <v>0</v>
      </c>
      <c r="T312" s="6">
        <v>0</v>
      </c>
      <c r="U312" s="5">
        <v>0</v>
      </c>
      <c r="V312" s="6">
        <v>0</v>
      </c>
      <c r="W312" s="5">
        <v>0</v>
      </c>
      <c r="X312" s="6">
        <v>21862.108399670011</v>
      </c>
      <c r="Y312" s="5">
        <v>33645.784827092153</v>
      </c>
      <c r="Z312" s="6">
        <v>0</v>
      </c>
      <c r="AA312" s="5">
        <v>0</v>
      </c>
      <c r="AB312" s="6">
        <v>0</v>
      </c>
      <c r="AC312" s="5">
        <v>0</v>
      </c>
      <c r="AD312" s="6">
        <v>0</v>
      </c>
      <c r="AE312" s="5">
        <v>0</v>
      </c>
      <c r="AF312" s="6">
        <v>0</v>
      </c>
      <c r="AG312" s="5">
        <v>0</v>
      </c>
      <c r="AH312" s="7">
        <f t="shared" si="32"/>
        <v>21862.108399670011</v>
      </c>
      <c r="AI312" s="8">
        <f t="shared" si="33"/>
        <v>33645.784827092153</v>
      </c>
      <c r="AJ312" s="6">
        <v>0</v>
      </c>
      <c r="AK312" s="5">
        <v>0</v>
      </c>
      <c r="AL312" s="6">
        <v>0</v>
      </c>
      <c r="AM312" s="5">
        <v>0</v>
      </c>
      <c r="AN312" s="6">
        <v>0</v>
      </c>
      <c r="AO312" s="5">
        <v>0</v>
      </c>
      <c r="AP312" s="6">
        <v>0</v>
      </c>
      <c r="AQ312" s="5">
        <v>0</v>
      </c>
      <c r="AR312" s="6">
        <v>0</v>
      </c>
      <c r="AS312" s="5">
        <v>0</v>
      </c>
      <c r="AT312" s="6">
        <v>0</v>
      </c>
      <c r="AU312" s="5">
        <v>0</v>
      </c>
      <c r="AV312" s="6">
        <v>0</v>
      </c>
      <c r="AW312" s="5">
        <v>0</v>
      </c>
      <c r="AX312" s="6">
        <v>24000</v>
      </c>
      <c r="AY312" s="5">
        <v>38501.25681293317</v>
      </c>
      <c r="AZ312" s="6">
        <v>0</v>
      </c>
      <c r="BA312" s="5">
        <v>0</v>
      </c>
      <c r="BB312" s="6">
        <v>0</v>
      </c>
      <c r="BC312" s="5">
        <v>0</v>
      </c>
      <c r="BD312" s="6">
        <v>0</v>
      </c>
      <c r="BE312" s="5">
        <v>0</v>
      </c>
      <c r="BF312" s="6">
        <v>0</v>
      </c>
      <c r="BG312" s="5">
        <v>0</v>
      </c>
      <c r="BH312" s="9">
        <f t="shared" si="34"/>
        <v>24000</v>
      </c>
      <c r="BI312" s="10">
        <f t="shared" si="35"/>
        <v>38501.25681293317</v>
      </c>
      <c r="BJ312" s="6">
        <f t="shared" si="36"/>
        <v>2137.8916003299892</v>
      </c>
      <c r="BK312" s="11">
        <f t="shared" si="37"/>
        <v>9.7789817946482172E-2</v>
      </c>
      <c r="BL312" s="5">
        <f t="shared" si="38"/>
        <v>4855.4719858410172</v>
      </c>
      <c r="BM312" s="11">
        <f t="shared" si="39"/>
        <v>0.14431144973415241</v>
      </c>
    </row>
    <row r="313" spans="1:65" ht="15" customHeight="1" x14ac:dyDescent="0.4">
      <c r="A313" s="2" t="s">
        <v>269</v>
      </c>
      <c r="B313" s="2" t="s">
        <v>280</v>
      </c>
      <c r="C313" s="2" t="s">
        <v>301</v>
      </c>
      <c r="D313" s="3" t="s">
        <v>68</v>
      </c>
      <c r="E313" s="3" t="s">
        <v>289</v>
      </c>
      <c r="F313" s="2" t="s">
        <v>291</v>
      </c>
      <c r="G313" s="4">
        <v>1</v>
      </c>
      <c r="H313" s="5">
        <v>5.84</v>
      </c>
      <c r="I313" s="5">
        <v>6.0892580588801044</v>
      </c>
      <c r="J313" s="6">
        <v>0</v>
      </c>
      <c r="K313" s="5">
        <v>0</v>
      </c>
      <c r="L313" s="6">
        <v>0</v>
      </c>
      <c r="M313" s="5">
        <v>0</v>
      </c>
      <c r="N313" s="6">
        <v>0</v>
      </c>
      <c r="O313" s="5">
        <v>0</v>
      </c>
      <c r="P313" s="6">
        <v>0</v>
      </c>
      <c r="Q313" s="5">
        <v>0</v>
      </c>
      <c r="R313" s="6">
        <v>0</v>
      </c>
      <c r="S313" s="5">
        <v>0</v>
      </c>
      <c r="T313" s="6">
        <v>0</v>
      </c>
      <c r="U313" s="5">
        <v>0</v>
      </c>
      <c r="V313" s="6">
        <v>0</v>
      </c>
      <c r="W313" s="5">
        <v>0</v>
      </c>
      <c r="X313" s="6">
        <v>0</v>
      </c>
      <c r="Y313" s="5">
        <v>0</v>
      </c>
      <c r="Z313" s="6">
        <v>0</v>
      </c>
      <c r="AA313" s="5">
        <v>0</v>
      </c>
      <c r="AB313" s="6">
        <v>0</v>
      </c>
      <c r="AC313" s="5">
        <v>0</v>
      </c>
      <c r="AD313" s="6">
        <v>0</v>
      </c>
      <c r="AE313" s="5">
        <v>0</v>
      </c>
      <c r="AF313" s="6">
        <v>2843.9884178951679</v>
      </c>
      <c r="AG313" s="5">
        <v>16608.89236050778</v>
      </c>
      <c r="AH313" s="7">
        <f t="shared" si="32"/>
        <v>2843.9884178951679</v>
      </c>
      <c r="AI313" s="8">
        <f t="shared" si="33"/>
        <v>16608.89236050778</v>
      </c>
      <c r="AJ313" s="6">
        <v>0</v>
      </c>
      <c r="AK313" s="5">
        <v>0</v>
      </c>
      <c r="AL313" s="6">
        <v>0</v>
      </c>
      <c r="AM313" s="5">
        <v>0</v>
      </c>
      <c r="AN313" s="6">
        <v>0</v>
      </c>
      <c r="AO313" s="5">
        <v>0</v>
      </c>
      <c r="AP313" s="6">
        <v>0</v>
      </c>
      <c r="AQ313" s="5">
        <v>0</v>
      </c>
      <c r="AR313" s="6">
        <v>0</v>
      </c>
      <c r="AS313" s="5">
        <v>0</v>
      </c>
      <c r="AT313" s="6">
        <v>0</v>
      </c>
      <c r="AU313" s="5">
        <v>0</v>
      </c>
      <c r="AV313" s="6">
        <v>0</v>
      </c>
      <c r="AW313" s="5">
        <v>0</v>
      </c>
      <c r="AX313" s="6">
        <v>0</v>
      </c>
      <c r="AY313" s="5">
        <v>0</v>
      </c>
      <c r="AZ313" s="6">
        <v>0</v>
      </c>
      <c r="BA313" s="5">
        <v>0</v>
      </c>
      <c r="BB313" s="6">
        <v>0</v>
      </c>
      <c r="BC313" s="5">
        <v>0</v>
      </c>
      <c r="BD313" s="6">
        <v>0</v>
      </c>
      <c r="BE313" s="5">
        <v>0</v>
      </c>
      <c r="BF313" s="6">
        <v>3433</v>
      </c>
      <c r="BG313" s="5">
        <v>20904.422916135391</v>
      </c>
      <c r="BH313" s="9">
        <f t="shared" si="34"/>
        <v>3433</v>
      </c>
      <c r="BI313" s="10">
        <f t="shared" si="35"/>
        <v>20904.422916135391</v>
      </c>
      <c r="BJ313" s="6">
        <f t="shared" si="36"/>
        <v>589.01158210483209</v>
      </c>
      <c r="BK313" s="11">
        <f t="shared" si="37"/>
        <v>0.20710758820205</v>
      </c>
      <c r="BL313" s="5">
        <f t="shared" si="38"/>
        <v>4295.5305556276107</v>
      </c>
      <c r="BM313" s="11">
        <f t="shared" si="39"/>
        <v>0.2586283577730577</v>
      </c>
    </row>
    <row r="314" spans="1:65" ht="15" customHeight="1" x14ac:dyDescent="0.4">
      <c r="A314" s="2" t="s">
        <v>269</v>
      </c>
      <c r="B314" s="2" t="s">
        <v>280</v>
      </c>
      <c r="C314" s="2" t="s">
        <v>301</v>
      </c>
      <c r="D314" s="3" t="s">
        <v>68</v>
      </c>
      <c r="E314" s="3" t="s">
        <v>292</v>
      </c>
      <c r="F314" s="2" t="s">
        <v>293</v>
      </c>
      <c r="G314" s="4">
        <v>1</v>
      </c>
      <c r="H314" s="5">
        <v>5.23</v>
      </c>
      <c r="I314" s="5">
        <v>5.4524349497318054</v>
      </c>
      <c r="J314" s="6">
        <v>0</v>
      </c>
      <c r="K314" s="5">
        <v>0</v>
      </c>
      <c r="L314" s="6">
        <v>0</v>
      </c>
      <c r="M314" s="5">
        <v>0</v>
      </c>
      <c r="N314" s="6">
        <v>0</v>
      </c>
      <c r="O314" s="5">
        <v>0</v>
      </c>
      <c r="P314" s="6">
        <v>0</v>
      </c>
      <c r="Q314" s="5">
        <v>0</v>
      </c>
      <c r="R314" s="6">
        <v>0</v>
      </c>
      <c r="S314" s="5">
        <v>0</v>
      </c>
      <c r="T314" s="6">
        <v>6267.7972316881987</v>
      </c>
      <c r="U314" s="5">
        <v>32780.579521729283</v>
      </c>
      <c r="V314" s="6">
        <v>0</v>
      </c>
      <c r="W314" s="5">
        <v>0</v>
      </c>
      <c r="X314" s="6">
        <v>0</v>
      </c>
      <c r="Y314" s="5">
        <v>0</v>
      </c>
      <c r="Z314" s="6">
        <v>0</v>
      </c>
      <c r="AA314" s="5">
        <v>0</v>
      </c>
      <c r="AB314" s="6">
        <v>0</v>
      </c>
      <c r="AC314" s="5">
        <v>0</v>
      </c>
      <c r="AD314" s="6">
        <v>0</v>
      </c>
      <c r="AE314" s="5">
        <v>0</v>
      </c>
      <c r="AF314" s="6">
        <v>0</v>
      </c>
      <c r="AG314" s="5">
        <v>0</v>
      </c>
      <c r="AH314" s="7">
        <f t="shared" si="32"/>
        <v>6267.7972316881987</v>
      </c>
      <c r="AI314" s="8">
        <f t="shared" si="33"/>
        <v>32780.579521729283</v>
      </c>
      <c r="AJ314" s="6">
        <v>0</v>
      </c>
      <c r="AK314" s="5">
        <v>0</v>
      </c>
      <c r="AL314" s="6">
        <v>0</v>
      </c>
      <c r="AM314" s="5">
        <v>0</v>
      </c>
      <c r="AN314" s="6">
        <v>0</v>
      </c>
      <c r="AO314" s="5">
        <v>0</v>
      </c>
      <c r="AP314" s="6">
        <v>0</v>
      </c>
      <c r="AQ314" s="5">
        <v>0</v>
      </c>
      <c r="AR314" s="6">
        <v>0</v>
      </c>
      <c r="AS314" s="5">
        <v>0</v>
      </c>
      <c r="AT314" s="6">
        <v>6811</v>
      </c>
      <c r="AU314" s="5">
        <v>37136.534442623321</v>
      </c>
      <c r="AV314" s="6">
        <v>0</v>
      </c>
      <c r="AW314" s="5">
        <v>0</v>
      </c>
      <c r="AX314" s="6">
        <v>0</v>
      </c>
      <c r="AY314" s="5">
        <v>0</v>
      </c>
      <c r="AZ314" s="6">
        <v>0</v>
      </c>
      <c r="BA314" s="5">
        <v>0</v>
      </c>
      <c r="BB314" s="6">
        <v>0</v>
      </c>
      <c r="BC314" s="5">
        <v>0</v>
      </c>
      <c r="BD314" s="6">
        <v>0</v>
      </c>
      <c r="BE314" s="5">
        <v>0</v>
      </c>
      <c r="BF314" s="6">
        <v>0</v>
      </c>
      <c r="BG314" s="5">
        <v>0</v>
      </c>
      <c r="BH314" s="9">
        <f t="shared" si="34"/>
        <v>6811</v>
      </c>
      <c r="BI314" s="10">
        <f t="shared" si="35"/>
        <v>37136.534442623321</v>
      </c>
      <c r="BJ314" s="6">
        <f t="shared" si="36"/>
        <v>543.20276831180126</v>
      </c>
      <c r="BK314" s="11">
        <f t="shared" si="37"/>
        <v>8.6665657524069656E-2</v>
      </c>
      <c r="BL314" s="5">
        <f t="shared" si="38"/>
        <v>4355.9549208940371</v>
      </c>
      <c r="BM314" s="11">
        <f t="shared" si="39"/>
        <v>0.13288218159799775</v>
      </c>
    </row>
    <row r="315" spans="1:65" ht="15" customHeight="1" x14ac:dyDescent="0.4">
      <c r="A315" s="2" t="s">
        <v>269</v>
      </c>
      <c r="B315" s="2" t="s">
        <v>280</v>
      </c>
      <c r="C315" s="2" t="s">
        <v>301</v>
      </c>
      <c r="D315" s="3" t="s">
        <v>68</v>
      </c>
      <c r="E315" s="3" t="s">
        <v>292</v>
      </c>
      <c r="F315" s="2" t="s">
        <v>310</v>
      </c>
      <c r="G315" s="4">
        <v>1</v>
      </c>
      <c r="H315" s="5">
        <v>5.23</v>
      </c>
      <c r="I315" s="5">
        <v>5.4523027898174963</v>
      </c>
      <c r="J315" s="6">
        <v>0</v>
      </c>
      <c r="K315" s="5">
        <v>0</v>
      </c>
      <c r="L315" s="6">
        <v>0</v>
      </c>
      <c r="M315" s="5">
        <v>0</v>
      </c>
      <c r="N315" s="6">
        <v>0</v>
      </c>
      <c r="O315" s="5">
        <v>0</v>
      </c>
      <c r="P315" s="6">
        <v>0</v>
      </c>
      <c r="Q315" s="5">
        <v>0</v>
      </c>
      <c r="R315" s="6">
        <v>0</v>
      </c>
      <c r="S315" s="5">
        <v>0</v>
      </c>
      <c r="T315" s="6">
        <v>0</v>
      </c>
      <c r="U315" s="5">
        <v>0</v>
      </c>
      <c r="V315" s="6">
        <v>0</v>
      </c>
      <c r="W315" s="5">
        <v>0</v>
      </c>
      <c r="X315" s="6">
        <v>0</v>
      </c>
      <c r="Y315" s="5">
        <v>0</v>
      </c>
      <c r="Z315" s="6">
        <v>0</v>
      </c>
      <c r="AA315" s="5">
        <v>0</v>
      </c>
      <c r="AB315" s="6">
        <v>0</v>
      </c>
      <c r="AC315" s="5">
        <v>0</v>
      </c>
      <c r="AD315" s="6">
        <v>7508.1294232432438</v>
      </c>
      <c r="AE315" s="5">
        <v>39267.516883562173</v>
      </c>
      <c r="AF315" s="6">
        <v>0</v>
      </c>
      <c r="AG315" s="5">
        <v>0</v>
      </c>
      <c r="AH315" s="7">
        <f t="shared" si="32"/>
        <v>7508.1294232432438</v>
      </c>
      <c r="AI315" s="8">
        <f t="shared" si="33"/>
        <v>39267.516883562173</v>
      </c>
      <c r="AJ315" s="6">
        <v>0</v>
      </c>
      <c r="AK315" s="5">
        <v>0</v>
      </c>
      <c r="AL315" s="6">
        <v>0</v>
      </c>
      <c r="AM315" s="5">
        <v>0</v>
      </c>
      <c r="AN315" s="6">
        <v>0</v>
      </c>
      <c r="AO315" s="5">
        <v>0</v>
      </c>
      <c r="AP315" s="6">
        <v>0</v>
      </c>
      <c r="AQ315" s="5">
        <v>0</v>
      </c>
      <c r="AR315" s="6">
        <v>0</v>
      </c>
      <c r="AS315" s="5">
        <v>0</v>
      </c>
      <c r="AT315" s="6">
        <v>0</v>
      </c>
      <c r="AU315" s="5">
        <v>0</v>
      </c>
      <c r="AV315" s="6">
        <v>0</v>
      </c>
      <c r="AW315" s="5">
        <v>0</v>
      </c>
      <c r="AX315" s="6">
        <v>0</v>
      </c>
      <c r="AY315" s="5">
        <v>0</v>
      </c>
      <c r="AZ315" s="6">
        <v>0</v>
      </c>
      <c r="BA315" s="5">
        <v>0</v>
      </c>
      <c r="BB315" s="6">
        <v>0</v>
      </c>
      <c r="BC315" s="5">
        <v>0</v>
      </c>
      <c r="BD315" s="6">
        <v>8158</v>
      </c>
      <c r="BE315" s="5">
        <v>44479.886159331138</v>
      </c>
      <c r="BF315" s="6">
        <v>0</v>
      </c>
      <c r="BG315" s="5">
        <v>0</v>
      </c>
      <c r="BH315" s="9">
        <f t="shared" si="34"/>
        <v>8158</v>
      </c>
      <c r="BI315" s="10">
        <f t="shared" si="35"/>
        <v>44479.886159331138</v>
      </c>
      <c r="BJ315" s="6">
        <f t="shared" si="36"/>
        <v>649.87057675675624</v>
      </c>
      <c r="BK315" s="11">
        <f t="shared" si="37"/>
        <v>8.6555590630193927E-2</v>
      </c>
      <c r="BL315" s="5">
        <f t="shared" si="38"/>
        <v>5212.3692757689641</v>
      </c>
      <c r="BM315" s="11">
        <f t="shared" si="39"/>
        <v>0.13273997668925486</v>
      </c>
    </row>
    <row r="316" spans="1:65" ht="15" customHeight="1" x14ac:dyDescent="0.4">
      <c r="A316" s="2" t="s">
        <v>269</v>
      </c>
      <c r="B316" s="2" t="s">
        <v>280</v>
      </c>
      <c r="C316" s="2" t="s">
        <v>301</v>
      </c>
      <c r="D316" s="3" t="s">
        <v>68</v>
      </c>
      <c r="E316" s="3" t="s">
        <v>294</v>
      </c>
      <c r="F316" s="2" t="s">
        <v>295</v>
      </c>
      <c r="G316" s="4">
        <v>1</v>
      </c>
      <c r="H316" s="5">
        <v>12.55</v>
      </c>
      <c r="I316" s="5">
        <v>13.08390367885691</v>
      </c>
      <c r="J316" s="6">
        <v>0</v>
      </c>
      <c r="K316" s="5">
        <v>0</v>
      </c>
      <c r="L316" s="6">
        <v>9401.695847532299</v>
      </c>
      <c r="M316" s="5">
        <v>117991.2828865303</v>
      </c>
      <c r="N316" s="6">
        <v>0</v>
      </c>
      <c r="O316" s="5">
        <v>0</v>
      </c>
      <c r="P316" s="6">
        <v>0</v>
      </c>
      <c r="Q316" s="5">
        <v>0</v>
      </c>
      <c r="R316" s="6">
        <v>7834.7465396102489</v>
      </c>
      <c r="S316" s="5">
        <v>98326.069072108628</v>
      </c>
      <c r="T316" s="6">
        <v>0</v>
      </c>
      <c r="U316" s="5">
        <v>0</v>
      </c>
      <c r="V316" s="6">
        <v>0</v>
      </c>
      <c r="W316" s="5">
        <v>0</v>
      </c>
      <c r="X316" s="6">
        <v>0</v>
      </c>
      <c r="Y316" s="5">
        <v>0</v>
      </c>
      <c r="Z316" s="6">
        <v>0</v>
      </c>
      <c r="AA316" s="5">
        <v>0</v>
      </c>
      <c r="AB316" s="6">
        <v>0</v>
      </c>
      <c r="AC316" s="5">
        <v>0</v>
      </c>
      <c r="AD316" s="6">
        <v>0</v>
      </c>
      <c r="AE316" s="5">
        <v>0</v>
      </c>
      <c r="AF316" s="6">
        <v>0</v>
      </c>
      <c r="AG316" s="5">
        <v>0</v>
      </c>
      <c r="AH316" s="7">
        <f t="shared" si="32"/>
        <v>17236.442387142546</v>
      </c>
      <c r="AI316" s="8">
        <f t="shared" si="33"/>
        <v>216317.35195863893</v>
      </c>
      <c r="AJ316" s="6">
        <v>0</v>
      </c>
      <c r="AK316" s="5">
        <v>0</v>
      </c>
      <c r="AL316" s="6">
        <v>10363</v>
      </c>
      <c r="AM316" s="5">
        <v>135593.25217048291</v>
      </c>
      <c r="AN316" s="6">
        <v>0</v>
      </c>
      <c r="AO316" s="5">
        <v>0</v>
      </c>
      <c r="AP316" s="6">
        <v>0</v>
      </c>
      <c r="AQ316" s="5">
        <v>0</v>
      </c>
      <c r="AR316" s="6">
        <v>8637</v>
      </c>
      <c r="AS316" s="5">
        <v>113000.9177277985</v>
      </c>
      <c r="AT316" s="6">
        <v>0</v>
      </c>
      <c r="AU316" s="5">
        <v>0</v>
      </c>
      <c r="AV316" s="6">
        <v>0</v>
      </c>
      <c r="AW316" s="5">
        <v>0</v>
      </c>
      <c r="AX316" s="6">
        <v>0</v>
      </c>
      <c r="AY316" s="5">
        <v>0</v>
      </c>
      <c r="AZ316" s="6">
        <v>0</v>
      </c>
      <c r="BA316" s="5">
        <v>0</v>
      </c>
      <c r="BB316" s="6">
        <v>0</v>
      </c>
      <c r="BC316" s="5">
        <v>0</v>
      </c>
      <c r="BD316" s="6">
        <v>0</v>
      </c>
      <c r="BE316" s="5">
        <v>0</v>
      </c>
      <c r="BF316" s="6">
        <v>0</v>
      </c>
      <c r="BG316" s="5">
        <v>0</v>
      </c>
      <c r="BH316" s="9">
        <f t="shared" si="34"/>
        <v>19000</v>
      </c>
      <c r="BI316" s="10">
        <f t="shared" si="35"/>
        <v>248594.1698982814</v>
      </c>
      <c r="BJ316" s="6">
        <f t="shared" si="36"/>
        <v>1763.5576128574539</v>
      </c>
      <c r="BK316" s="11">
        <f t="shared" si="37"/>
        <v>0.10231563876388856</v>
      </c>
      <c r="BL316" s="5">
        <f t="shared" si="38"/>
        <v>32276.817939642468</v>
      </c>
      <c r="BM316" s="11">
        <f t="shared" si="39"/>
        <v>0.14921048934536685</v>
      </c>
    </row>
    <row r="317" spans="1:65" ht="15" customHeight="1" x14ac:dyDescent="0.4">
      <c r="A317" s="2" t="s">
        <v>269</v>
      </c>
      <c r="B317" s="2" t="s">
        <v>280</v>
      </c>
      <c r="C317" s="2" t="s">
        <v>301</v>
      </c>
      <c r="D317" s="3" t="s">
        <v>68</v>
      </c>
      <c r="E317" s="3" t="s">
        <v>294</v>
      </c>
      <c r="F317" s="2" t="s">
        <v>311</v>
      </c>
      <c r="G317" s="4">
        <v>1</v>
      </c>
      <c r="H317" s="5">
        <v>12.55</v>
      </c>
      <c r="I317" s="5">
        <v>13.08459219665299</v>
      </c>
      <c r="J317" s="6">
        <v>0</v>
      </c>
      <c r="K317" s="5">
        <v>0</v>
      </c>
      <c r="L317" s="6">
        <v>0</v>
      </c>
      <c r="M317" s="5">
        <v>0</v>
      </c>
      <c r="N317" s="6">
        <v>0</v>
      </c>
      <c r="O317" s="5">
        <v>0</v>
      </c>
      <c r="P317" s="6">
        <v>0</v>
      </c>
      <c r="Q317" s="5">
        <v>0</v>
      </c>
      <c r="R317" s="6">
        <v>0</v>
      </c>
      <c r="S317" s="5">
        <v>0</v>
      </c>
      <c r="T317" s="6">
        <v>0</v>
      </c>
      <c r="U317" s="5">
        <v>0</v>
      </c>
      <c r="V317" s="6">
        <v>8618.221193571273</v>
      </c>
      <c r="W317" s="5">
        <v>108158.67597931949</v>
      </c>
      <c r="X317" s="6">
        <v>0</v>
      </c>
      <c r="Y317" s="5">
        <v>0</v>
      </c>
      <c r="Z317" s="6">
        <v>0</v>
      </c>
      <c r="AA317" s="5">
        <v>0</v>
      </c>
      <c r="AB317" s="6">
        <v>0</v>
      </c>
      <c r="AC317" s="5">
        <v>0</v>
      </c>
      <c r="AD317" s="6">
        <v>0</v>
      </c>
      <c r="AE317" s="5">
        <v>0</v>
      </c>
      <c r="AF317" s="6">
        <v>0</v>
      </c>
      <c r="AG317" s="5">
        <v>0</v>
      </c>
      <c r="AH317" s="7">
        <f t="shared" si="32"/>
        <v>8618.221193571273</v>
      </c>
      <c r="AI317" s="8">
        <f t="shared" si="33"/>
        <v>108158.67597931949</v>
      </c>
      <c r="AJ317" s="6">
        <v>0</v>
      </c>
      <c r="AK317" s="5">
        <v>0</v>
      </c>
      <c r="AL317" s="6">
        <v>0</v>
      </c>
      <c r="AM317" s="5">
        <v>0</v>
      </c>
      <c r="AN317" s="6">
        <v>0</v>
      </c>
      <c r="AO317" s="5">
        <v>0</v>
      </c>
      <c r="AP317" s="6">
        <v>0</v>
      </c>
      <c r="AQ317" s="5">
        <v>0</v>
      </c>
      <c r="AR317" s="6">
        <v>0</v>
      </c>
      <c r="AS317" s="5">
        <v>0</v>
      </c>
      <c r="AT317" s="6">
        <v>0</v>
      </c>
      <c r="AU317" s="5">
        <v>0</v>
      </c>
      <c r="AV317" s="6">
        <v>9500</v>
      </c>
      <c r="AW317" s="5">
        <v>124303.6258682035</v>
      </c>
      <c r="AX317" s="6">
        <v>0</v>
      </c>
      <c r="AY317" s="5">
        <v>0</v>
      </c>
      <c r="AZ317" s="6">
        <v>0</v>
      </c>
      <c r="BA317" s="5">
        <v>0</v>
      </c>
      <c r="BB317" s="6">
        <v>0</v>
      </c>
      <c r="BC317" s="5">
        <v>0</v>
      </c>
      <c r="BD317" s="6">
        <v>0</v>
      </c>
      <c r="BE317" s="5">
        <v>0</v>
      </c>
      <c r="BF317" s="6">
        <v>0</v>
      </c>
      <c r="BG317" s="5">
        <v>0</v>
      </c>
      <c r="BH317" s="9">
        <f t="shared" si="34"/>
        <v>9500</v>
      </c>
      <c r="BI317" s="10">
        <f t="shared" si="35"/>
        <v>124303.6258682035</v>
      </c>
      <c r="BJ317" s="6">
        <f t="shared" si="36"/>
        <v>881.77880642872697</v>
      </c>
      <c r="BK317" s="11">
        <f t="shared" si="37"/>
        <v>0.10231563876388856</v>
      </c>
      <c r="BL317" s="5">
        <f t="shared" si="38"/>
        <v>16144.949888884003</v>
      </c>
      <c r="BM317" s="11">
        <f t="shared" si="39"/>
        <v>0.14927096455924629</v>
      </c>
    </row>
    <row r="318" spans="1:65" ht="15" customHeight="1" x14ac:dyDescent="0.4">
      <c r="A318" s="2" t="s">
        <v>269</v>
      </c>
      <c r="B318" s="2" t="s">
        <v>280</v>
      </c>
      <c r="C318" s="2" t="s">
        <v>301</v>
      </c>
      <c r="D318" s="3" t="s">
        <v>68</v>
      </c>
      <c r="E318" s="3" t="s">
        <v>294</v>
      </c>
      <c r="F318" s="2" t="s">
        <v>312</v>
      </c>
      <c r="G318" s="4">
        <v>1</v>
      </c>
      <c r="H318" s="5">
        <v>12.34080932154747</v>
      </c>
      <c r="I318" s="5">
        <v>12.86624442863299</v>
      </c>
      <c r="J318" s="6">
        <v>0</v>
      </c>
      <c r="K318" s="5">
        <v>0</v>
      </c>
      <c r="L318" s="6">
        <v>0</v>
      </c>
      <c r="M318" s="5">
        <v>0</v>
      </c>
      <c r="N318" s="6">
        <v>0</v>
      </c>
      <c r="O318" s="5">
        <v>0</v>
      </c>
      <c r="P318" s="6">
        <v>0</v>
      </c>
      <c r="Q318" s="5">
        <v>0</v>
      </c>
      <c r="R318" s="6">
        <v>0</v>
      </c>
      <c r="S318" s="5">
        <v>0</v>
      </c>
      <c r="T318" s="6">
        <v>0</v>
      </c>
      <c r="U318" s="5">
        <v>0</v>
      </c>
      <c r="V318" s="6">
        <v>0</v>
      </c>
      <c r="W318" s="5">
        <v>0</v>
      </c>
      <c r="X318" s="6">
        <v>0</v>
      </c>
      <c r="Y318" s="5">
        <v>0</v>
      </c>
      <c r="Z318" s="6">
        <v>0</v>
      </c>
      <c r="AA318" s="5">
        <v>0</v>
      </c>
      <c r="AB318" s="6">
        <v>4739.9806964919462</v>
      </c>
      <c r="AC318" s="5">
        <v>58495.197963222883</v>
      </c>
      <c r="AD318" s="6">
        <v>9479.9613929838924</v>
      </c>
      <c r="AE318" s="5">
        <v>116990.3959264458</v>
      </c>
      <c r="AF318" s="6">
        <v>0</v>
      </c>
      <c r="AG318" s="5">
        <v>0</v>
      </c>
      <c r="AH318" s="7">
        <f t="shared" si="32"/>
        <v>14219.942089475839</v>
      </c>
      <c r="AI318" s="8">
        <f t="shared" si="33"/>
        <v>175485.59388966867</v>
      </c>
      <c r="AJ318" s="6">
        <v>0</v>
      </c>
      <c r="AK318" s="5">
        <v>0</v>
      </c>
      <c r="AL318" s="6">
        <v>0</v>
      </c>
      <c r="AM318" s="5">
        <v>0</v>
      </c>
      <c r="AN318" s="6">
        <v>0</v>
      </c>
      <c r="AO318" s="5">
        <v>0</v>
      </c>
      <c r="AP318" s="6">
        <v>0</v>
      </c>
      <c r="AQ318" s="5">
        <v>0</v>
      </c>
      <c r="AR318" s="6">
        <v>0</v>
      </c>
      <c r="AS318" s="5">
        <v>0</v>
      </c>
      <c r="AT318" s="6">
        <v>0</v>
      </c>
      <c r="AU318" s="5">
        <v>0</v>
      </c>
      <c r="AV318" s="6">
        <v>0</v>
      </c>
      <c r="AW318" s="5">
        <v>0</v>
      </c>
      <c r="AX318" s="6">
        <v>0</v>
      </c>
      <c r="AY318" s="5">
        <v>0</v>
      </c>
      <c r="AZ318" s="6">
        <v>0</v>
      </c>
      <c r="BA318" s="5">
        <v>0</v>
      </c>
      <c r="BB318" s="6">
        <v>5225</v>
      </c>
      <c r="BC318" s="5">
        <v>67226.127139607372</v>
      </c>
      <c r="BD318" s="6">
        <v>10450</v>
      </c>
      <c r="BE318" s="5">
        <v>134452.25427921471</v>
      </c>
      <c r="BF318" s="6">
        <v>0</v>
      </c>
      <c r="BG318" s="5">
        <v>0</v>
      </c>
      <c r="BH318" s="9">
        <f t="shared" si="34"/>
        <v>15675</v>
      </c>
      <c r="BI318" s="10">
        <f t="shared" si="35"/>
        <v>201678.3814188221</v>
      </c>
      <c r="BJ318" s="6">
        <f t="shared" si="36"/>
        <v>1455.0579105241613</v>
      </c>
      <c r="BK318" s="11">
        <f t="shared" si="37"/>
        <v>0.10232516429170607</v>
      </c>
      <c r="BL318" s="5">
        <f t="shared" si="38"/>
        <v>26192.787529153429</v>
      </c>
      <c r="BM318" s="11">
        <f t="shared" si="39"/>
        <v>0.14925890466895739</v>
      </c>
    </row>
    <row r="319" spans="1:65" ht="15" customHeight="1" x14ac:dyDescent="0.4">
      <c r="A319" s="2" t="s">
        <v>269</v>
      </c>
      <c r="B319" s="2" t="s">
        <v>280</v>
      </c>
      <c r="C319" s="2" t="s">
        <v>301</v>
      </c>
      <c r="D319" s="3" t="s">
        <v>68</v>
      </c>
      <c r="E319" s="3" t="s">
        <v>296</v>
      </c>
      <c r="F319" s="2" t="s">
        <v>297</v>
      </c>
      <c r="G319" s="4">
        <v>5</v>
      </c>
      <c r="H319" s="5">
        <v>3.8699999999999992</v>
      </c>
      <c r="I319" s="5">
        <v>4.0351850256420718</v>
      </c>
      <c r="J319" s="6">
        <v>20773.94915805748</v>
      </c>
      <c r="K319" s="5">
        <v>80395.183241682433</v>
      </c>
      <c r="L319" s="6">
        <v>24730.89185483033</v>
      </c>
      <c r="M319" s="5">
        <v>95708.551478193374</v>
      </c>
      <c r="N319" s="6">
        <v>9892.3567419321316</v>
      </c>
      <c r="O319" s="5">
        <v>38283.420591277347</v>
      </c>
      <c r="P319" s="6">
        <v>0</v>
      </c>
      <c r="Q319" s="5">
        <v>0</v>
      </c>
      <c r="R319" s="6">
        <v>34623.24859676246</v>
      </c>
      <c r="S319" s="5">
        <v>133991.97206947071</v>
      </c>
      <c r="T319" s="6">
        <v>33634.012922569251</v>
      </c>
      <c r="U319" s="5">
        <v>130163.630010343</v>
      </c>
      <c r="V319" s="6">
        <v>0</v>
      </c>
      <c r="W319" s="5">
        <v>0</v>
      </c>
      <c r="X319" s="6">
        <v>0</v>
      </c>
      <c r="Y319" s="5">
        <v>0</v>
      </c>
      <c r="Z319" s="6">
        <v>0</v>
      </c>
      <c r="AA319" s="5">
        <v>0</v>
      </c>
      <c r="AB319" s="6">
        <v>0</v>
      </c>
      <c r="AC319" s="5">
        <v>0</v>
      </c>
      <c r="AD319" s="6">
        <v>0</v>
      </c>
      <c r="AE319" s="5">
        <v>0</v>
      </c>
      <c r="AF319" s="6">
        <v>0</v>
      </c>
      <c r="AG319" s="5">
        <v>0</v>
      </c>
      <c r="AH319" s="7">
        <f t="shared" si="32"/>
        <v>123654.45927415165</v>
      </c>
      <c r="AI319" s="8">
        <f t="shared" si="33"/>
        <v>478542.75739096681</v>
      </c>
      <c r="AJ319" s="6">
        <v>22895</v>
      </c>
      <c r="AK319" s="5">
        <v>92398.794722003091</v>
      </c>
      <c r="AL319" s="6">
        <v>27260</v>
      </c>
      <c r="AM319" s="5">
        <v>110007.2094332689</v>
      </c>
      <c r="AN319" s="6">
        <v>10905</v>
      </c>
      <c r="AO319" s="5">
        <v>43990.781770069589</v>
      </c>
      <c r="AP319" s="6">
        <v>0</v>
      </c>
      <c r="AQ319" s="5">
        <v>0</v>
      </c>
      <c r="AR319" s="6">
        <v>38160</v>
      </c>
      <c r="AS319" s="5">
        <v>153977.8211979419</v>
      </c>
      <c r="AT319" s="6">
        <v>37070</v>
      </c>
      <c r="AU319" s="5">
        <v>149580.7600214745</v>
      </c>
      <c r="AV319" s="6">
        <v>0</v>
      </c>
      <c r="AW319" s="5">
        <v>0</v>
      </c>
      <c r="AX319" s="6">
        <v>0</v>
      </c>
      <c r="AY319" s="5">
        <v>0</v>
      </c>
      <c r="AZ319" s="6">
        <v>0</v>
      </c>
      <c r="BA319" s="5">
        <v>0</v>
      </c>
      <c r="BB319" s="6">
        <v>0</v>
      </c>
      <c r="BC319" s="5">
        <v>0</v>
      </c>
      <c r="BD319" s="6">
        <v>0</v>
      </c>
      <c r="BE319" s="5">
        <v>0</v>
      </c>
      <c r="BF319" s="6">
        <v>0</v>
      </c>
      <c r="BG319" s="5">
        <v>0</v>
      </c>
      <c r="BH319" s="9">
        <f t="shared" si="34"/>
        <v>136290</v>
      </c>
      <c r="BI319" s="10">
        <f t="shared" si="35"/>
        <v>549955.36714475788</v>
      </c>
      <c r="BJ319" s="6">
        <f t="shared" si="36"/>
        <v>12635.540725848346</v>
      </c>
      <c r="BK319" s="11">
        <f t="shared" si="37"/>
        <v>0.10218427058772186</v>
      </c>
      <c r="BL319" s="5">
        <f t="shared" si="38"/>
        <v>71412.609753791068</v>
      </c>
      <c r="BM319" s="11">
        <f t="shared" si="39"/>
        <v>0.1492293189079599</v>
      </c>
    </row>
    <row r="320" spans="1:65" ht="15" customHeight="1" x14ac:dyDescent="0.4">
      <c r="A320" s="2" t="s">
        <v>269</v>
      </c>
      <c r="B320" s="2" t="s">
        <v>280</v>
      </c>
      <c r="C320" s="2" t="s">
        <v>301</v>
      </c>
      <c r="D320" s="3" t="s">
        <v>68</v>
      </c>
      <c r="E320" s="3" t="s">
        <v>296</v>
      </c>
      <c r="F320" s="2" t="s">
        <v>279</v>
      </c>
      <c r="G320" s="4">
        <v>5</v>
      </c>
      <c r="H320" s="5">
        <v>3.86240377540024</v>
      </c>
      <c r="I320" s="5">
        <v>4.0275503073983216</v>
      </c>
      <c r="J320" s="6">
        <v>0</v>
      </c>
      <c r="K320" s="5">
        <v>0</v>
      </c>
      <c r="L320" s="6">
        <v>0</v>
      </c>
      <c r="M320" s="5">
        <v>0</v>
      </c>
      <c r="N320" s="6">
        <v>0</v>
      </c>
      <c r="O320" s="5">
        <v>0</v>
      </c>
      <c r="P320" s="6">
        <v>20773.94915805748</v>
      </c>
      <c r="Q320" s="5">
        <v>80395.183241682433</v>
      </c>
      <c r="R320" s="6">
        <v>0</v>
      </c>
      <c r="S320" s="5">
        <v>0</v>
      </c>
      <c r="T320" s="6">
        <v>0</v>
      </c>
      <c r="U320" s="5">
        <v>0</v>
      </c>
      <c r="V320" s="6">
        <v>0</v>
      </c>
      <c r="W320" s="5">
        <v>0</v>
      </c>
      <c r="X320" s="6">
        <v>0</v>
      </c>
      <c r="Y320" s="5">
        <v>0</v>
      </c>
      <c r="Z320" s="6">
        <v>18959.922785967781</v>
      </c>
      <c r="AA320" s="5">
        <v>73185.790611639415</v>
      </c>
      <c r="AB320" s="6">
        <v>18959.922785967781</v>
      </c>
      <c r="AC320" s="5">
        <v>73185.790611639415</v>
      </c>
      <c r="AD320" s="6">
        <v>28439.884178951681</v>
      </c>
      <c r="AE320" s="5">
        <v>109778.68591745909</v>
      </c>
      <c r="AF320" s="6">
        <v>0</v>
      </c>
      <c r="AG320" s="5">
        <v>0</v>
      </c>
      <c r="AH320" s="7">
        <f t="shared" si="32"/>
        <v>87133.678908944712</v>
      </c>
      <c r="AI320" s="8">
        <f t="shared" si="33"/>
        <v>336545.45038242039</v>
      </c>
      <c r="AJ320" s="6">
        <v>0</v>
      </c>
      <c r="AK320" s="5">
        <v>0</v>
      </c>
      <c r="AL320" s="6">
        <v>0</v>
      </c>
      <c r="AM320" s="5">
        <v>0</v>
      </c>
      <c r="AN320" s="6">
        <v>0</v>
      </c>
      <c r="AO320" s="5">
        <v>0</v>
      </c>
      <c r="AP320" s="6">
        <v>22895</v>
      </c>
      <c r="AQ320" s="5">
        <v>92398.794722003091</v>
      </c>
      <c r="AR320" s="6">
        <v>0</v>
      </c>
      <c r="AS320" s="5">
        <v>0</v>
      </c>
      <c r="AT320" s="6">
        <v>0</v>
      </c>
      <c r="AU320" s="5">
        <v>0</v>
      </c>
      <c r="AV320" s="6">
        <v>0</v>
      </c>
      <c r="AW320" s="5">
        <v>0</v>
      </c>
      <c r="AX320" s="6">
        <v>0</v>
      </c>
      <c r="AY320" s="5">
        <v>0</v>
      </c>
      <c r="AZ320" s="6">
        <v>20895</v>
      </c>
      <c r="BA320" s="5">
        <v>84113.445159833733</v>
      </c>
      <c r="BB320" s="6">
        <v>20900</v>
      </c>
      <c r="BC320" s="5">
        <v>84113.445159833733</v>
      </c>
      <c r="BD320" s="6">
        <v>31345</v>
      </c>
      <c r="BE320" s="5">
        <v>126160.1087293273</v>
      </c>
      <c r="BF320" s="6">
        <v>0</v>
      </c>
      <c r="BG320" s="5">
        <v>0</v>
      </c>
      <c r="BH320" s="9">
        <f t="shared" si="34"/>
        <v>96035</v>
      </c>
      <c r="BI320" s="10">
        <f t="shared" si="35"/>
        <v>386785.79377099784</v>
      </c>
      <c r="BJ320" s="6">
        <f t="shared" si="36"/>
        <v>8901.321091055288</v>
      </c>
      <c r="BK320" s="11">
        <f t="shared" si="37"/>
        <v>0.10215706719278121</v>
      </c>
      <c r="BL320" s="5">
        <f t="shared" si="38"/>
        <v>50240.343388577458</v>
      </c>
      <c r="BM320" s="11">
        <f t="shared" si="39"/>
        <v>0.14928249165599711</v>
      </c>
    </row>
    <row r="321" spans="1:65" ht="15" customHeight="1" x14ac:dyDescent="0.4">
      <c r="A321" s="2" t="s">
        <v>269</v>
      </c>
      <c r="B321" s="2" t="s">
        <v>280</v>
      </c>
      <c r="C321" s="2" t="s">
        <v>301</v>
      </c>
      <c r="D321" s="3" t="s">
        <v>68</v>
      </c>
      <c r="E321" s="3" t="s">
        <v>296</v>
      </c>
      <c r="F321" s="2" t="s">
        <v>298</v>
      </c>
      <c r="G321" s="4">
        <v>5</v>
      </c>
      <c r="H321" s="5">
        <v>3.716731666666667</v>
      </c>
      <c r="I321" s="5">
        <v>3.875343206290697</v>
      </c>
      <c r="J321" s="6">
        <v>0</v>
      </c>
      <c r="K321" s="5">
        <v>0</v>
      </c>
      <c r="L321" s="6">
        <v>0</v>
      </c>
      <c r="M321" s="5">
        <v>0</v>
      </c>
      <c r="N321" s="6">
        <v>0</v>
      </c>
      <c r="O321" s="5">
        <v>0</v>
      </c>
      <c r="P321" s="6">
        <v>0</v>
      </c>
      <c r="Q321" s="5">
        <v>0</v>
      </c>
      <c r="R321" s="6">
        <v>0</v>
      </c>
      <c r="S321" s="5">
        <v>0</v>
      </c>
      <c r="T321" s="6">
        <v>0</v>
      </c>
      <c r="U321" s="5">
        <v>0</v>
      </c>
      <c r="V321" s="6">
        <v>9892.3567419321316</v>
      </c>
      <c r="W321" s="5">
        <v>38283.420591277347</v>
      </c>
      <c r="X321" s="6">
        <v>37590.955619342101</v>
      </c>
      <c r="Y321" s="5">
        <v>138199.3101000954</v>
      </c>
      <c r="Z321" s="6">
        <v>0</v>
      </c>
      <c r="AA321" s="5">
        <v>0</v>
      </c>
      <c r="AB321" s="6">
        <v>0</v>
      </c>
      <c r="AC321" s="5">
        <v>0</v>
      </c>
      <c r="AD321" s="6">
        <v>0</v>
      </c>
      <c r="AE321" s="5">
        <v>0</v>
      </c>
      <c r="AF321" s="6">
        <v>0</v>
      </c>
      <c r="AG321" s="5">
        <v>0</v>
      </c>
      <c r="AH321" s="7">
        <f t="shared" si="32"/>
        <v>47483.312361274235</v>
      </c>
      <c r="AI321" s="8">
        <f t="shared" si="33"/>
        <v>176482.73069137277</v>
      </c>
      <c r="AJ321" s="6">
        <v>0</v>
      </c>
      <c r="AK321" s="5">
        <v>0</v>
      </c>
      <c r="AL321" s="6">
        <v>0</v>
      </c>
      <c r="AM321" s="5">
        <v>0</v>
      </c>
      <c r="AN321" s="6">
        <v>0</v>
      </c>
      <c r="AO321" s="5">
        <v>0</v>
      </c>
      <c r="AP321" s="6">
        <v>0</v>
      </c>
      <c r="AQ321" s="5">
        <v>0</v>
      </c>
      <c r="AR321" s="6">
        <v>0</v>
      </c>
      <c r="AS321" s="5">
        <v>0</v>
      </c>
      <c r="AT321" s="6">
        <v>0</v>
      </c>
      <c r="AU321" s="5">
        <v>0</v>
      </c>
      <c r="AV321" s="6">
        <v>10905</v>
      </c>
      <c r="AW321" s="5">
        <v>43990.781770069589</v>
      </c>
      <c r="AX321" s="6">
        <v>41430</v>
      </c>
      <c r="AY321" s="5">
        <v>158825.30493115401</v>
      </c>
      <c r="AZ321" s="6">
        <v>0</v>
      </c>
      <c r="BA321" s="5">
        <v>0</v>
      </c>
      <c r="BB321" s="6">
        <v>0</v>
      </c>
      <c r="BC321" s="5">
        <v>0</v>
      </c>
      <c r="BD321" s="6">
        <v>0</v>
      </c>
      <c r="BE321" s="5">
        <v>0</v>
      </c>
      <c r="BF321" s="6">
        <v>0</v>
      </c>
      <c r="BG321" s="5">
        <v>0</v>
      </c>
      <c r="BH321" s="9">
        <f t="shared" si="34"/>
        <v>52335</v>
      </c>
      <c r="BI321" s="10">
        <f t="shared" si="35"/>
        <v>202816.0867012236</v>
      </c>
      <c r="BJ321" s="6">
        <f t="shared" si="36"/>
        <v>4851.6876387257653</v>
      </c>
      <c r="BK321" s="11">
        <f t="shared" si="37"/>
        <v>0.10217668897679168</v>
      </c>
      <c r="BL321" s="5">
        <f t="shared" si="38"/>
        <v>26333.356009850831</v>
      </c>
      <c r="BM321" s="11">
        <f t="shared" si="39"/>
        <v>0.14921208384916565</v>
      </c>
    </row>
    <row r="322" spans="1:65" ht="15" customHeight="1" x14ac:dyDescent="0.4">
      <c r="A322" s="2" t="s">
        <v>269</v>
      </c>
      <c r="B322" s="2" t="s">
        <v>280</v>
      </c>
      <c r="C322" s="2" t="s">
        <v>301</v>
      </c>
      <c r="D322" s="3" t="s">
        <v>68</v>
      </c>
      <c r="E322" s="3" t="s">
        <v>299</v>
      </c>
      <c r="F322" s="2" t="s">
        <v>297</v>
      </c>
      <c r="G322" s="4">
        <v>20</v>
      </c>
      <c r="H322" s="5">
        <v>3.76</v>
      </c>
      <c r="I322" s="5">
        <v>3.9193395499412151</v>
      </c>
      <c r="J322" s="6">
        <v>0</v>
      </c>
      <c r="K322" s="5">
        <v>0</v>
      </c>
      <c r="L322" s="6">
        <v>0</v>
      </c>
      <c r="M322" s="5">
        <v>0</v>
      </c>
      <c r="N322" s="6">
        <v>10881.59241612535</v>
      </c>
      <c r="O322" s="5">
        <v>40914.787484631299</v>
      </c>
      <c r="P322" s="6">
        <v>0</v>
      </c>
      <c r="Q322" s="5">
        <v>0</v>
      </c>
      <c r="R322" s="6">
        <v>9892.3567419321316</v>
      </c>
      <c r="S322" s="5">
        <v>37195.261349664819</v>
      </c>
      <c r="T322" s="6">
        <v>0</v>
      </c>
      <c r="U322" s="5">
        <v>0</v>
      </c>
      <c r="V322" s="6">
        <v>0</v>
      </c>
      <c r="W322" s="5">
        <v>0</v>
      </c>
      <c r="X322" s="6">
        <v>0</v>
      </c>
      <c r="Y322" s="5">
        <v>0</v>
      </c>
      <c r="Z322" s="6">
        <v>0</v>
      </c>
      <c r="AA322" s="5">
        <v>0</v>
      </c>
      <c r="AB322" s="6">
        <v>0</v>
      </c>
      <c r="AC322" s="5">
        <v>0</v>
      </c>
      <c r="AD322" s="6">
        <v>0</v>
      </c>
      <c r="AE322" s="5">
        <v>0</v>
      </c>
      <c r="AF322" s="6">
        <v>0</v>
      </c>
      <c r="AG322" s="5">
        <v>0</v>
      </c>
      <c r="AH322" s="7">
        <f t="shared" ref="AH322:AH385" si="40">J322+L322+N322+P322+R322+T322+V322+X322+Z322+AB322+AD322+AF322</f>
        <v>20773.949158057483</v>
      </c>
      <c r="AI322" s="8">
        <f t="shared" ref="AI322:AI385" si="41">K322+M322+O322+Q322+S322+U322+W322+Y322+AA322+AC322+AE322+AG322</f>
        <v>78110.048834296118</v>
      </c>
      <c r="AJ322" s="6">
        <v>0</v>
      </c>
      <c r="AK322" s="5">
        <v>0</v>
      </c>
      <c r="AL322" s="6">
        <v>0</v>
      </c>
      <c r="AM322" s="5">
        <v>0</v>
      </c>
      <c r="AN322" s="6">
        <v>12000</v>
      </c>
      <c r="AO322" s="5">
        <v>47032.074599294567</v>
      </c>
      <c r="AP322" s="6">
        <v>0</v>
      </c>
      <c r="AQ322" s="5">
        <v>0</v>
      </c>
      <c r="AR322" s="6">
        <v>10900</v>
      </c>
      <c r="AS322" s="5">
        <v>42720.801094359253</v>
      </c>
      <c r="AT322" s="6">
        <v>0</v>
      </c>
      <c r="AU322" s="5">
        <v>0</v>
      </c>
      <c r="AV322" s="6">
        <v>0</v>
      </c>
      <c r="AW322" s="5">
        <v>0</v>
      </c>
      <c r="AX322" s="6">
        <v>0</v>
      </c>
      <c r="AY322" s="5">
        <v>0</v>
      </c>
      <c r="AZ322" s="6">
        <v>0</v>
      </c>
      <c r="BA322" s="5">
        <v>0</v>
      </c>
      <c r="BB322" s="6">
        <v>0</v>
      </c>
      <c r="BC322" s="5">
        <v>0</v>
      </c>
      <c r="BD322" s="6">
        <v>0</v>
      </c>
      <c r="BE322" s="5">
        <v>0</v>
      </c>
      <c r="BF322" s="6">
        <v>0</v>
      </c>
      <c r="BG322" s="5">
        <v>0</v>
      </c>
      <c r="BH322" s="9">
        <f t="shared" ref="BH322:BH385" si="42">AJ322+AL322+AN322+AP322+AR322+AT322+AV322+AX322+AZ322+BB322+BD322+BF322</f>
        <v>22900</v>
      </c>
      <c r="BI322" s="10">
        <f t="shared" ref="BI322:BI385" si="43">AK322+AM322+AO322+AQ322+AS322+AU322+AW322+AY322+BA322+BC322+BE322+BG322</f>
        <v>89752.875693653827</v>
      </c>
      <c r="BJ322" s="6">
        <f t="shared" ref="BJ322:BJ385" si="44">BH322-AH322</f>
        <v>2126.0508419425169</v>
      </c>
      <c r="BK322" s="11">
        <f t="shared" ref="BK322:BK385" si="45">IF(AH322&gt;0, BJ322/AH322, 0)</f>
        <v>0.10234216064391861</v>
      </c>
      <c r="BL322" s="5">
        <f t="shared" ref="BL322:BL385" si="46">BI322-AI322</f>
        <v>11642.826859357709</v>
      </c>
      <c r="BM322" s="11">
        <f t="shared" ref="BM322:BM385" si="47">IF(AI322&gt;0, BL322/AI322, 0)</f>
        <v>0.14905670951578823</v>
      </c>
    </row>
    <row r="323" spans="1:65" ht="15" customHeight="1" x14ac:dyDescent="0.4">
      <c r="A323" s="2" t="s">
        <v>269</v>
      </c>
      <c r="B323" s="2" t="s">
        <v>280</v>
      </c>
      <c r="C323" s="2" t="s">
        <v>301</v>
      </c>
      <c r="D323" s="3" t="s">
        <v>68</v>
      </c>
      <c r="E323" s="3" t="s">
        <v>299</v>
      </c>
      <c r="F323" s="2" t="s">
        <v>300</v>
      </c>
      <c r="G323" s="4">
        <v>20</v>
      </c>
      <c r="H323" s="5">
        <v>3.7600000000000011</v>
      </c>
      <c r="I323" s="5">
        <v>3.9193395499412138</v>
      </c>
      <c r="J323" s="6">
        <v>0</v>
      </c>
      <c r="K323" s="5">
        <v>0</v>
      </c>
      <c r="L323" s="6">
        <v>0</v>
      </c>
      <c r="M323" s="5">
        <v>0</v>
      </c>
      <c r="N323" s="6">
        <v>0</v>
      </c>
      <c r="O323" s="5">
        <v>0</v>
      </c>
      <c r="P323" s="6">
        <v>0</v>
      </c>
      <c r="Q323" s="5">
        <v>0</v>
      </c>
      <c r="R323" s="6">
        <v>0</v>
      </c>
      <c r="S323" s="5">
        <v>0</v>
      </c>
      <c r="T323" s="6">
        <v>0</v>
      </c>
      <c r="U323" s="5">
        <v>0</v>
      </c>
      <c r="V323" s="6">
        <v>0</v>
      </c>
      <c r="W323" s="5">
        <v>0</v>
      </c>
      <c r="X323" s="6">
        <v>0</v>
      </c>
      <c r="Y323" s="5">
        <v>0</v>
      </c>
      <c r="Z323" s="6">
        <v>0</v>
      </c>
      <c r="AA323" s="5">
        <v>0</v>
      </c>
      <c r="AB323" s="6">
        <v>0</v>
      </c>
      <c r="AC323" s="5">
        <v>0</v>
      </c>
      <c r="AD323" s="6">
        <v>9479.9613929838924</v>
      </c>
      <c r="AE323" s="5">
        <v>35644.654837619441</v>
      </c>
      <c r="AF323" s="6">
        <v>0</v>
      </c>
      <c r="AG323" s="5">
        <v>0</v>
      </c>
      <c r="AH323" s="7">
        <f t="shared" si="40"/>
        <v>9479.9613929838924</v>
      </c>
      <c r="AI323" s="8">
        <f t="shared" si="41"/>
        <v>35644.654837619441</v>
      </c>
      <c r="AJ323" s="6">
        <v>0</v>
      </c>
      <c r="AK323" s="5">
        <v>0</v>
      </c>
      <c r="AL323" s="6">
        <v>0</v>
      </c>
      <c r="AM323" s="5">
        <v>0</v>
      </c>
      <c r="AN323" s="6">
        <v>0</v>
      </c>
      <c r="AO323" s="5">
        <v>0</v>
      </c>
      <c r="AP323" s="6">
        <v>0</v>
      </c>
      <c r="AQ323" s="5">
        <v>0</v>
      </c>
      <c r="AR323" s="6">
        <v>0</v>
      </c>
      <c r="AS323" s="5">
        <v>0</v>
      </c>
      <c r="AT323" s="6">
        <v>0</v>
      </c>
      <c r="AU323" s="5">
        <v>0</v>
      </c>
      <c r="AV323" s="6">
        <v>0</v>
      </c>
      <c r="AW323" s="5">
        <v>0</v>
      </c>
      <c r="AX323" s="6">
        <v>0</v>
      </c>
      <c r="AY323" s="5">
        <v>0</v>
      </c>
      <c r="AZ323" s="6">
        <v>0</v>
      </c>
      <c r="BA323" s="5">
        <v>0</v>
      </c>
      <c r="BB323" s="6">
        <v>0</v>
      </c>
      <c r="BC323" s="5">
        <v>0</v>
      </c>
      <c r="BD323" s="6">
        <v>10460</v>
      </c>
      <c r="BE323" s="5">
        <v>40996.291692385101</v>
      </c>
      <c r="BF323" s="6">
        <v>0</v>
      </c>
      <c r="BG323" s="5">
        <v>0</v>
      </c>
      <c r="BH323" s="9">
        <f t="shared" si="42"/>
        <v>10460</v>
      </c>
      <c r="BI323" s="10">
        <f t="shared" si="43"/>
        <v>40996.291692385101</v>
      </c>
      <c r="BJ323" s="6">
        <f t="shared" si="44"/>
        <v>980.03860701610756</v>
      </c>
      <c r="BK323" s="11">
        <f t="shared" si="45"/>
        <v>0.10338002090825316</v>
      </c>
      <c r="BL323" s="5">
        <f t="shared" si="46"/>
        <v>5351.6368547656602</v>
      </c>
      <c r="BM323" s="11">
        <f t="shared" si="47"/>
        <v>0.15013855174486168</v>
      </c>
    </row>
    <row r="324" spans="1:65" ht="15" customHeight="1" x14ac:dyDescent="0.4">
      <c r="A324" s="2" t="s">
        <v>269</v>
      </c>
      <c r="B324" s="2" t="s">
        <v>66</v>
      </c>
      <c r="C324" s="2" t="s">
        <v>313</v>
      </c>
      <c r="D324" s="3" t="s">
        <v>134</v>
      </c>
      <c r="E324" s="3" t="s">
        <v>314</v>
      </c>
      <c r="F324" s="2" t="s">
        <v>315</v>
      </c>
      <c r="G324" s="4">
        <v>5</v>
      </c>
      <c r="H324" s="5">
        <v>6.31</v>
      </c>
      <c r="I324" s="5">
        <v>6.577402276630071</v>
      </c>
      <c r="J324" s="6">
        <v>0</v>
      </c>
      <c r="K324" s="5">
        <v>0</v>
      </c>
      <c r="L324" s="6">
        <v>0</v>
      </c>
      <c r="M324" s="5">
        <v>0</v>
      </c>
      <c r="N324" s="6">
        <v>741.92675564490992</v>
      </c>
      <c r="O324" s="5">
        <v>4681.5578281193821</v>
      </c>
      <c r="P324" s="6">
        <v>0</v>
      </c>
      <c r="Q324" s="5">
        <v>0</v>
      </c>
      <c r="R324" s="6">
        <v>0</v>
      </c>
      <c r="S324" s="5">
        <v>0</v>
      </c>
      <c r="T324" s="6">
        <v>0</v>
      </c>
      <c r="U324" s="5">
        <v>0</v>
      </c>
      <c r="V324" s="6">
        <v>0</v>
      </c>
      <c r="W324" s="5">
        <v>0</v>
      </c>
      <c r="X324" s="6">
        <v>0</v>
      </c>
      <c r="Y324" s="5">
        <v>0</v>
      </c>
      <c r="Z324" s="6">
        <v>0</v>
      </c>
      <c r="AA324" s="5">
        <v>0</v>
      </c>
      <c r="AB324" s="6">
        <v>0</v>
      </c>
      <c r="AC324" s="5">
        <v>0</v>
      </c>
      <c r="AD324" s="6">
        <v>0</v>
      </c>
      <c r="AE324" s="5">
        <v>0</v>
      </c>
      <c r="AF324" s="6">
        <v>0</v>
      </c>
      <c r="AG324" s="5">
        <v>0</v>
      </c>
      <c r="AH324" s="7">
        <f t="shared" si="40"/>
        <v>741.92675564490992</v>
      </c>
      <c r="AI324" s="8">
        <f t="shared" si="41"/>
        <v>4681.5578281193821</v>
      </c>
      <c r="AJ324" s="6">
        <v>0</v>
      </c>
      <c r="AK324" s="5">
        <v>0</v>
      </c>
      <c r="AL324" s="6">
        <v>0</v>
      </c>
      <c r="AM324" s="5">
        <v>0</v>
      </c>
      <c r="AN324" s="6">
        <v>780</v>
      </c>
      <c r="AO324" s="5">
        <v>5130.3737757714553</v>
      </c>
      <c r="AP324" s="6">
        <v>0</v>
      </c>
      <c r="AQ324" s="5">
        <v>0</v>
      </c>
      <c r="AR324" s="6">
        <v>0</v>
      </c>
      <c r="AS324" s="5">
        <v>0</v>
      </c>
      <c r="AT324" s="6">
        <v>0</v>
      </c>
      <c r="AU324" s="5">
        <v>0</v>
      </c>
      <c r="AV324" s="6">
        <v>0</v>
      </c>
      <c r="AW324" s="5">
        <v>0</v>
      </c>
      <c r="AX324" s="6">
        <v>0</v>
      </c>
      <c r="AY324" s="5">
        <v>0</v>
      </c>
      <c r="AZ324" s="6">
        <v>0</v>
      </c>
      <c r="BA324" s="5">
        <v>0</v>
      </c>
      <c r="BB324" s="6">
        <v>0</v>
      </c>
      <c r="BC324" s="5">
        <v>0</v>
      </c>
      <c r="BD324" s="6">
        <v>0</v>
      </c>
      <c r="BE324" s="5">
        <v>0</v>
      </c>
      <c r="BF324" s="6">
        <v>0</v>
      </c>
      <c r="BG324" s="5">
        <v>0</v>
      </c>
      <c r="BH324" s="9">
        <f t="shared" si="42"/>
        <v>780</v>
      </c>
      <c r="BI324" s="10">
        <f t="shared" si="43"/>
        <v>5130.3737757714553</v>
      </c>
      <c r="BJ324" s="6">
        <f t="shared" si="44"/>
        <v>38.073244355090083</v>
      </c>
      <c r="BK324" s="11">
        <f t="shared" si="45"/>
        <v>5.1316715653414363E-2</v>
      </c>
      <c r="BL324" s="5">
        <f t="shared" si="46"/>
        <v>448.81594765207319</v>
      </c>
      <c r="BM324" s="11">
        <f t="shared" si="47"/>
        <v>9.5868931695406612E-2</v>
      </c>
    </row>
    <row r="325" spans="1:65" ht="15" customHeight="1" x14ac:dyDescent="0.4">
      <c r="A325" s="2" t="s">
        <v>269</v>
      </c>
      <c r="B325" s="2" t="s">
        <v>66</v>
      </c>
      <c r="C325" s="2" t="s">
        <v>313</v>
      </c>
      <c r="D325" s="3" t="s">
        <v>134</v>
      </c>
      <c r="E325" s="3" t="s">
        <v>314</v>
      </c>
      <c r="F325" s="2" t="s">
        <v>316</v>
      </c>
      <c r="G325" s="4">
        <v>5</v>
      </c>
      <c r="H325" s="5">
        <v>6.31</v>
      </c>
      <c r="I325" s="5">
        <v>6.577402276630071</v>
      </c>
      <c r="J325" s="6">
        <v>0</v>
      </c>
      <c r="K325" s="5">
        <v>0</v>
      </c>
      <c r="L325" s="6">
        <v>0</v>
      </c>
      <c r="M325" s="5">
        <v>0</v>
      </c>
      <c r="N325" s="6">
        <v>0</v>
      </c>
      <c r="O325" s="5">
        <v>0</v>
      </c>
      <c r="P325" s="6">
        <v>0</v>
      </c>
      <c r="Q325" s="5">
        <v>0</v>
      </c>
      <c r="R325" s="6">
        <v>0</v>
      </c>
      <c r="S325" s="5">
        <v>0</v>
      </c>
      <c r="T325" s="6">
        <v>0</v>
      </c>
      <c r="U325" s="5">
        <v>0</v>
      </c>
      <c r="V325" s="6">
        <v>0</v>
      </c>
      <c r="W325" s="5">
        <v>0</v>
      </c>
      <c r="X325" s="6">
        <v>0</v>
      </c>
      <c r="Y325" s="5">
        <v>0</v>
      </c>
      <c r="Z325" s="6">
        <v>663.59729750887254</v>
      </c>
      <c r="AA325" s="5">
        <v>4187.2989472809859</v>
      </c>
      <c r="AB325" s="6">
        <v>0</v>
      </c>
      <c r="AC325" s="5">
        <v>0</v>
      </c>
      <c r="AD325" s="6">
        <v>0</v>
      </c>
      <c r="AE325" s="5">
        <v>0</v>
      </c>
      <c r="AF325" s="6">
        <v>189.59922785967791</v>
      </c>
      <c r="AG325" s="5">
        <v>1196.371127794567</v>
      </c>
      <c r="AH325" s="7">
        <f t="shared" si="40"/>
        <v>853.19652536855051</v>
      </c>
      <c r="AI325" s="8">
        <f t="shared" si="41"/>
        <v>5383.6700750755526</v>
      </c>
      <c r="AJ325" s="6">
        <v>0</v>
      </c>
      <c r="AK325" s="5">
        <v>0</v>
      </c>
      <c r="AL325" s="6">
        <v>0</v>
      </c>
      <c r="AM325" s="5">
        <v>0</v>
      </c>
      <c r="AN325" s="6">
        <v>0</v>
      </c>
      <c r="AO325" s="5">
        <v>0</v>
      </c>
      <c r="AP325" s="6">
        <v>0</v>
      </c>
      <c r="AQ325" s="5">
        <v>0</v>
      </c>
      <c r="AR325" s="6">
        <v>0</v>
      </c>
      <c r="AS325" s="5">
        <v>0</v>
      </c>
      <c r="AT325" s="6">
        <v>0</v>
      </c>
      <c r="AU325" s="5">
        <v>0</v>
      </c>
      <c r="AV325" s="6">
        <v>0</v>
      </c>
      <c r="AW325" s="5">
        <v>0</v>
      </c>
      <c r="AX325" s="6">
        <v>0</v>
      </c>
      <c r="AY325" s="5">
        <v>0</v>
      </c>
      <c r="AZ325" s="6">
        <v>695</v>
      </c>
      <c r="BA325" s="5">
        <v>4571.2945822578986</v>
      </c>
      <c r="BB325" s="6">
        <v>0</v>
      </c>
      <c r="BC325" s="5">
        <v>0</v>
      </c>
      <c r="BD325" s="6">
        <v>0</v>
      </c>
      <c r="BE325" s="5">
        <v>0</v>
      </c>
      <c r="BF325" s="6">
        <v>200</v>
      </c>
      <c r="BG325" s="5">
        <v>1315.480455326014</v>
      </c>
      <c r="BH325" s="9">
        <f t="shared" si="42"/>
        <v>895</v>
      </c>
      <c r="BI325" s="10">
        <f t="shared" si="43"/>
        <v>5886.7750375839123</v>
      </c>
      <c r="BJ325" s="6">
        <f t="shared" si="44"/>
        <v>41.80347463144949</v>
      </c>
      <c r="BK325" s="11">
        <f t="shared" si="45"/>
        <v>4.8996302010714213E-2</v>
      </c>
      <c r="BL325" s="5">
        <f t="shared" si="46"/>
        <v>503.10496250835968</v>
      </c>
      <c r="BM325" s="11">
        <f t="shared" si="47"/>
        <v>9.3450184631029651E-2</v>
      </c>
    </row>
    <row r="326" spans="1:65" ht="15" customHeight="1" x14ac:dyDescent="0.4">
      <c r="A326" s="2" t="s">
        <v>269</v>
      </c>
      <c r="B326" s="2" t="s">
        <v>66</v>
      </c>
      <c r="C326" s="2" t="s">
        <v>317</v>
      </c>
      <c r="D326" s="3" t="s">
        <v>68</v>
      </c>
      <c r="E326" s="3" t="s">
        <v>154</v>
      </c>
      <c r="F326" s="2" t="s">
        <v>155</v>
      </c>
      <c r="G326" s="4">
        <v>20</v>
      </c>
      <c r="H326" s="5">
        <v>2.81</v>
      </c>
      <c r="I326" s="5">
        <v>2.9290808870571312</v>
      </c>
      <c r="J326" s="6">
        <v>0</v>
      </c>
      <c r="K326" s="5">
        <v>0</v>
      </c>
      <c r="L326" s="6">
        <v>0</v>
      </c>
      <c r="M326" s="5">
        <v>0</v>
      </c>
      <c r="N326" s="6">
        <v>3165.554157418283</v>
      </c>
      <c r="O326" s="5">
        <v>8895.2071823453734</v>
      </c>
      <c r="P326" s="6">
        <v>1266.221662967313</v>
      </c>
      <c r="Q326" s="5">
        <v>3558.0828729381501</v>
      </c>
      <c r="R326" s="6">
        <v>633.11083148365651</v>
      </c>
      <c r="S326" s="5">
        <v>1779.0414364690751</v>
      </c>
      <c r="T326" s="6">
        <v>0</v>
      </c>
      <c r="U326" s="5">
        <v>0</v>
      </c>
      <c r="V326" s="6">
        <v>0</v>
      </c>
      <c r="W326" s="5">
        <v>0</v>
      </c>
      <c r="X326" s="6">
        <v>0</v>
      </c>
      <c r="Y326" s="5">
        <v>0</v>
      </c>
      <c r="Z326" s="6">
        <v>0</v>
      </c>
      <c r="AA326" s="5">
        <v>0</v>
      </c>
      <c r="AB326" s="6">
        <v>0</v>
      </c>
      <c r="AC326" s="5">
        <v>0</v>
      </c>
      <c r="AD326" s="6">
        <v>0</v>
      </c>
      <c r="AE326" s="5">
        <v>0</v>
      </c>
      <c r="AF326" s="6">
        <v>0</v>
      </c>
      <c r="AG326" s="5">
        <v>0</v>
      </c>
      <c r="AH326" s="7">
        <f t="shared" si="40"/>
        <v>5064.8866518692521</v>
      </c>
      <c r="AI326" s="8">
        <f t="shared" si="41"/>
        <v>14232.331491752599</v>
      </c>
      <c r="AJ326" s="6">
        <v>0</v>
      </c>
      <c r="AK326" s="5">
        <v>0</v>
      </c>
      <c r="AL326" s="6">
        <v>0</v>
      </c>
      <c r="AM326" s="5">
        <v>0</v>
      </c>
      <c r="AN326" s="6">
        <v>3820</v>
      </c>
      <c r="AO326" s="5">
        <v>11189.08898855824</v>
      </c>
      <c r="AP326" s="6">
        <v>1520</v>
      </c>
      <c r="AQ326" s="5">
        <v>4452.2029483268398</v>
      </c>
      <c r="AR326" s="6">
        <v>760</v>
      </c>
      <c r="AS326" s="5">
        <v>2226.1014741634199</v>
      </c>
      <c r="AT326" s="6">
        <v>0</v>
      </c>
      <c r="AU326" s="5">
        <v>0</v>
      </c>
      <c r="AV326" s="6">
        <v>0</v>
      </c>
      <c r="AW326" s="5">
        <v>0</v>
      </c>
      <c r="AX326" s="6">
        <v>0</v>
      </c>
      <c r="AY326" s="5">
        <v>0</v>
      </c>
      <c r="AZ326" s="6">
        <v>0</v>
      </c>
      <c r="BA326" s="5">
        <v>0</v>
      </c>
      <c r="BB326" s="6">
        <v>0</v>
      </c>
      <c r="BC326" s="5">
        <v>0</v>
      </c>
      <c r="BD326" s="6">
        <v>0</v>
      </c>
      <c r="BE326" s="5">
        <v>0</v>
      </c>
      <c r="BF326" s="6">
        <v>0</v>
      </c>
      <c r="BG326" s="5">
        <v>0</v>
      </c>
      <c r="BH326" s="9">
        <f t="shared" si="42"/>
        <v>6100</v>
      </c>
      <c r="BI326" s="10">
        <f t="shared" si="43"/>
        <v>17867.393411048499</v>
      </c>
      <c r="BJ326" s="6">
        <f t="shared" si="44"/>
        <v>1035.1133481307479</v>
      </c>
      <c r="BK326" s="11">
        <f t="shared" si="45"/>
        <v>0.20437048630668328</v>
      </c>
      <c r="BL326" s="5">
        <f t="shared" si="46"/>
        <v>3635.0619192959002</v>
      </c>
      <c r="BM326" s="11">
        <f t="shared" si="47"/>
        <v>0.25540874461800994</v>
      </c>
    </row>
    <row r="327" spans="1:65" ht="15" customHeight="1" x14ac:dyDescent="0.4">
      <c r="A327" s="2" t="s">
        <v>269</v>
      </c>
      <c r="B327" s="2" t="s">
        <v>66</v>
      </c>
      <c r="C327" s="2" t="s">
        <v>317</v>
      </c>
      <c r="D327" s="3" t="s">
        <v>68</v>
      </c>
      <c r="E327" s="3" t="s">
        <v>82</v>
      </c>
      <c r="F327" s="2" t="s">
        <v>83</v>
      </c>
      <c r="G327" s="4">
        <v>20</v>
      </c>
      <c r="H327" s="5">
        <v>2.82</v>
      </c>
      <c r="I327" s="5">
        <v>2.9395046624559118</v>
      </c>
      <c r="J327" s="6">
        <v>633.11083148365651</v>
      </c>
      <c r="K327" s="5">
        <v>1785.3725447839111</v>
      </c>
      <c r="L327" s="6">
        <v>633.11083148365651</v>
      </c>
      <c r="M327" s="5">
        <v>1785.3725447839111</v>
      </c>
      <c r="N327" s="6">
        <v>0</v>
      </c>
      <c r="O327" s="5">
        <v>0</v>
      </c>
      <c r="P327" s="6">
        <v>1899.3324944509691</v>
      </c>
      <c r="Q327" s="5">
        <v>5356.1176343517336</v>
      </c>
      <c r="R327" s="6">
        <v>0</v>
      </c>
      <c r="S327" s="5">
        <v>0</v>
      </c>
      <c r="T327" s="6">
        <v>0</v>
      </c>
      <c r="U327" s="5">
        <v>0</v>
      </c>
      <c r="V327" s="6">
        <v>0</v>
      </c>
      <c r="W327" s="5">
        <v>0</v>
      </c>
      <c r="X327" s="6">
        <v>0</v>
      </c>
      <c r="Y327" s="5">
        <v>0</v>
      </c>
      <c r="Z327" s="6">
        <v>0</v>
      </c>
      <c r="AA327" s="5">
        <v>0</v>
      </c>
      <c r="AB327" s="6">
        <v>0</v>
      </c>
      <c r="AC327" s="5">
        <v>0</v>
      </c>
      <c r="AD327" s="6">
        <v>1213.4350583019379</v>
      </c>
      <c r="AE327" s="5">
        <v>3421.8868644114659</v>
      </c>
      <c r="AF327" s="6">
        <v>0</v>
      </c>
      <c r="AG327" s="5">
        <v>0</v>
      </c>
      <c r="AH327" s="7">
        <f t="shared" si="40"/>
        <v>4378.9892157202203</v>
      </c>
      <c r="AI327" s="8">
        <f t="shared" si="41"/>
        <v>12348.749588331022</v>
      </c>
      <c r="AJ327" s="6">
        <v>700</v>
      </c>
      <c r="AK327" s="5">
        <v>2057.6532637191381</v>
      </c>
      <c r="AL327" s="6">
        <v>700</v>
      </c>
      <c r="AM327" s="5">
        <v>2057.6532637191381</v>
      </c>
      <c r="AN327" s="6">
        <v>0</v>
      </c>
      <c r="AO327" s="5">
        <v>0</v>
      </c>
      <c r="AP327" s="6">
        <v>2100</v>
      </c>
      <c r="AQ327" s="5">
        <v>6172.9597911574147</v>
      </c>
      <c r="AR327" s="6">
        <v>0</v>
      </c>
      <c r="AS327" s="5">
        <v>0</v>
      </c>
      <c r="AT327" s="6">
        <v>0</v>
      </c>
      <c r="AU327" s="5">
        <v>0</v>
      </c>
      <c r="AV327" s="6">
        <v>0</v>
      </c>
      <c r="AW327" s="5">
        <v>0</v>
      </c>
      <c r="AX327" s="6">
        <v>0</v>
      </c>
      <c r="AY327" s="5">
        <v>0</v>
      </c>
      <c r="AZ327" s="6">
        <v>0</v>
      </c>
      <c r="BA327" s="5">
        <v>0</v>
      </c>
      <c r="BB327" s="6">
        <v>0</v>
      </c>
      <c r="BC327" s="5">
        <v>0</v>
      </c>
      <c r="BD327" s="6">
        <v>1340</v>
      </c>
      <c r="BE327" s="5">
        <v>3938.9362476909209</v>
      </c>
      <c r="BF327" s="6">
        <v>0</v>
      </c>
      <c r="BG327" s="5">
        <v>0</v>
      </c>
      <c r="BH327" s="9">
        <f t="shared" si="42"/>
        <v>4840</v>
      </c>
      <c r="BI327" s="10">
        <f t="shared" si="43"/>
        <v>14227.202566286613</v>
      </c>
      <c r="BJ327" s="6">
        <f t="shared" si="44"/>
        <v>461.01078427977973</v>
      </c>
      <c r="BK327" s="11">
        <f t="shared" si="45"/>
        <v>0.10527789897832769</v>
      </c>
      <c r="BL327" s="5">
        <f t="shared" si="46"/>
        <v>1878.4529779555905</v>
      </c>
      <c r="BM327" s="11">
        <f t="shared" si="47"/>
        <v>0.1521168572185348</v>
      </c>
    </row>
    <row r="328" spans="1:65" ht="15" customHeight="1" x14ac:dyDescent="0.4">
      <c r="A328" s="2" t="s">
        <v>269</v>
      </c>
      <c r="B328" s="2" t="s">
        <v>66</v>
      </c>
      <c r="C328" s="2" t="s">
        <v>317</v>
      </c>
      <c r="D328" s="3" t="s">
        <v>68</v>
      </c>
      <c r="E328" s="3" t="s">
        <v>318</v>
      </c>
      <c r="F328" s="2" t="s">
        <v>319</v>
      </c>
      <c r="G328" s="4">
        <v>1000</v>
      </c>
      <c r="H328" s="5">
        <v>2.48</v>
      </c>
      <c r="I328" s="5">
        <v>2.5850962988973971</v>
      </c>
      <c r="J328" s="6">
        <v>2967.7070225796401</v>
      </c>
      <c r="K328" s="5">
        <v>7359.9134159975056</v>
      </c>
      <c r="L328" s="6">
        <v>0</v>
      </c>
      <c r="M328" s="5">
        <v>0</v>
      </c>
      <c r="N328" s="6">
        <v>2967.7070225796401</v>
      </c>
      <c r="O328" s="5">
        <v>7359.9134159975056</v>
      </c>
      <c r="P328" s="6">
        <v>989.23567419321319</v>
      </c>
      <c r="Q328" s="5">
        <v>2453.304471999169</v>
      </c>
      <c r="R328" s="6">
        <v>0</v>
      </c>
      <c r="S328" s="5">
        <v>0</v>
      </c>
      <c r="T328" s="6">
        <v>0</v>
      </c>
      <c r="U328" s="5">
        <v>0</v>
      </c>
      <c r="V328" s="6">
        <v>0</v>
      </c>
      <c r="W328" s="5">
        <v>0</v>
      </c>
      <c r="X328" s="6">
        <v>0</v>
      </c>
      <c r="Y328" s="5">
        <v>0</v>
      </c>
      <c r="Z328" s="6">
        <v>1895.992278596779</v>
      </c>
      <c r="AA328" s="5">
        <v>4702.060850920011</v>
      </c>
      <c r="AB328" s="6">
        <v>0</v>
      </c>
      <c r="AC328" s="5">
        <v>0</v>
      </c>
      <c r="AD328" s="6">
        <v>1895.992278596779</v>
      </c>
      <c r="AE328" s="5">
        <v>4702.060850920011</v>
      </c>
      <c r="AF328" s="6">
        <v>0</v>
      </c>
      <c r="AG328" s="5">
        <v>0</v>
      </c>
      <c r="AH328" s="7">
        <f t="shared" si="40"/>
        <v>10716.634276546052</v>
      </c>
      <c r="AI328" s="8">
        <f t="shared" si="41"/>
        <v>26577.253005834202</v>
      </c>
      <c r="AJ328" s="6">
        <v>3000</v>
      </c>
      <c r="AK328" s="5">
        <v>7755.288896692191</v>
      </c>
      <c r="AL328" s="6">
        <v>0</v>
      </c>
      <c r="AM328" s="5">
        <v>0</v>
      </c>
      <c r="AN328" s="6">
        <v>3000</v>
      </c>
      <c r="AO328" s="5">
        <v>7755.288896692191</v>
      </c>
      <c r="AP328" s="6">
        <v>1000</v>
      </c>
      <c r="AQ328" s="5">
        <v>2585.096298897397</v>
      </c>
      <c r="AR328" s="6">
        <v>0</v>
      </c>
      <c r="AS328" s="5">
        <v>0</v>
      </c>
      <c r="AT328" s="6">
        <v>0</v>
      </c>
      <c r="AU328" s="5">
        <v>0</v>
      </c>
      <c r="AV328" s="6">
        <v>0</v>
      </c>
      <c r="AW328" s="5">
        <v>0</v>
      </c>
      <c r="AX328" s="6">
        <v>0</v>
      </c>
      <c r="AY328" s="5">
        <v>0</v>
      </c>
      <c r="AZ328" s="6">
        <v>2000</v>
      </c>
      <c r="BA328" s="5">
        <v>5170.1925977947931</v>
      </c>
      <c r="BB328" s="6">
        <v>0</v>
      </c>
      <c r="BC328" s="5">
        <v>0</v>
      </c>
      <c r="BD328" s="6">
        <v>2000</v>
      </c>
      <c r="BE328" s="5">
        <v>5170.1925977947931</v>
      </c>
      <c r="BF328" s="6">
        <v>0</v>
      </c>
      <c r="BG328" s="5">
        <v>0</v>
      </c>
      <c r="BH328" s="9">
        <f t="shared" si="42"/>
        <v>11000</v>
      </c>
      <c r="BI328" s="10">
        <f t="shared" si="43"/>
        <v>28436.059287871365</v>
      </c>
      <c r="BJ328" s="6">
        <f t="shared" si="44"/>
        <v>283.36572345394779</v>
      </c>
      <c r="BK328" s="11">
        <f t="shared" si="45"/>
        <v>2.6441671530595141E-2</v>
      </c>
      <c r="BL328" s="5">
        <f t="shared" si="46"/>
        <v>1858.8062820371633</v>
      </c>
      <c r="BM328" s="11">
        <f t="shared" si="47"/>
        <v>6.9939744398306358E-2</v>
      </c>
    </row>
    <row r="329" spans="1:65" ht="15" customHeight="1" x14ac:dyDescent="0.4">
      <c r="A329" s="2" t="s">
        <v>269</v>
      </c>
      <c r="B329" s="2" t="s">
        <v>66</v>
      </c>
      <c r="C329" s="2" t="s">
        <v>317</v>
      </c>
      <c r="D329" s="3" t="s">
        <v>68</v>
      </c>
      <c r="E329" s="3" t="s">
        <v>320</v>
      </c>
      <c r="F329" s="2" t="s">
        <v>321</v>
      </c>
      <c r="G329" s="4">
        <v>5</v>
      </c>
      <c r="H329" s="5">
        <v>5.6138846852209232</v>
      </c>
      <c r="I329" s="5">
        <v>5.8519876917626776</v>
      </c>
      <c r="J329" s="6">
        <v>0</v>
      </c>
      <c r="K329" s="5">
        <v>0</v>
      </c>
      <c r="L329" s="6">
        <v>0</v>
      </c>
      <c r="M329" s="5">
        <v>0</v>
      </c>
      <c r="N329" s="6">
        <v>0</v>
      </c>
      <c r="O329" s="5">
        <v>0</v>
      </c>
      <c r="P329" s="6">
        <v>0</v>
      </c>
      <c r="Q329" s="5">
        <v>0</v>
      </c>
      <c r="R329" s="6">
        <v>321.50159411279429</v>
      </c>
      <c r="S329" s="5">
        <v>1996.5248994404531</v>
      </c>
      <c r="T329" s="6">
        <v>0</v>
      </c>
      <c r="U329" s="5">
        <v>0</v>
      </c>
      <c r="V329" s="6">
        <v>0</v>
      </c>
      <c r="W329" s="5">
        <v>0</v>
      </c>
      <c r="X329" s="6">
        <v>0</v>
      </c>
      <c r="Y329" s="5">
        <v>0</v>
      </c>
      <c r="Z329" s="6">
        <v>284.39884178951678</v>
      </c>
      <c r="AA329" s="5">
        <v>1404.930278440213</v>
      </c>
      <c r="AB329" s="6">
        <v>0</v>
      </c>
      <c r="AC329" s="5">
        <v>0</v>
      </c>
      <c r="AD329" s="6">
        <v>0</v>
      </c>
      <c r="AE329" s="5">
        <v>0</v>
      </c>
      <c r="AF329" s="6">
        <v>0</v>
      </c>
      <c r="AG329" s="5">
        <v>0</v>
      </c>
      <c r="AH329" s="7">
        <f t="shared" si="40"/>
        <v>605.90043590231107</v>
      </c>
      <c r="AI329" s="8">
        <f t="shared" si="41"/>
        <v>3401.4551778806663</v>
      </c>
      <c r="AJ329" s="6">
        <v>0</v>
      </c>
      <c r="AK329" s="5">
        <v>0</v>
      </c>
      <c r="AL329" s="6">
        <v>0</v>
      </c>
      <c r="AM329" s="5">
        <v>0</v>
      </c>
      <c r="AN329" s="6">
        <v>0</v>
      </c>
      <c r="AO329" s="5">
        <v>0</v>
      </c>
      <c r="AP329" s="6">
        <v>0</v>
      </c>
      <c r="AQ329" s="5">
        <v>0</v>
      </c>
      <c r="AR329" s="6">
        <v>345</v>
      </c>
      <c r="AS329" s="5">
        <v>2233.2417603115841</v>
      </c>
      <c r="AT329" s="6">
        <v>0</v>
      </c>
      <c r="AU329" s="5">
        <v>0</v>
      </c>
      <c r="AV329" s="6">
        <v>0</v>
      </c>
      <c r="AW329" s="5">
        <v>0</v>
      </c>
      <c r="AX329" s="6">
        <v>0</v>
      </c>
      <c r="AY329" s="5">
        <v>0</v>
      </c>
      <c r="AZ329" s="6">
        <v>305</v>
      </c>
      <c r="BA329" s="5">
        <v>1570.5502393341569</v>
      </c>
      <c r="BB329" s="6">
        <v>0</v>
      </c>
      <c r="BC329" s="5">
        <v>0</v>
      </c>
      <c r="BD329" s="6">
        <v>0</v>
      </c>
      <c r="BE329" s="5">
        <v>0</v>
      </c>
      <c r="BF329" s="6">
        <v>0</v>
      </c>
      <c r="BG329" s="5">
        <v>0</v>
      </c>
      <c r="BH329" s="9">
        <f t="shared" si="42"/>
        <v>650</v>
      </c>
      <c r="BI329" s="10">
        <f t="shared" si="43"/>
        <v>3803.7919996457413</v>
      </c>
      <c r="BJ329" s="6">
        <f t="shared" si="44"/>
        <v>44.099564097688926</v>
      </c>
      <c r="BK329" s="11">
        <f t="shared" si="45"/>
        <v>7.278351604420874E-2</v>
      </c>
      <c r="BL329" s="5">
        <f t="shared" si="46"/>
        <v>402.336821765075</v>
      </c>
      <c r="BM329" s="11">
        <f t="shared" si="47"/>
        <v>0.11828373467374564</v>
      </c>
    </row>
    <row r="330" spans="1:65" ht="15" customHeight="1" x14ac:dyDescent="0.4">
      <c r="A330" s="2" t="s">
        <v>269</v>
      </c>
      <c r="B330" s="2" t="s">
        <v>66</v>
      </c>
      <c r="C330" s="2" t="s">
        <v>317</v>
      </c>
      <c r="D330" s="3" t="s">
        <v>68</v>
      </c>
      <c r="E330" s="3" t="s">
        <v>314</v>
      </c>
      <c r="F330" s="2" t="s">
        <v>316</v>
      </c>
      <c r="G330" s="4">
        <v>5</v>
      </c>
      <c r="H330" s="5">
        <v>7.23</v>
      </c>
      <c r="I330" s="5">
        <v>7.5363896133178132</v>
      </c>
      <c r="J330" s="6">
        <v>0</v>
      </c>
      <c r="K330" s="5">
        <v>0</v>
      </c>
      <c r="L330" s="6">
        <v>0</v>
      </c>
      <c r="M330" s="5">
        <v>0</v>
      </c>
      <c r="N330" s="6">
        <v>0</v>
      </c>
      <c r="O330" s="5">
        <v>0</v>
      </c>
      <c r="P330" s="6">
        <v>0</v>
      </c>
      <c r="Q330" s="5">
        <v>0</v>
      </c>
      <c r="R330" s="6">
        <v>0</v>
      </c>
      <c r="S330" s="5">
        <v>0</v>
      </c>
      <c r="T330" s="6">
        <v>0</v>
      </c>
      <c r="U330" s="5">
        <v>0</v>
      </c>
      <c r="V330" s="6">
        <v>0</v>
      </c>
      <c r="W330" s="5">
        <v>0</v>
      </c>
      <c r="X330" s="6">
        <v>197.84713483864269</v>
      </c>
      <c r="Y330" s="5">
        <v>1430.4347848833861</v>
      </c>
      <c r="Z330" s="6">
        <v>0</v>
      </c>
      <c r="AA330" s="5">
        <v>0</v>
      </c>
      <c r="AB330" s="6">
        <v>0</v>
      </c>
      <c r="AC330" s="5">
        <v>0</v>
      </c>
      <c r="AD330" s="6">
        <v>0</v>
      </c>
      <c r="AE330" s="5">
        <v>0</v>
      </c>
      <c r="AF330" s="6">
        <v>0</v>
      </c>
      <c r="AG330" s="5">
        <v>0</v>
      </c>
      <c r="AH330" s="7">
        <f t="shared" si="40"/>
        <v>197.84713483864269</v>
      </c>
      <c r="AI330" s="8">
        <f t="shared" si="41"/>
        <v>1430.4347848833861</v>
      </c>
      <c r="AJ330" s="6">
        <v>0</v>
      </c>
      <c r="AK330" s="5">
        <v>0</v>
      </c>
      <c r="AL330" s="6">
        <v>0</v>
      </c>
      <c r="AM330" s="5">
        <v>0</v>
      </c>
      <c r="AN330" s="6">
        <v>0</v>
      </c>
      <c r="AO330" s="5">
        <v>0</v>
      </c>
      <c r="AP330" s="6">
        <v>0</v>
      </c>
      <c r="AQ330" s="5">
        <v>0</v>
      </c>
      <c r="AR330" s="6">
        <v>0</v>
      </c>
      <c r="AS330" s="5">
        <v>0</v>
      </c>
      <c r="AT330" s="6">
        <v>0</v>
      </c>
      <c r="AU330" s="5">
        <v>0</v>
      </c>
      <c r="AV330" s="6">
        <v>0</v>
      </c>
      <c r="AW330" s="5">
        <v>0</v>
      </c>
      <c r="AX330" s="6">
        <v>210</v>
      </c>
      <c r="AY330" s="5">
        <v>1582.6418187967411</v>
      </c>
      <c r="AZ330" s="6">
        <v>0</v>
      </c>
      <c r="BA330" s="5">
        <v>0</v>
      </c>
      <c r="BB330" s="6">
        <v>0</v>
      </c>
      <c r="BC330" s="5">
        <v>0</v>
      </c>
      <c r="BD330" s="6">
        <v>0</v>
      </c>
      <c r="BE330" s="5">
        <v>0</v>
      </c>
      <c r="BF330" s="6">
        <v>0</v>
      </c>
      <c r="BG330" s="5">
        <v>0</v>
      </c>
      <c r="BH330" s="9">
        <f t="shared" si="42"/>
        <v>210</v>
      </c>
      <c r="BI330" s="10">
        <f t="shared" si="43"/>
        <v>1582.6418187967411</v>
      </c>
      <c r="BJ330" s="6">
        <f t="shared" si="44"/>
        <v>12.152865161357312</v>
      </c>
      <c r="BK330" s="11">
        <f t="shared" si="45"/>
        <v>6.142553022700465E-2</v>
      </c>
      <c r="BL330" s="5">
        <f t="shared" si="46"/>
        <v>152.20703391335496</v>
      </c>
      <c r="BM330" s="11">
        <f t="shared" si="47"/>
        <v>0.10640613296170884</v>
      </c>
    </row>
    <row r="331" spans="1:65" ht="15" customHeight="1" x14ac:dyDescent="0.4">
      <c r="A331" s="2" t="s">
        <v>269</v>
      </c>
      <c r="B331" s="2" t="s">
        <v>66</v>
      </c>
      <c r="C331" s="2" t="s">
        <v>317</v>
      </c>
      <c r="D331" s="3" t="s">
        <v>68</v>
      </c>
      <c r="E331" s="3" t="s">
        <v>86</v>
      </c>
      <c r="F331" s="2" t="s">
        <v>87</v>
      </c>
      <c r="G331" s="4">
        <v>20</v>
      </c>
      <c r="H331" s="5">
        <v>1.53</v>
      </c>
      <c r="I331" s="5">
        <v>1.5948376360133141</v>
      </c>
      <c r="J331" s="6">
        <v>0</v>
      </c>
      <c r="K331" s="5">
        <v>0</v>
      </c>
      <c r="L331" s="6">
        <v>0</v>
      </c>
      <c r="M331" s="5">
        <v>0</v>
      </c>
      <c r="N331" s="6">
        <v>0</v>
      </c>
      <c r="O331" s="5">
        <v>0</v>
      </c>
      <c r="P331" s="6">
        <v>6528.9554496752071</v>
      </c>
      <c r="Q331" s="5">
        <v>9989.301838003068</v>
      </c>
      <c r="R331" s="6">
        <v>8705.2739329002761</v>
      </c>
      <c r="S331" s="5">
        <v>13319.06911733742</v>
      </c>
      <c r="T331" s="6">
        <v>0</v>
      </c>
      <c r="U331" s="5">
        <v>0</v>
      </c>
      <c r="V331" s="6">
        <v>0</v>
      </c>
      <c r="W331" s="5">
        <v>0</v>
      </c>
      <c r="X331" s="6">
        <v>0</v>
      </c>
      <c r="Y331" s="5">
        <v>0</v>
      </c>
      <c r="Z331" s="6">
        <v>0</v>
      </c>
      <c r="AA331" s="5">
        <v>0</v>
      </c>
      <c r="AB331" s="6">
        <v>0</v>
      </c>
      <c r="AC331" s="5">
        <v>0</v>
      </c>
      <c r="AD331" s="6">
        <v>568.79768357903356</v>
      </c>
      <c r="AE331" s="5">
        <v>870.26045587592137</v>
      </c>
      <c r="AF331" s="6">
        <v>0</v>
      </c>
      <c r="AG331" s="5">
        <v>0</v>
      </c>
      <c r="AH331" s="7">
        <f t="shared" si="40"/>
        <v>15803.027066154516</v>
      </c>
      <c r="AI331" s="8">
        <f t="shared" si="41"/>
        <v>24178.631411216411</v>
      </c>
      <c r="AJ331" s="6">
        <v>0</v>
      </c>
      <c r="AK331" s="5">
        <v>0</v>
      </c>
      <c r="AL331" s="6">
        <v>0</v>
      </c>
      <c r="AM331" s="5">
        <v>0</v>
      </c>
      <c r="AN331" s="6">
        <v>0</v>
      </c>
      <c r="AO331" s="5">
        <v>0</v>
      </c>
      <c r="AP331" s="6">
        <v>7200</v>
      </c>
      <c r="AQ331" s="5">
        <v>11482.830979295861</v>
      </c>
      <c r="AR331" s="6">
        <v>9600</v>
      </c>
      <c r="AS331" s="5">
        <v>15310.441305727811</v>
      </c>
      <c r="AT331" s="6">
        <v>0</v>
      </c>
      <c r="AU331" s="5">
        <v>0</v>
      </c>
      <c r="AV331" s="6">
        <v>0</v>
      </c>
      <c r="AW331" s="5">
        <v>0</v>
      </c>
      <c r="AX331" s="6">
        <v>0</v>
      </c>
      <c r="AY331" s="5">
        <v>0</v>
      </c>
      <c r="AZ331" s="6">
        <v>0</v>
      </c>
      <c r="BA331" s="5">
        <v>0</v>
      </c>
      <c r="BB331" s="6">
        <v>0</v>
      </c>
      <c r="BC331" s="5">
        <v>0</v>
      </c>
      <c r="BD331" s="6">
        <v>620</v>
      </c>
      <c r="BE331" s="5">
        <v>988.7993343282543</v>
      </c>
      <c r="BF331" s="6">
        <v>0</v>
      </c>
      <c r="BG331" s="5">
        <v>0</v>
      </c>
      <c r="BH331" s="9">
        <f t="shared" si="42"/>
        <v>17420</v>
      </c>
      <c r="BI331" s="10">
        <f t="shared" si="43"/>
        <v>27782.071619351926</v>
      </c>
      <c r="BJ331" s="6">
        <f t="shared" si="44"/>
        <v>1616.9729338454836</v>
      </c>
      <c r="BK331" s="11">
        <f t="shared" si="45"/>
        <v>0.10232045588965477</v>
      </c>
      <c r="BL331" s="5">
        <f t="shared" si="46"/>
        <v>3603.4402081355147</v>
      </c>
      <c r="BM331" s="11">
        <f t="shared" si="47"/>
        <v>0.14903408496743481</v>
      </c>
    </row>
    <row r="332" spans="1:65" ht="15" customHeight="1" x14ac:dyDescent="0.4">
      <c r="A332" s="2" t="s">
        <v>269</v>
      </c>
      <c r="B332" s="2" t="s">
        <v>66</v>
      </c>
      <c r="C332" s="2" t="s">
        <v>317</v>
      </c>
      <c r="D332" s="3" t="s">
        <v>68</v>
      </c>
      <c r="E332" s="3" t="s">
        <v>322</v>
      </c>
      <c r="F332" s="2" t="s">
        <v>323</v>
      </c>
      <c r="G332" s="4">
        <v>20</v>
      </c>
      <c r="H332" s="5">
        <v>1.6637837837837841</v>
      </c>
      <c r="I332" s="5">
        <v>1.734259956677292</v>
      </c>
      <c r="J332" s="6">
        <v>0</v>
      </c>
      <c r="K332" s="5">
        <v>0</v>
      </c>
      <c r="L332" s="6">
        <v>0</v>
      </c>
      <c r="M332" s="5">
        <v>0</v>
      </c>
      <c r="N332" s="6">
        <v>0</v>
      </c>
      <c r="O332" s="5">
        <v>0</v>
      </c>
      <c r="P332" s="6">
        <v>2176.318483225069</v>
      </c>
      <c r="Q332" s="5">
        <v>3656.2150518181161</v>
      </c>
      <c r="R332" s="6">
        <v>1879.5477809671049</v>
      </c>
      <c r="S332" s="5">
        <v>3038.9319911215512</v>
      </c>
      <c r="T332" s="6">
        <v>3264.477724837604</v>
      </c>
      <c r="U332" s="5">
        <v>5484.3225777271746</v>
      </c>
      <c r="V332" s="6">
        <v>0</v>
      </c>
      <c r="W332" s="5">
        <v>0</v>
      </c>
      <c r="X332" s="6">
        <v>0</v>
      </c>
      <c r="Y332" s="5">
        <v>0</v>
      </c>
      <c r="Z332" s="6">
        <v>2085.591506456457</v>
      </c>
      <c r="AA332" s="5">
        <v>3469.9733280394462</v>
      </c>
      <c r="AB332" s="6">
        <v>1042.795753228228</v>
      </c>
      <c r="AC332" s="5">
        <v>1734.9866640197231</v>
      </c>
      <c r="AD332" s="6">
        <v>0</v>
      </c>
      <c r="AE332" s="5">
        <v>0</v>
      </c>
      <c r="AF332" s="6">
        <v>0</v>
      </c>
      <c r="AG332" s="5">
        <v>0</v>
      </c>
      <c r="AH332" s="7">
        <f t="shared" si="40"/>
        <v>10448.731248714463</v>
      </c>
      <c r="AI332" s="8">
        <f t="shared" si="41"/>
        <v>17384.42961272601</v>
      </c>
      <c r="AJ332" s="6">
        <v>0</v>
      </c>
      <c r="AK332" s="5">
        <v>0</v>
      </c>
      <c r="AL332" s="6">
        <v>0</v>
      </c>
      <c r="AM332" s="5">
        <v>0</v>
      </c>
      <c r="AN332" s="6">
        <v>0</v>
      </c>
      <c r="AO332" s="5">
        <v>0</v>
      </c>
      <c r="AP332" s="6">
        <v>2400</v>
      </c>
      <c r="AQ332" s="5">
        <v>4202.8662407880274</v>
      </c>
      <c r="AR332" s="6">
        <v>2080</v>
      </c>
      <c r="AS332" s="5">
        <v>3505.5485837951251</v>
      </c>
      <c r="AT332" s="6">
        <v>3600</v>
      </c>
      <c r="AU332" s="5">
        <v>6304.2993611820393</v>
      </c>
      <c r="AV332" s="6">
        <v>0</v>
      </c>
      <c r="AW332" s="5">
        <v>0</v>
      </c>
      <c r="AX332" s="6">
        <v>0</v>
      </c>
      <c r="AY332" s="5">
        <v>0</v>
      </c>
      <c r="AZ332" s="6">
        <v>2300</v>
      </c>
      <c r="BA332" s="5">
        <v>3988.8689490876709</v>
      </c>
      <c r="BB332" s="6">
        <v>1140</v>
      </c>
      <c r="BC332" s="5">
        <v>1977.0915660695409</v>
      </c>
      <c r="BD332" s="6">
        <v>0</v>
      </c>
      <c r="BE332" s="5">
        <v>0</v>
      </c>
      <c r="BF332" s="6">
        <v>0</v>
      </c>
      <c r="BG332" s="5">
        <v>0</v>
      </c>
      <c r="BH332" s="9">
        <f t="shared" si="42"/>
        <v>11520</v>
      </c>
      <c r="BI332" s="10">
        <f t="shared" si="43"/>
        <v>19978.674700922405</v>
      </c>
      <c r="BJ332" s="6">
        <f t="shared" si="44"/>
        <v>1071.2687512855373</v>
      </c>
      <c r="BK332" s="11">
        <f t="shared" si="45"/>
        <v>0.1025262039749887</v>
      </c>
      <c r="BL332" s="5">
        <f t="shared" si="46"/>
        <v>2594.245088196396</v>
      </c>
      <c r="BM332" s="11">
        <f t="shared" si="47"/>
        <v>0.14922808202446389</v>
      </c>
    </row>
    <row r="333" spans="1:65" ht="15" customHeight="1" x14ac:dyDescent="0.4">
      <c r="A333" s="2" t="s">
        <v>269</v>
      </c>
      <c r="B333" s="2" t="s">
        <v>66</v>
      </c>
      <c r="C333" s="2" t="s">
        <v>317</v>
      </c>
      <c r="D333" s="3" t="s">
        <v>68</v>
      </c>
      <c r="E333" s="3" t="s">
        <v>324</v>
      </c>
      <c r="F333" s="2" t="s">
        <v>325</v>
      </c>
      <c r="G333" s="4">
        <v>20</v>
      </c>
      <c r="H333" s="5">
        <v>6.7200000000000006</v>
      </c>
      <c r="I333" s="5">
        <v>7.0047770679800436</v>
      </c>
      <c r="J333" s="6">
        <v>0</v>
      </c>
      <c r="K333" s="5">
        <v>0</v>
      </c>
      <c r="L333" s="6">
        <v>969.45096070934892</v>
      </c>
      <c r="M333" s="5">
        <v>6514.7104559668251</v>
      </c>
      <c r="N333" s="6">
        <v>0</v>
      </c>
      <c r="O333" s="5">
        <v>0</v>
      </c>
      <c r="P333" s="6">
        <v>0</v>
      </c>
      <c r="Q333" s="5">
        <v>0</v>
      </c>
      <c r="R333" s="6">
        <v>0</v>
      </c>
      <c r="S333" s="5">
        <v>0</v>
      </c>
      <c r="T333" s="6">
        <v>0</v>
      </c>
      <c r="U333" s="5">
        <v>0</v>
      </c>
      <c r="V333" s="6">
        <v>0</v>
      </c>
      <c r="W333" s="5">
        <v>0</v>
      </c>
      <c r="X333" s="6">
        <v>0</v>
      </c>
      <c r="Y333" s="5">
        <v>0</v>
      </c>
      <c r="Z333" s="6">
        <v>0</v>
      </c>
      <c r="AA333" s="5">
        <v>0</v>
      </c>
      <c r="AB333" s="6">
        <v>0</v>
      </c>
      <c r="AC333" s="5">
        <v>0</v>
      </c>
      <c r="AD333" s="6">
        <v>0</v>
      </c>
      <c r="AE333" s="5">
        <v>0</v>
      </c>
      <c r="AF333" s="6">
        <v>0</v>
      </c>
      <c r="AG333" s="5">
        <v>0</v>
      </c>
      <c r="AH333" s="7">
        <f t="shared" si="40"/>
        <v>969.45096070934892</v>
      </c>
      <c r="AI333" s="8">
        <f t="shared" si="41"/>
        <v>6514.7104559668251</v>
      </c>
      <c r="AJ333" s="6">
        <v>0</v>
      </c>
      <c r="AK333" s="5">
        <v>0</v>
      </c>
      <c r="AL333" s="6">
        <v>1040</v>
      </c>
      <c r="AM333" s="5">
        <v>7284.9681506992456</v>
      </c>
      <c r="AN333" s="6">
        <v>0</v>
      </c>
      <c r="AO333" s="5">
        <v>0</v>
      </c>
      <c r="AP333" s="6">
        <v>0</v>
      </c>
      <c r="AQ333" s="5">
        <v>0</v>
      </c>
      <c r="AR333" s="6">
        <v>0</v>
      </c>
      <c r="AS333" s="5">
        <v>0</v>
      </c>
      <c r="AT333" s="6">
        <v>0</v>
      </c>
      <c r="AU333" s="5">
        <v>0</v>
      </c>
      <c r="AV333" s="6">
        <v>0</v>
      </c>
      <c r="AW333" s="5">
        <v>0</v>
      </c>
      <c r="AX333" s="6">
        <v>0</v>
      </c>
      <c r="AY333" s="5">
        <v>0</v>
      </c>
      <c r="AZ333" s="6">
        <v>0</v>
      </c>
      <c r="BA333" s="5">
        <v>0</v>
      </c>
      <c r="BB333" s="6">
        <v>0</v>
      </c>
      <c r="BC333" s="5">
        <v>0</v>
      </c>
      <c r="BD333" s="6">
        <v>0</v>
      </c>
      <c r="BE333" s="5">
        <v>0</v>
      </c>
      <c r="BF333" s="6">
        <v>0</v>
      </c>
      <c r="BG333" s="5">
        <v>0</v>
      </c>
      <c r="BH333" s="9">
        <f t="shared" si="42"/>
        <v>1040</v>
      </c>
      <c r="BI333" s="10">
        <f t="shared" si="43"/>
        <v>7284.9681506992456</v>
      </c>
      <c r="BJ333" s="6">
        <f t="shared" si="44"/>
        <v>70.549039290651081</v>
      </c>
      <c r="BK333" s="11">
        <f t="shared" si="45"/>
        <v>7.2772158830014699E-2</v>
      </c>
      <c r="BL333" s="5">
        <f t="shared" si="46"/>
        <v>770.25769473242053</v>
      </c>
      <c r="BM333" s="11">
        <f t="shared" si="47"/>
        <v>0.1182336037708232</v>
      </c>
    </row>
    <row r="334" spans="1:65" ht="15" customHeight="1" x14ac:dyDescent="0.4">
      <c r="A334" s="2" t="s">
        <v>269</v>
      </c>
      <c r="B334" s="2" t="s">
        <v>66</v>
      </c>
      <c r="C334" s="2" t="s">
        <v>317</v>
      </c>
      <c r="D334" s="3" t="s">
        <v>68</v>
      </c>
      <c r="E334" s="3" t="s">
        <v>326</v>
      </c>
      <c r="F334" s="2" t="s">
        <v>327</v>
      </c>
      <c r="G334" s="4">
        <v>5</v>
      </c>
      <c r="H334" s="5">
        <v>4.79</v>
      </c>
      <c r="I334" s="5">
        <v>4.9929884160155371</v>
      </c>
      <c r="J334" s="6">
        <v>0</v>
      </c>
      <c r="K334" s="5">
        <v>0</v>
      </c>
      <c r="L334" s="6">
        <v>0</v>
      </c>
      <c r="M334" s="5">
        <v>0</v>
      </c>
      <c r="N334" s="6">
        <v>0</v>
      </c>
      <c r="O334" s="5">
        <v>0</v>
      </c>
      <c r="P334" s="6">
        <v>197.84713483864269</v>
      </c>
      <c r="Q334" s="5">
        <v>947.68777587709826</v>
      </c>
      <c r="R334" s="6">
        <v>0</v>
      </c>
      <c r="S334" s="5">
        <v>0</v>
      </c>
      <c r="T334" s="6">
        <v>0</v>
      </c>
      <c r="U334" s="5">
        <v>0</v>
      </c>
      <c r="V334" s="6">
        <v>0</v>
      </c>
      <c r="W334" s="5">
        <v>0</v>
      </c>
      <c r="X334" s="6">
        <v>0</v>
      </c>
      <c r="Y334" s="5">
        <v>0</v>
      </c>
      <c r="Z334" s="6">
        <v>0</v>
      </c>
      <c r="AA334" s="5">
        <v>0</v>
      </c>
      <c r="AB334" s="6">
        <v>0</v>
      </c>
      <c r="AC334" s="5">
        <v>0</v>
      </c>
      <c r="AD334" s="6">
        <v>0</v>
      </c>
      <c r="AE334" s="5">
        <v>0</v>
      </c>
      <c r="AF334" s="6">
        <v>0</v>
      </c>
      <c r="AG334" s="5">
        <v>0</v>
      </c>
      <c r="AH334" s="7">
        <f t="shared" si="40"/>
        <v>197.84713483864269</v>
      </c>
      <c r="AI334" s="8">
        <f t="shared" si="41"/>
        <v>947.68777587709826</v>
      </c>
      <c r="AJ334" s="6">
        <v>0</v>
      </c>
      <c r="AK334" s="5">
        <v>0</v>
      </c>
      <c r="AL334" s="6">
        <v>0</v>
      </c>
      <c r="AM334" s="5">
        <v>0</v>
      </c>
      <c r="AN334" s="6">
        <v>0</v>
      </c>
      <c r="AO334" s="5">
        <v>0</v>
      </c>
      <c r="AP334" s="6">
        <v>210</v>
      </c>
      <c r="AQ334" s="5">
        <v>1048.527567363263</v>
      </c>
      <c r="AR334" s="6">
        <v>0</v>
      </c>
      <c r="AS334" s="5">
        <v>0</v>
      </c>
      <c r="AT334" s="6">
        <v>0</v>
      </c>
      <c r="AU334" s="5">
        <v>0</v>
      </c>
      <c r="AV334" s="6">
        <v>0</v>
      </c>
      <c r="AW334" s="5">
        <v>0</v>
      </c>
      <c r="AX334" s="6">
        <v>0</v>
      </c>
      <c r="AY334" s="5">
        <v>0</v>
      </c>
      <c r="AZ334" s="6">
        <v>0</v>
      </c>
      <c r="BA334" s="5">
        <v>0</v>
      </c>
      <c r="BB334" s="6">
        <v>0</v>
      </c>
      <c r="BC334" s="5">
        <v>0</v>
      </c>
      <c r="BD334" s="6">
        <v>0</v>
      </c>
      <c r="BE334" s="5">
        <v>0</v>
      </c>
      <c r="BF334" s="6">
        <v>0</v>
      </c>
      <c r="BG334" s="5">
        <v>0</v>
      </c>
      <c r="BH334" s="9">
        <f t="shared" si="42"/>
        <v>210</v>
      </c>
      <c r="BI334" s="10">
        <f t="shared" si="43"/>
        <v>1048.527567363263</v>
      </c>
      <c r="BJ334" s="6">
        <f t="shared" si="44"/>
        <v>12.152865161357312</v>
      </c>
      <c r="BK334" s="11">
        <f t="shared" si="45"/>
        <v>6.142553022700465E-2</v>
      </c>
      <c r="BL334" s="5">
        <f t="shared" si="46"/>
        <v>100.8397914861647</v>
      </c>
      <c r="BM334" s="11">
        <f t="shared" si="47"/>
        <v>0.10640613296170889</v>
      </c>
    </row>
    <row r="335" spans="1:65" ht="15" customHeight="1" x14ac:dyDescent="0.4">
      <c r="A335" s="2" t="s">
        <v>269</v>
      </c>
      <c r="B335" s="2" t="s">
        <v>66</v>
      </c>
      <c r="C335" s="2" t="s">
        <v>317</v>
      </c>
      <c r="D335" s="3" t="s">
        <v>68</v>
      </c>
      <c r="E335" s="3" t="s">
        <v>193</v>
      </c>
      <c r="F335" s="2" t="s">
        <v>194</v>
      </c>
      <c r="G335" s="4">
        <v>20</v>
      </c>
      <c r="H335" s="5">
        <v>4.8099999999999996</v>
      </c>
      <c r="I335" s="5">
        <v>5.0138359668130974</v>
      </c>
      <c r="J335" s="6">
        <v>0</v>
      </c>
      <c r="K335" s="5">
        <v>0</v>
      </c>
      <c r="L335" s="6">
        <v>197.84713483864269</v>
      </c>
      <c r="M335" s="5">
        <v>951.64471857387116</v>
      </c>
      <c r="N335" s="6">
        <v>593.54140451592798</v>
      </c>
      <c r="O335" s="5">
        <v>2854.934155721613</v>
      </c>
      <c r="P335" s="6">
        <v>0</v>
      </c>
      <c r="Q335" s="5">
        <v>0</v>
      </c>
      <c r="R335" s="6">
        <v>0</v>
      </c>
      <c r="S335" s="5">
        <v>0</v>
      </c>
      <c r="T335" s="6">
        <v>0</v>
      </c>
      <c r="U335" s="5">
        <v>0</v>
      </c>
      <c r="V335" s="6">
        <v>197.84713483864269</v>
      </c>
      <c r="W335" s="5">
        <v>951.64471857387116</v>
      </c>
      <c r="X335" s="6">
        <v>0</v>
      </c>
      <c r="Y335" s="5">
        <v>0</v>
      </c>
      <c r="Z335" s="6">
        <v>0</v>
      </c>
      <c r="AA335" s="5">
        <v>0</v>
      </c>
      <c r="AB335" s="6">
        <v>0</v>
      </c>
      <c r="AC335" s="5">
        <v>0</v>
      </c>
      <c r="AD335" s="6">
        <v>0</v>
      </c>
      <c r="AE335" s="5">
        <v>0</v>
      </c>
      <c r="AF335" s="6">
        <v>0</v>
      </c>
      <c r="AG335" s="5">
        <v>0</v>
      </c>
      <c r="AH335" s="7">
        <f t="shared" si="40"/>
        <v>989.2356741932133</v>
      </c>
      <c r="AI335" s="8">
        <f t="shared" si="41"/>
        <v>4758.2235928693553</v>
      </c>
      <c r="AJ335" s="6">
        <v>0</v>
      </c>
      <c r="AK335" s="5">
        <v>0</v>
      </c>
      <c r="AL335" s="6">
        <v>220</v>
      </c>
      <c r="AM335" s="5">
        <v>1103.0439126988811</v>
      </c>
      <c r="AN335" s="6">
        <v>660</v>
      </c>
      <c r="AO335" s="5">
        <v>3309.1317380966439</v>
      </c>
      <c r="AP335" s="6">
        <v>0</v>
      </c>
      <c r="AQ335" s="5">
        <v>0</v>
      </c>
      <c r="AR335" s="6">
        <v>0</v>
      </c>
      <c r="AS335" s="5">
        <v>0</v>
      </c>
      <c r="AT335" s="6">
        <v>0</v>
      </c>
      <c r="AU335" s="5">
        <v>0</v>
      </c>
      <c r="AV335" s="6">
        <v>220</v>
      </c>
      <c r="AW335" s="5">
        <v>1103.0439126988811</v>
      </c>
      <c r="AX335" s="6">
        <v>0</v>
      </c>
      <c r="AY335" s="5">
        <v>0</v>
      </c>
      <c r="AZ335" s="6">
        <v>0</v>
      </c>
      <c r="BA335" s="5">
        <v>0</v>
      </c>
      <c r="BB335" s="6">
        <v>0</v>
      </c>
      <c r="BC335" s="5">
        <v>0</v>
      </c>
      <c r="BD335" s="6">
        <v>0</v>
      </c>
      <c r="BE335" s="5">
        <v>0</v>
      </c>
      <c r="BF335" s="6">
        <v>0</v>
      </c>
      <c r="BG335" s="5">
        <v>0</v>
      </c>
      <c r="BH335" s="9">
        <f t="shared" si="42"/>
        <v>1100</v>
      </c>
      <c r="BI335" s="10">
        <f t="shared" si="43"/>
        <v>5515.2195634944064</v>
      </c>
      <c r="BJ335" s="6">
        <f t="shared" si="44"/>
        <v>110.7643258067867</v>
      </c>
      <c r="BK335" s="11">
        <f t="shared" si="45"/>
        <v>0.11196960309495742</v>
      </c>
      <c r="BL335" s="5">
        <f t="shared" si="46"/>
        <v>756.99597062505109</v>
      </c>
      <c r="BM335" s="11">
        <f t="shared" si="47"/>
        <v>0.15909213929321872</v>
      </c>
    </row>
    <row r="336" spans="1:65" ht="15" customHeight="1" x14ac:dyDescent="0.4">
      <c r="A336" s="2" t="s">
        <v>269</v>
      </c>
      <c r="B336" s="2" t="s">
        <v>66</v>
      </c>
      <c r="C336" s="2" t="s">
        <v>317</v>
      </c>
      <c r="D336" s="3" t="s">
        <v>68</v>
      </c>
      <c r="E336" s="3" t="s">
        <v>229</v>
      </c>
      <c r="F336" s="2" t="s">
        <v>230</v>
      </c>
      <c r="G336" s="4">
        <v>20</v>
      </c>
      <c r="H336" s="5">
        <v>2.233207547169811</v>
      </c>
      <c r="I336" s="5">
        <v>2.3277305169275229</v>
      </c>
      <c r="J336" s="6">
        <v>0</v>
      </c>
      <c r="K336" s="5">
        <v>0</v>
      </c>
      <c r="L336" s="6">
        <v>0</v>
      </c>
      <c r="M336" s="5">
        <v>0</v>
      </c>
      <c r="N336" s="6">
        <v>0</v>
      </c>
      <c r="O336" s="5">
        <v>0</v>
      </c>
      <c r="P336" s="6">
        <v>197.84713483864269</v>
      </c>
      <c r="Q336" s="5">
        <v>435.26369664501379</v>
      </c>
      <c r="R336" s="6">
        <v>633.11083148365651</v>
      </c>
      <c r="S336" s="5">
        <v>1392.843829264044</v>
      </c>
      <c r="T336" s="6">
        <v>633.11083148365651</v>
      </c>
      <c r="U336" s="5">
        <v>1392.843829264044</v>
      </c>
      <c r="V336" s="6">
        <v>0</v>
      </c>
      <c r="W336" s="5">
        <v>0</v>
      </c>
      <c r="X336" s="6">
        <v>633.11083148365651</v>
      </c>
      <c r="Y336" s="5">
        <v>1462.486020727247</v>
      </c>
      <c r="Z336" s="6">
        <v>0</v>
      </c>
      <c r="AA336" s="5">
        <v>0</v>
      </c>
      <c r="AB336" s="6">
        <v>0</v>
      </c>
      <c r="AC336" s="5">
        <v>0</v>
      </c>
      <c r="AD336" s="6">
        <v>0</v>
      </c>
      <c r="AE336" s="5">
        <v>0</v>
      </c>
      <c r="AF336" s="6">
        <v>0</v>
      </c>
      <c r="AG336" s="5">
        <v>0</v>
      </c>
      <c r="AH336" s="7">
        <f t="shared" si="40"/>
        <v>2097.1796292896124</v>
      </c>
      <c r="AI336" s="8">
        <f t="shared" si="41"/>
        <v>4683.4373759003483</v>
      </c>
      <c r="AJ336" s="6">
        <v>0</v>
      </c>
      <c r="AK336" s="5">
        <v>0</v>
      </c>
      <c r="AL336" s="6">
        <v>0</v>
      </c>
      <c r="AM336" s="5">
        <v>0</v>
      </c>
      <c r="AN336" s="6">
        <v>0</v>
      </c>
      <c r="AO336" s="5">
        <v>0</v>
      </c>
      <c r="AP336" s="6">
        <v>220</v>
      </c>
      <c r="AQ336" s="5">
        <v>504.51072930094352</v>
      </c>
      <c r="AR336" s="6">
        <v>680</v>
      </c>
      <c r="AS336" s="5">
        <v>1559.396799657462</v>
      </c>
      <c r="AT336" s="6">
        <v>680</v>
      </c>
      <c r="AU336" s="5">
        <v>1559.396799657462</v>
      </c>
      <c r="AV336" s="6">
        <v>0</v>
      </c>
      <c r="AW336" s="5">
        <v>0</v>
      </c>
      <c r="AX336" s="6">
        <v>680</v>
      </c>
      <c r="AY336" s="5">
        <v>1637.3666396403351</v>
      </c>
      <c r="AZ336" s="6">
        <v>0</v>
      </c>
      <c r="BA336" s="5">
        <v>0</v>
      </c>
      <c r="BB336" s="6">
        <v>0</v>
      </c>
      <c r="BC336" s="5">
        <v>0</v>
      </c>
      <c r="BD336" s="6">
        <v>0</v>
      </c>
      <c r="BE336" s="5">
        <v>0</v>
      </c>
      <c r="BF336" s="6">
        <v>0</v>
      </c>
      <c r="BG336" s="5">
        <v>0</v>
      </c>
      <c r="BH336" s="9">
        <f t="shared" si="42"/>
        <v>2260</v>
      </c>
      <c r="BI336" s="10">
        <f t="shared" si="43"/>
        <v>5260.6709682562032</v>
      </c>
      <c r="BJ336" s="6">
        <f t="shared" si="44"/>
        <v>162.82037071038758</v>
      </c>
      <c r="BK336" s="11">
        <f t="shared" si="45"/>
        <v>7.7637780014838551E-2</v>
      </c>
      <c r="BL336" s="5">
        <f t="shared" si="46"/>
        <v>577.23359235585485</v>
      </c>
      <c r="BM336" s="11">
        <f t="shared" si="47"/>
        <v>0.12324998628702427</v>
      </c>
    </row>
    <row r="337" spans="1:65" ht="15" customHeight="1" x14ac:dyDescent="0.4">
      <c r="A337" s="2" t="s">
        <v>269</v>
      </c>
      <c r="B337" s="2" t="s">
        <v>66</v>
      </c>
      <c r="C337" s="2" t="s">
        <v>317</v>
      </c>
      <c r="D337" s="3" t="s">
        <v>68</v>
      </c>
      <c r="E337" s="3" t="s">
        <v>328</v>
      </c>
      <c r="F337" s="2" t="s">
        <v>329</v>
      </c>
      <c r="G337" s="4">
        <v>200</v>
      </c>
      <c r="H337" s="5">
        <v>2.11</v>
      </c>
      <c r="I337" s="5">
        <v>2.1994166091425442</v>
      </c>
      <c r="J337" s="6">
        <v>0</v>
      </c>
      <c r="K337" s="5">
        <v>0</v>
      </c>
      <c r="L337" s="6">
        <v>0</v>
      </c>
      <c r="M337" s="5">
        <v>0</v>
      </c>
      <c r="N337" s="6">
        <v>989.23567419321319</v>
      </c>
      <c r="O337" s="5">
        <v>2087.28727254768</v>
      </c>
      <c r="P337" s="6">
        <v>989.23567419321319</v>
      </c>
      <c r="Q337" s="5">
        <v>2087.28727254768</v>
      </c>
      <c r="R337" s="6">
        <v>0</v>
      </c>
      <c r="S337" s="5">
        <v>0</v>
      </c>
      <c r="T337" s="6">
        <v>0</v>
      </c>
      <c r="U337" s="5">
        <v>0</v>
      </c>
      <c r="V337" s="6">
        <v>0</v>
      </c>
      <c r="W337" s="5">
        <v>0</v>
      </c>
      <c r="X337" s="6">
        <v>0</v>
      </c>
      <c r="Y337" s="5">
        <v>0</v>
      </c>
      <c r="Z337" s="6">
        <v>0</v>
      </c>
      <c r="AA337" s="5">
        <v>0</v>
      </c>
      <c r="AB337" s="6">
        <v>0</v>
      </c>
      <c r="AC337" s="5">
        <v>0</v>
      </c>
      <c r="AD337" s="6">
        <v>0</v>
      </c>
      <c r="AE337" s="5">
        <v>0</v>
      </c>
      <c r="AF337" s="6">
        <v>0</v>
      </c>
      <c r="AG337" s="5">
        <v>0</v>
      </c>
      <c r="AH337" s="7">
        <f t="shared" si="40"/>
        <v>1978.4713483864264</v>
      </c>
      <c r="AI337" s="8">
        <f t="shared" si="41"/>
        <v>4174.57454509536</v>
      </c>
      <c r="AJ337" s="6">
        <v>0</v>
      </c>
      <c r="AK337" s="5">
        <v>0</v>
      </c>
      <c r="AL337" s="6">
        <v>0</v>
      </c>
      <c r="AM337" s="5">
        <v>0</v>
      </c>
      <c r="AN337" s="6">
        <v>1000</v>
      </c>
      <c r="AO337" s="5">
        <v>2199.4166091425441</v>
      </c>
      <c r="AP337" s="6">
        <v>1000</v>
      </c>
      <c r="AQ337" s="5">
        <v>2199.4166091425441</v>
      </c>
      <c r="AR337" s="6">
        <v>0</v>
      </c>
      <c r="AS337" s="5">
        <v>0</v>
      </c>
      <c r="AT337" s="6">
        <v>0</v>
      </c>
      <c r="AU337" s="5">
        <v>0</v>
      </c>
      <c r="AV337" s="6">
        <v>0</v>
      </c>
      <c r="AW337" s="5">
        <v>0</v>
      </c>
      <c r="AX337" s="6">
        <v>0</v>
      </c>
      <c r="AY337" s="5">
        <v>0</v>
      </c>
      <c r="AZ337" s="6">
        <v>0</v>
      </c>
      <c r="BA337" s="5">
        <v>0</v>
      </c>
      <c r="BB337" s="6">
        <v>0</v>
      </c>
      <c r="BC337" s="5">
        <v>0</v>
      </c>
      <c r="BD337" s="6">
        <v>0</v>
      </c>
      <c r="BE337" s="5">
        <v>0</v>
      </c>
      <c r="BF337" s="6">
        <v>0</v>
      </c>
      <c r="BG337" s="5">
        <v>0</v>
      </c>
      <c r="BH337" s="9">
        <f t="shared" si="42"/>
        <v>2000</v>
      </c>
      <c r="BI337" s="10">
        <f t="shared" si="43"/>
        <v>4398.8332182850882</v>
      </c>
      <c r="BJ337" s="6">
        <f t="shared" si="44"/>
        <v>21.528651613573629</v>
      </c>
      <c r="BK337" s="11">
        <f t="shared" si="45"/>
        <v>1.0881457359052311E-2</v>
      </c>
      <c r="BL337" s="5">
        <f t="shared" si="46"/>
        <v>224.25867318972814</v>
      </c>
      <c r="BM337" s="11">
        <f t="shared" si="47"/>
        <v>5.3720126630199004E-2</v>
      </c>
    </row>
    <row r="338" spans="1:65" ht="15" customHeight="1" x14ac:dyDescent="0.4">
      <c r="A338" s="2" t="s">
        <v>269</v>
      </c>
      <c r="B338" s="2" t="s">
        <v>66</v>
      </c>
      <c r="C338" s="2" t="s">
        <v>317</v>
      </c>
      <c r="D338" s="3" t="s">
        <v>68</v>
      </c>
      <c r="E338" s="3" t="s">
        <v>79</v>
      </c>
      <c r="F338" s="2" t="s">
        <v>80</v>
      </c>
      <c r="G338" s="4">
        <v>20</v>
      </c>
      <c r="H338" s="5">
        <v>2.96</v>
      </c>
      <c r="I338" s="5">
        <v>3.085437518038828</v>
      </c>
      <c r="J338" s="6">
        <v>0</v>
      </c>
      <c r="K338" s="5">
        <v>0</v>
      </c>
      <c r="L338" s="6">
        <v>0</v>
      </c>
      <c r="M338" s="5">
        <v>0</v>
      </c>
      <c r="N338" s="6">
        <v>633.11083148365651</v>
      </c>
      <c r="O338" s="5">
        <v>1874.008061191623</v>
      </c>
      <c r="P338" s="6">
        <v>3165.554157418283</v>
      </c>
      <c r="Q338" s="5">
        <v>9370.0403059581149</v>
      </c>
      <c r="R338" s="6">
        <v>0</v>
      </c>
      <c r="S338" s="5">
        <v>0</v>
      </c>
      <c r="T338" s="6">
        <v>0</v>
      </c>
      <c r="U338" s="5">
        <v>0</v>
      </c>
      <c r="V338" s="6">
        <v>1266.221662967313</v>
      </c>
      <c r="W338" s="5">
        <v>3748.016122383247</v>
      </c>
      <c r="X338" s="6">
        <v>0</v>
      </c>
      <c r="Y338" s="5">
        <v>0</v>
      </c>
      <c r="Z338" s="6">
        <v>1820.152587452907</v>
      </c>
      <c r="AA338" s="5">
        <v>5387.6516588606064</v>
      </c>
      <c r="AB338" s="6">
        <v>0</v>
      </c>
      <c r="AC338" s="5">
        <v>0</v>
      </c>
      <c r="AD338" s="6">
        <v>1213.4350583019379</v>
      </c>
      <c r="AE338" s="5">
        <v>3591.7677725737381</v>
      </c>
      <c r="AF338" s="6">
        <v>0</v>
      </c>
      <c r="AG338" s="5">
        <v>0</v>
      </c>
      <c r="AH338" s="7">
        <f t="shared" si="40"/>
        <v>8098.4742976240968</v>
      </c>
      <c r="AI338" s="8">
        <f t="shared" si="41"/>
        <v>23971.48392096733</v>
      </c>
      <c r="AJ338" s="6">
        <v>0</v>
      </c>
      <c r="AK338" s="5">
        <v>0</v>
      </c>
      <c r="AL338" s="6">
        <v>0</v>
      </c>
      <c r="AM338" s="5">
        <v>0</v>
      </c>
      <c r="AN338" s="6">
        <v>700</v>
      </c>
      <c r="AO338" s="5">
        <v>2159.8062626271799</v>
      </c>
      <c r="AP338" s="6">
        <v>3500</v>
      </c>
      <c r="AQ338" s="5">
        <v>10799.0313131359</v>
      </c>
      <c r="AR338" s="6">
        <v>0</v>
      </c>
      <c r="AS338" s="5">
        <v>0</v>
      </c>
      <c r="AT338" s="6">
        <v>0</v>
      </c>
      <c r="AU338" s="5">
        <v>0</v>
      </c>
      <c r="AV338" s="6">
        <v>1400</v>
      </c>
      <c r="AW338" s="5">
        <v>4319.6125252543598</v>
      </c>
      <c r="AX338" s="6">
        <v>0</v>
      </c>
      <c r="AY338" s="5">
        <v>0</v>
      </c>
      <c r="AZ338" s="6">
        <v>2000</v>
      </c>
      <c r="BA338" s="5">
        <v>6170.8750360776576</v>
      </c>
      <c r="BB338" s="6">
        <v>0</v>
      </c>
      <c r="BC338" s="5">
        <v>0</v>
      </c>
      <c r="BD338" s="6">
        <v>1340</v>
      </c>
      <c r="BE338" s="5">
        <v>4134.4862741720308</v>
      </c>
      <c r="BF338" s="6">
        <v>0</v>
      </c>
      <c r="BG338" s="5">
        <v>0</v>
      </c>
      <c r="BH338" s="9">
        <f t="shared" si="42"/>
        <v>8940</v>
      </c>
      <c r="BI338" s="10">
        <f t="shared" si="43"/>
        <v>27583.811411267128</v>
      </c>
      <c r="BJ338" s="6">
        <f t="shared" si="44"/>
        <v>841.52570237590317</v>
      </c>
      <c r="BK338" s="11">
        <f t="shared" si="45"/>
        <v>0.10391163464243965</v>
      </c>
      <c r="BL338" s="5">
        <f t="shared" si="46"/>
        <v>3612.3274902997982</v>
      </c>
      <c r="BM338" s="11">
        <f t="shared" si="47"/>
        <v>0.1506926939612685</v>
      </c>
    </row>
    <row r="339" spans="1:65" ht="15" customHeight="1" x14ac:dyDescent="0.4">
      <c r="A339" s="2" t="s">
        <v>269</v>
      </c>
      <c r="B339" s="2" t="s">
        <v>66</v>
      </c>
      <c r="C339" s="2" t="s">
        <v>317</v>
      </c>
      <c r="D339" s="3" t="s">
        <v>68</v>
      </c>
      <c r="E339" s="3" t="s">
        <v>164</v>
      </c>
      <c r="F339" s="2" t="s">
        <v>165</v>
      </c>
      <c r="G339" s="4">
        <v>20</v>
      </c>
      <c r="H339" s="5">
        <v>7.1699999999999982</v>
      </c>
      <c r="I339" s="5">
        <v>7.4738469609251341</v>
      </c>
      <c r="J339" s="6">
        <v>0</v>
      </c>
      <c r="K339" s="5">
        <v>0</v>
      </c>
      <c r="L339" s="6">
        <v>0</v>
      </c>
      <c r="M339" s="5">
        <v>0</v>
      </c>
      <c r="N339" s="6">
        <v>257.20127529023551</v>
      </c>
      <c r="O339" s="5">
        <v>1844.133143830988</v>
      </c>
      <c r="P339" s="6">
        <v>0</v>
      </c>
      <c r="Q339" s="5">
        <v>0</v>
      </c>
      <c r="R339" s="6">
        <v>0</v>
      </c>
      <c r="S339" s="5">
        <v>0</v>
      </c>
      <c r="T339" s="6">
        <v>0</v>
      </c>
      <c r="U339" s="5">
        <v>0</v>
      </c>
      <c r="V339" s="6">
        <v>0</v>
      </c>
      <c r="W339" s="5">
        <v>0</v>
      </c>
      <c r="X339" s="6">
        <v>0</v>
      </c>
      <c r="Y339" s="5">
        <v>0</v>
      </c>
      <c r="Z339" s="6">
        <v>0</v>
      </c>
      <c r="AA339" s="5">
        <v>0</v>
      </c>
      <c r="AB339" s="6">
        <v>0</v>
      </c>
      <c r="AC339" s="5">
        <v>0</v>
      </c>
      <c r="AD339" s="6">
        <v>0</v>
      </c>
      <c r="AE339" s="5">
        <v>0</v>
      </c>
      <c r="AF339" s="6">
        <v>0</v>
      </c>
      <c r="AG339" s="5">
        <v>0</v>
      </c>
      <c r="AH339" s="7">
        <f t="shared" si="40"/>
        <v>257.20127529023551</v>
      </c>
      <c r="AI339" s="8">
        <f t="shared" si="41"/>
        <v>1844.133143830988</v>
      </c>
      <c r="AJ339" s="6">
        <v>0</v>
      </c>
      <c r="AK339" s="5">
        <v>0</v>
      </c>
      <c r="AL339" s="6">
        <v>0</v>
      </c>
      <c r="AM339" s="5">
        <v>0</v>
      </c>
      <c r="AN339" s="6">
        <v>320</v>
      </c>
      <c r="AO339" s="5">
        <v>2391.6310274960429</v>
      </c>
      <c r="AP339" s="6">
        <v>0</v>
      </c>
      <c r="AQ339" s="5">
        <v>0</v>
      </c>
      <c r="AR339" s="6">
        <v>0</v>
      </c>
      <c r="AS339" s="5">
        <v>0</v>
      </c>
      <c r="AT339" s="6">
        <v>0</v>
      </c>
      <c r="AU339" s="5">
        <v>0</v>
      </c>
      <c r="AV339" s="6">
        <v>0</v>
      </c>
      <c r="AW339" s="5">
        <v>0</v>
      </c>
      <c r="AX339" s="6">
        <v>0</v>
      </c>
      <c r="AY339" s="5">
        <v>0</v>
      </c>
      <c r="AZ339" s="6">
        <v>0</v>
      </c>
      <c r="BA339" s="5">
        <v>0</v>
      </c>
      <c r="BB339" s="6">
        <v>0</v>
      </c>
      <c r="BC339" s="5">
        <v>0</v>
      </c>
      <c r="BD339" s="6">
        <v>0</v>
      </c>
      <c r="BE339" s="5">
        <v>0</v>
      </c>
      <c r="BF339" s="6">
        <v>0</v>
      </c>
      <c r="BG339" s="5">
        <v>0</v>
      </c>
      <c r="BH339" s="9">
        <f t="shared" si="42"/>
        <v>320</v>
      </c>
      <c r="BI339" s="10">
        <f t="shared" si="43"/>
        <v>2391.6310274960429</v>
      </c>
      <c r="BJ339" s="6">
        <f t="shared" si="44"/>
        <v>62.798724709764485</v>
      </c>
      <c r="BK339" s="11">
        <f t="shared" si="45"/>
        <v>0.24416179367267934</v>
      </c>
      <c r="BL339" s="5">
        <f t="shared" si="46"/>
        <v>547.49788366505481</v>
      </c>
      <c r="BM339" s="11">
        <f t="shared" si="47"/>
        <v>0.29688630969870589</v>
      </c>
    </row>
    <row r="340" spans="1:65" ht="15" customHeight="1" x14ac:dyDescent="0.4">
      <c r="A340" s="2" t="s">
        <v>269</v>
      </c>
      <c r="B340" s="2" t="s">
        <v>66</v>
      </c>
      <c r="C340" s="2" t="s">
        <v>317</v>
      </c>
      <c r="D340" s="3" t="s">
        <v>68</v>
      </c>
      <c r="E340" s="3" t="s">
        <v>94</v>
      </c>
      <c r="F340" s="2" t="s">
        <v>130</v>
      </c>
      <c r="G340" s="4">
        <v>20</v>
      </c>
      <c r="H340" s="5">
        <v>1.629</v>
      </c>
      <c r="I340" s="5">
        <v>1.6980330124612339</v>
      </c>
      <c r="J340" s="6">
        <v>633.11083148365651</v>
      </c>
      <c r="K340" s="5">
        <v>1031.3375444868759</v>
      </c>
      <c r="L340" s="6">
        <v>0</v>
      </c>
      <c r="M340" s="5">
        <v>0</v>
      </c>
      <c r="N340" s="6">
        <v>0</v>
      </c>
      <c r="O340" s="5">
        <v>0</v>
      </c>
      <c r="P340" s="6">
        <v>0</v>
      </c>
      <c r="Q340" s="5">
        <v>0</v>
      </c>
      <c r="R340" s="6">
        <v>0</v>
      </c>
      <c r="S340" s="5">
        <v>0</v>
      </c>
      <c r="T340" s="6">
        <v>0</v>
      </c>
      <c r="U340" s="5">
        <v>0</v>
      </c>
      <c r="V340" s="6">
        <v>0</v>
      </c>
      <c r="W340" s="5">
        <v>0</v>
      </c>
      <c r="X340" s="6">
        <v>0</v>
      </c>
      <c r="Y340" s="5">
        <v>0</v>
      </c>
      <c r="Z340" s="6">
        <v>0</v>
      </c>
      <c r="AA340" s="5">
        <v>0</v>
      </c>
      <c r="AB340" s="6">
        <v>0</v>
      </c>
      <c r="AC340" s="5">
        <v>0</v>
      </c>
      <c r="AD340" s="6">
        <v>0</v>
      </c>
      <c r="AE340" s="5">
        <v>0</v>
      </c>
      <c r="AF340" s="6">
        <v>0</v>
      </c>
      <c r="AG340" s="5">
        <v>0</v>
      </c>
      <c r="AH340" s="7">
        <f t="shared" si="40"/>
        <v>633.11083148365651</v>
      </c>
      <c r="AI340" s="8">
        <f t="shared" si="41"/>
        <v>1031.3375444868759</v>
      </c>
      <c r="AJ340" s="6">
        <v>680</v>
      </c>
      <c r="AK340" s="5">
        <v>1154.662448473639</v>
      </c>
      <c r="AL340" s="6">
        <v>0</v>
      </c>
      <c r="AM340" s="5">
        <v>0</v>
      </c>
      <c r="AN340" s="6">
        <v>0</v>
      </c>
      <c r="AO340" s="5">
        <v>0</v>
      </c>
      <c r="AP340" s="6">
        <v>0</v>
      </c>
      <c r="AQ340" s="5">
        <v>0</v>
      </c>
      <c r="AR340" s="6">
        <v>0</v>
      </c>
      <c r="AS340" s="5">
        <v>0</v>
      </c>
      <c r="AT340" s="6">
        <v>0</v>
      </c>
      <c r="AU340" s="5">
        <v>0</v>
      </c>
      <c r="AV340" s="6">
        <v>0</v>
      </c>
      <c r="AW340" s="5">
        <v>0</v>
      </c>
      <c r="AX340" s="6">
        <v>0</v>
      </c>
      <c r="AY340" s="5">
        <v>0</v>
      </c>
      <c r="AZ340" s="6">
        <v>0</v>
      </c>
      <c r="BA340" s="5">
        <v>0</v>
      </c>
      <c r="BB340" s="6">
        <v>0</v>
      </c>
      <c r="BC340" s="5">
        <v>0</v>
      </c>
      <c r="BD340" s="6">
        <v>0</v>
      </c>
      <c r="BE340" s="5">
        <v>0</v>
      </c>
      <c r="BF340" s="6">
        <v>0</v>
      </c>
      <c r="BG340" s="5">
        <v>0</v>
      </c>
      <c r="BH340" s="9">
        <f t="shared" si="42"/>
        <v>680</v>
      </c>
      <c r="BI340" s="10">
        <f t="shared" si="43"/>
        <v>1154.662448473639</v>
      </c>
      <c r="BJ340" s="6">
        <f t="shared" si="44"/>
        <v>46.889168516343489</v>
      </c>
      <c r="BK340" s="11">
        <f t="shared" si="45"/>
        <v>7.4061548443992958E-2</v>
      </c>
      <c r="BL340" s="5">
        <f t="shared" si="46"/>
        <v>123.32490398676305</v>
      </c>
      <c r="BM340" s="11">
        <f t="shared" si="47"/>
        <v>0.11957763454458667</v>
      </c>
    </row>
    <row r="341" spans="1:65" ht="15" customHeight="1" x14ac:dyDescent="0.4">
      <c r="A341" s="2" t="s">
        <v>269</v>
      </c>
      <c r="B341" s="2" t="s">
        <v>66</v>
      </c>
      <c r="C341" s="2" t="s">
        <v>317</v>
      </c>
      <c r="D341" s="3" t="s">
        <v>68</v>
      </c>
      <c r="E341" s="3" t="s">
        <v>96</v>
      </c>
      <c r="F341" s="2" t="s">
        <v>97</v>
      </c>
      <c r="G341" s="4">
        <v>1000</v>
      </c>
      <c r="H341" s="5">
        <v>1.4737499999999999</v>
      </c>
      <c r="I341" s="5">
        <v>1.536203899395177</v>
      </c>
      <c r="J341" s="6">
        <v>989.23567419321319</v>
      </c>
      <c r="K341" s="5">
        <v>1451.2087340414439</v>
      </c>
      <c r="L341" s="6">
        <v>1978.4713483864259</v>
      </c>
      <c r="M341" s="5">
        <v>2920.2237102183649</v>
      </c>
      <c r="N341" s="6">
        <v>989.23567419321319</v>
      </c>
      <c r="O341" s="5">
        <v>1460.1118551091829</v>
      </c>
      <c r="P341" s="6">
        <v>0</v>
      </c>
      <c r="Q341" s="5">
        <v>0</v>
      </c>
      <c r="R341" s="6">
        <v>0</v>
      </c>
      <c r="S341" s="5">
        <v>0</v>
      </c>
      <c r="T341" s="6">
        <v>0</v>
      </c>
      <c r="U341" s="5">
        <v>0</v>
      </c>
      <c r="V341" s="6">
        <v>0</v>
      </c>
      <c r="W341" s="5">
        <v>0</v>
      </c>
      <c r="X341" s="6">
        <v>0</v>
      </c>
      <c r="Y341" s="5">
        <v>0</v>
      </c>
      <c r="Z341" s="6">
        <v>0</v>
      </c>
      <c r="AA341" s="5">
        <v>0</v>
      </c>
      <c r="AB341" s="6">
        <v>0</v>
      </c>
      <c r="AC341" s="5">
        <v>0</v>
      </c>
      <c r="AD341" s="6">
        <v>0</v>
      </c>
      <c r="AE341" s="5">
        <v>0</v>
      </c>
      <c r="AF341" s="6">
        <v>0</v>
      </c>
      <c r="AG341" s="5">
        <v>0</v>
      </c>
      <c r="AH341" s="7">
        <f t="shared" si="40"/>
        <v>3956.9426967728523</v>
      </c>
      <c r="AI341" s="8">
        <f t="shared" si="41"/>
        <v>5831.5442993689921</v>
      </c>
      <c r="AJ341" s="6">
        <v>1000</v>
      </c>
      <c r="AK341" s="5">
        <v>1529.1678510010011</v>
      </c>
      <c r="AL341" s="6">
        <v>2000</v>
      </c>
      <c r="AM341" s="5">
        <v>3077.098497719805</v>
      </c>
      <c r="AN341" s="6">
        <v>1000</v>
      </c>
      <c r="AO341" s="5">
        <v>1538.549248859902</v>
      </c>
      <c r="AP341" s="6">
        <v>0</v>
      </c>
      <c r="AQ341" s="5">
        <v>0</v>
      </c>
      <c r="AR341" s="6">
        <v>0</v>
      </c>
      <c r="AS341" s="5">
        <v>0</v>
      </c>
      <c r="AT341" s="6">
        <v>0</v>
      </c>
      <c r="AU341" s="5">
        <v>0</v>
      </c>
      <c r="AV341" s="6">
        <v>0</v>
      </c>
      <c r="AW341" s="5">
        <v>0</v>
      </c>
      <c r="AX341" s="6">
        <v>0</v>
      </c>
      <c r="AY341" s="5">
        <v>0</v>
      </c>
      <c r="AZ341" s="6">
        <v>0</v>
      </c>
      <c r="BA341" s="5">
        <v>0</v>
      </c>
      <c r="BB341" s="6">
        <v>0</v>
      </c>
      <c r="BC341" s="5">
        <v>0</v>
      </c>
      <c r="BD341" s="6">
        <v>0</v>
      </c>
      <c r="BE341" s="5">
        <v>0</v>
      </c>
      <c r="BF341" s="6">
        <v>0</v>
      </c>
      <c r="BG341" s="5">
        <v>0</v>
      </c>
      <c r="BH341" s="9">
        <f t="shared" si="42"/>
        <v>4000</v>
      </c>
      <c r="BI341" s="10">
        <f t="shared" si="43"/>
        <v>6144.8155975807085</v>
      </c>
      <c r="BJ341" s="6">
        <f t="shared" si="44"/>
        <v>43.057303227147713</v>
      </c>
      <c r="BK341" s="11">
        <f t="shared" si="45"/>
        <v>1.0881457359052427E-2</v>
      </c>
      <c r="BL341" s="5">
        <f t="shared" si="46"/>
        <v>313.27129821171638</v>
      </c>
      <c r="BM341" s="11">
        <f t="shared" si="47"/>
        <v>5.3720126630198831E-2</v>
      </c>
    </row>
    <row r="342" spans="1:65" ht="15" customHeight="1" x14ac:dyDescent="0.4">
      <c r="A342" s="2" t="s">
        <v>269</v>
      </c>
      <c r="B342" s="2" t="s">
        <v>66</v>
      </c>
      <c r="C342" s="2" t="s">
        <v>317</v>
      </c>
      <c r="D342" s="3" t="s">
        <v>68</v>
      </c>
      <c r="E342" s="3" t="s">
        <v>96</v>
      </c>
      <c r="F342" s="2" t="s">
        <v>268</v>
      </c>
      <c r="G342" s="4">
        <v>1000</v>
      </c>
      <c r="H342" s="5">
        <v>1.505818293653586</v>
      </c>
      <c r="I342" s="5">
        <v>1.570211336726226</v>
      </c>
      <c r="J342" s="6">
        <v>0</v>
      </c>
      <c r="K342" s="5">
        <v>0</v>
      </c>
      <c r="L342" s="6">
        <v>0</v>
      </c>
      <c r="M342" s="5">
        <v>0</v>
      </c>
      <c r="N342" s="6">
        <v>0</v>
      </c>
      <c r="O342" s="5">
        <v>0</v>
      </c>
      <c r="P342" s="6">
        <v>989.23567419321319</v>
      </c>
      <c r="Q342" s="5">
        <v>1460.1118551091829</v>
      </c>
      <c r="R342" s="6">
        <v>0</v>
      </c>
      <c r="S342" s="5">
        <v>0</v>
      </c>
      <c r="T342" s="6">
        <v>890.31210677389186</v>
      </c>
      <c r="U342" s="5">
        <v>1460.1118551091829</v>
      </c>
      <c r="V342" s="6">
        <v>0</v>
      </c>
      <c r="W342" s="5">
        <v>0</v>
      </c>
      <c r="X342" s="6">
        <v>0</v>
      </c>
      <c r="Y342" s="5">
        <v>0</v>
      </c>
      <c r="Z342" s="6">
        <v>4739.9806964919462</v>
      </c>
      <c r="AA342" s="5">
        <v>7107.5608850617391</v>
      </c>
      <c r="AB342" s="6">
        <v>4739.9806964919462</v>
      </c>
      <c r="AC342" s="5">
        <v>7107.5608850617391</v>
      </c>
      <c r="AD342" s="6">
        <v>4739.9806964919462</v>
      </c>
      <c r="AE342" s="5">
        <v>7107.5608850617391</v>
      </c>
      <c r="AF342" s="6">
        <v>0</v>
      </c>
      <c r="AG342" s="5">
        <v>0</v>
      </c>
      <c r="AH342" s="7">
        <f t="shared" si="40"/>
        <v>16099.489870442943</v>
      </c>
      <c r="AI342" s="8">
        <f t="shared" si="41"/>
        <v>24242.906365403582</v>
      </c>
      <c r="AJ342" s="6">
        <v>0</v>
      </c>
      <c r="AK342" s="5">
        <v>0</v>
      </c>
      <c r="AL342" s="6">
        <v>0</v>
      </c>
      <c r="AM342" s="5">
        <v>0</v>
      </c>
      <c r="AN342" s="6">
        <v>0</v>
      </c>
      <c r="AO342" s="5">
        <v>0</v>
      </c>
      <c r="AP342" s="6">
        <v>1000</v>
      </c>
      <c r="AQ342" s="5">
        <v>1538.549248859902</v>
      </c>
      <c r="AR342" s="6">
        <v>0</v>
      </c>
      <c r="AS342" s="5">
        <v>0</v>
      </c>
      <c r="AT342" s="6">
        <v>1000</v>
      </c>
      <c r="AU342" s="5">
        <v>1709.499165399892</v>
      </c>
      <c r="AV342" s="6">
        <v>0</v>
      </c>
      <c r="AW342" s="5">
        <v>0</v>
      </c>
      <c r="AX342" s="6">
        <v>0</v>
      </c>
      <c r="AY342" s="5">
        <v>0</v>
      </c>
      <c r="AZ342" s="6">
        <v>5000</v>
      </c>
      <c r="BA342" s="5">
        <v>7815.1814366953513</v>
      </c>
      <c r="BB342" s="6">
        <v>5000</v>
      </c>
      <c r="BC342" s="5">
        <v>7815.1814366953513</v>
      </c>
      <c r="BD342" s="6">
        <v>5000</v>
      </c>
      <c r="BE342" s="5">
        <v>7815.1814366953513</v>
      </c>
      <c r="BF342" s="6">
        <v>0</v>
      </c>
      <c r="BG342" s="5">
        <v>0</v>
      </c>
      <c r="BH342" s="9">
        <f t="shared" si="42"/>
        <v>17000</v>
      </c>
      <c r="BI342" s="10">
        <f t="shared" si="43"/>
        <v>26693.592724345846</v>
      </c>
      <c r="BJ342" s="6">
        <f t="shared" si="44"/>
        <v>900.51012955705664</v>
      </c>
      <c r="BK342" s="11">
        <f t="shared" si="45"/>
        <v>5.5934078458616469E-2</v>
      </c>
      <c r="BL342" s="5">
        <f t="shared" si="46"/>
        <v>2450.6863589422646</v>
      </c>
      <c r="BM342" s="11">
        <f t="shared" si="47"/>
        <v>0.10108880189545158</v>
      </c>
    </row>
    <row r="343" spans="1:65" ht="15" customHeight="1" x14ac:dyDescent="0.4">
      <c r="A343" s="2" t="s">
        <v>269</v>
      </c>
      <c r="B343" s="2" t="s">
        <v>66</v>
      </c>
      <c r="C343" s="2" t="s">
        <v>317</v>
      </c>
      <c r="D343" s="3" t="s">
        <v>68</v>
      </c>
      <c r="E343" s="3" t="s">
        <v>131</v>
      </c>
      <c r="F343" s="2" t="s">
        <v>132</v>
      </c>
      <c r="G343" s="4">
        <v>20</v>
      </c>
      <c r="H343" s="5">
        <v>1.76</v>
      </c>
      <c r="I343" s="5">
        <v>1.8345844701852501</v>
      </c>
      <c r="J343" s="6">
        <v>0</v>
      </c>
      <c r="K343" s="5">
        <v>0</v>
      </c>
      <c r="L343" s="6">
        <v>0</v>
      </c>
      <c r="M343" s="5">
        <v>0</v>
      </c>
      <c r="N343" s="6">
        <v>0</v>
      </c>
      <c r="O343" s="5">
        <v>0</v>
      </c>
      <c r="P343" s="6">
        <v>0</v>
      </c>
      <c r="Q343" s="5">
        <v>0</v>
      </c>
      <c r="R343" s="6">
        <v>197.84713483864269</v>
      </c>
      <c r="S343" s="5">
        <v>348.21095731601099</v>
      </c>
      <c r="T343" s="6">
        <v>0</v>
      </c>
      <c r="U343" s="5">
        <v>0</v>
      </c>
      <c r="V343" s="6">
        <v>0</v>
      </c>
      <c r="W343" s="5">
        <v>0</v>
      </c>
      <c r="X343" s="6">
        <v>0</v>
      </c>
      <c r="Y343" s="5">
        <v>0</v>
      </c>
      <c r="Z343" s="6">
        <v>0</v>
      </c>
      <c r="AA343" s="5">
        <v>0</v>
      </c>
      <c r="AB343" s="6">
        <v>0</v>
      </c>
      <c r="AC343" s="5">
        <v>0</v>
      </c>
      <c r="AD343" s="6">
        <v>0</v>
      </c>
      <c r="AE343" s="5">
        <v>0</v>
      </c>
      <c r="AF343" s="6">
        <v>0</v>
      </c>
      <c r="AG343" s="5">
        <v>0</v>
      </c>
      <c r="AH343" s="7">
        <f t="shared" si="40"/>
        <v>197.84713483864269</v>
      </c>
      <c r="AI343" s="8">
        <f t="shared" si="41"/>
        <v>348.21095731601099</v>
      </c>
      <c r="AJ343" s="6">
        <v>0</v>
      </c>
      <c r="AK343" s="5">
        <v>0</v>
      </c>
      <c r="AL343" s="6">
        <v>0</v>
      </c>
      <c r="AM343" s="5">
        <v>0</v>
      </c>
      <c r="AN343" s="6">
        <v>0</v>
      </c>
      <c r="AO343" s="5">
        <v>0</v>
      </c>
      <c r="AP343" s="6">
        <v>0</v>
      </c>
      <c r="AQ343" s="5">
        <v>0</v>
      </c>
      <c r="AR343" s="6">
        <v>220</v>
      </c>
      <c r="AS343" s="5">
        <v>403.6085834407549</v>
      </c>
      <c r="AT343" s="6">
        <v>0</v>
      </c>
      <c r="AU343" s="5">
        <v>0</v>
      </c>
      <c r="AV343" s="6">
        <v>0</v>
      </c>
      <c r="AW343" s="5">
        <v>0</v>
      </c>
      <c r="AX343" s="6">
        <v>0</v>
      </c>
      <c r="AY343" s="5">
        <v>0</v>
      </c>
      <c r="AZ343" s="6">
        <v>0</v>
      </c>
      <c r="BA343" s="5">
        <v>0</v>
      </c>
      <c r="BB343" s="6">
        <v>0</v>
      </c>
      <c r="BC343" s="5">
        <v>0</v>
      </c>
      <c r="BD343" s="6">
        <v>0</v>
      </c>
      <c r="BE343" s="5">
        <v>0</v>
      </c>
      <c r="BF343" s="6">
        <v>0</v>
      </c>
      <c r="BG343" s="5">
        <v>0</v>
      </c>
      <c r="BH343" s="9">
        <f t="shared" si="42"/>
        <v>220</v>
      </c>
      <c r="BI343" s="10">
        <f t="shared" si="43"/>
        <v>403.6085834407549</v>
      </c>
      <c r="BJ343" s="6">
        <f t="shared" si="44"/>
        <v>22.152865161357312</v>
      </c>
      <c r="BK343" s="11">
        <f t="shared" si="45"/>
        <v>0.11196960309495725</v>
      </c>
      <c r="BL343" s="5">
        <f t="shared" si="46"/>
        <v>55.397626124743908</v>
      </c>
      <c r="BM343" s="11">
        <f t="shared" si="47"/>
        <v>0.15909213929321886</v>
      </c>
    </row>
    <row r="344" spans="1:65" ht="15" customHeight="1" x14ac:dyDescent="0.4">
      <c r="A344" s="2" t="s">
        <v>269</v>
      </c>
      <c r="B344" s="2" t="s">
        <v>66</v>
      </c>
      <c r="C344" s="2" t="s">
        <v>330</v>
      </c>
      <c r="D344" s="3" t="s">
        <v>272</v>
      </c>
      <c r="E344" s="3" t="s">
        <v>314</v>
      </c>
      <c r="F344" s="2" t="s">
        <v>315</v>
      </c>
      <c r="G344" s="4">
        <v>5</v>
      </c>
      <c r="H344" s="5">
        <v>6.7550000000000008</v>
      </c>
      <c r="I344" s="5">
        <v>7.0412602818757737</v>
      </c>
      <c r="J344" s="6">
        <v>0</v>
      </c>
      <c r="K344" s="5">
        <v>0</v>
      </c>
      <c r="L344" s="6">
        <v>0</v>
      </c>
      <c r="M344" s="5">
        <v>0</v>
      </c>
      <c r="N344" s="6">
        <v>1483.8535112898201</v>
      </c>
      <c r="O344" s="5">
        <v>10023.43046876273</v>
      </c>
      <c r="P344" s="6">
        <v>0</v>
      </c>
      <c r="Q344" s="5">
        <v>0</v>
      </c>
      <c r="R344" s="6">
        <v>0</v>
      </c>
      <c r="S344" s="5">
        <v>0</v>
      </c>
      <c r="T344" s="6">
        <v>0</v>
      </c>
      <c r="U344" s="5">
        <v>0</v>
      </c>
      <c r="V344" s="6">
        <v>0</v>
      </c>
      <c r="W344" s="5">
        <v>0</v>
      </c>
      <c r="X344" s="6">
        <v>0</v>
      </c>
      <c r="Y344" s="5">
        <v>0</v>
      </c>
      <c r="Z344" s="6">
        <v>0</v>
      </c>
      <c r="AA344" s="5">
        <v>0</v>
      </c>
      <c r="AB344" s="6">
        <v>0</v>
      </c>
      <c r="AC344" s="5">
        <v>0</v>
      </c>
      <c r="AD344" s="6">
        <v>0</v>
      </c>
      <c r="AE344" s="5">
        <v>0</v>
      </c>
      <c r="AF344" s="6">
        <v>0</v>
      </c>
      <c r="AG344" s="5">
        <v>0</v>
      </c>
      <c r="AH344" s="7">
        <f t="shared" si="40"/>
        <v>1483.8535112898201</v>
      </c>
      <c r="AI344" s="8">
        <f t="shared" si="41"/>
        <v>10023.43046876273</v>
      </c>
      <c r="AJ344" s="6">
        <v>0</v>
      </c>
      <c r="AK344" s="5">
        <v>0</v>
      </c>
      <c r="AL344" s="6">
        <v>0</v>
      </c>
      <c r="AM344" s="5">
        <v>0</v>
      </c>
      <c r="AN344" s="6">
        <v>1815</v>
      </c>
      <c r="AO344" s="5">
        <v>12779.88741160453</v>
      </c>
      <c r="AP344" s="6">
        <v>0</v>
      </c>
      <c r="AQ344" s="5">
        <v>0</v>
      </c>
      <c r="AR344" s="6">
        <v>0</v>
      </c>
      <c r="AS344" s="5">
        <v>0</v>
      </c>
      <c r="AT344" s="6">
        <v>0</v>
      </c>
      <c r="AU344" s="5">
        <v>0</v>
      </c>
      <c r="AV344" s="6">
        <v>0</v>
      </c>
      <c r="AW344" s="5">
        <v>0</v>
      </c>
      <c r="AX344" s="6">
        <v>0</v>
      </c>
      <c r="AY344" s="5">
        <v>0</v>
      </c>
      <c r="AZ344" s="6">
        <v>0</v>
      </c>
      <c r="BA344" s="5">
        <v>0</v>
      </c>
      <c r="BB344" s="6">
        <v>0</v>
      </c>
      <c r="BC344" s="5">
        <v>0</v>
      </c>
      <c r="BD344" s="6">
        <v>0</v>
      </c>
      <c r="BE344" s="5">
        <v>0</v>
      </c>
      <c r="BF344" s="6">
        <v>0</v>
      </c>
      <c r="BG344" s="5">
        <v>0</v>
      </c>
      <c r="BH344" s="9">
        <f t="shared" si="42"/>
        <v>1815</v>
      </c>
      <c r="BI344" s="10">
        <f t="shared" si="43"/>
        <v>12779.88741160453</v>
      </c>
      <c r="BJ344" s="6">
        <f t="shared" si="44"/>
        <v>331.14648871017994</v>
      </c>
      <c r="BK344" s="11">
        <f t="shared" si="45"/>
        <v>0.22316656340445307</v>
      </c>
      <c r="BL344" s="5">
        <f t="shared" si="46"/>
        <v>2756.4569428417999</v>
      </c>
      <c r="BM344" s="11">
        <f t="shared" si="47"/>
        <v>0.27500135322254105</v>
      </c>
    </row>
    <row r="345" spans="1:65" ht="15" customHeight="1" x14ac:dyDescent="0.4">
      <c r="A345" s="2" t="s">
        <v>269</v>
      </c>
      <c r="B345" s="2" t="s">
        <v>66</v>
      </c>
      <c r="C345" s="2" t="s">
        <v>330</v>
      </c>
      <c r="D345" s="3" t="s">
        <v>272</v>
      </c>
      <c r="E345" s="3" t="s">
        <v>314</v>
      </c>
      <c r="F345" s="2" t="s">
        <v>316</v>
      </c>
      <c r="G345" s="4">
        <v>5</v>
      </c>
      <c r="H345" s="5">
        <v>6.7550000000000008</v>
      </c>
      <c r="I345" s="5">
        <v>7.0412602818757719</v>
      </c>
      <c r="J345" s="6">
        <v>0</v>
      </c>
      <c r="K345" s="5">
        <v>0</v>
      </c>
      <c r="L345" s="6">
        <v>0</v>
      </c>
      <c r="M345" s="5">
        <v>0</v>
      </c>
      <c r="N345" s="6">
        <v>0</v>
      </c>
      <c r="O345" s="5">
        <v>0</v>
      </c>
      <c r="P345" s="6">
        <v>0</v>
      </c>
      <c r="Q345" s="5">
        <v>0</v>
      </c>
      <c r="R345" s="6">
        <v>0</v>
      </c>
      <c r="S345" s="5">
        <v>0</v>
      </c>
      <c r="T345" s="6">
        <v>0</v>
      </c>
      <c r="U345" s="5">
        <v>0</v>
      </c>
      <c r="V345" s="6">
        <v>0</v>
      </c>
      <c r="W345" s="5">
        <v>0</v>
      </c>
      <c r="X345" s="6">
        <v>0</v>
      </c>
      <c r="Y345" s="5">
        <v>0</v>
      </c>
      <c r="Z345" s="6">
        <v>473.99806964919469</v>
      </c>
      <c r="AA345" s="5">
        <v>3201.8569604803101</v>
      </c>
      <c r="AB345" s="6">
        <v>0</v>
      </c>
      <c r="AC345" s="5">
        <v>0</v>
      </c>
      <c r="AD345" s="6">
        <v>0</v>
      </c>
      <c r="AE345" s="5">
        <v>0</v>
      </c>
      <c r="AF345" s="6">
        <v>710.99710447379198</v>
      </c>
      <c r="AG345" s="5">
        <v>4802.785440720465</v>
      </c>
      <c r="AH345" s="7">
        <f t="shared" si="40"/>
        <v>1184.9951741229866</v>
      </c>
      <c r="AI345" s="8">
        <f t="shared" si="41"/>
        <v>8004.6424012007756</v>
      </c>
      <c r="AJ345" s="6">
        <v>0</v>
      </c>
      <c r="AK345" s="5">
        <v>0</v>
      </c>
      <c r="AL345" s="6">
        <v>0</v>
      </c>
      <c r="AM345" s="5">
        <v>0</v>
      </c>
      <c r="AN345" s="6">
        <v>0</v>
      </c>
      <c r="AO345" s="5">
        <v>0</v>
      </c>
      <c r="AP345" s="6">
        <v>0</v>
      </c>
      <c r="AQ345" s="5">
        <v>0</v>
      </c>
      <c r="AR345" s="6">
        <v>0</v>
      </c>
      <c r="AS345" s="5">
        <v>0</v>
      </c>
      <c r="AT345" s="6">
        <v>0</v>
      </c>
      <c r="AU345" s="5">
        <v>0</v>
      </c>
      <c r="AV345" s="6">
        <v>0</v>
      </c>
      <c r="AW345" s="5">
        <v>0</v>
      </c>
      <c r="AX345" s="6">
        <v>0</v>
      </c>
      <c r="AY345" s="5">
        <v>0</v>
      </c>
      <c r="AZ345" s="6">
        <v>580</v>
      </c>
      <c r="BA345" s="5">
        <v>4083.9309634879478</v>
      </c>
      <c r="BB345" s="6">
        <v>0</v>
      </c>
      <c r="BC345" s="5">
        <v>0</v>
      </c>
      <c r="BD345" s="6">
        <v>0</v>
      </c>
      <c r="BE345" s="5">
        <v>0</v>
      </c>
      <c r="BF345" s="6">
        <v>870</v>
      </c>
      <c r="BG345" s="5">
        <v>6125.8964452319224</v>
      </c>
      <c r="BH345" s="9">
        <f t="shared" si="42"/>
        <v>1450</v>
      </c>
      <c r="BI345" s="10">
        <f t="shared" si="43"/>
        <v>10209.82740871987</v>
      </c>
      <c r="BJ345" s="6">
        <f t="shared" si="44"/>
        <v>265.00482587701345</v>
      </c>
      <c r="BK345" s="11">
        <f t="shared" si="45"/>
        <v>0.2236336751946211</v>
      </c>
      <c r="BL345" s="5">
        <f t="shared" si="46"/>
        <v>2205.1850075190941</v>
      </c>
      <c r="BM345" s="11">
        <f t="shared" si="47"/>
        <v>0.27548826006122329</v>
      </c>
    </row>
    <row r="346" spans="1:65" ht="15" customHeight="1" x14ac:dyDescent="0.4">
      <c r="A346" s="2" t="s">
        <v>269</v>
      </c>
      <c r="B346" s="2" t="s">
        <v>66</v>
      </c>
      <c r="C346" s="2" t="s">
        <v>330</v>
      </c>
      <c r="D346" s="3" t="s">
        <v>272</v>
      </c>
      <c r="E346" s="3" t="s">
        <v>156</v>
      </c>
      <c r="F346" s="2" t="s">
        <v>157</v>
      </c>
      <c r="G346" s="4">
        <v>20</v>
      </c>
      <c r="H346" s="5">
        <v>11.4</v>
      </c>
      <c r="I346" s="5">
        <v>11.883103954609</v>
      </c>
      <c r="J346" s="6">
        <v>0</v>
      </c>
      <c r="K346" s="5">
        <v>0</v>
      </c>
      <c r="L346" s="6">
        <v>0</v>
      </c>
      <c r="M346" s="5">
        <v>0</v>
      </c>
      <c r="N346" s="6">
        <v>0</v>
      </c>
      <c r="O346" s="5">
        <v>0</v>
      </c>
      <c r="P346" s="6">
        <v>0</v>
      </c>
      <c r="Q346" s="5">
        <v>0</v>
      </c>
      <c r="R346" s="6">
        <v>0</v>
      </c>
      <c r="S346" s="5">
        <v>0</v>
      </c>
      <c r="T346" s="6">
        <v>0</v>
      </c>
      <c r="U346" s="5">
        <v>0</v>
      </c>
      <c r="V346" s="6">
        <v>0</v>
      </c>
      <c r="W346" s="5">
        <v>0</v>
      </c>
      <c r="X346" s="6">
        <v>98.92356741932133</v>
      </c>
      <c r="Y346" s="5">
        <v>1127.728668580263</v>
      </c>
      <c r="Z346" s="6">
        <v>0</v>
      </c>
      <c r="AA346" s="5">
        <v>0</v>
      </c>
      <c r="AB346" s="6">
        <v>0</v>
      </c>
      <c r="AC346" s="5">
        <v>0</v>
      </c>
      <c r="AD346" s="6">
        <v>0</v>
      </c>
      <c r="AE346" s="5">
        <v>0</v>
      </c>
      <c r="AF346" s="6">
        <v>0</v>
      </c>
      <c r="AG346" s="5">
        <v>0</v>
      </c>
      <c r="AH346" s="7">
        <f t="shared" si="40"/>
        <v>98.92356741932133</v>
      </c>
      <c r="AI346" s="8">
        <f t="shared" si="41"/>
        <v>1127.728668580263</v>
      </c>
      <c r="AJ346" s="6">
        <v>0</v>
      </c>
      <c r="AK346" s="5">
        <v>0</v>
      </c>
      <c r="AL346" s="6">
        <v>0</v>
      </c>
      <c r="AM346" s="5">
        <v>0</v>
      </c>
      <c r="AN346" s="6">
        <v>0</v>
      </c>
      <c r="AO346" s="5">
        <v>0</v>
      </c>
      <c r="AP346" s="6">
        <v>0</v>
      </c>
      <c r="AQ346" s="5">
        <v>0</v>
      </c>
      <c r="AR346" s="6">
        <v>0</v>
      </c>
      <c r="AS346" s="5">
        <v>0</v>
      </c>
      <c r="AT346" s="6">
        <v>0</v>
      </c>
      <c r="AU346" s="5">
        <v>0</v>
      </c>
      <c r="AV346" s="6">
        <v>0</v>
      </c>
      <c r="AW346" s="5">
        <v>0</v>
      </c>
      <c r="AX346" s="6">
        <v>140</v>
      </c>
      <c r="AY346" s="5">
        <v>1663.63455364526</v>
      </c>
      <c r="AZ346" s="6">
        <v>0</v>
      </c>
      <c r="BA346" s="5">
        <v>0</v>
      </c>
      <c r="BB346" s="6">
        <v>0</v>
      </c>
      <c r="BC346" s="5">
        <v>0</v>
      </c>
      <c r="BD346" s="6">
        <v>0</v>
      </c>
      <c r="BE346" s="5">
        <v>0</v>
      </c>
      <c r="BF346" s="6">
        <v>0</v>
      </c>
      <c r="BG346" s="5">
        <v>0</v>
      </c>
      <c r="BH346" s="9">
        <f t="shared" si="42"/>
        <v>140</v>
      </c>
      <c r="BI346" s="10">
        <f t="shared" si="43"/>
        <v>1663.63455364526</v>
      </c>
      <c r="BJ346" s="6">
        <f t="shared" si="44"/>
        <v>41.07643258067867</v>
      </c>
      <c r="BK346" s="11">
        <f t="shared" si="45"/>
        <v>0.41523404030267308</v>
      </c>
      <c r="BL346" s="5">
        <f t="shared" si="46"/>
        <v>535.90588506499694</v>
      </c>
      <c r="BM346" s="11">
        <f t="shared" si="47"/>
        <v>0.47520817728227799</v>
      </c>
    </row>
    <row r="347" spans="1:65" ht="15" customHeight="1" x14ac:dyDescent="0.4">
      <c r="A347" s="2" t="s">
        <v>269</v>
      </c>
      <c r="B347" s="2" t="s">
        <v>66</v>
      </c>
      <c r="C347" s="2" t="s">
        <v>331</v>
      </c>
      <c r="D347" s="3" t="s">
        <v>68</v>
      </c>
      <c r="E347" s="3" t="s">
        <v>154</v>
      </c>
      <c r="F347" s="2" t="s">
        <v>155</v>
      </c>
      <c r="G347" s="4">
        <v>20</v>
      </c>
      <c r="H347" s="5">
        <v>3.03</v>
      </c>
      <c r="I347" s="5">
        <v>3.1584039458302868</v>
      </c>
      <c r="J347" s="6">
        <v>0</v>
      </c>
      <c r="K347" s="5">
        <v>0</v>
      </c>
      <c r="L347" s="6">
        <v>0</v>
      </c>
      <c r="M347" s="5">
        <v>0</v>
      </c>
      <c r="N347" s="6">
        <v>0</v>
      </c>
      <c r="O347" s="5">
        <v>0</v>
      </c>
      <c r="P347" s="6">
        <v>633.11083148365651</v>
      </c>
      <c r="Q347" s="5">
        <v>1918.3258193954789</v>
      </c>
      <c r="R347" s="6">
        <v>0</v>
      </c>
      <c r="S347" s="5">
        <v>0</v>
      </c>
      <c r="T347" s="6">
        <v>0</v>
      </c>
      <c r="U347" s="5">
        <v>0</v>
      </c>
      <c r="V347" s="6">
        <v>0</v>
      </c>
      <c r="W347" s="5">
        <v>0</v>
      </c>
      <c r="X347" s="6">
        <v>0</v>
      </c>
      <c r="Y347" s="5">
        <v>0</v>
      </c>
      <c r="Z347" s="6">
        <v>0</v>
      </c>
      <c r="AA347" s="5">
        <v>0</v>
      </c>
      <c r="AB347" s="6">
        <v>0</v>
      </c>
      <c r="AC347" s="5">
        <v>0</v>
      </c>
      <c r="AD347" s="6">
        <v>0</v>
      </c>
      <c r="AE347" s="5">
        <v>0</v>
      </c>
      <c r="AF347" s="6">
        <v>0</v>
      </c>
      <c r="AG347" s="5">
        <v>0</v>
      </c>
      <c r="AH347" s="7">
        <f t="shared" si="40"/>
        <v>633.11083148365651</v>
      </c>
      <c r="AI347" s="8">
        <f t="shared" si="41"/>
        <v>1918.3258193954789</v>
      </c>
      <c r="AJ347" s="6">
        <v>0</v>
      </c>
      <c r="AK347" s="5">
        <v>0</v>
      </c>
      <c r="AL347" s="6">
        <v>0</v>
      </c>
      <c r="AM347" s="5">
        <v>0</v>
      </c>
      <c r="AN347" s="6">
        <v>0</v>
      </c>
      <c r="AO347" s="5">
        <v>0</v>
      </c>
      <c r="AP347" s="6">
        <v>760</v>
      </c>
      <c r="AQ347" s="5">
        <v>2400.386998831018</v>
      </c>
      <c r="AR347" s="6">
        <v>0</v>
      </c>
      <c r="AS347" s="5">
        <v>0</v>
      </c>
      <c r="AT347" s="6">
        <v>0</v>
      </c>
      <c r="AU347" s="5">
        <v>0</v>
      </c>
      <c r="AV347" s="6">
        <v>0</v>
      </c>
      <c r="AW347" s="5">
        <v>0</v>
      </c>
      <c r="AX347" s="6">
        <v>0</v>
      </c>
      <c r="AY347" s="5">
        <v>0</v>
      </c>
      <c r="AZ347" s="6">
        <v>0</v>
      </c>
      <c r="BA347" s="5">
        <v>0</v>
      </c>
      <c r="BB347" s="6">
        <v>0</v>
      </c>
      <c r="BC347" s="5">
        <v>0</v>
      </c>
      <c r="BD347" s="6">
        <v>0</v>
      </c>
      <c r="BE347" s="5">
        <v>0</v>
      </c>
      <c r="BF347" s="6">
        <v>0</v>
      </c>
      <c r="BG347" s="5">
        <v>0</v>
      </c>
      <c r="BH347" s="9">
        <f t="shared" si="42"/>
        <v>760</v>
      </c>
      <c r="BI347" s="10">
        <f t="shared" si="43"/>
        <v>2400.386998831018</v>
      </c>
      <c r="BJ347" s="6">
        <f t="shared" si="44"/>
        <v>126.88916851634349</v>
      </c>
      <c r="BK347" s="11">
        <f t="shared" si="45"/>
        <v>0.20042173061387447</v>
      </c>
      <c r="BL347" s="5">
        <f t="shared" si="46"/>
        <v>482.06117943553909</v>
      </c>
      <c r="BM347" s="11">
        <f t="shared" si="47"/>
        <v>0.25129265037336085</v>
      </c>
    </row>
    <row r="348" spans="1:65" ht="15" customHeight="1" x14ac:dyDescent="0.4">
      <c r="A348" s="2" t="s">
        <v>269</v>
      </c>
      <c r="B348" s="2" t="s">
        <v>66</v>
      </c>
      <c r="C348" s="2" t="s">
        <v>331</v>
      </c>
      <c r="D348" s="3" t="s">
        <v>68</v>
      </c>
      <c r="E348" s="3" t="s">
        <v>318</v>
      </c>
      <c r="F348" s="2" t="s">
        <v>319</v>
      </c>
      <c r="G348" s="4">
        <v>1000</v>
      </c>
      <c r="H348" s="5">
        <v>2.67</v>
      </c>
      <c r="I348" s="5">
        <v>2.7831480314742141</v>
      </c>
      <c r="J348" s="6">
        <v>0</v>
      </c>
      <c r="K348" s="5">
        <v>0</v>
      </c>
      <c r="L348" s="6">
        <v>0</v>
      </c>
      <c r="M348" s="5">
        <v>0</v>
      </c>
      <c r="N348" s="6">
        <v>0</v>
      </c>
      <c r="O348" s="5">
        <v>0</v>
      </c>
      <c r="P348" s="6">
        <v>989.23567419321319</v>
      </c>
      <c r="Q348" s="5">
        <v>2641.259250095879</v>
      </c>
      <c r="R348" s="6">
        <v>0</v>
      </c>
      <c r="S348" s="5">
        <v>0</v>
      </c>
      <c r="T348" s="6">
        <v>0</v>
      </c>
      <c r="U348" s="5">
        <v>0</v>
      </c>
      <c r="V348" s="6">
        <v>0</v>
      </c>
      <c r="W348" s="5">
        <v>0</v>
      </c>
      <c r="X348" s="6">
        <v>0</v>
      </c>
      <c r="Y348" s="5">
        <v>0</v>
      </c>
      <c r="Z348" s="6">
        <v>0</v>
      </c>
      <c r="AA348" s="5">
        <v>0</v>
      </c>
      <c r="AB348" s="6">
        <v>0</v>
      </c>
      <c r="AC348" s="5">
        <v>0</v>
      </c>
      <c r="AD348" s="6">
        <v>0</v>
      </c>
      <c r="AE348" s="5">
        <v>0</v>
      </c>
      <c r="AF348" s="6">
        <v>0</v>
      </c>
      <c r="AG348" s="5">
        <v>0</v>
      </c>
      <c r="AH348" s="7">
        <f t="shared" si="40"/>
        <v>989.23567419321319</v>
      </c>
      <c r="AI348" s="8">
        <f t="shared" si="41"/>
        <v>2641.259250095879</v>
      </c>
      <c r="AJ348" s="6">
        <v>0</v>
      </c>
      <c r="AK348" s="5">
        <v>0</v>
      </c>
      <c r="AL348" s="6">
        <v>0</v>
      </c>
      <c r="AM348" s="5">
        <v>0</v>
      </c>
      <c r="AN348" s="6">
        <v>0</v>
      </c>
      <c r="AO348" s="5">
        <v>0</v>
      </c>
      <c r="AP348" s="6">
        <v>1000</v>
      </c>
      <c r="AQ348" s="5">
        <v>2783.1480314742139</v>
      </c>
      <c r="AR348" s="6">
        <v>0</v>
      </c>
      <c r="AS348" s="5">
        <v>0</v>
      </c>
      <c r="AT348" s="6">
        <v>0</v>
      </c>
      <c r="AU348" s="5">
        <v>0</v>
      </c>
      <c r="AV348" s="6">
        <v>0</v>
      </c>
      <c r="AW348" s="5">
        <v>0</v>
      </c>
      <c r="AX348" s="6">
        <v>0</v>
      </c>
      <c r="AY348" s="5">
        <v>0</v>
      </c>
      <c r="AZ348" s="6">
        <v>0</v>
      </c>
      <c r="BA348" s="5">
        <v>0</v>
      </c>
      <c r="BB348" s="6">
        <v>0</v>
      </c>
      <c r="BC348" s="5">
        <v>0</v>
      </c>
      <c r="BD348" s="6">
        <v>0</v>
      </c>
      <c r="BE348" s="5">
        <v>0</v>
      </c>
      <c r="BF348" s="6">
        <v>0</v>
      </c>
      <c r="BG348" s="5">
        <v>0</v>
      </c>
      <c r="BH348" s="9">
        <f t="shared" si="42"/>
        <v>1000</v>
      </c>
      <c r="BI348" s="10">
        <f t="shared" si="43"/>
        <v>2783.1480314742139</v>
      </c>
      <c r="BJ348" s="6">
        <f t="shared" si="44"/>
        <v>10.764325806786815</v>
      </c>
      <c r="BK348" s="11">
        <f t="shared" si="45"/>
        <v>1.0881457359052311E-2</v>
      </c>
      <c r="BL348" s="5">
        <f t="shared" si="46"/>
        <v>141.8887813783349</v>
      </c>
      <c r="BM348" s="11">
        <f t="shared" si="47"/>
        <v>5.3720126630198935E-2</v>
      </c>
    </row>
    <row r="349" spans="1:65" ht="15" customHeight="1" x14ac:dyDescent="0.4">
      <c r="A349" s="2" t="s">
        <v>269</v>
      </c>
      <c r="B349" s="2" t="s">
        <v>66</v>
      </c>
      <c r="C349" s="2" t="s">
        <v>331</v>
      </c>
      <c r="D349" s="3" t="s">
        <v>68</v>
      </c>
      <c r="E349" s="3" t="s">
        <v>86</v>
      </c>
      <c r="F349" s="2" t="s">
        <v>87</v>
      </c>
      <c r="G349" s="4">
        <v>20</v>
      </c>
      <c r="H349" s="5">
        <v>1.63</v>
      </c>
      <c r="I349" s="5">
        <v>1.699075390001112</v>
      </c>
      <c r="J349" s="6">
        <v>0</v>
      </c>
      <c r="K349" s="5">
        <v>0</v>
      </c>
      <c r="L349" s="6">
        <v>0</v>
      </c>
      <c r="M349" s="5">
        <v>0</v>
      </c>
      <c r="N349" s="6">
        <v>0</v>
      </c>
      <c r="O349" s="5">
        <v>0</v>
      </c>
      <c r="P349" s="6">
        <v>0</v>
      </c>
      <c r="Q349" s="5">
        <v>0</v>
      </c>
      <c r="R349" s="6">
        <v>0</v>
      </c>
      <c r="S349" s="5">
        <v>0</v>
      </c>
      <c r="T349" s="6">
        <v>0</v>
      </c>
      <c r="U349" s="5">
        <v>0</v>
      </c>
      <c r="V349" s="6">
        <v>0</v>
      </c>
      <c r="W349" s="5">
        <v>0</v>
      </c>
      <c r="X349" s="6">
        <v>0</v>
      </c>
      <c r="Y349" s="5">
        <v>0</v>
      </c>
      <c r="Z349" s="6">
        <v>1042.795753228228</v>
      </c>
      <c r="AA349" s="5">
        <v>1699.7570777620119</v>
      </c>
      <c r="AB349" s="6">
        <v>2085.591506456457</v>
      </c>
      <c r="AC349" s="5">
        <v>3399.5141555240239</v>
      </c>
      <c r="AD349" s="6">
        <v>3128.387259684685</v>
      </c>
      <c r="AE349" s="5">
        <v>5099.2712332860356</v>
      </c>
      <c r="AF349" s="6">
        <v>1042.795753228228</v>
      </c>
      <c r="AG349" s="5">
        <v>1699.7570777620119</v>
      </c>
      <c r="AH349" s="7">
        <f t="shared" si="40"/>
        <v>7299.570272597598</v>
      </c>
      <c r="AI349" s="8">
        <f t="shared" si="41"/>
        <v>11898.299544334082</v>
      </c>
      <c r="AJ349" s="6">
        <v>0</v>
      </c>
      <c r="AK349" s="5">
        <v>0</v>
      </c>
      <c r="AL349" s="6">
        <v>0</v>
      </c>
      <c r="AM349" s="5">
        <v>0</v>
      </c>
      <c r="AN349" s="6">
        <v>0</v>
      </c>
      <c r="AO349" s="5">
        <v>0</v>
      </c>
      <c r="AP349" s="6">
        <v>0</v>
      </c>
      <c r="AQ349" s="5">
        <v>0</v>
      </c>
      <c r="AR349" s="6">
        <v>0</v>
      </c>
      <c r="AS349" s="5">
        <v>0</v>
      </c>
      <c r="AT349" s="6">
        <v>0</v>
      </c>
      <c r="AU349" s="5">
        <v>0</v>
      </c>
      <c r="AV349" s="6">
        <v>0</v>
      </c>
      <c r="AW349" s="5">
        <v>0</v>
      </c>
      <c r="AX349" s="6">
        <v>0</v>
      </c>
      <c r="AY349" s="5">
        <v>0</v>
      </c>
      <c r="AZ349" s="6">
        <v>1140</v>
      </c>
      <c r="BA349" s="5">
        <v>1936.945944601267</v>
      </c>
      <c r="BB349" s="6">
        <v>2300</v>
      </c>
      <c r="BC349" s="5">
        <v>3907.8733970025569</v>
      </c>
      <c r="BD349" s="6">
        <v>3440</v>
      </c>
      <c r="BE349" s="5">
        <v>5844.819341603823</v>
      </c>
      <c r="BF349" s="6">
        <v>1140</v>
      </c>
      <c r="BG349" s="5">
        <v>1936.945944601267</v>
      </c>
      <c r="BH349" s="9">
        <f t="shared" si="42"/>
        <v>8020</v>
      </c>
      <c r="BI349" s="10">
        <f t="shared" si="43"/>
        <v>13626.584627808912</v>
      </c>
      <c r="BJ349" s="6">
        <f t="shared" si="44"/>
        <v>720.42972740240202</v>
      </c>
      <c r="BK349" s="11">
        <f t="shared" si="45"/>
        <v>9.8694813598394548E-2</v>
      </c>
      <c r="BL349" s="5">
        <f t="shared" si="46"/>
        <v>1728.2850834748297</v>
      </c>
      <c r="BM349" s="11">
        <f t="shared" si="47"/>
        <v>0.14525479687539311</v>
      </c>
    </row>
    <row r="350" spans="1:65" ht="15" customHeight="1" x14ac:dyDescent="0.4">
      <c r="A350" s="2" t="s">
        <v>269</v>
      </c>
      <c r="B350" s="2" t="s">
        <v>66</v>
      </c>
      <c r="C350" s="2" t="s">
        <v>331</v>
      </c>
      <c r="D350" s="3" t="s">
        <v>68</v>
      </c>
      <c r="E350" s="3" t="s">
        <v>136</v>
      </c>
      <c r="F350" s="2" t="s">
        <v>137</v>
      </c>
      <c r="G350" s="4">
        <v>20</v>
      </c>
      <c r="H350" s="5">
        <v>5.01</v>
      </c>
      <c r="I350" s="5">
        <v>5.2223114747886923</v>
      </c>
      <c r="J350" s="6">
        <v>0</v>
      </c>
      <c r="K350" s="5">
        <v>0</v>
      </c>
      <c r="L350" s="6">
        <v>0</v>
      </c>
      <c r="M350" s="5">
        <v>0</v>
      </c>
      <c r="N350" s="6">
        <v>0</v>
      </c>
      <c r="O350" s="5">
        <v>0</v>
      </c>
      <c r="P350" s="6">
        <v>0</v>
      </c>
      <c r="Q350" s="5">
        <v>0</v>
      </c>
      <c r="R350" s="6">
        <v>0</v>
      </c>
      <c r="S350" s="5">
        <v>0</v>
      </c>
      <c r="T350" s="6">
        <v>455.04841012887812</v>
      </c>
      <c r="U350" s="5">
        <v>2279.7925347456789</v>
      </c>
      <c r="V350" s="6">
        <v>0</v>
      </c>
      <c r="W350" s="5">
        <v>0</v>
      </c>
      <c r="X350" s="6">
        <v>0</v>
      </c>
      <c r="Y350" s="5">
        <v>0</v>
      </c>
      <c r="Z350" s="6">
        <v>0</v>
      </c>
      <c r="AA350" s="5">
        <v>0</v>
      </c>
      <c r="AB350" s="6">
        <v>0</v>
      </c>
      <c r="AC350" s="5">
        <v>0</v>
      </c>
      <c r="AD350" s="6">
        <v>0</v>
      </c>
      <c r="AE350" s="5">
        <v>0</v>
      </c>
      <c r="AF350" s="6">
        <v>0</v>
      </c>
      <c r="AG350" s="5">
        <v>0</v>
      </c>
      <c r="AH350" s="7">
        <f t="shared" si="40"/>
        <v>455.04841012887812</v>
      </c>
      <c r="AI350" s="8">
        <f t="shared" si="41"/>
        <v>2279.7925347456789</v>
      </c>
      <c r="AJ350" s="6">
        <v>0</v>
      </c>
      <c r="AK350" s="5">
        <v>0</v>
      </c>
      <c r="AL350" s="6">
        <v>0</v>
      </c>
      <c r="AM350" s="5">
        <v>0</v>
      </c>
      <c r="AN350" s="6">
        <v>0</v>
      </c>
      <c r="AO350" s="5">
        <v>0</v>
      </c>
      <c r="AP350" s="6">
        <v>0</v>
      </c>
      <c r="AQ350" s="5">
        <v>0</v>
      </c>
      <c r="AR350" s="6">
        <v>0</v>
      </c>
      <c r="AS350" s="5">
        <v>0</v>
      </c>
      <c r="AT350" s="6">
        <v>500</v>
      </c>
      <c r="AU350" s="5">
        <v>2611.155737394346</v>
      </c>
      <c r="AV350" s="6">
        <v>0</v>
      </c>
      <c r="AW350" s="5">
        <v>0</v>
      </c>
      <c r="AX350" s="6">
        <v>0</v>
      </c>
      <c r="AY350" s="5">
        <v>0</v>
      </c>
      <c r="AZ350" s="6">
        <v>0</v>
      </c>
      <c r="BA350" s="5">
        <v>0</v>
      </c>
      <c r="BB350" s="6">
        <v>0</v>
      </c>
      <c r="BC350" s="5">
        <v>0</v>
      </c>
      <c r="BD350" s="6">
        <v>0</v>
      </c>
      <c r="BE350" s="5">
        <v>0</v>
      </c>
      <c r="BF350" s="6">
        <v>0</v>
      </c>
      <c r="BG350" s="5">
        <v>0</v>
      </c>
      <c r="BH350" s="9">
        <f t="shared" si="42"/>
        <v>500</v>
      </c>
      <c r="BI350" s="10">
        <f t="shared" si="43"/>
        <v>2611.155737394346</v>
      </c>
      <c r="BJ350" s="6">
        <f t="shared" si="44"/>
        <v>44.951589871121882</v>
      </c>
      <c r="BK350" s="11">
        <f t="shared" si="45"/>
        <v>9.8784192781578475E-2</v>
      </c>
      <c r="BL350" s="5">
        <f t="shared" si="46"/>
        <v>331.36320264866708</v>
      </c>
      <c r="BM350" s="11">
        <f t="shared" si="47"/>
        <v>0.14534796372847678</v>
      </c>
    </row>
    <row r="351" spans="1:65" ht="15" customHeight="1" x14ac:dyDescent="0.4">
      <c r="A351" s="2" t="s">
        <v>269</v>
      </c>
      <c r="B351" s="2" t="s">
        <v>66</v>
      </c>
      <c r="C351" s="2" t="s">
        <v>331</v>
      </c>
      <c r="D351" s="3" t="s">
        <v>68</v>
      </c>
      <c r="E351" s="3" t="s">
        <v>332</v>
      </c>
      <c r="F351" s="2" t="s">
        <v>333</v>
      </c>
      <c r="G351" s="4">
        <v>1000</v>
      </c>
      <c r="H351" s="5">
        <v>4.3599999999999994</v>
      </c>
      <c r="I351" s="5">
        <v>4.5447660738680034</v>
      </c>
      <c r="J351" s="6">
        <v>0</v>
      </c>
      <c r="K351" s="5">
        <v>0</v>
      </c>
      <c r="L351" s="6">
        <v>0</v>
      </c>
      <c r="M351" s="5">
        <v>0</v>
      </c>
      <c r="N351" s="6">
        <v>0</v>
      </c>
      <c r="O351" s="5">
        <v>0</v>
      </c>
      <c r="P351" s="6">
        <v>989.23567419321319</v>
      </c>
      <c r="Q351" s="5">
        <v>4313.0675394824093</v>
      </c>
      <c r="R351" s="6">
        <v>0</v>
      </c>
      <c r="S351" s="5">
        <v>0</v>
      </c>
      <c r="T351" s="6">
        <v>0</v>
      </c>
      <c r="U351" s="5">
        <v>0</v>
      </c>
      <c r="V351" s="6">
        <v>0</v>
      </c>
      <c r="W351" s="5">
        <v>0</v>
      </c>
      <c r="X351" s="6">
        <v>0</v>
      </c>
      <c r="Y351" s="5">
        <v>0</v>
      </c>
      <c r="Z351" s="6">
        <v>0</v>
      </c>
      <c r="AA351" s="5">
        <v>0</v>
      </c>
      <c r="AB351" s="6">
        <v>0</v>
      </c>
      <c r="AC351" s="5">
        <v>0</v>
      </c>
      <c r="AD351" s="6">
        <v>0</v>
      </c>
      <c r="AE351" s="5">
        <v>0</v>
      </c>
      <c r="AF351" s="6">
        <v>0</v>
      </c>
      <c r="AG351" s="5">
        <v>0</v>
      </c>
      <c r="AH351" s="7">
        <f t="shared" si="40"/>
        <v>989.23567419321319</v>
      </c>
      <c r="AI351" s="8">
        <f t="shared" si="41"/>
        <v>4313.0675394824093</v>
      </c>
      <c r="AJ351" s="6">
        <v>0</v>
      </c>
      <c r="AK351" s="5">
        <v>0</v>
      </c>
      <c r="AL351" s="6">
        <v>0</v>
      </c>
      <c r="AM351" s="5">
        <v>0</v>
      </c>
      <c r="AN351" s="6">
        <v>0</v>
      </c>
      <c r="AO351" s="5">
        <v>0</v>
      </c>
      <c r="AP351" s="6">
        <v>1000</v>
      </c>
      <c r="AQ351" s="5">
        <v>4544.7660738680033</v>
      </c>
      <c r="AR351" s="6">
        <v>0</v>
      </c>
      <c r="AS351" s="5">
        <v>0</v>
      </c>
      <c r="AT351" s="6">
        <v>0</v>
      </c>
      <c r="AU351" s="5">
        <v>0</v>
      </c>
      <c r="AV351" s="6">
        <v>0</v>
      </c>
      <c r="AW351" s="5">
        <v>0</v>
      </c>
      <c r="AX351" s="6">
        <v>0</v>
      </c>
      <c r="AY351" s="5">
        <v>0</v>
      </c>
      <c r="AZ351" s="6">
        <v>0</v>
      </c>
      <c r="BA351" s="5">
        <v>0</v>
      </c>
      <c r="BB351" s="6">
        <v>0</v>
      </c>
      <c r="BC351" s="5">
        <v>0</v>
      </c>
      <c r="BD351" s="6">
        <v>0</v>
      </c>
      <c r="BE351" s="5">
        <v>0</v>
      </c>
      <c r="BF351" s="6">
        <v>0</v>
      </c>
      <c r="BG351" s="5">
        <v>0</v>
      </c>
      <c r="BH351" s="9">
        <f t="shared" si="42"/>
        <v>1000</v>
      </c>
      <c r="BI351" s="10">
        <f t="shared" si="43"/>
        <v>4544.7660738680033</v>
      </c>
      <c r="BJ351" s="6">
        <f t="shared" si="44"/>
        <v>10.764325806786815</v>
      </c>
      <c r="BK351" s="11">
        <f t="shared" si="45"/>
        <v>1.0881457359052311E-2</v>
      </c>
      <c r="BL351" s="5">
        <f t="shared" si="46"/>
        <v>231.69853438559403</v>
      </c>
      <c r="BM351" s="11">
        <f t="shared" si="47"/>
        <v>5.3720126630198581E-2</v>
      </c>
    </row>
    <row r="352" spans="1:65" ht="15" customHeight="1" x14ac:dyDescent="0.4">
      <c r="A352" s="2" t="s">
        <v>269</v>
      </c>
      <c r="B352" s="2" t="s">
        <v>66</v>
      </c>
      <c r="C352" s="2" t="s">
        <v>331</v>
      </c>
      <c r="D352" s="3" t="s">
        <v>68</v>
      </c>
      <c r="E352" s="3" t="s">
        <v>71</v>
      </c>
      <c r="F352" s="2" t="s">
        <v>72</v>
      </c>
      <c r="G352" s="4">
        <v>20</v>
      </c>
      <c r="H352" s="5">
        <v>2.37</v>
      </c>
      <c r="I352" s="5">
        <v>2.4704347695108191</v>
      </c>
      <c r="J352" s="6">
        <v>0</v>
      </c>
      <c r="K352" s="5">
        <v>0</v>
      </c>
      <c r="L352" s="6">
        <v>633.11083148365651</v>
      </c>
      <c r="M352" s="5">
        <v>1500.472670616266</v>
      </c>
      <c r="N352" s="6">
        <v>0</v>
      </c>
      <c r="O352" s="5">
        <v>0</v>
      </c>
      <c r="P352" s="6">
        <v>0</v>
      </c>
      <c r="Q352" s="5">
        <v>0</v>
      </c>
      <c r="R352" s="6">
        <v>0</v>
      </c>
      <c r="S352" s="5">
        <v>0</v>
      </c>
      <c r="T352" s="6">
        <v>0</v>
      </c>
      <c r="U352" s="5">
        <v>0</v>
      </c>
      <c r="V352" s="6">
        <v>0</v>
      </c>
      <c r="W352" s="5">
        <v>0</v>
      </c>
      <c r="X352" s="6">
        <v>0</v>
      </c>
      <c r="Y352" s="5">
        <v>0</v>
      </c>
      <c r="Z352" s="6">
        <v>0</v>
      </c>
      <c r="AA352" s="5">
        <v>0</v>
      </c>
      <c r="AB352" s="6">
        <v>1213.4350583019379</v>
      </c>
      <c r="AC352" s="5">
        <v>2875.841088175594</v>
      </c>
      <c r="AD352" s="6">
        <v>606.7175291509692</v>
      </c>
      <c r="AE352" s="5">
        <v>1437.920544087797</v>
      </c>
      <c r="AF352" s="6">
        <v>606.7175291509692</v>
      </c>
      <c r="AG352" s="5">
        <v>1437.920544087797</v>
      </c>
      <c r="AH352" s="7">
        <f t="shared" si="40"/>
        <v>3059.9809480875329</v>
      </c>
      <c r="AI352" s="8">
        <f t="shared" si="41"/>
        <v>7252.1548469674535</v>
      </c>
      <c r="AJ352" s="6">
        <v>0</v>
      </c>
      <c r="AK352" s="5">
        <v>0</v>
      </c>
      <c r="AL352" s="6">
        <v>800</v>
      </c>
      <c r="AM352" s="5">
        <v>1976.3478156086551</v>
      </c>
      <c r="AN352" s="6">
        <v>0</v>
      </c>
      <c r="AO352" s="5">
        <v>0</v>
      </c>
      <c r="AP352" s="6">
        <v>0</v>
      </c>
      <c r="AQ352" s="5">
        <v>0</v>
      </c>
      <c r="AR352" s="6">
        <v>0</v>
      </c>
      <c r="AS352" s="5">
        <v>0</v>
      </c>
      <c r="AT352" s="6">
        <v>0</v>
      </c>
      <c r="AU352" s="5">
        <v>0</v>
      </c>
      <c r="AV352" s="6">
        <v>0</v>
      </c>
      <c r="AW352" s="5">
        <v>0</v>
      </c>
      <c r="AX352" s="6">
        <v>0</v>
      </c>
      <c r="AY352" s="5">
        <v>0</v>
      </c>
      <c r="AZ352" s="6">
        <v>0</v>
      </c>
      <c r="BA352" s="5">
        <v>0</v>
      </c>
      <c r="BB352" s="6">
        <v>1520</v>
      </c>
      <c r="BC352" s="5">
        <v>3755.060849656445</v>
      </c>
      <c r="BD352" s="6">
        <v>760</v>
      </c>
      <c r="BE352" s="5">
        <v>1877.530424828223</v>
      </c>
      <c r="BF352" s="6">
        <v>760</v>
      </c>
      <c r="BG352" s="5">
        <v>1877.530424828223</v>
      </c>
      <c r="BH352" s="9">
        <f t="shared" si="42"/>
        <v>3840</v>
      </c>
      <c r="BI352" s="10">
        <f t="shared" si="43"/>
        <v>9486.4695149215459</v>
      </c>
      <c r="BJ352" s="6">
        <f t="shared" si="44"/>
        <v>780.01905191246715</v>
      </c>
      <c r="BK352" s="11">
        <f t="shared" si="45"/>
        <v>0.25490977399711384</v>
      </c>
      <c r="BL352" s="5">
        <f t="shared" si="46"/>
        <v>2234.3146679540923</v>
      </c>
      <c r="BM352" s="11">
        <f t="shared" si="47"/>
        <v>0.30808976298794677</v>
      </c>
    </row>
    <row r="353" spans="1:65" ht="15" customHeight="1" x14ac:dyDescent="0.4">
      <c r="A353" s="2" t="s">
        <v>269</v>
      </c>
      <c r="B353" s="2" t="s">
        <v>66</v>
      </c>
      <c r="C353" s="2" t="s">
        <v>331</v>
      </c>
      <c r="D353" s="3" t="s">
        <v>68</v>
      </c>
      <c r="E353" s="3" t="s">
        <v>260</v>
      </c>
      <c r="F353" s="2" t="s">
        <v>261</v>
      </c>
      <c r="G353" s="4">
        <v>1000</v>
      </c>
      <c r="H353" s="5">
        <v>1.919</v>
      </c>
      <c r="I353" s="5">
        <v>2.0003224990258488</v>
      </c>
      <c r="J353" s="6">
        <v>0</v>
      </c>
      <c r="K353" s="5">
        <v>0</v>
      </c>
      <c r="L353" s="6">
        <v>0</v>
      </c>
      <c r="M353" s="5">
        <v>0</v>
      </c>
      <c r="N353" s="6">
        <v>0</v>
      </c>
      <c r="O353" s="5">
        <v>0</v>
      </c>
      <c r="P353" s="6">
        <v>0</v>
      </c>
      <c r="Q353" s="5">
        <v>0</v>
      </c>
      <c r="R353" s="6">
        <v>0</v>
      </c>
      <c r="S353" s="5">
        <v>0</v>
      </c>
      <c r="T353" s="6">
        <v>0</v>
      </c>
      <c r="U353" s="5">
        <v>0</v>
      </c>
      <c r="V353" s="6">
        <v>0</v>
      </c>
      <c r="W353" s="5">
        <v>0</v>
      </c>
      <c r="X353" s="6">
        <v>0</v>
      </c>
      <c r="Y353" s="5">
        <v>0</v>
      </c>
      <c r="Z353" s="6">
        <v>0</v>
      </c>
      <c r="AA353" s="5">
        <v>0</v>
      </c>
      <c r="AB353" s="6">
        <v>1895.992278596779</v>
      </c>
      <c r="AC353" s="5">
        <v>3638.4091826272179</v>
      </c>
      <c r="AD353" s="6">
        <v>1895.992278596779</v>
      </c>
      <c r="AE353" s="5">
        <v>3638.4091826272179</v>
      </c>
      <c r="AF353" s="6">
        <v>0</v>
      </c>
      <c r="AG353" s="5">
        <v>0</v>
      </c>
      <c r="AH353" s="7">
        <f t="shared" si="40"/>
        <v>3791.984557193558</v>
      </c>
      <c r="AI353" s="8">
        <f t="shared" si="41"/>
        <v>7276.8183652544358</v>
      </c>
      <c r="AJ353" s="6">
        <v>0</v>
      </c>
      <c r="AK353" s="5">
        <v>0</v>
      </c>
      <c r="AL353" s="6">
        <v>0</v>
      </c>
      <c r="AM353" s="5">
        <v>0</v>
      </c>
      <c r="AN353" s="6">
        <v>0</v>
      </c>
      <c r="AO353" s="5">
        <v>0</v>
      </c>
      <c r="AP353" s="6">
        <v>0</v>
      </c>
      <c r="AQ353" s="5">
        <v>0</v>
      </c>
      <c r="AR353" s="6">
        <v>0</v>
      </c>
      <c r="AS353" s="5">
        <v>0</v>
      </c>
      <c r="AT353" s="6">
        <v>0</v>
      </c>
      <c r="AU353" s="5">
        <v>0</v>
      </c>
      <c r="AV353" s="6">
        <v>0</v>
      </c>
      <c r="AW353" s="5">
        <v>0</v>
      </c>
      <c r="AX353" s="6">
        <v>0</v>
      </c>
      <c r="AY353" s="5">
        <v>0</v>
      </c>
      <c r="AZ353" s="6">
        <v>0</v>
      </c>
      <c r="BA353" s="5">
        <v>0</v>
      </c>
      <c r="BB353" s="6">
        <v>2000</v>
      </c>
      <c r="BC353" s="5">
        <v>4000.6449980516968</v>
      </c>
      <c r="BD353" s="6">
        <v>2000</v>
      </c>
      <c r="BE353" s="5">
        <v>4000.6449980516968</v>
      </c>
      <c r="BF353" s="6">
        <v>0</v>
      </c>
      <c r="BG353" s="5">
        <v>0</v>
      </c>
      <c r="BH353" s="9">
        <f t="shared" si="42"/>
        <v>4000</v>
      </c>
      <c r="BI353" s="10">
        <f t="shared" si="43"/>
        <v>8001.2899961033936</v>
      </c>
      <c r="BJ353" s="6">
        <f t="shared" si="44"/>
        <v>208.01544280644202</v>
      </c>
      <c r="BK353" s="11">
        <f t="shared" si="45"/>
        <v>5.4856616547086873E-2</v>
      </c>
      <c r="BL353" s="5">
        <f t="shared" si="46"/>
        <v>724.47163084895783</v>
      </c>
      <c r="BM353" s="11">
        <f t="shared" si="47"/>
        <v>9.9558844880365038E-2</v>
      </c>
    </row>
    <row r="354" spans="1:65" ht="15" customHeight="1" x14ac:dyDescent="0.4">
      <c r="A354" s="2" t="s">
        <v>269</v>
      </c>
      <c r="B354" s="2" t="s">
        <v>66</v>
      </c>
      <c r="C354" s="2" t="s">
        <v>331</v>
      </c>
      <c r="D354" s="3" t="s">
        <v>68</v>
      </c>
      <c r="E354" s="3" t="s">
        <v>120</v>
      </c>
      <c r="F354" s="2" t="s">
        <v>121</v>
      </c>
      <c r="G354" s="4">
        <v>5</v>
      </c>
      <c r="H354" s="5">
        <v>3.93</v>
      </c>
      <c r="I354" s="5">
        <v>4.0965437317204714</v>
      </c>
      <c r="J354" s="6">
        <v>0</v>
      </c>
      <c r="K354" s="5">
        <v>0</v>
      </c>
      <c r="L354" s="6">
        <v>0</v>
      </c>
      <c r="M354" s="5">
        <v>0</v>
      </c>
      <c r="N354" s="6">
        <v>0</v>
      </c>
      <c r="O354" s="5">
        <v>0</v>
      </c>
      <c r="P354" s="6">
        <v>197.84713483864269</v>
      </c>
      <c r="Q354" s="5">
        <v>777.53923991586555</v>
      </c>
      <c r="R354" s="6">
        <v>0</v>
      </c>
      <c r="S354" s="5">
        <v>0</v>
      </c>
      <c r="T354" s="6">
        <v>0</v>
      </c>
      <c r="U354" s="5">
        <v>0</v>
      </c>
      <c r="V354" s="6">
        <v>0</v>
      </c>
      <c r="W354" s="5">
        <v>0</v>
      </c>
      <c r="X354" s="6">
        <v>0</v>
      </c>
      <c r="Y354" s="5">
        <v>0</v>
      </c>
      <c r="Z354" s="6">
        <v>0</v>
      </c>
      <c r="AA354" s="5">
        <v>0</v>
      </c>
      <c r="AB354" s="6">
        <v>568.79768357903356</v>
      </c>
      <c r="AC354" s="5">
        <v>2235.374896465602</v>
      </c>
      <c r="AD354" s="6">
        <v>0</v>
      </c>
      <c r="AE354" s="5">
        <v>0</v>
      </c>
      <c r="AF354" s="6">
        <v>0</v>
      </c>
      <c r="AG354" s="5">
        <v>0</v>
      </c>
      <c r="AH354" s="7">
        <f t="shared" si="40"/>
        <v>766.64481841767622</v>
      </c>
      <c r="AI354" s="8">
        <f t="shared" si="41"/>
        <v>3012.9141363814674</v>
      </c>
      <c r="AJ354" s="6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6">
        <v>215</v>
      </c>
      <c r="AQ354" s="5">
        <v>880.75690231990131</v>
      </c>
      <c r="AR354" s="6">
        <v>0</v>
      </c>
      <c r="AS354" s="5">
        <v>0</v>
      </c>
      <c r="AT354" s="6">
        <v>0</v>
      </c>
      <c r="AU354" s="5">
        <v>0</v>
      </c>
      <c r="AV354" s="6">
        <v>0</v>
      </c>
      <c r="AW354" s="5">
        <v>0</v>
      </c>
      <c r="AX354" s="6">
        <v>0</v>
      </c>
      <c r="AY354" s="5">
        <v>0</v>
      </c>
      <c r="AZ354" s="6">
        <v>0</v>
      </c>
      <c r="BA354" s="5">
        <v>0</v>
      </c>
      <c r="BB354" s="6">
        <v>620</v>
      </c>
      <c r="BC354" s="5">
        <v>2539.8571136666919</v>
      </c>
      <c r="BD354" s="6">
        <v>0</v>
      </c>
      <c r="BE354" s="5">
        <v>0</v>
      </c>
      <c r="BF354" s="6">
        <v>0</v>
      </c>
      <c r="BG354" s="5">
        <v>0</v>
      </c>
      <c r="BH354" s="9">
        <f t="shared" si="42"/>
        <v>835</v>
      </c>
      <c r="BI354" s="10">
        <f t="shared" si="43"/>
        <v>3420.6140159865931</v>
      </c>
      <c r="BJ354" s="6">
        <f t="shared" si="44"/>
        <v>68.35518158232378</v>
      </c>
      <c r="BK354" s="11">
        <f t="shared" si="45"/>
        <v>8.9161473397036839E-2</v>
      </c>
      <c r="BL354" s="5">
        <f t="shared" si="46"/>
        <v>407.69987960512572</v>
      </c>
      <c r="BM354" s="11">
        <f t="shared" si="47"/>
        <v>0.13531745716948188</v>
      </c>
    </row>
    <row r="355" spans="1:65" ht="15" customHeight="1" x14ac:dyDescent="0.4">
      <c r="A355" s="2" t="s">
        <v>269</v>
      </c>
      <c r="B355" s="2" t="s">
        <v>66</v>
      </c>
      <c r="C355" s="2" t="s">
        <v>331</v>
      </c>
      <c r="D355" s="3" t="s">
        <v>68</v>
      </c>
      <c r="E355" s="3" t="s">
        <v>124</v>
      </c>
      <c r="F355" s="2" t="s">
        <v>125</v>
      </c>
      <c r="G355" s="4">
        <v>20</v>
      </c>
      <c r="H355" s="5">
        <v>4.0999999999999996</v>
      </c>
      <c r="I355" s="5">
        <v>4.2737479134997276</v>
      </c>
      <c r="J355" s="6">
        <v>0</v>
      </c>
      <c r="K355" s="5">
        <v>0</v>
      </c>
      <c r="L355" s="6">
        <v>0</v>
      </c>
      <c r="M355" s="5">
        <v>0</v>
      </c>
      <c r="N355" s="6">
        <v>0</v>
      </c>
      <c r="O355" s="5">
        <v>0</v>
      </c>
      <c r="P355" s="6">
        <v>0</v>
      </c>
      <c r="Q355" s="5">
        <v>0</v>
      </c>
      <c r="R355" s="6">
        <v>0</v>
      </c>
      <c r="S355" s="5">
        <v>0</v>
      </c>
      <c r="T355" s="6">
        <v>0</v>
      </c>
      <c r="U355" s="5">
        <v>0</v>
      </c>
      <c r="V355" s="6">
        <v>0</v>
      </c>
      <c r="W355" s="5">
        <v>0</v>
      </c>
      <c r="X355" s="6">
        <v>0</v>
      </c>
      <c r="Y355" s="5">
        <v>0</v>
      </c>
      <c r="Z355" s="6">
        <v>0</v>
      </c>
      <c r="AA355" s="5">
        <v>0</v>
      </c>
      <c r="AB355" s="6">
        <v>0</v>
      </c>
      <c r="AC355" s="5">
        <v>0</v>
      </c>
      <c r="AD355" s="6">
        <v>189.59922785967791</v>
      </c>
      <c r="AE355" s="5">
        <v>777.35683422467912</v>
      </c>
      <c r="AF355" s="6">
        <v>189.59922785967791</v>
      </c>
      <c r="AG355" s="5">
        <v>777.35683422467912</v>
      </c>
      <c r="AH355" s="7">
        <f t="shared" si="40"/>
        <v>379.19845571935582</v>
      </c>
      <c r="AI355" s="8">
        <f t="shared" si="41"/>
        <v>1554.7136684493582</v>
      </c>
      <c r="AJ355" s="6">
        <v>0</v>
      </c>
      <c r="AK355" s="5">
        <v>0</v>
      </c>
      <c r="AL355" s="6">
        <v>0</v>
      </c>
      <c r="AM355" s="5">
        <v>0</v>
      </c>
      <c r="AN355" s="6">
        <v>0</v>
      </c>
      <c r="AO355" s="5">
        <v>0</v>
      </c>
      <c r="AP355" s="6">
        <v>0</v>
      </c>
      <c r="AQ355" s="5">
        <v>0</v>
      </c>
      <c r="AR355" s="6">
        <v>0</v>
      </c>
      <c r="AS355" s="5">
        <v>0</v>
      </c>
      <c r="AT355" s="6">
        <v>0</v>
      </c>
      <c r="AU355" s="5">
        <v>0</v>
      </c>
      <c r="AV355" s="6">
        <v>0</v>
      </c>
      <c r="AW355" s="5">
        <v>0</v>
      </c>
      <c r="AX355" s="6">
        <v>0</v>
      </c>
      <c r="AY355" s="5">
        <v>0</v>
      </c>
      <c r="AZ355" s="6">
        <v>0</v>
      </c>
      <c r="BA355" s="5">
        <v>0</v>
      </c>
      <c r="BB355" s="6">
        <v>0</v>
      </c>
      <c r="BC355" s="5">
        <v>0</v>
      </c>
      <c r="BD355" s="6">
        <v>200</v>
      </c>
      <c r="BE355" s="5">
        <v>854.74958269994568</v>
      </c>
      <c r="BF355" s="6">
        <v>200</v>
      </c>
      <c r="BG355" s="5">
        <v>854.74958269994568</v>
      </c>
      <c r="BH355" s="9">
        <f t="shared" si="42"/>
        <v>400</v>
      </c>
      <c r="BI355" s="10">
        <f t="shared" si="43"/>
        <v>1709.4991653998914</v>
      </c>
      <c r="BJ355" s="6">
        <f t="shared" si="44"/>
        <v>20.80154428064418</v>
      </c>
      <c r="BK355" s="11">
        <f t="shared" si="45"/>
        <v>5.485661654708681E-2</v>
      </c>
      <c r="BL355" s="5">
        <f t="shared" si="46"/>
        <v>154.78549695053312</v>
      </c>
      <c r="BM355" s="11">
        <f t="shared" si="47"/>
        <v>9.9558844880365149E-2</v>
      </c>
    </row>
    <row r="356" spans="1:65" ht="15" customHeight="1" x14ac:dyDescent="0.4">
      <c r="A356" s="2" t="s">
        <v>269</v>
      </c>
      <c r="B356" s="2" t="s">
        <v>66</v>
      </c>
      <c r="C356" s="2" t="s">
        <v>331</v>
      </c>
      <c r="D356" s="3" t="s">
        <v>68</v>
      </c>
      <c r="E356" s="3" t="s">
        <v>79</v>
      </c>
      <c r="F356" s="2" t="s">
        <v>80</v>
      </c>
      <c r="G356" s="4">
        <v>20</v>
      </c>
      <c r="H356" s="5">
        <v>3.1899999999999991</v>
      </c>
      <c r="I356" s="5">
        <v>3.3251843522107651</v>
      </c>
      <c r="J356" s="6">
        <v>0</v>
      </c>
      <c r="K356" s="5">
        <v>0</v>
      </c>
      <c r="L356" s="6">
        <v>0</v>
      </c>
      <c r="M356" s="5">
        <v>0</v>
      </c>
      <c r="N356" s="6">
        <v>0</v>
      </c>
      <c r="O356" s="5">
        <v>0</v>
      </c>
      <c r="P356" s="6">
        <v>1266.221662967313</v>
      </c>
      <c r="Q356" s="5">
        <v>4039.247104865728</v>
      </c>
      <c r="R356" s="6">
        <v>0</v>
      </c>
      <c r="S356" s="5">
        <v>0</v>
      </c>
      <c r="T356" s="6">
        <v>0</v>
      </c>
      <c r="U356" s="5">
        <v>0</v>
      </c>
      <c r="V356" s="6">
        <v>0</v>
      </c>
      <c r="W356" s="5">
        <v>0</v>
      </c>
      <c r="X356" s="6">
        <v>0</v>
      </c>
      <c r="Y356" s="5">
        <v>0</v>
      </c>
      <c r="Z356" s="6">
        <v>0</v>
      </c>
      <c r="AA356" s="5">
        <v>0</v>
      </c>
      <c r="AB356" s="6">
        <v>606.7175291509692</v>
      </c>
      <c r="AC356" s="5">
        <v>1935.428917991592</v>
      </c>
      <c r="AD356" s="6">
        <v>606.7175291509692</v>
      </c>
      <c r="AE356" s="5">
        <v>1935.428917991592</v>
      </c>
      <c r="AF356" s="6">
        <v>0</v>
      </c>
      <c r="AG356" s="5">
        <v>0</v>
      </c>
      <c r="AH356" s="7">
        <f t="shared" si="40"/>
        <v>2479.6567212692516</v>
      </c>
      <c r="AI356" s="8">
        <f t="shared" si="41"/>
        <v>7910.1049408489125</v>
      </c>
      <c r="AJ356" s="6">
        <v>0</v>
      </c>
      <c r="AK356" s="5">
        <v>0</v>
      </c>
      <c r="AL356" s="6">
        <v>0</v>
      </c>
      <c r="AM356" s="5">
        <v>0</v>
      </c>
      <c r="AN356" s="6">
        <v>0</v>
      </c>
      <c r="AO356" s="5">
        <v>0</v>
      </c>
      <c r="AP356" s="6">
        <v>1400</v>
      </c>
      <c r="AQ356" s="5">
        <v>4655.2580930950699</v>
      </c>
      <c r="AR356" s="6">
        <v>0</v>
      </c>
      <c r="AS356" s="5">
        <v>0</v>
      </c>
      <c r="AT356" s="6">
        <v>0</v>
      </c>
      <c r="AU356" s="5">
        <v>0</v>
      </c>
      <c r="AV356" s="6">
        <v>0</v>
      </c>
      <c r="AW356" s="5">
        <v>0</v>
      </c>
      <c r="AX356" s="6">
        <v>0</v>
      </c>
      <c r="AY356" s="5">
        <v>0</v>
      </c>
      <c r="AZ356" s="6">
        <v>0</v>
      </c>
      <c r="BA356" s="5">
        <v>0</v>
      </c>
      <c r="BB356" s="6">
        <v>660</v>
      </c>
      <c r="BC356" s="5">
        <v>2194.621672459105</v>
      </c>
      <c r="BD356" s="6">
        <v>660</v>
      </c>
      <c r="BE356" s="5">
        <v>2194.621672459105</v>
      </c>
      <c r="BF356" s="6">
        <v>0</v>
      </c>
      <c r="BG356" s="5">
        <v>0</v>
      </c>
      <c r="BH356" s="9">
        <f t="shared" si="42"/>
        <v>2720</v>
      </c>
      <c r="BI356" s="10">
        <f t="shared" si="43"/>
        <v>9044.5014380132798</v>
      </c>
      <c r="BJ356" s="6">
        <f t="shared" si="44"/>
        <v>240.34327873074835</v>
      </c>
      <c r="BK356" s="11">
        <f t="shared" si="45"/>
        <v>9.6926028780195364E-2</v>
      </c>
      <c r="BL356" s="5">
        <f t="shared" si="46"/>
        <v>1134.3964971643672</v>
      </c>
      <c r="BM356" s="11">
        <f t="shared" si="47"/>
        <v>0.14341105530802525</v>
      </c>
    </row>
    <row r="357" spans="1:65" ht="15" customHeight="1" x14ac:dyDescent="0.4">
      <c r="A357" s="2" t="s">
        <v>269</v>
      </c>
      <c r="B357" s="2" t="s">
        <v>66</v>
      </c>
      <c r="C357" s="2" t="s">
        <v>331</v>
      </c>
      <c r="D357" s="3" t="s">
        <v>68</v>
      </c>
      <c r="E357" s="3" t="s">
        <v>131</v>
      </c>
      <c r="F357" s="2" t="s">
        <v>132</v>
      </c>
      <c r="G357" s="4">
        <v>20</v>
      </c>
      <c r="H357" s="5">
        <v>1.8437600000000001</v>
      </c>
      <c r="I357" s="5">
        <v>1.9218884329118331</v>
      </c>
      <c r="J357" s="6">
        <v>0</v>
      </c>
      <c r="K357" s="5">
        <v>0</v>
      </c>
      <c r="L357" s="6">
        <v>0</v>
      </c>
      <c r="M357" s="5">
        <v>0</v>
      </c>
      <c r="N357" s="6">
        <v>0</v>
      </c>
      <c r="O357" s="5">
        <v>0</v>
      </c>
      <c r="P357" s="6">
        <v>0</v>
      </c>
      <c r="Q357" s="5">
        <v>0</v>
      </c>
      <c r="R357" s="6">
        <v>0</v>
      </c>
      <c r="S357" s="5">
        <v>0</v>
      </c>
      <c r="T357" s="6">
        <v>3858.0191293535322</v>
      </c>
      <c r="U357" s="5">
        <v>7106.4712362692053</v>
      </c>
      <c r="V357" s="6">
        <v>1088.159241612535</v>
      </c>
      <c r="W357" s="5">
        <v>2013.0945969831889</v>
      </c>
      <c r="X357" s="6">
        <v>0</v>
      </c>
      <c r="Y357" s="5">
        <v>0</v>
      </c>
      <c r="Z357" s="6">
        <v>0</v>
      </c>
      <c r="AA357" s="5">
        <v>0</v>
      </c>
      <c r="AB357" s="6">
        <v>0</v>
      </c>
      <c r="AC357" s="5">
        <v>0</v>
      </c>
      <c r="AD357" s="6">
        <v>0</v>
      </c>
      <c r="AE357" s="5">
        <v>0</v>
      </c>
      <c r="AF357" s="6">
        <v>0</v>
      </c>
      <c r="AG357" s="5">
        <v>0</v>
      </c>
      <c r="AH357" s="7">
        <f t="shared" si="40"/>
        <v>4946.1783709660667</v>
      </c>
      <c r="AI357" s="8">
        <f t="shared" si="41"/>
        <v>9119.5658332523944</v>
      </c>
      <c r="AJ357" s="6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6">
        <v>0</v>
      </c>
      <c r="AQ357" s="5">
        <v>0</v>
      </c>
      <c r="AR357" s="6">
        <v>0</v>
      </c>
      <c r="AS357" s="5">
        <v>0</v>
      </c>
      <c r="AT357" s="6">
        <v>4200</v>
      </c>
      <c r="AU357" s="5">
        <v>8064.2495995120244</v>
      </c>
      <c r="AV357" s="6">
        <v>1180</v>
      </c>
      <c r="AW357" s="5">
        <v>2275.5101695536359</v>
      </c>
      <c r="AX357" s="6">
        <v>0</v>
      </c>
      <c r="AY357" s="5">
        <v>0</v>
      </c>
      <c r="AZ357" s="6">
        <v>0</v>
      </c>
      <c r="BA357" s="5">
        <v>0</v>
      </c>
      <c r="BB357" s="6">
        <v>0</v>
      </c>
      <c r="BC357" s="5">
        <v>0</v>
      </c>
      <c r="BD357" s="6">
        <v>0</v>
      </c>
      <c r="BE357" s="5">
        <v>0</v>
      </c>
      <c r="BF357" s="6">
        <v>0</v>
      </c>
      <c r="BG357" s="5">
        <v>0</v>
      </c>
      <c r="BH357" s="9">
        <f t="shared" si="42"/>
        <v>5380</v>
      </c>
      <c r="BI357" s="10">
        <f t="shared" si="43"/>
        <v>10339.75976906566</v>
      </c>
      <c r="BJ357" s="6">
        <f t="shared" si="44"/>
        <v>433.82162903393328</v>
      </c>
      <c r="BK357" s="11">
        <f t="shared" si="45"/>
        <v>8.770844811834011E-2</v>
      </c>
      <c r="BL357" s="5">
        <f t="shared" si="46"/>
        <v>1220.1939358132659</v>
      </c>
      <c r="BM357" s="11">
        <f t="shared" si="47"/>
        <v>0.1337995643788337</v>
      </c>
    </row>
    <row r="358" spans="1:65" ht="15" customHeight="1" x14ac:dyDescent="0.4">
      <c r="A358" s="2" t="s">
        <v>269</v>
      </c>
      <c r="B358" s="2" t="s">
        <v>66</v>
      </c>
      <c r="C358" s="2" t="s">
        <v>334</v>
      </c>
      <c r="D358" s="3" t="s">
        <v>134</v>
      </c>
      <c r="E358" s="3" t="s">
        <v>69</v>
      </c>
      <c r="F358" s="2" t="s">
        <v>192</v>
      </c>
      <c r="G358" s="4">
        <v>20</v>
      </c>
      <c r="H358" s="5">
        <v>4.7699999999999996</v>
      </c>
      <c r="I358" s="5">
        <v>4.9721408652179768</v>
      </c>
      <c r="J358" s="6">
        <v>0</v>
      </c>
      <c r="K358" s="5">
        <v>0</v>
      </c>
      <c r="L358" s="6">
        <v>0</v>
      </c>
      <c r="M358" s="5">
        <v>0</v>
      </c>
      <c r="N358" s="6">
        <v>0</v>
      </c>
      <c r="O358" s="5">
        <v>0</v>
      </c>
      <c r="P358" s="6">
        <v>0</v>
      </c>
      <c r="Q358" s="5">
        <v>0</v>
      </c>
      <c r="R358" s="6">
        <v>0</v>
      </c>
      <c r="S358" s="5">
        <v>0</v>
      </c>
      <c r="T358" s="6">
        <v>0</v>
      </c>
      <c r="U358" s="5">
        <v>0</v>
      </c>
      <c r="V358" s="6">
        <v>0</v>
      </c>
      <c r="W358" s="5">
        <v>0</v>
      </c>
      <c r="X358" s="6">
        <v>0</v>
      </c>
      <c r="Y358" s="5">
        <v>0</v>
      </c>
      <c r="Z358" s="6">
        <v>189.59922785967791</v>
      </c>
      <c r="AA358" s="5">
        <v>904.3883168906633</v>
      </c>
      <c r="AB358" s="6">
        <v>0</v>
      </c>
      <c r="AC358" s="5">
        <v>0</v>
      </c>
      <c r="AD358" s="6">
        <v>0</v>
      </c>
      <c r="AE358" s="5">
        <v>0</v>
      </c>
      <c r="AF358" s="6">
        <v>0</v>
      </c>
      <c r="AG358" s="5">
        <v>0</v>
      </c>
      <c r="AH358" s="7">
        <f t="shared" si="40"/>
        <v>189.59922785967791</v>
      </c>
      <c r="AI358" s="8">
        <f t="shared" si="41"/>
        <v>904.3883168906633</v>
      </c>
      <c r="AJ358" s="6">
        <v>0</v>
      </c>
      <c r="AK358" s="5">
        <v>0</v>
      </c>
      <c r="AL358" s="6">
        <v>0</v>
      </c>
      <c r="AM358" s="5">
        <v>0</v>
      </c>
      <c r="AN358" s="6">
        <v>0</v>
      </c>
      <c r="AO358" s="5">
        <v>0</v>
      </c>
      <c r="AP358" s="6">
        <v>0</v>
      </c>
      <c r="AQ358" s="5">
        <v>0</v>
      </c>
      <c r="AR358" s="6">
        <v>0</v>
      </c>
      <c r="AS358" s="5">
        <v>0</v>
      </c>
      <c r="AT358" s="6">
        <v>0</v>
      </c>
      <c r="AU358" s="5">
        <v>0</v>
      </c>
      <c r="AV358" s="6">
        <v>0</v>
      </c>
      <c r="AW358" s="5">
        <v>0</v>
      </c>
      <c r="AX358" s="6">
        <v>0</v>
      </c>
      <c r="AY358" s="5">
        <v>0</v>
      </c>
      <c r="AZ358" s="6">
        <v>220</v>
      </c>
      <c r="BA358" s="5">
        <v>1093.8709903479551</v>
      </c>
      <c r="BB358" s="6">
        <v>0</v>
      </c>
      <c r="BC358" s="5">
        <v>0</v>
      </c>
      <c r="BD358" s="6">
        <v>0</v>
      </c>
      <c r="BE358" s="5">
        <v>0</v>
      </c>
      <c r="BF358" s="6">
        <v>0</v>
      </c>
      <c r="BG358" s="5">
        <v>0</v>
      </c>
      <c r="BH358" s="9">
        <f t="shared" si="42"/>
        <v>220</v>
      </c>
      <c r="BI358" s="10">
        <f t="shared" si="43"/>
        <v>1093.8709903479551</v>
      </c>
      <c r="BJ358" s="6">
        <f t="shared" si="44"/>
        <v>30.40077214032209</v>
      </c>
      <c r="BK358" s="11">
        <f t="shared" si="45"/>
        <v>0.1603422782017955</v>
      </c>
      <c r="BL358" s="5">
        <f t="shared" si="46"/>
        <v>189.48267345729175</v>
      </c>
      <c r="BM358" s="11">
        <f t="shared" si="47"/>
        <v>0.20951472936840182</v>
      </c>
    </row>
    <row r="359" spans="1:65" ht="15" customHeight="1" x14ac:dyDescent="0.4">
      <c r="A359" s="2" t="s">
        <v>269</v>
      </c>
      <c r="B359" s="2" t="s">
        <v>66</v>
      </c>
      <c r="C359" s="2" t="s">
        <v>334</v>
      </c>
      <c r="D359" s="3" t="s">
        <v>134</v>
      </c>
      <c r="E359" s="3" t="s">
        <v>314</v>
      </c>
      <c r="F359" s="2" t="s">
        <v>316</v>
      </c>
      <c r="G359" s="4">
        <v>5</v>
      </c>
      <c r="H359" s="5">
        <v>6.2804255319148936</v>
      </c>
      <c r="I359" s="5">
        <v>6.5465745153443171</v>
      </c>
      <c r="J359" s="6">
        <v>0</v>
      </c>
      <c r="K359" s="5">
        <v>0</v>
      </c>
      <c r="L359" s="6">
        <v>0</v>
      </c>
      <c r="M359" s="5">
        <v>0</v>
      </c>
      <c r="N359" s="6">
        <v>0</v>
      </c>
      <c r="O359" s="5">
        <v>0</v>
      </c>
      <c r="P359" s="6">
        <v>0</v>
      </c>
      <c r="Q359" s="5">
        <v>0</v>
      </c>
      <c r="R359" s="6">
        <v>0</v>
      </c>
      <c r="S359" s="5">
        <v>0</v>
      </c>
      <c r="T359" s="6">
        <v>0</v>
      </c>
      <c r="U359" s="5">
        <v>0</v>
      </c>
      <c r="V359" s="6">
        <v>0</v>
      </c>
      <c r="W359" s="5">
        <v>0</v>
      </c>
      <c r="X359" s="6">
        <v>0</v>
      </c>
      <c r="Y359" s="5">
        <v>0</v>
      </c>
      <c r="Z359" s="6">
        <v>284.39884178951678</v>
      </c>
      <c r="AA359" s="5">
        <v>1786.145747221906</v>
      </c>
      <c r="AB359" s="6">
        <v>0</v>
      </c>
      <c r="AC359" s="5">
        <v>0</v>
      </c>
      <c r="AD359" s="6">
        <v>0</v>
      </c>
      <c r="AE359" s="5">
        <v>0</v>
      </c>
      <c r="AF359" s="6">
        <v>0</v>
      </c>
      <c r="AG359" s="5">
        <v>0</v>
      </c>
      <c r="AH359" s="7">
        <f t="shared" si="40"/>
        <v>284.39884178951678</v>
      </c>
      <c r="AI359" s="8">
        <f t="shared" si="41"/>
        <v>1786.145747221906</v>
      </c>
      <c r="AJ359" s="6">
        <v>0</v>
      </c>
      <c r="AK359" s="5">
        <v>0</v>
      </c>
      <c r="AL359" s="6">
        <v>0</v>
      </c>
      <c r="AM359" s="5">
        <v>0</v>
      </c>
      <c r="AN359" s="6">
        <v>0</v>
      </c>
      <c r="AO359" s="5">
        <v>0</v>
      </c>
      <c r="AP359" s="6">
        <v>0</v>
      </c>
      <c r="AQ359" s="5">
        <v>0</v>
      </c>
      <c r="AR359" s="6">
        <v>0</v>
      </c>
      <c r="AS359" s="5">
        <v>0</v>
      </c>
      <c r="AT359" s="6">
        <v>0</v>
      </c>
      <c r="AU359" s="5">
        <v>0</v>
      </c>
      <c r="AV359" s="6">
        <v>0</v>
      </c>
      <c r="AW359" s="5">
        <v>0</v>
      </c>
      <c r="AX359" s="6">
        <v>0</v>
      </c>
      <c r="AY359" s="5">
        <v>0</v>
      </c>
      <c r="AZ359" s="6">
        <v>300</v>
      </c>
      <c r="BA359" s="5">
        <v>1963.9723546032949</v>
      </c>
      <c r="BB359" s="6">
        <v>0</v>
      </c>
      <c r="BC359" s="5">
        <v>0</v>
      </c>
      <c r="BD359" s="6">
        <v>0</v>
      </c>
      <c r="BE359" s="5">
        <v>0</v>
      </c>
      <c r="BF359" s="6">
        <v>0</v>
      </c>
      <c r="BG359" s="5">
        <v>0</v>
      </c>
      <c r="BH359" s="9">
        <f t="shared" si="42"/>
        <v>300</v>
      </c>
      <c r="BI359" s="10">
        <f t="shared" si="43"/>
        <v>1963.9723546032949</v>
      </c>
      <c r="BJ359" s="6">
        <f t="shared" si="44"/>
        <v>15.60115821048322</v>
      </c>
      <c r="BK359" s="11">
        <f t="shared" si="45"/>
        <v>5.4856616547087129E-2</v>
      </c>
      <c r="BL359" s="5">
        <f t="shared" si="46"/>
        <v>177.82660738138884</v>
      </c>
      <c r="BM359" s="11">
        <f t="shared" si="47"/>
        <v>9.9558844880364705E-2</v>
      </c>
    </row>
    <row r="360" spans="1:65" ht="15" customHeight="1" x14ac:dyDescent="0.4">
      <c r="A360" s="2" t="s">
        <v>269</v>
      </c>
      <c r="B360" s="2" t="s">
        <v>66</v>
      </c>
      <c r="C360" s="2" t="s">
        <v>334</v>
      </c>
      <c r="D360" s="3" t="s">
        <v>134</v>
      </c>
      <c r="E360" s="3" t="s">
        <v>174</v>
      </c>
      <c r="F360" s="2" t="s">
        <v>175</v>
      </c>
      <c r="G360" s="4">
        <v>5</v>
      </c>
      <c r="H360" s="5">
        <v>5.19</v>
      </c>
      <c r="I360" s="5">
        <v>5.4099394319667304</v>
      </c>
      <c r="J360" s="6">
        <v>0</v>
      </c>
      <c r="K360" s="5">
        <v>0</v>
      </c>
      <c r="L360" s="6">
        <v>0</v>
      </c>
      <c r="M360" s="5">
        <v>0</v>
      </c>
      <c r="N360" s="6">
        <v>0</v>
      </c>
      <c r="O360" s="5">
        <v>0</v>
      </c>
      <c r="P360" s="6">
        <v>0</v>
      </c>
      <c r="Q360" s="5">
        <v>0</v>
      </c>
      <c r="R360" s="6">
        <v>118.7082809031856</v>
      </c>
      <c r="S360" s="5">
        <v>616.09597788753319</v>
      </c>
      <c r="T360" s="6">
        <v>0</v>
      </c>
      <c r="U360" s="5">
        <v>0</v>
      </c>
      <c r="V360" s="6">
        <v>0</v>
      </c>
      <c r="W360" s="5">
        <v>0</v>
      </c>
      <c r="X360" s="6">
        <v>0</v>
      </c>
      <c r="Y360" s="5">
        <v>0</v>
      </c>
      <c r="Z360" s="6">
        <v>0</v>
      </c>
      <c r="AA360" s="5">
        <v>0</v>
      </c>
      <c r="AB360" s="6">
        <v>94.799613929838927</v>
      </c>
      <c r="AC360" s="5">
        <v>492.00999629586408</v>
      </c>
      <c r="AD360" s="6">
        <v>0</v>
      </c>
      <c r="AE360" s="5">
        <v>0</v>
      </c>
      <c r="AF360" s="6">
        <v>0</v>
      </c>
      <c r="AG360" s="5">
        <v>0</v>
      </c>
      <c r="AH360" s="7">
        <f t="shared" si="40"/>
        <v>213.50789483302452</v>
      </c>
      <c r="AI360" s="8">
        <f t="shared" si="41"/>
        <v>1108.1059741833974</v>
      </c>
      <c r="AJ360" s="6">
        <v>0</v>
      </c>
      <c r="AK360" s="5">
        <v>0</v>
      </c>
      <c r="AL360" s="6">
        <v>0</v>
      </c>
      <c r="AM360" s="5">
        <v>0</v>
      </c>
      <c r="AN360" s="6">
        <v>0</v>
      </c>
      <c r="AO360" s="5">
        <v>0</v>
      </c>
      <c r="AP360" s="6">
        <v>0</v>
      </c>
      <c r="AQ360" s="5">
        <v>0</v>
      </c>
      <c r="AR360" s="6">
        <v>130</v>
      </c>
      <c r="AS360" s="5">
        <v>703.29212615567485</v>
      </c>
      <c r="AT360" s="6">
        <v>0</v>
      </c>
      <c r="AU360" s="5">
        <v>0</v>
      </c>
      <c r="AV360" s="6">
        <v>0</v>
      </c>
      <c r="AW360" s="5">
        <v>0</v>
      </c>
      <c r="AX360" s="6">
        <v>0</v>
      </c>
      <c r="AY360" s="5">
        <v>0</v>
      </c>
      <c r="AZ360" s="6">
        <v>0</v>
      </c>
      <c r="BA360" s="5">
        <v>0</v>
      </c>
      <c r="BB360" s="6">
        <v>105</v>
      </c>
      <c r="BC360" s="5">
        <v>568.04364035650667</v>
      </c>
      <c r="BD360" s="6">
        <v>0</v>
      </c>
      <c r="BE360" s="5">
        <v>0</v>
      </c>
      <c r="BF360" s="6">
        <v>0</v>
      </c>
      <c r="BG360" s="5">
        <v>0</v>
      </c>
      <c r="BH360" s="9">
        <f t="shared" si="42"/>
        <v>235</v>
      </c>
      <c r="BI360" s="10">
        <f t="shared" si="43"/>
        <v>1271.3357665121816</v>
      </c>
      <c r="BJ360" s="6">
        <f t="shared" si="44"/>
        <v>21.492105166975477</v>
      </c>
      <c r="BK360" s="11">
        <f t="shared" si="45"/>
        <v>0.10066187568278701</v>
      </c>
      <c r="BL360" s="5">
        <f t="shared" si="46"/>
        <v>163.22979232878424</v>
      </c>
      <c r="BM360" s="11">
        <f t="shared" si="47"/>
        <v>0.14730521821170947</v>
      </c>
    </row>
    <row r="361" spans="1:65" ht="15" customHeight="1" x14ac:dyDescent="0.4">
      <c r="A361" s="2" t="s">
        <v>269</v>
      </c>
      <c r="B361" s="2" t="s">
        <v>66</v>
      </c>
      <c r="C361" s="2" t="s">
        <v>334</v>
      </c>
      <c r="D361" s="3" t="s">
        <v>134</v>
      </c>
      <c r="E361" s="3" t="s">
        <v>90</v>
      </c>
      <c r="F361" s="2" t="s">
        <v>91</v>
      </c>
      <c r="G361" s="4">
        <v>20</v>
      </c>
      <c r="H361" s="5">
        <v>3.8085714285714292</v>
      </c>
      <c r="I361" s="5">
        <v>3.969611929578758</v>
      </c>
      <c r="J361" s="6">
        <v>0</v>
      </c>
      <c r="K361" s="5">
        <v>0</v>
      </c>
      <c r="L361" s="6">
        <v>0</v>
      </c>
      <c r="M361" s="5">
        <v>0</v>
      </c>
      <c r="N361" s="6">
        <v>197.84713483864269</v>
      </c>
      <c r="O361" s="5">
        <v>751.81911238684211</v>
      </c>
      <c r="P361" s="6">
        <v>0</v>
      </c>
      <c r="Q361" s="5">
        <v>0</v>
      </c>
      <c r="R361" s="6">
        <v>79.138853935457064</v>
      </c>
      <c r="S361" s="5">
        <v>303.1018105728005</v>
      </c>
      <c r="T361" s="6">
        <v>0</v>
      </c>
      <c r="U361" s="5">
        <v>0</v>
      </c>
      <c r="V361" s="6">
        <v>0</v>
      </c>
      <c r="W361" s="5">
        <v>0</v>
      </c>
      <c r="X361" s="6">
        <v>0</v>
      </c>
      <c r="Y361" s="5">
        <v>0</v>
      </c>
      <c r="Z361" s="6">
        <v>0</v>
      </c>
      <c r="AA361" s="5">
        <v>0</v>
      </c>
      <c r="AB361" s="6">
        <v>0</v>
      </c>
      <c r="AC361" s="5">
        <v>0</v>
      </c>
      <c r="AD361" s="6">
        <v>189.59922785967791</v>
      </c>
      <c r="AE361" s="5">
        <v>722.10220210557316</v>
      </c>
      <c r="AF361" s="6">
        <v>0</v>
      </c>
      <c r="AG361" s="5">
        <v>0</v>
      </c>
      <c r="AH361" s="7">
        <f t="shared" si="40"/>
        <v>466.58521663377763</v>
      </c>
      <c r="AI361" s="8">
        <f t="shared" si="41"/>
        <v>1777.0231250652159</v>
      </c>
      <c r="AJ361" s="6">
        <v>0</v>
      </c>
      <c r="AK361" s="5">
        <v>0</v>
      </c>
      <c r="AL361" s="6">
        <v>0</v>
      </c>
      <c r="AM361" s="5">
        <v>0</v>
      </c>
      <c r="AN361" s="6">
        <v>220</v>
      </c>
      <c r="AO361" s="5">
        <v>871.42762333799351</v>
      </c>
      <c r="AP361" s="6">
        <v>0</v>
      </c>
      <c r="AQ361" s="5">
        <v>0</v>
      </c>
      <c r="AR361" s="6">
        <v>80</v>
      </c>
      <c r="AS361" s="5">
        <v>319.38447821861382</v>
      </c>
      <c r="AT361" s="6">
        <v>0</v>
      </c>
      <c r="AU361" s="5">
        <v>0</v>
      </c>
      <c r="AV361" s="6">
        <v>0</v>
      </c>
      <c r="AW361" s="5">
        <v>0</v>
      </c>
      <c r="AX361" s="6">
        <v>0</v>
      </c>
      <c r="AY361" s="5">
        <v>0</v>
      </c>
      <c r="AZ361" s="6">
        <v>0</v>
      </c>
      <c r="BA361" s="5">
        <v>0</v>
      </c>
      <c r="BB361" s="6">
        <v>0</v>
      </c>
      <c r="BC361" s="5">
        <v>0</v>
      </c>
      <c r="BD361" s="6">
        <v>200</v>
      </c>
      <c r="BE361" s="5">
        <v>793.99386323277201</v>
      </c>
      <c r="BF361" s="6">
        <v>0</v>
      </c>
      <c r="BG361" s="5">
        <v>0</v>
      </c>
      <c r="BH361" s="9">
        <f t="shared" si="42"/>
        <v>500</v>
      </c>
      <c r="BI361" s="10">
        <f t="shared" si="43"/>
        <v>1984.8059647893792</v>
      </c>
      <c r="BJ361" s="6">
        <f t="shared" si="44"/>
        <v>33.414783366222366</v>
      </c>
      <c r="BK361" s="11">
        <f t="shared" si="45"/>
        <v>7.1615606699450149E-2</v>
      </c>
      <c r="BL361" s="5">
        <f t="shared" si="46"/>
        <v>207.7828397241633</v>
      </c>
      <c r="BM361" s="11">
        <f t="shared" si="47"/>
        <v>0.11692748214322633</v>
      </c>
    </row>
    <row r="362" spans="1:65" ht="15" customHeight="1" x14ac:dyDescent="0.4">
      <c r="A362" s="2" t="s">
        <v>269</v>
      </c>
      <c r="B362" s="2" t="s">
        <v>66</v>
      </c>
      <c r="C362" s="2" t="s">
        <v>335</v>
      </c>
      <c r="D362" s="3" t="s">
        <v>134</v>
      </c>
      <c r="E362" s="3" t="s">
        <v>82</v>
      </c>
      <c r="F362" s="2" t="s">
        <v>83</v>
      </c>
      <c r="G362" s="4">
        <v>20</v>
      </c>
      <c r="H362" s="5">
        <v>3.31</v>
      </c>
      <c r="I362" s="5">
        <v>3.450269656996122</v>
      </c>
      <c r="J362" s="6">
        <v>98.92356741932133</v>
      </c>
      <c r="K362" s="5">
        <v>327.43700815795358</v>
      </c>
      <c r="L362" s="6">
        <v>0</v>
      </c>
      <c r="M362" s="5">
        <v>0</v>
      </c>
      <c r="N362" s="6">
        <v>0</v>
      </c>
      <c r="O362" s="5">
        <v>0</v>
      </c>
      <c r="P362" s="6">
        <v>0</v>
      </c>
      <c r="Q362" s="5">
        <v>0</v>
      </c>
      <c r="R362" s="6">
        <v>0</v>
      </c>
      <c r="S362" s="5">
        <v>0</v>
      </c>
      <c r="T362" s="6">
        <v>0</v>
      </c>
      <c r="U362" s="5">
        <v>0</v>
      </c>
      <c r="V362" s="6">
        <v>0</v>
      </c>
      <c r="W362" s="5">
        <v>0</v>
      </c>
      <c r="X362" s="6">
        <v>0</v>
      </c>
      <c r="Y362" s="5">
        <v>0</v>
      </c>
      <c r="Z362" s="6">
        <v>94.799613929838927</v>
      </c>
      <c r="AA362" s="5">
        <v>313.78672210776688</v>
      </c>
      <c r="AB362" s="6">
        <v>94.799613929838927</v>
      </c>
      <c r="AC362" s="5">
        <v>313.78672210776688</v>
      </c>
      <c r="AD362" s="6">
        <v>0</v>
      </c>
      <c r="AE362" s="5">
        <v>0</v>
      </c>
      <c r="AF362" s="6">
        <v>94.799613929838927</v>
      </c>
      <c r="AG362" s="5">
        <v>313.78672210776688</v>
      </c>
      <c r="AH362" s="7">
        <f t="shared" si="40"/>
        <v>383.32240920883811</v>
      </c>
      <c r="AI362" s="8">
        <f t="shared" si="41"/>
        <v>1268.7971744812542</v>
      </c>
      <c r="AJ362" s="6">
        <v>100</v>
      </c>
      <c r="AK362" s="5">
        <v>345.02696569961222</v>
      </c>
      <c r="AL362" s="6">
        <v>0</v>
      </c>
      <c r="AM362" s="5">
        <v>0</v>
      </c>
      <c r="AN362" s="6">
        <v>0</v>
      </c>
      <c r="AO362" s="5">
        <v>0</v>
      </c>
      <c r="AP362" s="6">
        <v>0</v>
      </c>
      <c r="AQ362" s="5">
        <v>0</v>
      </c>
      <c r="AR362" s="6">
        <v>0</v>
      </c>
      <c r="AS362" s="5">
        <v>0</v>
      </c>
      <c r="AT362" s="6">
        <v>0</v>
      </c>
      <c r="AU362" s="5">
        <v>0</v>
      </c>
      <c r="AV362" s="6">
        <v>0</v>
      </c>
      <c r="AW362" s="5">
        <v>0</v>
      </c>
      <c r="AX362" s="6">
        <v>0</v>
      </c>
      <c r="AY362" s="5">
        <v>0</v>
      </c>
      <c r="AZ362" s="6">
        <v>100</v>
      </c>
      <c r="BA362" s="5">
        <v>345.02696569961228</v>
      </c>
      <c r="BB362" s="6">
        <v>100</v>
      </c>
      <c r="BC362" s="5">
        <v>345.02696569961228</v>
      </c>
      <c r="BD362" s="6">
        <v>0</v>
      </c>
      <c r="BE362" s="5">
        <v>0</v>
      </c>
      <c r="BF362" s="6">
        <v>100</v>
      </c>
      <c r="BG362" s="5">
        <v>345.02696569961228</v>
      </c>
      <c r="BH362" s="9">
        <f t="shared" si="42"/>
        <v>400</v>
      </c>
      <c r="BI362" s="10">
        <f t="shared" si="43"/>
        <v>1380.1078627984489</v>
      </c>
      <c r="BJ362" s="6">
        <f t="shared" si="44"/>
        <v>16.67759079116189</v>
      </c>
      <c r="BK362" s="11">
        <f t="shared" si="45"/>
        <v>4.350799846422692E-2</v>
      </c>
      <c r="BL362" s="5">
        <f t="shared" si="46"/>
        <v>111.31068831719472</v>
      </c>
      <c r="BM362" s="11">
        <f t="shared" si="47"/>
        <v>8.772930028213842E-2</v>
      </c>
    </row>
    <row r="363" spans="1:65" ht="15" customHeight="1" x14ac:dyDescent="0.4">
      <c r="A363" s="2" t="s">
        <v>269</v>
      </c>
      <c r="B363" s="2" t="s">
        <v>66</v>
      </c>
      <c r="C363" s="2" t="s">
        <v>335</v>
      </c>
      <c r="D363" s="3" t="s">
        <v>134</v>
      </c>
      <c r="E363" s="3" t="s">
        <v>174</v>
      </c>
      <c r="F363" s="2" t="s">
        <v>175</v>
      </c>
      <c r="G363" s="4">
        <v>5</v>
      </c>
      <c r="H363" s="5">
        <v>5.5378947368421052</v>
      </c>
      <c r="I363" s="5">
        <v>5.7725484326516217</v>
      </c>
      <c r="J363" s="6">
        <v>0</v>
      </c>
      <c r="K363" s="5">
        <v>0</v>
      </c>
      <c r="L363" s="6">
        <v>0</v>
      </c>
      <c r="M363" s="5">
        <v>0</v>
      </c>
      <c r="N363" s="6">
        <v>0</v>
      </c>
      <c r="O363" s="5">
        <v>0</v>
      </c>
      <c r="P363" s="6">
        <v>336.34012922569252</v>
      </c>
      <c r="Q363" s="5">
        <v>1863.3243159103361</v>
      </c>
      <c r="R363" s="6">
        <v>39.569426967728532</v>
      </c>
      <c r="S363" s="5">
        <v>218.42323686186151</v>
      </c>
      <c r="T363" s="6">
        <v>0</v>
      </c>
      <c r="U363" s="5">
        <v>0</v>
      </c>
      <c r="V363" s="6">
        <v>0</v>
      </c>
      <c r="W363" s="5">
        <v>0</v>
      </c>
      <c r="X363" s="6">
        <v>0</v>
      </c>
      <c r="Y363" s="5">
        <v>0</v>
      </c>
      <c r="Z363" s="6">
        <v>284.39884178951678</v>
      </c>
      <c r="AA363" s="5">
        <v>1574.970849110156</v>
      </c>
      <c r="AB363" s="6">
        <v>284.39884178951678</v>
      </c>
      <c r="AC363" s="5">
        <v>1574.970849110156</v>
      </c>
      <c r="AD363" s="6">
        <v>0</v>
      </c>
      <c r="AE363" s="5">
        <v>0</v>
      </c>
      <c r="AF363" s="6">
        <v>284.39884178951678</v>
      </c>
      <c r="AG363" s="5">
        <v>1574.970849110156</v>
      </c>
      <c r="AH363" s="7">
        <f t="shared" si="40"/>
        <v>1229.1060815619715</v>
      </c>
      <c r="AI363" s="8">
        <f t="shared" si="41"/>
        <v>6806.6601001026647</v>
      </c>
      <c r="AJ363" s="6">
        <v>0</v>
      </c>
      <c r="AK363" s="5">
        <v>0</v>
      </c>
      <c r="AL363" s="6">
        <v>0</v>
      </c>
      <c r="AM363" s="5">
        <v>0</v>
      </c>
      <c r="AN363" s="6">
        <v>0</v>
      </c>
      <c r="AO363" s="5">
        <v>0</v>
      </c>
      <c r="AP363" s="6">
        <v>365</v>
      </c>
      <c r="AQ363" s="5">
        <v>2107.7916233872679</v>
      </c>
      <c r="AR363" s="6">
        <v>45</v>
      </c>
      <c r="AS363" s="5">
        <v>258.92658090569091</v>
      </c>
      <c r="AT363" s="6">
        <v>0</v>
      </c>
      <c r="AU363" s="5">
        <v>0</v>
      </c>
      <c r="AV363" s="6">
        <v>0</v>
      </c>
      <c r="AW363" s="5">
        <v>0</v>
      </c>
      <c r="AX363" s="6">
        <v>0</v>
      </c>
      <c r="AY363" s="5">
        <v>0</v>
      </c>
      <c r="AZ363" s="6">
        <v>310</v>
      </c>
      <c r="BA363" s="5">
        <v>1789.498898486738</v>
      </c>
      <c r="BB363" s="6">
        <v>310</v>
      </c>
      <c r="BC363" s="5">
        <v>1789.498898486738</v>
      </c>
      <c r="BD363" s="6">
        <v>0</v>
      </c>
      <c r="BE363" s="5">
        <v>0</v>
      </c>
      <c r="BF363" s="6">
        <v>310</v>
      </c>
      <c r="BG363" s="5">
        <v>1789.498898486738</v>
      </c>
      <c r="BH363" s="9">
        <f t="shared" si="42"/>
        <v>1340</v>
      </c>
      <c r="BI363" s="10">
        <f t="shared" si="43"/>
        <v>7735.2148997531722</v>
      </c>
      <c r="BJ363" s="6">
        <f t="shared" si="44"/>
        <v>110.89391843802855</v>
      </c>
      <c r="BK363" s="11">
        <f t="shared" si="45"/>
        <v>9.0223228166849884E-2</v>
      </c>
      <c r="BL363" s="5">
        <f t="shared" si="46"/>
        <v>928.55479965050745</v>
      </c>
      <c r="BM363" s="11">
        <f t="shared" si="47"/>
        <v>0.13641856446401696</v>
      </c>
    </row>
    <row r="364" spans="1:65" ht="15" customHeight="1" x14ac:dyDescent="0.4">
      <c r="A364" s="2" t="s">
        <v>269</v>
      </c>
      <c r="B364" s="2" t="s">
        <v>66</v>
      </c>
      <c r="C364" s="2" t="s">
        <v>335</v>
      </c>
      <c r="D364" s="3" t="s">
        <v>134</v>
      </c>
      <c r="E364" s="3" t="s">
        <v>136</v>
      </c>
      <c r="F364" s="2" t="s">
        <v>137</v>
      </c>
      <c r="G364" s="4">
        <v>20</v>
      </c>
      <c r="H364" s="5">
        <v>5.2</v>
      </c>
      <c r="I364" s="5">
        <v>5.4203632073655106</v>
      </c>
      <c r="J364" s="6">
        <v>39.569426967728532</v>
      </c>
      <c r="K364" s="5">
        <v>205.76102023218829</v>
      </c>
      <c r="L364" s="6">
        <v>0</v>
      </c>
      <c r="M364" s="5">
        <v>0</v>
      </c>
      <c r="N364" s="6">
        <v>0</v>
      </c>
      <c r="O364" s="5">
        <v>0</v>
      </c>
      <c r="P364" s="6">
        <v>0</v>
      </c>
      <c r="Q364" s="5">
        <v>0</v>
      </c>
      <c r="R364" s="6">
        <v>0</v>
      </c>
      <c r="S364" s="5">
        <v>0</v>
      </c>
      <c r="T364" s="6">
        <v>0</v>
      </c>
      <c r="U364" s="5">
        <v>0</v>
      </c>
      <c r="V364" s="6">
        <v>0</v>
      </c>
      <c r="W364" s="5">
        <v>0</v>
      </c>
      <c r="X364" s="6">
        <v>0</v>
      </c>
      <c r="Y364" s="5">
        <v>0</v>
      </c>
      <c r="Z364" s="6">
        <v>189.59922785967791</v>
      </c>
      <c r="AA364" s="5">
        <v>985.91598487032491</v>
      </c>
      <c r="AB364" s="6">
        <v>189.59922785967791</v>
      </c>
      <c r="AC364" s="5">
        <v>985.91598487032491</v>
      </c>
      <c r="AD364" s="6">
        <v>0</v>
      </c>
      <c r="AE364" s="5">
        <v>0</v>
      </c>
      <c r="AF364" s="6">
        <v>189.59922785967791</v>
      </c>
      <c r="AG364" s="5">
        <v>985.91598487032491</v>
      </c>
      <c r="AH364" s="7">
        <f t="shared" si="40"/>
        <v>608.36711054676221</v>
      </c>
      <c r="AI364" s="8">
        <f t="shared" si="41"/>
        <v>3163.5089748431628</v>
      </c>
      <c r="AJ364" s="6">
        <v>40</v>
      </c>
      <c r="AK364" s="5">
        <v>216.8145282946204</v>
      </c>
      <c r="AL364" s="6">
        <v>0</v>
      </c>
      <c r="AM364" s="5">
        <v>0</v>
      </c>
      <c r="AN364" s="6">
        <v>0</v>
      </c>
      <c r="AO364" s="5">
        <v>0</v>
      </c>
      <c r="AP364" s="6">
        <v>0</v>
      </c>
      <c r="AQ364" s="5">
        <v>0</v>
      </c>
      <c r="AR364" s="6">
        <v>0</v>
      </c>
      <c r="AS364" s="5">
        <v>0</v>
      </c>
      <c r="AT364" s="6">
        <v>0</v>
      </c>
      <c r="AU364" s="5">
        <v>0</v>
      </c>
      <c r="AV364" s="6">
        <v>0</v>
      </c>
      <c r="AW364" s="5">
        <v>0</v>
      </c>
      <c r="AX364" s="6">
        <v>0</v>
      </c>
      <c r="AY364" s="5">
        <v>0</v>
      </c>
      <c r="AZ364" s="6">
        <v>200</v>
      </c>
      <c r="BA364" s="5">
        <v>1084.0726414731021</v>
      </c>
      <c r="BB364" s="6">
        <v>200</v>
      </c>
      <c r="BC364" s="5">
        <v>1084.0726414731021</v>
      </c>
      <c r="BD364" s="6">
        <v>0</v>
      </c>
      <c r="BE364" s="5">
        <v>0</v>
      </c>
      <c r="BF364" s="6">
        <v>200</v>
      </c>
      <c r="BG364" s="5">
        <v>1084.0726414731021</v>
      </c>
      <c r="BH364" s="9">
        <f t="shared" si="42"/>
        <v>640</v>
      </c>
      <c r="BI364" s="10">
        <f t="shared" si="43"/>
        <v>3469.0324527139269</v>
      </c>
      <c r="BJ364" s="6">
        <f t="shared" si="44"/>
        <v>31.632889453237794</v>
      </c>
      <c r="BK364" s="11">
        <f t="shared" si="45"/>
        <v>5.1996383277209277E-2</v>
      </c>
      <c r="BL364" s="5">
        <f t="shared" si="46"/>
        <v>305.52347787076405</v>
      </c>
      <c r="BM364" s="11">
        <f t="shared" si="47"/>
        <v>9.6577401961033149E-2</v>
      </c>
    </row>
    <row r="365" spans="1:65" ht="15" customHeight="1" x14ac:dyDescent="0.4">
      <c r="A365" s="2" t="s">
        <v>269</v>
      </c>
      <c r="B365" s="2" t="s">
        <v>66</v>
      </c>
      <c r="C365" s="2" t="s">
        <v>335</v>
      </c>
      <c r="D365" s="3" t="s">
        <v>134</v>
      </c>
      <c r="E365" s="3" t="s">
        <v>120</v>
      </c>
      <c r="F365" s="2" t="s">
        <v>121</v>
      </c>
      <c r="G365" s="4">
        <v>5</v>
      </c>
      <c r="H365" s="5">
        <v>4.21</v>
      </c>
      <c r="I365" s="5">
        <v>4.3884094428863074</v>
      </c>
      <c r="J365" s="6">
        <v>356.12484270955679</v>
      </c>
      <c r="K365" s="5">
        <v>1499.2855878072339</v>
      </c>
      <c r="L365" s="6">
        <v>0</v>
      </c>
      <c r="M365" s="5">
        <v>0</v>
      </c>
      <c r="N365" s="6">
        <v>0</v>
      </c>
      <c r="O365" s="5">
        <v>0</v>
      </c>
      <c r="P365" s="6">
        <v>0</v>
      </c>
      <c r="Q365" s="5">
        <v>0</v>
      </c>
      <c r="R365" s="6">
        <v>0</v>
      </c>
      <c r="S365" s="5">
        <v>0</v>
      </c>
      <c r="T365" s="6">
        <v>0</v>
      </c>
      <c r="U365" s="5">
        <v>0</v>
      </c>
      <c r="V365" s="6">
        <v>0</v>
      </c>
      <c r="W365" s="5">
        <v>0</v>
      </c>
      <c r="X365" s="6">
        <v>0</v>
      </c>
      <c r="Y365" s="5">
        <v>0</v>
      </c>
      <c r="Z365" s="6">
        <v>189.59922785967791</v>
      </c>
      <c r="AA365" s="5">
        <v>798.21274928924379</v>
      </c>
      <c r="AB365" s="6">
        <v>0</v>
      </c>
      <c r="AC365" s="5">
        <v>0</v>
      </c>
      <c r="AD365" s="6">
        <v>0</v>
      </c>
      <c r="AE365" s="5">
        <v>0</v>
      </c>
      <c r="AF365" s="6">
        <v>189.59922785967791</v>
      </c>
      <c r="AG365" s="5">
        <v>798.21274928924379</v>
      </c>
      <c r="AH365" s="7">
        <f t="shared" si="40"/>
        <v>735.32329842891272</v>
      </c>
      <c r="AI365" s="8">
        <f t="shared" si="41"/>
        <v>3095.7110863857215</v>
      </c>
      <c r="AJ365" s="6">
        <v>380</v>
      </c>
      <c r="AK365" s="5">
        <v>1667.5955882967969</v>
      </c>
      <c r="AL365" s="6">
        <v>0</v>
      </c>
      <c r="AM365" s="5">
        <v>0</v>
      </c>
      <c r="AN365" s="6">
        <v>0</v>
      </c>
      <c r="AO365" s="5">
        <v>0</v>
      </c>
      <c r="AP365" s="6">
        <v>0</v>
      </c>
      <c r="AQ365" s="5">
        <v>0</v>
      </c>
      <c r="AR365" s="6">
        <v>0</v>
      </c>
      <c r="AS365" s="5">
        <v>0</v>
      </c>
      <c r="AT365" s="6">
        <v>0</v>
      </c>
      <c r="AU365" s="5">
        <v>0</v>
      </c>
      <c r="AV365" s="6">
        <v>0</v>
      </c>
      <c r="AW365" s="5">
        <v>0</v>
      </c>
      <c r="AX365" s="6">
        <v>0</v>
      </c>
      <c r="AY365" s="5">
        <v>0</v>
      </c>
      <c r="AZ365" s="6">
        <v>200</v>
      </c>
      <c r="BA365" s="5">
        <v>877.68188857726147</v>
      </c>
      <c r="BB365" s="6">
        <v>0</v>
      </c>
      <c r="BC365" s="5">
        <v>0</v>
      </c>
      <c r="BD365" s="6">
        <v>0</v>
      </c>
      <c r="BE365" s="5">
        <v>0</v>
      </c>
      <c r="BF365" s="6">
        <v>200</v>
      </c>
      <c r="BG365" s="5">
        <v>877.68188857726147</v>
      </c>
      <c r="BH365" s="9">
        <f t="shared" si="42"/>
        <v>780</v>
      </c>
      <c r="BI365" s="10">
        <f t="shared" si="43"/>
        <v>3422.9593654513196</v>
      </c>
      <c r="BJ365" s="6">
        <f t="shared" si="44"/>
        <v>44.676701571087278</v>
      </c>
      <c r="BK365" s="11">
        <f t="shared" si="45"/>
        <v>6.0757902906848252E-2</v>
      </c>
      <c r="BL365" s="5">
        <f t="shared" si="46"/>
        <v>327.24827906559813</v>
      </c>
      <c r="BM365" s="11">
        <f t="shared" si="47"/>
        <v>0.1057102132381689</v>
      </c>
    </row>
    <row r="366" spans="1:65" ht="15" customHeight="1" x14ac:dyDescent="0.4">
      <c r="A366" s="2" t="s">
        <v>269</v>
      </c>
      <c r="B366" s="2" t="s">
        <v>66</v>
      </c>
      <c r="C366" s="2" t="s">
        <v>335</v>
      </c>
      <c r="D366" s="3" t="s">
        <v>134</v>
      </c>
      <c r="E366" s="3" t="s">
        <v>336</v>
      </c>
      <c r="F366" s="2" t="s">
        <v>337</v>
      </c>
      <c r="G366" s="4">
        <v>5</v>
      </c>
      <c r="H366" s="5">
        <v>3.35</v>
      </c>
      <c r="I366" s="5">
        <v>3.4919647585912421</v>
      </c>
      <c r="J366" s="6">
        <v>0</v>
      </c>
      <c r="K366" s="5">
        <v>0</v>
      </c>
      <c r="L366" s="6">
        <v>0</v>
      </c>
      <c r="M366" s="5">
        <v>0</v>
      </c>
      <c r="N366" s="6">
        <v>0</v>
      </c>
      <c r="O366" s="5">
        <v>0</v>
      </c>
      <c r="P366" s="6">
        <v>98.92356741932133</v>
      </c>
      <c r="Q366" s="5">
        <v>331.39395085472643</v>
      </c>
      <c r="R366" s="6">
        <v>0</v>
      </c>
      <c r="S366" s="5">
        <v>0</v>
      </c>
      <c r="T366" s="6">
        <v>0</v>
      </c>
      <c r="U366" s="5">
        <v>0</v>
      </c>
      <c r="V366" s="6">
        <v>0</v>
      </c>
      <c r="W366" s="5">
        <v>0</v>
      </c>
      <c r="X366" s="6">
        <v>0</v>
      </c>
      <c r="Y366" s="5">
        <v>0</v>
      </c>
      <c r="Z366" s="6">
        <v>0</v>
      </c>
      <c r="AA366" s="5">
        <v>0</v>
      </c>
      <c r="AB366" s="6">
        <v>0</v>
      </c>
      <c r="AC366" s="5">
        <v>0</v>
      </c>
      <c r="AD366" s="6">
        <v>0</v>
      </c>
      <c r="AE366" s="5">
        <v>0</v>
      </c>
      <c r="AF366" s="6">
        <v>0</v>
      </c>
      <c r="AG366" s="5">
        <v>0</v>
      </c>
      <c r="AH366" s="7">
        <f t="shared" si="40"/>
        <v>98.92356741932133</v>
      </c>
      <c r="AI366" s="8">
        <f t="shared" si="41"/>
        <v>331.39395085472643</v>
      </c>
      <c r="AJ366" s="6">
        <v>0</v>
      </c>
      <c r="AK366" s="5">
        <v>0</v>
      </c>
      <c r="AL366" s="6">
        <v>0</v>
      </c>
      <c r="AM366" s="5">
        <v>0</v>
      </c>
      <c r="AN366" s="6">
        <v>0</v>
      </c>
      <c r="AO366" s="5">
        <v>0</v>
      </c>
      <c r="AP366" s="6">
        <v>105</v>
      </c>
      <c r="AQ366" s="5">
        <v>366.65629965208041</v>
      </c>
      <c r="AR366" s="6">
        <v>0</v>
      </c>
      <c r="AS366" s="5">
        <v>0</v>
      </c>
      <c r="AT366" s="6">
        <v>0</v>
      </c>
      <c r="AU366" s="5">
        <v>0</v>
      </c>
      <c r="AV366" s="6">
        <v>0</v>
      </c>
      <c r="AW366" s="5">
        <v>0</v>
      </c>
      <c r="AX366" s="6">
        <v>0</v>
      </c>
      <c r="AY366" s="5">
        <v>0</v>
      </c>
      <c r="AZ366" s="6">
        <v>0</v>
      </c>
      <c r="BA366" s="5">
        <v>0</v>
      </c>
      <c r="BB366" s="6">
        <v>0</v>
      </c>
      <c r="BC366" s="5">
        <v>0</v>
      </c>
      <c r="BD366" s="6">
        <v>0</v>
      </c>
      <c r="BE366" s="5">
        <v>0</v>
      </c>
      <c r="BF366" s="6">
        <v>0</v>
      </c>
      <c r="BG366" s="5">
        <v>0</v>
      </c>
      <c r="BH366" s="9">
        <f t="shared" si="42"/>
        <v>105</v>
      </c>
      <c r="BI366" s="10">
        <f t="shared" si="43"/>
        <v>366.65629965208041</v>
      </c>
      <c r="BJ366" s="6">
        <f t="shared" si="44"/>
        <v>6.0764325806786701</v>
      </c>
      <c r="BK366" s="11">
        <f t="shared" si="45"/>
        <v>6.1425530227004803E-2</v>
      </c>
      <c r="BL366" s="5">
        <f t="shared" si="46"/>
        <v>35.26234879735398</v>
      </c>
      <c r="BM366" s="11">
        <f t="shared" si="47"/>
        <v>0.1064061329617087</v>
      </c>
    </row>
    <row r="367" spans="1:65" ht="15" customHeight="1" x14ac:dyDescent="0.4">
      <c r="A367" s="2" t="s">
        <v>269</v>
      </c>
      <c r="B367" s="2" t="s">
        <v>66</v>
      </c>
      <c r="C367" s="2" t="s">
        <v>335</v>
      </c>
      <c r="D367" s="3" t="s">
        <v>134</v>
      </c>
      <c r="E367" s="3" t="s">
        <v>338</v>
      </c>
      <c r="F367" s="2" t="s">
        <v>339</v>
      </c>
      <c r="G367" s="4">
        <v>20</v>
      </c>
      <c r="H367" s="5">
        <v>2.979090909090909</v>
      </c>
      <c r="I367" s="5">
        <v>3.1053374528910451</v>
      </c>
      <c r="J367" s="6">
        <v>98.92356741932133</v>
      </c>
      <c r="K367" s="5">
        <v>289.8460525386115</v>
      </c>
      <c r="L367" s="6">
        <v>0</v>
      </c>
      <c r="M367" s="5">
        <v>0</v>
      </c>
      <c r="N367" s="6">
        <v>0</v>
      </c>
      <c r="O367" s="5">
        <v>0</v>
      </c>
      <c r="P367" s="6">
        <v>118.7082809031856</v>
      </c>
      <c r="Q367" s="5">
        <v>358.49900832762052</v>
      </c>
      <c r="R367" s="6">
        <v>0</v>
      </c>
      <c r="S367" s="5">
        <v>0</v>
      </c>
      <c r="T367" s="6">
        <v>0</v>
      </c>
      <c r="U367" s="5">
        <v>0</v>
      </c>
      <c r="V367" s="6">
        <v>0</v>
      </c>
      <c r="W367" s="5">
        <v>0</v>
      </c>
      <c r="X367" s="6">
        <v>0</v>
      </c>
      <c r="Y367" s="5">
        <v>0</v>
      </c>
      <c r="Z367" s="6">
        <v>0</v>
      </c>
      <c r="AA367" s="5">
        <v>0</v>
      </c>
      <c r="AB367" s="6">
        <v>0</v>
      </c>
      <c r="AC367" s="5">
        <v>0</v>
      </c>
      <c r="AD367" s="6">
        <v>0</v>
      </c>
      <c r="AE367" s="5">
        <v>0</v>
      </c>
      <c r="AF367" s="6">
        <v>0</v>
      </c>
      <c r="AG367" s="5">
        <v>0</v>
      </c>
      <c r="AH367" s="7">
        <f t="shared" si="40"/>
        <v>217.63184832250693</v>
      </c>
      <c r="AI367" s="8">
        <f t="shared" si="41"/>
        <v>648.34506086623196</v>
      </c>
      <c r="AJ367" s="6">
        <v>100</v>
      </c>
      <c r="AK367" s="5">
        <v>305.41661918424887</v>
      </c>
      <c r="AL367" s="6">
        <v>0</v>
      </c>
      <c r="AM367" s="5">
        <v>0</v>
      </c>
      <c r="AN367" s="6">
        <v>0</v>
      </c>
      <c r="AO367" s="5">
        <v>0</v>
      </c>
      <c r="AP367" s="6">
        <v>120</v>
      </c>
      <c r="AQ367" s="5">
        <v>377.75762045178089</v>
      </c>
      <c r="AR367" s="6">
        <v>0</v>
      </c>
      <c r="AS367" s="5">
        <v>0</v>
      </c>
      <c r="AT367" s="6">
        <v>0</v>
      </c>
      <c r="AU367" s="5">
        <v>0</v>
      </c>
      <c r="AV367" s="6">
        <v>0</v>
      </c>
      <c r="AW367" s="5">
        <v>0</v>
      </c>
      <c r="AX367" s="6">
        <v>0</v>
      </c>
      <c r="AY367" s="5">
        <v>0</v>
      </c>
      <c r="AZ367" s="6">
        <v>0</v>
      </c>
      <c r="BA367" s="5">
        <v>0</v>
      </c>
      <c r="BB367" s="6">
        <v>0</v>
      </c>
      <c r="BC367" s="5">
        <v>0</v>
      </c>
      <c r="BD367" s="6">
        <v>0</v>
      </c>
      <c r="BE367" s="5">
        <v>0</v>
      </c>
      <c r="BF367" s="6">
        <v>0</v>
      </c>
      <c r="BG367" s="5">
        <v>0</v>
      </c>
      <c r="BH367" s="9">
        <f t="shared" si="42"/>
        <v>220</v>
      </c>
      <c r="BI367" s="10">
        <f t="shared" si="43"/>
        <v>683.17423963602982</v>
      </c>
      <c r="BJ367" s="6">
        <f t="shared" si="44"/>
        <v>2.3681516774930742</v>
      </c>
      <c r="BK367" s="11">
        <f t="shared" si="45"/>
        <v>1.0881457359052195E-2</v>
      </c>
      <c r="BL367" s="5">
        <f t="shared" si="46"/>
        <v>34.829178769797863</v>
      </c>
      <c r="BM367" s="11">
        <f t="shared" si="47"/>
        <v>5.3720126630198699E-2</v>
      </c>
    </row>
    <row r="368" spans="1:65" ht="15" customHeight="1" x14ac:dyDescent="0.4">
      <c r="A368" s="2" t="s">
        <v>269</v>
      </c>
      <c r="B368" s="2" t="s">
        <v>66</v>
      </c>
      <c r="C368" s="2" t="s">
        <v>340</v>
      </c>
      <c r="D368" s="3" t="s">
        <v>101</v>
      </c>
      <c r="E368" s="3" t="s">
        <v>154</v>
      </c>
      <c r="F368" s="2" t="s">
        <v>155</v>
      </c>
      <c r="G368" s="4">
        <v>20</v>
      </c>
      <c r="H368" s="5">
        <v>3.16</v>
      </c>
      <c r="I368" s="5">
        <v>3.2939130260144251</v>
      </c>
      <c r="J368" s="6">
        <v>0</v>
      </c>
      <c r="K368" s="5">
        <v>0</v>
      </c>
      <c r="L368" s="6">
        <v>0</v>
      </c>
      <c r="M368" s="5">
        <v>0</v>
      </c>
      <c r="N368" s="6">
        <v>633.11083148365651</v>
      </c>
      <c r="O368" s="5">
        <v>2000.630227488354</v>
      </c>
      <c r="P368" s="6">
        <v>2532.443325934626</v>
      </c>
      <c r="Q368" s="5">
        <v>8002.5209099534177</v>
      </c>
      <c r="R368" s="6">
        <v>0</v>
      </c>
      <c r="S368" s="5">
        <v>0</v>
      </c>
      <c r="T368" s="6">
        <v>0</v>
      </c>
      <c r="U368" s="5">
        <v>0</v>
      </c>
      <c r="V368" s="6">
        <v>0</v>
      </c>
      <c r="W368" s="5">
        <v>0</v>
      </c>
      <c r="X368" s="6">
        <v>0</v>
      </c>
      <c r="Y368" s="5">
        <v>0</v>
      </c>
      <c r="Z368" s="6">
        <v>0</v>
      </c>
      <c r="AA368" s="5">
        <v>0</v>
      </c>
      <c r="AB368" s="6">
        <v>0</v>
      </c>
      <c r="AC368" s="5">
        <v>0</v>
      </c>
      <c r="AD368" s="6">
        <v>0</v>
      </c>
      <c r="AE368" s="5">
        <v>0</v>
      </c>
      <c r="AF368" s="6">
        <v>0</v>
      </c>
      <c r="AG368" s="5">
        <v>0</v>
      </c>
      <c r="AH368" s="7">
        <f t="shared" si="40"/>
        <v>3165.5541574182826</v>
      </c>
      <c r="AI368" s="8">
        <f t="shared" si="41"/>
        <v>10003.151137441771</v>
      </c>
      <c r="AJ368" s="6">
        <v>0</v>
      </c>
      <c r="AK368" s="5">
        <v>0</v>
      </c>
      <c r="AL368" s="6">
        <v>0</v>
      </c>
      <c r="AM368" s="5">
        <v>0</v>
      </c>
      <c r="AN368" s="6">
        <v>800</v>
      </c>
      <c r="AO368" s="5">
        <v>2635.1304208115398</v>
      </c>
      <c r="AP368" s="6">
        <v>3200</v>
      </c>
      <c r="AQ368" s="5">
        <v>10540.521683246159</v>
      </c>
      <c r="AR368" s="6">
        <v>0</v>
      </c>
      <c r="AS368" s="5">
        <v>0</v>
      </c>
      <c r="AT368" s="6">
        <v>0</v>
      </c>
      <c r="AU368" s="5">
        <v>0</v>
      </c>
      <c r="AV368" s="6">
        <v>0</v>
      </c>
      <c r="AW368" s="5">
        <v>0</v>
      </c>
      <c r="AX368" s="6">
        <v>0</v>
      </c>
      <c r="AY368" s="5">
        <v>0</v>
      </c>
      <c r="AZ368" s="6">
        <v>0</v>
      </c>
      <c r="BA368" s="5">
        <v>0</v>
      </c>
      <c r="BB368" s="6">
        <v>0</v>
      </c>
      <c r="BC368" s="5">
        <v>0</v>
      </c>
      <c r="BD368" s="6">
        <v>0</v>
      </c>
      <c r="BE368" s="5">
        <v>0</v>
      </c>
      <c r="BF368" s="6">
        <v>0</v>
      </c>
      <c r="BG368" s="5">
        <v>0</v>
      </c>
      <c r="BH368" s="9">
        <f t="shared" si="42"/>
        <v>4000</v>
      </c>
      <c r="BI368" s="10">
        <f t="shared" si="43"/>
        <v>13175.652104057699</v>
      </c>
      <c r="BJ368" s="6">
        <f t="shared" si="44"/>
        <v>834.44584258171744</v>
      </c>
      <c r="BK368" s="11">
        <f t="shared" si="45"/>
        <v>0.26360182169881524</v>
      </c>
      <c r="BL368" s="5">
        <f t="shared" si="46"/>
        <v>3172.5009666159276</v>
      </c>
      <c r="BM368" s="11">
        <f t="shared" si="47"/>
        <v>0.31715015828774834</v>
      </c>
    </row>
    <row r="369" spans="1:65" ht="15" customHeight="1" x14ac:dyDescent="0.4">
      <c r="A369" s="2" t="s">
        <v>269</v>
      </c>
      <c r="B369" s="2" t="s">
        <v>66</v>
      </c>
      <c r="C369" s="2" t="s">
        <v>340</v>
      </c>
      <c r="D369" s="3" t="s">
        <v>101</v>
      </c>
      <c r="E369" s="3" t="s">
        <v>82</v>
      </c>
      <c r="F369" s="2" t="s">
        <v>83</v>
      </c>
      <c r="G369" s="4">
        <v>20</v>
      </c>
      <c r="H369" s="5">
        <v>3.17</v>
      </c>
      <c r="I369" s="5">
        <v>3.3043368014132048</v>
      </c>
      <c r="J369" s="6">
        <v>0</v>
      </c>
      <c r="K369" s="5">
        <v>0</v>
      </c>
      <c r="L369" s="6">
        <v>0</v>
      </c>
      <c r="M369" s="5">
        <v>0</v>
      </c>
      <c r="N369" s="6">
        <v>0</v>
      </c>
      <c r="O369" s="5">
        <v>0</v>
      </c>
      <c r="P369" s="6">
        <v>0</v>
      </c>
      <c r="Q369" s="5">
        <v>0</v>
      </c>
      <c r="R369" s="6">
        <v>0</v>
      </c>
      <c r="S369" s="5">
        <v>0</v>
      </c>
      <c r="T369" s="6">
        <v>1899.3324944509691</v>
      </c>
      <c r="U369" s="5">
        <v>6020.8840074095724</v>
      </c>
      <c r="V369" s="6">
        <v>0</v>
      </c>
      <c r="W369" s="5">
        <v>0</v>
      </c>
      <c r="X369" s="6">
        <v>0</v>
      </c>
      <c r="Y369" s="5">
        <v>0</v>
      </c>
      <c r="Z369" s="6">
        <v>0</v>
      </c>
      <c r="AA369" s="5">
        <v>0</v>
      </c>
      <c r="AB369" s="6">
        <v>0</v>
      </c>
      <c r="AC369" s="5">
        <v>0</v>
      </c>
      <c r="AD369" s="6">
        <v>0</v>
      </c>
      <c r="AE369" s="5">
        <v>0</v>
      </c>
      <c r="AF369" s="6">
        <v>0</v>
      </c>
      <c r="AG369" s="5">
        <v>0</v>
      </c>
      <c r="AH369" s="7">
        <f t="shared" si="40"/>
        <v>1899.3324944509691</v>
      </c>
      <c r="AI369" s="8">
        <f t="shared" si="41"/>
        <v>6020.8840074095724</v>
      </c>
      <c r="AJ369" s="6">
        <v>0</v>
      </c>
      <c r="AK369" s="5">
        <v>0</v>
      </c>
      <c r="AL369" s="6">
        <v>0</v>
      </c>
      <c r="AM369" s="5">
        <v>0</v>
      </c>
      <c r="AN369" s="6">
        <v>0</v>
      </c>
      <c r="AO369" s="5">
        <v>0</v>
      </c>
      <c r="AP369" s="6">
        <v>0</v>
      </c>
      <c r="AQ369" s="5">
        <v>0</v>
      </c>
      <c r="AR369" s="6">
        <v>0</v>
      </c>
      <c r="AS369" s="5">
        <v>0</v>
      </c>
      <c r="AT369" s="6">
        <v>2200</v>
      </c>
      <c r="AU369" s="5">
        <v>7269.5409631090506</v>
      </c>
      <c r="AV369" s="6">
        <v>0</v>
      </c>
      <c r="AW369" s="5">
        <v>0</v>
      </c>
      <c r="AX369" s="6">
        <v>0</v>
      </c>
      <c r="AY369" s="5">
        <v>0</v>
      </c>
      <c r="AZ369" s="6">
        <v>0</v>
      </c>
      <c r="BA369" s="5">
        <v>0</v>
      </c>
      <c r="BB369" s="6">
        <v>0</v>
      </c>
      <c r="BC369" s="5">
        <v>0</v>
      </c>
      <c r="BD369" s="6">
        <v>0</v>
      </c>
      <c r="BE369" s="5">
        <v>0</v>
      </c>
      <c r="BF369" s="6">
        <v>0</v>
      </c>
      <c r="BG369" s="5">
        <v>0</v>
      </c>
      <c r="BH369" s="9">
        <f t="shared" si="42"/>
        <v>2200</v>
      </c>
      <c r="BI369" s="10">
        <f t="shared" si="43"/>
        <v>7269.5409631090506</v>
      </c>
      <c r="BJ369" s="6">
        <f t="shared" si="44"/>
        <v>300.66750554903092</v>
      </c>
      <c r="BK369" s="11">
        <f t="shared" si="45"/>
        <v>0.15830166989058092</v>
      </c>
      <c r="BL369" s="5">
        <f t="shared" si="46"/>
        <v>1248.6569556994782</v>
      </c>
      <c r="BM369" s="11">
        <f t="shared" si="47"/>
        <v>0.20738764509710275</v>
      </c>
    </row>
    <row r="370" spans="1:65" ht="15" customHeight="1" x14ac:dyDescent="0.4">
      <c r="A370" s="2" t="s">
        <v>269</v>
      </c>
      <c r="B370" s="2" t="s">
        <v>66</v>
      </c>
      <c r="C370" s="2" t="s">
        <v>340</v>
      </c>
      <c r="D370" s="3" t="s">
        <v>101</v>
      </c>
      <c r="E370" s="3" t="s">
        <v>314</v>
      </c>
      <c r="F370" s="2" t="s">
        <v>315</v>
      </c>
      <c r="G370" s="4">
        <v>5</v>
      </c>
      <c r="H370" s="5">
        <v>6.6</v>
      </c>
      <c r="I370" s="5">
        <v>6.8796917631946863</v>
      </c>
      <c r="J370" s="6">
        <v>0</v>
      </c>
      <c r="K370" s="5">
        <v>0</v>
      </c>
      <c r="L370" s="6">
        <v>0</v>
      </c>
      <c r="M370" s="5">
        <v>0</v>
      </c>
      <c r="N370" s="6">
        <v>1879.5477809671049</v>
      </c>
      <c r="O370" s="5">
        <v>12405.015354382889</v>
      </c>
      <c r="P370" s="6">
        <v>0</v>
      </c>
      <c r="Q370" s="5">
        <v>0</v>
      </c>
      <c r="R370" s="6">
        <v>0</v>
      </c>
      <c r="S370" s="5">
        <v>0</v>
      </c>
      <c r="T370" s="6">
        <v>0</v>
      </c>
      <c r="U370" s="5">
        <v>0</v>
      </c>
      <c r="V370" s="6">
        <v>0</v>
      </c>
      <c r="W370" s="5">
        <v>0</v>
      </c>
      <c r="X370" s="6">
        <v>0</v>
      </c>
      <c r="Y370" s="5">
        <v>0</v>
      </c>
      <c r="Z370" s="6">
        <v>0</v>
      </c>
      <c r="AA370" s="5">
        <v>0</v>
      </c>
      <c r="AB370" s="6">
        <v>0</v>
      </c>
      <c r="AC370" s="5">
        <v>0</v>
      </c>
      <c r="AD370" s="6">
        <v>0</v>
      </c>
      <c r="AE370" s="5">
        <v>0</v>
      </c>
      <c r="AF370" s="6">
        <v>0</v>
      </c>
      <c r="AG370" s="5">
        <v>0</v>
      </c>
      <c r="AH370" s="7">
        <f t="shared" si="40"/>
        <v>1879.5477809671049</v>
      </c>
      <c r="AI370" s="8">
        <f t="shared" si="41"/>
        <v>12405.015354382889</v>
      </c>
      <c r="AJ370" s="6">
        <v>0</v>
      </c>
      <c r="AK370" s="5">
        <v>0</v>
      </c>
      <c r="AL370" s="6">
        <v>0</v>
      </c>
      <c r="AM370" s="5">
        <v>0</v>
      </c>
      <c r="AN370" s="6">
        <v>2110</v>
      </c>
      <c r="AO370" s="5">
        <v>14516.14962034079</v>
      </c>
      <c r="AP370" s="6">
        <v>0</v>
      </c>
      <c r="AQ370" s="5">
        <v>0</v>
      </c>
      <c r="AR370" s="6">
        <v>0</v>
      </c>
      <c r="AS370" s="5">
        <v>0</v>
      </c>
      <c r="AT370" s="6">
        <v>0</v>
      </c>
      <c r="AU370" s="5">
        <v>0</v>
      </c>
      <c r="AV370" s="6">
        <v>0</v>
      </c>
      <c r="AW370" s="5">
        <v>0</v>
      </c>
      <c r="AX370" s="6">
        <v>0</v>
      </c>
      <c r="AY370" s="5">
        <v>0</v>
      </c>
      <c r="AZ370" s="6">
        <v>0</v>
      </c>
      <c r="BA370" s="5">
        <v>0</v>
      </c>
      <c r="BB370" s="6">
        <v>0</v>
      </c>
      <c r="BC370" s="5">
        <v>0</v>
      </c>
      <c r="BD370" s="6">
        <v>0</v>
      </c>
      <c r="BE370" s="5">
        <v>0</v>
      </c>
      <c r="BF370" s="6">
        <v>0</v>
      </c>
      <c r="BG370" s="5">
        <v>0</v>
      </c>
      <c r="BH370" s="9">
        <f t="shared" si="42"/>
        <v>2110</v>
      </c>
      <c r="BI370" s="10">
        <f t="shared" si="43"/>
        <v>14516.14962034079</v>
      </c>
      <c r="BJ370" s="6">
        <f t="shared" si="44"/>
        <v>230.45221903289507</v>
      </c>
      <c r="BK370" s="11">
        <f t="shared" si="45"/>
        <v>0.12261046054084238</v>
      </c>
      <c r="BL370" s="5">
        <f t="shared" si="46"/>
        <v>2111.1342659579004</v>
      </c>
      <c r="BM370" s="11">
        <f t="shared" si="47"/>
        <v>0.17018393009985297</v>
      </c>
    </row>
    <row r="371" spans="1:65" ht="15" customHeight="1" x14ac:dyDescent="0.4">
      <c r="A371" s="2" t="s">
        <v>269</v>
      </c>
      <c r="B371" s="2" t="s">
        <v>66</v>
      </c>
      <c r="C371" s="2" t="s">
        <v>340</v>
      </c>
      <c r="D371" s="3" t="s">
        <v>101</v>
      </c>
      <c r="E371" s="3" t="s">
        <v>314</v>
      </c>
      <c r="F371" s="2" t="s">
        <v>316</v>
      </c>
      <c r="G371" s="4">
        <v>5</v>
      </c>
      <c r="H371" s="5">
        <v>6.6</v>
      </c>
      <c r="I371" s="5">
        <v>6.8796917631946846</v>
      </c>
      <c r="J371" s="6">
        <v>0</v>
      </c>
      <c r="K371" s="5">
        <v>0</v>
      </c>
      <c r="L371" s="6">
        <v>0</v>
      </c>
      <c r="M371" s="5">
        <v>0</v>
      </c>
      <c r="N371" s="6">
        <v>0</v>
      </c>
      <c r="O371" s="5">
        <v>0</v>
      </c>
      <c r="P371" s="6">
        <v>197.84713483864269</v>
      </c>
      <c r="Q371" s="5">
        <v>1305.791089935042</v>
      </c>
      <c r="R371" s="6">
        <v>0</v>
      </c>
      <c r="S371" s="5">
        <v>0</v>
      </c>
      <c r="T371" s="6">
        <v>0</v>
      </c>
      <c r="U371" s="5">
        <v>0</v>
      </c>
      <c r="V371" s="6">
        <v>0</v>
      </c>
      <c r="W371" s="5">
        <v>0</v>
      </c>
      <c r="X371" s="6">
        <v>0</v>
      </c>
      <c r="Y371" s="5">
        <v>0</v>
      </c>
      <c r="Z371" s="6">
        <v>0</v>
      </c>
      <c r="AA371" s="5">
        <v>0</v>
      </c>
      <c r="AB371" s="6">
        <v>0</v>
      </c>
      <c r="AC371" s="5">
        <v>0</v>
      </c>
      <c r="AD371" s="6">
        <v>0</v>
      </c>
      <c r="AE371" s="5">
        <v>0</v>
      </c>
      <c r="AF371" s="6">
        <v>0</v>
      </c>
      <c r="AG371" s="5">
        <v>0</v>
      </c>
      <c r="AH371" s="7">
        <f t="shared" si="40"/>
        <v>197.84713483864269</v>
      </c>
      <c r="AI371" s="8">
        <f t="shared" si="41"/>
        <v>1305.791089935042</v>
      </c>
      <c r="AJ371" s="6">
        <v>0</v>
      </c>
      <c r="AK371" s="5">
        <v>0</v>
      </c>
      <c r="AL371" s="6">
        <v>0</v>
      </c>
      <c r="AM371" s="5">
        <v>0</v>
      </c>
      <c r="AN371" s="6">
        <v>0</v>
      </c>
      <c r="AO371" s="5">
        <v>0</v>
      </c>
      <c r="AP371" s="6">
        <v>220</v>
      </c>
      <c r="AQ371" s="5">
        <v>1513.5321879028311</v>
      </c>
      <c r="AR371" s="6">
        <v>0</v>
      </c>
      <c r="AS371" s="5">
        <v>0</v>
      </c>
      <c r="AT371" s="6">
        <v>0</v>
      </c>
      <c r="AU371" s="5">
        <v>0</v>
      </c>
      <c r="AV371" s="6">
        <v>0</v>
      </c>
      <c r="AW371" s="5">
        <v>0</v>
      </c>
      <c r="AX371" s="6">
        <v>0</v>
      </c>
      <c r="AY371" s="5">
        <v>0</v>
      </c>
      <c r="AZ371" s="6">
        <v>0</v>
      </c>
      <c r="BA371" s="5">
        <v>0</v>
      </c>
      <c r="BB371" s="6">
        <v>0</v>
      </c>
      <c r="BC371" s="5">
        <v>0</v>
      </c>
      <c r="BD371" s="6">
        <v>0</v>
      </c>
      <c r="BE371" s="5">
        <v>0</v>
      </c>
      <c r="BF371" s="6">
        <v>0</v>
      </c>
      <c r="BG371" s="5">
        <v>0</v>
      </c>
      <c r="BH371" s="9">
        <f t="shared" si="42"/>
        <v>220</v>
      </c>
      <c r="BI371" s="10">
        <f t="shared" si="43"/>
        <v>1513.5321879028311</v>
      </c>
      <c r="BJ371" s="6">
        <f t="shared" si="44"/>
        <v>22.152865161357312</v>
      </c>
      <c r="BK371" s="11">
        <f t="shared" si="45"/>
        <v>0.11196960309495725</v>
      </c>
      <c r="BL371" s="5">
        <f t="shared" si="46"/>
        <v>207.74109796778907</v>
      </c>
      <c r="BM371" s="11">
        <f t="shared" si="47"/>
        <v>0.15909213929321833</v>
      </c>
    </row>
    <row r="372" spans="1:65" ht="15" customHeight="1" x14ac:dyDescent="0.4">
      <c r="A372" s="2" t="s">
        <v>269</v>
      </c>
      <c r="B372" s="2" t="s">
        <v>66</v>
      </c>
      <c r="C372" s="2" t="s">
        <v>340</v>
      </c>
      <c r="D372" s="3" t="s">
        <v>101</v>
      </c>
      <c r="E372" s="3" t="s">
        <v>266</v>
      </c>
      <c r="F372" s="2" t="s">
        <v>267</v>
      </c>
      <c r="G372" s="4">
        <v>20</v>
      </c>
      <c r="H372" s="5">
        <v>2.7</v>
      </c>
      <c r="I372" s="5">
        <v>2.8144193576705532</v>
      </c>
      <c r="J372" s="6">
        <v>0</v>
      </c>
      <c r="K372" s="5">
        <v>0</v>
      </c>
      <c r="L372" s="6">
        <v>0</v>
      </c>
      <c r="M372" s="5">
        <v>0</v>
      </c>
      <c r="N372" s="6">
        <v>0</v>
      </c>
      <c r="O372" s="5">
        <v>0</v>
      </c>
      <c r="P372" s="6">
        <v>138.49299438704989</v>
      </c>
      <c r="Q372" s="5">
        <v>373.9310848450346</v>
      </c>
      <c r="R372" s="6">
        <v>553.97197754819945</v>
      </c>
      <c r="S372" s="5">
        <v>1495.724339380138</v>
      </c>
      <c r="T372" s="6">
        <v>0</v>
      </c>
      <c r="U372" s="5">
        <v>0</v>
      </c>
      <c r="V372" s="6">
        <v>0</v>
      </c>
      <c r="W372" s="5">
        <v>0</v>
      </c>
      <c r="X372" s="6">
        <v>0</v>
      </c>
      <c r="Y372" s="5">
        <v>0</v>
      </c>
      <c r="Z372" s="6">
        <v>0</v>
      </c>
      <c r="AA372" s="5">
        <v>0</v>
      </c>
      <c r="AB372" s="6">
        <v>0</v>
      </c>
      <c r="AC372" s="5">
        <v>0</v>
      </c>
      <c r="AD372" s="6">
        <v>0</v>
      </c>
      <c r="AE372" s="5">
        <v>0</v>
      </c>
      <c r="AF372" s="6">
        <v>0</v>
      </c>
      <c r="AG372" s="5">
        <v>0</v>
      </c>
      <c r="AH372" s="7">
        <f t="shared" si="40"/>
        <v>692.46497193524931</v>
      </c>
      <c r="AI372" s="8">
        <f t="shared" si="41"/>
        <v>1869.6554242251725</v>
      </c>
      <c r="AJ372" s="6">
        <v>0</v>
      </c>
      <c r="AK372" s="5">
        <v>0</v>
      </c>
      <c r="AL372" s="6">
        <v>0</v>
      </c>
      <c r="AM372" s="5">
        <v>0</v>
      </c>
      <c r="AN372" s="6">
        <v>0</v>
      </c>
      <c r="AO372" s="5">
        <v>0</v>
      </c>
      <c r="AP372" s="6">
        <v>160</v>
      </c>
      <c r="AQ372" s="5">
        <v>450.30709722728852</v>
      </c>
      <c r="AR372" s="6">
        <v>640</v>
      </c>
      <c r="AS372" s="5">
        <v>1801.2283889091541</v>
      </c>
      <c r="AT372" s="6">
        <v>0</v>
      </c>
      <c r="AU372" s="5">
        <v>0</v>
      </c>
      <c r="AV372" s="6">
        <v>0</v>
      </c>
      <c r="AW372" s="5">
        <v>0</v>
      </c>
      <c r="AX372" s="6">
        <v>0</v>
      </c>
      <c r="AY372" s="5">
        <v>0</v>
      </c>
      <c r="AZ372" s="6">
        <v>0</v>
      </c>
      <c r="BA372" s="5">
        <v>0</v>
      </c>
      <c r="BB372" s="6">
        <v>0</v>
      </c>
      <c r="BC372" s="5">
        <v>0</v>
      </c>
      <c r="BD372" s="6">
        <v>0</v>
      </c>
      <c r="BE372" s="5">
        <v>0</v>
      </c>
      <c r="BF372" s="6">
        <v>0</v>
      </c>
      <c r="BG372" s="5">
        <v>0</v>
      </c>
      <c r="BH372" s="9">
        <f t="shared" si="42"/>
        <v>800</v>
      </c>
      <c r="BI372" s="10">
        <f t="shared" si="43"/>
        <v>2251.5354861364426</v>
      </c>
      <c r="BJ372" s="6">
        <f t="shared" si="44"/>
        <v>107.53502806475069</v>
      </c>
      <c r="BK372" s="11">
        <f t="shared" si="45"/>
        <v>0.15529309412463108</v>
      </c>
      <c r="BL372" s="5">
        <f t="shared" si="46"/>
        <v>381.8800619112701</v>
      </c>
      <c r="BM372" s="11">
        <f t="shared" si="47"/>
        <v>0.20425157329165605</v>
      </c>
    </row>
    <row r="373" spans="1:65" ht="15" customHeight="1" x14ac:dyDescent="0.4">
      <c r="A373" s="2" t="s">
        <v>269</v>
      </c>
      <c r="B373" s="2" t="s">
        <v>66</v>
      </c>
      <c r="C373" s="2" t="s">
        <v>340</v>
      </c>
      <c r="D373" s="3" t="s">
        <v>101</v>
      </c>
      <c r="E373" s="3" t="s">
        <v>193</v>
      </c>
      <c r="F373" s="2" t="s">
        <v>194</v>
      </c>
      <c r="G373" s="4">
        <v>20</v>
      </c>
      <c r="H373" s="5">
        <v>5.26</v>
      </c>
      <c r="I373" s="5">
        <v>5.4829058597581888</v>
      </c>
      <c r="J373" s="6">
        <v>0</v>
      </c>
      <c r="K373" s="5">
        <v>0</v>
      </c>
      <c r="L373" s="6">
        <v>0</v>
      </c>
      <c r="M373" s="5">
        <v>0</v>
      </c>
      <c r="N373" s="6">
        <v>0</v>
      </c>
      <c r="O373" s="5">
        <v>0</v>
      </c>
      <c r="P373" s="6">
        <v>19.78471348386427</v>
      </c>
      <c r="Q373" s="5">
        <v>104.06759292512599</v>
      </c>
      <c r="R373" s="6">
        <v>0</v>
      </c>
      <c r="S373" s="5">
        <v>0</v>
      </c>
      <c r="T373" s="6">
        <v>0</v>
      </c>
      <c r="U373" s="5">
        <v>0</v>
      </c>
      <c r="V373" s="6">
        <v>0</v>
      </c>
      <c r="W373" s="5">
        <v>0</v>
      </c>
      <c r="X373" s="6">
        <v>0</v>
      </c>
      <c r="Y373" s="5">
        <v>0</v>
      </c>
      <c r="Z373" s="6">
        <v>0</v>
      </c>
      <c r="AA373" s="5">
        <v>0</v>
      </c>
      <c r="AB373" s="6">
        <v>0</v>
      </c>
      <c r="AC373" s="5">
        <v>0</v>
      </c>
      <c r="AD373" s="6">
        <v>0</v>
      </c>
      <c r="AE373" s="5">
        <v>0</v>
      </c>
      <c r="AF373" s="6">
        <v>0</v>
      </c>
      <c r="AG373" s="5">
        <v>0</v>
      </c>
      <c r="AH373" s="7">
        <f t="shared" si="40"/>
        <v>19.78471348386427</v>
      </c>
      <c r="AI373" s="8">
        <f t="shared" si="41"/>
        <v>104.06759292512599</v>
      </c>
      <c r="AJ373" s="6">
        <v>0</v>
      </c>
      <c r="AK373" s="5">
        <v>0</v>
      </c>
      <c r="AL373" s="6">
        <v>0</v>
      </c>
      <c r="AM373" s="5">
        <v>0</v>
      </c>
      <c r="AN373" s="6">
        <v>0</v>
      </c>
      <c r="AO373" s="5">
        <v>0</v>
      </c>
      <c r="AP373" s="6">
        <v>20</v>
      </c>
      <c r="AQ373" s="5">
        <v>109.6581171951638</v>
      </c>
      <c r="AR373" s="6">
        <v>0</v>
      </c>
      <c r="AS373" s="5">
        <v>0</v>
      </c>
      <c r="AT373" s="6">
        <v>0</v>
      </c>
      <c r="AU373" s="5">
        <v>0</v>
      </c>
      <c r="AV373" s="6">
        <v>0</v>
      </c>
      <c r="AW373" s="5">
        <v>0</v>
      </c>
      <c r="AX373" s="6">
        <v>0</v>
      </c>
      <c r="AY373" s="5">
        <v>0</v>
      </c>
      <c r="AZ373" s="6">
        <v>0</v>
      </c>
      <c r="BA373" s="5">
        <v>0</v>
      </c>
      <c r="BB373" s="6">
        <v>0</v>
      </c>
      <c r="BC373" s="5">
        <v>0</v>
      </c>
      <c r="BD373" s="6">
        <v>0</v>
      </c>
      <c r="BE373" s="5">
        <v>0</v>
      </c>
      <c r="BF373" s="6">
        <v>0</v>
      </c>
      <c r="BG373" s="5">
        <v>0</v>
      </c>
      <c r="BH373" s="9">
        <f t="shared" si="42"/>
        <v>20</v>
      </c>
      <c r="BI373" s="10">
        <f t="shared" si="43"/>
        <v>109.6581171951638</v>
      </c>
      <c r="BJ373" s="6">
        <f t="shared" si="44"/>
        <v>0.21528651613573047</v>
      </c>
      <c r="BK373" s="11">
        <f t="shared" si="45"/>
        <v>1.0881457359052014E-2</v>
      </c>
      <c r="BL373" s="5">
        <f t="shared" si="46"/>
        <v>5.5905242700378039</v>
      </c>
      <c r="BM373" s="11">
        <f t="shared" si="47"/>
        <v>5.372012663019933E-2</v>
      </c>
    </row>
    <row r="374" spans="1:65" ht="15" customHeight="1" x14ac:dyDescent="0.4">
      <c r="A374" s="2" t="s">
        <v>269</v>
      </c>
      <c r="B374" s="2" t="s">
        <v>66</v>
      </c>
      <c r="C374" s="2" t="s">
        <v>340</v>
      </c>
      <c r="D374" s="3" t="s">
        <v>101</v>
      </c>
      <c r="E374" s="3" t="s">
        <v>79</v>
      </c>
      <c r="F374" s="2" t="s">
        <v>80</v>
      </c>
      <c r="G374" s="4">
        <v>20</v>
      </c>
      <c r="H374" s="5">
        <v>3.34</v>
      </c>
      <c r="I374" s="5">
        <v>3.481540983192462</v>
      </c>
      <c r="J374" s="6">
        <v>0</v>
      </c>
      <c r="K374" s="5">
        <v>0</v>
      </c>
      <c r="L374" s="6">
        <v>0</v>
      </c>
      <c r="M374" s="5">
        <v>0</v>
      </c>
      <c r="N374" s="6">
        <v>0</v>
      </c>
      <c r="O374" s="5">
        <v>0</v>
      </c>
      <c r="P374" s="6">
        <v>0</v>
      </c>
      <c r="Q374" s="5">
        <v>0</v>
      </c>
      <c r="R374" s="6">
        <v>633.11083148365651</v>
      </c>
      <c r="S374" s="5">
        <v>2114.5901771554131</v>
      </c>
      <c r="T374" s="6">
        <v>0</v>
      </c>
      <c r="U374" s="5">
        <v>0</v>
      </c>
      <c r="V374" s="6">
        <v>0</v>
      </c>
      <c r="W374" s="5">
        <v>0</v>
      </c>
      <c r="X374" s="6">
        <v>0</v>
      </c>
      <c r="Y374" s="5">
        <v>0</v>
      </c>
      <c r="Z374" s="6">
        <v>0</v>
      </c>
      <c r="AA374" s="5">
        <v>0</v>
      </c>
      <c r="AB374" s="6">
        <v>0</v>
      </c>
      <c r="AC374" s="5">
        <v>0</v>
      </c>
      <c r="AD374" s="6">
        <v>0</v>
      </c>
      <c r="AE374" s="5">
        <v>0</v>
      </c>
      <c r="AF374" s="6">
        <v>0</v>
      </c>
      <c r="AG374" s="5">
        <v>0</v>
      </c>
      <c r="AH374" s="7">
        <f t="shared" si="40"/>
        <v>633.11083148365651</v>
      </c>
      <c r="AI374" s="8">
        <f t="shared" si="41"/>
        <v>2114.5901771554131</v>
      </c>
      <c r="AJ374" s="6">
        <v>0</v>
      </c>
      <c r="AK374" s="5">
        <v>0</v>
      </c>
      <c r="AL374" s="6">
        <v>0</v>
      </c>
      <c r="AM374" s="5">
        <v>0</v>
      </c>
      <c r="AN374" s="6">
        <v>0</v>
      </c>
      <c r="AO374" s="5">
        <v>0</v>
      </c>
      <c r="AP374" s="6">
        <v>0</v>
      </c>
      <c r="AQ374" s="5">
        <v>0</v>
      </c>
      <c r="AR374" s="6">
        <v>740</v>
      </c>
      <c r="AS374" s="5">
        <v>2576.3403275624219</v>
      </c>
      <c r="AT374" s="6">
        <v>0</v>
      </c>
      <c r="AU374" s="5">
        <v>0</v>
      </c>
      <c r="AV374" s="6">
        <v>0</v>
      </c>
      <c r="AW374" s="5">
        <v>0</v>
      </c>
      <c r="AX374" s="6">
        <v>0</v>
      </c>
      <c r="AY374" s="5">
        <v>0</v>
      </c>
      <c r="AZ374" s="6">
        <v>0</v>
      </c>
      <c r="BA374" s="5">
        <v>0</v>
      </c>
      <c r="BB374" s="6">
        <v>0</v>
      </c>
      <c r="BC374" s="5">
        <v>0</v>
      </c>
      <c r="BD374" s="6">
        <v>0</v>
      </c>
      <c r="BE374" s="5">
        <v>0</v>
      </c>
      <c r="BF374" s="6">
        <v>0</v>
      </c>
      <c r="BG374" s="5">
        <v>0</v>
      </c>
      <c r="BH374" s="9">
        <f t="shared" si="42"/>
        <v>740</v>
      </c>
      <c r="BI374" s="10">
        <f t="shared" si="43"/>
        <v>2576.3403275624219</v>
      </c>
      <c r="BJ374" s="6">
        <f t="shared" si="44"/>
        <v>106.88916851634349</v>
      </c>
      <c r="BK374" s="11">
        <f t="shared" si="45"/>
        <v>0.16883168507140411</v>
      </c>
      <c r="BL374" s="5">
        <f t="shared" si="46"/>
        <v>461.75015040700873</v>
      </c>
      <c r="BM374" s="11">
        <f t="shared" si="47"/>
        <v>0.21836389641616694</v>
      </c>
    </row>
    <row r="375" spans="1:65" ht="15" customHeight="1" x14ac:dyDescent="0.4">
      <c r="A375" s="2" t="s">
        <v>269</v>
      </c>
      <c r="B375" s="2" t="s">
        <v>66</v>
      </c>
      <c r="C375" s="2" t="s">
        <v>340</v>
      </c>
      <c r="D375" s="3" t="s">
        <v>101</v>
      </c>
      <c r="E375" s="3" t="s">
        <v>131</v>
      </c>
      <c r="F375" s="2" t="s">
        <v>132</v>
      </c>
      <c r="G375" s="4">
        <v>20</v>
      </c>
      <c r="H375" s="5">
        <v>1.93</v>
      </c>
      <c r="I375" s="5">
        <v>2.011788651964507</v>
      </c>
      <c r="J375" s="6">
        <v>0</v>
      </c>
      <c r="K375" s="5">
        <v>0</v>
      </c>
      <c r="L375" s="6">
        <v>0</v>
      </c>
      <c r="M375" s="5">
        <v>0</v>
      </c>
      <c r="N375" s="6">
        <v>0</v>
      </c>
      <c r="O375" s="5">
        <v>0</v>
      </c>
      <c r="P375" s="6">
        <v>0</v>
      </c>
      <c r="Q375" s="5">
        <v>0</v>
      </c>
      <c r="R375" s="6">
        <v>0</v>
      </c>
      <c r="S375" s="5">
        <v>0</v>
      </c>
      <c r="T375" s="6">
        <v>2057.6102023218841</v>
      </c>
      <c r="U375" s="5">
        <v>3971.1876904812352</v>
      </c>
      <c r="V375" s="6">
        <v>0</v>
      </c>
      <c r="W375" s="5">
        <v>0</v>
      </c>
      <c r="X375" s="6">
        <v>0</v>
      </c>
      <c r="Y375" s="5">
        <v>0</v>
      </c>
      <c r="Z375" s="6">
        <v>0</v>
      </c>
      <c r="AA375" s="5">
        <v>0</v>
      </c>
      <c r="AB375" s="6">
        <v>0</v>
      </c>
      <c r="AC375" s="5">
        <v>0</v>
      </c>
      <c r="AD375" s="6">
        <v>0</v>
      </c>
      <c r="AE375" s="5">
        <v>0</v>
      </c>
      <c r="AF375" s="6">
        <v>0</v>
      </c>
      <c r="AG375" s="5">
        <v>0</v>
      </c>
      <c r="AH375" s="7">
        <f t="shared" si="40"/>
        <v>2057.6102023218841</v>
      </c>
      <c r="AI375" s="8">
        <f t="shared" si="41"/>
        <v>3971.1876904812352</v>
      </c>
      <c r="AJ375" s="6">
        <v>0</v>
      </c>
      <c r="AK375" s="5">
        <v>0</v>
      </c>
      <c r="AL375" s="6">
        <v>0</v>
      </c>
      <c r="AM375" s="5">
        <v>0</v>
      </c>
      <c r="AN375" s="6">
        <v>0</v>
      </c>
      <c r="AO375" s="5">
        <v>0</v>
      </c>
      <c r="AP375" s="6">
        <v>0</v>
      </c>
      <c r="AQ375" s="5">
        <v>0</v>
      </c>
      <c r="AR375" s="6">
        <v>0</v>
      </c>
      <c r="AS375" s="5">
        <v>0</v>
      </c>
      <c r="AT375" s="6">
        <v>2340</v>
      </c>
      <c r="AU375" s="5">
        <v>4707.5854455969447</v>
      </c>
      <c r="AV375" s="6">
        <v>0</v>
      </c>
      <c r="AW375" s="5">
        <v>0</v>
      </c>
      <c r="AX375" s="6">
        <v>0</v>
      </c>
      <c r="AY375" s="5">
        <v>0</v>
      </c>
      <c r="AZ375" s="6">
        <v>0</v>
      </c>
      <c r="BA375" s="5">
        <v>0</v>
      </c>
      <c r="BB375" s="6">
        <v>0</v>
      </c>
      <c r="BC375" s="5">
        <v>0</v>
      </c>
      <c r="BD375" s="6">
        <v>0</v>
      </c>
      <c r="BE375" s="5">
        <v>0</v>
      </c>
      <c r="BF375" s="6">
        <v>0</v>
      </c>
      <c r="BG375" s="5">
        <v>0</v>
      </c>
      <c r="BH375" s="9">
        <f t="shared" si="42"/>
        <v>2340</v>
      </c>
      <c r="BI375" s="10">
        <f t="shared" si="43"/>
        <v>4707.5854455969447</v>
      </c>
      <c r="BJ375" s="6">
        <f t="shared" si="44"/>
        <v>282.38979767811588</v>
      </c>
      <c r="BK375" s="11">
        <f t="shared" si="45"/>
        <v>0.13724163952893348</v>
      </c>
      <c r="BL375" s="5">
        <f t="shared" si="46"/>
        <v>736.39775511570951</v>
      </c>
      <c r="BM375" s="11">
        <f t="shared" si="47"/>
        <v>0.18543514245897341</v>
      </c>
    </row>
    <row r="376" spans="1:65" ht="15" customHeight="1" x14ac:dyDescent="0.4">
      <c r="A376" s="2" t="s">
        <v>269</v>
      </c>
      <c r="B376" s="2" t="s">
        <v>66</v>
      </c>
      <c r="C376" s="2" t="s">
        <v>341</v>
      </c>
      <c r="D376" s="3" t="s">
        <v>134</v>
      </c>
      <c r="E376" s="3" t="s">
        <v>342</v>
      </c>
      <c r="F376" s="2" t="s">
        <v>343</v>
      </c>
      <c r="G376" s="4">
        <v>20</v>
      </c>
      <c r="H376" s="5">
        <v>4.16</v>
      </c>
      <c r="I376" s="5">
        <v>4.3362905658924076</v>
      </c>
      <c r="J376" s="6">
        <v>0</v>
      </c>
      <c r="K376" s="5">
        <v>0</v>
      </c>
      <c r="L376" s="6">
        <v>633.11083148365651</v>
      </c>
      <c r="M376" s="5">
        <v>2633.7410589720112</v>
      </c>
      <c r="N376" s="6">
        <v>0</v>
      </c>
      <c r="O376" s="5">
        <v>0</v>
      </c>
      <c r="P376" s="6">
        <v>0</v>
      </c>
      <c r="Q376" s="5">
        <v>0</v>
      </c>
      <c r="R376" s="6">
        <v>0</v>
      </c>
      <c r="S376" s="5">
        <v>0</v>
      </c>
      <c r="T376" s="6">
        <v>0</v>
      </c>
      <c r="U376" s="5">
        <v>0</v>
      </c>
      <c r="V376" s="6">
        <v>0</v>
      </c>
      <c r="W376" s="5">
        <v>0</v>
      </c>
      <c r="X376" s="6">
        <v>0</v>
      </c>
      <c r="Y376" s="5">
        <v>0</v>
      </c>
      <c r="Z376" s="6">
        <v>0</v>
      </c>
      <c r="AA376" s="5">
        <v>0</v>
      </c>
      <c r="AB376" s="6">
        <v>0</v>
      </c>
      <c r="AC376" s="5">
        <v>0</v>
      </c>
      <c r="AD376" s="6">
        <v>0</v>
      </c>
      <c r="AE376" s="5">
        <v>0</v>
      </c>
      <c r="AF376" s="6">
        <v>606.7175291509692</v>
      </c>
      <c r="AG376" s="5">
        <v>2523.944921268032</v>
      </c>
      <c r="AH376" s="7">
        <f t="shared" si="40"/>
        <v>1239.8283606346258</v>
      </c>
      <c r="AI376" s="8">
        <f t="shared" si="41"/>
        <v>5157.6859802400431</v>
      </c>
      <c r="AJ376" s="6">
        <v>0</v>
      </c>
      <c r="AK376" s="5">
        <v>0</v>
      </c>
      <c r="AL376" s="6">
        <v>680</v>
      </c>
      <c r="AM376" s="5">
        <v>2948.6775848068378</v>
      </c>
      <c r="AN376" s="6">
        <v>0</v>
      </c>
      <c r="AO376" s="5">
        <v>0</v>
      </c>
      <c r="AP376" s="6">
        <v>0</v>
      </c>
      <c r="AQ376" s="5">
        <v>0</v>
      </c>
      <c r="AR376" s="6">
        <v>0</v>
      </c>
      <c r="AS376" s="5">
        <v>0</v>
      </c>
      <c r="AT376" s="6">
        <v>0</v>
      </c>
      <c r="AU376" s="5">
        <v>0</v>
      </c>
      <c r="AV376" s="6">
        <v>0</v>
      </c>
      <c r="AW376" s="5">
        <v>0</v>
      </c>
      <c r="AX376" s="6">
        <v>0</v>
      </c>
      <c r="AY376" s="5">
        <v>0</v>
      </c>
      <c r="AZ376" s="6">
        <v>0</v>
      </c>
      <c r="BA376" s="5">
        <v>0</v>
      </c>
      <c r="BB376" s="6">
        <v>0</v>
      </c>
      <c r="BC376" s="5">
        <v>0</v>
      </c>
      <c r="BD376" s="6">
        <v>0</v>
      </c>
      <c r="BE376" s="5">
        <v>0</v>
      </c>
      <c r="BF376" s="6">
        <v>660</v>
      </c>
      <c r="BG376" s="5">
        <v>2861.9517734889901</v>
      </c>
      <c r="BH376" s="9">
        <f t="shared" si="42"/>
        <v>1340</v>
      </c>
      <c r="BI376" s="10">
        <f t="shared" si="43"/>
        <v>5810.6293582958278</v>
      </c>
      <c r="BJ376" s="6">
        <f t="shared" si="44"/>
        <v>100.17163936537418</v>
      </c>
      <c r="BK376" s="11">
        <f t="shared" si="45"/>
        <v>8.0794763651074838E-2</v>
      </c>
      <c r="BL376" s="5">
        <f t="shared" si="46"/>
        <v>652.94337805578471</v>
      </c>
      <c r="BM376" s="11">
        <f t="shared" si="47"/>
        <v>0.12659618684761342</v>
      </c>
    </row>
    <row r="377" spans="1:65" ht="15" customHeight="1" x14ac:dyDescent="0.4">
      <c r="A377" s="2" t="s">
        <v>269</v>
      </c>
      <c r="B377" s="2" t="s">
        <v>66</v>
      </c>
      <c r="C377" s="2" t="s">
        <v>344</v>
      </c>
      <c r="D377" s="3" t="s">
        <v>272</v>
      </c>
      <c r="E377" s="3" t="s">
        <v>69</v>
      </c>
      <c r="F377" s="2" t="s">
        <v>192</v>
      </c>
      <c r="G377" s="4">
        <v>20</v>
      </c>
      <c r="H377" s="5">
        <v>0</v>
      </c>
      <c r="I377" s="5">
        <v>0</v>
      </c>
      <c r="J377" s="6">
        <v>0</v>
      </c>
      <c r="K377" s="5">
        <v>0</v>
      </c>
      <c r="L377" s="6">
        <v>0</v>
      </c>
      <c r="M377" s="5">
        <v>0</v>
      </c>
      <c r="N377" s="6">
        <v>0</v>
      </c>
      <c r="O377" s="5">
        <v>0</v>
      </c>
      <c r="P377" s="6">
        <v>0</v>
      </c>
      <c r="Q377" s="5">
        <v>0</v>
      </c>
      <c r="R377" s="6">
        <v>0</v>
      </c>
      <c r="S377" s="5">
        <v>0</v>
      </c>
      <c r="T377" s="6">
        <v>0</v>
      </c>
      <c r="U377" s="5">
        <v>0</v>
      </c>
      <c r="V377" s="6">
        <v>0</v>
      </c>
      <c r="W377" s="5">
        <v>0</v>
      </c>
      <c r="X377" s="6">
        <v>59.354140451592791</v>
      </c>
      <c r="Y377" s="5">
        <v>0</v>
      </c>
      <c r="Z377" s="6">
        <v>0</v>
      </c>
      <c r="AA377" s="5">
        <v>0</v>
      </c>
      <c r="AB377" s="6">
        <v>0</v>
      </c>
      <c r="AC377" s="5">
        <v>0</v>
      </c>
      <c r="AD377" s="6">
        <v>0</v>
      </c>
      <c r="AE377" s="5">
        <v>0</v>
      </c>
      <c r="AF377" s="6">
        <v>0</v>
      </c>
      <c r="AG377" s="5">
        <v>0</v>
      </c>
      <c r="AH377" s="7">
        <f t="shared" si="40"/>
        <v>59.354140451592791</v>
      </c>
      <c r="AI377" s="8">
        <f t="shared" si="41"/>
        <v>0</v>
      </c>
      <c r="AJ377" s="6">
        <v>0</v>
      </c>
      <c r="AK377" s="5">
        <v>0</v>
      </c>
      <c r="AL377" s="6">
        <v>0</v>
      </c>
      <c r="AM377" s="5">
        <v>0</v>
      </c>
      <c r="AN377" s="6">
        <v>0</v>
      </c>
      <c r="AO377" s="5">
        <v>0</v>
      </c>
      <c r="AP377" s="6">
        <v>0</v>
      </c>
      <c r="AQ377" s="5">
        <v>0</v>
      </c>
      <c r="AR377" s="6">
        <v>0</v>
      </c>
      <c r="AS377" s="5">
        <v>0</v>
      </c>
      <c r="AT377" s="6">
        <v>0</v>
      </c>
      <c r="AU377" s="5">
        <v>0</v>
      </c>
      <c r="AV377" s="6">
        <v>0</v>
      </c>
      <c r="AW377" s="5">
        <v>0</v>
      </c>
      <c r="AX377" s="6">
        <v>80</v>
      </c>
      <c r="AY377" s="5">
        <v>0</v>
      </c>
      <c r="AZ377" s="6">
        <v>0</v>
      </c>
      <c r="BA377" s="5">
        <v>0</v>
      </c>
      <c r="BB377" s="6">
        <v>0</v>
      </c>
      <c r="BC377" s="5">
        <v>0</v>
      </c>
      <c r="BD377" s="6">
        <v>0</v>
      </c>
      <c r="BE377" s="5">
        <v>0</v>
      </c>
      <c r="BF377" s="6">
        <v>0</v>
      </c>
      <c r="BG377" s="5">
        <v>0</v>
      </c>
      <c r="BH377" s="9">
        <f t="shared" si="42"/>
        <v>80</v>
      </c>
      <c r="BI377" s="10">
        <f t="shared" si="43"/>
        <v>0</v>
      </c>
      <c r="BJ377" s="6">
        <f t="shared" si="44"/>
        <v>20.645859548407209</v>
      </c>
      <c r="BK377" s="11">
        <f t="shared" si="45"/>
        <v>0.34784194314540307</v>
      </c>
      <c r="BL377" s="5">
        <f t="shared" si="46"/>
        <v>0</v>
      </c>
      <c r="BM377" s="11">
        <f t="shared" si="47"/>
        <v>0</v>
      </c>
    </row>
    <row r="378" spans="1:65" ht="15" customHeight="1" x14ac:dyDescent="0.4">
      <c r="A378" s="2" t="s">
        <v>269</v>
      </c>
      <c r="B378" s="2" t="s">
        <v>66</v>
      </c>
      <c r="C378" s="2" t="s">
        <v>344</v>
      </c>
      <c r="D378" s="3" t="s">
        <v>272</v>
      </c>
      <c r="E378" s="3" t="s">
        <v>318</v>
      </c>
      <c r="F378" s="2" t="s">
        <v>319</v>
      </c>
      <c r="G378" s="4">
        <v>1000</v>
      </c>
      <c r="H378" s="5">
        <v>3.62</v>
      </c>
      <c r="I378" s="5">
        <v>3.7734066943582971</v>
      </c>
      <c r="J378" s="6">
        <v>0</v>
      </c>
      <c r="K378" s="5">
        <v>0</v>
      </c>
      <c r="L378" s="6">
        <v>0</v>
      </c>
      <c r="M378" s="5">
        <v>0</v>
      </c>
      <c r="N378" s="6">
        <v>0</v>
      </c>
      <c r="O378" s="5">
        <v>0</v>
      </c>
      <c r="P378" s="6">
        <v>0</v>
      </c>
      <c r="Q378" s="5">
        <v>0</v>
      </c>
      <c r="R378" s="6">
        <v>0</v>
      </c>
      <c r="S378" s="5">
        <v>0</v>
      </c>
      <c r="T378" s="6">
        <v>0</v>
      </c>
      <c r="U378" s="5">
        <v>0</v>
      </c>
      <c r="V378" s="6">
        <v>0</v>
      </c>
      <c r="W378" s="5">
        <v>0</v>
      </c>
      <c r="X378" s="6">
        <v>2967.7070225796401</v>
      </c>
      <c r="Y378" s="5">
        <v>10743.099421738299</v>
      </c>
      <c r="Z378" s="6">
        <v>0</v>
      </c>
      <c r="AA378" s="5">
        <v>0</v>
      </c>
      <c r="AB378" s="6">
        <v>0</v>
      </c>
      <c r="AC378" s="5">
        <v>0</v>
      </c>
      <c r="AD378" s="6">
        <v>0</v>
      </c>
      <c r="AE378" s="5">
        <v>0</v>
      </c>
      <c r="AF378" s="6">
        <v>0</v>
      </c>
      <c r="AG378" s="5">
        <v>0</v>
      </c>
      <c r="AH378" s="7">
        <f t="shared" si="40"/>
        <v>2967.7070225796401</v>
      </c>
      <c r="AI378" s="8">
        <f t="shared" si="41"/>
        <v>10743.099421738299</v>
      </c>
      <c r="AJ378" s="6">
        <v>0</v>
      </c>
      <c r="AK378" s="5">
        <v>0</v>
      </c>
      <c r="AL378" s="6">
        <v>0</v>
      </c>
      <c r="AM378" s="5">
        <v>0</v>
      </c>
      <c r="AN378" s="6">
        <v>0</v>
      </c>
      <c r="AO378" s="5">
        <v>0</v>
      </c>
      <c r="AP378" s="6">
        <v>0</v>
      </c>
      <c r="AQ378" s="5">
        <v>0</v>
      </c>
      <c r="AR378" s="6">
        <v>0</v>
      </c>
      <c r="AS378" s="5">
        <v>0</v>
      </c>
      <c r="AT378" s="6">
        <v>0</v>
      </c>
      <c r="AU378" s="5">
        <v>0</v>
      </c>
      <c r="AV378" s="6">
        <v>0</v>
      </c>
      <c r="AW378" s="5">
        <v>0</v>
      </c>
      <c r="AX378" s="6">
        <v>3000</v>
      </c>
      <c r="AY378" s="5">
        <v>11320.22008307489</v>
      </c>
      <c r="AZ378" s="6">
        <v>0</v>
      </c>
      <c r="BA378" s="5">
        <v>0</v>
      </c>
      <c r="BB378" s="6">
        <v>0</v>
      </c>
      <c r="BC378" s="5">
        <v>0</v>
      </c>
      <c r="BD378" s="6">
        <v>0</v>
      </c>
      <c r="BE378" s="5">
        <v>0</v>
      </c>
      <c r="BF378" s="6">
        <v>0</v>
      </c>
      <c r="BG378" s="5">
        <v>0</v>
      </c>
      <c r="BH378" s="9">
        <f t="shared" si="42"/>
        <v>3000</v>
      </c>
      <c r="BI378" s="10">
        <f t="shared" si="43"/>
        <v>11320.22008307489</v>
      </c>
      <c r="BJ378" s="6">
        <f t="shared" si="44"/>
        <v>32.292977420359875</v>
      </c>
      <c r="BK378" s="11">
        <f t="shared" si="45"/>
        <v>1.0881457359052119E-2</v>
      </c>
      <c r="BL378" s="5">
        <f t="shared" si="46"/>
        <v>577.12066133659027</v>
      </c>
      <c r="BM378" s="11">
        <f t="shared" si="47"/>
        <v>5.3720126630198178E-2</v>
      </c>
    </row>
    <row r="379" spans="1:65" ht="15" customHeight="1" x14ac:dyDescent="0.4">
      <c r="A379" s="2" t="s">
        <v>269</v>
      </c>
      <c r="B379" s="2" t="s">
        <v>66</v>
      </c>
      <c r="C379" s="2" t="s">
        <v>344</v>
      </c>
      <c r="D379" s="3" t="s">
        <v>272</v>
      </c>
      <c r="E379" s="3" t="s">
        <v>136</v>
      </c>
      <c r="F379" s="2" t="s">
        <v>137</v>
      </c>
      <c r="G379" s="4">
        <v>20</v>
      </c>
      <c r="H379" s="5">
        <v>5.55</v>
      </c>
      <c r="I379" s="5">
        <v>5.7851953463228032</v>
      </c>
      <c r="J379" s="6">
        <v>0</v>
      </c>
      <c r="K379" s="5">
        <v>0</v>
      </c>
      <c r="L379" s="6">
        <v>0</v>
      </c>
      <c r="M379" s="5">
        <v>0</v>
      </c>
      <c r="N379" s="6">
        <v>0</v>
      </c>
      <c r="O379" s="5">
        <v>0</v>
      </c>
      <c r="P379" s="6">
        <v>0</v>
      </c>
      <c r="Q379" s="5">
        <v>0</v>
      </c>
      <c r="R379" s="6">
        <v>0</v>
      </c>
      <c r="S379" s="5">
        <v>0</v>
      </c>
      <c r="T379" s="6">
        <v>0</v>
      </c>
      <c r="U379" s="5">
        <v>0</v>
      </c>
      <c r="V379" s="6">
        <v>0</v>
      </c>
      <c r="W379" s="5">
        <v>0</v>
      </c>
      <c r="X379" s="6">
        <v>79.138853935457064</v>
      </c>
      <c r="Y379" s="5">
        <v>439.22063934178669</v>
      </c>
      <c r="Z379" s="6">
        <v>0</v>
      </c>
      <c r="AA379" s="5">
        <v>0</v>
      </c>
      <c r="AB379" s="6">
        <v>0</v>
      </c>
      <c r="AC379" s="5">
        <v>0</v>
      </c>
      <c r="AD379" s="6">
        <v>0</v>
      </c>
      <c r="AE379" s="5">
        <v>0</v>
      </c>
      <c r="AF379" s="6">
        <v>0</v>
      </c>
      <c r="AG379" s="5">
        <v>0</v>
      </c>
      <c r="AH379" s="7">
        <f t="shared" si="40"/>
        <v>79.138853935457064</v>
      </c>
      <c r="AI379" s="8">
        <f t="shared" si="41"/>
        <v>439.22063934178669</v>
      </c>
      <c r="AJ379" s="6">
        <v>0</v>
      </c>
      <c r="AK379" s="5">
        <v>0</v>
      </c>
      <c r="AL379" s="6">
        <v>0</v>
      </c>
      <c r="AM379" s="5">
        <v>0</v>
      </c>
      <c r="AN379" s="6">
        <v>0</v>
      </c>
      <c r="AO379" s="5">
        <v>0</v>
      </c>
      <c r="AP379" s="6">
        <v>0</v>
      </c>
      <c r="AQ379" s="5">
        <v>0</v>
      </c>
      <c r="AR379" s="6">
        <v>0</v>
      </c>
      <c r="AS379" s="5">
        <v>0</v>
      </c>
      <c r="AT379" s="6">
        <v>0</v>
      </c>
      <c r="AU379" s="5">
        <v>0</v>
      </c>
      <c r="AV379" s="6">
        <v>0</v>
      </c>
      <c r="AW379" s="5">
        <v>0</v>
      </c>
      <c r="AX379" s="6">
        <v>100</v>
      </c>
      <c r="AY379" s="5">
        <v>578.51953463228028</v>
      </c>
      <c r="AZ379" s="6">
        <v>0</v>
      </c>
      <c r="BA379" s="5">
        <v>0</v>
      </c>
      <c r="BB379" s="6">
        <v>0</v>
      </c>
      <c r="BC379" s="5">
        <v>0</v>
      </c>
      <c r="BD379" s="6">
        <v>0</v>
      </c>
      <c r="BE379" s="5">
        <v>0</v>
      </c>
      <c r="BF379" s="6">
        <v>0</v>
      </c>
      <c r="BG379" s="5">
        <v>0</v>
      </c>
      <c r="BH379" s="9">
        <f t="shared" si="42"/>
        <v>100</v>
      </c>
      <c r="BI379" s="10">
        <f t="shared" si="43"/>
        <v>578.51953463228028</v>
      </c>
      <c r="BJ379" s="6">
        <f t="shared" si="44"/>
        <v>20.861146064542936</v>
      </c>
      <c r="BK379" s="11">
        <f t="shared" si="45"/>
        <v>0.26360182169881524</v>
      </c>
      <c r="BL379" s="5">
        <f t="shared" si="46"/>
        <v>139.29889529049359</v>
      </c>
      <c r="BM379" s="11">
        <f t="shared" si="47"/>
        <v>0.31715015828774812</v>
      </c>
    </row>
    <row r="380" spans="1:65" ht="15" customHeight="1" x14ac:dyDescent="0.4">
      <c r="A380" s="2" t="s">
        <v>269</v>
      </c>
      <c r="B380" s="2" t="s">
        <v>66</v>
      </c>
      <c r="C380" s="2" t="s">
        <v>344</v>
      </c>
      <c r="D380" s="3" t="s">
        <v>272</v>
      </c>
      <c r="E380" s="3" t="s">
        <v>126</v>
      </c>
      <c r="F380" s="2" t="s">
        <v>127</v>
      </c>
      <c r="G380" s="4">
        <v>20</v>
      </c>
      <c r="H380" s="5">
        <v>0</v>
      </c>
      <c r="I380" s="5">
        <v>0</v>
      </c>
      <c r="J380" s="6">
        <v>0</v>
      </c>
      <c r="K380" s="5">
        <v>0</v>
      </c>
      <c r="L380" s="6">
        <v>0</v>
      </c>
      <c r="M380" s="5">
        <v>0</v>
      </c>
      <c r="N380" s="6">
        <v>0</v>
      </c>
      <c r="O380" s="5">
        <v>0</v>
      </c>
      <c r="P380" s="6">
        <v>0</v>
      </c>
      <c r="Q380" s="5">
        <v>0</v>
      </c>
      <c r="R380" s="6">
        <v>0</v>
      </c>
      <c r="S380" s="5">
        <v>0</v>
      </c>
      <c r="T380" s="6">
        <v>0</v>
      </c>
      <c r="U380" s="5">
        <v>0</v>
      </c>
      <c r="V380" s="6">
        <v>0</v>
      </c>
      <c r="W380" s="5">
        <v>0</v>
      </c>
      <c r="X380" s="6">
        <v>59.354140451592791</v>
      </c>
      <c r="Y380" s="5">
        <v>0</v>
      </c>
      <c r="Z380" s="6">
        <v>0</v>
      </c>
      <c r="AA380" s="5">
        <v>0</v>
      </c>
      <c r="AB380" s="6">
        <v>0</v>
      </c>
      <c r="AC380" s="5">
        <v>0</v>
      </c>
      <c r="AD380" s="6">
        <v>0</v>
      </c>
      <c r="AE380" s="5">
        <v>0</v>
      </c>
      <c r="AF380" s="6">
        <v>0</v>
      </c>
      <c r="AG380" s="5">
        <v>0</v>
      </c>
      <c r="AH380" s="7">
        <f t="shared" si="40"/>
        <v>59.354140451592791</v>
      </c>
      <c r="AI380" s="8">
        <f t="shared" si="41"/>
        <v>0</v>
      </c>
      <c r="AJ380" s="6">
        <v>0</v>
      </c>
      <c r="AK380" s="5">
        <v>0</v>
      </c>
      <c r="AL380" s="6">
        <v>0</v>
      </c>
      <c r="AM380" s="5">
        <v>0</v>
      </c>
      <c r="AN380" s="6">
        <v>0</v>
      </c>
      <c r="AO380" s="5">
        <v>0</v>
      </c>
      <c r="AP380" s="6">
        <v>0</v>
      </c>
      <c r="AQ380" s="5">
        <v>0</v>
      </c>
      <c r="AR380" s="6">
        <v>0</v>
      </c>
      <c r="AS380" s="5">
        <v>0</v>
      </c>
      <c r="AT380" s="6">
        <v>0</v>
      </c>
      <c r="AU380" s="5">
        <v>0</v>
      </c>
      <c r="AV380" s="6">
        <v>0</v>
      </c>
      <c r="AW380" s="5">
        <v>0</v>
      </c>
      <c r="AX380" s="6">
        <v>80</v>
      </c>
      <c r="AY380" s="5">
        <v>0</v>
      </c>
      <c r="AZ380" s="6">
        <v>0</v>
      </c>
      <c r="BA380" s="5">
        <v>0</v>
      </c>
      <c r="BB380" s="6">
        <v>0</v>
      </c>
      <c r="BC380" s="5">
        <v>0</v>
      </c>
      <c r="BD380" s="6">
        <v>0</v>
      </c>
      <c r="BE380" s="5">
        <v>0</v>
      </c>
      <c r="BF380" s="6">
        <v>0</v>
      </c>
      <c r="BG380" s="5">
        <v>0</v>
      </c>
      <c r="BH380" s="9">
        <f t="shared" si="42"/>
        <v>80</v>
      </c>
      <c r="BI380" s="10">
        <f t="shared" si="43"/>
        <v>0</v>
      </c>
      <c r="BJ380" s="6">
        <f t="shared" si="44"/>
        <v>20.645859548407209</v>
      </c>
      <c r="BK380" s="11">
        <f t="shared" si="45"/>
        <v>0.34784194314540307</v>
      </c>
      <c r="BL380" s="5">
        <f t="shared" si="46"/>
        <v>0</v>
      </c>
      <c r="BM380" s="11">
        <f t="shared" si="47"/>
        <v>0</v>
      </c>
    </row>
    <row r="381" spans="1:65" ht="15" customHeight="1" x14ac:dyDescent="0.4">
      <c r="A381" s="2" t="s">
        <v>269</v>
      </c>
      <c r="B381" s="2" t="s">
        <v>66</v>
      </c>
      <c r="C381" s="2" t="s">
        <v>344</v>
      </c>
      <c r="D381" s="3" t="s">
        <v>272</v>
      </c>
      <c r="E381" s="3" t="s">
        <v>94</v>
      </c>
      <c r="F381" s="2" t="s">
        <v>95</v>
      </c>
      <c r="G381" s="4">
        <v>20</v>
      </c>
      <c r="H381" s="5">
        <v>3.17</v>
      </c>
      <c r="I381" s="5">
        <v>3.3043368014132048</v>
      </c>
      <c r="J381" s="6">
        <v>0</v>
      </c>
      <c r="K381" s="5">
        <v>0</v>
      </c>
      <c r="L381" s="6">
        <v>0</v>
      </c>
      <c r="M381" s="5">
        <v>0</v>
      </c>
      <c r="N381" s="6">
        <v>0</v>
      </c>
      <c r="O381" s="5">
        <v>0</v>
      </c>
      <c r="P381" s="6">
        <v>0</v>
      </c>
      <c r="Q381" s="5">
        <v>0</v>
      </c>
      <c r="R381" s="6">
        <v>0</v>
      </c>
      <c r="S381" s="5">
        <v>0</v>
      </c>
      <c r="T381" s="6">
        <v>633.11083148365651</v>
      </c>
      <c r="U381" s="5">
        <v>2779.3565502132519</v>
      </c>
      <c r="V381" s="6">
        <v>633.11083148365651</v>
      </c>
      <c r="W381" s="5">
        <v>1234.5661213931301</v>
      </c>
      <c r="X381" s="6">
        <v>0</v>
      </c>
      <c r="Y381" s="5">
        <v>0</v>
      </c>
      <c r="Z381" s="6">
        <v>0</v>
      </c>
      <c r="AA381" s="5">
        <v>0</v>
      </c>
      <c r="AB381" s="6">
        <v>0</v>
      </c>
      <c r="AC381" s="5">
        <v>0</v>
      </c>
      <c r="AD381" s="6">
        <v>0</v>
      </c>
      <c r="AE381" s="5">
        <v>0</v>
      </c>
      <c r="AF381" s="6">
        <v>0</v>
      </c>
      <c r="AG381" s="5">
        <v>0</v>
      </c>
      <c r="AH381" s="7">
        <f t="shared" si="40"/>
        <v>1266.221662967313</v>
      </c>
      <c r="AI381" s="8">
        <f t="shared" si="41"/>
        <v>4013.9226716063822</v>
      </c>
      <c r="AJ381" s="6">
        <v>0</v>
      </c>
      <c r="AK381" s="5">
        <v>0</v>
      </c>
      <c r="AL381" s="6">
        <v>0</v>
      </c>
      <c r="AM381" s="5">
        <v>0</v>
      </c>
      <c r="AN381" s="6">
        <v>0</v>
      </c>
      <c r="AO381" s="5">
        <v>0</v>
      </c>
      <c r="AP381" s="6">
        <v>0</v>
      </c>
      <c r="AQ381" s="5">
        <v>0</v>
      </c>
      <c r="AR381" s="6">
        <v>0</v>
      </c>
      <c r="AS381" s="5">
        <v>0</v>
      </c>
      <c r="AT381" s="6">
        <v>780</v>
      </c>
      <c r="AU381" s="5">
        <v>3569.309172050188</v>
      </c>
      <c r="AV381" s="6">
        <v>780</v>
      </c>
      <c r="AW381" s="5">
        <v>1585.456238154411</v>
      </c>
      <c r="AX381" s="6">
        <v>0</v>
      </c>
      <c r="AY381" s="5">
        <v>0</v>
      </c>
      <c r="AZ381" s="6">
        <v>0</v>
      </c>
      <c r="BA381" s="5">
        <v>0</v>
      </c>
      <c r="BB381" s="6">
        <v>0</v>
      </c>
      <c r="BC381" s="5">
        <v>0</v>
      </c>
      <c r="BD381" s="6">
        <v>0</v>
      </c>
      <c r="BE381" s="5">
        <v>0</v>
      </c>
      <c r="BF381" s="6">
        <v>0</v>
      </c>
      <c r="BG381" s="5">
        <v>0</v>
      </c>
      <c r="BH381" s="9">
        <f t="shared" si="42"/>
        <v>1560</v>
      </c>
      <c r="BI381" s="10">
        <f t="shared" si="43"/>
        <v>5154.765410204599</v>
      </c>
      <c r="BJ381" s="6">
        <f t="shared" si="44"/>
        <v>293.77833703268698</v>
      </c>
      <c r="BK381" s="11">
        <f t="shared" si="45"/>
        <v>0.23201177615634486</v>
      </c>
      <c r="BL381" s="5">
        <f t="shared" si="46"/>
        <v>1140.8427385982168</v>
      </c>
      <c r="BM381" s="11">
        <f t="shared" si="47"/>
        <v>0.28422140433055443</v>
      </c>
    </row>
    <row r="382" spans="1:65" ht="15" customHeight="1" x14ac:dyDescent="0.4">
      <c r="A382" s="2" t="s">
        <v>269</v>
      </c>
      <c r="B382" s="2" t="s">
        <v>66</v>
      </c>
      <c r="C382" s="2" t="s">
        <v>345</v>
      </c>
      <c r="D382" s="3" t="s">
        <v>134</v>
      </c>
      <c r="E382" s="3" t="s">
        <v>82</v>
      </c>
      <c r="F382" s="2" t="s">
        <v>83</v>
      </c>
      <c r="G382" s="4">
        <v>20</v>
      </c>
      <c r="H382" s="5">
        <v>3.4499999999999988</v>
      </c>
      <c r="I382" s="5">
        <v>3.59620251257904</v>
      </c>
      <c r="J382" s="6">
        <v>1266.221662967313</v>
      </c>
      <c r="K382" s="5">
        <v>4368.4647372372292</v>
      </c>
      <c r="L382" s="6">
        <v>0</v>
      </c>
      <c r="M382" s="5">
        <v>0</v>
      </c>
      <c r="N382" s="6">
        <v>0</v>
      </c>
      <c r="O382" s="5">
        <v>0</v>
      </c>
      <c r="P382" s="6">
        <v>633.11083148365651</v>
      </c>
      <c r="Q382" s="5">
        <v>2184.2323686186151</v>
      </c>
      <c r="R382" s="6">
        <v>0</v>
      </c>
      <c r="S382" s="5">
        <v>0</v>
      </c>
      <c r="T382" s="6">
        <v>0</v>
      </c>
      <c r="U382" s="5">
        <v>0</v>
      </c>
      <c r="V382" s="6">
        <v>0</v>
      </c>
      <c r="W382" s="5">
        <v>0</v>
      </c>
      <c r="X382" s="6">
        <v>0</v>
      </c>
      <c r="Y382" s="5">
        <v>0</v>
      </c>
      <c r="Z382" s="6">
        <v>0</v>
      </c>
      <c r="AA382" s="5">
        <v>0</v>
      </c>
      <c r="AB382" s="6">
        <v>0</v>
      </c>
      <c r="AC382" s="5">
        <v>0</v>
      </c>
      <c r="AD382" s="6">
        <v>0</v>
      </c>
      <c r="AE382" s="5">
        <v>0</v>
      </c>
      <c r="AF382" s="6">
        <v>1213.4350583019379</v>
      </c>
      <c r="AG382" s="5">
        <v>4186.3509511416869</v>
      </c>
      <c r="AH382" s="7">
        <f t="shared" si="40"/>
        <v>3112.7675527529072</v>
      </c>
      <c r="AI382" s="8">
        <f t="shared" si="41"/>
        <v>10739.048056997532</v>
      </c>
      <c r="AJ382" s="6">
        <v>1360</v>
      </c>
      <c r="AK382" s="5">
        <v>4890.8354171074934</v>
      </c>
      <c r="AL382" s="6">
        <v>0</v>
      </c>
      <c r="AM382" s="5">
        <v>0</v>
      </c>
      <c r="AN382" s="6">
        <v>0</v>
      </c>
      <c r="AO382" s="5">
        <v>0</v>
      </c>
      <c r="AP382" s="6">
        <v>680</v>
      </c>
      <c r="AQ382" s="5">
        <v>2445.4177085537472</v>
      </c>
      <c r="AR382" s="6">
        <v>0</v>
      </c>
      <c r="AS382" s="5">
        <v>0</v>
      </c>
      <c r="AT382" s="6">
        <v>0</v>
      </c>
      <c r="AU382" s="5">
        <v>0</v>
      </c>
      <c r="AV382" s="6">
        <v>0</v>
      </c>
      <c r="AW382" s="5">
        <v>0</v>
      </c>
      <c r="AX382" s="6">
        <v>0</v>
      </c>
      <c r="AY382" s="5">
        <v>0</v>
      </c>
      <c r="AZ382" s="6">
        <v>0</v>
      </c>
      <c r="BA382" s="5">
        <v>0</v>
      </c>
      <c r="BB382" s="6">
        <v>0</v>
      </c>
      <c r="BC382" s="5">
        <v>0</v>
      </c>
      <c r="BD382" s="6">
        <v>0</v>
      </c>
      <c r="BE382" s="5">
        <v>0</v>
      </c>
      <c r="BF382" s="6">
        <v>1320</v>
      </c>
      <c r="BG382" s="5">
        <v>4746.9873166043326</v>
      </c>
      <c r="BH382" s="9">
        <f t="shared" si="42"/>
        <v>3360</v>
      </c>
      <c r="BI382" s="10">
        <f t="shared" si="43"/>
        <v>12083.240442265573</v>
      </c>
      <c r="BJ382" s="6">
        <f t="shared" si="44"/>
        <v>247.23244724709275</v>
      </c>
      <c r="BK382" s="11">
        <f t="shared" si="45"/>
        <v>7.9425284110418812E-2</v>
      </c>
      <c r="BL382" s="5">
        <f t="shared" si="46"/>
        <v>1344.1923852680411</v>
      </c>
      <c r="BM382" s="11">
        <f t="shared" si="47"/>
        <v>0.12516867213311048</v>
      </c>
    </row>
    <row r="383" spans="1:65" ht="15" customHeight="1" x14ac:dyDescent="0.4">
      <c r="A383" s="2" t="s">
        <v>269</v>
      </c>
      <c r="B383" s="2" t="s">
        <v>66</v>
      </c>
      <c r="C383" s="2" t="s">
        <v>345</v>
      </c>
      <c r="D383" s="3" t="s">
        <v>134</v>
      </c>
      <c r="E383" s="3" t="s">
        <v>136</v>
      </c>
      <c r="F383" s="2" t="s">
        <v>137</v>
      </c>
      <c r="G383" s="4">
        <v>20</v>
      </c>
      <c r="H383" s="5">
        <v>5.2899999999999991</v>
      </c>
      <c r="I383" s="5">
        <v>5.5141771859545274</v>
      </c>
      <c r="J383" s="6">
        <v>0</v>
      </c>
      <c r="K383" s="5">
        <v>0</v>
      </c>
      <c r="L383" s="6">
        <v>633.11083148365651</v>
      </c>
      <c r="M383" s="5">
        <v>3349.156298548543</v>
      </c>
      <c r="N383" s="6">
        <v>0</v>
      </c>
      <c r="O383" s="5">
        <v>0</v>
      </c>
      <c r="P383" s="6">
        <v>0</v>
      </c>
      <c r="Q383" s="5">
        <v>0</v>
      </c>
      <c r="R383" s="6">
        <v>0</v>
      </c>
      <c r="S383" s="5">
        <v>0</v>
      </c>
      <c r="T383" s="6">
        <v>0</v>
      </c>
      <c r="U383" s="5">
        <v>0</v>
      </c>
      <c r="V383" s="6">
        <v>0</v>
      </c>
      <c r="W383" s="5">
        <v>0</v>
      </c>
      <c r="X383" s="6">
        <v>0</v>
      </c>
      <c r="Y383" s="5">
        <v>0</v>
      </c>
      <c r="Z383" s="6">
        <v>0</v>
      </c>
      <c r="AA383" s="5">
        <v>0</v>
      </c>
      <c r="AB383" s="6">
        <v>0</v>
      </c>
      <c r="AC383" s="5">
        <v>0</v>
      </c>
      <c r="AD383" s="6">
        <v>0</v>
      </c>
      <c r="AE383" s="5">
        <v>0</v>
      </c>
      <c r="AF383" s="6">
        <v>0</v>
      </c>
      <c r="AG383" s="5">
        <v>0</v>
      </c>
      <c r="AH383" s="7">
        <f t="shared" si="40"/>
        <v>633.11083148365651</v>
      </c>
      <c r="AI383" s="8">
        <f t="shared" si="41"/>
        <v>3349.156298548543</v>
      </c>
      <c r="AJ383" s="6">
        <v>0</v>
      </c>
      <c r="AK383" s="5">
        <v>0</v>
      </c>
      <c r="AL383" s="6">
        <v>680</v>
      </c>
      <c r="AM383" s="5">
        <v>3749.6404864490792</v>
      </c>
      <c r="AN383" s="6">
        <v>0</v>
      </c>
      <c r="AO383" s="5">
        <v>0</v>
      </c>
      <c r="AP383" s="6">
        <v>0</v>
      </c>
      <c r="AQ383" s="5">
        <v>0</v>
      </c>
      <c r="AR383" s="6">
        <v>0</v>
      </c>
      <c r="AS383" s="5">
        <v>0</v>
      </c>
      <c r="AT383" s="6">
        <v>0</v>
      </c>
      <c r="AU383" s="5">
        <v>0</v>
      </c>
      <c r="AV383" s="6">
        <v>0</v>
      </c>
      <c r="AW383" s="5">
        <v>0</v>
      </c>
      <c r="AX383" s="6">
        <v>0</v>
      </c>
      <c r="AY383" s="5">
        <v>0</v>
      </c>
      <c r="AZ383" s="6">
        <v>0</v>
      </c>
      <c r="BA383" s="5">
        <v>0</v>
      </c>
      <c r="BB383" s="6">
        <v>0</v>
      </c>
      <c r="BC383" s="5">
        <v>0</v>
      </c>
      <c r="BD383" s="6">
        <v>0</v>
      </c>
      <c r="BE383" s="5">
        <v>0</v>
      </c>
      <c r="BF383" s="6">
        <v>0</v>
      </c>
      <c r="BG383" s="5">
        <v>0</v>
      </c>
      <c r="BH383" s="9">
        <f t="shared" si="42"/>
        <v>680</v>
      </c>
      <c r="BI383" s="10">
        <f t="shared" si="43"/>
        <v>3749.6404864490792</v>
      </c>
      <c r="BJ383" s="6">
        <f t="shared" si="44"/>
        <v>46.889168516343489</v>
      </c>
      <c r="BK383" s="11">
        <f t="shared" si="45"/>
        <v>7.4061548443992958E-2</v>
      </c>
      <c r="BL383" s="5">
        <f t="shared" si="46"/>
        <v>400.4841879005362</v>
      </c>
      <c r="BM383" s="11">
        <f t="shared" si="47"/>
        <v>0.11957763454458605</v>
      </c>
    </row>
    <row r="384" spans="1:65" ht="15" customHeight="1" x14ac:dyDescent="0.4">
      <c r="A384" s="2" t="s">
        <v>269</v>
      </c>
      <c r="B384" s="2" t="s">
        <v>66</v>
      </c>
      <c r="C384" s="2" t="s">
        <v>346</v>
      </c>
      <c r="D384" s="3" t="s">
        <v>272</v>
      </c>
      <c r="E384" s="3" t="s">
        <v>102</v>
      </c>
      <c r="F384" s="2" t="s">
        <v>103</v>
      </c>
      <c r="G384" s="4">
        <v>5</v>
      </c>
      <c r="H384" s="5">
        <v>5.32</v>
      </c>
      <c r="I384" s="5">
        <v>5.5454485121508679</v>
      </c>
      <c r="J384" s="6">
        <v>0</v>
      </c>
      <c r="K384" s="5">
        <v>0</v>
      </c>
      <c r="L384" s="6">
        <v>0</v>
      </c>
      <c r="M384" s="5">
        <v>0</v>
      </c>
      <c r="N384" s="6">
        <v>0</v>
      </c>
      <c r="O384" s="5">
        <v>0</v>
      </c>
      <c r="P384" s="6">
        <v>0</v>
      </c>
      <c r="Q384" s="5">
        <v>0</v>
      </c>
      <c r="R384" s="6">
        <v>0</v>
      </c>
      <c r="S384" s="5">
        <v>0</v>
      </c>
      <c r="T384" s="6">
        <v>0</v>
      </c>
      <c r="U384" s="5">
        <v>0</v>
      </c>
      <c r="V384" s="6">
        <v>0</v>
      </c>
      <c r="W384" s="5">
        <v>0</v>
      </c>
      <c r="X384" s="6">
        <v>0</v>
      </c>
      <c r="Y384" s="5">
        <v>0</v>
      </c>
      <c r="Z384" s="6">
        <v>0</v>
      </c>
      <c r="AA384" s="5">
        <v>0</v>
      </c>
      <c r="AB384" s="6">
        <v>0</v>
      </c>
      <c r="AC384" s="5">
        <v>0</v>
      </c>
      <c r="AD384" s="6">
        <v>0</v>
      </c>
      <c r="AE384" s="5">
        <v>0</v>
      </c>
      <c r="AF384" s="6">
        <v>23.699903482459732</v>
      </c>
      <c r="AG384" s="5">
        <v>126.0834865266858</v>
      </c>
      <c r="AH384" s="7">
        <f t="shared" si="40"/>
        <v>23.699903482459732</v>
      </c>
      <c r="AI384" s="8">
        <f t="shared" si="41"/>
        <v>126.0834865266858</v>
      </c>
      <c r="AJ384" s="6">
        <v>0</v>
      </c>
      <c r="AK384" s="5">
        <v>0</v>
      </c>
      <c r="AL384" s="6">
        <v>0</v>
      </c>
      <c r="AM384" s="5">
        <v>0</v>
      </c>
      <c r="AN384" s="6">
        <v>0</v>
      </c>
      <c r="AO384" s="5">
        <v>0</v>
      </c>
      <c r="AP384" s="6">
        <v>0</v>
      </c>
      <c r="AQ384" s="5">
        <v>0</v>
      </c>
      <c r="AR384" s="6">
        <v>0</v>
      </c>
      <c r="AS384" s="5">
        <v>0</v>
      </c>
      <c r="AT384" s="6">
        <v>0</v>
      </c>
      <c r="AU384" s="5">
        <v>0</v>
      </c>
      <c r="AV384" s="6">
        <v>0</v>
      </c>
      <c r="AW384" s="5">
        <v>0</v>
      </c>
      <c r="AX384" s="6">
        <v>0</v>
      </c>
      <c r="AY384" s="5">
        <v>0</v>
      </c>
      <c r="AZ384" s="6">
        <v>0</v>
      </c>
      <c r="BA384" s="5">
        <v>0</v>
      </c>
      <c r="BB384" s="6">
        <v>0</v>
      </c>
      <c r="BC384" s="5">
        <v>0</v>
      </c>
      <c r="BD384" s="6">
        <v>0</v>
      </c>
      <c r="BE384" s="5">
        <v>0</v>
      </c>
      <c r="BF384" s="6">
        <v>35</v>
      </c>
      <c r="BG384" s="5">
        <v>194.09069792528041</v>
      </c>
      <c r="BH384" s="9">
        <f t="shared" si="42"/>
        <v>35</v>
      </c>
      <c r="BI384" s="10">
        <f t="shared" si="43"/>
        <v>194.09069792528041</v>
      </c>
      <c r="BJ384" s="6">
        <f t="shared" si="44"/>
        <v>11.300096517540268</v>
      </c>
      <c r="BK384" s="11">
        <f t="shared" si="45"/>
        <v>0.47679926316592197</v>
      </c>
      <c r="BL384" s="5">
        <f t="shared" si="46"/>
        <v>68.007211398594606</v>
      </c>
      <c r="BM384" s="11">
        <f t="shared" si="47"/>
        <v>0.53938238283251116</v>
      </c>
    </row>
    <row r="385" spans="1:65" ht="15" customHeight="1" x14ac:dyDescent="0.4">
      <c r="A385" s="2" t="s">
        <v>269</v>
      </c>
      <c r="B385" s="2" t="s">
        <v>66</v>
      </c>
      <c r="C385" s="2" t="s">
        <v>346</v>
      </c>
      <c r="D385" s="3" t="s">
        <v>272</v>
      </c>
      <c r="E385" s="3" t="s">
        <v>82</v>
      </c>
      <c r="F385" s="2" t="s">
        <v>83</v>
      </c>
      <c r="G385" s="4">
        <v>20</v>
      </c>
      <c r="H385" s="5">
        <v>3.4499999999999988</v>
      </c>
      <c r="I385" s="5">
        <v>3.59620251257904</v>
      </c>
      <c r="J385" s="6">
        <v>633.11083148365651</v>
      </c>
      <c r="K385" s="5">
        <v>2184.2323686186151</v>
      </c>
      <c r="L385" s="6">
        <v>633.11083148365651</v>
      </c>
      <c r="M385" s="5">
        <v>2184.2323686186151</v>
      </c>
      <c r="N385" s="6">
        <v>633.11083148365651</v>
      </c>
      <c r="O385" s="5">
        <v>2184.2323686186151</v>
      </c>
      <c r="P385" s="6">
        <v>633.11083148365651</v>
      </c>
      <c r="Q385" s="5">
        <v>2184.2323686186151</v>
      </c>
      <c r="R385" s="6">
        <v>633.11083148365651</v>
      </c>
      <c r="S385" s="5">
        <v>2184.2323686186151</v>
      </c>
      <c r="T385" s="6">
        <v>0</v>
      </c>
      <c r="U385" s="5">
        <v>0</v>
      </c>
      <c r="V385" s="6">
        <v>0</v>
      </c>
      <c r="W385" s="5">
        <v>0</v>
      </c>
      <c r="X385" s="6">
        <v>0</v>
      </c>
      <c r="Y385" s="5">
        <v>0</v>
      </c>
      <c r="Z385" s="6">
        <v>606.7175291509692</v>
      </c>
      <c r="AA385" s="5">
        <v>2093.175475570843</v>
      </c>
      <c r="AB385" s="6">
        <v>1820.152587452907</v>
      </c>
      <c r="AC385" s="5">
        <v>6279.5264267125312</v>
      </c>
      <c r="AD385" s="6">
        <v>0</v>
      </c>
      <c r="AE385" s="5">
        <v>0</v>
      </c>
      <c r="AF385" s="6">
        <v>0</v>
      </c>
      <c r="AG385" s="5">
        <v>0</v>
      </c>
      <c r="AH385" s="7">
        <f t="shared" si="40"/>
        <v>5592.4242740221589</v>
      </c>
      <c r="AI385" s="8">
        <f t="shared" si="41"/>
        <v>19293.86374537645</v>
      </c>
      <c r="AJ385" s="6">
        <v>800</v>
      </c>
      <c r="AK385" s="5">
        <v>2876.9620100632319</v>
      </c>
      <c r="AL385" s="6">
        <v>800</v>
      </c>
      <c r="AM385" s="5">
        <v>2876.9620100632319</v>
      </c>
      <c r="AN385" s="6">
        <v>800</v>
      </c>
      <c r="AO385" s="5">
        <v>2876.9620100632319</v>
      </c>
      <c r="AP385" s="6">
        <v>800</v>
      </c>
      <c r="AQ385" s="5">
        <v>2876.9620100632319</v>
      </c>
      <c r="AR385" s="6">
        <v>800</v>
      </c>
      <c r="AS385" s="5">
        <v>2876.9620100632319</v>
      </c>
      <c r="AT385" s="6">
        <v>0</v>
      </c>
      <c r="AU385" s="5">
        <v>0</v>
      </c>
      <c r="AV385" s="6">
        <v>0</v>
      </c>
      <c r="AW385" s="5">
        <v>0</v>
      </c>
      <c r="AX385" s="6">
        <v>0</v>
      </c>
      <c r="AY385" s="5">
        <v>0</v>
      </c>
      <c r="AZ385" s="6">
        <v>760</v>
      </c>
      <c r="BA385" s="5">
        <v>2733.1139095600711</v>
      </c>
      <c r="BB385" s="6">
        <v>2300</v>
      </c>
      <c r="BC385" s="5">
        <v>8271.2657789317927</v>
      </c>
      <c r="BD385" s="6">
        <v>0</v>
      </c>
      <c r="BE385" s="5">
        <v>0</v>
      </c>
      <c r="BF385" s="6">
        <v>0</v>
      </c>
      <c r="BG385" s="5">
        <v>0</v>
      </c>
      <c r="BH385" s="9">
        <f t="shared" si="42"/>
        <v>7060</v>
      </c>
      <c r="BI385" s="10">
        <f t="shared" si="43"/>
        <v>25389.189738808022</v>
      </c>
      <c r="BJ385" s="6">
        <f t="shared" si="44"/>
        <v>1467.5757259778411</v>
      </c>
      <c r="BK385" s="11">
        <f t="shared" si="45"/>
        <v>0.26242210069700911</v>
      </c>
      <c r="BL385" s="5">
        <f t="shared" si="46"/>
        <v>6095.325993431572</v>
      </c>
      <c r="BM385" s="11">
        <f t="shared" si="47"/>
        <v>0.31592044361214305</v>
      </c>
    </row>
    <row r="386" spans="1:65" ht="15" customHeight="1" x14ac:dyDescent="0.4">
      <c r="A386" s="2" t="s">
        <v>269</v>
      </c>
      <c r="B386" s="2" t="s">
        <v>66</v>
      </c>
      <c r="C386" s="2" t="s">
        <v>346</v>
      </c>
      <c r="D386" s="3" t="s">
        <v>272</v>
      </c>
      <c r="E386" s="3" t="s">
        <v>174</v>
      </c>
      <c r="F386" s="2" t="s">
        <v>175</v>
      </c>
      <c r="G386" s="4">
        <v>5</v>
      </c>
      <c r="H386" s="5">
        <v>5.6099999999999994</v>
      </c>
      <c r="I386" s="5">
        <v>5.8477379987154823</v>
      </c>
      <c r="J386" s="6">
        <v>0</v>
      </c>
      <c r="K386" s="5">
        <v>0</v>
      </c>
      <c r="L386" s="6">
        <v>0</v>
      </c>
      <c r="M386" s="5">
        <v>0</v>
      </c>
      <c r="N386" s="6">
        <v>98.92356741932133</v>
      </c>
      <c r="O386" s="5">
        <v>554.96121322239264</v>
      </c>
      <c r="P386" s="6">
        <v>79.138853935457064</v>
      </c>
      <c r="Q386" s="5">
        <v>443.96897057791409</v>
      </c>
      <c r="R386" s="6">
        <v>0</v>
      </c>
      <c r="S386" s="5">
        <v>0</v>
      </c>
      <c r="T386" s="6">
        <v>0</v>
      </c>
      <c r="U386" s="5">
        <v>0</v>
      </c>
      <c r="V386" s="6">
        <v>0</v>
      </c>
      <c r="W386" s="5">
        <v>0</v>
      </c>
      <c r="X386" s="6">
        <v>0</v>
      </c>
      <c r="Y386" s="5">
        <v>0</v>
      </c>
      <c r="Z386" s="6">
        <v>0</v>
      </c>
      <c r="AA386" s="5">
        <v>0</v>
      </c>
      <c r="AB386" s="6">
        <v>0</v>
      </c>
      <c r="AC386" s="5">
        <v>0</v>
      </c>
      <c r="AD386" s="6">
        <v>0</v>
      </c>
      <c r="AE386" s="5">
        <v>0</v>
      </c>
      <c r="AF386" s="6">
        <v>0</v>
      </c>
      <c r="AG386" s="5">
        <v>0</v>
      </c>
      <c r="AH386" s="7">
        <f t="shared" ref="AH386:AH449" si="48">J386+L386+N386+P386+R386+T386+V386+X386+Z386+AB386+AD386+AF386</f>
        <v>178.06242135477839</v>
      </c>
      <c r="AI386" s="8">
        <f t="shared" ref="AI386:AI449" si="49">K386+M386+O386+Q386+S386+U386+W386+Y386+AA386+AC386+AE386+AG386</f>
        <v>998.93018380030674</v>
      </c>
      <c r="AJ386" s="6">
        <v>0</v>
      </c>
      <c r="AK386" s="5">
        <v>0</v>
      </c>
      <c r="AL386" s="6">
        <v>0</v>
      </c>
      <c r="AM386" s="5">
        <v>0</v>
      </c>
      <c r="AN386" s="6">
        <v>125</v>
      </c>
      <c r="AO386" s="5">
        <v>730.96724983943523</v>
      </c>
      <c r="AP386" s="6">
        <v>100</v>
      </c>
      <c r="AQ386" s="5">
        <v>584.77379987154825</v>
      </c>
      <c r="AR386" s="6">
        <v>0</v>
      </c>
      <c r="AS386" s="5">
        <v>0</v>
      </c>
      <c r="AT386" s="6">
        <v>0</v>
      </c>
      <c r="AU386" s="5">
        <v>0</v>
      </c>
      <c r="AV386" s="6">
        <v>0</v>
      </c>
      <c r="AW386" s="5">
        <v>0</v>
      </c>
      <c r="AX386" s="6">
        <v>0</v>
      </c>
      <c r="AY386" s="5">
        <v>0</v>
      </c>
      <c r="AZ386" s="6">
        <v>0</v>
      </c>
      <c r="BA386" s="5">
        <v>0</v>
      </c>
      <c r="BB386" s="6">
        <v>0</v>
      </c>
      <c r="BC386" s="5">
        <v>0</v>
      </c>
      <c r="BD386" s="6">
        <v>0</v>
      </c>
      <c r="BE386" s="5">
        <v>0</v>
      </c>
      <c r="BF386" s="6">
        <v>0</v>
      </c>
      <c r="BG386" s="5">
        <v>0</v>
      </c>
      <c r="BH386" s="9">
        <f t="shared" ref="BH386:BH449" si="50">AJ386+AL386+AN386+AP386+AR386+AT386+AV386+AX386+AZ386+BB386+BD386+BF386</f>
        <v>225</v>
      </c>
      <c r="BI386" s="10">
        <f t="shared" ref="BI386:BI449" si="51">AK386+AM386+AO386+AQ386+AS386+AU386+AW386+AY386+BA386+BC386+BE386+BG386</f>
        <v>1315.7410497109836</v>
      </c>
      <c r="BJ386" s="6">
        <f t="shared" ref="BJ386:BJ449" si="52">BH386-AH386</f>
        <v>46.937578645221606</v>
      </c>
      <c r="BK386" s="11">
        <f t="shared" ref="BK386:BK449" si="53">IF(AH386&gt;0, BJ386/AH386, 0)</f>
        <v>0.26360182169881524</v>
      </c>
      <c r="BL386" s="5">
        <f t="shared" ref="BL386:BL449" si="54">BI386-AI386</f>
        <v>316.81086591067685</v>
      </c>
      <c r="BM386" s="11">
        <f t="shared" ref="BM386:BM449" si="55">IF(AI386&gt;0, BL386/AI386, 0)</f>
        <v>0.3171501582877484</v>
      </c>
    </row>
    <row r="387" spans="1:65" ht="15" customHeight="1" x14ac:dyDescent="0.4">
      <c r="A387" s="2" t="s">
        <v>269</v>
      </c>
      <c r="B387" s="2" t="s">
        <v>66</v>
      </c>
      <c r="C387" s="2" t="s">
        <v>346</v>
      </c>
      <c r="D387" s="3" t="s">
        <v>272</v>
      </c>
      <c r="E387" s="3" t="s">
        <v>136</v>
      </c>
      <c r="F387" s="2" t="s">
        <v>137</v>
      </c>
      <c r="G387" s="4">
        <v>20</v>
      </c>
      <c r="H387" s="5">
        <v>5.2899999999999991</v>
      </c>
      <c r="I387" s="5">
        <v>5.5141771859545274</v>
      </c>
      <c r="J387" s="6">
        <v>0</v>
      </c>
      <c r="K387" s="5">
        <v>0</v>
      </c>
      <c r="L387" s="6">
        <v>0</v>
      </c>
      <c r="M387" s="5">
        <v>0</v>
      </c>
      <c r="N387" s="6">
        <v>1266.221662967313</v>
      </c>
      <c r="O387" s="5">
        <v>6698.312597097085</v>
      </c>
      <c r="P387" s="6">
        <v>633.11083148365651</v>
      </c>
      <c r="Q387" s="5">
        <v>3349.156298548543</v>
      </c>
      <c r="R387" s="6">
        <v>0</v>
      </c>
      <c r="S387" s="5">
        <v>0</v>
      </c>
      <c r="T387" s="6">
        <v>0</v>
      </c>
      <c r="U387" s="5">
        <v>0</v>
      </c>
      <c r="V387" s="6">
        <v>0</v>
      </c>
      <c r="W387" s="5">
        <v>0</v>
      </c>
      <c r="X387" s="6">
        <v>0</v>
      </c>
      <c r="Y387" s="5">
        <v>0</v>
      </c>
      <c r="Z387" s="6">
        <v>0</v>
      </c>
      <c r="AA387" s="5">
        <v>0</v>
      </c>
      <c r="AB387" s="6">
        <v>0</v>
      </c>
      <c r="AC387" s="5">
        <v>0</v>
      </c>
      <c r="AD387" s="6">
        <v>0</v>
      </c>
      <c r="AE387" s="5">
        <v>0</v>
      </c>
      <c r="AF387" s="6">
        <v>0</v>
      </c>
      <c r="AG387" s="5">
        <v>0</v>
      </c>
      <c r="AH387" s="7">
        <f t="shared" si="48"/>
        <v>1899.3324944509695</v>
      </c>
      <c r="AI387" s="8">
        <f t="shared" si="49"/>
        <v>10047.468895645628</v>
      </c>
      <c r="AJ387" s="6">
        <v>0</v>
      </c>
      <c r="AK387" s="5">
        <v>0</v>
      </c>
      <c r="AL387" s="6">
        <v>0</v>
      </c>
      <c r="AM387" s="5">
        <v>0</v>
      </c>
      <c r="AN387" s="6">
        <v>1600</v>
      </c>
      <c r="AO387" s="5">
        <v>8822.6834975272432</v>
      </c>
      <c r="AP387" s="6">
        <v>800</v>
      </c>
      <c r="AQ387" s="5">
        <v>4411.3417487636216</v>
      </c>
      <c r="AR387" s="6">
        <v>0</v>
      </c>
      <c r="AS387" s="5">
        <v>0</v>
      </c>
      <c r="AT387" s="6">
        <v>0</v>
      </c>
      <c r="AU387" s="5">
        <v>0</v>
      </c>
      <c r="AV387" s="6">
        <v>0</v>
      </c>
      <c r="AW387" s="5">
        <v>0</v>
      </c>
      <c r="AX387" s="6">
        <v>0</v>
      </c>
      <c r="AY387" s="5">
        <v>0</v>
      </c>
      <c r="AZ387" s="6">
        <v>0</v>
      </c>
      <c r="BA387" s="5">
        <v>0</v>
      </c>
      <c r="BB387" s="6">
        <v>0</v>
      </c>
      <c r="BC387" s="5">
        <v>0</v>
      </c>
      <c r="BD387" s="6">
        <v>0</v>
      </c>
      <c r="BE387" s="5">
        <v>0</v>
      </c>
      <c r="BF387" s="6">
        <v>0</v>
      </c>
      <c r="BG387" s="5">
        <v>0</v>
      </c>
      <c r="BH387" s="9">
        <f t="shared" si="50"/>
        <v>2400</v>
      </c>
      <c r="BI387" s="10">
        <f t="shared" si="51"/>
        <v>13234.025246290865</v>
      </c>
      <c r="BJ387" s="6">
        <f t="shared" si="52"/>
        <v>500.66750554903047</v>
      </c>
      <c r="BK387" s="11">
        <f t="shared" si="53"/>
        <v>0.26360182169881524</v>
      </c>
      <c r="BL387" s="5">
        <f t="shared" si="54"/>
        <v>3186.5563506452363</v>
      </c>
      <c r="BM387" s="11">
        <f t="shared" si="55"/>
        <v>0.31715015828774806</v>
      </c>
    </row>
    <row r="388" spans="1:65" ht="15" customHeight="1" x14ac:dyDescent="0.4">
      <c r="A388" s="2" t="s">
        <v>269</v>
      </c>
      <c r="B388" s="2" t="s">
        <v>66</v>
      </c>
      <c r="C388" s="2" t="s">
        <v>346</v>
      </c>
      <c r="D388" s="3" t="s">
        <v>272</v>
      </c>
      <c r="E388" s="3" t="s">
        <v>138</v>
      </c>
      <c r="F388" s="2" t="s">
        <v>139</v>
      </c>
      <c r="G388" s="4">
        <v>5</v>
      </c>
      <c r="H388" s="5">
        <v>3.5299999999999989</v>
      </c>
      <c r="I388" s="5">
        <v>3.679592715769278</v>
      </c>
      <c r="J388" s="6">
        <v>39.569426967728532</v>
      </c>
      <c r="K388" s="5">
        <v>139.6800771960817</v>
      </c>
      <c r="L388" s="6">
        <v>0</v>
      </c>
      <c r="M388" s="5">
        <v>0</v>
      </c>
      <c r="N388" s="6">
        <v>0</v>
      </c>
      <c r="O388" s="5">
        <v>0</v>
      </c>
      <c r="P388" s="6">
        <v>0</v>
      </c>
      <c r="Q388" s="5">
        <v>0</v>
      </c>
      <c r="R388" s="6">
        <v>0</v>
      </c>
      <c r="S388" s="5">
        <v>0</v>
      </c>
      <c r="T388" s="6">
        <v>0</v>
      </c>
      <c r="U388" s="5">
        <v>0</v>
      </c>
      <c r="V388" s="6">
        <v>0</v>
      </c>
      <c r="W388" s="5">
        <v>0</v>
      </c>
      <c r="X388" s="6">
        <v>0</v>
      </c>
      <c r="Y388" s="5">
        <v>0</v>
      </c>
      <c r="Z388" s="6">
        <v>0</v>
      </c>
      <c r="AA388" s="5">
        <v>0</v>
      </c>
      <c r="AB388" s="6">
        <v>0</v>
      </c>
      <c r="AC388" s="5">
        <v>0</v>
      </c>
      <c r="AD388" s="6">
        <v>0</v>
      </c>
      <c r="AE388" s="5">
        <v>0</v>
      </c>
      <c r="AF388" s="6">
        <v>0</v>
      </c>
      <c r="AG388" s="5">
        <v>0</v>
      </c>
      <c r="AH388" s="7">
        <f t="shared" si="48"/>
        <v>39.569426967728532</v>
      </c>
      <c r="AI388" s="8">
        <f t="shared" si="49"/>
        <v>139.6800771960817</v>
      </c>
      <c r="AJ388" s="6">
        <v>50</v>
      </c>
      <c r="AK388" s="5">
        <v>183.9796357884639</v>
      </c>
      <c r="AL388" s="6">
        <v>0</v>
      </c>
      <c r="AM388" s="5">
        <v>0</v>
      </c>
      <c r="AN388" s="6">
        <v>0</v>
      </c>
      <c r="AO388" s="5">
        <v>0</v>
      </c>
      <c r="AP388" s="6">
        <v>0</v>
      </c>
      <c r="AQ388" s="5">
        <v>0</v>
      </c>
      <c r="AR388" s="6">
        <v>0</v>
      </c>
      <c r="AS388" s="5">
        <v>0</v>
      </c>
      <c r="AT388" s="6">
        <v>0</v>
      </c>
      <c r="AU388" s="5">
        <v>0</v>
      </c>
      <c r="AV388" s="6">
        <v>0</v>
      </c>
      <c r="AW388" s="5">
        <v>0</v>
      </c>
      <c r="AX388" s="6">
        <v>0</v>
      </c>
      <c r="AY388" s="5">
        <v>0</v>
      </c>
      <c r="AZ388" s="6">
        <v>0</v>
      </c>
      <c r="BA388" s="5">
        <v>0</v>
      </c>
      <c r="BB388" s="6">
        <v>0</v>
      </c>
      <c r="BC388" s="5">
        <v>0</v>
      </c>
      <c r="BD388" s="6">
        <v>0</v>
      </c>
      <c r="BE388" s="5">
        <v>0</v>
      </c>
      <c r="BF388" s="6">
        <v>0</v>
      </c>
      <c r="BG388" s="5">
        <v>0</v>
      </c>
      <c r="BH388" s="9">
        <f t="shared" si="50"/>
        <v>50</v>
      </c>
      <c r="BI388" s="10">
        <f t="shared" si="51"/>
        <v>183.9796357884639</v>
      </c>
      <c r="BJ388" s="6">
        <f t="shared" si="52"/>
        <v>10.430573032271468</v>
      </c>
      <c r="BK388" s="11">
        <f t="shared" si="53"/>
        <v>0.26360182169881524</v>
      </c>
      <c r="BL388" s="5">
        <f t="shared" si="54"/>
        <v>44.299558592382198</v>
      </c>
      <c r="BM388" s="11">
        <f t="shared" si="55"/>
        <v>0.31715015828774817</v>
      </c>
    </row>
    <row r="389" spans="1:65" ht="15" customHeight="1" x14ac:dyDescent="0.4">
      <c r="A389" s="2" t="s">
        <v>269</v>
      </c>
      <c r="B389" s="2" t="s">
        <v>66</v>
      </c>
      <c r="C389" s="2" t="s">
        <v>346</v>
      </c>
      <c r="D389" s="3" t="s">
        <v>272</v>
      </c>
      <c r="E389" s="3" t="s">
        <v>347</v>
      </c>
      <c r="F389" s="2" t="s">
        <v>348</v>
      </c>
      <c r="G389" s="4">
        <v>5</v>
      </c>
      <c r="H389" s="5">
        <v>4.3413333333333339</v>
      </c>
      <c r="I389" s="5">
        <v>4.5253083597902828</v>
      </c>
      <c r="J389" s="6">
        <v>0</v>
      </c>
      <c r="K389" s="5">
        <v>0</v>
      </c>
      <c r="L389" s="6">
        <v>0</v>
      </c>
      <c r="M389" s="5">
        <v>0</v>
      </c>
      <c r="N389" s="6">
        <v>0</v>
      </c>
      <c r="O389" s="5">
        <v>0</v>
      </c>
      <c r="P389" s="6">
        <v>0</v>
      </c>
      <c r="Q389" s="5">
        <v>0</v>
      </c>
      <c r="R389" s="6">
        <v>0</v>
      </c>
      <c r="S389" s="5">
        <v>0</v>
      </c>
      <c r="T389" s="6">
        <v>0</v>
      </c>
      <c r="U389" s="5">
        <v>0</v>
      </c>
      <c r="V389" s="6">
        <v>0</v>
      </c>
      <c r="W389" s="5">
        <v>0</v>
      </c>
      <c r="X389" s="6">
        <v>0</v>
      </c>
      <c r="Y389" s="5">
        <v>0</v>
      </c>
      <c r="Z389" s="6">
        <v>0</v>
      </c>
      <c r="AA389" s="5">
        <v>0</v>
      </c>
      <c r="AB389" s="6">
        <v>71.099710447379195</v>
      </c>
      <c r="AC389" s="5">
        <v>308.66754295555558</v>
      </c>
      <c r="AD389" s="6">
        <v>0</v>
      </c>
      <c r="AE389" s="5">
        <v>0</v>
      </c>
      <c r="AF389" s="6">
        <v>0</v>
      </c>
      <c r="AG389" s="5">
        <v>0</v>
      </c>
      <c r="AH389" s="7">
        <f t="shared" si="48"/>
        <v>71.099710447379195</v>
      </c>
      <c r="AI389" s="8">
        <f t="shared" si="49"/>
        <v>308.66754295555558</v>
      </c>
      <c r="AJ389" s="6">
        <v>0</v>
      </c>
      <c r="AK389" s="5">
        <v>0</v>
      </c>
      <c r="AL389" s="6">
        <v>0</v>
      </c>
      <c r="AM389" s="5">
        <v>0</v>
      </c>
      <c r="AN389" s="6">
        <v>0</v>
      </c>
      <c r="AO389" s="5">
        <v>0</v>
      </c>
      <c r="AP389" s="6">
        <v>0</v>
      </c>
      <c r="AQ389" s="5">
        <v>0</v>
      </c>
      <c r="AR389" s="6">
        <v>0</v>
      </c>
      <c r="AS389" s="5">
        <v>0</v>
      </c>
      <c r="AT389" s="6">
        <v>0</v>
      </c>
      <c r="AU389" s="5">
        <v>0</v>
      </c>
      <c r="AV389" s="6">
        <v>0</v>
      </c>
      <c r="AW389" s="5">
        <v>0</v>
      </c>
      <c r="AX389" s="6">
        <v>0</v>
      </c>
      <c r="AY389" s="5">
        <v>0</v>
      </c>
      <c r="AZ389" s="6">
        <v>0</v>
      </c>
      <c r="BA389" s="5">
        <v>0</v>
      </c>
      <c r="BB389" s="6">
        <v>90</v>
      </c>
      <c r="BC389" s="5">
        <v>407.27775238112542</v>
      </c>
      <c r="BD389" s="6">
        <v>0</v>
      </c>
      <c r="BE389" s="5">
        <v>0</v>
      </c>
      <c r="BF389" s="6">
        <v>0</v>
      </c>
      <c r="BG389" s="5">
        <v>0</v>
      </c>
      <c r="BH389" s="9">
        <f t="shared" si="50"/>
        <v>90</v>
      </c>
      <c r="BI389" s="10">
        <f t="shared" si="51"/>
        <v>407.27775238112542</v>
      </c>
      <c r="BJ389" s="6">
        <f t="shared" si="52"/>
        <v>18.900289552620805</v>
      </c>
      <c r="BK389" s="11">
        <f t="shared" si="53"/>
        <v>0.26582793985650455</v>
      </c>
      <c r="BL389" s="5">
        <f t="shared" si="54"/>
        <v>98.610209425569849</v>
      </c>
      <c r="BM389" s="11">
        <f t="shared" si="55"/>
        <v>0.31947061385643821</v>
      </c>
    </row>
    <row r="390" spans="1:65" ht="15" customHeight="1" x14ac:dyDescent="0.4">
      <c r="A390" s="2" t="s">
        <v>269</v>
      </c>
      <c r="B390" s="2" t="s">
        <v>66</v>
      </c>
      <c r="C390" s="2" t="s">
        <v>346</v>
      </c>
      <c r="D390" s="3" t="s">
        <v>272</v>
      </c>
      <c r="E390" s="3" t="s">
        <v>140</v>
      </c>
      <c r="F390" s="2" t="s">
        <v>141</v>
      </c>
      <c r="G390" s="4">
        <v>5</v>
      </c>
      <c r="H390" s="5">
        <v>15.13</v>
      </c>
      <c r="I390" s="5">
        <v>15.771172178353879</v>
      </c>
      <c r="J390" s="6">
        <v>39.569426967728532</v>
      </c>
      <c r="K390" s="5">
        <v>598.68543002173271</v>
      </c>
      <c r="L390" s="6">
        <v>0</v>
      </c>
      <c r="M390" s="5">
        <v>0</v>
      </c>
      <c r="N390" s="6">
        <v>0</v>
      </c>
      <c r="O390" s="5">
        <v>0</v>
      </c>
      <c r="P390" s="6">
        <v>0</v>
      </c>
      <c r="Q390" s="5">
        <v>0</v>
      </c>
      <c r="R390" s="6">
        <v>0</v>
      </c>
      <c r="S390" s="5">
        <v>0</v>
      </c>
      <c r="T390" s="6">
        <v>0</v>
      </c>
      <c r="U390" s="5">
        <v>0</v>
      </c>
      <c r="V390" s="6">
        <v>0</v>
      </c>
      <c r="W390" s="5">
        <v>0</v>
      </c>
      <c r="X390" s="6">
        <v>0</v>
      </c>
      <c r="Y390" s="5">
        <v>0</v>
      </c>
      <c r="Z390" s="6">
        <v>56.879768357903359</v>
      </c>
      <c r="AA390" s="5">
        <v>860.59089525507795</v>
      </c>
      <c r="AB390" s="6">
        <v>75.83969114387115</v>
      </c>
      <c r="AC390" s="5">
        <v>1147.4545270067711</v>
      </c>
      <c r="AD390" s="6">
        <v>0</v>
      </c>
      <c r="AE390" s="5">
        <v>0</v>
      </c>
      <c r="AF390" s="6">
        <v>227.51907343161341</v>
      </c>
      <c r="AG390" s="5">
        <v>3442.3635810203118</v>
      </c>
      <c r="AH390" s="7">
        <f t="shared" si="48"/>
        <v>399.80795990111642</v>
      </c>
      <c r="AI390" s="8">
        <f t="shared" si="49"/>
        <v>6049.0944333038933</v>
      </c>
      <c r="AJ390" s="6">
        <v>55</v>
      </c>
      <c r="AK390" s="5">
        <v>867.41446980946341</v>
      </c>
      <c r="AL390" s="6">
        <v>0</v>
      </c>
      <c r="AM390" s="5">
        <v>0</v>
      </c>
      <c r="AN390" s="6">
        <v>0</v>
      </c>
      <c r="AO390" s="5">
        <v>0</v>
      </c>
      <c r="AP390" s="6">
        <v>0</v>
      </c>
      <c r="AQ390" s="5">
        <v>0</v>
      </c>
      <c r="AR390" s="6">
        <v>0</v>
      </c>
      <c r="AS390" s="5">
        <v>0</v>
      </c>
      <c r="AT390" s="6">
        <v>0</v>
      </c>
      <c r="AU390" s="5">
        <v>0</v>
      </c>
      <c r="AV390" s="6">
        <v>0</v>
      </c>
      <c r="AW390" s="5">
        <v>0</v>
      </c>
      <c r="AX390" s="6">
        <v>0</v>
      </c>
      <c r="AY390" s="5">
        <v>0</v>
      </c>
      <c r="AZ390" s="6">
        <v>80</v>
      </c>
      <c r="BA390" s="5">
        <v>1261.6937742683101</v>
      </c>
      <c r="BB390" s="6">
        <v>105</v>
      </c>
      <c r="BC390" s="5">
        <v>1655.9730787271569</v>
      </c>
      <c r="BD390" s="6">
        <v>0</v>
      </c>
      <c r="BE390" s="5">
        <v>0</v>
      </c>
      <c r="BF390" s="6">
        <v>315</v>
      </c>
      <c r="BG390" s="5">
        <v>4967.9192361814721</v>
      </c>
      <c r="BH390" s="9">
        <f t="shared" si="50"/>
        <v>555</v>
      </c>
      <c r="BI390" s="10">
        <f t="shared" si="51"/>
        <v>8753.0005589864031</v>
      </c>
      <c r="BJ390" s="6">
        <f t="shared" si="52"/>
        <v>155.19204009888358</v>
      </c>
      <c r="BK390" s="11">
        <f t="shared" si="53"/>
        <v>0.38816645906016195</v>
      </c>
      <c r="BL390" s="5">
        <f t="shared" si="54"/>
        <v>2703.9061256825098</v>
      </c>
      <c r="BM390" s="11">
        <f t="shared" si="55"/>
        <v>0.44699353853626167</v>
      </c>
    </row>
    <row r="391" spans="1:65" ht="15" customHeight="1" x14ac:dyDescent="0.4">
      <c r="A391" s="2" t="s">
        <v>269</v>
      </c>
      <c r="B391" s="2" t="s">
        <v>66</v>
      </c>
      <c r="C391" s="2" t="s">
        <v>349</v>
      </c>
      <c r="D391" s="3" t="s">
        <v>272</v>
      </c>
      <c r="E391" s="3" t="s">
        <v>221</v>
      </c>
      <c r="F391" s="2" t="s">
        <v>222</v>
      </c>
      <c r="G391" s="4">
        <v>200</v>
      </c>
      <c r="H391" s="5">
        <v>3.35</v>
      </c>
      <c r="I391" s="5">
        <v>3.4919647585912421</v>
      </c>
      <c r="J391" s="6">
        <v>0</v>
      </c>
      <c r="K391" s="5">
        <v>0</v>
      </c>
      <c r="L391" s="6">
        <v>0</v>
      </c>
      <c r="M391" s="5">
        <v>0</v>
      </c>
      <c r="N391" s="6">
        <v>593.54140451592798</v>
      </c>
      <c r="O391" s="5">
        <v>1988.363705128359</v>
      </c>
      <c r="P391" s="6">
        <v>0</v>
      </c>
      <c r="Q391" s="5">
        <v>0</v>
      </c>
      <c r="R391" s="6">
        <v>0</v>
      </c>
      <c r="S391" s="5">
        <v>0</v>
      </c>
      <c r="T391" s="6">
        <v>0</v>
      </c>
      <c r="U391" s="5">
        <v>0</v>
      </c>
      <c r="V391" s="6">
        <v>0</v>
      </c>
      <c r="W391" s="5">
        <v>0</v>
      </c>
      <c r="X391" s="6">
        <v>0</v>
      </c>
      <c r="Y391" s="5">
        <v>0</v>
      </c>
      <c r="Z391" s="6">
        <v>0</v>
      </c>
      <c r="AA391" s="5">
        <v>0</v>
      </c>
      <c r="AB391" s="6">
        <v>758.39691143871141</v>
      </c>
      <c r="AC391" s="5">
        <v>2540.6296533196828</v>
      </c>
      <c r="AD391" s="6">
        <v>0</v>
      </c>
      <c r="AE391" s="5">
        <v>0</v>
      </c>
      <c r="AF391" s="6">
        <v>0</v>
      </c>
      <c r="AG391" s="5">
        <v>0</v>
      </c>
      <c r="AH391" s="7">
        <f t="shared" si="48"/>
        <v>1351.9383159546394</v>
      </c>
      <c r="AI391" s="8">
        <f t="shared" si="49"/>
        <v>4528.9933584480423</v>
      </c>
      <c r="AJ391" s="6">
        <v>0</v>
      </c>
      <c r="AK391" s="5">
        <v>0</v>
      </c>
      <c r="AL391" s="6">
        <v>0</v>
      </c>
      <c r="AM391" s="5">
        <v>0</v>
      </c>
      <c r="AN391" s="6">
        <v>800</v>
      </c>
      <c r="AO391" s="5">
        <v>2793.571806872993</v>
      </c>
      <c r="AP391" s="6">
        <v>0</v>
      </c>
      <c r="AQ391" s="5">
        <v>0</v>
      </c>
      <c r="AR391" s="6">
        <v>0</v>
      </c>
      <c r="AS391" s="5">
        <v>0</v>
      </c>
      <c r="AT391" s="6">
        <v>0</v>
      </c>
      <c r="AU391" s="5">
        <v>0</v>
      </c>
      <c r="AV391" s="6">
        <v>0</v>
      </c>
      <c r="AW391" s="5">
        <v>0</v>
      </c>
      <c r="AX391" s="6">
        <v>0</v>
      </c>
      <c r="AY391" s="5">
        <v>0</v>
      </c>
      <c r="AZ391" s="6">
        <v>0</v>
      </c>
      <c r="BA391" s="5">
        <v>0</v>
      </c>
      <c r="BB391" s="6">
        <v>1000</v>
      </c>
      <c r="BC391" s="5">
        <v>3491.9647585912421</v>
      </c>
      <c r="BD391" s="6">
        <v>0</v>
      </c>
      <c r="BE391" s="5">
        <v>0</v>
      </c>
      <c r="BF391" s="6">
        <v>0</v>
      </c>
      <c r="BG391" s="5">
        <v>0</v>
      </c>
      <c r="BH391" s="9">
        <f t="shared" si="50"/>
        <v>1800</v>
      </c>
      <c r="BI391" s="10">
        <f t="shared" si="51"/>
        <v>6285.5365654642355</v>
      </c>
      <c r="BJ391" s="6">
        <f t="shared" si="52"/>
        <v>448.06168404536061</v>
      </c>
      <c r="BK391" s="11">
        <f t="shared" si="53"/>
        <v>0.33142169192014681</v>
      </c>
      <c r="BL391" s="5">
        <f t="shared" si="54"/>
        <v>1756.5432070161933</v>
      </c>
      <c r="BM391" s="11">
        <f t="shared" si="55"/>
        <v>0.3878440677639039</v>
      </c>
    </row>
    <row r="392" spans="1:65" ht="15" customHeight="1" x14ac:dyDescent="0.4">
      <c r="A392" s="2" t="s">
        <v>269</v>
      </c>
      <c r="B392" s="2" t="s">
        <v>66</v>
      </c>
      <c r="C392" s="2" t="s">
        <v>350</v>
      </c>
      <c r="D392" s="3" t="s">
        <v>68</v>
      </c>
      <c r="E392" s="3" t="s">
        <v>110</v>
      </c>
      <c r="F392" s="2" t="s">
        <v>111</v>
      </c>
      <c r="G392" s="4">
        <v>5</v>
      </c>
      <c r="H392" s="5">
        <v>3.37</v>
      </c>
      <c r="I392" s="5">
        <v>3.5128123093888011</v>
      </c>
      <c r="J392" s="6">
        <v>0</v>
      </c>
      <c r="K392" s="5">
        <v>0</v>
      </c>
      <c r="L392" s="6">
        <v>98.92356741932133</v>
      </c>
      <c r="M392" s="5">
        <v>325.45853680956708</v>
      </c>
      <c r="N392" s="6">
        <v>0</v>
      </c>
      <c r="O392" s="5">
        <v>0</v>
      </c>
      <c r="P392" s="6">
        <v>0</v>
      </c>
      <c r="Q392" s="5">
        <v>0</v>
      </c>
      <c r="R392" s="6">
        <v>98.92356741932133</v>
      </c>
      <c r="S392" s="5">
        <v>341.28630759665862</v>
      </c>
      <c r="T392" s="6">
        <v>0</v>
      </c>
      <c r="U392" s="5">
        <v>0</v>
      </c>
      <c r="V392" s="6">
        <v>0</v>
      </c>
      <c r="W392" s="5">
        <v>0</v>
      </c>
      <c r="X392" s="6">
        <v>0</v>
      </c>
      <c r="Y392" s="5">
        <v>0</v>
      </c>
      <c r="Z392" s="6">
        <v>189.59922785967791</v>
      </c>
      <c r="AA392" s="5">
        <v>638.9493978871144</v>
      </c>
      <c r="AB392" s="6">
        <v>189.59922785967791</v>
      </c>
      <c r="AC392" s="5">
        <v>638.9493978871144</v>
      </c>
      <c r="AD392" s="6">
        <v>189.59922785967791</v>
      </c>
      <c r="AE392" s="5">
        <v>638.9493978871144</v>
      </c>
      <c r="AF392" s="6">
        <v>0</v>
      </c>
      <c r="AG392" s="5">
        <v>0</v>
      </c>
      <c r="AH392" s="7">
        <f t="shared" si="48"/>
        <v>766.64481841767633</v>
      </c>
      <c r="AI392" s="8">
        <f t="shared" si="49"/>
        <v>2583.5930380675691</v>
      </c>
      <c r="AJ392" s="6">
        <v>0</v>
      </c>
      <c r="AK392" s="5">
        <v>0</v>
      </c>
      <c r="AL392" s="6">
        <v>110</v>
      </c>
      <c r="AM392" s="5">
        <v>377.23643168184191</v>
      </c>
      <c r="AN392" s="6">
        <v>0</v>
      </c>
      <c r="AO392" s="5">
        <v>0</v>
      </c>
      <c r="AP392" s="6">
        <v>0</v>
      </c>
      <c r="AQ392" s="5">
        <v>0</v>
      </c>
      <c r="AR392" s="6">
        <v>110</v>
      </c>
      <c r="AS392" s="5">
        <v>395.58227638369442</v>
      </c>
      <c r="AT392" s="6">
        <v>0</v>
      </c>
      <c r="AU392" s="5">
        <v>0</v>
      </c>
      <c r="AV392" s="6">
        <v>0</v>
      </c>
      <c r="AW392" s="5">
        <v>0</v>
      </c>
      <c r="AX392" s="6">
        <v>0</v>
      </c>
      <c r="AY392" s="5">
        <v>0</v>
      </c>
      <c r="AZ392" s="6">
        <v>210</v>
      </c>
      <c r="BA392" s="5">
        <v>737.69058497164826</v>
      </c>
      <c r="BB392" s="6">
        <v>210</v>
      </c>
      <c r="BC392" s="5">
        <v>737.69058497164826</v>
      </c>
      <c r="BD392" s="6">
        <v>210</v>
      </c>
      <c r="BE392" s="5">
        <v>737.69058497164826</v>
      </c>
      <c r="BF392" s="6">
        <v>0</v>
      </c>
      <c r="BG392" s="5">
        <v>0</v>
      </c>
      <c r="BH392" s="9">
        <f t="shared" si="50"/>
        <v>850</v>
      </c>
      <c r="BI392" s="10">
        <f t="shared" si="51"/>
        <v>2985.8904629804811</v>
      </c>
      <c r="BJ392" s="6">
        <f t="shared" si="52"/>
        <v>83.355181582323667</v>
      </c>
      <c r="BK392" s="11">
        <f t="shared" si="53"/>
        <v>0.10872724836824094</v>
      </c>
      <c r="BL392" s="5">
        <f t="shared" si="54"/>
        <v>402.29742491291199</v>
      </c>
      <c r="BM392" s="11">
        <f t="shared" si="55"/>
        <v>0.15571238154977202</v>
      </c>
    </row>
    <row r="393" spans="1:65" ht="15" customHeight="1" x14ac:dyDescent="0.4">
      <c r="A393" s="2" t="s">
        <v>269</v>
      </c>
      <c r="B393" s="2" t="s">
        <v>66</v>
      </c>
      <c r="C393" s="2" t="s">
        <v>350</v>
      </c>
      <c r="D393" s="3" t="s">
        <v>68</v>
      </c>
      <c r="E393" s="3" t="s">
        <v>82</v>
      </c>
      <c r="F393" s="2" t="s">
        <v>83</v>
      </c>
      <c r="G393" s="4">
        <v>20</v>
      </c>
      <c r="H393" s="5">
        <v>3.1617647058823528</v>
      </c>
      <c r="I393" s="5">
        <v>3.295350127402124</v>
      </c>
      <c r="J393" s="6">
        <v>0</v>
      </c>
      <c r="K393" s="5">
        <v>0</v>
      </c>
      <c r="L393" s="6">
        <v>197.84713483864269</v>
      </c>
      <c r="M393" s="5">
        <v>601.45528990947366</v>
      </c>
      <c r="N393" s="6">
        <v>0</v>
      </c>
      <c r="O393" s="5">
        <v>0</v>
      </c>
      <c r="P393" s="6">
        <v>0</v>
      </c>
      <c r="Q393" s="5">
        <v>0</v>
      </c>
      <c r="R393" s="6">
        <v>1365.145230386634</v>
      </c>
      <c r="S393" s="5">
        <v>4354.8132849333633</v>
      </c>
      <c r="T393" s="6">
        <v>0</v>
      </c>
      <c r="U393" s="5">
        <v>0</v>
      </c>
      <c r="V393" s="6">
        <v>0</v>
      </c>
      <c r="W393" s="5">
        <v>0</v>
      </c>
      <c r="X393" s="6">
        <v>118.7082809031856</v>
      </c>
      <c r="Y393" s="5">
        <v>360.87317394568419</v>
      </c>
      <c r="Z393" s="6">
        <v>0</v>
      </c>
      <c r="AA393" s="5">
        <v>0</v>
      </c>
      <c r="AB393" s="6">
        <v>606.7175291509692</v>
      </c>
      <c r="AC393" s="5">
        <v>1918.2980701096819</v>
      </c>
      <c r="AD393" s="6">
        <v>606.7175291509692</v>
      </c>
      <c r="AE393" s="5">
        <v>1918.2980701096819</v>
      </c>
      <c r="AF393" s="6">
        <v>606.7175291509692</v>
      </c>
      <c r="AG393" s="5">
        <v>1918.2980701096819</v>
      </c>
      <c r="AH393" s="7">
        <f t="shared" si="48"/>
        <v>3501.8532335813702</v>
      </c>
      <c r="AI393" s="8">
        <f t="shared" si="49"/>
        <v>11072.035959117567</v>
      </c>
      <c r="AJ393" s="6">
        <v>0</v>
      </c>
      <c r="AK393" s="5">
        <v>0</v>
      </c>
      <c r="AL393" s="6">
        <v>220</v>
      </c>
      <c r="AM393" s="5">
        <v>697.14209867039483</v>
      </c>
      <c r="AN393" s="6">
        <v>0</v>
      </c>
      <c r="AO393" s="5">
        <v>0</v>
      </c>
      <c r="AP393" s="6">
        <v>0</v>
      </c>
      <c r="AQ393" s="5">
        <v>0</v>
      </c>
      <c r="AR393" s="6">
        <v>1500</v>
      </c>
      <c r="AS393" s="5">
        <v>4987.7765283161471</v>
      </c>
      <c r="AT393" s="6">
        <v>0</v>
      </c>
      <c r="AU393" s="5">
        <v>0</v>
      </c>
      <c r="AV393" s="6">
        <v>0</v>
      </c>
      <c r="AW393" s="5">
        <v>0</v>
      </c>
      <c r="AX393" s="6">
        <v>140</v>
      </c>
      <c r="AY393" s="5">
        <v>443.6358809720694</v>
      </c>
      <c r="AZ393" s="6">
        <v>0</v>
      </c>
      <c r="BA393" s="5">
        <v>0</v>
      </c>
      <c r="BB393" s="6">
        <v>660</v>
      </c>
      <c r="BC393" s="5">
        <v>2175.1966604218492</v>
      </c>
      <c r="BD393" s="6">
        <v>660</v>
      </c>
      <c r="BE393" s="5">
        <v>2175.1966604218492</v>
      </c>
      <c r="BF393" s="6">
        <v>660</v>
      </c>
      <c r="BG393" s="5">
        <v>2175.1966604218492</v>
      </c>
      <c r="BH393" s="9">
        <f t="shared" si="50"/>
        <v>3840</v>
      </c>
      <c r="BI393" s="10">
        <f t="shared" si="51"/>
        <v>12654.144489224158</v>
      </c>
      <c r="BJ393" s="6">
        <f t="shared" si="52"/>
        <v>338.1467664186298</v>
      </c>
      <c r="BK393" s="11">
        <f t="shared" si="53"/>
        <v>9.6562232584717633E-2</v>
      </c>
      <c r="BL393" s="5">
        <f t="shared" si="54"/>
        <v>1582.1085301065905</v>
      </c>
      <c r="BM393" s="11">
        <f t="shared" si="55"/>
        <v>0.14289228611145907</v>
      </c>
    </row>
    <row r="394" spans="1:65" ht="15" customHeight="1" x14ac:dyDescent="0.4">
      <c r="A394" s="2" t="s">
        <v>269</v>
      </c>
      <c r="B394" s="2" t="s">
        <v>66</v>
      </c>
      <c r="C394" s="2" t="s">
        <v>350</v>
      </c>
      <c r="D394" s="3" t="s">
        <v>68</v>
      </c>
      <c r="E394" s="3" t="s">
        <v>314</v>
      </c>
      <c r="F394" s="2" t="s">
        <v>316</v>
      </c>
      <c r="G394" s="4">
        <v>5</v>
      </c>
      <c r="H394" s="5">
        <v>6.76</v>
      </c>
      <c r="I394" s="5">
        <v>7.0464721695751633</v>
      </c>
      <c r="J394" s="6">
        <v>0</v>
      </c>
      <c r="K394" s="5">
        <v>0</v>
      </c>
      <c r="L394" s="6">
        <v>0</v>
      </c>
      <c r="M394" s="5">
        <v>0</v>
      </c>
      <c r="N394" s="6">
        <v>0</v>
      </c>
      <c r="O394" s="5">
        <v>0</v>
      </c>
      <c r="P394" s="6">
        <v>74.192675564490997</v>
      </c>
      <c r="Q394" s="5">
        <v>501.54248681595908</v>
      </c>
      <c r="R394" s="6">
        <v>0</v>
      </c>
      <c r="S394" s="5">
        <v>0</v>
      </c>
      <c r="T394" s="6">
        <v>0</v>
      </c>
      <c r="U394" s="5">
        <v>0</v>
      </c>
      <c r="V394" s="6">
        <v>0</v>
      </c>
      <c r="W394" s="5">
        <v>0</v>
      </c>
      <c r="X394" s="6">
        <v>0</v>
      </c>
      <c r="Y394" s="5">
        <v>0</v>
      </c>
      <c r="Z394" s="6">
        <v>0</v>
      </c>
      <c r="AA394" s="5">
        <v>0</v>
      </c>
      <c r="AB394" s="6">
        <v>0</v>
      </c>
      <c r="AC394" s="5">
        <v>0</v>
      </c>
      <c r="AD394" s="6">
        <v>0</v>
      </c>
      <c r="AE394" s="5">
        <v>0</v>
      </c>
      <c r="AF394" s="6">
        <v>0</v>
      </c>
      <c r="AG394" s="5">
        <v>0</v>
      </c>
      <c r="AH394" s="7">
        <f t="shared" si="48"/>
        <v>74.192675564490997</v>
      </c>
      <c r="AI394" s="8">
        <f t="shared" si="49"/>
        <v>501.54248681595908</v>
      </c>
      <c r="AJ394" s="6">
        <v>0</v>
      </c>
      <c r="AK394" s="5">
        <v>0</v>
      </c>
      <c r="AL394" s="6">
        <v>0</v>
      </c>
      <c r="AM394" s="5">
        <v>0</v>
      </c>
      <c r="AN394" s="6">
        <v>0</v>
      </c>
      <c r="AO394" s="5">
        <v>0</v>
      </c>
      <c r="AP394" s="6">
        <v>80</v>
      </c>
      <c r="AQ394" s="5">
        <v>563.71777356601308</v>
      </c>
      <c r="AR394" s="6">
        <v>0</v>
      </c>
      <c r="AS394" s="5">
        <v>0</v>
      </c>
      <c r="AT394" s="6">
        <v>0</v>
      </c>
      <c r="AU394" s="5">
        <v>0</v>
      </c>
      <c r="AV394" s="6">
        <v>0</v>
      </c>
      <c r="AW394" s="5">
        <v>0</v>
      </c>
      <c r="AX394" s="6">
        <v>0</v>
      </c>
      <c r="AY394" s="5">
        <v>0</v>
      </c>
      <c r="AZ394" s="6">
        <v>0</v>
      </c>
      <c r="BA394" s="5">
        <v>0</v>
      </c>
      <c r="BB394" s="6">
        <v>0</v>
      </c>
      <c r="BC394" s="5">
        <v>0</v>
      </c>
      <c r="BD394" s="6">
        <v>0</v>
      </c>
      <c r="BE394" s="5">
        <v>0</v>
      </c>
      <c r="BF394" s="6">
        <v>0</v>
      </c>
      <c r="BG394" s="5">
        <v>0</v>
      </c>
      <c r="BH394" s="9">
        <f t="shared" si="50"/>
        <v>80</v>
      </c>
      <c r="BI394" s="10">
        <f t="shared" si="51"/>
        <v>563.71777356601308</v>
      </c>
      <c r="BJ394" s="6">
        <f t="shared" si="52"/>
        <v>5.8073244355090026</v>
      </c>
      <c r="BK394" s="11">
        <f t="shared" si="53"/>
        <v>7.8273554516322341E-2</v>
      </c>
      <c r="BL394" s="5">
        <f t="shared" si="54"/>
        <v>62.175286750053999</v>
      </c>
      <c r="BM394" s="11">
        <f t="shared" si="55"/>
        <v>0.12396813507221216</v>
      </c>
    </row>
    <row r="395" spans="1:65" ht="15" customHeight="1" x14ac:dyDescent="0.4">
      <c r="A395" s="2" t="s">
        <v>269</v>
      </c>
      <c r="B395" s="2" t="s">
        <v>66</v>
      </c>
      <c r="C395" s="2" t="s">
        <v>350</v>
      </c>
      <c r="D395" s="3" t="s">
        <v>68</v>
      </c>
      <c r="E395" s="3" t="s">
        <v>351</v>
      </c>
      <c r="F395" s="2" t="s">
        <v>352</v>
      </c>
      <c r="G395" s="4">
        <v>5</v>
      </c>
      <c r="H395" s="5">
        <v>2.0299999999999998</v>
      </c>
      <c r="I395" s="5">
        <v>2.1160264059523048</v>
      </c>
      <c r="J395" s="6">
        <v>0</v>
      </c>
      <c r="K395" s="5">
        <v>0</v>
      </c>
      <c r="L395" s="6">
        <v>0</v>
      </c>
      <c r="M395" s="5">
        <v>0</v>
      </c>
      <c r="N395" s="6">
        <v>0</v>
      </c>
      <c r="O395" s="5">
        <v>0</v>
      </c>
      <c r="P395" s="6">
        <v>0</v>
      </c>
      <c r="Q395" s="5">
        <v>0</v>
      </c>
      <c r="R395" s="6">
        <v>0</v>
      </c>
      <c r="S395" s="5">
        <v>0</v>
      </c>
      <c r="T395" s="6">
        <v>0</v>
      </c>
      <c r="U395" s="5">
        <v>0</v>
      </c>
      <c r="V395" s="6">
        <v>0</v>
      </c>
      <c r="W395" s="5">
        <v>0</v>
      </c>
      <c r="X395" s="6">
        <v>0</v>
      </c>
      <c r="Y395" s="5">
        <v>0</v>
      </c>
      <c r="Z395" s="6">
        <v>0</v>
      </c>
      <c r="AA395" s="5">
        <v>0</v>
      </c>
      <c r="AB395" s="6">
        <v>0</v>
      </c>
      <c r="AC395" s="5">
        <v>0</v>
      </c>
      <c r="AD395" s="6">
        <v>47.399806964919463</v>
      </c>
      <c r="AE395" s="5">
        <v>96.221608138786507</v>
      </c>
      <c r="AF395" s="6">
        <v>0</v>
      </c>
      <c r="AG395" s="5">
        <v>0</v>
      </c>
      <c r="AH395" s="7">
        <f t="shared" si="48"/>
        <v>47.399806964919463</v>
      </c>
      <c r="AI395" s="8">
        <f t="shared" si="49"/>
        <v>96.221608138786507</v>
      </c>
      <c r="AJ395" s="6">
        <v>0</v>
      </c>
      <c r="AK395" s="5">
        <v>0</v>
      </c>
      <c r="AL395" s="6">
        <v>0</v>
      </c>
      <c r="AM395" s="5">
        <v>0</v>
      </c>
      <c r="AN395" s="6">
        <v>0</v>
      </c>
      <c r="AO395" s="5">
        <v>0</v>
      </c>
      <c r="AP395" s="6">
        <v>0</v>
      </c>
      <c r="AQ395" s="5">
        <v>0</v>
      </c>
      <c r="AR395" s="6">
        <v>0</v>
      </c>
      <c r="AS395" s="5">
        <v>0</v>
      </c>
      <c r="AT395" s="6">
        <v>0</v>
      </c>
      <c r="AU395" s="5">
        <v>0</v>
      </c>
      <c r="AV395" s="6">
        <v>0</v>
      </c>
      <c r="AW395" s="5">
        <v>0</v>
      </c>
      <c r="AX395" s="6">
        <v>0</v>
      </c>
      <c r="AY395" s="5">
        <v>0</v>
      </c>
      <c r="AZ395" s="6">
        <v>0</v>
      </c>
      <c r="BA395" s="5">
        <v>0</v>
      </c>
      <c r="BB395" s="6">
        <v>0</v>
      </c>
      <c r="BC395" s="5">
        <v>0</v>
      </c>
      <c r="BD395" s="6">
        <v>50</v>
      </c>
      <c r="BE395" s="5">
        <v>105.80132029761521</v>
      </c>
      <c r="BF395" s="6">
        <v>0</v>
      </c>
      <c r="BG395" s="5">
        <v>0</v>
      </c>
      <c r="BH395" s="9">
        <f t="shared" si="50"/>
        <v>50</v>
      </c>
      <c r="BI395" s="10">
        <f t="shared" si="51"/>
        <v>105.80132029761521</v>
      </c>
      <c r="BJ395" s="6">
        <f t="shared" si="52"/>
        <v>2.6001930350805367</v>
      </c>
      <c r="BK395" s="11">
        <f t="shared" si="53"/>
        <v>5.4856616547087129E-2</v>
      </c>
      <c r="BL395" s="5">
        <f t="shared" si="54"/>
        <v>9.5797121588286984</v>
      </c>
      <c r="BM395" s="11">
        <f t="shared" si="55"/>
        <v>9.9558844880364858E-2</v>
      </c>
    </row>
    <row r="396" spans="1:65" ht="15" customHeight="1" x14ac:dyDescent="0.4">
      <c r="A396" s="2" t="s">
        <v>269</v>
      </c>
      <c r="B396" s="2" t="s">
        <v>66</v>
      </c>
      <c r="C396" s="2" t="s">
        <v>350</v>
      </c>
      <c r="D396" s="3" t="s">
        <v>68</v>
      </c>
      <c r="E396" s="3" t="s">
        <v>172</v>
      </c>
      <c r="F396" s="2" t="s">
        <v>173</v>
      </c>
      <c r="G396" s="4">
        <v>1</v>
      </c>
      <c r="H396" s="5">
        <v>14.39</v>
      </c>
      <c r="I396" s="5">
        <v>14.99981279884417</v>
      </c>
      <c r="J396" s="6">
        <v>0</v>
      </c>
      <c r="K396" s="5">
        <v>0</v>
      </c>
      <c r="L396" s="6">
        <v>0</v>
      </c>
      <c r="M396" s="5">
        <v>0</v>
      </c>
      <c r="N396" s="6">
        <v>0</v>
      </c>
      <c r="O396" s="5">
        <v>0</v>
      </c>
      <c r="P396" s="6">
        <v>0</v>
      </c>
      <c r="Q396" s="5">
        <v>0</v>
      </c>
      <c r="R396" s="6">
        <v>0</v>
      </c>
      <c r="S396" s="5">
        <v>0</v>
      </c>
      <c r="T396" s="6">
        <v>0</v>
      </c>
      <c r="U396" s="5">
        <v>0</v>
      </c>
      <c r="V396" s="6">
        <v>11.870828090318559</v>
      </c>
      <c r="W396" s="5">
        <v>170.82121621968409</v>
      </c>
      <c r="X396" s="6">
        <v>0</v>
      </c>
      <c r="Y396" s="5">
        <v>0</v>
      </c>
      <c r="Z396" s="6">
        <v>0</v>
      </c>
      <c r="AA396" s="5">
        <v>0</v>
      </c>
      <c r="AB396" s="6">
        <v>0</v>
      </c>
      <c r="AC396" s="5">
        <v>0</v>
      </c>
      <c r="AD396" s="6">
        <v>0</v>
      </c>
      <c r="AE396" s="5">
        <v>0</v>
      </c>
      <c r="AF396" s="6">
        <v>0</v>
      </c>
      <c r="AG396" s="5">
        <v>0</v>
      </c>
      <c r="AH396" s="7">
        <f t="shared" si="48"/>
        <v>11.870828090318559</v>
      </c>
      <c r="AI396" s="8">
        <f t="shared" si="49"/>
        <v>170.82121621968409</v>
      </c>
      <c r="AJ396" s="6">
        <v>0</v>
      </c>
      <c r="AK396" s="5">
        <v>0</v>
      </c>
      <c r="AL396" s="6">
        <v>0</v>
      </c>
      <c r="AM396" s="5">
        <v>0</v>
      </c>
      <c r="AN396" s="6">
        <v>0</v>
      </c>
      <c r="AO396" s="5">
        <v>0</v>
      </c>
      <c r="AP396" s="6">
        <v>0</v>
      </c>
      <c r="AQ396" s="5">
        <v>0</v>
      </c>
      <c r="AR396" s="6">
        <v>0</v>
      </c>
      <c r="AS396" s="5">
        <v>0</v>
      </c>
      <c r="AT396" s="6">
        <v>0</v>
      </c>
      <c r="AU396" s="5">
        <v>0</v>
      </c>
      <c r="AV396" s="6">
        <v>14</v>
      </c>
      <c r="AW396" s="5">
        <v>209.9973791838184</v>
      </c>
      <c r="AX396" s="6">
        <v>0</v>
      </c>
      <c r="AY396" s="5">
        <v>0</v>
      </c>
      <c r="AZ396" s="6">
        <v>0</v>
      </c>
      <c r="BA396" s="5">
        <v>0</v>
      </c>
      <c r="BB396" s="6">
        <v>0</v>
      </c>
      <c r="BC396" s="5">
        <v>0</v>
      </c>
      <c r="BD396" s="6">
        <v>0</v>
      </c>
      <c r="BE396" s="5">
        <v>0</v>
      </c>
      <c r="BF396" s="6">
        <v>0</v>
      </c>
      <c r="BG396" s="5">
        <v>0</v>
      </c>
      <c r="BH396" s="9">
        <f t="shared" si="50"/>
        <v>14</v>
      </c>
      <c r="BI396" s="10">
        <f t="shared" si="51"/>
        <v>209.9973791838184</v>
      </c>
      <c r="BJ396" s="6">
        <f t="shared" si="52"/>
        <v>2.1291719096814408</v>
      </c>
      <c r="BK396" s="11">
        <f t="shared" si="53"/>
        <v>0.17936170025222758</v>
      </c>
      <c r="BL396" s="5">
        <f t="shared" si="54"/>
        <v>39.176162964134306</v>
      </c>
      <c r="BM396" s="11">
        <f t="shared" si="55"/>
        <v>0.2293401477352317</v>
      </c>
    </row>
    <row r="397" spans="1:65" ht="15" customHeight="1" x14ac:dyDescent="0.4">
      <c r="A397" s="2" t="s">
        <v>269</v>
      </c>
      <c r="B397" s="2" t="s">
        <v>66</v>
      </c>
      <c r="C397" s="2" t="s">
        <v>350</v>
      </c>
      <c r="D397" s="3" t="s">
        <v>68</v>
      </c>
      <c r="E397" s="3" t="s">
        <v>353</v>
      </c>
      <c r="F397" s="2" t="s">
        <v>354</v>
      </c>
      <c r="G397" s="4">
        <v>1</v>
      </c>
      <c r="H397" s="5">
        <v>6.34</v>
      </c>
      <c r="I397" s="5">
        <v>6.6086736028264106</v>
      </c>
      <c r="J397" s="6">
        <v>0</v>
      </c>
      <c r="K397" s="5">
        <v>0</v>
      </c>
      <c r="L397" s="6">
        <v>35.612484270955683</v>
      </c>
      <c r="M397" s="5">
        <v>218.66065342366781</v>
      </c>
      <c r="N397" s="6">
        <v>0</v>
      </c>
      <c r="O397" s="5">
        <v>0</v>
      </c>
      <c r="P397" s="6">
        <v>0</v>
      </c>
      <c r="Q397" s="5">
        <v>0</v>
      </c>
      <c r="R397" s="6">
        <v>71.224968541911352</v>
      </c>
      <c r="S397" s="5">
        <v>458.68879740990911</v>
      </c>
      <c r="T397" s="6">
        <v>0</v>
      </c>
      <c r="U397" s="5">
        <v>0</v>
      </c>
      <c r="V397" s="6">
        <v>0</v>
      </c>
      <c r="W397" s="5">
        <v>0</v>
      </c>
      <c r="X397" s="6">
        <v>0</v>
      </c>
      <c r="Y397" s="5">
        <v>0</v>
      </c>
      <c r="Z397" s="6">
        <v>0</v>
      </c>
      <c r="AA397" s="5">
        <v>0</v>
      </c>
      <c r="AB397" s="6">
        <v>0</v>
      </c>
      <c r="AC397" s="5">
        <v>0</v>
      </c>
      <c r="AD397" s="6">
        <v>0</v>
      </c>
      <c r="AE397" s="5">
        <v>0</v>
      </c>
      <c r="AF397" s="6">
        <v>0</v>
      </c>
      <c r="AG397" s="5">
        <v>0</v>
      </c>
      <c r="AH397" s="7">
        <f t="shared" si="48"/>
        <v>106.83745281286704</v>
      </c>
      <c r="AI397" s="8">
        <f t="shared" si="49"/>
        <v>677.34945083357695</v>
      </c>
      <c r="AJ397" s="6">
        <v>0</v>
      </c>
      <c r="AK397" s="5">
        <v>0</v>
      </c>
      <c r="AL397" s="6">
        <v>43</v>
      </c>
      <c r="AM397" s="5">
        <v>275.20851807858497</v>
      </c>
      <c r="AN397" s="6">
        <v>0</v>
      </c>
      <c r="AO397" s="5">
        <v>0</v>
      </c>
      <c r="AP397" s="6">
        <v>0</v>
      </c>
      <c r="AQ397" s="5">
        <v>0</v>
      </c>
      <c r="AR397" s="6">
        <v>86</v>
      </c>
      <c r="AS397" s="5">
        <v>577.31037668602198</v>
      </c>
      <c r="AT397" s="6">
        <v>0</v>
      </c>
      <c r="AU397" s="5">
        <v>0</v>
      </c>
      <c r="AV397" s="6">
        <v>0</v>
      </c>
      <c r="AW397" s="5">
        <v>0</v>
      </c>
      <c r="AX397" s="6">
        <v>0</v>
      </c>
      <c r="AY397" s="5">
        <v>0</v>
      </c>
      <c r="AZ397" s="6">
        <v>0</v>
      </c>
      <c r="BA397" s="5">
        <v>0</v>
      </c>
      <c r="BB397" s="6">
        <v>0</v>
      </c>
      <c r="BC397" s="5">
        <v>0</v>
      </c>
      <c r="BD397" s="6">
        <v>0</v>
      </c>
      <c r="BE397" s="5">
        <v>0</v>
      </c>
      <c r="BF397" s="6">
        <v>0</v>
      </c>
      <c r="BG397" s="5">
        <v>0</v>
      </c>
      <c r="BH397" s="9">
        <f t="shared" si="50"/>
        <v>129</v>
      </c>
      <c r="BI397" s="10">
        <f t="shared" si="51"/>
        <v>852.51889476460701</v>
      </c>
      <c r="BJ397" s="6">
        <f t="shared" si="52"/>
        <v>22.162547187132958</v>
      </c>
      <c r="BK397" s="11">
        <f t="shared" si="53"/>
        <v>0.2074417407344234</v>
      </c>
      <c r="BL397" s="5">
        <f t="shared" si="54"/>
        <v>175.16944393103006</v>
      </c>
      <c r="BM397" s="11">
        <f t="shared" si="55"/>
        <v>0.25861015125273756</v>
      </c>
    </row>
    <row r="398" spans="1:65" ht="15" customHeight="1" x14ac:dyDescent="0.4">
      <c r="A398" s="2" t="s">
        <v>269</v>
      </c>
      <c r="B398" s="2" t="s">
        <v>66</v>
      </c>
      <c r="C398" s="2" t="s">
        <v>350</v>
      </c>
      <c r="D398" s="3" t="s">
        <v>68</v>
      </c>
      <c r="E398" s="3" t="s">
        <v>174</v>
      </c>
      <c r="F398" s="2" t="s">
        <v>175</v>
      </c>
      <c r="G398" s="4">
        <v>5</v>
      </c>
      <c r="H398" s="5">
        <v>5.051333333333333</v>
      </c>
      <c r="I398" s="5">
        <v>5.2660750443145066</v>
      </c>
      <c r="J398" s="6">
        <v>0</v>
      </c>
      <c r="K398" s="5">
        <v>0</v>
      </c>
      <c r="L398" s="6">
        <v>79.138853935457064</v>
      </c>
      <c r="M398" s="5">
        <v>390.94593844115792</v>
      </c>
      <c r="N398" s="6">
        <v>0</v>
      </c>
      <c r="O398" s="5">
        <v>0</v>
      </c>
      <c r="P398" s="6">
        <v>59.354140451592791</v>
      </c>
      <c r="Q398" s="5">
        <v>302.11257489860731</v>
      </c>
      <c r="R398" s="6">
        <v>0</v>
      </c>
      <c r="S398" s="5">
        <v>0</v>
      </c>
      <c r="T398" s="6">
        <v>0</v>
      </c>
      <c r="U398" s="5">
        <v>0</v>
      </c>
      <c r="V398" s="6">
        <v>39.569426967728532</v>
      </c>
      <c r="W398" s="5">
        <v>205.36532596251109</v>
      </c>
      <c r="X398" s="6">
        <v>118.7082809031856</v>
      </c>
      <c r="Y398" s="5">
        <v>600.66390137011911</v>
      </c>
      <c r="Z398" s="6">
        <v>94.799613929838927</v>
      </c>
      <c r="AA398" s="5">
        <v>478.86444983092639</v>
      </c>
      <c r="AB398" s="6">
        <v>94.799613929838927</v>
      </c>
      <c r="AC398" s="5">
        <v>478.86444983092639</v>
      </c>
      <c r="AD398" s="6">
        <v>94.799613929838927</v>
      </c>
      <c r="AE398" s="5">
        <v>478.86444983092639</v>
      </c>
      <c r="AF398" s="6">
        <v>0</v>
      </c>
      <c r="AG398" s="5">
        <v>0</v>
      </c>
      <c r="AH398" s="7">
        <f t="shared" si="48"/>
        <v>581.16954404748071</v>
      </c>
      <c r="AI398" s="8">
        <f t="shared" si="49"/>
        <v>2935.6810901651743</v>
      </c>
      <c r="AJ398" s="6">
        <v>0</v>
      </c>
      <c r="AK398" s="5">
        <v>0</v>
      </c>
      <c r="AL398" s="6">
        <v>85</v>
      </c>
      <c r="AM398" s="5">
        <v>437.69432899476487</v>
      </c>
      <c r="AN398" s="6">
        <v>0</v>
      </c>
      <c r="AO398" s="5">
        <v>0</v>
      </c>
      <c r="AP398" s="6">
        <v>65</v>
      </c>
      <c r="AQ398" s="5">
        <v>344.87060906863059</v>
      </c>
      <c r="AR398" s="6">
        <v>0</v>
      </c>
      <c r="AS398" s="5">
        <v>0</v>
      </c>
      <c r="AT398" s="6">
        <v>0</v>
      </c>
      <c r="AU398" s="5">
        <v>0</v>
      </c>
      <c r="AV398" s="6">
        <v>45</v>
      </c>
      <c r="AW398" s="5">
        <v>243.4472744385028</v>
      </c>
      <c r="AX398" s="6">
        <v>130</v>
      </c>
      <c r="AY398" s="5">
        <v>685.67594573173699</v>
      </c>
      <c r="AZ398" s="6">
        <v>105</v>
      </c>
      <c r="BA398" s="5">
        <v>552.86662337588314</v>
      </c>
      <c r="BB398" s="6">
        <v>105</v>
      </c>
      <c r="BC398" s="5">
        <v>552.86662337588314</v>
      </c>
      <c r="BD398" s="6">
        <v>105</v>
      </c>
      <c r="BE398" s="5">
        <v>552.86662337588314</v>
      </c>
      <c r="BF398" s="6">
        <v>0</v>
      </c>
      <c r="BG398" s="5">
        <v>0</v>
      </c>
      <c r="BH398" s="9">
        <f t="shared" si="50"/>
        <v>640</v>
      </c>
      <c r="BI398" s="10">
        <f t="shared" si="51"/>
        <v>3370.2880283612844</v>
      </c>
      <c r="BJ398" s="6">
        <f t="shared" si="52"/>
        <v>58.830455952519287</v>
      </c>
      <c r="BK398" s="11">
        <f t="shared" si="53"/>
        <v>0.10122769948129444</v>
      </c>
      <c r="BL398" s="5">
        <f t="shared" si="54"/>
        <v>434.60693819611015</v>
      </c>
      <c r="BM398" s="11">
        <f t="shared" si="55"/>
        <v>0.14804296681001453</v>
      </c>
    </row>
    <row r="399" spans="1:65" ht="15" customHeight="1" x14ac:dyDescent="0.4">
      <c r="A399" s="2" t="s">
        <v>269</v>
      </c>
      <c r="B399" s="2" t="s">
        <v>66</v>
      </c>
      <c r="C399" s="2" t="s">
        <v>350</v>
      </c>
      <c r="D399" s="3" t="s">
        <v>68</v>
      </c>
      <c r="E399" s="3" t="s">
        <v>136</v>
      </c>
      <c r="F399" s="2" t="s">
        <v>137</v>
      </c>
      <c r="G399" s="4">
        <v>20</v>
      </c>
      <c r="H399" s="5">
        <v>4.8</v>
      </c>
      <c r="I399" s="5">
        <v>5.0034121914143146</v>
      </c>
      <c r="J399" s="6">
        <v>0</v>
      </c>
      <c r="K399" s="5">
        <v>0</v>
      </c>
      <c r="L399" s="6">
        <v>0</v>
      </c>
      <c r="M399" s="5">
        <v>0</v>
      </c>
      <c r="N399" s="6">
        <v>197.84713483864269</v>
      </c>
      <c r="O399" s="5">
        <v>949.66624722548465</v>
      </c>
      <c r="P399" s="6">
        <v>0</v>
      </c>
      <c r="Q399" s="5">
        <v>0</v>
      </c>
      <c r="R399" s="6">
        <v>0</v>
      </c>
      <c r="S399" s="5">
        <v>0</v>
      </c>
      <c r="T399" s="6">
        <v>0</v>
      </c>
      <c r="U399" s="5">
        <v>0</v>
      </c>
      <c r="V399" s="6">
        <v>0</v>
      </c>
      <c r="W399" s="5">
        <v>0</v>
      </c>
      <c r="X399" s="6">
        <v>0</v>
      </c>
      <c r="Y399" s="5">
        <v>0</v>
      </c>
      <c r="Z399" s="6">
        <v>0</v>
      </c>
      <c r="AA399" s="5">
        <v>0</v>
      </c>
      <c r="AB399" s="6">
        <v>0</v>
      </c>
      <c r="AC399" s="5">
        <v>0</v>
      </c>
      <c r="AD399" s="6">
        <v>0</v>
      </c>
      <c r="AE399" s="5">
        <v>0</v>
      </c>
      <c r="AF399" s="6">
        <v>0</v>
      </c>
      <c r="AG399" s="5">
        <v>0</v>
      </c>
      <c r="AH399" s="7">
        <f t="shared" si="48"/>
        <v>197.84713483864269</v>
      </c>
      <c r="AI399" s="8">
        <f t="shared" si="49"/>
        <v>949.66624722548465</v>
      </c>
      <c r="AJ399" s="6">
        <v>0</v>
      </c>
      <c r="AK399" s="5">
        <v>0</v>
      </c>
      <c r="AL399" s="6">
        <v>0</v>
      </c>
      <c r="AM399" s="5">
        <v>0</v>
      </c>
      <c r="AN399" s="6">
        <v>220</v>
      </c>
      <c r="AO399" s="5">
        <v>1100.750682111149</v>
      </c>
      <c r="AP399" s="6">
        <v>0</v>
      </c>
      <c r="AQ399" s="5">
        <v>0</v>
      </c>
      <c r="AR399" s="6">
        <v>0</v>
      </c>
      <c r="AS399" s="5">
        <v>0</v>
      </c>
      <c r="AT399" s="6">
        <v>0</v>
      </c>
      <c r="AU399" s="5">
        <v>0</v>
      </c>
      <c r="AV399" s="6">
        <v>0</v>
      </c>
      <c r="AW399" s="5">
        <v>0</v>
      </c>
      <c r="AX399" s="6">
        <v>0</v>
      </c>
      <c r="AY399" s="5">
        <v>0</v>
      </c>
      <c r="AZ399" s="6">
        <v>0</v>
      </c>
      <c r="BA399" s="5">
        <v>0</v>
      </c>
      <c r="BB399" s="6">
        <v>0</v>
      </c>
      <c r="BC399" s="5">
        <v>0</v>
      </c>
      <c r="BD399" s="6">
        <v>0</v>
      </c>
      <c r="BE399" s="5">
        <v>0</v>
      </c>
      <c r="BF399" s="6">
        <v>0</v>
      </c>
      <c r="BG399" s="5">
        <v>0</v>
      </c>
      <c r="BH399" s="9">
        <f t="shared" si="50"/>
        <v>220</v>
      </c>
      <c r="BI399" s="10">
        <f t="shared" si="51"/>
        <v>1100.750682111149</v>
      </c>
      <c r="BJ399" s="6">
        <f t="shared" si="52"/>
        <v>22.152865161357312</v>
      </c>
      <c r="BK399" s="11">
        <f t="shared" si="53"/>
        <v>0.11196960309495725</v>
      </c>
      <c r="BL399" s="5">
        <f t="shared" si="54"/>
        <v>151.08443488566434</v>
      </c>
      <c r="BM399" s="11">
        <f t="shared" si="55"/>
        <v>0.15909213929321792</v>
      </c>
    </row>
    <row r="400" spans="1:65" ht="15" customHeight="1" x14ac:dyDescent="0.4">
      <c r="A400" s="2" t="s">
        <v>269</v>
      </c>
      <c r="B400" s="2" t="s">
        <v>66</v>
      </c>
      <c r="C400" s="2" t="s">
        <v>350</v>
      </c>
      <c r="D400" s="3" t="s">
        <v>68</v>
      </c>
      <c r="E400" s="3" t="s">
        <v>241</v>
      </c>
      <c r="F400" s="2" t="s">
        <v>242</v>
      </c>
      <c r="G400" s="4">
        <v>1</v>
      </c>
      <c r="H400" s="5">
        <v>4.9249999999999989</v>
      </c>
      <c r="I400" s="5">
        <v>5.1329305960819136</v>
      </c>
      <c r="J400" s="6">
        <v>0</v>
      </c>
      <c r="K400" s="5">
        <v>0</v>
      </c>
      <c r="L400" s="6">
        <v>11.870828090318559</v>
      </c>
      <c r="M400" s="5">
        <v>57.454807957141817</v>
      </c>
      <c r="N400" s="6">
        <v>23.741656180637118</v>
      </c>
      <c r="O400" s="5">
        <v>118.4708643413792</v>
      </c>
      <c r="P400" s="6">
        <v>0</v>
      </c>
      <c r="Q400" s="5">
        <v>0</v>
      </c>
      <c r="R400" s="6">
        <v>0</v>
      </c>
      <c r="S400" s="5">
        <v>0</v>
      </c>
      <c r="T400" s="6">
        <v>0</v>
      </c>
      <c r="U400" s="5">
        <v>0</v>
      </c>
      <c r="V400" s="6">
        <v>0</v>
      </c>
      <c r="W400" s="5">
        <v>0</v>
      </c>
      <c r="X400" s="6">
        <v>11.870828090318559</v>
      </c>
      <c r="Y400" s="5">
        <v>57.929641080754571</v>
      </c>
      <c r="Z400" s="6">
        <v>11.375953671580669</v>
      </c>
      <c r="AA400" s="5">
        <v>56.026571832534813</v>
      </c>
      <c r="AB400" s="6">
        <v>0</v>
      </c>
      <c r="AC400" s="5">
        <v>0</v>
      </c>
      <c r="AD400" s="6">
        <v>11.375953671580669</v>
      </c>
      <c r="AE400" s="5">
        <v>56.026571832534813</v>
      </c>
      <c r="AF400" s="6">
        <v>11.375953671580669</v>
      </c>
      <c r="AG400" s="5">
        <v>56.026571832534813</v>
      </c>
      <c r="AH400" s="7">
        <f t="shared" si="48"/>
        <v>81.611173376016254</v>
      </c>
      <c r="AI400" s="8">
        <f t="shared" si="49"/>
        <v>401.9350288768801</v>
      </c>
      <c r="AJ400" s="6">
        <v>0</v>
      </c>
      <c r="AK400" s="5">
        <v>0</v>
      </c>
      <c r="AL400" s="6">
        <v>13</v>
      </c>
      <c r="AM400" s="5">
        <v>65.586394809122666</v>
      </c>
      <c r="AN400" s="6">
        <v>25</v>
      </c>
      <c r="AO400" s="5">
        <v>130.03659809977839</v>
      </c>
      <c r="AP400" s="6">
        <v>0</v>
      </c>
      <c r="AQ400" s="5">
        <v>0</v>
      </c>
      <c r="AR400" s="6">
        <v>0</v>
      </c>
      <c r="AS400" s="5">
        <v>0</v>
      </c>
      <c r="AT400" s="6">
        <v>0</v>
      </c>
      <c r="AU400" s="5">
        <v>0</v>
      </c>
      <c r="AV400" s="6">
        <v>0</v>
      </c>
      <c r="AW400" s="5">
        <v>0</v>
      </c>
      <c r="AX400" s="6">
        <v>13</v>
      </c>
      <c r="AY400" s="5">
        <v>66.128431129859223</v>
      </c>
      <c r="AZ400" s="6">
        <v>12</v>
      </c>
      <c r="BA400" s="5">
        <v>61.604512606788767</v>
      </c>
      <c r="BB400" s="6">
        <v>0</v>
      </c>
      <c r="BC400" s="5">
        <v>0</v>
      </c>
      <c r="BD400" s="6">
        <v>12</v>
      </c>
      <c r="BE400" s="5">
        <v>61.604512606788767</v>
      </c>
      <c r="BF400" s="6">
        <v>12</v>
      </c>
      <c r="BG400" s="5">
        <v>61.604512606788767</v>
      </c>
      <c r="BH400" s="9">
        <f t="shared" si="50"/>
        <v>87</v>
      </c>
      <c r="BI400" s="10">
        <f t="shared" si="51"/>
        <v>446.56496185912658</v>
      </c>
      <c r="BJ400" s="6">
        <f t="shared" si="52"/>
        <v>5.3888266239837463</v>
      </c>
      <c r="BK400" s="11">
        <f t="shared" si="53"/>
        <v>6.6030500494769329E-2</v>
      </c>
      <c r="BL400" s="5">
        <f t="shared" si="54"/>
        <v>44.629932982246487</v>
      </c>
      <c r="BM400" s="11">
        <f t="shared" si="55"/>
        <v>0.11103767966418632</v>
      </c>
    </row>
    <row r="401" spans="1:65" ht="15" customHeight="1" x14ac:dyDescent="0.4">
      <c r="A401" s="2" t="s">
        <v>269</v>
      </c>
      <c r="B401" s="2" t="s">
        <v>66</v>
      </c>
      <c r="C401" s="2" t="s">
        <v>350</v>
      </c>
      <c r="D401" s="3" t="s">
        <v>68</v>
      </c>
      <c r="E401" s="3" t="s">
        <v>176</v>
      </c>
      <c r="F401" s="2" t="s">
        <v>177</v>
      </c>
      <c r="G401" s="4">
        <v>5</v>
      </c>
      <c r="H401" s="5">
        <v>3.43</v>
      </c>
      <c r="I401" s="5">
        <v>3.5753549617814802</v>
      </c>
      <c r="J401" s="6">
        <v>0</v>
      </c>
      <c r="K401" s="5">
        <v>0</v>
      </c>
      <c r="L401" s="6">
        <v>0</v>
      </c>
      <c r="M401" s="5">
        <v>0</v>
      </c>
      <c r="N401" s="6">
        <v>19.78471348386427</v>
      </c>
      <c r="O401" s="5">
        <v>67.861567249654428</v>
      </c>
      <c r="P401" s="6">
        <v>0</v>
      </c>
      <c r="Q401" s="5">
        <v>0</v>
      </c>
      <c r="R401" s="6">
        <v>0</v>
      </c>
      <c r="S401" s="5">
        <v>0</v>
      </c>
      <c r="T401" s="6">
        <v>0</v>
      </c>
      <c r="U401" s="5">
        <v>0</v>
      </c>
      <c r="V401" s="6">
        <v>0</v>
      </c>
      <c r="W401" s="5">
        <v>0</v>
      </c>
      <c r="X401" s="6">
        <v>0</v>
      </c>
      <c r="Y401" s="5">
        <v>0</v>
      </c>
      <c r="Z401" s="6">
        <v>0</v>
      </c>
      <c r="AA401" s="5">
        <v>0</v>
      </c>
      <c r="AB401" s="6">
        <v>0</v>
      </c>
      <c r="AC401" s="5">
        <v>0</v>
      </c>
      <c r="AD401" s="6">
        <v>18.959922785967791</v>
      </c>
      <c r="AE401" s="5">
        <v>65.03253515586951</v>
      </c>
      <c r="AF401" s="6">
        <v>0</v>
      </c>
      <c r="AG401" s="5">
        <v>0</v>
      </c>
      <c r="AH401" s="7">
        <f t="shared" si="48"/>
        <v>38.744636269832057</v>
      </c>
      <c r="AI401" s="8">
        <f t="shared" si="49"/>
        <v>132.89410240552394</v>
      </c>
      <c r="AJ401" s="6">
        <v>0</v>
      </c>
      <c r="AK401" s="5">
        <v>0</v>
      </c>
      <c r="AL401" s="6">
        <v>0</v>
      </c>
      <c r="AM401" s="5">
        <v>0</v>
      </c>
      <c r="AN401" s="6">
        <v>20</v>
      </c>
      <c r="AO401" s="5">
        <v>71.507099235629596</v>
      </c>
      <c r="AP401" s="6">
        <v>0</v>
      </c>
      <c r="AQ401" s="5">
        <v>0</v>
      </c>
      <c r="AR401" s="6">
        <v>0</v>
      </c>
      <c r="AS401" s="5">
        <v>0</v>
      </c>
      <c r="AT401" s="6">
        <v>0</v>
      </c>
      <c r="AU401" s="5">
        <v>0</v>
      </c>
      <c r="AV401" s="6">
        <v>0</v>
      </c>
      <c r="AW401" s="5">
        <v>0</v>
      </c>
      <c r="AX401" s="6">
        <v>0</v>
      </c>
      <c r="AY401" s="5">
        <v>0</v>
      </c>
      <c r="AZ401" s="6">
        <v>0</v>
      </c>
      <c r="BA401" s="5">
        <v>0</v>
      </c>
      <c r="BB401" s="6">
        <v>0</v>
      </c>
      <c r="BC401" s="5">
        <v>0</v>
      </c>
      <c r="BD401" s="6">
        <v>20</v>
      </c>
      <c r="BE401" s="5">
        <v>71.50709923562961</v>
      </c>
      <c r="BF401" s="6">
        <v>0</v>
      </c>
      <c r="BG401" s="5">
        <v>0</v>
      </c>
      <c r="BH401" s="9">
        <f t="shared" si="50"/>
        <v>40</v>
      </c>
      <c r="BI401" s="10">
        <f t="shared" si="51"/>
        <v>143.01419847125919</v>
      </c>
      <c r="BJ401" s="6">
        <f t="shared" si="52"/>
        <v>1.255363730167943</v>
      </c>
      <c r="BK401" s="11">
        <f t="shared" si="53"/>
        <v>3.2400968263713283E-2</v>
      </c>
      <c r="BL401" s="5">
        <f t="shared" si="54"/>
        <v>10.120096065735254</v>
      </c>
      <c r="BM401" s="11">
        <f t="shared" si="55"/>
        <v>7.6151581466376628E-2</v>
      </c>
    </row>
    <row r="402" spans="1:65" ht="15" customHeight="1" x14ac:dyDescent="0.4">
      <c r="A402" s="2" t="s">
        <v>269</v>
      </c>
      <c r="B402" s="2" t="s">
        <v>66</v>
      </c>
      <c r="C402" s="2" t="s">
        <v>350</v>
      </c>
      <c r="D402" s="3" t="s">
        <v>68</v>
      </c>
      <c r="E402" s="3" t="s">
        <v>178</v>
      </c>
      <c r="F402" s="2" t="s">
        <v>179</v>
      </c>
      <c r="G402" s="4">
        <v>5</v>
      </c>
      <c r="H402" s="5">
        <v>2.5779999999999998</v>
      </c>
      <c r="I402" s="5">
        <v>2.687249297805439</v>
      </c>
      <c r="J402" s="6">
        <v>0</v>
      </c>
      <c r="K402" s="5">
        <v>0</v>
      </c>
      <c r="L402" s="6">
        <v>0</v>
      </c>
      <c r="M402" s="5">
        <v>0</v>
      </c>
      <c r="N402" s="6">
        <v>0</v>
      </c>
      <c r="O402" s="5">
        <v>0</v>
      </c>
      <c r="P402" s="6">
        <v>0</v>
      </c>
      <c r="Q402" s="5">
        <v>0</v>
      </c>
      <c r="R402" s="6">
        <v>0</v>
      </c>
      <c r="S402" s="5">
        <v>0</v>
      </c>
      <c r="T402" s="6">
        <v>0</v>
      </c>
      <c r="U402" s="5">
        <v>0</v>
      </c>
      <c r="V402" s="6">
        <v>0</v>
      </c>
      <c r="W402" s="5">
        <v>0</v>
      </c>
      <c r="X402" s="6">
        <v>0</v>
      </c>
      <c r="Y402" s="5">
        <v>0</v>
      </c>
      <c r="Z402" s="6">
        <v>284.39884178951678</v>
      </c>
      <c r="AA402" s="5">
        <v>733.18021413337431</v>
      </c>
      <c r="AB402" s="6">
        <v>284.39884178951678</v>
      </c>
      <c r="AC402" s="5">
        <v>733.18021413337431</v>
      </c>
      <c r="AD402" s="6">
        <v>284.39884178951678</v>
      </c>
      <c r="AE402" s="5">
        <v>733.18021413337431</v>
      </c>
      <c r="AF402" s="6">
        <v>0</v>
      </c>
      <c r="AG402" s="5">
        <v>0</v>
      </c>
      <c r="AH402" s="7">
        <f t="shared" si="48"/>
        <v>853.19652536855028</v>
      </c>
      <c r="AI402" s="8">
        <f t="shared" si="49"/>
        <v>2199.540642400123</v>
      </c>
      <c r="AJ402" s="6">
        <v>0</v>
      </c>
      <c r="AK402" s="5">
        <v>0</v>
      </c>
      <c r="AL402" s="6">
        <v>0</v>
      </c>
      <c r="AM402" s="5">
        <v>0</v>
      </c>
      <c r="AN402" s="6">
        <v>0</v>
      </c>
      <c r="AO402" s="5">
        <v>0</v>
      </c>
      <c r="AP402" s="6">
        <v>0</v>
      </c>
      <c r="AQ402" s="5">
        <v>0</v>
      </c>
      <c r="AR402" s="6">
        <v>0</v>
      </c>
      <c r="AS402" s="5">
        <v>0</v>
      </c>
      <c r="AT402" s="6">
        <v>0</v>
      </c>
      <c r="AU402" s="5">
        <v>0</v>
      </c>
      <c r="AV402" s="6">
        <v>0</v>
      </c>
      <c r="AW402" s="5">
        <v>0</v>
      </c>
      <c r="AX402" s="6">
        <v>0</v>
      </c>
      <c r="AY402" s="5">
        <v>0</v>
      </c>
      <c r="AZ402" s="6">
        <v>360</v>
      </c>
      <c r="BA402" s="5">
        <v>967.40974720995803</v>
      </c>
      <c r="BB402" s="6">
        <v>360</v>
      </c>
      <c r="BC402" s="5">
        <v>967.40974720995803</v>
      </c>
      <c r="BD402" s="6">
        <v>360</v>
      </c>
      <c r="BE402" s="5">
        <v>967.40974720995803</v>
      </c>
      <c r="BF402" s="6">
        <v>0</v>
      </c>
      <c r="BG402" s="5">
        <v>0</v>
      </c>
      <c r="BH402" s="9">
        <f t="shared" si="50"/>
        <v>1080</v>
      </c>
      <c r="BI402" s="10">
        <f t="shared" si="51"/>
        <v>2902.2292416298742</v>
      </c>
      <c r="BJ402" s="6">
        <f t="shared" si="52"/>
        <v>226.80347463144972</v>
      </c>
      <c r="BK402" s="11">
        <f t="shared" si="53"/>
        <v>0.26582793985650466</v>
      </c>
      <c r="BL402" s="5">
        <f t="shared" si="54"/>
        <v>702.68859922975116</v>
      </c>
      <c r="BM402" s="11">
        <f t="shared" si="55"/>
        <v>0.31947061385643793</v>
      </c>
    </row>
    <row r="403" spans="1:65" ht="15" customHeight="1" x14ac:dyDescent="0.4">
      <c r="A403" s="2" t="s">
        <v>269</v>
      </c>
      <c r="B403" s="2" t="s">
        <v>66</v>
      </c>
      <c r="C403" s="2" t="s">
        <v>350</v>
      </c>
      <c r="D403" s="3" t="s">
        <v>68</v>
      </c>
      <c r="E403" s="3" t="s">
        <v>71</v>
      </c>
      <c r="F403" s="2" t="s">
        <v>72</v>
      </c>
      <c r="G403" s="4">
        <v>20</v>
      </c>
      <c r="H403" s="5">
        <v>2.4333333333333331</v>
      </c>
      <c r="I403" s="5">
        <v>2.5364520137030908</v>
      </c>
      <c r="J403" s="6">
        <v>633.11083148365651</v>
      </c>
      <c r="K403" s="5">
        <v>1481.4793456717559</v>
      </c>
      <c r="L403" s="6">
        <v>0</v>
      </c>
      <c r="M403" s="5">
        <v>0</v>
      </c>
      <c r="N403" s="6">
        <v>0</v>
      </c>
      <c r="O403" s="5">
        <v>0</v>
      </c>
      <c r="P403" s="6">
        <v>0</v>
      </c>
      <c r="Q403" s="5">
        <v>0</v>
      </c>
      <c r="R403" s="6">
        <v>0</v>
      </c>
      <c r="S403" s="5">
        <v>0</v>
      </c>
      <c r="T403" s="6">
        <v>633.11083148365651</v>
      </c>
      <c r="U403" s="5">
        <v>1570.1148620794679</v>
      </c>
      <c r="V403" s="6">
        <v>633.11083148365651</v>
      </c>
      <c r="W403" s="5">
        <v>1570.1148620794679</v>
      </c>
      <c r="X403" s="6">
        <v>0</v>
      </c>
      <c r="Y403" s="5">
        <v>0</v>
      </c>
      <c r="Z403" s="6">
        <v>0</v>
      </c>
      <c r="AA403" s="5">
        <v>0</v>
      </c>
      <c r="AB403" s="6">
        <v>568.79768357903356</v>
      </c>
      <c r="AC403" s="5">
        <v>1384.0743633756481</v>
      </c>
      <c r="AD403" s="6">
        <v>0</v>
      </c>
      <c r="AE403" s="5">
        <v>0</v>
      </c>
      <c r="AF403" s="6">
        <v>568.79768357903356</v>
      </c>
      <c r="AG403" s="5">
        <v>1384.0743633756481</v>
      </c>
      <c r="AH403" s="7">
        <f t="shared" si="48"/>
        <v>3036.9278616090369</v>
      </c>
      <c r="AI403" s="8">
        <f t="shared" si="49"/>
        <v>7389.8577965819877</v>
      </c>
      <c r="AJ403" s="6">
        <v>800</v>
      </c>
      <c r="AK403" s="5">
        <v>1951.330754651583</v>
      </c>
      <c r="AL403" s="6">
        <v>0</v>
      </c>
      <c r="AM403" s="5">
        <v>0</v>
      </c>
      <c r="AN403" s="6">
        <v>0</v>
      </c>
      <c r="AO403" s="5">
        <v>0</v>
      </c>
      <c r="AP403" s="6">
        <v>0</v>
      </c>
      <c r="AQ403" s="5">
        <v>0</v>
      </c>
      <c r="AR403" s="6">
        <v>0</v>
      </c>
      <c r="AS403" s="5">
        <v>0</v>
      </c>
      <c r="AT403" s="6">
        <v>800</v>
      </c>
      <c r="AU403" s="5">
        <v>2068.077039117918</v>
      </c>
      <c r="AV403" s="6">
        <v>800</v>
      </c>
      <c r="AW403" s="5">
        <v>2068.077039117918</v>
      </c>
      <c r="AX403" s="6">
        <v>0</v>
      </c>
      <c r="AY403" s="5">
        <v>0</v>
      </c>
      <c r="AZ403" s="6">
        <v>0</v>
      </c>
      <c r="BA403" s="5">
        <v>0</v>
      </c>
      <c r="BB403" s="6">
        <v>720</v>
      </c>
      <c r="BC403" s="5">
        <v>1826.245449866225</v>
      </c>
      <c r="BD403" s="6">
        <v>0</v>
      </c>
      <c r="BE403" s="5">
        <v>0</v>
      </c>
      <c r="BF403" s="6">
        <v>720</v>
      </c>
      <c r="BG403" s="5">
        <v>1826.245449866225</v>
      </c>
      <c r="BH403" s="9">
        <f t="shared" si="50"/>
        <v>3840</v>
      </c>
      <c r="BI403" s="10">
        <f t="shared" si="51"/>
        <v>9739.9757326198687</v>
      </c>
      <c r="BJ403" s="6">
        <f t="shared" si="52"/>
        <v>803.07213839096312</v>
      </c>
      <c r="BK403" s="11">
        <f t="shared" si="53"/>
        <v>0.26443569784547871</v>
      </c>
      <c r="BL403" s="5">
        <f t="shared" si="54"/>
        <v>2350.117936037881</v>
      </c>
      <c r="BM403" s="11">
        <f t="shared" si="55"/>
        <v>0.31801937205407055</v>
      </c>
    </row>
    <row r="404" spans="1:65" ht="15" customHeight="1" x14ac:dyDescent="0.4">
      <c r="A404" s="2" t="s">
        <v>269</v>
      </c>
      <c r="B404" s="2" t="s">
        <v>66</v>
      </c>
      <c r="C404" s="2" t="s">
        <v>350</v>
      </c>
      <c r="D404" s="3" t="s">
        <v>68</v>
      </c>
      <c r="E404" s="3" t="s">
        <v>88</v>
      </c>
      <c r="F404" s="2" t="s">
        <v>89</v>
      </c>
      <c r="G404" s="4">
        <v>5</v>
      </c>
      <c r="H404" s="5">
        <v>2.66</v>
      </c>
      <c r="I404" s="5">
        <v>2.7727242560754339</v>
      </c>
      <c r="J404" s="6">
        <v>0</v>
      </c>
      <c r="K404" s="5">
        <v>0</v>
      </c>
      <c r="L404" s="6">
        <v>0</v>
      </c>
      <c r="M404" s="5">
        <v>0</v>
      </c>
      <c r="N404" s="6">
        <v>0</v>
      </c>
      <c r="O404" s="5">
        <v>0</v>
      </c>
      <c r="P404" s="6">
        <v>0</v>
      </c>
      <c r="Q404" s="5">
        <v>0</v>
      </c>
      <c r="R404" s="6">
        <v>0</v>
      </c>
      <c r="S404" s="5">
        <v>0</v>
      </c>
      <c r="T404" s="6">
        <v>593.54140451592798</v>
      </c>
      <c r="U404" s="5">
        <v>1578.820136012368</v>
      </c>
      <c r="V404" s="6">
        <v>0</v>
      </c>
      <c r="W404" s="5">
        <v>0</v>
      </c>
      <c r="X404" s="6">
        <v>0</v>
      </c>
      <c r="Y404" s="5">
        <v>0</v>
      </c>
      <c r="Z404" s="6">
        <v>0</v>
      </c>
      <c r="AA404" s="5">
        <v>0</v>
      </c>
      <c r="AB404" s="6">
        <v>0</v>
      </c>
      <c r="AC404" s="5">
        <v>0</v>
      </c>
      <c r="AD404" s="6">
        <v>0</v>
      </c>
      <c r="AE404" s="5">
        <v>0</v>
      </c>
      <c r="AF404" s="6">
        <v>0</v>
      </c>
      <c r="AG404" s="5">
        <v>0</v>
      </c>
      <c r="AH404" s="7">
        <f t="shared" si="48"/>
        <v>593.54140451592798</v>
      </c>
      <c r="AI404" s="8">
        <f t="shared" si="49"/>
        <v>1578.820136012368</v>
      </c>
      <c r="AJ404" s="6">
        <v>0</v>
      </c>
      <c r="AK404" s="5">
        <v>0</v>
      </c>
      <c r="AL404" s="6">
        <v>0</v>
      </c>
      <c r="AM404" s="5">
        <v>0</v>
      </c>
      <c r="AN404" s="6">
        <v>0</v>
      </c>
      <c r="AO404" s="5">
        <v>0</v>
      </c>
      <c r="AP404" s="6">
        <v>0</v>
      </c>
      <c r="AQ404" s="5">
        <v>0</v>
      </c>
      <c r="AR404" s="6">
        <v>0</v>
      </c>
      <c r="AS404" s="5">
        <v>0</v>
      </c>
      <c r="AT404" s="6">
        <v>655</v>
      </c>
      <c r="AU404" s="5">
        <v>1816.1343877294089</v>
      </c>
      <c r="AV404" s="6">
        <v>0</v>
      </c>
      <c r="AW404" s="5">
        <v>0</v>
      </c>
      <c r="AX404" s="6">
        <v>0</v>
      </c>
      <c r="AY404" s="5">
        <v>0</v>
      </c>
      <c r="AZ404" s="6">
        <v>0</v>
      </c>
      <c r="BA404" s="5">
        <v>0</v>
      </c>
      <c r="BB404" s="6">
        <v>0</v>
      </c>
      <c r="BC404" s="5">
        <v>0</v>
      </c>
      <c r="BD404" s="6">
        <v>0</v>
      </c>
      <c r="BE404" s="5">
        <v>0</v>
      </c>
      <c r="BF404" s="6">
        <v>0</v>
      </c>
      <c r="BG404" s="5">
        <v>0</v>
      </c>
      <c r="BH404" s="9">
        <f t="shared" si="50"/>
        <v>655</v>
      </c>
      <c r="BI404" s="10">
        <f t="shared" si="51"/>
        <v>1816.1343877294089</v>
      </c>
      <c r="BJ404" s="6">
        <f t="shared" si="52"/>
        <v>61.458595484072021</v>
      </c>
      <c r="BK404" s="11">
        <f t="shared" si="53"/>
        <v>0.10354559095029865</v>
      </c>
      <c r="BL404" s="5">
        <f t="shared" si="54"/>
        <v>237.31425171704086</v>
      </c>
      <c r="BM404" s="11">
        <f t="shared" si="55"/>
        <v>0.15031113823796696</v>
      </c>
    </row>
    <row r="405" spans="1:65" ht="15" customHeight="1" x14ac:dyDescent="0.4">
      <c r="A405" s="2" t="s">
        <v>269</v>
      </c>
      <c r="B405" s="2" t="s">
        <v>66</v>
      </c>
      <c r="C405" s="2" t="s">
        <v>350</v>
      </c>
      <c r="D405" s="3" t="s">
        <v>68</v>
      </c>
      <c r="E405" s="3" t="s">
        <v>118</v>
      </c>
      <c r="F405" s="2" t="s">
        <v>119</v>
      </c>
      <c r="G405" s="4">
        <v>5</v>
      </c>
      <c r="H405" s="5">
        <v>2.66</v>
      </c>
      <c r="I405" s="5">
        <v>2.7727242560754339</v>
      </c>
      <c r="J405" s="6">
        <v>0</v>
      </c>
      <c r="K405" s="5">
        <v>0</v>
      </c>
      <c r="L405" s="6">
        <v>0</v>
      </c>
      <c r="M405" s="5">
        <v>0</v>
      </c>
      <c r="N405" s="6">
        <v>0</v>
      </c>
      <c r="O405" s="5">
        <v>0</v>
      </c>
      <c r="P405" s="6">
        <v>0</v>
      </c>
      <c r="Q405" s="5">
        <v>0</v>
      </c>
      <c r="R405" s="6">
        <v>0</v>
      </c>
      <c r="S405" s="5">
        <v>0</v>
      </c>
      <c r="T405" s="6">
        <v>0</v>
      </c>
      <c r="U405" s="5">
        <v>0</v>
      </c>
      <c r="V405" s="6">
        <v>3264.477724837604</v>
      </c>
      <c r="W405" s="5">
        <v>8683.5107480680254</v>
      </c>
      <c r="X405" s="6">
        <v>0</v>
      </c>
      <c r="Y405" s="5">
        <v>0</v>
      </c>
      <c r="Z405" s="6">
        <v>0</v>
      </c>
      <c r="AA405" s="5">
        <v>0</v>
      </c>
      <c r="AB405" s="6">
        <v>0</v>
      </c>
      <c r="AC405" s="5">
        <v>0</v>
      </c>
      <c r="AD405" s="6">
        <v>0</v>
      </c>
      <c r="AE405" s="5">
        <v>0</v>
      </c>
      <c r="AF405" s="6">
        <v>0</v>
      </c>
      <c r="AG405" s="5">
        <v>0</v>
      </c>
      <c r="AH405" s="7">
        <f t="shared" si="48"/>
        <v>3264.477724837604</v>
      </c>
      <c r="AI405" s="8">
        <f t="shared" si="49"/>
        <v>8683.5107480680254</v>
      </c>
      <c r="AJ405" s="6">
        <v>0</v>
      </c>
      <c r="AK405" s="5">
        <v>0</v>
      </c>
      <c r="AL405" s="6">
        <v>0</v>
      </c>
      <c r="AM405" s="5">
        <v>0</v>
      </c>
      <c r="AN405" s="6">
        <v>0</v>
      </c>
      <c r="AO405" s="5">
        <v>0</v>
      </c>
      <c r="AP405" s="6">
        <v>0</v>
      </c>
      <c r="AQ405" s="5">
        <v>0</v>
      </c>
      <c r="AR405" s="6">
        <v>0</v>
      </c>
      <c r="AS405" s="5">
        <v>0</v>
      </c>
      <c r="AT405" s="6">
        <v>0</v>
      </c>
      <c r="AU405" s="5">
        <v>0</v>
      </c>
      <c r="AV405" s="6">
        <v>3600</v>
      </c>
      <c r="AW405" s="5">
        <v>9981.8073218715617</v>
      </c>
      <c r="AX405" s="6">
        <v>0</v>
      </c>
      <c r="AY405" s="5">
        <v>0</v>
      </c>
      <c r="AZ405" s="6">
        <v>0</v>
      </c>
      <c r="BA405" s="5">
        <v>0</v>
      </c>
      <c r="BB405" s="6">
        <v>0</v>
      </c>
      <c r="BC405" s="5">
        <v>0</v>
      </c>
      <c r="BD405" s="6">
        <v>0</v>
      </c>
      <c r="BE405" s="5">
        <v>0</v>
      </c>
      <c r="BF405" s="6">
        <v>0</v>
      </c>
      <c r="BG405" s="5">
        <v>0</v>
      </c>
      <c r="BH405" s="9">
        <f t="shared" si="50"/>
        <v>3600</v>
      </c>
      <c r="BI405" s="10">
        <f t="shared" si="51"/>
        <v>9981.8073218715617</v>
      </c>
      <c r="BJ405" s="6">
        <f t="shared" si="52"/>
        <v>335.522275162396</v>
      </c>
      <c r="BK405" s="11">
        <f t="shared" si="53"/>
        <v>0.10277977166442054</v>
      </c>
      <c r="BL405" s="5">
        <f t="shared" si="54"/>
        <v>1298.2965738035364</v>
      </c>
      <c r="BM405" s="11">
        <f t="shared" si="55"/>
        <v>0.14951286541476227</v>
      </c>
    </row>
    <row r="406" spans="1:65" ht="15" customHeight="1" x14ac:dyDescent="0.4">
      <c r="A406" s="2" t="s">
        <v>269</v>
      </c>
      <c r="B406" s="2" t="s">
        <v>66</v>
      </c>
      <c r="C406" s="2" t="s">
        <v>350</v>
      </c>
      <c r="D406" s="3" t="s">
        <v>68</v>
      </c>
      <c r="E406" s="3" t="s">
        <v>138</v>
      </c>
      <c r="F406" s="2" t="s">
        <v>139</v>
      </c>
      <c r="G406" s="4">
        <v>5</v>
      </c>
      <c r="H406" s="5">
        <v>3.31</v>
      </c>
      <c r="I406" s="5">
        <v>3.4502696569961229</v>
      </c>
      <c r="J406" s="6">
        <v>0</v>
      </c>
      <c r="K406" s="5">
        <v>0</v>
      </c>
      <c r="L406" s="6">
        <v>0</v>
      </c>
      <c r="M406" s="5">
        <v>0</v>
      </c>
      <c r="N406" s="6">
        <v>316.55541574182831</v>
      </c>
      <c r="O406" s="5">
        <v>1047.798426105451</v>
      </c>
      <c r="P406" s="6">
        <v>0</v>
      </c>
      <c r="Q406" s="5">
        <v>0</v>
      </c>
      <c r="R406" s="6">
        <v>0</v>
      </c>
      <c r="S406" s="5">
        <v>0</v>
      </c>
      <c r="T406" s="6">
        <v>0</v>
      </c>
      <c r="U406" s="5">
        <v>0</v>
      </c>
      <c r="V406" s="6">
        <v>0</v>
      </c>
      <c r="W406" s="5">
        <v>0</v>
      </c>
      <c r="X406" s="6">
        <v>0</v>
      </c>
      <c r="Y406" s="5">
        <v>0</v>
      </c>
      <c r="Z406" s="6">
        <v>0</v>
      </c>
      <c r="AA406" s="5">
        <v>0</v>
      </c>
      <c r="AB406" s="6">
        <v>0</v>
      </c>
      <c r="AC406" s="5">
        <v>0</v>
      </c>
      <c r="AD406" s="6">
        <v>284.39884178951678</v>
      </c>
      <c r="AE406" s="5">
        <v>941.36016632330063</v>
      </c>
      <c r="AF406" s="6">
        <v>0</v>
      </c>
      <c r="AG406" s="5">
        <v>0</v>
      </c>
      <c r="AH406" s="7">
        <f t="shared" si="48"/>
        <v>600.95425753134509</v>
      </c>
      <c r="AI406" s="8">
        <f t="shared" si="49"/>
        <v>1989.1585924287515</v>
      </c>
      <c r="AJ406" s="6">
        <v>0</v>
      </c>
      <c r="AK406" s="5">
        <v>0</v>
      </c>
      <c r="AL406" s="6">
        <v>0</v>
      </c>
      <c r="AM406" s="5">
        <v>0</v>
      </c>
      <c r="AN406" s="6">
        <v>345</v>
      </c>
      <c r="AO406" s="5">
        <v>1190.343031663662</v>
      </c>
      <c r="AP406" s="6">
        <v>0</v>
      </c>
      <c r="AQ406" s="5">
        <v>0</v>
      </c>
      <c r="AR406" s="6">
        <v>0</v>
      </c>
      <c r="AS406" s="5">
        <v>0</v>
      </c>
      <c r="AT406" s="6">
        <v>0</v>
      </c>
      <c r="AU406" s="5">
        <v>0</v>
      </c>
      <c r="AV406" s="6">
        <v>0</v>
      </c>
      <c r="AW406" s="5">
        <v>0</v>
      </c>
      <c r="AX406" s="6">
        <v>0</v>
      </c>
      <c r="AY406" s="5">
        <v>0</v>
      </c>
      <c r="AZ406" s="6">
        <v>0</v>
      </c>
      <c r="BA406" s="5">
        <v>0</v>
      </c>
      <c r="BB406" s="6">
        <v>0</v>
      </c>
      <c r="BC406" s="5">
        <v>0</v>
      </c>
      <c r="BD406" s="6">
        <v>310</v>
      </c>
      <c r="BE406" s="5">
        <v>1069.5835936687979</v>
      </c>
      <c r="BF406" s="6">
        <v>0</v>
      </c>
      <c r="BG406" s="5">
        <v>0</v>
      </c>
      <c r="BH406" s="9">
        <f t="shared" si="50"/>
        <v>655</v>
      </c>
      <c r="BI406" s="10">
        <f t="shared" si="51"/>
        <v>2259.9266253324599</v>
      </c>
      <c r="BJ406" s="6">
        <f t="shared" si="52"/>
        <v>54.045742468654907</v>
      </c>
      <c r="BK406" s="11">
        <f t="shared" si="53"/>
        <v>8.9933205050695464E-2</v>
      </c>
      <c r="BL406" s="5">
        <f t="shared" si="54"/>
        <v>270.76803290370844</v>
      </c>
      <c r="BM406" s="11">
        <f t="shared" si="55"/>
        <v>0.13612189291206903</v>
      </c>
    </row>
    <row r="407" spans="1:65" ht="15" customHeight="1" x14ac:dyDescent="0.4">
      <c r="A407" s="2" t="s">
        <v>269</v>
      </c>
      <c r="B407" s="2" t="s">
        <v>66</v>
      </c>
      <c r="C407" s="2" t="s">
        <v>350</v>
      </c>
      <c r="D407" s="3" t="s">
        <v>68</v>
      </c>
      <c r="E407" s="3" t="s">
        <v>147</v>
      </c>
      <c r="F407" s="2" t="s">
        <v>148</v>
      </c>
      <c r="G407" s="4">
        <v>5</v>
      </c>
      <c r="H407" s="5">
        <v>2.7798387096774202</v>
      </c>
      <c r="I407" s="5">
        <v>2.8976527426727312</v>
      </c>
      <c r="J407" s="6">
        <v>59.354140451592791</v>
      </c>
      <c r="K407" s="5">
        <v>154.9143065786572</v>
      </c>
      <c r="L407" s="6">
        <v>0</v>
      </c>
      <c r="M407" s="5">
        <v>0</v>
      </c>
      <c r="N407" s="6">
        <v>158.2777078709141</v>
      </c>
      <c r="O407" s="5">
        <v>441.59480495985042</v>
      </c>
      <c r="P407" s="6">
        <v>39.569426967728532</v>
      </c>
      <c r="Q407" s="5">
        <v>110.39870123996261</v>
      </c>
      <c r="R407" s="6">
        <v>296.77070225796399</v>
      </c>
      <c r="S407" s="5">
        <v>822.05484525456018</v>
      </c>
      <c r="T407" s="6">
        <v>395.69426967728532</v>
      </c>
      <c r="U407" s="5">
        <v>1125.7501972318771</v>
      </c>
      <c r="V407" s="6">
        <v>1503.638224773684</v>
      </c>
      <c r="W407" s="5">
        <v>4165.0778826231053</v>
      </c>
      <c r="X407" s="6">
        <v>0</v>
      </c>
      <c r="Y407" s="5">
        <v>0</v>
      </c>
      <c r="Z407" s="6">
        <v>284.39884178951678</v>
      </c>
      <c r="AA407" s="5">
        <v>790.58290939392271</v>
      </c>
      <c r="AB407" s="6">
        <v>284.39884178951678</v>
      </c>
      <c r="AC407" s="5">
        <v>790.58290939392271</v>
      </c>
      <c r="AD407" s="6">
        <v>284.39884178951678</v>
      </c>
      <c r="AE407" s="5">
        <v>790.58290939392271</v>
      </c>
      <c r="AF407" s="6">
        <v>284.39884178951678</v>
      </c>
      <c r="AG407" s="5">
        <v>790.58290939392271</v>
      </c>
      <c r="AH407" s="7">
        <f t="shared" si="48"/>
        <v>3590.899839157235</v>
      </c>
      <c r="AI407" s="8">
        <f t="shared" si="49"/>
        <v>9982.1223754637031</v>
      </c>
      <c r="AJ407" s="6">
        <v>75</v>
      </c>
      <c r="AK407" s="5">
        <v>204.04540343111509</v>
      </c>
      <c r="AL407" s="6">
        <v>0</v>
      </c>
      <c r="AM407" s="5">
        <v>0</v>
      </c>
      <c r="AN407" s="6">
        <v>200</v>
      </c>
      <c r="AO407" s="5">
        <v>581.64666725191421</v>
      </c>
      <c r="AP407" s="6">
        <v>50</v>
      </c>
      <c r="AQ407" s="5">
        <v>145.41166681297861</v>
      </c>
      <c r="AR407" s="6">
        <v>375</v>
      </c>
      <c r="AS407" s="5">
        <v>1082.7696695482539</v>
      </c>
      <c r="AT407" s="6">
        <v>500</v>
      </c>
      <c r="AU407" s="5">
        <v>1482.78205047643</v>
      </c>
      <c r="AV407" s="6">
        <v>1895</v>
      </c>
      <c r="AW407" s="5">
        <v>5471.5960634505127</v>
      </c>
      <c r="AX407" s="6">
        <v>0</v>
      </c>
      <c r="AY407" s="5">
        <v>0</v>
      </c>
      <c r="AZ407" s="6">
        <v>360</v>
      </c>
      <c r="BA407" s="5">
        <v>1043.1509167624081</v>
      </c>
      <c r="BB407" s="6">
        <v>360</v>
      </c>
      <c r="BC407" s="5">
        <v>1043.1509167624081</v>
      </c>
      <c r="BD407" s="6">
        <v>360</v>
      </c>
      <c r="BE407" s="5">
        <v>1043.1509167624081</v>
      </c>
      <c r="BF407" s="6">
        <v>360</v>
      </c>
      <c r="BG407" s="5">
        <v>1043.1509167624081</v>
      </c>
      <c r="BH407" s="9">
        <f t="shared" si="50"/>
        <v>4535</v>
      </c>
      <c r="BI407" s="10">
        <f t="shared" si="51"/>
        <v>13140.855188020836</v>
      </c>
      <c r="BJ407" s="6">
        <f t="shared" si="52"/>
        <v>944.10016084276504</v>
      </c>
      <c r="BK407" s="11">
        <f t="shared" si="53"/>
        <v>0.2629146462253707</v>
      </c>
      <c r="BL407" s="5">
        <f t="shared" si="54"/>
        <v>3158.732812557133</v>
      </c>
      <c r="BM407" s="11">
        <f t="shared" si="55"/>
        <v>0.31643899901702011</v>
      </c>
    </row>
    <row r="408" spans="1:65" ht="15" customHeight="1" x14ac:dyDescent="0.4">
      <c r="A408" s="2" t="s">
        <v>269</v>
      </c>
      <c r="B408" s="2" t="s">
        <v>66</v>
      </c>
      <c r="C408" s="2" t="s">
        <v>350</v>
      </c>
      <c r="D408" s="3" t="s">
        <v>68</v>
      </c>
      <c r="E408" s="3" t="s">
        <v>182</v>
      </c>
      <c r="F408" s="2" t="s">
        <v>183</v>
      </c>
      <c r="G408" s="4">
        <v>5</v>
      </c>
      <c r="H408" s="5">
        <v>6.56</v>
      </c>
      <c r="I408" s="5">
        <v>6.8379966615995658</v>
      </c>
      <c r="J408" s="6">
        <v>0</v>
      </c>
      <c r="K408" s="5">
        <v>0</v>
      </c>
      <c r="L408" s="6">
        <v>0</v>
      </c>
      <c r="M408" s="5">
        <v>0</v>
      </c>
      <c r="N408" s="6">
        <v>0</v>
      </c>
      <c r="O408" s="5">
        <v>0</v>
      </c>
      <c r="P408" s="6">
        <v>0</v>
      </c>
      <c r="Q408" s="5">
        <v>0</v>
      </c>
      <c r="R408" s="6">
        <v>197.84713483864269</v>
      </c>
      <c r="S408" s="5">
        <v>1297.877204541496</v>
      </c>
      <c r="T408" s="6">
        <v>0</v>
      </c>
      <c r="U408" s="5">
        <v>0</v>
      </c>
      <c r="V408" s="6">
        <v>98.92356741932133</v>
      </c>
      <c r="W408" s="5">
        <v>648.93860227074788</v>
      </c>
      <c r="X408" s="6">
        <v>0</v>
      </c>
      <c r="Y408" s="5">
        <v>0</v>
      </c>
      <c r="Z408" s="6">
        <v>0</v>
      </c>
      <c r="AA408" s="5">
        <v>0</v>
      </c>
      <c r="AB408" s="6">
        <v>0</v>
      </c>
      <c r="AC408" s="5">
        <v>0</v>
      </c>
      <c r="AD408" s="6">
        <v>0</v>
      </c>
      <c r="AE408" s="5">
        <v>0</v>
      </c>
      <c r="AF408" s="6">
        <v>0</v>
      </c>
      <c r="AG408" s="5">
        <v>0</v>
      </c>
      <c r="AH408" s="7">
        <f t="shared" si="48"/>
        <v>296.77070225796399</v>
      </c>
      <c r="AI408" s="8">
        <f t="shared" si="49"/>
        <v>1946.8158068122439</v>
      </c>
      <c r="AJ408" s="6">
        <v>0</v>
      </c>
      <c r="AK408" s="5">
        <v>0</v>
      </c>
      <c r="AL408" s="6">
        <v>0</v>
      </c>
      <c r="AM408" s="5">
        <v>0</v>
      </c>
      <c r="AN408" s="6">
        <v>0</v>
      </c>
      <c r="AO408" s="5">
        <v>0</v>
      </c>
      <c r="AP408" s="6">
        <v>0</v>
      </c>
      <c r="AQ408" s="5">
        <v>0</v>
      </c>
      <c r="AR408" s="6">
        <v>250</v>
      </c>
      <c r="AS408" s="5">
        <v>1709.4991653998909</v>
      </c>
      <c r="AT408" s="6">
        <v>0</v>
      </c>
      <c r="AU408" s="5">
        <v>0</v>
      </c>
      <c r="AV408" s="6">
        <v>125</v>
      </c>
      <c r="AW408" s="5">
        <v>854.74958269994568</v>
      </c>
      <c r="AX408" s="6">
        <v>0</v>
      </c>
      <c r="AY408" s="5">
        <v>0</v>
      </c>
      <c r="AZ408" s="6">
        <v>0</v>
      </c>
      <c r="BA408" s="5">
        <v>0</v>
      </c>
      <c r="BB408" s="6">
        <v>0</v>
      </c>
      <c r="BC408" s="5">
        <v>0</v>
      </c>
      <c r="BD408" s="6">
        <v>0</v>
      </c>
      <c r="BE408" s="5">
        <v>0</v>
      </c>
      <c r="BF408" s="6">
        <v>0</v>
      </c>
      <c r="BG408" s="5">
        <v>0</v>
      </c>
      <c r="BH408" s="9">
        <f t="shared" si="50"/>
        <v>375</v>
      </c>
      <c r="BI408" s="10">
        <f t="shared" si="51"/>
        <v>2564.2487480998366</v>
      </c>
      <c r="BJ408" s="6">
        <f t="shared" si="52"/>
        <v>78.22929774203601</v>
      </c>
      <c r="BK408" s="11">
        <f t="shared" si="53"/>
        <v>0.26360182169881524</v>
      </c>
      <c r="BL408" s="5">
        <f t="shared" si="54"/>
        <v>617.43294128759271</v>
      </c>
      <c r="BM408" s="11">
        <f t="shared" si="55"/>
        <v>0.31715015828774784</v>
      </c>
    </row>
    <row r="409" spans="1:65" ht="15" customHeight="1" x14ac:dyDescent="0.4">
      <c r="A409" s="2" t="s">
        <v>269</v>
      </c>
      <c r="B409" s="2" t="s">
        <v>66</v>
      </c>
      <c r="C409" s="2" t="s">
        <v>350</v>
      </c>
      <c r="D409" s="3" t="s">
        <v>68</v>
      </c>
      <c r="E409" s="3" t="s">
        <v>247</v>
      </c>
      <c r="F409" s="2" t="s">
        <v>248</v>
      </c>
      <c r="G409" s="4">
        <v>5</v>
      </c>
      <c r="H409" s="5">
        <v>2.9355555555555548</v>
      </c>
      <c r="I409" s="5">
        <v>3.0599289294613272</v>
      </c>
      <c r="J409" s="6">
        <v>0</v>
      </c>
      <c r="K409" s="5">
        <v>0</v>
      </c>
      <c r="L409" s="6">
        <v>0</v>
      </c>
      <c r="M409" s="5">
        <v>0</v>
      </c>
      <c r="N409" s="6">
        <v>39.569426967728532</v>
      </c>
      <c r="O409" s="5">
        <v>116.3341152851219</v>
      </c>
      <c r="P409" s="6">
        <v>59.354140451592791</v>
      </c>
      <c r="Q409" s="5">
        <v>174.5011729276828</v>
      </c>
      <c r="R409" s="6">
        <v>0</v>
      </c>
      <c r="S409" s="5">
        <v>0</v>
      </c>
      <c r="T409" s="6">
        <v>0</v>
      </c>
      <c r="U409" s="5">
        <v>0</v>
      </c>
      <c r="V409" s="6">
        <v>79.138853935457064</v>
      </c>
      <c r="W409" s="5">
        <v>231.87684203088921</v>
      </c>
      <c r="X409" s="6">
        <v>0</v>
      </c>
      <c r="Y409" s="5">
        <v>0</v>
      </c>
      <c r="Z409" s="6">
        <v>94.799613929838927</v>
      </c>
      <c r="AA409" s="5">
        <v>278.28953333626038</v>
      </c>
      <c r="AB409" s="6">
        <v>94.799613929838927</v>
      </c>
      <c r="AC409" s="5">
        <v>278.28953333626038</v>
      </c>
      <c r="AD409" s="6">
        <v>0</v>
      </c>
      <c r="AE409" s="5">
        <v>0</v>
      </c>
      <c r="AF409" s="6">
        <v>0</v>
      </c>
      <c r="AG409" s="5">
        <v>0</v>
      </c>
      <c r="AH409" s="7">
        <f t="shared" si="48"/>
        <v>367.66164921445625</v>
      </c>
      <c r="AI409" s="8">
        <f t="shared" si="49"/>
        <v>1079.2911969162146</v>
      </c>
      <c r="AJ409" s="6">
        <v>0</v>
      </c>
      <c r="AK409" s="5">
        <v>0</v>
      </c>
      <c r="AL409" s="6">
        <v>0</v>
      </c>
      <c r="AM409" s="5">
        <v>0</v>
      </c>
      <c r="AN409" s="6">
        <v>45</v>
      </c>
      <c r="AO409" s="5">
        <v>137.90654852585709</v>
      </c>
      <c r="AP409" s="6">
        <v>65</v>
      </c>
      <c r="AQ409" s="5">
        <v>199.19834787068251</v>
      </c>
      <c r="AR409" s="6">
        <v>0</v>
      </c>
      <c r="AS409" s="5">
        <v>0</v>
      </c>
      <c r="AT409" s="6">
        <v>0</v>
      </c>
      <c r="AU409" s="5">
        <v>0</v>
      </c>
      <c r="AV409" s="6">
        <v>90</v>
      </c>
      <c r="AW409" s="5">
        <v>274.87495726582398</v>
      </c>
      <c r="AX409" s="6">
        <v>0</v>
      </c>
      <c r="AY409" s="5">
        <v>0</v>
      </c>
      <c r="AZ409" s="6">
        <v>105</v>
      </c>
      <c r="BA409" s="5">
        <v>321.29550370839007</v>
      </c>
      <c r="BB409" s="6">
        <v>105</v>
      </c>
      <c r="BC409" s="5">
        <v>321.29550370839007</v>
      </c>
      <c r="BD409" s="6">
        <v>0</v>
      </c>
      <c r="BE409" s="5">
        <v>0</v>
      </c>
      <c r="BF409" s="6">
        <v>0</v>
      </c>
      <c r="BG409" s="5">
        <v>0</v>
      </c>
      <c r="BH409" s="9">
        <f t="shared" si="50"/>
        <v>410</v>
      </c>
      <c r="BI409" s="10">
        <f t="shared" si="51"/>
        <v>1254.5708610791437</v>
      </c>
      <c r="BJ409" s="6">
        <f t="shared" si="52"/>
        <v>42.338350785543753</v>
      </c>
      <c r="BK409" s="11">
        <f t="shared" si="53"/>
        <v>0.11515574408155876</v>
      </c>
      <c r="BL409" s="5">
        <f t="shared" si="54"/>
        <v>175.27966416292907</v>
      </c>
      <c r="BM409" s="11">
        <f t="shared" si="55"/>
        <v>0.16240257000496597</v>
      </c>
    </row>
    <row r="410" spans="1:65" ht="15" customHeight="1" x14ac:dyDescent="0.4">
      <c r="A410" s="2" t="s">
        <v>269</v>
      </c>
      <c r="B410" s="2" t="s">
        <v>66</v>
      </c>
      <c r="C410" s="2" t="s">
        <v>350</v>
      </c>
      <c r="D410" s="3" t="s">
        <v>68</v>
      </c>
      <c r="E410" s="3" t="s">
        <v>184</v>
      </c>
      <c r="F410" s="2" t="s">
        <v>185</v>
      </c>
      <c r="G410" s="4">
        <v>5</v>
      </c>
      <c r="H410" s="5">
        <v>3.7615384615384611</v>
      </c>
      <c r="I410" s="5">
        <v>3.9219928745881769</v>
      </c>
      <c r="J410" s="6">
        <v>0</v>
      </c>
      <c r="K410" s="5">
        <v>0</v>
      </c>
      <c r="L410" s="6">
        <v>197.84713483864269</v>
      </c>
      <c r="M410" s="5">
        <v>735.99134159975063</v>
      </c>
      <c r="N410" s="6">
        <v>0</v>
      </c>
      <c r="O410" s="5">
        <v>0</v>
      </c>
      <c r="P410" s="6">
        <v>0</v>
      </c>
      <c r="Q410" s="5">
        <v>0</v>
      </c>
      <c r="R410" s="6">
        <v>59.354140451592791</v>
      </c>
      <c r="S410" s="5">
        <v>231.4811477612119</v>
      </c>
      <c r="T410" s="6">
        <v>0</v>
      </c>
      <c r="U410" s="5">
        <v>0</v>
      </c>
      <c r="V410" s="6">
        <v>0</v>
      </c>
      <c r="W410" s="5">
        <v>0</v>
      </c>
      <c r="X410" s="6">
        <v>0</v>
      </c>
      <c r="Y410" s="5">
        <v>0</v>
      </c>
      <c r="Z410" s="6">
        <v>0</v>
      </c>
      <c r="AA410" s="5">
        <v>0</v>
      </c>
      <c r="AB410" s="6">
        <v>0</v>
      </c>
      <c r="AC410" s="5">
        <v>0</v>
      </c>
      <c r="AD410" s="6">
        <v>0</v>
      </c>
      <c r="AE410" s="5">
        <v>0</v>
      </c>
      <c r="AF410" s="6">
        <v>0</v>
      </c>
      <c r="AG410" s="5">
        <v>0</v>
      </c>
      <c r="AH410" s="7">
        <f t="shared" si="48"/>
        <v>257.20127529023546</v>
      </c>
      <c r="AI410" s="8">
        <f t="shared" si="49"/>
        <v>967.47248936096253</v>
      </c>
      <c r="AJ410" s="6">
        <v>0</v>
      </c>
      <c r="AK410" s="5">
        <v>0</v>
      </c>
      <c r="AL410" s="6">
        <v>210</v>
      </c>
      <c r="AM410" s="5">
        <v>814.30533415268008</v>
      </c>
      <c r="AN410" s="6">
        <v>0</v>
      </c>
      <c r="AO410" s="5">
        <v>0</v>
      </c>
      <c r="AP410" s="6">
        <v>0</v>
      </c>
      <c r="AQ410" s="5">
        <v>0</v>
      </c>
      <c r="AR410" s="6">
        <v>65</v>
      </c>
      <c r="AS410" s="5">
        <v>264.24270635906862</v>
      </c>
      <c r="AT410" s="6">
        <v>0</v>
      </c>
      <c r="AU410" s="5">
        <v>0</v>
      </c>
      <c r="AV410" s="6">
        <v>0</v>
      </c>
      <c r="AW410" s="5">
        <v>0</v>
      </c>
      <c r="AX410" s="6">
        <v>0</v>
      </c>
      <c r="AY410" s="5">
        <v>0</v>
      </c>
      <c r="AZ410" s="6">
        <v>0</v>
      </c>
      <c r="BA410" s="5">
        <v>0</v>
      </c>
      <c r="BB410" s="6">
        <v>0</v>
      </c>
      <c r="BC410" s="5">
        <v>0</v>
      </c>
      <c r="BD410" s="6">
        <v>0</v>
      </c>
      <c r="BE410" s="5">
        <v>0</v>
      </c>
      <c r="BF410" s="6">
        <v>0</v>
      </c>
      <c r="BG410" s="5">
        <v>0</v>
      </c>
      <c r="BH410" s="9">
        <f t="shared" si="50"/>
        <v>275</v>
      </c>
      <c r="BI410" s="10">
        <f t="shared" si="51"/>
        <v>1078.5480405117487</v>
      </c>
      <c r="BJ410" s="6">
        <f t="shared" si="52"/>
        <v>17.798724709764542</v>
      </c>
      <c r="BK410" s="11">
        <f t="shared" si="53"/>
        <v>6.9201541437459047E-2</v>
      </c>
      <c r="BL410" s="5">
        <f t="shared" si="54"/>
        <v>111.07555115078617</v>
      </c>
      <c r="BM410" s="11">
        <f t="shared" si="55"/>
        <v>0.11481003581213362</v>
      </c>
    </row>
    <row r="411" spans="1:65" ht="15" customHeight="1" x14ac:dyDescent="0.4">
      <c r="A411" s="2" t="s">
        <v>269</v>
      </c>
      <c r="B411" s="2" t="s">
        <v>66</v>
      </c>
      <c r="C411" s="2" t="s">
        <v>350</v>
      </c>
      <c r="D411" s="3" t="s">
        <v>68</v>
      </c>
      <c r="E411" s="3" t="s">
        <v>355</v>
      </c>
      <c r="F411" s="2" t="s">
        <v>356</v>
      </c>
      <c r="G411" s="4">
        <v>5</v>
      </c>
      <c r="H411" s="5">
        <v>3.8975206611570248</v>
      </c>
      <c r="I411" s="5">
        <v>4.062684543968798</v>
      </c>
      <c r="J411" s="6">
        <v>0</v>
      </c>
      <c r="K411" s="5">
        <v>0</v>
      </c>
      <c r="L411" s="6">
        <v>0</v>
      </c>
      <c r="M411" s="5">
        <v>0</v>
      </c>
      <c r="N411" s="6">
        <v>2967.7070225796401</v>
      </c>
      <c r="O411" s="5">
        <v>11663.088598737981</v>
      </c>
      <c r="P411" s="6">
        <v>0</v>
      </c>
      <c r="Q411" s="5">
        <v>0</v>
      </c>
      <c r="R411" s="6">
        <v>0</v>
      </c>
      <c r="S411" s="5">
        <v>0</v>
      </c>
      <c r="T411" s="6">
        <v>3017.1688062892999</v>
      </c>
      <c r="U411" s="5">
        <v>11663.088598737981</v>
      </c>
      <c r="V411" s="6">
        <v>0</v>
      </c>
      <c r="W411" s="5">
        <v>0</v>
      </c>
      <c r="X411" s="6">
        <v>0</v>
      </c>
      <c r="Y411" s="5">
        <v>0</v>
      </c>
      <c r="Z411" s="6">
        <v>0</v>
      </c>
      <c r="AA411" s="5">
        <v>0</v>
      </c>
      <c r="AB411" s="6">
        <v>0</v>
      </c>
      <c r="AC411" s="5">
        <v>0</v>
      </c>
      <c r="AD411" s="6">
        <v>0</v>
      </c>
      <c r="AE411" s="5">
        <v>0</v>
      </c>
      <c r="AF411" s="6">
        <v>2843.9884178951679</v>
      </c>
      <c r="AG411" s="5">
        <v>11084.5036188377</v>
      </c>
      <c r="AH411" s="7">
        <f t="shared" si="48"/>
        <v>8828.8642467641075</v>
      </c>
      <c r="AI411" s="8">
        <f t="shared" si="49"/>
        <v>34410.680816313659</v>
      </c>
      <c r="AJ411" s="6">
        <v>0</v>
      </c>
      <c r="AK411" s="5">
        <v>0</v>
      </c>
      <c r="AL411" s="6">
        <v>0</v>
      </c>
      <c r="AM411" s="5">
        <v>0</v>
      </c>
      <c r="AN411" s="6">
        <v>3240</v>
      </c>
      <c r="AO411" s="5">
        <v>13272.801690774329</v>
      </c>
      <c r="AP411" s="6">
        <v>0</v>
      </c>
      <c r="AQ411" s="5">
        <v>0</v>
      </c>
      <c r="AR411" s="6">
        <v>0</v>
      </c>
      <c r="AS411" s="5">
        <v>0</v>
      </c>
      <c r="AT411" s="6">
        <v>3295</v>
      </c>
      <c r="AU411" s="5">
        <v>13276.831078051429</v>
      </c>
      <c r="AV411" s="6">
        <v>0</v>
      </c>
      <c r="AW411" s="5">
        <v>0</v>
      </c>
      <c r="AX411" s="6">
        <v>0</v>
      </c>
      <c r="AY411" s="5">
        <v>0</v>
      </c>
      <c r="AZ411" s="6">
        <v>0</v>
      </c>
      <c r="BA411" s="5">
        <v>0</v>
      </c>
      <c r="BB411" s="6">
        <v>0</v>
      </c>
      <c r="BC411" s="5">
        <v>0</v>
      </c>
      <c r="BD411" s="6">
        <v>0</v>
      </c>
      <c r="BE411" s="5">
        <v>0</v>
      </c>
      <c r="BF411" s="6">
        <v>3105</v>
      </c>
      <c r="BG411" s="5">
        <v>12614.64623503346</v>
      </c>
      <c r="BH411" s="9">
        <f t="shared" si="50"/>
        <v>9640</v>
      </c>
      <c r="BI411" s="10">
        <f t="shared" si="51"/>
        <v>39164.279003859221</v>
      </c>
      <c r="BJ411" s="6">
        <f t="shared" si="52"/>
        <v>811.13575323589248</v>
      </c>
      <c r="BK411" s="11">
        <f t="shared" si="53"/>
        <v>9.1873170836575521E-2</v>
      </c>
      <c r="BL411" s="5">
        <f t="shared" si="54"/>
        <v>4753.5981875455618</v>
      </c>
      <c r="BM411" s="11">
        <f t="shared" si="55"/>
        <v>0.13814310193165205</v>
      </c>
    </row>
    <row r="412" spans="1:65" ht="15" customHeight="1" x14ac:dyDescent="0.4">
      <c r="A412" s="2" t="s">
        <v>269</v>
      </c>
      <c r="B412" s="2" t="s">
        <v>66</v>
      </c>
      <c r="C412" s="2" t="s">
        <v>350</v>
      </c>
      <c r="D412" s="3" t="s">
        <v>68</v>
      </c>
      <c r="E412" s="3" t="s">
        <v>357</v>
      </c>
      <c r="F412" s="2" t="s">
        <v>358</v>
      </c>
      <c r="G412" s="4">
        <v>5</v>
      </c>
      <c r="H412" s="5">
        <v>4.6159999999999997</v>
      </c>
      <c r="I412" s="5">
        <v>4.811614724076767</v>
      </c>
      <c r="J412" s="6">
        <v>197.84713483864269</v>
      </c>
      <c r="K412" s="5">
        <v>892.29057812227836</v>
      </c>
      <c r="L412" s="6">
        <v>0</v>
      </c>
      <c r="M412" s="5">
        <v>0</v>
      </c>
      <c r="N412" s="6">
        <v>197.84713483864269</v>
      </c>
      <c r="O412" s="5">
        <v>921.9676483480747</v>
      </c>
      <c r="P412" s="6">
        <v>0</v>
      </c>
      <c r="Q412" s="5">
        <v>0</v>
      </c>
      <c r="R412" s="6">
        <v>0</v>
      </c>
      <c r="S412" s="5">
        <v>0</v>
      </c>
      <c r="T412" s="6">
        <v>98.92356741932133</v>
      </c>
      <c r="U412" s="5">
        <v>468.89770956758309</v>
      </c>
      <c r="V412" s="6">
        <v>0</v>
      </c>
      <c r="W412" s="5">
        <v>0</v>
      </c>
      <c r="X412" s="6">
        <v>0</v>
      </c>
      <c r="Y412" s="5">
        <v>0</v>
      </c>
      <c r="Z412" s="6">
        <v>0</v>
      </c>
      <c r="AA412" s="5">
        <v>0</v>
      </c>
      <c r="AB412" s="6">
        <v>189.59922785967791</v>
      </c>
      <c r="AC412" s="5">
        <v>875.19003580027299</v>
      </c>
      <c r="AD412" s="6">
        <v>0</v>
      </c>
      <c r="AE412" s="5">
        <v>0</v>
      </c>
      <c r="AF412" s="6">
        <v>0</v>
      </c>
      <c r="AG412" s="5">
        <v>0</v>
      </c>
      <c r="AH412" s="7">
        <f t="shared" si="48"/>
        <v>684.21706495628462</v>
      </c>
      <c r="AI412" s="8">
        <f t="shared" si="49"/>
        <v>3158.3459718382092</v>
      </c>
      <c r="AJ412" s="6">
        <v>240</v>
      </c>
      <c r="AK412" s="5">
        <v>1128.2694491639279</v>
      </c>
      <c r="AL412" s="6">
        <v>0</v>
      </c>
      <c r="AM412" s="5">
        <v>0</v>
      </c>
      <c r="AN412" s="6">
        <v>240</v>
      </c>
      <c r="AO412" s="5">
        <v>1165.7950405995359</v>
      </c>
      <c r="AP412" s="6">
        <v>0</v>
      </c>
      <c r="AQ412" s="5">
        <v>0</v>
      </c>
      <c r="AR412" s="6">
        <v>0</v>
      </c>
      <c r="AS412" s="5">
        <v>0</v>
      </c>
      <c r="AT412" s="6">
        <v>120</v>
      </c>
      <c r="AU412" s="5">
        <v>592.9043446825965</v>
      </c>
      <c r="AV412" s="6">
        <v>0</v>
      </c>
      <c r="AW412" s="5">
        <v>0</v>
      </c>
      <c r="AX412" s="6">
        <v>0</v>
      </c>
      <c r="AY412" s="5">
        <v>0</v>
      </c>
      <c r="AZ412" s="6">
        <v>0</v>
      </c>
      <c r="BA412" s="5">
        <v>0</v>
      </c>
      <c r="BB412" s="6">
        <v>230</v>
      </c>
      <c r="BC412" s="5">
        <v>1106.671386537656</v>
      </c>
      <c r="BD412" s="6">
        <v>0</v>
      </c>
      <c r="BE412" s="5">
        <v>0</v>
      </c>
      <c r="BF412" s="6">
        <v>0</v>
      </c>
      <c r="BG412" s="5">
        <v>0</v>
      </c>
      <c r="BH412" s="9">
        <f t="shared" si="50"/>
        <v>830</v>
      </c>
      <c r="BI412" s="10">
        <f t="shared" si="51"/>
        <v>3993.6402209837161</v>
      </c>
      <c r="BJ412" s="6">
        <f t="shared" si="52"/>
        <v>145.78293504371538</v>
      </c>
      <c r="BK412" s="11">
        <f t="shared" si="53"/>
        <v>0.2130653304489411</v>
      </c>
      <c r="BL412" s="5">
        <f t="shared" si="54"/>
        <v>835.29424914550691</v>
      </c>
      <c r="BM412" s="11">
        <f t="shared" si="55"/>
        <v>0.26447205486463915</v>
      </c>
    </row>
    <row r="413" spans="1:65" ht="15" customHeight="1" x14ac:dyDescent="0.4">
      <c r="A413" s="2" t="s">
        <v>269</v>
      </c>
      <c r="B413" s="2" t="s">
        <v>66</v>
      </c>
      <c r="C413" s="2" t="s">
        <v>350</v>
      </c>
      <c r="D413" s="3" t="s">
        <v>68</v>
      </c>
      <c r="E413" s="3" t="s">
        <v>131</v>
      </c>
      <c r="F413" s="2" t="s">
        <v>132</v>
      </c>
      <c r="G413" s="4">
        <v>20</v>
      </c>
      <c r="H413" s="5">
        <v>1.85</v>
      </c>
      <c r="I413" s="5">
        <v>1.928398448774268</v>
      </c>
      <c r="J413" s="6">
        <v>0</v>
      </c>
      <c r="K413" s="5">
        <v>0</v>
      </c>
      <c r="L413" s="6">
        <v>0</v>
      </c>
      <c r="M413" s="5">
        <v>0</v>
      </c>
      <c r="N413" s="6">
        <v>0</v>
      </c>
      <c r="O413" s="5">
        <v>0</v>
      </c>
      <c r="P413" s="6">
        <v>0</v>
      </c>
      <c r="Q413" s="5">
        <v>0</v>
      </c>
      <c r="R413" s="6">
        <v>0</v>
      </c>
      <c r="S413" s="5">
        <v>0</v>
      </c>
      <c r="T413" s="6">
        <v>2176.318483225069</v>
      </c>
      <c r="U413" s="5">
        <v>4026.1891939663778</v>
      </c>
      <c r="V413" s="6">
        <v>0</v>
      </c>
      <c r="W413" s="5">
        <v>0</v>
      </c>
      <c r="X413" s="6">
        <v>0</v>
      </c>
      <c r="Y413" s="5">
        <v>0</v>
      </c>
      <c r="Z413" s="6">
        <v>0</v>
      </c>
      <c r="AA413" s="5">
        <v>0</v>
      </c>
      <c r="AB413" s="6">
        <v>0</v>
      </c>
      <c r="AC413" s="5">
        <v>0</v>
      </c>
      <c r="AD413" s="6">
        <v>0</v>
      </c>
      <c r="AE413" s="5">
        <v>0</v>
      </c>
      <c r="AF413" s="6">
        <v>0</v>
      </c>
      <c r="AG413" s="5">
        <v>0</v>
      </c>
      <c r="AH413" s="7">
        <f t="shared" si="48"/>
        <v>2176.318483225069</v>
      </c>
      <c r="AI413" s="8">
        <f t="shared" si="49"/>
        <v>4026.1891939663778</v>
      </c>
      <c r="AJ413" s="6">
        <v>0</v>
      </c>
      <c r="AK413" s="5">
        <v>0</v>
      </c>
      <c r="AL413" s="6">
        <v>0</v>
      </c>
      <c r="AM413" s="5">
        <v>0</v>
      </c>
      <c r="AN413" s="6">
        <v>0</v>
      </c>
      <c r="AO413" s="5">
        <v>0</v>
      </c>
      <c r="AP413" s="6">
        <v>0</v>
      </c>
      <c r="AQ413" s="5">
        <v>0</v>
      </c>
      <c r="AR413" s="6">
        <v>0</v>
      </c>
      <c r="AS413" s="5">
        <v>0</v>
      </c>
      <c r="AT413" s="6">
        <v>2360</v>
      </c>
      <c r="AU413" s="5">
        <v>4551.0203391072719</v>
      </c>
      <c r="AV413" s="6">
        <v>0</v>
      </c>
      <c r="AW413" s="5">
        <v>0</v>
      </c>
      <c r="AX413" s="6">
        <v>0</v>
      </c>
      <c r="AY413" s="5">
        <v>0</v>
      </c>
      <c r="AZ413" s="6">
        <v>0</v>
      </c>
      <c r="BA413" s="5">
        <v>0</v>
      </c>
      <c r="BB413" s="6">
        <v>0</v>
      </c>
      <c r="BC413" s="5">
        <v>0</v>
      </c>
      <c r="BD413" s="6">
        <v>0</v>
      </c>
      <c r="BE413" s="5">
        <v>0</v>
      </c>
      <c r="BF413" s="6">
        <v>0</v>
      </c>
      <c r="BG413" s="5">
        <v>0</v>
      </c>
      <c r="BH413" s="9">
        <f t="shared" si="50"/>
        <v>2360</v>
      </c>
      <c r="BI413" s="10">
        <f t="shared" si="51"/>
        <v>4551.0203391072719</v>
      </c>
      <c r="BJ413" s="6">
        <f t="shared" si="52"/>
        <v>183.68151677493097</v>
      </c>
      <c r="BK413" s="11">
        <f t="shared" si="53"/>
        <v>8.4400108803347015E-2</v>
      </c>
      <c r="BL413" s="5">
        <f t="shared" si="54"/>
        <v>524.83114514089402</v>
      </c>
      <c r="BM413" s="11">
        <f t="shared" si="55"/>
        <v>0.13035431765784944</v>
      </c>
    </row>
    <row r="414" spans="1:65" ht="15" customHeight="1" x14ac:dyDescent="0.4">
      <c r="A414" s="2" t="s">
        <v>269</v>
      </c>
      <c r="B414" s="2" t="s">
        <v>66</v>
      </c>
      <c r="C414" s="2" t="s">
        <v>359</v>
      </c>
      <c r="D414" s="3" t="s">
        <v>101</v>
      </c>
      <c r="E414" s="3" t="s">
        <v>82</v>
      </c>
      <c r="F414" s="2" t="s">
        <v>83</v>
      </c>
      <c r="G414" s="4">
        <v>20</v>
      </c>
      <c r="H414" s="5">
        <v>3.62</v>
      </c>
      <c r="I414" s="5">
        <v>3.773406694358298</v>
      </c>
      <c r="J414" s="6">
        <v>0</v>
      </c>
      <c r="K414" s="5">
        <v>0</v>
      </c>
      <c r="L414" s="6">
        <v>0</v>
      </c>
      <c r="M414" s="5">
        <v>0</v>
      </c>
      <c r="N414" s="6">
        <v>0</v>
      </c>
      <c r="O414" s="5">
        <v>0</v>
      </c>
      <c r="P414" s="6">
        <v>0</v>
      </c>
      <c r="Q414" s="5">
        <v>0</v>
      </c>
      <c r="R414" s="6">
        <v>0</v>
      </c>
      <c r="S414" s="5">
        <v>0</v>
      </c>
      <c r="T414" s="6">
        <v>633.11083148365651</v>
      </c>
      <c r="U414" s="5">
        <v>2291.8612099708371</v>
      </c>
      <c r="V414" s="6">
        <v>0</v>
      </c>
      <c r="W414" s="5">
        <v>0</v>
      </c>
      <c r="X414" s="6">
        <v>0</v>
      </c>
      <c r="Y414" s="5">
        <v>0</v>
      </c>
      <c r="Z414" s="6">
        <v>0</v>
      </c>
      <c r="AA414" s="5">
        <v>0</v>
      </c>
      <c r="AB414" s="6">
        <v>0</v>
      </c>
      <c r="AC414" s="5">
        <v>0</v>
      </c>
      <c r="AD414" s="6">
        <v>0</v>
      </c>
      <c r="AE414" s="5">
        <v>0</v>
      </c>
      <c r="AF414" s="6">
        <v>0</v>
      </c>
      <c r="AG414" s="5">
        <v>0</v>
      </c>
      <c r="AH414" s="7">
        <f t="shared" si="48"/>
        <v>633.11083148365651</v>
      </c>
      <c r="AI414" s="8">
        <f t="shared" si="49"/>
        <v>2291.8612099708371</v>
      </c>
      <c r="AJ414" s="6">
        <v>0</v>
      </c>
      <c r="AK414" s="5">
        <v>0</v>
      </c>
      <c r="AL414" s="6">
        <v>0</v>
      </c>
      <c r="AM414" s="5">
        <v>0</v>
      </c>
      <c r="AN414" s="6">
        <v>0</v>
      </c>
      <c r="AO414" s="5">
        <v>0</v>
      </c>
      <c r="AP414" s="6">
        <v>0</v>
      </c>
      <c r="AQ414" s="5">
        <v>0</v>
      </c>
      <c r="AR414" s="6">
        <v>0</v>
      </c>
      <c r="AS414" s="5">
        <v>0</v>
      </c>
      <c r="AT414" s="6">
        <v>740</v>
      </c>
      <c r="AU414" s="5">
        <v>2792.3209538251399</v>
      </c>
      <c r="AV414" s="6">
        <v>0</v>
      </c>
      <c r="AW414" s="5">
        <v>0</v>
      </c>
      <c r="AX414" s="6">
        <v>0</v>
      </c>
      <c r="AY414" s="5">
        <v>0</v>
      </c>
      <c r="AZ414" s="6">
        <v>0</v>
      </c>
      <c r="BA414" s="5">
        <v>0</v>
      </c>
      <c r="BB414" s="6">
        <v>0</v>
      </c>
      <c r="BC414" s="5">
        <v>0</v>
      </c>
      <c r="BD414" s="6">
        <v>0</v>
      </c>
      <c r="BE414" s="5">
        <v>0</v>
      </c>
      <c r="BF414" s="6">
        <v>0</v>
      </c>
      <c r="BG414" s="5">
        <v>0</v>
      </c>
      <c r="BH414" s="9">
        <f t="shared" si="50"/>
        <v>740</v>
      </c>
      <c r="BI414" s="10">
        <f t="shared" si="51"/>
        <v>2792.3209538251399</v>
      </c>
      <c r="BJ414" s="6">
        <f t="shared" si="52"/>
        <v>106.88916851634349</v>
      </c>
      <c r="BK414" s="11">
        <f t="shared" si="53"/>
        <v>0.16883168507140411</v>
      </c>
      <c r="BL414" s="5">
        <f t="shared" si="54"/>
        <v>500.45974385430281</v>
      </c>
      <c r="BM414" s="11">
        <f t="shared" si="55"/>
        <v>0.21836389641616691</v>
      </c>
    </row>
    <row r="415" spans="1:65" ht="15" customHeight="1" x14ac:dyDescent="0.4">
      <c r="A415" s="2" t="s">
        <v>269</v>
      </c>
      <c r="B415" s="2" t="s">
        <v>66</v>
      </c>
      <c r="C415" s="2" t="s">
        <v>359</v>
      </c>
      <c r="D415" s="3" t="s">
        <v>101</v>
      </c>
      <c r="E415" s="3" t="s">
        <v>318</v>
      </c>
      <c r="F415" s="2" t="s">
        <v>319</v>
      </c>
      <c r="G415" s="4">
        <v>1000</v>
      </c>
      <c r="H415" s="5">
        <v>3.05</v>
      </c>
      <c r="I415" s="5">
        <v>3.1792514966278471</v>
      </c>
      <c r="J415" s="6">
        <v>0</v>
      </c>
      <c r="K415" s="5">
        <v>0</v>
      </c>
      <c r="L415" s="6">
        <v>0</v>
      </c>
      <c r="M415" s="5">
        <v>0</v>
      </c>
      <c r="N415" s="6">
        <v>0</v>
      </c>
      <c r="O415" s="5">
        <v>0</v>
      </c>
      <c r="P415" s="6">
        <v>0</v>
      </c>
      <c r="Q415" s="5">
        <v>0</v>
      </c>
      <c r="R415" s="6">
        <v>0</v>
      </c>
      <c r="S415" s="5">
        <v>0</v>
      </c>
      <c r="T415" s="6">
        <v>0</v>
      </c>
      <c r="U415" s="5">
        <v>0</v>
      </c>
      <c r="V415" s="6">
        <v>0</v>
      </c>
      <c r="W415" s="5">
        <v>0</v>
      </c>
      <c r="X415" s="6">
        <v>0</v>
      </c>
      <c r="Y415" s="5">
        <v>0</v>
      </c>
      <c r="Z415" s="6">
        <v>0</v>
      </c>
      <c r="AA415" s="5">
        <v>0</v>
      </c>
      <c r="AB415" s="6">
        <v>0</v>
      </c>
      <c r="AC415" s="5">
        <v>0</v>
      </c>
      <c r="AD415" s="6">
        <v>0</v>
      </c>
      <c r="AE415" s="5">
        <v>0</v>
      </c>
      <c r="AF415" s="6">
        <v>947.99613929838938</v>
      </c>
      <c r="AG415" s="5">
        <v>2891.388224860088</v>
      </c>
      <c r="AH415" s="7">
        <f t="shared" si="48"/>
        <v>947.99613929838938</v>
      </c>
      <c r="AI415" s="8">
        <f t="shared" si="49"/>
        <v>2891.388224860088</v>
      </c>
      <c r="AJ415" s="6">
        <v>0</v>
      </c>
      <c r="AK415" s="5">
        <v>0</v>
      </c>
      <c r="AL415" s="6">
        <v>0</v>
      </c>
      <c r="AM415" s="5">
        <v>0</v>
      </c>
      <c r="AN415" s="6">
        <v>0</v>
      </c>
      <c r="AO415" s="5">
        <v>0</v>
      </c>
      <c r="AP415" s="6">
        <v>0</v>
      </c>
      <c r="AQ415" s="5">
        <v>0</v>
      </c>
      <c r="AR415" s="6">
        <v>0</v>
      </c>
      <c r="AS415" s="5">
        <v>0</v>
      </c>
      <c r="AT415" s="6">
        <v>0</v>
      </c>
      <c r="AU415" s="5">
        <v>0</v>
      </c>
      <c r="AV415" s="6">
        <v>0</v>
      </c>
      <c r="AW415" s="5">
        <v>0</v>
      </c>
      <c r="AX415" s="6">
        <v>0</v>
      </c>
      <c r="AY415" s="5">
        <v>0</v>
      </c>
      <c r="AZ415" s="6">
        <v>0</v>
      </c>
      <c r="BA415" s="5">
        <v>0</v>
      </c>
      <c r="BB415" s="6">
        <v>0</v>
      </c>
      <c r="BC415" s="5">
        <v>0</v>
      </c>
      <c r="BD415" s="6">
        <v>0</v>
      </c>
      <c r="BE415" s="5">
        <v>0</v>
      </c>
      <c r="BF415" s="6">
        <v>1000</v>
      </c>
      <c r="BG415" s="5">
        <v>3179.2514966278468</v>
      </c>
      <c r="BH415" s="9">
        <f t="shared" si="50"/>
        <v>1000</v>
      </c>
      <c r="BI415" s="10">
        <f t="shared" si="51"/>
        <v>3179.2514966278468</v>
      </c>
      <c r="BJ415" s="6">
        <f t="shared" si="52"/>
        <v>52.00386070161062</v>
      </c>
      <c r="BK415" s="11">
        <f t="shared" si="53"/>
        <v>5.4856616547086998E-2</v>
      </c>
      <c r="BL415" s="5">
        <f t="shared" si="54"/>
        <v>287.86327176775876</v>
      </c>
      <c r="BM415" s="11">
        <f t="shared" si="55"/>
        <v>9.9558844880364775E-2</v>
      </c>
    </row>
    <row r="416" spans="1:65" ht="15" customHeight="1" x14ac:dyDescent="0.4">
      <c r="A416" s="2" t="s">
        <v>269</v>
      </c>
      <c r="B416" s="2" t="s">
        <v>66</v>
      </c>
      <c r="C416" s="2" t="s">
        <v>359</v>
      </c>
      <c r="D416" s="3" t="s">
        <v>101</v>
      </c>
      <c r="E416" s="3" t="s">
        <v>314</v>
      </c>
      <c r="F416" s="2" t="s">
        <v>315</v>
      </c>
      <c r="G416" s="4">
        <v>5</v>
      </c>
      <c r="H416" s="5">
        <v>6.8400000000000007</v>
      </c>
      <c r="I416" s="5">
        <v>7.1298623727654036</v>
      </c>
      <c r="J416" s="6">
        <v>0</v>
      </c>
      <c r="K416" s="5">
        <v>0</v>
      </c>
      <c r="L416" s="6">
        <v>0</v>
      </c>
      <c r="M416" s="5">
        <v>0</v>
      </c>
      <c r="N416" s="6">
        <v>2572.0127529023539</v>
      </c>
      <c r="O416" s="5">
        <v>17592.567229852109</v>
      </c>
      <c r="P416" s="6">
        <v>0</v>
      </c>
      <c r="Q416" s="5">
        <v>0</v>
      </c>
      <c r="R416" s="6">
        <v>0</v>
      </c>
      <c r="S416" s="5">
        <v>0</v>
      </c>
      <c r="T416" s="6">
        <v>0</v>
      </c>
      <c r="U416" s="5">
        <v>0</v>
      </c>
      <c r="V416" s="6">
        <v>0</v>
      </c>
      <c r="W416" s="5">
        <v>0</v>
      </c>
      <c r="X416" s="6">
        <v>0</v>
      </c>
      <c r="Y416" s="5">
        <v>0</v>
      </c>
      <c r="Z416" s="6">
        <v>0</v>
      </c>
      <c r="AA416" s="5">
        <v>0</v>
      </c>
      <c r="AB416" s="6">
        <v>0</v>
      </c>
      <c r="AC416" s="5">
        <v>0</v>
      </c>
      <c r="AD416" s="6">
        <v>0</v>
      </c>
      <c r="AE416" s="5">
        <v>0</v>
      </c>
      <c r="AF416" s="6">
        <v>0</v>
      </c>
      <c r="AG416" s="5">
        <v>0</v>
      </c>
      <c r="AH416" s="7">
        <f t="shared" si="48"/>
        <v>2572.0127529023539</v>
      </c>
      <c r="AI416" s="8">
        <f t="shared" si="49"/>
        <v>17592.567229852109</v>
      </c>
      <c r="AJ416" s="6">
        <v>0</v>
      </c>
      <c r="AK416" s="5">
        <v>0</v>
      </c>
      <c r="AL416" s="6">
        <v>0</v>
      </c>
      <c r="AM416" s="5">
        <v>0</v>
      </c>
      <c r="AN416" s="6">
        <v>2885</v>
      </c>
      <c r="AO416" s="5">
        <v>20569.652945428192</v>
      </c>
      <c r="AP416" s="6">
        <v>0</v>
      </c>
      <c r="AQ416" s="5">
        <v>0</v>
      </c>
      <c r="AR416" s="6">
        <v>0</v>
      </c>
      <c r="AS416" s="5">
        <v>0</v>
      </c>
      <c r="AT416" s="6">
        <v>0</v>
      </c>
      <c r="AU416" s="5">
        <v>0</v>
      </c>
      <c r="AV416" s="6">
        <v>0</v>
      </c>
      <c r="AW416" s="5">
        <v>0</v>
      </c>
      <c r="AX416" s="6">
        <v>0</v>
      </c>
      <c r="AY416" s="5">
        <v>0</v>
      </c>
      <c r="AZ416" s="6">
        <v>0</v>
      </c>
      <c r="BA416" s="5">
        <v>0</v>
      </c>
      <c r="BB416" s="6">
        <v>0</v>
      </c>
      <c r="BC416" s="5">
        <v>0</v>
      </c>
      <c r="BD416" s="6">
        <v>0</v>
      </c>
      <c r="BE416" s="5">
        <v>0</v>
      </c>
      <c r="BF416" s="6">
        <v>0</v>
      </c>
      <c r="BG416" s="5">
        <v>0</v>
      </c>
      <c r="BH416" s="9">
        <f t="shared" si="50"/>
        <v>2885</v>
      </c>
      <c r="BI416" s="10">
        <f t="shared" si="51"/>
        <v>20569.652945428192</v>
      </c>
      <c r="BJ416" s="6">
        <f t="shared" si="52"/>
        <v>312.9872470976461</v>
      </c>
      <c r="BK416" s="11">
        <f t="shared" si="53"/>
        <v>0.12168961710802552</v>
      </c>
      <c r="BL416" s="5">
        <f t="shared" si="54"/>
        <v>2977.0857155760823</v>
      </c>
      <c r="BM416" s="11">
        <f t="shared" si="55"/>
        <v>0.16922406358773989</v>
      </c>
    </row>
    <row r="417" spans="1:65" ht="15" customHeight="1" x14ac:dyDescent="0.4">
      <c r="A417" s="2" t="s">
        <v>269</v>
      </c>
      <c r="B417" s="2" t="s">
        <v>66</v>
      </c>
      <c r="C417" s="2" t="s">
        <v>359</v>
      </c>
      <c r="D417" s="3" t="s">
        <v>101</v>
      </c>
      <c r="E417" s="3" t="s">
        <v>79</v>
      </c>
      <c r="F417" s="2" t="s">
        <v>80</v>
      </c>
      <c r="G417" s="4">
        <v>20</v>
      </c>
      <c r="H417" s="5">
        <v>3.81</v>
      </c>
      <c r="I417" s="5">
        <v>3.9714584269351141</v>
      </c>
      <c r="J417" s="6">
        <v>0</v>
      </c>
      <c r="K417" s="5">
        <v>0</v>
      </c>
      <c r="L417" s="6">
        <v>0</v>
      </c>
      <c r="M417" s="5">
        <v>0</v>
      </c>
      <c r="N417" s="6">
        <v>0</v>
      </c>
      <c r="O417" s="5">
        <v>0</v>
      </c>
      <c r="P417" s="6">
        <v>0</v>
      </c>
      <c r="Q417" s="5">
        <v>0</v>
      </c>
      <c r="R417" s="6">
        <v>633.11083148365651</v>
      </c>
      <c r="S417" s="5">
        <v>2412.1522679527311</v>
      </c>
      <c r="T417" s="6">
        <v>0</v>
      </c>
      <c r="U417" s="5">
        <v>0</v>
      </c>
      <c r="V417" s="6">
        <v>0</v>
      </c>
      <c r="W417" s="5">
        <v>0</v>
      </c>
      <c r="X417" s="6">
        <v>0</v>
      </c>
      <c r="Y417" s="5">
        <v>0</v>
      </c>
      <c r="Z417" s="6">
        <v>0</v>
      </c>
      <c r="AA417" s="5">
        <v>0</v>
      </c>
      <c r="AB417" s="6">
        <v>0</v>
      </c>
      <c r="AC417" s="5">
        <v>0</v>
      </c>
      <c r="AD417" s="6">
        <v>0</v>
      </c>
      <c r="AE417" s="5">
        <v>0</v>
      </c>
      <c r="AF417" s="6">
        <v>0</v>
      </c>
      <c r="AG417" s="5">
        <v>0</v>
      </c>
      <c r="AH417" s="7">
        <f t="shared" si="48"/>
        <v>633.11083148365651</v>
      </c>
      <c r="AI417" s="8">
        <f t="shared" si="49"/>
        <v>2412.1522679527311</v>
      </c>
      <c r="AJ417" s="6">
        <v>0</v>
      </c>
      <c r="AK417" s="5">
        <v>0</v>
      </c>
      <c r="AL417" s="6">
        <v>0</v>
      </c>
      <c r="AM417" s="5">
        <v>0</v>
      </c>
      <c r="AN417" s="6">
        <v>0</v>
      </c>
      <c r="AO417" s="5">
        <v>0</v>
      </c>
      <c r="AP417" s="6">
        <v>0</v>
      </c>
      <c r="AQ417" s="5">
        <v>0</v>
      </c>
      <c r="AR417" s="6">
        <v>740</v>
      </c>
      <c r="AS417" s="5">
        <v>2938.8792359319841</v>
      </c>
      <c r="AT417" s="6">
        <v>0</v>
      </c>
      <c r="AU417" s="5">
        <v>0</v>
      </c>
      <c r="AV417" s="6">
        <v>0</v>
      </c>
      <c r="AW417" s="5">
        <v>0</v>
      </c>
      <c r="AX417" s="6">
        <v>0</v>
      </c>
      <c r="AY417" s="5">
        <v>0</v>
      </c>
      <c r="AZ417" s="6">
        <v>0</v>
      </c>
      <c r="BA417" s="5">
        <v>0</v>
      </c>
      <c r="BB417" s="6">
        <v>0</v>
      </c>
      <c r="BC417" s="5">
        <v>0</v>
      </c>
      <c r="BD417" s="6">
        <v>0</v>
      </c>
      <c r="BE417" s="5">
        <v>0</v>
      </c>
      <c r="BF417" s="6">
        <v>0</v>
      </c>
      <c r="BG417" s="5">
        <v>0</v>
      </c>
      <c r="BH417" s="9">
        <f t="shared" si="50"/>
        <v>740</v>
      </c>
      <c r="BI417" s="10">
        <f t="shared" si="51"/>
        <v>2938.8792359319841</v>
      </c>
      <c r="BJ417" s="6">
        <f t="shared" si="52"/>
        <v>106.88916851634349</v>
      </c>
      <c r="BK417" s="11">
        <f t="shared" si="53"/>
        <v>0.16883168507140411</v>
      </c>
      <c r="BL417" s="5">
        <f t="shared" si="54"/>
        <v>526.726967979253</v>
      </c>
      <c r="BM417" s="11">
        <f t="shared" si="55"/>
        <v>0.21836389641616721</v>
      </c>
    </row>
    <row r="418" spans="1:65" ht="15" customHeight="1" x14ac:dyDescent="0.4">
      <c r="A418" s="2" t="s">
        <v>269</v>
      </c>
      <c r="B418" s="2" t="s">
        <v>66</v>
      </c>
      <c r="C418" s="2" t="s">
        <v>359</v>
      </c>
      <c r="D418" s="3" t="s">
        <v>101</v>
      </c>
      <c r="E418" s="3" t="s">
        <v>131</v>
      </c>
      <c r="F418" s="2" t="s">
        <v>132</v>
      </c>
      <c r="G418" s="4">
        <v>20</v>
      </c>
      <c r="H418" s="5">
        <v>1.85</v>
      </c>
      <c r="I418" s="5">
        <v>1.928398448774268</v>
      </c>
      <c r="J418" s="6">
        <v>0</v>
      </c>
      <c r="K418" s="5">
        <v>0</v>
      </c>
      <c r="L418" s="6">
        <v>0</v>
      </c>
      <c r="M418" s="5">
        <v>0</v>
      </c>
      <c r="N418" s="6">
        <v>0</v>
      </c>
      <c r="O418" s="5">
        <v>0</v>
      </c>
      <c r="P418" s="6">
        <v>0</v>
      </c>
      <c r="Q418" s="5">
        <v>0</v>
      </c>
      <c r="R418" s="6">
        <v>2176.318483225069</v>
      </c>
      <c r="S418" s="5">
        <v>4026.1891939663778</v>
      </c>
      <c r="T418" s="6">
        <v>7617.1146912877421</v>
      </c>
      <c r="U418" s="5">
        <v>14091.662178882319</v>
      </c>
      <c r="V418" s="6">
        <v>2176.318483225069</v>
      </c>
      <c r="W418" s="5">
        <v>4026.1891939663778</v>
      </c>
      <c r="X418" s="6">
        <v>2176.318483225069</v>
      </c>
      <c r="Y418" s="5">
        <v>4026.1891939663778</v>
      </c>
      <c r="Z418" s="6">
        <v>1042.795753228228</v>
      </c>
      <c r="AA418" s="5">
        <v>1929.1721434722219</v>
      </c>
      <c r="AB418" s="6">
        <v>1042.795753228228</v>
      </c>
      <c r="AC418" s="5">
        <v>1929.1721434722219</v>
      </c>
      <c r="AD418" s="6">
        <v>0</v>
      </c>
      <c r="AE418" s="5">
        <v>0</v>
      </c>
      <c r="AF418" s="6">
        <v>0</v>
      </c>
      <c r="AG418" s="5">
        <v>0</v>
      </c>
      <c r="AH418" s="7">
        <f t="shared" si="48"/>
        <v>16231.661647419405</v>
      </c>
      <c r="AI418" s="8">
        <f t="shared" si="49"/>
        <v>30028.574047725891</v>
      </c>
      <c r="AJ418" s="6">
        <v>0</v>
      </c>
      <c r="AK418" s="5">
        <v>0</v>
      </c>
      <c r="AL418" s="6">
        <v>0</v>
      </c>
      <c r="AM418" s="5">
        <v>0</v>
      </c>
      <c r="AN418" s="6">
        <v>0</v>
      </c>
      <c r="AO418" s="5">
        <v>0</v>
      </c>
      <c r="AP418" s="6">
        <v>0</v>
      </c>
      <c r="AQ418" s="5">
        <v>0</v>
      </c>
      <c r="AR418" s="6">
        <v>2480</v>
      </c>
      <c r="AS418" s="5">
        <v>4782.4281529601849</v>
      </c>
      <c r="AT418" s="6">
        <v>8680</v>
      </c>
      <c r="AU418" s="5">
        <v>16738.49853536065</v>
      </c>
      <c r="AV418" s="6">
        <v>2480</v>
      </c>
      <c r="AW418" s="5">
        <v>4782.4281529601849</v>
      </c>
      <c r="AX418" s="6">
        <v>2480</v>
      </c>
      <c r="AY418" s="5">
        <v>4782.4281529601849</v>
      </c>
      <c r="AZ418" s="6">
        <v>1180</v>
      </c>
      <c r="BA418" s="5">
        <v>2275.5101695536359</v>
      </c>
      <c r="BB418" s="6">
        <v>1180</v>
      </c>
      <c r="BC418" s="5">
        <v>2275.5101695536359</v>
      </c>
      <c r="BD418" s="6">
        <v>0</v>
      </c>
      <c r="BE418" s="5">
        <v>0</v>
      </c>
      <c r="BF418" s="6">
        <v>0</v>
      </c>
      <c r="BG418" s="5">
        <v>0</v>
      </c>
      <c r="BH418" s="9">
        <f t="shared" si="50"/>
        <v>18480</v>
      </c>
      <c r="BI418" s="10">
        <f t="shared" si="51"/>
        <v>35636.803333348478</v>
      </c>
      <c r="BJ418" s="6">
        <f t="shared" si="52"/>
        <v>2248.3383525805948</v>
      </c>
      <c r="BK418" s="11">
        <f t="shared" si="53"/>
        <v>0.13851560003026847</v>
      </c>
      <c r="BL418" s="5">
        <f t="shared" si="54"/>
        <v>5608.2292856225868</v>
      </c>
      <c r="BM418" s="11">
        <f t="shared" si="55"/>
        <v>0.18676309027225707</v>
      </c>
    </row>
    <row r="419" spans="1:65" ht="15" customHeight="1" x14ac:dyDescent="0.4">
      <c r="A419" s="2" t="s">
        <v>269</v>
      </c>
      <c r="B419" s="2" t="s">
        <v>66</v>
      </c>
      <c r="C419" s="2" t="s">
        <v>360</v>
      </c>
      <c r="D419" s="3" t="s">
        <v>134</v>
      </c>
      <c r="E419" s="3" t="s">
        <v>82</v>
      </c>
      <c r="F419" s="2" t="s">
        <v>83</v>
      </c>
      <c r="G419" s="4">
        <v>20</v>
      </c>
      <c r="H419" s="5">
        <v>3.9699999999999989</v>
      </c>
      <c r="I419" s="5">
        <v>4.1382388333155911</v>
      </c>
      <c r="J419" s="6">
        <v>0</v>
      </c>
      <c r="K419" s="5">
        <v>0</v>
      </c>
      <c r="L419" s="6">
        <v>633.11083148365651</v>
      </c>
      <c r="M419" s="5">
        <v>2513.4500009901162</v>
      </c>
      <c r="N419" s="6">
        <v>0</v>
      </c>
      <c r="O419" s="5">
        <v>0</v>
      </c>
      <c r="P419" s="6">
        <v>0</v>
      </c>
      <c r="Q419" s="5">
        <v>0</v>
      </c>
      <c r="R419" s="6">
        <v>0</v>
      </c>
      <c r="S419" s="5">
        <v>0</v>
      </c>
      <c r="T419" s="6">
        <v>0</v>
      </c>
      <c r="U419" s="5">
        <v>0</v>
      </c>
      <c r="V419" s="6">
        <v>0</v>
      </c>
      <c r="W419" s="5">
        <v>0</v>
      </c>
      <c r="X419" s="6">
        <v>0</v>
      </c>
      <c r="Y419" s="5">
        <v>0</v>
      </c>
      <c r="Z419" s="6">
        <v>0</v>
      </c>
      <c r="AA419" s="5">
        <v>0</v>
      </c>
      <c r="AB419" s="6">
        <v>0</v>
      </c>
      <c r="AC419" s="5">
        <v>0</v>
      </c>
      <c r="AD419" s="6">
        <v>606.7175291509692</v>
      </c>
      <c r="AE419" s="5">
        <v>2408.6685907293481</v>
      </c>
      <c r="AF419" s="6">
        <v>0</v>
      </c>
      <c r="AG419" s="5">
        <v>0</v>
      </c>
      <c r="AH419" s="7">
        <f t="shared" si="48"/>
        <v>1239.8283606346258</v>
      </c>
      <c r="AI419" s="8">
        <f t="shared" si="49"/>
        <v>4922.1185917194643</v>
      </c>
      <c r="AJ419" s="6">
        <v>0</v>
      </c>
      <c r="AK419" s="5">
        <v>0</v>
      </c>
      <c r="AL419" s="6">
        <v>680</v>
      </c>
      <c r="AM419" s="5">
        <v>2814.0024066546021</v>
      </c>
      <c r="AN419" s="6">
        <v>0</v>
      </c>
      <c r="AO419" s="5">
        <v>0</v>
      </c>
      <c r="AP419" s="6">
        <v>0</v>
      </c>
      <c r="AQ419" s="5">
        <v>0</v>
      </c>
      <c r="AR419" s="6">
        <v>0</v>
      </c>
      <c r="AS419" s="5">
        <v>0</v>
      </c>
      <c r="AT419" s="6">
        <v>0</v>
      </c>
      <c r="AU419" s="5">
        <v>0</v>
      </c>
      <c r="AV419" s="6">
        <v>0</v>
      </c>
      <c r="AW419" s="5">
        <v>0</v>
      </c>
      <c r="AX419" s="6">
        <v>0</v>
      </c>
      <c r="AY419" s="5">
        <v>0</v>
      </c>
      <c r="AZ419" s="6">
        <v>0</v>
      </c>
      <c r="BA419" s="5">
        <v>0</v>
      </c>
      <c r="BB419" s="6">
        <v>0</v>
      </c>
      <c r="BC419" s="5">
        <v>0</v>
      </c>
      <c r="BD419" s="6">
        <v>660</v>
      </c>
      <c r="BE419" s="5">
        <v>2731.2376299882899</v>
      </c>
      <c r="BF419" s="6">
        <v>0</v>
      </c>
      <c r="BG419" s="5">
        <v>0</v>
      </c>
      <c r="BH419" s="9">
        <f t="shared" si="50"/>
        <v>1340</v>
      </c>
      <c r="BI419" s="10">
        <f t="shared" si="51"/>
        <v>5545.2400366428919</v>
      </c>
      <c r="BJ419" s="6">
        <f t="shared" si="52"/>
        <v>100.17163936537418</v>
      </c>
      <c r="BK419" s="11">
        <f t="shared" si="53"/>
        <v>8.0794763651074838E-2</v>
      </c>
      <c r="BL419" s="5">
        <f t="shared" si="54"/>
        <v>623.12144492342759</v>
      </c>
      <c r="BM419" s="11">
        <f t="shared" si="55"/>
        <v>0.12659618684761312</v>
      </c>
    </row>
    <row r="420" spans="1:65" ht="15" customHeight="1" x14ac:dyDescent="0.4">
      <c r="A420" s="2" t="s">
        <v>269</v>
      </c>
      <c r="B420" s="2" t="s">
        <v>66</v>
      </c>
      <c r="C420" s="2" t="s">
        <v>360</v>
      </c>
      <c r="D420" s="3" t="s">
        <v>134</v>
      </c>
      <c r="E420" s="3" t="s">
        <v>167</v>
      </c>
      <c r="F420" s="2" t="s">
        <v>361</v>
      </c>
      <c r="G420" s="4">
        <v>5</v>
      </c>
      <c r="H420" s="5">
        <v>4.93</v>
      </c>
      <c r="I420" s="5">
        <v>5.1389212715984547</v>
      </c>
      <c r="J420" s="6">
        <v>0</v>
      </c>
      <c r="K420" s="5">
        <v>0</v>
      </c>
      <c r="L420" s="6">
        <v>692.46497193524931</v>
      </c>
      <c r="M420" s="5">
        <v>3413.8523116407791</v>
      </c>
      <c r="N420" s="6">
        <v>0</v>
      </c>
      <c r="O420" s="5">
        <v>0</v>
      </c>
      <c r="P420" s="6">
        <v>0</v>
      </c>
      <c r="Q420" s="5">
        <v>0</v>
      </c>
      <c r="R420" s="6">
        <v>0</v>
      </c>
      <c r="S420" s="5">
        <v>0</v>
      </c>
      <c r="T420" s="6">
        <v>0</v>
      </c>
      <c r="U420" s="5">
        <v>0</v>
      </c>
      <c r="V420" s="6">
        <v>0</v>
      </c>
      <c r="W420" s="5">
        <v>0</v>
      </c>
      <c r="X420" s="6">
        <v>0</v>
      </c>
      <c r="Y420" s="5">
        <v>0</v>
      </c>
      <c r="Z420" s="6">
        <v>0</v>
      </c>
      <c r="AA420" s="5">
        <v>0</v>
      </c>
      <c r="AB420" s="6">
        <v>0</v>
      </c>
      <c r="AC420" s="5">
        <v>0</v>
      </c>
      <c r="AD420" s="6">
        <v>0</v>
      </c>
      <c r="AE420" s="5">
        <v>0</v>
      </c>
      <c r="AF420" s="6">
        <v>0</v>
      </c>
      <c r="AG420" s="5">
        <v>0</v>
      </c>
      <c r="AH420" s="7">
        <f t="shared" si="48"/>
        <v>692.46497193524931</v>
      </c>
      <c r="AI420" s="8">
        <f t="shared" si="49"/>
        <v>3413.8523116407791</v>
      </c>
      <c r="AJ420" s="6">
        <v>0</v>
      </c>
      <c r="AK420" s="5">
        <v>0</v>
      </c>
      <c r="AL420" s="6">
        <v>740</v>
      </c>
      <c r="AM420" s="5">
        <v>3802.8017409828558</v>
      </c>
      <c r="AN420" s="6">
        <v>0</v>
      </c>
      <c r="AO420" s="5">
        <v>0</v>
      </c>
      <c r="AP420" s="6">
        <v>0</v>
      </c>
      <c r="AQ420" s="5">
        <v>0</v>
      </c>
      <c r="AR420" s="6">
        <v>0</v>
      </c>
      <c r="AS420" s="5">
        <v>0</v>
      </c>
      <c r="AT420" s="6">
        <v>0</v>
      </c>
      <c r="AU420" s="5">
        <v>0</v>
      </c>
      <c r="AV420" s="6">
        <v>0</v>
      </c>
      <c r="AW420" s="5">
        <v>0</v>
      </c>
      <c r="AX420" s="6">
        <v>0</v>
      </c>
      <c r="AY420" s="5">
        <v>0</v>
      </c>
      <c r="AZ420" s="6">
        <v>0</v>
      </c>
      <c r="BA420" s="5">
        <v>0</v>
      </c>
      <c r="BB420" s="6">
        <v>0</v>
      </c>
      <c r="BC420" s="5">
        <v>0</v>
      </c>
      <c r="BD420" s="6">
        <v>0</v>
      </c>
      <c r="BE420" s="5">
        <v>0</v>
      </c>
      <c r="BF420" s="6">
        <v>0</v>
      </c>
      <c r="BG420" s="5">
        <v>0</v>
      </c>
      <c r="BH420" s="9">
        <f t="shared" si="50"/>
        <v>740</v>
      </c>
      <c r="BI420" s="10">
        <f t="shared" si="51"/>
        <v>3802.8017409828558</v>
      </c>
      <c r="BJ420" s="6">
        <f t="shared" si="52"/>
        <v>47.535028064750691</v>
      </c>
      <c r="BK420" s="11">
        <f t="shared" si="53"/>
        <v>6.8646112065283746E-2</v>
      </c>
      <c r="BL420" s="5">
        <f t="shared" si="54"/>
        <v>388.94942934207666</v>
      </c>
      <c r="BM420" s="11">
        <f t="shared" si="55"/>
        <v>0.11393270529478126</v>
      </c>
    </row>
    <row r="421" spans="1:65" ht="15" customHeight="1" x14ac:dyDescent="0.4">
      <c r="A421" s="2" t="s">
        <v>269</v>
      </c>
      <c r="B421" s="2" t="s">
        <v>66</v>
      </c>
      <c r="C421" s="2" t="s">
        <v>360</v>
      </c>
      <c r="D421" s="3" t="s">
        <v>134</v>
      </c>
      <c r="E421" s="3" t="s">
        <v>167</v>
      </c>
      <c r="F421" s="2" t="s">
        <v>168</v>
      </c>
      <c r="G421" s="4">
        <v>5</v>
      </c>
      <c r="H421" s="5">
        <v>5.08</v>
      </c>
      <c r="I421" s="5">
        <v>5.2952779025801524</v>
      </c>
      <c r="J421" s="6">
        <v>0</v>
      </c>
      <c r="K421" s="5">
        <v>0</v>
      </c>
      <c r="L421" s="6">
        <v>0</v>
      </c>
      <c r="M421" s="5">
        <v>0</v>
      </c>
      <c r="N421" s="6">
        <v>0</v>
      </c>
      <c r="O421" s="5">
        <v>0</v>
      </c>
      <c r="P421" s="6">
        <v>296.77070225796399</v>
      </c>
      <c r="Q421" s="5">
        <v>1507.595167470457</v>
      </c>
      <c r="R421" s="6">
        <v>0</v>
      </c>
      <c r="S421" s="5">
        <v>0</v>
      </c>
      <c r="T421" s="6">
        <v>0</v>
      </c>
      <c r="U421" s="5">
        <v>0</v>
      </c>
      <c r="V421" s="6">
        <v>0</v>
      </c>
      <c r="W421" s="5">
        <v>0</v>
      </c>
      <c r="X421" s="6">
        <v>0</v>
      </c>
      <c r="Y421" s="5">
        <v>0</v>
      </c>
      <c r="Z421" s="6">
        <v>0</v>
      </c>
      <c r="AA421" s="5">
        <v>0</v>
      </c>
      <c r="AB421" s="6">
        <v>0</v>
      </c>
      <c r="AC421" s="5">
        <v>0</v>
      </c>
      <c r="AD421" s="6">
        <v>0</v>
      </c>
      <c r="AE421" s="5">
        <v>0</v>
      </c>
      <c r="AF421" s="6">
        <v>0</v>
      </c>
      <c r="AG421" s="5">
        <v>0</v>
      </c>
      <c r="AH421" s="7">
        <f t="shared" si="48"/>
        <v>296.77070225796399</v>
      </c>
      <c r="AI421" s="8">
        <f t="shared" si="49"/>
        <v>1507.595167470457</v>
      </c>
      <c r="AJ421" s="6">
        <v>0</v>
      </c>
      <c r="AK421" s="5">
        <v>0</v>
      </c>
      <c r="AL421" s="6">
        <v>0</v>
      </c>
      <c r="AM421" s="5">
        <v>0</v>
      </c>
      <c r="AN421" s="6">
        <v>0</v>
      </c>
      <c r="AO421" s="5">
        <v>0</v>
      </c>
      <c r="AP421" s="6">
        <v>320</v>
      </c>
      <c r="AQ421" s="5">
        <v>1694.4889288256479</v>
      </c>
      <c r="AR421" s="6">
        <v>0</v>
      </c>
      <c r="AS421" s="5">
        <v>0</v>
      </c>
      <c r="AT421" s="6">
        <v>0</v>
      </c>
      <c r="AU421" s="5">
        <v>0</v>
      </c>
      <c r="AV421" s="6">
        <v>0</v>
      </c>
      <c r="AW421" s="5">
        <v>0</v>
      </c>
      <c r="AX421" s="6">
        <v>0</v>
      </c>
      <c r="AY421" s="5">
        <v>0</v>
      </c>
      <c r="AZ421" s="6">
        <v>0</v>
      </c>
      <c r="BA421" s="5">
        <v>0</v>
      </c>
      <c r="BB421" s="6">
        <v>0</v>
      </c>
      <c r="BC421" s="5">
        <v>0</v>
      </c>
      <c r="BD421" s="6">
        <v>0</v>
      </c>
      <c r="BE421" s="5">
        <v>0</v>
      </c>
      <c r="BF421" s="6">
        <v>0</v>
      </c>
      <c r="BG421" s="5">
        <v>0</v>
      </c>
      <c r="BH421" s="9">
        <f t="shared" si="50"/>
        <v>320</v>
      </c>
      <c r="BI421" s="10">
        <f t="shared" si="51"/>
        <v>1694.4889288256479</v>
      </c>
      <c r="BJ421" s="6">
        <f t="shared" si="52"/>
        <v>23.22929774203601</v>
      </c>
      <c r="BK421" s="11">
        <f t="shared" si="53"/>
        <v>7.8273554516322341E-2</v>
      </c>
      <c r="BL421" s="5">
        <f t="shared" si="54"/>
        <v>186.89376135519092</v>
      </c>
      <c r="BM421" s="11">
        <f t="shared" si="55"/>
        <v>0.12396813507221149</v>
      </c>
    </row>
    <row r="422" spans="1:65" ht="15" customHeight="1" x14ac:dyDescent="0.4">
      <c r="A422" s="2" t="s">
        <v>269</v>
      </c>
      <c r="B422" s="2" t="s">
        <v>66</v>
      </c>
      <c r="C422" s="2" t="s">
        <v>360</v>
      </c>
      <c r="D422" s="3" t="s">
        <v>134</v>
      </c>
      <c r="E422" s="3" t="s">
        <v>138</v>
      </c>
      <c r="F422" s="2" t="s">
        <v>139</v>
      </c>
      <c r="G422" s="4">
        <v>5</v>
      </c>
      <c r="H422" s="5">
        <v>4.13</v>
      </c>
      <c r="I422" s="5">
        <v>4.3050192396960689</v>
      </c>
      <c r="J422" s="6">
        <v>0</v>
      </c>
      <c r="K422" s="5">
        <v>0</v>
      </c>
      <c r="L422" s="6">
        <v>296.77070225796399</v>
      </c>
      <c r="M422" s="5">
        <v>1225.6630003253911</v>
      </c>
      <c r="N422" s="6">
        <v>0</v>
      </c>
      <c r="O422" s="5">
        <v>0</v>
      </c>
      <c r="P422" s="6">
        <v>0</v>
      </c>
      <c r="Q422" s="5">
        <v>0</v>
      </c>
      <c r="R422" s="6">
        <v>0</v>
      </c>
      <c r="S422" s="5">
        <v>0</v>
      </c>
      <c r="T422" s="6">
        <v>0</v>
      </c>
      <c r="U422" s="5">
        <v>0</v>
      </c>
      <c r="V422" s="6">
        <v>0</v>
      </c>
      <c r="W422" s="5">
        <v>0</v>
      </c>
      <c r="X422" s="6">
        <v>0</v>
      </c>
      <c r="Y422" s="5">
        <v>0</v>
      </c>
      <c r="Z422" s="6">
        <v>0</v>
      </c>
      <c r="AA422" s="5">
        <v>0</v>
      </c>
      <c r="AB422" s="6">
        <v>0</v>
      </c>
      <c r="AC422" s="5">
        <v>0</v>
      </c>
      <c r="AD422" s="6">
        <v>0</v>
      </c>
      <c r="AE422" s="5">
        <v>0</v>
      </c>
      <c r="AF422" s="6">
        <v>0</v>
      </c>
      <c r="AG422" s="5">
        <v>0</v>
      </c>
      <c r="AH422" s="7">
        <f t="shared" si="48"/>
        <v>296.77070225796399</v>
      </c>
      <c r="AI422" s="8">
        <f t="shared" si="49"/>
        <v>1225.6630003253911</v>
      </c>
      <c r="AJ422" s="6">
        <v>0</v>
      </c>
      <c r="AK422" s="5">
        <v>0</v>
      </c>
      <c r="AL422" s="6">
        <v>315</v>
      </c>
      <c r="AM422" s="5">
        <v>1356.081060504262</v>
      </c>
      <c r="AN422" s="6">
        <v>0</v>
      </c>
      <c r="AO422" s="5">
        <v>0</v>
      </c>
      <c r="AP422" s="6">
        <v>0</v>
      </c>
      <c r="AQ422" s="5">
        <v>0</v>
      </c>
      <c r="AR422" s="6">
        <v>0</v>
      </c>
      <c r="AS422" s="5">
        <v>0</v>
      </c>
      <c r="AT422" s="6">
        <v>0</v>
      </c>
      <c r="AU422" s="5">
        <v>0</v>
      </c>
      <c r="AV422" s="6">
        <v>0</v>
      </c>
      <c r="AW422" s="5">
        <v>0</v>
      </c>
      <c r="AX422" s="6">
        <v>0</v>
      </c>
      <c r="AY422" s="5">
        <v>0</v>
      </c>
      <c r="AZ422" s="6">
        <v>0</v>
      </c>
      <c r="BA422" s="5">
        <v>0</v>
      </c>
      <c r="BB422" s="6">
        <v>0</v>
      </c>
      <c r="BC422" s="5">
        <v>0</v>
      </c>
      <c r="BD422" s="6">
        <v>0</v>
      </c>
      <c r="BE422" s="5">
        <v>0</v>
      </c>
      <c r="BF422" s="6">
        <v>0</v>
      </c>
      <c r="BG422" s="5">
        <v>0</v>
      </c>
      <c r="BH422" s="9">
        <f t="shared" si="50"/>
        <v>315</v>
      </c>
      <c r="BI422" s="10">
        <f t="shared" si="51"/>
        <v>1356.081060504262</v>
      </c>
      <c r="BJ422" s="6">
        <f t="shared" si="52"/>
        <v>18.22929774203601</v>
      </c>
      <c r="BK422" s="11">
        <f t="shared" si="53"/>
        <v>6.1425530227004803E-2</v>
      </c>
      <c r="BL422" s="5">
        <f t="shared" si="54"/>
        <v>130.41806017887097</v>
      </c>
      <c r="BM422" s="11">
        <f t="shared" si="55"/>
        <v>0.10640613296170919</v>
      </c>
    </row>
    <row r="423" spans="1:65" ht="15" customHeight="1" x14ac:dyDescent="0.4">
      <c r="A423" s="2" t="s">
        <v>269</v>
      </c>
      <c r="B423" s="2" t="s">
        <v>66</v>
      </c>
      <c r="C423" s="2" t="s">
        <v>360</v>
      </c>
      <c r="D423" s="3" t="s">
        <v>134</v>
      </c>
      <c r="E423" s="3" t="s">
        <v>73</v>
      </c>
      <c r="F423" s="2" t="s">
        <v>74</v>
      </c>
      <c r="G423" s="4">
        <v>20</v>
      </c>
      <c r="H423" s="5">
        <v>3.75</v>
      </c>
      <c r="I423" s="5">
        <v>3.908915774542435</v>
      </c>
      <c r="J423" s="6">
        <v>0</v>
      </c>
      <c r="K423" s="5">
        <v>0</v>
      </c>
      <c r="L423" s="6">
        <v>316.55541574182831</v>
      </c>
      <c r="M423" s="5">
        <v>1187.082809031856</v>
      </c>
      <c r="N423" s="6">
        <v>0</v>
      </c>
      <c r="O423" s="5">
        <v>0</v>
      </c>
      <c r="P423" s="6">
        <v>0</v>
      </c>
      <c r="Q423" s="5">
        <v>0</v>
      </c>
      <c r="R423" s="6">
        <v>0</v>
      </c>
      <c r="S423" s="5">
        <v>0</v>
      </c>
      <c r="T423" s="6">
        <v>0</v>
      </c>
      <c r="U423" s="5">
        <v>0</v>
      </c>
      <c r="V423" s="6">
        <v>0</v>
      </c>
      <c r="W423" s="5">
        <v>0</v>
      </c>
      <c r="X423" s="6">
        <v>0</v>
      </c>
      <c r="Y423" s="5">
        <v>0</v>
      </c>
      <c r="Z423" s="6">
        <v>0</v>
      </c>
      <c r="AA423" s="5">
        <v>0</v>
      </c>
      <c r="AB423" s="6">
        <v>0</v>
      </c>
      <c r="AC423" s="5">
        <v>0</v>
      </c>
      <c r="AD423" s="6">
        <v>0</v>
      </c>
      <c r="AE423" s="5">
        <v>0</v>
      </c>
      <c r="AF423" s="6">
        <v>0</v>
      </c>
      <c r="AG423" s="5">
        <v>0</v>
      </c>
      <c r="AH423" s="7">
        <f t="shared" si="48"/>
        <v>316.55541574182831</v>
      </c>
      <c r="AI423" s="8">
        <f t="shared" si="49"/>
        <v>1187.082809031856</v>
      </c>
      <c r="AJ423" s="6">
        <v>0</v>
      </c>
      <c r="AK423" s="5">
        <v>0</v>
      </c>
      <c r="AL423" s="6">
        <v>340</v>
      </c>
      <c r="AM423" s="5">
        <v>1329.031363344428</v>
      </c>
      <c r="AN423" s="6">
        <v>0</v>
      </c>
      <c r="AO423" s="5">
        <v>0</v>
      </c>
      <c r="AP423" s="6">
        <v>0</v>
      </c>
      <c r="AQ423" s="5">
        <v>0</v>
      </c>
      <c r="AR423" s="6">
        <v>0</v>
      </c>
      <c r="AS423" s="5">
        <v>0</v>
      </c>
      <c r="AT423" s="6">
        <v>0</v>
      </c>
      <c r="AU423" s="5">
        <v>0</v>
      </c>
      <c r="AV423" s="6">
        <v>0</v>
      </c>
      <c r="AW423" s="5">
        <v>0</v>
      </c>
      <c r="AX423" s="6">
        <v>0</v>
      </c>
      <c r="AY423" s="5">
        <v>0</v>
      </c>
      <c r="AZ423" s="6">
        <v>0</v>
      </c>
      <c r="BA423" s="5">
        <v>0</v>
      </c>
      <c r="BB423" s="6">
        <v>0</v>
      </c>
      <c r="BC423" s="5">
        <v>0</v>
      </c>
      <c r="BD423" s="6">
        <v>0</v>
      </c>
      <c r="BE423" s="5">
        <v>0</v>
      </c>
      <c r="BF423" s="6">
        <v>0</v>
      </c>
      <c r="BG423" s="5">
        <v>0</v>
      </c>
      <c r="BH423" s="9">
        <f t="shared" si="50"/>
        <v>340</v>
      </c>
      <c r="BI423" s="10">
        <f t="shared" si="51"/>
        <v>1329.031363344428</v>
      </c>
      <c r="BJ423" s="6">
        <f t="shared" si="52"/>
        <v>23.444584258171687</v>
      </c>
      <c r="BK423" s="11">
        <f t="shared" si="53"/>
        <v>7.4061548443992764E-2</v>
      </c>
      <c r="BL423" s="5">
        <f t="shared" si="54"/>
        <v>141.94855431257201</v>
      </c>
      <c r="BM423" s="11">
        <f t="shared" si="55"/>
        <v>0.11957763454458614</v>
      </c>
    </row>
    <row r="424" spans="1:65" ht="15" customHeight="1" x14ac:dyDescent="0.4">
      <c r="A424" s="2" t="s">
        <v>269</v>
      </c>
      <c r="B424" s="2" t="s">
        <v>362</v>
      </c>
      <c r="C424" s="2" t="s">
        <v>363</v>
      </c>
      <c r="D424" s="3" t="s">
        <v>101</v>
      </c>
      <c r="E424" s="3" t="s">
        <v>364</v>
      </c>
      <c r="F424" s="2" t="s">
        <v>365</v>
      </c>
      <c r="G424" s="4">
        <v>1</v>
      </c>
      <c r="H424" s="5">
        <v>4.74</v>
      </c>
      <c r="I424" s="5">
        <v>4.9408695390216382</v>
      </c>
      <c r="J424" s="6">
        <v>0</v>
      </c>
      <c r="K424" s="5">
        <v>0</v>
      </c>
      <c r="L424" s="6">
        <v>783.47465396102484</v>
      </c>
      <c r="M424" s="5">
        <v>3713.6698597752579</v>
      </c>
      <c r="N424" s="6">
        <v>0</v>
      </c>
      <c r="O424" s="5">
        <v>0</v>
      </c>
      <c r="P424" s="6">
        <v>0</v>
      </c>
      <c r="Q424" s="5">
        <v>0</v>
      </c>
      <c r="R424" s="6">
        <v>0</v>
      </c>
      <c r="S424" s="5">
        <v>0</v>
      </c>
      <c r="T424" s="6">
        <v>0</v>
      </c>
      <c r="U424" s="5">
        <v>0</v>
      </c>
      <c r="V424" s="6">
        <v>0</v>
      </c>
      <c r="W424" s="5">
        <v>0</v>
      </c>
      <c r="X424" s="6">
        <v>0</v>
      </c>
      <c r="Y424" s="5">
        <v>0</v>
      </c>
      <c r="Z424" s="6">
        <v>0</v>
      </c>
      <c r="AA424" s="5">
        <v>0</v>
      </c>
      <c r="AB424" s="6">
        <v>0</v>
      </c>
      <c r="AC424" s="5">
        <v>0</v>
      </c>
      <c r="AD424" s="6">
        <v>0</v>
      </c>
      <c r="AE424" s="5">
        <v>0</v>
      </c>
      <c r="AF424" s="6">
        <v>0</v>
      </c>
      <c r="AG424" s="5">
        <v>0</v>
      </c>
      <c r="AH424" s="7">
        <f t="shared" si="48"/>
        <v>783.47465396102484</v>
      </c>
      <c r="AI424" s="8">
        <f t="shared" si="49"/>
        <v>3713.6698597752579</v>
      </c>
      <c r="AJ424" s="6">
        <v>0</v>
      </c>
      <c r="AK424" s="5">
        <v>0</v>
      </c>
      <c r="AL424" s="6">
        <v>839</v>
      </c>
      <c r="AM424" s="5">
        <v>4145.3895432391546</v>
      </c>
      <c r="AN424" s="6">
        <v>0</v>
      </c>
      <c r="AO424" s="5">
        <v>0</v>
      </c>
      <c r="AP424" s="6">
        <v>0</v>
      </c>
      <c r="AQ424" s="5">
        <v>0</v>
      </c>
      <c r="AR424" s="6">
        <v>0</v>
      </c>
      <c r="AS424" s="5">
        <v>0</v>
      </c>
      <c r="AT424" s="6">
        <v>0</v>
      </c>
      <c r="AU424" s="5">
        <v>0</v>
      </c>
      <c r="AV424" s="6">
        <v>0</v>
      </c>
      <c r="AW424" s="5">
        <v>0</v>
      </c>
      <c r="AX424" s="6">
        <v>0</v>
      </c>
      <c r="AY424" s="5">
        <v>0</v>
      </c>
      <c r="AZ424" s="6">
        <v>0</v>
      </c>
      <c r="BA424" s="5">
        <v>0</v>
      </c>
      <c r="BB424" s="6">
        <v>0</v>
      </c>
      <c r="BC424" s="5">
        <v>0</v>
      </c>
      <c r="BD424" s="6">
        <v>0</v>
      </c>
      <c r="BE424" s="5">
        <v>0</v>
      </c>
      <c r="BF424" s="6">
        <v>0</v>
      </c>
      <c r="BG424" s="5">
        <v>0</v>
      </c>
      <c r="BH424" s="9">
        <f t="shared" si="50"/>
        <v>839</v>
      </c>
      <c r="BI424" s="10">
        <f t="shared" si="51"/>
        <v>4145.3895432391546</v>
      </c>
      <c r="BJ424" s="6">
        <f t="shared" si="52"/>
        <v>55.525346038975158</v>
      </c>
      <c r="BK424" s="11">
        <f t="shared" si="53"/>
        <v>7.0870634752834463E-2</v>
      </c>
      <c r="BL424" s="5">
        <f t="shared" si="54"/>
        <v>431.71968346389667</v>
      </c>
      <c r="BM424" s="11">
        <f t="shared" si="55"/>
        <v>0.11625149778123338</v>
      </c>
    </row>
    <row r="425" spans="1:65" ht="15" customHeight="1" x14ac:dyDescent="0.4">
      <c r="A425" s="2" t="s">
        <v>269</v>
      </c>
      <c r="B425" s="2" t="s">
        <v>362</v>
      </c>
      <c r="C425" s="2" t="s">
        <v>363</v>
      </c>
      <c r="D425" s="3" t="s">
        <v>101</v>
      </c>
      <c r="E425" s="3" t="s">
        <v>366</v>
      </c>
      <c r="F425" s="2" t="s">
        <v>365</v>
      </c>
      <c r="G425" s="4">
        <v>5</v>
      </c>
      <c r="H425" s="5">
        <v>4.01</v>
      </c>
      <c r="I425" s="5">
        <v>4.1799339349107099</v>
      </c>
      <c r="J425" s="6">
        <v>0</v>
      </c>
      <c r="K425" s="5">
        <v>0</v>
      </c>
      <c r="L425" s="6">
        <v>791.38853935457064</v>
      </c>
      <c r="M425" s="5">
        <v>3173.4680428118281</v>
      </c>
      <c r="N425" s="6">
        <v>0</v>
      </c>
      <c r="O425" s="5">
        <v>0</v>
      </c>
      <c r="P425" s="6">
        <v>0</v>
      </c>
      <c r="Q425" s="5">
        <v>0</v>
      </c>
      <c r="R425" s="6">
        <v>0</v>
      </c>
      <c r="S425" s="5">
        <v>0</v>
      </c>
      <c r="T425" s="6">
        <v>0</v>
      </c>
      <c r="U425" s="5">
        <v>0</v>
      </c>
      <c r="V425" s="6">
        <v>0</v>
      </c>
      <c r="W425" s="5">
        <v>0</v>
      </c>
      <c r="X425" s="6">
        <v>0</v>
      </c>
      <c r="Y425" s="5">
        <v>0</v>
      </c>
      <c r="Z425" s="6">
        <v>0</v>
      </c>
      <c r="AA425" s="5">
        <v>0</v>
      </c>
      <c r="AB425" s="6">
        <v>0</v>
      </c>
      <c r="AC425" s="5">
        <v>0</v>
      </c>
      <c r="AD425" s="6">
        <v>0</v>
      </c>
      <c r="AE425" s="5">
        <v>0</v>
      </c>
      <c r="AF425" s="6">
        <v>0</v>
      </c>
      <c r="AG425" s="5">
        <v>0</v>
      </c>
      <c r="AH425" s="7">
        <f t="shared" si="48"/>
        <v>791.38853935457064</v>
      </c>
      <c r="AI425" s="8">
        <f t="shared" si="49"/>
        <v>3173.4680428118281</v>
      </c>
      <c r="AJ425" s="6">
        <v>0</v>
      </c>
      <c r="AK425" s="5">
        <v>0</v>
      </c>
      <c r="AL425" s="6">
        <v>850</v>
      </c>
      <c r="AM425" s="5">
        <v>3552.9438446741028</v>
      </c>
      <c r="AN425" s="6">
        <v>0</v>
      </c>
      <c r="AO425" s="5">
        <v>0</v>
      </c>
      <c r="AP425" s="6">
        <v>0</v>
      </c>
      <c r="AQ425" s="5">
        <v>0</v>
      </c>
      <c r="AR425" s="6">
        <v>0</v>
      </c>
      <c r="AS425" s="5">
        <v>0</v>
      </c>
      <c r="AT425" s="6">
        <v>0</v>
      </c>
      <c r="AU425" s="5">
        <v>0</v>
      </c>
      <c r="AV425" s="6">
        <v>0</v>
      </c>
      <c r="AW425" s="5">
        <v>0</v>
      </c>
      <c r="AX425" s="6">
        <v>0</v>
      </c>
      <c r="AY425" s="5">
        <v>0</v>
      </c>
      <c r="AZ425" s="6">
        <v>0</v>
      </c>
      <c r="BA425" s="5">
        <v>0</v>
      </c>
      <c r="BB425" s="6">
        <v>0</v>
      </c>
      <c r="BC425" s="5">
        <v>0</v>
      </c>
      <c r="BD425" s="6">
        <v>0</v>
      </c>
      <c r="BE425" s="5">
        <v>0</v>
      </c>
      <c r="BF425" s="6">
        <v>0</v>
      </c>
      <c r="BG425" s="5">
        <v>0</v>
      </c>
      <c r="BH425" s="9">
        <f t="shared" si="50"/>
        <v>850</v>
      </c>
      <c r="BI425" s="10">
        <f t="shared" si="51"/>
        <v>3552.9438446741028</v>
      </c>
      <c r="BJ425" s="6">
        <f t="shared" si="52"/>
        <v>58.611460645429361</v>
      </c>
      <c r="BK425" s="11">
        <f t="shared" si="53"/>
        <v>7.4061548443992958E-2</v>
      </c>
      <c r="BL425" s="5">
        <f t="shared" si="54"/>
        <v>379.47580186227469</v>
      </c>
      <c r="BM425" s="11">
        <f t="shared" si="55"/>
        <v>0.11957763454458578</v>
      </c>
    </row>
    <row r="426" spans="1:65" ht="15" customHeight="1" x14ac:dyDescent="0.4">
      <c r="A426" s="2" t="s">
        <v>269</v>
      </c>
      <c r="B426" s="2" t="s">
        <v>362</v>
      </c>
      <c r="C426" s="2" t="s">
        <v>363</v>
      </c>
      <c r="D426" s="3" t="s">
        <v>101</v>
      </c>
      <c r="E426" s="3" t="s">
        <v>367</v>
      </c>
      <c r="F426" s="2" t="s">
        <v>368</v>
      </c>
      <c r="G426" s="4">
        <v>1</v>
      </c>
      <c r="H426" s="5">
        <v>5.0900000000000007</v>
      </c>
      <c r="I426" s="5">
        <v>5.3057016779789334</v>
      </c>
      <c r="J426" s="6">
        <v>0</v>
      </c>
      <c r="K426" s="5">
        <v>0</v>
      </c>
      <c r="L426" s="6">
        <v>783.47465396102484</v>
      </c>
      <c r="M426" s="5">
        <v>3987.8859886616169</v>
      </c>
      <c r="N426" s="6">
        <v>0</v>
      </c>
      <c r="O426" s="5">
        <v>0</v>
      </c>
      <c r="P426" s="6">
        <v>0</v>
      </c>
      <c r="Q426" s="5">
        <v>0</v>
      </c>
      <c r="R426" s="6">
        <v>0</v>
      </c>
      <c r="S426" s="5">
        <v>0</v>
      </c>
      <c r="T426" s="6">
        <v>0</v>
      </c>
      <c r="U426" s="5">
        <v>0</v>
      </c>
      <c r="V426" s="6">
        <v>0</v>
      </c>
      <c r="W426" s="5">
        <v>0</v>
      </c>
      <c r="X426" s="6">
        <v>0</v>
      </c>
      <c r="Y426" s="5">
        <v>0</v>
      </c>
      <c r="Z426" s="6">
        <v>0</v>
      </c>
      <c r="AA426" s="5">
        <v>0</v>
      </c>
      <c r="AB426" s="6">
        <v>0</v>
      </c>
      <c r="AC426" s="5">
        <v>0</v>
      </c>
      <c r="AD426" s="6">
        <v>0</v>
      </c>
      <c r="AE426" s="5">
        <v>0</v>
      </c>
      <c r="AF426" s="6">
        <v>0</v>
      </c>
      <c r="AG426" s="5">
        <v>0</v>
      </c>
      <c r="AH426" s="7">
        <f t="shared" si="48"/>
        <v>783.47465396102484</v>
      </c>
      <c r="AI426" s="8">
        <f t="shared" si="49"/>
        <v>3987.8859886616169</v>
      </c>
      <c r="AJ426" s="6">
        <v>0</v>
      </c>
      <c r="AK426" s="5">
        <v>0</v>
      </c>
      <c r="AL426" s="6">
        <v>839</v>
      </c>
      <c r="AM426" s="5">
        <v>4451.4837078243236</v>
      </c>
      <c r="AN426" s="6">
        <v>0</v>
      </c>
      <c r="AO426" s="5">
        <v>0</v>
      </c>
      <c r="AP426" s="6">
        <v>0</v>
      </c>
      <c r="AQ426" s="5">
        <v>0</v>
      </c>
      <c r="AR426" s="6">
        <v>0</v>
      </c>
      <c r="AS426" s="5">
        <v>0</v>
      </c>
      <c r="AT426" s="6">
        <v>0</v>
      </c>
      <c r="AU426" s="5">
        <v>0</v>
      </c>
      <c r="AV426" s="6">
        <v>0</v>
      </c>
      <c r="AW426" s="5">
        <v>0</v>
      </c>
      <c r="AX426" s="6">
        <v>0</v>
      </c>
      <c r="AY426" s="5">
        <v>0</v>
      </c>
      <c r="AZ426" s="6">
        <v>0</v>
      </c>
      <c r="BA426" s="5">
        <v>0</v>
      </c>
      <c r="BB426" s="6">
        <v>0</v>
      </c>
      <c r="BC426" s="5">
        <v>0</v>
      </c>
      <c r="BD426" s="6">
        <v>0</v>
      </c>
      <c r="BE426" s="5">
        <v>0</v>
      </c>
      <c r="BF426" s="6">
        <v>0</v>
      </c>
      <c r="BG426" s="5">
        <v>0</v>
      </c>
      <c r="BH426" s="9">
        <f t="shared" si="50"/>
        <v>839</v>
      </c>
      <c r="BI426" s="10">
        <f t="shared" si="51"/>
        <v>4451.4837078243236</v>
      </c>
      <c r="BJ426" s="6">
        <f t="shared" si="52"/>
        <v>55.525346038975158</v>
      </c>
      <c r="BK426" s="11">
        <f t="shared" si="53"/>
        <v>7.0870634752834463E-2</v>
      </c>
      <c r="BL426" s="5">
        <f t="shared" si="54"/>
        <v>463.59771916270665</v>
      </c>
      <c r="BM426" s="11">
        <f t="shared" si="55"/>
        <v>0.11625149778123313</v>
      </c>
    </row>
    <row r="427" spans="1:65" ht="15" customHeight="1" x14ac:dyDescent="0.4">
      <c r="A427" s="2" t="s">
        <v>269</v>
      </c>
      <c r="B427" s="2" t="s">
        <v>362</v>
      </c>
      <c r="C427" s="2" t="s">
        <v>363</v>
      </c>
      <c r="D427" s="3" t="s">
        <v>101</v>
      </c>
      <c r="E427" s="3" t="s">
        <v>369</v>
      </c>
      <c r="F427" s="2" t="s">
        <v>368</v>
      </c>
      <c r="G427" s="4">
        <v>5</v>
      </c>
      <c r="H427" s="5">
        <v>4.08</v>
      </c>
      <c r="I427" s="5">
        <v>4.2529003627021691</v>
      </c>
      <c r="J427" s="6">
        <v>0</v>
      </c>
      <c r="K427" s="5">
        <v>0</v>
      </c>
      <c r="L427" s="6">
        <v>791.38853935457064</v>
      </c>
      <c r="M427" s="5">
        <v>3228.865240566648</v>
      </c>
      <c r="N427" s="6">
        <v>0</v>
      </c>
      <c r="O427" s="5">
        <v>0</v>
      </c>
      <c r="P427" s="6">
        <v>0</v>
      </c>
      <c r="Q427" s="5">
        <v>0</v>
      </c>
      <c r="R427" s="6">
        <v>0</v>
      </c>
      <c r="S427" s="5">
        <v>0</v>
      </c>
      <c r="T427" s="6">
        <v>0</v>
      </c>
      <c r="U427" s="5">
        <v>0</v>
      </c>
      <c r="V427" s="6">
        <v>0</v>
      </c>
      <c r="W427" s="5">
        <v>0</v>
      </c>
      <c r="X427" s="6">
        <v>0</v>
      </c>
      <c r="Y427" s="5">
        <v>0</v>
      </c>
      <c r="Z427" s="6">
        <v>0</v>
      </c>
      <c r="AA427" s="5">
        <v>0</v>
      </c>
      <c r="AB427" s="6">
        <v>0</v>
      </c>
      <c r="AC427" s="5">
        <v>0</v>
      </c>
      <c r="AD427" s="6">
        <v>0</v>
      </c>
      <c r="AE427" s="5">
        <v>0</v>
      </c>
      <c r="AF427" s="6">
        <v>0</v>
      </c>
      <c r="AG427" s="5">
        <v>0</v>
      </c>
      <c r="AH427" s="7">
        <f t="shared" si="48"/>
        <v>791.38853935457064</v>
      </c>
      <c r="AI427" s="8">
        <f t="shared" si="49"/>
        <v>3228.865240566648</v>
      </c>
      <c r="AJ427" s="6">
        <v>0</v>
      </c>
      <c r="AK427" s="5">
        <v>0</v>
      </c>
      <c r="AL427" s="6">
        <v>850</v>
      </c>
      <c r="AM427" s="5">
        <v>3614.965308296843</v>
      </c>
      <c r="AN427" s="6">
        <v>0</v>
      </c>
      <c r="AO427" s="5">
        <v>0</v>
      </c>
      <c r="AP427" s="6">
        <v>0</v>
      </c>
      <c r="AQ427" s="5">
        <v>0</v>
      </c>
      <c r="AR427" s="6">
        <v>0</v>
      </c>
      <c r="AS427" s="5">
        <v>0</v>
      </c>
      <c r="AT427" s="6">
        <v>0</v>
      </c>
      <c r="AU427" s="5">
        <v>0</v>
      </c>
      <c r="AV427" s="6">
        <v>0</v>
      </c>
      <c r="AW427" s="5">
        <v>0</v>
      </c>
      <c r="AX427" s="6">
        <v>0</v>
      </c>
      <c r="AY427" s="5">
        <v>0</v>
      </c>
      <c r="AZ427" s="6">
        <v>0</v>
      </c>
      <c r="BA427" s="5">
        <v>0</v>
      </c>
      <c r="BB427" s="6">
        <v>0</v>
      </c>
      <c r="BC427" s="5">
        <v>0</v>
      </c>
      <c r="BD427" s="6">
        <v>0</v>
      </c>
      <c r="BE427" s="5">
        <v>0</v>
      </c>
      <c r="BF427" s="6">
        <v>0</v>
      </c>
      <c r="BG427" s="5">
        <v>0</v>
      </c>
      <c r="BH427" s="9">
        <f t="shared" si="50"/>
        <v>850</v>
      </c>
      <c r="BI427" s="10">
        <f t="shared" si="51"/>
        <v>3614.965308296843</v>
      </c>
      <c r="BJ427" s="6">
        <f t="shared" si="52"/>
        <v>58.611460645429361</v>
      </c>
      <c r="BK427" s="11">
        <f t="shared" si="53"/>
        <v>7.4061548443992958E-2</v>
      </c>
      <c r="BL427" s="5">
        <f t="shared" si="54"/>
        <v>386.10006773019495</v>
      </c>
      <c r="BM427" s="11">
        <f t="shared" si="55"/>
        <v>0.11957763454458586</v>
      </c>
    </row>
    <row r="428" spans="1:65" ht="15" customHeight="1" x14ac:dyDescent="0.4">
      <c r="A428" s="2" t="s">
        <v>269</v>
      </c>
      <c r="B428" s="2" t="s">
        <v>362</v>
      </c>
      <c r="C428" s="2" t="s">
        <v>363</v>
      </c>
      <c r="D428" s="3" t="s">
        <v>101</v>
      </c>
      <c r="E428" s="3" t="s">
        <v>370</v>
      </c>
      <c r="F428" s="2" t="s">
        <v>371</v>
      </c>
      <c r="G428" s="4">
        <v>1</v>
      </c>
      <c r="H428" s="5">
        <v>5.86</v>
      </c>
      <c r="I428" s="5">
        <v>6.1083323836849788</v>
      </c>
      <c r="J428" s="6">
        <v>0</v>
      </c>
      <c r="K428" s="5">
        <v>0</v>
      </c>
      <c r="L428" s="6">
        <v>783.47465396102484</v>
      </c>
      <c r="M428" s="5">
        <v>4591.1614722116065</v>
      </c>
      <c r="N428" s="6">
        <v>0</v>
      </c>
      <c r="O428" s="5">
        <v>0</v>
      </c>
      <c r="P428" s="6">
        <v>0</v>
      </c>
      <c r="Q428" s="5">
        <v>0</v>
      </c>
      <c r="R428" s="6">
        <v>0</v>
      </c>
      <c r="S428" s="5">
        <v>0</v>
      </c>
      <c r="T428" s="6">
        <v>0</v>
      </c>
      <c r="U428" s="5">
        <v>0</v>
      </c>
      <c r="V428" s="6">
        <v>0</v>
      </c>
      <c r="W428" s="5">
        <v>0</v>
      </c>
      <c r="X428" s="6">
        <v>0</v>
      </c>
      <c r="Y428" s="5">
        <v>0</v>
      </c>
      <c r="Z428" s="6">
        <v>0</v>
      </c>
      <c r="AA428" s="5">
        <v>0</v>
      </c>
      <c r="AB428" s="6">
        <v>0</v>
      </c>
      <c r="AC428" s="5">
        <v>0</v>
      </c>
      <c r="AD428" s="6">
        <v>0</v>
      </c>
      <c r="AE428" s="5">
        <v>0</v>
      </c>
      <c r="AF428" s="6">
        <v>0</v>
      </c>
      <c r="AG428" s="5">
        <v>0</v>
      </c>
      <c r="AH428" s="7">
        <f t="shared" si="48"/>
        <v>783.47465396102484</v>
      </c>
      <c r="AI428" s="8">
        <f t="shared" si="49"/>
        <v>4591.1614722116065</v>
      </c>
      <c r="AJ428" s="6">
        <v>0</v>
      </c>
      <c r="AK428" s="5">
        <v>0</v>
      </c>
      <c r="AL428" s="6">
        <v>864</v>
      </c>
      <c r="AM428" s="5">
        <v>5277.5991795038217</v>
      </c>
      <c r="AN428" s="6">
        <v>0</v>
      </c>
      <c r="AO428" s="5">
        <v>0</v>
      </c>
      <c r="AP428" s="6">
        <v>0</v>
      </c>
      <c r="AQ428" s="5">
        <v>0</v>
      </c>
      <c r="AR428" s="6">
        <v>0</v>
      </c>
      <c r="AS428" s="5">
        <v>0</v>
      </c>
      <c r="AT428" s="6">
        <v>0</v>
      </c>
      <c r="AU428" s="5">
        <v>0</v>
      </c>
      <c r="AV428" s="6">
        <v>0</v>
      </c>
      <c r="AW428" s="5">
        <v>0</v>
      </c>
      <c r="AX428" s="6">
        <v>0</v>
      </c>
      <c r="AY428" s="5">
        <v>0</v>
      </c>
      <c r="AZ428" s="6">
        <v>0</v>
      </c>
      <c r="BA428" s="5">
        <v>0</v>
      </c>
      <c r="BB428" s="6">
        <v>0</v>
      </c>
      <c r="BC428" s="5">
        <v>0</v>
      </c>
      <c r="BD428" s="6">
        <v>0</v>
      </c>
      <c r="BE428" s="5">
        <v>0</v>
      </c>
      <c r="BF428" s="6">
        <v>0</v>
      </c>
      <c r="BG428" s="5">
        <v>0</v>
      </c>
      <c r="BH428" s="9">
        <f t="shared" si="50"/>
        <v>864</v>
      </c>
      <c r="BI428" s="10">
        <f t="shared" si="51"/>
        <v>5277.5991795038217</v>
      </c>
      <c r="BJ428" s="6">
        <f t="shared" si="52"/>
        <v>80.525346038975158</v>
      </c>
      <c r="BK428" s="11">
        <f t="shared" si="53"/>
        <v>0.1027797716644207</v>
      </c>
      <c r="BL428" s="5">
        <f t="shared" si="54"/>
        <v>686.43770729221524</v>
      </c>
      <c r="BM428" s="11">
        <f t="shared" si="55"/>
        <v>0.14951286541476216</v>
      </c>
    </row>
    <row r="429" spans="1:65" ht="15" customHeight="1" x14ac:dyDescent="0.4">
      <c r="A429" s="2" t="s">
        <v>269</v>
      </c>
      <c r="B429" s="2" t="s">
        <v>362</v>
      </c>
      <c r="C429" s="2" t="s">
        <v>363</v>
      </c>
      <c r="D429" s="3" t="s">
        <v>101</v>
      </c>
      <c r="E429" s="3" t="s">
        <v>372</v>
      </c>
      <c r="F429" s="2" t="s">
        <v>371</v>
      </c>
      <c r="G429" s="4">
        <v>5</v>
      </c>
      <c r="H429" s="5">
        <v>4.74</v>
      </c>
      <c r="I429" s="5">
        <v>4.9408695390216382</v>
      </c>
      <c r="J429" s="6">
        <v>0</v>
      </c>
      <c r="K429" s="5">
        <v>0</v>
      </c>
      <c r="L429" s="6">
        <v>791.38853935457064</v>
      </c>
      <c r="M429" s="5">
        <v>3751.1816765406652</v>
      </c>
      <c r="N429" s="6">
        <v>0</v>
      </c>
      <c r="O429" s="5">
        <v>0</v>
      </c>
      <c r="P429" s="6">
        <v>0</v>
      </c>
      <c r="Q429" s="5">
        <v>0</v>
      </c>
      <c r="R429" s="6">
        <v>0</v>
      </c>
      <c r="S429" s="5">
        <v>0</v>
      </c>
      <c r="T429" s="6">
        <v>0</v>
      </c>
      <c r="U429" s="5">
        <v>0</v>
      </c>
      <c r="V429" s="6">
        <v>0</v>
      </c>
      <c r="W429" s="5">
        <v>0</v>
      </c>
      <c r="X429" s="6">
        <v>0</v>
      </c>
      <c r="Y429" s="5">
        <v>0</v>
      </c>
      <c r="Z429" s="6">
        <v>0</v>
      </c>
      <c r="AA429" s="5">
        <v>0</v>
      </c>
      <c r="AB429" s="6">
        <v>0</v>
      </c>
      <c r="AC429" s="5">
        <v>0</v>
      </c>
      <c r="AD429" s="6">
        <v>0</v>
      </c>
      <c r="AE429" s="5">
        <v>0</v>
      </c>
      <c r="AF429" s="6">
        <v>0</v>
      </c>
      <c r="AG429" s="5">
        <v>0</v>
      </c>
      <c r="AH429" s="7">
        <f t="shared" si="48"/>
        <v>791.38853935457064</v>
      </c>
      <c r="AI429" s="8">
        <f t="shared" si="49"/>
        <v>3751.1816765406652</v>
      </c>
      <c r="AJ429" s="6">
        <v>0</v>
      </c>
      <c r="AK429" s="5">
        <v>0</v>
      </c>
      <c r="AL429" s="6">
        <v>875</v>
      </c>
      <c r="AM429" s="5">
        <v>4323.2608466439333</v>
      </c>
      <c r="AN429" s="6">
        <v>0</v>
      </c>
      <c r="AO429" s="5">
        <v>0</v>
      </c>
      <c r="AP429" s="6">
        <v>0</v>
      </c>
      <c r="AQ429" s="5">
        <v>0</v>
      </c>
      <c r="AR429" s="6">
        <v>0</v>
      </c>
      <c r="AS429" s="5">
        <v>0</v>
      </c>
      <c r="AT429" s="6">
        <v>0</v>
      </c>
      <c r="AU429" s="5">
        <v>0</v>
      </c>
      <c r="AV429" s="6">
        <v>0</v>
      </c>
      <c r="AW429" s="5">
        <v>0</v>
      </c>
      <c r="AX429" s="6">
        <v>0</v>
      </c>
      <c r="AY429" s="5">
        <v>0</v>
      </c>
      <c r="AZ429" s="6">
        <v>0</v>
      </c>
      <c r="BA429" s="5">
        <v>0</v>
      </c>
      <c r="BB429" s="6">
        <v>0</v>
      </c>
      <c r="BC429" s="5">
        <v>0</v>
      </c>
      <c r="BD429" s="6">
        <v>0</v>
      </c>
      <c r="BE429" s="5">
        <v>0</v>
      </c>
      <c r="BF429" s="6">
        <v>0</v>
      </c>
      <c r="BG429" s="5">
        <v>0</v>
      </c>
      <c r="BH429" s="9">
        <f t="shared" si="50"/>
        <v>875</v>
      </c>
      <c r="BI429" s="10">
        <f t="shared" si="51"/>
        <v>4323.2608466439333</v>
      </c>
      <c r="BJ429" s="6">
        <f t="shared" si="52"/>
        <v>83.611460645429361</v>
      </c>
      <c r="BK429" s="11">
        <f t="shared" si="53"/>
        <v>0.10565159398646334</v>
      </c>
      <c r="BL429" s="5">
        <f t="shared" si="54"/>
        <v>572.0791701032681</v>
      </c>
      <c r="BM429" s="11">
        <f t="shared" si="55"/>
        <v>0.15250638850177972</v>
      </c>
    </row>
    <row r="430" spans="1:65" ht="15" customHeight="1" x14ac:dyDescent="0.4">
      <c r="A430" s="2" t="s">
        <v>269</v>
      </c>
      <c r="B430" s="2" t="s">
        <v>362</v>
      </c>
      <c r="C430" s="2" t="s">
        <v>373</v>
      </c>
      <c r="D430" s="3" t="s">
        <v>101</v>
      </c>
      <c r="E430" s="3" t="s">
        <v>364</v>
      </c>
      <c r="F430" s="2" t="s">
        <v>365</v>
      </c>
      <c r="G430" s="4">
        <v>1</v>
      </c>
      <c r="H430" s="5">
        <v>4.7399999999999984</v>
      </c>
      <c r="I430" s="5">
        <v>4.942098305382995</v>
      </c>
      <c r="J430" s="6">
        <v>0</v>
      </c>
      <c r="K430" s="5">
        <v>0</v>
      </c>
      <c r="L430" s="6">
        <v>3169.5111001150549</v>
      </c>
      <c r="M430" s="5">
        <v>15023.482614545361</v>
      </c>
      <c r="N430" s="6">
        <v>0</v>
      </c>
      <c r="O430" s="5">
        <v>0</v>
      </c>
      <c r="P430" s="6">
        <v>0</v>
      </c>
      <c r="Q430" s="5">
        <v>0</v>
      </c>
      <c r="R430" s="6">
        <v>0</v>
      </c>
      <c r="S430" s="5">
        <v>0</v>
      </c>
      <c r="T430" s="6">
        <v>0</v>
      </c>
      <c r="U430" s="5">
        <v>0</v>
      </c>
      <c r="V430" s="6">
        <v>0</v>
      </c>
      <c r="W430" s="5">
        <v>0</v>
      </c>
      <c r="X430" s="6">
        <v>0</v>
      </c>
      <c r="Y430" s="5">
        <v>0</v>
      </c>
      <c r="Z430" s="6">
        <v>0</v>
      </c>
      <c r="AA430" s="5">
        <v>0</v>
      </c>
      <c r="AB430" s="6">
        <v>0</v>
      </c>
      <c r="AC430" s="5">
        <v>0</v>
      </c>
      <c r="AD430" s="6">
        <v>0</v>
      </c>
      <c r="AE430" s="5">
        <v>0</v>
      </c>
      <c r="AF430" s="6">
        <v>7583.969114387115</v>
      </c>
      <c r="AG430" s="5">
        <v>35948.013602194907</v>
      </c>
      <c r="AH430" s="7">
        <f t="shared" si="48"/>
        <v>10753.480214502169</v>
      </c>
      <c r="AI430" s="8">
        <f t="shared" si="49"/>
        <v>50971.49621674027</v>
      </c>
      <c r="AJ430" s="6">
        <v>0</v>
      </c>
      <c r="AK430" s="5">
        <v>0</v>
      </c>
      <c r="AL430" s="6">
        <v>3555</v>
      </c>
      <c r="AM430" s="5">
        <v>17569.732080760939</v>
      </c>
      <c r="AN430" s="6">
        <v>0</v>
      </c>
      <c r="AO430" s="5">
        <v>0</v>
      </c>
      <c r="AP430" s="6">
        <v>0</v>
      </c>
      <c r="AQ430" s="5">
        <v>0</v>
      </c>
      <c r="AR430" s="6">
        <v>0</v>
      </c>
      <c r="AS430" s="5">
        <v>0</v>
      </c>
      <c r="AT430" s="6">
        <v>0</v>
      </c>
      <c r="AU430" s="5">
        <v>0</v>
      </c>
      <c r="AV430" s="6">
        <v>0</v>
      </c>
      <c r="AW430" s="5">
        <v>0</v>
      </c>
      <c r="AX430" s="6">
        <v>0</v>
      </c>
      <c r="AY430" s="5">
        <v>0</v>
      </c>
      <c r="AZ430" s="6">
        <v>0</v>
      </c>
      <c r="BA430" s="5">
        <v>0</v>
      </c>
      <c r="BB430" s="6">
        <v>0</v>
      </c>
      <c r="BC430" s="5">
        <v>0</v>
      </c>
      <c r="BD430" s="6">
        <v>0</v>
      </c>
      <c r="BE430" s="5">
        <v>0</v>
      </c>
      <c r="BF430" s="6">
        <v>8508</v>
      </c>
      <c r="BG430" s="5">
        <v>42046.799777074128</v>
      </c>
      <c r="BH430" s="9">
        <f t="shared" si="50"/>
        <v>12063</v>
      </c>
      <c r="BI430" s="10">
        <f t="shared" si="51"/>
        <v>59616.531857835071</v>
      </c>
      <c r="BJ430" s="6">
        <f t="shared" si="52"/>
        <v>1309.5197854978305</v>
      </c>
      <c r="BK430" s="11">
        <f t="shared" si="53"/>
        <v>0.12177637001013021</v>
      </c>
      <c r="BL430" s="5">
        <f t="shared" si="54"/>
        <v>8645.0356410948007</v>
      </c>
      <c r="BM430" s="11">
        <f t="shared" si="55"/>
        <v>0.16960529477758518</v>
      </c>
    </row>
    <row r="431" spans="1:65" ht="15" customHeight="1" x14ac:dyDescent="0.4">
      <c r="A431" s="2" t="s">
        <v>269</v>
      </c>
      <c r="B431" s="2" t="s">
        <v>362</v>
      </c>
      <c r="C431" s="2" t="s">
        <v>373</v>
      </c>
      <c r="D431" s="3" t="s">
        <v>101</v>
      </c>
      <c r="E431" s="3" t="s">
        <v>366</v>
      </c>
      <c r="F431" s="2" t="s">
        <v>365</v>
      </c>
      <c r="G431" s="4">
        <v>5</v>
      </c>
      <c r="H431" s="5">
        <v>4.01</v>
      </c>
      <c r="I431" s="5">
        <v>4.1799339349107099</v>
      </c>
      <c r="J431" s="6">
        <v>0</v>
      </c>
      <c r="K431" s="5">
        <v>0</v>
      </c>
      <c r="L431" s="6">
        <v>3165.554157418283</v>
      </c>
      <c r="M431" s="5">
        <v>12693.872171247311</v>
      </c>
      <c r="N431" s="6">
        <v>0</v>
      </c>
      <c r="O431" s="5">
        <v>0</v>
      </c>
      <c r="P431" s="6">
        <v>0</v>
      </c>
      <c r="Q431" s="5">
        <v>0</v>
      </c>
      <c r="R431" s="6">
        <v>0</v>
      </c>
      <c r="S431" s="5">
        <v>0</v>
      </c>
      <c r="T431" s="6">
        <v>0</v>
      </c>
      <c r="U431" s="5">
        <v>0</v>
      </c>
      <c r="V431" s="6">
        <v>0</v>
      </c>
      <c r="W431" s="5">
        <v>0</v>
      </c>
      <c r="X431" s="6">
        <v>0</v>
      </c>
      <c r="Y431" s="5">
        <v>0</v>
      </c>
      <c r="Z431" s="6">
        <v>0</v>
      </c>
      <c r="AA431" s="5">
        <v>0</v>
      </c>
      <c r="AB431" s="6">
        <v>0</v>
      </c>
      <c r="AC431" s="5">
        <v>0</v>
      </c>
      <c r="AD431" s="6">
        <v>0</v>
      </c>
      <c r="AE431" s="5">
        <v>0</v>
      </c>
      <c r="AF431" s="6">
        <v>0</v>
      </c>
      <c r="AG431" s="5">
        <v>0</v>
      </c>
      <c r="AH431" s="7">
        <f t="shared" si="48"/>
        <v>3165.554157418283</v>
      </c>
      <c r="AI431" s="8">
        <f t="shared" si="49"/>
        <v>12693.872171247311</v>
      </c>
      <c r="AJ431" s="6">
        <v>0</v>
      </c>
      <c r="AK431" s="5">
        <v>0</v>
      </c>
      <c r="AL431" s="6">
        <v>3550</v>
      </c>
      <c r="AM431" s="5">
        <v>14838.765468933019</v>
      </c>
      <c r="AN431" s="6">
        <v>0</v>
      </c>
      <c r="AO431" s="5">
        <v>0</v>
      </c>
      <c r="AP431" s="6">
        <v>0</v>
      </c>
      <c r="AQ431" s="5">
        <v>0</v>
      </c>
      <c r="AR431" s="6">
        <v>0</v>
      </c>
      <c r="AS431" s="5">
        <v>0</v>
      </c>
      <c r="AT431" s="6">
        <v>0</v>
      </c>
      <c r="AU431" s="5">
        <v>0</v>
      </c>
      <c r="AV431" s="6">
        <v>0</v>
      </c>
      <c r="AW431" s="5">
        <v>0</v>
      </c>
      <c r="AX431" s="6">
        <v>0</v>
      </c>
      <c r="AY431" s="5">
        <v>0</v>
      </c>
      <c r="AZ431" s="6">
        <v>0</v>
      </c>
      <c r="BA431" s="5">
        <v>0</v>
      </c>
      <c r="BB431" s="6">
        <v>0</v>
      </c>
      <c r="BC431" s="5">
        <v>0</v>
      </c>
      <c r="BD431" s="6">
        <v>0</v>
      </c>
      <c r="BE431" s="5">
        <v>0</v>
      </c>
      <c r="BF431" s="6">
        <v>0</v>
      </c>
      <c r="BG431" s="5">
        <v>0</v>
      </c>
      <c r="BH431" s="9">
        <f t="shared" si="50"/>
        <v>3550</v>
      </c>
      <c r="BI431" s="10">
        <f t="shared" si="51"/>
        <v>14838.765468933019</v>
      </c>
      <c r="BJ431" s="6">
        <f t="shared" si="52"/>
        <v>384.44584258171699</v>
      </c>
      <c r="BK431" s="11">
        <f t="shared" si="53"/>
        <v>0.12144661675769837</v>
      </c>
      <c r="BL431" s="5">
        <f t="shared" si="54"/>
        <v>2144.8932976857086</v>
      </c>
      <c r="BM431" s="11">
        <f t="shared" si="55"/>
        <v>0.16897076548037662</v>
      </c>
    </row>
    <row r="432" spans="1:65" ht="15" customHeight="1" x14ac:dyDescent="0.4">
      <c r="A432" s="2" t="s">
        <v>269</v>
      </c>
      <c r="B432" s="2" t="s">
        <v>362</v>
      </c>
      <c r="C432" s="2" t="s">
        <v>373</v>
      </c>
      <c r="D432" s="3" t="s">
        <v>101</v>
      </c>
      <c r="E432" s="3" t="s">
        <v>366</v>
      </c>
      <c r="F432" s="2" t="s">
        <v>374</v>
      </c>
      <c r="G432" s="4">
        <v>5</v>
      </c>
      <c r="H432" s="5">
        <v>4.01</v>
      </c>
      <c r="I432" s="5">
        <v>4.1799339349107099</v>
      </c>
      <c r="J432" s="6">
        <v>0</v>
      </c>
      <c r="K432" s="5">
        <v>0</v>
      </c>
      <c r="L432" s="6">
        <v>0</v>
      </c>
      <c r="M432" s="5">
        <v>0</v>
      </c>
      <c r="N432" s="6">
        <v>0</v>
      </c>
      <c r="O432" s="5">
        <v>0</v>
      </c>
      <c r="P432" s="6">
        <v>0</v>
      </c>
      <c r="Q432" s="5">
        <v>0</v>
      </c>
      <c r="R432" s="6">
        <v>0</v>
      </c>
      <c r="S432" s="5">
        <v>0</v>
      </c>
      <c r="T432" s="6">
        <v>0</v>
      </c>
      <c r="U432" s="5">
        <v>0</v>
      </c>
      <c r="V432" s="6">
        <v>0</v>
      </c>
      <c r="W432" s="5">
        <v>0</v>
      </c>
      <c r="X432" s="6">
        <v>0</v>
      </c>
      <c r="Y432" s="5">
        <v>0</v>
      </c>
      <c r="Z432" s="6">
        <v>0</v>
      </c>
      <c r="AA432" s="5">
        <v>0</v>
      </c>
      <c r="AB432" s="6">
        <v>0</v>
      </c>
      <c r="AC432" s="5">
        <v>0</v>
      </c>
      <c r="AD432" s="6">
        <v>0</v>
      </c>
      <c r="AE432" s="5">
        <v>0</v>
      </c>
      <c r="AF432" s="6">
        <v>3791.984557193558</v>
      </c>
      <c r="AG432" s="5">
        <v>15205.858074346161</v>
      </c>
      <c r="AH432" s="7">
        <f t="shared" si="48"/>
        <v>3791.984557193558</v>
      </c>
      <c r="AI432" s="8">
        <f t="shared" si="49"/>
        <v>15205.858074346161</v>
      </c>
      <c r="AJ432" s="6">
        <v>0</v>
      </c>
      <c r="AK432" s="5">
        <v>0</v>
      </c>
      <c r="AL432" s="6">
        <v>0</v>
      </c>
      <c r="AM432" s="5">
        <v>0</v>
      </c>
      <c r="AN432" s="6">
        <v>0</v>
      </c>
      <c r="AO432" s="5">
        <v>0</v>
      </c>
      <c r="AP432" s="6">
        <v>0</v>
      </c>
      <c r="AQ432" s="5">
        <v>0</v>
      </c>
      <c r="AR432" s="6">
        <v>0</v>
      </c>
      <c r="AS432" s="5">
        <v>0</v>
      </c>
      <c r="AT432" s="6">
        <v>0</v>
      </c>
      <c r="AU432" s="5">
        <v>0</v>
      </c>
      <c r="AV432" s="6">
        <v>0</v>
      </c>
      <c r="AW432" s="5">
        <v>0</v>
      </c>
      <c r="AX432" s="6">
        <v>0</v>
      </c>
      <c r="AY432" s="5">
        <v>0</v>
      </c>
      <c r="AZ432" s="6">
        <v>0</v>
      </c>
      <c r="BA432" s="5">
        <v>0</v>
      </c>
      <c r="BB432" s="6">
        <v>0</v>
      </c>
      <c r="BC432" s="5">
        <v>0</v>
      </c>
      <c r="BD432" s="6">
        <v>0</v>
      </c>
      <c r="BE432" s="5">
        <v>0</v>
      </c>
      <c r="BF432" s="6">
        <v>4255</v>
      </c>
      <c r="BG432" s="5">
        <v>17785.61889304507</v>
      </c>
      <c r="BH432" s="9">
        <f t="shared" si="50"/>
        <v>4255</v>
      </c>
      <c r="BI432" s="10">
        <f t="shared" si="51"/>
        <v>17785.61889304507</v>
      </c>
      <c r="BJ432" s="6">
        <f t="shared" si="52"/>
        <v>463.01544280644202</v>
      </c>
      <c r="BK432" s="11">
        <f t="shared" si="53"/>
        <v>0.12210372585196366</v>
      </c>
      <c r="BL432" s="5">
        <f t="shared" si="54"/>
        <v>2579.7608186989091</v>
      </c>
      <c r="BM432" s="11">
        <f t="shared" si="55"/>
        <v>0.16965572124148848</v>
      </c>
    </row>
    <row r="433" spans="1:65" ht="15" customHeight="1" x14ac:dyDescent="0.4">
      <c r="A433" s="2" t="s">
        <v>269</v>
      </c>
      <c r="B433" s="2" t="s">
        <v>362</v>
      </c>
      <c r="C433" s="2" t="s">
        <v>373</v>
      </c>
      <c r="D433" s="3" t="s">
        <v>101</v>
      </c>
      <c r="E433" s="3" t="s">
        <v>367</v>
      </c>
      <c r="F433" s="2" t="s">
        <v>368</v>
      </c>
      <c r="G433" s="4">
        <v>1</v>
      </c>
      <c r="H433" s="5">
        <v>5.0900000000000007</v>
      </c>
      <c r="I433" s="5">
        <v>5.3073217395599954</v>
      </c>
      <c r="J433" s="6">
        <v>0</v>
      </c>
      <c r="K433" s="5">
        <v>0</v>
      </c>
      <c r="L433" s="6">
        <v>2920.2237102183649</v>
      </c>
      <c r="M433" s="5">
        <v>14863.938685011481</v>
      </c>
      <c r="N433" s="6">
        <v>0</v>
      </c>
      <c r="O433" s="5">
        <v>0</v>
      </c>
      <c r="P433" s="6">
        <v>0</v>
      </c>
      <c r="Q433" s="5">
        <v>0</v>
      </c>
      <c r="R433" s="6">
        <v>0</v>
      </c>
      <c r="S433" s="5">
        <v>0</v>
      </c>
      <c r="T433" s="6">
        <v>0</v>
      </c>
      <c r="U433" s="5">
        <v>0</v>
      </c>
      <c r="V433" s="6">
        <v>0</v>
      </c>
      <c r="W433" s="5">
        <v>0</v>
      </c>
      <c r="X433" s="6">
        <v>0</v>
      </c>
      <c r="Y433" s="5">
        <v>0</v>
      </c>
      <c r="Z433" s="6">
        <v>0</v>
      </c>
      <c r="AA433" s="5">
        <v>0</v>
      </c>
      <c r="AB433" s="6">
        <v>0</v>
      </c>
      <c r="AC433" s="5">
        <v>0</v>
      </c>
      <c r="AD433" s="6">
        <v>0</v>
      </c>
      <c r="AE433" s="5">
        <v>0</v>
      </c>
      <c r="AF433" s="6">
        <v>0</v>
      </c>
      <c r="AG433" s="5">
        <v>0</v>
      </c>
      <c r="AH433" s="7">
        <f t="shared" si="48"/>
        <v>2920.2237102183649</v>
      </c>
      <c r="AI433" s="8">
        <f t="shared" si="49"/>
        <v>14863.938685011481</v>
      </c>
      <c r="AJ433" s="6">
        <v>0</v>
      </c>
      <c r="AK433" s="5">
        <v>0</v>
      </c>
      <c r="AL433" s="6">
        <v>3275</v>
      </c>
      <c r="AM433" s="5">
        <v>17381.478697058981</v>
      </c>
      <c r="AN433" s="6">
        <v>0</v>
      </c>
      <c r="AO433" s="5">
        <v>0</v>
      </c>
      <c r="AP433" s="6">
        <v>0</v>
      </c>
      <c r="AQ433" s="5">
        <v>0</v>
      </c>
      <c r="AR433" s="6">
        <v>0</v>
      </c>
      <c r="AS433" s="5">
        <v>0</v>
      </c>
      <c r="AT433" s="6">
        <v>0</v>
      </c>
      <c r="AU433" s="5">
        <v>0</v>
      </c>
      <c r="AV433" s="6">
        <v>0</v>
      </c>
      <c r="AW433" s="5">
        <v>0</v>
      </c>
      <c r="AX433" s="6">
        <v>0</v>
      </c>
      <c r="AY433" s="5">
        <v>0</v>
      </c>
      <c r="AZ433" s="6">
        <v>0</v>
      </c>
      <c r="BA433" s="5">
        <v>0</v>
      </c>
      <c r="BB433" s="6">
        <v>0</v>
      </c>
      <c r="BC433" s="5">
        <v>0</v>
      </c>
      <c r="BD433" s="6">
        <v>0</v>
      </c>
      <c r="BE433" s="5">
        <v>0</v>
      </c>
      <c r="BF433" s="6">
        <v>0</v>
      </c>
      <c r="BG433" s="5">
        <v>0</v>
      </c>
      <c r="BH433" s="9">
        <f t="shared" si="50"/>
        <v>3275</v>
      </c>
      <c r="BI433" s="10">
        <f t="shared" si="51"/>
        <v>17381.478697058981</v>
      </c>
      <c r="BJ433" s="6">
        <f t="shared" si="52"/>
        <v>354.77628978163511</v>
      </c>
      <c r="BK433" s="11">
        <f t="shared" si="53"/>
        <v>0.12148942169745827</v>
      </c>
      <c r="BL433" s="5">
        <f t="shared" si="54"/>
        <v>2517.5400120475006</v>
      </c>
      <c r="BM433" s="11">
        <f t="shared" si="55"/>
        <v>0.1693723356505864</v>
      </c>
    </row>
    <row r="434" spans="1:65" ht="15" customHeight="1" x14ac:dyDescent="0.4">
      <c r="A434" s="2" t="s">
        <v>269</v>
      </c>
      <c r="B434" s="2" t="s">
        <v>362</v>
      </c>
      <c r="C434" s="2" t="s">
        <v>373</v>
      </c>
      <c r="D434" s="3" t="s">
        <v>101</v>
      </c>
      <c r="E434" s="3" t="s">
        <v>369</v>
      </c>
      <c r="F434" s="2" t="s">
        <v>368</v>
      </c>
      <c r="G434" s="4">
        <v>5</v>
      </c>
      <c r="H434" s="5">
        <v>4.08</v>
      </c>
      <c r="I434" s="5">
        <v>4.2529003627021691</v>
      </c>
      <c r="J434" s="6">
        <v>0</v>
      </c>
      <c r="K434" s="5">
        <v>0</v>
      </c>
      <c r="L434" s="6">
        <v>791.38853935457064</v>
      </c>
      <c r="M434" s="5">
        <v>3228.865240566648</v>
      </c>
      <c r="N434" s="6">
        <v>0</v>
      </c>
      <c r="O434" s="5">
        <v>0</v>
      </c>
      <c r="P434" s="6">
        <v>0</v>
      </c>
      <c r="Q434" s="5">
        <v>0</v>
      </c>
      <c r="R434" s="6">
        <v>0</v>
      </c>
      <c r="S434" s="5">
        <v>0</v>
      </c>
      <c r="T434" s="6">
        <v>0</v>
      </c>
      <c r="U434" s="5">
        <v>0</v>
      </c>
      <c r="V434" s="6">
        <v>0</v>
      </c>
      <c r="W434" s="5">
        <v>0</v>
      </c>
      <c r="X434" s="6">
        <v>0</v>
      </c>
      <c r="Y434" s="5">
        <v>0</v>
      </c>
      <c r="Z434" s="6">
        <v>0</v>
      </c>
      <c r="AA434" s="5">
        <v>0</v>
      </c>
      <c r="AB434" s="6">
        <v>0</v>
      </c>
      <c r="AC434" s="5">
        <v>0</v>
      </c>
      <c r="AD434" s="6">
        <v>0</v>
      </c>
      <c r="AE434" s="5">
        <v>0</v>
      </c>
      <c r="AF434" s="6">
        <v>0</v>
      </c>
      <c r="AG434" s="5">
        <v>0</v>
      </c>
      <c r="AH434" s="7">
        <f t="shared" si="48"/>
        <v>791.38853935457064</v>
      </c>
      <c r="AI434" s="8">
        <f t="shared" si="49"/>
        <v>3228.865240566648</v>
      </c>
      <c r="AJ434" s="6">
        <v>0</v>
      </c>
      <c r="AK434" s="5">
        <v>0</v>
      </c>
      <c r="AL434" s="6">
        <v>890</v>
      </c>
      <c r="AM434" s="5">
        <v>3785.0813228049301</v>
      </c>
      <c r="AN434" s="6">
        <v>0</v>
      </c>
      <c r="AO434" s="5">
        <v>0</v>
      </c>
      <c r="AP434" s="6">
        <v>0</v>
      </c>
      <c r="AQ434" s="5">
        <v>0</v>
      </c>
      <c r="AR434" s="6">
        <v>0</v>
      </c>
      <c r="AS434" s="5">
        <v>0</v>
      </c>
      <c r="AT434" s="6">
        <v>0</v>
      </c>
      <c r="AU434" s="5">
        <v>0</v>
      </c>
      <c r="AV434" s="6">
        <v>0</v>
      </c>
      <c r="AW434" s="5">
        <v>0</v>
      </c>
      <c r="AX434" s="6">
        <v>0</v>
      </c>
      <c r="AY434" s="5">
        <v>0</v>
      </c>
      <c r="AZ434" s="6">
        <v>0</v>
      </c>
      <c r="BA434" s="5">
        <v>0</v>
      </c>
      <c r="BB434" s="6">
        <v>0</v>
      </c>
      <c r="BC434" s="5">
        <v>0</v>
      </c>
      <c r="BD434" s="6">
        <v>0</v>
      </c>
      <c r="BE434" s="5">
        <v>0</v>
      </c>
      <c r="BF434" s="6">
        <v>0</v>
      </c>
      <c r="BG434" s="5">
        <v>0</v>
      </c>
      <c r="BH434" s="9">
        <f t="shared" si="50"/>
        <v>890</v>
      </c>
      <c r="BI434" s="10">
        <f t="shared" si="51"/>
        <v>3785.0813228049301</v>
      </c>
      <c r="BJ434" s="6">
        <f t="shared" si="52"/>
        <v>98.611460645429361</v>
      </c>
      <c r="BK434" s="11">
        <f t="shared" si="53"/>
        <v>0.12460562131194557</v>
      </c>
      <c r="BL434" s="5">
        <f t="shared" si="54"/>
        <v>556.21608223828207</v>
      </c>
      <c r="BM434" s="11">
        <f t="shared" si="55"/>
        <v>0.17226364087609591</v>
      </c>
    </row>
    <row r="435" spans="1:65" ht="15" customHeight="1" x14ac:dyDescent="0.4">
      <c r="A435" s="2" t="s">
        <v>269</v>
      </c>
      <c r="B435" s="2" t="s">
        <v>362</v>
      </c>
      <c r="C435" s="2" t="s">
        <v>373</v>
      </c>
      <c r="D435" s="3" t="s">
        <v>101</v>
      </c>
      <c r="E435" s="3" t="s">
        <v>370</v>
      </c>
      <c r="F435" s="2" t="s">
        <v>371</v>
      </c>
      <c r="G435" s="4">
        <v>1</v>
      </c>
      <c r="H435" s="5">
        <v>5.86</v>
      </c>
      <c r="I435" s="5">
        <v>6.1090742263354132</v>
      </c>
      <c r="J435" s="6">
        <v>0</v>
      </c>
      <c r="K435" s="5">
        <v>0</v>
      </c>
      <c r="L435" s="6">
        <v>5151.9393911982543</v>
      </c>
      <c r="M435" s="5">
        <v>30190.364832421768</v>
      </c>
      <c r="N435" s="6">
        <v>0</v>
      </c>
      <c r="O435" s="5">
        <v>0</v>
      </c>
      <c r="P435" s="6">
        <v>0</v>
      </c>
      <c r="Q435" s="5">
        <v>0</v>
      </c>
      <c r="R435" s="6">
        <v>1978.4713483864259</v>
      </c>
      <c r="S435" s="5">
        <v>11593.84210154446</v>
      </c>
      <c r="T435" s="6">
        <v>0</v>
      </c>
      <c r="U435" s="5">
        <v>0</v>
      </c>
      <c r="V435" s="6">
        <v>0</v>
      </c>
      <c r="W435" s="5">
        <v>0</v>
      </c>
      <c r="X435" s="6">
        <v>0</v>
      </c>
      <c r="Y435" s="5">
        <v>0</v>
      </c>
      <c r="Z435" s="6">
        <v>0</v>
      </c>
      <c r="AA435" s="5">
        <v>0</v>
      </c>
      <c r="AB435" s="6">
        <v>0</v>
      </c>
      <c r="AC435" s="5">
        <v>0</v>
      </c>
      <c r="AD435" s="6">
        <v>0</v>
      </c>
      <c r="AE435" s="5">
        <v>0</v>
      </c>
      <c r="AF435" s="6">
        <v>0</v>
      </c>
      <c r="AG435" s="5">
        <v>0</v>
      </c>
      <c r="AH435" s="7">
        <f t="shared" si="48"/>
        <v>7130.4107395846804</v>
      </c>
      <c r="AI435" s="8">
        <f t="shared" si="49"/>
        <v>41784.206933966227</v>
      </c>
      <c r="AJ435" s="6">
        <v>0</v>
      </c>
      <c r="AK435" s="5">
        <v>0</v>
      </c>
      <c r="AL435" s="6">
        <v>5949</v>
      </c>
      <c r="AM435" s="5">
        <v>36344.577682925621</v>
      </c>
      <c r="AN435" s="6">
        <v>0</v>
      </c>
      <c r="AO435" s="5">
        <v>0</v>
      </c>
      <c r="AP435" s="6">
        <v>0</v>
      </c>
      <c r="AQ435" s="5">
        <v>0</v>
      </c>
      <c r="AR435" s="6">
        <v>2285</v>
      </c>
      <c r="AS435" s="5">
        <v>13957.53949672017</v>
      </c>
      <c r="AT435" s="6">
        <v>0</v>
      </c>
      <c r="AU435" s="5">
        <v>0</v>
      </c>
      <c r="AV435" s="6">
        <v>0</v>
      </c>
      <c r="AW435" s="5">
        <v>0</v>
      </c>
      <c r="AX435" s="6">
        <v>0</v>
      </c>
      <c r="AY435" s="5">
        <v>0</v>
      </c>
      <c r="AZ435" s="6">
        <v>0</v>
      </c>
      <c r="BA435" s="5">
        <v>0</v>
      </c>
      <c r="BB435" s="6">
        <v>0</v>
      </c>
      <c r="BC435" s="5">
        <v>0</v>
      </c>
      <c r="BD435" s="6">
        <v>0</v>
      </c>
      <c r="BE435" s="5">
        <v>0</v>
      </c>
      <c r="BF435" s="6">
        <v>0</v>
      </c>
      <c r="BG435" s="5">
        <v>0</v>
      </c>
      <c r="BH435" s="9">
        <f t="shared" si="50"/>
        <v>8234</v>
      </c>
      <c r="BI435" s="10">
        <f t="shared" si="51"/>
        <v>50302.117179645793</v>
      </c>
      <c r="BJ435" s="6">
        <f t="shared" si="52"/>
        <v>1103.5892604153196</v>
      </c>
      <c r="BK435" s="11">
        <f t="shared" si="53"/>
        <v>0.1547721864448442</v>
      </c>
      <c r="BL435" s="5">
        <f t="shared" si="54"/>
        <v>8517.9102456795663</v>
      </c>
      <c r="BM435" s="11">
        <f t="shared" si="55"/>
        <v>0.20385477841283112</v>
      </c>
    </row>
    <row r="436" spans="1:65" ht="15" customHeight="1" x14ac:dyDescent="0.4">
      <c r="A436" s="2" t="s">
        <v>269</v>
      </c>
      <c r="B436" s="2" t="s">
        <v>362</v>
      </c>
      <c r="C436" s="2" t="s">
        <v>373</v>
      </c>
      <c r="D436" s="3" t="s">
        <v>101</v>
      </c>
      <c r="E436" s="3" t="s">
        <v>370</v>
      </c>
      <c r="F436" s="2" t="s">
        <v>291</v>
      </c>
      <c r="G436" s="4">
        <v>1</v>
      </c>
      <c r="H436" s="5">
        <v>5.86</v>
      </c>
      <c r="I436" s="5">
        <v>6.1094483665814217</v>
      </c>
      <c r="J436" s="6">
        <v>0</v>
      </c>
      <c r="K436" s="5">
        <v>0</v>
      </c>
      <c r="L436" s="6">
        <v>0</v>
      </c>
      <c r="M436" s="5">
        <v>0</v>
      </c>
      <c r="N436" s="6">
        <v>0</v>
      </c>
      <c r="O436" s="5">
        <v>0</v>
      </c>
      <c r="P436" s="6">
        <v>0</v>
      </c>
      <c r="Q436" s="5">
        <v>0</v>
      </c>
      <c r="R436" s="6">
        <v>0</v>
      </c>
      <c r="S436" s="5">
        <v>0</v>
      </c>
      <c r="T436" s="6">
        <v>0</v>
      </c>
      <c r="U436" s="5">
        <v>0</v>
      </c>
      <c r="V436" s="6">
        <v>0</v>
      </c>
      <c r="W436" s="5">
        <v>0</v>
      </c>
      <c r="X436" s="6">
        <v>0</v>
      </c>
      <c r="Y436" s="5">
        <v>0</v>
      </c>
      <c r="Z436" s="6">
        <v>0</v>
      </c>
      <c r="AA436" s="5">
        <v>0</v>
      </c>
      <c r="AB436" s="6">
        <v>0</v>
      </c>
      <c r="AC436" s="5">
        <v>0</v>
      </c>
      <c r="AD436" s="6">
        <v>0</v>
      </c>
      <c r="AE436" s="5">
        <v>0</v>
      </c>
      <c r="AF436" s="6">
        <v>9479.9613929838924</v>
      </c>
      <c r="AG436" s="5">
        <v>55552.573762885608</v>
      </c>
      <c r="AH436" s="7">
        <f t="shared" si="48"/>
        <v>9479.9613929838924</v>
      </c>
      <c r="AI436" s="8">
        <f t="shared" si="49"/>
        <v>55552.573762885608</v>
      </c>
      <c r="AJ436" s="6">
        <v>0</v>
      </c>
      <c r="AK436" s="5">
        <v>0</v>
      </c>
      <c r="AL436" s="6">
        <v>0</v>
      </c>
      <c r="AM436" s="5">
        <v>0</v>
      </c>
      <c r="AN436" s="6">
        <v>0</v>
      </c>
      <c r="AO436" s="5">
        <v>0</v>
      </c>
      <c r="AP436" s="6">
        <v>0</v>
      </c>
      <c r="AQ436" s="5">
        <v>0</v>
      </c>
      <c r="AR436" s="6">
        <v>0</v>
      </c>
      <c r="AS436" s="5">
        <v>0</v>
      </c>
      <c r="AT436" s="6">
        <v>0</v>
      </c>
      <c r="AU436" s="5">
        <v>0</v>
      </c>
      <c r="AV436" s="6">
        <v>0</v>
      </c>
      <c r="AW436" s="5">
        <v>0</v>
      </c>
      <c r="AX436" s="6">
        <v>0</v>
      </c>
      <c r="AY436" s="5">
        <v>0</v>
      </c>
      <c r="AZ436" s="6">
        <v>0</v>
      </c>
      <c r="BA436" s="5">
        <v>0</v>
      </c>
      <c r="BB436" s="6">
        <v>0</v>
      </c>
      <c r="BC436" s="5">
        <v>0</v>
      </c>
      <c r="BD436" s="6">
        <v>0</v>
      </c>
      <c r="BE436" s="5">
        <v>0</v>
      </c>
      <c r="BF436" s="6">
        <v>10947</v>
      </c>
      <c r="BG436" s="5">
        <v>66880.131268966827</v>
      </c>
      <c r="BH436" s="9">
        <f t="shared" si="50"/>
        <v>10947</v>
      </c>
      <c r="BI436" s="10">
        <f t="shared" si="51"/>
        <v>66880.131268966827</v>
      </c>
      <c r="BJ436" s="6">
        <f t="shared" si="52"/>
        <v>1467.0386070161076</v>
      </c>
      <c r="BK436" s="11">
        <f t="shared" si="53"/>
        <v>0.15475153813409631</v>
      </c>
      <c r="BL436" s="5">
        <f t="shared" si="54"/>
        <v>11327.557506081219</v>
      </c>
      <c r="BM436" s="11">
        <f t="shared" si="55"/>
        <v>0.20390697925951187</v>
      </c>
    </row>
    <row r="437" spans="1:65" ht="15" customHeight="1" x14ac:dyDescent="0.4">
      <c r="A437" s="2" t="s">
        <v>269</v>
      </c>
      <c r="B437" s="2" t="s">
        <v>362</v>
      </c>
      <c r="C437" s="2" t="s">
        <v>373</v>
      </c>
      <c r="D437" s="3" t="s">
        <v>101</v>
      </c>
      <c r="E437" s="3" t="s">
        <v>372</v>
      </c>
      <c r="F437" s="2" t="s">
        <v>371</v>
      </c>
      <c r="G437" s="4">
        <v>5</v>
      </c>
      <c r="H437" s="5">
        <v>4.7400000000000011</v>
      </c>
      <c r="I437" s="5">
        <v>4.9408695390216382</v>
      </c>
      <c r="J437" s="6">
        <v>0</v>
      </c>
      <c r="K437" s="5">
        <v>0</v>
      </c>
      <c r="L437" s="6">
        <v>791.38853935457064</v>
      </c>
      <c r="M437" s="5">
        <v>3751.1816765406652</v>
      </c>
      <c r="N437" s="6">
        <v>0</v>
      </c>
      <c r="O437" s="5">
        <v>0</v>
      </c>
      <c r="P437" s="6">
        <v>0</v>
      </c>
      <c r="Q437" s="5">
        <v>0</v>
      </c>
      <c r="R437" s="6">
        <v>1978.4713483864259</v>
      </c>
      <c r="S437" s="5">
        <v>9377.9541913516623</v>
      </c>
      <c r="T437" s="6">
        <v>0</v>
      </c>
      <c r="U437" s="5">
        <v>0</v>
      </c>
      <c r="V437" s="6">
        <v>0</v>
      </c>
      <c r="W437" s="5">
        <v>0</v>
      </c>
      <c r="X437" s="6">
        <v>0</v>
      </c>
      <c r="Y437" s="5">
        <v>0</v>
      </c>
      <c r="Z437" s="6">
        <v>0</v>
      </c>
      <c r="AA437" s="5">
        <v>0</v>
      </c>
      <c r="AB437" s="6">
        <v>0</v>
      </c>
      <c r="AC437" s="5">
        <v>0</v>
      </c>
      <c r="AD437" s="6">
        <v>0</v>
      </c>
      <c r="AE437" s="5">
        <v>0</v>
      </c>
      <c r="AF437" s="6">
        <v>0</v>
      </c>
      <c r="AG437" s="5">
        <v>0</v>
      </c>
      <c r="AH437" s="7">
        <f t="shared" si="48"/>
        <v>2769.8598877409968</v>
      </c>
      <c r="AI437" s="8">
        <f t="shared" si="49"/>
        <v>13129.135867892328</v>
      </c>
      <c r="AJ437" s="6">
        <v>0</v>
      </c>
      <c r="AK437" s="5">
        <v>0</v>
      </c>
      <c r="AL437" s="6">
        <v>915</v>
      </c>
      <c r="AM437" s="5">
        <v>4520.8956282047984</v>
      </c>
      <c r="AN437" s="6">
        <v>0</v>
      </c>
      <c r="AO437" s="5">
        <v>0</v>
      </c>
      <c r="AP437" s="6">
        <v>0</v>
      </c>
      <c r="AQ437" s="5">
        <v>0</v>
      </c>
      <c r="AR437" s="6">
        <v>2285</v>
      </c>
      <c r="AS437" s="5">
        <v>11289.88689666444</v>
      </c>
      <c r="AT437" s="6">
        <v>0</v>
      </c>
      <c r="AU437" s="5">
        <v>0</v>
      </c>
      <c r="AV437" s="6">
        <v>0</v>
      </c>
      <c r="AW437" s="5">
        <v>0</v>
      </c>
      <c r="AX437" s="6">
        <v>0</v>
      </c>
      <c r="AY437" s="5">
        <v>0</v>
      </c>
      <c r="AZ437" s="6">
        <v>0</v>
      </c>
      <c r="BA437" s="5">
        <v>0</v>
      </c>
      <c r="BB437" s="6">
        <v>0</v>
      </c>
      <c r="BC437" s="5">
        <v>0</v>
      </c>
      <c r="BD437" s="6">
        <v>0</v>
      </c>
      <c r="BE437" s="5">
        <v>0</v>
      </c>
      <c r="BF437" s="6">
        <v>0</v>
      </c>
      <c r="BG437" s="5">
        <v>0</v>
      </c>
      <c r="BH437" s="9">
        <f t="shared" si="50"/>
        <v>3200</v>
      </c>
      <c r="BI437" s="10">
        <f t="shared" si="51"/>
        <v>15810.782524869239</v>
      </c>
      <c r="BJ437" s="6">
        <f t="shared" si="52"/>
        <v>430.14011225900322</v>
      </c>
      <c r="BK437" s="11">
        <f t="shared" si="53"/>
        <v>0.15529309412463127</v>
      </c>
      <c r="BL437" s="5">
        <f t="shared" si="54"/>
        <v>2681.6466569769109</v>
      </c>
      <c r="BM437" s="11">
        <f t="shared" si="55"/>
        <v>0.20425157329165536</v>
      </c>
    </row>
    <row r="438" spans="1:65" ht="15" customHeight="1" x14ac:dyDescent="0.4">
      <c r="A438" s="2" t="s">
        <v>269</v>
      </c>
      <c r="B438" s="2" t="s">
        <v>362</v>
      </c>
      <c r="C438" s="2" t="s">
        <v>373</v>
      </c>
      <c r="D438" s="3" t="s">
        <v>101</v>
      </c>
      <c r="E438" s="3" t="s">
        <v>372</v>
      </c>
      <c r="F438" s="2" t="s">
        <v>375</v>
      </c>
      <c r="G438" s="4">
        <v>5</v>
      </c>
      <c r="H438" s="5">
        <v>4.74</v>
      </c>
      <c r="I438" s="5">
        <v>4.9408695390216382</v>
      </c>
      <c r="J438" s="6">
        <v>0</v>
      </c>
      <c r="K438" s="5">
        <v>0</v>
      </c>
      <c r="L438" s="6">
        <v>0</v>
      </c>
      <c r="M438" s="5">
        <v>0</v>
      </c>
      <c r="N438" s="6">
        <v>0</v>
      </c>
      <c r="O438" s="5">
        <v>0</v>
      </c>
      <c r="P438" s="6">
        <v>0</v>
      </c>
      <c r="Q438" s="5">
        <v>0</v>
      </c>
      <c r="R438" s="6">
        <v>0</v>
      </c>
      <c r="S438" s="5">
        <v>0</v>
      </c>
      <c r="T438" s="6">
        <v>0</v>
      </c>
      <c r="U438" s="5">
        <v>0</v>
      </c>
      <c r="V438" s="6">
        <v>0</v>
      </c>
      <c r="W438" s="5">
        <v>0</v>
      </c>
      <c r="X438" s="6">
        <v>0</v>
      </c>
      <c r="Y438" s="5">
        <v>0</v>
      </c>
      <c r="Z438" s="6">
        <v>0</v>
      </c>
      <c r="AA438" s="5">
        <v>0</v>
      </c>
      <c r="AB438" s="6">
        <v>0</v>
      </c>
      <c r="AC438" s="5">
        <v>0</v>
      </c>
      <c r="AD438" s="6">
        <v>0</v>
      </c>
      <c r="AE438" s="5">
        <v>0</v>
      </c>
      <c r="AF438" s="6">
        <v>9479.9613929838924</v>
      </c>
      <c r="AG438" s="5">
        <v>44935.017002743647</v>
      </c>
      <c r="AH438" s="7">
        <f t="shared" si="48"/>
        <v>9479.9613929838924</v>
      </c>
      <c r="AI438" s="8">
        <f t="shared" si="49"/>
        <v>44935.017002743647</v>
      </c>
      <c r="AJ438" s="6">
        <v>0</v>
      </c>
      <c r="AK438" s="5">
        <v>0</v>
      </c>
      <c r="AL438" s="6">
        <v>0</v>
      </c>
      <c r="AM438" s="5">
        <v>0</v>
      </c>
      <c r="AN438" s="6">
        <v>0</v>
      </c>
      <c r="AO438" s="5">
        <v>0</v>
      </c>
      <c r="AP438" s="6">
        <v>0</v>
      </c>
      <c r="AQ438" s="5">
        <v>0</v>
      </c>
      <c r="AR438" s="6">
        <v>0</v>
      </c>
      <c r="AS438" s="5">
        <v>0</v>
      </c>
      <c r="AT438" s="6">
        <v>0</v>
      </c>
      <c r="AU438" s="5">
        <v>0</v>
      </c>
      <c r="AV438" s="6">
        <v>0</v>
      </c>
      <c r="AW438" s="5">
        <v>0</v>
      </c>
      <c r="AX438" s="6">
        <v>0</v>
      </c>
      <c r="AY438" s="5">
        <v>0</v>
      </c>
      <c r="AZ438" s="6">
        <v>0</v>
      </c>
      <c r="BA438" s="5">
        <v>0</v>
      </c>
      <c r="BB438" s="6">
        <v>0</v>
      </c>
      <c r="BC438" s="5">
        <v>0</v>
      </c>
      <c r="BD438" s="6">
        <v>0</v>
      </c>
      <c r="BE438" s="5">
        <v>0</v>
      </c>
      <c r="BF438" s="6">
        <v>10950</v>
      </c>
      <c r="BG438" s="5">
        <v>54102.521452286943</v>
      </c>
      <c r="BH438" s="9">
        <f t="shared" si="50"/>
        <v>10950</v>
      </c>
      <c r="BI438" s="10">
        <f t="shared" si="51"/>
        <v>54102.521452286943</v>
      </c>
      <c r="BJ438" s="6">
        <f t="shared" si="52"/>
        <v>1470.0386070161076</v>
      </c>
      <c r="BK438" s="11">
        <f t="shared" si="53"/>
        <v>0.15506799511906044</v>
      </c>
      <c r="BL438" s="5">
        <f t="shared" si="54"/>
        <v>9167.5044495432958</v>
      </c>
      <c r="BM438" s="11">
        <f t="shared" si="55"/>
        <v>0.20401693514400018</v>
      </c>
    </row>
    <row r="439" spans="1:65" ht="15" customHeight="1" x14ac:dyDescent="0.4">
      <c r="A439" s="2" t="s">
        <v>269</v>
      </c>
      <c r="B439" s="2" t="s">
        <v>362</v>
      </c>
      <c r="C439" s="2" t="s">
        <v>376</v>
      </c>
      <c r="D439" s="3" t="s">
        <v>101</v>
      </c>
      <c r="E439" s="3" t="s">
        <v>369</v>
      </c>
      <c r="F439" s="2" t="s">
        <v>377</v>
      </c>
      <c r="G439" s="4">
        <v>5</v>
      </c>
      <c r="H439" s="5">
        <v>4.08</v>
      </c>
      <c r="I439" s="5">
        <v>4.2529003627021691</v>
      </c>
      <c r="J439" s="6">
        <v>0</v>
      </c>
      <c r="K439" s="5">
        <v>0</v>
      </c>
      <c r="L439" s="6">
        <v>0</v>
      </c>
      <c r="M439" s="5">
        <v>0</v>
      </c>
      <c r="N439" s="6">
        <v>0</v>
      </c>
      <c r="O439" s="5">
        <v>0</v>
      </c>
      <c r="P439" s="6">
        <v>0</v>
      </c>
      <c r="Q439" s="5">
        <v>0</v>
      </c>
      <c r="R439" s="6">
        <v>0</v>
      </c>
      <c r="S439" s="5">
        <v>0</v>
      </c>
      <c r="T439" s="6">
        <v>0</v>
      </c>
      <c r="U439" s="5">
        <v>0</v>
      </c>
      <c r="V439" s="6">
        <v>0</v>
      </c>
      <c r="W439" s="5">
        <v>0</v>
      </c>
      <c r="X439" s="6">
        <v>0</v>
      </c>
      <c r="Y439" s="5">
        <v>0</v>
      </c>
      <c r="Z439" s="6">
        <v>0</v>
      </c>
      <c r="AA439" s="5">
        <v>0</v>
      </c>
      <c r="AB439" s="6">
        <v>0</v>
      </c>
      <c r="AC439" s="5">
        <v>0</v>
      </c>
      <c r="AD439" s="6">
        <v>0</v>
      </c>
      <c r="AE439" s="5">
        <v>0</v>
      </c>
      <c r="AF439" s="6">
        <v>1895.992278596779</v>
      </c>
      <c r="AG439" s="5">
        <v>7735.6484966748567</v>
      </c>
      <c r="AH439" s="7">
        <f t="shared" si="48"/>
        <v>1895.992278596779</v>
      </c>
      <c r="AI439" s="8">
        <f t="shared" si="49"/>
        <v>7735.6484966748567</v>
      </c>
      <c r="AJ439" s="6">
        <v>0</v>
      </c>
      <c r="AK439" s="5">
        <v>0</v>
      </c>
      <c r="AL439" s="6">
        <v>0</v>
      </c>
      <c r="AM439" s="5">
        <v>0</v>
      </c>
      <c r="AN439" s="6">
        <v>0</v>
      </c>
      <c r="AO439" s="5">
        <v>0</v>
      </c>
      <c r="AP439" s="6">
        <v>0</v>
      </c>
      <c r="AQ439" s="5">
        <v>0</v>
      </c>
      <c r="AR439" s="6">
        <v>0</v>
      </c>
      <c r="AS439" s="5">
        <v>0</v>
      </c>
      <c r="AT439" s="6">
        <v>0</v>
      </c>
      <c r="AU439" s="5">
        <v>0</v>
      </c>
      <c r="AV439" s="6">
        <v>0</v>
      </c>
      <c r="AW439" s="5">
        <v>0</v>
      </c>
      <c r="AX439" s="6">
        <v>0</v>
      </c>
      <c r="AY439" s="5">
        <v>0</v>
      </c>
      <c r="AZ439" s="6">
        <v>0</v>
      </c>
      <c r="BA439" s="5">
        <v>0</v>
      </c>
      <c r="BB439" s="6">
        <v>0</v>
      </c>
      <c r="BC439" s="5">
        <v>0</v>
      </c>
      <c r="BD439" s="6">
        <v>0</v>
      </c>
      <c r="BE439" s="5">
        <v>0</v>
      </c>
      <c r="BF439" s="6">
        <v>2125</v>
      </c>
      <c r="BG439" s="5">
        <v>9037.4132707421086</v>
      </c>
      <c r="BH439" s="9">
        <f t="shared" si="50"/>
        <v>2125</v>
      </c>
      <c r="BI439" s="10">
        <f t="shared" si="51"/>
        <v>9037.4132707421086</v>
      </c>
      <c r="BJ439" s="6">
        <f t="shared" si="52"/>
        <v>229.00772140322101</v>
      </c>
      <c r="BK439" s="11">
        <f t="shared" si="53"/>
        <v>0.12078515508127981</v>
      </c>
      <c r="BL439" s="5">
        <f t="shared" si="54"/>
        <v>1301.7647740672519</v>
      </c>
      <c r="BM439" s="11">
        <f t="shared" si="55"/>
        <v>0.16828127268538781</v>
      </c>
    </row>
    <row r="440" spans="1:65" ht="15" customHeight="1" x14ac:dyDescent="0.4">
      <c r="A440" s="2" t="s">
        <v>269</v>
      </c>
      <c r="B440" s="2" t="s">
        <v>362</v>
      </c>
      <c r="C440" s="2" t="s">
        <v>376</v>
      </c>
      <c r="D440" s="3" t="s">
        <v>101</v>
      </c>
      <c r="E440" s="3" t="s">
        <v>370</v>
      </c>
      <c r="F440" s="2" t="s">
        <v>371</v>
      </c>
      <c r="G440" s="4">
        <v>1</v>
      </c>
      <c r="H440" s="5">
        <v>5.8599999999999994</v>
      </c>
      <c r="I440" s="5">
        <v>6.108332383684977</v>
      </c>
      <c r="J440" s="6">
        <v>0</v>
      </c>
      <c r="K440" s="5">
        <v>0</v>
      </c>
      <c r="L440" s="6">
        <v>0</v>
      </c>
      <c r="M440" s="5">
        <v>0</v>
      </c>
      <c r="N440" s="6">
        <v>0</v>
      </c>
      <c r="O440" s="5">
        <v>0</v>
      </c>
      <c r="P440" s="6">
        <v>0</v>
      </c>
      <c r="Q440" s="5">
        <v>0</v>
      </c>
      <c r="R440" s="6">
        <v>989.23567419321319</v>
      </c>
      <c r="S440" s="5">
        <v>5796.9210507722291</v>
      </c>
      <c r="T440" s="6">
        <v>0</v>
      </c>
      <c r="U440" s="5">
        <v>0</v>
      </c>
      <c r="V440" s="6">
        <v>0</v>
      </c>
      <c r="W440" s="5">
        <v>0</v>
      </c>
      <c r="X440" s="6">
        <v>0</v>
      </c>
      <c r="Y440" s="5">
        <v>0</v>
      </c>
      <c r="Z440" s="6">
        <v>0</v>
      </c>
      <c r="AA440" s="5">
        <v>0</v>
      </c>
      <c r="AB440" s="6">
        <v>0</v>
      </c>
      <c r="AC440" s="5">
        <v>0</v>
      </c>
      <c r="AD440" s="6">
        <v>0</v>
      </c>
      <c r="AE440" s="5">
        <v>0</v>
      </c>
      <c r="AF440" s="6">
        <v>0</v>
      </c>
      <c r="AG440" s="5">
        <v>0</v>
      </c>
      <c r="AH440" s="7">
        <f t="shared" si="48"/>
        <v>989.23567419321319</v>
      </c>
      <c r="AI440" s="8">
        <f t="shared" si="49"/>
        <v>5796.9210507722291</v>
      </c>
      <c r="AJ440" s="6">
        <v>0</v>
      </c>
      <c r="AK440" s="5">
        <v>0</v>
      </c>
      <c r="AL440" s="6">
        <v>0</v>
      </c>
      <c r="AM440" s="5">
        <v>0</v>
      </c>
      <c r="AN440" s="6">
        <v>0</v>
      </c>
      <c r="AO440" s="5">
        <v>0</v>
      </c>
      <c r="AP440" s="6">
        <v>0</v>
      </c>
      <c r="AQ440" s="5">
        <v>0</v>
      </c>
      <c r="AR440" s="6">
        <v>1143</v>
      </c>
      <c r="AS440" s="5">
        <v>6981.8239145519292</v>
      </c>
      <c r="AT440" s="6">
        <v>0</v>
      </c>
      <c r="AU440" s="5">
        <v>0</v>
      </c>
      <c r="AV440" s="6">
        <v>0</v>
      </c>
      <c r="AW440" s="5">
        <v>0</v>
      </c>
      <c r="AX440" s="6">
        <v>0</v>
      </c>
      <c r="AY440" s="5">
        <v>0</v>
      </c>
      <c r="AZ440" s="6">
        <v>0</v>
      </c>
      <c r="BA440" s="5">
        <v>0</v>
      </c>
      <c r="BB440" s="6">
        <v>0</v>
      </c>
      <c r="BC440" s="5">
        <v>0</v>
      </c>
      <c r="BD440" s="6">
        <v>0</v>
      </c>
      <c r="BE440" s="5">
        <v>0</v>
      </c>
      <c r="BF440" s="6">
        <v>0</v>
      </c>
      <c r="BG440" s="5">
        <v>0</v>
      </c>
      <c r="BH440" s="9">
        <f t="shared" si="50"/>
        <v>1143</v>
      </c>
      <c r="BI440" s="10">
        <f t="shared" si="51"/>
        <v>6981.8239145519292</v>
      </c>
      <c r="BJ440" s="6">
        <f t="shared" si="52"/>
        <v>153.76432580678681</v>
      </c>
      <c r="BK440" s="11">
        <f t="shared" si="53"/>
        <v>0.15543750576139678</v>
      </c>
      <c r="BL440" s="5">
        <f t="shared" si="54"/>
        <v>1184.9028637797001</v>
      </c>
      <c r="BM440" s="11">
        <f t="shared" si="55"/>
        <v>0.20440210473831705</v>
      </c>
    </row>
    <row r="441" spans="1:65" ht="15" customHeight="1" x14ac:dyDescent="0.4">
      <c r="A441" s="2" t="s">
        <v>269</v>
      </c>
      <c r="B441" s="2" t="s">
        <v>362</v>
      </c>
      <c r="C441" s="2" t="s">
        <v>376</v>
      </c>
      <c r="D441" s="3" t="s">
        <v>101</v>
      </c>
      <c r="E441" s="3" t="s">
        <v>372</v>
      </c>
      <c r="F441" s="2" t="s">
        <v>371</v>
      </c>
      <c r="G441" s="4">
        <v>5</v>
      </c>
      <c r="H441" s="5">
        <v>4.7400000000000011</v>
      </c>
      <c r="I441" s="5">
        <v>4.9408695390216382</v>
      </c>
      <c r="J441" s="6">
        <v>0</v>
      </c>
      <c r="K441" s="5">
        <v>0</v>
      </c>
      <c r="L441" s="6">
        <v>0</v>
      </c>
      <c r="M441" s="5">
        <v>0</v>
      </c>
      <c r="N441" s="6">
        <v>0</v>
      </c>
      <c r="O441" s="5">
        <v>0</v>
      </c>
      <c r="P441" s="6">
        <v>0</v>
      </c>
      <c r="Q441" s="5">
        <v>0</v>
      </c>
      <c r="R441" s="6">
        <v>989.23567419321319</v>
      </c>
      <c r="S441" s="5">
        <v>4688.9770956758312</v>
      </c>
      <c r="T441" s="6">
        <v>0</v>
      </c>
      <c r="U441" s="5">
        <v>0</v>
      </c>
      <c r="V441" s="6">
        <v>0</v>
      </c>
      <c r="W441" s="5">
        <v>0</v>
      </c>
      <c r="X441" s="6">
        <v>0</v>
      </c>
      <c r="Y441" s="5">
        <v>0</v>
      </c>
      <c r="Z441" s="6">
        <v>0</v>
      </c>
      <c r="AA441" s="5">
        <v>0</v>
      </c>
      <c r="AB441" s="6">
        <v>0</v>
      </c>
      <c r="AC441" s="5">
        <v>0</v>
      </c>
      <c r="AD441" s="6">
        <v>0</v>
      </c>
      <c r="AE441" s="5">
        <v>0</v>
      </c>
      <c r="AF441" s="6">
        <v>0</v>
      </c>
      <c r="AG441" s="5">
        <v>0</v>
      </c>
      <c r="AH441" s="7">
        <f t="shared" si="48"/>
        <v>989.23567419321319</v>
      </c>
      <c r="AI441" s="8">
        <f t="shared" si="49"/>
        <v>4688.9770956758312</v>
      </c>
      <c r="AJ441" s="6">
        <v>0</v>
      </c>
      <c r="AK441" s="5">
        <v>0</v>
      </c>
      <c r="AL441" s="6">
        <v>0</v>
      </c>
      <c r="AM441" s="5">
        <v>0</v>
      </c>
      <c r="AN441" s="6">
        <v>0</v>
      </c>
      <c r="AO441" s="5">
        <v>0</v>
      </c>
      <c r="AP441" s="6">
        <v>0</v>
      </c>
      <c r="AQ441" s="5">
        <v>0</v>
      </c>
      <c r="AR441" s="6">
        <v>1145</v>
      </c>
      <c r="AS441" s="5">
        <v>5657.2956221797758</v>
      </c>
      <c r="AT441" s="6">
        <v>0</v>
      </c>
      <c r="AU441" s="5">
        <v>0</v>
      </c>
      <c r="AV441" s="6">
        <v>0</v>
      </c>
      <c r="AW441" s="5">
        <v>0</v>
      </c>
      <c r="AX441" s="6">
        <v>0</v>
      </c>
      <c r="AY441" s="5">
        <v>0</v>
      </c>
      <c r="AZ441" s="6">
        <v>0</v>
      </c>
      <c r="BA441" s="5">
        <v>0</v>
      </c>
      <c r="BB441" s="6">
        <v>0</v>
      </c>
      <c r="BC441" s="5">
        <v>0</v>
      </c>
      <c r="BD441" s="6">
        <v>0</v>
      </c>
      <c r="BE441" s="5">
        <v>0</v>
      </c>
      <c r="BF441" s="6">
        <v>0</v>
      </c>
      <c r="BG441" s="5">
        <v>0</v>
      </c>
      <c r="BH441" s="9">
        <f t="shared" si="50"/>
        <v>1145</v>
      </c>
      <c r="BI441" s="10">
        <f t="shared" si="51"/>
        <v>5657.2956221797758</v>
      </c>
      <c r="BJ441" s="6">
        <f t="shared" si="52"/>
        <v>155.76432580678681</v>
      </c>
      <c r="BK441" s="11">
        <f t="shared" si="53"/>
        <v>0.1574592686761149</v>
      </c>
      <c r="BL441" s="5">
        <f t="shared" si="54"/>
        <v>968.31852650394467</v>
      </c>
      <c r="BM441" s="11">
        <f t="shared" si="55"/>
        <v>0.20650954499157756</v>
      </c>
    </row>
    <row r="442" spans="1:65" ht="15" customHeight="1" x14ac:dyDescent="0.4">
      <c r="A442" s="2" t="s">
        <v>269</v>
      </c>
      <c r="B442" s="2" t="s">
        <v>378</v>
      </c>
      <c r="C442" s="2" t="s">
        <v>379</v>
      </c>
      <c r="D442" s="3" t="s">
        <v>68</v>
      </c>
      <c r="E442" s="3" t="s">
        <v>380</v>
      </c>
      <c r="F442" s="2" t="s">
        <v>381</v>
      </c>
      <c r="G442" s="4">
        <v>5</v>
      </c>
      <c r="H442" s="5">
        <v>3.7900000000000009</v>
      </c>
      <c r="I442" s="5">
        <v>3.9506108761375538</v>
      </c>
      <c r="J442" s="6">
        <v>0</v>
      </c>
      <c r="K442" s="5">
        <v>0</v>
      </c>
      <c r="L442" s="6">
        <v>0</v>
      </c>
      <c r="M442" s="5">
        <v>0</v>
      </c>
      <c r="N442" s="6">
        <v>0</v>
      </c>
      <c r="O442" s="5">
        <v>0</v>
      </c>
      <c r="P442" s="6">
        <v>0</v>
      </c>
      <c r="Q442" s="5">
        <v>0</v>
      </c>
      <c r="R442" s="6">
        <v>0</v>
      </c>
      <c r="S442" s="5">
        <v>0</v>
      </c>
      <c r="T442" s="6">
        <v>0</v>
      </c>
      <c r="U442" s="5">
        <v>0</v>
      </c>
      <c r="V442" s="6">
        <v>4946.1783709660658</v>
      </c>
      <c r="W442" s="5">
        <v>18746.016025961391</v>
      </c>
      <c r="X442" s="6">
        <v>0</v>
      </c>
      <c r="Y442" s="5">
        <v>0</v>
      </c>
      <c r="Z442" s="6">
        <v>0</v>
      </c>
      <c r="AA442" s="5">
        <v>0</v>
      </c>
      <c r="AB442" s="6">
        <v>0</v>
      </c>
      <c r="AC442" s="5">
        <v>0</v>
      </c>
      <c r="AD442" s="6">
        <v>0</v>
      </c>
      <c r="AE442" s="5">
        <v>0</v>
      </c>
      <c r="AF442" s="6">
        <v>4739.9806964919462</v>
      </c>
      <c r="AG442" s="5">
        <v>17964.526839704478</v>
      </c>
      <c r="AH442" s="7">
        <f t="shared" si="48"/>
        <v>9686.1590674580111</v>
      </c>
      <c r="AI442" s="8">
        <f t="shared" si="49"/>
        <v>36710.54286566587</v>
      </c>
      <c r="AJ442" s="6">
        <v>0</v>
      </c>
      <c r="AK442" s="5">
        <v>0</v>
      </c>
      <c r="AL442" s="6">
        <v>0</v>
      </c>
      <c r="AM442" s="5">
        <v>0</v>
      </c>
      <c r="AN442" s="6">
        <v>0</v>
      </c>
      <c r="AO442" s="5">
        <v>0</v>
      </c>
      <c r="AP442" s="6">
        <v>0</v>
      </c>
      <c r="AQ442" s="5">
        <v>0</v>
      </c>
      <c r="AR442" s="6">
        <v>0</v>
      </c>
      <c r="AS442" s="5">
        <v>0</v>
      </c>
      <c r="AT442" s="6">
        <v>0</v>
      </c>
      <c r="AU442" s="5">
        <v>0</v>
      </c>
      <c r="AV442" s="6">
        <v>5295</v>
      </c>
      <c r="AW442" s="5">
        <v>20918.484589148349</v>
      </c>
      <c r="AX442" s="6">
        <v>0</v>
      </c>
      <c r="AY442" s="5">
        <v>0</v>
      </c>
      <c r="AZ442" s="6">
        <v>0</v>
      </c>
      <c r="BA442" s="5">
        <v>0</v>
      </c>
      <c r="BB442" s="6">
        <v>0</v>
      </c>
      <c r="BC442" s="5">
        <v>0</v>
      </c>
      <c r="BD442" s="6">
        <v>0</v>
      </c>
      <c r="BE442" s="5">
        <v>0</v>
      </c>
      <c r="BF442" s="6">
        <v>5075</v>
      </c>
      <c r="BG442" s="5">
        <v>20049.350196398089</v>
      </c>
      <c r="BH442" s="9">
        <f t="shared" si="50"/>
        <v>10370</v>
      </c>
      <c r="BI442" s="10">
        <f t="shared" si="51"/>
        <v>40967.834785546438</v>
      </c>
      <c r="BJ442" s="6">
        <f t="shared" si="52"/>
        <v>683.84093254198888</v>
      </c>
      <c r="BK442" s="11">
        <f t="shared" si="53"/>
        <v>7.0599804089471016E-2</v>
      </c>
      <c r="BL442" s="5">
        <f t="shared" si="54"/>
        <v>4257.2919198805685</v>
      </c>
      <c r="BM442" s="11">
        <f t="shared" si="55"/>
        <v>0.11596918998063278</v>
      </c>
    </row>
    <row r="443" spans="1:65" ht="15" customHeight="1" x14ac:dyDescent="0.4">
      <c r="A443" s="2" t="s">
        <v>269</v>
      </c>
      <c r="B443" s="2" t="s">
        <v>378</v>
      </c>
      <c r="C443" s="2" t="s">
        <v>379</v>
      </c>
      <c r="D443" s="3" t="s">
        <v>68</v>
      </c>
      <c r="E443" s="3" t="s">
        <v>382</v>
      </c>
      <c r="F443" s="2" t="s">
        <v>217</v>
      </c>
      <c r="G443" s="4">
        <v>20</v>
      </c>
      <c r="H443" s="5">
        <v>3.09</v>
      </c>
      <c r="I443" s="5">
        <v>3.2209465982229659</v>
      </c>
      <c r="J443" s="6">
        <v>0</v>
      </c>
      <c r="K443" s="5">
        <v>0</v>
      </c>
      <c r="L443" s="6">
        <v>0</v>
      </c>
      <c r="M443" s="5">
        <v>0</v>
      </c>
      <c r="N443" s="6">
        <v>0</v>
      </c>
      <c r="O443" s="5">
        <v>0</v>
      </c>
      <c r="P443" s="6">
        <v>0</v>
      </c>
      <c r="Q443" s="5">
        <v>0</v>
      </c>
      <c r="R443" s="6">
        <v>0</v>
      </c>
      <c r="S443" s="5">
        <v>0</v>
      </c>
      <c r="T443" s="6">
        <v>0</v>
      </c>
      <c r="U443" s="5">
        <v>0</v>
      </c>
      <c r="V443" s="6">
        <v>4748.3312361274238</v>
      </c>
      <c r="W443" s="5">
        <v>14672.34351963374</v>
      </c>
      <c r="X443" s="6">
        <v>0</v>
      </c>
      <c r="Y443" s="5">
        <v>0</v>
      </c>
      <c r="Z443" s="6">
        <v>0</v>
      </c>
      <c r="AA443" s="5">
        <v>0</v>
      </c>
      <c r="AB443" s="6">
        <v>0</v>
      </c>
      <c r="AC443" s="5">
        <v>0</v>
      </c>
      <c r="AD443" s="6">
        <v>0</v>
      </c>
      <c r="AE443" s="5">
        <v>0</v>
      </c>
      <c r="AF443" s="6">
        <v>4739.9806964919462</v>
      </c>
      <c r="AG443" s="5">
        <v>14646.540352160109</v>
      </c>
      <c r="AH443" s="7">
        <f t="shared" si="48"/>
        <v>9488.3119326193701</v>
      </c>
      <c r="AI443" s="8">
        <f t="shared" si="49"/>
        <v>29318.883871793849</v>
      </c>
      <c r="AJ443" s="6">
        <v>0</v>
      </c>
      <c r="AK443" s="5">
        <v>0</v>
      </c>
      <c r="AL443" s="6">
        <v>0</v>
      </c>
      <c r="AM443" s="5">
        <v>0</v>
      </c>
      <c r="AN443" s="6">
        <v>0</v>
      </c>
      <c r="AO443" s="5">
        <v>0</v>
      </c>
      <c r="AP443" s="6">
        <v>0</v>
      </c>
      <c r="AQ443" s="5">
        <v>0</v>
      </c>
      <c r="AR443" s="6">
        <v>0</v>
      </c>
      <c r="AS443" s="5">
        <v>0</v>
      </c>
      <c r="AT443" s="6">
        <v>0</v>
      </c>
      <c r="AU443" s="5">
        <v>0</v>
      </c>
      <c r="AV443" s="6">
        <v>5240</v>
      </c>
      <c r="AW443" s="5">
        <v>16877.760174688341</v>
      </c>
      <c r="AX443" s="6">
        <v>0</v>
      </c>
      <c r="AY443" s="5">
        <v>0</v>
      </c>
      <c r="AZ443" s="6">
        <v>0</v>
      </c>
      <c r="BA443" s="5">
        <v>0</v>
      </c>
      <c r="BB443" s="6">
        <v>0</v>
      </c>
      <c r="BC443" s="5">
        <v>0</v>
      </c>
      <c r="BD443" s="6">
        <v>0</v>
      </c>
      <c r="BE443" s="5">
        <v>0</v>
      </c>
      <c r="BF443" s="6">
        <v>5220</v>
      </c>
      <c r="BG443" s="5">
        <v>16813.34124272388</v>
      </c>
      <c r="BH443" s="9">
        <f t="shared" si="50"/>
        <v>10460</v>
      </c>
      <c r="BI443" s="10">
        <f t="shared" si="51"/>
        <v>33691.101417412225</v>
      </c>
      <c r="BJ443" s="6">
        <f t="shared" si="52"/>
        <v>971.68806738062995</v>
      </c>
      <c r="BK443" s="11">
        <f t="shared" si="53"/>
        <v>0.10240895053630293</v>
      </c>
      <c r="BL443" s="5">
        <f t="shared" si="54"/>
        <v>4372.2175456183759</v>
      </c>
      <c r="BM443" s="11">
        <f t="shared" si="55"/>
        <v>0.14912632979950016</v>
      </c>
    </row>
    <row r="444" spans="1:65" ht="15" customHeight="1" x14ac:dyDescent="0.4">
      <c r="A444" s="2" t="s">
        <v>269</v>
      </c>
      <c r="B444" s="2" t="s">
        <v>378</v>
      </c>
      <c r="C444" s="2" t="s">
        <v>379</v>
      </c>
      <c r="D444" s="3" t="s">
        <v>68</v>
      </c>
      <c r="E444" s="3" t="s">
        <v>383</v>
      </c>
      <c r="F444" s="2" t="s">
        <v>87</v>
      </c>
      <c r="G444" s="4">
        <v>20</v>
      </c>
      <c r="H444" s="5">
        <v>1.617</v>
      </c>
      <c r="I444" s="5">
        <v>1.685524481982698</v>
      </c>
      <c r="J444" s="6">
        <v>0</v>
      </c>
      <c r="K444" s="5">
        <v>0</v>
      </c>
      <c r="L444" s="6">
        <v>0</v>
      </c>
      <c r="M444" s="5">
        <v>0</v>
      </c>
      <c r="N444" s="6">
        <v>0</v>
      </c>
      <c r="O444" s="5">
        <v>0</v>
      </c>
      <c r="P444" s="6">
        <v>0</v>
      </c>
      <c r="Q444" s="5">
        <v>0</v>
      </c>
      <c r="R444" s="6">
        <v>0</v>
      </c>
      <c r="S444" s="5">
        <v>0</v>
      </c>
      <c r="T444" s="6">
        <v>0</v>
      </c>
      <c r="U444" s="5">
        <v>0</v>
      </c>
      <c r="V444" s="6">
        <v>0</v>
      </c>
      <c r="W444" s="5">
        <v>0</v>
      </c>
      <c r="X444" s="6">
        <v>0</v>
      </c>
      <c r="Y444" s="5">
        <v>0</v>
      </c>
      <c r="Z444" s="6">
        <v>0</v>
      </c>
      <c r="AA444" s="5">
        <v>0</v>
      </c>
      <c r="AB444" s="6">
        <v>0</v>
      </c>
      <c r="AC444" s="5">
        <v>0</v>
      </c>
      <c r="AD444" s="6">
        <v>0</v>
      </c>
      <c r="AE444" s="5">
        <v>0</v>
      </c>
      <c r="AF444" s="6">
        <v>7299.570272597598</v>
      </c>
      <c r="AG444" s="5">
        <v>11803.405130790319</v>
      </c>
      <c r="AH444" s="7">
        <f t="shared" si="48"/>
        <v>7299.570272597598</v>
      </c>
      <c r="AI444" s="8">
        <f t="shared" si="49"/>
        <v>11803.405130790319</v>
      </c>
      <c r="AJ444" s="6">
        <v>0</v>
      </c>
      <c r="AK444" s="5">
        <v>0</v>
      </c>
      <c r="AL444" s="6">
        <v>0</v>
      </c>
      <c r="AM444" s="5">
        <v>0</v>
      </c>
      <c r="AN444" s="6">
        <v>0</v>
      </c>
      <c r="AO444" s="5">
        <v>0</v>
      </c>
      <c r="AP444" s="6">
        <v>0</v>
      </c>
      <c r="AQ444" s="5">
        <v>0</v>
      </c>
      <c r="AR444" s="6">
        <v>0</v>
      </c>
      <c r="AS444" s="5">
        <v>0</v>
      </c>
      <c r="AT444" s="6">
        <v>0</v>
      </c>
      <c r="AU444" s="5">
        <v>0</v>
      </c>
      <c r="AV444" s="6">
        <v>0</v>
      </c>
      <c r="AW444" s="5">
        <v>0</v>
      </c>
      <c r="AX444" s="6">
        <v>0</v>
      </c>
      <c r="AY444" s="5">
        <v>0</v>
      </c>
      <c r="AZ444" s="6">
        <v>0</v>
      </c>
      <c r="BA444" s="5">
        <v>0</v>
      </c>
      <c r="BB444" s="6">
        <v>0</v>
      </c>
      <c r="BC444" s="5">
        <v>0</v>
      </c>
      <c r="BD444" s="6">
        <v>0</v>
      </c>
      <c r="BE444" s="5">
        <v>0</v>
      </c>
      <c r="BF444" s="6">
        <v>8040</v>
      </c>
      <c r="BG444" s="5">
        <v>13551.616835140891</v>
      </c>
      <c r="BH444" s="9">
        <f t="shared" si="50"/>
        <v>8040</v>
      </c>
      <c r="BI444" s="10">
        <f t="shared" si="51"/>
        <v>13551.616835140891</v>
      </c>
      <c r="BJ444" s="6">
        <f t="shared" si="52"/>
        <v>740.42972740240202</v>
      </c>
      <c r="BK444" s="11">
        <f t="shared" si="53"/>
        <v>0.10143470091410127</v>
      </c>
      <c r="BL444" s="5">
        <f t="shared" si="54"/>
        <v>1748.2117043505714</v>
      </c>
      <c r="BM444" s="11">
        <f t="shared" si="55"/>
        <v>0.14811079387508211</v>
      </c>
    </row>
    <row r="445" spans="1:65" ht="15" customHeight="1" x14ac:dyDescent="0.4">
      <c r="A445" s="2" t="s">
        <v>269</v>
      </c>
      <c r="B445" s="2" t="s">
        <v>378</v>
      </c>
      <c r="C445" s="2" t="s">
        <v>379</v>
      </c>
      <c r="D445" s="3" t="s">
        <v>68</v>
      </c>
      <c r="E445" s="3" t="s">
        <v>384</v>
      </c>
      <c r="F445" s="2" t="s">
        <v>385</v>
      </c>
      <c r="G445" s="4">
        <v>5</v>
      </c>
      <c r="H445" s="5">
        <v>2.6362000000000001</v>
      </c>
      <c r="I445" s="5">
        <v>2.7479156706263379</v>
      </c>
      <c r="J445" s="6">
        <v>0</v>
      </c>
      <c r="K445" s="5">
        <v>0</v>
      </c>
      <c r="L445" s="6">
        <v>0</v>
      </c>
      <c r="M445" s="5">
        <v>0</v>
      </c>
      <c r="N445" s="6">
        <v>0</v>
      </c>
      <c r="O445" s="5">
        <v>0</v>
      </c>
      <c r="P445" s="6">
        <v>0</v>
      </c>
      <c r="Q445" s="5">
        <v>0</v>
      </c>
      <c r="R445" s="6">
        <v>0</v>
      </c>
      <c r="S445" s="5">
        <v>0</v>
      </c>
      <c r="T445" s="6">
        <v>0</v>
      </c>
      <c r="U445" s="5">
        <v>0</v>
      </c>
      <c r="V445" s="6">
        <v>0</v>
      </c>
      <c r="W445" s="5">
        <v>0</v>
      </c>
      <c r="X445" s="6">
        <v>0</v>
      </c>
      <c r="Y445" s="5">
        <v>0</v>
      </c>
      <c r="Z445" s="6">
        <v>0</v>
      </c>
      <c r="AA445" s="5">
        <v>0</v>
      </c>
      <c r="AB445" s="6">
        <v>0</v>
      </c>
      <c r="AC445" s="5">
        <v>0</v>
      </c>
      <c r="AD445" s="6">
        <v>0</v>
      </c>
      <c r="AE445" s="5">
        <v>0</v>
      </c>
      <c r="AF445" s="6">
        <v>9479.9613929838924</v>
      </c>
      <c r="AG445" s="5">
        <v>24991.07422418414</v>
      </c>
      <c r="AH445" s="7">
        <f t="shared" si="48"/>
        <v>9479.9613929838924</v>
      </c>
      <c r="AI445" s="8">
        <f t="shared" si="49"/>
        <v>24991.07422418414</v>
      </c>
      <c r="AJ445" s="6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6">
        <v>0</v>
      </c>
      <c r="AQ445" s="5">
        <v>0</v>
      </c>
      <c r="AR445" s="6">
        <v>0</v>
      </c>
      <c r="AS445" s="5">
        <v>0</v>
      </c>
      <c r="AT445" s="6">
        <v>0</v>
      </c>
      <c r="AU445" s="5">
        <v>0</v>
      </c>
      <c r="AV445" s="6">
        <v>0</v>
      </c>
      <c r="AW445" s="5">
        <v>0</v>
      </c>
      <c r="AX445" s="6">
        <v>0</v>
      </c>
      <c r="AY445" s="5">
        <v>0</v>
      </c>
      <c r="AZ445" s="6">
        <v>0</v>
      </c>
      <c r="BA445" s="5">
        <v>0</v>
      </c>
      <c r="BB445" s="6">
        <v>0</v>
      </c>
      <c r="BC445" s="5">
        <v>0</v>
      </c>
      <c r="BD445" s="6">
        <v>0</v>
      </c>
      <c r="BE445" s="5">
        <v>0</v>
      </c>
      <c r="BF445" s="6">
        <v>10700</v>
      </c>
      <c r="BG445" s="5">
        <v>29402.69767570182</v>
      </c>
      <c r="BH445" s="9">
        <f t="shared" si="50"/>
        <v>10700</v>
      </c>
      <c r="BI445" s="10">
        <f t="shared" si="51"/>
        <v>29402.69767570182</v>
      </c>
      <c r="BJ445" s="6">
        <f t="shared" si="52"/>
        <v>1220.0386070161076</v>
      </c>
      <c r="BK445" s="11">
        <f t="shared" si="53"/>
        <v>0.12869657970538326</v>
      </c>
      <c r="BL445" s="5">
        <f t="shared" si="54"/>
        <v>4411.6234515176802</v>
      </c>
      <c r="BM445" s="11">
        <f t="shared" si="55"/>
        <v>0.17652796402199084</v>
      </c>
    </row>
    <row r="446" spans="1:65" ht="15" customHeight="1" x14ac:dyDescent="0.4">
      <c r="A446" s="2" t="s">
        <v>269</v>
      </c>
      <c r="B446" s="2" t="s">
        <v>378</v>
      </c>
      <c r="C446" s="2" t="s">
        <v>379</v>
      </c>
      <c r="D446" s="3" t="s">
        <v>68</v>
      </c>
      <c r="E446" s="3" t="s">
        <v>386</v>
      </c>
      <c r="F446" s="2" t="s">
        <v>387</v>
      </c>
      <c r="G446" s="4">
        <v>5</v>
      </c>
      <c r="H446" s="5">
        <v>3.528</v>
      </c>
      <c r="I446" s="5">
        <v>3.6775079606895229</v>
      </c>
      <c r="J446" s="6">
        <v>0</v>
      </c>
      <c r="K446" s="5">
        <v>0</v>
      </c>
      <c r="L446" s="6">
        <v>0</v>
      </c>
      <c r="M446" s="5">
        <v>0</v>
      </c>
      <c r="N446" s="6">
        <v>0</v>
      </c>
      <c r="O446" s="5">
        <v>0</v>
      </c>
      <c r="P446" s="6">
        <v>0</v>
      </c>
      <c r="Q446" s="5">
        <v>0</v>
      </c>
      <c r="R446" s="6">
        <v>0</v>
      </c>
      <c r="S446" s="5">
        <v>0</v>
      </c>
      <c r="T446" s="6">
        <v>0</v>
      </c>
      <c r="U446" s="5">
        <v>0</v>
      </c>
      <c r="V446" s="6">
        <v>0</v>
      </c>
      <c r="W446" s="5">
        <v>0</v>
      </c>
      <c r="X446" s="6">
        <v>0</v>
      </c>
      <c r="Y446" s="5">
        <v>0</v>
      </c>
      <c r="Z446" s="6">
        <v>0</v>
      </c>
      <c r="AA446" s="5">
        <v>0</v>
      </c>
      <c r="AB446" s="6">
        <v>0</v>
      </c>
      <c r="AC446" s="5">
        <v>0</v>
      </c>
      <c r="AD446" s="6">
        <v>0</v>
      </c>
      <c r="AE446" s="5">
        <v>0</v>
      </c>
      <c r="AF446" s="6">
        <v>947.99613929838938</v>
      </c>
      <c r="AG446" s="5">
        <v>3344.5303794447182</v>
      </c>
      <c r="AH446" s="7">
        <f t="shared" si="48"/>
        <v>947.99613929838938</v>
      </c>
      <c r="AI446" s="8">
        <f t="shared" si="49"/>
        <v>3344.5303794447182</v>
      </c>
      <c r="AJ446" s="6">
        <v>0</v>
      </c>
      <c r="AK446" s="5">
        <v>0</v>
      </c>
      <c r="AL446" s="6">
        <v>0</v>
      </c>
      <c r="AM446" s="5">
        <v>0</v>
      </c>
      <c r="AN446" s="6">
        <v>0</v>
      </c>
      <c r="AO446" s="5">
        <v>0</v>
      </c>
      <c r="AP446" s="6">
        <v>0</v>
      </c>
      <c r="AQ446" s="5">
        <v>0</v>
      </c>
      <c r="AR446" s="6">
        <v>0</v>
      </c>
      <c r="AS446" s="5">
        <v>0</v>
      </c>
      <c r="AT446" s="6">
        <v>0</v>
      </c>
      <c r="AU446" s="5">
        <v>0</v>
      </c>
      <c r="AV446" s="6">
        <v>0</v>
      </c>
      <c r="AW446" s="5">
        <v>0</v>
      </c>
      <c r="AX446" s="6">
        <v>0</v>
      </c>
      <c r="AY446" s="5">
        <v>0</v>
      </c>
      <c r="AZ446" s="6">
        <v>0</v>
      </c>
      <c r="BA446" s="5">
        <v>0</v>
      </c>
      <c r="BB446" s="6">
        <v>0</v>
      </c>
      <c r="BC446" s="5">
        <v>0</v>
      </c>
      <c r="BD446" s="6">
        <v>0</v>
      </c>
      <c r="BE446" s="5">
        <v>0</v>
      </c>
      <c r="BF446" s="6">
        <v>1015</v>
      </c>
      <c r="BG446" s="5">
        <v>3732.6705800998661</v>
      </c>
      <c r="BH446" s="9">
        <f t="shared" si="50"/>
        <v>1015</v>
      </c>
      <c r="BI446" s="10">
        <f t="shared" si="51"/>
        <v>3732.6705800998661</v>
      </c>
      <c r="BJ446" s="6">
        <f t="shared" si="52"/>
        <v>67.00386070161062</v>
      </c>
      <c r="BK446" s="11">
        <f t="shared" si="53"/>
        <v>7.06794657952933E-2</v>
      </c>
      <c r="BL446" s="5">
        <f t="shared" si="54"/>
        <v>388.14020065514796</v>
      </c>
      <c r="BM446" s="11">
        <f t="shared" si="55"/>
        <v>0.11605222755357052</v>
      </c>
    </row>
    <row r="447" spans="1:65" ht="15" customHeight="1" x14ac:dyDescent="0.4">
      <c r="A447" s="2" t="s">
        <v>269</v>
      </c>
      <c r="B447" s="2" t="s">
        <v>388</v>
      </c>
      <c r="C447" s="2" t="s">
        <v>389</v>
      </c>
      <c r="D447" s="3" t="s">
        <v>68</v>
      </c>
      <c r="E447" s="3" t="s">
        <v>390</v>
      </c>
      <c r="F447" s="2" t="s">
        <v>103</v>
      </c>
      <c r="G447" s="4">
        <v>5</v>
      </c>
      <c r="H447" s="5">
        <v>4.34</v>
      </c>
      <c r="I447" s="5">
        <v>4.5239185230704448</v>
      </c>
      <c r="J447" s="6">
        <v>0</v>
      </c>
      <c r="K447" s="5">
        <v>0</v>
      </c>
      <c r="L447" s="6">
        <v>0</v>
      </c>
      <c r="M447" s="5">
        <v>0</v>
      </c>
      <c r="N447" s="6">
        <v>0</v>
      </c>
      <c r="O447" s="5">
        <v>0</v>
      </c>
      <c r="P447" s="6">
        <v>0</v>
      </c>
      <c r="Q447" s="5">
        <v>0</v>
      </c>
      <c r="R447" s="6">
        <v>0</v>
      </c>
      <c r="S447" s="5">
        <v>0</v>
      </c>
      <c r="T447" s="6">
        <v>0</v>
      </c>
      <c r="U447" s="5">
        <v>0</v>
      </c>
      <c r="V447" s="6">
        <v>0</v>
      </c>
      <c r="W447" s="5">
        <v>0</v>
      </c>
      <c r="X447" s="6">
        <v>1978.4713483864259</v>
      </c>
      <c r="Y447" s="5">
        <v>8586.5656519970908</v>
      </c>
      <c r="Z447" s="6">
        <v>0</v>
      </c>
      <c r="AA447" s="5">
        <v>0</v>
      </c>
      <c r="AB447" s="6">
        <v>0</v>
      </c>
      <c r="AC447" s="5">
        <v>0</v>
      </c>
      <c r="AD447" s="6">
        <v>0</v>
      </c>
      <c r="AE447" s="5">
        <v>0</v>
      </c>
      <c r="AF447" s="6">
        <v>947.99613929838938</v>
      </c>
      <c r="AG447" s="5">
        <v>4114.3032445550098</v>
      </c>
      <c r="AH447" s="7">
        <f t="shared" si="48"/>
        <v>2926.4674876848153</v>
      </c>
      <c r="AI447" s="8">
        <f t="shared" si="49"/>
        <v>12700.8688965521</v>
      </c>
      <c r="AJ447" s="6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6">
        <v>0</v>
      </c>
      <c r="AQ447" s="5">
        <v>0</v>
      </c>
      <c r="AR447" s="6">
        <v>0</v>
      </c>
      <c r="AS447" s="5">
        <v>0</v>
      </c>
      <c r="AT447" s="6">
        <v>0</v>
      </c>
      <c r="AU447" s="5">
        <v>0</v>
      </c>
      <c r="AV447" s="6">
        <v>0</v>
      </c>
      <c r="AW447" s="5">
        <v>0</v>
      </c>
      <c r="AX447" s="6">
        <v>2495</v>
      </c>
      <c r="AY447" s="5">
        <v>11287.176715060759</v>
      </c>
      <c r="AZ447" s="6">
        <v>0</v>
      </c>
      <c r="BA447" s="5">
        <v>0</v>
      </c>
      <c r="BB447" s="6">
        <v>0</v>
      </c>
      <c r="BC447" s="5">
        <v>0</v>
      </c>
      <c r="BD447" s="6">
        <v>0</v>
      </c>
      <c r="BE447" s="5">
        <v>0</v>
      </c>
      <c r="BF447" s="6">
        <v>1195</v>
      </c>
      <c r="BG447" s="5">
        <v>5406.0826350691814</v>
      </c>
      <c r="BH447" s="9">
        <f t="shared" si="50"/>
        <v>3690</v>
      </c>
      <c r="BI447" s="10">
        <f t="shared" si="51"/>
        <v>16693.259350129942</v>
      </c>
      <c r="BJ447" s="6">
        <f t="shared" si="52"/>
        <v>763.5325123151847</v>
      </c>
      <c r="BK447" s="11">
        <f t="shared" si="53"/>
        <v>0.26090585852338649</v>
      </c>
      <c r="BL447" s="5">
        <f t="shared" si="54"/>
        <v>3992.390453577842</v>
      </c>
      <c r="BM447" s="11">
        <f t="shared" si="55"/>
        <v>0.31433994682534316</v>
      </c>
    </row>
    <row r="448" spans="1:65" ht="15" customHeight="1" x14ac:dyDescent="0.4">
      <c r="A448" s="2" t="s">
        <v>269</v>
      </c>
      <c r="B448" s="2" t="s">
        <v>388</v>
      </c>
      <c r="C448" s="2" t="s">
        <v>389</v>
      </c>
      <c r="D448" s="3" t="s">
        <v>68</v>
      </c>
      <c r="E448" s="3" t="s">
        <v>391</v>
      </c>
      <c r="F448" s="2" t="s">
        <v>392</v>
      </c>
      <c r="G448" s="4">
        <v>20</v>
      </c>
      <c r="H448" s="5">
        <v>4.2300000000000004</v>
      </c>
      <c r="I448" s="5">
        <v>4.4092569936838677</v>
      </c>
      <c r="J448" s="6">
        <v>1978.4713483864259</v>
      </c>
      <c r="K448" s="5">
        <v>8368.9338036745849</v>
      </c>
      <c r="L448" s="6">
        <v>0</v>
      </c>
      <c r="M448" s="5">
        <v>0</v>
      </c>
      <c r="N448" s="6">
        <v>0</v>
      </c>
      <c r="O448" s="5">
        <v>0</v>
      </c>
      <c r="P448" s="6">
        <v>0</v>
      </c>
      <c r="Q448" s="5">
        <v>0</v>
      </c>
      <c r="R448" s="6">
        <v>0</v>
      </c>
      <c r="S448" s="5">
        <v>0</v>
      </c>
      <c r="T448" s="6">
        <v>0</v>
      </c>
      <c r="U448" s="5">
        <v>0</v>
      </c>
      <c r="V448" s="6">
        <v>0</v>
      </c>
      <c r="W448" s="5">
        <v>0</v>
      </c>
      <c r="X448" s="6">
        <v>0</v>
      </c>
      <c r="Y448" s="5">
        <v>0</v>
      </c>
      <c r="Z448" s="6">
        <v>0</v>
      </c>
      <c r="AA448" s="5">
        <v>0</v>
      </c>
      <c r="AB448" s="6">
        <v>0</v>
      </c>
      <c r="AC448" s="5">
        <v>0</v>
      </c>
      <c r="AD448" s="6">
        <v>0</v>
      </c>
      <c r="AE448" s="5">
        <v>0</v>
      </c>
      <c r="AF448" s="6">
        <v>0</v>
      </c>
      <c r="AG448" s="5">
        <v>0</v>
      </c>
      <c r="AH448" s="7">
        <f t="shared" si="48"/>
        <v>1978.4713483864259</v>
      </c>
      <c r="AI448" s="8">
        <f t="shared" si="49"/>
        <v>8368.9338036745849</v>
      </c>
      <c r="AJ448" s="6">
        <v>2380</v>
      </c>
      <c r="AK448" s="5">
        <v>10494.031644967599</v>
      </c>
      <c r="AL448" s="6">
        <v>0</v>
      </c>
      <c r="AM448" s="5">
        <v>0</v>
      </c>
      <c r="AN448" s="6">
        <v>0</v>
      </c>
      <c r="AO448" s="5">
        <v>0</v>
      </c>
      <c r="AP448" s="6">
        <v>0</v>
      </c>
      <c r="AQ448" s="5">
        <v>0</v>
      </c>
      <c r="AR448" s="6">
        <v>0</v>
      </c>
      <c r="AS448" s="5">
        <v>0</v>
      </c>
      <c r="AT448" s="6">
        <v>0</v>
      </c>
      <c r="AU448" s="5">
        <v>0</v>
      </c>
      <c r="AV448" s="6">
        <v>0</v>
      </c>
      <c r="AW448" s="5">
        <v>0</v>
      </c>
      <c r="AX448" s="6">
        <v>0</v>
      </c>
      <c r="AY448" s="5">
        <v>0</v>
      </c>
      <c r="AZ448" s="6">
        <v>0</v>
      </c>
      <c r="BA448" s="5">
        <v>0</v>
      </c>
      <c r="BB448" s="6">
        <v>0</v>
      </c>
      <c r="BC448" s="5">
        <v>0</v>
      </c>
      <c r="BD448" s="6">
        <v>0</v>
      </c>
      <c r="BE448" s="5">
        <v>0</v>
      </c>
      <c r="BF448" s="6">
        <v>0</v>
      </c>
      <c r="BG448" s="5">
        <v>0</v>
      </c>
      <c r="BH448" s="9">
        <f t="shared" si="50"/>
        <v>2380</v>
      </c>
      <c r="BI448" s="10">
        <f t="shared" si="51"/>
        <v>10494.031644967599</v>
      </c>
      <c r="BJ448" s="6">
        <f t="shared" si="52"/>
        <v>401.52865161357408</v>
      </c>
      <c r="BK448" s="11">
        <f t="shared" si="53"/>
        <v>0.20294893425727253</v>
      </c>
      <c r="BL448" s="5">
        <f t="shared" si="54"/>
        <v>2125.0978412930144</v>
      </c>
      <c r="BM448" s="11">
        <f t="shared" si="55"/>
        <v>0.25392695068993593</v>
      </c>
    </row>
    <row r="449" spans="1:65" ht="15" customHeight="1" x14ac:dyDescent="0.4">
      <c r="A449" s="2" t="s">
        <v>269</v>
      </c>
      <c r="B449" s="2" t="s">
        <v>388</v>
      </c>
      <c r="C449" s="2" t="s">
        <v>389</v>
      </c>
      <c r="D449" s="3" t="s">
        <v>68</v>
      </c>
      <c r="E449" s="3" t="s">
        <v>391</v>
      </c>
      <c r="F449" s="2" t="s">
        <v>192</v>
      </c>
      <c r="G449" s="4">
        <v>20</v>
      </c>
      <c r="H449" s="5">
        <v>4.2300000000000004</v>
      </c>
      <c r="I449" s="5">
        <v>4.4092569936838668</v>
      </c>
      <c r="J449" s="6">
        <v>0</v>
      </c>
      <c r="K449" s="5">
        <v>0</v>
      </c>
      <c r="L449" s="6">
        <v>0</v>
      </c>
      <c r="M449" s="5">
        <v>0</v>
      </c>
      <c r="N449" s="6">
        <v>0</v>
      </c>
      <c r="O449" s="5">
        <v>0</v>
      </c>
      <c r="P449" s="6">
        <v>0</v>
      </c>
      <c r="Q449" s="5">
        <v>0</v>
      </c>
      <c r="R449" s="6">
        <v>0</v>
      </c>
      <c r="S449" s="5">
        <v>0</v>
      </c>
      <c r="T449" s="6">
        <v>0</v>
      </c>
      <c r="U449" s="5">
        <v>0</v>
      </c>
      <c r="V449" s="6">
        <v>0</v>
      </c>
      <c r="W449" s="5">
        <v>0</v>
      </c>
      <c r="X449" s="6">
        <v>989.23567419321319</v>
      </c>
      <c r="Y449" s="5">
        <v>4184.4669018372924</v>
      </c>
      <c r="Z449" s="6">
        <v>0</v>
      </c>
      <c r="AA449" s="5">
        <v>0</v>
      </c>
      <c r="AB449" s="6">
        <v>947.99613929838938</v>
      </c>
      <c r="AC449" s="5">
        <v>4010.0236692321869</v>
      </c>
      <c r="AD449" s="6">
        <v>0</v>
      </c>
      <c r="AE449" s="5">
        <v>0</v>
      </c>
      <c r="AF449" s="6">
        <v>0</v>
      </c>
      <c r="AG449" s="5">
        <v>0</v>
      </c>
      <c r="AH449" s="7">
        <f t="shared" si="48"/>
        <v>1937.2318134916027</v>
      </c>
      <c r="AI449" s="8">
        <f t="shared" si="49"/>
        <v>8194.4905710694802</v>
      </c>
      <c r="AJ449" s="6">
        <v>0</v>
      </c>
      <c r="AK449" s="5">
        <v>0</v>
      </c>
      <c r="AL449" s="6">
        <v>0</v>
      </c>
      <c r="AM449" s="5">
        <v>0</v>
      </c>
      <c r="AN449" s="6">
        <v>0</v>
      </c>
      <c r="AO449" s="5">
        <v>0</v>
      </c>
      <c r="AP449" s="6">
        <v>0</v>
      </c>
      <c r="AQ449" s="5">
        <v>0</v>
      </c>
      <c r="AR449" s="6">
        <v>0</v>
      </c>
      <c r="AS449" s="5">
        <v>0</v>
      </c>
      <c r="AT449" s="6">
        <v>0</v>
      </c>
      <c r="AU449" s="5">
        <v>0</v>
      </c>
      <c r="AV449" s="6">
        <v>0</v>
      </c>
      <c r="AW449" s="5">
        <v>0</v>
      </c>
      <c r="AX449" s="6">
        <v>1200</v>
      </c>
      <c r="AY449" s="5">
        <v>5291.1083924206396</v>
      </c>
      <c r="AZ449" s="6">
        <v>0</v>
      </c>
      <c r="BA449" s="5">
        <v>0</v>
      </c>
      <c r="BB449" s="6">
        <v>1140</v>
      </c>
      <c r="BC449" s="5">
        <v>5026.5529727996081</v>
      </c>
      <c r="BD449" s="6">
        <v>0</v>
      </c>
      <c r="BE449" s="5">
        <v>0</v>
      </c>
      <c r="BF449" s="6">
        <v>0</v>
      </c>
      <c r="BG449" s="5">
        <v>0</v>
      </c>
      <c r="BH449" s="9">
        <f t="shared" si="50"/>
        <v>2340</v>
      </c>
      <c r="BI449" s="10">
        <f t="shared" si="51"/>
        <v>10317.661365220247</v>
      </c>
      <c r="BJ449" s="6">
        <f t="shared" si="52"/>
        <v>402.76818650839732</v>
      </c>
      <c r="BK449" s="11">
        <f t="shared" si="53"/>
        <v>0.20790913286854465</v>
      </c>
      <c r="BL449" s="5">
        <f t="shared" si="54"/>
        <v>2123.1707941507666</v>
      </c>
      <c r="BM449" s="11">
        <f t="shared" si="55"/>
        <v>0.25909735031566056</v>
      </c>
    </row>
    <row r="450" spans="1:65" ht="15" customHeight="1" x14ac:dyDescent="0.4">
      <c r="A450" s="2" t="s">
        <v>269</v>
      </c>
      <c r="B450" s="2" t="s">
        <v>388</v>
      </c>
      <c r="C450" s="2" t="s">
        <v>389</v>
      </c>
      <c r="D450" s="3" t="s">
        <v>68</v>
      </c>
      <c r="E450" s="3" t="s">
        <v>393</v>
      </c>
      <c r="F450" s="2" t="s">
        <v>394</v>
      </c>
      <c r="G450" s="4">
        <v>20</v>
      </c>
      <c r="H450" s="5">
        <v>2.7</v>
      </c>
      <c r="I450" s="5">
        <v>2.8144193576705532</v>
      </c>
      <c r="J450" s="6">
        <v>0</v>
      </c>
      <c r="K450" s="5">
        <v>0</v>
      </c>
      <c r="L450" s="6">
        <v>0</v>
      </c>
      <c r="M450" s="5">
        <v>0</v>
      </c>
      <c r="N450" s="6">
        <v>0</v>
      </c>
      <c r="O450" s="5">
        <v>0</v>
      </c>
      <c r="P450" s="6">
        <v>0</v>
      </c>
      <c r="Q450" s="5">
        <v>0</v>
      </c>
      <c r="R450" s="6">
        <v>0</v>
      </c>
      <c r="S450" s="5">
        <v>0</v>
      </c>
      <c r="T450" s="6">
        <v>0</v>
      </c>
      <c r="U450" s="5">
        <v>0</v>
      </c>
      <c r="V450" s="6">
        <v>0</v>
      </c>
      <c r="W450" s="5">
        <v>0</v>
      </c>
      <c r="X450" s="6">
        <v>989.23567419321319</v>
      </c>
      <c r="Y450" s="5">
        <v>2670.9363203216758</v>
      </c>
      <c r="Z450" s="6">
        <v>0</v>
      </c>
      <c r="AA450" s="5">
        <v>0</v>
      </c>
      <c r="AB450" s="6">
        <v>0</v>
      </c>
      <c r="AC450" s="5">
        <v>0</v>
      </c>
      <c r="AD450" s="6">
        <v>0</v>
      </c>
      <c r="AE450" s="5">
        <v>0</v>
      </c>
      <c r="AF450" s="6">
        <v>0</v>
      </c>
      <c r="AG450" s="5">
        <v>0</v>
      </c>
      <c r="AH450" s="7">
        <f t="shared" ref="AH450:AH513" si="56">J450+L450+N450+P450+R450+T450+V450+X450+Z450+AB450+AD450+AF450</f>
        <v>989.23567419321319</v>
      </c>
      <c r="AI450" s="8">
        <f t="shared" ref="AI450:AI513" si="57">K450+M450+O450+Q450+S450+U450+W450+Y450+AA450+AC450+AE450+AG450</f>
        <v>2670.9363203216758</v>
      </c>
      <c r="AJ450" s="6">
        <v>0</v>
      </c>
      <c r="AK450" s="5">
        <v>0</v>
      </c>
      <c r="AL450" s="6">
        <v>0</v>
      </c>
      <c r="AM450" s="5">
        <v>0</v>
      </c>
      <c r="AN450" s="6">
        <v>0</v>
      </c>
      <c r="AO450" s="5">
        <v>0</v>
      </c>
      <c r="AP450" s="6">
        <v>0</v>
      </c>
      <c r="AQ450" s="5">
        <v>0</v>
      </c>
      <c r="AR450" s="6">
        <v>0</v>
      </c>
      <c r="AS450" s="5">
        <v>0</v>
      </c>
      <c r="AT450" s="6">
        <v>0</v>
      </c>
      <c r="AU450" s="5">
        <v>0</v>
      </c>
      <c r="AV450" s="6">
        <v>0</v>
      </c>
      <c r="AW450" s="5">
        <v>0</v>
      </c>
      <c r="AX450" s="6">
        <v>1060</v>
      </c>
      <c r="AY450" s="5">
        <v>2983.284519130787</v>
      </c>
      <c r="AZ450" s="6">
        <v>0</v>
      </c>
      <c r="BA450" s="5">
        <v>0</v>
      </c>
      <c r="BB450" s="6">
        <v>0</v>
      </c>
      <c r="BC450" s="5">
        <v>0</v>
      </c>
      <c r="BD450" s="6">
        <v>0</v>
      </c>
      <c r="BE450" s="5">
        <v>0</v>
      </c>
      <c r="BF450" s="6">
        <v>0</v>
      </c>
      <c r="BG450" s="5">
        <v>0</v>
      </c>
      <c r="BH450" s="9">
        <f t="shared" ref="BH450:BH513" si="58">AJ450+AL450+AN450+AP450+AR450+AT450+AV450+AX450+AZ450+BB450+BD450+BF450</f>
        <v>1060</v>
      </c>
      <c r="BI450" s="10">
        <f t="shared" ref="BI450:BI513" si="59">AK450+AM450+AO450+AQ450+AS450+AU450+AW450+AY450+BA450+BC450+BE450+BG450</f>
        <v>2983.284519130787</v>
      </c>
      <c r="BJ450" s="6">
        <f t="shared" ref="BJ450:BJ513" si="60">BH450-AH450</f>
        <v>70.764325806786815</v>
      </c>
      <c r="BK450" s="11">
        <f t="shared" ref="BK450:BK513" si="61">IF(AH450&gt;0, BJ450/AH450, 0)</f>
        <v>7.1534344800595451E-2</v>
      </c>
      <c r="BL450" s="5">
        <f t="shared" ref="BL450:BL513" si="62">BI450-AI450</f>
        <v>312.34819880911118</v>
      </c>
      <c r="BM450" s="11">
        <f t="shared" ref="BM450:BM513" si="63">IF(AI450&gt;0, BL450/AI450, 0)</f>
        <v>0.11694333422801086</v>
      </c>
    </row>
    <row r="451" spans="1:65" ht="15" customHeight="1" x14ac:dyDescent="0.4">
      <c r="A451" s="2" t="s">
        <v>269</v>
      </c>
      <c r="B451" s="2" t="s">
        <v>388</v>
      </c>
      <c r="C451" s="2" t="s">
        <v>389</v>
      </c>
      <c r="D451" s="3" t="s">
        <v>68</v>
      </c>
      <c r="E451" s="3" t="s">
        <v>395</v>
      </c>
      <c r="F451" s="2" t="s">
        <v>135</v>
      </c>
      <c r="G451" s="4">
        <v>5</v>
      </c>
      <c r="H451" s="5">
        <v>3.02</v>
      </c>
      <c r="I451" s="5">
        <v>3.1479801704315071</v>
      </c>
      <c r="J451" s="6">
        <v>0</v>
      </c>
      <c r="K451" s="5">
        <v>0</v>
      </c>
      <c r="L451" s="6">
        <v>0</v>
      </c>
      <c r="M451" s="5">
        <v>0</v>
      </c>
      <c r="N451" s="6">
        <v>0</v>
      </c>
      <c r="O451" s="5">
        <v>0</v>
      </c>
      <c r="P451" s="6">
        <v>0</v>
      </c>
      <c r="Q451" s="5">
        <v>0</v>
      </c>
      <c r="R451" s="6">
        <v>0</v>
      </c>
      <c r="S451" s="5">
        <v>0</v>
      </c>
      <c r="T451" s="6">
        <v>593.54140451592798</v>
      </c>
      <c r="U451" s="5">
        <v>1792.4950416381021</v>
      </c>
      <c r="V451" s="6">
        <v>0</v>
      </c>
      <c r="W451" s="5">
        <v>0</v>
      </c>
      <c r="X451" s="6">
        <v>0</v>
      </c>
      <c r="Y451" s="5">
        <v>0</v>
      </c>
      <c r="Z451" s="6">
        <v>0</v>
      </c>
      <c r="AA451" s="5">
        <v>0</v>
      </c>
      <c r="AB451" s="6">
        <v>0</v>
      </c>
      <c r="AC451" s="5">
        <v>0</v>
      </c>
      <c r="AD451" s="6">
        <v>0</v>
      </c>
      <c r="AE451" s="5">
        <v>0</v>
      </c>
      <c r="AF451" s="6">
        <v>0</v>
      </c>
      <c r="AG451" s="5">
        <v>0</v>
      </c>
      <c r="AH451" s="7">
        <f t="shared" si="56"/>
        <v>593.54140451592798</v>
      </c>
      <c r="AI451" s="8">
        <f t="shared" si="57"/>
        <v>1792.4950416381021</v>
      </c>
      <c r="AJ451" s="6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6">
        <v>0</v>
      </c>
      <c r="AQ451" s="5">
        <v>0</v>
      </c>
      <c r="AR451" s="6">
        <v>0</v>
      </c>
      <c r="AS451" s="5">
        <v>0</v>
      </c>
      <c r="AT451" s="6">
        <v>715</v>
      </c>
      <c r="AU451" s="5">
        <v>2250.805821858527</v>
      </c>
      <c r="AV451" s="6">
        <v>0</v>
      </c>
      <c r="AW451" s="5">
        <v>0</v>
      </c>
      <c r="AX451" s="6">
        <v>0</v>
      </c>
      <c r="AY451" s="5">
        <v>0</v>
      </c>
      <c r="AZ451" s="6">
        <v>0</v>
      </c>
      <c r="BA451" s="5">
        <v>0</v>
      </c>
      <c r="BB451" s="6">
        <v>0</v>
      </c>
      <c r="BC451" s="5">
        <v>0</v>
      </c>
      <c r="BD451" s="6">
        <v>0</v>
      </c>
      <c r="BE451" s="5">
        <v>0</v>
      </c>
      <c r="BF451" s="6">
        <v>0</v>
      </c>
      <c r="BG451" s="5">
        <v>0</v>
      </c>
      <c r="BH451" s="9">
        <f t="shared" si="58"/>
        <v>715</v>
      </c>
      <c r="BI451" s="10">
        <f t="shared" si="59"/>
        <v>2250.805821858527</v>
      </c>
      <c r="BJ451" s="6">
        <f t="shared" si="60"/>
        <v>121.45859548407202</v>
      </c>
      <c r="BK451" s="11">
        <f t="shared" si="61"/>
        <v>0.20463373668620385</v>
      </c>
      <c r="BL451" s="5">
        <f t="shared" si="62"/>
        <v>458.31078022042493</v>
      </c>
      <c r="BM451" s="11">
        <f t="shared" si="63"/>
        <v>0.25568315090098648</v>
      </c>
    </row>
    <row r="452" spans="1:65" ht="15" customHeight="1" x14ac:dyDescent="0.4">
      <c r="A452" s="2" t="s">
        <v>269</v>
      </c>
      <c r="B452" s="2" t="s">
        <v>388</v>
      </c>
      <c r="C452" s="2" t="s">
        <v>389</v>
      </c>
      <c r="D452" s="3" t="s">
        <v>68</v>
      </c>
      <c r="E452" s="3" t="s">
        <v>396</v>
      </c>
      <c r="F452" s="2" t="s">
        <v>155</v>
      </c>
      <c r="G452" s="4">
        <v>20</v>
      </c>
      <c r="H452" s="5">
        <v>2.75</v>
      </c>
      <c r="I452" s="5">
        <v>2.866538234664453</v>
      </c>
      <c r="J452" s="6">
        <v>0</v>
      </c>
      <c r="K452" s="5">
        <v>0</v>
      </c>
      <c r="L452" s="6">
        <v>0</v>
      </c>
      <c r="M452" s="5">
        <v>0</v>
      </c>
      <c r="N452" s="6">
        <v>0</v>
      </c>
      <c r="O452" s="5">
        <v>0</v>
      </c>
      <c r="P452" s="6">
        <v>0</v>
      </c>
      <c r="Q452" s="5">
        <v>0</v>
      </c>
      <c r="R452" s="6">
        <v>0</v>
      </c>
      <c r="S452" s="5">
        <v>0</v>
      </c>
      <c r="T452" s="6">
        <v>989.23567419321319</v>
      </c>
      <c r="U452" s="5">
        <v>2720.398104031337</v>
      </c>
      <c r="V452" s="6">
        <v>0</v>
      </c>
      <c r="W452" s="5">
        <v>0</v>
      </c>
      <c r="X452" s="6">
        <v>0</v>
      </c>
      <c r="Y452" s="5">
        <v>0</v>
      </c>
      <c r="Z452" s="6">
        <v>0</v>
      </c>
      <c r="AA452" s="5">
        <v>0</v>
      </c>
      <c r="AB452" s="6">
        <v>0</v>
      </c>
      <c r="AC452" s="5">
        <v>0</v>
      </c>
      <c r="AD452" s="6">
        <v>0</v>
      </c>
      <c r="AE452" s="5">
        <v>0</v>
      </c>
      <c r="AF452" s="6">
        <v>0</v>
      </c>
      <c r="AG452" s="5">
        <v>0</v>
      </c>
      <c r="AH452" s="7">
        <f t="shared" si="56"/>
        <v>989.23567419321319</v>
      </c>
      <c r="AI452" s="8">
        <f t="shared" si="57"/>
        <v>2720.398104031337</v>
      </c>
      <c r="AJ452" s="6">
        <v>0</v>
      </c>
      <c r="AK452" s="5">
        <v>0</v>
      </c>
      <c r="AL452" s="6">
        <v>0</v>
      </c>
      <c r="AM452" s="5">
        <v>0</v>
      </c>
      <c r="AN452" s="6">
        <v>0</v>
      </c>
      <c r="AO452" s="5">
        <v>0</v>
      </c>
      <c r="AP452" s="6">
        <v>0</v>
      </c>
      <c r="AQ452" s="5">
        <v>0</v>
      </c>
      <c r="AR452" s="6">
        <v>0</v>
      </c>
      <c r="AS452" s="5">
        <v>0</v>
      </c>
      <c r="AT452" s="6">
        <v>1200</v>
      </c>
      <c r="AU452" s="5">
        <v>3439.845881597344</v>
      </c>
      <c r="AV452" s="6">
        <v>0</v>
      </c>
      <c r="AW452" s="5">
        <v>0</v>
      </c>
      <c r="AX452" s="6">
        <v>0</v>
      </c>
      <c r="AY452" s="5">
        <v>0</v>
      </c>
      <c r="AZ452" s="6">
        <v>0</v>
      </c>
      <c r="BA452" s="5">
        <v>0</v>
      </c>
      <c r="BB452" s="6">
        <v>0</v>
      </c>
      <c r="BC452" s="5">
        <v>0</v>
      </c>
      <c r="BD452" s="6">
        <v>0</v>
      </c>
      <c r="BE452" s="5">
        <v>0</v>
      </c>
      <c r="BF452" s="6">
        <v>0</v>
      </c>
      <c r="BG452" s="5">
        <v>0</v>
      </c>
      <c r="BH452" s="9">
        <f t="shared" si="58"/>
        <v>1200</v>
      </c>
      <c r="BI452" s="10">
        <f t="shared" si="59"/>
        <v>3439.845881597344</v>
      </c>
      <c r="BJ452" s="6">
        <f t="shared" si="60"/>
        <v>210.76432580678681</v>
      </c>
      <c r="BK452" s="11">
        <f t="shared" si="61"/>
        <v>0.21305774883086279</v>
      </c>
      <c r="BL452" s="5">
        <f t="shared" si="62"/>
        <v>719.44777756600706</v>
      </c>
      <c r="BM452" s="11">
        <f t="shared" si="63"/>
        <v>0.26446415195623868</v>
      </c>
    </row>
    <row r="453" spans="1:65" ht="15" customHeight="1" x14ac:dyDescent="0.4">
      <c r="A453" s="2" t="s">
        <v>269</v>
      </c>
      <c r="B453" s="2" t="s">
        <v>388</v>
      </c>
      <c r="C453" s="2" t="s">
        <v>389</v>
      </c>
      <c r="D453" s="3" t="s">
        <v>68</v>
      </c>
      <c r="E453" s="3" t="s">
        <v>397</v>
      </c>
      <c r="F453" s="2" t="s">
        <v>398</v>
      </c>
      <c r="G453" s="4">
        <v>20</v>
      </c>
      <c r="H453" s="5">
        <v>4.8000000000000007</v>
      </c>
      <c r="I453" s="5">
        <v>5.0034121914143173</v>
      </c>
      <c r="J453" s="6">
        <v>0</v>
      </c>
      <c r="K453" s="5">
        <v>0</v>
      </c>
      <c r="L453" s="6">
        <v>0</v>
      </c>
      <c r="M453" s="5">
        <v>0</v>
      </c>
      <c r="N453" s="6">
        <v>0</v>
      </c>
      <c r="O453" s="5">
        <v>0</v>
      </c>
      <c r="P453" s="6">
        <v>0</v>
      </c>
      <c r="Q453" s="5">
        <v>0</v>
      </c>
      <c r="R453" s="6">
        <v>989.23567419321319</v>
      </c>
      <c r="S453" s="5">
        <v>4748.3312361274238</v>
      </c>
      <c r="T453" s="6">
        <v>0</v>
      </c>
      <c r="U453" s="5">
        <v>0</v>
      </c>
      <c r="V453" s="6">
        <v>0</v>
      </c>
      <c r="W453" s="5">
        <v>0</v>
      </c>
      <c r="X453" s="6">
        <v>0</v>
      </c>
      <c r="Y453" s="5">
        <v>0</v>
      </c>
      <c r="Z453" s="6">
        <v>0</v>
      </c>
      <c r="AA453" s="5">
        <v>0</v>
      </c>
      <c r="AB453" s="6">
        <v>0</v>
      </c>
      <c r="AC453" s="5">
        <v>0</v>
      </c>
      <c r="AD453" s="6">
        <v>0</v>
      </c>
      <c r="AE453" s="5">
        <v>0</v>
      </c>
      <c r="AF453" s="6">
        <v>0</v>
      </c>
      <c r="AG453" s="5">
        <v>0</v>
      </c>
      <c r="AH453" s="7">
        <f t="shared" si="56"/>
        <v>989.23567419321319</v>
      </c>
      <c r="AI453" s="8">
        <f t="shared" si="57"/>
        <v>4748.3312361274238</v>
      </c>
      <c r="AJ453" s="6">
        <v>0</v>
      </c>
      <c r="AK453" s="5">
        <v>0</v>
      </c>
      <c r="AL453" s="6">
        <v>0</v>
      </c>
      <c r="AM453" s="5">
        <v>0</v>
      </c>
      <c r="AN453" s="6">
        <v>0</v>
      </c>
      <c r="AO453" s="5">
        <v>0</v>
      </c>
      <c r="AP453" s="6">
        <v>0</v>
      </c>
      <c r="AQ453" s="5">
        <v>0</v>
      </c>
      <c r="AR453" s="6">
        <v>1100</v>
      </c>
      <c r="AS453" s="5">
        <v>5503.7534105557488</v>
      </c>
      <c r="AT453" s="6">
        <v>0</v>
      </c>
      <c r="AU453" s="5">
        <v>0</v>
      </c>
      <c r="AV453" s="6">
        <v>0</v>
      </c>
      <c r="AW453" s="5">
        <v>0</v>
      </c>
      <c r="AX453" s="6">
        <v>0</v>
      </c>
      <c r="AY453" s="5">
        <v>0</v>
      </c>
      <c r="AZ453" s="6">
        <v>0</v>
      </c>
      <c r="BA453" s="5">
        <v>0</v>
      </c>
      <c r="BB453" s="6">
        <v>0</v>
      </c>
      <c r="BC453" s="5">
        <v>0</v>
      </c>
      <c r="BD453" s="6">
        <v>0</v>
      </c>
      <c r="BE453" s="5">
        <v>0</v>
      </c>
      <c r="BF453" s="6">
        <v>0</v>
      </c>
      <c r="BG453" s="5">
        <v>0</v>
      </c>
      <c r="BH453" s="9">
        <f t="shared" si="58"/>
        <v>1100</v>
      </c>
      <c r="BI453" s="10">
        <f t="shared" si="59"/>
        <v>5503.7534105557488</v>
      </c>
      <c r="BJ453" s="6">
        <f t="shared" si="60"/>
        <v>110.76432580678681</v>
      </c>
      <c r="BK453" s="11">
        <f t="shared" si="61"/>
        <v>0.11196960309495754</v>
      </c>
      <c r="BL453" s="5">
        <f t="shared" si="62"/>
        <v>755.42217442832498</v>
      </c>
      <c r="BM453" s="11">
        <f t="shared" si="63"/>
        <v>0.15909213929321861</v>
      </c>
    </row>
    <row r="454" spans="1:65" ht="15" customHeight="1" x14ac:dyDescent="0.4">
      <c r="A454" s="2" t="s">
        <v>269</v>
      </c>
      <c r="B454" s="2" t="s">
        <v>388</v>
      </c>
      <c r="C454" s="2" t="s">
        <v>389</v>
      </c>
      <c r="D454" s="3" t="s">
        <v>68</v>
      </c>
      <c r="E454" s="3" t="s">
        <v>397</v>
      </c>
      <c r="F454" s="2" t="s">
        <v>217</v>
      </c>
      <c r="G454" s="4">
        <v>20</v>
      </c>
      <c r="H454" s="5">
        <v>4.8</v>
      </c>
      <c r="I454" s="5">
        <v>5.0034121914143164</v>
      </c>
      <c r="J454" s="6">
        <v>0</v>
      </c>
      <c r="K454" s="5">
        <v>0</v>
      </c>
      <c r="L454" s="6">
        <v>0</v>
      </c>
      <c r="M454" s="5">
        <v>0</v>
      </c>
      <c r="N454" s="6">
        <v>0</v>
      </c>
      <c r="O454" s="5">
        <v>0</v>
      </c>
      <c r="P454" s="6">
        <v>0</v>
      </c>
      <c r="Q454" s="5">
        <v>0</v>
      </c>
      <c r="R454" s="6">
        <v>0</v>
      </c>
      <c r="S454" s="5">
        <v>0</v>
      </c>
      <c r="T454" s="6">
        <v>0</v>
      </c>
      <c r="U454" s="5">
        <v>0</v>
      </c>
      <c r="V454" s="6">
        <v>0</v>
      </c>
      <c r="W454" s="5">
        <v>0</v>
      </c>
      <c r="X454" s="6">
        <v>0</v>
      </c>
      <c r="Y454" s="5">
        <v>0</v>
      </c>
      <c r="Z454" s="6">
        <v>0</v>
      </c>
      <c r="AA454" s="5">
        <v>0</v>
      </c>
      <c r="AB454" s="6">
        <v>0</v>
      </c>
      <c r="AC454" s="5">
        <v>0</v>
      </c>
      <c r="AD454" s="6">
        <v>0</v>
      </c>
      <c r="AE454" s="5">
        <v>0</v>
      </c>
      <c r="AF454" s="6">
        <v>473.99806964919469</v>
      </c>
      <c r="AG454" s="5">
        <v>2275.1907343161338</v>
      </c>
      <c r="AH454" s="7">
        <f t="shared" si="56"/>
        <v>473.99806964919469</v>
      </c>
      <c r="AI454" s="8">
        <f t="shared" si="57"/>
        <v>2275.1907343161338</v>
      </c>
      <c r="AJ454" s="6">
        <v>0</v>
      </c>
      <c r="AK454" s="5">
        <v>0</v>
      </c>
      <c r="AL454" s="6">
        <v>0</v>
      </c>
      <c r="AM454" s="5">
        <v>0</v>
      </c>
      <c r="AN454" s="6">
        <v>0</v>
      </c>
      <c r="AO454" s="5">
        <v>0</v>
      </c>
      <c r="AP454" s="6">
        <v>0</v>
      </c>
      <c r="AQ454" s="5">
        <v>0</v>
      </c>
      <c r="AR454" s="6">
        <v>0</v>
      </c>
      <c r="AS454" s="5">
        <v>0</v>
      </c>
      <c r="AT454" s="6">
        <v>0</v>
      </c>
      <c r="AU454" s="5">
        <v>0</v>
      </c>
      <c r="AV454" s="6">
        <v>0</v>
      </c>
      <c r="AW454" s="5">
        <v>0</v>
      </c>
      <c r="AX454" s="6">
        <v>0</v>
      </c>
      <c r="AY454" s="5">
        <v>0</v>
      </c>
      <c r="AZ454" s="6">
        <v>0</v>
      </c>
      <c r="BA454" s="5">
        <v>0</v>
      </c>
      <c r="BB454" s="6">
        <v>0</v>
      </c>
      <c r="BC454" s="5">
        <v>0</v>
      </c>
      <c r="BD454" s="6">
        <v>0</v>
      </c>
      <c r="BE454" s="5">
        <v>0</v>
      </c>
      <c r="BF454" s="6">
        <v>520</v>
      </c>
      <c r="BG454" s="5">
        <v>2601.7743395354451</v>
      </c>
      <c r="BH454" s="9">
        <f t="shared" si="58"/>
        <v>520</v>
      </c>
      <c r="BI454" s="10">
        <f t="shared" si="59"/>
        <v>2601.7743395354451</v>
      </c>
      <c r="BJ454" s="6">
        <f t="shared" si="60"/>
        <v>46.00193035080531</v>
      </c>
      <c r="BK454" s="11">
        <f t="shared" si="61"/>
        <v>9.7050881208970485E-2</v>
      </c>
      <c r="BL454" s="5">
        <f t="shared" si="62"/>
        <v>326.58360521931127</v>
      </c>
      <c r="BM454" s="11">
        <f t="shared" si="63"/>
        <v>0.14354119867558016</v>
      </c>
    </row>
    <row r="455" spans="1:65" ht="15" customHeight="1" x14ac:dyDescent="0.4">
      <c r="A455" s="2" t="s">
        <v>269</v>
      </c>
      <c r="B455" s="2" t="s">
        <v>388</v>
      </c>
      <c r="C455" s="2" t="s">
        <v>389</v>
      </c>
      <c r="D455" s="3" t="s">
        <v>68</v>
      </c>
      <c r="E455" s="3" t="s">
        <v>399</v>
      </c>
      <c r="F455" s="2" t="s">
        <v>400</v>
      </c>
      <c r="G455" s="4">
        <v>20</v>
      </c>
      <c r="H455" s="5">
        <v>2.76</v>
      </c>
      <c r="I455" s="5">
        <v>2.8769620100632332</v>
      </c>
      <c r="J455" s="6">
        <v>5935.4140451592793</v>
      </c>
      <c r="K455" s="5">
        <v>16381.74276463961</v>
      </c>
      <c r="L455" s="6">
        <v>0</v>
      </c>
      <c r="M455" s="5">
        <v>0</v>
      </c>
      <c r="N455" s="6">
        <v>2967.7070225796401</v>
      </c>
      <c r="O455" s="5">
        <v>8190.8713823198059</v>
      </c>
      <c r="P455" s="6">
        <v>0</v>
      </c>
      <c r="Q455" s="5">
        <v>0</v>
      </c>
      <c r="R455" s="6">
        <v>6924.6497193524929</v>
      </c>
      <c r="S455" s="5">
        <v>19112.033225412881</v>
      </c>
      <c r="T455" s="6">
        <v>0</v>
      </c>
      <c r="U455" s="5">
        <v>0</v>
      </c>
      <c r="V455" s="6">
        <v>0</v>
      </c>
      <c r="W455" s="5">
        <v>0</v>
      </c>
      <c r="X455" s="6">
        <v>0</v>
      </c>
      <c r="Y455" s="5">
        <v>0</v>
      </c>
      <c r="Z455" s="6">
        <v>0</v>
      </c>
      <c r="AA455" s="5">
        <v>0</v>
      </c>
      <c r="AB455" s="6">
        <v>0</v>
      </c>
      <c r="AC455" s="5">
        <v>0</v>
      </c>
      <c r="AD455" s="6">
        <v>0</v>
      </c>
      <c r="AE455" s="5">
        <v>0</v>
      </c>
      <c r="AF455" s="6">
        <v>0</v>
      </c>
      <c r="AG455" s="5">
        <v>0</v>
      </c>
      <c r="AH455" s="7">
        <f t="shared" si="56"/>
        <v>15827.770787091413</v>
      </c>
      <c r="AI455" s="8">
        <f t="shared" si="57"/>
        <v>43684.647372372296</v>
      </c>
      <c r="AJ455" s="6">
        <v>6540</v>
      </c>
      <c r="AK455" s="5">
        <v>18815.33154581354</v>
      </c>
      <c r="AL455" s="6">
        <v>0</v>
      </c>
      <c r="AM455" s="5">
        <v>0</v>
      </c>
      <c r="AN455" s="6">
        <v>3280</v>
      </c>
      <c r="AO455" s="5">
        <v>9436.4353930074012</v>
      </c>
      <c r="AP455" s="6">
        <v>0</v>
      </c>
      <c r="AQ455" s="5">
        <v>0</v>
      </c>
      <c r="AR455" s="6">
        <v>7640</v>
      </c>
      <c r="AS455" s="5">
        <v>21979.9897568831</v>
      </c>
      <c r="AT455" s="6">
        <v>0</v>
      </c>
      <c r="AU455" s="5">
        <v>0</v>
      </c>
      <c r="AV455" s="6">
        <v>0</v>
      </c>
      <c r="AW455" s="5">
        <v>0</v>
      </c>
      <c r="AX455" s="6">
        <v>0</v>
      </c>
      <c r="AY455" s="5">
        <v>0</v>
      </c>
      <c r="AZ455" s="6">
        <v>0</v>
      </c>
      <c r="BA455" s="5">
        <v>0</v>
      </c>
      <c r="BB455" s="6">
        <v>0</v>
      </c>
      <c r="BC455" s="5">
        <v>0</v>
      </c>
      <c r="BD455" s="6">
        <v>0</v>
      </c>
      <c r="BE455" s="5">
        <v>0</v>
      </c>
      <c r="BF455" s="6">
        <v>0</v>
      </c>
      <c r="BG455" s="5">
        <v>0</v>
      </c>
      <c r="BH455" s="9">
        <f t="shared" si="58"/>
        <v>17460</v>
      </c>
      <c r="BI455" s="10">
        <f t="shared" si="59"/>
        <v>50231.75669570404</v>
      </c>
      <c r="BJ455" s="6">
        <f t="shared" si="60"/>
        <v>1632.2292129085872</v>
      </c>
      <c r="BK455" s="11">
        <f t="shared" si="61"/>
        <v>0.10312439034306571</v>
      </c>
      <c r="BL455" s="5">
        <f t="shared" si="62"/>
        <v>6547.1093233317442</v>
      </c>
      <c r="BM455" s="11">
        <f t="shared" si="63"/>
        <v>0.14987208818520453</v>
      </c>
    </row>
    <row r="456" spans="1:65" ht="15" customHeight="1" x14ac:dyDescent="0.4">
      <c r="A456" s="2" t="s">
        <v>269</v>
      </c>
      <c r="B456" s="2" t="s">
        <v>388</v>
      </c>
      <c r="C456" s="2" t="s">
        <v>389</v>
      </c>
      <c r="D456" s="3" t="s">
        <v>68</v>
      </c>
      <c r="E456" s="3" t="s">
        <v>399</v>
      </c>
      <c r="F456" s="2" t="s">
        <v>83</v>
      </c>
      <c r="G456" s="4">
        <v>20</v>
      </c>
      <c r="H456" s="5">
        <v>2.76</v>
      </c>
      <c r="I456" s="5">
        <v>2.8769620100632318</v>
      </c>
      <c r="J456" s="6">
        <v>0</v>
      </c>
      <c r="K456" s="5">
        <v>0</v>
      </c>
      <c r="L456" s="6">
        <v>0</v>
      </c>
      <c r="M456" s="5">
        <v>0</v>
      </c>
      <c r="N456" s="6">
        <v>0</v>
      </c>
      <c r="O456" s="5">
        <v>0</v>
      </c>
      <c r="P456" s="6">
        <v>0</v>
      </c>
      <c r="Q456" s="5">
        <v>0</v>
      </c>
      <c r="R456" s="6">
        <v>0</v>
      </c>
      <c r="S456" s="5">
        <v>0</v>
      </c>
      <c r="T456" s="6">
        <v>0</v>
      </c>
      <c r="U456" s="5">
        <v>0</v>
      </c>
      <c r="V456" s="6">
        <v>0</v>
      </c>
      <c r="W456" s="5">
        <v>0</v>
      </c>
      <c r="X456" s="6">
        <v>0</v>
      </c>
      <c r="Y456" s="5">
        <v>0</v>
      </c>
      <c r="Z456" s="6">
        <v>0</v>
      </c>
      <c r="AA456" s="5">
        <v>0</v>
      </c>
      <c r="AB456" s="6">
        <v>4739.9806964919462</v>
      </c>
      <c r="AC456" s="5">
        <v>13082.34672231777</v>
      </c>
      <c r="AD456" s="6">
        <v>0</v>
      </c>
      <c r="AE456" s="5">
        <v>0</v>
      </c>
      <c r="AF456" s="6">
        <v>4739.9806964919462</v>
      </c>
      <c r="AG456" s="5">
        <v>13082.34672231777</v>
      </c>
      <c r="AH456" s="7">
        <f t="shared" si="56"/>
        <v>9479.9613929838924</v>
      </c>
      <c r="AI456" s="8">
        <f t="shared" si="57"/>
        <v>26164.693444635541</v>
      </c>
      <c r="AJ456" s="6">
        <v>0</v>
      </c>
      <c r="AK456" s="5">
        <v>0</v>
      </c>
      <c r="AL456" s="6">
        <v>0</v>
      </c>
      <c r="AM456" s="5">
        <v>0</v>
      </c>
      <c r="AN456" s="6">
        <v>0</v>
      </c>
      <c r="AO456" s="5">
        <v>0</v>
      </c>
      <c r="AP456" s="6">
        <v>0</v>
      </c>
      <c r="AQ456" s="5">
        <v>0</v>
      </c>
      <c r="AR456" s="6">
        <v>0</v>
      </c>
      <c r="AS456" s="5">
        <v>0</v>
      </c>
      <c r="AT456" s="6">
        <v>0</v>
      </c>
      <c r="AU456" s="5">
        <v>0</v>
      </c>
      <c r="AV456" s="6">
        <v>0</v>
      </c>
      <c r="AW456" s="5">
        <v>0</v>
      </c>
      <c r="AX456" s="6">
        <v>0</v>
      </c>
      <c r="AY456" s="5">
        <v>0</v>
      </c>
      <c r="AZ456" s="6">
        <v>0</v>
      </c>
      <c r="BA456" s="5">
        <v>0</v>
      </c>
      <c r="BB456" s="6">
        <v>5220</v>
      </c>
      <c r="BC456" s="5">
        <v>15017.741692530069</v>
      </c>
      <c r="BD456" s="6">
        <v>0</v>
      </c>
      <c r="BE456" s="5">
        <v>0</v>
      </c>
      <c r="BF456" s="6">
        <v>5220</v>
      </c>
      <c r="BG456" s="5">
        <v>15017.741692530069</v>
      </c>
      <c r="BH456" s="9">
        <f t="shared" si="58"/>
        <v>10440</v>
      </c>
      <c r="BI456" s="10">
        <f t="shared" si="59"/>
        <v>30035.483385060139</v>
      </c>
      <c r="BJ456" s="6">
        <f t="shared" si="60"/>
        <v>960.03860701610756</v>
      </c>
      <c r="BK456" s="11">
        <f t="shared" si="61"/>
        <v>0.10127030767515899</v>
      </c>
      <c r="BL456" s="5">
        <f t="shared" si="62"/>
        <v>3870.7899404245982</v>
      </c>
      <c r="BM456" s="11">
        <f t="shared" si="63"/>
        <v>0.14793943405510121</v>
      </c>
    </row>
    <row r="457" spans="1:65" ht="15" customHeight="1" x14ac:dyDescent="0.4">
      <c r="A457" s="2" t="s">
        <v>269</v>
      </c>
      <c r="B457" s="2" t="s">
        <v>388</v>
      </c>
      <c r="C457" s="2" t="s">
        <v>389</v>
      </c>
      <c r="D457" s="3" t="s">
        <v>68</v>
      </c>
      <c r="E457" s="3" t="s">
        <v>401</v>
      </c>
      <c r="F457" s="2" t="s">
        <v>400</v>
      </c>
      <c r="G457" s="4">
        <v>200</v>
      </c>
      <c r="H457" s="5">
        <v>2.68</v>
      </c>
      <c r="I457" s="5">
        <v>2.7935718068729938</v>
      </c>
      <c r="J457" s="6">
        <v>4748.3312361274238</v>
      </c>
      <c r="K457" s="5">
        <v>12725.527712821489</v>
      </c>
      <c r="L457" s="6">
        <v>0</v>
      </c>
      <c r="M457" s="5">
        <v>0</v>
      </c>
      <c r="N457" s="6">
        <v>0</v>
      </c>
      <c r="O457" s="5">
        <v>0</v>
      </c>
      <c r="P457" s="6">
        <v>0</v>
      </c>
      <c r="Q457" s="5">
        <v>0</v>
      </c>
      <c r="R457" s="6">
        <v>3956.9426967728532</v>
      </c>
      <c r="S457" s="5">
        <v>10604.606427351249</v>
      </c>
      <c r="T457" s="6">
        <v>7913.8853935457046</v>
      </c>
      <c r="U457" s="5">
        <v>21209.212854702491</v>
      </c>
      <c r="V457" s="6">
        <v>3956.9426967728532</v>
      </c>
      <c r="W457" s="5">
        <v>10604.606427351249</v>
      </c>
      <c r="X457" s="6">
        <v>0</v>
      </c>
      <c r="Y457" s="5">
        <v>0</v>
      </c>
      <c r="Z457" s="6">
        <v>0</v>
      </c>
      <c r="AA457" s="5">
        <v>0</v>
      </c>
      <c r="AB457" s="6">
        <v>0</v>
      </c>
      <c r="AC457" s="5">
        <v>0</v>
      </c>
      <c r="AD457" s="6">
        <v>0</v>
      </c>
      <c r="AE457" s="5">
        <v>0</v>
      </c>
      <c r="AF457" s="6">
        <v>0</v>
      </c>
      <c r="AG457" s="5">
        <v>0</v>
      </c>
      <c r="AH457" s="7">
        <f t="shared" si="56"/>
        <v>20576.102023218835</v>
      </c>
      <c r="AI457" s="8">
        <f t="shared" si="57"/>
        <v>55143.953422226477</v>
      </c>
      <c r="AJ457" s="6">
        <v>5200</v>
      </c>
      <c r="AK457" s="5">
        <v>14526.573395739561</v>
      </c>
      <c r="AL457" s="6">
        <v>0</v>
      </c>
      <c r="AM457" s="5">
        <v>0</v>
      </c>
      <c r="AN457" s="6">
        <v>0</v>
      </c>
      <c r="AO457" s="5">
        <v>0</v>
      </c>
      <c r="AP457" s="6">
        <v>0</v>
      </c>
      <c r="AQ457" s="5">
        <v>0</v>
      </c>
      <c r="AR457" s="6">
        <v>4400</v>
      </c>
      <c r="AS457" s="5">
        <v>12291.715950241171</v>
      </c>
      <c r="AT457" s="6">
        <v>8800</v>
      </c>
      <c r="AU457" s="5">
        <v>24583.431900482341</v>
      </c>
      <c r="AV457" s="6">
        <v>4400</v>
      </c>
      <c r="AW457" s="5">
        <v>12291.715950241171</v>
      </c>
      <c r="AX457" s="6">
        <v>0</v>
      </c>
      <c r="AY457" s="5">
        <v>0</v>
      </c>
      <c r="AZ457" s="6">
        <v>0</v>
      </c>
      <c r="BA457" s="5">
        <v>0</v>
      </c>
      <c r="BB457" s="6">
        <v>0</v>
      </c>
      <c r="BC457" s="5">
        <v>0</v>
      </c>
      <c r="BD457" s="6">
        <v>0</v>
      </c>
      <c r="BE457" s="5">
        <v>0</v>
      </c>
      <c r="BF457" s="6">
        <v>0</v>
      </c>
      <c r="BG457" s="5">
        <v>0</v>
      </c>
      <c r="BH457" s="9">
        <f t="shared" si="58"/>
        <v>22800</v>
      </c>
      <c r="BI457" s="10">
        <f t="shared" si="59"/>
        <v>63693.437196704239</v>
      </c>
      <c r="BJ457" s="6">
        <f t="shared" si="60"/>
        <v>2223.8979767811652</v>
      </c>
      <c r="BK457" s="11">
        <f t="shared" si="61"/>
        <v>0.10808159748973038</v>
      </c>
      <c r="BL457" s="5">
        <f t="shared" si="62"/>
        <v>8549.4837744777615</v>
      </c>
      <c r="BM457" s="11">
        <f t="shared" si="63"/>
        <v>0.15503936957540992</v>
      </c>
    </row>
    <row r="458" spans="1:65" ht="15" customHeight="1" x14ac:dyDescent="0.4">
      <c r="A458" s="2" t="s">
        <v>269</v>
      </c>
      <c r="B458" s="2" t="s">
        <v>388</v>
      </c>
      <c r="C458" s="2" t="s">
        <v>389</v>
      </c>
      <c r="D458" s="3" t="s">
        <v>68</v>
      </c>
      <c r="E458" s="3" t="s">
        <v>401</v>
      </c>
      <c r="F458" s="2" t="s">
        <v>222</v>
      </c>
      <c r="G458" s="4">
        <v>200</v>
      </c>
      <c r="H458" s="5">
        <v>2.68</v>
      </c>
      <c r="I458" s="5">
        <v>2.7935718068729938</v>
      </c>
      <c r="J458" s="6">
        <v>0</v>
      </c>
      <c r="K458" s="5">
        <v>0</v>
      </c>
      <c r="L458" s="6">
        <v>0</v>
      </c>
      <c r="M458" s="5">
        <v>0</v>
      </c>
      <c r="N458" s="6">
        <v>0</v>
      </c>
      <c r="O458" s="5">
        <v>0</v>
      </c>
      <c r="P458" s="6">
        <v>0</v>
      </c>
      <c r="Q458" s="5">
        <v>0</v>
      </c>
      <c r="R458" s="6">
        <v>0</v>
      </c>
      <c r="S458" s="5">
        <v>0</v>
      </c>
      <c r="T458" s="6">
        <v>0</v>
      </c>
      <c r="U458" s="5">
        <v>0</v>
      </c>
      <c r="V458" s="6">
        <v>0</v>
      </c>
      <c r="W458" s="5">
        <v>0</v>
      </c>
      <c r="X458" s="6">
        <v>0</v>
      </c>
      <c r="Y458" s="5">
        <v>0</v>
      </c>
      <c r="Z458" s="6">
        <v>0</v>
      </c>
      <c r="AA458" s="5">
        <v>0</v>
      </c>
      <c r="AB458" s="6">
        <v>3791.984557193558</v>
      </c>
      <c r="AC458" s="5">
        <v>10162.518613278729</v>
      </c>
      <c r="AD458" s="6">
        <v>0</v>
      </c>
      <c r="AE458" s="5">
        <v>0</v>
      </c>
      <c r="AF458" s="6">
        <v>3791.984557193558</v>
      </c>
      <c r="AG458" s="5">
        <v>10162.518613278729</v>
      </c>
      <c r="AH458" s="7">
        <f t="shared" si="56"/>
        <v>7583.969114387116</v>
      </c>
      <c r="AI458" s="8">
        <f t="shared" si="57"/>
        <v>20325.037226557459</v>
      </c>
      <c r="AJ458" s="6">
        <v>0</v>
      </c>
      <c r="AK458" s="5">
        <v>0</v>
      </c>
      <c r="AL458" s="6">
        <v>0</v>
      </c>
      <c r="AM458" s="5">
        <v>0</v>
      </c>
      <c r="AN458" s="6">
        <v>0</v>
      </c>
      <c r="AO458" s="5">
        <v>0</v>
      </c>
      <c r="AP458" s="6">
        <v>0</v>
      </c>
      <c r="AQ458" s="5">
        <v>0</v>
      </c>
      <c r="AR458" s="6">
        <v>0</v>
      </c>
      <c r="AS458" s="5">
        <v>0</v>
      </c>
      <c r="AT458" s="6">
        <v>0</v>
      </c>
      <c r="AU458" s="5">
        <v>0</v>
      </c>
      <c r="AV458" s="6">
        <v>0</v>
      </c>
      <c r="AW458" s="5">
        <v>0</v>
      </c>
      <c r="AX458" s="6">
        <v>0</v>
      </c>
      <c r="AY458" s="5">
        <v>0</v>
      </c>
      <c r="AZ458" s="6">
        <v>0</v>
      </c>
      <c r="BA458" s="5">
        <v>0</v>
      </c>
      <c r="BB458" s="6">
        <v>4200</v>
      </c>
      <c r="BC458" s="5">
        <v>11733.001588866569</v>
      </c>
      <c r="BD458" s="6">
        <v>0</v>
      </c>
      <c r="BE458" s="5">
        <v>0</v>
      </c>
      <c r="BF458" s="6">
        <v>4200</v>
      </c>
      <c r="BG458" s="5">
        <v>11733.001588866569</v>
      </c>
      <c r="BH458" s="9">
        <f t="shared" si="58"/>
        <v>8400</v>
      </c>
      <c r="BI458" s="10">
        <f t="shared" si="59"/>
        <v>23466.003177733139</v>
      </c>
      <c r="BJ458" s="6">
        <f t="shared" si="60"/>
        <v>816.03088561288405</v>
      </c>
      <c r="BK458" s="11">
        <f t="shared" si="61"/>
        <v>0.10759944737444121</v>
      </c>
      <c r="BL458" s="5">
        <f t="shared" si="62"/>
        <v>3140.9659511756799</v>
      </c>
      <c r="BM458" s="11">
        <f t="shared" si="63"/>
        <v>0.15453678712438348</v>
      </c>
    </row>
    <row r="459" spans="1:65" ht="15" customHeight="1" x14ac:dyDescent="0.4">
      <c r="A459" s="2" t="s">
        <v>269</v>
      </c>
      <c r="B459" s="2" t="s">
        <v>388</v>
      </c>
      <c r="C459" s="2" t="s">
        <v>389</v>
      </c>
      <c r="D459" s="3" t="s">
        <v>68</v>
      </c>
      <c r="E459" s="3" t="s">
        <v>402</v>
      </c>
      <c r="F459" s="2" t="s">
        <v>308</v>
      </c>
      <c r="G459" s="4">
        <v>5</v>
      </c>
      <c r="H459" s="5">
        <v>1.67</v>
      </c>
      <c r="I459" s="5">
        <v>1.740770491596231</v>
      </c>
      <c r="J459" s="6">
        <v>0</v>
      </c>
      <c r="K459" s="5">
        <v>0</v>
      </c>
      <c r="L459" s="6">
        <v>9892.3567419321316</v>
      </c>
      <c r="M459" s="5">
        <v>16520.235759026658</v>
      </c>
      <c r="N459" s="6">
        <v>0</v>
      </c>
      <c r="O459" s="5">
        <v>0</v>
      </c>
      <c r="P459" s="6">
        <v>0</v>
      </c>
      <c r="Q459" s="5">
        <v>0</v>
      </c>
      <c r="R459" s="6">
        <v>0</v>
      </c>
      <c r="S459" s="5">
        <v>0</v>
      </c>
      <c r="T459" s="6">
        <v>0</v>
      </c>
      <c r="U459" s="5">
        <v>0</v>
      </c>
      <c r="V459" s="6">
        <v>0</v>
      </c>
      <c r="W459" s="5">
        <v>0</v>
      </c>
      <c r="X459" s="6">
        <v>0</v>
      </c>
      <c r="Y459" s="5">
        <v>0</v>
      </c>
      <c r="Z459" s="6">
        <v>0</v>
      </c>
      <c r="AA459" s="5">
        <v>0</v>
      </c>
      <c r="AB459" s="6">
        <v>0</v>
      </c>
      <c r="AC459" s="5">
        <v>0</v>
      </c>
      <c r="AD459" s="6">
        <v>0</v>
      </c>
      <c r="AE459" s="5">
        <v>0</v>
      </c>
      <c r="AF459" s="6">
        <v>0</v>
      </c>
      <c r="AG459" s="5">
        <v>0</v>
      </c>
      <c r="AH459" s="7">
        <f t="shared" si="56"/>
        <v>9892.3567419321316</v>
      </c>
      <c r="AI459" s="8">
        <f t="shared" si="57"/>
        <v>16520.235759026658</v>
      </c>
      <c r="AJ459" s="6">
        <v>0</v>
      </c>
      <c r="AK459" s="5">
        <v>0</v>
      </c>
      <c r="AL459" s="6">
        <v>10905</v>
      </c>
      <c r="AM459" s="5">
        <v>18983.102210856901</v>
      </c>
      <c r="AN459" s="6">
        <v>0</v>
      </c>
      <c r="AO459" s="5">
        <v>0</v>
      </c>
      <c r="AP459" s="6">
        <v>0</v>
      </c>
      <c r="AQ459" s="5">
        <v>0</v>
      </c>
      <c r="AR459" s="6">
        <v>0</v>
      </c>
      <c r="AS459" s="5">
        <v>0</v>
      </c>
      <c r="AT459" s="6">
        <v>0</v>
      </c>
      <c r="AU459" s="5">
        <v>0</v>
      </c>
      <c r="AV459" s="6">
        <v>0</v>
      </c>
      <c r="AW459" s="5">
        <v>0</v>
      </c>
      <c r="AX459" s="6">
        <v>0</v>
      </c>
      <c r="AY459" s="5">
        <v>0</v>
      </c>
      <c r="AZ459" s="6">
        <v>0</v>
      </c>
      <c r="BA459" s="5">
        <v>0</v>
      </c>
      <c r="BB459" s="6">
        <v>0</v>
      </c>
      <c r="BC459" s="5">
        <v>0</v>
      </c>
      <c r="BD459" s="6">
        <v>0</v>
      </c>
      <c r="BE459" s="5">
        <v>0</v>
      </c>
      <c r="BF459" s="6">
        <v>0</v>
      </c>
      <c r="BG459" s="5">
        <v>0</v>
      </c>
      <c r="BH459" s="9">
        <f t="shared" si="58"/>
        <v>10905</v>
      </c>
      <c r="BI459" s="10">
        <f t="shared" si="59"/>
        <v>18983.102210856901</v>
      </c>
      <c r="BJ459" s="6">
        <f t="shared" si="60"/>
        <v>1012.6432580678684</v>
      </c>
      <c r="BK459" s="11">
        <f t="shared" si="61"/>
        <v>0.10236622925004657</v>
      </c>
      <c r="BL459" s="5">
        <f t="shared" si="62"/>
        <v>2462.866451830243</v>
      </c>
      <c r="BM459" s="11">
        <f t="shared" si="63"/>
        <v>0.149081798090232</v>
      </c>
    </row>
    <row r="460" spans="1:65" ht="15" customHeight="1" x14ac:dyDescent="0.4">
      <c r="A460" s="2" t="s">
        <v>269</v>
      </c>
      <c r="B460" s="2" t="s">
        <v>388</v>
      </c>
      <c r="C460" s="2" t="s">
        <v>389</v>
      </c>
      <c r="D460" s="3" t="s">
        <v>68</v>
      </c>
      <c r="E460" s="3" t="s">
        <v>402</v>
      </c>
      <c r="F460" s="2" t="s">
        <v>115</v>
      </c>
      <c r="G460" s="4">
        <v>5</v>
      </c>
      <c r="H460" s="5">
        <v>1.67</v>
      </c>
      <c r="I460" s="5">
        <v>1.740770491596231</v>
      </c>
      <c r="J460" s="6">
        <v>0</v>
      </c>
      <c r="K460" s="5">
        <v>0</v>
      </c>
      <c r="L460" s="6">
        <v>0</v>
      </c>
      <c r="M460" s="5">
        <v>0</v>
      </c>
      <c r="N460" s="6">
        <v>0</v>
      </c>
      <c r="O460" s="5">
        <v>0</v>
      </c>
      <c r="P460" s="6">
        <v>0</v>
      </c>
      <c r="Q460" s="5">
        <v>0</v>
      </c>
      <c r="R460" s="6">
        <v>0</v>
      </c>
      <c r="S460" s="5">
        <v>0</v>
      </c>
      <c r="T460" s="6">
        <v>0</v>
      </c>
      <c r="U460" s="5">
        <v>0</v>
      </c>
      <c r="V460" s="6">
        <v>4946.1783709660658</v>
      </c>
      <c r="W460" s="5">
        <v>8260.117879513331</v>
      </c>
      <c r="X460" s="6">
        <v>0</v>
      </c>
      <c r="Y460" s="5">
        <v>0</v>
      </c>
      <c r="Z460" s="6">
        <v>0</v>
      </c>
      <c r="AA460" s="5">
        <v>0</v>
      </c>
      <c r="AB460" s="6">
        <v>2843.9884178951679</v>
      </c>
      <c r="AC460" s="5">
        <v>4749.4606578849307</v>
      </c>
      <c r="AD460" s="6">
        <v>0</v>
      </c>
      <c r="AE460" s="5">
        <v>0</v>
      </c>
      <c r="AF460" s="6">
        <v>0</v>
      </c>
      <c r="AG460" s="5">
        <v>0</v>
      </c>
      <c r="AH460" s="7">
        <f t="shared" si="56"/>
        <v>7790.1667888612337</v>
      </c>
      <c r="AI460" s="8">
        <f t="shared" si="57"/>
        <v>13009.578537398262</v>
      </c>
      <c r="AJ460" s="6">
        <v>0</v>
      </c>
      <c r="AK460" s="5">
        <v>0</v>
      </c>
      <c r="AL460" s="6">
        <v>0</v>
      </c>
      <c r="AM460" s="5">
        <v>0</v>
      </c>
      <c r="AN460" s="6">
        <v>0</v>
      </c>
      <c r="AO460" s="5">
        <v>0</v>
      </c>
      <c r="AP460" s="6">
        <v>0</v>
      </c>
      <c r="AQ460" s="5">
        <v>0</v>
      </c>
      <c r="AR460" s="6">
        <v>0</v>
      </c>
      <c r="AS460" s="5">
        <v>0</v>
      </c>
      <c r="AT460" s="6">
        <v>0</v>
      </c>
      <c r="AU460" s="5">
        <v>0</v>
      </c>
      <c r="AV460" s="6">
        <v>5455</v>
      </c>
      <c r="AW460" s="5">
        <v>9495.9030316574408</v>
      </c>
      <c r="AX460" s="6">
        <v>0</v>
      </c>
      <c r="AY460" s="5">
        <v>0</v>
      </c>
      <c r="AZ460" s="6">
        <v>0</v>
      </c>
      <c r="BA460" s="5">
        <v>0</v>
      </c>
      <c r="BB460" s="6">
        <v>3135</v>
      </c>
      <c r="BC460" s="5">
        <v>5457.3154911541842</v>
      </c>
      <c r="BD460" s="6">
        <v>0</v>
      </c>
      <c r="BE460" s="5">
        <v>0</v>
      </c>
      <c r="BF460" s="6">
        <v>0</v>
      </c>
      <c r="BG460" s="5">
        <v>0</v>
      </c>
      <c r="BH460" s="9">
        <f t="shared" si="58"/>
        <v>8590</v>
      </c>
      <c r="BI460" s="10">
        <f t="shared" si="59"/>
        <v>14953.218522811625</v>
      </c>
      <c r="BJ460" s="6">
        <f t="shared" si="60"/>
        <v>799.83321113876627</v>
      </c>
      <c r="BK460" s="11">
        <f t="shared" si="61"/>
        <v>0.10267215488664599</v>
      </c>
      <c r="BL460" s="5">
        <f t="shared" si="62"/>
        <v>1943.6399854133633</v>
      </c>
      <c r="BM460" s="11">
        <f t="shared" si="63"/>
        <v>0.14940068810269583</v>
      </c>
    </row>
    <row r="461" spans="1:65" ht="15" customHeight="1" x14ac:dyDescent="0.4">
      <c r="A461" s="2" t="s">
        <v>269</v>
      </c>
      <c r="B461" s="2" t="s">
        <v>388</v>
      </c>
      <c r="C461" s="2" t="s">
        <v>389</v>
      </c>
      <c r="D461" s="3" t="s">
        <v>68</v>
      </c>
      <c r="E461" s="3" t="s">
        <v>403</v>
      </c>
      <c r="F461" s="2" t="s">
        <v>308</v>
      </c>
      <c r="G461" s="4">
        <v>20</v>
      </c>
      <c r="H461" s="5">
        <v>1.5</v>
      </c>
      <c r="I461" s="5">
        <v>1.5635663098169741</v>
      </c>
      <c r="J461" s="6">
        <v>0</v>
      </c>
      <c r="K461" s="5">
        <v>0</v>
      </c>
      <c r="L461" s="6">
        <v>3956.9426967728532</v>
      </c>
      <c r="M461" s="5">
        <v>5935.4140451592793</v>
      </c>
      <c r="N461" s="6">
        <v>3956.9426967728532</v>
      </c>
      <c r="O461" s="5">
        <v>5935.4140451592793</v>
      </c>
      <c r="P461" s="6">
        <v>0</v>
      </c>
      <c r="Q461" s="5">
        <v>0</v>
      </c>
      <c r="R461" s="6">
        <v>0</v>
      </c>
      <c r="S461" s="5">
        <v>0</v>
      </c>
      <c r="T461" s="6">
        <v>0</v>
      </c>
      <c r="U461" s="5">
        <v>0</v>
      </c>
      <c r="V461" s="6">
        <v>0</v>
      </c>
      <c r="W461" s="5">
        <v>0</v>
      </c>
      <c r="X461" s="6">
        <v>0</v>
      </c>
      <c r="Y461" s="5">
        <v>0</v>
      </c>
      <c r="Z461" s="6">
        <v>0</v>
      </c>
      <c r="AA461" s="5">
        <v>0</v>
      </c>
      <c r="AB461" s="6">
        <v>0</v>
      </c>
      <c r="AC461" s="5">
        <v>0</v>
      </c>
      <c r="AD461" s="6">
        <v>0</v>
      </c>
      <c r="AE461" s="5">
        <v>0</v>
      </c>
      <c r="AF461" s="6">
        <v>0</v>
      </c>
      <c r="AG461" s="5">
        <v>0</v>
      </c>
      <c r="AH461" s="7">
        <f t="shared" si="56"/>
        <v>7913.8853935457064</v>
      </c>
      <c r="AI461" s="8">
        <f t="shared" si="57"/>
        <v>11870.828090318559</v>
      </c>
      <c r="AJ461" s="6">
        <v>0</v>
      </c>
      <c r="AK461" s="5">
        <v>0</v>
      </c>
      <c r="AL461" s="6">
        <v>4360</v>
      </c>
      <c r="AM461" s="5">
        <v>6817.1491108020064</v>
      </c>
      <c r="AN461" s="6">
        <v>4360</v>
      </c>
      <c r="AO461" s="5">
        <v>6817.1491108020064</v>
      </c>
      <c r="AP461" s="6">
        <v>0</v>
      </c>
      <c r="AQ461" s="5">
        <v>0</v>
      </c>
      <c r="AR461" s="6">
        <v>0</v>
      </c>
      <c r="AS461" s="5">
        <v>0</v>
      </c>
      <c r="AT461" s="6">
        <v>0</v>
      </c>
      <c r="AU461" s="5">
        <v>0</v>
      </c>
      <c r="AV461" s="6">
        <v>0</v>
      </c>
      <c r="AW461" s="5">
        <v>0</v>
      </c>
      <c r="AX461" s="6">
        <v>0</v>
      </c>
      <c r="AY461" s="5">
        <v>0</v>
      </c>
      <c r="AZ461" s="6">
        <v>0</v>
      </c>
      <c r="BA461" s="5">
        <v>0</v>
      </c>
      <c r="BB461" s="6">
        <v>0</v>
      </c>
      <c r="BC461" s="5">
        <v>0</v>
      </c>
      <c r="BD461" s="6">
        <v>0</v>
      </c>
      <c r="BE461" s="5">
        <v>0</v>
      </c>
      <c r="BF461" s="6">
        <v>0</v>
      </c>
      <c r="BG461" s="5">
        <v>0</v>
      </c>
      <c r="BH461" s="9">
        <f t="shared" si="58"/>
        <v>8720</v>
      </c>
      <c r="BI461" s="10">
        <f t="shared" si="59"/>
        <v>13634.298221604013</v>
      </c>
      <c r="BJ461" s="6">
        <f t="shared" si="60"/>
        <v>806.11460645429361</v>
      </c>
      <c r="BK461" s="11">
        <f t="shared" si="61"/>
        <v>0.10186078852136689</v>
      </c>
      <c r="BL461" s="5">
        <f t="shared" si="62"/>
        <v>1763.470131285454</v>
      </c>
      <c r="BM461" s="11">
        <f t="shared" si="63"/>
        <v>0.14855493802691658</v>
      </c>
    </row>
    <row r="462" spans="1:65" ht="15" customHeight="1" x14ac:dyDescent="0.4">
      <c r="A462" s="2" t="s">
        <v>269</v>
      </c>
      <c r="B462" s="2" t="s">
        <v>388</v>
      </c>
      <c r="C462" s="2" t="s">
        <v>389</v>
      </c>
      <c r="D462" s="3" t="s">
        <v>68</v>
      </c>
      <c r="E462" s="3" t="s">
        <v>403</v>
      </c>
      <c r="F462" s="2" t="s">
        <v>87</v>
      </c>
      <c r="G462" s="4">
        <v>20</v>
      </c>
      <c r="H462" s="5">
        <v>1.5</v>
      </c>
      <c r="I462" s="5">
        <v>1.5635663098169741</v>
      </c>
      <c r="J462" s="6">
        <v>0</v>
      </c>
      <c r="K462" s="5">
        <v>0</v>
      </c>
      <c r="L462" s="6">
        <v>0</v>
      </c>
      <c r="M462" s="5">
        <v>0</v>
      </c>
      <c r="N462" s="6">
        <v>0</v>
      </c>
      <c r="O462" s="5">
        <v>0</v>
      </c>
      <c r="P462" s="6">
        <v>0</v>
      </c>
      <c r="Q462" s="5">
        <v>0</v>
      </c>
      <c r="R462" s="6">
        <v>0</v>
      </c>
      <c r="S462" s="5">
        <v>0</v>
      </c>
      <c r="T462" s="6">
        <v>0</v>
      </c>
      <c r="U462" s="5">
        <v>0</v>
      </c>
      <c r="V462" s="6">
        <v>3956.9426967728532</v>
      </c>
      <c r="W462" s="5">
        <v>5935.4140451592793</v>
      </c>
      <c r="X462" s="6">
        <v>0</v>
      </c>
      <c r="Y462" s="5">
        <v>0</v>
      </c>
      <c r="Z462" s="6">
        <v>0</v>
      </c>
      <c r="AA462" s="5">
        <v>0</v>
      </c>
      <c r="AB462" s="6">
        <v>0</v>
      </c>
      <c r="AC462" s="5">
        <v>0</v>
      </c>
      <c r="AD462" s="6">
        <v>0</v>
      </c>
      <c r="AE462" s="5">
        <v>0</v>
      </c>
      <c r="AF462" s="6">
        <v>0</v>
      </c>
      <c r="AG462" s="5">
        <v>0</v>
      </c>
      <c r="AH462" s="7">
        <f t="shared" si="56"/>
        <v>3956.9426967728532</v>
      </c>
      <c r="AI462" s="8">
        <f t="shared" si="57"/>
        <v>5935.4140451592793</v>
      </c>
      <c r="AJ462" s="6">
        <v>0</v>
      </c>
      <c r="AK462" s="5">
        <v>0</v>
      </c>
      <c r="AL462" s="6">
        <v>0</v>
      </c>
      <c r="AM462" s="5">
        <v>0</v>
      </c>
      <c r="AN462" s="6">
        <v>0</v>
      </c>
      <c r="AO462" s="5">
        <v>0</v>
      </c>
      <c r="AP462" s="6">
        <v>0</v>
      </c>
      <c r="AQ462" s="5">
        <v>0</v>
      </c>
      <c r="AR462" s="6">
        <v>0</v>
      </c>
      <c r="AS462" s="5">
        <v>0</v>
      </c>
      <c r="AT462" s="6">
        <v>0</v>
      </c>
      <c r="AU462" s="5">
        <v>0</v>
      </c>
      <c r="AV462" s="6">
        <v>4360</v>
      </c>
      <c r="AW462" s="5">
        <v>6817.1491108020064</v>
      </c>
      <c r="AX462" s="6">
        <v>0</v>
      </c>
      <c r="AY462" s="5">
        <v>0</v>
      </c>
      <c r="AZ462" s="6">
        <v>0</v>
      </c>
      <c r="BA462" s="5">
        <v>0</v>
      </c>
      <c r="BB462" s="6">
        <v>0</v>
      </c>
      <c r="BC462" s="5">
        <v>0</v>
      </c>
      <c r="BD462" s="6">
        <v>0</v>
      </c>
      <c r="BE462" s="5">
        <v>0</v>
      </c>
      <c r="BF462" s="6">
        <v>0</v>
      </c>
      <c r="BG462" s="5">
        <v>0</v>
      </c>
      <c r="BH462" s="9">
        <f t="shared" si="58"/>
        <v>4360</v>
      </c>
      <c r="BI462" s="10">
        <f t="shared" si="59"/>
        <v>6817.1491108020064</v>
      </c>
      <c r="BJ462" s="6">
        <f t="shared" si="60"/>
        <v>403.0573032271468</v>
      </c>
      <c r="BK462" s="11">
        <f t="shared" si="61"/>
        <v>0.10186078852136689</v>
      </c>
      <c r="BL462" s="5">
        <f t="shared" si="62"/>
        <v>881.73506564272702</v>
      </c>
      <c r="BM462" s="11">
        <f t="shared" si="63"/>
        <v>0.14855493802691658</v>
      </c>
    </row>
    <row r="463" spans="1:65" ht="15" customHeight="1" x14ac:dyDescent="0.4">
      <c r="A463" s="2" t="s">
        <v>269</v>
      </c>
      <c r="B463" s="2" t="s">
        <v>388</v>
      </c>
      <c r="C463" s="2" t="s">
        <v>389</v>
      </c>
      <c r="D463" s="3" t="s">
        <v>68</v>
      </c>
      <c r="E463" s="3" t="s">
        <v>404</v>
      </c>
      <c r="F463" s="2" t="s">
        <v>291</v>
      </c>
      <c r="G463" s="4">
        <v>5</v>
      </c>
      <c r="H463" s="5">
        <v>4.5999999999999996</v>
      </c>
      <c r="I463" s="5">
        <v>4.7949366834387197</v>
      </c>
      <c r="J463" s="6">
        <v>0</v>
      </c>
      <c r="K463" s="5">
        <v>0</v>
      </c>
      <c r="L463" s="6">
        <v>0</v>
      </c>
      <c r="M463" s="5">
        <v>0</v>
      </c>
      <c r="N463" s="6">
        <v>0</v>
      </c>
      <c r="O463" s="5">
        <v>0</v>
      </c>
      <c r="P463" s="6">
        <v>0</v>
      </c>
      <c r="Q463" s="5">
        <v>0</v>
      </c>
      <c r="R463" s="6">
        <v>0</v>
      </c>
      <c r="S463" s="5">
        <v>0</v>
      </c>
      <c r="T463" s="6">
        <v>395.69426967728532</v>
      </c>
      <c r="U463" s="5">
        <v>1820.193640515512</v>
      </c>
      <c r="V463" s="6">
        <v>1582.7770787091411</v>
      </c>
      <c r="W463" s="5">
        <v>7280.774562062049</v>
      </c>
      <c r="X463" s="6">
        <v>0</v>
      </c>
      <c r="Y463" s="5">
        <v>0</v>
      </c>
      <c r="Z463" s="6">
        <v>0</v>
      </c>
      <c r="AA463" s="5">
        <v>0</v>
      </c>
      <c r="AB463" s="6">
        <v>0</v>
      </c>
      <c r="AC463" s="5">
        <v>0</v>
      </c>
      <c r="AD463" s="6">
        <v>0</v>
      </c>
      <c r="AE463" s="5">
        <v>0</v>
      </c>
      <c r="AF463" s="6">
        <v>0</v>
      </c>
      <c r="AG463" s="5">
        <v>0</v>
      </c>
      <c r="AH463" s="7">
        <f t="shared" si="56"/>
        <v>1978.4713483864264</v>
      </c>
      <c r="AI463" s="8">
        <f t="shared" si="57"/>
        <v>9100.9682025775619</v>
      </c>
      <c r="AJ463" s="6">
        <v>0</v>
      </c>
      <c r="AK463" s="5">
        <v>0</v>
      </c>
      <c r="AL463" s="6">
        <v>0</v>
      </c>
      <c r="AM463" s="5">
        <v>0</v>
      </c>
      <c r="AN463" s="6">
        <v>0</v>
      </c>
      <c r="AO463" s="5">
        <v>0</v>
      </c>
      <c r="AP463" s="6">
        <v>0</v>
      </c>
      <c r="AQ463" s="5">
        <v>0</v>
      </c>
      <c r="AR463" s="6">
        <v>0</v>
      </c>
      <c r="AS463" s="5">
        <v>0</v>
      </c>
      <c r="AT463" s="6">
        <v>435</v>
      </c>
      <c r="AU463" s="5">
        <v>2085.7974572958428</v>
      </c>
      <c r="AV463" s="6">
        <v>1745</v>
      </c>
      <c r="AW463" s="5">
        <v>8367.164512600566</v>
      </c>
      <c r="AX463" s="6">
        <v>0</v>
      </c>
      <c r="AY463" s="5">
        <v>0</v>
      </c>
      <c r="AZ463" s="6">
        <v>0</v>
      </c>
      <c r="BA463" s="5">
        <v>0</v>
      </c>
      <c r="BB463" s="6">
        <v>0</v>
      </c>
      <c r="BC463" s="5">
        <v>0</v>
      </c>
      <c r="BD463" s="6">
        <v>0</v>
      </c>
      <c r="BE463" s="5">
        <v>0</v>
      </c>
      <c r="BF463" s="6">
        <v>0</v>
      </c>
      <c r="BG463" s="5">
        <v>0</v>
      </c>
      <c r="BH463" s="9">
        <f t="shared" si="58"/>
        <v>2180</v>
      </c>
      <c r="BI463" s="10">
        <f t="shared" si="59"/>
        <v>10452.961969896409</v>
      </c>
      <c r="BJ463" s="6">
        <f t="shared" si="60"/>
        <v>201.52865161357363</v>
      </c>
      <c r="BK463" s="11">
        <f t="shared" si="61"/>
        <v>0.10186078852136703</v>
      </c>
      <c r="BL463" s="5">
        <f t="shared" si="62"/>
        <v>1351.9937673188469</v>
      </c>
      <c r="BM463" s="11">
        <f t="shared" si="63"/>
        <v>0.14855493802691647</v>
      </c>
    </row>
    <row r="464" spans="1:65" ht="15" customHeight="1" x14ac:dyDescent="0.4">
      <c r="A464" s="2" t="s">
        <v>269</v>
      </c>
      <c r="B464" s="2" t="s">
        <v>388</v>
      </c>
      <c r="C464" s="2" t="s">
        <v>389</v>
      </c>
      <c r="D464" s="3" t="s">
        <v>68</v>
      </c>
      <c r="E464" s="3" t="s">
        <v>405</v>
      </c>
      <c r="F464" s="2" t="s">
        <v>291</v>
      </c>
      <c r="G464" s="4">
        <v>20</v>
      </c>
      <c r="H464" s="5">
        <v>4.3099999999999996</v>
      </c>
      <c r="I464" s="5">
        <v>4.4926471968741053</v>
      </c>
      <c r="J464" s="6">
        <v>0</v>
      </c>
      <c r="K464" s="5">
        <v>0</v>
      </c>
      <c r="L464" s="6">
        <v>0</v>
      </c>
      <c r="M464" s="5">
        <v>0</v>
      </c>
      <c r="N464" s="6">
        <v>0</v>
      </c>
      <c r="O464" s="5">
        <v>0</v>
      </c>
      <c r="P464" s="6">
        <v>0</v>
      </c>
      <c r="Q464" s="5">
        <v>0</v>
      </c>
      <c r="R464" s="6">
        <v>0</v>
      </c>
      <c r="S464" s="5">
        <v>0</v>
      </c>
      <c r="T464" s="6">
        <v>4946.1783709660658</v>
      </c>
      <c r="U464" s="5">
        <v>21318.02877886374</v>
      </c>
      <c r="V464" s="6">
        <v>0</v>
      </c>
      <c r="W464" s="5">
        <v>0</v>
      </c>
      <c r="X464" s="6">
        <v>0</v>
      </c>
      <c r="Y464" s="5">
        <v>0</v>
      </c>
      <c r="Z464" s="6">
        <v>0</v>
      </c>
      <c r="AA464" s="5">
        <v>0</v>
      </c>
      <c r="AB464" s="6">
        <v>0</v>
      </c>
      <c r="AC464" s="5">
        <v>0</v>
      </c>
      <c r="AD464" s="6">
        <v>0</v>
      </c>
      <c r="AE464" s="5">
        <v>0</v>
      </c>
      <c r="AF464" s="6">
        <v>0</v>
      </c>
      <c r="AG464" s="5">
        <v>0</v>
      </c>
      <c r="AH464" s="7">
        <f t="shared" si="56"/>
        <v>4946.1783709660658</v>
      </c>
      <c r="AI464" s="8">
        <f t="shared" si="57"/>
        <v>21318.02877886374</v>
      </c>
      <c r="AJ464" s="6">
        <v>0</v>
      </c>
      <c r="AK464" s="5">
        <v>0</v>
      </c>
      <c r="AL464" s="6">
        <v>0</v>
      </c>
      <c r="AM464" s="5">
        <v>0</v>
      </c>
      <c r="AN464" s="6">
        <v>0</v>
      </c>
      <c r="AO464" s="5">
        <v>0</v>
      </c>
      <c r="AP464" s="6">
        <v>0</v>
      </c>
      <c r="AQ464" s="5">
        <v>0</v>
      </c>
      <c r="AR464" s="6">
        <v>0</v>
      </c>
      <c r="AS464" s="5">
        <v>0</v>
      </c>
      <c r="AT464" s="6">
        <v>5460</v>
      </c>
      <c r="AU464" s="5">
        <v>24529.853694932619</v>
      </c>
      <c r="AV464" s="6">
        <v>0</v>
      </c>
      <c r="AW464" s="5">
        <v>0</v>
      </c>
      <c r="AX464" s="6">
        <v>0</v>
      </c>
      <c r="AY464" s="5">
        <v>0</v>
      </c>
      <c r="AZ464" s="6">
        <v>0</v>
      </c>
      <c r="BA464" s="5">
        <v>0</v>
      </c>
      <c r="BB464" s="6">
        <v>0</v>
      </c>
      <c r="BC464" s="5">
        <v>0</v>
      </c>
      <c r="BD464" s="6">
        <v>0</v>
      </c>
      <c r="BE464" s="5">
        <v>0</v>
      </c>
      <c r="BF464" s="6">
        <v>0</v>
      </c>
      <c r="BG464" s="5">
        <v>0</v>
      </c>
      <c r="BH464" s="9">
        <f t="shared" si="58"/>
        <v>5460</v>
      </c>
      <c r="BI464" s="10">
        <f t="shared" si="59"/>
        <v>24529.853694932619</v>
      </c>
      <c r="BJ464" s="6">
        <f t="shared" si="60"/>
        <v>513.82162903393419</v>
      </c>
      <c r="BK464" s="11">
        <f t="shared" si="61"/>
        <v>0.10388255143608514</v>
      </c>
      <c r="BL464" s="5">
        <f t="shared" si="62"/>
        <v>3211.8249160688792</v>
      </c>
      <c r="BM464" s="11">
        <f t="shared" si="63"/>
        <v>0.15066237828017751</v>
      </c>
    </row>
    <row r="465" spans="1:65" ht="15" customHeight="1" x14ac:dyDescent="0.4">
      <c r="A465" s="2" t="s">
        <v>269</v>
      </c>
      <c r="B465" s="2" t="s">
        <v>388</v>
      </c>
      <c r="C465" s="2" t="s">
        <v>389</v>
      </c>
      <c r="D465" s="3" t="s">
        <v>68</v>
      </c>
      <c r="E465" s="3" t="s">
        <v>405</v>
      </c>
      <c r="F465" s="2" t="s">
        <v>137</v>
      </c>
      <c r="G465" s="4">
        <v>20</v>
      </c>
      <c r="H465" s="5">
        <v>4.3099999999999996</v>
      </c>
      <c r="I465" s="5">
        <v>4.4926471968741053</v>
      </c>
      <c r="J465" s="6">
        <v>0</v>
      </c>
      <c r="K465" s="5">
        <v>0</v>
      </c>
      <c r="L465" s="6">
        <v>0</v>
      </c>
      <c r="M465" s="5">
        <v>0</v>
      </c>
      <c r="N465" s="6">
        <v>0</v>
      </c>
      <c r="O465" s="5">
        <v>0</v>
      </c>
      <c r="P465" s="6">
        <v>0</v>
      </c>
      <c r="Q465" s="5">
        <v>0</v>
      </c>
      <c r="R465" s="6">
        <v>0</v>
      </c>
      <c r="S465" s="5">
        <v>0</v>
      </c>
      <c r="T465" s="6">
        <v>0</v>
      </c>
      <c r="U465" s="5">
        <v>0</v>
      </c>
      <c r="V465" s="6">
        <v>0</v>
      </c>
      <c r="W465" s="5">
        <v>0</v>
      </c>
      <c r="X465" s="6">
        <v>0</v>
      </c>
      <c r="Y465" s="5">
        <v>0</v>
      </c>
      <c r="Z465" s="6">
        <v>0</v>
      </c>
      <c r="AA465" s="5">
        <v>0</v>
      </c>
      <c r="AB465" s="6">
        <v>0</v>
      </c>
      <c r="AC465" s="5">
        <v>0</v>
      </c>
      <c r="AD465" s="6">
        <v>0</v>
      </c>
      <c r="AE465" s="5">
        <v>0</v>
      </c>
      <c r="AF465" s="6">
        <v>4739.9806964919462</v>
      </c>
      <c r="AG465" s="5">
        <v>20429.31680188029</v>
      </c>
      <c r="AH465" s="7">
        <f t="shared" si="56"/>
        <v>4739.9806964919462</v>
      </c>
      <c r="AI465" s="8">
        <f t="shared" si="57"/>
        <v>20429.31680188029</v>
      </c>
      <c r="AJ465" s="6">
        <v>0</v>
      </c>
      <c r="AK465" s="5">
        <v>0</v>
      </c>
      <c r="AL465" s="6">
        <v>0</v>
      </c>
      <c r="AM465" s="5">
        <v>0</v>
      </c>
      <c r="AN465" s="6">
        <v>0</v>
      </c>
      <c r="AO465" s="5">
        <v>0</v>
      </c>
      <c r="AP465" s="6">
        <v>0</v>
      </c>
      <c r="AQ465" s="5">
        <v>0</v>
      </c>
      <c r="AR465" s="6">
        <v>0</v>
      </c>
      <c r="AS465" s="5">
        <v>0</v>
      </c>
      <c r="AT465" s="6">
        <v>0</v>
      </c>
      <c r="AU465" s="5">
        <v>0</v>
      </c>
      <c r="AV465" s="6">
        <v>0</v>
      </c>
      <c r="AW465" s="5">
        <v>0</v>
      </c>
      <c r="AX465" s="6">
        <v>0</v>
      </c>
      <c r="AY465" s="5">
        <v>0</v>
      </c>
      <c r="AZ465" s="6">
        <v>0</v>
      </c>
      <c r="BA465" s="5">
        <v>0</v>
      </c>
      <c r="BB465" s="6">
        <v>0</v>
      </c>
      <c r="BC465" s="5">
        <v>0</v>
      </c>
      <c r="BD465" s="6">
        <v>0</v>
      </c>
      <c r="BE465" s="5">
        <v>0</v>
      </c>
      <c r="BF465" s="6">
        <v>5220</v>
      </c>
      <c r="BG465" s="5">
        <v>23451.61836768283</v>
      </c>
      <c r="BH465" s="9">
        <f t="shared" si="58"/>
        <v>5220</v>
      </c>
      <c r="BI465" s="10">
        <f t="shared" si="59"/>
        <v>23451.61836768283</v>
      </c>
      <c r="BJ465" s="6">
        <f t="shared" si="60"/>
        <v>480.01930350805378</v>
      </c>
      <c r="BK465" s="11">
        <f t="shared" si="61"/>
        <v>0.10127030767515899</v>
      </c>
      <c r="BL465" s="5">
        <f t="shared" si="62"/>
        <v>3022.3015658025397</v>
      </c>
      <c r="BM465" s="11">
        <f t="shared" si="63"/>
        <v>0.14793943405510118</v>
      </c>
    </row>
    <row r="466" spans="1:65" ht="15" customHeight="1" x14ac:dyDescent="0.4">
      <c r="A466" s="2" t="s">
        <v>269</v>
      </c>
      <c r="B466" s="2" t="s">
        <v>388</v>
      </c>
      <c r="C466" s="2" t="s">
        <v>389</v>
      </c>
      <c r="D466" s="3" t="s">
        <v>68</v>
      </c>
      <c r="E466" s="3" t="s">
        <v>406</v>
      </c>
      <c r="F466" s="2" t="s">
        <v>407</v>
      </c>
      <c r="G466" s="4">
        <v>20</v>
      </c>
      <c r="H466" s="5">
        <v>2.15</v>
      </c>
      <c r="I466" s="5">
        <v>2.2411117107376621</v>
      </c>
      <c r="J466" s="6">
        <v>0</v>
      </c>
      <c r="K466" s="5">
        <v>0</v>
      </c>
      <c r="L466" s="6">
        <v>0</v>
      </c>
      <c r="M466" s="5">
        <v>0</v>
      </c>
      <c r="N466" s="6">
        <v>5935.4140451592793</v>
      </c>
      <c r="O466" s="5">
        <v>12761.140197092451</v>
      </c>
      <c r="P466" s="6">
        <v>0</v>
      </c>
      <c r="Q466" s="5">
        <v>0</v>
      </c>
      <c r="R466" s="6">
        <v>0</v>
      </c>
      <c r="S466" s="5">
        <v>0</v>
      </c>
      <c r="T466" s="6">
        <v>0</v>
      </c>
      <c r="U466" s="5">
        <v>0</v>
      </c>
      <c r="V466" s="6">
        <v>0</v>
      </c>
      <c r="W466" s="5">
        <v>0</v>
      </c>
      <c r="X466" s="6">
        <v>0</v>
      </c>
      <c r="Y466" s="5">
        <v>0</v>
      </c>
      <c r="Z466" s="6">
        <v>0</v>
      </c>
      <c r="AA466" s="5">
        <v>0</v>
      </c>
      <c r="AB466" s="6">
        <v>0</v>
      </c>
      <c r="AC466" s="5">
        <v>0</v>
      </c>
      <c r="AD466" s="6">
        <v>0</v>
      </c>
      <c r="AE466" s="5">
        <v>0</v>
      </c>
      <c r="AF466" s="6">
        <v>0</v>
      </c>
      <c r="AG466" s="5">
        <v>0</v>
      </c>
      <c r="AH466" s="7">
        <f t="shared" si="56"/>
        <v>5935.4140451592793</v>
      </c>
      <c r="AI466" s="8">
        <f t="shared" si="57"/>
        <v>12761.140197092451</v>
      </c>
      <c r="AJ466" s="6">
        <v>0</v>
      </c>
      <c r="AK466" s="5">
        <v>0</v>
      </c>
      <c r="AL466" s="6">
        <v>0</v>
      </c>
      <c r="AM466" s="5">
        <v>0</v>
      </c>
      <c r="AN466" s="6">
        <v>7480</v>
      </c>
      <c r="AO466" s="5">
        <v>16763.515596317709</v>
      </c>
      <c r="AP466" s="6">
        <v>0</v>
      </c>
      <c r="AQ466" s="5">
        <v>0</v>
      </c>
      <c r="AR466" s="6">
        <v>0</v>
      </c>
      <c r="AS466" s="5">
        <v>0</v>
      </c>
      <c r="AT466" s="6">
        <v>0</v>
      </c>
      <c r="AU466" s="5">
        <v>0</v>
      </c>
      <c r="AV466" s="6">
        <v>0</v>
      </c>
      <c r="AW466" s="5">
        <v>0</v>
      </c>
      <c r="AX466" s="6">
        <v>0</v>
      </c>
      <c r="AY466" s="5">
        <v>0</v>
      </c>
      <c r="AZ466" s="6">
        <v>0</v>
      </c>
      <c r="BA466" s="5">
        <v>0</v>
      </c>
      <c r="BB466" s="6">
        <v>0</v>
      </c>
      <c r="BC466" s="5">
        <v>0</v>
      </c>
      <c r="BD466" s="6">
        <v>0</v>
      </c>
      <c r="BE466" s="5">
        <v>0</v>
      </c>
      <c r="BF466" s="6">
        <v>0</v>
      </c>
      <c r="BG466" s="5">
        <v>0</v>
      </c>
      <c r="BH466" s="9">
        <f t="shared" si="58"/>
        <v>7480</v>
      </c>
      <c r="BI466" s="10">
        <f t="shared" si="59"/>
        <v>16763.515596317709</v>
      </c>
      <c r="BJ466" s="6">
        <f t="shared" si="60"/>
        <v>1544.5859548407207</v>
      </c>
      <c r="BK466" s="11">
        <f t="shared" si="61"/>
        <v>0.26023221684095182</v>
      </c>
      <c r="BL466" s="5">
        <f t="shared" si="62"/>
        <v>4002.3753992252587</v>
      </c>
      <c r="BM466" s="11">
        <f t="shared" si="63"/>
        <v>0.31363775786564713</v>
      </c>
    </row>
    <row r="467" spans="1:65" ht="15" customHeight="1" x14ac:dyDescent="0.4">
      <c r="A467" s="2" t="s">
        <v>269</v>
      </c>
      <c r="B467" s="2" t="s">
        <v>388</v>
      </c>
      <c r="C467" s="2" t="s">
        <v>389</v>
      </c>
      <c r="D467" s="3" t="s">
        <v>68</v>
      </c>
      <c r="E467" s="3" t="s">
        <v>406</v>
      </c>
      <c r="F467" s="2" t="s">
        <v>408</v>
      </c>
      <c r="G467" s="4">
        <v>20</v>
      </c>
      <c r="H467" s="5">
        <v>2.15</v>
      </c>
      <c r="I467" s="5">
        <v>2.241111710737663</v>
      </c>
      <c r="J467" s="6">
        <v>0</v>
      </c>
      <c r="K467" s="5">
        <v>0</v>
      </c>
      <c r="L467" s="6">
        <v>0</v>
      </c>
      <c r="M467" s="5">
        <v>0</v>
      </c>
      <c r="N467" s="6">
        <v>0</v>
      </c>
      <c r="O467" s="5">
        <v>0</v>
      </c>
      <c r="P467" s="6">
        <v>0</v>
      </c>
      <c r="Q467" s="5">
        <v>0</v>
      </c>
      <c r="R467" s="6">
        <v>0</v>
      </c>
      <c r="S467" s="5">
        <v>0</v>
      </c>
      <c r="T467" s="6">
        <v>0</v>
      </c>
      <c r="U467" s="5">
        <v>0</v>
      </c>
      <c r="V467" s="6">
        <v>0</v>
      </c>
      <c r="W467" s="5">
        <v>0</v>
      </c>
      <c r="X467" s="6">
        <v>7320.3439890297777</v>
      </c>
      <c r="Y467" s="5">
        <v>15738.73957641402</v>
      </c>
      <c r="Z467" s="6">
        <v>0</v>
      </c>
      <c r="AA467" s="5">
        <v>0</v>
      </c>
      <c r="AB467" s="6">
        <v>0</v>
      </c>
      <c r="AC467" s="5">
        <v>0</v>
      </c>
      <c r="AD467" s="6">
        <v>0</v>
      </c>
      <c r="AE467" s="5">
        <v>0</v>
      </c>
      <c r="AF467" s="6">
        <v>0</v>
      </c>
      <c r="AG467" s="5">
        <v>0</v>
      </c>
      <c r="AH467" s="7">
        <f t="shared" si="56"/>
        <v>7320.3439890297777</v>
      </c>
      <c r="AI467" s="8">
        <f t="shared" si="57"/>
        <v>15738.73957641402</v>
      </c>
      <c r="AJ467" s="6">
        <v>0</v>
      </c>
      <c r="AK467" s="5">
        <v>0</v>
      </c>
      <c r="AL467" s="6">
        <v>0</v>
      </c>
      <c r="AM467" s="5">
        <v>0</v>
      </c>
      <c r="AN467" s="6">
        <v>0</v>
      </c>
      <c r="AO467" s="5">
        <v>0</v>
      </c>
      <c r="AP467" s="6">
        <v>0</v>
      </c>
      <c r="AQ467" s="5">
        <v>0</v>
      </c>
      <c r="AR467" s="6">
        <v>0</v>
      </c>
      <c r="AS467" s="5">
        <v>0</v>
      </c>
      <c r="AT467" s="6">
        <v>0</v>
      </c>
      <c r="AU467" s="5">
        <v>0</v>
      </c>
      <c r="AV467" s="6">
        <v>0</v>
      </c>
      <c r="AW467" s="5">
        <v>0</v>
      </c>
      <c r="AX467" s="6">
        <v>9220</v>
      </c>
      <c r="AY467" s="5">
        <v>20663.049973001249</v>
      </c>
      <c r="AZ467" s="6">
        <v>0</v>
      </c>
      <c r="BA467" s="5">
        <v>0</v>
      </c>
      <c r="BB467" s="6">
        <v>0</v>
      </c>
      <c r="BC467" s="5">
        <v>0</v>
      </c>
      <c r="BD467" s="6">
        <v>0</v>
      </c>
      <c r="BE467" s="5">
        <v>0</v>
      </c>
      <c r="BF467" s="6">
        <v>0</v>
      </c>
      <c r="BG467" s="5">
        <v>0</v>
      </c>
      <c r="BH467" s="9">
        <f t="shared" si="58"/>
        <v>9220</v>
      </c>
      <c r="BI467" s="10">
        <f t="shared" si="59"/>
        <v>20663.049973001249</v>
      </c>
      <c r="BJ467" s="6">
        <f t="shared" si="60"/>
        <v>1899.6560109702223</v>
      </c>
      <c r="BK467" s="11">
        <f t="shared" si="61"/>
        <v>0.2595036536284408</v>
      </c>
      <c r="BL467" s="5">
        <f t="shared" si="62"/>
        <v>4924.3103965872288</v>
      </c>
      <c r="BM467" s="11">
        <f t="shared" si="63"/>
        <v>0.31287831993654502</v>
      </c>
    </row>
    <row r="468" spans="1:65" ht="15" customHeight="1" x14ac:dyDescent="0.4">
      <c r="A468" s="2" t="s">
        <v>269</v>
      </c>
      <c r="B468" s="2" t="s">
        <v>388</v>
      </c>
      <c r="C468" s="2" t="s">
        <v>389</v>
      </c>
      <c r="D468" s="3" t="s">
        <v>68</v>
      </c>
      <c r="E468" s="3" t="s">
        <v>406</v>
      </c>
      <c r="F468" s="2" t="s">
        <v>72</v>
      </c>
      <c r="G468" s="4">
        <v>20</v>
      </c>
      <c r="H468" s="5">
        <v>2.15</v>
      </c>
      <c r="I468" s="5">
        <v>2.241111710737663</v>
      </c>
      <c r="J468" s="6">
        <v>0</v>
      </c>
      <c r="K468" s="5">
        <v>0</v>
      </c>
      <c r="L468" s="6">
        <v>0</v>
      </c>
      <c r="M468" s="5">
        <v>0</v>
      </c>
      <c r="N468" s="6">
        <v>0</v>
      </c>
      <c r="O468" s="5">
        <v>0</v>
      </c>
      <c r="P468" s="6">
        <v>0</v>
      </c>
      <c r="Q468" s="5">
        <v>0</v>
      </c>
      <c r="R468" s="6">
        <v>0</v>
      </c>
      <c r="S468" s="5">
        <v>0</v>
      </c>
      <c r="T468" s="6">
        <v>0</v>
      </c>
      <c r="U468" s="5">
        <v>0</v>
      </c>
      <c r="V468" s="6">
        <v>0</v>
      </c>
      <c r="W468" s="5">
        <v>0</v>
      </c>
      <c r="X468" s="6">
        <v>0</v>
      </c>
      <c r="Y468" s="5">
        <v>0</v>
      </c>
      <c r="Z468" s="6">
        <v>0</v>
      </c>
      <c r="AA468" s="5">
        <v>0</v>
      </c>
      <c r="AB468" s="6">
        <v>2843.9884178951679</v>
      </c>
      <c r="AC468" s="5">
        <v>6114.575098474611</v>
      </c>
      <c r="AD468" s="6">
        <v>0</v>
      </c>
      <c r="AE468" s="5">
        <v>0</v>
      </c>
      <c r="AF468" s="6">
        <v>4739.9806964919462</v>
      </c>
      <c r="AG468" s="5">
        <v>10190.958497457679</v>
      </c>
      <c r="AH468" s="7">
        <f t="shared" si="56"/>
        <v>7583.9691143871141</v>
      </c>
      <c r="AI468" s="8">
        <f t="shared" si="57"/>
        <v>16305.533595932291</v>
      </c>
      <c r="AJ468" s="6">
        <v>0</v>
      </c>
      <c r="AK468" s="5">
        <v>0</v>
      </c>
      <c r="AL468" s="6">
        <v>0</v>
      </c>
      <c r="AM468" s="5">
        <v>0</v>
      </c>
      <c r="AN468" s="6">
        <v>0</v>
      </c>
      <c r="AO468" s="5">
        <v>0</v>
      </c>
      <c r="AP468" s="6">
        <v>0</v>
      </c>
      <c r="AQ468" s="5">
        <v>0</v>
      </c>
      <c r="AR468" s="6">
        <v>0</v>
      </c>
      <c r="AS468" s="5">
        <v>0</v>
      </c>
      <c r="AT468" s="6">
        <v>0</v>
      </c>
      <c r="AU468" s="5">
        <v>0</v>
      </c>
      <c r="AV468" s="6">
        <v>0</v>
      </c>
      <c r="AW468" s="5">
        <v>0</v>
      </c>
      <c r="AX468" s="6">
        <v>0</v>
      </c>
      <c r="AY468" s="5">
        <v>0</v>
      </c>
      <c r="AZ468" s="6">
        <v>0</v>
      </c>
      <c r="BA468" s="5">
        <v>0</v>
      </c>
      <c r="BB468" s="6">
        <v>3580</v>
      </c>
      <c r="BC468" s="5">
        <v>8023.1799244408321</v>
      </c>
      <c r="BD468" s="6">
        <v>0</v>
      </c>
      <c r="BE468" s="5">
        <v>0</v>
      </c>
      <c r="BF468" s="6">
        <v>5980</v>
      </c>
      <c r="BG468" s="5">
        <v>13401.84803021122</v>
      </c>
      <c r="BH468" s="9">
        <f t="shared" si="58"/>
        <v>9560</v>
      </c>
      <c r="BI468" s="10">
        <f t="shared" si="59"/>
        <v>21425.027954652054</v>
      </c>
      <c r="BJ468" s="6">
        <f t="shared" si="60"/>
        <v>1976.0308856128859</v>
      </c>
      <c r="BK468" s="11">
        <f t="shared" si="61"/>
        <v>0.26055365677376913</v>
      </c>
      <c r="BL468" s="5">
        <f t="shared" si="62"/>
        <v>5119.4943587197631</v>
      </c>
      <c r="BM468" s="11">
        <f t="shared" si="63"/>
        <v>0.31397281963203666</v>
      </c>
    </row>
    <row r="469" spans="1:65" ht="15" customHeight="1" x14ac:dyDescent="0.4">
      <c r="A469" s="2" t="s">
        <v>269</v>
      </c>
      <c r="B469" s="2" t="s">
        <v>388</v>
      </c>
      <c r="C469" s="2" t="s">
        <v>389</v>
      </c>
      <c r="D469" s="3" t="s">
        <v>68</v>
      </c>
      <c r="E469" s="3" t="s">
        <v>409</v>
      </c>
      <c r="F469" s="2" t="s">
        <v>410</v>
      </c>
      <c r="G469" s="4">
        <v>200</v>
      </c>
      <c r="H469" s="5">
        <v>2.2799999999999998</v>
      </c>
      <c r="I469" s="5">
        <v>2.3766207909218</v>
      </c>
      <c r="J469" s="6">
        <v>0</v>
      </c>
      <c r="K469" s="5">
        <v>0</v>
      </c>
      <c r="L469" s="6">
        <v>0</v>
      </c>
      <c r="M469" s="5">
        <v>0</v>
      </c>
      <c r="N469" s="6">
        <v>0</v>
      </c>
      <c r="O469" s="5">
        <v>0</v>
      </c>
      <c r="P469" s="6">
        <v>0</v>
      </c>
      <c r="Q469" s="5">
        <v>0</v>
      </c>
      <c r="R469" s="6">
        <v>0</v>
      </c>
      <c r="S469" s="5">
        <v>0</v>
      </c>
      <c r="T469" s="6">
        <v>0</v>
      </c>
      <c r="U469" s="5">
        <v>0</v>
      </c>
      <c r="V469" s="6">
        <v>0</v>
      </c>
      <c r="W469" s="5">
        <v>0</v>
      </c>
      <c r="X469" s="6">
        <v>3956.9426967728532</v>
      </c>
      <c r="Y469" s="5">
        <v>9021.8293486421044</v>
      </c>
      <c r="Z469" s="6">
        <v>0</v>
      </c>
      <c r="AA469" s="5">
        <v>0</v>
      </c>
      <c r="AB469" s="6">
        <v>0</v>
      </c>
      <c r="AC469" s="5">
        <v>0</v>
      </c>
      <c r="AD469" s="6">
        <v>0</v>
      </c>
      <c r="AE469" s="5">
        <v>0</v>
      </c>
      <c r="AF469" s="6">
        <v>0</v>
      </c>
      <c r="AG469" s="5">
        <v>0</v>
      </c>
      <c r="AH469" s="7">
        <f t="shared" si="56"/>
        <v>3956.9426967728532</v>
      </c>
      <c r="AI469" s="8">
        <f t="shared" si="57"/>
        <v>9021.8293486421044</v>
      </c>
      <c r="AJ469" s="6">
        <v>0</v>
      </c>
      <c r="AK469" s="5">
        <v>0</v>
      </c>
      <c r="AL469" s="6">
        <v>0</v>
      </c>
      <c r="AM469" s="5">
        <v>0</v>
      </c>
      <c r="AN469" s="6">
        <v>0</v>
      </c>
      <c r="AO469" s="5">
        <v>0</v>
      </c>
      <c r="AP469" s="6">
        <v>0</v>
      </c>
      <c r="AQ469" s="5">
        <v>0</v>
      </c>
      <c r="AR469" s="6">
        <v>0</v>
      </c>
      <c r="AS469" s="5">
        <v>0</v>
      </c>
      <c r="AT469" s="6">
        <v>0</v>
      </c>
      <c r="AU469" s="5">
        <v>0</v>
      </c>
      <c r="AV469" s="6">
        <v>0</v>
      </c>
      <c r="AW469" s="5">
        <v>0</v>
      </c>
      <c r="AX469" s="6">
        <v>5000</v>
      </c>
      <c r="AY469" s="5">
        <v>11883.103954609</v>
      </c>
      <c r="AZ469" s="6">
        <v>0</v>
      </c>
      <c r="BA469" s="5">
        <v>0</v>
      </c>
      <c r="BB469" s="6">
        <v>0</v>
      </c>
      <c r="BC469" s="5">
        <v>0</v>
      </c>
      <c r="BD469" s="6">
        <v>0</v>
      </c>
      <c r="BE469" s="5">
        <v>0</v>
      </c>
      <c r="BF469" s="6">
        <v>0</v>
      </c>
      <c r="BG469" s="5">
        <v>0</v>
      </c>
      <c r="BH469" s="9">
        <f t="shared" si="58"/>
        <v>5000</v>
      </c>
      <c r="BI469" s="10">
        <f t="shared" si="59"/>
        <v>11883.103954609</v>
      </c>
      <c r="BJ469" s="6">
        <f t="shared" si="60"/>
        <v>1043.0573032271468</v>
      </c>
      <c r="BK469" s="11">
        <f t="shared" si="61"/>
        <v>0.26360182169881524</v>
      </c>
      <c r="BL469" s="5">
        <f t="shared" si="62"/>
        <v>2861.2746059668953</v>
      </c>
      <c r="BM469" s="11">
        <f t="shared" si="63"/>
        <v>0.31715015828774817</v>
      </c>
    </row>
    <row r="470" spans="1:65" ht="15" customHeight="1" x14ac:dyDescent="0.4">
      <c r="A470" s="2" t="s">
        <v>269</v>
      </c>
      <c r="B470" s="2" t="s">
        <v>388</v>
      </c>
      <c r="C470" s="2" t="s">
        <v>389</v>
      </c>
      <c r="D470" s="3" t="s">
        <v>68</v>
      </c>
      <c r="E470" s="3" t="s">
        <v>409</v>
      </c>
      <c r="F470" s="2" t="s">
        <v>411</v>
      </c>
      <c r="G470" s="4">
        <v>200</v>
      </c>
      <c r="H470" s="5">
        <v>2.2799999999999998</v>
      </c>
      <c r="I470" s="5">
        <v>2.3766207909218</v>
      </c>
      <c r="J470" s="6">
        <v>0</v>
      </c>
      <c r="K470" s="5">
        <v>0</v>
      </c>
      <c r="L470" s="6">
        <v>0</v>
      </c>
      <c r="M470" s="5">
        <v>0</v>
      </c>
      <c r="N470" s="6">
        <v>0</v>
      </c>
      <c r="O470" s="5">
        <v>0</v>
      </c>
      <c r="P470" s="6">
        <v>0</v>
      </c>
      <c r="Q470" s="5">
        <v>0</v>
      </c>
      <c r="R470" s="6">
        <v>0</v>
      </c>
      <c r="S470" s="5">
        <v>0</v>
      </c>
      <c r="T470" s="6">
        <v>0</v>
      </c>
      <c r="U470" s="5">
        <v>0</v>
      </c>
      <c r="V470" s="6">
        <v>0</v>
      </c>
      <c r="W470" s="5">
        <v>0</v>
      </c>
      <c r="X470" s="6">
        <v>0</v>
      </c>
      <c r="Y470" s="5">
        <v>0</v>
      </c>
      <c r="Z470" s="6">
        <v>0</v>
      </c>
      <c r="AA470" s="5">
        <v>0</v>
      </c>
      <c r="AB470" s="6">
        <v>1895.992278596779</v>
      </c>
      <c r="AC470" s="5">
        <v>4322.8623952006556</v>
      </c>
      <c r="AD470" s="6">
        <v>0</v>
      </c>
      <c r="AE470" s="5">
        <v>0</v>
      </c>
      <c r="AF470" s="6">
        <v>1895.992278596779</v>
      </c>
      <c r="AG470" s="5">
        <v>4322.8623952006556</v>
      </c>
      <c r="AH470" s="7">
        <f t="shared" si="56"/>
        <v>3791.984557193558</v>
      </c>
      <c r="AI470" s="8">
        <f t="shared" si="57"/>
        <v>8645.7247904013111</v>
      </c>
      <c r="AJ470" s="6">
        <v>0</v>
      </c>
      <c r="AK470" s="5">
        <v>0</v>
      </c>
      <c r="AL470" s="6">
        <v>0</v>
      </c>
      <c r="AM470" s="5">
        <v>0</v>
      </c>
      <c r="AN470" s="6">
        <v>0</v>
      </c>
      <c r="AO470" s="5">
        <v>0</v>
      </c>
      <c r="AP470" s="6">
        <v>0</v>
      </c>
      <c r="AQ470" s="5">
        <v>0</v>
      </c>
      <c r="AR470" s="6">
        <v>0</v>
      </c>
      <c r="AS470" s="5">
        <v>0</v>
      </c>
      <c r="AT470" s="6">
        <v>0</v>
      </c>
      <c r="AU470" s="5">
        <v>0</v>
      </c>
      <c r="AV470" s="6">
        <v>0</v>
      </c>
      <c r="AW470" s="5">
        <v>0</v>
      </c>
      <c r="AX470" s="6">
        <v>0</v>
      </c>
      <c r="AY470" s="5">
        <v>0</v>
      </c>
      <c r="AZ470" s="6">
        <v>0</v>
      </c>
      <c r="BA470" s="5">
        <v>0</v>
      </c>
      <c r="BB470" s="6">
        <v>2400</v>
      </c>
      <c r="BC470" s="5">
        <v>5703.8898982123201</v>
      </c>
      <c r="BD470" s="6">
        <v>0</v>
      </c>
      <c r="BE470" s="5">
        <v>0</v>
      </c>
      <c r="BF470" s="6">
        <v>2400</v>
      </c>
      <c r="BG470" s="5">
        <v>5703.8898982123201</v>
      </c>
      <c r="BH470" s="9">
        <f t="shared" si="58"/>
        <v>4800</v>
      </c>
      <c r="BI470" s="10">
        <f t="shared" si="59"/>
        <v>11407.77979642464</v>
      </c>
      <c r="BJ470" s="6">
        <f t="shared" si="60"/>
        <v>1008.015442806442</v>
      </c>
      <c r="BK470" s="11">
        <f t="shared" si="61"/>
        <v>0.26582793985650427</v>
      </c>
      <c r="BL470" s="5">
        <f t="shared" si="62"/>
        <v>2762.055006023329</v>
      </c>
      <c r="BM470" s="11">
        <f t="shared" si="63"/>
        <v>0.31947061385643782</v>
      </c>
    </row>
    <row r="471" spans="1:65" ht="15" customHeight="1" x14ac:dyDescent="0.4">
      <c r="A471" s="2" t="s">
        <v>269</v>
      </c>
      <c r="B471" s="2" t="s">
        <v>388</v>
      </c>
      <c r="C471" s="2" t="s">
        <v>389</v>
      </c>
      <c r="D471" s="3" t="s">
        <v>68</v>
      </c>
      <c r="E471" s="3" t="s">
        <v>412</v>
      </c>
      <c r="F471" s="2" t="s">
        <v>413</v>
      </c>
      <c r="G471" s="4">
        <v>5</v>
      </c>
      <c r="H471" s="5">
        <v>3.13</v>
      </c>
      <c r="I471" s="5">
        <v>3.262641699818086</v>
      </c>
      <c r="J471" s="6">
        <v>0</v>
      </c>
      <c r="K471" s="5">
        <v>0</v>
      </c>
      <c r="L471" s="6">
        <v>0</v>
      </c>
      <c r="M471" s="5">
        <v>0</v>
      </c>
      <c r="N471" s="6">
        <v>0</v>
      </c>
      <c r="O471" s="5">
        <v>0</v>
      </c>
      <c r="P471" s="6">
        <v>0</v>
      </c>
      <c r="Q471" s="5">
        <v>0</v>
      </c>
      <c r="R471" s="6">
        <v>0</v>
      </c>
      <c r="S471" s="5">
        <v>0</v>
      </c>
      <c r="T471" s="6">
        <v>0</v>
      </c>
      <c r="U471" s="5">
        <v>0</v>
      </c>
      <c r="V471" s="6">
        <v>989.23567419321319</v>
      </c>
      <c r="W471" s="5">
        <v>3096.307660224757</v>
      </c>
      <c r="X471" s="6">
        <v>0</v>
      </c>
      <c r="Y471" s="5">
        <v>0</v>
      </c>
      <c r="Z471" s="6">
        <v>0</v>
      </c>
      <c r="AA471" s="5">
        <v>0</v>
      </c>
      <c r="AB471" s="6">
        <v>0</v>
      </c>
      <c r="AC471" s="5">
        <v>0</v>
      </c>
      <c r="AD471" s="6">
        <v>0</v>
      </c>
      <c r="AE471" s="5">
        <v>0</v>
      </c>
      <c r="AF471" s="6">
        <v>0</v>
      </c>
      <c r="AG471" s="5">
        <v>0</v>
      </c>
      <c r="AH471" s="7">
        <f t="shared" si="56"/>
        <v>989.23567419321319</v>
      </c>
      <c r="AI471" s="8">
        <f t="shared" si="57"/>
        <v>3096.307660224757</v>
      </c>
      <c r="AJ471" s="6">
        <v>0</v>
      </c>
      <c r="AK471" s="5">
        <v>0</v>
      </c>
      <c r="AL471" s="6">
        <v>0</v>
      </c>
      <c r="AM471" s="5">
        <v>0</v>
      </c>
      <c r="AN471" s="6">
        <v>0</v>
      </c>
      <c r="AO471" s="5">
        <v>0</v>
      </c>
      <c r="AP471" s="6">
        <v>0</v>
      </c>
      <c r="AQ471" s="5">
        <v>0</v>
      </c>
      <c r="AR471" s="6">
        <v>0</v>
      </c>
      <c r="AS471" s="5">
        <v>0</v>
      </c>
      <c r="AT471" s="6">
        <v>0</v>
      </c>
      <c r="AU471" s="5">
        <v>0</v>
      </c>
      <c r="AV471" s="6">
        <v>1060</v>
      </c>
      <c r="AW471" s="5">
        <v>3458.400201807171</v>
      </c>
      <c r="AX471" s="6">
        <v>0</v>
      </c>
      <c r="AY471" s="5">
        <v>0</v>
      </c>
      <c r="AZ471" s="6">
        <v>0</v>
      </c>
      <c r="BA471" s="5">
        <v>0</v>
      </c>
      <c r="BB471" s="6">
        <v>0</v>
      </c>
      <c r="BC471" s="5">
        <v>0</v>
      </c>
      <c r="BD471" s="6">
        <v>0</v>
      </c>
      <c r="BE471" s="5">
        <v>0</v>
      </c>
      <c r="BF471" s="6">
        <v>0</v>
      </c>
      <c r="BG471" s="5">
        <v>0</v>
      </c>
      <c r="BH471" s="9">
        <f t="shared" si="58"/>
        <v>1060</v>
      </c>
      <c r="BI471" s="10">
        <f t="shared" si="59"/>
        <v>3458.400201807171</v>
      </c>
      <c r="BJ471" s="6">
        <f t="shared" si="60"/>
        <v>70.764325806786815</v>
      </c>
      <c r="BK471" s="11">
        <f t="shared" si="61"/>
        <v>7.1534344800595451E-2</v>
      </c>
      <c r="BL471" s="5">
        <f t="shared" si="62"/>
        <v>362.09254158241401</v>
      </c>
      <c r="BM471" s="11">
        <f t="shared" si="63"/>
        <v>0.11694333422801086</v>
      </c>
    </row>
    <row r="472" spans="1:65" ht="15" customHeight="1" x14ac:dyDescent="0.4">
      <c r="A472" s="2" t="s">
        <v>269</v>
      </c>
      <c r="B472" s="2" t="s">
        <v>388</v>
      </c>
      <c r="C472" s="2" t="s">
        <v>389</v>
      </c>
      <c r="D472" s="3" t="s">
        <v>68</v>
      </c>
      <c r="E472" s="3" t="s">
        <v>414</v>
      </c>
      <c r="F472" s="2" t="s">
        <v>415</v>
      </c>
      <c r="G472" s="4">
        <v>5</v>
      </c>
      <c r="H472" s="5">
        <v>2.12</v>
      </c>
      <c r="I472" s="5">
        <v>2.209840384541323</v>
      </c>
      <c r="J472" s="6">
        <v>1088.159241612535</v>
      </c>
      <c r="K472" s="5">
        <v>2306.8975922185732</v>
      </c>
      <c r="L472" s="6">
        <v>0</v>
      </c>
      <c r="M472" s="5">
        <v>0</v>
      </c>
      <c r="N472" s="6">
        <v>0</v>
      </c>
      <c r="O472" s="5">
        <v>0</v>
      </c>
      <c r="P472" s="6">
        <v>0</v>
      </c>
      <c r="Q472" s="5">
        <v>0</v>
      </c>
      <c r="R472" s="6">
        <v>0</v>
      </c>
      <c r="S472" s="5">
        <v>0</v>
      </c>
      <c r="T472" s="6">
        <v>0</v>
      </c>
      <c r="U472" s="5">
        <v>0</v>
      </c>
      <c r="V472" s="6">
        <v>0</v>
      </c>
      <c r="W472" s="5">
        <v>0</v>
      </c>
      <c r="X472" s="6">
        <v>0</v>
      </c>
      <c r="Y472" s="5">
        <v>0</v>
      </c>
      <c r="Z472" s="6">
        <v>0</v>
      </c>
      <c r="AA472" s="5">
        <v>0</v>
      </c>
      <c r="AB472" s="6">
        <v>0</v>
      </c>
      <c r="AC472" s="5">
        <v>0</v>
      </c>
      <c r="AD472" s="6">
        <v>0</v>
      </c>
      <c r="AE472" s="5">
        <v>0</v>
      </c>
      <c r="AF472" s="6">
        <v>0</v>
      </c>
      <c r="AG472" s="5">
        <v>0</v>
      </c>
      <c r="AH472" s="7">
        <f t="shared" si="56"/>
        <v>1088.159241612535</v>
      </c>
      <c r="AI472" s="8">
        <f t="shared" si="57"/>
        <v>2306.8975922185732</v>
      </c>
      <c r="AJ472" s="6">
        <v>1200</v>
      </c>
      <c r="AK472" s="5">
        <v>2651.8084614495879</v>
      </c>
      <c r="AL472" s="6">
        <v>0</v>
      </c>
      <c r="AM472" s="5">
        <v>0</v>
      </c>
      <c r="AN472" s="6">
        <v>0</v>
      </c>
      <c r="AO472" s="5">
        <v>0</v>
      </c>
      <c r="AP472" s="6">
        <v>0</v>
      </c>
      <c r="AQ472" s="5">
        <v>0</v>
      </c>
      <c r="AR472" s="6">
        <v>0</v>
      </c>
      <c r="AS472" s="5">
        <v>0</v>
      </c>
      <c r="AT472" s="6">
        <v>0</v>
      </c>
      <c r="AU472" s="5">
        <v>0</v>
      </c>
      <c r="AV472" s="6">
        <v>0</v>
      </c>
      <c r="AW472" s="5">
        <v>0</v>
      </c>
      <c r="AX472" s="6">
        <v>0</v>
      </c>
      <c r="AY472" s="5">
        <v>0</v>
      </c>
      <c r="AZ472" s="6">
        <v>0</v>
      </c>
      <c r="BA472" s="5">
        <v>0</v>
      </c>
      <c r="BB472" s="6">
        <v>0</v>
      </c>
      <c r="BC472" s="5">
        <v>0</v>
      </c>
      <c r="BD472" s="6">
        <v>0</v>
      </c>
      <c r="BE472" s="5">
        <v>0</v>
      </c>
      <c r="BF472" s="6">
        <v>0</v>
      </c>
      <c r="BG472" s="5">
        <v>0</v>
      </c>
      <c r="BH472" s="9">
        <f t="shared" si="58"/>
        <v>1200</v>
      </c>
      <c r="BI472" s="10">
        <f t="shared" si="59"/>
        <v>2651.8084614495879</v>
      </c>
      <c r="BJ472" s="6">
        <f t="shared" si="60"/>
        <v>111.84075838746503</v>
      </c>
      <c r="BK472" s="11">
        <f t="shared" si="61"/>
        <v>0.10277977166442023</v>
      </c>
      <c r="BL472" s="5">
        <f t="shared" si="62"/>
        <v>344.91086923101466</v>
      </c>
      <c r="BM472" s="11">
        <f t="shared" si="63"/>
        <v>0.14951286541476227</v>
      </c>
    </row>
    <row r="473" spans="1:65" ht="15" customHeight="1" x14ac:dyDescent="0.4">
      <c r="A473" s="2" t="s">
        <v>269</v>
      </c>
      <c r="B473" s="2" t="s">
        <v>388</v>
      </c>
      <c r="C473" s="2" t="s">
        <v>389</v>
      </c>
      <c r="D473" s="3" t="s">
        <v>68</v>
      </c>
      <c r="E473" s="3" t="s">
        <v>416</v>
      </c>
      <c r="F473" s="2" t="s">
        <v>293</v>
      </c>
      <c r="G473" s="4">
        <v>5</v>
      </c>
      <c r="H473" s="5">
        <v>3.57</v>
      </c>
      <c r="I473" s="5">
        <v>3.7212878173643982</v>
      </c>
      <c r="J473" s="6">
        <v>0</v>
      </c>
      <c r="K473" s="5">
        <v>0</v>
      </c>
      <c r="L473" s="6">
        <v>989.23567419321319</v>
      </c>
      <c r="M473" s="5">
        <v>3531.5713568697711</v>
      </c>
      <c r="N473" s="6">
        <v>0</v>
      </c>
      <c r="O473" s="5">
        <v>0</v>
      </c>
      <c r="P473" s="6">
        <v>0</v>
      </c>
      <c r="Q473" s="5">
        <v>0</v>
      </c>
      <c r="R473" s="6">
        <v>0</v>
      </c>
      <c r="S473" s="5">
        <v>0</v>
      </c>
      <c r="T473" s="6">
        <v>0</v>
      </c>
      <c r="U473" s="5">
        <v>0</v>
      </c>
      <c r="V473" s="6">
        <v>0</v>
      </c>
      <c r="W473" s="5">
        <v>0</v>
      </c>
      <c r="X473" s="6">
        <v>0</v>
      </c>
      <c r="Y473" s="5">
        <v>0</v>
      </c>
      <c r="Z473" s="6">
        <v>0</v>
      </c>
      <c r="AA473" s="5">
        <v>0</v>
      </c>
      <c r="AB473" s="6">
        <v>0</v>
      </c>
      <c r="AC473" s="5">
        <v>0</v>
      </c>
      <c r="AD473" s="6">
        <v>0</v>
      </c>
      <c r="AE473" s="5">
        <v>0</v>
      </c>
      <c r="AF473" s="6">
        <v>0</v>
      </c>
      <c r="AG473" s="5">
        <v>0</v>
      </c>
      <c r="AH473" s="7">
        <f t="shared" si="56"/>
        <v>989.23567419321319</v>
      </c>
      <c r="AI473" s="8">
        <f t="shared" si="57"/>
        <v>3531.5713568697711</v>
      </c>
      <c r="AJ473" s="6">
        <v>0</v>
      </c>
      <c r="AK473" s="5">
        <v>0</v>
      </c>
      <c r="AL473" s="6">
        <v>1075</v>
      </c>
      <c r="AM473" s="5">
        <v>4000.3844036667278</v>
      </c>
      <c r="AN473" s="6">
        <v>0</v>
      </c>
      <c r="AO473" s="5">
        <v>0</v>
      </c>
      <c r="AP473" s="6">
        <v>0</v>
      </c>
      <c r="AQ473" s="5">
        <v>0</v>
      </c>
      <c r="AR473" s="6">
        <v>0</v>
      </c>
      <c r="AS473" s="5">
        <v>0</v>
      </c>
      <c r="AT473" s="6">
        <v>0</v>
      </c>
      <c r="AU473" s="5">
        <v>0</v>
      </c>
      <c r="AV473" s="6">
        <v>0</v>
      </c>
      <c r="AW473" s="5">
        <v>0</v>
      </c>
      <c r="AX473" s="6">
        <v>0</v>
      </c>
      <c r="AY473" s="5">
        <v>0</v>
      </c>
      <c r="AZ473" s="6">
        <v>0</v>
      </c>
      <c r="BA473" s="5">
        <v>0</v>
      </c>
      <c r="BB473" s="6">
        <v>0</v>
      </c>
      <c r="BC473" s="5">
        <v>0</v>
      </c>
      <c r="BD473" s="6">
        <v>0</v>
      </c>
      <c r="BE473" s="5">
        <v>0</v>
      </c>
      <c r="BF473" s="6">
        <v>0</v>
      </c>
      <c r="BG473" s="5">
        <v>0</v>
      </c>
      <c r="BH473" s="9">
        <f t="shared" si="58"/>
        <v>1075</v>
      </c>
      <c r="BI473" s="10">
        <f t="shared" si="59"/>
        <v>4000.3844036667278</v>
      </c>
      <c r="BJ473" s="6">
        <f t="shared" si="60"/>
        <v>85.764325806786815</v>
      </c>
      <c r="BK473" s="11">
        <f t="shared" si="61"/>
        <v>8.6697566660981232E-2</v>
      </c>
      <c r="BL473" s="5">
        <f t="shared" si="62"/>
        <v>468.81304679695677</v>
      </c>
      <c r="BM473" s="11">
        <f t="shared" si="63"/>
        <v>0.13274913612746367</v>
      </c>
    </row>
    <row r="474" spans="1:65" ht="15" customHeight="1" x14ac:dyDescent="0.4">
      <c r="A474" s="2" t="s">
        <v>269</v>
      </c>
      <c r="B474" s="2" t="s">
        <v>388</v>
      </c>
      <c r="C474" s="2" t="s">
        <v>389</v>
      </c>
      <c r="D474" s="3" t="s">
        <v>68</v>
      </c>
      <c r="E474" s="3" t="s">
        <v>417</v>
      </c>
      <c r="F474" s="2" t="s">
        <v>123</v>
      </c>
      <c r="G474" s="4">
        <v>5</v>
      </c>
      <c r="H474" s="5">
        <v>4.29</v>
      </c>
      <c r="I474" s="5">
        <v>4.4717996460765459</v>
      </c>
      <c r="J474" s="6">
        <v>0</v>
      </c>
      <c r="K474" s="5">
        <v>0</v>
      </c>
      <c r="L474" s="6">
        <v>0</v>
      </c>
      <c r="M474" s="5">
        <v>0</v>
      </c>
      <c r="N474" s="6">
        <v>0</v>
      </c>
      <c r="O474" s="5">
        <v>0</v>
      </c>
      <c r="P474" s="6">
        <v>0</v>
      </c>
      <c r="Q474" s="5">
        <v>0</v>
      </c>
      <c r="R474" s="6">
        <v>0</v>
      </c>
      <c r="S474" s="5">
        <v>0</v>
      </c>
      <c r="T474" s="6">
        <v>0</v>
      </c>
      <c r="U474" s="5">
        <v>0</v>
      </c>
      <c r="V474" s="6">
        <v>593.54140451592798</v>
      </c>
      <c r="W474" s="5">
        <v>2546.2926253733308</v>
      </c>
      <c r="X474" s="6">
        <v>0</v>
      </c>
      <c r="Y474" s="5">
        <v>0</v>
      </c>
      <c r="Z474" s="6">
        <v>0</v>
      </c>
      <c r="AA474" s="5">
        <v>0</v>
      </c>
      <c r="AB474" s="6">
        <v>0</v>
      </c>
      <c r="AC474" s="5">
        <v>0</v>
      </c>
      <c r="AD474" s="6">
        <v>0</v>
      </c>
      <c r="AE474" s="5">
        <v>0</v>
      </c>
      <c r="AF474" s="6">
        <v>0</v>
      </c>
      <c r="AG474" s="5">
        <v>0</v>
      </c>
      <c r="AH474" s="7">
        <f t="shared" si="56"/>
        <v>593.54140451592798</v>
      </c>
      <c r="AI474" s="8">
        <f t="shared" si="57"/>
        <v>2546.2926253733308</v>
      </c>
      <c r="AJ474" s="6">
        <v>0</v>
      </c>
      <c r="AK474" s="5">
        <v>0</v>
      </c>
      <c r="AL474" s="6">
        <v>0</v>
      </c>
      <c r="AM474" s="5">
        <v>0</v>
      </c>
      <c r="AN474" s="6">
        <v>0</v>
      </c>
      <c r="AO474" s="5">
        <v>0</v>
      </c>
      <c r="AP474" s="6">
        <v>0</v>
      </c>
      <c r="AQ474" s="5">
        <v>0</v>
      </c>
      <c r="AR474" s="6">
        <v>0</v>
      </c>
      <c r="AS474" s="5">
        <v>0</v>
      </c>
      <c r="AT474" s="6">
        <v>0</v>
      </c>
      <c r="AU474" s="5">
        <v>0</v>
      </c>
      <c r="AV474" s="6">
        <v>715</v>
      </c>
      <c r="AW474" s="5">
        <v>3197.3367469447298</v>
      </c>
      <c r="AX474" s="6">
        <v>0</v>
      </c>
      <c r="AY474" s="5">
        <v>0</v>
      </c>
      <c r="AZ474" s="6">
        <v>0</v>
      </c>
      <c r="BA474" s="5">
        <v>0</v>
      </c>
      <c r="BB474" s="6">
        <v>0</v>
      </c>
      <c r="BC474" s="5">
        <v>0</v>
      </c>
      <c r="BD474" s="6">
        <v>0</v>
      </c>
      <c r="BE474" s="5">
        <v>0</v>
      </c>
      <c r="BF474" s="6">
        <v>0</v>
      </c>
      <c r="BG474" s="5">
        <v>0</v>
      </c>
      <c r="BH474" s="9">
        <f t="shared" si="58"/>
        <v>715</v>
      </c>
      <c r="BI474" s="10">
        <f t="shared" si="59"/>
        <v>3197.3367469447298</v>
      </c>
      <c r="BJ474" s="6">
        <f t="shared" si="60"/>
        <v>121.45859548407202</v>
      </c>
      <c r="BK474" s="11">
        <f t="shared" si="61"/>
        <v>0.20463373668620385</v>
      </c>
      <c r="BL474" s="5">
        <f t="shared" si="62"/>
        <v>651.04412157139905</v>
      </c>
      <c r="BM474" s="11">
        <f t="shared" si="63"/>
        <v>0.25568315090098676</v>
      </c>
    </row>
    <row r="475" spans="1:65" ht="15" customHeight="1" x14ac:dyDescent="0.4">
      <c r="A475" s="2" t="s">
        <v>269</v>
      </c>
      <c r="B475" s="2" t="s">
        <v>388</v>
      </c>
      <c r="C475" s="2" t="s">
        <v>389</v>
      </c>
      <c r="D475" s="3" t="s">
        <v>68</v>
      </c>
      <c r="E475" s="3" t="s">
        <v>418</v>
      </c>
      <c r="F475" s="2" t="s">
        <v>419</v>
      </c>
      <c r="G475" s="4">
        <v>5</v>
      </c>
      <c r="H475" s="5">
        <v>16.399999999999999</v>
      </c>
      <c r="I475" s="5">
        <v>17.094991653998921</v>
      </c>
      <c r="J475" s="6">
        <v>0</v>
      </c>
      <c r="K475" s="5">
        <v>0</v>
      </c>
      <c r="L475" s="6">
        <v>0</v>
      </c>
      <c r="M475" s="5">
        <v>0</v>
      </c>
      <c r="N475" s="6">
        <v>0</v>
      </c>
      <c r="O475" s="5">
        <v>0</v>
      </c>
      <c r="P475" s="6">
        <v>0</v>
      </c>
      <c r="Q475" s="5">
        <v>0</v>
      </c>
      <c r="R475" s="6">
        <v>0</v>
      </c>
      <c r="S475" s="5">
        <v>0</v>
      </c>
      <c r="T475" s="6">
        <v>0</v>
      </c>
      <c r="U475" s="5">
        <v>0</v>
      </c>
      <c r="V475" s="6">
        <v>0</v>
      </c>
      <c r="W475" s="5">
        <v>0</v>
      </c>
      <c r="X475" s="6">
        <v>593.54140451592798</v>
      </c>
      <c r="Y475" s="5">
        <v>9734.0790340612184</v>
      </c>
      <c r="Z475" s="6">
        <v>0</v>
      </c>
      <c r="AA475" s="5">
        <v>0</v>
      </c>
      <c r="AB475" s="6">
        <v>0</v>
      </c>
      <c r="AC475" s="5">
        <v>0</v>
      </c>
      <c r="AD475" s="6">
        <v>0</v>
      </c>
      <c r="AE475" s="5">
        <v>0</v>
      </c>
      <c r="AF475" s="6">
        <v>0</v>
      </c>
      <c r="AG475" s="5">
        <v>0</v>
      </c>
      <c r="AH475" s="7">
        <f t="shared" si="56"/>
        <v>593.54140451592798</v>
      </c>
      <c r="AI475" s="8">
        <f t="shared" si="57"/>
        <v>9734.0790340612184</v>
      </c>
      <c r="AJ475" s="6">
        <v>0</v>
      </c>
      <c r="AK475" s="5">
        <v>0</v>
      </c>
      <c r="AL475" s="6">
        <v>0</v>
      </c>
      <c r="AM475" s="5">
        <v>0</v>
      </c>
      <c r="AN475" s="6">
        <v>0</v>
      </c>
      <c r="AO475" s="5">
        <v>0</v>
      </c>
      <c r="AP475" s="6">
        <v>0</v>
      </c>
      <c r="AQ475" s="5">
        <v>0</v>
      </c>
      <c r="AR475" s="6">
        <v>0</v>
      </c>
      <c r="AS475" s="5">
        <v>0</v>
      </c>
      <c r="AT475" s="6">
        <v>0</v>
      </c>
      <c r="AU475" s="5">
        <v>0</v>
      </c>
      <c r="AV475" s="6">
        <v>0</v>
      </c>
      <c r="AW475" s="5">
        <v>0</v>
      </c>
      <c r="AX475" s="6">
        <v>635</v>
      </c>
      <c r="AY475" s="5">
        <v>10855.31970028931</v>
      </c>
      <c r="AZ475" s="6">
        <v>0</v>
      </c>
      <c r="BA475" s="5">
        <v>0</v>
      </c>
      <c r="BB475" s="6">
        <v>0</v>
      </c>
      <c r="BC475" s="5">
        <v>0</v>
      </c>
      <c r="BD475" s="6">
        <v>0</v>
      </c>
      <c r="BE475" s="5">
        <v>0</v>
      </c>
      <c r="BF475" s="6">
        <v>0</v>
      </c>
      <c r="BG475" s="5">
        <v>0</v>
      </c>
      <c r="BH475" s="9">
        <f t="shared" si="58"/>
        <v>635</v>
      </c>
      <c r="BI475" s="10">
        <f t="shared" si="59"/>
        <v>10855.31970028931</v>
      </c>
      <c r="BJ475" s="6">
        <f t="shared" si="60"/>
        <v>41.458595484072021</v>
      </c>
      <c r="BK475" s="11">
        <f t="shared" si="61"/>
        <v>6.9849542371663575E-2</v>
      </c>
      <c r="BL475" s="5">
        <f t="shared" si="62"/>
        <v>1121.2406662280919</v>
      </c>
      <c r="BM475" s="11">
        <f t="shared" si="63"/>
        <v>0.11518713401696018</v>
      </c>
    </row>
    <row r="476" spans="1:65" ht="15" customHeight="1" x14ac:dyDescent="0.4">
      <c r="A476" s="2" t="s">
        <v>269</v>
      </c>
      <c r="B476" s="2" t="s">
        <v>388</v>
      </c>
      <c r="C476" s="2" t="s">
        <v>389</v>
      </c>
      <c r="D476" s="3" t="s">
        <v>68</v>
      </c>
      <c r="E476" s="3" t="s">
        <v>420</v>
      </c>
      <c r="F476" s="2" t="s">
        <v>421</v>
      </c>
      <c r="G476" s="4">
        <v>5</v>
      </c>
      <c r="H476" s="5">
        <v>7.0000000000000009</v>
      </c>
      <c r="I476" s="5">
        <v>7.2966427791458797</v>
      </c>
      <c r="J476" s="6">
        <v>0</v>
      </c>
      <c r="K476" s="5">
        <v>0</v>
      </c>
      <c r="L476" s="6">
        <v>0</v>
      </c>
      <c r="M476" s="5">
        <v>0</v>
      </c>
      <c r="N476" s="6">
        <v>989.23567419321319</v>
      </c>
      <c r="O476" s="5">
        <v>6924.6497193524929</v>
      </c>
      <c r="P476" s="6">
        <v>0</v>
      </c>
      <c r="Q476" s="5">
        <v>0</v>
      </c>
      <c r="R476" s="6">
        <v>0</v>
      </c>
      <c r="S476" s="5">
        <v>0</v>
      </c>
      <c r="T476" s="6">
        <v>0</v>
      </c>
      <c r="U476" s="5">
        <v>0</v>
      </c>
      <c r="V476" s="6">
        <v>0</v>
      </c>
      <c r="W476" s="5">
        <v>0</v>
      </c>
      <c r="X476" s="6">
        <v>0</v>
      </c>
      <c r="Y476" s="5">
        <v>0</v>
      </c>
      <c r="Z476" s="6">
        <v>0</v>
      </c>
      <c r="AA476" s="5">
        <v>0</v>
      </c>
      <c r="AB476" s="6">
        <v>0</v>
      </c>
      <c r="AC476" s="5">
        <v>0</v>
      </c>
      <c r="AD476" s="6">
        <v>0</v>
      </c>
      <c r="AE476" s="5">
        <v>0</v>
      </c>
      <c r="AF476" s="6">
        <v>0</v>
      </c>
      <c r="AG476" s="5">
        <v>0</v>
      </c>
      <c r="AH476" s="7">
        <f t="shared" si="56"/>
        <v>989.23567419321319</v>
      </c>
      <c r="AI476" s="8">
        <f t="shared" si="57"/>
        <v>6924.6497193524929</v>
      </c>
      <c r="AJ476" s="6">
        <v>0</v>
      </c>
      <c r="AK476" s="5">
        <v>0</v>
      </c>
      <c r="AL476" s="6">
        <v>0</v>
      </c>
      <c r="AM476" s="5">
        <v>0</v>
      </c>
      <c r="AN476" s="6">
        <v>1060</v>
      </c>
      <c r="AO476" s="5">
        <v>7734.4413458946328</v>
      </c>
      <c r="AP476" s="6">
        <v>0</v>
      </c>
      <c r="AQ476" s="5">
        <v>0</v>
      </c>
      <c r="AR476" s="6">
        <v>0</v>
      </c>
      <c r="AS476" s="5">
        <v>0</v>
      </c>
      <c r="AT476" s="6">
        <v>0</v>
      </c>
      <c r="AU476" s="5">
        <v>0</v>
      </c>
      <c r="AV476" s="6">
        <v>0</v>
      </c>
      <c r="AW476" s="5">
        <v>0</v>
      </c>
      <c r="AX476" s="6">
        <v>0</v>
      </c>
      <c r="AY476" s="5">
        <v>0</v>
      </c>
      <c r="AZ476" s="6">
        <v>0</v>
      </c>
      <c r="BA476" s="5">
        <v>0</v>
      </c>
      <c r="BB476" s="6">
        <v>0</v>
      </c>
      <c r="BC476" s="5">
        <v>0</v>
      </c>
      <c r="BD476" s="6">
        <v>0</v>
      </c>
      <c r="BE476" s="5">
        <v>0</v>
      </c>
      <c r="BF476" s="6">
        <v>0</v>
      </c>
      <c r="BG476" s="5">
        <v>0</v>
      </c>
      <c r="BH476" s="9">
        <f t="shared" si="58"/>
        <v>1060</v>
      </c>
      <c r="BI476" s="10">
        <f t="shared" si="59"/>
        <v>7734.4413458946328</v>
      </c>
      <c r="BJ476" s="6">
        <f t="shared" si="60"/>
        <v>70.764325806786815</v>
      </c>
      <c r="BK476" s="11">
        <f t="shared" si="61"/>
        <v>7.1534344800595451E-2</v>
      </c>
      <c r="BL476" s="5">
        <f t="shared" si="62"/>
        <v>809.79162654213997</v>
      </c>
      <c r="BM476" s="11">
        <f t="shared" si="63"/>
        <v>0.11694333422801083</v>
      </c>
    </row>
    <row r="477" spans="1:65" ht="15" customHeight="1" x14ac:dyDescent="0.4">
      <c r="A477" s="2" t="s">
        <v>269</v>
      </c>
      <c r="B477" s="2" t="s">
        <v>388</v>
      </c>
      <c r="C477" s="2" t="s">
        <v>389</v>
      </c>
      <c r="D477" s="3" t="s">
        <v>68</v>
      </c>
      <c r="E477" s="3" t="s">
        <v>422</v>
      </c>
      <c r="F477" s="2" t="s">
        <v>348</v>
      </c>
      <c r="G477" s="4">
        <v>5</v>
      </c>
      <c r="H477" s="5">
        <v>3.7</v>
      </c>
      <c r="I477" s="5">
        <v>3.8567968975485361</v>
      </c>
      <c r="J477" s="6">
        <v>0</v>
      </c>
      <c r="K477" s="5">
        <v>0</v>
      </c>
      <c r="L477" s="6">
        <v>0</v>
      </c>
      <c r="M477" s="5">
        <v>0</v>
      </c>
      <c r="N477" s="6">
        <v>0</v>
      </c>
      <c r="O477" s="5">
        <v>0</v>
      </c>
      <c r="P477" s="6">
        <v>0</v>
      </c>
      <c r="Q477" s="5">
        <v>0</v>
      </c>
      <c r="R477" s="6">
        <v>0</v>
      </c>
      <c r="S477" s="5">
        <v>0</v>
      </c>
      <c r="T477" s="6">
        <v>0</v>
      </c>
      <c r="U477" s="5">
        <v>0</v>
      </c>
      <c r="V477" s="6">
        <v>0</v>
      </c>
      <c r="W477" s="5">
        <v>0</v>
      </c>
      <c r="X477" s="6">
        <v>989.23567419321319</v>
      </c>
      <c r="Y477" s="5">
        <v>3660.1719945148889</v>
      </c>
      <c r="Z477" s="6">
        <v>0</v>
      </c>
      <c r="AA477" s="5">
        <v>0</v>
      </c>
      <c r="AB477" s="6">
        <v>0</v>
      </c>
      <c r="AC477" s="5">
        <v>0</v>
      </c>
      <c r="AD477" s="6">
        <v>0</v>
      </c>
      <c r="AE477" s="5">
        <v>0</v>
      </c>
      <c r="AF477" s="6">
        <v>947.99613929838938</v>
      </c>
      <c r="AG477" s="5">
        <v>3507.58571540404</v>
      </c>
      <c r="AH477" s="7">
        <f t="shared" si="56"/>
        <v>1937.2318134916027</v>
      </c>
      <c r="AI477" s="8">
        <f t="shared" si="57"/>
        <v>7167.7577099189293</v>
      </c>
      <c r="AJ477" s="6">
        <v>0</v>
      </c>
      <c r="AK477" s="5">
        <v>0</v>
      </c>
      <c r="AL477" s="6">
        <v>0</v>
      </c>
      <c r="AM477" s="5">
        <v>0</v>
      </c>
      <c r="AN477" s="6">
        <v>0</v>
      </c>
      <c r="AO477" s="5">
        <v>0</v>
      </c>
      <c r="AP477" s="6">
        <v>0</v>
      </c>
      <c r="AQ477" s="5">
        <v>0</v>
      </c>
      <c r="AR477" s="6">
        <v>0</v>
      </c>
      <c r="AS477" s="5">
        <v>0</v>
      </c>
      <c r="AT477" s="6">
        <v>0</v>
      </c>
      <c r="AU477" s="5">
        <v>0</v>
      </c>
      <c r="AV477" s="6">
        <v>0</v>
      </c>
      <c r="AW477" s="5">
        <v>0</v>
      </c>
      <c r="AX477" s="6">
        <v>1075</v>
      </c>
      <c r="AY477" s="5">
        <v>4146.0566648646763</v>
      </c>
      <c r="AZ477" s="6">
        <v>0</v>
      </c>
      <c r="BA477" s="5">
        <v>0</v>
      </c>
      <c r="BB477" s="6">
        <v>0</v>
      </c>
      <c r="BC477" s="5">
        <v>0</v>
      </c>
      <c r="BD477" s="6">
        <v>0</v>
      </c>
      <c r="BE477" s="5">
        <v>0</v>
      </c>
      <c r="BF477" s="6">
        <v>1030</v>
      </c>
      <c r="BG477" s="5">
        <v>3972.500804474992</v>
      </c>
      <c r="BH477" s="9">
        <f t="shared" si="58"/>
        <v>2105</v>
      </c>
      <c r="BI477" s="10">
        <f t="shared" si="59"/>
        <v>8118.5574693396684</v>
      </c>
      <c r="BJ477" s="6">
        <f t="shared" si="60"/>
        <v>167.76818650839732</v>
      </c>
      <c r="BK477" s="11">
        <f t="shared" si="61"/>
        <v>8.6602019097558325E-2</v>
      </c>
      <c r="BL477" s="5">
        <f t="shared" si="62"/>
        <v>950.79975942073906</v>
      </c>
      <c r="BM477" s="11">
        <f t="shared" si="63"/>
        <v>0.13264953949336172</v>
      </c>
    </row>
    <row r="478" spans="1:65" ht="15" customHeight="1" x14ac:dyDescent="0.4">
      <c r="A478" s="2" t="s">
        <v>269</v>
      </c>
      <c r="B478" s="2" t="s">
        <v>388</v>
      </c>
      <c r="C478" s="2" t="s">
        <v>389</v>
      </c>
      <c r="D478" s="3" t="s">
        <v>68</v>
      </c>
      <c r="E478" s="3" t="s">
        <v>423</v>
      </c>
      <c r="F478" s="2" t="s">
        <v>246</v>
      </c>
      <c r="G478" s="4">
        <v>5</v>
      </c>
      <c r="H478" s="5">
        <v>3.399999999999999</v>
      </c>
      <c r="I478" s="5">
        <v>3.5440836355851402</v>
      </c>
      <c r="J478" s="6">
        <v>0</v>
      </c>
      <c r="K478" s="5">
        <v>0</v>
      </c>
      <c r="L478" s="6">
        <v>0</v>
      </c>
      <c r="M478" s="5">
        <v>0</v>
      </c>
      <c r="N478" s="6">
        <v>0</v>
      </c>
      <c r="O478" s="5">
        <v>0</v>
      </c>
      <c r="P478" s="6">
        <v>0</v>
      </c>
      <c r="Q478" s="5">
        <v>0</v>
      </c>
      <c r="R478" s="6">
        <v>0</v>
      </c>
      <c r="S478" s="5">
        <v>0</v>
      </c>
      <c r="T478" s="6">
        <v>0</v>
      </c>
      <c r="U478" s="5">
        <v>0</v>
      </c>
      <c r="V478" s="6">
        <v>593.54140451592798</v>
      </c>
      <c r="W478" s="5">
        <v>2018.0407753541549</v>
      </c>
      <c r="X478" s="6">
        <v>0</v>
      </c>
      <c r="Y478" s="5">
        <v>0</v>
      </c>
      <c r="Z478" s="6">
        <v>0</v>
      </c>
      <c r="AA478" s="5">
        <v>0</v>
      </c>
      <c r="AB478" s="6">
        <v>0</v>
      </c>
      <c r="AC478" s="5">
        <v>0</v>
      </c>
      <c r="AD478" s="6">
        <v>0</v>
      </c>
      <c r="AE478" s="5">
        <v>0</v>
      </c>
      <c r="AF478" s="6">
        <v>0</v>
      </c>
      <c r="AG478" s="5">
        <v>0</v>
      </c>
      <c r="AH478" s="7">
        <f t="shared" si="56"/>
        <v>593.54140451592798</v>
      </c>
      <c r="AI478" s="8">
        <f t="shared" si="57"/>
        <v>2018.0407753541549</v>
      </c>
      <c r="AJ478" s="6">
        <v>0</v>
      </c>
      <c r="AK478" s="5">
        <v>0</v>
      </c>
      <c r="AL478" s="6">
        <v>0</v>
      </c>
      <c r="AM478" s="5">
        <v>0</v>
      </c>
      <c r="AN478" s="6">
        <v>0</v>
      </c>
      <c r="AO478" s="5">
        <v>0</v>
      </c>
      <c r="AP478" s="6">
        <v>0</v>
      </c>
      <c r="AQ478" s="5">
        <v>0</v>
      </c>
      <c r="AR478" s="6">
        <v>0</v>
      </c>
      <c r="AS478" s="5">
        <v>0</v>
      </c>
      <c r="AT478" s="6">
        <v>0</v>
      </c>
      <c r="AU478" s="5">
        <v>0</v>
      </c>
      <c r="AV478" s="6">
        <v>635</v>
      </c>
      <c r="AW478" s="5">
        <v>2250.4931085965641</v>
      </c>
      <c r="AX478" s="6">
        <v>0</v>
      </c>
      <c r="AY478" s="5">
        <v>0</v>
      </c>
      <c r="AZ478" s="6">
        <v>0</v>
      </c>
      <c r="BA478" s="5">
        <v>0</v>
      </c>
      <c r="BB478" s="6">
        <v>0</v>
      </c>
      <c r="BC478" s="5">
        <v>0</v>
      </c>
      <c r="BD478" s="6">
        <v>0</v>
      </c>
      <c r="BE478" s="5">
        <v>0</v>
      </c>
      <c r="BF478" s="6">
        <v>0</v>
      </c>
      <c r="BG478" s="5">
        <v>0</v>
      </c>
      <c r="BH478" s="9">
        <f t="shared" si="58"/>
        <v>635</v>
      </c>
      <c r="BI478" s="10">
        <f t="shared" si="59"/>
        <v>2250.4931085965641</v>
      </c>
      <c r="BJ478" s="6">
        <f t="shared" si="60"/>
        <v>41.458595484072021</v>
      </c>
      <c r="BK478" s="11">
        <f t="shared" si="61"/>
        <v>6.9849542371663575E-2</v>
      </c>
      <c r="BL478" s="5">
        <f t="shared" si="62"/>
        <v>232.45233324240917</v>
      </c>
      <c r="BM478" s="11">
        <f t="shared" si="63"/>
        <v>0.11518713401696012</v>
      </c>
    </row>
    <row r="479" spans="1:65" ht="15" customHeight="1" x14ac:dyDescent="0.4">
      <c r="A479" s="2" t="s">
        <v>269</v>
      </c>
      <c r="B479" s="2" t="s">
        <v>388</v>
      </c>
      <c r="C479" s="2" t="s">
        <v>389</v>
      </c>
      <c r="D479" s="3" t="s">
        <v>68</v>
      </c>
      <c r="E479" s="3" t="s">
        <v>424</v>
      </c>
      <c r="F479" s="2" t="s">
        <v>425</v>
      </c>
      <c r="G479" s="4">
        <v>5</v>
      </c>
      <c r="H479" s="5">
        <v>4.55</v>
      </c>
      <c r="I479" s="5">
        <v>4.7428178064448208</v>
      </c>
      <c r="J479" s="6">
        <v>0</v>
      </c>
      <c r="K479" s="5">
        <v>0</v>
      </c>
      <c r="L479" s="6">
        <v>0</v>
      </c>
      <c r="M479" s="5">
        <v>0</v>
      </c>
      <c r="N479" s="6">
        <v>593.54140451592798</v>
      </c>
      <c r="O479" s="5">
        <v>2700.6133905474721</v>
      </c>
      <c r="P479" s="6">
        <v>0</v>
      </c>
      <c r="Q479" s="5">
        <v>0</v>
      </c>
      <c r="R479" s="6">
        <v>0</v>
      </c>
      <c r="S479" s="5">
        <v>0</v>
      </c>
      <c r="T479" s="6">
        <v>0</v>
      </c>
      <c r="U479" s="5">
        <v>0</v>
      </c>
      <c r="V479" s="6">
        <v>0</v>
      </c>
      <c r="W479" s="5">
        <v>0</v>
      </c>
      <c r="X479" s="6">
        <v>0</v>
      </c>
      <c r="Y479" s="5">
        <v>0</v>
      </c>
      <c r="Z479" s="6">
        <v>0</v>
      </c>
      <c r="AA479" s="5">
        <v>0</v>
      </c>
      <c r="AB479" s="6">
        <v>0</v>
      </c>
      <c r="AC479" s="5">
        <v>0</v>
      </c>
      <c r="AD479" s="6">
        <v>0</v>
      </c>
      <c r="AE479" s="5">
        <v>0</v>
      </c>
      <c r="AF479" s="6">
        <v>0</v>
      </c>
      <c r="AG479" s="5">
        <v>0</v>
      </c>
      <c r="AH479" s="7">
        <f t="shared" si="56"/>
        <v>593.54140451592798</v>
      </c>
      <c r="AI479" s="8">
        <f t="shared" si="57"/>
        <v>2700.6133905474721</v>
      </c>
      <c r="AJ479" s="6">
        <v>0</v>
      </c>
      <c r="AK479" s="5">
        <v>0</v>
      </c>
      <c r="AL479" s="6">
        <v>0</v>
      </c>
      <c r="AM479" s="5">
        <v>0</v>
      </c>
      <c r="AN479" s="6">
        <v>635</v>
      </c>
      <c r="AO479" s="5">
        <v>3011.6893070924611</v>
      </c>
      <c r="AP479" s="6">
        <v>0</v>
      </c>
      <c r="AQ479" s="5">
        <v>0</v>
      </c>
      <c r="AR479" s="6">
        <v>0</v>
      </c>
      <c r="AS479" s="5">
        <v>0</v>
      </c>
      <c r="AT479" s="6">
        <v>0</v>
      </c>
      <c r="AU479" s="5">
        <v>0</v>
      </c>
      <c r="AV479" s="6">
        <v>0</v>
      </c>
      <c r="AW479" s="5">
        <v>0</v>
      </c>
      <c r="AX479" s="6">
        <v>0</v>
      </c>
      <c r="AY479" s="5">
        <v>0</v>
      </c>
      <c r="AZ479" s="6">
        <v>0</v>
      </c>
      <c r="BA479" s="5">
        <v>0</v>
      </c>
      <c r="BB479" s="6">
        <v>0</v>
      </c>
      <c r="BC479" s="5">
        <v>0</v>
      </c>
      <c r="BD479" s="6">
        <v>0</v>
      </c>
      <c r="BE479" s="5">
        <v>0</v>
      </c>
      <c r="BF479" s="6">
        <v>0</v>
      </c>
      <c r="BG479" s="5">
        <v>0</v>
      </c>
      <c r="BH479" s="9">
        <f t="shared" si="58"/>
        <v>635</v>
      </c>
      <c r="BI479" s="10">
        <f t="shared" si="59"/>
        <v>3011.6893070924611</v>
      </c>
      <c r="BJ479" s="6">
        <f t="shared" si="60"/>
        <v>41.458595484072021</v>
      </c>
      <c r="BK479" s="11">
        <f t="shared" si="61"/>
        <v>6.9849542371663575E-2</v>
      </c>
      <c r="BL479" s="5">
        <f t="shared" si="62"/>
        <v>311.07591654498901</v>
      </c>
      <c r="BM479" s="11">
        <f t="shared" si="63"/>
        <v>0.11518713401696022</v>
      </c>
    </row>
    <row r="480" spans="1:65" ht="15" customHeight="1" x14ac:dyDescent="0.4">
      <c r="A480" s="2" t="s">
        <v>269</v>
      </c>
      <c r="B480" s="2" t="s">
        <v>388</v>
      </c>
      <c r="C480" s="2" t="s">
        <v>389</v>
      </c>
      <c r="D480" s="3" t="s">
        <v>68</v>
      </c>
      <c r="E480" s="3" t="s">
        <v>426</v>
      </c>
      <c r="F480" s="2" t="s">
        <v>427</v>
      </c>
      <c r="G480" s="4">
        <v>5</v>
      </c>
      <c r="H480" s="5">
        <v>5.33</v>
      </c>
      <c r="I480" s="5">
        <v>5.555872287549648</v>
      </c>
      <c r="J480" s="6">
        <v>0</v>
      </c>
      <c r="K480" s="5">
        <v>0</v>
      </c>
      <c r="L480" s="6">
        <v>0</v>
      </c>
      <c r="M480" s="5">
        <v>0</v>
      </c>
      <c r="N480" s="6">
        <v>0</v>
      </c>
      <c r="O480" s="5">
        <v>0</v>
      </c>
      <c r="P480" s="6">
        <v>0</v>
      </c>
      <c r="Q480" s="5">
        <v>0</v>
      </c>
      <c r="R480" s="6">
        <v>0</v>
      </c>
      <c r="S480" s="5">
        <v>0</v>
      </c>
      <c r="T480" s="6">
        <v>0</v>
      </c>
      <c r="U480" s="5">
        <v>0</v>
      </c>
      <c r="V480" s="6">
        <v>989.23567419321319</v>
      </c>
      <c r="W480" s="5">
        <v>5272.6261434498256</v>
      </c>
      <c r="X480" s="6">
        <v>0</v>
      </c>
      <c r="Y480" s="5">
        <v>0</v>
      </c>
      <c r="Z480" s="6">
        <v>0</v>
      </c>
      <c r="AA480" s="5">
        <v>0</v>
      </c>
      <c r="AB480" s="6">
        <v>0</v>
      </c>
      <c r="AC480" s="5">
        <v>0</v>
      </c>
      <c r="AD480" s="6">
        <v>0</v>
      </c>
      <c r="AE480" s="5">
        <v>0</v>
      </c>
      <c r="AF480" s="6">
        <v>0</v>
      </c>
      <c r="AG480" s="5">
        <v>0</v>
      </c>
      <c r="AH480" s="7">
        <f t="shared" si="56"/>
        <v>989.23567419321319</v>
      </c>
      <c r="AI480" s="8">
        <f t="shared" si="57"/>
        <v>5272.6261434498256</v>
      </c>
      <c r="AJ480" s="6">
        <v>0</v>
      </c>
      <c r="AK480" s="5">
        <v>0</v>
      </c>
      <c r="AL480" s="6">
        <v>0</v>
      </c>
      <c r="AM480" s="5">
        <v>0</v>
      </c>
      <c r="AN480" s="6">
        <v>0</v>
      </c>
      <c r="AO480" s="5">
        <v>0</v>
      </c>
      <c r="AP480" s="6">
        <v>0</v>
      </c>
      <c r="AQ480" s="5">
        <v>0</v>
      </c>
      <c r="AR480" s="6">
        <v>0</v>
      </c>
      <c r="AS480" s="5">
        <v>0</v>
      </c>
      <c r="AT480" s="6">
        <v>0</v>
      </c>
      <c r="AU480" s="5">
        <v>0</v>
      </c>
      <c r="AV480" s="6">
        <v>1060</v>
      </c>
      <c r="AW480" s="5">
        <v>5889.2246248026267</v>
      </c>
      <c r="AX480" s="6">
        <v>0</v>
      </c>
      <c r="AY480" s="5">
        <v>0</v>
      </c>
      <c r="AZ480" s="6">
        <v>0</v>
      </c>
      <c r="BA480" s="5">
        <v>0</v>
      </c>
      <c r="BB480" s="6">
        <v>0</v>
      </c>
      <c r="BC480" s="5">
        <v>0</v>
      </c>
      <c r="BD480" s="6">
        <v>0</v>
      </c>
      <c r="BE480" s="5">
        <v>0</v>
      </c>
      <c r="BF480" s="6">
        <v>0</v>
      </c>
      <c r="BG480" s="5">
        <v>0</v>
      </c>
      <c r="BH480" s="9">
        <f t="shared" si="58"/>
        <v>1060</v>
      </c>
      <c r="BI480" s="10">
        <f t="shared" si="59"/>
        <v>5889.2246248026267</v>
      </c>
      <c r="BJ480" s="6">
        <f t="shared" si="60"/>
        <v>70.764325806786815</v>
      </c>
      <c r="BK480" s="11">
        <f t="shared" si="61"/>
        <v>7.1534344800595451E-2</v>
      </c>
      <c r="BL480" s="5">
        <f t="shared" si="62"/>
        <v>616.59848135280117</v>
      </c>
      <c r="BM480" s="11">
        <f t="shared" si="63"/>
        <v>0.11694333422801091</v>
      </c>
    </row>
    <row r="481" spans="1:65" ht="15" customHeight="1" x14ac:dyDescent="0.4">
      <c r="A481" s="2" t="s">
        <v>269</v>
      </c>
      <c r="B481" s="2" t="s">
        <v>388</v>
      </c>
      <c r="C481" s="2" t="s">
        <v>389</v>
      </c>
      <c r="D481" s="3" t="s">
        <v>68</v>
      </c>
      <c r="E481" s="3" t="s">
        <v>428</v>
      </c>
      <c r="F481" s="2" t="s">
        <v>429</v>
      </c>
      <c r="G481" s="4">
        <v>20</v>
      </c>
      <c r="H481" s="5">
        <v>5.0799999999999992</v>
      </c>
      <c r="I481" s="5">
        <v>5.2952779025801524</v>
      </c>
      <c r="J481" s="6">
        <v>0</v>
      </c>
      <c r="K481" s="5">
        <v>0</v>
      </c>
      <c r="L481" s="6">
        <v>0</v>
      </c>
      <c r="M481" s="5">
        <v>0</v>
      </c>
      <c r="N481" s="6">
        <v>0</v>
      </c>
      <c r="O481" s="5">
        <v>0</v>
      </c>
      <c r="P481" s="6">
        <v>0</v>
      </c>
      <c r="Q481" s="5">
        <v>0</v>
      </c>
      <c r="R481" s="6">
        <v>0</v>
      </c>
      <c r="S481" s="5">
        <v>0</v>
      </c>
      <c r="T481" s="6">
        <v>0</v>
      </c>
      <c r="U481" s="5">
        <v>0</v>
      </c>
      <c r="V481" s="6">
        <v>0</v>
      </c>
      <c r="W481" s="5">
        <v>0</v>
      </c>
      <c r="X481" s="6">
        <v>989.23567419321319</v>
      </c>
      <c r="Y481" s="5">
        <v>5025.3172249015233</v>
      </c>
      <c r="Z481" s="6">
        <v>0</v>
      </c>
      <c r="AA481" s="5">
        <v>0</v>
      </c>
      <c r="AB481" s="6">
        <v>0</v>
      </c>
      <c r="AC481" s="5">
        <v>0</v>
      </c>
      <c r="AD481" s="6">
        <v>947.99613929838938</v>
      </c>
      <c r="AE481" s="5">
        <v>4815.8203876358166</v>
      </c>
      <c r="AF481" s="6">
        <v>0</v>
      </c>
      <c r="AG481" s="5">
        <v>0</v>
      </c>
      <c r="AH481" s="7">
        <f t="shared" si="56"/>
        <v>1937.2318134916027</v>
      </c>
      <c r="AI481" s="8">
        <f t="shared" si="57"/>
        <v>9841.137612537339</v>
      </c>
      <c r="AJ481" s="6">
        <v>0</v>
      </c>
      <c r="AK481" s="5">
        <v>0</v>
      </c>
      <c r="AL481" s="6">
        <v>0</v>
      </c>
      <c r="AM481" s="5">
        <v>0</v>
      </c>
      <c r="AN481" s="6">
        <v>0</v>
      </c>
      <c r="AO481" s="5">
        <v>0</v>
      </c>
      <c r="AP481" s="6">
        <v>0</v>
      </c>
      <c r="AQ481" s="5">
        <v>0</v>
      </c>
      <c r="AR481" s="6">
        <v>0</v>
      </c>
      <c r="AS481" s="5">
        <v>0</v>
      </c>
      <c r="AT481" s="6">
        <v>0</v>
      </c>
      <c r="AU481" s="5">
        <v>0</v>
      </c>
      <c r="AV481" s="6">
        <v>0</v>
      </c>
      <c r="AW481" s="5">
        <v>0</v>
      </c>
      <c r="AX481" s="6">
        <v>1060</v>
      </c>
      <c r="AY481" s="5">
        <v>5612.9945767349609</v>
      </c>
      <c r="AZ481" s="6">
        <v>0</v>
      </c>
      <c r="BA481" s="5">
        <v>0</v>
      </c>
      <c r="BB481" s="6">
        <v>0</v>
      </c>
      <c r="BC481" s="5">
        <v>0</v>
      </c>
      <c r="BD481" s="6">
        <v>1020</v>
      </c>
      <c r="BE481" s="5">
        <v>5401.1834606317543</v>
      </c>
      <c r="BF481" s="6">
        <v>0</v>
      </c>
      <c r="BG481" s="5">
        <v>0</v>
      </c>
      <c r="BH481" s="9">
        <f t="shared" si="58"/>
        <v>2080</v>
      </c>
      <c r="BI481" s="10">
        <f t="shared" si="59"/>
        <v>11014.178037366715</v>
      </c>
      <c r="BJ481" s="6">
        <f t="shared" si="60"/>
        <v>142.76818650839732</v>
      </c>
      <c r="BK481" s="11">
        <f t="shared" si="61"/>
        <v>7.3697006994261904E-2</v>
      </c>
      <c r="BL481" s="5">
        <f t="shared" si="62"/>
        <v>1173.0404248293762</v>
      </c>
      <c r="BM481" s="11">
        <f t="shared" si="63"/>
        <v>0.11919764472503208</v>
      </c>
    </row>
    <row r="482" spans="1:65" ht="15" customHeight="1" x14ac:dyDescent="0.4">
      <c r="A482" s="2" t="s">
        <v>269</v>
      </c>
      <c r="B482" s="2" t="s">
        <v>388</v>
      </c>
      <c r="C482" s="2" t="s">
        <v>389</v>
      </c>
      <c r="D482" s="3" t="s">
        <v>68</v>
      </c>
      <c r="E482" s="3" t="s">
        <v>430</v>
      </c>
      <c r="F482" s="2" t="s">
        <v>431</v>
      </c>
      <c r="G482" s="4">
        <v>5</v>
      </c>
      <c r="H482" s="5">
        <v>2.4</v>
      </c>
      <c r="I482" s="5">
        <v>2.5017060957071591</v>
      </c>
      <c r="J482" s="6">
        <v>0</v>
      </c>
      <c r="K482" s="5">
        <v>0</v>
      </c>
      <c r="L482" s="6">
        <v>4946.1783709660658</v>
      </c>
      <c r="M482" s="5">
        <v>11870.82809031856</v>
      </c>
      <c r="N482" s="6">
        <v>0</v>
      </c>
      <c r="O482" s="5">
        <v>0</v>
      </c>
      <c r="P482" s="6">
        <v>0</v>
      </c>
      <c r="Q482" s="5">
        <v>0</v>
      </c>
      <c r="R482" s="6">
        <v>0</v>
      </c>
      <c r="S482" s="5">
        <v>0</v>
      </c>
      <c r="T482" s="6">
        <v>0</v>
      </c>
      <c r="U482" s="5">
        <v>0</v>
      </c>
      <c r="V482" s="6">
        <v>0</v>
      </c>
      <c r="W482" s="5">
        <v>0</v>
      </c>
      <c r="X482" s="6">
        <v>0</v>
      </c>
      <c r="Y482" s="5">
        <v>0</v>
      </c>
      <c r="Z482" s="6">
        <v>0</v>
      </c>
      <c r="AA482" s="5">
        <v>0</v>
      </c>
      <c r="AB482" s="6">
        <v>0</v>
      </c>
      <c r="AC482" s="5">
        <v>0</v>
      </c>
      <c r="AD482" s="6">
        <v>0</v>
      </c>
      <c r="AE482" s="5">
        <v>0</v>
      </c>
      <c r="AF482" s="6">
        <v>0</v>
      </c>
      <c r="AG482" s="5">
        <v>0</v>
      </c>
      <c r="AH482" s="7">
        <f t="shared" si="56"/>
        <v>4946.1783709660658</v>
      </c>
      <c r="AI482" s="8">
        <f t="shared" si="57"/>
        <v>11870.82809031856</v>
      </c>
      <c r="AJ482" s="6">
        <v>0</v>
      </c>
      <c r="AK482" s="5">
        <v>0</v>
      </c>
      <c r="AL482" s="6">
        <v>6230</v>
      </c>
      <c r="AM482" s="5">
        <v>15585.628976255601</v>
      </c>
      <c r="AN482" s="6">
        <v>0</v>
      </c>
      <c r="AO482" s="5">
        <v>0</v>
      </c>
      <c r="AP482" s="6">
        <v>0</v>
      </c>
      <c r="AQ482" s="5">
        <v>0</v>
      </c>
      <c r="AR482" s="6">
        <v>0</v>
      </c>
      <c r="AS482" s="5">
        <v>0</v>
      </c>
      <c r="AT482" s="6">
        <v>0</v>
      </c>
      <c r="AU482" s="5">
        <v>0</v>
      </c>
      <c r="AV482" s="6">
        <v>0</v>
      </c>
      <c r="AW482" s="5">
        <v>0</v>
      </c>
      <c r="AX482" s="6">
        <v>0</v>
      </c>
      <c r="AY482" s="5">
        <v>0</v>
      </c>
      <c r="AZ482" s="6">
        <v>0</v>
      </c>
      <c r="BA482" s="5">
        <v>0</v>
      </c>
      <c r="BB482" s="6">
        <v>0</v>
      </c>
      <c r="BC482" s="5">
        <v>0</v>
      </c>
      <c r="BD482" s="6">
        <v>0</v>
      </c>
      <c r="BE482" s="5">
        <v>0</v>
      </c>
      <c r="BF482" s="6">
        <v>0</v>
      </c>
      <c r="BG482" s="5">
        <v>0</v>
      </c>
      <c r="BH482" s="9">
        <f t="shared" si="58"/>
        <v>6230</v>
      </c>
      <c r="BI482" s="10">
        <f t="shared" si="59"/>
        <v>15585.628976255601</v>
      </c>
      <c r="BJ482" s="6">
        <f t="shared" si="60"/>
        <v>1283.8216290339342</v>
      </c>
      <c r="BK482" s="11">
        <f t="shared" si="61"/>
        <v>0.25955829586937923</v>
      </c>
      <c r="BL482" s="5">
        <f t="shared" si="62"/>
        <v>3714.8008859370402</v>
      </c>
      <c r="BM482" s="11">
        <f t="shared" si="63"/>
        <v>0.31293527778122776</v>
      </c>
    </row>
    <row r="483" spans="1:65" ht="15" customHeight="1" x14ac:dyDescent="0.4">
      <c r="A483" s="2" t="s">
        <v>269</v>
      </c>
      <c r="B483" s="2" t="s">
        <v>388</v>
      </c>
      <c r="C483" s="2" t="s">
        <v>389</v>
      </c>
      <c r="D483" s="3" t="s">
        <v>68</v>
      </c>
      <c r="E483" s="3" t="s">
        <v>430</v>
      </c>
      <c r="F483" s="2" t="s">
        <v>148</v>
      </c>
      <c r="G483" s="4">
        <v>5</v>
      </c>
      <c r="H483" s="5">
        <v>2.4</v>
      </c>
      <c r="I483" s="5">
        <v>2.5017060957071582</v>
      </c>
      <c r="J483" s="6">
        <v>0</v>
      </c>
      <c r="K483" s="5">
        <v>0</v>
      </c>
      <c r="L483" s="6">
        <v>0</v>
      </c>
      <c r="M483" s="5">
        <v>0</v>
      </c>
      <c r="N483" s="6">
        <v>0</v>
      </c>
      <c r="O483" s="5">
        <v>0</v>
      </c>
      <c r="P483" s="6">
        <v>0</v>
      </c>
      <c r="Q483" s="5">
        <v>0</v>
      </c>
      <c r="R483" s="6">
        <v>0</v>
      </c>
      <c r="S483" s="5">
        <v>0</v>
      </c>
      <c r="T483" s="6">
        <v>0</v>
      </c>
      <c r="U483" s="5">
        <v>0</v>
      </c>
      <c r="V483" s="6">
        <v>0</v>
      </c>
      <c r="W483" s="5">
        <v>0</v>
      </c>
      <c r="X483" s="6">
        <v>0</v>
      </c>
      <c r="Y483" s="5">
        <v>0</v>
      </c>
      <c r="Z483" s="6">
        <v>0</v>
      </c>
      <c r="AA483" s="5">
        <v>0</v>
      </c>
      <c r="AB483" s="6">
        <v>0</v>
      </c>
      <c r="AC483" s="5">
        <v>0</v>
      </c>
      <c r="AD483" s="6">
        <v>0</v>
      </c>
      <c r="AE483" s="5">
        <v>0</v>
      </c>
      <c r="AF483" s="6">
        <v>1895.992278596779</v>
      </c>
      <c r="AG483" s="5">
        <v>4550.3814686322676</v>
      </c>
      <c r="AH483" s="7">
        <f t="shared" si="56"/>
        <v>1895.992278596779</v>
      </c>
      <c r="AI483" s="8">
        <f t="shared" si="57"/>
        <v>4550.3814686322676</v>
      </c>
      <c r="AJ483" s="6">
        <v>0</v>
      </c>
      <c r="AK483" s="5">
        <v>0</v>
      </c>
      <c r="AL483" s="6">
        <v>0</v>
      </c>
      <c r="AM483" s="5">
        <v>0</v>
      </c>
      <c r="AN483" s="6">
        <v>0</v>
      </c>
      <c r="AO483" s="5">
        <v>0</v>
      </c>
      <c r="AP483" s="6">
        <v>0</v>
      </c>
      <c r="AQ483" s="5">
        <v>0</v>
      </c>
      <c r="AR483" s="6">
        <v>0</v>
      </c>
      <c r="AS483" s="5">
        <v>0</v>
      </c>
      <c r="AT483" s="6">
        <v>0</v>
      </c>
      <c r="AU483" s="5">
        <v>0</v>
      </c>
      <c r="AV483" s="6">
        <v>0</v>
      </c>
      <c r="AW483" s="5">
        <v>0</v>
      </c>
      <c r="AX483" s="6">
        <v>0</v>
      </c>
      <c r="AY483" s="5">
        <v>0</v>
      </c>
      <c r="AZ483" s="6">
        <v>0</v>
      </c>
      <c r="BA483" s="5">
        <v>0</v>
      </c>
      <c r="BB483" s="6">
        <v>0</v>
      </c>
      <c r="BC483" s="5">
        <v>0</v>
      </c>
      <c r="BD483" s="6">
        <v>0</v>
      </c>
      <c r="BE483" s="5">
        <v>0</v>
      </c>
      <c r="BF483" s="6">
        <v>2390</v>
      </c>
      <c r="BG483" s="5">
        <v>5979.0775687401083</v>
      </c>
      <c r="BH483" s="9">
        <f t="shared" si="58"/>
        <v>2390</v>
      </c>
      <c r="BI483" s="10">
        <f t="shared" si="59"/>
        <v>5979.0775687401083</v>
      </c>
      <c r="BJ483" s="6">
        <f t="shared" si="60"/>
        <v>494.00772140322101</v>
      </c>
      <c r="BK483" s="11">
        <f t="shared" si="61"/>
        <v>0.26055365677376879</v>
      </c>
      <c r="BL483" s="5">
        <f t="shared" si="62"/>
        <v>1428.6961001078407</v>
      </c>
      <c r="BM483" s="11">
        <f t="shared" si="63"/>
        <v>0.3139728196320366</v>
      </c>
    </row>
    <row r="484" spans="1:65" ht="15" customHeight="1" x14ac:dyDescent="0.4">
      <c r="A484" s="2" t="s">
        <v>269</v>
      </c>
      <c r="B484" s="2" t="s">
        <v>388</v>
      </c>
      <c r="C484" s="2" t="s">
        <v>389</v>
      </c>
      <c r="D484" s="3" t="s">
        <v>68</v>
      </c>
      <c r="E484" s="3" t="s">
        <v>432</v>
      </c>
      <c r="F484" s="2" t="s">
        <v>433</v>
      </c>
      <c r="G484" s="4">
        <v>5</v>
      </c>
      <c r="H484" s="5">
        <v>2.54</v>
      </c>
      <c r="I484" s="5">
        <v>2.6476389512900762</v>
      </c>
      <c r="J484" s="6">
        <v>1978.4713483864259</v>
      </c>
      <c r="K484" s="5">
        <v>5025.3172249015233</v>
      </c>
      <c r="L484" s="6">
        <v>0</v>
      </c>
      <c r="M484" s="5">
        <v>0</v>
      </c>
      <c r="N484" s="6">
        <v>0</v>
      </c>
      <c r="O484" s="5">
        <v>0</v>
      </c>
      <c r="P484" s="6">
        <v>0</v>
      </c>
      <c r="Q484" s="5">
        <v>0</v>
      </c>
      <c r="R484" s="6">
        <v>0</v>
      </c>
      <c r="S484" s="5">
        <v>0</v>
      </c>
      <c r="T484" s="6">
        <v>0</v>
      </c>
      <c r="U484" s="5">
        <v>0</v>
      </c>
      <c r="V484" s="6">
        <v>0</v>
      </c>
      <c r="W484" s="5">
        <v>0</v>
      </c>
      <c r="X484" s="6">
        <v>0</v>
      </c>
      <c r="Y484" s="5">
        <v>0</v>
      </c>
      <c r="Z484" s="6">
        <v>0</v>
      </c>
      <c r="AA484" s="5">
        <v>0</v>
      </c>
      <c r="AB484" s="6">
        <v>0</v>
      </c>
      <c r="AC484" s="5">
        <v>0</v>
      </c>
      <c r="AD484" s="6">
        <v>0</v>
      </c>
      <c r="AE484" s="5">
        <v>0</v>
      </c>
      <c r="AF484" s="6">
        <v>0</v>
      </c>
      <c r="AG484" s="5">
        <v>0</v>
      </c>
      <c r="AH484" s="7">
        <f t="shared" si="56"/>
        <v>1978.4713483864259</v>
      </c>
      <c r="AI484" s="8">
        <f t="shared" si="57"/>
        <v>5025.3172249015233</v>
      </c>
      <c r="AJ484" s="6">
        <v>2235</v>
      </c>
      <c r="AK484" s="5">
        <v>5917.473056133319</v>
      </c>
      <c r="AL484" s="6">
        <v>0</v>
      </c>
      <c r="AM484" s="5">
        <v>0</v>
      </c>
      <c r="AN484" s="6">
        <v>0</v>
      </c>
      <c r="AO484" s="5">
        <v>0</v>
      </c>
      <c r="AP484" s="6">
        <v>0</v>
      </c>
      <c r="AQ484" s="5">
        <v>0</v>
      </c>
      <c r="AR484" s="6">
        <v>0</v>
      </c>
      <c r="AS484" s="5">
        <v>0</v>
      </c>
      <c r="AT484" s="6">
        <v>0</v>
      </c>
      <c r="AU484" s="5">
        <v>0</v>
      </c>
      <c r="AV484" s="6">
        <v>0</v>
      </c>
      <c r="AW484" s="5">
        <v>0</v>
      </c>
      <c r="AX484" s="6">
        <v>0</v>
      </c>
      <c r="AY484" s="5">
        <v>0</v>
      </c>
      <c r="AZ484" s="6">
        <v>0</v>
      </c>
      <c r="BA484" s="5">
        <v>0</v>
      </c>
      <c r="BB484" s="6">
        <v>0</v>
      </c>
      <c r="BC484" s="5">
        <v>0</v>
      </c>
      <c r="BD484" s="6">
        <v>0</v>
      </c>
      <c r="BE484" s="5">
        <v>0</v>
      </c>
      <c r="BF484" s="6">
        <v>0</v>
      </c>
      <c r="BG484" s="5">
        <v>0</v>
      </c>
      <c r="BH484" s="9">
        <f t="shared" si="58"/>
        <v>2235</v>
      </c>
      <c r="BI484" s="10">
        <f t="shared" si="59"/>
        <v>5917.473056133319</v>
      </c>
      <c r="BJ484" s="6">
        <f t="shared" si="60"/>
        <v>256.52865161357408</v>
      </c>
      <c r="BK484" s="11">
        <f t="shared" si="61"/>
        <v>0.12966002859874121</v>
      </c>
      <c r="BL484" s="5">
        <f t="shared" si="62"/>
        <v>892.15583123179567</v>
      </c>
      <c r="BM484" s="11">
        <f t="shared" si="63"/>
        <v>0.1775322415092469</v>
      </c>
    </row>
    <row r="485" spans="1:65" ht="15" customHeight="1" x14ac:dyDescent="0.4">
      <c r="A485" s="2" t="s">
        <v>269</v>
      </c>
      <c r="B485" s="2" t="s">
        <v>388</v>
      </c>
      <c r="C485" s="2" t="s">
        <v>389</v>
      </c>
      <c r="D485" s="3" t="s">
        <v>68</v>
      </c>
      <c r="E485" s="3" t="s">
        <v>432</v>
      </c>
      <c r="F485" s="2" t="s">
        <v>248</v>
      </c>
      <c r="G485" s="4">
        <v>5</v>
      </c>
      <c r="H485" s="5">
        <v>2.54</v>
      </c>
      <c r="I485" s="5">
        <v>2.6476389512900762</v>
      </c>
      <c r="J485" s="6">
        <v>0</v>
      </c>
      <c r="K485" s="5">
        <v>0</v>
      </c>
      <c r="L485" s="6">
        <v>0</v>
      </c>
      <c r="M485" s="5">
        <v>0</v>
      </c>
      <c r="N485" s="6">
        <v>0</v>
      </c>
      <c r="O485" s="5">
        <v>0</v>
      </c>
      <c r="P485" s="6">
        <v>0</v>
      </c>
      <c r="Q485" s="5">
        <v>0</v>
      </c>
      <c r="R485" s="6">
        <v>0</v>
      </c>
      <c r="S485" s="5">
        <v>0</v>
      </c>
      <c r="T485" s="6">
        <v>0</v>
      </c>
      <c r="U485" s="5">
        <v>0</v>
      </c>
      <c r="V485" s="6">
        <v>0</v>
      </c>
      <c r="W485" s="5">
        <v>0</v>
      </c>
      <c r="X485" s="6">
        <v>0</v>
      </c>
      <c r="Y485" s="5">
        <v>0</v>
      </c>
      <c r="Z485" s="6">
        <v>0</v>
      </c>
      <c r="AA485" s="5">
        <v>0</v>
      </c>
      <c r="AB485" s="6">
        <v>0</v>
      </c>
      <c r="AC485" s="5">
        <v>0</v>
      </c>
      <c r="AD485" s="6">
        <v>0</v>
      </c>
      <c r="AE485" s="5">
        <v>0</v>
      </c>
      <c r="AF485" s="6">
        <v>947.99613929838938</v>
      </c>
      <c r="AG485" s="5">
        <v>2407.9101938179092</v>
      </c>
      <c r="AH485" s="7">
        <f t="shared" si="56"/>
        <v>947.99613929838938</v>
      </c>
      <c r="AI485" s="8">
        <f t="shared" si="57"/>
        <v>2407.9101938179092</v>
      </c>
      <c r="AJ485" s="6">
        <v>0</v>
      </c>
      <c r="AK485" s="5">
        <v>0</v>
      </c>
      <c r="AL485" s="6">
        <v>0</v>
      </c>
      <c r="AM485" s="5">
        <v>0</v>
      </c>
      <c r="AN485" s="6">
        <v>0</v>
      </c>
      <c r="AO485" s="5">
        <v>0</v>
      </c>
      <c r="AP485" s="6">
        <v>0</v>
      </c>
      <c r="AQ485" s="5">
        <v>0</v>
      </c>
      <c r="AR485" s="6">
        <v>0</v>
      </c>
      <c r="AS485" s="5">
        <v>0</v>
      </c>
      <c r="AT485" s="6">
        <v>0</v>
      </c>
      <c r="AU485" s="5">
        <v>0</v>
      </c>
      <c r="AV485" s="6">
        <v>0</v>
      </c>
      <c r="AW485" s="5">
        <v>0</v>
      </c>
      <c r="AX485" s="6">
        <v>0</v>
      </c>
      <c r="AY485" s="5">
        <v>0</v>
      </c>
      <c r="AZ485" s="6">
        <v>0</v>
      </c>
      <c r="BA485" s="5">
        <v>0</v>
      </c>
      <c r="BB485" s="6">
        <v>0</v>
      </c>
      <c r="BC485" s="5">
        <v>0</v>
      </c>
      <c r="BD485" s="6">
        <v>0</v>
      </c>
      <c r="BE485" s="5">
        <v>0</v>
      </c>
      <c r="BF485" s="6">
        <v>1070</v>
      </c>
      <c r="BG485" s="5">
        <v>2832.9736778803808</v>
      </c>
      <c r="BH485" s="9">
        <f t="shared" si="58"/>
        <v>1070</v>
      </c>
      <c r="BI485" s="10">
        <f t="shared" si="59"/>
        <v>2832.9736778803808</v>
      </c>
      <c r="BJ485" s="6">
        <f t="shared" si="60"/>
        <v>122.00386070161062</v>
      </c>
      <c r="BK485" s="11">
        <f t="shared" si="61"/>
        <v>0.12869657970538309</v>
      </c>
      <c r="BL485" s="5">
        <f t="shared" si="62"/>
        <v>425.06348406247162</v>
      </c>
      <c r="BM485" s="11">
        <f t="shared" si="63"/>
        <v>0.17652796402199031</v>
      </c>
    </row>
    <row r="486" spans="1:65" ht="15" customHeight="1" x14ac:dyDescent="0.4">
      <c r="A486" s="2" t="s">
        <v>269</v>
      </c>
      <c r="B486" s="2" t="s">
        <v>388</v>
      </c>
      <c r="C486" s="2" t="s">
        <v>389</v>
      </c>
      <c r="D486" s="3" t="s">
        <v>68</v>
      </c>
      <c r="E486" s="3" t="s">
        <v>434</v>
      </c>
      <c r="F486" s="2" t="s">
        <v>435</v>
      </c>
      <c r="G486" s="4">
        <v>5</v>
      </c>
      <c r="H486" s="5">
        <v>2.5499999999999998</v>
      </c>
      <c r="I486" s="5">
        <v>2.6580627266888559</v>
      </c>
      <c r="J486" s="6">
        <v>0</v>
      </c>
      <c r="K486" s="5">
        <v>0</v>
      </c>
      <c r="L486" s="6">
        <v>0</v>
      </c>
      <c r="M486" s="5">
        <v>0</v>
      </c>
      <c r="N486" s="6">
        <v>0</v>
      </c>
      <c r="O486" s="5">
        <v>0</v>
      </c>
      <c r="P486" s="6">
        <v>0</v>
      </c>
      <c r="Q486" s="5">
        <v>0</v>
      </c>
      <c r="R486" s="6">
        <v>593.54140451592798</v>
      </c>
      <c r="S486" s="5">
        <v>1513.5305815156159</v>
      </c>
      <c r="T486" s="6">
        <v>0</v>
      </c>
      <c r="U486" s="5">
        <v>0</v>
      </c>
      <c r="V486" s="6">
        <v>0</v>
      </c>
      <c r="W486" s="5">
        <v>0</v>
      </c>
      <c r="X486" s="6">
        <v>0</v>
      </c>
      <c r="Y486" s="5">
        <v>0</v>
      </c>
      <c r="Z486" s="6">
        <v>0</v>
      </c>
      <c r="AA486" s="5">
        <v>0</v>
      </c>
      <c r="AB486" s="6">
        <v>0</v>
      </c>
      <c r="AC486" s="5">
        <v>0</v>
      </c>
      <c r="AD486" s="6">
        <v>0</v>
      </c>
      <c r="AE486" s="5">
        <v>0</v>
      </c>
      <c r="AF486" s="6">
        <v>0</v>
      </c>
      <c r="AG486" s="5">
        <v>0</v>
      </c>
      <c r="AH486" s="7">
        <f t="shared" si="56"/>
        <v>593.54140451592798</v>
      </c>
      <c r="AI486" s="8">
        <f t="shared" si="57"/>
        <v>1513.5305815156159</v>
      </c>
      <c r="AJ486" s="6">
        <v>0</v>
      </c>
      <c r="AK486" s="5">
        <v>0</v>
      </c>
      <c r="AL486" s="6">
        <v>0</v>
      </c>
      <c r="AM486" s="5">
        <v>0</v>
      </c>
      <c r="AN486" s="6">
        <v>0</v>
      </c>
      <c r="AO486" s="5">
        <v>0</v>
      </c>
      <c r="AP486" s="6">
        <v>0</v>
      </c>
      <c r="AQ486" s="5">
        <v>0</v>
      </c>
      <c r="AR486" s="6">
        <v>645</v>
      </c>
      <c r="AS486" s="5">
        <v>1714.4504587143119</v>
      </c>
      <c r="AT486" s="6">
        <v>0</v>
      </c>
      <c r="AU486" s="5">
        <v>0</v>
      </c>
      <c r="AV486" s="6">
        <v>0</v>
      </c>
      <c r="AW486" s="5">
        <v>0</v>
      </c>
      <c r="AX486" s="6">
        <v>0</v>
      </c>
      <c r="AY486" s="5">
        <v>0</v>
      </c>
      <c r="AZ486" s="6">
        <v>0</v>
      </c>
      <c r="BA486" s="5">
        <v>0</v>
      </c>
      <c r="BB486" s="6">
        <v>0</v>
      </c>
      <c r="BC486" s="5">
        <v>0</v>
      </c>
      <c r="BD486" s="6">
        <v>0</v>
      </c>
      <c r="BE486" s="5">
        <v>0</v>
      </c>
      <c r="BF486" s="6">
        <v>0</v>
      </c>
      <c r="BG486" s="5">
        <v>0</v>
      </c>
      <c r="BH486" s="9">
        <f t="shared" si="58"/>
        <v>645</v>
      </c>
      <c r="BI486" s="10">
        <f t="shared" si="59"/>
        <v>1714.4504587143119</v>
      </c>
      <c r="BJ486" s="6">
        <f t="shared" si="60"/>
        <v>51.458595484072021</v>
      </c>
      <c r="BK486" s="11">
        <f t="shared" si="61"/>
        <v>8.6697566660981107E-2</v>
      </c>
      <c r="BL486" s="5">
        <f t="shared" si="62"/>
        <v>200.91987719869599</v>
      </c>
      <c r="BM486" s="11">
        <f t="shared" si="63"/>
        <v>0.13274913612746383</v>
      </c>
    </row>
    <row r="487" spans="1:65" ht="15" customHeight="1" x14ac:dyDescent="0.4">
      <c r="A487" s="2" t="s">
        <v>269</v>
      </c>
      <c r="B487" s="2" t="s">
        <v>388</v>
      </c>
      <c r="C487" s="2" t="s">
        <v>389</v>
      </c>
      <c r="D487" s="3" t="s">
        <v>68</v>
      </c>
      <c r="E487" s="3" t="s">
        <v>436</v>
      </c>
      <c r="F487" s="2" t="s">
        <v>185</v>
      </c>
      <c r="G487" s="4">
        <v>5</v>
      </c>
      <c r="H487" s="5">
        <v>3.38</v>
      </c>
      <c r="I487" s="5">
        <v>3.5232360847875812</v>
      </c>
      <c r="J487" s="6">
        <v>0</v>
      </c>
      <c r="K487" s="5">
        <v>0</v>
      </c>
      <c r="L487" s="6">
        <v>0</v>
      </c>
      <c r="M487" s="5">
        <v>0</v>
      </c>
      <c r="N487" s="6">
        <v>0</v>
      </c>
      <c r="O487" s="5">
        <v>0</v>
      </c>
      <c r="P487" s="6">
        <v>0</v>
      </c>
      <c r="Q487" s="5">
        <v>0</v>
      </c>
      <c r="R487" s="6">
        <v>0</v>
      </c>
      <c r="S487" s="5">
        <v>0</v>
      </c>
      <c r="T487" s="6">
        <v>0</v>
      </c>
      <c r="U487" s="5">
        <v>0</v>
      </c>
      <c r="V487" s="6">
        <v>0</v>
      </c>
      <c r="W487" s="5">
        <v>0</v>
      </c>
      <c r="X487" s="6">
        <v>593.54140451592798</v>
      </c>
      <c r="Y487" s="5">
        <v>2006.169947263837</v>
      </c>
      <c r="Z487" s="6">
        <v>0</v>
      </c>
      <c r="AA487" s="5">
        <v>0</v>
      </c>
      <c r="AB487" s="6">
        <v>0</v>
      </c>
      <c r="AC487" s="5">
        <v>0</v>
      </c>
      <c r="AD487" s="6">
        <v>0</v>
      </c>
      <c r="AE487" s="5">
        <v>0</v>
      </c>
      <c r="AF487" s="6">
        <v>0</v>
      </c>
      <c r="AG487" s="5">
        <v>0</v>
      </c>
      <c r="AH487" s="7">
        <f t="shared" si="56"/>
        <v>593.54140451592798</v>
      </c>
      <c r="AI487" s="8">
        <f t="shared" si="57"/>
        <v>2006.169947263837</v>
      </c>
      <c r="AJ487" s="6">
        <v>0</v>
      </c>
      <c r="AK487" s="5">
        <v>0</v>
      </c>
      <c r="AL487" s="6">
        <v>0</v>
      </c>
      <c r="AM487" s="5">
        <v>0</v>
      </c>
      <c r="AN487" s="6">
        <v>0</v>
      </c>
      <c r="AO487" s="5">
        <v>0</v>
      </c>
      <c r="AP487" s="6">
        <v>0</v>
      </c>
      <c r="AQ487" s="5">
        <v>0</v>
      </c>
      <c r="AR487" s="6">
        <v>0</v>
      </c>
      <c r="AS487" s="5">
        <v>0</v>
      </c>
      <c r="AT487" s="6">
        <v>0</v>
      </c>
      <c r="AU487" s="5">
        <v>0</v>
      </c>
      <c r="AV487" s="6">
        <v>0</v>
      </c>
      <c r="AW487" s="5">
        <v>0</v>
      </c>
      <c r="AX487" s="6">
        <v>635</v>
      </c>
      <c r="AY487" s="5">
        <v>2237.2549138401141</v>
      </c>
      <c r="AZ487" s="6">
        <v>0</v>
      </c>
      <c r="BA487" s="5">
        <v>0</v>
      </c>
      <c r="BB487" s="6">
        <v>0</v>
      </c>
      <c r="BC487" s="5">
        <v>0</v>
      </c>
      <c r="BD487" s="6">
        <v>0</v>
      </c>
      <c r="BE487" s="5">
        <v>0</v>
      </c>
      <c r="BF487" s="6">
        <v>0</v>
      </c>
      <c r="BG487" s="5">
        <v>0</v>
      </c>
      <c r="BH487" s="9">
        <f t="shared" si="58"/>
        <v>635</v>
      </c>
      <c r="BI487" s="10">
        <f t="shared" si="59"/>
        <v>2237.2549138401141</v>
      </c>
      <c r="BJ487" s="6">
        <f t="shared" si="60"/>
        <v>41.458595484072021</v>
      </c>
      <c r="BK487" s="11">
        <f t="shared" si="61"/>
        <v>6.9849542371663575E-2</v>
      </c>
      <c r="BL487" s="5">
        <f t="shared" si="62"/>
        <v>231.08496657627711</v>
      </c>
      <c r="BM487" s="11">
        <f t="shared" si="63"/>
        <v>0.11518713401695997</v>
      </c>
    </row>
    <row r="488" spans="1:65" ht="15" customHeight="1" x14ac:dyDescent="0.4">
      <c r="A488" s="2" t="s">
        <v>269</v>
      </c>
      <c r="B488" s="2" t="s">
        <v>388</v>
      </c>
      <c r="C488" s="2" t="s">
        <v>389</v>
      </c>
      <c r="D488" s="3" t="s">
        <v>68</v>
      </c>
      <c r="E488" s="3" t="s">
        <v>437</v>
      </c>
      <c r="F488" s="2" t="s">
        <v>438</v>
      </c>
      <c r="G488" s="4">
        <v>20</v>
      </c>
      <c r="H488" s="5">
        <v>3.13</v>
      </c>
      <c r="I488" s="5">
        <v>3.262641699818086</v>
      </c>
      <c r="J488" s="6">
        <v>0</v>
      </c>
      <c r="K488" s="5">
        <v>0</v>
      </c>
      <c r="L488" s="6">
        <v>0</v>
      </c>
      <c r="M488" s="5">
        <v>0</v>
      </c>
      <c r="N488" s="6">
        <v>0</v>
      </c>
      <c r="O488" s="5">
        <v>0</v>
      </c>
      <c r="P488" s="6">
        <v>0</v>
      </c>
      <c r="Q488" s="5">
        <v>0</v>
      </c>
      <c r="R488" s="6">
        <v>494.61783709660659</v>
      </c>
      <c r="S488" s="5">
        <v>1548.153830112379</v>
      </c>
      <c r="T488" s="6">
        <v>0</v>
      </c>
      <c r="U488" s="5">
        <v>0</v>
      </c>
      <c r="V488" s="6">
        <v>0</v>
      </c>
      <c r="W488" s="5">
        <v>0</v>
      </c>
      <c r="X488" s="6">
        <v>0</v>
      </c>
      <c r="Y488" s="5">
        <v>0</v>
      </c>
      <c r="Z488" s="6">
        <v>0</v>
      </c>
      <c r="AA488" s="5">
        <v>0</v>
      </c>
      <c r="AB488" s="6">
        <v>0</v>
      </c>
      <c r="AC488" s="5">
        <v>0</v>
      </c>
      <c r="AD488" s="6">
        <v>0</v>
      </c>
      <c r="AE488" s="5">
        <v>0</v>
      </c>
      <c r="AF488" s="6">
        <v>0</v>
      </c>
      <c r="AG488" s="5">
        <v>0</v>
      </c>
      <c r="AH488" s="7">
        <f t="shared" si="56"/>
        <v>494.61783709660659</v>
      </c>
      <c r="AI488" s="8">
        <f t="shared" si="57"/>
        <v>1548.153830112379</v>
      </c>
      <c r="AJ488" s="6">
        <v>0</v>
      </c>
      <c r="AK488" s="5">
        <v>0</v>
      </c>
      <c r="AL488" s="6">
        <v>0</v>
      </c>
      <c r="AM488" s="5">
        <v>0</v>
      </c>
      <c r="AN488" s="6">
        <v>0</v>
      </c>
      <c r="AO488" s="5">
        <v>0</v>
      </c>
      <c r="AP488" s="6">
        <v>0</v>
      </c>
      <c r="AQ488" s="5">
        <v>0</v>
      </c>
      <c r="AR488" s="6">
        <v>520</v>
      </c>
      <c r="AS488" s="5">
        <v>1696.573683905405</v>
      </c>
      <c r="AT488" s="6">
        <v>0</v>
      </c>
      <c r="AU488" s="5">
        <v>0</v>
      </c>
      <c r="AV488" s="6">
        <v>0</v>
      </c>
      <c r="AW488" s="5">
        <v>0</v>
      </c>
      <c r="AX488" s="6">
        <v>0</v>
      </c>
      <c r="AY488" s="5">
        <v>0</v>
      </c>
      <c r="AZ488" s="6">
        <v>0</v>
      </c>
      <c r="BA488" s="5">
        <v>0</v>
      </c>
      <c r="BB488" s="6">
        <v>0</v>
      </c>
      <c r="BC488" s="5">
        <v>0</v>
      </c>
      <c r="BD488" s="6">
        <v>0</v>
      </c>
      <c r="BE488" s="5">
        <v>0</v>
      </c>
      <c r="BF488" s="6">
        <v>0</v>
      </c>
      <c r="BG488" s="5">
        <v>0</v>
      </c>
      <c r="BH488" s="9">
        <f t="shared" si="58"/>
        <v>520</v>
      </c>
      <c r="BI488" s="10">
        <f t="shared" si="59"/>
        <v>1696.573683905405</v>
      </c>
      <c r="BJ488" s="6">
        <f t="shared" si="60"/>
        <v>25.382162903393407</v>
      </c>
      <c r="BK488" s="11">
        <f t="shared" si="61"/>
        <v>5.1316715653414405E-2</v>
      </c>
      <c r="BL488" s="5">
        <f t="shared" si="62"/>
        <v>148.41985379302605</v>
      </c>
      <c r="BM488" s="11">
        <f t="shared" si="63"/>
        <v>9.5868931695406778E-2</v>
      </c>
    </row>
    <row r="489" spans="1:65" ht="15" customHeight="1" x14ac:dyDescent="0.4">
      <c r="A489" s="2" t="s">
        <v>269</v>
      </c>
      <c r="B489" s="2" t="s">
        <v>388</v>
      </c>
      <c r="C489" s="2" t="s">
        <v>389</v>
      </c>
      <c r="D489" s="3" t="s">
        <v>68</v>
      </c>
      <c r="E489" s="3" t="s">
        <v>437</v>
      </c>
      <c r="F489" s="2" t="s">
        <v>439</v>
      </c>
      <c r="G489" s="4">
        <v>20</v>
      </c>
      <c r="H489" s="5">
        <v>3.13</v>
      </c>
      <c r="I489" s="5">
        <v>3.262641699818086</v>
      </c>
      <c r="J489" s="6">
        <v>0</v>
      </c>
      <c r="K489" s="5">
        <v>0</v>
      </c>
      <c r="L489" s="6">
        <v>0</v>
      </c>
      <c r="M489" s="5">
        <v>0</v>
      </c>
      <c r="N489" s="6">
        <v>0</v>
      </c>
      <c r="O489" s="5">
        <v>0</v>
      </c>
      <c r="P489" s="6">
        <v>0</v>
      </c>
      <c r="Q489" s="5">
        <v>0</v>
      </c>
      <c r="R489" s="6">
        <v>0</v>
      </c>
      <c r="S489" s="5">
        <v>0</v>
      </c>
      <c r="T489" s="6">
        <v>0</v>
      </c>
      <c r="U489" s="5">
        <v>0</v>
      </c>
      <c r="V489" s="6">
        <v>0</v>
      </c>
      <c r="W489" s="5">
        <v>0</v>
      </c>
      <c r="X489" s="6">
        <v>0</v>
      </c>
      <c r="Y489" s="5">
        <v>0</v>
      </c>
      <c r="Z489" s="6">
        <v>0</v>
      </c>
      <c r="AA489" s="5">
        <v>0</v>
      </c>
      <c r="AB489" s="6">
        <v>0</v>
      </c>
      <c r="AC489" s="5">
        <v>0</v>
      </c>
      <c r="AD489" s="6">
        <v>0</v>
      </c>
      <c r="AE489" s="5">
        <v>0</v>
      </c>
      <c r="AF489" s="6">
        <v>568.79768357903356</v>
      </c>
      <c r="AG489" s="5">
        <v>1780.336749602375</v>
      </c>
      <c r="AH489" s="7">
        <f t="shared" si="56"/>
        <v>568.79768357903356</v>
      </c>
      <c r="AI489" s="8">
        <f t="shared" si="57"/>
        <v>1780.336749602375</v>
      </c>
      <c r="AJ489" s="6">
        <v>0</v>
      </c>
      <c r="AK489" s="5">
        <v>0</v>
      </c>
      <c r="AL489" s="6">
        <v>0</v>
      </c>
      <c r="AM489" s="5">
        <v>0</v>
      </c>
      <c r="AN489" s="6">
        <v>0</v>
      </c>
      <c r="AO489" s="5">
        <v>0</v>
      </c>
      <c r="AP489" s="6">
        <v>0</v>
      </c>
      <c r="AQ489" s="5">
        <v>0</v>
      </c>
      <c r="AR489" s="6">
        <v>0</v>
      </c>
      <c r="AS489" s="5">
        <v>0</v>
      </c>
      <c r="AT489" s="6">
        <v>0</v>
      </c>
      <c r="AU489" s="5">
        <v>0</v>
      </c>
      <c r="AV489" s="6">
        <v>0</v>
      </c>
      <c r="AW489" s="5">
        <v>0</v>
      </c>
      <c r="AX489" s="6">
        <v>0</v>
      </c>
      <c r="AY489" s="5">
        <v>0</v>
      </c>
      <c r="AZ489" s="6">
        <v>0</v>
      </c>
      <c r="BA489" s="5">
        <v>0</v>
      </c>
      <c r="BB489" s="6">
        <v>0</v>
      </c>
      <c r="BC489" s="5">
        <v>0</v>
      </c>
      <c r="BD489" s="6">
        <v>0</v>
      </c>
      <c r="BE489" s="5">
        <v>0</v>
      </c>
      <c r="BF489" s="6">
        <v>600</v>
      </c>
      <c r="BG489" s="5">
        <v>1957.585019890852</v>
      </c>
      <c r="BH489" s="9">
        <f t="shared" si="58"/>
        <v>600</v>
      </c>
      <c r="BI489" s="10">
        <f t="shared" si="59"/>
        <v>1957.585019890852</v>
      </c>
      <c r="BJ489" s="6">
        <f t="shared" si="60"/>
        <v>31.20231642096644</v>
      </c>
      <c r="BK489" s="11">
        <f t="shared" si="61"/>
        <v>5.4856616547087129E-2</v>
      </c>
      <c r="BL489" s="5">
        <f t="shared" si="62"/>
        <v>177.24827028847699</v>
      </c>
      <c r="BM489" s="11">
        <f t="shared" si="63"/>
        <v>9.955884488036551E-2</v>
      </c>
    </row>
    <row r="490" spans="1:65" ht="15" customHeight="1" x14ac:dyDescent="0.4">
      <c r="A490" s="2" t="s">
        <v>269</v>
      </c>
      <c r="B490" s="2" t="s">
        <v>388</v>
      </c>
      <c r="C490" s="2" t="s">
        <v>389</v>
      </c>
      <c r="D490" s="3" t="s">
        <v>68</v>
      </c>
      <c r="E490" s="3" t="s">
        <v>440</v>
      </c>
      <c r="F490" s="2" t="s">
        <v>441</v>
      </c>
      <c r="G490" s="4">
        <v>5</v>
      </c>
      <c r="H490" s="5">
        <v>3.3</v>
      </c>
      <c r="I490" s="5">
        <v>3.4398458815973441</v>
      </c>
      <c r="J490" s="6">
        <v>0</v>
      </c>
      <c r="K490" s="5">
        <v>0</v>
      </c>
      <c r="L490" s="6">
        <v>0</v>
      </c>
      <c r="M490" s="5">
        <v>0</v>
      </c>
      <c r="N490" s="6">
        <v>0</v>
      </c>
      <c r="O490" s="5">
        <v>0</v>
      </c>
      <c r="P490" s="6">
        <v>0</v>
      </c>
      <c r="Q490" s="5">
        <v>0</v>
      </c>
      <c r="R490" s="6">
        <v>2967.7070225796401</v>
      </c>
      <c r="S490" s="5">
        <v>9793.4331745128111</v>
      </c>
      <c r="T490" s="6">
        <v>0</v>
      </c>
      <c r="U490" s="5">
        <v>0</v>
      </c>
      <c r="V490" s="6">
        <v>0</v>
      </c>
      <c r="W490" s="5">
        <v>0</v>
      </c>
      <c r="X490" s="6">
        <v>0</v>
      </c>
      <c r="Y490" s="5">
        <v>0</v>
      </c>
      <c r="Z490" s="6">
        <v>0</v>
      </c>
      <c r="AA490" s="5">
        <v>0</v>
      </c>
      <c r="AB490" s="6">
        <v>0</v>
      </c>
      <c r="AC490" s="5">
        <v>0</v>
      </c>
      <c r="AD490" s="6">
        <v>0</v>
      </c>
      <c r="AE490" s="5">
        <v>0</v>
      </c>
      <c r="AF490" s="6">
        <v>0</v>
      </c>
      <c r="AG490" s="5">
        <v>0</v>
      </c>
      <c r="AH490" s="7">
        <f t="shared" si="56"/>
        <v>2967.7070225796401</v>
      </c>
      <c r="AI490" s="8">
        <f t="shared" si="57"/>
        <v>9793.4331745128111</v>
      </c>
      <c r="AJ490" s="6">
        <v>0</v>
      </c>
      <c r="AK490" s="5">
        <v>0</v>
      </c>
      <c r="AL490" s="6">
        <v>0</v>
      </c>
      <c r="AM490" s="5">
        <v>0</v>
      </c>
      <c r="AN490" s="6">
        <v>0</v>
      </c>
      <c r="AO490" s="5">
        <v>0</v>
      </c>
      <c r="AP490" s="6">
        <v>0</v>
      </c>
      <c r="AQ490" s="5">
        <v>0</v>
      </c>
      <c r="AR490" s="6">
        <v>3270</v>
      </c>
      <c r="AS490" s="5">
        <v>11248.296032823309</v>
      </c>
      <c r="AT490" s="6">
        <v>0</v>
      </c>
      <c r="AU490" s="5">
        <v>0</v>
      </c>
      <c r="AV490" s="6">
        <v>0</v>
      </c>
      <c r="AW490" s="5">
        <v>0</v>
      </c>
      <c r="AX490" s="6">
        <v>0</v>
      </c>
      <c r="AY490" s="5">
        <v>0</v>
      </c>
      <c r="AZ490" s="6">
        <v>0</v>
      </c>
      <c r="BA490" s="5">
        <v>0</v>
      </c>
      <c r="BB490" s="6">
        <v>0</v>
      </c>
      <c r="BC490" s="5">
        <v>0</v>
      </c>
      <c r="BD490" s="6">
        <v>0</v>
      </c>
      <c r="BE490" s="5">
        <v>0</v>
      </c>
      <c r="BF490" s="6">
        <v>0</v>
      </c>
      <c r="BG490" s="5">
        <v>0</v>
      </c>
      <c r="BH490" s="9">
        <f t="shared" si="58"/>
        <v>3270</v>
      </c>
      <c r="BI490" s="10">
        <f t="shared" si="59"/>
        <v>11248.296032823309</v>
      </c>
      <c r="BJ490" s="6">
        <f t="shared" si="60"/>
        <v>302.29297742035988</v>
      </c>
      <c r="BK490" s="11">
        <f t="shared" si="61"/>
        <v>0.1018607885213668</v>
      </c>
      <c r="BL490" s="5">
        <f t="shared" si="62"/>
        <v>1454.8628583104983</v>
      </c>
      <c r="BM490" s="11">
        <f t="shared" si="63"/>
        <v>0.14855493802691644</v>
      </c>
    </row>
    <row r="491" spans="1:65" ht="15" customHeight="1" x14ac:dyDescent="0.4">
      <c r="A491" s="2" t="s">
        <v>269</v>
      </c>
      <c r="B491" s="2" t="s">
        <v>388</v>
      </c>
      <c r="C491" s="2" t="s">
        <v>389</v>
      </c>
      <c r="D491" s="3" t="s">
        <v>68</v>
      </c>
      <c r="E491" s="3" t="s">
        <v>440</v>
      </c>
      <c r="F491" s="2" t="s">
        <v>129</v>
      </c>
      <c r="G491" s="4">
        <v>5</v>
      </c>
      <c r="H491" s="5">
        <v>3.3</v>
      </c>
      <c r="I491" s="5">
        <v>3.4398458815973418</v>
      </c>
      <c r="J491" s="6">
        <v>0</v>
      </c>
      <c r="K491" s="5">
        <v>0</v>
      </c>
      <c r="L491" s="6">
        <v>0</v>
      </c>
      <c r="M491" s="5">
        <v>0</v>
      </c>
      <c r="N491" s="6">
        <v>0</v>
      </c>
      <c r="O491" s="5">
        <v>0</v>
      </c>
      <c r="P491" s="6">
        <v>0</v>
      </c>
      <c r="Q491" s="5">
        <v>0</v>
      </c>
      <c r="R491" s="6">
        <v>0</v>
      </c>
      <c r="S491" s="5">
        <v>0</v>
      </c>
      <c r="T491" s="6">
        <v>0</v>
      </c>
      <c r="U491" s="5">
        <v>0</v>
      </c>
      <c r="V491" s="6">
        <v>0</v>
      </c>
      <c r="W491" s="5">
        <v>0</v>
      </c>
      <c r="X491" s="6">
        <v>0</v>
      </c>
      <c r="Y491" s="5">
        <v>0</v>
      </c>
      <c r="Z491" s="6">
        <v>0</v>
      </c>
      <c r="AA491" s="5">
        <v>0</v>
      </c>
      <c r="AB491" s="6">
        <v>0</v>
      </c>
      <c r="AC491" s="5">
        <v>0</v>
      </c>
      <c r="AD491" s="6">
        <v>0</v>
      </c>
      <c r="AE491" s="5">
        <v>0</v>
      </c>
      <c r="AF491" s="6">
        <v>2843.9884178951679</v>
      </c>
      <c r="AG491" s="5">
        <v>9385.1617790540549</v>
      </c>
      <c r="AH491" s="7">
        <f t="shared" si="56"/>
        <v>2843.9884178951679</v>
      </c>
      <c r="AI491" s="8">
        <f t="shared" si="57"/>
        <v>9385.1617790540549</v>
      </c>
      <c r="AJ491" s="6">
        <v>0</v>
      </c>
      <c r="AK491" s="5">
        <v>0</v>
      </c>
      <c r="AL491" s="6">
        <v>0</v>
      </c>
      <c r="AM491" s="5">
        <v>0</v>
      </c>
      <c r="AN491" s="6">
        <v>0</v>
      </c>
      <c r="AO491" s="5">
        <v>0</v>
      </c>
      <c r="AP491" s="6">
        <v>0</v>
      </c>
      <c r="AQ491" s="5">
        <v>0</v>
      </c>
      <c r="AR491" s="6">
        <v>0</v>
      </c>
      <c r="AS491" s="5">
        <v>0</v>
      </c>
      <c r="AT491" s="6">
        <v>0</v>
      </c>
      <c r="AU491" s="5">
        <v>0</v>
      </c>
      <c r="AV491" s="6">
        <v>0</v>
      </c>
      <c r="AW491" s="5">
        <v>0</v>
      </c>
      <c r="AX491" s="6">
        <v>0</v>
      </c>
      <c r="AY491" s="5">
        <v>0</v>
      </c>
      <c r="AZ491" s="6">
        <v>0</v>
      </c>
      <c r="BA491" s="5">
        <v>0</v>
      </c>
      <c r="BB491" s="6">
        <v>0</v>
      </c>
      <c r="BC491" s="5">
        <v>0</v>
      </c>
      <c r="BD491" s="6">
        <v>0</v>
      </c>
      <c r="BE491" s="5">
        <v>0</v>
      </c>
      <c r="BF491" s="6">
        <v>3135</v>
      </c>
      <c r="BG491" s="5">
        <v>10783.916838807671</v>
      </c>
      <c r="BH491" s="9">
        <f t="shared" si="58"/>
        <v>3135</v>
      </c>
      <c r="BI491" s="10">
        <f t="shared" si="59"/>
        <v>10783.916838807671</v>
      </c>
      <c r="BJ491" s="6">
        <f t="shared" si="60"/>
        <v>291.01158210483209</v>
      </c>
      <c r="BK491" s="11">
        <f t="shared" si="61"/>
        <v>0.102325164291706</v>
      </c>
      <c r="BL491" s="5">
        <f t="shared" si="62"/>
        <v>1398.7550597536156</v>
      </c>
      <c r="BM491" s="11">
        <f t="shared" si="63"/>
        <v>0.14903899289998157</v>
      </c>
    </row>
    <row r="492" spans="1:65" ht="15" customHeight="1" x14ac:dyDescent="0.4">
      <c r="A492" s="2" t="s">
        <v>269</v>
      </c>
      <c r="B492" s="2" t="s">
        <v>388</v>
      </c>
      <c r="C492" s="2" t="s">
        <v>389</v>
      </c>
      <c r="D492" s="3" t="s">
        <v>68</v>
      </c>
      <c r="E492" s="3" t="s">
        <v>442</v>
      </c>
      <c r="F492" s="2" t="s">
        <v>441</v>
      </c>
      <c r="G492" s="4">
        <v>20</v>
      </c>
      <c r="H492" s="5">
        <v>3.05</v>
      </c>
      <c r="I492" s="5">
        <v>3.1792514966278471</v>
      </c>
      <c r="J492" s="6">
        <v>0</v>
      </c>
      <c r="K492" s="5">
        <v>0</v>
      </c>
      <c r="L492" s="6">
        <v>0</v>
      </c>
      <c r="M492" s="5">
        <v>0</v>
      </c>
      <c r="N492" s="6">
        <v>2967.7070225796401</v>
      </c>
      <c r="O492" s="5">
        <v>9051.5064188679007</v>
      </c>
      <c r="P492" s="6">
        <v>0</v>
      </c>
      <c r="Q492" s="5">
        <v>0</v>
      </c>
      <c r="R492" s="6">
        <v>0</v>
      </c>
      <c r="S492" s="5">
        <v>0</v>
      </c>
      <c r="T492" s="6">
        <v>0</v>
      </c>
      <c r="U492" s="5">
        <v>0</v>
      </c>
      <c r="V492" s="6">
        <v>0</v>
      </c>
      <c r="W492" s="5">
        <v>0</v>
      </c>
      <c r="X492" s="6">
        <v>0</v>
      </c>
      <c r="Y492" s="5">
        <v>0</v>
      </c>
      <c r="Z492" s="6">
        <v>0</v>
      </c>
      <c r="AA492" s="5">
        <v>0</v>
      </c>
      <c r="AB492" s="6">
        <v>0</v>
      </c>
      <c r="AC492" s="5">
        <v>0</v>
      </c>
      <c r="AD492" s="6">
        <v>0</v>
      </c>
      <c r="AE492" s="5">
        <v>0</v>
      </c>
      <c r="AF492" s="6">
        <v>0</v>
      </c>
      <c r="AG492" s="5">
        <v>0</v>
      </c>
      <c r="AH492" s="7">
        <f t="shared" si="56"/>
        <v>2967.7070225796401</v>
      </c>
      <c r="AI492" s="8">
        <f t="shared" si="57"/>
        <v>9051.5064188679007</v>
      </c>
      <c r="AJ492" s="6">
        <v>0</v>
      </c>
      <c r="AK492" s="5">
        <v>0</v>
      </c>
      <c r="AL492" s="6">
        <v>0</v>
      </c>
      <c r="AM492" s="5">
        <v>0</v>
      </c>
      <c r="AN492" s="6">
        <v>3280</v>
      </c>
      <c r="AO492" s="5">
        <v>10427.94490893934</v>
      </c>
      <c r="AP492" s="6">
        <v>0</v>
      </c>
      <c r="AQ492" s="5">
        <v>0</v>
      </c>
      <c r="AR492" s="6">
        <v>0</v>
      </c>
      <c r="AS492" s="5">
        <v>0</v>
      </c>
      <c r="AT492" s="6">
        <v>0</v>
      </c>
      <c r="AU492" s="5">
        <v>0</v>
      </c>
      <c r="AV492" s="6">
        <v>0</v>
      </c>
      <c r="AW492" s="5">
        <v>0</v>
      </c>
      <c r="AX492" s="6">
        <v>0</v>
      </c>
      <c r="AY492" s="5">
        <v>0</v>
      </c>
      <c r="AZ492" s="6">
        <v>0</v>
      </c>
      <c r="BA492" s="5">
        <v>0</v>
      </c>
      <c r="BB492" s="6">
        <v>0</v>
      </c>
      <c r="BC492" s="5">
        <v>0</v>
      </c>
      <c r="BD492" s="6">
        <v>0</v>
      </c>
      <c r="BE492" s="5">
        <v>0</v>
      </c>
      <c r="BF492" s="6">
        <v>0</v>
      </c>
      <c r="BG492" s="5">
        <v>0</v>
      </c>
      <c r="BH492" s="9">
        <f t="shared" si="58"/>
        <v>3280</v>
      </c>
      <c r="BI492" s="10">
        <f t="shared" si="59"/>
        <v>10427.94490893934</v>
      </c>
      <c r="BJ492" s="6">
        <f t="shared" si="60"/>
        <v>312.29297742035988</v>
      </c>
      <c r="BK492" s="11">
        <f t="shared" si="61"/>
        <v>0.10523039337923032</v>
      </c>
      <c r="BL492" s="5">
        <f t="shared" si="62"/>
        <v>1376.4384900714394</v>
      </c>
      <c r="BM492" s="11">
        <f t="shared" si="63"/>
        <v>0.15206733844901751</v>
      </c>
    </row>
    <row r="493" spans="1:65" ht="15" customHeight="1" x14ac:dyDescent="0.4">
      <c r="A493" s="2" t="s">
        <v>269</v>
      </c>
      <c r="B493" s="2" t="s">
        <v>388</v>
      </c>
      <c r="C493" s="2" t="s">
        <v>389</v>
      </c>
      <c r="D493" s="3" t="s">
        <v>68</v>
      </c>
      <c r="E493" s="3" t="s">
        <v>442</v>
      </c>
      <c r="F493" s="2" t="s">
        <v>80</v>
      </c>
      <c r="G493" s="4">
        <v>20</v>
      </c>
      <c r="H493" s="5">
        <v>3.05</v>
      </c>
      <c r="I493" s="5">
        <v>3.1792514966278471</v>
      </c>
      <c r="J493" s="6">
        <v>0</v>
      </c>
      <c r="K493" s="5">
        <v>0</v>
      </c>
      <c r="L493" s="6">
        <v>0</v>
      </c>
      <c r="M493" s="5">
        <v>0</v>
      </c>
      <c r="N493" s="6">
        <v>0</v>
      </c>
      <c r="O493" s="5">
        <v>0</v>
      </c>
      <c r="P493" s="6">
        <v>0</v>
      </c>
      <c r="Q493" s="5">
        <v>0</v>
      </c>
      <c r="R493" s="6">
        <v>0</v>
      </c>
      <c r="S493" s="5">
        <v>0</v>
      </c>
      <c r="T493" s="6">
        <v>0</v>
      </c>
      <c r="U493" s="5">
        <v>0</v>
      </c>
      <c r="V493" s="6">
        <v>0</v>
      </c>
      <c r="W493" s="5">
        <v>0</v>
      </c>
      <c r="X493" s="6">
        <v>0</v>
      </c>
      <c r="Y493" s="5">
        <v>0</v>
      </c>
      <c r="Z493" s="6">
        <v>0</v>
      </c>
      <c r="AA493" s="5">
        <v>0</v>
      </c>
      <c r="AB493" s="6">
        <v>0</v>
      </c>
      <c r="AC493" s="5">
        <v>0</v>
      </c>
      <c r="AD493" s="6">
        <v>0</v>
      </c>
      <c r="AE493" s="5">
        <v>0</v>
      </c>
      <c r="AF493" s="6">
        <v>2843.9884178951679</v>
      </c>
      <c r="AG493" s="5">
        <v>8674.1646745802627</v>
      </c>
      <c r="AH493" s="7">
        <f t="shared" si="56"/>
        <v>2843.9884178951679</v>
      </c>
      <c r="AI493" s="8">
        <f t="shared" si="57"/>
        <v>8674.1646745802627</v>
      </c>
      <c r="AJ493" s="6">
        <v>0</v>
      </c>
      <c r="AK493" s="5">
        <v>0</v>
      </c>
      <c r="AL493" s="6">
        <v>0</v>
      </c>
      <c r="AM493" s="5">
        <v>0</v>
      </c>
      <c r="AN493" s="6">
        <v>0</v>
      </c>
      <c r="AO493" s="5">
        <v>0</v>
      </c>
      <c r="AP493" s="6">
        <v>0</v>
      </c>
      <c r="AQ493" s="5">
        <v>0</v>
      </c>
      <c r="AR493" s="6">
        <v>0</v>
      </c>
      <c r="AS493" s="5">
        <v>0</v>
      </c>
      <c r="AT493" s="6">
        <v>0</v>
      </c>
      <c r="AU493" s="5">
        <v>0</v>
      </c>
      <c r="AV493" s="6">
        <v>0</v>
      </c>
      <c r="AW493" s="5">
        <v>0</v>
      </c>
      <c r="AX493" s="6">
        <v>0</v>
      </c>
      <c r="AY493" s="5">
        <v>0</v>
      </c>
      <c r="AZ493" s="6">
        <v>0</v>
      </c>
      <c r="BA493" s="5">
        <v>0</v>
      </c>
      <c r="BB493" s="6">
        <v>0</v>
      </c>
      <c r="BC493" s="5">
        <v>0</v>
      </c>
      <c r="BD493" s="6">
        <v>0</v>
      </c>
      <c r="BE493" s="5">
        <v>0</v>
      </c>
      <c r="BF493" s="6">
        <v>3140</v>
      </c>
      <c r="BG493" s="5">
        <v>9982.8496994114394</v>
      </c>
      <c r="BH493" s="9">
        <f t="shared" si="58"/>
        <v>3140</v>
      </c>
      <c r="BI493" s="10">
        <f t="shared" si="59"/>
        <v>9982.8496994114394</v>
      </c>
      <c r="BJ493" s="6">
        <f t="shared" si="60"/>
        <v>296.01158210483209</v>
      </c>
      <c r="BK493" s="11">
        <f t="shared" si="61"/>
        <v>0.10408325865261782</v>
      </c>
      <c r="BL493" s="5">
        <f t="shared" si="62"/>
        <v>1308.6850248311766</v>
      </c>
      <c r="BM493" s="11">
        <f t="shared" si="63"/>
        <v>0.15087159097478203</v>
      </c>
    </row>
    <row r="494" spans="1:65" ht="15" customHeight="1" x14ac:dyDescent="0.4">
      <c r="A494" s="2" t="s">
        <v>269</v>
      </c>
      <c r="B494" s="2" t="s">
        <v>388</v>
      </c>
      <c r="C494" s="2" t="s">
        <v>389</v>
      </c>
      <c r="D494" s="3" t="s">
        <v>68</v>
      </c>
      <c r="E494" s="3" t="s">
        <v>443</v>
      </c>
      <c r="F494" s="2" t="s">
        <v>163</v>
      </c>
      <c r="G494" s="4">
        <v>5</v>
      </c>
      <c r="H494" s="5">
        <v>7.4</v>
      </c>
      <c r="I494" s="5">
        <v>7.7135937950970721</v>
      </c>
      <c r="J494" s="6">
        <v>0</v>
      </c>
      <c r="K494" s="5">
        <v>0</v>
      </c>
      <c r="L494" s="6">
        <v>0</v>
      </c>
      <c r="M494" s="5">
        <v>0</v>
      </c>
      <c r="N494" s="6">
        <v>0</v>
      </c>
      <c r="O494" s="5">
        <v>0</v>
      </c>
      <c r="P494" s="6">
        <v>0</v>
      </c>
      <c r="Q494" s="5">
        <v>0</v>
      </c>
      <c r="R494" s="6">
        <v>0</v>
      </c>
      <c r="S494" s="5">
        <v>0</v>
      </c>
      <c r="T494" s="6">
        <v>0</v>
      </c>
      <c r="U494" s="5">
        <v>0</v>
      </c>
      <c r="V494" s="6">
        <v>0</v>
      </c>
      <c r="W494" s="5">
        <v>0</v>
      </c>
      <c r="X494" s="6">
        <v>1582.7770787091411</v>
      </c>
      <c r="Y494" s="5">
        <v>11712.550382447649</v>
      </c>
      <c r="Z494" s="6">
        <v>0</v>
      </c>
      <c r="AA494" s="5">
        <v>0</v>
      </c>
      <c r="AB494" s="6">
        <v>0</v>
      </c>
      <c r="AC494" s="5">
        <v>0</v>
      </c>
      <c r="AD494" s="6">
        <v>0</v>
      </c>
      <c r="AE494" s="5">
        <v>0</v>
      </c>
      <c r="AF494" s="6">
        <v>0</v>
      </c>
      <c r="AG494" s="5">
        <v>0</v>
      </c>
      <c r="AH494" s="7">
        <f t="shared" si="56"/>
        <v>1582.7770787091411</v>
      </c>
      <c r="AI494" s="8">
        <f t="shared" si="57"/>
        <v>11712.550382447649</v>
      </c>
      <c r="AJ494" s="6">
        <v>0</v>
      </c>
      <c r="AK494" s="5">
        <v>0</v>
      </c>
      <c r="AL494" s="6">
        <v>0</v>
      </c>
      <c r="AM494" s="5">
        <v>0</v>
      </c>
      <c r="AN494" s="6">
        <v>0</v>
      </c>
      <c r="AO494" s="5">
        <v>0</v>
      </c>
      <c r="AP494" s="6">
        <v>0</v>
      </c>
      <c r="AQ494" s="5">
        <v>0</v>
      </c>
      <c r="AR494" s="6">
        <v>0</v>
      </c>
      <c r="AS494" s="5">
        <v>0</v>
      </c>
      <c r="AT494" s="6">
        <v>0</v>
      </c>
      <c r="AU494" s="5">
        <v>0</v>
      </c>
      <c r="AV494" s="6">
        <v>0</v>
      </c>
      <c r="AW494" s="5">
        <v>0</v>
      </c>
      <c r="AX494" s="6">
        <v>1995</v>
      </c>
      <c r="AY494" s="5">
        <v>15388.619621218661</v>
      </c>
      <c r="AZ494" s="6">
        <v>0</v>
      </c>
      <c r="BA494" s="5">
        <v>0</v>
      </c>
      <c r="BB494" s="6">
        <v>0</v>
      </c>
      <c r="BC494" s="5">
        <v>0</v>
      </c>
      <c r="BD494" s="6">
        <v>0</v>
      </c>
      <c r="BE494" s="5">
        <v>0</v>
      </c>
      <c r="BF494" s="6">
        <v>0</v>
      </c>
      <c r="BG494" s="5">
        <v>0</v>
      </c>
      <c r="BH494" s="9">
        <f t="shared" si="58"/>
        <v>1995</v>
      </c>
      <c r="BI494" s="10">
        <f t="shared" si="59"/>
        <v>15388.619621218661</v>
      </c>
      <c r="BJ494" s="6">
        <f t="shared" si="60"/>
        <v>412.22292129085895</v>
      </c>
      <c r="BK494" s="11">
        <f t="shared" si="61"/>
        <v>0.26044281714456841</v>
      </c>
      <c r="BL494" s="5">
        <f t="shared" si="62"/>
        <v>3676.0692387710114</v>
      </c>
      <c r="BM494" s="11">
        <f t="shared" si="63"/>
        <v>0.31385728289202874</v>
      </c>
    </row>
    <row r="495" spans="1:65" ht="15" customHeight="1" x14ac:dyDescent="0.4">
      <c r="A495" s="2" t="s">
        <v>269</v>
      </c>
      <c r="B495" s="2" t="s">
        <v>388</v>
      </c>
      <c r="C495" s="2" t="s">
        <v>389</v>
      </c>
      <c r="D495" s="3" t="s">
        <v>68</v>
      </c>
      <c r="E495" s="3" t="s">
        <v>444</v>
      </c>
      <c r="F495" s="2" t="s">
        <v>312</v>
      </c>
      <c r="G495" s="4">
        <v>1</v>
      </c>
      <c r="H495" s="5">
        <v>11.74</v>
      </c>
      <c r="I495" s="5">
        <v>12.23751231816752</v>
      </c>
      <c r="J495" s="6">
        <v>0</v>
      </c>
      <c r="K495" s="5">
        <v>0</v>
      </c>
      <c r="L495" s="6">
        <v>0</v>
      </c>
      <c r="M495" s="5">
        <v>0</v>
      </c>
      <c r="N495" s="6">
        <v>0</v>
      </c>
      <c r="O495" s="5">
        <v>0</v>
      </c>
      <c r="P495" s="6">
        <v>0</v>
      </c>
      <c r="Q495" s="5">
        <v>0</v>
      </c>
      <c r="R495" s="6">
        <v>0</v>
      </c>
      <c r="S495" s="5">
        <v>0</v>
      </c>
      <c r="T495" s="6">
        <v>0</v>
      </c>
      <c r="U495" s="5">
        <v>0</v>
      </c>
      <c r="V495" s="6">
        <v>985.2787314964404</v>
      </c>
      <c r="W495" s="5">
        <v>11567.172307768211</v>
      </c>
      <c r="X495" s="6">
        <v>0</v>
      </c>
      <c r="Y495" s="5">
        <v>0</v>
      </c>
      <c r="Z495" s="6">
        <v>0</v>
      </c>
      <c r="AA495" s="5">
        <v>0</v>
      </c>
      <c r="AB495" s="6">
        <v>0</v>
      </c>
      <c r="AC495" s="5">
        <v>0</v>
      </c>
      <c r="AD495" s="6">
        <v>0</v>
      </c>
      <c r="AE495" s="5">
        <v>0</v>
      </c>
      <c r="AF495" s="6">
        <v>0</v>
      </c>
      <c r="AG495" s="5">
        <v>0</v>
      </c>
      <c r="AH495" s="7">
        <f t="shared" si="56"/>
        <v>985.2787314964404</v>
      </c>
      <c r="AI495" s="8">
        <f t="shared" si="57"/>
        <v>11567.172307768211</v>
      </c>
      <c r="AJ495" s="6">
        <v>0</v>
      </c>
      <c r="AK495" s="5">
        <v>0</v>
      </c>
      <c r="AL495" s="6">
        <v>0</v>
      </c>
      <c r="AM495" s="5">
        <v>0</v>
      </c>
      <c r="AN495" s="6">
        <v>0</v>
      </c>
      <c r="AO495" s="5">
        <v>0</v>
      </c>
      <c r="AP495" s="6">
        <v>0</v>
      </c>
      <c r="AQ495" s="5">
        <v>0</v>
      </c>
      <c r="AR495" s="6">
        <v>0</v>
      </c>
      <c r="AS495" s="5">
        <v>0</v>
      </c>
      <c r="AT495" s="6">
        <v>0</v>
      </c>
      <c r="AU495" s="5">
        <v>0</v>
      </c>
      <c r="AV495" s="6">
        <v>1086</v>
      </c>
      <c r="AW495" s="5">
        <v>13289.938377529919</v>
      </c>
      <c r="AX495" s="6">
        <v>0</v>
      </c>
      <c r="AY495" s="5">
        <v>0</v>
      </c>
      <c r="AZ495" s="6">
        <v>0</v>
      </c>
      <c r="BA495" s="5">
        <v>0</v>
      </c>
      <c r="BB495" s="6">
        <v>0</v>
      </c>
      <c r="BC495" s="5">
        <v>0</v>
      </c>
      <c r="BD495" s="6">
        <v>0</v>
      </c>
      <c r="BE495" s="5">
        <v>0</v>
      </c>
      <c r="BF495" s="6">
        <v>0</v>
      </c>
      <c r="BG495" s="5">
        <v>0</v>
      </c>
      <c r="BH495" s="9">
        <f t="shared" si="58"/>
        <v>1086</v>
      </c>
      <c r="BI495" s="10">
        <f t="shared" si="59"/>
        <v>13289.938377529919</v>
      </c>
      <c r="BJ495" s="6">
        <f t="shared" si="60"/>
        <v>100.7212685035596</v>
      </c>
      <c r="BK495" s="11">
        <f t="shared" si="61"/>
        <v>0.10222616736137624</v>
      </c>
      <c r="BL495" s="5">
        <f t="shared" si="62"/>
        <v>1722.7660697617084</v>
      </c>
      <c r="BM495" s="11">
        <f t="shared" si="63"/>
        <v>0.14893580072328857</v>
      </c>
    </row>
    <row r="496" spans="1:65" ht="15" customHeight="1" x14ac:dyDescent="0.4">
      <c r="A496" s="2" t="s">
        <v>269</v>
      </c>
      <c r="B496" s="2" t="s">
        <v>388</v>
      </c>
      <c r="C496" s="2" t="s">
        <v>389</v>
      </c>
      <c r="D496" s="3" t="s">
        <v>68</v>
      </c>
      <c r="E496" s="3" t="s">
        <v>445</v>
      </c>
      <c r="F496" s="2" t="s">
        <v>312</v>
      </c>
      <c r="G496" s="4">
        <v>20</v>
      </c>
      <c r="H496" s="5">
        <v>10.199999999999999</v>
      </c>
      <c r="I496" s="5">
        <v>10.63225090675542</v>
      </c>
      <c r="J496" s="6">
        <v>0</v>
      </c>
      <c r="K496" s="5">
        <v>0</v>
      </c>
      <c r="L496" s="6">
        <v>0</v>
      </c>
      <c r="M496" s="5">
        <v>0</v>
      </c>
      <c r="N496" s="6">
        <v>0</v>
      </c>
      <c r="O496" s="5">
        <v>0</v>
      </c>
      <c r="P496" s="6">
        <v>0</v>
      </c>
      <c r="Q496" s="5">
        <v>0</v>
      </c>
      <c r="R496" s="6">
        <v>0</v>
      </c>
      <c r="S496" s="5">
        <v>0</v>
      </c>
      <c r="T496" s="6">
        <v>2967.7070225796401</v>
      </c>
      <c r="U496" s="5">
        <v>30270.61163031232</v>
      </c>
      <c r="V496" s="6">
        <v>0</v>
      </c>
      <c r="W496" s="5">
        <v>0</v>
      </c>
      <c r="X496" s="6">
        <v>0</v>
      </c>
      <c r="Y496" s="5">
        <v>0</v>
      </c>
      <c r="Z496" s="6">
        <v>0</v>
      </c>
      <c r="AA496" s="5">
        <v>0</v>
      </c>
      <c r="AB496" s="6">
        <v>0</v>
      </c>
      <c r="AC496" s="5">
        <v>0</v>
      </c>
      <c r="AD496" s="6">
        <v>0</v>
      </c>
      <c r="AE496" s="5">
        <v>0</v>
      </c>
      <c r="AF496" s="6">
        <v>0</v>
      </c>
      <c r="AG496" s="5">
        <v>0</v>
      </c>
      <c r="AH496" s="7">
        <f t="shared" si="56"/>
        <v>2967.7070225796401</v>
      </c>
      <c r="AI496" s="8">
        <f t="shared" si="57"/>
        <v>30270.61163031232</v>
      </c>
      <c r="AJ496" s="6">
        <v>0</v>
      </c>
      <c r="AK496" s="5">
        <v>0</v>
      </c>
      <c r="AL496" s="6">
        <v>0</v>
      </c>
      <c r="AM496" s="5">
        <v>0</v>
      </c>
      <c r="AN496" s="6">
        <v>0</v>
      </c>
      <c r="AO496" s="5">
        <v>0</v>
      </c>
      <c r="AP496" s="6">
        <v>0</v>
      </c>
      <c r="AQ496" s="5">
        <v>0</v>
      </c>
      <c r="AR496" s="6">
        <v>0</v>
      </c>
      <c r="AS496" s="5">
        <v>0</v>
      </c>
      <c r="AT496" s="6">
        <v>3220</v>
      </c>
      <c r="AU496" s="5">
        <v>34235.847919752458</v>
      </c>
      <c r="AV496" s="6">
        <v>0</v>
      </c>
      <c r="AW496" s="5">
        <v>0</v>
      </c>
      <c r="AX496" s="6">
        <v>0</v>
      </c>
      <c r="AY496" s="5">
        <v>0</v>
      </c>
      <c r="AZ496" s="6">
        <v>0</v>
      </c>
      <c r="BA496" s="5">
        <v>0</v>
      </c>
      <c r="BB496" s="6">
        <v>0</v>
      </c>
      <c r="BC496" s="5">
        <v>0</v>
      </c>
      <c r="BD496" s="6">
        <v>0</v>
      </c>
      <c r="BE496" s="5">
        <v>0</v>
      </c>
      <c r="BF496" s="6">
        <v>0</v>
      </c>
      <c r="BG496" s="5">
        <v>0</v>
      </c>
      <c r="BH496" s="9">
        <f t="shared" si="58"/>
        <v>3220</v>
      </c>
      <c r="BI496" s="10">
        <f t="shared" si="59"/>
        <v>34235.847919752458</v>
      </c>
      <c r="BJ496" s="6">
        <f t="shared" si="60"/>
        <v>252.29297742035988</v>
      </c>
      <c r="BK496" s="11">
        <f t="shared" si="61"/>
        <v>8.5012764232049273E-2</v>
      </c>
      <c r="BL496" s="5">
        <f t="shared" si="62"/>
        <v>3965.2362894401376</v>
      </c>
      <c r="BM496" s="11">
        <f t="shared" si="63"/>
        <v>0.13099293591641334</v>
      </c>
    </row>
    <row r="497" spans="1:65" ht="15" customHeight="1" x14ac:dyDescent="0.4">
      <c r="A497" s="2" t="s">
        <v>269</v>
      </c>
      <c r="B497" s="2" t="s">
        <v>388</v>
      </c>
      <c r="C497" s="2" t="s">
        <v>389</v>
      </c>
      <c r="D497" s="3" t="s">
        <v>68</v>
      </c>
      <c r="E497" s="3" t="s">
        <v>446</v>
      </c>
      <c r="F497" s="2" t="s">
        <v>447</v>
      </c>
      <c r="G497" s="4">
        <v>5</v>
      </c>
      <c r="H497" s="5">
        <v>3.7</v>
      </c>
      <c r="I497" s="5">
        <v>3.8567968975485361</v>
      </c>
      <c r="J497" s="6">
        <v>1978.4713483864259</v>
      </c>
      <c r="K497" s="5">
        <v>7320.3439890297777</v>
      </c>
      <c r="L497" s="6">
        <v>0</v>
      </c>
      <c r="M497" s="5">
        <v>0</v>
      </c>
      <c r="N497" s="6">
        <v>0</v>
      </c>
      <c r="O497" s="5">
        <v>0</v>
      </c>
      <c r="P497" s="6">
        <v>0</v>
      </c>
      <c r="Q497" s="5">
        <v>0</v>
      </c>
      <c r="R497" s="6">
        <v>0</v>
      </c>
      <c r="S497" s="5">
        <v>0</v>
      </c>
      <c r="T497" s="6">
        <v>0</v>
      </c>
      <c r="U497" s="5">
        <v>0</v>
      </c>
      <c r="V497" s="6">
        <v>0</v>
      </c>
      <c r="W497" s="5">
        <v>0</v>
      </c>
      <c r="X497" s="6">
        <v>0</v>
      </c>
      <c r="Y497" s="5">
        <v>0</v>
      </c>
      <c r="Z497" s="6">
        <v>0</v>
      </c>
      <c r="AA497" s="5">
        <v>0</v>
      </c>
      <c r="AB497" s="6">
        <v>0</v>
      </c>
      <c r="AC497" s="5">
        <v>0</v>
      </c>
      <c r="AD497" s="6">
        <v>0</v>
      </c>
      <c r="AE497" s="5">
        <v>0</v>
      </c>
      <c r="AF497" s="6">
        <v>0</v>
      </c>
      <c r="AG497" s="5">
        <v>0</v>
      </c>
      <c r="AH497" s="7">
        <f t="shared" si="56"/>
        <v>1978.4713483864259</v>
      </c>
      <c r="AI497" s="8">
        <f t="shared" si="57"/>
        <v>7320.3439890297777</v>
      </c>
      <c r="AJ497" s="6">
        <v>2150</v>
      </c>
      <c r="AK497" s="5">
        <v>8292.1133297293527</v>
      </c>
      <c r="AL497" s="6">
        <v>0</v>
      </c>
      <c r="AM497" s="5">
        <v>0</v>
      </c>
      <c r="AN497" s="6">
        <v>0</v>
      </c>
      <c r="AO497" s="5">
        <v>0</v>
      </c>
      <c r="AP497" s="6">
        <v>0</v>
      </c>
      <c r="AQ497" s="5">
        <v>0</v>
      </c>
      <c r="AR497" s="6">
        <v>0</v>
      </c>
      <c r="AS497" s="5">
        <v>0</v>
      </c>
      <c r="AT497" s="6">
        <v>0</v>
      </c>
      <c r="AU497" s="5">
        <v>0</v>
      </c>
      <c r="AV497" s="6">
        <v>0</v>
      </c>
      <c r="AW497" s="5">
        <v>0</v>
      </c>
      <c r="AX497" s="6">
        <v>0</v>
      </c>
      <c r="AY497" s="5">
        <v>0</v>
      </c>
      <c r="AZ497" s="6">
        <v>0</v>
      </c>
      <c r="BA497" s="5">
        <v>0</v>
      </c>
      <c r="BB497" s="6">
        <v>0</v>
      </c>
      <c r="BC497" s="5">
        <v>0</v>
      </c>
      <c r="BD497" s="6">
        <v>0</v>
      </c>
      <c r="BE497" s="5">
        <v>0</v>
      </c>
      <c r="BF497" s="6">
        <v>0</v>
      </c>
      <c r="BG497" s="5">
        <v>0</v>
      </c>
      <c r="BH497" s="9">
        <f t="shared" si="58"/>
        <v>2150</v>
      </c>
      <c r="BI497" s="10">
        <f t="shared" si="59"/>
        <v>8292.1133297293527</v>
      </c>
      <c r="BJ497" s="6">
        <f t="shared" si="60"/>
        <v>171.52865161357408</v>
      </c>
      <c r="BK497" s="11">
        <f t="shared" si="61"/>
        <v>8.6697566660981482E-2</v>
      </c>
      <c r="BL497" s="5">
        <f t="shared" si="62"/>
        <v>971.76934069957497</v>
      </c>
      <c r="BM497" s="11">
        <f t="shared" si="63"/>
        <v>0.13274913612746375</v>
      </c>
    </row>
    <row r="498" spans="1:65" ht="15" customHeight="1" x14ac:dyDescent="0.4">
      <c r="A498" s="2" t="s">
        <v>269</v>
      </c>
      <c r="B498" s="2" t="s">
        <v>388</v>
      </c>
      <c r="C498" s="2" t="s">
        <v>389</v>
      </c>
      <c r="D498" s="3" t="s">
        <v>68</v>
      </c>
      <c r="E498" s="3" t="s">
        <v>448</v>
      </c>
      <c r="F498" s="2" t="s">
        <v>447</v>
      </c>
      <c r="G498" s="4">
        <v>20</v>
      </c>
      <c r="H498" s="5">
        <v>3.55</v>
      </c>
      <c r="I498" s="5">
        <v>3.7004402665668392</v>
      </c>
      <c r="J498" s="6">
        <v>0</v>
      </c>
      <c r="K498" s="5">
        <v>0</v>
      </c>
      <c r="L498" s="6">
        <v>0</v>
      </c>
      <c r="M498" s="5">
        <v>0</v>
      </c>
      <c r="N498" s="6">
        <v>1978.4713483864259</v>
      </c>
      <c r="O498" s="5">
        <v>7023.5732867718143</v>
      </c>
      <c r="P498" s="6">
        <v>0</v>
      </c>
      <c r="Q498" s="5">
        <v>0</v>
      </c>
      <c r="R498" s="6">
        <v>0</v>
      </c>
      <c r="S498" s="5">
        <v>0</v>
      </c>
      <c r="T498" s="6">
        <v>0</v>
      </c>
      <c r="U498" s="5">
        <v>0</v>
      </c>
      <c r="V498" s="6">
        <v>0</v>
      </c>
      <c r="W498" s="5">
        <v>0</v>
      </c>
      <c r="X498" s="6">
        <v>0</v>
      </c>
      <c r="Y498" s="5">
        <v>0</v>
      </c>
      <c r="Z498" s="6">
        <v>0</v>
      </c>
      <c r="AA498" s="5">
        <v>0</v>
      </c>
      <c r="AB498" s="6">
        <v>0</v>
      </c>
      <c r="AC498" s="5">
        <v>0</v>
      </c>
      <c r="AD498" s="6">
        <v>0</v>
      </c>
      <c r="AE498" s="5">
        <v>0</v>
      </c>
      <c r="AF498" s="6">
        <v>0</v>
      </c>
      <c r="AG498" s="5">
        <v>0</v>
      </c>
      <c r="AH498" s="7">
        <f t="shared" si="56"/>
        <v>1978.4713483864259</v>
      </c>
      <c r="AI498" s="8">
        <f t="shared" si="57"/>
        <v>7023.5732867718143</v>
      </c>
      <c r="AJ498" s="6">
        <v>0</v>
      </c>
      <c r="AK498" s="5">
        <v>0</v>
      </c>
      <c r="AL498" s="6">
        <v>0</v>
      </c>
      <c r="AM498" s="5">
        <v>0</v>
      </c>
      <c r="AN498" s="6">
        <v>2160</v>
      </c>
      <c r="AO498" s="5">
        <v>7992.9509757843716</v>
      </c>
      <c r="AP498" s="6">
        <v>0</v>
      </c>
      <c r="AQ498" s="5">
        <v>0</v>
      </c>
      <c r="AR498" s="6">
        <v>0</v>
      </c>
      <c r="AS498" s="5">
        <v>0</v>
      </c>
      <c r="AT498" s="6">
        <v>0</v>
      </c>
      <c r="AU498" s="5">
        <v>0</v>
      </c>
      <c r="AV498" s="6">
        <v>0</v>
      </c>
      <c r="AW498" s="5">
        <v>0</v>
      </c>
      <c r="AX498" s="6">
        <v>0</v>
      </c>
      <c r="AY498" s="5">
        <v>0</v>
      </c>
      <c r="AZ498" s="6">
        <v>0</v>
      </c>
      <c r="BA498" s="5">
        <v>0</v>
      </c>
      <c r="BB498" s="6">
        <v>0</v>
      </c>
      <c r="BC498" s="5">
        <v>0</v>
      </c>
      <c r="BD498" s="6">
        <v>0</v>
      </c>
      <c r="BE498" s="5">
        <v>0</v>
      </c>
      <c r="BF498" s="6">
        <v>0</v>
      </c>
      <c r="BG498" s="5">
        <v>0</v>
      </c>
      <c r="BH498" s="9">
        <f t="shared" si="58"/>
        <v>2160</v>
      </c>
      <c r="BI498" s="10">
        <f t="shared" si="59"/>
        <v>7992.9509757843716</v>
      </c>
      <c r="BJ498" s="6">
        <f t="shared" si="60"/>
        <v>181.52865161357408</v>
      </c>
      <c r="BK498" s="11">
        <f t="shared" si="61"/>
        <v>9.1751973947776747E-2</v>
      </c>
      <c r="BL498" s="5">
        <f t="shared" si="62"/>
        <v>969.37768901255731</v>
      </c>
      <c r="BM498" s="11">
        <f t="shared" si="63"/>
        <v>0.13801773676061466</v>
      </c>
    </row>
    <row r="499" spans="1:65" ht="15" customHeight="1" x14ac:dyDescent="0.4">
      <c r="A499" s="2" t="s">
        <v>269</v>
      </c>
      <c r="B499" s="2" t="s">
        <v>388</v>
      </c>
      <c r="C499" s="2" t="s">
        <v>389</v>
      </c>
      <c r="D499" s="3" t="s">
        <v>68</v>
      </c>
      <c r="E499" s="3" t="s">
        <v>449</v>
      </c>
      <c r="F499" s="2" t="s">
        <v>450</v>
      </c>
      <c r="G499" s="4">
        <v>20</v>
      </c>
      <c r="H499" s="5">
        <v>1.68</v>
      </c>
      <c r="I499" s="5">
        <v>1.7511942669950109</v>
      </c>
      <c r="J499" s="6">
        <v>0</v>
      </c>
      <c r="K499" s="5">
        <v>0</v>
      </c>
      <c r="L499" s="6">
        <v>0</v>
      </c>
      <c r="M499" s="5">
        <v>0</v>
      </c>
      <c r="N499" s="6">
        <v>0</v>
      </c>
      <c r="O499" s="5">
        <v>0</v>
      </c>
      <c r="P499" s="6">
        <v>0</v>
      </c>
      <c r="Q499" s="5">
        <v>0</v>
      </c>
      <c r="R499" s="6">
        <v>1978.4713483864259</v>
      </c>
      <c r="S499" s="5">
        <v>3323.8318652891971</v>
      </c>
      <c r="T499" s="6">
        <v>0</v>
      </c>
      <c r="U499" s="5">
        <v>0</v>
      </c>
      <c r="V499" s="6">
        <v>0</v>
      </c>
      <c r="W499" s="5">
        <v>0</v>
      </c>
      <c r="X499" s="6">
        <v>0</v>
      </c>
      <c r="Y499" s="5">
        <v>0</v>
      </c>
      <c r="Z499" s="6">
        <v>0</v>
      </c>
      <c r="AA499" s="5">
        <v>0</v>
      </c>
      <c r="AB499" s="6">
        <v>0</v>
      </c>
      <c r="AC499" s="5">
        <v>0</v>
      </c>
      <c r="AD499" s="6">
        <v>0</v>
      </c>
      <c r="AE499" s="5">
        <v>0</v>
      </c>
      <c r="AF499" s="6">
        <v>0</v>
      </c>
      <c r="AG499" s="5">
        <v>0</v>
      </c>
      <c r="AH499" s="7">
        <f t="shared" si="56"/>
        <v>1978.4713483864259</v>
      </c>
      <c r="AI499" s="8">
        <f t="shared" si="57"/>
        <v>3323.8318652891971</v>
      </c>
      <c r="AJ499" s="6">
        <v>0</v>
      </c>
      <c r="AK499" s="5">
        <v>0</v>
      </c>
      <c r="AL499" s="6">
        <v>0</v>
      </c>
      <c r="AM499" s="5">
        <v>0</v>
      </c>
      <c r="AN499" s="6">
        <v>0</v>
      </c>
      <c r="AO499" s="5">
        <v>0</v>
      </c>
      <c r="AP499" s="6">
        <v>0</v>
      </c>
      <c r="AQ499" s="5">
        <v>0</v>
      </c>
      <c r="AR499" s="6">
        <v>2160</v>
      </c>
      <c r="AS499" s="5">
        <v>3782.579616709224</v>
      </c>
      <c r="AT499" s="6">
        <v>0</v>
      </c>
      <c r="AU499" s="5">
        <v>0</v>
      </c>
      <c r="AV499" s="6">
        <v>0</v>
      </c>
      <c r="AW499" s="5">
        <v>0</v>
      </c>
      <c r="AX499" s="6">
        <v>0</v>
      </c>
      <c r="AY499" s="5">
        <v>0</v>
      </c>
      <c r="AZ499" s="6">
        <v>0</v>
      </c>
      <c r="BA499" s="5">
        <v>0</v>
      </c>
      <c r="BB499" s="6">
        <v>0</v>
      </c>
      <c r="BC499" s="5">
        <v>0</v>
      </c>
      <c r="BD499" s="6">
        <v>0</v>
      </c>
      <c r="BE499" s="5">
        <v>0</v>
      </c>
      <c r="BF499" s="6">
        <v>0</v>
      </c>
      <c r="BG499" s="5">
        <v>0</v>
      </c>
      <c r="BH499" s="9">
        <f t="shared" si="58"/>
        <v>2160</v>
      </c>
      <c r="BI499" s="10">
        <f t="shared" si="59"/>
        <v>3782.579616709224</v>
      </c>
      <c r="BJ499" s="6">
        <f t="shared" si="60"/>
        <v>181.52865161357408</v>
      </c>
      <c r="BK499" s="11">
        <f t="shared" si="61"/>
        <v>9.1751973947776747E-2</v>
      </c>
      <c r="BL499" s="5">
        <f t="shared" si="62"/>
        <v>458.74775142002682</v>
      </c>
      <c r="BM499" s="11">
        <f t="shared" si="63"/>
        <v>0.13801773676061455</v>
      </c>
    </row>
    <row r="500" spans="1:65" ht="15" customHeight="1" x14ac:dyDescent="0.4">
      <c r="A500" s="2" t="s">
        <v>269</v>
      </c>
      <c r="B500" s="2" t="s">
        <v>451</v>
      </c>
      <c r="C500" s="2" t="s">
        <v>452</v>
      </c>
      <c r="D500" s="3" t="s">
        <v>68</v>
      </c>
      <c r="E500" s="3" t="s">
        <v>453</v>
      </c>
      <c r="F500" s="2" t="s">
        <v>454</v>
      </c>
      <c r="G500" s="4">
        <v>1</v>
      </c>
      <c r="H500" s="5">
        <v>5.41</v>
      </c>
      <c r="I500" s="5">
        <v>5.6392624907398856</v>
      </c>
      <c r="J500" s="6">
        <v>870.52739329002759</v>
      </c>
      <c r="K500" s="5">
        <v>4709.5531976990496</v>
      </c>
      <c r="L500" s="6">
        <v>0</v>
      </c>
      <c r="M500" s="5">
        <v>0</v>
      </c>
      <c r="N500" s="6">
        <v>0</v>
      </c>
      <c r="O500" s="5">
        <v>0</v>
      </c>
      <c r="P500" s="6">
        <v>0</v>
      </c>
      <c r="Q500" s="5">
        <v>0</v>
      </c>
      <c r="R500" s="6">
        <v>0</v>
      </c>
      <c r="S500" s="5">
        <v>0</v>
      </c>
      <c r="T500" s="6">
        <v>0</v>
      </c>
      <c r="U500" s="5">
        <v>0</v>
      </c>
      <c r="V500" s="6">
        <v>0</v>
      </c>
      <c r="W500" s="5">
        <v>0</v>
      </c>
      <c r="X500" s="6">
        <v>0</v>
      </c>
      <c r="Y500" s="5">
        <v>0</v>
      </c>
      <c r="Z500" s="6">
        <v>0</v>
      </c>
      <c r="AA500" s="5">
        <v>0</v>
      </c>
      <c r="AB500" s="6">
        <v>0</v>
      </c>
      <c r="AC500" s="5">
        <v>0</v>
      </c>
      <c r="AD500" s="6">
        <v>0</v>
      </c>
      <c r="AE500" s="5">
        <v>0</v>
      </c>
      <c r="AF500" s="6">
        <v>0</v>
      </c>
      <c r="AG500" s="5">
        <v>0</v>
      </c>
      <c r="AH500" s="7">
        <f t="shared" si="56"/>
        <v>870.52739329002759</v>
      </c>
      <c r="AI500" s="8">
        <f t="shared" si="57"/>
        <v>4709.5531976990496</v>
      </c>
      <c r="AJ500" s="6">
        <v>946</v>
      </c>
      <c r="AK500" s="5">
        <v>5334.7423162399318</v>
      </c>
      <c r="AL500" s="6">
        <v>0</v>
      </c>
      <c r="AM500" s="5">
        <v>0</v>
      </c>
      <c r="AN500" s="6">
        <v>0</v>
      </c>
      <c r="AO500" s="5">
        <v>0</v>
      </c>
      <c r="AP500" s="6">
        <v>0</v>
      </c>
      <c r="AQ500" s="5">
        <v>0</v>
      </c>
      <c r="AR500" s="6">
        <v>0</v>
      </c>
      <c r="AS500" s="5">
        <v>0</v>
      </c>
      <c r="AT500" s="6">
        <v>0</v>
      </c>
      <c r="AU500" s="5">
        <v>0</v>
      </c>
      <c r="AV500" s="6">
        <v>0</v>
      </c>
      <c r="AW500" s="5">
        <v>0</v>
      </c>
      <c r="AX500" s="6">
        <v>0</v>
      </c>
      <c r="AY500" s="5">
        <v>0</v>
      </c>
      <c r="AZ500" s="6">
        <v>0</v>
      </c>
      <c r="BA500" s="5">
        <v>0</v>
      </c>
      <c r="BB500" s="6">
        <v>0</v>
      </c>
      <c r="BC500" s="5">
        <v>0</v>
      </c>
      <c r="BD500" s="6">
        <v>0</v>
      </c>
      <c r="BE500" s="5">
        <v>0</v>
      </c>
      <c r="BF500" s="6">
        <v>0</v>
      </c>
      <c r="BG500" s="5">
        <v>0</v>
      </c>
      <c r="BH500" s="9">
        <f t="shared" si="58"/>
        <v>946</v>
      </c>
      <c r="BI500" s="10">
        <f t="shared" si="59"/>
        <v>5334.7423162399318</v>
      </c>
      <c r="BJ500" s="6">
        <f t="shared" si="60"/>
        <v>75.47260670997241</v>
      </c>
      <c r="BK500" s="11">
        <f t="shared" si="61"/>
        <v>8.6697566660981246E-2</v>
      </c>
      <c r="BL500" s="5">
        <f t="shared" si="62"/>
        <v>625.18911854088219</v>
      </c>
      <c r="BM500" s="11">
        <f t="shared" si="63"/>
        <v>0.1327491361274635</v>
      </c>
    </row>
    <row r="501" spans="1:65" ht="15" customHeight="1" x14ac:dyDescent="0.4">
      <c r="A501" s="2" t="s">
        <v>269</v>
      </c>
      <c r="B501" s="2" t="s">
        <v>451</v>
      </c>
      <c r="C501" s="2" t="s">
        <v>452</v>
      </c>
      <c r="D501" s="3" t="s">
        <v>68</v>
      </c>
      <c r="E501" s="3" t="s">
        <v>453</v>
      </c>
      <c r="F501" s="2" t="s">
        <v>283</v>
      </c>
      <c r="G501" s="4">
        <v>1</v>
      </c>
      <c r="H501" s="5">
        <v>5.41</v>
      </c>
      <c r="I501" s="5">
        <v>5.6392624907398856</v>
      </c>
      <c r="J501" s="6">
        <v>0</v>
      </c>
      <c r="K501" s="5">
        <v>0</v>
      </c>
      <c r="L501" s="6">
        <v>0</v>
      </c>
      <c r="M501" s="5">
        <v>0</v>
      </c>
      <c r="N501" s="6">
        <v>0</v>
      </c>
      <c r="O501" s="5">
        <v>0</v>
      </c>
      <c r="P501" s="6">
        <v>0</v>
      </c>
      <c r="Q501" s="5">
        <v>0</v>
      </c>
      <c r="R501" s="6">
        <v>870.52739329002759</v>
      </c>
      <c r="S501" s="5">
        <v>4709.5531976990496</v>
      </c>
      <c r="T501" s="6">
        <v>870.52739329002759</v>
      </c>
      <c r="U501" s="5">
        <v>4709.5531976990496</v>
      </c>
      <c r="V501" s="6">
        <v>0</v>
      </c>
      <c r="W501" s="5">
        <v>0</v>
      </c>
      <c r="X501" s="6">
        <v>0</v>
      </c>
      <c r="Y501" s="5">
        <v>0</v>
      </c>
      <c r="Z501" s="6">
        <v>0</v>
      </c>
      <c r="AA501" s="5">
        <v>0</v>
      </c>
      <c r="AB501" s="6">
        <v>0</v>
      </c>
      <c r="AC501" s="5">
        <v>0</v>
      </c>
      <c r="AD501" s="6">
        <v>0</v>
      </c>
      <c r="AE501" s="5">
        <v>0</v>
      </c>
      <c r="AF501" s="6">
        <v>0</v>
      </c>
      <c r="AG501" s="5">
        <v>0</v>
      </c>
      <c r="AH501" s="7">
        <f t="shared" si="56"/>
        <v>1741.0547865800552</v>
      </c>
      <c r="AI501" s="8">
        <f t="shared" si="57"/>
        <v>9419.1063953980993</v>
      </c>
      <c r="AJ501" s="6">
        <v>0</v>
      </c>
      <c r="AK501" s="5">
        <v>0</v>
      </c>
      <c r="AL501" s="6">
        <v>0</v>
      </c>
      <c r="AM501" s="5">
        <v>0</v>
      </c>
      <c r="AN501" s="6">
        <v>0</v>
      </c>
      <c r="AO501" s="5">
        <v>0</v>
      </c>
      <c r="AP501" s="6">
        <v>0</v>
      </c>
      <c r="AQ501" s="5">
        <v>0</v>
      </c>
      <c r="AR501" s="6">
        <v>946</v>
      </c>
      <c r="AS501" s="5">
        <v>5334.7423162399318</v>
      </c>
      <c r="AT501" s="6">
        <v>946</v>
      </c>
      <c r="AU501" s="5">
        <v>5334.7423162399318</v>
      </c>
      <c r="AV501" s="6">
        <v>0</v>
      </c>
      <c r="AW501" s="5">
        <v>0</v>
      </c>
      <c r="AX501" s="6">
        <v>0</v>
      </c>
      <c r="AY501" s="5">
        <v>0</v>
      </c>
      <c r="AZ501" s="6">
        <v>0</v>
      </c>
      <c r="BA501" s="5">
        <v>0</v>
      </c>
      <c r="BB501" s="6">
        <v>0</v>
      </c>
      <c r="BC501" s="5">
        <v>0</v>
      </c>
      <c r="BD501" s="6">
        <v>0</v>
      </c>
      <c r="BE501" s="5">
        <v>0</v>
      </c>
      <c r="BF501" s="6">
        <v>0</v>
      </c>
      <c r="BG501" s="5">
        <v>0</v>
      </c>
      <c r="BH501" s="9">
        <f t="shared" si="58"/>
        <v>1892</v>
      </c>
      <c r="BI501" s="10">
        <f t="shared" si="59"/>
        <v>10669.484632479864</v>
      </c>
      <c r="BJ501" s="6">
        <f t="shared" si="60"/>
        <v>150.94521341994482</v>
      </c>
      <c r="BK501" s="11">
        <f t="shared" si="61"/>
        <v>8.6697566660981246E-2</v>
      </c>
      <c r="BL501" s="5">
        <f t="shared" si="62"/>
        <v>1250.3782370817644</v>
      </c>
      <c r="BM501" s="11">
        <f t="shared" si="63"/>
        <v>0.1327491361274635</v>
      </c>
    </row>
    <row r="502" spans="1:65" ht="15" customHeight="1" x14ac:dyDescent="0.4">
      <c r="A502" s="2" t="s">
        <v>269</v>
      </c>
      <c r="B502" s="2" t="s">
        <v>451</v>
      </c>
      <c r="C502" s="2" t="s">
        <v>452</v>
      </c>
      <c r="D502" s="3" t="s">
        <v>68</v>
      </c>
      <c r="E502" s="3" t="s">
        <v>453</v>
      </c>
      <c r="F502" s="2" t="s">
        <v>215</v>
      </c>
      <c r="G502" s="4">
        <v>1</v>
      </c>
      <c r="H502" s="5">
        <v>5.5155855664682676</v>
      </c>
      <c r="I502" s="5">
        <v>5.7492880245392444</v>
      </c>
      <c r="J502" s="6">
        <v>0</v>
      </c>
      <c r="K502" s="5">
        <v>0</v>
      </c>
      <c r="L502" s="6">
        <v>0</v>
      </c>
      <c r="M502" s="5">
        <v>0</v>
      </c>
      <c r="N502" s="6">
        <v>0</v>
      </c>
      <c r="O502" s="5">
        <v>0</v>
      </c>
      <c r="P502" s="6">
        <v>0</v>
      </c>
      <c r="Q502" s="5">
        <v>0</v>
      </c>
      <c r="R502" s="6">
        <v>0</v>
      </c>
      <c r="S502" s="5">
        <v>0</v>
      </c>
      <c r="T502" s="6">
        <v>870.52739329002759</v>
      </c>
      <c r="U502" s="5">
        <v>4918.4797720886563</v>
      </c>
      <c r="V502" s="6">
        <v>0</v>
      </c>
      <c r="W502" s="5">
        <v>0</v>
      </c>
      <c r="X502" s="6">
        <v>0</v>
      </c>
      <c r="Y502" s="5">
        <v>0</v>
      </c>
      <c r="Z502" s="6">
        <v>0</v>
      </c>
      <c r="AA502" s="5">
        <v>0</v>
      </c>
      <c r="AB502" s="6">
        <v>0</v>
      </c>
      <c r="AC502" s="5">
        <v>0</v>
      </c>
      <c r="AD502" s="6">
        <v>834.23660258258258</v>
      </c>
      <c r="AE502" s="5">
        <v>4484.2919177810818</v>
      </c>
      <c r="AF502" s="6">
        <v>0</v>
      </c>
      <c r="AG502" s="5">
        <v>0</v>
      </c>
      <c r="AH502" s="7">
        <f t="shared" si="56"/>
        <v>1704.7639958726102</v>
      </c>
      <c r="AI502" s="8">
        <f t="shared" si="57"/>
        <v>9402.7716898697381</v>
      </c>
      <c r="AJ502" s="6">
        <v>0</v>
      </c>
      <c r="AK502" s="5">
        <v>0</v>
      </c>
      <c r="AL502" s="6">
        <v>0</v>
      </c>
      <c r="AM502" s="5">
        <v>0</v>
      </c>
      <c r="AN502" s="6">
        <v>0</v>
      </c>
      <c r="AO502" s="5">
        <v>0</v>
      </c>
      <c r="AP502" s="6">
        <v>0</v>
      </c>
      <c r="AQ502" s="5">
        <v>0</v>
      </c>
      <c r="AR502" s="6">
        <v>0</v>
      </c>
      <c r="AS502" s="5">
        <v>0</v>
      </c>
      <c r="AT502" s="6">
        <v>946</v>
      </c>
      <c r="AU502" s="5">
        <v>5571.4037128938298</v>
      </c>
      <c r="AV502" s="6">
        <v>0</v>
      </c>
      <c r="AW502" s="5">
        <v>0</v>
      </c>
      <c r="AX502" s="6">
        <v>0</v>
      </c>
      <c r="AY502" s="5">
        <v>0</v>
      </c>
      <c r="AZ502" s="6">
        <v>0</v>
      </c>
      <c r="BA502" s="5">
        <v>0</v>
      </c>
      <c r="BB502" s="6">
        <v>0</v>
      </c>
      <c r="BC502" s="5">
        <v>0</v>
      </c>
      <c r="BD502" s="6">
        <v>907</v>
      </c>
      <c r="BE502" s="5">
        <v>5082.0269965773896</v>
      </c>
      <c r="BF502" s="6">
        <v>0</v>
      </c>
      <c r="BG502" s="5">
        <v>0</v>
      </c>
      <c r="BH502" s="9">
        <f t="shared" si="58"/>
        <v>1853</v>
      </c>
      <c r="BI502" s="10">
        <f t="shared" si="59"/>
        <v>10653.43070947122</v>
      </c>
      <c r="BJ502" s="6">
        <f t="shared" si="60"/>
        <v>148.23600412738983</v>
      </c>
      <c r="BK502" s="11">
        <f t="shared" si="61"/>
        <v>8.6953973973102894E-2</v>
      </c>
      <c r="BL502" s="5">
        <f t="shared" si="62"/>
        <v>1250.6590196014822</v>
      </c>
      <c r="BM502" s="11">
        <f t="shared" si="63"/>
        <v>0.13300961257507768</v>
      </c>
    </row>
    <row r="503" spans="1:65" ht="15" customHeight="1" x14ac:dyDescent="0.4">
      <c r="A503" s="2" t="s">
        <v>269</v>
      </c>
      <c r="B503" s="2" t="s">
        <v>451</v>
      </c>
      <c r="C503" s="2" t="s">
        <v>452</v>
      </c>
      <c r="D503" s="3" t="s">
        <v>68</v>
      </c>
      <c r="E503" s="3" t="s">
        <v>455</v>
      </c>
      <c r="F503" s="2" t="s">
        <v>454</v>
      </c>
      <c r="G503" s="4">
        <v>20</v>
      </c>
      <c r="H503" s="5">
        <v>4.5199999999999996</v>
      </c>
      <c r="I503" s="5">
        <v>4.7115464802484812</v>
      </c>
      <c r="J503" s="6">
        <v>0</v>
      </c>
      <c r="K503" s="5">
        <v>0</v>
      </c>
      <c r="L503" s="6">
        <v>989.23567419321319</v>
      </c>
      <c r="M503" s="5">
        <v>4471.3452473533234</v>
      </c>
      <c r="N503" s="6">
        <v>0</v>
      </c>
      <c r="O503" s="5">
        <v>0</v>
      </c>
      <c r="P503" s="6">
        <v>0</v>
      </c>
      <c r="Q503" s="5">
        <v>0</v>
      </c>
      <c r="R503" s="6">
        <v>0</v>
      </c>
      <c r="S503" s="5">
        <v>0</v>
      </c>
      <c r="T503" s="6">
        <v>0</v>
      </c>
      <c r="U503" s="5">
        <v>0</v>
      </c>
      <c r="V503" s="6">
        <v>0</v>
      </c>
      <c r="W503" s="5">
        <v>0</v>
      </c>
      <c r="X503" s="6">
        <v>0</v>
      </c>
      <c r="Y503" s="5">
        <v>0</v>
      </c>
      <c r="Z503" s="6">
        <v>0</v>
      </c>
      <c r="AA503" s="5">
        <v>0</v>
      </c>
      <c r="AB503" s="6">
        <v>0</v>
      </c>
      <c r="AC503" s="5">
        <v>0</v>
      </c>
      <c r="AD503" s="6">
        <v>0</v>
      </c>
      <c r="AE503" s="5">
        <v>0</v>
      </c>
      <c r="AF503" s="6">
        <v>0</v>
      </c>
      <c r="AG503" s="5">
        <v>0</v>
      </c>
      <c r="AH503" s="7">
        <f t="shared" si="56"/>
        <v>989.23567419321319</v>
      </c>
      <c r="AI503" s="8">
        <f t="shared" si="57"/>
        <v>4471.3452473533234</v>
      </c>
      <c r="AJ503" s="6">
        <v>0</v>
      </c>
      <c r="AK503" s="5">
        <v>0</v>
      </c>
      <c r="AL503" s="6">
        <v>1080</v>
      </c>
      <c r="AM503" s="5">
        <v>5088.4701986683594</v>
      </c>
      <c r="AN503" s="6">
        <v>0</v>
      </c>
      <c r="AO503" s="5">
        <v>0</v>
      </c>
      <c r="AP503" s="6">
        <v>0</v>
      </c>
      <c r="AQ503" s="5">
        <v>0</v>
      </c>
      <c r="AR503" s="6">
        <v>0</v>
      </c>
      <c r="AS503" s="5">
        <v>0</v>
      </c>
      <c r="AT503" s="6">
        <v>0</v>
      </c>
      <c r="AU503" s="5">
        <v>0</v>
      </c>
      <c r="AV503" s="6">
        <v>0</v>
      </c>
      <c r="AW503" s="5">
        <v>0</v>
      </c>
      <c r="AX503" s="6">
        <v>0</v>
      </c>
      <c r="AY503" s="5">
        <v>0</v>
      </c>
      <c r="AZ503" s="6">
        <v>0</v>
      </c>
      <c r="BA503" s="5">
        <v>0</v>
      </c>
      <c r="BB503" s="6">
        <v>0</v>
      </c>
      <c r="BC503" s="5">
        <v>0</v>
      </c>
      <c r="BD503" s="6">
        <v>0</v>
      </c>
      <c r="BE503" s="5">
        <v>0</v>
      </c>
      <c r="BF503" s="6">
        <v>0</v>
      </c>
      <c r="BG503" s="5">
        <v>0</v>
      </c>
      <c r="BH503" s="9">
        <f t="shared" si="58"/>
        <v>1080</v>
      </c>
      <c r="BI503" s="10">
        <f t="shared" si="59"/>
        <v>5088.4701986683594</v>
      </c>
      <c r="BJ503" s="6">
        <f t="shared" si="60"/>
        <v>90.764325806786815</v>
      </c>
      <c r="BK503" s="11">
        <f t="shared" si="61"/>
        <v>9.1751973947776497E-2</v>
      </c>
      <c r="BL503" s="5">
        <f t="shared" si="62"/>
        <v>617.12495131503601</v>
      </c>
      <c r="BM503" s="11">
        <f t="shared" si="63"/>
        <v>0.13801773676061457</v>
      </c>
    </row>
    <row r="504" spans="1:65" ht="15" customHeight="1" x14ac:dyDescent="0.4">
      <c r="A504" s="2" t="s">
        <v>269</v>
      </c>
      <c r="B504" s="2" t="s">
        <v>451</v>
      </c>
      <c r="C504" s="2" t="s">
        <v>452</v>
      </c>
      <c r="D504" s="3" t="s">
        <v>68</v>
      </c>
      <c r="E504" s="3" t="s">
        <v>455</v>
      </c>
      <c r="F504" s="2" t="s">
        <v>283</v>
      </c>
      <c r="G504" s="4">
        <v>20</v>
      </c>
      <c r="H504" s="5">
        <v>4.5199999999999996</v>
      </c>
      <c r="I504" s="5">
        <v>4.7115464802484821</v>
      </c>
      <c r="J504" s="6">
        <v>0</v>
      </c>
      <c r="K504" s="5">
        <v>0</v>
      </c>
      <c r="L504" s="6">
        <v>0</v>
      </c>
      <c r="M504" s="5">
        <v>0</v>
      </c>
      <c r="N504" s="6">
        <v>0</v>
      </c>
      <c r="O504" s="5">
        <v>0</v>
      </c>
      <c r="P504" s="6">
        <v>0</v>
      </c>
      <c r="Q504" s="5">
        <v>0</v>
      </c>
      <c r="R504" s="6">
        <v>2176.318483225069</v>
      </c>
      <c r="S504" s="5">
        <v>9836.9595441773126</v>
      </c>
      <c r="T504" s="6">
        <v>0</v>
      </c>
      <c r="U504" s="5">
        <v>0</v>
      </c>
      <c r="V504" s="6">
        <v>0</v>
      </c>
      <c r="W504" s="5">
        <v>0</v>
      </c>
      <c r="X504" s="6">
        <v>0</v>
      </c>
      <c r="Y504" s="5">
        <v>0</v>
      </c>
      <c r="Z504" s="6">
        <v>0</v>
      </c>
      <c r="AA504" s="5">
        <v>0</v>
      </c>
      <c r="AB504" s="6">
        <v>0</v>
      </c>
      <c r="AC504" s="5">
        <v>0</v>
      </c>
      <c r="AD504" s="6">
        <v>0</v>
      </c>
      <c r="AE504" s="5">
        <v>0</v>
      </c>
      <c r="AF504" s="6">
        <v>0</v>
      </c>
      <c r="AG504" s="5">
        <v>0</v>
      </c>
      <c r="AH504" s="7">
        <f t="shared" si="56"/>
        <v>2176.318483225069</v>
      </c>
      <c r="AI504" s="8">
        <f t="shared" si="57"/>
        <v>9836.9595441773126</v>
      </c>
      <c r="AJ504" s="6">
        <v>0</v>
      </c>
      <c r="AK504" s="5">
        <v>0</v>
      </c>
      <c r="AL504" s="6">
        <v>0</v>
      </c>
      <c r="AM504" s="5">
        <v>0</v>
      </c>
      <c r="AN504" s="6">
        <v>0</v>
      </c>
      <c r="AO504" s="5">
        <v>0</v>
      </c>
      <c r="AP504" s="6">
        <v>0</v>
      </c>
      <c r="AQ504" s="5">
        <v>0</v>
      </c>
      <c r="AR504" s="6">
        <v>2360</v>
      </c>
      <c r="AS504" s="5">
        <v>11119.24969338642</v>
      </c>
      <c r="AT504" s="6">
        <v>0</v>
      </c>
      <c r="AU504" s="5">
        <v>0</v>
      </c>
      <c r="AV504" s="6">
        <v>0</v>
      </c>
      <c r="AW504" s="5">
        <v>0</v>
      </c>
      <c r="AX504" s="6">
        <v>0</v>
      </c>
      <c r="AY504" s="5">
        <v>0</v>
      </c>
      <c r="AZ504" s="6">
        <v>0</v>
      </c>
      <c r="BA504" s="5">
        <v>0</v>
      </c>
      <c r="BB504" s="6">
        <v>0</v>
      </c>
      <c r="BC504" s="5">
        <v>0</v>
      </c>
      <c r="BD504" s="6">
        <v>0</v>
      </c>
      <c r="BE504" s="5">
        <v>0</v>
      </c>
      <c r="BF504" s="6">
        <v>0</v>
      </c>
      <c r="BG504" s="5">
        <v>0</v>
      </c>
      <c r="BH504" s="9">
        <f t="shared" si="58"/>
        <v>2360</v>
      </c>
      <c r="BI504" s="10">
        <f t="shared" si="59"/>
        <v>11119.24969338642</v>
      </c>
      <c r="BJ504" s="6">
        <f t="shared" si="60"/>
        <v>183.68151677493097</v>
      </c>
      <c r="BK504" s="11">
        <f t="shared" si="61"/>
        <v>8.4400108803347015E-2</v>
      </c>
      <c r="BL504" s="5">
        <f t="shared" si="62"/>
        <v>1282.2901492091078</v>
      </c>
      <c r="BM504" s="11">
        <f t="shared" si="63"/>
        <v>0.13035431765784991</v>
      </c>
    </row>
    <row r="505" spans="1:65" ht="15" customHeight="1" x14ac:dyDescent="0.4">
      <c r="A505" s="2" t="s">
        <v>269</v>
      </c>
      <c r="B505" s="2" t="s">
        <v>451</v>
      </c>
      <c r="C505" s="2" t="s">
        <v>452</v>
      </c>
      <c r="D505" s="3" t="s">
        <v>68</v>
      </c>
      <c r="E505" s="3" t="s">
        <v>456</v>
      </c>
      <c r="F505" s="2" t="s">
        <v>457</v>
      </c>
      <c r="G505" s="4">
        <v>1</v>
      </c>
      <c r="H505" s="5">
        <v>10.46</v>
      </c>
      <c r="I505" s="5">
        <v>10.9032690671237</v>
      </c>
      <c r="J505" s="6">
        <v>0</v>
      </c>
      <c r="K505" s="5">
        <v>0</v>
      </c>
      <c r="L505" s="6">
        <v>0</v>
      </c>
      <c r="M505" s="5">
        <v>0</v>
      </c>
      <c r="N505" s="6">
        <v>427.34981125146811</v>
      </c>
      <c r="O505" s="5">
        <v>4470.0790256903574</v>
      </c>
      <c r="P505" s="6">
        <v>0</v>
      </c>
      <c r="Q505" s="5">
        <v>0</v>
      </c>
      <c r="R505" s="6">
        <v>0</v>
      </c>
      <c r="S505" s="5">
        <v>0</v>
      </c>
      <c r="T505" s="6">
        <v>0</v>
      </c>
      <c r="U505" s="5">
        <v>0</v>
      </c>
      <c r="V505" s="6">
        <v>0</v>
      </c>
      <c r="W505" s="5">
        <v>0</v>
      </c>
      <c r="X505" s="6">
        <v>0</v>
      </c>
      <c r="Y505" s="5">
        <v>0</v>
      </c>
      <c r="Z505" s="6">
        <v>0</v>
      </c>
      <c r="AA505" s="5">
        <v>0</v>
      </c>
      <c r="AB505" s="6">
        <v>0</v>
      </c>
      <c r="AC505" s="5">
        <v>0</v>
      </c>
      <c r="AD505" s="6">
        <v>0</v>
      </c>
      <c r="AE505" s="5">
        <v>0</v>
      </c>
      <c r="AF505" s="6">
        <v>0</v>
      </c>
      <c r="AG505" s="5">
        <v>0</v>
      </c>
      <c r="AH505" s="7">
        <f t="shared" si="56"/>
        <v>427.34981125146811</v>
      </c>
      <c r="AI505" s="8">
        <f t="shared" si="57"/>
        <v>4470.0790256903574</v>
      </c>
      <c r="AJ505" s="6">
        <v>0</v>
      </c>
      <c r="AK505" s="5">
        <v>0</v>
      </c>
      <c r="AL505" s="6">
        <v>0</v>
      </c>
      <c r="AM505" s="5">
        <v>0</v>
      </c>
      <c r="AN505" s="6">
        <v>467</v>
      </c>
      <c r="AO505" s="5">
        <v>5091.8266543467671</v>
      </c>
      <c r="AP505" s="6">
        <v>0</v>
      </c>
      <c r="AQ505" s="5">
        <v>0</v>
      </c>
      <c r="AR505" s="6">
        <v>0</v>
      </c>
      <c r="AS505" s="5">
        <v>0</v>
      </c>
      <c r="AT505" s="6">
        <v>0</v>
      </c>
      <c r="AU505" s="5">
        <v>0</v>
      </c>
      <c r="AV505" s="6">
        <v>0</v>
      </c>
      <c r="AW505" s="5">
        <v>0</v>
      </c>
      <c r="AX505" s="6">
        <v>0</v>
      </c>
      <c r="AY505" s="5">
        <v>0</v>
      </c>
      <c r="AZ505" s="6">
        <v>0</v>
      </c>
      <c r="BA505" s="5">
        <v>0</v>
      </c>
      <c r="BB505" s="6">
        <v>0</v>
      </c>
      <c r="BC505" s="5">
        <v>0</v>
      </c>
      <c r="BD505" s="6">
        <v>0</v>
      </c>
      <c r="BE505" s="5">
        <v>0</v>
      </c>
      <c r="BF505" s="6">
        <v>0</v>
      </c>
      <c r="BG505" s="5">
        <v>0</v>
      </c>
      <c r="BH505" s="9">
        <f t="shared" si="58"/>
        <v>467</v>
      </c>
      <c r="BI505" s="10">
        <f t="shared" si="59"/>
        <v>5091.8266543467671</v>
      </c>
      <c r="BJ505" s="6">
        <f t="shared" si="60"/>
        <v>39.650188748531889</v>
      </c>
      <c r="BK505" s="11">
        <f t="shared" si="61"/>
        <v>9.2781575432123647E-2</v>
      </c>
      <c r="BL505" s="5">
        <f t="shared" si="62"/>
        <v>621.74762865640969</v>
      </c>
      <c r="BM505" s="11">
        <f t="shared" si="63"/>
        <v>0.13909097022292288</v>
      </c>
    </row>
    <row r="506" spans="1:65" ht="15" customHeight="1" x14ac:dyDescent="0.4">
      <c r="A506" s="2" t="s">
        <v>269</v>
      </c>
      <c r="B506" s="2" t="s">
        <v>451</v>
      </c>
      <c r="C506" s="2" t="s">
        <v>452</v>
      </c>
      <c r="D506" s="3" t="s">
        <v>68</v>
      </c>
      <c r="E506" s="3" t="s">
        <v>458</v>
      </c>
      <c r="F506" s="2" t="s">
        <v>105</v>
      </c>
      <c r="G506" s="4">
        <v>1</v>
      </c>
      <c r="H506" s="5">
        <v>5.3900000000000006</v>
      </c>
      <c r="I506" s="5">
        <v>5.6184149399423271</v>
      </c>
      <c r="J506" s="6">
        <v>0</v>
      </c>
      <c r="K506" s="5">
        <v>0</v>
      </c>
      <c r="L506" s="6">
        <v>0</v>
      </c>
      <c r="M506" s="5">
        <v>0</v>
      </c>
      <c r="N506" s="6">
        <v>0</v>
      </c>
      <c r="O506" s="5">
        <v>0</v>
      </c>
      <c r="P506" s="6">
        <v>0</v>
      </c>
      <c r="Q506" s="5">
        <v>0</v>
      </c>
      <c r="R506" s="6">
        <v>0</v>
      </c>
      <c r="S506" s="5">
        <v>0</v>
      </c>
      <c r="T506" s="6">
        <v>0</v>
      </c>
      <c r="U506" s="5">
        <v>0</v>
      </c>
      <c r="V506" s="6">
        <v>391.73732698051242</v>
      </c>
      <c r="W506" s="5">
        <v>2111.4641924249622</v>
      </c>
      <c r="X506" s="6">
        <v>0</v>
      </c>
      <c r="Y506" s="5">
        <v>0</v>
      </c>
      <c r="Z506" s="6">
        <v>0</v>
      </c>
      <c r="AA506" s="5">
        <v>0</v>
      </c>
      <c r="AB506" s="6">
        <v>0</v>
      </c>
      <c r="AC506" s="5">
        <v>0</v>
      </c>
      <c r="AD506" s="6">
        <v>0</v>
      </c>
      <c r="AE506" s="5">
        <v>0</v>
      </c>
      <c r="AF506" s="6">
        <v>0</v>
      </c>
      <c r="AG506" s="5">
        <v>0</v>
      </c>
      <c r="AH506" s="7">
        <f t="shared" si="56"/>
        <v>391.73732698051242</v>
      </c>
      <c r="AI506" s="8">
        <f t="shared" si="57"/>
        <v>2111.4641924249622</v>
      </c>
      <c r="AJ506" s="6">
        <v>0</v>
      </c>
      <c r="AK506" s="5">
        <v>0</v>
      </c>
      <c r="AL506" s="6">
        <v>0</v>
      </c>
      <c r="AM506" s="5">
        <v>0</v>
      </c>
      <c r="AN506" s="6">
        <v>0</v>
      </c>
      <c r="AO506" s="5">
        <v>0</v>
      </c>
      <c r="AP506" s="6">
        <v>0</v>
      </c>
      <c r="AQ506" s="5">
        <v>0</v>
      </c>
      <c r="AR506" s="6">
        <v>0</v>
      </c>
      <c r="AS506" s="5">
        <v>0</v>
      </c>
      <c r="AT506" s="6">
        <v>0</v>
      </c>
      <c r="AU506" s="5">
        <v>0</v>
      </c>
      <c r="AV506" s="6">
        <v>442</v>
      </c>
      <c r="AW506" s="5">
        <v>2483.339403454509</v>
      </c>
      <c r="AX506" s="6">
        <v>0</v>
      </c>
      <c r="AY506" s="5">
        <v>0</v>
      </c>
      <c r="AZ506" s="6">
        <v>0</v>
      </c>
      <c r="BA506" s="5">
        <v>0</v>
      </c>
      <c r="BB506" s="6">
        <v>0</v>
      </c>
      <c r="BC506" s="5">
        <v>0</v>
      </c>
      <c r="BD506" s="6">
        <v>0</v>
      </c>
      <c r="BE506" s="5">
        <v>0</v>
      </c>
      <c r="BF506" s="6">
        <v>0</v>
      </c>
      <c r="BG506" s="5">
        <v>0</v>
      </c>
      <c r="BH506" s="9">
        <f t="shared" si="58"/>
        <v>442</v>
      </c>
      <c r="BI506" s="10">
        <f t="shared" si="59"/>
        <v>2483.339403454509</v>
      </c>
      <c r="BJ506" s="6">
        <f t="shared" si="60"/>
        <v>50.262673019487579</v>
      </c>
      <c r="BK506" s="11">
        <f t="shared" si="61"/>
        <v>0.12830708119368969</v>
      </c>
      <c r="BL506" s="5">
        <f t="shared" si="62"/>
        <v>371.87521102954679</v>
      </c>
      <c r="BM506" s="11">
        <f t="shared" si="63"/>
        <v>0.17612195952158569</v>
      </c>
    </row>
    <row r="507" spans="1:65" ht="15" customHeight="1" x14ac:dyDescent="0.4">
      <c r="A507" s="2" t="s">
        <v>269</v>
      </c>
      <c r="B507" s="2" t="s">
        <v>451</v>
      </c>
      <c r="C507" s="2" t="s">
        <v>452</v>
      </c>
      <c r="D507" s="3" t="s">
        <v>68</v>
      </c>
      <c r="E507" s="3" t="s">
        <v>459</v>
      </c>
      <c r="F507" s="2" t="s">
        <v>460</v>
      </c>
      <c r="G507" s="4">
        <v>1</v>
      </c>
      <c r="H507" s="5">
        <v>5.67</v>
      </c>
      <c r="I507" s="5">
        <v>5.9102806511081623</v>
      </c>
      <c r="J507" s="6">
        <v>0</v>
      </c>
      <c r="K507" s="5">
        <v>0</v>
      </c>
      <c r="L507" s="6">
        <v>0</v>
      </c>
      <c r="M507" s="5">
        <v>0</v>
      </c>
      <c r="N507" s="6">
        <v>427.34981125146811</v>
      </c>
      <c r="O507" s="5">
        <v>2423.0734297958238</v>
      </c>
      <c r="P507" s="6">
        <v>0</v>
      </c>
      <c r="Q507" s="5">
        <v>0</v>
      </c>
      <c r="R507" s="6">
        <v>0</v>
      </c>
      <c r="S507" s="5">
        <v>0</v>
      </c>
      <c r="T507" s="6">
        <v>0</v>
      </c>
      <c r="U507" s="5">
        <v>0</v>
      </c>
      <c r="V507" s="6">
        <v>0</v>
      </c>
      <c r="W507" s="5">
        <v>0</v>
      </c>
      <c r="X507" s="6">
        <v>0</v>
      </c>
      <c r="Y507" s="5">
        <v>0</v>
      </c>
      <c r="Z507" s="6">
        <v>0</v>
      </c>
      <c r="AA507" s="5">
        <v>0</v>
      </c>
      <c r="AB507" s="6">
        <v>0</v>
      </c>
      <c r="AC507" s="5">
        <v>0</v>
      </c>
      <c r="AD507" s="6">
        <v>0</v>
      </c>
      <c r="AE507" s="5">
        <v>0</v>
      </c>
      <c r="AF507" s="6">
        <v>0</v>
      </c>
      <c r="AG507" s="5">
        <v>0</v>
      </c>
      <c r="AH507" s="7">
        <f t="shared" si="56"/>
        <v>427.34981125146811</v>
      </c>
      <c r="AI507" s="8">
        <f t="shared" si="57"/>
        <v>2423.0734297958238</v>
      </c>
      <c r="AJ507" s="6">
        <v>0</v>
      </c>
      <c r="AK507" s="5">
        <v>0</v>
      </c>
      <c r="AL507" s="6">
        <v>0</v>
      </c>
      <c r="AM507" s="5">
        <v>0</v>
      </c>
      <c r="AN507" s="6">
        <v>458</v>
      </c>
      <c r="AO507" s="5">
        <v>2706.9085382075382</v>
      </c>
      <c r="AP507" s="6">
        <v>0</v>
      </c>
      <c r="AQ507" s="5">
        <v>0</v>
      </c>
      <c r="AR507" s="6">
        <v>0</v>
      </c>
      <c r="AS507" s="5">
        <v>0</v>
      </c>
      <c r="AT507" s="6">
        <v>0</v>
      </c>
      <c r="AU507" s="5">
        <v>0</v>
      </c>
      <c r="AV507" s="6">
        <v>0</v>
      </c>
      <c r="AW507" s="5">
        <v>0</v>
      </c>
      <c r="AX507" s="6">
        <v>0</v>
      </c>
      <c r="AY507" s="5">
        <v>0</v>
      </c>
      <c r="AZ507" s="6">
        <v>0</v>
      </c>
      <c r="BA507" s="5">
        <v>0</v>
      </c>
      <c r="BB507" s="6">
        <v>0</v>
      </c>
      <c r="BC507" s="5">
        <v>0</v>
      </c>
      <c r="BD507" s="6">
        <v>0</v>
      </c>
      <c r="BE507" s="5">
        <v>0</v>
      </c>
      <c r="BF507" s="6">
        <v>0</v>
      </c>
      <c r="BG507" s="5">
        <v>0</v>
      </c>
      <c r="BH507" s="9">
        <f t="shared" si="58"/>
        <v>458</v>
      </c>
      <c r="BI507" s="10">
        <f t="shared" si="59"/>
        <v>2706.9085382075382</v>
      </c>
      <c r="BJ507" s="6">
        <f t="shared" si="60"/>
        <v>30.650188748531889</v>
      </c>
      <c r="BK507" s="11">
        <f t="shared" si="61"/>
        <v>7.1721545070476719E-2</v>
      </c>
      <c r="BL507" s="5">
        <f t="shared" si="62"/>
        <v>283.83510841171437</v>
      </c>
      <c r="BM507" s="11">
        <f t="shared" si="63"/>
        <v>0.11713846758479426</v>
      </c>
    </row>
    <row r="508" spans="1:65" ht="15" customHeight="1" x14ac:dyDescent="0.4">
      <c r="A508" s="2" t="s">
        <v>269</v>
      </c>
      <c r="B508" s="2" t="s">
        <v>451</v>
      </c>
      <c r="C508" s="2" t="s">
        <v>452</v>
      </c>
      <c r="D508" s="3" t="s">
        <v>68</v>
      </c>
      <c r="E508" s="3" t="s">
        <v>459</v>
      </c>
      <c r="F508" s="2" t="s">
        <v>461</v>
      </c>
      <c r="G508" s="4">
        <v>1</v>
      </c>
      <c r="H508" s="5">
        <v>5.2731018518518527</v>
      </c>
      <c r="I508" s="5">
        <v>5.4965629358593677</v>
      </c>
      <c r="J508" s="6">
        <v>0</v>
      </c>
      <c r="K508" s="5">
        <v>0</v>
      </c>
      <c r="L508" s="6">
        <v>0</v>
      </c>
      <c r="M508" s="5">
        <v>0</v>
      </c>
      <c r="N508" s="6">
        <v>0</v>
      </c>
      <c r="O508" s="5">
        <v>0</v>
      </c>
      <c r="P508" s="6">
        <v>0</v>
      </c>
      <c r="Q508" s="5">
        <v>0</v>
      </c>
      <c r="R508" s="6">
        <v>0</v>
      </c>
      <c r="S508" s="5">
        <v>0</v>
      </c>
      <c r="T508" s="6">
        <v>0</v>
      </c>
      <c r="U508" s="5">
        <v>0</v>
      </c>
      <c r="V508" s="6">
        <v>0</v>
      </c>
      <c r="W508" s="5">
        <v>0</v>
      </c>
      <c r="X508" s="6">
        <v>0</v>
      </c>
      <c r="Y508" s="5">
        <v>0</v>
      </c>
      <c r="Z508" s="6">
        <v>0</v>
      </c>
      <c r="AA508" s="5">
        <v>0</v>
      </c>
      <c r="AB508" s="6">
        <v>0</v>
      </c>
      <c r="AC508" s="5">
        <v>0</v>
      </c>
      <c r="AD508" s="6">
        <v>189.59922785967791</v>
      </c>
      <c r="AE508" s="5">
        <v>999.77603953654864</v>
      </c>
      <c r="AF508" s="6">
        <v>0</v>
      </c>
      <c r="AG508" s="5">
        <v>0</v>
      </c>
      <c r="AH508" s="7">
        <f t="shared" si="56"/>
        <v>189.59922785967791</v>
      </c>
      <c r="AI508" s="8">
        <f t="shared" si="57"/>
        <v>999.77603953654864</v>
      </c>
      <c r="AJ508" s="6">
        <v>0</v>
      </c>
      <c r="AK508" s="5">
        <v>0</v>
      </c>
      <c r="AL508" s="6">
        <v>0</v>
      </c>
      <c r="AM508" s="5">
        <v>0</v>
      </c>
      <c r="AN508" s="6">
        <v>0</v>
      </c>
      <c r="AO508" s="5">
        <v>0</v>
      </c>
      <c r="AP508" s="6">
        <v>0</v>
      </c>
      <c r="AQ508" s="5">
        <v>0</v>
      </c>
      <c r="AR508" s="6">
        <v>0</v>
      </c>
      <c r="AS508" s="5">
        <v>0</v>
      </c>
      <c r="AT508" s="6">
        <v>0</v>
      </c>
      <c r="AU508" s="5">
        <v>0</v>
      </c>
      <c r="AV508" s="6">
        <v>0</v>
      </c>
      <c r="AW508" s="5">
        <v>0</v>
      </c>
      <c r="AX508" s="6">
        <v>0</v>
      </c>
      <c r="AY508" s="5">
        <v>0</v>
      </c>
      <c r="AZ508" s="6">
        <v>0</v>
      </c>
      <c r="BA508" s="5">
        <v>0</v>
      </c>
      <c r="BB508" s="6">
        <v>0</v>
      </c>
      <c r="BC508" s="5">
        <v>0</v>
      </c>
      <c r="BD508" s="6">
        <v>203</v>
      </c>
      <c r="BE508" s="5">
        <v>1115.8022759794519</v>
      </c>
      <c r="BF508" s="6">
        <v>0</v>
      </c>
      <c r="BG508" s="5">
        <v>0</v>
      </c>
      <c r="BH508" s="9">
        <f t="shared" si="58"/>
        <v>203</v>
      </c>
      <c r="BI508" s="10">
        <f t="shared" si="59"/>
        <v>1115.8022759794519</v>
      </c>
      <c r="BJ508" s="6">
        <f t="shared" si="60"/>
        <v>13.40077214032209</v>
      </c>
      <c r="BK508" s="11">
        <f t="shared" si="61"/>
        <v>7.0679465795293106E-2</v>
      </c>
      <c r="BL508" s="5">
        <f t="shared" si="62"/>
        <v>116.02623644290327</v>
      </c>
      <c r="BM508" s="11">
        <f t="shared" si="63"/>
        <v>0.11605222755357072</v>
      </c>
    </row>
    <row r="509" spans="1:65" ht="15" customHeight="1" x14ac:dyDescent="0.4">
      <c r="A509" s="2" t="s">
        <v>269</v>
      </c>
      <c r="B509" s="2" t="s">
        <v>451</v>
      </c>
      <c r="C509" s="2" t="s">
        <v>452</v>
      </c>
      <c r="D509" s="3" t="s">
        <v>68</v>
      </c>
      <c r="E509" s="3" t="s">
        <v>462</v>
      </c>
      <c r="F509" s="2" t="s">
        <v>463</v>
      </c>
      <c r="G509" s="4">
        <v>1</v>
      </c>
      <c r="H509" s="5">
        <v>4.4400000000000004</v>
      </c>
      <c r="I509" s="5">
        <v>4.6281562770582436</v>
      </c>
      <c r="J509" s="6">
        <v>652.89554496752078</v>
      </c>
      <c r="K509" s="5">
        <v>2898.8562196557918</v>
      </c>
      <c r="L509" s="6">
        <v>0</v>
      </c>
      <c r="M509" s="5">
        <v>0</v>
      </c>
      <c r="N509" s="6">
        <v>0</v>
      </c>
      <c r="O509" s="5">
        <v>0</v>
      </c>
      <c r="P509" s="6">
        <v>0</v>
      </c>
      <c r="Q509" s="5">
        <v>0</v>
      </c>
      <c r="R509" s="6">
        <v>0</v>
      </c>
      <c r="S509" s="5">
        <v>0</v>
      </c>
      <c r="T509" s="6">
        <v>0</v>
      </c>
      <c r="U509" s="5">
        <v>0</v>
      </c>
      <c r="V509" s="6">
        <v>0</v>
      </c>
      <c r="W509" s="5">
        <v>0</v>
      </c>
      <c r="X509" s="6">
        <v>0</v>
      </c>
      <c r="Y509" s="5">
        <v>0</v>
      </c>
      <c r="Z509" s="6">
        <v>0</v>
      </c>
      <c r="AA509" s="5">
        <v>0</v>
      </c>
      <c r="AB509" s="6">
        <v>0</v>
      </c>
      <c r="AC509" s="5">
        <v>0</v>
      </c>
      <c r="AD509" s="6">
        <v>0</v>
      </c>
      <c r="AE509" s="5">
        <v>0</v>
      </c>
      <c r="AF509" s="6">
        <v>0</v>
      </c>
      <c r="AG509" s="5">
        <v>0</v>
      </c>
      <c r="AH509" s="7">
        <f t="shared" si="56"/>
        <v>652.89554496752078</v>
      </c>
      <c r="AI509" s="8">
        <f t="shared" si="57"/>
        <v>2898.8562196557918</v>
      </c>
      <c r="AJ509" s="6">
        <v>699</v>
      </c>
      <c r="AK509" s="5">
        <v>3235.0812376637118</v>
      </c>
      <c r="AL509" s="6">
        <v>0</v>
      </c>
      <c r="AM509" s="5">
        <v>0</v>
      </c>
      <c r="AN509" s="6">
        <v>0</v>
      </c>
      <c r="AO509" s="5">
        <v>0</v>
      </c>
      <c r="AP509" s="6">
        <v>0</v>
      </c>
      <c r="AQ509" s="5">
        <v>0</v>
      </c>
      <c r="AR509" s="6">
        <v>0</v>
      </c>
      <c r="AS509" s="5">
        <v>0</v>
      </c>
      <c r="AT509" s="6">
        <v>0</v>
      </c>
      <c r="AU509" s="5">
        <v>0</v>
      </c>
      <c r="AV509" s="6">
        <v>0</v>
      </c>
      <c r="AW509" s="5">
        <v>0</v>
      </c>
      <c r="AX509" s="6">
        <v>0</v>
      </c>
      <c r="AY509" s="5">
        <v>0</v>
      </c>
      <c r="AZ509" s="6">
        <v>0</v>
      </c>
      <c r="BA509" s="5">
        <v>0</v>
      </c>
      <c r="BB509" s="6">
        <v>0</v>
      </c>
      <c r="BC509" s="5">
        <v>0</v>
      </c>
      <c r="BD509" s="6">
        <v>0</v>
      </c>
      <c r="BE509" s="5">
        <v>0</v>
      </c>
      <c r="BF509" s="6">
        <v>0</v>
      </c>
      <c r="BG509" s="5">
        <v>0</v>
      </c>
      <c r="BH509" s="9">
        <f t="shared" si="58"/>
        <v>699</v>
      </c>
      <c r="BI509" s="10">
        <f t="shared" si="59"/>
        <v>3235.0812376637118</v>
      </c>
      <c r="BJ509" s="6">
        <f t="shared" si="60"/>
        <v>46.104455032479223</v>
      </c>
      <c r="BK509" s="11">
        <f t="shared" si="61"/>
        <v>7.0615361657541648E-2</v>
      </c>
      <c r="BL509" s="5">
        <f t="shared" si="62"/>
        <v>336.22501800791997</v>
      </c>
      <c r="BM509" s="11">
        <f t="shared" si="63"/>
        <v>0.11598540684016508</v>
      </c>
    </row>
    <row r="510" spans="1:65" ht="15" customHeight="1" x14ac:dyDescent="0.4">
      <c r="A510" s="2" t="s">
        <v>269</v>
      </c>
      <c r="B510" s="2" t="s">
        <v>451</v>
      </c>
      <c r="C510" s="2" t="s">
        <v>452</v>
      </c>
      <c r="D510" s="3" t="s">
        <v>68</v>
      </c>
      <c r="E510" s="3" t="s">
        <v>464</v>
      </c>
      <c r="F510" s="2" t="s">
        <v>463</v>
      </c>
      <c r="G510" s="4">
        <v>20</v>
      </c>
      <c r="H510" s="5">
        <v>2.7</v>
      </c>
      <c r="I510" s="5">
        <v>2.8144193576705532</v>
      </c>
      <c r="J510" s="6">
        <v>0</v>
      </c>
      <c r="K510" s="5">
        <v>0</v>
      </c>
      <c r="L510" s="6">
        <v>0</v>
      </c>
      <c r="M510" s="5">
        <v>0</v>
      </c>
      <c r="N510" s="6">
        <v>0</v>
      </c>
      <c r="O510" s="5">
        <v>0</v>
      </c>
      <c r="P510" s="6">
        <v>0</v>
      </c>
      <c r="Q510" s="5">
        <v>0</v>
      </c>
      <c r="R510" s="6">
        <v>0</v>
      </c>
      <c r="S510" s="5">
        <v>0</v>
      </c>
      <c r="T510" s="6">
        <v>316.55541574182831</v>
      </c>
      <c r="U510" s="5">
        <v>854.69962250293622</v>
      </c>
      <c r="V510" s="6">
        <v>0</v>
      </c>
      <c r="W510" s="5">
        <v>0</v>
      </c>
      <c r="X510" s="6">
        <v>0</v>
      </c>
      <c r="Y510" s="5">
        <v>0</v>
      </c>
      <c r="Z510" s="6">
        <v>0</v>
      </c>
      <c r="AA510" s="5">
        <v>0</v>
      </c>
      <c r="AB510" s="6">
        <v>0</v>
      </c>
      <c r="AC510" s="5">
        <v>0</v>
      </c>
      <c r="AD510" s="6">
        <v>0</v>
      </c>
      <c r="AE510" s="5">
        <v>0</v>
      </c>
      <c r="AF510" s="6">
        <v>0</v>
      </c>
      <c r="AG510" s="5">
        <v>0</v>
      </c>
      <c r="AH510" s="7">
        <f t="shared" si="56"/>
        <v>316.55541574182831</v>
      </c>
      <c r="AI510" s="8">
        <f t="shared" si="57"/>
        <v>854.69962250293622</v>
      </c>
      <c r="AJ510" s="6">
        <v>0</v>
      </c>
      <c r="AK510" s="5">
        <v>0</v>
      </c>
      <c r="AL510" s="6">
        <v>0</v>
      </c>
      <c r="AM510" s="5">
        <v>0</v>
      </c>
      <c r="AN510" s="6">
        <v>0</v>
      </c>
      <c r="AO510" s="5">
        <v>0</v>
      </c>
      <c r="AP510" s="6">
        <v>0</v>
      </c>
      <c r="AQ510" s="5">
        <v>0</v>
      </c>
      <c r="AR510" s="6">
        <v>0</v>
      </c>
      <c r="AS510" s="5">
        <v>0</v>
      </c>
      <c r="AT510" s="6">
        <v>340</v>
      </c>
      <c r="AU510" s="5">
        <v>956.90258160798794</v>
      </c>
      <c r="AV510" s="6">
        <v>0</v>
      </c>
      <c r="AW510" s="5">
        <v>0</v>
      </c>
      <c r="AX510" s="6">
        <v>0</v>
      </c>
      <c r="AY510" s="5">
        <v>0</v>
      </c>
      <c r="AZ510" s="6">
        <v>0</v>
      </c>
      <c r="BA510" s="5">
        <v>0</v>
      </c>
      <c r="BB510" s="6">
        <v>0</v>
      </c>
      <c r="BC510" s="5">
        <v>0</v>
      </c>
      <c r="BD510" s="6">
        <v>0</v>
      </c>
      <c r="BE510" s="5">
        <v>0</v>
      </c>
      <c r="BF510" s="6">
        <v>0</v>
      </c>
      <c r="BG510" s="5">
        <v>0</v>
      </c>
      <c r="BH510" s="9">
        <f t="shared" si="58"/>
        <v>340</v>
      </c>
      <c r="BI510" s="10">
        <f t="shared" si="59"/>
        <v>956.90258160798794</v>
      </c>
      <c r="BJ510" s="6">
        <f t="shared" si="60"/>
        <v>23.444584258171687</v>
      </c>
      <c r="BK510" s="11">
        <f t="shared" si="61"/>
        <v>7.4061548443992764E-2</v>
      </c>
      <c r="BL510" s="5">
        <f t="shared" si="62"/>
        <v>102.20295910505172</v>
      </c>
      <c r="BM510" s="11">
        <f t="shared" si="63"/>
        <v>0.119577634544586</v>
      </c>
    </row>
    <row r="511" spans="1:65" ht="15" customHeight="1" x14ac:dyDescent="0.4">
      <c r="A511" s="2" t="s">
        <v>269</v>
      </c>
      <c r="B511" s="2" t="s">
        <v>451</v>
      </c>
      <c r="C511" s="2" t="s">
        <v>452</v>
      </c>
      <c r="D511" s="3" t="s">
        <v>68</v>
      </c>
      <c r="E511" s="3" t="s">
        <v>465</v>
      </c>
      <c r="F511" s="2" t="s">
        <v>400</v>
      </c>
      <c r="G511" s="4">
        <v>1</v>
      </c>
      <c r="H511" s="5">
        <v>4.2000000000000011</v>
      </c>
      <c r="I511" s="5">
        <v>4.3779856674875273</v>
      </c>
      <c r="J511" s="6">
        <v>652.89554496752078</v>
      </c>
      <c r="K511" s="5">
        <v>2742.1612888635868</v>
      </c>
      <c r="L511" s="6">
        <v>652.89554496752078</v>
      </c>
      <c r="M511" s="5">
        <v>2742.1612888635868</v>
      </c>
      <c r="N511" s="6">
        <v>0</v>
      </c>
      <c r="O511" s="5">
        <v>0</v>
      </c>
      <c r="P511" s="6">
        <v>0</v>
      </c>
      <c r="Q511" s="5">
        <v>0</v>
      </c>
      <c r="R511" s="6">
        <v>652.89554496752078</v>
      </c>
      <c r="S511" s="5">
        <v>2742.1612888635868</v>
      </c>
      <c r="T511" s="6">
        <v>1958.686634902562</v>
      </c>
      <c r="U511" s="5">
        <v>8226.483866590761</v>
      </c>
      <c r="V511" s="6">
        <v>0</v>
      </c>
      <c r="W511" s="5">
        <v>0</v>
      </c>
      <c r="X511" s="6">
        <v>0</v>
      </c>
      <c r="Y511" s="5">
        <v>0</v>
      </c>
      <c r="Z511" s="6">
        <v>0</v>
      </c>
      <c r="AA511" s="5">
        <v>0</v>
      </c>
      <c r="AB511" s="6">
        <v>0</v>
      </c>
      <c r="AC511" s="5">
        <v>0</v>
      </c>
      <c r="AD511" s="6">
        <v>0</v>
      </c>
      <c r="AE511" s="5">
        <v>0</v>
      </c>
      <c r="AF511" s="6">
        <v>0</v>
      </c>
      <c r="AG511" s="5">
        <v>0</v>
      </c>
      <c r="AH511" s="7">
        <f t="shared" si="56"/>
        <v>3917.3732698051244</v>
      </c>
      <c r="AI511" s="8">
        <f t="shared" si="57"/>
        <v>16452.967733181522</v>
      </c>
      <c r="AJ511" s="6">
        <v>720</v>
      </c>
      <c r="AK511" s="5">
        <v>3152.1496805910201</v>
      </c>
      <c r="AL511" s="6">
        <v>720</v>
      </c>
      <c r="AM511" s="5">
        <v>3152.1496805910201</v>
      </c>
      <c r="AN511" s="6">
        <v>0</v>
      </c>
      <c r="AO511" s="5">
        <v>0</v>
      </c>
      <c r="AP511" s="6">
        <v>0</v>
      </c>
      <c r="AQ511" s="5">
        <v>0</v>
      </c>
      <c r="AR511" s="6">
        <v>720</v>
      </c>
      <c r="AS511" s="5">
        <v>3152.1496805910201</v>
      </c>
      <c r="AT511" s="6">
        <v>2159</v>
      </c>
      <c r="AU511" s="5">
        <v>9452.071056105573</v>
      </c>
      <c r="AV511" s="6">
        <v>0</v>
      </c>
      <c r="AW511" s="5">
        <v>0</v>
      </c>
      <c r="AX511" s="6">
        <v>0</v>
      </c>
      <c r="AY511" s="5">
        <v>0</v>
      </c>
      <c r="AZ511" s="6">
        <v>0</v>
      </c>
      <c r="BA511" s="5">
        <v>0</v>
      </c>
      <c r="BB511" s="6">
        <v>0</v>
      </c>
      <c r="BC511" s="5">
        <v>0</v>
      </c>
      <c r="BD511" s="6">
        <v>0</v>
      </c>
      <c r="BE511" s="5">
        <v>0</v>
      </c>
      <c r="BF511" s="6">
        <v>0</v>
      </c>
      <c r="BG511" s="5">
        <v>0</v>
      </c>
      <c r="BH511" s="9">
        <f t="shared" si="58"/>
        <v>4319</v>
      </c>
      <c r="BI511" s="10">
        <f t="shared" si="59"/>
        <v>18908.520097878631</v>
      </c>
      <c r="BJ511" s="6">
        <f t="shared" si="60"/>
        <v>401.62673019487556</v>
      </c>
      <c r="BK511" s="11">
        <f t="shared" si="61"/>
        <v>0.10252449856912794</v>
      </c>
      <c r="BL511" s="5">
        <f t="shared" si="62"/>
        <v>2455.5523646971087</v>
      </c>
      <c r="BM511" s="11">
        <f t="shared" si="63"/>
        <v>0.14924677447369411</v>
      </c>
    </row>
    <row r="512" spans="1:65" ht="15" customHeight="1" x14ac:dyDescent="0.4">
      <c r="A512" s="2" t="s">
        <v>269</v>
      </c>
      <c r="B512" s="2" t="s">
        <v>451</v>
      </c>
      <c r="C512" s="2" t="s">
        <v>452</v>
      </c>
      <c r="D512" s="3" t="s">
        <v>68</v>
      </c>
      <c r="E512" s="3" t="s">
        <v>465</v>
      </c>
      <c r="F512" s="2" t="s">
        <v>466</v>
      </c>
      <c r="G512" s="4">
        <v>1</v>
      </c>
      <c r="H512" s="5">
        <v>4.2</v>
      </c>
      <c r="I512" s="5">
        <v>4.3779856674875282</v>
      </c>
      <c r="J512" s="6">
        <v>0</v>
      </c>
      <c r="K512" s="5">
        <v>0</v>
      </c>
      <c r="L512" s="6">
        <v>0</v>
      </c>
      <c r="M512" s="5">
        <v>0</v>
      </c>
      <c r="N512" s="6">
        <v>0</v>
      </c>
      <c r="O512" s="5">
        <v>0</v>
      </c>
      <c r="P512" s="6">
        <v>0</v>
      </c>
      <c r="Q512" s="5">
        <v>0</v>
      </c>
      <c r="R512" s="6">
        <v>0</v>
      </c>
      <c r="S512" s="5">
        <v>0</v>
      </c>
      <c r="T512" s="6">
        <v>391.73732698051242</v>
      </c>
      <c r="U512" s="5">
        <v>1645.296773318152</v>
      </c>
      <c r="V512" s="6">
        <v>0</v>
      </c>
      <c r="W512" s="5">
        <v>0</v>
      </c>
      <c r="X512" s="6">
        <v>0</v>
      </c>
      <c r="Y512" s="5">
        <v>0</v>
      </c>
      <c r="Z512" s="6">
        <v>0</v>
      </c>
      <c r="AA512" s="5">
        <v>0</v>
      </c>
      <c r="AB512" s="6">
        <v>0</v>
      </c>
      <c r="AC512" s="5">
        <v>0</v>
      </c>
      <c r="AD512" s="6">
        <v>0</v>
      </c>
      <c r="AE512" s="5">
        <v>0</v>
      </c>
      <c r="AF512" s="6">
        <v>0</v>
      </c>
      <c r="AG512" s="5">
        <v>0</v>
      </c>
      <c r="AH512" s="7">
        <f t="shared" si="56"/>
        <v>391.73732698051242</v>
      </c>
      <c r="AI512" s="8">
        <f t="shared" si="57"/>
        <v>1645.296773318152</v>
      </c>
      <c r="AJ512" s="6">
        <v>0</v>
      </c>
      <c r="AK512" s="5">
        <v>0</v>
      </c>
      <c r="AL512" s="6">
        <v>0</v>
      </c>
      <c r="AM512" s="5">
        <v>0</v>
      </c>
      <c r="AN512" s="6">
        <v>0</v>
      </c>
      <c r="AO512" s="5">
        <v>0</v>
      </c>
      <c r="AP512" s="6">
        <v>0</v>
      </c>
      <c r="AQ512" s="5">
        <v>0</v>
      </c>
      <c r="AR512" s="6">
        <v>0</v>
      </c>
      <c r="AS512" s="5">
        <v>0</v>
      </c>
      <c r="AT512" s="6">
        <v>432</v>
      </c>
      <c r="AU512" s="5">
        <v>1891.289808354612</v>
      </c>
      <c r="AV512" s="6">
        <v>0</v>
      </c>
      <c r="AW512" s="5">
        <v>0</v>
      </c>
      <c r="AX512" s="6">
        <v>0</v>
      </c>
      <c r="AY512" s="5">
        <v>0</v>
      </c>
      <c r="AZ512" s="6">
        <v>0</v>
      </c>
      <c r="BA512" s="5">
        <v>0</v>
      </c>
      <c r="BB512" s="6">
        <v>0</v>
      </c>
      <c r="BC512" s="5">
        <v>0</v>
      </c>
      <c r="BD512" s="6">
        <v>0</v>
      </c>
      <c r="BE512" s="5">
        <v>0</v>
      </c>
      <c r="BF512" s="6">
        <v>0</v>
      </c>
      <c r="BG512" s="5">
        <v>0</v>
      </c>
      <c r="BH512" s="9">
        <f t="shared" si="58"/>
        <v>432</v>
      </c>
      <c r="BI512" s="10">
        <f t="shared" si="59"/>
        <v>1891.289808354612</v>
      </c>
      <c r="BJ512" s="6">
        <f t="shared" si="60"/>
        <v>40.262673019487579</v>
      </c>
      <c r="BK512" s="11">
        <f t="shared" si="61"/>
        <v>0.1027797716644207</v>
      </c>
      <c r="BL512" s="5">
        <f t="shared" si="62"/>
        <v>245.99303503646001</v>
      </c>
      <c r="BM512" s="11">
        <f t="shared" si="63"/>
        <v>0.14951286541476261</v>
      </c>
    </row>
    <row r="513" spans="1:65" ht="15" customHeight="1" x14ac:dyDescent="0.4">
      <c r="A513" s="2" t="s">
        <v>269</v>
      </c>
      <c r="B513" s="2" t="s">
        <v>451</v>
      </c>
      <c r="C513" s="2" t="s">
        <v>452</v>
      </c>
      <c r="D513" s="3" t="s">
        <v>68</v>
      </c>
      <c r="E513" s="3" t="s">
        <v>467</v>
      </c>
      <c r="F513" s="2" t="s">
        <v>400</v>
      </c>
      <c r="G513" s="4">
        <v>5</v>
      </c>
      <c r="H513" s="5">
        <v>3.1999999999999988</v>
      </c>
      <c r="I513" s="5">
        <v>3.3356081276095439</v>
      </c>
      <c r="J513" s="6">
        <v>0</v>
      </c>
      <c r="K513" s="5">
        <v>0</v>
      </c>
      <c r="L513" s="6">
        <v>593.54140451592798</v>
      </c>
      <c r="M513" s="5">
        <v>1899.3324944509691</v>
      </c>
      <c r="N513" s="6">
        <v>296.77070225796399</v>
      </c>
      <c r="O513" s="5">
        <v>949.66624722548465</v>
      </c>
      <c r="P513" s="6">
        <v>0</v>
      </c>
      <c r="Q513" s="5">
        <v>0</v>
      </c>
      <c r="R513" s="6">
        <v>0</v>
      </c>
      <c r="S513" s="5">
        <v>0</v>
      </c>
      <c r="T513" s="6">
        <v>0</v>
      </c>
      <c r="U513" s="5">
        <v>0</v>
      </c>
      <c r="V513" s="6">
        <v>0</v>
      </c>
      <c r="W513" s="5">
        <v>0</v>
      </c>
      <c r="X513" s="6">
        <v>0</v>
      </c>
      <c r="Y513" s="5">
        <v>0</v>
      </c>
      <c r="Z513" s="6">
        <v>0</v>
      </c>
      <c r="AA513" s="5">
        <v>0</v>
      </c>
      <c r="AB513" s="6">
        <v>0</v>
      </c>
      <c r="AC513" s="5">
        <v>0</v>
      </c>
      <c r="AD513" s="6">
        <v>0</v>
      </c>
      <c r="AE513" s="5">
        <v>0</v>
      </c>
      <c r="AF513" s="6">
        <v>0</v>
      </c>
      <c r="AG513" s="5">
        <v>0</v>
      </c>
      <c r="AH513" s="7">
        <f t="shared" si="56"/>
        <v>890.31210677389197</v>
      </c>
      <c r="AI513" s="8">
        <f t="shared" si="57"/>
        <v>2848.9987416764538</v>
      </c>
      <c r="AJ513" s="6">
        <v>0</v>
      </c>
      <c r="AK513" s="5">
        <v>0</v>
      </c>
      <c r="AL513" s="6">
        <v>655</v>
      </c>
      <c r="AM513" s="5">
        <v>2184.8233235842522</v>
      </c>
      <c r="AN513" s="6">
        <v>325</v>
      </c>
      <c r="AO513" s="5">
        <v>1084.0726414731021</v>
      </c>
      <c r="AP513" s="6">
        <v>0</v>
      </c>
      <c r="AQ513" s="5">
        <v>0</v>
      </c>
      <c r="AR513" s="6">
        <v>0</v>
      </c>
      <c r="AS513" s="5">
        <v>0</v>
      </c>
      <c r="AT513" s="6">
        <v>0</v>
      </c>
      <c r="AU513" s="5">
        <v>0</v>
      </c>
      <c r="AV513" s="6">
        <v>0</v>
      </c>
      <c r="AW513" s="5">
        <v>0</v>
      </c>
      <c r="AX513" s="6">
        <v>0</v>
      </c>
      <c r="AY513" s="5">
        <v>0</v>
      </c>
      <c r="AZ513" s="6">
        <v>0</v>
      </c>
      <c r="BA513" s="5">
        <v>0</v>
      </c>
      <c r="BB513" s="6">
        <v>0</v>
      </c>
      <c r="BC513" s="5">
        <v>0</v>
      </c>
      <c r="BD513" s="6">
        <v>0</v>
      </c>
      <c r="BE513" s="5">
        <v>0</v>
      </c>
      <c r="BF513" s="6">
        <v>0</v>
      </c>
      <c r="BG513" s="5">
        <v>0</v>
      </c>
      <c r="BH513" s="9">
        <f t="shared" si="58"/>
        <v>980</v>
      </c>
      <c r="BI513" s="10">
        <f t="shared" si="59"/>
        <v>3268.8959650573543</v>
      </c>
      <c r="BJ513" s="6">
        <f t="shared" si="60"/>
        <v>89.687893226108031</v>
      </c>
      <c r="BK513" s="11">
        <f t="shared" si="61"/>
        <v>0.10073758690207905</v>
      </c>
      <c r="BL513" s="5">
        <f t="shared" si="62"/>
        <v>419.89722338090041</v>
      </c>
      <c r="BM513" s="11">
        <f t="shared" si="63"/>
        <v>0.14738413788621674</v>
      </c>
    </row>
    <row r="514" spans="1:65" ht="15" customHeight="1" x14ac:dyDescent="0.4">
      <c r="A514" s="2" t="s">
        <v>269</v>
      </c>
      <c r="B514" s="2" t="s">
        <v>451</v>
      </c>
      <c r="C514" s="2" t="s">
        <v>452</v>
      </c>
      <c r="D514" s="3" t="s">
        <v>68</v>
      </c>
      <c r="E514" s="3" t="s">
        <v>467</v>
      </c>
      <c r="F514" s="2" t="s">
        <v>468</v>
      </c>
      <c r="G514" s="4">
        <v>5</v>
      </c>
      <c r="H514" s="5">
        <v>3.2</v>
      </c>
      <c r="I514" s="5">
        <v>3.3356081276095448</v>
      </c>
      <c r="J514" s="6">
        <v>0</v>
      </c>
      <c r="K514" s="5">
        <v>0</v>
      </c>
      <c r="L514" s="6">
        <v>0</v>
      </c>
      <c r="M514" s="5">
        <v>0</v>
      </c>
      <c r="N514" s="6">
        <v>0</v>
      </c>
      <c r="O514" s="5">
        <v>0</v>
      </c>
      <c r="P514" s="6">
        <v>0</v>
      </c>
      <c r="Q514" s="5">
        <v>0</v>
      </c>
      <c r="R514" s="6">
        <v>0</v>
      </c>
      <c r="S514" s="5">
        <v>0</v>
      </c>
      <c r="T514" s="6">
        <v>593.54140451592798</v>
      </c>
      <c r="U514" s="5">
        <v>1899.3324944509691</v>
      </c>
      <c r="V514" s="6">
        <v>0</v>
      </c>
      <c r="W514" s="5">
        <v>0</v>
      </c>
      <c r="X514" s="6">
        <v>0</v>
      </c>
      <c r="Y514" s="5">
        <v>0</v>
      </c>
      <c r="Z514" s="6">
        <v>0</v>
      </c>
      <c r="AA514" s="5">
        <v>0</v>
      </c>
      <c r="AB514" s="6">
        <v>0</v>
      </c>
      <c r="AC514" s="5">
        <v>0</v>
      </c>
      <c r="AD514" s="6">
        <v>0</v>
      </c>
      <c r="AE514" s="5">
        <v>0</v>
      </c>
      <c r="AF514" s="6">
        <v>0</v>
      </c>
      <c r="AG514" s="5">
        <v>0</v>
      </c>
      <c r="AH514" s="7">
        <f t="shared" ref="AH514:AH577" si="64">J514+L514+N514+P514+R514+T514+V514+X514+Z514+AB514+AD514+AF514</f>
        <v>593.54140451592798</v>
      </c>
      <c r="AI514" s="8">
        <f t="shared" ref="AI514:AI577" si="65">K514+M514+O514+Q514+S514+U514+W514+Y514+AA514+AC514+AE514+AG514</f>
        <v>1899.3324944509691</v>
      </c>
      <c r="AJ514" s="6">
        <v>0</v>
      </c>
      <c r="AK514" s="5">
        <v>0</v>
      </c>
      <c r="AL514" s="6">
        <v>0</v>
      </c>
      <c r="AM514" s="5">
        <v>0</v>
      </c>
      <c r="AN514" s="6">
        <v>0</v>
      </c>
      <c r="AO514" s="5">
        <v>0</v>
      </c>
      <c r="AP514" s="6">
        <v>0</v>
      </c>
      <c r="AQ514" s="5">
        <v>0</v>
      </c>
      <c r="AR514" s="6">
        <v>0</v>
      </c>
      <c r="AS514" s="5">
        <v>0</v>
      </c>
      <c r="AT514" s="6">
        <v>655</v>
      </c>
      <c r="AU514" s="5">
        <v>2184.8233235842522</v>
      </c>
      <c r="AV514" s="6">
        <v>0</v>
      </c>
      <c r="AW514" s="5">
        <v>0</v>
      </c>
      <c r="AX514" s="6">
        <v>0</v>
      </c>
      <c r="AY514" s="5">
        <v>0</v>
      </c>
      <c r="AZ514" s="6">
        <v>0</v>
      </c>
      <c r="BA514" s="5">
        <v>0</v>
      </c>
      <c r="BB514" s="6">
        <v>0</v>
      </c>
      <c r="BC514" s="5">
        <v>0</v>
      </c>
      <c r="BD514" s="6">
        <v>0</v>
      </c>
      <c r="BE514" s="5">
        <v>0</v>
      </c>
      <c r="BF514" s="6">
        <v>0</v>
      </c>
      <c r="BG514" s="5">
        <v>0</v>
      </c>
      <c r="BH514" s="9">
        <f t="shared" ref="BH514:BH577" si="66">AJ514+AL514+AN514+AP514+AR514+AT514+AV514+AX514+AZ514+BB514+BD514+BF514</f>
        <v>655</v>
      </c>
      <c r="BI514" s="10">
        <f t="shared" ref="BI514:BI577" si="67">AK514+AM514+AO514+AQ514+AS514+AU514+AW514+AY514+BA514+BC514+BE514+BG514</f>
        <v>2184.8233235842522</v>
      </c>
      <c r="BJ514" s="6">
        <f t="shared" ref="BJ514:BJ577" si="68">BH514-AH514</f>
        <v>61.458595484072021</v>
      </c>
      <c r="BK514" s="11">
        <f t="shared" ref="BK514:BK577" si="69">IF(AH514&gt;0, BJ514/AH514, 0)</f>
        <v>0.10354559095029865</v>
      </c>
      <c r="BL514" s="5">
        <f t="shared" ref="BL514:BL577" si="70">BI514-AI514</f>
        <v>285.49082913328311</v>
      </c>
      <c r="BM514" s="11">
        <f t="shared" ref="BM514:BM577" si="71">IF(AI514&gt;0, BL514/AI514, 0)</f>
        <v>0.15031113823796743</v>
      </c>
    </row>
    <row r="515" spans="1:65" ht="15" customHeight="1" x14ac:dyDescent="0.4">
      <c r="A515" s="2" t="s">
        <v>269</v>
      </c>
      <c r="B515" s="2" t="s">
        <v>451</v>
      </c>
      <c r="C515" s="2" t="s">
        <v>452</v>
      </c>
      <c r="D515" s="3" t="s">
        <v>68</v>
      </c>
      <c r="E515" s="3" t="s">
        <v>469</v>
      </c>
      <c r="F515" s="2" t="s">
        <v>400</v>
      </c>
      <c r="G515" s="4">
        <v>20</v>
      </c>
      <c r="H515" s="5">
        <v>2.95</v>
      </c>
      <c r="I515" s="5">
        <v>3.0750137426400488</v>
      </c>
      <c r="J515" s="6">
        <v>1266.221662967313</v>
      </c>
      <c r="K515" s="5">
        <v>3735.3539057535731</v>
      </c>
      <c r="L515" s="6">
        <v>0</v>
      </c>
      <c r="M515" s="5">
        <v>0</v>
      </c>
      <c r="N515" s="6">
        <v>1266.221662967313</v>
      </c>
      <c r="O515" s="5">
        <v>3735.3539057535731</v>
      </c>
      <c r="P515" s="6">
        <v>0</v>
      </c>
      <c r="Q515" s="5">
        <v>0</v>
      </c>
      <c r="R515" s="6">
        <v>633.11083148365651</v>
      </c>
      <c r="S515" s="5">
        <v>1867.676952876787</v>
      </c>
      <c r="T515" s="6">
        <v>3798.6649889019391</v>
      </c>
      <c r="U515" s="5">
        <v>11206.06171726072</v>
      </c>
      <c r="V515" s="6">
        <v>0</v>
      </c>
      <c r="W515" s="5">
        <v>0</v>
      </c>
      <c r="X515" s="6">
        <v>0</v>
      </c>
      <c r="Y515" s="5">
        <v>0</v>
      </c>
      <c r="Z515" s="6">
        <v>0</v>
      </c>
      <c r="AA515" s="5">
        <v>0</v>
      </c>
      <c r="AB515" s="6">
        <v>0</v>
      </c>
      <c r="AC515" s="5">
        <v>0</v>
      </c>
      <c r="AD515" s="6">
        <v>0</v>
      </c>
      <c r="AE515" s="5">
        <v>0</v>
      </c>
      <c r="AF515" s="6">
        <v>0</v>
      </c>
      <c r="AG515" s="5">
        <v>0</v>
      </c>
      <c r="AH515" s="7">
        <f t="shared" si="64"/>
        <v>6964.2191463202216</v>
      </c>
      <c r="AI515" s="8">
        <f t="shared" si="65"/>
        <v>20544.446481644653</v>
      </c>
      <c r="AJ515" s="6">
        <v>1400</v>
      </c>
      <c r="AK515" s="5">
        <v>4305.0192396960683</v>
      </c>
      <c r="AL515" s="6">
        <v>0</v>
      </c>
      <c r="AM515" s="5">
        <v>0</v>
      </c>
      <c r="AN515" s="6">
        <v>1400</v>
      </c>
      <c r="AO515" s="5">
        <v>4305.0192396960683</v>
      </c>
      <c r="AP515" s="6">
        <v>0</v>
      </c>
      <c r="AQ515" s="5">
        <v>0</v>
      </c>
      <c r="AR515" s="6">
        <v>700</v>
      </c>
      <c r="AS515" s="5">
        <v>2152.5096198480342</v>
      </c>
      <c r="AT515" s="6">
        <v>4180</v>
      </c>
      <c r="AU515" s="5">
        <v>12853.557444235401</v>
      </c>
      <c r="AV515" s="6">
        <v>0</v>
      </c>
      <c r="AW515" s="5">
        <v>0</v>
      </c>
      <c r="AX515" s="6">
        <v>0</v>
      </c>
      <c r="AY515" s="5">
        <v>0</v>
      </c>
      <c r="AZ515" s="6">
        <v>0</v>
      </c>
      <c r="BA515" s="5">
        <v>0</v>
      </c>
      <c r="BB515" s="6">
        <v>0</v>
      </c>
      <c r="BC515" s="5">
        <v>0</v>
      </c>
      <c r="BD515" s="6">
        <v>0</v>
      </c>
      <c r="BE515" s="5">
        <v>0</v>
      </c>
      <c r="BF515" s="6">
        <v>0</v>
      </c>
      <c r="BG515" s="5">
        <v>0</v>
      </c>
      <c r="BH515" s="9">
        <f t="shared" si="66"/>
        <v>7680</v>
      </c>
      <c r="BI515" s="10">
        <f t="shared" si="67"/>
        <v>23616.105543475573</v>
      </c>
      <c r="BJ515" s="6">
        <f t="shared" si="68"/>
        <v>715.78085367977837</v>
      </c>
      <c r="BK515" s="11">
        <f t="shared" si="69"/>
        <v>0.10277977166442058</v>
      </c>
      <c r="BL515" s="5">
        <f t="shared" si="70"/>
        <v>3071.6590618309201</v>
      </c>
      <c r="BM515" s="11">
        <f t="shared" si="71"/>
        <v>0.14951286541476211</v>
      </c>
    </row>
    <row r="516" spans="1:65" ht="15" customHeight="1" x14ac:dyDescent="0.4">
      <c r="A516" s="2" t="s">
        <v>269</v>
      </c>
      <c r="B516" s="2" t="s">
        <v>451</v>
      </c>
      <c r="C516" s="2" t="s">
        <v>452</v>
      </c>
      <c r="D516" s="3" t="s">
        <v>68</v>
      </c>
      <c r="E516" s="3" t="s">
        <v>469</v>
      </c>
      <c r="F516" s="2" t="s">
        <v>470</v>
      </c>
      <c r="G516" s="4">
        <v>20</v>
      </c>
      <c r="H516" s="5">
        <v>2.95</v>
      </c>
      <c r="I516" s="5">
        <v>3.0750137426400488</v>
      </c>
      <c r="J516" s="6">
        <v>0</v>
      </c>
      <c r="K516" s="5">
        <v>0</v>
      </c>
      <c r="L516" s="6">
        <v>0</v>
      </c>
      <c r="M516" s="5">
        <v>0</v>
      </c>
      <c r="N516" s="6">
        <v>0</v>
      </c>
      <c r="O516" s="5">
        <v>0</v>
      </c>
      <c r="P516" s="6">
        <v>0</v>
      </c>
      <c r="Q516" s="5">
        <v>0</v>
      </c>
      <c r="R516" s="6">
        <v>0</v>
      </c>
      <c r="S516" s="5">
        <v>0</v>
      </c>
      <c r="T516" s="6">
        <v>633.11083148365651</v>
      </c>
      <c r="U516" s="5">
        <v>1867.676952876787</v>
      </c>
      <c r="V516" s="6">
        <v>0</v>
      </c>
      <c r="W516" s="5">
        <v>0</v>
      </c>
      <c r="X516" s="6">
        <v>0</v>
      </c>
      <c r="Y516" s="5">
        <v>0</v>
      </c>
      <c r="Z516" s="6">
        <v>0</v>
      </c>
      <c r="AA516" s="5">
        <v>0</v>
      </c>
      <c r="AB516" s="6">
        <v>0</v>
      </c>
      <c r="AC516" s="5">
        <v>0</v>
      </c>
      <c r="AD516" s="6">
        <v>0</v>
      </c>
      <c r="AE516" s="5">
        <v>0</v>
      </c>
      <c r="AF516" s="6">
        <v>0</v>
      </c>
      <c r="AG516" s="5">
        <v>0</v>
      </c>
      <c r="AH516" s="7">
        <f t="shared" si="64"/>
        <v>633.11083148365651</v>
      </c>
      <c r="AI516" s="8">
        <f t="shared" si="65"/>
        <v>1867.676952876787</v>
      </c>
      <c r="AJ516" s="6">
        <v>0</v>
      </c>
      <c r="AK516" s="5">
        <v>0</v>
      </c>
      <c r="AL516" s="6">
        <v>0</v>
      </c>
      <c r="AM516" s="5">
        <v>0</v>
      </c>
      <c r="AN516" s="6">
        <v>0</v>
      </c>
      <c r="AO516" s="5">
        <v>0</v>
      </c>
      <c r="AP516" s="6">
        <v>0</v>
      </c>
      <c r="AQ516" s="5">
        <v>0</v>
      </c>
      <c r="AR516" s="6">
        <v>0</v>
      </c>
      <c r="AS516" s="5">
        <v>0</v>
      </c>
      <c r="AT516" s="6">
        <v>700</v>
      </c>
      <c r="AU516" s="5">
        <v>2152.5096198480342</v>
      </c>
      <c r="AV516" s="6">
        <v>0</v>
      </c>
      <c r="AW516" s="5">
        <v>0</v>
      </c>
      <c r="AX516" s="6">
        <v>0</v>
      </c>
      <c r="AY516" s="5">
        <v>0</v>
      </c>
      <c r="AZ516" s="6">
        <v>0</v>
      </c>
      <c r="BA516" s="5">
        <v>0</v>
      </c>
      <c r="BB516" s="6">
        <v>0</v>
      </c>
      <c r="BC516" s="5">
        <v>0</v>
      </c>
      <c r="BD516" s="6">
        <v>0</v>
      </c>
      <c r="BE516" s="5">
        <v>0</v>
      </c>
      <c r="BF516" s="6">
        <v>0</v>
      </c>
      <c r="BG516" s="5">
        <v>0</v>
      </c>
      <c r="BH516" s="9">
        <f t="shared" si="66"/>
        <v>700</v>
      </c>
      <c r="BI516" s="10">
        <f t="shared" si="67"/>
        <v>2152.5096198480342</v>
      </c>
      <c r="BJ516" s="6">
        <f t="shared" si="68"/>
        <v>66.889168516343489</v>
      </c>
      <c r="BK516" s="11">
        <f t="shared" si="69"/>
        <v>0.10565159398646334</v>
      </c>
      <c r="BL516" s="5">
        <f t="shared" si="70"/>
        <v>284.83266697124714</v>
      </c>
      <c r="BM516" s="11">
        <f t="shared" si="71"/>
        <v>0.15250638850177958</v>
      </c>
    </row>
    <row r="517" spans="1:65" ht="15" customHeight="1" x14ac:dyDescent="0.4">
      <c r="A517" s="2" t="s">
        <v>269</v>
      </c>
      <c r="B517" s="2" t="s">
        <v>451</v>
      </c>
      <c r="C517" s="2" t="s">
        <v>452</v>
      </c>
      <c r="D517" s="3" t="s">
        <v>68</v>
      </c>
      <c r="E517" s="3" t="s">
        <v>469</v>
      </c>
      <c r="F517" s="2" t="s">
        <v>217</v>
      </c>
      <c r="G517" s="4">
        <v>20</v>
      </c>
      <c r="H517" s="5">
        <v>2.9139099901280039</v>
      </c>
      <c r="I517" s="5">
        <v>3.0377065906153722</v>
      </c>
      <c r="J517" s="6">
        <v>0</v>
      </c>
      <c r="K517" s="5">
        <v>0</v>
      </c>
      <c r="L517" s="6">
        <v>0</v>
      </c>
      <c r="M517" s="5">
        <v>0</v>
      </c>
      <c r="N517" s="6">
        <v>0</v>
      </c>
      <c r="O517" s="5">
        <v>0</v>
      </c>
      <c r="P517" s="6">
        <v>0</v>
      </c>
      <c r="Q517" s="5">
        <v>0</v>
      </c>
      <c r="R517" s="6">
        <v>0</v>
      </c>
      <c r="S517" s="5">
        <v>0</v>
      </c>
      <c r="T517" s="6">
        <v>0</v>
      </c>
      <c r="U517" s="5">
        <v>0</v>
      </c>
      <c r="V517" s="6">
        <v>633.11083148365651</v>
      </c>
      <c r="W517" s="5">
        <v>1867.676952876787</v>
      </c>
      <c r="X517" s="6">
        <v>0</v>
      </c>
      <c r="Y517" s="5">
        <v>0</v>
      </c>
      <c r="Z517" s="6">
        <v>0</v>
      </c>
      <c r="AA517" s="5">
        <v>0</v>
      </c>
      <c r="AB517" s="6">
        <v>0</v>
      </c>
      <c r="AC517" s="5">
        <v>0</v>
      </c>
      <c r="AD517" s="6">
        <v>606.7175291509692</v>
      </c>
      <c r="AE517" s="5">
        <v>1745.0712932204749</v>
      </c>
      <c r="AF517" s="6">
        <v>0</v>
      </c>
      <c r="AG517" s="5">
        <v>0</v>
      </c>
      <c r="AH517" s="7">
        <f t="shared" si="64"/>
        <v>1239.8283606346258</v>
      </c>
      <c r="AI517" s="8">
        <f t="shared" si="65"/>
        <v>3612.7482460972619</v>
      </c>
      <c r="AJ517" s="6">
        <v>0</v>
      </c>
      <c r="AK517" s="5">
        <v>0</v>
      </c>
      <c r="AL517" s="6">
        <v>0</v>
      </c>
      <c r="AM517" s="5">
        <v>0</v>
      </c>
      <c r="AN517" s="6">
        <v>0</v>
      </c>
      <c r="AO517" s="5">
        <v>0</v>
      </c>
      <c r="AP517" s="6">
        <v>0</v>
      </c>
      <c r="AQ517" s="5">
        <v>0</v>
      </c>
      <c r="AR517" s="6">
        <v>0</v>
      </c>
      <c r="AS517" s="5">
        <v>0</v>
      </c>
      <c r="AT517" s="6">
        <v>0</v>
      </c>
      <c r="AU517" s="5">
        <v>0</v>
      </c>
      <c r="AV517" s="6">
        <v>700</v>
      </c>
      <c r="AW517" s="5">
        <v>2152.5096198480342</v>
      </c>
      <c r="AX517" s="6">
        <v>0</v>
      </c>
      <c r="AY517" s="5">
        <v>0</v>
      </c>
      <c r="AZ517" s="6">
        <v>0</v>
      </c>
      <c r="BA517" s="5">
        <v>0</v>
      </c>
      <c r="BB517" s="6">
        <v>0</v>
      </c>
      <c r="BC517" s="5">
        <v>0</v>
      </c>
      <c r="BD517" s="6">
        <v>660</v>
      </c>
      <c r="BE517" s="5">
        <v>1978.7713433888709</v>
      </c>
      <c r="BF517" s="6">
        <v>0</v>
      </c>
      <c r="BG517" s="5">
        <v>0</v>
      </c>
      <c r="BH517" s="9">
        <f t="shared" si="66"/>
        <v>1360</v>
      </c>
      <c r="BI517" s="10">
        <f t="shared" si="67"/>
        <v>4131.2809632369053</v>
      </c>
      <c r="BJ517" s="6">
        <f t="shared" si="68"/>
        <v>120.17163936537418</v>
      </c>
      <c r="BK517" s="11">
        <f t="shared" si="69"/>
        <v>9.6926028780195364E-2</v>
      </c>
      <c r="BL517" s="5">
        <f t="shared" si="70"/>
        <v>518.53271713964341</v>
      </c>
      <c r="BM517" s="11">
        <f t="shared" si="71"/>
        <v>0.14352860532139153</v>
      </c>
    </row>
    <row r="518" spans="1:65" ht="15" customHeight="1" x14ac:dyDescent="0.4">
      <c r="A518" s="2" t="s">
        <v>269</v>
      </c>
      <c r="B518" s="2" t="s">
        <v>451</v>
      </c>
      <c r="C518" s="2" t="s">
        <v>452</v>
      </c>
      <c r="D518" s="3" t="s">
        <v>68</v>
      </c>
      <c r="E518" s="3" t="s">
        <v>471</v>
      </c>
      <c r="F518" s="2" t="s">
        <v>400</v>
      </c>
      <c r="G518" s="4">
        <v>200</v>
      </c>
      <c r="H518" s="5">
        <v>2.87</v>
      </c>
      <c r="I518" s="5">
        <v>2.9916235394498099</v>
      </c>
      <c r="J518" s="6">
        <v>0</v>
      </c>
      <c r="K518" s="5">
        <v>0</v>
      </c>
      <c r="L518" s="6">
        <v>0</v>
      </c>
      <c r="M518" s="5">
        <v>0</v>
      </c>
      <c r="N518" s="6">
        <v>197.84713483864269</v>
      </c>
      <c r="O518" s="5">
        <v>567.82127698690442</v>
      </c>
      <c r="P518" s="6">
        <v>0</v>
      </c>
      <c r="Q518" s="5">
        <v>0</v>
      </c>
      <c r="R518" s="6">
        <v>0</v>
      </c>
      <c r="S518" s="5">
        <v>0</v>
      </c>
      <c r="T518" s="6">
        <v>0</v>
      </c>
      <c r="U518" s="5">
        <v>0</v>
      </c>
      <c r="V518" s="6">
        <v>0</v>
      </c>
      <c r="W518" s="5">
        <v>0</v>
      </c>
      <c r="X518" s="6">
        <v>0</v>
      </c>
      <c r="Y518" s="5">
        <v>0</v>
      </c>
      <c r="Z518" s="6">
        <v>0</v>
      </c>
      <c r="AA518" s="5">
        <v>0</v>
      </c>
      <c r="AB518" s="6">
        <v>0</v>
      </c>
      <c r="AC518" s="5">
        <v>0</v>
      </c>
      <c r="AD518" s="6">
        <v>0</v>
      </c>
      <c r="AE518" s="5">
        <v>0</v>
      </c>
      <c r="AF518" s="6">
        <v>0</v>
      </c>
      <c r="AG518" s="5">
        <v>0</v>
      </c>
      <c r="AH518" s="7">
        <f t="shared" si="64"/>
        <v>197.84713483864269</v>
      </c>
      <c r="AI518" s="8">
        <f t="shared" si="65"/>
        <v>567.82127698690442</v>
      </c>
      <c r="AJ518" s="6">
        <v>0</v>
      </c>
      <c r="AK518" s="5">
        <v>0</v>
      </c>
      <c r="AL518" s="6">
        <v>0</v>
      </c>
      <c r="AM518" s="5">
        <v>0</v>
      </c>
      <c r="AN518" s="6">
        <v>200</v>
      </c>
      <c r="AO518" s="5">
        <v>598.32470788996204</v>
      </c>
      <c r="AP518" s="6">
        <v>0</v>
      </c>
      <c r="AQ518" s="5">
        <v>0</v>
      </c>
      <c r="AR518" s="6">
        <v>0</v>
      </c>
      <c r="AS518" s="5">
        <v>0</v>
      </c>
      <c r="AT518" s="6">
        <v>0</v>
      </c>
      <c r="AU518" s="5">
        <v>0</v>
      </c>
      <c r="AV518" s="6">
        <v>0</v>
      </c>
      <c r="AW518" s="5">
        <v>0</v>
      </c>
      <c r="AX518" s="6">
        <v>0</v>
      </c>
      <c r="AY518" s="5">
        <v>0</v>
      </c>
      <c r="AZ518" s="6">
        <v>0</v>
      </c>
      <c r="BA518" s="5">
        <v>0</v>
      </c>
      <c r="BB518" s="6">
        <v>0</v>
      </c>
      <c r="BC518" s="5">
        <v>0</v>
      </c>
      <c r="BD518" s="6">
        <v>0</v>
      </c>
      <c r="BE518" s="5">
        <v>0</v>
      </c>
      <c r="BF518" s="6">
        <v>0</v>
      </c>
      <c r="BG518" s="5">
        <v>0</v>
      </c>
      <c r="BH518" s="9">
        <f t="shared" si="66"/>
        <v>200</v>
      </c>
      <c r="BI518" s="10">
        <f t="shared" si="67"/>
        <v>598.32470788996204</v>
      </c>
      <c r="BJ518" s="6">
        <f t="shared" si="68"/>
        <v>2.1528651613573118</v>
      </c>
      <c r="BK518" s="11">
        <f t="shared" si="69"/>
        <v>1.0881457359052051E-2</v>
      </c>
      <c r="BL518" s="5">
        <f t="shared" si="70"/>
        <v>30.50343090305762</v>
      </c>
      <c r="BM518" s="11">
        <f t="shared" si="71"/>
        <v>5.3720126630198671E-2</v>
      </c>
    </row>
    <row r="519" spans="1:65" ht="15" customHeight="1" x14ac:dyDescent="0.4">
      <c r="A519" s="2" t="s">
        <v>269</v>
      </c>
      <c r="B519" s="2" t="s">
        <v>451</v>
      </c>
      <c r="C519" s="2" t="s">
        <v>452</v>
      </c>
      <c r="D519" s="3" t="s">
        <v>68</v>
      </c>
      <c r="E519" s="3" t="s">
        <v>472</v>
      </c>
      <c r="F519" s="2" t="s">
        <v>400</v>
      </c>
      <c r="G519" s="4">
        <v>1000</v>
      </c>
      <c r="H519" s="5">
        <v>2.6</v>
      </c>
      <c r="I519" s="5">
        <v>2.7101816036827548</v>
      </c>
      <c r="J519" s="6">
        <v>0</v>
      </c>
      <c r="K519" s="5">
        <v>0</v>
      </c>
      <c r="L519" s="6">
        <v>0</v>
      </c>
      <c r="M519" s="5">
        <v>0</v>
      </c>
      <c r="N519" s="6">
        <v>989.23567419321319</v>
      </c>
      <c r="O519" s="5">
        <v>2572.0127529023539</v>
      </c>
      <c r="P519" s="6">
        <v>0</v>
      </c>
      <c r="Q519" s="5">
        <v>0</v>
      </c>
      <c r="R519" s="6">
        <v>2967.7070225796401</v>
      </c>
      <c r="S519" s="5">
        <v>7716.0382587070644</v>
      </c>
      <c r="T519" s="6">
        <v>1978.4713483864259</v>
      </c>
      <c r="U519" s="5">
        <v>5144.0255058047087</v>
      </c>
      <c r="V519" s="6">
        <v>0</v>
      </c>
      <c r="W519" s="5">
        <v>0</v>
      </c>
      <c r="X519" s="6">
        <v>0</v>
      </c>
      <c r="Y519" s="5">
        <v>0</v>
      </c>
      <c r="Z519" s="6">
        <v>0</v>
      </c>
      <c r="AA519" s="5">
        <v>0</v>
      </c>
      <c r="AB519" s="6">
        <v>0</v>
      </c>
      <c r="AC519" s="5">
        <v>0</v>
      </c>
      <c r="AD519" s="6">
        <v>0</v>
      </c>
      <c r="AE519" s="5">
        <v>0</v>
      </c>
      <c r="AF519" s="6">
        <v>0</v>
      </c>
      <c r="AG519" s="5">
        <v>0</v>
      </c>
      <c r="AH519" s="7">
        <f t="shared" si="64"/>
        <v>5935.4140451592793</v>
      </c>
      <c r="AI519" s="8">
        <f t="shared" si="65"/>
        <v>15432.076517414127</v>
      </c>
      <c r="AJ519" s="6">
        <v>0</v>
      </c>
      <c r="AK519" s="5">
        <v>0</v>
      </c>
      <c r="AL519" s="6">
        <v>0</v>
      </c>
      <c r="AM519" s="5">
        <v>0</v>
      </c>
      <c r="AN519" s="6">
        <v>1000</v>
      </c>
      <c r="AO519" s="5">
        <v>2710.1816036827549</v>
      </c>
      <c r="AP519" s="6">
        <v>0</v>
      </c>
      <c r="AQ519" s="5">
        <v>0</v>
      </c>
      <c r="AR519" s="6">
        <v>3000</v>
      </c>
      <c r="AS519" s="5">
        <v>8130.5448110482657</v>
      </c>
      <c r="AT519" s="6">
        <v>2000</v>
      </c>
      <c r="AU519" s="5">
        <v>5420.3632073655099</v>
      </c>
      <c r="AV519" s="6">
        <v>0</v>
      </c>
      <c r="AW519" s="5">
        <v>0</v>
      </c>
      <c r="AX519" s="6">
        <v>0</v>
      </c>
      <c r="AY519" s="5">
        <v>0</v>
      </c>
      <c r="AZ519" s="6">
        <v>0</v>
      </c>
      <c r="BA519" s="5">
        <v>0</v>
      </c>
      <c r="BB519" s="6">
        <v>0</v>
      </c>
      <c r="BC519" s="5">
        <v>0</v>
      </c>
      <c r="BD519" s="6">
        <v>0</v>
      </c>
      <c r="BE519" s="5">
        <v>0</v>
      </c>
      <c r="BF519" s="6">
        <v>0</v>
      </c>
      <c r="BG519" s="5">
        <v>0</v>
      </c>
      <c r="BH519" s="9">
        <f t="shared" si="66"/>
        <v>6000</v>
      </c>
      <c r="BI519" s="10">
        <f t="shared" si="67"/>
        <v>16261.08962209653</v>
      </c>
      <c r="BJ519" s="6">
        <f t="shared" si="68"/>
        <v>64.58595484072066</v>
      </c>
      <c r="BK519" s="11">
        <f t="shared" si="69"/>
        <v>1.0881457359052273E-2</v>
      </c>
      <c r="BL519" s="5">
        <f t="shared" si="70"/>
        <v>829.01310468240263</v>
      </c>
      <c r="BM519" s="11">
        <f t="shared" si="71"/>
        <v>5.3720126630198699E-2</v>
      </c>
    </row>
    <row r="520" spans="1:65" ht="15" customHeight="1" x14ac:dyDescent="0.4">
      <c r="A520" s="2" t="s">
        <v>269</v>
      </c>
      <c r="B520" s="2" t="s">
        <v>451</v>
      </c>
      <c r="C520" s="2" t="s">
        <v>452</v>
      </c>
      <c r="D520" s="3" t="s">
        <v>68</v>
      </c>
      <c r="E520" s="3" t="s">
        <v>472</v>
      </c>
      <c r="F520" s="2" t="s">
        <v>473</v>
      </c>
      <c r="G520" s="4">
        <v>1000</v>
      </c>
      <c r="H520" s="5">
        <v>2.6</v>
      </c>
      <c r="I520" s="5">
        <v>2.7101816036827548</v>
      </c>
      <c r="J520" s="6">
        <v>0</v>
      </c>
      <c r="K520" s="5">
        <v>0</v>
      </c>
      <c r="L520" s="6">
        <v>0</v>
      </c>
      <c r="M520" s="5">
        <v>0</v>
      </c>
      <c r="N520" s="6">
        <v>0</v>
      </c>
      <c r="O520" s="5">
        <v>0</v>
      </c>
      <c r="P520" s="6">
        <v>0</v>
      </c>
      <c r="Q520" s="5">
        <v>0</v>
      </c>
      <c r="R520" s="6">
        <v>989.23567419321319</v>
      </c>
      <c r="S520" s="5">
        <v>2572.0127529023539</v>
      </c>
      <c r="T520" s="6">
        <v>0</v>
      </c>
      <c r="U520" s="5">
        <v>0</v>
      </c>
      <c r="V520" s="6">
        <v>0</v>
      </c>
      <c r="W520" s="5">
        <v>0</v>
      </c>
      <c r="X520" s="6">
        <v>0</v>
      </c>
      <c r="Y520" s="5">
        <v>0</v>
      </c>
      <c r="Z520" s="6">
        <v>0</v>
      </c>
      <c r="AA520" s="5">
        <v>0</v>
      </c>
      <c r="AB520" s="6">
        <v>0</v>
      </c>
      <c r="AC520" s="5">
        <v>0</v>
      </c>
      <c r="AD520" s="6">
        <v>947.99613929838938</v>
      </c>
      <c r="AE520" s="5">
        <v>2464.789962175812</v>
      </c>
      <c r="AF520" s="6">
        <v>0</v>
      </c>
      <c r="AG520" s="5">
        <v>0</v>
      </c>
      <c r="AH520" s="7">
        <f t="shared" si="64"/>
        <v>1937.2318134916027</v>
      </c>
      <c r="AI520" s="8">
        <f t="shared" si="65"/>
        <v>5036.8027150781654</v>
      </c>
      <c r="AJ520" s="6">
        <v>0</v>
      </c>
      <c r="AK520" s="5">
        <v>0</v>
      </c>
      <c r="AL520" s="6">
        <v>0</v>
      </c>
      <c r="AM520" s="5">
        <v>0</v>
      </c>
      <c r="AN520" s="6">
        <v>0</v>
      </c>
      <c r="AO520" s="5">
        <v>0</v>
      </c>
      <c r="AP520" s="6">
        <v>0</v>
      </c>
      <c r="AQ520" s="5">
        <v>0</v>
      </c>
      <c r="AR520" s="6">
        <v>1000</v>
      </c>
      <c r="AS520" s="5">
        <v>2710.1816036827549</v>
      </c>
      <c r="AT520" s="6">
        <v>0</v>
      </c>
      <c r="AU520" s="5">
        <v>0</v>
      </c>
      <c r="AV520" s="6">
        <v>0</v>
      </c>
      <c r="AW520" s="5">
        <v>0</v>
      </c>
      <c r="AX520" s="6">
        <v>0</v>
      </c>
      <c r="AY520" s="5">
        <v>0</v>
      </c>
      <c r="AZ520" s="6">
        <v>0</v>
      </c>
      <c r="BA520" s="5">
        <v>0</v>
      </c>
      <c r="BB520" s="6">
        <v>0</v>
      </c>
      <c r="BC520" s="5">
        <v>0</v>
      </c>
      <c r="BD520" s="6">
        <v>1000</v>
      </c>
      <c r="BE520" s="5">
        <v>2710.1816036827549</v>
      </c>
      <c r="BF520" s="6">
        <v>0</v>
      </c>
      <c r="BG520" s="5">
        <v>0</v>
      </c>
      <c r="BH520" s="9">
        <f t="shared" si="66"/>
        <v>2000</v>
      </c>
      <c r="BI520" s="10">
        <f t="shared" si="67"/>
        <v>5420.3632073655099</v>
      </c>
      <c r="BJ520" s="6">
        <f t="shared" si="68"/>
        <v>62.768186508397321</v>
      </c>
      <c r="BK520" s="11">
        <f t="shared" si="69"/>
        <v>3.2400968263713373E-2</v>
      </c>
      <c r="BL520" s="5">
        <f t="shared" si="70"/>
        <v>383.56049228734446</v>
      </c>
      <c r="BM520" s="11">
        <f t="shared" si="71"/>
        <v>7.6151581466377141E-2</v>
      </c>
    </row>
    <row r="521" spans="1:65" ht="15" customHeight="1" x14ac:dyDescent="0.4">
      <c r="A521" s="2" t="s">
        <v>269</v>
      </c>
      <c r="B521" s="2" t="s">
        <v>451</v>
      </c>
      <c r="C521" s="2" t="s">
        <v>452</v>
      </c>
      <c r="D521" s="3" t="s">
        <v>68</v>
      </c>
      <c r="E521" s="3" t="s">
        <v>474</v>
      </c>
      <c r="F521" s="2" t="s">
        <v>475</v>
      </c>
      <c r="G521" s="4">
        <v>1</v>
      </c>
      <c r="H521" s="5">
        <v>4.919999999999999</v>
      </c>
      <c r="I521" s="5">
        <v>5.1284974961996737</v>
      </c>
      <c r="J521" s="6">
        <v>0</v>
      </c>
      <c r="K521" s="5">
        <v>0</v>
      </c>
      <c r="L521" s="6">
        <v>0</v>
      </c>
      <c r="M521" s="5">
        <v>0</v>
      </c>
      <c r="N521" s="6">
        <v>0</v>
      </c>
      <c r="O521" s="5">
        <v>0</v>
      </c>
      <c r="P521" s="6">
        <v>0</v>
      </c>
      <c r="Q521" s="5">
        <v>0</v>
      </c>
      <c r="R521" s="6">
        <v>652.89554496752078</v>
      </c>
      <c r="S521" s="5">
        <v>3212.2460812402019</v>
      </c>
      <c r="T521" s="6">
        <v>0</v>
      </c>
      <c r="U521" s="5">
        <v>0</v>
      </c>
      <c r="V521" s="6">
        <v>0</v>
      </c>
      <c r="W521" s="5">
        <v>0</v>
      </c>
      <c r="X521" s="6">
        <v>0</v>
      </c>
      <c r="Y521" s="5">
        <v>0</v>
      </c>
      <c r="Z521" s="6">
        <v>0</v>
      </c>
      <c r="AA521" s="5">
        <v>0</v>
      </c>
      <c r="AB521" s="6">
        <v>0</v>
      </c>
      <c r="AC521" s="5">
        <v>0</v>
      </c>
      <c r="AD521" s="6">
        <v>0</v>
      </c>
      <c r="AE521" s="5">
        <v>0</v>
      </c>
      <c r="AF521" s="6">
        <v>0</v>
      </c>
      <c r="AG521" s="5">
        <v>0</v>
      </c>
      <c r="AH521" s="7">
        <f t="shared" si="64"/>
        <v>652.89554496752078</v>
      </c>
      <c r="AI521" s="8">
        <f t="shared" si="65"/>
        <v>3212.2460812402019</v>
      </c>
      <c r="AJ521" s="6">
        <v>0</v>
      </c>
      <c r="AK521" s="5">
        <v>0</v>
      </c>
      <c r="AL521" s="6">
        <v>0</v>
      </c>
      <c r="AM521" s="5">
        <v>0</v>
      </c>
      <c r="AN521" s="6">
        <v>0</v>
      </c>
      <c r="AO521" s="5">
        <v>0</v>
      </c>
      <c r="AP521" s="6">
        <v>0</v>
      </c>
      <c r="AQ521" s="5">
        <v>0</v>
      </c>
      <c r="AR521" s="6">
        <v>788</v>
      </c>
      <c r="AS521" s="5">
        <v>4041.2560270053432</v>
      </c>
      <c r="AT521" s="6">
        <v>0</v>
      </c>
      <c r="AU521" s="5">
        <v>0</v>
      </c>
      <c r="AV521" s="6">
        <v>0</v>
      </c>
      <c r="AW521" s="5">
        <v>0</v>
      </c>
      <c r="AX521" s="6">
        <v>0</v>
      </c>
      <c r="AY521" s="5">
        <v>0</v>
      </c>
      <c r="AZ521" s="6">
        <v>0</v>
      </c>
      <c r="BA521" s="5">
        <v>0</v>
      </c>
      <c r="BB521" s="6">
        <v>0</v>
      </c>
      <c r="BC521" s="5">
        <v>0</v>
      </c>
      <c r="BD521" s="6">
        <v>0</v>
      </c>
      <c r="BE521" s="5">
        <v>0</v>
      </c>
      <c r="BF521" s="6">
        <v>0</v>
      </c>
      <c r="BG521" s="5">
        <v>0</v>
      </c>
      <c r="BH521" s="9">
        <f t="shared" si="66"/>
        <v>788</v>
      </c>
      <c r="BI521" s="10">
        <f t="shared" si="67"/>
        <v>4041.2560270053432</v>
      </c>
      <c r="BJ521" s="6">
        <f t="shared" si="68"/>
        <v>135.10445503247922</v>
      </c>
      <c r="BK521" s="11">
        <f t="shared" si="69"/>
        <v>0.20693119454383807</v>
      </c>
      <c r="BL521" s="5">
        <f t="shared" si="70"/>
        <v>829.00994576514131</v>
      </c>
      <c r="BM521" s="11">
        <f t="shared" si="71"/>
        <v>0.25807796937060079</v>
      </c>
    </row>
    <row r="522" spans="1:65" ht="15" customHeight="1" x14ac:dyDescent="0.4">
      <c r="A522" s="2" t="s">
        <v>269</v>
      </c>
      <c r="B522" s="2" t="s">
        <v>451</v>
      </c>
      <c r="C522" s="2" t="s">
        <v>452</v>
      </c>
      <c r="D522" s="3" t="s">
        <v>68</v>
      </c>
      <c r="E522" s="3" t="s">
        <v>476</v>
      </c>
      <c r="F522" s="2" t="s">
        <v>308</v>
      </c>
      <c r="G522" s="4">
        <v>20</v>
      </c>
      <c r="H522" s="5">
        <v>1.61</v>
      </c>
      <c r="I522" s="5">
        <v>1.6782278392035519</v>
      </c>
      <c r="J522" s="6">
        <v>3264.477724837604</v>
      </c>
      <c r="K522" s="5">
        <v>5255.8091369885406</v>
      </c>
      <c r="L522" s="6">
        <v>0</v>
      </c>
      <c r="M522" s="5">
        <v>0</v>
      </c>
      <c r="N522" s="6">
        <v>1088.159241612535</v>
      </c>
      <c r="O522" s="5">
        <v>1751.936378996181</v>
      </c>
      <c r="P522" s="6">
        <v>0</v>
      </c>
      <c r="Q522" s="5">
        <v>0</v>
      </c>
      <c r="R522" s="6">
        <v>0</v>
      </c>
      <c r="S522" s="5">
        <v>0</v>
      </c>
      <c r="T522" s="6">
        <v>3264.477724837604</v>
      </c>
      <c r="U522" s="5">
        <v>5255.8091369885406</v>
      </c>
      <c r="V522" s="6">
        <v>0</v>
      </c>
      <c r="W522" s="5">
        <v>0</v>
      </c>
      <c r="X522" s="6">
        <v>0</v>
      </c>
      <c r="Y522" s="5">
        <v>0</v>
      </c>
      <c r="Z522" s="6">
        <v>0</v>
      </c>
      <c r="AA522" s="5">
        <v>0</v>
      </c>
      <c r="AB522" s="6">
        <v>0</v>
      </c>
      <c r="AC522" s="5">
        <v>0</v>
      </c>
      <c r="AD522" s="6">
        <v>0</v>
      </c>
      <c r="AE522" s="5">
        <v>0</v>
      </c>
      <c r="AF522" s="6">
        <v>0</v>
      </c>
      <c r="AG522" s="5">
        <v>0</v>
      </c>
      <c r="AH522" s="7">
        <f t="shared" si="64"/>
        <v>7617.114691287743</v>
      </c>
      <c r="AI522" s="8">
        <f t="shared" si="65"/>
        <v>12263.554652973262</v>
      </c>
      <c r="AJ522" s="6">
        <v>3600</v>
      </c>
      <c r="AK522" s="5">
        <v>6041.6202211327864</v>
      </c>
      <c r="AL522" s="6">
        <v>0</v>
      </c>
      <c r="AM522" s="5">
        <v>0</v>
      </c>
      <c r="AN522" s="6">
        <v>1200</v>
      </c>
      <c r="AO522" s="5">
        <v>2013.8734070442631</v>
      </c>
      <c r="AP522" s="6">
        <v>0</v>
      </c>
      <c r="AQ522" s="5">
        <v>0</v>
      </c>
      <c r="AR522" s="6">
        <v>0</v>
      </c>
      <c r="AS522" s="5">
        <v>0</v>
      </c>
      <c r="AT522" s="6">
        <v>3600</v>
      </c>
      <c r="AU522" s="5">
        <v>6041.6202211327864</v>
      </c>
      <c r="AV522" s="6">
        <v>0</v>
      </c>
      <c r="AW522" s="5">
        <v>0</v>
      </c>
      <c r="AX522" s="6">
        <v>0</v>
      </c>
      <c r="AY522" s="5">
        <v>0</v>
      </c>
      <c r="AZ522" s="6">
        <v>0</v>
      </c>
      <c r="BA522" s="5">
        <v>0</v>
      </c>
      <c r="BB522" s="6">
        <v>0</v>
      </c>
      <c r="BC522" s="5">
        <v>0</v>
      </c>
      <c r="BD522" s="6">
        <v>0</v>
      </c>
      <c r="BE522" s="5">
        <v>0</v>
      </c>
      <c r="BF522" s="6">
        <v>0</v>
      </c>
      <c r="BG522" s="5">
        <v>0</v>
      </c>
      <c r="BH522" s="9">
        <f t="shared" si="66"/>
        <v>8400</v>
      </c>
      <c r="BI522" s="10">
        <f t="shared" si="67"/>
        <v>14097.113849309837</v>
      </c>
      <c r="BJ522" s="6">
        <f t="shared" si="68"/>
        <v>782.88530871225703</v>
      </c>
      <c r="BK522" s="11">
        <f t="shared" si="69"/>
        <v>0.1027797716644205</v>
      </c>
      <c r="BL522" s="5">
        <f t="shared" si="70"/>
        <v>1833.559196336575</v>
      </c>
      <c r="BM522" s="11">
        <f t="shared" si="71"/>
        <v>0.14951286541476244</v>
      </c>
    </row>
    <row r="523" spans="1:65" ht="15" customHeight="1" x14ac:dyDescent="0.4">
      <c r="A523" s="2" t="s">
        <v>269</v>
      </c>
      <c r="B523" s="2" t="s">
        <v>451</v>
      </c>
      <c r="C523" s="2" t="s">
        <v>452</v>
      </c>
      <c r="D523" s="3" t="s">
        <v>68</v>
      </c>
      <c r="E523" s="3" t="s">
        <v>476</v>
      </c>
      <c r="F523" s="2" t="s">
        <v>87</v>
      </c>
      <c r="G523" s="4">
        <v>20</v>
      </c>
      <c r="H523" s="5">
        <v>1.5753892721835701</v>
      </c>
      <c r="I523" s="5">
        <v>1.6421786548258399</v>
      </c>
      <c r="J523" s="6">
        <v>0</v>
      </c>
      <c r="K523" s="5">
        <v>0</v>
      </c>
      <c r="L523" s="6">
        <v>0</v>
      </c>
      <c r="M523" s="5">
        <v>0</v>
      </c>
      <c r="N523" s="6">
        <v>0</v>
      </c>
      <c r="O523" s="5">
        <v>0</v>
      </c>
      <c r="P523" s="6">
        <v>0</v>
      </c>
      <c r="Q523" s="5">
        <v>0</v>
      </c>
      <c r="R523" s="6">
        <v>1088.159241612535</v>
      </c>
      <c r="S523" s="5">
        <v>1751.936378996181</v>
      </c>
      <c r="T523" s="6">
        <v>1088.159241612535</v>
      </c>
      <c r="U523" s="5">
        <v>1686.646824499428</v>
      </c>
      <c r="V523" s="6">
        <v>0</v>
      </c>
      <c r="W523" s="5">
        <v>0</v>
      </c>
      <c r="X523" s="6">
        <v>0</v>
      </c>
      <c r="Y523" s="5">
        <v>0</v>
      </c>
      <c r="Z523" s="6">
        <v>0</v>
      </c>
      <c r="AA523" s="5">
        <v>0</v>
      </c>
      <c r="AB523" s="6">
        <v>0</v>
      </c>
      <c r="AC523" s="5">
        <v>0</v>
      </c>
      <c r="AD523" s="6">
        <v>1042.795753228228</v>
      </c>
      <c r="AE523" s="5">
        <v>1632.774830546319</v>
      </c>
      <c r="AF523" s="6">
        <v>0</v>
      </c>
      <c r="AG523" s="5">
        <v>0</v>
      </c>
      <c r="AH523" s="7">
        <f t="shared" si="64"/>
        <v>3219.114236453298</v>
      </c>
      <c r="AI523" s="8">
        <f t="shared" si="65"/>
        <v>5071.3580340419285</v>
      </c>
      <c r="AJ523" s="6">
        <v>0</v>
      </c>
      <c r="AK523" s="5">
        <v>0</v>
      </c>
      <c r="AL523" s="6">
        <v>0</v>
      </c>
      <c r="AM523" s="5">
        <v>0</v>
      </c>
      <c r="AN523" s="6">
        <v>0</v>
      </c>
      <c r="AO523" s="5">
        <v>0</v>
      </c>
      <c r="AP523" s="6">
        <v>0</v>
      </c>
      <c r="AQ523" s="5">
        <v>0</v>
      </c>
      <c r="AR523" s="6">
        <v>1200</v>
      </c>
      <c r="AS523" s="5">
        <v>2013.8734070442631</v>
      </c>
      <c r="AT523" s="6">
        <v>1200</v>
      </c>
      <c r="AU523" s="5">
        <v>1938.822224173048</v>
      </c>
      <c r="AV523" s="6">
        <v>0</v>
      </c>
      <c r="AW523" s="5">
        <v>0</v>
      </c>
      <c r="AX523" s="6">
        <v>0</v>
      </c>
      <c r="AY523" s="5">
        <v>0</v>
      </c>
      <c r="AZ523" s="6">
        <v>0</v>
      </c>
      <c r="BA523" s="5">
        <v>0</v>
      </c>
      <c r="BB523" s="6">
        <v>0</v>
      </c>
      <c r="BC523" s="5">
        <v>0</v>
      </c>
      <c r="BD523" s="6">
        <v>1140</v>
      </c>
      <c r="BE523" s="5">
        <v>1860.616806866163</v>
      </c>
      <c r="BF523" s="6">
        <v>0</v>
      </c>
      <c r="BG523" s="5">
        <v>0</v>
      </c>
      <c r="BH523" s="9">
        <f t="shared" si="66"/>
        <v>3540</v>
      </c>
      <c r="BI523" s="10">
        <f t="shared" si="67"/>
        <v>5813.3124380834743</v>
      </c>
      <c r="BJ523" s="6">
        <f t="shared" si="68"/>
        <v>320.88576354670204</v>
      </c>
      <c r="BK523" s="11">
        <f t="shared" si="69"/>
        <v>9.9681384373684789E-2</v>
      </c>
      <c r="BL523" s="5">
        <f t="shared" si="70"/>
        <v>741.95440404154579</v>
      </c>
      <c r="BM523" s="11">
        <f t="shared" si="71"/>
        <v>0.14630290329752166</v>
      </c>
    </row>
    <row r="524" spans="1:65" ht="15" customHeight="1" x14ac:dyDescent="0.4">
      <c r="A524" s="2" t="s">
        <v>269</v>
      </c>
      <c r="B524" s="2" t="s">
        <v>451</v>
      </c>
      <c r="C524" s="2" t="s">
        <v>452</v>
      </c>
      <c r="D524" s="3" t="s">
        <v>68</v>
      </c>
      <c r="E524" s="3" t="s">
        <v>477</v>
      </c>
      <c r="F524" s="2" t="s">
        <v>478</v>
      </c>
      <c r="G524" s="4">
        <v>5</v>
      </c>
      <c r="H524" s="5">
        <v>1.96</v>
      </c>
      <c r="I524" s="5">
        <v>2.0430599781608469</v>
      </c>
      <c r="J524" s="6">
        <v>0</v>
      </c>
      <c r="K524" s="5">
        <v>0</v>
      </c>
      <c r="L524" s="6">
        <v>0</v>
      </c>
      <c r="M524" s="5">
        <v>0</v>
      </c>
      <c r="N524" s="6">
        <v>0</v>
      </c>
      <c r="O524" s="5">
        <v>0</v>
      </c>
      <c r="P524" s="6">
        <v>0</v>
      </c>
      <c r="Q524" s="5">
        <v>0</v>
      </c>
      <c r="R524" s="6">
        <v>0</v>
      </c>
      <c r="S524" s="5">
        <v>0</v>
      </c>
      <c r="T524" s="6">
        <v>0</v>
      </c>
      <c r="U524" s="5">
        <v>0</v>
      </c>
      <c r="V524" s="6">
        <v>2176.318483225069</v>
      </c>
      <c r="W524" s="5">
        <v>4265.5842271211359</v>
      </c>
      <c r="X524" s="6">
        <v>0</v>
      </c>
      <c r="Y524" s="5">
        <v>0</v>
      </c>
      <c r="Z524" s="6">
        <v>0</v>
      </c>
      <c r="AA524" s="5">
        <v>0</v>
      </c>
      <c r="AB524" s="6">
        <v>0</v>
      </c>
      <c r="AC524" s="5">
        <v>0</v>
      </c>
      <c r="AD524" s="6">
        <v>0</v>
      </c>
      <c r="AE524" s="5">
        <v>0</v>
      </c>
      <c r="AF524" s="6">
        <v>0</v>
      </c>
      <c r="AG524" s="5">
        <v>0</v>
      </c>
      <c r="AH524" s="7">
        <f t="shared" si="64"/>
        <v>2176.318483225069</v>
      </c>
      <c r="AI524" s="8">
        <f t="shared" si="65"/>
        <v>4265.5842271211359</v>
      </c>
      <c r="AJ524" s="6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6">
        <v>0</v>
      </c>
      <c r="AQ524" s="5">
        <v>0</v>
      </c>
      <c r="AR524" s="6">
        <v>0</v>
      </c>
      <c r="AS524" s="5">
        <v>0</v>
      </c>
      <c r="AT524" s="6">
        <v>0</v>
      </c>
      <c r="AU524" s="5">
        <v>0</v>
      </c>
      <c r="AV524" s="6">
        <v>2400</v>
      </c>
      <c r="AW524" s="5">
        <v>4903.3439475860314</v>
      </c>
      <c r="AX524" s="6">
        <v>0</v>
      </c>
      <c r="AY524" s="5">
        <v>0</v>
      </c>
      <c r="AZ524" s="6">
        <v>0</v>
      </c>
      <c r="BA524" s="5">
        <v>0</v>
      </c>
      <c r="BB524" s="6">
        <v>0</v>
      </c>
      <c r="BC524" s="5">
        <v>0</v>
      </c>
      <c r="BD524" s="6">
        <v>0</v>
      </c>
      <c r="BE524" s="5">
        <v>0</v>
      </c>
      <c r="BF524" s="6">
        <v>0</v>
      </c>
      <c r="BG524" s="5">
        <v>0</v>
      </c>
      <c r="BH524" s="9">
        <f t="shared" si="66"/>
        <v>2400</v>
      </c>
      <c r="BI524" s="10">
        <f t="shared" si="67"/>
        <v>4903.3439475860314</v>
      </c>
      <c r="BJ524" s="6">
        <f t="shared" si="68"/>
        <v>223.68151677493097</v>
      </c>
      <c r="BK524" s="11">
        <f t="shared" si="69"/>
        <v>0.10277977166442069</v>
      </c>
      <c r="BL524" s="5">
        <f t="shared" si="70"/>
        <v>637.75972046489551</v>
      </c>
      <c r="BM524" s="11">
        <f t="shared" si="71"/>
        <v>0.14951286541476236</v>
      </c>
    </row>
    <row r="525" spans="1:65" ht="15" customHeight="1" x14ac:dyDescent="0.4">
      <c r="A525" s="2" t="s">
        <v>269</v>
      </c>
      <c r="B525" s="2" t="s">
        <v>451</v>
      </c>
      <c r="C525" s="2" t="s">
        <v>452</v>
      </c>
      <c r="D525" s="3" t="s">
        <v>68</v>
      </c>
      <c r="E525" s="3" t="s">
        <v>479</v>
      </c>
      <c r="F525" s="2" t="s">
        <v>291</v>
      </c>
      <c r="G525" s="4">
        <v>1</v>
      </c>
      <c r="H525" s="5">
        <v>5.9699999999999989</v>
      </c>
      <c r="I525" s="5">
        <v>6.2229939130715559</v>
      </c>
      <c r="J525" s="6">
        <v>652.89554496752078</v>
      </c>
      <c r="K525" s="5">
        <v>3897.786403456098</v>
      </c>
      <c r="L525" s="6">
        <v>652.89554496752078</v>
      </c>
      <c r="M525" s="5">
        <v>3897.786403456098</v>
      </c>
      <c r="N525" s="6">
        <v>0</v>
      </c>
      <c r="O525" s="5">
        <v>0</v>
      </c>
      <c r="P525" s="6">
        <v>0</v>
      </c>
      <c r="Q525" s="5">
        <v>0</v>
      </c>
      <c r="R525" s="6">
        <v>0</v>
      </c>
      <c r="S525" s="5">
        <v>0</v>
      </c>
      <c r="T525" s="6">
        <v>1305.791089935042</v>
      </c>
      <c r="U525" s="5">
        <v>7795.5728069121969</v>
      </c>
      <c r="V525" s="6">
        <v>0</v>
      </c>
      <c r="W525" s="5">
        <v>0</v>
      </c>
      <c r="X525" s="6">
        <v>0</v>
      </c>
      <c r="Y525" s="5">
        <v>0</v>
      </c>
      <c r="Z525" s="6">
        <v>0</v>
      </c>
      <c r="AA525" s="5">
        <v>0</v>
      </c>
      <c r="AB525" s="6">
        <v>0</v>
      </c>
      <c r="AC525" s="5">
        <v>0</v>
      </c>
      <c r="AD525" s="6">
        <v>0</v>
      </c>
      <c r="AE525" s="5">
        <v>0</v>
      </c>
      <c r="AF525" s="6">
        <v>0</v>
      </c>
      <c r="AG525" s="5">
        <v>0</v>
      </c>
      <c r="AH525" s="7">
        <f t="shared" si="64"/>
        <v>2611.5821798700836</v>
      </c>
      <c r="AI525" s="8">
        <f t="shared" si="65"/>
        <v>15591.145613824392</v>
      </c>
      <c r="AJ525" s="6">
        <v>788</v>
      </c>
      <c r="AK525" s="5">
        <v>4903.7192035003854</v>
      </c>
      <c r="AL525" s="6">
        <v>788</v>
      </c>
      <c r="AM525" s="5">
        <v>4903.7192035003854</v>
      </c>
      <c r="AN525" s="6">
        <v>0</v>
      </c>
      <c r="AO525" s="5">
        <v>0</v>
      </c>
      <c r="AP525" s="6">
        <v>0</v>
      </c>
      <c r="AQ525" s="5">
        <v>0</v>
      </c>
      <c r="AR525" s="6">
        <v>0</v>
      </c>
      <c r="AS525" s="5">
        <v>0</v>
      </c>
      <c r="AT525" s="6">
        <v>1577</v>
      </c>
      <c r="AU525" s="5">
        <v>9813.661400913843</v>
      </c>
      <c r="AV525" s="6">
        <v>0</v>
      </c>
      <c r="AW525" s="5">
        <v>0</v>
      </c>
      <c r="AX525" s="6">
        <v>0</v>
      </c>
      <c r="AY525" s="5">
        <v>0</v>
      </c>
      <c r="AZ525" s="6">
        <v>0</v>
      </c>
      <c r="BA525" s="5">
        <v>0</v>
      </c>
      <c r="BB525" s="6">
        <v>0</v>
      </c>
      <c r="BC525" s="5">
        <v>0</v>
      </c>
      <c r="BD525" s="6">
        <v>0</v>
      </c>
      <c r="BE525" s="5">
        <v>0</v>
      </c>
      <c r="BF525" s="6">
        <v>0</v>
      </c>
      <c r="BG525" s="5">
        <v>0</v>
      </c>
      <c r="BH525" s="9">
        <f t="shared" si="66"/>
        <v>3153</v>
      </c>
      <c r="BI525" s="10">
        <f t="shared" si="67"/>
        <v>19621.099807914616</v>
      </c>
      <c r="BJ525" s="6">
        <f t="shared" si="68"/>
        <v>541.41782012991644</v>
      </c>
      <c r="BK525" s="11">
        <f t="shared" si="69"/>
        <v>0.2073141041867769</v>
      </c>
      <c r="BL525" s="5">
        <f t="shared" si="70"/>
        <v>4029.9541940902236</v>
      </c>
      <c r="BM525" s="11">
        <f t="shared" si="71"/>
        <v>0.2584771057822034</v>
      </c>
    </row>
    <row r="526" spans="1:65" ht="15" customHeight="1" x14ac:dyDescent="0.4">
      <c r="A526" s="2" t="s">
        <v>269</v>
      </c>
      <c r="B526" s="2" t="s">
        <v>451</v>
      </c>
      <c r="C526" s="2" t="s">
        <v>452</v>
      </c>
      <c r="D526" s="3" t="s">
        <v>68</v>
      </c>
      <c r="E526" s="3" t="s">
        <v>479</v>
      </c>
      <c r="F526" s="2" t="s">
        <v>354</v>
      </c>
      <c r="G526" s="4">
        <v>1</v>
      </c>
      <c r="H526" s="5">
        <v>5.0965091598082948</v>
      </c>
      <c r="I526" s="5">
        <v>5.3123563744925733</v>
      </c>
      <c r="J526" s="6">
        <v>0</v>
      </c>
      <c r="K526" s="5">
        <v>0</v>
      </c>
      <c r="L526" s="6">
        <v>0</v>
      </c>
      <c r="M526" s="5">
        <v>0</v>
      </c>
      <c r="N526" s="6">
        <v>0</v>
      </c>
      <c r="O526" s="5">
        <v>0</v>
      </c>
      <c r="P526" s="6">
        <v>0</v>
      </c>
      <c r="Q526" s="5">
        <v>0</v>
      </c>
      <c r="R526" s="6">
        <v>0</v>
      </c>
      <c r="S526" s="5">
        <v>0</v>
      </c>
      <c r="T526" s="6">
        <v>652.89554496752078</v>
      </c>
      <c r="U526" s="5">
        <v>3166.543393092476</v>
      </c>
      <c r="V526" s="6">
        <v>0</v>
      </c>
      <c r="W526" s="5">
        <v>0</v>
      </c>
      <c r="X526" s="6">
        <v>0</v>
      </c>
      <c r="Y526" s="5">
        <v>0</v>
      </c>
      <c r="Z526" s="6">
        <v>0</v>
      </c>
      <c r="AA526" s="5">
        <v>0</v>
      </c>
      <c r="AB526" s="6">
        <v>0</v>
      </c>
      <c r="AC526" s="5">
        <v>0</v>
      </c>
      <c r="AD526" s="6">
        <v>284.39884178951678</v>
      </c>
      <c r="AE526" s="5">
        <v>1610.386034451664</v>
      </c>
      <c r="AF526" s="6">
        <v>0</v>
      </c>
      <c r="AG526" s="5">
        <v>0</v>
      </c>
      <c r="AH526" s="7">
        <f t="shared" si="64"/>
        <v>937.2943867570375</v>
      </c>
      <c r="AI526" s="8">
        <f t="shared" si="65"/>
        <v>4776.9294275441398</v>
      </c>
      <c r="AJ526" s="6">
        <v>0</v>
      </c>
      <c r="AK526" s="5">
        <v>0</v>
      </c>
      <c r="AL526" s="6">
        <v>0</v>
      </c>
      <c r="AM526" s="5">
        <v>0</v>
      </c>
      <c r="AN526" s="6">
        <v>0</v>
      </c>
      <c r="AO526" s="5">
        <v>0</v>
      </c>
      <c r="AP526" s="6">
        <v>0</v>
      </c>
      <c r="AQ526" s="5">
        <v>0</v>
      </c>
      <c r="AR526" s="6">
        <v>0</v>
      </c>
      <c r="AS526" s="5">
        <v>0</v>
      </c>
      <c r="AT526" s="6">
        <v>788</v>
      </c>
      <c r="AU526" s="5">
        <v>3983.7584819056729</v>
      </c>
      <c r="AV526" s="6">
        <v>0</v>
      </c>
      <c r="AW526" s="5">
        <v>0</v>
      </c>
      <c r="AX526" s="6">
        <v>0</v>
      </c>
      <c r="AY526" s="5">
        <v>0</v>
      </c>
      <c r="AZ526" s="6">
        <v>0</v>
      </c>
      <c r="BA526" s="5">
        <v>0</v>
      </c>
      <c r="BB526" s="6">
        <v>0</v>
      </c>
      <c r="BC526" s="5">
        <v>0</v>
      </c>
      <c r="BD526" s="6">
        <v>343</v>
      </c>
      <c r="BE526" s="5">
        <v>2024.516577645428</v>
      </c>
      <c r="BF526" s="6">
        <v>0</v>
      </c>
      <c r="BG526" s="5">
        <v>0</v>
      </c>
      <c r="BH526" s="9">
        <f t="shared" si="66"/>
        <v>1131</v>
      </c>
      <c r="BI526" s="10">
        <f t="shared" si="67"/>
        <v>6008.2750595511006</v>
      </c>
      <c r="BJ526" s="6">
        <f t="shared" si="68"/>
        <v>193.7056132429625</v>
      </c>
      <c r="BK526" s="11">
        <f t="shared" si="69"/>
        <v>0.20666464664657622</v>
      </c>
      <c r="BL526" s="5">
        <f t="shared" si="70"/>
        <v>1231.3456320069608</v>
      </c>
      <c r="BM526" s="11">
        <f t="shared" si="71"/>
        <v>0.25776927431812746</v>
      </c>
    </row>
    <row r="527" spans="1:65" ht="15" customHeight="1" x14ac:dyDescent="0.4">
      <c r="A527" s="2" t="s">
        <v>269</v>
      </c>
      <c r="B527" s="2" t="s">
        <v>451</v>
      </c>
      <c r="C527" s="2" t="s">
        <v>452</v>
      </c>
      <c r="D527" s="3" t="s">
        <v>68</v>
      </c>
      <c r="E527" s="3" t="s">
        <v>480</v>
      </c>
      <c r="F527" s="2" t="s">
        <v>481</v>
      </c>
      <c r="G527" s="4">
        <v>200</v>
      </c>
      <c r="H527" s="5">
        <v>4.3989000000000003</v>
      </c>
      <c r="I527" s="5">
        <v>4.5853145601692589</v>
      </c>
      <c r="J527" s="6">
        <v>0</v>
      </c>
      <c r="K527" s="5">
        <v>0</v>
      </c>
      <c r="L527" s="6">
        <v>0</v>
      </c>
      <c r="M527" s="5">
        <v>0</v>
      </c>
      <c r="N527" s="6">
        <v>0</v>
      </c>
      <c r="O527" s="5">
        <v>0</v>
      </c>
      <c r="P527" s="6">
        <v>0</v>
      </c>
      <c r="Q527" s="5">
        <v>0</v>
      </c>
      <c r="R527" s="6">
        <v>0</v>
      </c>
      <c r="S527" s="5">
        <v>0</v>
      </c>
      <c r="T527" s="6">
        <v>0</v>
      </c>
      <c r="U527" s="5">
        <v>0</v>
      </c>
      <c r="V527" s="6">
        <v>0</v>
      </c>
      <c r="W527" s="5">
        <v>0</v>
      </c>
      <c r="X527" s="6">
        <v>0</v>
      </c>
      <c r="Y527" s="5">
        <v>0</v>
      </c>
      <c r="Z527" s="6">
        <v>0</v>
      </c>
      <c r="AA527" s="5">
        <v>0</v>
      </c>
      <c r="AB527" s="6">
        <v>0</v>
      </c>
      <c r="AC527" s="5">
        <v>0</v>
      </c>
      <c r="AD527" s="6">
        <v>379.19845571935571</v>
      </c>
      <c r="AE527" s="5">
        <v>1668.056086863874</v>
      </c>
      <c r="AF527" s="6">
        <v>0</v>
      </c>
      <c r="AG527" s="5">
        <v>0</v>
      </c>
      <c r="AH527" s="7">
        <f t="shared" si="64"/>
        <v>379.19845571935571</v>
      </c>
      <c r="AI527" s="8">
        <f t="shared" si="65"/>
        <v>1668.056086863874</v>
      </c>
      <c r="AJ527" s="6">
        <v>0</v>
      </c>
      <c r="AK527" s="5">
        <v>0</v>
      </c>
      <c r="AL527" s="6">
        <v>0</v>
      </c>
      <c r="AM527" s="5">
        <v>0</v>
      </c>
      <c r="AN527" s="6">
        <v>0</v>
      </c>
      <c r="AO527" s="5">
        <v>0</v>
      </c>
      <c r="AP527" s="6">
        <v>0</v>
      </c>
      <c r="AQ527" s="5">
        <v>0</v>
      </c>
      <c r="AR527" s="6">
        <v>0</v>
      </c>
      <c r="AS527" s="5">
        <v>0</v>
      </c>
      <c r="AT527" s="6">
        <v>0</v>
      </c>
      <c r="AU527" s="5">
        <v>0</v>
      </c>
      <c r="AV527" s="6">
        <v>0</v>
      </c>
      <c r="AW527" s="5">
        <v>0</v>
      </c>
      <c r="AX527" s="6">
        <v>0</v>
      </c>
      <c r="AY527" s="5">
        <v>0</v>
      </c>
      <c r="AZ527" s="6">
        <v>0</v>
      </c>
      <c r="BA527" s="5">
        <v>0</v>
      </c>
      <c r="BB527" s="6">
        <v>0</v>
      </c>
      <c r="BC527" s="5">
        <v>0</v>
      </c>
      <c r="BD527" s="6">
        <v>400</v>
      </c>
      <c r="BE527" s="5">
        <v>1834.125824067703</v>
      </c>
      <c r="BF527" s="6">
        <v>0</v>
      </c>
      <c r="BG527" s="5">
        <v>0</v>
      </c>
      <c r="BH527" s="9">
        <f t="shared" si="66"/>
        <v>400</v>
      </c>
      <c r="BI527" s="10">
        <f t="shared" si="67"/>
        <v>1834.125824067703</v>
      </c>
      <c r="BJ527" s="6">
        <f t="shared" si="68"/>
        <v>20.801544280644293</v>
      </c>
      <c r="BK527" s="11">
        <f t="shared" si="69"/>
        <v>5.4856616547087129E-2</v>
      </c>
      <c r="BL527" s="5">
        <f t="shared" si="70"/>
        <v>166.06973720382894</v>
      </c>
      <c r="BM527" s="11">
        <f t="shared" si="71"/>
        <v>9.9558844880364913E-2</v>
      </c>
    </row>
    <row r="528" spans="1:65" ht="15" customHeight="1" x14ac:dyDescent="0.4">
      <c r="A528" s="2" t="s">
        <v>269</v>
      </c>
      <c r="B528" s="2" t="s">
        <v>451</v>
      </c>
      <c r="C528" s="2" t="s">
        <v>452</v>
      </c>
      <c r="D528" s="3" t="s">
        <v>68</v>
      </c>
      <c r="E528" s="3" t="s">
        <v>482</v>
      </c>
      <c r="F528" s="2" t="s">
        <v>483</v>
      </c>
      <c r="G528" s="4">
        <v>1</v>
      </c>
      <c r="H528" s="5">
        <v>4.71</v>
      </c>
      <c r="I528" s="5">
        <v>4.9101833156989514</v>
      </c>
      <c r="J528" s="6">
        <v>1305.791089935042</v>
      </c>
      <c r="K528" s="5">
        <v>6150.2760335940447</v>
      </c>
      <c r="L528" s="6">
        <v>0</v>
      </c>
      <c r="M528" s="5">
        <v>0</v>
      </c>
      <c r="N528" s="6">
        <v>0</v>
      </c>
      <c r="O528" s="5">
        <v>0</v>
      </c>
      <c r="P528" s="6">
        <v>0</v>
      </c>
      <c r="Q528" s="5">
        <v>0</v>
      </c>
      <c r="R528" s="6">
        <v>2611.5821798700831</v>
      </c>
      <c r="S528" s="5">
        <v>12300.552067188089</v>
      </c>
      <c r="T528" s="6">
        <v>3917.373269805124</v>
      </c>
      <c r="U528" s="5">
        <v>18450.828100782139</v>
      </c>
      <c r="V528" s="6">
        <v>0</v>
      </c>
      <c r="W528" s="5">
        <v>0</v>
      </c>
      <c r="X528" s="6">
        <v>0</v>
      </c>
      <c r="Y528" s="5">
        <v>0</v>
      </c>
      <c r="Z528" s="6">
        <v>0</v>
      </c>
      <c r="AA528" s="5">
        <v>0</v>
      </c>
      <c r="AB528" s="6">
        <v>0</v>
      </c>
      <c r="AC528" s="5">
        <v>0</v>
      </c>
      <c r="AD528" s="6">
        <v>0</v>
      </c>
      <c r="AE528" s="5">
        <v>0</v>
      </c>
      <c r="AF528" s="6">
        <v>0</v>
      </c>
      <c r="AG528" s="5">
        <v>0</v>
      </c>
      <c r="AH528" s="7">
        <f t="shared" si="64"/>
        <v>7834.7465396102489</v>
      </c>
      <c r="AI528" s="8">
        <f t="shared" si="65"/>
        <v>36901.65620156427</v>
      </c>
      <c r="AJ528" s="6">
        <v>1399</v>
      </c>
      <c r="AK528" s="5">
        <v>6868.5278997425912</v>
      </c>
      <c r="AL528" s="6">
        <v>0</v>
      </c>
      <c r="AM528" s="5">
        <v>0</v>
      </c>
      <c r="AN528" s="6">
        <v>0</v>
      </c>
      <c r="AO528" s="5">
        <v>0</v>
      </c>
      <c r="AP528" s="6">
        <v>0</v>
      </c>
      <c r="AQ528" s="5">
        <v>0</v>
      </c>
      <c r="AR528" s="6">
        <v>2797</v>
      </c>
      <c r="AS528" s="5">
        <v>13732.14620127236</v>
      </c>
      <c r="AT528" s="6">
        <v>4195</v>
      </c>
      <c r="AU528" s="5">
        <v>20600.674101014949</v>
      </c>
      <c r="AV528" s="6">
        <v>0</v>
      </c>
      <c r="AW528" s="5">
        <v>0</v>
      </c>
      <c r="AX528" s="6">
        <v>0</v>
      </c>
      <c r="AY528" s="5">
        <v>0</v>
      </c>
      <c r="AZ528" s="6">
        <v>0</v>
      </c>
      <c r="BA528" s="5">
        <v>0</v>
      </c>
      <c r="BB528" s="6">
        <v>0</v>
      </c>
      <c r="BC528" s="5">
        <v>0</v>
      </c>
      <c r="BD528" s="6">
        <v>0</v>
      </c>
      <c r="BE528" s="5">
        <v>0</v>
      </c>
      <c r="BF528" s="6">
        <v>0</v>
      </c>
      <c r="BG528" s="5">
        <v>0</v>
      </c>
      <c r="BH528" s="9">
        <f t="shared" si="66"/>
        <v>8391</v>
      </c>
      <c r="BI528" s="10">
        <f t="shared" si="67"/>
        <v>41201.348202029898</v>
      </c>
      <c r="BJ528" s="6">
        <f t="shared" si="68"/>
        <v>556.25346038975113</v>
      </c>
      <c r="BK528" s="11">
        <f t="shared" si="69"/>
        <v>7.0998271300480739E-2</v>
      </c>
      <c r="BL528" s="5">
        <f t="shared" si="70"/>
        <v>4299.6920004656276</v>
      </c>
      <c r="BM528" s="11">
        <f t="shared" si="71"/>
        <v>0.11651758872230138</v>
      </c>
    </row>
    <row r="529" spans="1:65" ht="15" customHeight="1" x14ac:dyDescent="0.4">
      <c r="A529" s="2" t="s">
        <v>269</v>
      </c>
      <c r="B529" s="2" t="s">
        <v>451</v>
      </c>
      <c r="C529" s="2" t="s">
        <v>452</v>
      </c>
      <c r="D529" s="3" t="s">
        <v>68</v>
      </c>
      <c r="E529" s="3" t="s">
        <v>482</v>
      </c>
      <c r="F529" s="2" t="s">
        <v>242</v>
      </c>
      <c r="G529" s="4">
        <v>1</v>
      </c>
      <c r="H529" s="5">
        <v>4.6687878787878789</v>
      </c>
      <c r="I529" s="5">
        <v>4.8666396233030564</v>
      </c>
      <c r="J529" s="6">
        <v>0</v>
      </c>
      <c r="K529" s="5">
        <v>0</v>
      </c>
      <c r="L529" s="6">
        <v>0</v>
      </c>
      <c r="M529" s="5">
        <v>0</v>
      </c>
      <c r="N529" s="6">
        <v>0</v>
      </c>
      <c r="O529" s="5">
        <v>0</v>
      </c>
      <c r="P529" s="6">
        <v>0</v>
      </c>
      <c r="Q529" s="5">
        <v>0</v>
      </c>
      <c r="R529" s="6">
        <v>0</v>
      </c>
      <c r="S529" s="5">
        <v>0</v>
      </c>
      <c r="T529" s="6">
        <v>0</v>
      </c>
      <c r="U529" s="5">
        <v>0</v>
      </c>
      <c r="V529" s="6">
        <v>0</v>
      </c>
      <c r="W529" s="5">
        <v>0</v>
      </c>
      <c r="X529" s="6">
        <v>0</v>
      </c>
      <c r="Y529" s="5">
        <v>0</v>
      </c>
      <c r="Z529" s="6">
        <v>0</v>
      </c>
      <c r="AA529" s="5">
        <v>0</v>
      </c>
      <c r="AB529" s="6">
        <v>0</v>
      </c>
      <c r="AC529" s="5">
        <v>0</v>
      </c>
      <c r="AD529" s="6">
        <v>625.6774519369369</v>
      </c>
      <c r="AE529" s="5">
        <v>2921.155303634057</v>
      </c>
      <c r="AF529" s="6">
        <v>0</v>
      </c>
      <c r="AG529" s="5">
        <v>0</v>
      </c>
      <c r="AH529" s="7">
        <f t="shared" si="64"/>
        <v>625.6774519369369</v>
      </c>
      <c r="AI529" s="8">
        <f t="shared" si="65"/>
        <v>2921.155303634057</v>
      </c>
      <c r="AJ529" s="6">
        <v>0</v>
      </c>
      <c r="AK529" s="5">
        <v>0</v>
      </c>
      <c r="AL529" s="6">
        <v>0</v>
      </c>
      <c r="AM529" s="5">
        <v>0</v>
      </c>
      <c r="AN529" s="6">
        <v>0</v>
      </c>
      <c r="AO529" s="5">
        <v>0</v>
      </c>
      <c r="AP529" s="6">
        <v>0</v>
      </c>
      <c r="AQ529" s="5">
        <v>0</v>
      </c>
      <c r="AR529" s="6">
        <v>0</v>
      </c>
      <c r="AS529" s="5">
        <v>0</v>
      </c>
      <c r="AT529" s="6">
        <v>0</v>
      </c>
      <c r="AU529" s="5">
        <v>0</v>
      </c>
      <c r="AV529" s="6">
        <v>0</v>
      </c>
      <c r="AW529" s="5">
        <v>0</v>
      </c>
      <c r="AX529" s="6">
        <v>0</v>
      </c>
      <c r="AY529" s="5">
        <v>0</v>
      </c>
      <c r="AZ529" s="6">
        <v>0</v>
      </c>
      <c r="BA529" s="5">
        <v>0</v>
      </c>
      <c r="BB529" s="6">
        <v>0</v>
      </c>
      <c r="BC529" s="5">
        <v>0</v>
      </c>
      <c r="BD529" s="6">
        <v>670</v>
      </c>
      <c r="BE529" s="5">
        <v>3260.648547613047</v>
      </c>
      <c r="BF529" s="6">
        <v>0</v>
      </c>
      <c r="BG529" s="5">
        <v>0</v>
      </c>
      <c r="BH529" s="9">
        <f t="shared" si="66"/>
        <v>670</v>
      </c>
      <c r="BI529" s="10">
        <f t="shared" si="67"/>
        <v>3260.648547613047</v>
      </c>
      <c r="BJ529" s="6">
        <f t="shared" si="68"/>
        <v>44.322548063063095</v>
      </c>
      <c r="BK529" s="11">
        <f t="shared" si="69"/>
        <v>7.083929255537634E-2</v>
      </c>
      <c r="BL529" s="5">
        <f t="shared" si="70"/>
        <v>339.49324397898999</v>
      </c>
      <c r="BM529" s="11">
        <f t="shared" si="71"/>
        <v>0.11621882737855264</v>
      </c>
    </row>
    <row r="530" spans="1:65" ht="15" customHeight="1" x14ac:dyDescent="0.4">
      <c r="A530" s="2" t="s">
        <v>269</v>
      </c>
      <c r="B530" s="2" t="s">
        <v>451</v>
      </c>
      <c r="C530" s="2" t="s">
        <v>452</v>
      </c>
      <c r="D530" s="3" t="s">
        <v>68</v>
      </c>
      <c r="E530" s="3" t="s">
        <v>484</v>
      </c>
      <c r="F530" s="2" t="s">
        <v>483</v>
      </c>
      <c r="G530" s="4">
        <v>20</v>
      </c>
      <c r="H530" s="5">
        <v>2.86</v>
      </c>
      <c r="I530" s="5">
        <v>2.9811997640510302</v>
      </c>
      <c r="J530" s="6">
        <v>0</v>
      </c>
      <c r="K530" s="5">
        <v>0</v>
      </c>
      <c r="L530" s="6">
        <v>633.11083148365651</v>
      </c>
      <c r="M530" s="5">
        <v>1810.696978043258</v>
      </c>
      <c r="N530" s="6">
        <v>633.11083148365651</v>
      </c>
      <c r="O530" s="5">
        <v>1810.696978043258</v>
      </c>
      <c r="P530" s="6">
        <v>0</v>
      </c>
      <c r="Q530" s="5">
        <v>0</v>
      </c>
      <c r="R530" s="6">
        <v>633.11083148365651</v>
      </c>
      <c r="S530" s="5">
        <v>1810.696978043258</v>
      </c>
      <c r="T530" s="6">
        <v>633.11083148365651</v>
      </c>
      <c r="U530" s="5">
        <v>1810.696978043258</v>
      </c>
      <c r="V530" s="6">
        <v>0</v>
      </c>
      <c r="W530" s="5">
        <v>0</v>
      </c>
      <c r="X530" s="6">
        <v>0</v>
      </c>
      <c r="Y530" s="5">
        <v>0</v>
      </c>
      <c r="Z530" s="6">
        <v>0</v>
      </c>
      <c r="AA530" s="5">
        <v>0</v>
      </c>
      <c r="AB530" s="6">
        <v>0</v>
      </c>
      <c r="AC530" s="5">
        <v>0</v>
      </c>
      <c r="AD530" s="6">
        <v>0</v>
      </c>
      <c r="AE530" s="5">
        <v>0</v>
      </c>
      <c r="AF530" s="6">
        <v>0</v>
      </c>
      <c r="AG530" s="5">
        <v>0</v>
      </c>
      <c r="AH530" s="7">
        <f t="shared" si="64"/>
        <v>2532.443325934626</v>
      </c>
      <c r="AI530" s="8">
        <f t="shared" si="65"/>
        <v>7242.7879121730321</v>
      </c>
      <c r="AJ530" s="6">
        <v>0</v>
      </c>
      <c r="AK530" s="5">
        <v>0</v>
      </c>
      <c r="AL530" s="6">
        <v>680</v>
      </c>
      <c r="AM530" s="5">
        <v>2027.215839554701</v>
      </c>
      <c r="AN530" s="6">
        <v>680</v>
      </c>
      <c r="AO530" s="5">
        <v>2027.215839554701</v>
      </c>
      <c r="AP530" s="6">
        <v>0</v>
      </c>
      <c r="AQ530" s="5">
        <v>0</v>
      </c>
      <c r="AR530" s="6">
        <v>680</v>
      </c>
      <c r="AS530" s="5">
        <v>2027.215839554701</v>
      </c>
      <c r="AT530" s="6">
        <v>680</v>
      </c>
      <c r="AU530" s="5">
        <v>2027.215839554701</v>
      </c>
      <c r="AV530" s="6">
        <v>0</v>
      </c>
      <c r="AW530" s="5">
        <v>0</v>
      </c>
      <c r="AX530" s="6">
        <v>0</v>
      </c>
      <c r="AY530" s="5">
        <v>0</v>
      </c>
      <c r="AZ530" s="6">
        <v>0</v>
      </c>
      <c r="BA530" s="5">
        <v>0</v>
      </c>
      <c r="BB530" s="6">
        <v>0</v>
      </c>
      <c r="BC530" s="5">
        <v>0</v>
      </c>
      <c r="BD530" s="6">
        <v>0</v>
      </c>
      <c r="BE530" s="5">
        <v>0</v>
      </c>
      <c r="BF530" s="6">
        <v>0</v>
      </c>
      <c r="BG530" s="5">
        <v>0</v>
      </c>
      <c r="BH530" s="9">
        <f t="shared" si="66"/>
        <v>2720</v>
      </c>
      <c r="BI530" s="10">
        <f t="shared" si="67"/>
        <v>8108.863358218804</v>
      </c>
      <c r="BJ530" s="6">
        <f t="shared" si="68"/>
        <v>187.55667406537395</v>
      </c>
      <c r="BK530" s="11">
        <f t="shared" si="69"/>
        <v>7.4061548443992958E-2</v>
      </c>
      <c r="BL530" s="5">
        <f t="shared" si="70"/>
        <v>866.07544604577197</v>
      </c>
      <c r="BM530" s="11">
        <f t="shared" si="71"/>
        <v>0.11957763454458602</v>
      </c>
    </row>
    <row r="531" spans="1:65" ht="15" customHeight="1" x14ac:dyDescent="0.4">
      <c r="A531" s="2" t="s">
        <v>269</v>
      </c>
      <c r="B531" s="2" t="s">
        <v>451</v>
      </c>
      <c r="C531" s="2" t="s">
        <v>452</v>
      </c>
      <c r="D531" s="3" t="s">
        <v>68</v>
      </c>
      <c r="E531" s="3" t="s">
        <v>484</v>
      </c>
      <c r="F531" s="2" t="s">
        <v>224</v>
      </c>
      <c r="G531" s="4">
        <v>20</v>
      </c>
      <c r="H531" s="5">
        <v>2.8199593749999998</v>
      </c>
      <c r="I531" s="5">
        <v>2.939462315868353</v>
      </c>
      <c r="J531" s="6">
        <v>0</v>
      </c>
      <c r="K531" s="5">
        <v>0</v>
      </c>
      <c r="L531" s="6">
        <v>0</v>
      </c>
      <c r="M531" s="5">
        <v>0</v>
      </c>
      <c r="N531" s="6">
        <v>0</v>
      </c>
      <c r="O531" s="5">
        <v>0</v>
      </c>
      <c r="P531" s="6">
        <v>0</v>
      </c>
      <c r="Q531" s="5">
        <v>0</v>
      </c>
      <c r="R531" s="6">
        <v>0</v>
      </c>
      <c r="S531" s="5">
        <v>0</v>
      </c>
      <c r="T531" s="6">
        <v>0</v>
      </c>
      <c r="U531" s="5">
        <v>0</v>
      </c>
      <c r="V531" s="6">
        <v>0</v>
      </c>
      <c r="W531" s="5">
        <v>0</v>
      </c>
      <c r="X531" s="6">
        <v>0</v>
      </c>
      <c r="Y531" s="5">
        <v>0</v>
      </c>
      <c r="Z531" s="6">
        <v>0</v>
      </c>
      <c r="AA531" s="5">
        <v>0</v>
      </c>
      <c r="AB531" s="6">
        <v>0</v>
      </c>
      <c r="AC531" s="5">
        <v>0</v>
      </c>
      <c r="AD531" s="6">
        <v>947.99613929838938</v>
      </c>
      <c r="AE531" s="5">
        <v>2673.310600478299</v>
      </c>
      <c r="AF531" s="6">
        <v>0</v>
      </c>
      <c r="AG531" s="5">
        <v>0</v>
      </c>
      <c r="AH531" s="7">
        <f t="shared" si="64"/>
        <v>947.99613929838938</v>
      </c>
      <c r="AI531" s="8">
        <f t="shared" si="65"/>
        <v>2673.310600478299</v>
      </c>
      <c r="AJ531" s="6">
        <v>0</v>
      </c>
      <c r="AK531" s="5">
        <v>0</v>
      </c>
      <c r="AL531" s="6">
        <v>0</v>
      </c>
      <c r="AM531" s="5">
        <v>0</v>
      </c>
      <c r="AN531" s="6">
        <v>0</v>
      </c>
      <c r="AO531" s="5">
        <v>0</v>
      </c>
      <c r="AP531" s="6">
        <v>0</v>
      </c>
      <c r="AQ531" s="5">
        <v>0</v>
      </c>
      <c r="AR531" s="6">
        <v>0</v>
      </c>
      <c r="AS531" s="5">
        <v>0</v>
      </c>
      <c r="AT531" s="6">
        <v>0</v>
      </c>
      <c r="AU531" s="5">
        <v>0</v>
      </c>
      <c r="AV531" s="6">
        <v>0</v>
      </c>
      <c r="AW531" s="5">
        <v>0</v>
      </c>
      <c r="AX531" s="6">
        <v>0</v>
      </c>
      <c r="AY531" s="5">
        <v>0</v>
      </c>
      <c r="AZ531" s="6">
        <v>0</v>
      </c>
      <c r="BA531" s="5">
        <v>0</v>
      </c>
      <c r="BB531" s="6">
        <v>0</v>
      </c>
      <c r="BC531" s="5">
        <v>0</v>
      </c>
      <c r="BD531" s="6">
        <v>1040</v>
      </c>
      <c r="BE531" s="5">
        <v>3057.0408085030881</v>
      </c>
      <c r="BF531" s="6">
        <v>0</v>
      </c>
      <c r="BG531" s="5">
        <v>0</v>
      </c>
      <c r="BH531" s="9">
        <f t="shared" si="66"/>
        <v>1040</v>
      </c>
      <c r="BI531" s="10">
        <f t="shared" si="67"/>
        <v>3057.0408085030881</v>
      </c>
      <c r="BJ531" s="6">
        <f t="shared" si="68"/>
        <v>92.00386070161062</v>
      </c>
      <c r="BK531" s="11">
        <f t="shared" si="69"/>
        <v>9.7050881208970485E-2</v>
      </c>
      <c r="BL531" s="5">
        <f t="shared" si="70"/>
        <v>383.73020802478914</v>
      </c>
      <c r="BM531" s="11">
        <f t="shared" si="71"/>
        <v>0.14354119867557982</v>
      </c>
    </row>
    <row r="532" spans="1:65" ht="15" customHeight="1" x14ac:dyDescent="0.4">
      <c r="A532" s="2" t="s">
        <v>269</v>
      </c>
      <c r="B532" s="2" t="s">
        <v>451</v>
      </c>
      <c r="C532" s="2" t="s">
        <v>452</v>
      </c>
      <c r="D532" s="3" t="s">
        <v>68</v>
      </c>
      <c r="E532" s="3" t="s">
        <v>485</v>
      </c>
      <c r="F532" s="2" t="s">
        <v>483</v>
      </c>
      <c r="G532" s="4">
        <v>200</v>
      </c>
      <c r="H532" s="5">
        <v>2.7599999999999989</v>
      </c>
      <c r="I532" s="5">
        <v>2.8769620100632309</v>
      </c>
      <c r="J532" s="6">
        <v>0</v>
      </c>
      <c r="K532" s="5">
        <v>0</v>
      </c>
      <c r="L532" s="6">
        <v>0</v>
      </c>
      <c r="M532" s="5">
        <v>0</v>
      </c>
      <c r="N532" s="6">
        <v>0</v>
      </c>
      <c r="O532" s="5">
        <v>0</v>
      </c>
      <c r="P532" s="6">
        <v>0</v>
      </c>
      <c r="Q532" s="5">
        <v>0</v>
      </c>
      <c r="R532" s="6">
        <v>0</v>
      </c>
      <c r="S532" s="5">
        <v>0</v>
      </c>
      <c r="T532" s="6">
        <v>395.69426967728532</v>
      </c>
      <c r="U532" s="5">
        <v>1092.1161843093071</v>
      </c>
      <c r="V532" s="6">
        <v>0</v>
      </c>
      <c r="W532" s="5">
        <v>0</v>
      </c>
      <c r="X532" s="6">
        <v>0</v>
      </c>
      <c r="Y532" s="5">
        <v>0</v>
      </c>
      <c r="Z532" s="6">
        <v>0</v>
      </c>
      <c r="AA532" s="5">
        <v>0</v>
      </c>
      <c r="AB532" s="6">
        <v>0</v>
      </c>
      <c r="AC532" s="5">
        <v>0</v>
      </c>
      <c r="AD532" s="6">
        <v>0</v>
      </c>
      <c r="AE532" s="5">
        <v>0</v>
      </c>
      <c r="AF532" s="6">
        <v>0</v>
      </c>
      <c r="AG532" s="5">
        <v>0</v>
      </c>
      <c r="AH532" s="7">
        <f t="shared" si="64"/>
        <v>395.69426967728532</v>
      </c>
      <c r="AI532" s="8">
        <f t="shared" si="65"/>
        <v>1092.1161843093071</v>
      </c>
      <c r="AJ532" s="6">
        <v>0</v>
      </c>
      <c r="AK532" s="5">
        <v>0</v>
      </c>
      <c r="AL532" s="6">
        <v>0</v>
      </c>
      <c r="AM532" s="5">
        <v>0</v>
      </c>
      <c r="AN532" s="6">
        <v>0</v>
      </c>
      <c r="AO532" s="5">
        <v>0</v>
      </c>
      <c r="AP532" s="6">
        <v>0</v>
      </c>
      <c r="AQ532" s="5">
        <v>0</v>
      </c>
      <c r="AR532" s="6">
        <v>0</v>
      </c>
      <c r="AS532" s="5">
        <v>0</v>
      </c>
      <c r="AT532" s="6">
        <v>400</v>
      </c>
      <c r="AU532" s="5">
        <v>1150.784804025292</v>
      </c>
      <c r="AV532" s="6">
        <v>0</v>
      </c>
      <c r="AW532" s="5">
        <v>0</v>
      </c>
      <c r="AX532" s="6">
        <v>0</v>
      </c>
      <c r="AY532" s="5">
        <v>0</v>
      </c>
      <c r="AZ532" s="6">
        <v>0</v>
      </c>
      <c r="BA532" s="5">
        <v>0</v>
      </c>
      <c r="BB532" s="6">
        <v>0</v>
      </c>
      <c r="BC532" s="5">
        <v>0</v>
      </c>
      <c r="BD532" s="6">
        <v>0</v>
      </c>
      <c r="BE532" s="5">
        <v>0</v>
      </c>
      <c r="BF532" s="6">
        <v>0</v>
      </c>
      <c r="BG532" s="5">
        <v>0</v>
      </c>
      <c r="BH532" s="9">
        <f t="shared" si="66"/>
        <v>400</v>
      </c>
      <c r="BI532" s="10">
        <f t="shared" si="67"/>
        <v>1150.784804025292</v>
      </c>
      <c r="BJ532" s="6">
        <f t="shared" si="68"/>
        <v>4.3057303227146804</v>
      </c>
      <c r="BK532" s="11">
        <f t="shared" si="69"/>
        <v>1.0881457359052195E-2</v>
      </c>
      <c r="BL532" s="5">
        <f t="shared" si="70"/>
        <v>58.66861971598496</v>
      </c>
      <c r="BM532" s="11">
        <f t="shared" si="71"/>
        <v>5.3720126630198296E-2</v>
      </c>
    </row>
    <row r="533" spans="1:65" ht="15" customHeight="1" x14ac:dyDescent="0.4">
      <c r="A533" s="2" t="s">
        <v>269</v>
      </c>
      <c r="B533" s="2" t="s">
        <v>451</v>
      </c>
      <c r="C533" s="2" t="s">
        <v>452</v>
      </c>
      <c r="D533" s="3" t="s">
        <v>68</v>
      </c>
      <c r="E533" s="3" t="s">
        <v>485</v>
      </c>
      <c r="F533" s="2" t="s">
        <v>486</v>
      </c>
      <c r="G533" s="4">
        <v>200</v>
      </c>
      <c r="H533" s="5">
        <v>2.76</v>
      </c>
      <c r="I533" s="5">
        <v>2.8769620100632318</v>
      </c>
      <c r="J533" s="6">
        <v>0</v>
      </c>
      <c r="K533" s="5">
        <v>0</v>
      </c>
      <c r="L533" s="6">
        <v>0</v>
      </c>
      <c r="M533" s="5">
        <v>0</v>
      </c>
      <c r="N533" s="6">
        <v>0</v>
      </c>
      <c r="O533" s="5">
        <v>0</v>
      </c>
      <c r="P533" s="6">
        <v>0</v>
      </c>
      <c r="Q533" s="5">
        <v>0</v>
      </c>
      <c r="R533" s="6">
        <v>0</v>
      </c>
      <c r="S533" s="5">
        <v>0</v>
      </c>
      <c r="T533" s="6">
        <v>0</v>
      </c>
      <c r="U533" s="5">
        <v>0</v>
      </c>
      <c r="V533" s="6">
        <v>593.54140451592798</v>
      </c>
      <c r="W533" s="5">
        <v>1638.174276463961</v>
      </c>
      <c r="X533" s="6">
        <v>0</v>
      </c>
      <c r="Y533" s="5">
        <v>0</v>
      </c>
      <c r="Z533" s="6">
        <v>0</v>
      </c>
      <c r="AA533" s="5">
        <v>0</v>
      </c>
      <c r="AB533" s="6">
        <v>0</v>
      </c>
      <c r="AC533" s="5">
        <v>0</v>
      </c>
      <c r="AD533" s="6">
        <v>0</v>
      </c>
      <c r="AE533" s="5">
        <v>0</v>
      </c>
      <c r="AF533" s="6">
        <v>0</v>
      </c>
      <c r="AG533" s="5">
        <v>0</v>
      </c>
      <c r="AH533" s="7">
        <f t="shared" si="64"/>
        <v>593.54140451592798</v>
      </c>
      <c r="AI533" s="8">
        <f t="shared" si="65"/>
        <v>1638.174276463961</v>
      </c>
      <c r="AJ533" s="6">
        <v>0</v>
      </c>
      <c r="AK533" s="5">
        <v>0</v>
      </c>
      <c r="AL533" s="6">
        <v>0</v>
      </c>
      <c r="AM533" s="5">
        <v>0</v>
      </c>
      <c r="AN533" s="6">
        <v>0</v>
      </c>
      <c r="AO533" s="5">
        <v>0</v>
      </c>
      <c r="AP533" s="6">
        <v>0</v>
      </c>
      <c r="AQ533" s="5">
        <v>0</v>
      </c>
      <c r="AR533" s="6">
        <v>0</v>
      </c>
      <c r="AS533" s="5">
        <v>0</v>
      </c>
      <c r="AT533" s="6">
        <v>0</v>
      </c>
      <c r="AU533" s="5">
        <v>0</v>
      </c>
      <c r="AV533" s="6">
        <v>600</v>
      </c>
      <c r="AW533" s="5">
        <v>1726.177206037939</v>
      </c>
      <c r="AX533" s="6">
        <v>0</v>
      </c>
      <c r="AY533" s="5">
        <v>0</v>
      </c>
      <c r="AZ533" s="6">
        <v>0</v>
      </c>
      <c r="BA533" s="5">
        <v>0</v>
      </c>
      <c r="BB533" s="6">
        <v>0</v>
      </c>
      <c r="BC533" s="5">
        <v>0</v>
      </c>
      <c r="BD533" s="6">
        <v>0</v>
      </c>
      <c r="BE533" s="5">
        <v>0</v>
      </c>
      <c r="BF533" s="6">
        <v>0</v>
      </c>
      <c r="BG533" s="5">
        <v>0</v>
      </c>
      <c r="BH533" s="9">
        <f t="shared" si="66"/>
        <v>600</v>
      </c>
      <c r="BI533" s="10">
        <f t="shared" si="67"/>
        <v>1726.177206037939</v>
      </c>
      <c r="BJ533" s="6">
        <f t="shared" si="68"/>
        <v>6.4585954840720206</v>
      </c>
      <c r="BK533" s="11">
        <f t="shared" si="69"/>
        <v>1.0881457359052195E-2</v>
      </c>
      <c r="BL533" s="5">
        <f t="shared" si="70"/>
        <v>88.002929573978008</v>
      </c>
      <c r="BM533" s="11">
        <f t="shared" si="71"/>
        <v>5.3720126630198636E-2</v>
      </c>
    </row>
    <row r="534" spans="1:65" ht="15" customHeight="1" x14ac:dyDescent="0.4">
      <c r="A534" s="2" t="s">
        <v>269</v>
      </c>
      <c r="B534" s="2" t="s">
        <v>451</v>
      </c>
      <c r="C534" s="2" t="s">
        <v>452</v>
      </c>
      <c r="D534" s="3" t="s">
        <v>68</v>
      </c>
      <c r="E534" s="3" t="s">
        <v>487</v>
      </c>
      <c r="F534" s="2" t="s">
        <v>488</v>
      </c>
      <c r="G534" s="4">
        <v>1000</v>
      </c>
      <c r="H534" s="5">
        <v>2.1855000000000002</v>
      </c>
      <c r="I534" s="5">
        <v>2.278116113403331</v>
      </c>
      <c r="J534" s="6">
        <v>0</v>
      </c>
      <c r="K534" s="5">
        <v>0</v>
      </c>
      <c r="L534" s="6">
        <v>0</v>
      </c>
      <c r="M534" s="5">
        <v>0</v>
      </c>
      <c r="N534" s="6">
        <v>0</v>
      </c>
      <c r="O534" s="5">
        <v>0</v>
      </c>
      <c r="P534" s="6">
        <v>0</v>
      </c>
      <c r="Q534" s="5">
        <v>0</v>
      </c>
      <c r="R534" s="6">
        <v>0</v>
      </c>
      <c r="S534" s="5">
        <v>0</v>
      </c>
      <c r="T534" s="6">
        <v>0</v>
      </c>
      <c r="U534" s="5">
        <v>0</v>
      </c>
      <c r="V534" s="6">
        <v>0</v>
      </c>
      <c r="W534" s="5">
        <v>0</v>
      </c>
      <c r="X534" s="6">
        <v>0</v>
      </c>
      <c r="Y534" s="5">
        <v>0</v>
      </c>
      <c r="Z534" s="6">
        <v>0</v>
      </c>
      <c r="AA534" s="5">
        <v>0</v>
      </c>
      <c r="AB534" s="6">
        <v>0</v>
      </c>
      <c r="AC534" s="5">
        <v>0</v>
      </c>
      <c r="AD534" s="6">
        <v>1895.992278596779</v>
      </c>
      <c r="AE534" s="5">
        <v>4143.6911248732586</v>
      </c>
      <c r="AF534" s="6">
        <v>0</v>
      </c>
      <c r="AG534" s="5">
        <v>0</v>
      </c>
      <c r="AH534" s="7">
        <f t="shared" si="64"/>
        <v>1895.992278596779</v>
      </c>
      <c r="AI534" s="8">
        <f t="shared" si="65"/>
        <v>4143.6911248732586</v>
      </c>
      <c r="AJ534" s="6">
        <v>0</v>
      </c>
      <c r="AK534" s="5">
        <v>0</v>
      </c>
      <c r="AL534" s="6">
        <v>0</v>
      </c>
      <c r="AM534" s="5">
        <v>0</v>
      </c>
      <c r="AN534" s="6">
        <v>0</v>
      </c>
      <c r="AO534" s="5">
        <v>0</v>
      </c>
      <c r="AP534" s="6">
        <v>0</v>
      </c>
      <c r="AQ534" s="5">
        <v>0</v>
      </c>
      <c r="AR534" s="6">
        <v>0</v>
      </c>
      <c r="AS534" s="5">
        <v>0</v>
      </c>
      <c r="AT534" s="6">
        <v>0</v>
      </c>
      <c r="AU534" s="5">
        <v>0</v>
      </c>
      <c r="AV534" s="6">
        <v>0</v>
      </c>
      <c r="AW534" s="5">
        <v>0</v>
      </c>
      <c r="AX534" s="6">
        <v>0</v>
      </c>
      <c r="AY534" s="5">
        <v>0</v>
      </c>
      <c r="AZ534" s="6">
        <v>0</v>
      </c>
      <c r="BA534" s="5">
        <v>0</v>
      </c>
      <c r="BB534" s="6">
        <v>0</v>
      </c>
      <c r="BC534" s="5">
        <v>0</v>
      </c>
      <c r="BD534" s="6">
        <v>2000</v>
      </c>
      <c r="BE534" s="5">
        <v>4556.2322268066628</v>
      </c>
      <c r="BF534" s="6">
        <v>0</v>
      </c>
      <c r="BG534" s="5">
        <v>0</v>
      </c>
      <c r="BH534" s="9">
        <f t="shared" si="66"/>
        <v>2000</v>
      </c>
      <c r="BI534" s="10">
        <f t="shared" si="67"/>
        <v>4556.2322268066628</v>
      </c>
      <c r="BJ534" s="6">
        <f t="shared" si="68"/>
        <v>104.00772140322101</v>
      </c>
      <c r="BK534" s="11">
        <f t="shared" si="69"/>
        <v>5.4856616547086873E-2</v>
      </c>
      <c r="BL534" s="5">
        <f t="shared" si="70"/>
        <v>412.54110193340421</v>
      </c>
      <c r="BM534" s="11">
        <f t="shared" si="71"/>
        <v>9.9558844880365552E-2</v>
      </c>
    </row>
    <row r="535" spans="1:65" ht="15" customHeight="1" x14ac:dyDescent="0.4">
      <c r="A535" s="2" t="s">
        <v>269</v>
      </c>
      <c r="B535" s="2" t="s">
        <v>451</v>
      </c>
      <c r="C535" s="2" t="s">
        <v>452</v>
      </c>
      <c r="D535" s="3" t="s">
        <v>68</v>
      </c>
      <c r="E535" s="3" t="s">
        <v>489</v>
      </c>
      <c r="F535" s="2" t="s">
        <v>490</v>
      </c>
      <c r="G535" s="4">
        <v>1</v>
      </c>
      <c r="H535" s="5">
        <v>3.34</v>
      </c>
      <c r="I535" s="5">
        <v>3.481540983192462</v>
      </c>
      <c r="J535" s="6">
        <v>0</v>
      </c>
      <c r="K535" s="5">
        <v>0</v>
      </c>
      <c r="L535" s="6">
        <v>332.38318652891962</v>
      </c>
      <c r="M535" s="5">
        <v>1110.1598430065919</v>
      </c>
      <c r="N535" s="6">
        <v>0</v>
      </c>
      <c r="O535" s="5">
        <v>0</v>
      </c>
      <c r="P535" s="6">
        <v>0</v>
      </c>
      <c r="Q535" s="5">
        <v>0</v>
      </c>
      <c r="R535" s="6">
        <v>652.89554496752078</v>
      </c>
      <c r="S535" s="5">
        <v>2180.67112019152</v>
      </c>
      <c r="T535" s="6">
        <v>652.89554496752078</v>
      </c>
      <c r="U535" s="5">
        <v>2180.67112019152</v>
      </c>
      <c r="V535" s="6">
        <v>0</v>
      </c>
      <c r="W535" s="5">
        <v>0</v>
      </c>
      <c r="X535" s="6">
        <v>0</v>
      </c>
      <c r="Y535" s="5">
        <v>0</v>
      </c>
      <c r="Z535" s="6">
        <v>0</v>
      </c>
      <c r="AA535" s="5">
        <v>0</v>
      </c>
      <c r="AB535" s="6">
        <v>0</v>
      </c>
      <c r="AC535" s="5">
        <v>0</v>
      </c>
      <c r="AD535" s="6">
        <v>0</v>
      </c>
      <c r="AE535" s="5">
        <v>0</v>
      </c>
      <c r="AF535" s="6">
        <v>0</v>
      </c>
      <c r="AG535" s="5">
        <v>0</v>
      </c>
      <c r="AH535" s="7">
        <f t="shared" si="64"/>
        <v>1638.1742764639612</v>
      </c>
      <c r="AI535" s="8">
        <f t="shared" si="65"/>
        <v>5471.5020833896324</v>
      </c>
      <c r="AJ535" s="6">
        <v>0</v>
      </c>
      <c r="AK535" s="5">
        <v>0</v>
      </c>
      <c r="AL535" s="6">
        <v>419</v>
      </c>
      <c r="AM535" s="5">
        <v>1458.7656719576421</v>
      </c>
      <c r="AN535" s="6">
        <v>0</v>
      </c>
      <c r="AO535" s="5">
        <v>0</v>
      </c>
      <c r="AP535" s="6">
        <v>0</v>
      </c>
      <c r="AQ535" s="5">
        <v>0</v>
      </c>
      <c r="AR535" s="6">
        <v>823</v>
      </c>
      <c r="AS535" s="5">
        <v>2865.3082291673968</v>
      </c>
      <c r="AT535" s="6">
        <v>823</v>
      </c>
      <c r="AU535" s="5">
        <v>2865.3082291673968</v>
      </c>
      <c r="AV535" s="6">
        <v>0</v>
      </c>
      <c r="AW535" s="5">
        <v>0</v>
      </c>
      <c r="AX535" s="6">
        <v>0</v>
      </c>
      <c r="AY535" s="5">
        <v>0</v>
      </c>
      <c r="AZ535" s="6">
        <v>0</v>
      </c>
      <c r="BA535" s="5">
        <v>0</v>
      </c>
      <c r="BB535" s="6">
        <v>0</v>
      </c>
      <c r="BC535" s="5">
        <v>0</v>
      </c>
      <c r="BD535" s="6">
        <v>0</v>
      </c>
      <c r="BE535" s="5">
        <v>0</v>
      </c>
      <c r="BF535" s="6">
        <v>0</v>
      </c>
      <c r="BG535" s="5">
        <v>0</v>
      </c>
      <c r="BH535" s="9">
        <f t="shared" si="66"/>
        <v>2065</v>
      </c>
      <c r="BI535" s="10">
        <f t="shared" si="67"/>
        <v>7189.3821302924352</v>
      </c>
      <c r="BJ535" s="6">
        <f t="shared" si="68"/>
        <v>426.82572353603882</v>
      </c>
      <c r="BK535" s="11">
        <f t="shared" si="69"/>
        <v>0.2605496433855331</v>
      </c>
      <c r="BL535" s="5">
        <f t="shared" si="70"/>
        <v>1717.8800469028029</v>
      </c>
      <c r="BM535" s="11">
        <f t="shared" si="71"/>
        <v>0.31396863616628007</v>
      </c>
    </row>
    <row r="536" spans="1:65" ht="15" customHeight="1" x14ac:dyDescent="0.4">
      <c r="A536" s="2" t="s">
        <v>269</v>
      </c>
      <c r="B536" s="2" t="s">
        <v>451</v>
      </c>
      <c r="C536" s="2" t="s">
        <v>452</v>
      </c>
      <c r="D536" s="3" t="s">
        <v>68</v>
      </c>
      <c r="E536" s="3" t="s">
        <v>491</v>
      </c>
      <c r="F536" s="2" t="s">
        <v>490</v>
      </c>
      <c r="G536" s="4">
        <v>5</v>
      </c>
      <c r="H536" s="5">
        <v>2.5499999999999998</v>
      </c>
      <c r="I536" s="5">
        <v>2.658062726688855</v>
      </c>
      <c r="J536" s="6">
        <v>0</v>
      </c>
      <c r="K536" s="5">
        <v>0</v>
      </c>
      <c r="L536" s="6">
        <v>593.54140451592798</v>
      </c>
      <c r="M536" s="5">
        <v>1513.5305815156159</v>
      </c>
      <c r="N536" s="6">
        <v>0</v>
      </c>
      <c r="O536" s="5">
        <v>0</v>
      </c>
      <c r="P536" s="6">
        <v>0</v>
      </c>
      <c r="Q536" s="5">
        <v>0</v>
      </c>
      <c r="R536" s="6">
        <v>494.61783709660659</v>
      </c>
      <c r="S536" s="5">
        <v>1261.275484596347</v>
      </c>
      <c r="T536" s="6">
        <v>593.54140451592798</v>
      </c>
      <c r="U536" s="5">
        <v>1513.5305815156159</v>
      </c>
      <c r="V536" s="6">
        <v>0</v>
      </c>
      <c r="W536" s="5">
        <v>0</v>
      </c>
      <c r="X536" s="6">
        <v>0</v>
      </c>
      <c r="Y536" s="5">
        <v>0</v>
      </c>
      <c r="Z536" s="6">
        <v>0</v>
      </c>
      <c r="AA536" s="5">
        <v>0</v>
      </c>
      <c r="AB536" s="6">
        <v>0</v>
      </c>
      <c r="AC536" s="5">
        <v>0</v>
      </c>
      <c r="AD536" s="6">
        <v>0</v>
      </c>
      <c r="AE536" s="5">
        <v>0</v>
      </c>
      <c r="AF536" s="6">
        <v>0</v>
      </c>
      <c r="AG536" s="5">
        <v>0</v>
      </c>
      <c r="AH536" s="7">
        <f t="shared" si="64"/>
        <v>1681.7006461284625</v>
      </c>
      <c r="AI536" s="8">
        <f t="shared" si="65"/>
        <v>4288.3366476275787</v>
      </c>
      <c r="AJ536" s="6">
        <v>0</v>
      </c>
      <c r="AK536" s="5">
        <v>0</v>
      </c>
      <c r="AL536" s="6">
        <v>750</v>
      </c>
      <c r="AM536" s="5">
        <v>1993.547045016642</v>
      </c>
      <c r="AN536" s="6">
        <v>0</v>
      </c>
      <c r="AO536" s="5">
        <v>0</v>
      </c>
      <c r="AP536" s="6">
        <v>0</v>
      </c>
      <c r="AQ536" s="5">
        <v>0</v>
      </c>
      <c r="AR536" s="6">
        <v>625</v>
      </c>
      <c r="AS536" s="5">
        <v>1661.2892041805351</v>
      </c>
      <c r="AT536" s="6">
        <v>750</v>
      </c>
      <c r="AU536" s="5">
        <v>1993.547045016642</v>
      </c>
      <c r="AV536" s="6">
        <v>0</v>
      </c>
      <c r="AW536" s="5">
        <v>0</v>
      </c>
      <c r="AX536" s="6">
        <v>0</v>
      </c>
      <c r="AY536" s="5">
        <v>0</v>
      </c>
      <c r="AZ536" s="6">
        <v>0</v>
      </c>
      <c r="BA536" s="5">
        <v>0</v>
      </c>
      <c r="BB536" s="6">
        <v>0</v>
      </c>
      <c r="BC536" s="5">
        <v>0</v>
      </c>
      <c r="BD536" s="6">
        <v>0</v>
      </c>
      <c r="BE536" s="5">
        <v>0</v>
      </c>
      <c r="BF536" s="6">
        <v>0</v>
      </c>
      <c r="BG536" s="5">
        <v>0</v>
      </c>
      <c r="BH536" s="9">
        <f t="shared" si="66"/>
        <v>2125</v>
      </c>
      <c r="BI536" s="10">
        <f t="shared" si="67"/>
        <v>5648.3832942138188</v>
      </c>
      <c r="BJ536" s="6">
        <f t="shared" si="68"/>
        <v>443.29935387153751</v>
      </c>
      <c r="BK536" s="11">
        <f t="shared" si="69"/>
        <v>0.26360182169881535</v>
      </c>
      <c r="BL536" s="5">
        <f t="shared" si="70"/>
        <v>1360.0466465862401</v>
      </c>
      <c r="BM536" s="11">
        <f t="shared" si="71"/>
        <v>0.31715015828774867</v>
      </c>
    </row>
    <row r="537" spans="1:65" ht="15" customHeight="1" x14ac:dyDescent="0.4">
      <c r="A537" s="2" t="s">
        <v>269</v>
      </c>
      <c r="B537" s="2" t="s">
        <v>451</v>
      </c>
      <c r="C537" s="2" t="s">
        <v>452</v>
      </c>
      <c r="D537" s="3" t="s">
        <v>68</v>
      </c>
      <c r="E537" s="3" t="s">
        <v>491</v>
      </c>
      <c r="F537" s="2" t="s">
        <v>179</v>
      </c>
      <c r="G537" s="4">
        <v>5</v>
      </c>
      <c r="H537" s="5">
        <v>2.5499999999999998</v>
      </c>
      <c r="I537" s="5">
        <v>2.6580627266888559</v>
      </c>
      <c r="J537" s="6">
        <v>0</v>
      </c>
      <c r="K537" s="5">
        <v>0</v>
      </c>
      <c r="L537" s="6">
        <v>0</v>
      </c>
      <c r="M537" s="5">
        <v>0</v>
      </c>
      <c r="N537" s="6">
        <v>0</v>
      </c>
      <c r="O537" s="5">
        <v>0</v>
      </c>
      <c r="P537" s="6">
        <v>0</v>
      </c>
      <c r="Q537" s="5">
        <v>0</v>
      </c>
      <c r="R537" s="6">
        <v>0</v>
      </c>
      <c r="S537" s="5">
        <v>0</v>
      </c>
      <c r="T537" s="6">
        <v>0</v>
      </c>
      <c r="U537" s="5">
        <v>0</v>
      </c>
      <c r="V537" s="6">
        <v>0</v>
      </c>
      <c r="W537" s="5">
        <v>0</v>
      </c>
      <c r="X537" s="6">
        <v>0</v>
      </c>
      <c r="Y537" s="5">
        <v>0</v>
      </c>
      <c r="Z537" s="6">
        <v>0</v>
      </c>
      <c r="AA537" s="5">
        <v>0</v>
      </c>
      <c r="AB537" s="6">
        <v>0</v>
      </c>
      <c r="AC537" s="5">
        <v>0</v>
      </c>
      <c r="AD537" s="6">
        <v>284.39884178951678</v>
      </c>
      <c r="AE537" s="5">
        <v>725.21704656326779</v>
      </c>
      <c r="AF537" s="6">
        <v>0</v>
      </c>
      <c r="AG537" s="5">
        <v>0</v>
      </c>
      <c r="AH537" s="7">
        <f t="shared" si="64"/>
        <v>284.39884178951678</v>
      </c>
      <c r="AI537" s="8">
        <f t="shared" si="65"/>
        <v>725.21704656326779</v>
      </c>
      <c r="AJ537" s="6">
        <v>0</v>
      </c>
      <c r="AK537" s="5">
        <v>0</v>
      </c>
      <c r="AL537" s="6">
        <v>0</v>
      </c>
      <c r="AM537" s="5">
        <v>0</v>
      </c>
      <c r="AN537" s="6">
        <v>0</v>
      </c>
      <c r="AO537" s="5">
        <v>0</v>
      </c>
      <c r="AP537" s="6">
        <v>0</v>
      </c>
      <c r="AQ537" s="5">
        <v>0</v>
      </c>
      <c r="AR537" s="6">
        <v>0</v>
      </c>
      <c r="AS537" s="5">
        <v>0</v>
      </c>
      <c r="AT537" s="6">
        <v>0</v>
      </c>
      <c r="AU537" s="5">
        <v>0</v>
      </c>
      <c r="AV537" s="6">
        <v>0</v>
      </c>
      <c r="AW537" s="5">
        <v>0</v>
      </c>
      <c r="AX537" s="6">
        <v>0</v>
      </c>
      <c r="AY537" s="5">
        <v>0</v>
      </c>
      <c r="AZ537" s="6">
        <v>0</v>
      </c>
      <c r="BA537" s="5">
        <v>0</v>
      </c>
      <c r="BB537" s="6">
        <v>0</v>
      </c>
      <c r="BC537" s="5">
        <v>0</v>
      </c>
      <c r="BD537" s="6">
        <v>360</v>
      </c>
      <c r="BE537" s="5">
        <v>956.90258160798805</v>
      </c>
      <c r="BF537" s="6">
        <v>0</v>
      </c>
      <c r="BG537" s="5">
        <v>0</v>
      </c>
      <c r="BH537" s="9">
        <f t="shared" si="66"/>
        <v>360</v>
      </c>
      <c r="BI537" s="10">
        <f t="shared" si="67"/>
        <v>956.90258160798805</v>
      </c>
      <c r="BJ537" s="6">
        <f t="shared" si="68"/>
        <v>75.60115821048322</v>
      </c>
      <c r="BK537" s="11">
        <f t="shared" si="69"/>
        <v>0.26582793985650455</v>
      </c>
      <c r="BL537" s="5">
        <f t="shared" si="70"/>
        <v>231.68553504472027</v>
      </c>
      <c r="BM537" s="11">
        <f t="shared" si="71"/>
        <v>0.31947061385643816</v>
      </c>
    </row>
    <row r="538" spans="1:65" ht="15" customHeight="1" x14ac:dyDescent="0.4">
      <c r="A538" s="2" t="s">
        <v>269</v>
      </c>
      <c r="B538" s="2" t="s">
        <v>451</v>
      </c>
      <c r="C538" s="2" t="s">
        <v>452</v>
      </c>
      <c r="D538" s="3" t="s">
        <v>68</v>
      </c>
      <c r="E538" s="3" t="s">
        <v>492</v>
      </c>
      <c r="F538" s="2" t="s">
        <v>490</v>
      </c>
      <c r="G538" s="4">
        <v>20</v>
      </c>
      <c r="H538" s="5">
        <v>2.2999999999999998</v>
      </c>
      <c r="I538" s="5">
        <v>2.3974683417193599</v>
      </c>
      <c r="J538" s="6">
        <v>0</v>
      </c>
      <c r="K538" s="5">
        <v>0</v>
      </c>
      <c r="L538" s="6">
        <v>1266.221662967313</v>
      </c>
      <c r="M538" s="5">
        <v>2912.3098248248202</v>
      </c>
      <c r="N538" s="6">
        <v>633.11083148365651</v>
      </c>
      <c r="O538" s="5">
        <v>1456.1549124124101</v>
      </c>
      <c r="P538" s="6">
        <v>0</v>
      </c>
      <c r="Q538" s="5">
        <v>0</v>
      </c>
      <c r="R538" s="6">
        <v>1899.3324944509691</v>
      </c>
      <c r="S538" s="5">
        <v>4368.4647372372292</v>
      </c>
      <c r="T538" s="6">
        <v>1899.3324944509691</v>
      </c>
      <c r="U538" s="5">
        <v>4368.4647372372292</v>
      </c>
      <c r="V538" s="6">
        <v>0</v>
      </c>
      <c r="W538" s="5">
        <v>0</v>
      </c>
      <c r="X538" s="6">
        <v>0</v>
      </c>
      <c r="Y538" s="5">
        <v>0</v>
      </c>
      <c r="Z538" s="6">
        <v>0</v>
      </c>
      <c r="AA538" s="5">
        <v>0</v>
      </c>
      <c r="AB538" s="6">
        <v>0</v>
      </c>
      <c r="AC538" s="5">
        <v>0</v>
      </c>
      <c r="AD538" s="6">
        <v>0</v>
      </c>
      <c r="AE538" s="5">
        <v>0</v>
      </c>
      <c r="AF538" s="6">
        <v>0</v>
      </c>
      <c r="AG538" s="5">
        <v>0</v>
      </c>
      <c r="AH538" s="7">
        <f t="shared" si="64"/>
        <v>5697.9974833529077</v>
      </c>
      <c r="AI538" s="8">
        <f t="shared" si="65"/>
        <v>13105.394211711688</v>
      </c>
      <c r="AJ538" s="6">
        <v>0</v>
      </c>
      <c r="AK538" s="5">
        <v>0</v>
      </c>
      <c r="AL538" s="6">
        <v>1600</v>
      </c>
      <c r="AM538" s="5">
        <v>3835.949346750976</v>
      </c>
      <c r="AN538" s="6">
        <v>800</v>
      </c>
      <c r="AO538" s="5">
        <v>1917.974673375488</v>
      </c>
      <c r="AP538" s="6">
        <v>0</v>
      </c>
      <c r="AQ538" s="5">
        <v>0</v>
      </c>
      <c r="AR538" s="6">
        <v>2400</v>
      </c>
      <c r="AS538" s="5">
        <v>5753.9240201264647</v>
      </c>
      <c r="AT538" s="6">
        <v>2400</v>
      </c>
      <c r="AU538" s="5">
        <v>5753.9240201264647</v>
      </c>
      <c r="AV538" s="6">
        <v>0</v>
      </c>
      <c r="AW538" s="5">
        <v>0</v>
      </c>
      <c r="AX538" s="6">
        <v>0</v>
      </c>
      <c r="AY538" s="5">
        <v>0</v>
      </c>
      <c r="AZ538" s="6">
        <v>0</v>
      </c>
      <c r="BA538" s="5">
        <v>0</v>
      </c>
      <c r="BB538" s="6">
        <v>0</v>
      </c>
      <c r="BC538" s="5">
        <v>0</v>
      </c>
      <c r="BD538" s="6">
        <v>0</v>
      </c>
      <c r="BE538" s="5">
        <v>0</v>
      </c>
      <c r="BF538" s="6">
        <v>0</v>
      </c>
      <c r="BG538" s="5">
        <v>0</v>
      </c>
      <c r="BH538" s="9">
        <f t="shared" si="66"/>
        <v>7200</v>
      </c>
      <c r="BI538" s="10">
        <f t="shared" si="67"/>
        <v>17261.772060379393</v>
      </c>
      <c r="BJ538" s="6">
        <f t="shared" si="68"/>
        <v>1502.0025166470923</v>
      </c>
      <c r="BK538" s="11">
        <f t="shared" si="69"/>
        <v>0.26360182169881546</v>
      </c>
      <c r="BL538" s="5">
        <f t="shared" si="70"/>
        <v>4156.3778486677056</v>
      </c>
      <c r="BM538" s="11">
        <f t="shared" si="71"/>
        <v>0.31715015828774856</v>
      </c>
    </row>
    <row r="539" spans="1:65" ht="15" customHeight="1" x14ac:dyDescent="0.4">
      <c r="A539" s="2" t="s">
        <v>269</v>
      </c>
      <c r="B539" s="2" t="s">
        <v>451</v>
      </c>
      <c r="C539" s="2" t="s">
        <v>452</v>
      </c>
      <c r="D539" s="3" t="s">
        <v>68</v>
      </c>
      <c r="E539" s="3" t="s">
        <v>493</v>
      </c>
      <c r="F539" s="2" t="s">
        <v>293</v>
      </c>
      <c r="G539" s="4">
        <v>1</v>
      </c>
      <c r="H539" s="5">
        <v>4.8499999999999996</v>
      </c>
      <c r="I539" s="5">
        <v>5.0555310684082153</v>
      </c>
      <c r="J539" s="6">
        <v>652.89554496752078</v>
      </c>
      <c r="K539" s="5">
        <v>3166.543393092476</v>
      </c>
      <c r="L539" s="6">
        <v>0</v>
      </c>
      <c r="M539" s="5">
        <v>0</v>
      </c>
      <c r="N539" s="6">
        <v>0</v>
      </c>
      <c r="O539" s="5">
        <v>0</v>
      </c>
      <c r="P539" s="6">
        <v>0</v>
      </c>
      <c r="Q539" s="5">
        <v>0</v>
      </c>
      <c r="R539" s="6">
        <v>0</v>
      </c>
      <c r="S539" s="5">
        <v>0</v>
      </c>
      <c r="T539" s="6">
        <v>0</v>
      </c>
      <c r="U539" s="5">
        <v>0</v>
      </c>
      <c r="V539" s="6">
        <v>0</v>
      </c>
      <c r="W539" s="5">
        <v>0</v>
      </c>
      <c r="X539" s="6">
        <v>0</v>
      </c>
      <c r="Y539" s="5">
        <v>0</v>
      </c>
      <c r="Z539" s="6">
        <v>0</v>
      </c>
      <c r="AA539" s="5">
        <v>0</v>
      </c>
      <c r="AB539" s="6">
        <v>0</v>
      </c>
      <c r="AC539" s="5">
        <v>0</v>
      </c>
      <c r="AD539" s="6">
        <v>0</v>
      </c>
      <c r="AE539" s="5">
        <v>0</v>
      </c>
      <c r="AF539" s="6">
        <v>0</v>
      </c>
      <c r="AG539" s="5">
        <v>0</v>
      </c>
      <c r="AH539" s="7">
        <f t="shared" si="64"/>
        <v>652.89554496752078</v>
      </c>
      <c r="AI539" s="8">
        <f t="shared" si="65"/>
        <v>3166.543393092476</v>
      </c>
      <c r="AJ539" s="6">
        <v>699</v>
      </c>
      <c r="AK539" s="5">
        <v>3533.816216817343</v>
      </c>
      <c r="AL539" s="6">
        <v>0</v>
      </c>
      <c r="AM539" s="5">
        <v>0</v>
      </c>
      <c r="AN539" s="6">
        <v>0</v>
      </c>
      <c r="AO539" s="5">
        <v>0</v>
      </c>
      <c r="AP539" s="6">
        <v>0</v>
      </c>
      <c r="AQ539" s="5">
        <v>0</v>
      </c>
      <c r="AR539" s="6">
        <v>0</v>
      </c>
      <c r="AS539" s="5">
        <v>0</v>
      </c>
      <c r="AT539" s="6">
        <v>0</v>
      </c>
      <c r="AU539" s="5">
        <v>0</v>
      </c>
      <c r="AV539" s="6">
        <v>0</v>
      </c>
      <c r="AW539" s="5">
        <v>0</v>
      </c>
      <c r="AX539" s="6">
        <v>0</v>
      </c>
      <c r="AY539" s="5">
        <v>0</v>
      </c>
      <c r="AZ539" s="6">
        <v>0</v>
      </c>
      <c r="BA539" s="5">
        <v>0</v>
      </c>
      <c r="BB539" s="6">
        <v>0</v>
      </c>
      <c r="BC539" s="5">
        <v>0</v>
      </c>
      <c r="BD539" s="6">
        <v>0</v>
      </c>
      <c r="BE539" s="5">
        <v>0</v>
      </c>
      <c r="BF539" s="6">
        <v>0</v>
      </c>
      <c r="BG539" s="5">
        <v>0</v>
      </c>
      <c r="BH539" s="9">
        <f t="shared" si="66"/>
        <v>699</v>
      </c>
      <c r="BI539" s="10">
        <f t="shared" si="67"/>
        <v>3533.816216817343</v>
      </c>
      <c r="BJ539" s="6">
        <f t="shared" si="68"/>
        <v>46.104455032479223</v>
      </c>
      <c r="BK539" s="11">
        <f t="shared" si="69"/>
        <v>7.0615361657541648E-2</v>
      </c>
      <c r="BL539" s="5">
        <f t="shared" si="70"/>
        <v>367.27282372486707</v>
      </c>
      <c r="BM539" s="11">
        <f t="shared" si="71"/>
        <v>0.11598540684016491</v>
      </c>
    </row>
    <row r="540" spans="1:65" ht="15" customHeight="1" x14ac:dyDescent="0.4">
      <c r="A540" s="2" t="s">
        <v>269</v>
      </c>
      <c r="B540" s="2" t="s">
        <v>451</v>
      </c>
      <c r="C540" s="2" t="s">
        <v>452</v>
      </c>
      <c r="D540" s="3" t="s">
        <v>68</v>
      </c>
      <c r="E540" s="3" t="s">
        <v>493</v>
      </c>
      <c r="F540" s="2" t="s">
        <v>494</v>
      </c>
      <c r="G540" s="4">
        <v>1</v>
      </c>
      <c r="H540" s="5">
        <v>4.6412195553484779</v>
      </c>
      <c r="I540" s="5">
        <v>4.838005302908746</v>
      </c>
      <c r="J540" s="6">
        <v>0</v>
      </c>
      <c r="K540" s="5">
        <v>0</v>
      </c>
      <c r="L540" s="6">
        <v>0</v>
      </c>
      <c r="M540" s="5">
        <v>0</v>
      </c>
      <c r="N540" s="6">
        <v>0</v>
      </c>
      <c r="O540" s="5">
        <v>0</v>
      </c>
      <c r="P540" s="6">
        <v>0</v>
      </c>
      <c r="Q540" s="5">
        <v>0</v>
      </c>
      <c r="R540" s="6">
        <v>0</v>
      </c>
      <c r="S540" s="5">
        <v>0</v>
      </c>
      <c r="T540" s="6">
        <v>0</v>
      </c>
      <c r="U540" s="5">
        <v>0</v>
      </c>
      <c r="V540" s="6">
        <v>391.73732698051242</v>
      </c>
      <c r="W540" s="5">
        <v>1899.926035855485</v>
      </c>
      <c r="X540" s="6">
        <v>0</v>
      </c>
      <c r="Y540" s="5">
        <v>0</v>
      </c>
      <c r="Z540" s="6">
        <v>0</v>
      </c>
      <c r="AA540" s="5">
        <v>0</v>
      </c>
      <c r="AB540" s="6">
        <v>0</v>
      </c>
      <c r="AC540" s="5">
        <v>0</v>
      </c>
      <c r="AD540" s="6">
        <v>625.6774519369369</v>
      </c>
      <c r="AE540" s="5">
        <v>2822.1193319567278</v>
      </c>
      <c r="AF540" s="6">
        <v>0</v>
      </c>
      <c r="AG540" s="5">
        <v>0</v>
      </c>
      <c r="AH540" s="7">
        <f t="shared" si="64"/>
        <v>1017.4147789174493</v>
      </c>
      <c r="AI540" s="8">
        <f t="shared" si="65"/>
        <v>4722.045367812213</v>
      </c>
      <c r="AJ540" s="6">
        <v>0</v>
      </c>
      <c r="AK540" s="5">
        <v>0</v>
      </c>
      <c r="AL540" s="6">
        <v>0</v>
      </c>
      <c r="AM540" s="5">
        <v>0</v>
      </c>
      <c r="AN540" s="6">
        <v>0</v>
      </c>
      <c r="AO540" s="5">
        <v>0</v>
      </c>
      <c r="AP540" s="6">
        <v>0</v>
      </c>
      <c r="AQ540" s="5">
        <v>0</v>
      </c>
      <c r="AR540" s="6">
        <v>0</v>
      </c>
      <c r="AS540" s="5">
        <v>0</v>
      </c>
      <c r="AT540" s="6">
        <v>0</v>
      </c>
      <c r="AU540" s="5">
        <v>0</v>
      </c>
      <c r="AV540" s="6">
        <v>420</v>
      </c>
      <c r="AW540" s="5">
        <v>2123.3230487314499</v>
      </c>
      <c r="AX540" s="6">
        <v>0</v>
      </c>
      <c r="AY540" s="5">
        <v>0</v>
      </c>
      <c r="AZ540" s="6">
        <v>0</v>
      </c>
      <c r="BA540" s="5">
        <v>0</v>
      </c>
      <c r="BB540" s="6">
        <v>0</v>
      </c>
      <c r="BC540" s="5">
        <v>0</v>
      </c>
      <c r="BD540" s="6">
        <v>670</v>
      </c>
      <c r="BE540" s="5">
        <v>3150.102731439084</v>
      </c>
      <c r="BF540" s="6">
        <v>0</v>
      </c>
      <c r="BG540" s="5">
        <v>0</v>
      </c>
      <c r="BH540" s="9">
        <f t="shared" si="66"/>
        <v>1090</v>
      </c>
      <c r="BI540" s="10">
        <f t="shared" si="67"/>
        <v>5273.4257801705335</v>
      </c>
      <c r="BJ540" s="6">
        <f t="shared" si="68"/>
        <v>72.585221082550675</v>
      </c>
      <c r="BK540" s="11">
        <f t="shared" si="69"/>
        <v>7.1342801959081895E-2</v>
      </c>
      <c r="BL540" s="5">
        <f t="shared" si="70"/>
        <v>551.38041235832043</v>
      </c>
      <c r="BM540" s="11">
        <f t="shared" si="71"/>
        <v>0.11676728396486846</v>
      </c>
    </row>
    <row r="541" spans="1:65" ht="15" customHeight="1" x14ac:dyDescent="0.4">
      <c r="A541" s="2" t="s">
        <v>269</v>
      </c>
      <c r="B541" s="2" t="s">
        <v>451</v>
      </c>
      <c r="C541" s="2" t="s">
        <v>452</v>
      </c>
      <c r="D541" s="3" t="s">
        <v>68</v>
      </c>
      <c r="E541" s="3" t="s">
        <v>495</v>
      </c>
      <c r="F541" s="2" t="s">
        <v>293</v>
      </c>
      <c r="G541" s="4">
        <v>20</v>
      </c>
      <c r="H541" s="5">
        <v>3.48</v>
      </c>
      <c r="I541" s="5">
        <v>3.62747383877538</v>
      </c>
      <c r="J541" s="6">
        <v>0</v>
      </c>
      <c r="K541" s="5">
        <v>0</v>
      </c>
      <c r="L541" s="6">
        <v>0</v>
      </c>
      <c r="M541" s="5">
        <v>0</v>
      </c>
      <c r="N541" s="6">
        <v>0</v>
      </c>
      <c r="O541" s="5">
        <v>0</v>
      </c>
      <c r="P541" s="6">
        <v>0</v>
      </c>
      <c r="Q541" s="5">
        <v>0</v>
      </c>
      <c r="R541" s="6">
        <v>0</v>
      </c>
      <c r="S541" s="5">
        <v>0</v>
      </c>
      <c r="T541" s="6">
        <v>316.55541574182831</v>
      </c>
      <c r="U541" s="5">
        <v>1101.612846781562</v>
      </c>
      <c r="V541" s="6">
        <v>0</v>
      </c>
      <c r="W541" s="5">
        <v>0</v>
      </c>
      <c r="X541" s="6">
        <v>0</v>
      </c>
      <c r="Y541" s="5">
        <v>0</v>
      </c>
      <c r="Z541" s="6">
        <v>0</v>
      </c>
      <c r="AA541" s="5">
        <v>0</v>
      </c>
      <c r="AB541" s="6">
        <v>0</v>
      </c>
      <c r="AC541" s="5">
        <v>0</v>
      </c>
      <c r="AD541" s="6">
        <v>0</v>
      </c>
      <c r="AE541" s="5">
        <v>0</v>
      </c>
      <c r="AF541" s="6">
        <v>0</v>
      </c>
      <c r="AG541" s="5">
        <v>0</v>
      </c>
      <c r="AH541" s="7">
        <f t="shared" si="64"/>
        <v>316.55541574182831</v>
      </c>
      <c r="AI541" s="8">
        <f t="shared" si="65"/>
        <v>1101.612846781562</v>
      </c>
      <c r="AJ541" s="6">
        <v>0</v>
      </c>
      <c r="AK541" s="5">
        <v>0</v>
      </c>
      <c r="AL541" s="6">
        <v>0</v>
      </c>
      <c r="AM541" s="5">
        <v>0</v>
      </c>
      <c r="AN541" s="6">
        <v>0</v>
      </c>
      <c r="AO541" s="5">
        <v>0</v>
      </c>
      <c r="AP541" s="6">
        <v>0</v>
      </c>
      <c r="AQ541" s="5">
        <v>0</v>
      </c>
      <c r="AR541" s="6">
        <v>0</v>
      </c>
      <c r="AS541" s="5">
        <v>0</v>
      </c>
      <c r="AT541" s="6">
        <v>340</v>
      </c>
      <c r="AU541" s="5">
        <v>1233.341105183629</v>
      </c>
      <c r="AV541" s="6">
        <v>0</v>
      </c>
      <c r="AW541" s="5">
        <v>0</v>
      </c>
      <c r="AX541" s="6">
        <v>0</v>
      </c>
      <c r="AY541" s="5">
        <v>0</v>
      </c>
      <c r="AZ541" s="6">
        <v>0</v>
      </c>
      <c r="BA541" s="5">
        <v>0</v>
      </c>
      <c r="BB541" s="6">
        <v>0</v>
      </c>
      <c r="BC541" s="5">
        <v>0</v>
      </c>
      <c r="BD541" s="6">
        <v>0</v>
      </c>
      <c r="BE541" s="5">
        <v>0</v>
      </c>
      <c r="BF541" s="6">
        <v>0</v>
      </c>
      <c r="BG541" s="5">
        <v>0</v>
      </c>
      <c r="BH541" s="9">
        <f t="shared" si="66"/>
        <v>340</v>
      </c>
      <c r="BI541" s="10">
        <f t="shared" si="67"/>
        <v>1233.341105183629</v>
      </c>
      <c r="BJ541" s="6">
        <f t="shared" si="68"/>
        <v>23.444584258171687</v>
      </c>
      <c r="BK541" s="11">
        <f t="shared" si="69"/>
        <v>7.4061548443992764E-2</v>
      </c>
      <c r="BL541" s="5">
        <f t="shared" si="70"/>
        <v>131.72825840206701</v>
      </c>
      <c r="BM541" s="11">
        <f t="shared" si="71"/>
        <v>0.11957763454458635</v>
      </c>
    </row>
    <row r="542" spans="1:65" ht="15" customHeight="1" x14ac:dyDescent="0.4">
      <c r="A542" s="2" t="s">
        <v>269</v>
      </c>
      <c r="B542" s="2" t="s">
        <v>451</v>
      </c>
      <c r="C542" s="2" t="s">
        <v>452</v>
      </c>
      <c r="D542" s="3" t="s">
        <v>68</v>
      </c>
      <c r="E542" s="3" t="s">
        <v>495</v>
      </c>
      <c r="F542" s="2" t="s">
        <v>91</v>
      </c>
      <c r="G542" s="4">
        <v>20</v>
      </c>
      <c r="H542" s="5">
        <v>3.48</v>
      </c>
      <c r="I542" s="5">
        <v>3.62747383877538</v>
      </c>
      <c r="J542" s="6">
        <v>0</v>
      </c>
      <c r="K542" s="5">
        <v>0</v>
      </c>
      <c r="L542" s="6">
        <v>0</v>
      </c>
      <c r="M542" s="5">
        <v>0</v>
      </c>
      <c r="N542" s="6">
        <v>0</v>
      </c>
      <c r="O542" s="5">
        <v>0</v>
      </c>
      <c r="P542" s="6">
        <v>0</v>
      </c>
      <c r="Q542" s="5">
        <v>0</v>
      </c>
      <c r="R542" s="6">
        <v>0</v>
      </c>
      <c r="S542" s="5">
        <v>0</v>
      </c>
      <c r="T542" s="6">
        <v>0</v>
      </c>
      <c r="U542" s="5">
        <v>0</v>
      </c>
      <c r="V542" s="6">
        <v>0</v>
      </c>
      <c r="W542" s="5">
        <v>0</v>
      </c>
      <c r="X542" s="6">
        <v>0</v>
      </c>
      <c r="Y542" s="5">
        <v>0</v>
      </c>
      <c r="Z542" s="6">
        <v>0</v>
      </c>
      <c r="AA542" s="5">
        <v>0</v>
      </c>
      <c r="AB542" s="6">
        <v>0</v>
      </c>
      <c r="AC542" s="5">
        <v>0</v>
      </c>
      <c r="AD542" s="6">
        <v>303.3587645754846</v>
      </c>
      <c r="AE542" s="5">
        <v>1055.6885007226861</v>
      </c>
      <c r="AF542" s="6">
        <v>0</v>
      </c>
      <c r="AG542" s="5">
        <v>0</v>
      </c>
      <c r="AH542" s="7">
        <f t="shared" si="64"/>
        <v>303.3587645754846</v>
      </c>
      <c r="AI542" s="8">
        <f t="shared" si="65"/>
        <v>1055.6885007226861</v>
      </c>
      <c r="AJ542" s="6">
        <v>0</v>
      </c>
      <c r="AK542" s="5">
        <v>0</v>
      </c>
      <c r="AL542" s="6">
        <v>0</v>
      </c>
      <c r="AM542" s="5">
        <v>0</v>
      </c>
      <c r="AN542" s="6">
        <v>0</v>
      </c>
      <c r="AO542" s="5">
        <v>0</v>
      </c>
      <c r="AP542" s="6">
        <v>0</v>
      </c>
      <c r="AQ542" s="5">
        <v>0</v>
      </c>
      <c r="AR542" s="6">
        <v>0</v>
      </c>
      <c r="AS542" s="5">
        <v>0</v>
      </c>
      <c r="AT542" s="6">
        <v>0</v>
      </c>
      <c r="AU542" s="5">
        <v>0</v>
      </c>
      <c r="AV542" s="6">
        <v>0</v>
      </c>
      <c r="AW542" s="5">
        <v>0</v>
      </c>
      <c r="AX542" s="6">
        <v>0</v>
      </c>
      <c r="AY542" s="5">
        <v>0</v>
      </c>
      <c r="AZ542" s="6">
        <v>0</v>
      </c>
      <c r="BA542" s="5">
        <v>0</v>
      </c>
      <c r="BB542" s="6">
        <v>0</v>
      </c>
      <c r="BC542" s="5">
        <v>0</v>
      </c>
      <c r="BD542" s="6">
        <v>320</v>
      </c>
      <c r="BE542" s="5">
        <v>1160.7916284081221</v>
      </c>
      <c r="BF542" s="6">
        <v>0</v>
      </c>
      <c r="BG542" s="5">
        <v>0</v>
      </c>
      <c r="BH542" s="9">
        <f t="shared" si="66"/>
        <v>320</v>
      </c>
      <c r="BI542" s="10">
        <f t="shared" si="67"/>
        <v>1160.7916284081221</v>
      </c>
      <c r="BJ542" s="6">
        <f t="shared" si="68"/>
        <v>16.641235424515401</v>
      </c>
      <c r="BK542" s="11">
        <f t="shared" si="69"/>
        <v>5.4856616547087012E-2</v>
      </c>
      <c r="BL542" s="5">
        <f t="shared" si="70"/>
        <v>105.10312768543599</v>
      </c>
      <c r="BM542" s="11">
        <f t="shared" si="71"/>
        <v>9.955884488036594E-2</v>
      </c>
    </row>
    <row r="543" spans="1:65" ht="15" customHeight="1" x14ac:dyDescent="0.4">
      <c r="A543" s="2" t="s">
        <v>269</v>
      </c>
      <c r="B543" s="2" t="s">
        <v>451</v>
      </c>
      <c r="C543" s="2" t="s">
        <v>452</v>
      </c>
      <c r="D543" s="3" t="s">
        <v>68</v>
      </c>
      <c r="E543" s="3" t="s">
        <v>496</v>
      </c>
      <c r="F543" s="2" t="s">
        <v>144</v>
      </c>
      <c r="G543" s="4">
        <v>1</v>
      </c>
      <c r="H543" s="5">
        <v>8.7420045045045036</v>
      </c>
      <c r="I543" s="5">
        <v>9.1124691490076479</v>
      </c>
      <c r="J543" s="6">
        <v>0</v>
      </c>
      <c r="K543" s="5">
        <v>0</v>
      </c>
      <c r="L543" s="6">
        <v>0</v>
      </c>
      <c r="M543" s="5">
        <v>0</v>
      </c>
      <c r="N543" s="6">
        <v>0</v>
      </c>
      <c r="O543" s="5">
        <v>0</v>
      </c>
      <c r="P543" s="6">
        <v>0</v>
      </c>
      <c r="Q543" s="5">
        <v>0</v>
      </c>
      <c r="R543" s="6">
        <v>0</v>
      </c>
      <c r="S543" s="5">
        <v>0</v>
      </c>
      <c r="T543" s="6">
        <v>0</v>
      </c>
      <c r="U543" s="5">
        <v>0</v>
      </c>
      <c r="V543" s="6">
        <v>0</v>
      </c>
      <c r="W543" s="5">
        <v>0</v>
      </c>
      <c r="X543" s="6">
        <v>0</v>
      </c>
      <c r="Y543" s="5">
        <v>0</v>
      </c>
      <c r="Z543" s="6">
        <v>0</v>
      </c>
      <c r="AA543" s="5">
        <v>0</v>
      </c>
      <c r="AB543" s="6">
        <v>0</v>
      </c>
      <c r="AC543" s="5">
        <v>0</v>
      </c>
      <c r="AD543" s="6">
        <v>841.82057169696975</v>
      </c>
      <c r="AE543" s="5">
        <v>7359.1992297594661</v>
      </c>
      <c r="AF543" s="6">
        <v>0</v>
      </c>
      <c r="AG543" s="5">
        <v>0</v>
      </c>
      <c r="AH543" s="7">
        <f t="shared" si="64"/>
        <v>841.82057169696975</v>
      </c>
      <c r="AI543" s="8">
        <f t="shared" si="65"/>
        <v>7359.1992297594661</v>
      </c>
      <c r="AJ543" s="6">
        <v>0</v>
      </c>
      <c r="AK543" s="5">
        <v>0</v>
      </c>
      <c r="AL543" s="6">
        <v>0</v>
      </c>
      <c r="AM543" s="5">
        <v>0</v>
      </c>
      <c r="AN543" s="6">
        <v>0</v>
      </c>
      <c r="AO543" s="5">
        <v>0</v>
      </c>
      <c r="AP543" s="6">
        <v>0</v>
      </c>
      <c r="AQ543" s="5">
        <v>0</v>
      </c>
      <c r="AR543" s="6">
        <v>0</v>
      </c>
      <c r="AS543" s="5">
        <v>0</v>
      </c>
      <c r="AT543" s="6">
        <v>0</v>
      </c>
      <c r="AU543" s="5">
        <v>0</v>
      </c>
      <c r="AV543" s="6">
        <v>0</v>
      </c>
      <c r="AW543" s="5">
        <v>0</v>
      </c>
      <c r="AX543" s="6">
        <v>0</v>
      </c>
      <c r="AY543" s="5">
        <v>0</v>
      </c>
      <c r="AZ543" s="6">
        <v>0</v>
      </c>
      <c r="BA543" s="5">
        <v>0</v>
      </c>
      <c r="BB543" s="6">
        <v>0</v>
      </c>
      <c r="BC543" s="5">
        <v>0</v>
      </c>
      <c r="BD543" s="6">
        <v>1016</v>
      </c>
      <c r="BE543" s="5">
        <v>9258.2686553917702</v>
      </c>
      <c r="BF543" s="6">
        <v>0</v>
      </c>
      <c r="BG543" s="5">
        <v>0</v>
      </c>
      <c r="BH543" s="9">
        <f t="shared" si="66"/>
        <v>1016</v>
      </c>
      <c r="BI543" s="10">
        <f t="shared" si="67"/>
        <v>9258.2686553917702</v>
      </c>
      <c r="BJ543" s="6">
        <f t="shared" si="68"/>
        <v>174.17942830303025</v>
      </c>
      <c r="BK543" s="11">
        <f t="shared" si="69"/>
        <v>0.20690802073405451</v>
      </c>
      <c r="BL543" s="5">
        <f t="shared" si="70"/>
        <v>1899.069425632304</v>
      </c>
      <c r="BM543" s="11">
        <f t="shared" si="71"/>
        <v>0.25805381351176909</v>
      </c>
    </row>
    <row r="544" spans="1:65" ht="15" customHeight="1" x14ac:dyDescent="0.4">
      <c r="A544" s="2" t="s">
        <v>269</v>
      </c>
      <c r="B544" s="2" t="s">
        <v>451</v>
      </c>
      <c r="C544" s="2" t="s">
        <v>452</v>
      </c>
      <c r="D544" s="3" t="s">
        <v>68</v>
      </c>
      <c r="E544" s="3" t="s">
        <v>497</v>
      </c>
      <c r="F544" s="2" t="s">
        <v>498</v>
      </c>
      <c r="G544" s="4">
        <v>5</v>
      </c>
      <c r="H544" s="5">
        <v>7.92</v>
      </c>
      <c r="I544" s="5">
        <v>8.2556301158336218</v>
      </c>
      <c r="J544" s="6">
        <v>0</v>
      </c>
      <c r="K544" s="5">
        <v>0</v>
      </c>
      <c r="L544" s="6">
        <v>0</v>
      </c>
      <c r="M544" s="5">
        <v>0</v>
      </c>
      <c r="N544" s="6">
        <v>0</v>
      </c>
      <c r="O544" s="5">
        <v>0</v>
      </c>
      <c r="P544" s="6">
        <v>0</v>
      </c>
      <c r="Q544" s="5">
        <v>0</v>
      </c>
      <c r="R544" s="6">
        <v>534.18726406433518</v>
      </c>
      <c r="S544" s="5">
        <v>4230.7631313895336</v>
      </c>
      <c r="T544" s="6">
        <v>0</v>
      </c>
      <c r="U544" s="5">
        <v>0</v>
      </c>
      <c r="V544" s="6">
        <v>0</v>
      </c>
      <c r="W544" s="5">
        <v>0</v>
      </c>
      <c r="X544" s="6">
        <v>0</v>
      </c>
      <c r="Y544" s="5">
        <v>0</v>
      </c>
      <c r="Z544" s="6">
        <v>0</v>
      </c>
      <c r="AA544" s="5">
        <v>0</v>
      </c>
      <c r="AB544" s="6">
        <v>0</v>
      </c>
      <c r="AC544" s="5">
        <v>0</v>
      </c>
      <c r="AD544" s="6">
        <v>0</v>
      </c>
      <c r="AE544" s="5">
        <v>0</v>
      </c>
      <c r="AF544" s="6">
        <v>0</v>
      </c>
      <c r="AG544" s="5">
        <v>0</v>
      </c>
      <c r="AH544" s="7">
        <f t="shared" si="64"/>
        <v>534.18726406433518</v>
      </c>
      <c r="AI544" s="8">
        <f t="shared" si="65"/>
        <v>4230.7631313895336</v>
      </c>
      <c r="AJ544" s="6">
        <v>0</v>
      </c>
      <c r="AK544" s="5">
        <v>0</v>
      </c>
      <c r="AL544" s="6">
        <v>0</v>
      </c>
      <c r="AM544" s="5">
        <v>0</v>
      </c>
      <c r="AN544" s="6">
        <v>0</v>
      </c>
      <c r="AO544" s="5">
        <v>0</v>
      </c>
      <c r="AP544" s="6">
        <v>0</v>
      </c>
      <c r="AQ544" s="5">
        <v>0</v>
      </c>
      <c r="AR544" s="6">
        <v>645</v>
      </c>
      <c r="AS544" s="5">
        <v>5324.8814247126866</v>
      </c>
      <c r="AT544" s="6">
        <v>0</v>
      </c>
      <c r="AU544" s="5">
        <v>0</v>
      </c>
      <c r="AV544" s="6">
        <v>0</v>
      </c>
      <c r="AW544" s="5">
        <v>0</v>
      </c>
      <c r="AX544" s="6">
        <v>0</v>
      </c>
      <c r="AY544" s="5">
        <v>0</v>
      </c>
      <c r="AZ544" s="6">
        <v>0</v>
      </c>
      <c r="BA544" s="5">
        <v>0</v>
      </c>
      <c r="BB544" s="6">
        <v>0</v>
      </c>
      <c r="BC544" s="5">
        <v>0</v>
      </c>
      <c r="BD544" s="6">
        <v>0</v>
      </c>
      <c r="BE544" s="5">
        <v>0</v>
      </c>
      <c r="BF544" s="6">
        <v>0</v>
      </c>
      <c r="BG544" s="5">
        <v>0</v>
      </c>
      <c r="BH544" s="9">
        <f t="shared" si="66"/>
        <v>645</v>
      </c>
      <c r="BI544" s="10">
        <f t="shared" si="67"/>
        <v>5324.8814247126866</v>
      </c>
      <c r="BJ544" s="6">
        <f t="shared" si="68"/>
        <v>110.81273593566482</v>
      </c>
      <c r="BK544" s="11">
        <f t="shared" si="69"/>
        <v>0.20744174073442345</v>
      </c>
      <c r="BL544" s="5">
        <f t="shared" si="70"/>
        <v>1094.118293323153</v>
      </c>
      <c r="BM544" s="11">
        <f t="shared" si="71"/>
        <v>0.25861015125273762</v>
      </c>
    </row>
    <row r="545" spans="1:65" ht="15" customHeight="1" x14ac:dyDescent="0.4">
      <c r="A545" s="2" t="s">
        <v>269</v>
      </c>
      <c r="B545" s="2" t="s">
        <v>451</v>
      </c>
      <c r="C545" s="2" t="s">
        <v>452</v>
      </c>
      <c r="D545" s="3" t="s">
        <v>68</v>
      </c>
      <c r="E545" s="3" t="s">
        <v>497</v>
      </c>
      <c r="F545" s="2" t="s">
        <v>181</v>
      </c>
      <c r="G545" s="4">
        <v>5</v>
      </c>
      <c r="H545" s="5">
        <v>7.92</v>
      </c>
      <c r="I545" s="5">
        <v>8.2556301158336218</v>
      </c>
      <c r="J545" s="6">
        <v>0</v>
      </c>
      <c r="K545" s="5">
        <v>0</v>
      </c>
      <c r="L545" s="6">
        <v>0</v>
      </c>
      <c r="M545" s="5">
        <v>0</v>
      </c>
      <c r="N545" s="6">
        <v>0</v>
      </c>
      <c r="O545" s="5">
        <v>0</v>
      </c>
      <c r="P545" s="6">
        <v>0</v>
      </c>
      <c r="Q545" s="5">
        <v>0</v>
      </c>
      <c r="R545" s="6">
        <v>0</v>
      </c>
      <c r="S545" s="5">
        <v>0</v>
      </c>
      <c r="T545" s="6">
        <v>0</v>
      </c>
      <c r="U545" s="5">
        <v>0</v>
      </c>
      <c r="V545" s="6">
        <v>0</v>
      </c>
      <c r="W545" s="5">
        <v>0</v>
      </c>
      <c r="X545" s="6">
        <v>0</v>
      </c>
      <c r="Y545" s="5">
        <v>0</v>
      </c>
      <c r="Z545" s="6">
        <v>0</v>
      </c>
      <c r="AA545" s="5">
        <v>0</v>
      </c>
      <c r="AB545" s="6">
        <v>0</v>
      </c>
      <c r="AC545" s="5">
        <v>0</v>
      </c>
      <c r="AD545" s="6">
        <v>568.79768357903356</v>
      </c>
      <c r="AE545" s="5">
        <v>4504.8776539459459</v>
      </c>
      <c r="AF545" s="6">
        <v>0</v>
      </c>
      <c r="AG545" s="5">
        <v>0</v>
      </c>
      <c r="AH545" s="7">
        <f t="shared" si="64"/>
        <v>568.79768357903356</v>
      </c>
      <c r="AI545" s="8">
        <f t="shared" si="65"/>
        <v>4504.8776539459459</v>
      </c>
      <c r="AJ545" s="6">
        <v>0</v>
      </c>
      <c r="AK545" s="5">
        <v>0</v>
      </c>
      <c r="AL545" s="6">
        <v>0</v>
      </c>
      <c r="AM545" s="5">
        <v>0</v>
      </c>
      <c r="AN545" s="6">
        <v>0</v>
      </c>
      <c r="AO545" s="5">
        <v>0</v>
      </c>
      <c r="AP545" s="6">
        <v>0</v>
      </c>
      <c r="AQ545" s="5">
        <v>0</v>
      </c>
      <c r="AR545" s="6">
        <v>0</v>
      </c>
      <c r="AS545" s="5">
        <v>0</v>
      </c>
      <c r="AT545" s="6">
        <v>0</v>
      </c>
      <c r="AU545" s="5">
        <v>0</v>
      </c>
      <c r="AV545" s="6">
        <v>0</v>
      </c>
      <c r="AW545" s="5">
        <v>0</v>
      </c>
      <c r="AX545" s="6">
        <v>0</v>
      </c>
      <c r="AY545" s="5">
        <v>0</v>
      </c>
      <c r="AZ545" s="6">
        <v>0</v>
      </c>
      <c r="BA545" s="5">
        <v>0</v>
      </c>
      <c r="BB545" s="6">
        <v>0</v>
      </c>
      <c r="BC545" s="5">
        <v>0</v>
      </c>
      <c r="BD545" s="6">
        <v>685</v>
      </c>
      <c r="BE545" s="5">
        <v>5655.1066293460308</v>
      </c>
      <c r="BF545" s="6">
        <v>0</v>
      </c>
      <c r="BG545" s="5">
        <v>0</v>
      </c>
      <c r="BH545" s="9">
        <f t="shared" si="66"/>
        <v>685</v>
      </c>
      <c r="BI545" s="10">
        <f t="shared" si="67"/>
        <v>5655.1066293460308</v>
      </c>
      <c r="BJ545" s="6">
        <f t="shared" si="68"/>
        <v>116.20231642096644</v>
      </c>
      <c r="BK545" s="11">
        <f t="shared" si="69"/>
        <v>0.20429463722459112</v>
      </c>
      <c r="BL545" s="5">
        <f t="shared" si="70"/>
        <v>1150.2289754000849</v>
      </c>
      <c r="BM545" s="11">
        <f t="shared" si="71"/>
        <v>0.25532968123841671</v>
      </c>
    </row>
    <row r="546" spans="1:65" ht="15" customHeight="1" x14ac:dyDescent="0.4">
      <c r="A546" s="2" t="s">
        <v>269</v>
      </c>
      <c r="B546" s="2" t="s">
        <v>451</v>
      </c>
      <c r="C546" s="2" t="s">
        <v>452</v>
      </c>
      <c r="D546" s="3" t="s">
        <v>68</v>
      </c>
      <c r="E546" s="3" t="s">
        <v>499</v>
      </c>
      <c r="F546" s="2" t="s">
        <v>500</v>
      </c>
      <c r="G546" s="4">
        <v>1</v>
      </c>
      <c r="H546" s="5">
        <v>5.4099999999999993</v>
      </c>
      <c r="I546" s="5">
        <v>5.6392624907398856</v>
      </c>
      <c r="J546" s="6">
        <v>0</v>
      </c>
      <c r="K546" s="5">
        <v>0</v>
      </c>
      <c r="L546" s="6">
        <v>320.5123584386011</v>
      </c>
      <c r="M546" s="5">
        <v>1733.9718591528319</v>
      </c>
      <c r="N546" s="6">
        <v>0</v>
      </c>
      <c r="O546" s="5">
        <v>0</v>
      </c>
      <c r="P546" s="6">
        <v>0</v>
      </c>
      <c r="Q546" s="5">
        <v>0</v>
      </c>
      <c r="R546" s="6">
        <v>0</v>
      </c>
      <c r="S546" s="5">
        <v>0</v>
      </c>
      <c r="T546" s="6">
        <v>652.89554496752078</v>
      </c>
      <c r="U546" s="5">
        <v>3532.1648982742872</v>
      </c>
      <c r="V546" s="6">
        <v>0</v>
      </c>
      <c r="W546" s="5">
        <v>0</v>
      </c>
      <c r="X546" s="6">
        <v>0</v>
      </c>
      <c r="Y546" s="5">
        <v>0</v>
      </c>
      <c r="Z546" s="6">
        <v>0</v>
      </c>
      <c r="AA546" s="5">
        <v>0</v>
      </c>
      <c r="AB546" s="6">
        <v>0</v>
      </c>
      <c r="AC546" s="5">
        <v>0</v>
      </c>
      <c r="AD546" s="6">
        <v>0</v>
      </c>
      <c r="AE546" s="5">
        <v>0</v>
      </c>
      <c r="AF546" s="6">
        <v>0</v>
      </c>
      <c r="AG546" s="5">
        <v>0</v>
      </c>
      <c r="AH546" s="7">
        <f t="shared" si="64"/>
        <v>973.40790340612193</v>
      </c>
      <c r="AI546" s="8">
        <f t="shared" si="65"/>
        <v>5266.1367574271189</v>
      </c>
      <c r="AJ546" s="6">
        <v>0</v>
      </c>
      <c r="AK546" s="5">
        <v>0</v>
      </c>
      <c r="AL546" s="6">
        <v>343</v>
      </c>
      <c r="AM546" s="5">
        <v>1934.267034323781</v>
      </c>
      <c r="AN546" s="6">
        <v>0</v>
      </c>
      <c r="AO546" s="5">
        <v>0</v>
      </c>
      <c r="AP546" s="6">
        <v>0</v>
      </c>
      <c r="AQ546" s="5">
        <v>0</v>
      </c>
      <c r="AR546" s="6">
        <v>0</v>
      </c>
      <c r="AS546" s="5">
        <v>0</v>
      </c>
      <c r="AT546" s="6">
        <v>699</v>
      </c>
      <c r="AU546" s="5">
        <v>3941.8444810271799</v>
      </c>
      <c r="AV546" s="6">
        <v>0</v>
      </c>
      <c r="AW546" s="5">
        <v>0</v>
      </c>
      <c r="AX546" s="6">
        <v>0</v>
      </c>
      <c r="AY546" s="5">
        <v>0</v>
      </c>
      <c r="AZ546" s="6">
        <v>0</v>
      </c>
      <c r="BA546" s="5">
        <v>0</v>
      </c>
      <c r="BB546" s="6">
        <v>0</v>
      </c>
      <c r="BC546" s="5">
        <v>0</v>
      </c>
      <c r="BD546" s="6">
        <v>0</v>
      </c>
      <c r="BE546" s="5">
        <v>0</v>
      </c>
      <c r="BF546" s="6">
        <v>0</v>
      </c>
      <c r="BG546" s="5">
        <v>0</v>
      </c>
      <c r="BH546" s="9">
        <f t="shared" si="66"/>
        <v>1042</v>
      </c>
      <c r="BI546" s="10">
        <f t="shared" si="67"/>
        <v>5876.1115153509609</v>
      </c>
      <c r="BJ546" s="6">
        <f t="shared" si="68"/>
        <v>68.592096593878068</v>
      </c>
      <c r="BK546" s="11">
        <f t="shared" si="69"/>
        <v>7.0465933504199538E-2</v>
      </c>
      <c r="BL546" s="5">
        <f t="shared" si="70"/>
        <v>609.97475792384193</v>
      </c>
      <c r="BM546" s="11">
        <f t="shared" si="71"/>
        <v>0.11582964628929573</v>
      </c>
    </row>
    <row r="547" spans="1:65" ht="15" customHeight="1" x14ac:dyDescent="0.4">
      <c r="A547" s="2" t="s">
        <v>269</v>
      </c>
      <c r="B547" s="2" t="s">
        <v>451</v>
      </c>
      <c r="C547" s="2" t="s">
        <v>452</v>
      </c>
      <c r="D547" s="3" t="s">
        <v>68</v>
      </c>
      <c r="E547" s="3" t="s">
        <v>501</v>
      </c>
      <c r="F547" s="2" t="s">
        <v>502</v>
      </c>
      <c r="G547" s="4">
        <v>1</v>
      </c>
      <c r="H547" s="5">
        <v>4.45</v>
      </c>
      <c r="I547" s="5">
        <v>4.6385800524570229</v>
      </c>
      <c r="J547" s="6">
        <v>0</v>
      </c>
      <c r="K547" s="5">
        <v>0</v>
      </c>
      <c r="L547" s="6">
        <v>1741.054786580055</v>
      </c>
      <c r="M547" s="5">
        <v>7747.6938002812458</v>
      </c>
      <c r="N547" s="6">
        <v>0</v>
      </c>
      <c r="O547" s="5">
        <v>0</v>
      </c>
      <c r="P547" s="6">
        <v>0</v>
      </c>
      <c r="Q547" s="5">
        <v>0</v>
      </c>
      <c r="R547" s="6">
        <v>870.52739329002759</v>
      </c>
      <c r="S547" s="5">
        <v>3873.8469001406229</v>
      </c>
      <c r="T547" s="6">
        <v>696.42191463202209</v>
      </c>
      <c r="U547" s="5">
        <v>3099.077520112498</v>
      </c>
      <c r="V547" s="6">
        <v>0</v>
      </c>
      <c r="W547" s="5">
        <v>0</v>
      </c>
      <c r="X547" s="6">
        <v>0</v>
      </c>
      <c r="Y547" s="5">
        <v>0</v>
      </c>
      <c r="Z547" s="6">
        <v>0</v>
      </c>
      <c r="AA547" s="5">
        <v>0</v>
      </c>
      <c r="AB547" s="6">
        <v>0</v>
      </c>
      <c r="AC547" s="5">
        <v>0</v>
      </c>
      <c r="AD547" s="6">
        <v>0</v>
      </c>
      <c r="AE547" s="5">
        <v>0</v>
      </c>
      <c r="AF547" s="6">
        <v>0</v>
      </c>
      <c r="AG547" s="5">
        <v>0</v>
      </c>
      <c r="AH547" s="7">
        <f t="shared" si="64"/>
        <v>3308.0040945021046</v>
      </c>
      <c r="AI547" s="8">
        <f t="shared" si="65"/>
        <v>14720.618220534367</v>
      </c>
      <c r="AJ547" s="6">
        <v>0</v>
      </c>
      <c r="AK547" s="5">
        <v>0</v>
      </c>
      <c r="AL547" s="6">
        <v>1892</v>
      </c>
      <c r="AM547" s="5">
        <v>8776.1934592486868</v>
      </c>
      <c r="AN547" s="6">
        <v>0</v>
      </c>
      <c r="AO547" s="5">
        <v>0</v>
      </c>
      <c r="AP547" s="6">
        <v>0</v>
      </c>
      <c r="AQ547" s="5">
        <v>0</v>
      </c>
      <c r="AR547" s="6">
        <v>946</v>
      </c>
      <c r="AS547" s="5">
        <v>4388.0967296243434</v>
      </c>
      <c r="AT547" s="6">
        <v>757</v>
      </c>
      <c r="AU547" s="5">
        <v>3511.4050997099662</v>
      </c>
      <c r="AV547" s="6">
        <v>0</v>
      </c>
      <c r="AW547" s="5">
        <v>0</v>
      </c>
      <c r="AX547" s="6">
        <v>0</v>
      </c>
      <c r="AY547" s="5">
        <v>0</v>
      </c>
      <c r="AZ547" s="6">
        <v>0</v>
      </c>
      <c r="BA547" s="5">
        <v>0</v>
      </c>
      <c r="BB547" s="6">
        <v>0</v>
      </c>
      <c r="BC547" s="5">
        <v>0</v>
      </c>
      <c r="BD547" s="6">
        <v>0</v>
      </c>
      <c r="BE547" s="5">
        <v>0</v>
      </c>
      <c r="BF547" s="6">
        <v>0</v>
      </c>
      <c r="BG547" s="5">
        <v>0</v>
      </c>
      <c r="BH547" s="9">
        <f t="shared" si="66"/>
        <v>3595</v>
      </c>
      <c r="BI547" s="10">
        <f t="shared" si="67"/>
        <v>16675.695288582996</v>
      </c>
      <c r="BJ547" s="6">
        <f t="shared" si="68"/>
        <v>286.99590549789536</v>
      </c>
      <c r="BK547" s="11">
        <f t="shared" si="69"/>
        <v>8.675802607828749E-2</v>
      </c>
      <c r="BL547" s="5">
        <f t="shared" si="70"/>
        <v>1955.0770680486294</v>
      </c>
      <c r="BM547" s="11">
        <f t="shared" si="71"/>
        <v>0.13281215766613769</v>
      </c>
    </row>
    <row r="548" spans="1:65" ht="15" customHeight="1" x14ac:dyDescent="0.4">
      <c r="A548" s="2" t="s">
        <v>269</v>
      </c>
      <c r="B548" s="2" t="s">
        <v>451</v>
      </c>
      <c r="C548" s="2" t="s">
        <v>452</v>
      </c>
      <c r="D548" s="3" t="s">
        <v>68</v>
      </c>
      <c r="E548" s="3" t="s">
        <v>501</v>
      </c>
      <c r="F548" s="2" t="s">
        <v>503</v>
      </c>
      <c r="G548" s="4">
        <v>1</v>
      </c>
      <c r="H548" s="5">
        <v>4.5515384615384624</v>
      </c>
      <c r="I548" s="5">
        <v>4.7444153152754716</v>
      </c>
      <c r="J548" s="6">
        <v>0</v>
      </c>
      <c r="K548" s="5">
        <v>0</v>
      </c>
      <c r="L548" s="6">
        <v>0</v>
      </c>
      <c r="M548" s="5">
        <v>0</v>
      </c>
      <c r="N548" s="6">
        <v>0</v>
      </c>
      <c r="O548" s="5">
        <v>0</v>
      </c>
      <c r="P548" s="6">
        <v>0</v>
      </c>
      <c r="Q548" s="5">
        <v>0</v>
      </c>
      <c r="R548" s="6">
        <v>0</v>
      </c>
      <c r="S548" s="5">
        <v>0</v>
      </c>
      <c r="T548" s="6">
        <v>1218.7383506060389</v>
      </c>
      <c r="U548" s="5">
        <v>5653.2048920254392</v>
      </c>
      <c r="V548" s="6">
        <v>1044.632871948033</v>
      </c>
      <c r="W548" s="5">
        <v>4648.6162801687478</v>
      </c>
      <c r="X548" s="6">
        <v>0</v>
      </c>
      <c r="Y548" s="5">
        <v>0</v>
      </c>
      <c r="Z548" s="6">
        <v>0</v>
      </c>
      <c r="AA548" s="5">
        <v>0</v>
      </c>
      <c r="AB548" s="6">
        <v>0</v>
      </c>
      <c r="AC548" s="5">
        <v>0</v>
      </c>
      <c r="AD548" s="6">
        <v>0</v>
      </c>
      <c r="AE548" s="5">
        <v>0</v>
      </c>
      <c r="AF548" s="6">
        <v>0</v>
      </c>
      <c r="AG548" s="5">
        <v>0</v>
      </c>
      <c r="AH548" s="7">
        <f t="shared" si="64"/>
        <v>2263.3712225540721</v>
      </c>
      <c r="AI548" s="8">
        <f t="shared" si="65"/>
        <v>10301.821172194188</v>
      </c>
      <c r="AJ548" s="6">
        <v>0</v>
      </c>
      <c r="AK548" s="5">
        <v>0</v>
      </c>
      <c r="AL548" s="6">
        <v>0</v>
      </c>
      <c r="AM548" s="5">
        <v>0</v>
      </c>
      <c r="AN548" s="6">
        <v>0</v>
      </c>
      <c r="AO548" s="5">
        <v>0</v>
      </c>
      <c r="AP548" s="6">
        <v>0</v>
      </c>
      <c r="AQ548" s="5">
        <v>0</v>
      </c>
      <c r="AR548" s="6">
        <v>0</v>
      </c>
      <c r="AS548" s="5">
        <v>0</v>
      </c>
      <c r="AT548" s="6">
        <v>1324</v>
      </c>
      <c r="AU548" s="5">
        <v>6401.7289007236641</v>
      </c>
      <c r="AV548" s="6">
        <v>1135</v>
      </c>
      <c r="AW548" s="5">
        <v>5264.7883595387211</v>
      </c>
      <c r="AX548" s="6">
        <v>0</v>
      </c>
      <c r="AY548" s="5">
        <v>0</v>
      </c>
      <c r="AZ548" s="6">
        <v>0</v>
      </c>
      <c r="BA548" s="5">
        <v>0</v>
      </c>
      <c r="BB548" s="6">
        <v>0</v>
      </c>
      <c r="BC548" s="5">
        <v>0</v>
      </c>
      <c r="BD548" s="6">
        <v>0</v>
      </c>
      <c r="BE548" s="5">
        <v>0</v>
      </c>
      <c r="BF548" s="6">
        <v>0</v>
      </c>
      <c r="BG548" s="5">
        <v>0</v>
      </c>
      <c r="BH548" s="9">
        <f t="shared" si="66"/>
        <v>2459</v>
      </c>
      <c r="BI548" s="10">
        <f t="shared" si="67"/>
        <v>11666.517260262386</v>
      </c>
      <c r="BJ548" s="6">
        <f t="shared" si="68"/>
        <v>195.62877744592788</v>
      </c>
      <c r="BK548" s="11">
        <f t="shared" si="69"/>
        <v>8.6432475369715586E-2</v>
      </c>
      <c r="BL548" s="5">
        <f t="shared" si="70"/>
        <v>1364.6960880681982</v>
      </c>
      <c r="BM548" s="11">
        <f t="shared" si="71"/>
        <v>0.13247134319819795</v>
      </c>
    </row>
    <row r="549" spans="1:65" ht="15" customHeight="1" x14ac:dyDescent="0.4">
      <c r="A549" s="2" t="s">
        <v>269</v>
      </c>
      <c r="B549" s="2" t="s">
        <v>451</v>
      </c>
      <c r="C549" s="2" t="s">
        <v>452</v>
      </c>
      <c r="D549" s="3" t="s">
        <v>68</v>
      </c>
      <c r="E549" s="3" t="s">
        <v>504</v>
      </c>
      <c r="F549" s="2" t="s">
        <v>502</v>
      </c>
      <c r="G549" s="4">
        <v>20</v>
      </c>
      <c r="H549" s="5">
        <v>3.56</v>
      </c>
      <c r="I549" s="5">
        <v>3.710864041965618</v>
      </c>
      <c r="J549" s="6">
        <v>0</v>
      </c>
      <c r="K549" s="5">
        <v>0</v>
      </c>
      <c r="L549" s="6">
        <v>2176.318483225069</v>
      </c>
      <c r="M549" s="5">
        <v>7747.6938002812458</v>
      </c>
      <c r="N549" s="6">
        <v>0</v>
      </c>
      <c r="O549" s="5">
        <v>0</v>
      </c>
      <c r="P549" s="6">
        <v>0</v>
      </c>
      <c r="Q549" s="5">
        <v>0</v>
      </c>
      <c r="R549" s="6">
        <v>1088.159241612535</v>
      </c>
      <c r="S549" s="5">
        <v>3873.8469001406229</v>
      </c>
      <c r="T549" s="6">
        <v>0</v>
      </c>
      <c r="U549" s="5">
        <v>0</v>
      </c>
      <c r="V549" s="6">
        <v>0</v>
      </c>
      <c r="W549" s="5">
        <v>0</v>
      </c>
      <c r="X549" s="6">
        <v>0</v>
      </c>
      <c r="Y549" s="5">
        <v>0</v>
      </c>
      <c r="Z549" s="6">
        <v>0</v>
      </c>
      <c r="AA549" s="5">
        <v>0</v>
      </c>
      <c r="AB549" s="6">
        <v>0</v>
      </c>
      <c r="AC549" s="5">
        <v>0</v>
      </c>
      <c r="AD549" s="6">
        <v>0</v>
      </c>
      <c r="AE549" s="5">
        <v>0</v>
      </c>
      <c r="AF549" s="6">
        <v>0</v>
      </c>
      <c r="AG549" s="5">
        <v>0</v>
      </c>
      <c r="AH549" s="7">
        <f t="shared" si="64"/>
        <v>3264.477724837604</v>
      </c>
      <c r="AI549" s="8">
        <f t="shared" si="65"/>
        <v>11621.540700421869</v>
      </c>
      <c r="AJ549" s="6">
        <v>0</v>
      </c>
      <c r="AK549" s="5">
        <v>0</v>
      </c>
      <c r="AL549" s="6">
        <v>2360</v>
      </c>
      <c r="AM549" s="5">
        <v>8757.639139038858</v>
      </c>
      <c r="AN549" s="6">
        <v>0</v>
      </c>
      <c r="AO549" s="5">
        <v>0</v>
      </c>
      <c r="AP549" s="6">
        <v>0</v>
      </c>
      <c r="AQ549" s="5">
        <v>0</v>
      </c>
      <c r="AR549" s="6">
        <v>1180</v>
      </c>
      <c r="AS549" s="5">
        <v>4378.819569519429</v>
      </c>
      <c r="AT549" s="6">
        <v>0</v>
      </c>
      <c r="AU549" s="5">
        <v>0</v>
      </c>
      <c r="AV549" s="6">
        <v>0</v>
      </c>
      <c r="AW549" s="5">
        <v>0</v>
      </c>
      <c r="AX549" s="6">
        <v>0</v>
      </c>
      <c r="AY549" s="5">
        <v>0</v>
      </c>
      <c r="AZ549" s="6">
        <v>0</v>
      </c>
      <c r="BA549" s="5">
        <v>0</v>
      </c>
      <c r="BB549" s="6">
        <v>0</v>
      </c>
      <c r="BC549" s="5">
        <v>0</v>
      </c>
      <c r="BD549" s="6">
        <v>0</v>
      </c>
      <c r="BE549" s="5">
        <v>0</v>
      </c>
      <c r="BF549" s="6">
        <v>0</v>
      </c>
      <c r="BG549" s="5">
        <v>0</v>
      </c>
      <c r="BH549" s="9">
        <f t="shared" si="66"/>
        <v>3540</v>
      </c>
      <c r="BI549" s="10">
        <f t="shared" si="67"/>
        <v>13136.458708558286</v>
      </c>
      <c r="BJ549" s="6">
        <f t="shared" si="68"/>
        <v>275.522275162396</v>
      </c>
      <c r="BK549" s="11">
        <f t="shared" si="69"/>
        <v>8.4400108803346863E-2</v>
      </c>
      <c r="BL549" s="5">
        <f t="shared" si="70"/>
        <v>1514.9180081364175</v>
      </c>
      <c r="BM549" s="11">
        <f t="shared" si="71"/>
        <v>0.13035431765784936</v>
      </c>
    </row>
    <row r="550" spans="1:65" ht="15" customHeight="1" x14ac:dyDescent="0.4">
      <c r="A550" s="2" t="s">
        <v>269</v>
      </c>
      <c r="B550" s="2" t="s">
        <v>451</v>
      </c>
      <c r="C550" s="2" t="s">
        <v>452</v>
      </c>
      <c r="D550" s="3" t="s">
        <v>68</v>
      </c>
      <c r="E550" s="3" t="s">
        <v>505</v>
      </c>
      <c r="F550" s="2" t="s">
        <v>506</v>
      </c>
      <c r="G550" s="4">
        <v>5</v>
      </c>
      <c r="H550" s="5">
        <v>3.25</v>
      </c>
      <c r="I550" s="5">
        <v>3.3877270046034438</v>
      </c>
      <c r="J550" s="6">
        <v>0</v>
      </c>
      <c r="K550" s="5">
        <v>0</v>
      </c>
      <c r="L550" s="6">
        <v>296.77070225796399</v>
      </c>
      <c r="M550" s="5">
        <v>964.50478233838294</v>
      </c>
      <c r="N550" s="6">
        <v>0</v>
      </c>
      <c r="O550" s="5">
        <v>0</v>
      </c>
      <c r="P550" s="6">
        <v>0</v>
      </c>
      <c r="Q550" s="5">
        <v>0</v>
      </c>
      <c r="R550" s="6">
        <v>0</v>
      </c>
      <c r="S550" s="5">
        <v>0</v>
      </c>
      <c r="T550" s="6">
        <v>0</v>
      </c>
      <c r="U550" s="5">
        <v>0</v>
      </c>
      <c r="V550" s="6">
        <v>0</v>
      </c>
      <c r="W550" s="5">
        <v>0</v>
      </c>
      <c r="X550" s="6">
        <v>0</v>
      </c>
      <c r="Y550" s="5">
        <v>0</v>
      </c>
      <c r="Z550" s="6">
        <v>0</v>
      </c>
      <c r="AA550" s="5">
        <v>0</v>
      </c>
      <c r="AB550" s="6">
        <v>0</v>
      </c>
      <c r="AC550" s="5">
        <v>0</v>
      </c>
      <c r="AD550" s="6">
        <v>0</v>
      </c>
      <c r="AE550" s="5">
        <v>0</v>
      </c>
      <c r="AF550" s="6">
        <v>0</v>
      </c>
      <c r="AG550" s="5">
        <v>0</v>
      </c>
      <c r="AH550" s="7">
        <f t="shared" si="64"/>
        <v>296.77070225796399</v>
      </c>
      <c r="AI550" s="8">
        <f t="shared" si="65"/>
        <v>964.50478233838294</v>
      </c>
      <c r="AJ550" s="6">
        <v>0</v>
      </c>
      <c r="AK550" s="5">
        <v>0</v>
      </c>
      <c r="AL550" s="6">
        <v>325</v>
      </c>
      <c r="AM550" s="5">
        <v>1101.0112764961191</v>
      </c>
      <c r="AN550" s="6">
        <v>0</v>
      </c>
      <c r="AO550" s="5">
        <v>0</v>
      </c>
      <c r="AP550" s="6">
        <v>0</v>
      </c>
      <c r="AQ550" s="5">
        <v>0</v>
      </c>
      <c r="AR550" s="6">
        <v>0</v>
      </c>
      <c r="AS550" s="5">
        <v>0</v>
      </c>
      <c r="AT550" s="6">
        <v>0</v>
      </c>
      <c r="AU550" s="5">
        <v>0</v>
      </c>
      <c r="AV550" s="6">
        <v>0</v>
      </c>
      <c r="AW550" s="5">
        <v>0</v>
      </c>
      <c r="AX550" s="6">
        <v>0</v>
      </c>
      <c r="AY550" s="5">
        <v>0</v>
      </c>
      <c r="AZ550" s="6">
        <v>0</v>
      </c>
      <c r="BA550" s="5">
        <v>0</v>
      </c>
      <c r="BB550" s="6">
        <v>0</v>
      </c>
      <c r="BC550" s="5">
        <v>0</v>
      </c>
      <c r="BD550" s="6">
        <v>0</v>
      </c>
      <c r="BE550" s="5">
        <v>0</v>
      </c>
      <c r="BF550" s="6">
        <v>0</v>
      </c>
      <c r="BG550" s="5">
        <v>0</v>
      </c>
      <c r="BH550" s="9">
        <f t="shared" si="66"/>
        <v>325</v>
      </c>
      <c r="BI550" s="10">
        <f t="shared" si="67"/>
        <v>1101.0112764961191</v>
      </c>
      <c r="BJ550" s="6">
        <f t="shared" si="68"/>
        <v>28.22929774203601</v>
      </c>
      <c r="BK550" s="11">
        <f t="shared" si="69"/>
        <v>9.5121578805639873E-2</v>
      </c>
      <c r="BL550" s="5">
        <f t="shared" si="70"/>
        <v>136.50649415773614</v>
      </c>
      <c r="BM550" s="11">
        <f t="shared" si="71"/>
        <v>0.14153013718271515</v>
      </c>
    </row>
    <row r="551" spans="1:65" ht="15" customHeight="1" x14ac:dyDescent="0.4">
      <c r="A551" s="2" t="s">
        <v>269</v>
      </c>
      <c r="B551" s="2" t="s">
        <v>451</v>
      </c>
      <c r="C551" s="2" t="s">
        <v>452</v>
      </c>
      <c r="D551" s="3" t="s">
        <v>68</v>
      </c>
      <c r="E551" s="3" t="s">
        <v>507</v>
      </c>
      <c r="F551" s="2" t="s">
        <v>508</v>
      </c>
      <c r="G551" s="4">
        <v>1</v>
      </c>
      <c r="H551" s="5">
        <v>3.9099999999999988</v>
      </c>
      <c r="I551" s="5">
        <v>4.075696180922912</v>
      </c>
      <c r="J551" s="6">
        <v>1958.686634902562</v>
      </c>
      <c r="K551" s="5">
        <v>7658.4647424690183</v>
      </c>
      <c r="L551" s="6">
        <v>0</v>
      </c>
      <c r="M551" s="5">
        <v>0</v>
      </c>
      <c r="N551" s="6">
        <v>0</v>
      </c>
      <c r="O551" s="5">
        <v>0</v>
      </c>
      <c r="P551" s="6">
        <v>0</v>
      </c>
      <c r="Q551" s="5">
        <v>0</v>
      </c>
      <c r="R551" s="6">
        <v>0</v>
      </c>
      <c r="S551" s="5">
        <v>0</v>
      </c>
      <c r="T551" s="6">
        <v>1305.791089935042</v>
      </c>
      <c r="U551" s="5">
        <v>5105.6431616460122</v>
      </c>
      <c r="V551" s="6">
        <v>0</v>
      </c>
      <c r="W551" s="5">
        <v>0</v>
      </c>
      <c r="X551" s="6">
        <v>0</v>
      </c>
      <c r="Y551" s="5">
        <v>0</v>
      </c>
      <c r="Z551" s="6">
        <v>0</v>
      </c>
      <c r="AA551" s="5">
        <v>0</v>
      </c>
      <c r="AB551" s="6">
        <v>0</v>
      </c>
      <c r="AC551" s="5">
        <v>0</v>
      </c>
      <c r="AD551" s="6">
        <v>0</v>
      </c>
      <c r="AE551" s="5">
        <v>0</v>
      </c>
      <c r="AF551" s="6">
        <v>0</v>
      </c>
      <c r="AG551" s="5">
        <v>0</v>
      </c>
      <c r="AH551" s="7">
        <f t="shared" si="64"/>
        <v>3264.477724837604</v>
      </c>
      <c r="AI551" s="8">
        <f t="shared" si="65"/>
        <v>12764.10790411503</v>
      </c>
      <c r="AJ551" s="6">
        <v>2129</v>
      </c>
      <c r="AK551" s="5">
        <v>8677.1571691848803</v>
      </c>
      <c r="AL551" s="6">
        <v>0</v>
      </c>
      <c r="AM551" s="5">
        <v>0</v>
      </c>
      <c r="AN551" s="6">
        <v>0</v>
      </c>
      <c r="AO551" s="5">
        <v>0</v>
      </c>
      <c r="AP551" s="6">
        <v>0</v>
      </c>
      <c r="AQ551" s="5">
        <v>0</v>
      </c>
      <c r="AR551" s="6">
        <v>0</v>
      </c>
      <c r="AS551" s="5">
        <v>0</v>
      </c>
      <c r="AT551" s="6">
        <v>1419</v>
      </c>
      <c r="AU551" s="5">
        <v>5783.412880729612</v>
      </c>
      <c r="AV551" s="6">
        <v>0</v>
      </c>
      <c r="AW551" s="5">
        <v>0</v>
      </c>
      <c r="AX551" s="6">
        <v>0</v>
      </c>
      <c r="AY551" s="5">
        <v>0</v>
      </c>
      <c r="AZ551" s="6">
        <v>0</v>
      </c>
      <c r="BA551" s="5">
        <v>0</v>
      </c>
      <c r="BB551" s="6">
        <v>0</v>
      </c>
      <c r="BC551" s="5">
        <v>0</v>
      </c>
      <c r="BD551" s="6">
        <v>0</v>
      </c>
      <c r="BE551" s="5">
        <v>0</v>
      </c>
      <c r="BF551" s="6">
        <v>0</v>
      </c>
      <c r="BG551" s="5">
        <v>0</v>
      </c>
      <c r="BH551" s="9">
        <f t="shared" si="66"/>
        <v>3548</v>
      </c>
      <c r="BI551" s="10">
        <f t="shared" si="67"/>
        <v>14460.570049914491</v>
      </c>
      <c r="BJ551" s="6">
        <f t="shared" si="68"/>
        <v>283.522275162396</v>
      </c>
      <c r="BK551" s="11">
        <f t="shared" si="69"/>
        <v>8.6850730518156685E-2</v>
      </c>
      <c r="BL551" s="5">
        <f t="shared" si="70"/>
        <v>1696.4621457994617</v>
      </c>
      <c r="BM551" s="11">
        <f t="shared" si="71"/>
        <v>0.13290879069210454</v>
      </c>
    </row>
    <row r="552" spans="1:65" ht="15" customHeight="1" x14ac:dyDescent="0.4">
      <c r="A552" s="2" t="s">
        <v>269</v>
      </c>
      <c r="B552" s="2" t="s">
        <v>451</v>
      </c>
      <c r="C552" s="2" t="s">
        <v>452</v>
      </c>
      <c r="D552" s="3" t="s">
        <v>68</v>
      </c>
      <c r="E552" s="3" t="s">
        <v>507</v>
      </c>
      <c r="F552" s="2" t="s">
        <v>509</v>
      </c>
      <c r="G552" s="4">
        <v>1</v>
      </c>
      <c r="H552" s="5">
        <v>4.2697738266593692</v>
      </c>
      <c r="I552" s="5">
        <v>4.450782165359584</v>
      </c>
      <c r="J552" s="6">
        <v>0</v>
      </c>
      <c r="K552" s="5">
        <v>0</v>
      </c>
      <c r="L552" s="6">
        <v>0</v>
      </c>
      <c r="M552" s="5">
        <v>0</v>
      </c>
      <c r="N552" s="6">
        <v>0</v>
      </c>
      <c r="O552" s="5">
        <v>0</v>
      </c>
      <c r="P552" s="6">
        <v>0</v>
      </c>
      <c r="Q552" s="5">
        <v>0</v>
      </c>
      <c r="R552" s="6">
        <v>0</v>
      </c>
      <c r="S552" s="5">
        <v>0</v>
      </c>
      <c r="T552" s="6">
        <v>1305.791089935042</v>
      </c>
      <c r="U552" s="5">
        <v>5954.4073701037887</v>
      </c>
      <c r="V552" s="6">
        <v>783.47465396102484</v>
      </c>
      <c r="W552" s="5">
        <v>3063.3858969876069</v>
      </c>
      <c r="X552" s="6">
        <v>0</v>
      </c>
      <c r="Y552" s="5">
        <v>0</v>
      </c>
      <c r="Z552" s="6">
        <v>0</v>
      </c>
      <c r="AA552" s="5">
        <v>0</v>
      </c>
      <c r="AB552" s="6">
        <v>0</v>
      </c>
      <c r="AC552" s="5">
        <v>0</v>
      </c>
      <c r="AD552" s="6">
        <v>284.39884178951678</v>
      </c>
      <c r="AE552" s="5">
        <v>1117.2176541371621</v>
      </c>
      <c r="AF552" s="6">
        <v>0</v>
      </c>
      <c r="AG552" s="5">
        <v>0</v>
      </c>
      <c r="AH552" s="7">
        <f t="shared" si="64"/>
        <v>2373.6645856855835</v>
      </c>
      <c r="AI552" s="8">
        <f t="shared" si="65"/>
        <v>10135.010921228559</v>
      </c>
      <c r="AJ552" s="6">
        <v>0</v>
      </c>
      <c r="AK552" s="5">
        <v>0</v>
      </c>
      <c r="AL552" s="6">
        <v>0</v>
      </c>
      <c r="AM552" s="5">
        <v>0</v>
      </c>
      <c r="AN552" s="6">
        <v>0</v>
      </c>
      <c r="AO552" s="5">
        <v>0</v>
      </c>
      <c r="AP552" s="6">
        <v>0</v>
      </c>
      <c r="AQ552" s="5">
        <v>0</v>
      </c>
      <c r="AR552" s="6">
        <v>0</v>
      </c>
      <c r="AS552" s="5">
        <v>0</v>
      </c>
      <c r="AT552" s="6">
        <v>1419</v>
      </c>
      <c r="AU552" s="5">
        <v>6744.8498046360692</v>
      </c>
      <c r="AV552" s="6">
        <v>851</v>
      </c>
      <c r="AW552" s="5">
        <v>3468.4174499653982</v>
      </c>
      <c r="AX552" s="6">
        <v>0</v>
      </c>
      <c r="AY552" s="5">
        <v>0</v>
      </c>
      <c r="AZ552" s="6">
        <v>0</v>
      </c>
      <c r="BA552" s="5">
        <v>0</v>
      </c>
      <c r="BB552" s="6">
        <v>0</v>
      </c>
      <c r="BC552" s="5">
        <v>0</v>
      </c>
      <c r="BD552" s="6">
        <v>309</v>
      </c>
      <c r="BE552" s="5">
        <v>1265.299949860899</v>
      </c>
      <c r="BF552" s="6">
        <v>0</v>
      </c>
      <c r="BG552" s="5">
        <v>0</v>
      </c>
      <c r="BH552" s="9">
        <f t="shared" si="66"/>
        <v>2579</v>
      </c>
      <c r="BI552" s="10">
        <f t="shared" si="67"/>
        <v>11478.567204462366</v>
      </c>
      <c r="BJ552" s="6">
        <f t="shared" si="68"/>
        <v>205.33541431441654</v>
      </c>
      <c r="BK552" s="11">
        <f t="shared" si="69"/>
        <v>8.6505656929245417E-2</v>
      </c>
      <c r="BL552" s="5">
        <f t="shared" si="70"/>
        <v>1343.5562832338073</v>
      </c>
      <c r="BM552" s="11">
        <f t="shared" si="71"/>
        <v>0.13256584464251789</v>
      </c>
    </row>
    <row r="553" spans="1:65" ht="15" customHeight="1" x14ac:dyDescent="0.4">
      <c r="A553" s="2" t="s">
        <v>269</v>
      </c>
      <c r="B553" s="2" t="s">
        <v>451</v>
      </c>
      <c r="C553" s="2" t="s">
        <v>452</v>
      </c>
      <c r="D553" s="3" t="s">
        <v>68</v>
      </c>
      <c r="E553" s="3" t="s">
        <v>510</v>
      </c>
      <c r="F553" s="2" t="s">
        <v>508</v>
      </c>
      <c r="G553" s="4">
        <v>20</v>
      </c>
      <c r="H553" s="5">
        <v>2.5099999999999998</v>
      </c>
      <c r="I553" s="5">
        <v>2.6163676250937362</v>
      </c>
      <c r="J553" s="6">
        <v>0</v>
      </c>
      <c r="K553" s="5">
        <v>0</v>
      </c>
      <c r="L553" s="6">
        <v>0</v>
      </c>
      <c r="M553" s="5">
        <v>0</v>
      </c>
      <c r="N553" s="6">
        <v>1266.221662967313</v>
      </c>
      <c r="O553" s="5">
        <v>3178.216374047955</v>
      </c>
      <c r="P553" s="6">
        <v>0</v>
      </c>
      <c r="Q553" s="5">
        <v>0</v>
      </c>
      <c r="R553" s="6">
        <v>633.11083148365651</v>
      </c>
      <c r="S553" s="5">
        <v>1589.108187023978</v>
      </c>
      <c r="T553" s="6">
        <v>0</v>
      </c>
      <c r="U553" s="5">
        <v>0</v>
      </c>
      <c r="V553" s="6">
        <v>0</v>
      </c>
      <c r="W553" s="5">
        <v>0</v>
      </c>
      <c r="X553" s="6">
        <v>0</v>
      </c>
      <c r="Y553" s="5">
        <v>0</v>
      </c>
      <c r="Z553" s="6">
        <v>0</v>
      </c>
      <c r="AA553" s="5">
        <v>0</v>
      </c>
      <c r="AB553" s="6">
        <v>0</v>
      </c>
      <c r="AC553" s="5">
        <v>0</v>
      </c>
      <c r="AD553" s="6">
        <v>0</v>
      </c>
      <c r="AE553" s="5">
        <v>0</v>
      </c>
      <c r="AF553" s="6">
        <v>0</v>
      </c>
      <c r="AG553" s="5">
        <v>0</v>
      </c>
      <c r="AH553" s="7">
        <f t="shared" si="64"/>
        <v>1899.3324944509695</v>
      </c>
      <c r="AI553" s="8">
        <f t="shared" si="65"/>
        <v>4767.3245610719332</v>
      </c>
      <c r="AJ553" s="6">
        <v>0</v>
      </c>
      <c r="AK553" s="5">
        <v>0</v>
      </c>
      <c r="AL553" s="6">
        <v>0</v>
      </c>
      <c r="AM553" s="5">
        <v>0</v>
      </c>
      <c r="AN553" s="6">
        <v>1380</v>
      </c>
      <c r="AO553" s="5">
        <v>3610.5873226293561</v>
      </c>
      <c r="AP553" s="6">
        <v>0</v>
      </c>
      <c r="AQ553" s="5">
        <v>0</v>
      </c>
      <c r="AR553" s="6">
        <v>680</v>
      </c>
      <c r="AS553" s="5">
        <v>1779.1299850637399</v>
      </c>
      <c r="AT553" s="6">
        <v>0</v>
      </c>
      <c r="AU553" s="5">
        <v>0</v>
      </c>
      <c r="AV553" s="6">
        <v>0</v>
      </c>
      <c r="AW553" s="5">
        <v>0</v>
      </c>
      <c r="AX553" s="6">
        <v>0</v>
      </c>
      <c r="AY553" s="5">
        <v>0</v>
      </c>
      <c r="AZ553" s="6">
        <v>0</v>
      </c>
      <c r="BA553" s="5">
        <v>0</v>
      </c>
      <c r="BB553" s="6">
        <v>0</v>
      </c>
      <c r="BC553" s="5">
        <v>0</v>
      </c>
      <c r="BD553" s="6">
        <v>0</v>
      </c>
      <c r="BE553" s="5">
        <v>0</v>
      </c>
      <c r="BF553" s="6">
        <v>0</v>
      </c>
      <c r="BG553" s="5">
        <v>0</v>
      </c>
      <c r="BH553" s="9">
        <f t="shared" si="66"/>
        <v>2060</v>
      </c>
      <c r="BI553" s="10">
        <f t="shared" si="67"/>
        <v>5389.7173076930958</v>
      </c>
      <c r="BJ553" s="6">
        <f t="shared" si="68"/>
        <v>160.66750554903047</v>
      </c>
      <c r="BK553" s="11">
        <f t="shared" si="69"/>
        <v>8.4591563624816415E-2</v>
      </c>
      <c r="BL553" s="5">
        <f t="shared" si="70"/>
        <v>622.39274662116259</v>
      </c>
      <c r="BM553" s="11">
        <f t="shared" si="71"/>
        <v>0.13055388586365044</v>
      </c>
    </row>
    <row r="554" spans="1:65" ht="15" customHeight="1" x14ac:dyDescent="0.4">
      <c r="A554" s="2" t="s">
        <v>269</v>
      </c>
      <c r="B554" s="2" t="s">
        <v>451</v>
      </c>
      <c r="C554" s="2" t="s">
        <v>452</v>
      </c>
      <c r="D554" s="3" t="s">
        <v>68</v>
      </c>
      <c r="E554" s="3" t="s">
        <v>511</v>
      </c>
      <c r="F554" s="2" t="s">
        <v>512</v>
      </c>
      <c r="G554" s="4">
        <v>1</v>
      </c>
      <c r="H554" s="5">
        <v>4.93</v>
      </c>
      <c r="I554" s="5">
        <v>5.1389212715984547</v>
      </c>
      <c r="J554" s="6">
        <v>0</v>
      </c>
      <c r="K554" s="5">
        <v>0</v>
      </c>
      <c r="L554" s="6">
        <v>0</v>
      </c>
      <c r="M554" s="5">
        <v>0</v>
      </c>
      <c r="N554" s="6">
        <v>0</v>
      </c>
      <c r="O554" s="5">
        <v>0</v>
      </c>
      <c r="P554" s="6">
        <v>0</v>
      </c>
      <c r="Q554" s="5">
        <v>0</v>
      </c>
      <c r="R554" s="6">
        <v>0</v>
      </c>
      <c r="S554" s="5">
        <v>0</v>
      </c>
      <c r="T554" s="6">
        <v>0</v>
      </c>
      <c r="U554" s="5">
        <v>0</v>
      </c>
      <c r="V554" s="6">
        <v>391.73732698051242</v>
      </c>
      <c r="W554" s="5">
        <v>1931.265022013926</v>
      </c>
      <c r="X554" s="6">
        <v>0</v>
      </c>
      <c r="Y554" s="5">
        <v>0</v>
      </c>
      <c r="Z554" s="6">
        <v>0</v>
      </c>
      <c r="AA554" s="5">
        <v>0</v>
      </c>
      <c r="AB554" s="6">
        <v>0</v>
      </c>
      <c r="AC554" s="5">
        <v>0</v>
      </c>
      <c r="AD554" s="6">
        <v>0</v>
      </c>
      <c r="AE554" s="5">
        <v>0</v>
      </c>
      <c r="AF554" s="6">
        <v>0</v>
      </c>
      <c r="AG554" s="5">
        <v>0</v>
      </c>
      <c r="AH554" s="7">
        <f t="shared" si="64"/>
        <v>391.73732698051242</v>
      </c>
      <c r="AI554" s="8">
        <f t="shared" si="65"/>
        <v>1931.265022013926</v>
      </c>
      <c r="AJ554" s="6">
        <v>0</v>
      </c>
      <c r="AK554" s="5">
        <v>0</v>
      </c>
      <c r="AL554" s="6">
        <v>0</v>
      </c>
      <c r="AM554" s="5">
        <v>0</v>
      </c>
      <c r="AN554" s="6">
        <v>0</v>
      </c>
      <c r="AO554" s="5">
        <v>0</v>
      </c>
      <c r="AP554" s="6">
        <v>0</v>
      </c>
      <c r="AQ554" s="5">
        <v>0</v>
      </c>
      <c r="AR554" s="6">
        <v>0</v>
      </c>
      <c r="AS554" s="5">
        <v>0</v>
      </c>
      <c r="AT554" s="6">
        <v>0</v>
      </c>
      <c r="AU554" s="5">
        <v>0</v>
      </c>
      <c r="AV554" s="6">
        <v>473</v>
      </c>
      <c r="AW554" s="5">
        <v>2430.7097614660688</v>
      </c>
      <c r="AX554" s="6">
        <v>0</v>
      </c>
      <c r="AY554" s="5">
        <v>0</v>
      </c>
      <c r="AZ554" s="6">
        <v>0</v>
      </c>
      <c r="BA554" s="5">
        <v>0</v>
      </c>
      <c r="BB554" s="6">
        <v>0</v>
      </c>
      <c r="BC554" s="5">
        <v>0</v>
      </c>
      <c r="BD554" s="6">
        <v>0</v>
      </c>
      <c r="BE554" s="5">
        <v>0</v>
      </c>
      <c r="BF554" s="6">
        <v>0</v>
      </c>
      <c r="BG554" s="5">
        <v>0</v>
      </c>
      <c r="BH554" s="9">
        <f t="shared" si="66"/>
        <v>473</v>
      </c>
      <c r="BI554" s="10">
        <f t="shared" si="67"/>
        <v>2430.7097614660688</v>
      </c>
      <c r="BJ554" s="6">
        <f t="shared" si="68"/>
        <v>81.262673019487579</v>
      </c>
      <c r="BK554" s="11">
        <f t="shared" si="69"/>
        <v>0.20744174073442359</v>
      </c>
      <c r="BL554" s="5">
        <f t="shared" si="70"/>
        <v>499.44473945214281</v>
      </c>
      <c r="BM554" s="11">
        <f t="shared" si="71"/>
        <v>0.25861015125273751</v>
      </c>
    </row>
    <row r="555" spans="1:65" ht="15" customHeight="1" x14ac:dyDescent="0.4">
      <c r="A555" s="2" t="s">
        <v>269</v>
      </c>
      <c r="B555" s="2" t="s">
        <v>451</v>
      </c>
      <c r="C555" s="2" t="s">
        <v>452</v>
      </c>
      <c r="D555" s="3" t="s">
        <v>68</v>
      </c>
      <c r="E555" s="3" t="s">
        <v>513</v>
      </c>
      <c r="F555" s="2" t="s">
        <v>514</v>
      </c>
      <c r="G555" s="4">
        <v>1</v>
      </c>
      <c r="H555" s="5">
        <v>6.3299999999999992</v>
      </c>
      <c r="I555" s="5">
        <v>6.5982498274276304</v>
      </c>
      <c r="J555" s="6">
        <v>0</v>
      </c>
      <c r="K555" s="5">
        <v>0</v>
      </c>
      <c r="L555" s="6">
        <v>1305.791089935042</v>
      </c>
      <c r="M555" s="5">
        <v>8265.657599288812</v>
      </c>
      <c r="N555" s="6">
        <v>0</v>
      </c>
      <c r="O555" s="5">
        <v>0</v>
      </c>
      <c r="P555" s="6">
        <v>0</v>
      </c>
      <c r="Q555" s="5">
        <v>0</v>
      </c>
      <c r="R555" s="6">
        <v>0</v>
      </c>
      <c r="S555" s="5">
        <v>0</v>
      </c>
      <c r="T555" s="6">
        <v>0</v>
      </c>
      <c r="U555" s="5">
        <v>0</v>
      </c>
      <c r="V555" s="6">
        <v>0</v>
      </c>
      <c r="W555" s="5">
        <v>0</v>
      </c>
      <c r="X555" s="6">
        <v>0</v>
      </c>
      <c r="Y555" s="5">
        <v>0</v>
      </c>
      <c r="Z555" s="6">
        <v>0</v>
      </c>
      <c r="AA555" s="5">
        <v>0</v>
      </c>
      <c r="AB555" s="6">
        <v>0</v>
      </c>
      <c r="AC555" s="5">
        <v>0</v>
      </c>
      <c r="AD555" s="6">
        <v>0</v>
      </c>
      <c r="AE555" s="5">
        <v>0</v>
      </c>
      <c r="AF555" s="6">
        <v>0</v>
      </c>
      <c r="AG555" s="5">
        <v>0</v>
      </c>
      <c r="AH555" s="7">
        <f t="shared" si="64"/>
        <v>1305.791089935042</v>
      </c>
      <c r="AI555" s="8">
        <f t="shared" si="65"/>
        <v>8265.657599288812</v>
      </c>
      <c r="AJ555" s="6">
        <v>0</v>
      </c>
      <c r="AK555" s="5">
        <v>0</v>
      </c>
      <c r="AL555" s="6">
        <v>1440</v>
      </c>
      <c r="AM555" s="5">
        <v>9501.4797514957863</v>
      </c>
      <c r="AN555" s="6">
        <v>0</v>
      </c>
      <c r="AO555" s="5">
        <v>0</v>
      </c>
      <c r="AP555" s="6">
        <v>0</v>
      </c>
      <c r="AQ555" s="5">
        <v>0</v>
      </c>
      <c r="AR555" s="6">
        <v>0</v>
      </c>
      <c r="AS555" s="5">
        <v>0</v>
      </c>
      <c r="AT555" s="6">
        <v>0</v>
      </c>
      <c r="AU555" s="5">
        <v>0</v>
      </c>
      <c r="AV555" s="6">
        <v>0</v>
      </c>
      <c r="AW555" s="5">
        <v>0</v>
      </c>
      <c r="AX555" s="6">
        <v>0</v>
      </c>
      <c r="AY555" s="5">
        <v>0</v>
      </c>
      <c r="AZ555" s="6">
        <v>0</v>
      </c>
      <c r="BA555" s="5">
        <v>0</v>
      </c>
      <c r="BB555" s="6">
        <v>0</v>
      </c>
      <c r="BC555" s="5">
        <v>0</v>
      </c>
      <c r="BD555" s="6">
        <v>0</v>
      </c>
      <c r="BE555" s="5">
        <v>0</v>
      </c>
      <c r="BF555" s="6">
        <v>0</v>
      </c>
      <c r="BG555" s="5">
        <v>0</v>
      </c>
      <c r="BH555" s="9">
        <f t="shared" si="66"/>
        <v>1440</v>
      </c>
      <c r="BI555" s="10">
        <f t="shared" si="67"/>
        <v>9501.4797514957863</v>
      </c>
      <c r="BJ555" s="6">
        <f t="shared" si="68"/>
        <v>134.20891006495799</v>
      </c>
      <c r="BK555" s="11">
        <f t="shared" si="69"/>
        <v>0.10277977166442019</v>
      </c>
      <c r="BL555" s="5">
        <f t="shared" si="70"/>
        <v>1235.8221522069744</v>
      </c>
      <c r="BM555" s="11">
        <f t="shared" si="71"/>
        <v>0.14951286541476216</v>
      </c>
    </row>
    <row r="556" spans="1:65" ht="15" customHeight="1" x14ac:dyDescent="0.4">
      <c r="A556" s="2" t="s">
        <v>269</v>
      </c>
      <c r="B556" s="2" t="s">
        <v>451</v>
      </c>
      <c r="C556" s="2" t="s">
        <v>452</v>
      </c>
      <c r="D556" s="3" t="s">
        <v>68</v>
      </c>
      <c r="E556" s="3" t="s">
        <v>513</v>
      </c>
      <c r="F556" s="2" t="s">
        <v>515</v>
      </c>
      <c r="G556" s="4">
        <v>1</v>
      </c>
      <c r="H556" s="5">
        <v>6.33</v>
      </c>
      <c r="I556" s="5">
        <v>6.5982498274276304</v>
      </c>
      <c r="J556" s="6">
        <v>0</v>
      </c>
      <c r="K556" s="5">
        <v>0</v>
      </c>
      <c r="L556" s="6">
        <v>0</v>
      </c>
      <c r="M556" s="5">
        <v>0</v>
      </c>
      <c r="N556" s="6">
        <v>0</v>
      </c>
      <c r="O556" s="5">
        <v>0</v>
      </c>
      <c r="P556" s="6">
        <v>0</v>
      </c>
      <c r="Q556" s="5">
        <v>0</v>
      </c>
      <c r="R556" s="6">
        <v>0</v>
      </c>
      <c r="S556" s="5">
        <v>0</v>
      </c>
      <c r="T556" s="6">
        <v>783.47465396102484</v>
      </c>
      <c r="U556" s="5">
        <v>4959.3945595732876</v>
      </c>
      <c r="V556" s="6">
        <v>0</v>
      </c>
      <c r="W556" s="5">
        <v>0</v>
      </c>
      <c r="X556" s="6">
        <v>0</v>
      </c>
      <c r="Y556" s="5">
        <v>0</v>
      </c>
      <c r="Z556" s="6">
        <v>0</v>
      </c>
      <c r="AA556" s="5">
        <v>0</v>
      </c>
      <c r="AB556" s="6">
        <v>0</v>
      </c>
      <c r="AC556" s="5">
        <v>0</v>
      </c>
      <c r="AD556" s="6">
        <v>0</v>
      </c>
      <c r="AE556" s="5">
        <v>0</v>
      </c>
      <c r="AF556" s="6">
        <v>0</v>
      </c>
      <c r="AG556" s="5">
        <v>0</v>
      </c>
      <c r="AH556" s="7">
        <f t="shared" si="64"/>
        <v>783.47465396102484</v>
      </c>
      <c r="AI556" s="8">
        <f t="shared" si="65"/>
        <v>4959.3945595732876</v>
      </c>
      <c r="AJ556" s="6">
        <v>0</v>
      </c>
      <c r="AK556" s="5">
        <v>0</v>
      </c>
      <c r="AL556" s="6">
        <v>0</v>
      </c>
      <c r="AM556" s="5">
        <v>0</v>
      </c>
      <c r="AN556" s="6">
        <v>0</v>
      </c>
      <c r="AO556" s="5">
        <v>0</v>
      </c>
      <c r="AP556" s="6">
        <v>0</v>
      </c>
      <c r="AQ556" s="5">
        <v>0</v>
      </c>
      <c r="AR556" s="6">
        <v>0</v>
      </c>
      <c r="AS556" s="5">
        <v>0</v>
      </c>
      <c r="AT556" s="6">
        <v>864</v>
      </c>
      <c r="AU556" s="5">
        <v>5700.8878508974722</v>
      </c>
      <c r="AV556" s="6">
        <v>0</v>
      </c>
      <c r="AW556" s="5">
        <v>0</v>
      </c>
      <c r="AX556" s="6">
        <v>0</v>
      </c>
      <c r="AY556" s="5">
        <v>0</v>
      </c>
      <c r="AZ556" s="6">
        <v>0</v>
      </c>
      <c r="BA556" s="5">
        <v>0</v>
      </c>
      <c r="BB556" s="6">
        <v>0</v>
      </c>
      <c r="BC556" s="5">
        <v>0</v>
      </c>
      <c r="BD556" s="6">
        <v>0</v>
      </c>
      <c r="BE556" s="5">
        <v>0</v>
      </c>
      <c r="BF556" s="6">
        <v>0</v>
      </c>
      <c r="BG556" s="5">
        <v>0</v>
      </c>
      <c r="BH556" s="9">
        <f t="shared" si="66"/>
        <v>864</v>
      </c>
      <c r="BI556" s="10">
        <f t="shared" si="67"/>
        <v>5700.8878508974722</v>
      </c>
      <c r="BJ556" s="6">
        <f t="shared" si="68"/>
        <v>80.525346038975158</v>
      </c>
      <c r="BK556" s="11">
        <f t="shared" si="69"/>
        <v>0.1027797716644207</v>
      </c>
      <c r="BL556" s="5">
        <f t="shared" si="70"/>
        <v>741.49329132418461</v>
      </c>
      <c r="BM556" s="11">
        <f t="shared" si="71"/>
        <v>0.14951286541476216</v>
      </c>
    </row>
    <row r="557" spans="1:65" ht="15" customHeight="1" x14ac:dyDescent="0.4">
      <c r="A557" s="2" t="s">
        <v>269</v>
      </c>
      <c r="B557" s="2" t="s">
        <v>451</v>
      </c>
      <c r="C557" s="2" t="s">
        <v>452</v>
      </c>
      <c r="D557" s="3" t="s">
        <v>68</v>
      </c>
      <c r="E557" s="3" t="s">
        <v>513</v>
      </c>
      <c r="F557" s="2" t="s">
        <v>516</v>
      </c>
      <c r="G557" s="4">
        <v>1</v>
      </c>
      <c r="H557" s="5">
        <v>6.3299999999999992</v>
      </c>
      <c r="I557" s="5">
        <v>6.5982498274276304</v>
      </c>
      <c r="J557" s="6">
        <v>0</v>
      </c>
      <c r="K557" s="5">
        <v>0</v>
      </c>
      <c r="L557" s="6">
        <v>0</v>
      </c>
      <c r="M557" s="5">
        <v>0</v>
      </c>
      <c r="N557" s="6">
        <v>0</v>
      </c>
      <c r="O557" s="5">
        <v>0</v>
      </c>
      <c r="P557" s="6">
        <v>0</v>
      </c>
      <c r="Q557" s="5">
        <v>0</v>
      </c>
      <c r="R557" s="6">
        <v>0</v>
      </c>
      <c r="S557" s="5">
        <v>0</v>
      </c>
      <c r="T557" s="6">
        <v>522.3164359740166</v>
      </c>
      <c r="U557" s="5">
        <v>3306.2630397155249</v>
      </c>
      <c r="V557" s="6">
        <v>0</v>
      </c>
      <c r="W557" s="5">
        <v>0</v>
      </c>
      <c r="X557" s="6">
        <v>0</v>
      </c>
      <c r="Y557" s="5">
        <v>0</v>
      </c>
      <c r="Z557" s="6">
        <v>0</v>
      </c>
      <c r="AA557" s="5">
        <v>0</v>
      </c>
      <c r="AB557" s="6">
        <v>0</v>
      </c>
      <c r="AC557" s="5">
        <v>0</v>
      </c>
      <c r="AD557" s="6">
        <v>625.6774519369369</v>
      </c>
      <c r="AE557" s="5">
        <v>3960.538270760811</v>
      </c>
      <c r="AF557" s="6">
        <v>0</v>
      </c>
      <c r="AG557" s="5">
        <v>0</v>
      </c>
      <c r="AH557" s="7">
        <f t="shared" si="64"/>
        <v>1147.9938879109536</v>
      </c>
      <c r="AI557" s="8">
        <f t="shared" si="65"/>
        <v>7266.8013104763359</v>
      </c>
      <c r="AJ557" s="6">
        <v>0</v>
      </c>
      <c r="AK557" s="5">
        <v>0</v>
      </c>
      <c r="AL557" s="6">
        <v>0</v>
      </c>
      <c r="AM557" s="5">
        <v>0</v>
      </c>
      <c r="AN557" s="6">
        <v>0</v>
      </c>
      <c r="AO557" s="5">
        <v>0</v>
      </c>
      <c r="AP557" s="6">
        <v>0</v>
      </c>
      <c r="AQ557" s="5">
        <v>0</v>
      </c>
      <c r="AR557" s="6">
        <v>0</v>
      </c>
      <c r="AS557" s="5">
        <v>0</v>
      </c>
      <c r="AT557" s="6">
        <v>576</v>
      </c>
      <c r="AU557" s="5">
        <v>3800.5919005983151</v>
      </c>
      <c r="AV557" s="6">
        <v>0</v>
      </c>
      <c r="AW557" s="5">
        <v>0</v>
      </c>
      <c r="AX557" s="6">
        <v>0</v>
      </c>
      <c r="AY557" s="5">
        <v>0</v>
      </c>
      <c r="AZ557" s="6">
        <v>0</v>
      </c>
      <c r="BA557" s="5">
        <v>0</v>
      </c>
      <c r="BB557" s="6">
        <v>0</v>
      </c>
      <c r="BC557" s="5">
        <v>0</v>
      </c>
      <c r="BD557" s="6">
        <v>690</v>
      </c>
      <c r="BE557" s="5">
        <v>4552.7923809250651</v>
      </c>
      <c r="BF557" s="6">
        <v>0</v>
      </c>
      <c r="BG557" s="5">
        <v>0</v>
      </c>
      <c r="BH557" s="9">
        <f t="shared" si="66"/>
        <v>1266</v>
      </c>
      <c r="BI557" s="10">
        <f t="shared" si="67"/>
        <v>8353.3842815233802</v>
      </c>
      <c r="BJ557" s="6">
        <f t="shared" si="68"/>
        <v>118.00611208904638</v>
      </c>
      <c r="BK557" s="11">
        <f t="shared" si="69"/>
        <v>0.10279332784932019</v>
      </c>
      <c r="BL557" s="5">
        <f t="shared" si="70"/>
        <v>1086.5829710470443</v>
      </c>
      <c r="BM557" s="11">
        <f t="shared" si="71"/>
        <v>0.14952699607742809</v>
      </c>
    </row>
    <row r="558" spans="1:65" ht="15" customHeight="1" x14ac:dyDescent="0.4">
      <c r="A558" s="2" t="s">
        <v>269</v>
      </c>
      <c r="B558" s="2" t="s">
        <v>451</v>
      </c>
      <c r="C558" s="2" t="s">
        <v>452</v>
      </c>
      <c r="D558" s="3" t="s">
        <v>68</v>
      </c>
      <c r="E558" s="3" t="s">
        <v>517</v>
      </c>
      <c r="F558" s="2" t="s">
        <v>514</v>
      </c>
      <c r="G558" s="4">
        <v>20</v>
      </c>
      <c r="H558" s="5">
        <v>4.8899999999999997</v>
      </c>
      <c r="I558" s="5">
        <v>5.097226170003335</v>
      </c>
      <c r="J558" s="6">
        <v>0</v>
      </c>
      <c r="K558" s="5">
        <v>0</v>
      </c>
      <c r="L558" s="6">
        <v>633.11083148365651</v>
      </c>
      <c r="M558" s="5">
        <v>3095.9119659550802</v>
      </c>
      <c r="N558" s="6">
        <v>0</v>
      </c>
      <c r="O558" s="5">
        <v>0</v>
      </c>
      <c r="P558" s="6">
        <v>0</v>
      </c>
      <c r="Q558" s="5">
        <v>0</v>
      </c>
      <c r="R558" s="6">
        <v>633.11083148365651</v>
      </c>
      <c r="S558" s="5">
        <v>3095.9119659550802</v>
      </c>
      <c r="T558" s="6">
        <v>0</v>
      </c>
      <c r="U558" s="5">
        <v>0</v>
      </c>
      <c r="V558" s="6">
        <v>0</v>
      </c>
      <c r="W558" s="5">
        <v>0</v>
      </c>
      <c r="X558" s="6">
        <v>0</v>
      </c>
      <c r="Y558" s="5">
        <v>0</v>
      </c>
      <c r="Z558" s="6">
        <v>0</v>
      </c>
      <c r="AA558" s="5">
        <v>0</v>
      </c>
      <c r="AB558" s="6">
        <v>0</v>
      </c>
      <c r="AC558" s="5">
        <v>0</v>
      </c>
      <c r="AD558" s="6">
        <v>0</v>
      </c>
      <c r="AE558" s="5">
        <v>0</v>
      </c>
      <c r="AF558" s="6">
        <v>0</v>
      </c>
      <c r="AG558" s="5">
        <v>0</v>
      </c>
      <c r="AH558" s="7">
        <f t="shared" si="64"/>
        <v>1266.221662967313</v>
      </c>
      <c r="AI558" s="8">
        <f t="shared" si="65"/>
        <v>6191.8239319101604</v>
      </c>
      <c r="AJ558" s="6">
        <v>0</v>
      </c>
      <c r="AK558" s="5">
        <v>0</v>
      </c>
      <c r="AL558" s="6">
        <v>700</v>
      </c>
      <c r="AM558" s="5">
        <v>3568.058319002334</v>
      </c>
      <c r="AN558" s="6">
        <v>0</v>
      </c>
      <c r="AO558" s="5">
        <v>0</v>
      </c>
      <c r="AP558" s="6">
        <v>0</v>
      </c>
      <c r="AQ558" s="5">
        <v>0</v>
      </c>
      <c r="AR558" s="6">
        <v>700</v>
      </c>
      <c r="AS558" s="5">
        <v>3568.058319002334</v>
      </c>
      <c r="AT558" s="6">
        <v>0</v>
      </c>
      <c r="AU558" s="5">
        <v>0</v>
      </c>
      <c r="AV558" s="6">
        <v>0</v>
      </c>
      <c r="AW558" s="5">
        <v>0</v>
      </c>
      <c r="AX558" s="6">
        <v>0</v>
      </c>
      <c r="AY558" s="5">
        <v>0</v>
      </c>
      <c r="AZ558" s="6">
        <v>0</v>
      </c>
      <c r="BA558" s="5">
        <v>0</v>
      </c>
      <c r="BB558" s="6">
        <v>0</v>
      </c>
      <c r="BC558" s="5">
        <v>0</v>
      </c>
      <c r="BD558" s="6">
        <v>0</v>
      </c>
      <c r="BE558" s="5">
        <v>0</v>
      </c>
      <c r="BF558" s="6">
        <v>0</v>
      </c>
      <c r="BG558" s="5">
        <v>0</v>
      </c>
      <c r="BH558" s="9">
        <f t="shared" si="66"/>
        <v>1400</v>
      </c>
      <c r="BI558" s="10">
        <f t="shared" si="67"/>
        <v>7136.1166380046679</v>
      </c>
      <c r="BJ558" s="6">
        <f t="shared" si="68"/>
        <v>133.77833703268698</v>
      </c>
      <c r="BK558" s="11">
        <f t="shared" si="69"/>
        <v>0.10565159398646334</v>
      </c>
      <c r="BL558" s="5">
        <f t="shared" si="70"/>
        <v>944.29270609450759</v>
      </c>
      <c r="BM558" s="11">
        <f t="shared" si="71"/>
        <v>0.15250638850177964</v>
      </c>
    </row>
    <row r="559" spans="1:65" ht="15" customHeight="1" x14ac:dyDescent="0.4">
      <c r="A559" s="2" t="s">
        <v>269</v>
      </c>
      <c r="B559" s="2" t="s">
        <v>451</v>
      </c>
      <c r="C559" s="2" t="s">
        <v>452</v>
      </c>
      <c r="D559" s="3" t="s">
        <v>68</v>
      </c>
      <c r="E559" s="3" t="s">
        <v>517</v>
      </c>
      <c r="F559" s="2" t="s">
        <v>518</v>
      </c>
      <c r="G559" s="4">
        <v>20</v>
      </c>
      <c r="H559" s="5">
        <v>4.8899999999999997</v>
      </c>
      <c r="I559" s="5">
        <v>5.097226170003335</v>
      </c>
      <c r="J559" s="6">
        <v>0</v>
      </c>
      <c r="K559" s="5">
        <v>0</v>
      </c>
      <c r="L559" s="6">
        <v>0</v>
      </c>
      <c r="M559" s="5">
        <v>0</v>
      </c>
      <c r="N559" s="6">
        <v>0</v>
      </c>
      <c r="O559" s="5">
        <v>0</v>
      </c>
      <c r="P559" s="6">
        <v>0</v>
      </c>
      <c r="Q559" s="5">
        <v>0</v>
      </c>
      <c r="R559" s="6">
        <v>0</v>
      </c>
      <c r="S559" s="5">
        <v>0</v>
      </c>
      <c r="T559" s="6">
        <v>0</v>
      </c>
      <c r="U559" s="5">
        <v>0</v>
      </c>
      <c r="V559" s="6">
        <v>633.11083148365651</v>
      </c>
      <c r="W559" s="5">
        <v>3095.9119659550802</v>
      </c>
      <c r="X559" s="6">
        <v>0</v>
      </c>
      <c r="Y559" s="5">
        <v>0</v>
      </c>
      <c r="Z559" s="6">
        <v>0</v>
      </c>
      <c r="AA559" s="5">
        <v>0</v>
      </c>
      <c r="AB559" s="6">
        <v>0</v>
      </c>
      <c r="AC559" s="5">
        <v>0</v>
      </c>
      <c r="AD559" s="6">
        <v>0</v>
      </c>
      <c r="AE559" s="5">
        <v>0</v>
      </c>
      <c r="AF559" s="6">
        <v>0</v>
      </c>
      <c r="AG559" s="5">
        <v>0</v>
      </c>
      <c r="AH559" s="7">
        <f t="shared" si="64"/>
        <v>633.11083148365651</v>
      </c>
      <c r="AI559" s="8">
        <f t="shared" si="65"/>
        <v>3095.9119659550802</v>
      </c>
      <c r="AJ559" s="6">
        <v>0</v>
      </c>
      <c r="AK559" s="5">
        <v>0</v>
      </c>
      <c r="AL559" s="6">
        <v>0</v>
      </c>
      <c r="AM559" s="5">
        <v>0</v>
      </c>
      <c r="AN559" s="6">
        <v>0</v>
      </c>
      <c r="AO559" s="5">
        <v>0</v>
      </c>
      <c r="AP559" s="6">
        <v>0</v>
      </c>
      <c r="AQ559" s="5">
        <v>0</v>
      </c>
      <c r="AR559" s="6">
        <v>0</v>
      </c>
      <c r="AS559" s="5">
        <v>0</v>
      </c>
      <c r="AT559" s="6">
        <v>0</v>
      </c>
      <c r="AU559" s="5">
        <v>0</v>
      </c>
      <c r="AV559" s="6">
        <v>700</v>
      </c>
      <c r="AW559" s="5">
        <v>3568.058319002334</v>
      </c>
      <c r="AX559" s="6">
        <v>0</v>
      </c>
      <c r="AY559" s="5">
        <v>0</v>
      </c>
      <c r="AZ559" s="6">
        <v>0</v>
      </c>
      <c r="BA559" s="5">
        <v>0</v>
      </c>
      <c r="BB559" s="6">
        <v>0</v>
      </c>
      <c r="BC559" s="5">
        <v>0</v>
      </c>
      <c r="BD559" s="6">
        <v>0</v>
      </c>
      <c r="BE559" s="5">
        <v>0</v>
      </c>
      <c r="BF559" s="6">
        <v>0</v>
      </c>
      <c r="BG559" s="5">
        <v>0</v>
      </c>
      <c r="BH559" s="9">
        <f t="shared" si="66"/>
        <v>700</v>
      </c>
      <c r="BI559" s="10">
        <f t="shared" si="67"/>
        <v>3568.058319002334</v>
      </c>
      <c r="BJ559" s="6">
        <f t="shared" si="68"/>
        <v>66.889168516343489</v>
      </c>
      <c r="BK559" s="11">
        <f t="shared" si="69"/>
        <v>0.10565159398646334</v>
      </c>
      <c r="BL559" s="5">
        <f t="shared" si="70"/>
        <v>472.1463530472538</v>
      </c>
      <c r="BM559" s="11">
        <f t="shared" si="71"/>
        <v>0.15250638850177964</v>
      </c>
    </row>
    <row r="560" spans="1:65" ht="15" customHeight="1" x14ac:dyDescent="0.4">
      <c r="A560" s="2" t="s">
        <v>269</v>
      </c>
      <c r="B560" s="2" t="s">
        <v>451</v>
      </c>
      <c r="C560" s="2" t="s">
        <v>452</v>
      </c>
      <c r="D560" s="3" t="s">
        <v>68</v>
      </c>
      <c r="E560" s="3" t="s">
        <v>519</v>
      </c>
      <c r="F560" s="2" t="s">
        <v>520</v>
      </c>
      <c r="G560" s="4">
        <v>200</v>
      </c>
      <c r="H560" s="5">
        <v>4.0175999999999998</v>
      </c>
      <c r="I560" s="5">
        <v>4.1878560042137831</v>
      </c>
      <c r="J560" s="6">
        <v>0</v>
      </c>
      <c r="K560" s="5">
        <v>0</v>
      </c>
      <c r="L560" s="6">
        <v>0</v>
      </c>
      <c r="M560" s="5">
        <v>0</v>
      </c>
      <c r="N560" s="6">
        <v>0</v>
      </c>
      <c r="O560" s="5">
        <v>0</v>
      </c>
      <c r="P560" s="6">
        <v>0</v>
      </c>
      <c r="Q560" s="5">
        <v>0</v>
      </c>
      <c r="R560" s="6">
        <v>0</v>
      </c>
      <c r="S560" s="5">
        <v>0</v>
      </c>
      <c r="T560" s="6">
        <v>0</v>
      </c>
      <c r="U560" s="5">
        <v>0</v>
      </c>
      <c r="V560" s="6">
        <v>0</v>
      </c>
      <c r="W560" s="5">
        <v>0</v>
      </c>
      <c r="X560" s="6">
        <v>0</v>
      </c>
      <c r="Y560" s="5">
        <v>0</v>
      </c>
      <c r="Z560" s="6">
        <v>0</v>
      </c>
      <c r="AA560" s="5">
        <v>0</v>
      </c>
      <c r="AB560" s="6">
        <v>0</v>
      </c>
      <c r="AC560" s="5">
        <v>0</v>
      </c>
      <c r="AD560" s="6">
        <v>379.19845571935571</v>
      </c>
      <c r="AE560" s="5">
        <v>1523.467715698084</v>
      </c>
      <c r="AF560" s="6">
        <v>0</v>
      </c>
      <c r="AG560" s="5">
        <v>0</v>
      </c>
      <c r="AH560" s="7">
        <f t="shared" si="64"/>
        <v>379.19845571935571</v>
      </c>
      <c r="AI560" s="8">
        <f t="shared" si="65"/>
        <v>1523.467715698084</v>
      </c>
      <c r="AJ560" s="6">
        <v>0</v>
      </c>
      <c r="AK560" s="5">
        <v>0</v>
      </c>
      <c r="AL560" s="6">
        <v>0</v>
      </c>
      <c r="AM560" s="5">
        <v>0</v>
      </c>
      <c r="AN560" s="6">
        <v>0</v>
      </c>
      <c r="AO560" s="5">
        <v>0</v>
      </c>
      <c r="AP560" s="6">
        <v>0</v>
      </c>
      <c r="AQ560" s="5">
        <v>0</v>
      </c>
      <c r="AR560" s="6">
        <v>0</v>
      </c>
      <c r="AS560" s="5">
        <v>0</v>
      </c>
      <c r="AT560" s="6">
        <v>0</v>
      </c>
      <c r="AU560" s="5">
        <v>0</v>
      </c>
      <c r="AV560" s="6">
        <v>0</v>
      </c>
      <c r="AW560" s="5">
        <v>0</v>
      </c>
      <c r="AX560" s="6">
        <v>0</v>
      </c>
      <c r="AY560" s="5">
        <v>0</v>
      </c>
      <c r="AZ560" s="6">
        <v>0</v>
      </c>
      <c r="BA560" s="5">
        <v>0</v>
      </c>
      <c r="BB560" s="6">
        <v>0</v>
      </c>
      <c r="BC560" s="5">
        <v>0</v>
      </c>
      <c r="BD560" s="6">
        <v>400</v>
      </c>
      <c r="BE560" s="5">
        <v>1675.1424016855131</v>
      </c>
      <c r="BF560" s="6">
        <v>0</v>
      </c>
      <c r="BG560" s="5">
        <v>0</v>
      </c>
      <c r="BH560" s="9">
        <f t="shared" si="66"/>
        <v>400</v>
      </c>
      <c r="BI560" s="10">
        <f t="shared" si="67"/>
        <v>1675.1424016855131</v>
      </c>
      <c r="BJ560" s="6">
        <f t="shared" si="68"/>
        <v>20.801544280644293</v>
      </c>
      <c r="BK560" s="11">
        <f t="shared" si="69"/>
        <v>5.4856616547087129E-2</v>
      </c>
      <c r="BL560" s="5">
        <f t="shared" si="70"/>
        <v>151.67468598742903</v>
      </c>
      <c r="BM560" s="11">
        <f t="shared" si="71"/>
        <v>9.955884488036465E-2</v>
      </c>
    </row>
    <row r="561" spans="1:65" ht="15" customHeight="1" x14ac:dyDescent="0.4">
      <c r="A561" s="2" t="s">
        <v>269</v>
      </c>
      <c r="B561" s="2" t="s">
        <v>451</v>
      </c>
      <c r="C561" s="2" t="s">
        <v>452</v>
      </c>
      <c r="D561" s="3" t="s">
        <v>68</v>
      </c>
      <c r="E561" s="3" t="s">
        <v>521</v>
      </c>
      <c r="F561" s="2" t="s">
        <v>438</v>
      </c>
      <c r="G561" s="4">
        <v>1</v>
      </c>
      <c r="H561" s="5">
        <v>5.0699999999999994</v>
      </c>
      <c r="I561" s="5">
        <v>5.2848541271813714</v>
      </c>
      <c r="J561" s="6">
        <v>0</v>
      </c>
      <c r="K561" s="5">
        <v>0</v>
      </c>
      <c r="L561" s="6">
        <v>0</v>
      </c>
      <c r="M561" s="5">
        <v>0</v>
      </c>
      <c r="N561" s="6">
        <v>0</v>
      </c>
      <c r="O561" s="5">
        <v>0</v>
      </c>
      <c r="P561" s="6">
        <v>0</v>
      </c>
      <c r="Q561" s="5">
        <v>0</v>
      </c>
      <c r="R561" s="6">
        <v>0</v>
      </c>
      <c r="S561" s="5">
        <v>0</v>
      </c>
      <c r="T561" s="6">
        <v>1305.791089935042</v>
      </c>
      <c r="U561" s="5">
        <v>6620.3608259706598</v>
      </c>
      <c r="V561" s="6">
        <v>0</v>
      </c>
      <c r="W561" s="5">
        <v>0</v>
      </c>
      <c r="X561" s="6">
        <v>0</v>
      </c>
      <c r="Y561" s="5">
        <v>0</v>
      </c>
      <c r="Z561" s="6">
        <v>0</v>
      </c>
      <c r="AA561" s="5">
        <v>0</v>
      </c>
      <c r="AB561" s="6">
        <v>0</v>
      </c>
      <c r="AC561" s="5">
        <v>0</v>
      </c>
      <c r="AD561" s="6">
        <v>0</v>
      </c>
      <c r="AE561" s="5">
        <v>0</v>
      </c>
      <c r="AF561" s="6">
        <v>0</v>
      </c>
      <c r="AG561" s="5">
        <v>0</v>
      </c>
      <c r="AH561" s="7">
        <f t="shared" si="64"/>
        <v>1305.791089935042</v>
      </c>
      <c r="AI561" s="8">
        <f t="shared" si="65"/>
        <v>6620.3608259706598</v>
      </c>
      <c r="AJ561" s="6">
        <v>0</v>
      </c>
      <c r="AK561" s="5">
        <v>0</v>
      </c>
      <c r="AL561" s="6">
        <v>0</v>
      </c>
      <c r="AM561" s="5">
        <v>0</v>
      </c>
      <c r="AN561" s="6">
        <v>0</v>
      </c>
      <c r="AO561" s="5">
        <v>0</v>
      </c>
      <c r="AP561" s="6">
        <v>0</v>
      </c>
      <c r="AQ561" s="5">
        <v>0</v>
      </c>
      <c r="AR561" s="6">
        <v>0</v>
      </c>
      <c r="AS561" s="5">
        <v>0</v>
      </c>
      <c r="AT561" s="6">
        <v>1399</v>
      </c>
      <c r="AU561" s="5">
        <v>7393.5109239267395</v>
      </c>
      <c r="AV561" s="6">
        <v>0</v>
      </c>
      <c r="AW561" s="5">
        <v>0</v>
      </c>
      <c r="AX561" s="6">
        <v>0</v>
      </c>
      <c r="AY561" s="5">
        <v>0</v>
      </c>
      <c r="AZ561" s="6">
        <v>0</v>
      </c>
      <c r="BA561" s="5">
        <v>0</v>
      </c>
      <c r="BB561" s="6">
        <v>0</v>
      </c>
      <c r="BC561" s="5">
        <v>0</v>
      </c>
      <c r="BD561" s="6">
        <v>0</v>
      </c>
      <c r="BE561" s="5">
        <v>0</v>
      </c>
      <c r="BF561" s="6">
        <v>0</v>
      </c>
      <c r="BG561" s="5">
        <v>0</v>
      </c>
      <c r="BH561" s="9">
        <f t="shared" si="66"/>
        <v>1399</v>
      </c>
      <c r="BI561" s="10">
        <f t="shared" si="67"/>
        <v>7393.5109239267395</v>
      </c>
      <c r="BJ561" s="6">
        <f t="shared" si="68"/>
        <v>93.20891006495799</v>
      </c>
      <c r="BK561" s="11">
        <f t="shared" si="69"/>
        <v>7.1381180943419345E-2</v>
      </c>
      <c r="BL561" s="5">
        <f t="shared" si="70"/>
        <v>773.15009795607966</v>
      </c>
      <c r="BM561" s="11">
        <f t="shared" si="71"/>
        <v>0.11678367966336978</v>
      </c>
    </row>
    <row r="562" spans="1:65" ht="15" customHeight="1" x14ac:dyDescent="0.4">
      <c r="A562" s="2" t="s">
        <v>269</v>
      </c>
      <c r="B562" s="2" t="s">
        <v>451</v>
      </c>
      <c r="C562" s="2" t="s">
        <v>452</v>
      </c>
      <c r="D562" s="3" t="s">
        <v>68</v>
      </c>
      <c r="E562" s="3" t="s">
        <v>522</v>
      </c>
      <c r="F562" s="2" t="s">
        <v>523</v>
      </c>
      <c r="G562" s="4">
        <v>1</v>
      </c>
      <c r="H562" s="5">
        <v>4.6099999999999994</v>
      </c>
      <c r="I562" s="5">
        <v>4.8053604588374998</v>
      </c>
      <c r="J562" s="6">
        <v>0</v>
      </c>
      <c r="K562" s="5">
        <v>0</v>
      </c>
      <c r="L562" s="6">
        <v>0</v>
      </c>
      <c r="M562" s="5">
        <v>0</v>
      </c>
      <c r="N562" s="6">
        <v>0</v>
      </c>
      <c r="O562" s="5">
        <v>0</v>
      </c>
      <c r="P562" s="6">
        <v>0</v>
      </c>
      <c r="Q562" s="5">
        <v>0</v>
      </c>
      <c r="R562" s="6">
        <v>1958.686634902562</v>
      </c>
      <c r="S562" s="5">
        <v>9029.5453869008106</v>
      </c>
      <c r="T562" s="6">
        <v>652.89554496752078</v>
      </c>
      <c r="U562" s="5">
        <v>3009.848462300271</v>
      </c>
      <c r="V562" s="6">
        <v>0</v>
      </c>
      <c r="W562" s="5">
        <v>0</v>
      </c>
      <c r="X562" s="6">
        <v>0</v>
      </c>
      <c r="Y562" s="5">
        <v>0</v>
      </c>
      <c r="Z562" s="6">
        <v>0</v>
      </c>
      <c r="AA562" s="5">
        <v>0</v>
      </c>
      <c r="AB562" s="6">
        <v>0</v>
      </c>
      <c r="AC562" s="5">
        <v>0</v>
      </c>
      <c r="AD562" s="6">
        <v>0</v>
      </c>
      <c r="AE562" s="5">
        <v>0</v>
      </c>
      <c r="AF562" s="6">
        <v>0</v>
      </c>
      <c r="AG562" s="5">
        <v>0</v>
      </c>
      <c r="AH562" s="7">
        <f t="shared" si="64"/>
        <v>2611.5821798700827</v>
      </c>
      <c r="AI562" s="8">
        <f t="shared" si="65"/>
        <v>12039.393849201082</v>
      </c>
      <c r="AJ562" s="6">
        <v>0</v>
      </c>
      <c r="AK562" s="5">
        <v>0</v>
      </c>
      <c r="AL562" s="6">
        <v>0</v>
      </c>
      <c r="AM562" s="5">
        <v>0</v>
      </c>
      <c r="AN562" s="6">
        <v>0</v>
      </c>
      <c r="AO562" s="5">
        <v>0</v>
      </c>
      <c r="AP562" s="6">
        <v>0</v>
      </c>
      <c r="AQ562" s="5">
        <v>0</v>
      </c>
      <c r="AR562" s="6">
        <v>2129</v>
      </c>
      <c r="AS562" s="5">
        <v>10230.61241686504</v>
      </c>
      <c r="AT562" s="6">
        <v>710</v>
      </c>
      <c r="AU562" s="5">
        <v>3411.805925774624</v>
      </c>
      <c r="AV562" s="6">
        <v>0</v>
      </c>
      <c r="AW562" s="5">
        <v>0</v>
      </c>
      <c r="AX562" s="6">
        <v>0</v>
      </c>
      <c r="AY562" s="5">
        <v>0</v>
      </c>
      <c r="AZ562" s="6">
        <v>0</v>
      </c>
      <c r="BA562" s="5">
        <v>0</v>
      </c>
      <c r="BB562" s="6">
        <v>0</v>
      </c>
      <c r="BC562" s="5">
        <v>0</v>
      </c>
      <c r="BD562" s="6">
        <v>0</v>
      </c>
      <c r="BE562" s="5">
        <v>0</v>
      </c>
      <c r="BF562" s="6">
        <v>0</v>
      </c>
      <c r="BG562" s="5">
        <v>0</v>
      </c>
      <c r="BH562" s="9">
        <f t="shared" si="66"/>
        <v>2839</v>
      </c>
      <c r="BI562" s="10">
        <f t="shared" si="67"/>
        <v>13642.418342639665</v>
      </c>
      <c r="BJ562" s="6">
        <f t="shared" si="68"/>
        <v>227.41782012991735</v>
      </c>
      <c r="BK562" s="11">
        <f t="shared" si="69"/>
        <v>8.7080476303920337E-2</v>
      </c>
      <c r="BL562" s="5">
        <f t="shared" si="70"/>
        <v>1603.0244934385828</v>
      </c>
      <c r="BM562" s="11">
        <f t="shared" si="71"/>
        <v>0.13314827253906619</v>
      </c>
    </row>
    <row r="563" spans="1:65" ht="15" customHeight="1" x14ac:dyDescent="0.4">
      <c r="A563" s="2" t="s">
        <v>269</v>
      </c>
      <c r="B563" s="2" t="s">
        <v>451</v>
      </c>
      <c r="C563" s="2" t="s">
        <v>452</v>
      </c>
      <c r="D563" s="3" t="s">
        <v>68</v>
      </c>
      <c r="E563" s="3" t="s">
        <v>522</v>
      </c>
      <c r="F563" s="2" t="s">
        <v>524</v>
      </c>
      <c r="G563" s="4">
        <v>1</v>
      </c>
      <c r="H563" s="5">
        <v>4.6099999999999994</v>
      </c>
      <c r="I563" s="5">
        <v>4.8053604588374998</v>
      </c>
      <c r="J563" s="6">
        <v>0</v>
      </c>
      <c r="K563" s="5">
        <v>0</v>
      </c>
      <c r="L563" s="6">
        <v>0</v>
      </c>
      <c r="M563" s="5">
        <v>0</v>
      </c>
      <c r="N563" s="6">
        <v>0</v>
      </c>
      <c r="O563" s="5">
        <v>0</v>
      </c>
      <c r="P563" s="6">
        <v>0</v>
      </c>
      <c r="Q563" s="5">
        <v>0</v>
      </c>
      <c r="R563" s="6">
        <v>0</v>
      </c>
      <c r="S563" s="5">
        <v>0</v>
      </c>
      <c r="T563" s="6">
        <v>0</v>
      </c>
      <c r="U563" s="5">
        <v>0</v>
      </c>
      <c r="V563" s="6">
        <v>0</v>
      </c>
      <c r="W563" s="5">
        <v>0</v>
      </c>
      <c r="X563" s="6">
        <v>0</v>
      </c>
      <c r="Y563" s="5">
        <v>0</v>
      </c>
      <c r="Z563" s="6">
        <v>0</v>
      </c>
      <c r="AA563" s="5">
        <v>0</v>
      </c>
      <c r="AB563" s="6">
        <v>0</v>
      </c>
      <c r="AC563" s="5">
        <v>0</v>
      </c>
      <c r="AD563" s="6">
        <v>284.39884178951678</v>
      </c>
      <c r="AE563" s="5">
        <v>1311.078660649672</v>
      </c>
      <c r="AF563" s="6">
        <v>0</v>
      </c>
      <c r="AG563" s="5">
        <v>0</v>
      </c>
      <c r="AH563" s="7">
        <f t="shared" si="64"/>
        <v>284.39884178951678</v>
      </c>
      <c r="AI563" s="8">
        <f t="shared" si="65"/>
        <v>1311.078660649672</v>
      </c>
      <c r="AJ563" s="6">
        <v>0</v>
      </c>
      <c r="AK563" s="5">
        <v>0</v>
      </c>
      <c r="AL563" s="6">
        <v>0</v>
      </c>
      <c r="AM563" s="5">
        <v>0</v>
      </c>
      <c r="AN563" s="6">
        <v>0</v>
      </c>
      <c r="AO563" s="5">
        <v>0</v>
      </c>
      <c r="AP563" s="6">
        <v>0</v>
      </c>
      <c r="AQ563" s="5">
        <v>0</v>
      </c>
      <c r="AR563" s="6">
        <v>0</v>
      </c>
      <c r="AS563" s="5">
        <v>0</v>
      </c>
      <c r="AT563" s="6">
        <v>0</v>
      </c>
      <c r="AU563" s="5">
        <v>0</v>
      </c>
      <c r="AV563" s="6">
        <v>0</v>
      </c>
      <c r="AW563" s="5">
        <v>0</v>
      </c>
      <c r="AX563" s="6">
        <v>0</v>
      </c>
      <c r="AY563" s="5">
        <v>0</v>
      </c>
      <c r="AZ563" s="6">
        <v>0</v>
      </c>
      <c r="BA563" s="5">
        <v>0</v>
      </c>
      <c r="BB563" s="6">
        <v>0</v>
      </c>
      <c r="BC563" s="5">
        <v>0</v>
      </c>
      <c r="BD563" s="6">
        <v>309</v>
      </c>
      <c r="BE563" s="5">
        <v>1484.8563817807869</v>
      </c>
      <c r="BF563" s="6">
        <v>0</v>
      </c>
      <c r="BG563" s="5">
        <v>0</v>
      </c>
      <c r="BH563" s="9">
        <f t="shared" si="66"/>
        <v>309</v>
      </c>
      <c r="BI563" s="10">
        <f t="shared" si="67"/>
        <v>1484.8563817807869</v>
      </c>
      <c r="BJ563" s="6">
        <f t="shared" si="68"/>
        <v>24.60115821048322</v>
      </c>
      <c r="BK563" s="11">
        <f t="shared" si="69"/>
        <v>8.6502315043499742E-2</v>
      </c>
      <c r="BL563" s="5">
        <f t="shared" si="70"/>
        <v>173.77772113111496</v>
      </c>
      <c r="BM563" s="11">
        <f t="shared" si="71"/>
        <v>0.13254561022677602</v>
      </c>
    </row>
    <row r="564" spans="1:65" ht="15" customHeight="1" x14ac:dyDescent="0.4">
      <c r="A564" s="2" t="s">
        <v>269</v>
      </c>
      <c r="B564" s="2" t="s">
        <v>451</v>
      </c>
      <c r="C564" s="2" t="s">
        <v>452</v>
      </c>
      <c r="D564" s="3" t="s">
        <v>68</v>
      </c>
      <c r="E564" s="3" t="s">
        <v>525</v>
      </c>
      <c r="F564" s="2" t="s">
        <v>523</v>
      </c>
      <c r="G564" s="4">
        <v>20</v>
      </c>
      <c r="H564" s="5">
        <v>3.46</v>
      </c>
      <c r="I564" s="5">
        <v>3.606626287977821</v>
      </c>
      <c r="J564" s="6">
        <v>0</v>
      </c>
      <c r="K564" s="5">
        <v>0</v>
      </c>
      <c r="L564" s="6">
        <v>633.11083148365651</v>
      </c>
      <c r="M564" s="5">
        <v>2190.563476933452</v>
      </c>
      <c r="N564" s="6">
        <v>0</v>
      </c>
      <c r="O564" s="5">
        <v>0</v>
      </c>
      <c r="P564" s="6">
        <v>0</v>
      </c>
      <c r="Q564" s="5">
        <v>0</v>
      </c>
      <c r="R564" s="6">
        <v>0</v>
      </c>
      <c r="S564" s="5">
        <v>0</v>
      </c>
      <c r="T564" s="6">
        <v>1266.221662967313</v>
      </c>
      <c r="U564" s="5">
        <v>4381.126953866903</v>
      </c>
      <c r="V564" s="6">
        <v>0</v>
      </c>
      <c r="W564" s="5">
        <v>0</v>
      </c>
      <c r="X564" s="6">
        <v>0</v>
      </c>
      <c r="Y564" s="5">
        <v>0</v>
      </c>
      <c r="Z564" s="6">
        <v>0</v>
      </c>
      <c r="AA564" s="5">
        <v>0</v>
      </c>
      <c r="AB564" s="6">
        <v>0</v>
      </c>
      <c r="AC564" s="5">
        <v>0</v>
      </c>
      <c r="AD564" s="6">
        <v>0</v>
      </c>
      <c r="AE564" s="5">
        <v>0</v>
      </c>
      <c r="AF564" s="6">
        <v>0</v>
      </c>
      <c r="AG564" s="5">
        <v>0</v>
      </c>
      <c r="AH564" s="7">
        <f t="shared" si="64"/>
        <v>1899.3324944509695</v>
      </c>
      <c r="AI564" s="8">
        <f t="shared" si="65"/>
        <v>6571.690430800355</v>
      </c>
      <c r="AJ564" s="6">
        <v>0</v>
      </c>
      <c r="AK564" s="5">
        <v>0</v>
      </c>
      <c r="AL564" s="6">
        <v>680</v>
      </c>
      <c r="AM564" s="5">
        <v>2452.5058758249179</v>
      </c>
      <c r="AN564" s="6">
        <v>0</v>
      </c>
      <c r="AO564" s="5">
        <v>0</v>
      </c>
      <c r="AP564" s="6">
        <v>0</v>
      </c>
      <c r="AQ564" s="5">
        <v>0</v>
      </c>
      <c r="AR564" s="6">
        <v>0</v>
      </c>
      <c r="AS564" s="5">
        <v>0</v>
      </c>
      <c r="AT564" s="6">
        <v>1380</v>
      </c>
      <c r="AU564" s="5">
        <v>4977.1442774093921</v>
      </c>
      <c r="AV564" s="6">
        <v>0</v>
      </c>
      <c r="AW564" s="5">
        <v>0</v>
      </c>
      <c r="AX564" s="6">
        <v>0</v>
      </c>
      <c r="AY564" s="5">
        <v>0</v>
      </c>
      <c r="AZ564" s="6">
        <v>0</v>
      </c>
      <c r="BA564" s="5">
        <v>0</v>
      </c>
      <c r="BB564" s="6">
        <v>0</v>
      </c>
      <c r="BC564" s="5">
        <v>0</v>
      </c>
      <c r="BD564" s="6">
        <v>0</v>
      </c>
      <c r="BE564" s="5">
        <v>0</v>
      </c>
      <c r="BF564" s="6">
        <v>0</v>
      </c>
      <c r="BG564" s="5">
        <v>0</v>
      </c>
      <c r="BH564" s="9">
        <f t="shared" si="66"/>
        <v>2060</v>
      </c>
      <c r="BI564" s="10">
        <f t="shared" si="67"/>
        <v>7429.65015323431</v>
      </c>
      <c r="BJ564" s="6">
        <f t="shared" si="68"/>
        <v>160.66750554903047</v>
      </c>
      <c r="BK564" s="11">
        <f t="shared" si="69"/>
        <v>8.4591563624816415E-2</v>
      </c>
      <c r="BL564" s="5">
        <f t="shared" si="70"/>
        <v>857.95972243395499</v>
      </c>
      <c r="BM564" s="11">
        <f t="shared" si="71"/>
        <v>0.13055388586365069</v>
      </c>
    </row>
    <row r="565" spans="1:65" ht="15" customHeight="1" x14ac:dyDescent="0.4">
      <c r="A565" s="2" t="s">
        <v>269</v>
      </c>
      <c r="B565" s="2" t="s">
        <v>451</v>
      </c>
      <c r="C565" s="2" t="s">
        <v>452</v>
      </c>
      <c r="D565" s="3" t="s">
        <v>68</v>
      </c>
      <c r="E565" s="3" t="s">
        <v>525</v>
      </c>
      <c r="F565" s="2" t="s">
        <v>526</v>
      </c>
      <c r="G565" s="4">
        <v>20</v>
      </c>
      <c r="H565" s="5">
        <v>3.430369107890582</v>
      </c>
      <c r="I565" s="5">
        <v>3.575538921483743</v>
      </c>
      <c r="J565" s="6">
        <v>0</v>
      </c>
      <c r="K565" s="5">
        <v>0</v>
      </c>
      <c r="L565" s="6">
        <v>0</v>
      </c>
      <c r="M565" s="5">
        <v>0</v>
      </c>
      <c r="N565" s="6">
        <v>0</v>
      </c>
      <c r="O565" s="5">
        <v>0</v>
      </c>
      <c r="P565" s="6">
        <v>0</v>
      </c>
      <c r="Q565" s="5">
        <v>0</v>
      </c>
      <c r="R565" s="6">
        <v>0</v>
      </c>
      <c r="S565" s="5">
        <v>0</v>
      </c>
      <c r="T565" s="6">
        <v>0</v>
      </c>
      <c r="U565" s="5">
        <v>0</v>
      </c>
      <c r="V565" s="6">
        <v>633.11083148365651</v>
      </c>
      <c r="W565" s="5">
        <v>2190.563476933452</v>
      </c>
      <c r="X565" s="6">
        <v>0</v>
      </c>
      <c r="Y565" s="5">
        <v>0</v>
      </c>
      <c r="Z565" s="6">
        <v>0</v>
      </c>
      <c r="AA565" s="5">
        <v>0</v>
      </c>
      <c r="AB565" s="6">
        <v>0</v>
      </c>
      <c r="AC565" s="5">
        <v>0</v>
      </c>
      <c r="AD565" s="6">
        <v>606.7175291509692</v>
      </c>
      <c r="AE565" s="5">
        <v>2062.505430474193</v>
      </c>
      <c r="AF565" s="6">
        <v>0</v>
      </c>
      <c r="AG565" s="5">
        <v>0</v>
      </c>
      <c r="AH565" s="7">
        <f t="shared" si="64"/>
        <v>1239.8283606346258</v>
      </c>
      <c r="AI565" s="8">
        <f t="shared" si="65"/>
        <v>4253.0689074076454</v>
      </c>
      <c r="AJ565" s="6">
        <v>0</v>
      </c>
      <c r="AK565" s="5">
        <v>0</v>
      </c>
      <c r="AL565" s="6">
        <v>0</v>
      </c>
      <c r="AM565" s="5">
        <v>0</v>
      </c>
      <c r="AN565" s="6">
        <v>0</v>
      </c>
      <c r="AO565" s="5">
        <v>0</v>
      </c>
      <c r="AP565" s="6">
        <v>0</v>
      </c>
      <c r="AQ565" s="5">
        <v>0</v>
      </c>
      <c r="AR565" s="6">
        <v>0</v>
      </c>
      <c r="AS565" s="5">
        <v>0</v>
      </c>
      <c r="AT565" s="6">
        <v>0</v>
      </c>
      <c r="AU565" s="5">
        <v>0</v>
      </c>
      <c r="AV565" s="6">
        <v>680</v>
      </c>
      <c r="AW565" s="5">
        <v>2452.5058758249179</v>
      </c>
      <c r="AX565" s="6">
        <v>0</v>
      </c>
      <c r="AY565" s="5">
        <v>0</v>
      </c>
      <c r="AZ565" s="6">
        <v>0</v>
      </c>
      <c r="BA565" s="5">
        <v>0</v>
      </c>
      <c r="BB565" s="6">
        <v>0</v>
      </c>
      <c r="BC565" s="5">
        <v>0</v>
      </c>
      <c r="BD565" s="6">
        <v>660</v>
      </c>
      <c r="BE565" s="5">
        <v>2338.716278963298</v>
      </c>
      <c r="BF565" s="6">
        <v>0</v>
      </c>
      <c r="BG565" s="5">
        <v>0</v>
      </c>
      <c r="BH565" s="9">
        <f t="shared" si="66"/>
        <v>1340</v>
      </c>
      <c r="BI565" s="10">
        <f t="shared" si="67"/>
        <v>4791.2221547882164</v>
      </c>
      <c r="BJ565" s="6">
        <f t="shared" si="68"/>
        <v>100.17163936537418</v>
      </c>
      <c r="BK565" s="11">
        <f t="shared" si="69"/>
        <v>8.0794763651074838E-2</v>
      </c>
      <c r="BL565" s="5">
        <f t="shared" si="70"/>
        <v>538.15324738057097</v>
      </c>
      <c r="BM565" s="11">
        <f t="shared" si="71"/>
        <v>0.12653292460022456</v>
      </c>
    </row>
    <row r="566" spans="1:65" ht="15" customHeight="1" x14ac:dyDescent="0.4">
      <c r="A566" s="2" t="s">
        <v>269</v>
      </c>
      <c r="B566" s="2" t="s">
        <v>451</v>
      </c>
      <c r="C566" s="2" t="s">
        <v>452</v>
      </c>
      <c r="D566" s="3" t="s">
        <v>68</v>
      </c>
      <c r="E566" s="3" t="s">
        <v>527</v>
      </c>
      <c r="F566" s="2" t="s">
        <v>528</v>
      </c>
      <c r="G566" s="4">
        <v>1</v>
      </c>
      <c r="H566" s="5">
        <v>4.0199999999999996</v>
      </c>
      <c r="I566" s="5">
        <v>4.19035771030949</v>
      </c>
      <c r="J566" s="6">
        <v>0</v>
      </c>
      <c r="K566" s="5">
        <v>0</v>
      </c>
      <c r="L566" s="6">
        <v>0</v>
      </c>
      <c r="M566" s="5">
        <v>0</v>
      </c>
      <c r="N566" s="6">
        <v>0</v>
      </c>
      <c r="O566" s="5">
        <v>0</v>
      </c>
      <c r="P566" s="6">
        <v>0</v>
      </c>
      <c r="Q566" s="5">
        <v>0</v>
      </c>
      <c r="R566" s="6">
        <v>652.89554496752078</v>
      </c>
      <c r="S566" s="5">
        <v>2624.6400907694328</v>
      </c>
      <c r="T566" s="6">
        <v>0</v>
      </c>
      <c r="U566" s="5">
        <v>0</v>
      </c>
      <c r="V566" s="6">
        <v>0</v>
      </c>
      <c r="W566" s="5">
        <v>0</v>
      </c>
      <c r="X566" s="6">
        <v>0</v>
      </c>
      <c r="Y566" s="5">
        <v>0</v>
      </c>
      <c r="Z566" s="6">
        <v>0</v>
      </c>
      <c r="AA566" s="5">
        <v>0</v>
      </c>
      <c r="AB566" s="6">
        <v>0</v>
      </c>
      <c r="AC566" s="5">
        <v>0</v>
      </c>
      <c r="AD566" s="6">
        <v>0</v>
      </c>
      <c r="AE566" s="5">
        <v>0</v>
      </c>
      <c r="AF566" s="6">
        <v>0</v>
      </c>
      <c r="AG566" s="5">
        <v>0</v>
      </c>
      <c r="AH566" s="7">
        <f t="shared" si="64"/>
        <v>652.89554496752078</v>
      </c>
      <c r="AI566" s="8">
        <f t="shared" si="65"/>
        <v>2624.6400907694328</v>
      </c>
      <c r="AJ566" s="6">
        <v>0</v>
      </c>
      <c r="AK566" s="5">
        <v>0</v>
      </c>
      <c r="AL566" s="6">
        <v>0</v>
      </c>
      <c r="AM566" s="5">
        <v>0</v>
      </c>
      <c r="AN566" s="6">
        <v>0</v>
      </c>
      <c r="AO566" s="5">
        <v>0</v>
      </c>
      <c r="AP566" s="6">
        <v>0</v>
      </c>
      <c r="AQ566" s="5">
        <v>0</v>
      </c>
      <c r="AR566" s="6">
        <v>699</v>
      </c>
      <c r="AS566" s="5">
        <v>2929.0600395063329</v>
      </c>
      <c r="AT566" s="6">
        <v>0</v>
      </c>
      <c r="AU566" s="5">
        <v>0</v>
      </c>
      <c r="AV566" s="6">
        <v>0</v>
      </c>
      <c r="AW566" s="5">
        <v>0</v>
      </c>
      <c r="AX566" s="6">
        <v>0</v>
      </c>
      <c r="AY566" s="5">
        <v>0</v>
      </c>
      <c r="AZ566" s="6">
        <v>0</v>
      </c>
      <c r="BA566" s="5">
        <v>0</v>
      </c>
      <c r="BB566" s="6">
        <v>0</v>
      </c>
      <c r="BC566" s="5">
        <v>0</v>
      </c>
      <c r="BD566" s="6">
        <v>0</v>
      </c>
      <c r="BE566" s="5">
        <v>0</v>
      </c>
      <c r="BF566" s="6">
        <v>0</v>
      </c>
      <c r="BG566" s="5">
        <v>0</v>
      </c>
      <c r="BH566" s="9">
        <f t="shared" si="66"/>
        <v>699</v>
      </c>
      <c r="BI566" s="10">
        <f t="shared" si="67"/>
        <v>2929.0600395063329</v>
      </c>
      <c r="BJ566" s="6">
        <f t="shared" si="68"/>
        <v>46.104455032479223</v>
      </c>
      <c r="BK566" s="11">
        <f t="shared" si="69"/>
        <v>7.0615361657541648E-2</v>
      </c>
      <c r="BL566" s="5">
        <f t="shared" si="70"/>
        <v>304.4199487369001</v>
      </c>
      <c r="BM566" s="11">
        <f t="shared" si="71"/>
        <v>0.11598540684016494</v>
      </c>
    </row>
    <row r="567" spans="1:65" ht="15" customHeight="1" x14ac:dyDescent="0.4">
      <c r="A567" s="2" t="s">
        <v>269</v>
      </c>
      <c r="B567" s="2" t="s">
        <v>451</v>
      </c>
      <c r="C567" s="2" t="s">
        <v>452</v>
      </c>
      <c r="D567" s="3" t="s">
        <v>68</v>
      </c>
      <c r="E567" s="3" t="s">
        <v>527</v>
      </c>
      <c r="F567" s="2" t="s">
        <v>529</v>
      </c>
      <c r="G567" s="4">
        <v>1</v>
      </c>
      <c r="H567" s="5">
        <v>4.0199999999999996</v>
      </c>
      <c r="I567" s="5">
        <v>4.19035771030949</v>
      </c>
      <c r="J567" s="6">
        <v>0</v>
      </c>
      <c r="K567" s="5">
        <v>0</v>
      </c>
      <c r="L567" s="6">
        <v>0</v>
      </c>
      <c r="M567" s="5">
        <v>0</v>
      </c>
      <c r="N567" s="6">
        <v>0</v>
      </c>
      <c r="O567" s="5">
        <v>0</v>
      </c>
      <c r="P567" s="6">
        <v>0</v>
      </c>
      <c r="Q567" s="5">
        <v>0</v>
      </c>
      <c r="R567" s="6">
        <v>0</v>
      </c>
      <c r="S567" s="5">
        <v>0</v>
      </c>
      <c r="T567" s="6">
        <v>0</v>
      </c>
      <c r="U567" s="5">
        <v>0</v>
      </c>
      <c r="V567" s="6">
        <v>0</v>
      </c>
      <c r="W567" s="5">
        <v>0</v>
      </c>
      <c r="X567" s="6">
        <v>0</v>
      </c>
      <c r="Y567" s="5">
        <v>0</v>
      </c>
      <c r="Z567" s="6">
        <v>0</v>
      </c>
      <c r="AA567" s="5">
        <v>0</v>
      </c>
      <c r="AB567" s="6">
        <v>0</v>
      </c>
      <c r="AC567" s="5">
        <v>0</v>
      </c>
      <c r="AD567" s="6">
        <v>625.6774519369369</v>
      </c>
      <c r="AE567" s="5">
        <v>2515.223356786486</v>
      </c>
      <c r="AF567" s="6">
        <v>0</v>
      </c>
      <c r="AG567" s="5">
        <v>0</v>
      </c>
      <c r="AH567" s="7">
        <f t="shared" si="64"/>
        <v>625.6774519369369</v>
      </c>
      <c r="AI567" s="8">
        <f t="shared" si="65"/>
        <v>2515.223356786486</v>
      </c>
      <c r="AJ567" s="6">
        <v>0</v>
      </c>
      <c r="AK567" s="5">
        <v>0</v>
      </c>
      <c r="AL567" s="6">
        <v>0</v>
      </c>
      <c r="AM567" s="5">
        <v>0</v>
      </c>
      <c r="AN567" s="6">
        <v>0</v>
      </c>
      <c r="AO567" s="5">
        <v>0</v>
      </c>
      <c r="AP567" s="6">
        <v>0</v>
      </c>
      <c r="AQ567" s="5">
        <v>0</v>
      </c>
      <c r="AR567" s="6">
        <v>0</v>
      </c>
      <c r="AS567" s="5">
        <v>0</v>
      </c>
      <c r="AT567" s="6">
        <v>0</v>
      </c>
      <c r="AU567" s="5">
        <v>0</v>
      </c>
      <c r="AV567" s="6">
        <v>0</v>
      </c>
      <c r="AW567" s="5">
        <v>0</v>
      </c>
      <c r="AX567" s="6">
        <v>0</v>
      </c>
      <c r="AY567" s="5">
        <v>0</v>
      </c>
      <c r="AZ567" s="6">
        <v>0</v>
      </c>
      <c r="BA567" s="5">
        <v>0</v>
      </c>
      <c r="BB567" s="6">
        <v>0</v>
      </c>
      <c r="BC567" s="5">
        <v>0</v>
      </c>
      <c r="BD567" s="6">
        <v>670</v>
      </c>
      <c r="BE567" s="5">
        <v>2807.5396659073581</v>
      </c>
      <c r="BF567" s="6">
        <v>0</v>
      </c>
      <c r="BG567" s="5">
        <v>0</v>
      </c>
      <c r="BH567" s="9">
        <f t="shared" si="66"/>
        <v>670</v>
      </c>
      <c r="BI567" s="10">
        <f t="shared" si="67"/>
        <v>2807.5396659073581</v>
      </c>
      <c r="BJ567" s="6">
        <f t="shared" si="68"/>
        <v>44.322548063063095</v>
      </c>
      <c r="BK567" s="11">
        <f t="shared" si="69"/>
        <v>7.083929255537634E-2</v>
      </c>
      <c r="BL567" s="5">
        <f t="shared" si="70"/>
        <v>292.31630912087212</v>
      </c>
      <c r="BM567" s="11">
        <f t="shared" si="71"/>
        <v>0.11621882737855256</v>
      </c>
    </row>
    <row r="568" spans="1:65" ht="15" customHeight="1" x14ac:dyDescent="0.4">
      <c r="A568" s="2" t="s">
        <v>269</v>
      </c>
      <c r="B568" s="2" t="s">
        <v>451</v>
      </c>
      <c r="C568" s="2" t="s">
        <v>452</v>
      </c>
      <c r="D568" s="3" t="s">
        <v>68</v>
      </c>
      <c r="E568" s="3" t="s">
        <v>530</v>
      </c>
      <c r="F568" s="2" t="s">
        <v>441</v>
      </c>
      <c r="G568" s="4">
        <v>1</v>
      </c>
      <c r="H568" s="5">
        <v>4.38</v>
      </c>
      <c r="I568" s="5">
        <v>4.5656136246655654</v>
      </c>
      <c r="J568" s="6">
        <v>1305.791089935042</v>
      </c>
      <c r="K568" s="5">
        <v>5719.3649739154816</v>
      </c>
      <c r="L568" s="6">
        <v>0</v>
      </c>
      <c r="M568" s="5">
        <v>0</v>
      </c>
      <c r="N568" s="6">
        <v>0</v>
      </c>
      <c r="O568" s="5">
        <v>0</v>
      </c>
      <c r="P568" s="6">
        <v>0</v>
      </c>
      <c r="Q568" s="5">
        <v>0</v>
      </c>
      <c r="R568" s="6">
        <v>0</v>
      </c>
      <c r="S568" s="5">
        <v>0</v>
      </c>
      <c r="T568" s="6">
        <v>1305.791089935042</v>
      </c>
      <c r="U568" s="5">
        <v>5719.3649739154816</v>
      </c>
      <c r="V568" s="6">
        <v>0</v>
      </c>
      <c r="W568" s="5">
        <v>0</v>
      </c>
      <c r="X568" s="6">
        <v>0</v>
      </c>
      <c r="Y568" s="5">
        <v>0</v>
      </c>
      <c r="Z568" s="6">
        <v>0</v>
      </c>
      <c r="AA568" s="5">
        <v>0</v>
      </c>
      <c r="AB568" s="6">
        <v>0</v>
      </c>
      <c r="AC568" s="5">
        <v>0</v>
      </c>
      <c r="AD568" s="6">
        <v>0</v>
      </c>
      <c r="AE568" s="5">
        <v>0</v>
      </c>
      <c r="AF568" s="6">
        <v>0</v>
      </c>
      <c r="AG568" s="5">
        <v>0</v>
      </c>
      <c r="AH568" s="7">
        <f t="shared" si="64"/>
        <v>2611.582179870084</v>
      </c>
      <c r="AI568" s="8">
        <f t="shared" si="65"/>
        <v>11438.729947830963</v>
      </c>
      <c r="AJ568" s="6">
        <v>1440</v>
      </c>
      <c r="AK568" s="5">
        <v>6574.4836195184134</v>
      </c>
      <c r="AL568" s="6">
        <v>0</v>
      </c>
      <c r="AM568" s="5">
        <v>0</v>
      </c>
      <c r="AN568" s="6">
        <v>0</v>
      </c>
      <c r="AO568" s="5">
        <v>0</v>
      </c>
      <c r="AP568" s="6">
        <v>0</v>
      </c>
      <c r="AQ568" s="5">
        <v>0</v>
      </c>
      <c r="AR568" s="6">
        <v>0</v>
      </c>
      <c r="AS568" s="5">
        <v>0</v>
      </c>
      <c r="AT568" s="6">
        <v>1440</v>
      </c>
      <c r="AU568" s="5">
        <v>6574.4836195184134</v>
      </c>
      <c r="AV568" s="6">
        <v>0</v>
      </c>
      <c r="AW568" s="5">
        <v>0</v>
      </c>
      <c r="AX568" s="6">
        <v>0</v>
      </c>
      <c r="AY568" s="5">
        <v>0</v>
      </c>
      <c r="AZ568" s="6">
        <v>0</v>
      </c>
      <c r="BA568" s="5">
        <v>0</v>
      </c>
      <c r="BB568" s="6">
        <v>0</v>
      </c>
      <c r="BC568" s="5">
        <v>0</v>
      </c>
      <c r="BD568" s="6">
        <v>0</v>
      </c>
      <c r="BE568" s="5">
        <v>0</v>
      </c>
      <c r="BF568" s="6">
        <v>0</v>
      </c>
      <c r="BG568" s="5">
        <v>0</v>
      </c>
      <c r="BH568" s="9">
        <f t="shared" si="66"/>
        <v>2880</v>
      </c>
      <c r="BI568" s="10">
        <f t="shared" si="67"/>
        <v>13148.967239036827</v>
      </c>
      <c r="BJ568" s="6">
        <f t="shared" si="68"/>
        <v>268.41782012991598</v>
      </c>
      <c r="BK568" s="11">
        <f t="shared" si="69"/>
        <v>0.10277977166442019</v>
      </c>
      <c r="BL568" s="5">
        <f t="shared" si="70"/>
        <v>1710.2372912058636</v>
      </c>
      <c r="BM568" s="11">
        <f t="shared" si="71"/>
        <v>0.14951286541476247</v>
      </c>
    </row>
    <row r="569" spans="1:65" ht="15" customHeight="1" x14ac:dyDescent="0.4">
      <c r="A569" s="2" t="s">
        <v>269</v>
      </c>
      <c r="B569" s="2" t="s">
        <v>451</v>
      </c>
      <c r="C569" s="2" t="s">
        <v>452</v>
      </c>
      <c r="D569" s="3" t="s">
        <v>68</v>
      </c>
      <c r="E569" s="3" t="s">
        <v>530</v>
      </c>
      <c r="F569" s="2" t="s">
        <v>250</v>
      </c>
      <c r="G569" s="4">
        <v>1</v>
      </c>
      <c r="H569" s="5">
        <v>4.2267007575757587</v>
      </c>
      <c r="I569" s="5">
        <v>4.4058179374822242</v>
      </c>
      <c r="J569" s="6">
        <v>0</v>
      </c>
      <c r="K569" s="5">
        <v>0</v>
      </c>
      <c r="L569" s="6">
        <v>0</v>
      </c>
      <c r="M569" s="5">
        <v>0</v>
      </c>
      <c r="N569" s="6">
        <v>0</v>
      </c>
      <c r="O569" s="5">
        <v>0</v>
      </c>
      <c r="P569" s="6">
        <v>0</v>
      </c>
      <c r="Q569" s="5">
        <v>0</v>
      </c>
      <c r="R569" s="6">
        <v>0</v>
      </c>
      <c r="S569" s="5">
        <v>0</v>
      </c>
      <c r="T569" s="6">
        <v>0</v>
      </c>
      <c r="U569" s="5">
        <v>0</v>
      </c>
      <c r="V569" s="6">
        <v>0</v>
      </c>
      <c r="W569" s="5">
        <v>0</v>
      </c>
      <c r="X569" s="6">
        <v>0</v>
      </c>
      <c r="Y569" s="5">
        <v>0</v>
      </c>
      <c r="Z569" s="6">
        <v>0</v>
      </c>
      <c r="AA569" s="5">
        <v>0</v>
      </c>
      <c r="AB569" s="6">
        <v>0</v>
      </c>
      <c r="AC569" s="5">
        <v>0</v>
      </c>
      <c r="AD569" s="6">
        <v>568.79768357903356</v>
      </c>
      <c r="AE569" s="5">
        <v>2404.1376000908381</v>
      </c>
      <c r="AF569" s="6">
        <v>0</v>
      </c>
      <c r="AG569" s="5">
        <v>0</v>
      </c>
      <c r="AH569" s="7">
        <f t="shared" si="64"/>
        <v>568.79768357903356</v>
      </c>
      <c r="AI569" s="8">
        <f t="shared" si="65"/>
        <v>2404.1376000908381</v>
      </c>
      <c r="AJ569" s="6">
        <v>0</v>
      </c>
      <c r="AK569" s="5">
        <v>0</v>
      </c>
      <c r="AL569" s="6">
        <v>0</v>
      </c>
      <c r="AM569" s="5">
        <v>0</v>
      </c>
      <c r="AN569" s="6">
        <v>0</v>
      </c>
      <c r="AO569" s="5">
        <v>0</v>
      </c>
      <c r="AP569" s="6">
        <v>0</v>
      </c>
      <c r="AQ569" s="5">
        <v>0</v>
      </c>
      <c r="AR569" s="6">
        <v>0</v>
      </c>
      <c r="AS569" s="5">
        <v>0</v>
      </c>
      <c r="AT569" s="6">
        <v>0</v>
      </c>
      <c r="AU569" s="5">
        <v>0</v>
      </c>
      <c r="AV569" s="6">
        <v>0</v>
      </c>
      <c r="AW569" s="5">
        <v>0</v>
      </c>
      <c r="AX569" s="6">
        <v>0</v>
      </c>
      <c r="AY569" s="5">
        <v>0</v>
      </c>
      <c r="AZ569" s="6">
        <v>0</v>
      </c>
      <c r="BA569" s="5">
        <v>0</v>
      </c>
      <c r="BB569" s="6">
        <v>0</v>
      </c>
      <c r="BC569" s="5">
        <v>0</v>
      </c>
      <c r="BD569" s="6">
        <v>627</v>
      </c>
      <c r="BE569" s="5">
        <v>2762.447846801354</v>
      </c>
      <c r="BF569" s="6">
        <v>0</v>
      </c>
      <c r="BG569" s="5">
        <v>0</v>
      </c>
      <c r="BH569" s="9">
        <f t="shared" si="66"/>
        <v>627</v>
      </c>
      <c r="BI569" s="10">
        <f t="shared" si="67"/>
        <v>2762.447846801354</v>
      </c>
      <c r="BJ569" s="6">
        <f t="shared" si="68"/>
        <v>58.20231642096644</v>
      </c>
      <c r="BK569" s="11">
        <f t="shared" si="69"/>
        <v>0.10232516429170604</v>
      </c>
      <c r="BL569" s="5">
        <f t="shared" si="70"/>
        <v>358.31024671051591</v>
      </c>
      <c r="BM569" s="11">
        <f t="shared" si="71"/>
        <v>0.14903899289998104</v>
      </c>
    </row>
    <row r="570" spans="1:65" ht="15" customHeight="1" x14ac:dyDescent="0.4">
      <c r="A570" s="2" t="s">
        <v>269</v>
      </c>
      <c r="B570" s="2" t="s">
        <v>451</v>
      </c>
      <c r="C570" s="2" t="s">
        <v>452</v>
      </c>
      <c r="D570" s="3" t="s">
        <v>68</v>
      </c>
      <c r="E570" s="3" t="s">
        <v>531</v>
      </c>
      <c r="F570" s="2" t="s">
        <v>441</v>
      </c>
      <c r="G570" s="4">
        <v>5</v>
      </c>
      <c r="H570" s="5">
        <v>3.35</v>
      </c>
      <c r="I570" s="5">
        <v>3.4919647585912421</v>
      </c>
      <c r="J570" s="6">
        <v>0</v>
      </c>
      <c r="K570" s="5">
        <v>0</v>
      </c>
      <c r="L570" s="6">
        <v>0</v>
      </c>
      <c r="M570" s="5">
        <v>0</v>
      </c>
      <c r="N570" s="6">
        <v>296.77070225796399</v>
      </c>
      <c r="O570" s="5">
        <v>994.18185256417928</v>
      </c>
      <c r="P570" s="6">
        <v>0</v>
      </c>
      <c r="Q570" s="5">
        <v>0</v>
      </c>
      <c r="R570" s="6">
        <v>0</v>
      </c>
      <c r="S570" s="5">
        <v>0</v>
      </c>
      <c r="T570" s="6">
        <v>296.77070225796399</v>
      </c>
      <c r="U570" s="5">
        <v>994.18185256417928</v>
      </c>
      <c r="V570" s="6">
        <v>0</v>
      </c>
      <c r="W570" s="5">
        <v>0</v>
      </c>
      <c r="X570" s="6">
        <v>0</v>
      </c>
      <c r="Y570" s="5">
        <v>0</v>
      </c>
      <c r="Z570" s="6">
        <v>0</v>
      </c>
      <c r="AA570" s="5">
        <v>0</v>
      </c>
      <c r="AB570" s="6">
        <v>0</v>
      </c>
      <c r="AC570" s="5">
        <v>0</v>
      </c>
      <c r="AD570" s="6">
        <v>0</v>
      </c>
      <c r="AE570" s="5">
        <v>0</v>
      </c>
      <c r="AF570" s="6">
        <v>0</v>
      </c>
      <c r="AG570" s="5">
        <v>0</v>
      </c>
      <c r="AH570" s="7">
        <f t="shared" si="64"/>
        <v>593.54140451592798</v>
      </c>
      <c r="AI570" s="8">
        <f t="shared" si="65"/>
        <v>1988.3637051283586</v>
      </c>
      <c r="AJ570" s="6">
        <v>0</v>
      </c>
      <c r="AK570" s="5">
        <v>0</v>
      </c>
      <c r="AL570" s="6">
        <v>0</v>
      </c>
      <c r="AM570" s="5">
        <v>0</v>
      </c>
      <c r="AN570" s="6">
        <v>325</v>
      </c>
      <c r="AO570" s="5">
        <v>1134.888546542154</v>
      </c>
      <c r="AP570" s="6">
        <v>0</v>
      </c>
      <c r="AQ570" s="5">
        <v>0</v>
      </c>
      <c r="AR570" s="6">
        <v>0</v>
      </c>
      <c r="AS570" s="5">
        <v>0</v>
      </c>
      <c r="AT570" s="6">
        <v>325</v>
      </c>
      <c r="AU570" s="5">
        <v>1134.888546542154</v>
      </c>
      <c r="AV570" s="6">
        <v>0</v>
      </c>
      <c r="AW570" s="5">
        <v>0</v>
      </c>
      <c r="AX570" s="6">
        <v>0</v>
      </c>
      <c r="AY570" s="5">
        <v>0</v>
      </c>
      <c r="AZ570" s="6">
        <v>0</v>
      </c>
      <c r="BA570" s="5">
        <v>0</v>
      </c>
      <c r="BB570" s="6">
        <v>0</v>
      </c>
      <c r="BC570" s="5">
        <v>0</v>
      </c>
      <c r="BD570" s="6">
        <v>0</v>
      </c>
      <c r="BE570" s="5">
        <v>0</v>
      </c>
      <c r="BF570" s="6">
        <v>0</v>
      </c>
      <c r="BG570" s="5">
        <v>0</v>
      </c>
      <c r="BH570" s="9">
        <f t="shared" si="66"/>
        <v>650</v>
      </c>
      <c r="BI570" s="10">
        <f t="shared" si="67"/>
        <v>2269.777093084308</v>
      </c>
      <c r="BJ570" s="6">
        <f t="shared" si="68"/>
        <v>56.458595484072021</v>
      </c>
      <c r="BK570" s="11">
        <f t="shared" si="69"/>
        <v>9.5121578805639873E-2</v>
      </c>
      <c r="BL570" s="5">
        <f t="shared" si="70"/>
        <v>281.41338795594947</v>
      </c>
      <c r="BM570" s="11">
        <f t="shared" si="71"/>
        <v>0.1415301371827157</v>
      </c>
    </row>
    <row r="571" spans="1:65" ht="15" customHeight="1" x14ac:dyDescent="0.4">
      <c r="A571" s="2" t="s">
        <v>269</v>
      </c>
      <c r="B571" s="2" t="s">
        <v>451</v>
      </c>
      <c r="C571" s="2" t="s">
        <v>452</v>
      </c>
      <c r="D571" s="3" t="s">
        <v>68</v>
      </c>
      <c r="E571" s="3" t="s">
        <v>532</v>
      </c>
      <c r="F571" s="2" t="s">
        <v>441</v>
      </c>
      <c r="G571" s="4">
        <v>20</v>
      </c>
      <c r="H571" s="5">
        <v>3.1</v>
      </c>
      <c r="I571" s="5">
        <v>3.2313703736217461</v>
      </c>
      <c r="J571" s="6">
        <v>0</v>
      </c>
      <c r="K571" s="5">
        <v>0</v>
      </c>
      <c r="L571" s="6">
        <v>633.11083148365651</v>
      </c>
      <c r="M571" s="5">
        <v>1962.643577599335</v>
      </c>
      <c r="N571" s="6">
        <v>0</v>
      </c>
      <c r="O571" s="5">
        <v>0</v>
      </c>
      <c r="P571" s="6">
        <v>0</v>
      </c>
      <c r="Q571" s="5">
        <v>0</v>
      </c>
      <c r="R571" s="6">
        <v>0</v>
      </c>
      <c r="S571" s="5">
        <v>0</v>
      </c>
      <c r="T571" s="6">
        <v>1266.221662967313</v>
      </c>
      <c r="U571" s="5">
        <v>3925.28715519867</v>
      </c>
      <c r="V571" s="6">
        <v>0</v>
      </c>
      <c r="W571" s="5">
        <v>0</v>
      </c>
      <c r="X571" s="6">
        <v>0</v>
      </c>
      <c r="Y571" s="5">
        <v>0</v>
      </c>
      <c r="Z571" s="6">
        <v>0</v>
      </c>
      <c r="AA571" s="5">
        <v>0</v>
      </c>
      <c r="AB571" s="6">
        <v>0</v>
      </c>
      <c r="AC571" s="5">
        <v>0</v>
      </c>
      <c r="AD571" s="6">
        <v>0</v>
      </c>
      <c r="AE571" s="5">
        <v>0</v>
      </c>
      <c r="AF571" s="6">
        <v>0</v>
      </c>
      <c r="AG571" s="5">
        <v>0</v>
      </c>
      <c r="AH571" s="7">
        <f t="shared" si="64"/>
        <v>1899.3324944509695</v>
      </c>
      <c r="AI571" s="8">
        <f t="shared" si="65"/>
        <v>5887.930732798005</v>
      </c>
      <c r="AJ571" s="6">
        <v>0</v>
      </c>
      <c r="AK571" s="5">
        <v>0</v>
      </c>
      <c r="AL571" s="6">
        <v>700</v>
      </c>
      <c r="AM571" s="5">
        <v>2261.9592615352221</v>
      </c>
      <c r="AN571" s="6">
        <v>0</v>
      </c>
      <c r="AO571" s="5">
        <v>0</v>
      </c>
      <c r="AP571" s="6">
        <v>0</v>
      </c>
      <c r="AQ571" s="5">
        <v>0</v>
      </c>
      <c r="AR571" s="6">
        <v>0</v>
      </c>
      <c r="AS571" s="5">
        <v>0</v>
      </c>
      <c r="AT571" s="6">
        <v>1400</v>
      </c>
      <c r="AU571" s="5">
        <v>4523.9185230704443</v>
      </c>
      <c r="AV571" s="6">
        <v>0</v>
      </c>
      <c r="AW571" s="5">
        <v>0</v>
      </c>
      <c r="AX571" s="6">
        <v>0</v>
      </c>
      <c r="AY571" s="5">
        <v>0</v>
      </c>
      <c r="AZ571" s="6">
        <v>0</v>
      </c>
      <c r="BA571" s="5">
        <v>0</v>
      </c>
      <c r="BB571" s="6">
        <v>0</v>
      </c>
      <c r="BC571" s="5">
        <v>0</v>
      </c>
      <c r="BD571" s="6">
        <v>0</v>
      </c>
      <c r="BE571" s="5">
        <v>0</v>
      </c>
      <c r="BF571" s="6">
        <v>0</v>
      </c>
      <c r="BG571" s="5">
        <v>0</v>
      </c>
      <c r="BH571" s="9">
        <f t="shared" si="66"/>
        <v>2100</v>
      </c>
      <c r="BI571" s="10">
        <f t="shared" si="67"/>
        <v>6785.8777846056664</v>
      </c>
      <c r="BJ571" s="6">
        <f t="shared" si="68"/>
        <v>200.66750554903047</v>
      </c>
      <c r="BK571" s="11">
        <f t="shared" si="69"/>
        <v>0.10565159398646334</v>
      </c>
      <c r="BL571" s="5">
        <f t="shared" si="70"/>
        <v>897.94705180766141</v>
      </c>
      <c r="BM571" s="11">
        <f t="shared" si="71"/>
        <v>0.15250638850177978</v>
      </c>
    </row>
    <row r="572" spans="1:65" ht="15" customHeight="1" x14ac:dyDescent="0.4">
      <c r="A572" s="2" t="s">
        <v>269</v>
      </c>
      <c r="B572" s="2" t="s">
        <v>451</v>
      </c>
      <c r="C572" s="2" t="s">
        <v>452</v>
      </c>
      <c r="D572" s="3" t="s">
        <v>68</v>
      </c>
      <c r="E572" s="3" t="s">
        <v>532</v>
      </c>
      <c r="F572" s="2" t="s">
        <v>80</v>
      </c>
      <c r="G572" s="4">
        <v>20</v>
      </c>
      <c r="H572" s="5">
        <v>3.074326436706746</v>
      </c>
      <c r="I572" s="5">
        <v>3.2048094883537179</v>
      </c>
      <c r="J572" s="6">
        <v>0</v>
      </c>
      <c r="K572" s="5">
        <v>0</v>
      </c>
      <c r="L572" s="6">
        <v>0</v>
      </c>
      <c r="M572" s="5">
        <v>0</v>
      </c>
      <c r="N572" s="6">
        <v>0</v>
      </c>
      <c r="O572" s="5">
        <v>0</v>
      </c>
      <c r="P572" s="6">
        <v>0</v>
      </c>
      <c r="Q572" s="5">
        <v>0</v>
      </c>
      <c r="R572" s="6">
        <v>0</v>
      </c>
      <c r="S572" s="5">
        <v>0</v>
      </c>
      <c r="T572" s="6">
        <v>0</v>
      </c>
      <c r="U572" s="5">
        <v>0</v>
      </c>
      <c r="V572" s="6">
        <v>633.11083148365651</v>
      </c>
      <c r="W572" s="5">
        <v>1962.643577599335</v>
      </c>
      <c r="X572" s="6">
        <v>0</v>
      </c>
      <c r="Y572" s="5">
        <v>0</v>
      </c>
      <c r="Z572" s="6">
        <v>0</v>
      </c>
      <c r="AA572" s="5">
        <v>0</v>
      </c>
      <c r="AB572" s="6">
        <v>0</v>
      </c>
      <c r="AC572" s="5">
        <v>0</v>
      </c>
      <c r="AD572" s="6">
        <v>568.79768357903356</v>
      </c>
      <c r="AE572" s="5">
        <v>1732.4155447608421</v>
      </c>
      <c r="AF572" s="6">
        <v>0</v>
      </c>
      <c r="AG572" s="5">
        <v>0</v>
      </c>
      <c r="AH572" s="7">
        <f t="shared" si="64"/>
        <v>1201.9085150626902</v>
      </c>
      <c r="AI572" s="8">
        <f t="shared" si="65"/>
        <v>3695.0591223601768</v>
      </c>
      <c r="AJ572" s="6">
        <v>0</v>
      </c>
      <c r="AK572" s="5">
        <v>0</v>
      </c>
      <c r="AL572" s="6">
        <v>0</v>
      </c>
      <c r="AM572" s="5">
        <v>0</v>
      </c>
      <c r="AN572" s="6">
        <v>0</v>
      </c>
      <c r="AO572" s="5">
        <v>0</v>
      </c>
      <c r="AP572" s="6">
        <v>0</v>
      </c>
      <c r="AQ572" s="5">
        <v>0</v>
      </c>
      <c r="AR572" s="6">
        <v>0</v>
      </c>
      <c r="AS572" s="5">
        <v>0</v>
      </c>
      <c r="AT572" s="6">
        <v>0</v>
      </c>
      <c r="AU572" s="5">
        <v>0</v>
      </c>
      <c r="AV572" s="6">
        <v>700</v>
      </c>
      <c r="AW572" s="5">
        <v>2261.9592615352221</v>
      </c>
      <c r="AX572" s="6">
        <v>0</v>
      </c>
      <c r="AY572" s="5">
        <v>0</v>
      </c>
      <c r="AZ572" s="6">
        <v>0</v>
      </c>
      <c r="BA572" s="5">
        <v>0</v>
      </c>
      <c r="BB572" s="6">
        <v>0</v>
      </c>
      <c r="BC572" s="5">
        <v>0</v>
      </c>
      <c r="BD572" s="6">
        <v>620</v>
      </c>
      <c r="BE572" s="5">
        <v>1968.389263091686</v>
      </c>
      <c r="BF572" s="6">
        <v>0</v>
      </c>
      <c r="BG572" s="5">
        <v>0</v>
      </c>
      <c r="BH572" s="9">
        <f t="shared" si="66"/>
        <v>1320</v>
      </c>
      <c r="BI572" s="10">
        <f t="shared" si="67"/>
        <v>4230.3485246269083</v>
      </c>
      <c r="BJ572" s="6">
        <f t="shared" si="68"/>
        <v>118.09148493730981</v>
      </c>
      <c r="BK572" s="11">
        <f t="shared" si="69"/>
        <v>9.8253305852609177E-2</v>
      </c>
      <c r="BL572" s="5">
        <f t="shared" si="70"/>
        <v>535.28940226673149</v>
      </c>
      <c r="BM572" s="11">
        <f t="shared" si="71"/>
        <v>0.14486626182176524</v>
      </c>
    </row>
    <row r="573" spans="1:65" ht="15" customHeight="1" x14ac:dyDescent="0.4">
      <c r="A573" s="2" t="s">
        <v>269</v>
      </c>
      <c r="B573" s="2" t="s">
        <v>451</v>
      </c>
      <c r="C573" s="2" t="s">
        <v>452</v>
      </c>
      <c r="D573" s="3" t="s">
        <v>68</v>
      </c>
      <c r="E573" s="3" t="s">
        <v>533</v>
      </c>
      <c r="F573" s="2" t="s">
        <v>232</v>
      </c>
      <c r="G573" s="4">
        <v>200</v>
      </c>
      <c r="H573" s="5">
        <v>3.01</v>
      </c>
      <c r="I573" s="5">
        <v>3.1375563950327279</v>
      </c>
      <c r="J573" s="6">
        <v>0</v>
      </c>
      <c r="K573" s="5">
        <v>0</v>
      </c>
      <c r="L573" s="6">
        <v>0</v>
      </c>
      <c r="M573" s="5">
        <v>0</v>
      </c>
      <c r="N573" s="6">
        <v>0</v>
      </c>
      <c r="O573" s="5">
        <v>0</v>
      </c>
      <c r="P573" s="6">
        <v>0</v>
      </c>
      <c r="Q573" s="5">
        <v>0</v>
      </c>
      <c r="R573" s="6">
        <v>0</v>
      </c>
      <c r="S573" s="5">
        <v>0</v>
      </c>
      <c r="T573" s="6">
        <v>0</v>
      </c>
      <c r="U573" s="5">
        <v>0</v>
      </c>
      <c r="V573" s="6">
        <v>395.69426967728532</v>
      </c>
      <c r="W573" s="5">
        <v>1191.039751728629</v>
      </c>
      <c r="X573" s="6">
        <v>0</v>
      </c>
      <c r="Y573" s="5">
        <v>0</v>
      </c>
      <c r="Z573" s="6">
        <v>0</v>
      </c>
      <c r="AA573" s="5">
        <v>0</v>
      </c>
      <c r="AB573" s="6">
        <v>0</v>
      </c>
      <c r="AC573" s="5">
        <v>0</v>
      </c>
      <c r="AD573" s="6">
        <v>0</v>
      </c>
      <c r="AE573" s="5">
        <v>0</v>
      </c>
      <c r="AF573" s="6">
        <v>0</v>
      </c>
      <c r="AG573" s="5">
        <v>0</v>
      </c>
      <c r="AH573" s="7">
        <f t="shared" si="64"/>
        <v>395.69426967728532</v>
      </c>
      <c r="AI573" s="8">
        <f t="shared" si="65"/>
        <v>1191.039751728629</v>
      </c>
      <c r="AJ573" s="6">
        <v>0</v>
      </c>
      <c r="AK573" s="5">
        <v>0</v>
      </c>
      <c r="AL573" s="6">
        <v>0</v>
      </c>
      <c r="AM573" s="5">
        <v>0</v>
      </c>
      <c r="AN573" s="6">
        <v>0</v>
      </c>
      <c r="AO573" s="5">
        <v>0</v>
      </c>
      <c r="AP573" s="6">
        <v>0</v>
      </c>
      <c r="AQ573" s="5">
        <v>0</v>
      </c>
      <c r="AR573" s="6">
        <v>0</v>
      </c>
      <c r="AS573" s="5">
        <v>0</v>
      </c>
      <c r="AT573" s="6">
        <v>0</v>
      </c>
      <c r="AU573" s="5">
        <v>0</v>
      </c>
      <c r="AV573" s="6">
        <v>400</v>
      </c>
      <c r="AW573" s="5">
        <v>1255.0225580130909</v>
      </c>
      <c r="AX573" s="6">
        <v>0</v>
      </c>
      <c r="AY573" s="5">
        <v>0</v>
      </c>
      <c r="AZ573" s="6">
        <v>0</v>
      </c>
      <c r="BA573" s="5">
        <v>0</v>
      </c>
      <c r="BB573" s="6">
        <v>0</v>
      </c>
      <c r="BC573" s="5">
        <v>0</v>
      </c>
      <c r="BD573" s="6">
        <v>0</v>
      </c>
      <c r="BE573" s="5">
        <v>0</v>
      </c>
      <c r="BF573" s="6">
        <v>0</v>
      </c>
      <c r="BG573" s="5">
        <v>0</v>
      </c>
      <c r="BH573" s="9">
        <f t="shared" si="66"/>
        <v>400</v>
      </c>
      <c r="BI573" s="10">
        <f t="shared" si="67"/>
        <v>1255.0225580130909</v>
      </c>
      <c r="BJ573" s="6">
        <f t="shared" si="68"/>
        <v>4.3057303227146804</v>
      </c>
      <c r="BK573" s="11">
        <f t="shared" si="69"/>
        <v>1.0881457359052195E-2</v>
      </c>
      <c r="BL573" s="5">
        <f t="shared" si="70"/>
        <v>63.982806284461958</v>
      </c>
      <c r="BM573" s="11">
        <f t="shared" si="71"/>
        <v>5.3720126630198352E-2</v>
      </c>
    </row>
    <row r="574" spans="1:65" ht="15" customHeight="1" x14ac:dyDescent="0.4">
      <c r="A574" s="2" t="s">
        <v>269</v>
      </c>
      <c r="B574" s="2" t="s">
        <v>451</v>
      </c>
      <c r="C574" s="2" t="s">
        <v>452</v>
      </c>
      <c r="D574" s="3" t="s">
        <v>68</v>
      </c>
      <c r="E574" s="3" t="s">
        <v>534</v>
      </c>
      <c r="F574" s="2" t="s">
        <v>535</v>
      </c>
      <c r="G574" s="4">
        <v>1</v>
      </c>
      <c r="H574" s="5">
        <v>12.05</v>
      </c>
      <c r="I574" s="5">
        <v>12.560649355529691</v>
      </c>
      <c r="J574" s="6">
        <v>0</v>
      </c>
      <c r="K574" s="5">
        <v>0</v>
      </c>
      <c r="L574" s="6">
        <v>1958.686634902562</v>
      </c>
      <c r="M574" s="5">
        <v>23602.173950575871</v>
      </c>
      <c r="N574" s="6">
        <v>0</v>
      </c>
      <c r="O574" s="5">
        <v>0</v>
      </c>
      <c r="P574" s="6">
        <v>0</v>
      </c>
      <c r="Q574" s="5">
        <v>0</v>
      </c>
      <c r="R574" s="6">
        <v>652.89554496752078</v>
      </c>
      <c r="S574" s="5">
        <v>7867.391316858625</v>
      </c>
      <c r="T574" s="6">
        <v>1175.2119809415369</v>
      </c>
      <c r="U574" s="5">
        <v>14161.304370345521</v>
      </c>
      <c r="V574" s="6">
        <v>0</v>
      </c>
      <c r="W574" s="5">
        <v>0</v>
      </c>
      <c r="X574" s="6">
        <v>0</v>
      </c>
      <c r="Y574" s="5">
        <v>0</v>
      </c>
      <c r="Z574" s="6">
        <v>0</v>
      </c>
      <c r="AA574" s="5">
        <v>0</v>
      </c>
      <c r="AB574" s="6">
        <v>0</v>
      </c>
      <c r="AC574" s="5">
        <v>0</v>
      </c>
      <c r="AD574" s="6">
        <v>0</v>
      </c>
      <c r="AE574" s="5">
        <v>0</v>
      </c>
      <c r="AF574" s="6">
        <v>0</v>
      </c>
      <c r="AG574" s="5">
        <v>0</v>
      </c>
      <c r="AH574" s="7">
        <f t="shared" si="64"/>
        <v>3786.7941608116198</v>
      </c>
      <c r="AI574" s="8">
        <f t="shared" si="65"/>
        <v>45630.869637780015</v>
      </c>
      <c r="AJ574" s="6">
        <v>0</v>
      </c>
      <c r="AK574" s="5">
        <v>0</v>
      </c>
      <c r="AL574" s="6">
        <v>2159</v>
      </c>
      <c r="AM574" s="5">
        <v>27118.441958588599</v>
      </c>
      <c r="AN574" s="6">
        <v>0</v>
      </c>
      <c r="AO574" s="5">
        <v>0</v>
      </c>
      <c r="AP574" s="6">
        <v>0</v>
      </c>
      <c r="AQ574" s="5">
        <v>0</v>
      </c>
      <c r="AR574" s="6">
        <v>720</v>
      </c>
      <c r="AS574" s="5">
        <v>9043.6675359813762</v>
      </c>
      <c r="AT574" s="6">
        <v>1296</v>
      </c>
      <c r="AU574" s="5">
        <v>16278.601564766481</v>
      </c>
      <c r="AV574" s="6">
        <v>0</v>
      </c>
      <c r="AW574" s="5">
        <v>0</v>
      </c>
      <c r="AX574" s="6">
        <v>0</v>
      </c>
      <c r="AY574" s="5">
        <v>0</v>
      </c>
      <c r="AZ574" s="6">
        <v>0</v>
      </c>
      <c r="BA574" s="5">
        <v>0</v>
      </c>
      <c r="BB574" s="6">
        <v>0</v>
      </c>
      <c r="BC574" s="5">
        <v>0</v>
      </c>
      <c r="BD574" s="6">
        <v>0</v>
      </c>
      <c r="BE574" s="5">
        <v>0</v>
      </c>
      <c r="BF574" s="6">
        <v>0</v>
      </c>
      <c r="BG574" s="5">
        <v>0</v>
      </c>
      <c r="BH574" s="9">
        <f t="shared" si="66"/>
        <v>4175</v>
      </c>
      <c r="BI574" s="10">
        <f t="shared" si="67"/>
        <v>52440.711059336456</v>
      </c>
      <c r="BJ574" s="6">
        <f t="shared" si="68"/>
        <v>388.2058391883802</v>
      </c>
      <c r="BK574" s="11">
        <f t="shared" si="69"/>
        <v>0.10251569604860075</v>
      </c>
      <c r="BL574" s="5">
        <f t="shared" si="70"/>
        <v>6809.8414215564408</v>
      </c>
      <c r="BM574" s="11">
        <f t="shared" si="71"/>
        <v>0.14923759892400215</v>
      </c>
    </row>
    <row r="575" spans="1:65" ht="15" customHeight="1" x14ac:dyDescent="0.4">
      <c r="A575" s="2" t="s">
        <v>269</v>
      </c>
      <c r="B575" s="2" t="s">
        <v>451</v>
      </c>
      <c r="C575" s="2" t="s">
        <v>452</v>
      </c>
      <c r="D575" s="3" t="s">
        <v>68</v>
      </c>
      <c r="E575" s="3" t="s">
        <v>534</v>
      </c>
      <c r="F575" s="2" t="s">
        <v>536</v>
      </c>
      <c r="G575" s="4">
        <v>1</v>
      </c>
      <c r="H575" s="5">
        <v>12.05</v>
      </c>
      <c r="I575" s="5">
        <v>12.560649355529691</v>
      </c>
      <c r="J575" s="6">
        <v>0</v>
      </c>
      <c r="K575" s="5">
        <v>0</v>
      </c>
      <c r="L575" s="6">
        <v>0</v>
      </c>
      <c r="M575" s="5">
        <v>0</v>
      </c>
      <c r="N575" s="6">
        <v>0</v>
      </c>
      <c r="O575" s="5">
        <v>0</v>
      </c>
      <c r="P575" s="6">
        <v>0</v>
      </c>
      <c r="Q575" s="5">
        <v>0</v>
      </c>
      <c r="R575" s="6">
        <v>0</v>
      </c>
      <c r="S575" s="5">
        <v>0</v>
      </c>
      <c r="T575" s="6">
        <v>783.47465396102484</v>
      </c>
      <c r="U575" s="5">
        <v>9440.86958023035</v>
      </c>
      <c r="V575" s="6">
        <v>0</v>
      </c>
      <c r="W575" s="5">
        <v>0</v>
      </c>
      <c r="X575" s="6">
        <v>0</v>
      </c>
      <c r="Y575" s="5">
        <v>0</v>
      </c>
      <c r="Z575" s="6">
        <v>0</v>
      </c>
      <c r="AA575" s="5">
        <v>0</v>
      </c>
      <c r="AB575" s="6">
        <v>0</v>
      </c>
      <c r="AC575" s="5">
        <v>0</v>
      </c>
      <c r="AD575" s="6">
        <v>0</v>
      </c>
      <c r="AE575" s="5">
        <v>0</v>
      </c>
      <c r="AF575" s="6">
        <v>0</v>
      </c>
      <c r="AG575" s="5">
        <v>0</v>
      </c>
      <c r="AH575" s="7">
        <f t="shared" si="64"/>
        <v>783.47465396102484</v>
      </c>
      <c r="AI575" s="8">
        <f t="shared" si="65"/>
        <v>9440.86958023035</v>
      </c>
      <c r="AJ575" s="6">
        <v>0</v>
      </c>
      <c r="AK575" s="5">
        <v>0</v>
      </c>
      <c r="AL575" s="6">
        <v>0</v>
      </c>
      <c r="AM575" s="5">
        <v>0</v>
      </c>
      <c r="AN575" s="6">
        <v>0</v>
      </c>
      <c r="AO575" s="5">
        <v>0</v>
      </c>
      <c r="AP575" s="6">
        <v>0</v>
      </c>
      <c r="AQ575" s="5">
        <v>0</v>
      </c>
      <c r="AR575" s="6">
        <v>0</v>
      </c>
      <c r="AS575" s="5">
        <v>0</v>
      </c>
      <c r="AT575" s="6">
        <v>864</v>
      </c>
      <c r="AU575" s="5">
        <v>10852.40104317765</v>
      </c>
      <c r="AV575" s="6">
        <v>0</v>
      </c>
      <c r="AW575" s="5">
        <v>0</v>
      </c>
      <c r="AX575" s="6">
        <v>0</v>
      </c>
      <c r="AY575" s="5">
        <v>0</v>
      </c>
      <c r="AZ575" s="6">
        <v>0</v>
      </c>
      <c r="BA575" s="5">
        <v>0</v>
      </c>
      <c r="BB575" s="6">
        <v>0</v>
      </c>
      <c r="BC575" s="5">
        <v>0</v>
      </c>
      <c r="BD575" s="6">
        <v>0</v>
      </c>
      <c r="BE575" s="5">
        <v>0</v>
      </c>
      <c r="BF575" s="6">
        <v>0</v>
      </c>
      <c r="BG575" s="5">
        <v>0</v>
      </c>
      <c r="BH575" s="9">
        <f t="shared" si="66"/>
        <v>864</v>
      </c>
      <c r="BI575" s="10">
        <f t="shared" si="67"/>
        <v>10852.40104317765</v>
      </c>
      <c r="BJ575" s="6">
        <f t="shared" si="68"/>
        <v>80.525346038975158</v>
      </c>
      <c r="BK575" s="11">
        <f t="shared" si="69"/>
        <v>0.1027797716644207</v>
      </c>
      <c r="BL575" s="5">
        <f t="shared" si="70"/>
        <v>1411.5314629472996</v>
      </c>
      <c r="BM575" s="11">
        <f t="shared" si="71"/>
        <v>0.14951286541476186</v>
      </c>
    </row>
    <row r="576" spans="1:65" ht="15" customHeight="1" x14ac:dyDescent="0.4">
      <c r="A576" s="2" t="s">
        <v>269</v>
      </c>
      <c r="B576" s="2" t="s">
        <v>451</v>
      </c>
      <c r="C576" s="2" t="s">
        <v>452</v>
      </c>
      <c r="D576" s="3" t="s">
        <v>68</v>
      </c>
      <c r="E576" s="3" t="s">
        <v>534</v>
      </c>
      <c r="F576" s="2" t="s">
        <v>537</v>
      </c>
      <c r="G576" s="4">
        <v>1</v>
      </c>
      <c r="H576" s="5">
        <v>12.05</v>
      </c>
      <c r="I576" s="5">
        <v>12.560649355529691</v>
      </c>
      <c r="J576" s="6">
        <v>0</v>
      </c>
      <c r="K576" s="5">
        <v>0</v>
      </c>
      <c r="L576" s="6">
        <v>0</v>
      </c>
      <c r="M576" s="5">
        <v>0</v>
      </c>
      <c r="N576" s="6">
        <v>0</v>
      </c>
      <c r="O576" s="5">
        <v>0</v>
      </c>
      <c r="P576" s="6">
        <v>0</v>
      </c>
      <c r="Q576" s="5">
        <v>0</v>
      </c>
      <c r="R576" s="6">
        <v>0</v>
      </c>
      <c r="S576" s="5">
        <v>0</v>
      </c>
      <c r="T576" s="6">
        <v>0</v>
      </c>
      <c r="U576" s="5">
        <v>0</v>
      </c>
      <c r="V576" s="6">
        <v>0</v>
      </c>
      <c r="W576" s="5">
        <v>0</v>
      </c>
      <c r="X576" s="6">
        <v>0</v>
      </c>
      <c r="Y576" s="5">
        <v>0</v>
      </c>
      <c r="Z576" s="6">
        <v>0</v>
      </c>
      <c r="AA576" s="5">
        <v>0</v>
      </c>
      <c r="AB576" s="6">
        <v>0</v>
      </c>
      <c r="AC576" s="5">
        <v>0</v>
      </c>
      <c r="AD576" s="6">
        <v>1251.354903873874</v>
      </c>
      <c r="AE576" s="5">
        <v>15078.826591680179</v>
      </c>
      <c r="AF576" s="6">
        <v>0</v>
      </c>
      <c r="AG576" s="5">
        <v>0</v>
      </c>
      <c r="AH576" s="7">
        <f t="shared" si="64"/>
        <v>1251.354903873874</v>
      </c>
      <c r="AI576" s="8">
        <f t="shared" si="65"/>
        <v>15078.826591680179</v>
      </c>
      <c r="AJ576" s="6">
        <v>0</v>
      </c>
      <c r="AK576" s="5">
        <v>0</v>
      </c>
      <c r="AL576" s="6">
        <v>0</v>
      </c>
      <c r="AM576" s="5">
        <v>0</v>
      </c>
      <c r="AN576" s="6">
        <v>0</v>
      </c>
      <c r="AO576" s="5">
        <v>0</v>
      </c>
      <c r="AP576" s="6">
        <v>0</v>
      </c>
      <c r="AQ576" s="5">
        <v>0</v>
      </c>
      <c r="AR576" s="6">
        <v>0</v>
      </c>
      <c r="AS576" s="5">
        <v>0</v>
      </c>
      <c r="AT576" s="6">
        <v>0</v>
      </c>
      <c r="AU576" s="5">
        <v>0</v>
      </c>
      <c r="AV576" s="6">
        <v>0</v>
      </c>
      <c r="AW576" s="5">
        <v>0</v>
      </c>
      <c r="AX576" s="6">
        <v>0</v>
      </c>
      <c r="AY576" s="5">
        <v>0</v>
      </c>
      <c r="AZ576" s="6">
        <v>0</v>
      </c>
      <c r="BA576" s="5">
        <v>0</v>
      </c>
      <c r="BB576" s="6">
        <v>0</v>
      </c>
      <c r="BC576" s="5">
        <v>0</v>
      </c>
      <c r="BD576" s="6">
        <v>1380</v>
      </c>
      <c r="BE576" s="5">
        <v>17333.696110630979</v>
      </c>
      <c r="BF576" s="6">
        <v>0</v>
      </c>
      <c r="BG576" s="5">
        <v>0</v>
      </c>
      <c r="BH576" s="9">
        <f t="shared" si="66"/>
        <v>1380</v>
      </c>
      <c r="BI576" s="10">
        <f t="shared" si="67"/>
        <v>17333.696110630979</v>
      </c>
      <c r="BJ576" s="6">
        <f t="shared" si="68"/>
        <v>128.64509612612596</v>
      </c>
      <c r="BK576" s="11">
        <f t="shared" si="69"/>
        <v>0.10280464457195454</v>
      </c>
      <c r="BL576" s="5">
        <f t="shared" si="70"/>
        <v>2254.8695189507998</v>
      </c>
      <c r="BM576" s="11">
        <f t="shared" si="71"/>
        <v>0.14953879237492762</v>
      </c>
    </row>
    <row r="577" spans="1:65" ht="15" customHeight="1" x14ac:dyDescent="0.4">
      <c r="A577" s="2" t="s">
        <v>269</v>
      </c>
      <c r="B577" s="2" t="s">
        <v>451</v>
      </c>
      <c r="C577" s="2" t="s">
        <v>452</v>
      </c>
      <c r="D577" s="3" t="s">
        <v>68</v>
      </c>
      <c r="E577" s="3" t="s">
        <v>538</v>
      </c>
      <c r="F577" s="2" t="s">
        <v>535</v>
      </c>
      <c r="G577" s="4">
        <v>20</v>
      </c>
      <c r="H577" s="5">
        <v>10.61</v>
      </c>
      <c r="I577" s="5">
        <v>11.059625698105391</v>
      </c>
      <c r="J577" s="6">
        <v>0</v>
      </c>
      <c r="K577" s="5">
        <v>0</v>
      </c>
      <c r="L577" s="6">
        <v>633.11083148365651</v>
      </c>
      <c r="M577" s="5">
        <v>6717.3059220415944</v>
      </c>
      <c r="N577" s="6">
        <v>0</v>
      </c>
      <c r="O577" s="5">
        <v>0</v>
      </c>
      <c r="P577" s="6">
        <v>0</v>
      </c>
      <c r="Q577" s="5">
        <v>0</v>
      </c>
      <c r="R577" s="6">
        <v>0</v>
      </c>
      <c r="S577" s="5">
        <v>0</v>
      </c>
      <c r="T577" s="6">
        <v>0</v>
      </c>
      <c r="U577" s="5">
        <v>0</v>
      </c>
      <c r="V577" s="6">
        <v>0</v>
      </c>
      <c r="W577" s="5">
        <v>0</v>
      </c>
      <c r="X577" s="6">
        <v>0</v>
      </c>
      <c r="Y577" s="5">
        <v>0</v>
      </c>
      <c r="Z577" s="6">
        <v>0</v>
      </c>
      <c r="AA577" s="5">
        <v>0</v>
      </c>
      <c r="AB577" s="6">
        <v>0</v>
      </c>
      <c r="AC577" s="5">
        <v>0</v>
      </c>
      <c r="AD577" s="6">
        <v>0</v>
      </c>
      <c r="AE577" s="5">
        <v>0</v>
      </c>
      <c r="AF577" s="6">
        <v>0</v>
      </c>
      <c r="AG577" s="5">
        <v>0</v>
      </c>
      <c r="AH577" s="7">
        <f t="shared" si="64"/>
        <v>633.11083148365651</v>
      </c>
      <c r="AI577" s="8">
        <f t="shared" si="65"/>
        <v>6717.3059220415944</v>
      </c>
      <c r="AJ577" s="6">
        <v>0</v>
      </c>
      <c r="AK577" s="5">
        <v>0</v>
      </c>
      <c r="AL577" s="6">
        <v>700</v>
      </c>
      <c r="AM577" s="5">
        <v>7741.7379886737754</v>
      </c>
      <c r="AN577" s="6">
        <v>0</v>
      </c>
      <c r="AO577" s="5">
        <v>0</v>
      </c>
      <c r="AP577" s="6">
        <v>0</v>
      </c>
      <c r="AQ577" s="5">
        <v>0</v>
      </c>
      <c r="AR577" s="6">
        <v>0</v>
      </c>
      <c r="AS577" s="5">
        <v>0</v>
      </c>
      <c r="AT577" s="6">
        <v>0</v>
      </c>
      <c r="AU577" s="5">
        <v>0</v>
      </c>
      <c r="AV577" s="6">
        <v>0</v>
      </c>
      <c r="AW577" s="5">
        <v>0</v>
      </c>
      <c r="AX577" s="6">
        <v>0</v>
      </c>
      <c r="AY577" s="5">
        <v>0</v>
      </c>
      <c r="AZ577" s="6">
        <v>0</v>
      </c>
      <c r="BA577" s="5">
        <v>0</v>
      </c>
      <c r="BB577" s="6">
        <v>0</v>
      </c>
      <c r="BC577" s="5">
        <v>0</v>
      </c>
      <c r="BD577" s="6">
        <v>0</v>
      </c>
      <c r="BE577" s="5">
        <v>0</v>
      </c>
      <c r="BF577" s="6">
        <v>0</v>
      </c>
      <c r="BG577" s="5">
        <v>0</v>
      </c>
      <c r="BH577" s="9">
        <f t="shared" si="66"/>
        <v>700</v>
      </c>
      <c r="BI577" s="10">
        <f t="shared" si="67"/>
        <v>7741.7379886737754</v>
      </c>
      <c r="BJ577" s="6">
        <f t="shared" si="68"/>
        <v>66.889168516343489</v>
      </c>
      <c r="BK577" s="11">
        <f t="shared" si="69"/>
        <v>0.10565159398646334</v>
      </c>
      <c r="BL577" s="5">
        <f t="shared" si="70"/>
        <v>1024.432066632181</v>
      </c>
      <c r="BM577" s="11">
        <f t="shared" si="71"/>
        <v>0.15250638850177972</v>
      </c>
    </row>
    <row r="578" spans="1:65" ht="15" customHeight="1" x14ac:dyDescent="0.4">
      <c r="A578" s="2" t="s">
        <v>269</v>
      </c>
      <c r="B578" s="2" t="s">
        <v>451</v>
      </c>
      <c r="C578" s="2" t="s">
        <v>452</v>
      </c>
      <c r="D578" s="3" t="s">
        <v>68</v>
      </c>
      <c r="E578" s="3" t="s">
        <v>538</v>
      </c>
      <c r="F578" s="2" t="s">
        <v>536</v>
      </c>
      <c r="G578" s="4">
        <v>20</v>
      </c>
      <c r="H578" s="5">
        <v>10.61</v>
      </c>
      <c r="I578" s="5">
        <v>11.059625698105391</v>
      </c>
      <c r="J578" s="6">
        <v>0</v>
      </c>
      <c r="K578" s="5">
        <v>0</v>
      </c>
      <c r="L578" s="6">
        <v>0</v>
      </c>
      <c r="M578" s="5">
        <v>0</v>
      </c>
      <c r="N578" s="6">
        <v>0</v>
      </c>
      <c r="O578" s="5">
        <v>0</v>
      </c>
      <c r="P578" s="6">
        <v>0</v>
      </c>
      <c r="Q578" s="5">
        <v>0</v>
      </c>
      <c r="R578" s="6">
        <v>0</v>
      </c>
      <c r="S578" s="5">
        <v>0</v>
      </c>
      <c r="T578" s="6">
        <v>633.11083148365651</v>
      </c>
      <c r="U578" s="5">
        <v>6717.3059220415944</v>
      </c>
      <c r="V578" s="6">
        <v>0</v>
      </c>
      <c r="W578" s="5">
        <v>0</v>
      </c>
      <c r="X578" s="6">
        <v>0</v>
      </c>
      <c r="Y578" s="5">
        <v>0</v>
      </c>
      <c r="Z578" s="6">
        <v>0</v>
      </c>
      <c r="AA578" s="5">
        <v>0</v>
      </c>
      <c r="AB578" s="6">
        <v>0</v>
      </c>
      <c r="AC578" s="5">
        <v>0</v>
      </c>
      <c r="AD578" s="6">
        <v>0</v>
      </c>
      <c r="AE578" s="5">
        <v>0</v>
      </c>
      <c r="AF578" s="6">
        <v>0</v>
      </c>
      <c r="AG578" s="5">
        <v>0</v>
      </c>
      <c r="AH578" s="7">
        <f t="shared" ref="AH578:AH641" si="72">J578+L578+N578+P578+R578+T578+V578+X578+Z578+AB578+AD578+AF578</f>
        <v>633.11083148365651</v>
      </c>
      <c r="AI578" s="8">
        <f t="shared" ref="AI578:AI641" si="73">K578+M578+O578+Q578+S578+U578+W578+Y578+AA578+AC578+AE578+AG578</f>
        <v>6717.3059220415944</v>
      </c>
      <c r="AJ578" s="6">
        <v>0</v>
      </c>
      <c r="AK578" s="5">
        <v>0</v>
      </c>
      <c r="AL578" s="6">
        <v>0</v>
      </c>
      <c r="AM578" s="5">
        <v>0</v>
      </c>
      <c r="AN578" s="6">
        <v>0</v>
      </c>
      <c r="AO578" s="5">
        <v>0</v>
      </c>
      <c r="AP578" s="6">
        <v>0</v>
      </c>
      <c r="AQ578" s="5">
        <v>0</v>
      </c>
      <c r="AR578" s="6">
        <v>0</v>
      </c>
      <c r="AS578" s="5">
        <v>0</v>
      </c>
      <c r="AT578" s="6">
        <v>700</v>
      </c>
      <c r="AU578" s="5">
        <v>7741.7379886737754</v>
      </c>
      <c r="AV578" s="6">
        <v>0</v>
      </c>
      <c r="AW578" s="5">
        <v>0</v>
      </c>
      <c r="AX578" s="6">
        <v>0</v>
      </c>
      <c r="AY578" s="5">
        <v>0</v>
      </c>
      <c r="AZ578" s="6">
        <v>0</v>
      </c>
      <c r="BA578" s="5">
        <v>0</v>
      </c>
      <c r="BB578" s="6">
        <v>0</v>
      </c>
      <c r="BC578" s="5">
        <v>0</v>
      </c>
      <c r="BD578" s="6">
        <v>0</v>
      </c>
      <c r="BE578" s="5">
        <v>0</v>
      </c>
      <c r="BF578" s="6">
        <v>0</v>
      </c>
      <c r="BG578" s="5">
        <v>0</v>
      </c>
      <c r="BH578" s="9">
        <f t="shared" ref="BH578:BH641" si="74">AJ578+AL578+AN578+AP578+AR578+AT578+AV578+AX578+AZ578+BB578+BD578+BF578</f>
        <v>700</v>
      </c>
      <c r="BI578" s="10">
        <f t="shared" ref="BI578:BI641" si="75">AK578+AM578+AO578+AQ578+AS578+AU578+AW578+AY578+BA578+BC578+BE578+BG578</f>
        <v>7741.7379886737754</v>
      </c>
      <c r="BJ578" s="6">
        <f t="shared" ref="BJ578:BJ641" si="76">BH578-AH578</f>
        <v>66.889168516343489</v>
      </c>
      <c r="BK578" s="11">
        <f t="shared" ref="BK578:BK641" si="77">IF(AH578&gt;0, BJ578/AH578, 0)</f>
        <v>0.10565159398646334</v>
      </c>
      <c r="BL578" s="5">
        <f t="shared" ref="BL578:BL641" si="78">BI578-AI578</f>
        <v>1024.432066632181</v>
      </c>
      <c r="BM578" s="11">
        <f t="shared" ref="BM578:BM641" si="79">IF(AI578&gt;0, BL578/AI578, 0)</f>
        <v>0.15250638850177972</v>
      </c>
    </row>
    <row r="579" spans="1:65" ht="15" customHeight="1" x14ac:dyDescent="0.4">
      <c r="A579" s="2" t="s">
        <v>269</v>
      </c>
      <c r="B579" s="2" t="s">
        <v>451</v>
      </c>
      <c r="C579" s="2" t="s">
        <v>452</v>
      </c>
      <c r="D579" s="3" t="s">
        <v>68</v>
      </c>
      <c r="E579" s="3" t="s">
        <v>538</v>
      </c>
      <c r="F579" s="2" t="s">
        <v>539</v>
      </c>
      <c r="G579" s="4">
        <v>20</v>
      </c>
      <c r="H579" s="5">
        <v>10.61</v>
      </c>
      <c r="I579" s="5">
        <v>11.0596256981054</v>
      </c>
      <c r="J579" s="6">
        <v>0</v>
      </c>
      <c r="K579" s="5">
        <v>0</v>
      </c>
      <c r="L579" s="6">
        <v>0</v>
      </c>
      <c r="M579" s="5">
        <v>0</v>
      </c>
      <c r="N579" s="6">
        <v>0</v>
      </c>
      <c r="O579" s="5">
        <v>0</v>
      </c>
      <c r="P579" s="6">
        <v>0</v>
      </c>
      <c r="Q579" s="5">
        <v>0</v>
      </c>
      <c r="R579" s="6">
        <v>0</v>
      </c>
      <c r="S579" s="5">
        <v>0</v>
      </c>
      <c r="T579" s="6">
        <v>0</v>
      </c>
      <c r="U579" s="5">
        <v>0</v>
      </c>
      <c r="V579" s="6">
        <v>0</v>
      </c>
      <c r="W579" s="5">
        <v>0</v>
      </c>
      <c r="X579" s="6">
        <v>0</v>
      </c>
      <c r="Y579" s="5">
        <v>0</v>
      </c>
      <c r="Z579" s="6">
        <v>0</v>
      </c>
      <c r="AA579" s="5">
        <v>0</v>
      </c>
      <c r="AB579" s="6">
        <v>0</v>
      </c>
      <c r="AC579" s="5">
        <v>0</v>
      </c>
      <c r="AD579" s="6">
        <v>284.39884178951678</v>
      </c>
      <c r="AE579" s="5">
        <v>3017.4717113867732</v>
      </c>
      <c r="AF579" s="6">
        <v>0</v>
      </c>
      <c r="AG579" s="5">
        <v>0</v>
      </c>
      <c r="AH579" s="7">
        <f t="shared" si="72"/>
        <v>284.39884178951678</v>
      </c>
      <c r="AI579" s="8">
        <f t="shared" si="73"/>
        <v>3017.4717113867732</v>
      </c>
      <c r="AJ579" s="6">
        <v>0</v>
      </c>
      <c r="AK579" s="5">
        <v>0</v>
      </c>
      <c r="AL579" s="6">
        <v>0</v>
      </c>
      <c r="AM579" s="5">
        <v>0</v>
      </c>
      <c r="AN579" s="6">
        <v>0</v>
      </c>
      <c r="AO579" s="5">
        <v>0</v>
      </c>
      <c r="AP579" s="6">
        <v>0</v>
      </c>
      <c r="AQ579" s="5">
        <v>0</v>
      </c>
      <c r="AR579" s="6">
        <v>0</v>
      </c>
      <c r="AS579" s="5">
        <v>0</v>
      </c>
      <c r="AT579" s="6">
        <v>0</v>
      </c>
      <c r="AU579" s="5">
        <v>0</v>
      </c>
      <c r="AV579" s="6">
        <v>0</v>
      </c>
      <c r="AW579" s="5">
        <v>0</v>
      </c>
      <c r="AX579" s="6">
        <v>0</v>
      </c>
      <c r="AY579" s="5">
        <v>0</v>
      </c>
      <c r="AZ579" s="6">
        <v>0</v>
      </c>
      <c r="BA579" s="5">
        <v>0</v>
      </c>
      <c r="BB579" s="6">
        <v>0</v>
      </c>
      <c r="BC579" s="5">
        <v>0</v>
      </c>
      <c r="BD579" s="6">
        <v>320</v>
      </c>
      <c r="BE579" s="5">
        <v>3539.080223393727</v>
      </c>
      <c r="BF579" s="6">
        <v>0</v>
      </c>
      <c r="BG579" s="5">
        <v>0</v>
      </c>
      <c r="BH579" s="9">
        <f t="shared" si="74"/>
        <v>320</v>
      </c>
      <c r="BI579" s="10">
        <f t="shared" si="75"/>
        <v>3539.080223393727</v>
      </c>
      <c r="BJ579" s="6">
        <f t="shared" si="76"/>
        <v>35.60115821048322</v>
      </c>
      <c r="BK579" s="11">
        <f t="shared" si="77"/>
        <v>0.1251803909835596</v>
      </c>
      <c r="BL579" s="5">
        <f t="shared" si="78"/>
        <v>521.60851200695379</v>
      </c>
      <c r="BM579" s="11">
        <f t="shared" si="79"/>
        <v>0.17286276787238955</v>
      </c>
    </row>
    <row r="580" spans="1:65" ht="15" customHeight="1" x14ac:dyDescent="0.4">
      <c r="A580" s="2" t="s">
        <v>269</v>
      </c>
      <c r="B580" s="2" t="s">
        <v>451</v>
      </c>
      <c r="C580" s="2" t="s">
        <v>452</v>
      </c>
      <c r="D580" s="3" t="s">
        <v>68</v>
      </c>
      <c r="E580" s="3" t="s">
        <v>540</v>
      </c>
      <c r="F580" s="2" t="s">
        <v>541</v>
      </c>
      <c r="G580" s="4">
        <v>200</v>
      </c>
      <c r="H580" s="5">
        <v>9.8115000000000023</v>
      </c>
      <c r="I580" s="5">
        <v>10.227287232512831</v>
      </c>
      <c r="J580" s="6">
        <v>0</v>
      </c>
      <c r="K580" s="5">
        <v>0</v>
      </c>
      <c r="L580" s="6">
        <v>0</v>
      </c>
      <c r="M580" s="5">
        <v>0</v>
      </c>
      <c r="N580" s="6">
        <v>0</v>
      </c>
      <c r="O580" s="5">
        <v>0</v>
      </c>
      <c r="P580" s="6">
        <v>0</v>
      </c>
      <c r="Q580" s="5">
        <v>0</v>
      </c>
      <c r="R580" s="6">
        <v>0</v>
      </c>
      <c r="S580" s="5">
        <v>0</v>
      </c>
      <c r="T580" s="6">
        <v>0</v>
      </c>
      <c r="U580" s="5">
        <v>0</v>
      </c>
      <c r="V580" s="6">
        <v>0</v>
      </c>
      <c r="W580" s="5">
        <v>0</v>
      </c>
      <c r="X580" s="6">
        <v>0</v>
      </c>
      <c r="Y580" s="5">
        <v>0</v>
      </c>
      <c r="Z580" s="6">
        <v>0</v>
      </c>
      <c r="AA580" s="5">
        <v>0</v>
      </c>
      <c r="AB580" s="6">
        <v>0</v>
      </c>
      <c r="AC580" s="5">
        <v>0</v>
      </c>
      <c r="AD580" s="6">
        <v>379.19845571935571</v>
      </c>
      <c r="AE580" s="5">
        <v>3720.5056482904588</v>
      </c>
      <c r="AF580" s="6">
        <v>0</v>
      </c>
      <c r="AG580" s="5">
        <v>0</v>
      </c>
      <c r="AH580" s="7">
        <f t="shared" si="72"/>
        <v>379.19845571935571</v>
      </c>
      <c r="AI580" s="8">
        <f t="shared" si="73"/>
        <v>3720.5056482904588</v>
      </c>
      <c r="AJ580" s="6">
        <v>0</v>
      </c>
      <c r="AK580" s="5">
        <v>0</v>
      </c>
      <c r="AL580" s="6">
        <v>0</v>
      </c>
      <c r="AM580" s="5">
        <v>0</v>
      </c>
      <c r="AN580" s="6">
        <v>0</v>
      </c>
      <c r="AO580" s="5">
        <v>0</v>
      </c>
      <c r="AP580" s="6">
        <v>0</v>
      </c>
      <c r="AQ580" s="5">
        <v>0</v>
      </c>
      <c r="AR580" s="6">
        <v>0</v>
      </c>
      <c r="AS580" s="5">
        <v>0</v>
      </c>
      <c r="AT580" s="6">
        <v>0</v>
      </c>
      <c r="AU580" s="5">
        <v>0</v>
      </c>
      <c r="AV580" s="6">
        <v>0</v>
      </c>
      <c r="AW580" s="5">
        <v>0</v>
      </c>
      <c r="AX580" s="6">
        <v>0</v>
      </c>
      <c r="AY580" s="5">
        <v>0</v>
      </c>
      <c r="AZ580" s="6">
        <v>0</v>
      </c>
      <c r="BA580" s="5">
        <v>0</v>
      </c>
      <c r="BB580" s="6">
        <v>0</v>
      </c>
      <c r="BC580" s="5">
        <v>0</v>
      </c>
      <c r="BD580" s="6">
        <v>400</v>
      </c>
      <c r="BE580" s="5">
        <v>4090.914893005131</v>
      </c>
      <c r="BF580" s="6">
        <v>0</v>
      </c>
      <c r="BG580" s="5">
        <v>0</v>
      </c>
      <c r="BH580" s="9">
        <f t="shared" si="74"/>
        <v>400</v>
      </c>
      <c r="BI580" s="10">
        <f t="shared" si="75"/>
        <v>4090.914893005131</v>
      </c>
      <c r="BJ580" s="6">
        <f t="shared" si="76"/>
        <v>20.801544280644293</v>
      </c>
      <c r="BK580" s="11">
        <f t="shared" si="77"/>
        <v>5.4856616547087129E-2</v>
      </c>
      <c r="BL580" s="5">
        <f t="shared" si="78"/>
        <v>370.40924471467224</v>
      </c>
      <c r="BM580" s="11">
        <f t="shared" si="79"/>
        <v>9.9558844880365163E-2</v>
      </c>
    </row>
    <row r="581" spans="1:65" ht="15" customHeight="1" x14ac:dyDescent="0.4">
      <c r="A581" s="2" t="s">
        <v>269</v>
      </c>
      <c r="B581" s="2" t="s">
        <v>451</v>
      </c>
      <c r="C581" s="2" t="s">
        <v>452</v>
      </c>
      <c r="D581" s="3" t="s">
        <v>68</v>
      </c>
      <c r="E581" s="3" t="s">
        <v>542</v>
      </c>
      <c r="F581" s="2" t="s">
        <v>543</v>
      </c>
      <c r="G581" s="4">
        <v>1000</v>
      </c>
      <c r="H581" s="5">
        <v>10.34</v>
      </c>
      <c r="I581" s="5">
        <v>10.77818376233834</v>
      </c>
      <c r="J581" s="6">
        <v>0</v>
      </c>
      <c r="K581" s="5">
        <v>0</v>
      </c>
      <c r="L581" s="6">
        <v>0</v>
      </c>
      <c r="M581" s="5">
        <v>0</v>
      </c>
      <c r="N581" s="6">
        <v>0</v>
      </c>
      <c r="O581" s="5">
        <v>0</v>
      </c>
      <c r="P581" s="6">
        <v>0</v>
      </c>
      <c r="Q581" s="5">
        <v>0</v>
      </c>
      <c r="R581" s="6">
        <v>0</v>
      </c>
      <c r="S581" s="5">
        <v>0</v>
      </c>
      <c r="T581" s="6">
        <v>0</v>
      </c>
      <c r="U581" s="5">
        <v>0</v>
      </c>
      <c r="V581" s="6">
        <v>989.23567419321319</v>
      </c>
      <c r="W581" s="5">
        <v>10228.696871157819</v>
      </c>
      <c r="X581" s="6">
        <v>0</v>
      </c>
      <c r="Y581" s="5">
        <v>0</v>
      </c>
      <c r="Z581" s="6">
        <v>0</v>
      </c>
      <c r="AA581" s="5">
        <v>0</v>
      </c>
      <c r="AB581" s="6">
        <v>0</v>
      </c>
      <c r="AC581" s="5">
        <v>0</v>
      </c>
      <c r="AD581" s="6">
        <v>0</v>
      </c>
      <c r="AE581" s="5">
        <v>0</v>
      </c>
      <c r="AF581" s="6">
        <v>0</v>
      </c>
      <c r="AG581" s="5">
        <v>0</v>
      </c>
      <c r="AH581" s="7">
        <f t="shared" si="72"/>
        <v>989.23567419321319</v>
      </c>
      <c r="AI581" s="8">
        <f t="shared" si="73"/>
        <v>10228.696871157819</v>
      </c>
      <c r="AJ581" s="6">
        <v>0</v>
      </c>
      <c r="AK581" s="5">
        <v>0</v>
      </c>
      <c r="AL581" s="6">
        <v>0</v>
      </c>
      <c r="AM581" s="5">
        <v>0</v>
      </c>
      <c r="AN581" s="6">
        <v>0</v>
      </c>
      <c r="AO581" s="5">
        <v>0</v>
      </c>
      <c r="AP581" s="6">
        <v>0</v>
      </c>
      <c r="AQ581" s="5">
        <v>0</v>
      </c>
      <c r="AR581" s="6">
        <v>0</v>
      </c>
      <c r="AS581" s="5">
        <v>0</v>
      </c>
      <c r="AT581" s="6">
        <v>0</v>
      </c>
      <c r="AU581" s="5">
        <v>0</v>
      </c>
      <c r="AV581" s="6">
        <v>1000</v>
      </c>
      <c r="AW581" s="5">
        <v>10778.18376233834</v>
      </c>
      <c r="AX581" s="6">
        <v>0</v>
      </c>
      <c r="AY581" s="5">
        <v>0</v>
      </c>
      <c r="AZ581" s="6">
        <v>0</v>
      </c>
      <c r="BA581" s="5">
        <v>0</v>
      </c>
      <c r="BB581" s="6">
        <v>0</v>
      </c>
      <c r="BC581" s="5">
        <v>0</v>
      </c>
      <c r="BD581" s="6">
        <v>0</v>
      </c>
      <c r="BE581" s="5">
        <v>0</v>
      </c>
      <c r="BF581" s="6">
        <v>0</v>
      </c>
      <c r="BG581" s="5">
        <v>0</v>
      </c>
      <c r="BH581" s="9">
        <f t="shared" si="74"/>
        <v>1000</v>
      </c>
      <c r="BI581" s="10">
        <f t="shared" si="75"/>
        <v>10778.18376233834</v>
      </c>
      <c r="BJ581" s="6">
        <f t="shared" si="76"/>
        <v>10.764325806786815</v>
      </c>
      <c r="BK581" s="11">
        <f t="shared" si="77"/>
        <v>1.0881457359052311E-2</v>
      </c>
      <c r="BL581" s="5">
        <f t="shared" si="78"/>
        <v>549.48689118052062</v>
      </c>
      <c r="BM581" s="11">
        <f t="shared" si="79"/>
        <v>5.3720126630199219E-2</v>
      </c>
    </row>
    <row r="582" spans="1:65" ht="15" customHeight="1" x14ac:dyDescent="0.4">
      <c r="A582" s="2" t="s">
        <v>269</v>
      </c>
      <c r="B582" s="2" t="s">
        <v>451</v>
      </c>
      <c r="C582" s="2" t="s">
        <v>452</v>
      </c>
      <c r="D582" s="3" t="s">
        <v>68</v>
      </c>
      <c r="E582" s="3" t="s">
        <v>544</v>
      </c>
      <c r="F582" s="2" t="s">
        <v>297</v>
      </c>
      <c r="G582" s="4">
        <v>1</v>
      </c>
      <c r="H582" s="5">
        <v>4.62</v>
      </c>
      <c r="I582" s="5">
        <v>4.81578423423628</v>
      </c>
      <c r="J582" s="6">
        <v>2611.5821798700831</v>
      </c>
      <c r="K582" s="5">
        <v>12065.50967099978</v>
      </c>
      <c r="L582" s="6">
        <v>0</v>
      </c>
      <c r="M582" s="5">
        <v>0</v>
      </c>
      <c r="N582" s="6">
        <v>870.52739329002759</v>
      </c>
      <c r="O582" s="5">
        <v>4021.8365569999278</v>
      </c>
      <c r="P582" s="6">
        <v>0</v>
      </c>
      <c r="Q582" s="5">
        <v>0</v>
      </c>
      <c r="R582" s="6">
        <v>0</v>
      </c>
      <c r="S582" s="5">
        <v>0</v>
      </c>
      <c r="T582" s="6">
        <v>0</v>
      </c>
      <c r="U582" s="5">
        <v>0</v>
      </c>
      <c r="V582" s="6">
        <v>0</v>
      </c>
      <c r="W582" s="5">
        <v>0</v>
      </c>
      <c r="X582" s="6">
        <v>0</v>
      </c>
      <c r="Y582" s="5">
        <v>0</v>
      </c>
      <c r="Z582" s="6">
        <v>0</v>
      </c>
      <c r="AA582" s="5">
        <v>0</v>
      </c>
      <c r="AB582" s="6">
        <v>0</v>
      </c>
      <c r="AC582" s="5">
        <v>0</v>
      </c>
      <c r="AD582" s="6">
        <v>0</v>
      </c>
      <c r="AE582" s="5">
        <v>0</v>
      </c>
      <c r="AF582" s="6">
        <v>0</v>
      </c>
      <c r="AG582" s="5">
        <v>0</v>
      </c>
      <c r="AH582" s="7">
        <f t="shared" si="72"/>
        <v>3482.1095731601108</v>
      </c>
      <c r="AI582" s="8">
        <f t="shared" si="73"/>
        <v>16087.346227999707</v>
      </c>
      <c r="AJ582" s="6">
        <v>2879</v>
      </c>
      <c r="AK582" s="5">
        <v>13864.642810366249</v>
      </c>
      <c r="AL582" s="6">
        <v>0</v>
      </c>
      <c r="AM582" s="5">
        <v>0</v>
      </c>
      <c r="AN582" s="6">
        <v>960</v>
      </c>
      <c r="AO582" s="5">
        <v>4623.1528648668291</v>
      </c>
      <c r="AP582" s="6">
        <v>0</v>
      </c>
      <c r="AQ582" s="5">
        <v>0</v>
      </c>
      <c r="AR582" s="6">
        <v>0</v>
      </c>
      <c r="AS582" s="5">
        <v>0</v>
      </c>
      <c r="AT582" s="6">
        <v>0</v>
      </c>
      <c r="AU582" s="5">
        <v>0</v>
      </c>
      <c r="AV582" s="6">
        <v>0</v>
      </c>
      <c r="AW582" s="5">
        <v>0</v>
      </c>
      <c r="AX582" s="6">
        <v>0</v>
      </c>
      <c r="AY582" s="5">
        <v>0</v>
      </c>
      <c r="AZ582" s="6">
        <v>0</v>
      </c>
      <c r="BA582" s="5">
        <v>0</v>
      </c>
      <c r="BB582" s="6">
        <v>0</v>
      </c>
      <c r="BC582" s="5">
        <v>0</v>
      </c>
      <c r="BD582" s="6">
        <v>0</v>
      </c>
      <c r="BE582" s="5">
        <v>0</v>
      </c>
      <c r="BF582" s="6">
        <v>0</v>
      </c>
      <c r="BG582" s="5">
        <v>0</v>
      </c>
      <c r="BH582" s="9">
        <f t="shared" si="74"/>
        <v>3839</v>
      </c>
      <c r="BI582" s="10">
        <f t="shared" si="75"/>
        <v>18487.795675233079</v>
      </c>
      <c r="BJ582" s="6">
        <f t="shared" si="76"/>
        <v>356.89042683988919</v>
      </c>
      <c r="BK582" s="11">
        <f t="shared" si="77"/>
        <v>0.1024925894322163</v>
      </c>
      <c r="BL582" s="5">
        <f t="shared" si="78"/>
        <v>2400.4494472333718</v>
      </c>
      <c r="BM582" s="11">
        <f t="shared" si="79"/>
        <v>0.14921351310606076</v>
      </c>
    </row>
    <row r="583" spans="1:65" ht="15" customHeight="1" x14ac:dyDescent="0.4">
      <c r="A583" s="2" t="s">
        <v>269</v>
      </c>
      <c r="B583" s="2" t="s">
        <v>451</v>
      </c>
      <c r="C583" s="2" t="s">
        <v>452</v>
      </c>
      <c r="D583" s="3" t="s">
        <v>68</v>
      </c>
      <c r="E583" s="3" t="s">
        <v>544</v>
      </c>
      <c r="F583" s="2" t="s">
        <v>545</v>
      </c>
      <c r="G583" s="4">
        <v>1</v>
      </c>
      <c r="H583" s="5">
        <v>4.62</v>
      </c>
      <c r="I583" s="5">
        <v>4.81578423423628</v>
      </c>
      <c r="J583" s="6">
        <v>0</v>
      </c>
      <c r="K583" s="5">
        <v>0</v>
      </c>
      <c r="L583" s="6">
        <v>0</v>
      </c>
      <c r="M583" s="5">
        <v>0</v>
      </c>
      <c r="N583" s="6">
        <v>0</v>
      </c>
      <c r="O583" s="5">
        <v>0</v>
      </c>
      <c r="P583" s="6">
        <v>0</v>
      </c>
      <c r="Q583" s="5">
        <v>0</v>
      </c>
      <c r="R583" s="6">
        <v>870.52739329002759</v>
      </c>
      <c r="S583" s="5">
        <v>4021.8365569999278</v>
      </c>
      <c r="T583" s="6">
        <v>870.52739329002759</v>
      </c>
      <c r="U583" s="5">
        <v>4021.8365569999278</v>
      </c>
      <c r="V583" s="6">
        <v>0</v>
      </c>
      <c r="W583" s="5">
        <v>0</v>
      </c>
      <c r="X583" s="6">
        <v>0</v>
      </c>
      <c r="Y583" s="5">
        <v>0</v>
      </c>
      <c r="Z583" s="6">
        <v>0</v>
      </c>
      <c r="AA583" s="5">
        <v>0</v>
      </c>
      <c r="AB583" s="6">
        <v>0</v>
      </c>
      <c r="AC583" s="5">
        <v>0</v>
      </c>
      <c r="AD583" s="6">
        <v>0</v>
      </c>
      <c r="AE583" s="5">
        <v>0</v>
      </c>
      <c r="AF583" s="6">
        <v>0</v>
      </c>
      <c r="AG583" s="5">
        <v>0</v>
      </c>
      <c r="AH583" s="7">
        <f t="shared" si="72"/>
        <v>1741.0547865800552</v>
      </c>
      <c r="AI583" s="8">
        <f t="shared" si="73"/>
        <v>8043.6731139998556</v>
      </c>
      <c r="AJ583" s="6">
        <v>0</v>
      </c>
      <c r="AK583" s="5">
        <v>0</v>
      </c>
      <c r="AL583" s="6">
        <v>0</v>
      </c>
      <c r="AM583" s="5">
        <v>0</v>
      </c>
      <c r="AN583" s="6">
        <v>0</v>
      </c>
      <c r="AO583" s="5">
        <v>0</v>
      </c>
      <c r="AP583" s="6">
        <v>0</v>
      </c>
      <c r="AQ583" s="5">
        <v>0</v>
      </c>
      <c r="AR583" s="6">
        <v>960</v>
      </c>
      <c r="AS583" s="5">
        <v>4623.1528648668291</v>
      </c>
      <c r="AT583" s="6">
        <v>960</v>
      </c>
      <c r="AU583" s="5">
        <v>4623.1528648668291</v>
      </c>
      <c r="AV583" s="6">
        <v>0</v>
      </c>
      <c r="AW583" s="5">
        <v>0</v>
      </c>
      <c r="AX583" s="6">
        <v>0</v>
      </c>
      <c r="AY583" s="5">
        <v>0</v>
      </c>
      <c r="AZ583" s="6">
        <v>0</v>
      </c>
      <c r="BA583" s="5">
        <v>0</v>
      </c>
      <c r="BB583" s="6">
        <v>0</v>
      </c>
      <c r="BC583" s="5">
        <v>0</v>
      </c>
      <c r="BD583" s="6">
        <v>0</v>
      </c>
      <c r="BE583" s="5">
        <v>0</v>
      </c>
      <c r="BF583" s="6">
        <v>0</v>
      </c>
      <c r="BG583" s="5">
        <v>0</v>
      </c>
      <c r="BH583" s="9">
        <f t="shared" si="74"/>
        <v>1920</v>
      </c>
      <c r="BI583" s="10">
        <f t="shared" si="75"/>
        <v>9246.3057297336582</v>
      </c>
      <c r="BJ583" s="6">
        <f t="shared" si="76"/>
        <v>178.94521341994482</v>
      </c>
      <c r="BK583" s="11">
        <f t="shared" si="77"/>
        <v>0.10277977166442072</v>
      </c>
      <c r="BL583" s="5">
        <f t="shared" si="78"/>
        <v>1202.6326157338026</v>
      </c>
      <c r="BM583" s="11">
        <f t="shared" si="79"/>
        <v>0.14951286541476233</v>
      </c>
    </row>
    <row r="584" spans="1:65" ht="15" customHeight="1" x14ac:dyDescent="0.4">
      <c r="A584" s="2" t="s">
        <v>269</v>
      </c>
      <c r="B584" s="2" t="s">
        <v>451</v>
      </c>
      <c r="C584" s="2" t="s">
        <v>452</v>
      </c>
      <c r="D584" s="3" t="s">
        <v>68</v>
      </c>
      <c r="E584" s="3" t="s">
        <v>544</v>
      </c>
      <c r="F584" s="2" t="s">
        <v>546</v>
      </c>
      <c r="G584" s="4">
        <v>1</v>
      </c>
      <c r="H584" s="5">
        <v>4.6883452490210296</v>
      </c>
      <c r="I584" s="5">
        <v>4.8870106929812671</v>
      </c>
      <c r="J584" s="6">
        <v>0</v>
      </c>
      <c r="K584" s="5">
        <v>0</v>
      </c>
      <c r="L584" s="6">
        <v>0</v>
      </c>
      <c r="M584" s="5">
        <v>0</v>
      </c>
      <c r="N584" s="6">
        <v>0</v>
      </c>
      <c r="O584" s="5">
        <v>0</v>
      </c>
      <c r="P584" s="6">
        <v>0</v>
      </c>
      <c r="Q584" s="5">
        <v>0</v>
      </c>
      <c r="R584" s="6">
        <v>0</v>
      </c>
      <c r="S584" s="5">
        <v>0</v>
      </c>
      <c r="T584" s="6">
        <v>2611.5821798700831</v>
      </c>
      <c r="U584" s="5">
        <v>12378.89953258419</v>
      </c>
      <c r="V584" s="6">
        <v>0</v>
      </c>
      <c r="W584" s="5">
        <v>0</v>
      </c>
      <c r="X584" s="6">
        <v>0</v>
      </c>
      <c r="Y584" s="5">
        <v>0</v>
      </c>
      <c r="Z584" s="6">
        <v>0</v>
      </c>
      <c r="AA584" s="5">
        <v>0</v>
      </c>
      <c r="AB584" s="6">
        <v>0</v>
      </c>
      <c r="AC584" s="5">
        <v>0</v>
      </c>
      <c r="AD584" s="6">
        <v>834.23660258258258</v>
      </c>
      <c r="AE584" s="5">
        <v>3776.2885851151932</v>
      </c>
      <c r="AF584" s="6">
        <v>0</v>
      </c>
      <c r="AG584" s="5">
        <v>0</v>
      </c>
      <c r="AH584" s="7">
        <f t="shared" si="72"/>
        <v>3445.8187824526658</v>
      </c>
      <c r="AI584" s="8">
        <f t="shared" si="73"/>
        <v>16155.188117699383</v>
      </c>
      <c r="AJ584" s="6">
        <v>0</v>
      </c>
      <c r="AK584" s="5">
        <v>0</v>
      </c>
      <c r="AL584" s="6">
        <v>0</v>
      </c>
      <c r="AM584" s="5">
        <v>0</v>
      </c>
      <c r="AN584" s="6">
        <v>0</v>
      </c>
      <c r="AO584" s="5">
        <v>0</v>
      </c>
      <c r="AP584" s="6">
        <v>0</v>
      </c>
      <c r="AQ584" s="5">
        <v>0</v>
      </c>
      <c r="AR584" s="6">
        <v>0</v>
      </c>
      <c r="AS584" s="5">
        <v>0</v>
      </c>
      <c r="AT584" s="6">
        <v>2879</v>
      </c>
      <c r="AU584" s="5">
        <v>14224.763402843289</v>
      </c>
      <c r="AV584" s="6">
        <v>0</v>
      </c>
      <c r="AW584" s="5">
        <v>0</v>
      </c>
      <c r="AX584" s="6">
        <v>0</v>
      </c>
      <c r="AY584" s="5">
        <v>0</v>
      </c>
      <c r="AZ584" s="6">
        <v>0</v>
      </c>
      <c r="BA584" s="5">
        <v>0</v>
      </c>
      <c r="BB584" s="6">
        <v>0</v>
      </c>
      <c r="BC584" s="5">
        <v>0</v>
      </c>
      <c r="BD584" s="6">
        <v>920</v>
      </c>
      <c r="BE584" s="5">
        <v>4340.9902197925403</v>
      </c>
      <c r="BF584" s="6">
        <v>0</v>
      </c>
      <c r="BG584" s="5">
        <v>0</v>
      </c>
      <c r="BH584" s="9">
        <f t="shared" si="74"/>
        <v>3799</v>
      </c>
      <c r="BI584" s="10">
        <f t="shared" si="75"/>
        <v>18565.753622635828</v>
      </c>
      <c r="BJ584" s="6">
        <f t="shared" si="76"/>
        <v>353.1812175473342</v>
      </c>
      <c r="BK584" s="11">
        <f t="shared" si="77"/>
        <v>0.10249558663556496</v>
      </c>
      <c r="BL584" s="5">
        <f t="shared" si="78"/>
        <v>2410.565504936445</v>
      </c>
      <c r="BM584" s="11">
        <f t="shared" si="79"/>
        <v>0.14921308791789711</v>
      </c>
    </row>
    <row r="585" spans="1:65" ht="15" customHeight="1" x14ac:dyDescent="0.4">
      <c r="A585" s="2" t="s">
        <v>269</v>
      </c>
      <c r="B585" s="2" t="s">
        <v>451</v>
      </c>
      <c r="C585" s="2" t="s">
        <v>452</v>
      </c>
      <c r="D585" s="3" t="s">
        <v>68</v>
      </c>
      <c r="E585" s="3" t="s">
        <v>547</v>
      </c>
      <c r="F585" s="2" t="s">
        <v>447</v>
      </c>
      <c r="G585" s="4">
        <v>20</v>
      </c>
      <c r="H585" s="5">
        <v>3.62</v>
      </c>
      <c r="I585" s="5">
        <v>3.7734066943582971</v>
      </c>
      <c r="J585" s="6">
        <v>3165.554157418283</v>
      </c>
      <c r="K585" s="5">
        <v>11459.30604985418</v>
      </c>
      <c r="L585" s="6">
        <v>0</v>
      </c>
      <c r="M585" s="5">
        <v>0</v>
      </c>
      <c r="N585" s="6">
        <v>0</v>
      </c>
      <c r="O585" s="5">
        <v>0</v>
      </c>
      <c r="P585" s="6">
        <v>0</v>
      </c>
      <c r="Q585" s="5">
        <v>0</v>
      </c>
      <c r="R585" s="6">
        <v>0</v>
      </c>
      <c r="S585" s="5">
        <v>0</v>
      </c>
      <c r="T585" s="6">
        <v>0</v>
      </c>
      <c r="U585" s="5">
        <v>0</v>
      </c>
      <c r="V585" s="6">
        <v>0</v>
      </c>
      <c r="W585" s="5">
        <v>0</v>
      </c>
      <c r="X585" s="6">
        <v>0</v>
      </c>
      <c r="Y585" s="5">
        <v>0</v>
      </c>
      <c r="Z585" s="6">
        <v>0</v>
      </c>
      <c r="AA585" s="5">
        <v>0</v>
      </c>
      <c r="AB585" s="6">
        <v>0</v>
      </c>
      <c r="AC585" s="5">
        <v>0</v>
      </c>
      <c r="AD585" s="6">
        <v>0</v>
      </c>
      <c r="AE585" s="5">
        <v>0</v>
      </c>
      <c r="AF585" s="6">
        <v>0</v>
      </c>
      <c r="AG585" s="5">
        <v>0</v>
      </c>
      <c r="AH585" s="7">
        <f t="shared" si="72"/>
        <v>3165.554157418283</v>
      </c>
      <c r="AI585" s="8">
        <f t="shared" si="73"/>
        <v>11459.30604985418</v>
      </c>
      <c r="AJ585" s="6">
        <v>3440</v>
      </c>
      <c r="AK585" s="5">
        <v>12980.51902859254</v>
      </c>
      <c r="AL585" s="6">
        <v>0</v>
      </c>
      <c r="AM585" s="5">
        <v>0</v>
      </c>
      <c r="AN585" s="6">
        <v>0</v>
      </c>
      <c r="AO585" s="5">
        <v>0</v>
      </c>
      <c r="AP585" s="6">
        <v>0</v>
      </c>
      <c r="AQ585" s="5">
        <v>0</v>
      </c>
      <c r="AR585" s="6">
        <v>0</v>
      </c>
      <c r="AS585" s="5">
        <v>0</v>
      </c>
      <c r="AT585" s="6">
        <v>0</v>
      </c>
      <c r="AU585" s="5">
        <v>0</v>
      </c>
      <c r="AV585" s="6">
        <v>0</v>
      </c>
      <c r="AW585" s="5">
        <v>0</v>
      </c>
      <c r="AX585" s="6">
        <v>0</v>
      </c>
      <c r="AY585" s="5">
        <v>0</v>
      </c>
      <c r="AZ585" s="6">
        <v>0</v>
      </c>
      <c r="BA585" s="5">
        <v>0</v>
      </c>
      <c r="BB585" s="6">
        <v>0</v>
      </c>
      <c r="BC585" s="5">
        <v>0</v>
      </c>
      <c r="BD585" s="6">
        <v>0</v>
      </c>
      <c r="BE585" s="5">
        <v>0</v>
      </c>
      <c r="BF585" s="6">
        <v>0</v>
      </c>
      <c r="BG585" s="5">
        <v>0</v>
      </c>
      <c r="BH585" s="9">
        <f t="shared" si="74"/>
        <v>3440</v>
      </c>
      <c r="BI585" s="10">
        <f t="shared" si="75"/>
        <v>12980.51902859254</v>
      </c>
      <c r="BJ585" s="6">
        <f t="shared" si="76"/>
        <v>274.44584258171699</v>
      </c>
      <c r="BK585" s="11">
        <f t="shared" si="77"/>
        <v>8.6697566660980954E-2</v>
      </c>
      <c r="BL585" s="5">
        <f t="shared" si="78"/>
        <v>1521.2129787383601</v>
      </c>
      <c r="BM585" s="11">
        <f t="shared" si="79"/>
        <v>0.13274913612746364</v>
      </c>
    </row>
    <row r="586" spans="1:65" ht="15" customHeight="1" x14ac:dyDescent="0.4">
      <c r="A586" s="2" t="s">
        <v>269</v>
      </c>
      <c r="B586" s="2" t="s">
        <v>451</v>
      </c>
      <c r="C586" s="2" t="s">
        <v>452</v>
      </c>
      <c r="D586" s="3" t="s">
        <v>68</v>
      </c>
      <c r="E586" s="3" t="s">
        <v>547</v>
      </c>
      <c r="F586" s="2" t="s">
        <v>545</v>
      </c>
      <c r="G586" s="4">
        <v>20</v>
      </c>
      <c r="H586" s="5">
        <v>3.62</v>
      </c>
      <c r="I586" s="5">
        <v>3.7734066943582971</v>
      </c>
      <c r="J586" s="6">
        <v>0</v>
      </c>
      <c r="K586" s="5">
        <v>0</v>
      </c>
      <c r="L586" s="6">
        <v>0</v>
      </c>
      <c r="M586" s="5">
        <v>0</v>
      </c>
      <c r="N586" s="6">
        <v>0</v>
      </c>
      <c r="O586" s="5">
        <v>0</v>
      </c>
      <c r="P586" s="6">
        <v>0</v>
      </c>
      <c r="Q586" s="5">
        <v>0</v>
      </c>
      <c r="R586" s="6">
        <v>0</v>
      </c>
      <c r="S586" s="5">
        <v>0</v>
      </c>
      <c r="T586" s="6">
        <v>3264.477724837604</v>
      </c>
      <c r="U586" s="5">
        <v>11817.409363912129</v>
      </c>
      <c r="V586" s="6">
        <v>0</v>
      </c>
      <c r="W586" s="5">
        <v>0</v>
      </c>
      <c r="X586" s="6">
        <v>0</v>
      </c>
      <c r="Y586" s="5">
        <v>0</v>
      </c>
      <c r="Z586" s="6">
        <v>0</v>
      </c>
      <c r="AA586" s="5">
        <v>0</v>
      </c>
      <c r="AB586" s="6">
        <v>0</v>
      </c>
      <c r="AC586" s="5">
        <v>0</v>
      </c>
      <c r="AD586" s="6">
        <v>0</v>
      </c>
      <c r="AE586" s="5">
        <v>0</v>
      </c>
      <c r="AF586" s="6">
        <v>0</v>
      </c>
      <c r="AG586" s="5">
        <v>0</v>
      </c>
      <c r="AH586" s="7">
        <f t="shared" si="72"/>
        <v>3264.477724837604</v>
      </c>
      <c r="AI586" s="8">
        <f t="shared" si="73"/>
        <v>11817.409363912129</v>
      </c>
      <c r="AJ586" s="6">
        <v>0</v>
      </c>
      <c r="AK586" s="5">
        <v>0</v>
      </c>
      <c r="AL586" s="6">
        <v>0</v>
      </c>
      <c r="AM586" s="5">
        <v>0</v>
      </c>
      <c r="AN586" s="6">
        <v>0</v>
      </c>
      <c r="AO586" s="5">
        <v>0</v>
      </c>
      <c r="AP586" s="6">
        <v>0</v>
      </c>
      <c r="AQ586" s="5">
        <v>0</v>
      </c>
      <c r="AR586" s="6">
        <v>0</v>
      </c>
      <c r="AS586" s="5">
        <v>0</v>
      </c>
      <c r="AT586" s="6">
        <v>3540</v>
      </c>
      <c r="AU586" s="5">
        <v>13357.859698028369</v>
      </c>
      <c r="AV586" s="6">
        <v>0</v>
      </c>
      <c r="AW586" s="5">
        <v>0</v>
      </c>
      <c r="AX586" s="6">
        <v>0</v>
      </c>
      <c r="AY586" s="5">
        <v>0</v>
      </c>
      <c r="AZ586" s="6">
        <v>0</v>
      </c>
      <c r="BA586" s="5">
        <v>0</v>
      </c>
      <c r="BB586" s="6">
        <v>0</v>
      </c>
      <c r="BC586" s="5">
        <v>0</v>
      </c>
      <c r="BD586" s="6">
        <v>0</v>
      </c>
      <c r="BE586" s="5">
        <v>0</v>
      </c>
      <c r="BF586" s="6">
        <v>0</v>
      </c>
      <c r="BG586" s="5">
        <v>0</v>
      </c>
      <c r="BH586" s="9">
        <f t="shared" si="74"/>
        <v>3540</v>
      </c>
      <c r="BI586" s="10">
        <f t="shared" si="75"/>
        <v>13357.859698028369</v>
      </c>
      <c r="BJ586" s="6">
        <f t="shared" si="76"/>
        <v>275.522275162396</v>
      </c>
      <c r="BK586" s="11">
        <f t="shared" si="77"/>
        <v>8.4400108803346863E-2</v>
      </c>
      <c r="BL586" s="5">
        <f t="shared" si="78"/>
        <v>1540.4503341162399</v>
      </c>
      <c r="BM586" s="11">
        <f t="shared" si="79"/>
        <v>0.13035431765784891</v>
      </c>
    </row>
    <row r="587" spans="1:65" ht="15" customHeight="1" x14ac:dyDescent="0.4">
      <c r="A587" s="2" t="s">
        <v>269</v>
      </c>
      <c r="B587" s="2" t="s">
        <v>451</v>
      </c>
      <c r="C587" s="2" t="s">
        <v>452</v>
      </c>
      <c r="D587" s="3" t="s">
        <v>68</v>
      </c>
      <c r="E587" s="3" t="s">
        <v>547</v>
      </c>
      <c r="F587" s="2" t="s">
        <v>548</v>
      </c>
      <c r="G587" s="4">
        <v>20</v>
      </c>
      <c r="H587" s="5">
        <v>3.5833739910536009</v>
      </c>
      <c r="I587" s="5">
        <v>3.7350988930635252</v>
      </c>
      <c r="J587" s="6">
        <v>0</v>
      </c>
      <c r="K587" s="5">
        <v>0</v>
      </c>
      <c r="L587" s="6">
        <v>0</v>
      </c>
      <c r="M587" s="5">
        <v>0</v>
      </c>
      <c r="N587" s="6">
        <v>0</v>
      </c>
      <c r="O587" s="5">
        <v>0</v>
      </c>
      <c r="P587" s="6">
        <v>0</v>
      </c>
      <c r="Q587" s="5">
        <v>0</v>
      </c>
      <c r="R587" s="6">
        <v>0</v>
      </c>
      <c r="S587" s="5">
        <v>0</v>
      </c>
      <c r="T587" s="6">
        <v>1088.159241612535</v>
      </c>
      <c r="U587" s="5">
        <v>3939.1364546373752</v>
      </c>
      <c r="V587" s="6">
        <v>0</v>
      </c>
      <c r="W587" s="5">
        <v>0</v>
      </c>
      <c r="X587" s="6">
        <v>0</v>
      </c>
      <c r="Y587" s="5">
        <v>0</v>
      </c>
      <c r="Z587" s="6">
        <v>0</v>
      </c>
      <c r="AA587" s="5">
        <v>0</v>
      </c>
      <c r="AB587" s="6">
        <v>0</v>
      </c>
      <c r="AC587" s="5">
        <v>0</v>
      </c>
      <c r="AD587" s="6">
        <v>568.79768357903356</v>
      </c>
      <c r="AE587" s="5">
        <v>1998.3598953902381</v>
      </c>
      <c r="AF587" s="6">
        <v>0</v>
      </c>
      <c r="AG587" s="5">
        <v>0</v>
      </c>
      <c r="AH587" s="7">
        <f t="shared" si="72"/>
        <v>1656.9569251915686</v>
      </c>
      <c r="AI587" s="8">
        <f t="shared" si="73"/>
        <v>5937.4963500276135</v>
      </c>
      <c r="AJ587" s="6">
        <v>0</v>
      </c>
      <c r="AK587" s="5">
        <v>0</v>
      </c>
      <c r="AL587" s="6">
        <v>0</v>
      </c>
      <c r="AM587" s="5">
        <v>0</v>
      </c>
      <c r="AN587" s="6">
        <v>0</v>
      </c>
      <c r="AO587" s="5">
        <v>0</v>
      </c>
      <c r="AP587" s="6">
        <v>0</v>
      </c>
      <c r="AQ587" s="5">
        <v>0</v>
      </c>
      <c r="AR587" s="6">
        <v>0</v>
      </c>
      <c r="AS587" s="5">
        <v>0</v>
      </c>
      <c r="AT587" s="6">
        <v>1180</v>
      </c>
      <c r="AU587" s="5">
        <v>4452.6198993427906</v>
      </c>
      <c r="AV587" s="6">
        <v>0</v>
      </c>
      <c r="AW587" s="5">
        <v>0</v>
      </c>
      <c r="AX587" s="6">
        <v>0</v>
      </c>
      <c r="AY587" s="5">
        <v>0</v>
      </c>
      <c r="AZ587" s="6">
        <v>0</v>
      </c>
      <c r="BA587" s="5">
        <v>0</v>
      </c>
      <c r="BB587" s="6">
        <v>0</v>
      </c>
      <c r="BC587" s="5">
        <v>0</v>
      </c>
      <c r="BD587" s="6">
        <v>620</v>
      </c>
      <c r="BE587" s="5">
        <v>2270.558108171555</v>
      </c>
      <c r="BF587" s="6">
        <v>0</v>
      </c>
      <c r="BG587" s="5">
        <v>0</v>
      </c>
      <c r="BH587" s="9">
        <f t="shared" si="74"/>
        <v>1800</v>
      </c>
      <c r="BI587" s="10">
        <f t="shared" si="75"/>
        <v>6723.1780075143452</v>
      </c>
      <c r="BJ587" s="6">
        <f t="shared" si="76"/>
        <v>143.04307480843136</v>
      </c>
      <c r="BK587" s="11">
        <f t="shared" si="77"/>
        <v>8.6328782983838559E-2</v>
      </c>
      <c r="BL587" s="5">
        <f t="shared" si="78"/>
        <v>785.68165748673164</v>
      </c>
      <c r="BM587" s="11">
        <f t="shared" si="79"/>
        <v>0.13232541313193022</v>
      </c>
    </row>
    <row r="588" spans="1:65" ht="15" customHeight="1" x14ac:dyDescent="0.4">
      <c r="A588" s="2" t="s">
        <v>269</v>
      </c>
      <c r="B588" s="2" t="s">
        <v>451</v>
      </c>
      <c r="C588" s="2" t="s">
        <v>452</v>
      </c>
      <c r="D588" s="3" t="s">
        <v>68</v>
      </c>
      <c r="E588" s="3" t="s">
        <v>549</v>
      </c>
      <c r="F588" s="2" t="s">
        <v>550</v>
      </c>
      <c r="G588" s="4">
        <v>5</v>
      </c>
      <c r="H588" s="5">
        <v>4.3899999999999997</v>
      </c>
      <c r="I588" s="5">
        <v>4.5760374000643429</v>
      </c>
      <c r="J588" s="6">
        <v>0</v>
      </c>
      <c r="K588" s="5">
        <v>0</v>
      </c>
      <c r="L588" s="6">
        <v>0</v>
      </c>
      <c r="M588" s="5">
        <v>0</v>
      </c>
      <c r="N588" s="6">
        <v>0</v>
      </c>
      <c r="O588" s="5">
        <v>0</v>
      </c>
      <c r="P588" s="6">
        <v>0</v>
      </c>
      <c r="Q588" s="5">
        <v>0</v>
      </c>
      <c r="R588" s="6">
        <v>544.07962080626726</v>
      </c>
      <c r="S588" s="5">
        <v>2388.5095353395131</v>
      </c>
      <c r="T588" s="6">
        <v>0</v>
      </c>
      <c r="U588" s="5">
        <v>0</v>
      </c>
      <c r="V588" s="6">
        <v>0</v>
      </c>
      <c r="W588" s="5">
        <v>0</v>
      </c>
      <c r="X588" s="6">
        <v>0</v>
      </c>
      <c r="Y588" s="5">
        <v>0</v>
      </c>
      <c r="Z588" s="6">
        <v>0</v>
      </c>
      <c r="AA588" s="5">
        <v>0</v>
      </c>
      <c r="AB588" s="6">
        <v>0</v>
      </c>
      <c r="AC588" s="5">
        <v>0</v>
      </c>
      <c r="AD588" s="6">
        <v>0</v>
      </c>
      <c r="AE588" s="5">
        <v>0</v>
      </c>
      <c r="AF588" s="6">
        <v>0</v>
      </c>
      <c r="AG588" s="5">
        <v>0</v>
      </c>
      <c r="AH588" s="7">
        <f t="shared" si="72"/>
        <v>544.07962080626726</v>
      </c>
      <c r="AI588" s="8">
        <f t="shared" si="73"/>
        <v>2388.5095353395131</v>
      </c>
      <c r="AJ588" s="6">
        <v>0</v>
      </c>
      <c r="AK588" s="5">
        <v>0</v>
      </c>
      <c r="AL588" s="6">
        <v>0</v>
      </c>
      <c r="AM588" s="5">
        <v>0</v>
      </c>
      <c r="AN588" s="6">
        <v>0</v>
      </c>
      <c r="AO588" s="5">
        <v>0</v>
      </c>
      <c r="AP588" s="6">
        <v>0</v>
      </c>
      <c r="AQ588" s="5">
        <v>0</v>
      </c>
      <c r="AR588" s="6">
        <v>655</v>
      </c>
      <c r="AS588" s="5">
        <v>2997.3044970421452</v>
      </c>
      <c r="AT588" s="6">
        <v>0</v>
      </c>
      <c r="AU588" s="5">
        <v>0</v>
      </c>
      <c r="AV588" s="6">
        <v>0</v>
      </c>
      <c r="AW588" s="5">
        <v>0</v>
      </c>
      <c r="AX588" s="6">
        <v>0</v>
      </c>
      <c r="AY588" s="5">
        <v>0</v>
      </c>
      <c r="AZ588" s="6">
        <v>0</v>
      </c>
      <c r="BA588" s="5">
        <v>0</v>
      </c>
      <c r="BB588" s="6">
        <v>0</v>
      </c>
      <c r="BC588" s="5">
        <v>0</v>
      </c>
      <c r="BD588" s="6">
        <v>0</v>
      </c>
      <c r="BE588" s="5">
        <v>0</v>
      </c>
      <c r="BF588" s="6">
        <v>0</v>
      </c>
      <c r="BG588" s="5">
        <v>0</v>
      </c>
      <c r="BH588" s="9">
        <f t="shared" si="74"/>
        <v>655</v>
      </c>
      <c r="BI588" s="10">
        <f t="shared" si="75"/>
        <v>2997.3044970421452</v>
      </c>
      <c r="BJ588" s="6">
        <f t="shared" si="76"/>
        <v>110.92037919373274</v>
      </c>
      <c r="BK588" s="11">
        <f t="shared" si="77"/>
        <v>0.20386791740032592</v>
      </c>
      <c r="BL588" s="5">
        <f t="shared" si="78"/>
        <v>608.79496170263201</v>
      </c>
      <c r="BM588" s="11">
        <f t="shared" si="79"/>
        <v>0.25488487807778221</v>
      </c>
    </row>
    <row r="589" spans="1:65" ht="15" customHeight="1" x14ac:dyDescent="0.4">
      <c r="A589" s="2" t="s">
        <v>269</v>
      </c>
      <c r="B589" s="2" t="s">
        <v>451</v>
      </c>
      <c r="C589" s="2" t="s">
        <v>452</v>
      </c>
      <c r="D589" s="3" t="s">
        <v>68</v>
      </c>
      <c r="E589" s="3" t="s">
        <v>551</v>
      </c>
      <c r="F589" s="2" t="s">
        <v>450</v>
      </c>
      <c r="G589" s="4">
        <v>5</v>
      </c>
      <c r="H589" s="5">
        <v>1.9</v>
      </c>
      <c r="I589" s="5">
        <v>1.980517325768167</v>
      </c>
      <c r="J589" s="6">
        <v>0</v>
      </c>
      <c r="K589" s="5">
        <v>0</v>
      </c>
      <c r="L589" s="6">
        <v>0</v>
      </c>
      <c r="M589" s="5">
        <v>0</v>
      </c>
      <c r="N589" s="6">
        <v>0</v>
      </c>
      <c r="O589" s="5">
        <v>0</v>
      </c>
      <c r="P589" s="6">
        <v>0</v>
      </c>
      <c r="Q589" s="5">
        <v>0</v>
      </c>
      <c r="R589" s="6">
        <v>0</v>
      </c>
      <c r="S589" s="5">
        <v>0</v>
      </c>
      <c r="T589" s="6">
        <v>553.97197754819945</v>
      </c>
      <c r="U589" s="5">
        <v>1052.546757341579</v>
      </c>
      <c r="V589" s="6">
        <v>0</v>
      </c>
      <c r="W589" s="5">
        <v>0</v>
      </c>
      <c r="X589" s="6">
        <v>0</v>
      </c>
      <c r="Y589" s="5">
        <v>0</v>
      </c>
      <c r="Z589" s="6">
        <v>0</v>
      </c>
      <c r="AA589" s="5">
        <v>0</v>
      </c>
      <c r="AB589" s="6">
        <v>0</v>
      </c>
      <c r="AC589" s="5">
        <v>0</v>
      </c>
      <c r="AD589" s="6">
        <v>0</v>
      </c>
      <c r="AE589" s="5">
        <v>0</v>
      </c>
      <c r="AF589" s="6">
        <v>0</v>
      </c>
      <c r="AG589" s="5">
        <v>0</v>
      </c>
      <c r="AH589" s="7">
        <f t="shared" si="72"/>
        <v>553.97197754819945</v>
      </c>
      <c r="AI589" s="8">
        <f t="shared" si="73"/>
        <v>1052.546757341579</v>
      </c>
      <c r="AJ589" s="6">
        <v>0</v>
      </c>
      <c r="AK589" s="5">
        <v>0</v>
      </c>
      <c r="AL589" s="6">
        <v>0</v>
      </c>
      <c r="AM589" s="5">
        <v>0</v>
      </c>
      <c r="AN589" s="6">
        <v>0</v>
      </c>
      <c r="AO589" s="5">
        <v>0</v>
      </c>
      <c r="AP589" s="6">
        <v>0</v>
      </c>
      <c r="AQ589" s="5">
        <v>0</v>
      </c>
      <c r="AR589" s="6">
        <v>0</v>
      </c>
      <c r="AS589" s="5">
        <v>0</v>
      </c>
      <c r="AT589" s="6">
        <v>600</v>
      </c>
      <c r="AU589" s="5">
        <v>1188.3103954609001</v>
      </c>
      <c r="AV589" s="6">
        <v>0</v>
      </c>
      <c r="AW589" s="5">
        <v>0</v>
      </c>
      <c r="AX589" s="6">
        <v>0</v>
      </c>
      <c r="AY589" s="5">
        <v>0</v>
      </c>
      <c r="AZ589" s="6">
        <v>0</v>
      </c>
      <c r="BA589" s="5">
        <v>0</v>
      </c>
      <c r="BB589" s="6">
        <v>0</v>
      </c>
      <c r="BC589" s="5">
        <v>0</v>
      </c>
      <c r="BD589" s="6">
        <v>0</v>
      </c>
      <c r="BE589" s="5">
        <v>0</v>
      </c>
      <c r="BF589" s="6">
        <v>0</v>
      </c>
      <c r="BG589" s="5">
        <v>0</v>
      </c>
      <c r="BH589" s="9">
        <f t="shared" si="74"/>
        <v>600</v>
      </c>
      <c r="BI589" s="10">
        <f t="shared" si="75"/>
        <v>1188.3103954609001</v>
      </c>
      <c r="BJ589" s="6">
        <f t="shared" si="76"/>
        <v>46.028022451800553</v>
      </c>
      <c r="BK589" s="11">
        <f t="shared" si="77"/>
        <v>8.3087275741841632E-2</v>
      </c>
      <c r="BL589" s="5">
        <f t="shared" si="78"/>
        <v>135.76363811932106</v>
      </c>
      <c r="BM589" s="11">
        <f t="shared" si="79"/>
        <v>0.12898584996092691</v>
      </c>
    </row>
    <row r="590" spans="1:65" ht="15" customHeight="1" x14ac:dyDescent="0.4">
      <c r="A590" s="2" t="s">
        <v>269</v>
      </c>
      <c r="B590" s="2" t="s">
        <v>451</v>
      </c>
      <c r="C590" s="2" t="s">
        <v>452</v>
      </c>
      <c r="D590" s="3" t="s">
        <v>68</v>
      </c>
      <c r="E590" s="3" t="s">
        <v>552</v>
      </c>
      <c r="F590" s="2" t="s">
        <v>450</v>
      </c>
      <c r="G590" s="4">
        <v>20</v>
      </c>
      <c r="H590" s="5">
        <v>1.71</v>
      </c>
      <c r="I590" s="5">
        <v>1.78246559319135</v>
      </c>
      <c r="J590" s="6">
        <v>0</v>
      </c>
      <c r="K590" s="5">
        <v>0</v>
      </c>
      <c r="L590" s="6">
        <v>0</v>
      </c>
      <c r="M590" s="5">
        <v>0</v>
      </c>
      <c r="N590" s="6">
        <v>0</v>
      </c>
      <c r="O590" s="5">
        <v>0</v>
      </c>
      <c r="P590" s="6">
        <v>0</v>
      </c>
      <c r="Q590" s="5">
        <v>0</v>
      </c>
      <c r="R590" s="6">
        <v>2176.318483225069</v>
      </c>
      <c r="S590" s="5">
        <v>3721.5046063148679</v>
      </c>
      <c r="T590" s="6">
        <v>1088.159241612535</v>
      </c>
      <c r="U590" s="5">
        <v>1860.752303157434</v>
      </c>
      <c r="V590" s="6">
        <v>0</v>
      </c>
      <c r="W590" s="5">
        <v>0</v>
      </c>
      <c r="X590" s="6">
        <v>0</v>
      </c>
      <c r="Y590" s="5">
        <v>0</v>
      </c>
      <c r="Z590" s="6">
        <v>0</v>
      </c>
      <c r="AA590" s="5">
        <v>0</v>
      </c>
      <c r="AB590" s="6">
        <v>0</v>
      </c>
      <c r="AC590" s="5">
        <v>0</v>
      </c>
      <c r="AD590" s="6">
        <v>0</v>
      </c>
      <c r="AE590" s="5">
        <v>0</v>
      </c>
      <c r="AF590" s="6">
        <v>0</v>
      </c>
      <c r="AG590" s="5">
        <v>0</v>
      </c>
      <c r="AH590" s="7">
        <f t="shared" si="72"/>
        <v>3264.477724837604</v>
      </c>
      <c r="AI590" s="8">
        <f t="shared" si="73"/>
        <v>5582.2569094723021</v>
      </c>
      <c r="AJ590" s="6">
        <v>0</v>
      </c>
      <c r="AK590" s="5">
        <v>0</v>
      </c>
      <c r="AL590" s="6">
        <v>0</v>
      </c>
      <c r="AM590" s="5">
        <v>0</v>
      </c>
      <c r="AN590" s="6">
        <v>0</v>
      </c>
      <c r="AO590" s="5">
        <v>0</v>
      </c>
      <c r="AP590" s="6">
        <v>0</v>
      </c>
      <c r="AQ590" s="5">
        <v>0</v>
      </c>
      <c r="AR590" s="6">
        <v>2360</v>
      </c>
      <c r="AS590" s="5">
        <v>4206.6187999315871</v>
      </c>
      <c r="AT590" s="6">
        <v>1180</v>
      </c>
      <c r="AU590" s="5">
        <v>2103.309399965794</v>
      </c>
      <c r="AV590" s="6">
        <v>0</v>
      </c>
      <c r="AW590" s="5">
        <v>0</v>
      </c>
      <c r="AX590" s="6">
        <v>0</v>
      </c>
      <c r="AY590" s="5">
        <v>0</v>
      </c>
      <c r="AZ590" s="6">
        <v>0</v>
      </c>
      <c r="BA590" s="5">
        <v>0</v>
      </c>
      <c r="BB590" s="6">
        <v>0</v>
      </c>
      <c r="BC590" s="5">
        <v>0</v>
      </c>
      <c r="BD590" s="6">
        <v>0</v>
      </c>
      <c r="BE590" s="5">
        <v>0</v>
      </c>
      <c r="BF590" s="6">
        <v>0</v>
      </c>
      <c r="BG590" s="5">
        <v>0</v>
      </c>
      <c r="BH590" s="9">
        <f t="shared" si="74"/>
        <v>3540</v>
      </c>
      <c r="BI590" s="10">
        <f t="shared" si="75"/>
        <v>6309.9281998973811</v>
      </c>
      <c r="BJ590" s="6">
        <f t="shared" si="76"/>
        <v>275.522275162396</v>
      </c>
      <c r="BK590" s="11">
        <f t="shared" si="77"/>
        <v>8.4400108803346863E-2</v>
      </c>
      <c r="BL590" s="5">
        <f t="shared" si="78"/>
        <v>727.67129042507895</v>
      </c>
      <c r="BM590" s="11">
        <f t="shared" si="79"/>
        <v>0.13035431765784972</v>
      </c>
    </row>
    <row r="591" spans="1:65" ht="15" customHeight="1" x14ac:dyDescent="0.4">
      <c r="A591" s="2" t="s">
        <v>553</v>
      </c>
      <c r="B591" s="2" t="s">
        <v>66</v>
      </c>
      <c r="C591" s="2" t="s">
        <v>554</v>
      </c>
      <c r="D591" s="3" t="s">
        <v>68</v>
      </c>
      <c r="E591" s="3" t="s">
        <v>102</v>
      </c>
      <c r="F591" s="2" t="s">
        <v>103</v>
      </c>
      <c r="G591" s="4">
        <v>5</v>
      </c>
      <c r="H591" s="5">
        <v>4.99</v>
      </c>
      <c r="I591" s="5">
        <v>5.2014639239911338</v>
      </c>
      <c r="J591" s="6">
        <v>0</v>
      </c>
      <c r="K591" s="5">
        <v>0</v>
      </c>
      <c r="L591" s="6">
        <v>0</v>
      </c>
      <c r="M591" s="5">
        <v>0</v>
      </c>
      <c r="N591" s="6">
        <v>0</v>
      </c>
      <c r="O591" s="5">
        <v>0</v>
      </c>
      <c r="P591" s="6">
        <v>98.92356741932133</v>
      </c>
      <c r="Q591" s="5">
        <v>493.6286014224134</v>
      </c>
      <c r="R591" s="6">
        <v>0</v>
      </c>
      <c r="S591" s="5">
        <v>0</v>
      </c>
      <c r="T591" s="6">
        <v>0</v>
      </c>
      <c r="U591" s="5">
        <v>0</v>
      </c>
      <c r="V591" s="6">
        <v>247.3089185483033</v>
      </c>
      <c r="W591" s="5">
        <v>1234.071503556034</v>
      </c>
      <c r="X591" s="6">
        <v>0</v>
      </c>
      <c r="Y591" s="5">
        <v>0</v>
      </c>
      <c r="Z591" s="6">
        <v>189.59922785967791</v>
      </c>
      <c r="AA591" s="5">
        <v>946.10014701979253</v>
      </c>
      <c r="AB591" s="6">
        <v>0</v>
      </c>
      <c r="AC591" s="5">
        <v>0</v>
      </c>
      <c r="AD591" s="6">
        <v>0</v>
      </c>
      <c r="AE591" s="5">
        <v>0</v>
      </c>
      <c r="AF591" s="6">
        <v>189.59922785967791</v>
      </c>
      <c r="AG591" s="5">
        <v>946.10014701979253</v>
      </c>
      <c r="AH591" s="7">
        <f t="shared" si="72"/>
        <v>725.43094168698053</v>
      </c>
      <c r="AI591" s="8">
        <f t="shared" si="73"/>
        <v>3619.9003990180327</v>
      </c>
      <c r="AJ591" s="6">
        <v>0</v>
      </c>
      <c r="AK591" s="5">
        <v>0</v>
      </c>
      <c r="AL591" s="6">
        <v>0</v>
      </c>
      <c r="AM591" s="5">
        <v>0</v>
      </c>
      <c r="AN591" s="6">
        <v>0</v>
      </c>
      <c r="AO591" s="5">
        <v>0</v>
      </c>
      <c r="AP591" s="6">
        <v>125</v>
      </c>
      <c r="AQ591" s="5">
        <v>650.18299049889163</v>
      </c>
      <c r="AR591" s="6">
        <v>0</v>
      </c>
      <c r="AS591" s="5">
        <v>0</v>
      </c>
      <c r="AT591" s="6">
        <v>0</v>
      </c>
      <c r="AU591" s="5">
        <v>0</v>
      </c>
      <c r="AV591" s="6">
        <v>310</v>
      </c>
      <c r="AW591" s="5">
        <v>1612.453816437252</v>
      </c>
      <c r="AX591" s="6">
        <v>0</v>
      </c>
      <c r="AY591" s="5">
        <v>0</v>
      </c>
      <c r="AZ591" s="6">
        <v>240</v>
      </c>
      <c r="BA591" s="5">
        <v>1248.351341757872</v>
      </c>
      <c r="BB591" s="6">
        <v>0</v>
      </c>
      <c r="BC591" s="5">
        <v>0</v>
      </c>
      <c r="BD591" s="6">
        <v>0</v>
      </c>
      <c r="BE591" s="5">
        <v>0</v>
      </c>
      <c r="BF591" s="6">
        <v>240</v>
      </c>
      <c r="BG591" s="5">
        <v>1248.351341757872</v>
      </c>
      <c r="BH591" s="9">
        <f t="shared" si="74"/>
        <v>915</v>
      </c>
      <c r="BI591" s="10">
        <f t="shared" si="75"/>
        <v>4759.3394904518882</v>
      </c>
      <c r="BJ591" s="6">
        <f t="shared" si="76"/>
        <v>189.56905831301947</v>
      </c>
      <c r="BK591" s="11">
        <f t="shared" si="77"/>
        <v>0.26131923442937105</v>
      </c>
      <c r="BL591" s="5">
        <f t="shared" si="78"/>
        <v>1139.4390914338555</v>
      </c>
      <c r="BM591" s="11">
        <f t="shared" si="79"/>
        <v>0.31477084058526866</v>
      </c>
    </row>
    <row r="592" spans="1:65" ht="15" customHeight="1" x14ac:dyDescent="0.4">
      <c r="A592" s="2" t="s">
        <v>553</v>
      </c>
      <c r="B592" s="2" t="s">
        <v>66</v>
      </c>
      <c r="C592" s="2" t="s">
        <v>554</v>
      </c>
      <c r="D592" s="3" t="s">
        <v>68</v>
      </c>
      <c r="E592" s="3" t="s">
        <v>555</v>
      </c>
      <c r="F592" s="2" t="s">
        <v>556</v>
      </c>
      <c r="G592" s="4">
        <v>5</v>
      </c>
      <c r="H592" s="5">
        <v>3.08</v>
      </c>
      <c r="I592" s="5">
        <v>3.2105228228241871</v>
      </c>
      <c r="J592" s="6">
        <v>79.138853935457064</v>
      </c>
      <c r="K592" s="5">
        <v>243.7476701212077</v>
      </c>
      <c r="L592" s="6">
        <v>0</v>
      </c>
      <c r="M592" s="5">
        <v>0</v>
      </c>
      <c r="N592" s="6">
        <v>0</v>
      </c>
      <c r="O592" s="5">
        <v>0</v>
      </c>
      <c r="P592" s="6">
        <v>0</v>
      </c>
      <c r="Q592" s="5">
        <v>0</v>
      </c>
      <c r="R592" s="6">
        <v>0</v>
      </c>
      <c r="S592" s="5">
        <v>0</v>
      </c>
      <c r="T592" s="6">
        <v>0</v>
      </c>
      <c r="U592" s="5">
        <v>0</v>
      </c>
      <c r="V592" s="6">
        <v>0</v>
      </c>
      <c r="W592" s="5">
        <v>0</v>
      </c>
      <c r="X592" s="6">
        <v>0</v>
      </c>
      <c r="Y592" s="5">
        <v>0</v>
      </c>
      <c r="Z592" s="6">
        <v>0</v>
      </c>
      <c r="AA592" s="5">
        <v>0</v>
      </c>
      <c r="AB592" s="6">
        <v>0</v>
      </c>
      <c r="AC592" s="5">
        <v>0</v>
      </c>
      <c r="AD592" s="6">
        <v>0</v>
      </c>
      <c r="AE592" s="5">
        <v>0</v>
      </c>
      <c r="AF592" s="6">
        <v>0</v>
      </c>
      <c r="AG592" s="5">
        <v>0</v>
      </c>
      <c r="AH592" s="7">
        <f t="shared" si="72"/>
        <v>79.138853935457064</v>
      </c>
      <c r="AI592" s="8">
        <f t="shared" si="73"/>
        <v>243.7476701212077</v>
      </c>
      <c r="AJ592" s="6">
        <v>85</v>
      </c>
      <c r="AK592" s="5">
        <v>272.89443994005592</v>
      </c>
      <c r="AL592" s="6">
        <v>0</v>
      </c>
      <c r="AM592" s="5">
        <v>0</v>
      </c>
      <c r="AN592" s="6">
        <v>0</v>
      </c>
      <c r="AO592" s="5">
        <v>0</v>
      </c>
      <c r="AP592" s="6">
        <v>0</v>
      </c>
      <c r="AQ592" s="5">
        <v>0</v>
      </c>
      <c r="AR592" s="6">
        <v>0</v>
      </c>
      <c r="AS592" s="5">
        <v>0</v>
      </c>
      <c r="AT592" s="6">
        <v>0</v>
      </c>
      <c r="AU592" s="5">
        <v>0</v>
      </c>
      <c r="AV592" s="6">
        <v>0</v>
      </c>
      <c r="AW592" s="5">
        <v>0</v>
      </c>
      <c r="AX592" s="6">
        <v>0</v>
      </c>
      <c r="AY592" s="5">
        <v>0</v>
      </c>
      <c r="AZ592" s="6">
        <v>0</v>
      </c>
      <c r="BA592" s="5">
        <v>0</v>
      </c>
      <c r="BB592" s="6">
        <v>0</v>
      </c>
      <c r="BC592" s="5">
        <v>0</v>
      </c>
      <c r="BD592" s="6">
        <v>0</v>
      </c>
      <c r="BE592" s="5">
        <v>0</v>
      </c>
      <c r="BF592" s="6">
        <v>0</v>
      </c>
      <c r="BG592" s="5">
        <v>0</v>
      </c>
      <c r="BH592" s="9">
        <f t="shared" si="74"/>
        <v>85</v>
      </c>
      <c r="BI592" s="10">
        <f t="shared" si="75"/>
        <v>272.89443994005592</v>
      </c>
      <c r="BJ592" s="6">
        <f t="shared" si="76"/>
        <v>5.8611460645429361</v>
      </c>
      <c r="BK592" s="11">
        <f t="shared" si="77"/>
        <v>7.4061548443992958E-2</v>
      </c>
      <c r="BL592" s="5">
        <f t="shared" si="78"/>
        <v>29.146769818848213</v>
      </c>
      <c r="BM592" s="11">
        <f t="shared" si="79"/>
        <v>0.11957763454458654</v>
      </c>
    </row>
    <row r="593" spans="1:65" ht="15" customHeight="1" x14ac:dyDescent="0.4">
      <c r="A593" s="2" t="s">
        <v>553</v>
      </c>
      <c r="B593" s="2" t="s">
        <v>66</v>
      </c>
      <c r="C593" s="2" t="s">
        <v>554</v>
      </c>
      <c r="D593" s="3" t="s">
        <v>68</v>
      </c>
      <c r="E593" s="3" t="s">
        <v>555</v>
      </c>
      <c r="F593" s="2" t="s">
        <v>557</v>
      </c>
      <c r="G593" s="4">
        <v>5</v>
      </c>
      <c r="H593" s="5">
        <v>3.51</v>
      </c>
      <c r="I593" s="5">
        <v>3.6587451649717182</v>
      </c>
      <c r="J593" s="6">
        <v>0</v>
      </c>
      <c r="K593" s="5">
        <v>0</v>
      </c>
      <c r="L593" s="6">
        <v>0</v>
      </c>
      <c r="M593" s="5">
        <v>0</v>
      </c>
      <c r="N593" s="6">
        <v>0</v>
      </c>
      <c r="O593" s="5">
        <v>0</v>
      </c>
      <c r="P593" s="6">
        <v>39.569426967728532</v>
      </c>
      <c r="Q593" s="5">
        <v>138.88868865672711</v>
      </c>
      <c r="R593" s="6">
        <v>0</v>
      </c>
      <c r="S593" s="5">
        <v>0</v>
      </c>
      <c r="T593" s="6">
        <v>0</v>
      </c>
      <c r="U593" s="5">
        <v>0</v>
      </c>
      <c r="V593" s="6">
        <v>0</v>
      </c>
      <c r="W593" s="5">
        <v>0</v>
      </c>
      <c r="X593" s="6">
        <v>0</v>
      </c>
      <c r="Y593" s="5">
        <v>0</v>
      </c>
      <c r="Z593" s="6">
        <v>0</v>
      </c>
      <c r="AA593" s="5">
        <v>0</v>
      </c>
      <c r="AB593" s="6">
        <v>0</v>
      </c>
      <c r="AC593" s="5">
        <v>0</v>
      </c>
      <c r="AD593" s="6">
        <v>0</v>
      </c>
      <c r="AE593" s="5">
        <v>0</v>
      </c>
      <c r="AF593" s="6">
        <v>0</v>
      </c>
      <c r="AG593" s="5">
        <v>0</v>
      </c>
      <c r="AH593" s="7">
        <f t="shared" si="72"/>
        <v>39.569426967728532</v>
      </c>
      <c r="AI593" s="8">
        <f t="shared" si="73"/>
        <v>138.88868865672711</v>
      </c>
      <c r="AJ593" s="6">
        <v>0</v>
      </c>
      <c r="AK593" s="5">
        <v>0</v>
      </c>
      <c r="AL593" s="6">
        <v>0</v>
      </c>
      <c r="AM593" s="5">
        <v>0</v>
      </c>
      <c r="AN593" s="6">
        <v>0</v>
      </c>
      <c r="AO593" s="5">
        <v>0</v>
      </c>
      <c r="AP593" s="6">
        <v>40</v>
      </c>
      <c r="AQ593" s="5">
        <v>146.3498065988687</v>
      </c>
      <c r="AR593" s="6">
        <v>0</v>
      </c>
      <c r="AS593" s="5">
        <v>0</v>
      </c>
      <c r="AT593" s="6">
        <v>0</v>
      </c>
      <c r="AU593" s="5">
        <v>0</v>
      </c>
      <c r="AV593" s="6">
        <v>0</v>
      </c>
      <c r="AW593" s="5">
        <v>0</v>
      </c>
      <c r="AX593" s="6">
        <v>0</v>
      </c>
      <c r="AY593" s="5">
        <v>0</v>
      </c>
      <c r="AZ593" s="6">
        <v>0</v>
      </c>
      <c r="BA593" s="5">
        <v>0</v>
      </c>
      <c r="BB593" s="6">
        <v>0</v>
      </c>
      <c r="BC593" s="5">
        <v>0</v>
      </c>
      <c r="BD593" s="6">
        <v>0</v>
      </c>
      <c r="BE593" s="5">
        <v>0</v>
      </c>
      <c r="BF593" s="6">
        <v>0</v>
      </c>
      <c r="BG593" s="5">
        <v>0</v>
      </c>
      <c r="BH593" s="9">
        <f t="shared" si="74"/>
        <v>40</v>
      </c>
      <c r="BI593" s="10">
        <f t="shared" si="75"/>
        <v>146.3498065988687</v>
      </c>
      <c r="BJ593" s="6">
        <f t="shared" si="76"/>
        <v>0.43057303227146804</v>
      </c>
      <c r="BK593" s="11">
        <f t="shared" si="77"/>
        <v>1.0881457359052195E-2</v>
      </c>
      <c r="BL593" s="5">
        <f t="shared" si="78"/>
        <v>7.4611179421415841</v>
      </c>
      <c r="BM593" s="11">
        <f t="shared" si="79"/>
        <v>5.3720126630198428E-2</v>
      </c>
    </row>
    <row r="594" spans="1:65" ht="15" customHeight="1" x14ac:dyDescent="0.4">
      <c r="A594" s="2" t="s">
        <v>553</v>
      </c>
      <c r="B594" s="2" t="s">
        <v>66</v>
      </c>
      <c r="C594" s="2" t="s">
        <v>554</v>
      </c>
      <c r="D594" s="3" t="s">
        <v>68</v>
      </c>
      <c r="E594" s="3" t="s">
        <v>82</v>
      </c>
      <c r="F594" s="2" t="s">
        <v>83</v>
      </c>
      <c r="G594" s="4">
        <v>20</v>
      </c>
      <c r="H594" s="5">
        <v>3.1671438318677261</v>
      </c>
      <c r="I594" s="5">
        <v>3.3013654043737271</v>
      </c>
      <c r="J594" s="6">
        <v>3798.6649889019391</v>
      </c>
      <c r="K594" s="5">
        <v>12041.768014819139</v>
      </c>
      <c r="L594" s="6">
        <v>4451.5605338694604</v>
      </c>
      <c r="M594" s="5">
        <v>14048.72935062234</v>
      </c>
      <c r="N594" s="6">
        <v>3165.554157418283</v>
      </c>
      <c r="O594" s="5">
        <v>10034.806679015959</v>
      </c>
      <c r="P594" s="6">
        <v>6964.2191463202207</v>
      </c>
      <c r="Q594" s="5">
        <v>22076.5746938351</v>
      </c>
      <c r="R594" s="6">
        <v>3165.554157418283</v>
      </c>
      <c r="S594" s="5">
        <v>10034.806679015959</v>
      </c>
      <c r="T594" s="6">
        <v>633.11083148365651</v>
      </c>
      <c r="U594" s="5">
        <v>2006.9613358031911</v>
      </c>
      <c r="V594" s="6">
        <v>5064.8866518692521</v>
      </c>
      <c r="W594" s="5">
        <v>16055.690686425531</v>
      </c>
      <c r="X594" s="6">
        <v>2532.443325934626</v>
      </c>
      <c r="Y594" s="5">
        <v>8027.8453432127644</v>
      </c>
      <c r="Z594" s="6">
        <v>1820.152587452907</v>
      </c>
      <c r="AA594" s="5">
        <v>5761.142132191093</v>
      </c>
      <c r="AB594" s="6">
        <v>4796.8604648498504</v>
      </c>
      <c r="AC594" s="5">
        <v>15183.00999421194</v>
      </c>
      <c r="AD594" s="6">
        <v>1820.152587452907</v>
      </c>
      <c r="AE594" s="5">
        <v>5761.142132191093</v>
      </c>
      <c r="AF594" s="6">
        <v>3033.5876457548461</v>
      </c>
      <c r="AG594" s="5">
        <v>9601.9035536518222</v>
      </c>
      <c r="AH594" s="7">
        <f t="shared" si="72"/>
        <v>41246.747078726228</v>
      </c>
      <c r="AI594" s="8">
        <f t="shared" si="73"/>
        <v>130634.38059499594</v>
      </c>
      <c r="AJ594" s="6">
        <v>4180</v>
      </c>
      <c r="AK594" s="5">
        <v>13812.1278299072</v>
      </c>
      <c r="AL594" s="6">
        <v>4900</v>
      </c>
      <c r="AM594" s="5">
        <v>16119.28921436059</v>
      </c>
      <c r="AN594" s="6">
        <v>3500</v>
      </c>
      <c r="AO594" s="5">
        <v>11565.178804946219</v>
      </c>
      <c r="AP594" s="6">
        <v>7680</v>
      </c>
      <c r="AQ594" s="5">
        <v>25377.306634853419</v>
      </c>
      <c r="AR594" s="6">
        <v>3500</v>
      </c>
      <c r="AS594" s="5">
        <v>11565.178804946219</v>
      </c>
      <c r="AT594" s="6">
        <v>700</v>
      </c>
      <c r="AU594" s="5">
        <v>2313.035760989243</v>
      </c>
      <c r="AV594" s="6">
        <v>5600</v>
      </c>
      <c r="AW594" s="5">
        <v>18504.286087913952</v>
      </c>
      <c r="AX594" s="6">
        <v>2800</v>
      </c>
      <c r="AY594" s="5">
        <v>9252.143043956974</v>
      </c>
      <c r="AZ594" s="6">
        <v>2000</v>
      </c>
      <c r="BA594" s="5">
        <v>6598.6612375662926</v>
      </c>
      <c r="BB594" s="6">
        <v>5280</v>
      </c>
      <c r="BC594" s="5">
        <v>17420.465667175009</v>
      </c>
      <c r="BD594" s="6">
        <v>2000</v>
      </c>
      <c r="BE594" s="5">
        <v>6598.6612375662926</v>
      </c>
      <c r="BF594" s="6">
        <v>3340</v>
      </c>
      <c r="BG594" s="5">
        <v>11019.76426673571</v>
      </c>
      <c r="BH594" s="9">
        <f t="shared" si="74"/>
        <v>45480</v>
      </c>
      <c r="BI594" s="10">
        <f t="shared" si="75"/>
        <v>150146.0985909171</v>
      </c>
      <c r="BJ594" s="6">
        <f t="shared" si="76"/>
        <v>4233.2529212737718</v>
      </c>
      <c r="BK594" s="11">
        <f t="shared" si="77"/>
        <v>0.10263240670091897</v>
      </c>
      <c r="BL594" s="5">
        <f t="shared" si="78"/>
        <v>19511.717995921164</v>
      </c>
      <c r="BM594" s="11">
        <f t="shared" si="79"/>
        <v>0.14936127769008289</v>
      </c>
    </row>
    <row r="595" spans="1:65" ht="15" customHeight="1" x14ac:dyDescent="0.4">
      <c r="A595" s="2" t="s">
        <v>553</v>
      </c>
      <c r="B595" s="2" t="s">
        <v>66</v>
      </c>
      <c r="C595" s="2" t="s">
        <v>554</v>
      </c>
      <c r="D595" s="3" t="s">
        <v>68</v>
      </c>
      <c r="E595" s="3" t="s">
        <v>172</v>
      </c>
      <c r="F595" s="2" t="s">
        <v>173</v>
      </c>
      <c r="G595" s="4">
        <v>1</v>
      </c>
      <c r="H595" s="5">
        <v>15.05</v>
      </c>
      <c r="I595" s="5">
        <v>15.68778197516364</v>
      </c>
      <c r="J595" s="6">
        <v>0</v>
      </c>
      <c r="K595" s="5">
        <v>0</v>
      </c>
      <c r="L595" s="6">
        <v>0</v>
      </c>
      <c r="M595" s="5">
        <v>0</v>
      </c>
      <c r="N595" s="6">
        <v>0</v>
      </c>
      <c r="O595" s="5">
        <v>0</v>
      </c>
      <c r="P595" s="6">
        <v>0</v>
      </c>
      <c r="Q595" s="5">
        <v>0</v>
      </c>
      <c r="R595" s="6">
        <v>0</v>
      </c>
      <c r="S595" s="5">
        <v>0</v>
      </c>
      <c r="T595" s="6">
        <v>0</v>
      </c>
      <c r="U595" s="5">
        <v>0</v>
      </c>
      <c r="V595" s="6">
        <v>0</v>
      </c>
      <c r="W595" s="5">
        <v>0</v>
      </c>
      <c r="X595" s="6">
        <v>59.354140451592791</v>
      </c>
      <c r="Y595" s="5">
        <v>893.27981379647156</v>
      </c>
      <c r="Z595" s="6">
        <v>0</v>
      </c>
      <c r="AA595" s="5">
        <v>0</v>
      </c>
      <c r="AB595" s="6">
        <v>0</v>
      </c>
      <c r="AC595" s="5">
        <v>0</v>
      </c>
      <c r="AD595" s="6">
        <v>0</v>
      </c>
      <c r="AE595" s="5">
        <v>0</v>
      </c>
      <c r="AF595" s="6">
        <v>0</v>
      </c>
      <c r="AG595" s="5">
        <v>0</v>
      </c>
      <c r="AH595" s="7">
        <f t="shared" si="72"/>
        <v>59.354140451592791</v>
      </c>
      <c r="AI595" s="8">
        <f t="shared" si="73"/>
        <v>893.27981379647156</v>
      </c>
      <c r="AJ595" s="6">
        <v>0</v>
      </c>
      <c r="AK595" s="5">
        <v>0</v>
      </c>
      <c r="AL595" s="6">
        <v>0</v>
      </c>
      <c r="AM595" s="5">
        <v>0</v>
      </c>
      <c r="AN595" s="6">
        <v>0</v>
      </c>
      <c r="AO595" s="5">
        <v>0</v>
      </c>
      <c r="AP595" s="6">
        <v>0</v>
      </c>
      <c r="AQ595" s="5">
        <v>0</v>
      </c>
      <c r="AR595" s="6">
        <v>0</v>
      </c>
      <c r="AS595" s="5">
        <v>0</v>
      </c>
      <c r="AT595" s="6">
        <v>0</v>
      </c>
      <c r="AU595" s="5">
        <v>0</v>
      </c>
      <c r="AV595" s="6">
        <v>0</v>
      </c>
      <c r="AW595" s="5">
        <v>0</v>
      </c>
      <c r="AX595" s="6">
        <v>72</v>
      </c>
      <c r="AY595" s="5">
        <v>1129.5203022117821</v>
      </c>
      <c r="AZ595" s="6">
        <v>0</v>
      </c>
      <c r="BA595" s="5">
        <v>0</v>
      </c>
      <c r="BB595" s="6">
        <v>0</v>
      </c>
      <c r="BC595" s="5">
        <v>0</v>
      </c>
      <c r="BD595" s="6">
        <v>0</v>
      </c>
      <c r="BE595" s="5">
        <v>0</v>
      </c>
      <c r="BF595" s="6">
        <v>0</v>
      </c>
      <c r="BG595" s="5">
        <v>0</v>
      </c>
      <c r="BH595" s="9">
        <f t="shared" si="74"/>
        <v>72</v>
      </c>
      <c r="BI595" s="10">
        <f t="shared" si="75"/>
        <v>1129.5203022117821</v>
      </c>
      <c r="BJ595" s="6">
        <f t="shared" si="76"/>
        <v>12.645859548407209</v>
      </c>
      <c r="BK595" s="11">
        <f t="shared" si="77"/>
        <v>0.21305774883086279</v>
      </c>
      <c r="BL595" s="5">
        <f t="shared" si="78"/>
        <v>236.24048841531055</v>
      </c>
      <c r="BM595" s="11">
        <f t="shared" si="79"/>
        <v>0.26446415195623857</v>
      </c>
    </row>
    <row r="596" spans="1:65" ht="15" customHeight="1" x14ac:dyDescent="0.4">
      <c r="A596" s="2" t="s">
        <v>553</v>
      </c>
      <c r="B596" s="2" t="s">
        <v>66</v>
      </c>
      <c r="C596" s="2" t="s">
        <v>554</v>
      </c>
      <c r="D596" s="3" t="s">
        <v>68</v>
      </c>
      <c r="E596" s="3" t="s">
        <v>116</v>
      </c>
      <c r="F596" s="2" t="s">
        <v>117</v>
      </c>
      <c r="G596" s="4">
        <v>5</v>
      </c>
      <c r="H596" s="5">
        <v>13.16</v>
      </c>
      <c r="I596" s="5">
        <v>13.71768842479425</v>
      </c>
      <c r="J596" s="6">
        <v>98.92356741932133</v>
      </c>
      <c r="K596" s="5">
        <v>1301.834147238269</v>
      </c>
      <c r="L596" s="6">
        <v>0</v>
      </c>
      <c r="M596" s="5">
        <v>0</v>
      </c>
      <c r="N596" s="6">
        <v>296.77070225796399</v>
      </c>
      <c r="O596" s="5">
        <v>3905.5024417148061</v>
      </c>
      <c r="P596" s="6">
        <v>197.84713483864269</v>
      </c>
      <c r="Q596" s="5">
        <v>2603.6682944765371</v>
      </c>
      <c r="R596" s="6">
        <v>1187.082809031856</v>
      </c>
      <c r="S596" s="5">
        <v>15622.009766859221</v>
      </c>
      <c r="T596" s="6">
        <v>0</v>
      </c>
      <c r="U596" s="5">
        <v>0</v>
      </c>
      <c r="V596" s="6">
        <v>0</v>
      </c>
      <c r="W596" s="5">
        <v>0</v>
      </c>
      <c r="X596" s="6">
        <v>0</v>
      </c>
      <c r="Y596" s="5">
        <v>0</v>
      </c>
      <c r="Z596" s="6">
        <v>0</v>
      </c>
      <c r="AA596" s="5">
        <v>0</v>
      </c>
      <c r="AB596" s="6">
        <v>0</v>
      </c>
      <c r="AC596" s="5">
        <v>0</v>
      </c>
      <c r="AD596" s="6">
        <v>0</v>
      </c>
      <c r="AE596" s="5">
        <v>0</v>
      </c>
      <c r="AF596" s="6">
        <v>0</v>
      </c>
      <c r="AG596" s="5">
        <v>0</v>
      </c>
      <c r="AH596" s="7">
        <f t="shared" si="72"/>
        <v>1780.6242135477839</v>
      </c>
      <c r="AI596" s="8">
        <f t="shared" si="73"/>
        <v>23433.014650288831</v>
      </c>
      <c r="AJ596" s="6">
        <v>120</v>
      </c>
      <c r="AK596" s="5">
        <v>1646.12261097531</v>
      </c>
      <c r="AL596" s="6">
        <v>0</v>
      </c>
      <c r="AM596" s="5">
        <v>0</v>
      </c>
      <c r="AN596" s="6">
        <v>360</v>
      </c>
      <c r="AO596" s="5">
        <v>4938.3678329259292</v>
      </c>
      <c r="AP596" s="6">
        <v>240</v>
      </c>
      <c r="AQ596" s="5">
        <v>3292.2452219506199</v>
      </c>
      <c r="AR596" s="6">
        <v>1435</v>
      </c>
      <c r="AS596" s="5">
        <v>19684.882889579749</v>
      </c>
      <c r="AT596" s="6">
        <v>0</v>
      </c>
      <c r="AU596" s="5">
        <v>0</v>
      </c>
      <c r="AV596" s="6">
        <v>0</v>
      </c>
      <c r="AW596" s="5">
        <v>0</v>
      </c>
      <c r="AX596" s="6">
        <v>0</v>
      </c>
      <c r="AY596" s="5">
        <v>0</v>
      </c>
      <c r="AZ596" s="6">
        <v>0</v>
      </c>
      <c r="BA596" s="5">
        <v>0</v>
      </c>
      <c r="BB596" s="6">
        <v>0</v>
      </c>
      <c r="BC596" s="5">
        <v>0</v>
      </c>
      <c r="BD596" s="6">
        <v>0</v>
      </c>
      <c r="BE596" s="5">
        <v>0</v>
      </c>
      <c r="BF596" s="6">
        <v>0</v>
      </c>
      <c r="BG596" s="5">
        <v>0</v>
      </c>
      <c r="BH596" s="9">
        <f t="shared" si="74"/>
        <v>2155</v>
      </c>
      <c r="BI596" s="10">
        <f t="shared" si="75"/>
        <v>29561.618555431607</v>
      </c>
      <c r="BJ596" s="6">
        <f t="shared" si="76"/>
        <v>374.37578645221606</v>
      </c>
      <c r="BK596" s="11">
        <f t="shared" si="77"/>
        <v>0.21024974478264305</v>
      </c>
      <c r="BL596" s="5">
        <f t="shared" si="78"/>
        <v>6128.6039051427761</v>
      </c>
      <c r="BM596" s="11">
        <f t="shared" si="79"/>
        <v>0.26153715160448793</v>
      </c>
    </row>
    <row r="597" spans="1:65" ht="15" customHeight="1" x14ac:dyDescent="0.4">
      <c r="A597" s="2" t="s">
        <v>553</v>
      </c>
      <c r="B597" s="2" t="s">
        <v>66</v>
      </c>
      <c r="C597" s="2" t="s">
        <v>554</v>
      </c>
      <c r="D597" s="3" t="s">
        <v>68</v>
      </c>
      <c r="E597" s="3" t="s">
        <v>174</v>
      </c>
      <c r="F597" s="2" t="s">
        <v>175</v>
      </c>
      <c r="G597" s="4">
        <v>5</v>
      </c>
      <c r="H597" s="5">
        <v>5.173</v>
      </c>
      <c r="I597" s="5">
        <v>5.3922839542425658</v>
      </c>
      <c r="J597" s="6">
        <v>197.84713483864269</v>
      </c>
      <c r="K597" s="5">
        <v>1046.61134329642</v>
      </c>
      <c r="L597" s="6">
        <v>98.92356741932133</v>
      </c>
      <c r="M597" s="5">
        <v>510.44560788369802</v>
      </c>
      <c r="N597" s="6">
        <v>1681.700646128462</v>
      </c>
      <c r="O597" s="5">
        <v>8677.5753340228657</v>
      </c>
      <c r="P597" s="6">
        <v>0</v>
      </c>
      <c r="Q597" s="5">
        <v>0</v>
      </c>
      <c r="R597" s="6">
        <v>0</v>
      </c>
      <c r="S597" s="5">
        <v>0</v>
      </c>
      <c r="T597" s="6">
        <v>0</v>
      </c>
      <c r="U597" s="5">
        <v>0</v>
      </c>
      <c r="V597" s="6">
        <v>0</v>
      </c>
      <c r="W597" s="5">
        <v>0</v>
      </c>
      <c r="X597" s="6">
        <v>0</v>
      </c>
      <c r="Y597" s="5">
        <v>0</v>
      </c>
      <c r="Z597" s="6">
        <v>284.39884178951678</v>
      </c>
      <c r="AA597" s="5">
        <v>1471.19520857717</v>
      </c>
      <c r="AB597" s="6">
        <v>284.39884178951678</v>
      </c>
      <c r="AC597" s="5">
        <v>1471.19520857717</v>
      </c>
      <c r="AD597" s="6">
        <v>0</v>
      </c>
      <c r="AE597" s="5">
        <v>0</v>
      </c>
      <c r="AF597" s="6">
        <v>284.39884178951678</v>
      </c>
      <c r="AG597" s="5">
        <v>1471.19520857717</v>
      </c>
      <c r="AH597" s="7">
        <f t="shared" si="72"/>
        <v>2831.667873754976</v>
      </c>
      <c r="AI597" s="8">
        <f t="shared" si="73"/>
        <v>14648.217910934494</v>
      </c>
      <c r="AJ597" s="6">
        <v>220</v>
      </c>
      <c r="AK597" s="5">
        <v>1213.118980909996</v>
      </c>
      <c r="AL597" s="6">
        <v>110</v>
      </c>
      <c r="AM597" s="5">
        <v>591.65349163474298</v>
      </c>
      <c r="AN597" s="6">
        <v>1855</v>
      </c>
      <c r="AO597" s="5">
        <v>9977.4293362040735</v>
      </c>
      <c r="AP597" s="6">
        <v>0</v>
      </c>
      <c r="AQ597" s="5">
        <v>0</v>
      </c>
      <c r="AR597" s="6">
        <v>0</v>
      </c>
      <c r="AS597" s="5">
        <v>0</v>
      </c>
      <c r="AT597" s="6">
        <v>0</v>
      </c>
      <c r="AU597" s="5">
        <v>0</v>
      </c>
      <c r="AV597" s="6">
        <v>0</v>
      </c>
      <c r="AW597" s="5">
        <v>0</v>
      </c>
      <c r="AX597" s="6">
        <v>0</v>
      </c>
      <c r="AY597" s="5">
        <v>0</v>
      </c>
      <c r="AZ597" s="6">
        <v>315</v>
      </c>
      <c r="BA597" s="5">
        <v>1698.548989343474</v>
      </c>
      <c r="BB597" s="6">
        <v>315</v>
      </c>
      <c r="BC597" s="5">
        <v>1698.548989343474</v>
      </c>
      <c r="BD597" s="6">
        <v>0</v>
      </c>
      <c r="BE597" s="5">
        <v>0</v>
      </c>
      <c r="BF597" s="6">
        <v>315</v>
      </c>
      <c r="BG597" s="5">
        <v>1698.548989343474</v>
      </c>
      <c r="BH597" s="9">
        <f t="shared" si="74"/>
        <v>3130</v>
      </c>
      <c r="BI597" s="10">
        <f t="shared" si="75"/>
        <v>16877.848776779232</v>
      </c>
      <c r="BJ597" s="6">
        <f t="shared" si="76"/>
        <v>298.33212624502403</v>
      </c>
      <c r="BK597" s="11">
        <f t="shared" si="77"/>
        <v>0.10535562062559838</v>
      </c>
      <c r="BL597" s="5">
        <f t="shared" si="78"/>
        <v>2229.6308658447379</v>
      </c>
      <c r="BM597" s="11">
        <f t="shared" si="79"/>
        <v>0.15221174885583721</v>
      </c>
    </row>
    <row r="598" spans="1:65" ht="15" customHeight="1" x14ac:dyDescent="0.4">
      <c r="A598" s="2" t="s">
        <v>553</v>
      </c>
      <c r="B598" s="2" t="s">
        <v>66</v>
      </c>
      <c r="C598" s="2" t="s">
        <v>554</v>
      </c>
      <c r="D598" s="3" t="s">
        <v>68</v>
      </c>
      <c r="E598" s="3" t="s">
        <v>136</v>
      </c>
      <c r="F598" s="2" t="s">
        <v>137</v>
      </c>
      <c r="G598" s="4">
        <v>20</v>
      </c>
      <c r="H598" s="5">
        <v>4.8694545454545466</v>
      </c>
      <c r="I598" s="5">
        <v>5.075829099649841</v>
      </c>
      <c r="J598" s="6">
        <v>633.11083148365651</v>
      </c>
      <c r="K598" s="5">
        <v>3152.8919407886092</v>
      </c>
      <c r="L598" s="6">
        <v>316.55541574182831</v>
      </c>
      <c r="M598" s="5">
        <v>1538.4593205052849</v>
      </c>
      <c r="N598" s="6">
        <v>3798.6649889019391</v>
      </c>
      <c r="O598" s="5">
        <v>18461.511846063429</v>
      </c>
      <c r="P598" s="6">
        <v>2532.443325934626</v>
      </c>
      <c r="Q598" s="5">
        <v>12307.67456404228</v>
      </c>
      <c r="R598" s="6">
        <v>0</v>
      </c>
      <c r="S598" s="5">
        <v>0</v>
      </c>
      <c r="T598" s="6">
        <v>0</v>
      </c>
      <c r="U598" s="5">
        <v>0</v>
      </c>
      <c r="V598" s="6">
        <v>1899.33249445097</v>
      </c>
      <c r="W598" s="5">
        <v>9230.7559230317111</v>
      </c>
      <c r="X598" s="6">
        <v>1266.221662967313</v>
      </c>
      <c r="Y598" s="5">
        <v>6176.6292719545527</v>
      </c>
      <c r="Z598" s="6">
        <v>910.07629372645374</v>
      </c>
      <c r="AA598" s="5">
        <v>4431.5751451967053</v>
      </c>
      <c r="AB598" s="6">
        <v>606.7175291509692</v>
      </c>
      <c r="AC598" s="5">
        <v>2954.3834301311372</v>
      </c>
      <c r="AD598" s="6">
        <v>910.07629372645374</v>
      </c>
      <c r="AE598" s="5">
        <v>4431.5751451967053</v>
      </c>
      <c r="AF598" s="6">
        <v>1213.4350583019379</v>
      </c>
      <c r="AG598" s="5">
        <v>5908.7668602622743</v>
      </c>
      <c r="AH598" s="7">
        <f t="shared" si="72"/>
        <v>14086.633894386146</v>
      </c>
      <c r="AI598" s="8">
        <f t="shared" si="73"/>
        <v>68594.223447172699</v>
      </c>
      <c r="AJ598" s="6">
        <v>700</v>
      </c>
      <c r="AK598" s="5">
        <v>3633.7281040146472</v>
      </c>
      <c r="AL598" s="6">
        <v>340</v>
      </c>
      <c r="AM598" s="5">
        <v>1722.4246468943779</v>
      </c>
      <c r="AN598" s="6">
        <v>4180</v>
      </c>
      <c r="AO598" s="5">
        <v>21175.691247113249</v>
      </c>
      <c r="AP598" s="6">
        <v>2800</v>
      </c>
      <c r="AQ598" s="5">
        <v>14184.673562659589</v>
      </c>
      <c r="AR598" s="6">
        <v>0</v>
      </c>
      <c r="AS598" s="5">
        <v>0</v>
      </c>
      <c r="AT598" s="6">
        <v>0</v>
      </c>
      <c r="AU598" s="5">
        <v>0</v>
      </c>
      <c r="AV598" s="6">
        <v>2100</v>
      </c>
      <c r="AW598" s="5">
        <v>10638.50517199469</v>
      </c>
      <c r="AX598" s="6">
        <v>1400</v>
      </c>
      <c r="AY598" s="5">
        <v>7118.6046953347186</v>
      </c>
      <c r="AZ598" s="6">
        <v>1000</v>
      </c>
      <c r="BA598" s="5">
        <v>5075.8100496385678</v>
      </c>
      <c r="BB598" s="6">
        <v>660</v>
      </c>
      <c r="BC598" s="5">
        <v>3350.0346327614552</v>
      </c>
      <c r="BD598" s="6">
        <v>1000</v>
      </c>
      <c r="BE598" s="5">
        <v>5075.8100496385678</v>
      </c>
      <c r="BF598" s="6">
        <v>1340</v>
      </c>
      <c r="BG598" s="5">
        <v>6801.5854665156812</v>
      </c>
      <c r="BH598" s="9">
        <f t="shared" si="74"/>
        <v>15520</v>
      </c>
      <c r="BI598" s="10">
        <f t="shared" si="75"/>
        <v>78776.867626565552</v>
      </c>
      <c r="BJ598" s="6">
        <f t="shared" si="76"/>
        <v>1433.3661056138535</v>
      </c>
      <c r="BK598" s="11">
        <f t="shared" si="77"/>
        <v>0.10175362803920697</v>
      </c>
      <c r="BL598" s="5">
        <f t="shared" si="78"/>
        <v>10182.644179392853</v>
      </c>
      <c r="BM598" s="11">
        <f t="shared" si="79"/>
        <v>0.14844754656687581</v>
      </c>
    </row>
    <row r="599" spans="1:65" ht="15" customHeight="1" x14ac:dyDescent="0.4">
      <c r="A599" s="2" t="s">
        <v>553</v>
      </c>
      <c r="B599" s="2" t="s">
        <v>66</v>
      </c>
      <c r="C599" s="2" t="s">
        <v>554</v>
      </c>
      <c r="D599" s="3" t="s">
        <v>68</v>
      </c>
      <c r="E599" s="3" t="s">
        <v>241</v>
      </c>
      <c r="F599" s="2" t="s">
        <v>242</v>
      </c>
      <c r="G599" s="4">
        <v>1</v>
      </c>
      <c r="H599" s="5">
        <v>5.0599999999999987</v>
      </c>
      <c r="I599" s="5">
        <v>5.2744303517825912</v>
      </c>
      <c r="J599" s="6">
        <v>0</v>
      </c>
      <c r="K599" s="5">
        <v>0</v>
      </c>
      <c r="L599" s="6">
        <v>11.870828090318559</v>
      </c>
      <c r="M599" s="5">
        <v>60.066390137011908</v>
      </c>
      <c r="N599" s="6">
        <v>0</v>
      </c>
      <c r="O599" s="5">
        <v>0</v>
      </c>
      <c r="P599" s="6">
        <v>0</v>
      </c>
      <c r="Q599" s="5">
        <v>0</v>
      </c>
      <c r="R599" s="6">
        <v>0</v>
      </c>
      <c r="S599" s="5">
        <v>0</v>
      </c>
      <c r="T599" s="6">
        <v>0</v>
      </c>
      <c r="U599" s="5">
        <v>0</v>
      </c>
      <c r="V599" s="6">
        <v>47.483312361274237</v>
      </c>
      <c r="W599" s="5">
        <v>240.2655605480476</v>
      </c>
      <c r="X599" s="6">
        <v>0</v>
      </c>
      <c r="Y599" s="5">
        <v>0</v>
      </c>
      <c r="Z599" s="6">
        <v>0</v>
      </c>
      <c r="AA599" s="5">
        <v>0</v>
      </c>
      <c r="AB599" s="6">
        <v>0</v>
      </c>
      <c r="AC599" s="5">
        <v>0</v>
      </c>
      <c r="AD599" s="6">
        <v>0</v>
      </c>
      <c r="AE599" s="5">
        <v>0</v>
      </c>
      <c r="AF599" s="6">
        <v>34.127861014742017</v>
      </c>
      <c r="AG599" s="5">
        <v>172.68697673459459</v>
      </c>
      <c r="AH599" s="7">
        <f t="shared" si="72"/>
        <v>93.482001466334822</v>
      </c>
      <c r="AI599" s="8">
        <f t="shared" si="73"/>
        <v>473.01892741965412</v>
      </c>
      <c r="AJ599" s="6">
        <v>0</v>
      </c>
      <c r="AK599" s="5">
        <v>0</v>
      </c>
      <c r="AL599" s="6">
        <v>13</v>
      </c>
      <c r="AM599" s="5">
        <v>68.567594573173693</v>
      </c>
      <c r="AN599" s="6">
        <v>0</v>
      </c>
      <c r="AO599" s="5">
        <v>0</v>
      </c>
      <c r="AP599" s="6">
        <v>0</v>
      </c>
      <c r="AQ599" s="5">
        <v>0</v>
      </c>
      <c r="AR599" s="6">
        <v>0</v>
      </c>
      <c r="AS599" s="5">
        <v>0</v>
      </c>
      <c r="AT599" s="6">
        <v>0</v>
      </c>
      <c r="AU599" s="5">
        <v>0</v>
      </c>
      <c r="AV599" s="6">
        <v>51</v>
      </c>
      <c r="AW599" s="5">
        <v>268.99594794091217</v>
      </c>
      <c r="AX599" s="6">
        <v>0</v>
      </c>
      <c r="AY599" s="5">
        <v>0</v>
      </c>
      <c r="AZ599" s="6">
        <v>0</v>
      </c>
      <c r="BA599" s="5">
        <v>0</v>
      </c>
      <c r="BB599" s="6">
        <v>0</v>
      </c>
      <c r="BC599" s="5">
        <v>0</v>
      </c>
      <c r="BD599" s="6">
        <v>0</v>
      </c>
      <c r="BE599" s="5">
        <v>0</v>
      </c>
      <c r="BF599" s="6">
        <v>37</v>
      </c>
      <c r="BG599" s="5">
        <v>195.15392301595591</v>
      </c>
      <c r="BH599" s="9">
        <f t="shared" si="74"/>
        <v>101</v>
      </c>
      <c r="BI599" s="10">
        <f t="shared" si="75"/>
        <v>532.71746553004175</v>
      </c>
      <c r="BJ599" s="6">
        <f t="shared" si="76"/>
        <v>7.5179985336651782</v>
      </c>
      <c r="BK599" s="11">
        <f t="shared" si="77"/>
        <v>8.042188245587141E-2</v>
      </c>
      <c r="BL599" s="5">
        <f t="shared" si="78"/>
        <v>59.698538110387631</v>
      </c>
      <c r="BM599" s="11">
        <f t="shared" si="79"/>
        <v>0.12620750386469023</v>
      </c>
    </row>
    <row r="600" spans="1:65" ht="15" customHeight="1" x14ac:dyDescent="0.4">
      <c r="A600" s="2" t="s">
        <v>553</v>
      </c>
      <c r="B600" s="2" t="s">
        <v>66</v>
      </c>
      <c r="C600" s="2" t="s">
        <v>554</v>
      </c>
      <c r="D600" s="3" t="s">
        <v>68</v>
      </c>
      <c r="E600" s="3" t="s">
        <v>176</v>
      </c>
      <c r="F600" s="2" t="s">
        <v>177</v>
      </c>
      <c r="G600" s="4">
        <v>5</v>
      </c>
      <c r="H600" s="5">
        <v>3.43</v>
      </c>
      <c r="I600" s="5">
        <v>3.5753549617814788</v>
      </c>
      <c r="J600" s="6">
        <v>0</v>
      </c>
      <c r="K600" s="5">
        <v>0</v>
      </c>
      <c r="L600" s="6">
        <v>98.92356741932133</v>
      </c>
      <c r="M600" s="5">
        <v>339.30783624827211</v>
      </c>
      <c r="N600" s="6">
        <v>0</v>
      </c>
      <c r="O600" s="5">
        <v>0</v>
      </c>
      <c r="P600" s="6">
        <v>197.84713483864269</v>
      </c>
      <c r="Q600" s="5">
        <v>678.61567249654422</v>
      </c>
      <c r="R600" s="6">
        <v>19.78471348386427</v>
      </c>
      <c r="S600" s="5">
        <v>67.861567249654428</v>
      </c>
      <c r="T600" s="6">
        <v>0</v>
      </c>
      <c r="U600" s="5">
        <v>0</v>
      </c>
      <c r="V600" s="6">
        <v>197.84713483864269</v>
      </c>
      <c r="W600" s="5">
        <v>678.61567249654422</v>
      </c>
      <c r="X600" s="6">
        <v>0</v>
      </c>
      <c r="Y600" s="5">
        <v>0</v>
      </c>
      <c r="Z600" s="6">
        <v>0</v>
      </c>
      <c r="AA600" s="5">
        <v>0</v>
      </c>
      <c r="AB600" s="6">
        <v>94.799613929838927</v>
      </c>
      <c r="AC600" s="5">
        <v>325.16267577934752</v>
      </c>
      <c r="AD600" s="6">
        <v>0</v>
      </c>
      <c r="AE600" s="5">
        <v>0</v>
      </c>
      <c r="AF600" s="6">
        <v>94.799613929838927</v>
      </c>
      <c r="AG600" s="5">
        <v>325.16267577934752</v>
      </c>
      <c r="AH600" s="7">
        <f t="shared" si="72"/>
        <v>704.00177844014866</v>
      </c>
      <c r="AI600" s="8">
        <f t="shared" si="73"/>
        <v>2414.7261000497101</v>
      </c>
      <c r="AJ600" s="6">
        <v>0</v>
      </c>
      <c r="AK600" s="5">
        <v>0</v>
      </c>
      <c r="AL600" s="6">
        <v>110</v>
      </c>
      <c r="AM600" s="5">
        <v>393.28904579596281</v>
      </c>
      <c r="AN600" s="6">
        <v>0</v>
      </c>
      <c r="AO600" s="5">
        <v>0</v>
      </c>
      <c r="AP600" s="6">
        <v>215</v>
      </c>
      <c r="AQ600" s="5">
        <v>768.70131678301811</v>
      </c>
      <c r="AR600" s="6">
        <v>20</v>
      </c>
      <c r="AS600" s="5">
        <v>71.507099235629596</v>
      </c>
      <c r="AT600" s="6">
        <v>0</v>
      </c>
      <c r="AU600" s="5">
        <v>0</v>
      </c>
      <c r="AV600" s="6">
        <v>215</v>
      </c>
      <c r="AW600" s="5">
        <v>768.70131678301811</v>
      </c>
      <c r="AX600" s="6">
        <v>0</v>
      </c>
      <c r="AY600" s="5">
        <v>0</v>
      </c>
      <c r="AZ600" s="6">
        <v>0</v>
      </c>
      <c r="BA600" s="5">
        <v>0</v>
      </c>
      <c r="BB600" s="6">
        <v>105</v>
      </c>
      <c r="BC600" s="5">
        <v>375.41227098705548</v>
      </c>
      <c r="BD600" s="6">
        <v>0</v>
      </c>
      <c r="BE600" s="5">
        <v>0</v>
      </c>
      <c r="BF600" s="6">
        <v>105</v>
      </c>
      <c r="BG600" s="5">
        <v>375.41227098705548</v>
      </c>
      <c r="BH600" s="9">
        <f t="shared" si="74"/>
        <v>770</v>
      </c>
      <c r="BI600" s="10">
        <f t="shared" si="75"/>
        <v>2753.0233205717391</v>
      </c>
      <c r="BJ600" s="6">
        <f t="shared" si="76"/>
        <v>65.998221559851345</v>
      </c>
      <c r="BK600" s="11">
        <f t="shared" si="77"/>
        <v>9.3747236982956353E-2</v>
      </c>
      <c r="BL600" s="5">
        <f t="shared" si="78"/>
        <v>338.29722052202897</v>
      </c>
      <c r="BM600" s="11">
        <f t="shared" si="79"/>
        <v>0.14009755413463443</v>
      </c>
    </row>
    <row r="601" spans="1:65" ht="15" customHeight="1" x14ac:dyDescent="0.4">
      <c r="A601" s="2" t="s">
        <v>553</v>
      </c>
      <c r="B601" s="2" t="s">
        <v>66</v>
      </c>
      <c r="C601" s="2" t="s">
        <v>554</v>
      </c>
      <c r="D601" s="3" t="s">
        <v>68</v>
      </c>
      <c r="E601" s="3" t="s">
        <v>71</v>
      </c>
      <c r="F601" s="2" t="s">
        <v>72</v>
      </c>
      <c r="G601" s="4">
        <v>20</v>
      </c>
      <c r="H601" s="5">
        <v>2.1850000000000001</v>
      </c>
      <c r="I601" s="5">
        <v>2.2775949246333922</v>
      </c>
      <c r="J601" s="6">
        <v>1266.221662967313</v>
      </c>
      <c r="K601" s="5">
        <v>2747.7010086390692</v>
      </c>
      <c r="L601" s="6">
        <v>0</v>
      </c>
      <c r="M601" s="5">
        <v>0</v>
      </c>
      <c r="N601" s="6">
        <v>0</v>
      </c>
      <c r="O601" s="5">
        <v>0</v>
      </c>
      <c r="P601" s="6">
        <v>1266.221662967313</v>
      </c>
      <c r="Q601" s="5">
        <v>2773.025441898415</v>
      </c>
      <c r="R601" s="6">
        <v>633.11083148365651</v>
      </c>
      <c r="S601" s="5">
        <v>1386.512720949208</v>
      </c>
      <c r="T601" s="6">
        <v>0</v>
      </c>
      <c r="U601" s="5">
        <v>0</v>
      </c>
      <c r="V601" s="6">
        <v>1899.33249445097</v>
      </c>
      <c r="W601" s="5">
        <v>4159.5381628476234</v>
      </c>
      <c r="X601" s="6">
        <v>0</v>
      </c>
      <c r="Y601" s="5">
        <v>0</v>
      </c>
      <c r="Z601" s="6">
        <v>606.7175291509692</v>
      </c>
      <c r="AA601" s="5">
        <v>1325.6778011948679</v>
      </c>
      <c r="AB601" s="6">
        <v>606.7175291509692</v>
      </c>
      <c r="AC601" s="5">
        <v>1325.6778011948679</v>
      </c>
      <c r="AD601" s="6">
        <v>606.7175291509692</v>
      </c>
      <c r="AE601" s="5">
        <v>1325.6778011948679</v>
      </c>
      <c r="AF601" s="6">
        <v>606.7175291509692</v>
      </c>
      <c r="AG601" s="5">
        <v>1325.6778011948679</v>
      </c>
      <c r="AH601" s="7">
        <f t="shared" si="72"/>
        <v>7491.7567684731293</v>
      </c>
      <c r="AI601" s="8">
        <f t="shared" si="73"/>
        <v>16369.488539113787</v>
      </c>
      <c r="AJ601" s="6">
        <v>1600</v>
      </c>
      <c r="AK601" s="5">
        <v>3619.1348184563558</v>
      </c>
      <c r="AL601" s="6">
        <v>0</v>
      </c>
      <c r="AM601" s="5">
        <v>0</v>
      </c>
      <c r="AN601" s="6">
        <v>0</v>
      </c>
      <c r="AO601" s="5">
        <v>0</v>
      </c>
      <c r="AP601" s="6">
        <v>1600</v>
      </c>
      <c r="AQ601" s="5">
        <v>3652.490899732451</v>
      </c>
      <c r="AR601" s="6">
        <v>800</v>
      </c>
      <c r="AS601" s="5">
        <v>1826.245449866226</v>
      </c>
      <c r="AT601" s="6">
        <v>0</v>
      </c>
      <c r="AU601" s="5">
        <v>0</v>
      </c>
      <c r="AV601" s="6">
        <v>2400</v>
      </c>
      <c r="AW601" s="5">
        <v>5478.7363495986756</v>
      </c>
      <c r="AX601" s="6">
        <v>0</v>
      </c>
      <c r="AY601" s="5">
        <v>0</v>
      </c>
      <c r="AZ601" s="6">
        <v>760</v>
      </c>
      <c r="BA601" s="5">
        <v>1730.9721427213781</v>
      </c>
      <c r="BB601" s="6">
        <v>760</v>
      </c>
      <c r="BC601" s="5">
        <v>1730.9721427213781</v>
      </c>
      <c r="BD601" s="6">
        <v>760</v>
      </c>
      <c r="BE601" s="5">
        <v>1730.9721427213781</v>
      </c>
      <c r="BF601" s="6">
        <v>760</v>
      </c>
      <c r="BG601" s="5">
        <v>1730.9721427213781</v>
      </c>
      <c r="BH601" s="9">
        <f t="shared" si="74"/>
        <v>9440</v>
      </c>
      <c r="BI601" s="10">
        <f t="shared" si="75"/>
        <v>21500.496088539217</v>
      </c>
      <c r="BJ601" s="6">
        <f t="shared" si="76"/>
        <v>1948.2432315268707</v>
      </c>
      <c r="BK601" s="11">
        <f t="shared" si="77"/>
        <v>0.26005158626151392</v>
      </c>
      <c r="BL601" s="5">
        <f t="shared" si="78"/>
        <v>5131.0075494254306</v>
      </c>
      <c r="BM601" s="11">
        <f t="shared" si="79"/>
        <v>0.31344947260662631</v>
      </c>
    </row>
    <row r="602" spans="1:65" ht="15" customHeight="1" x14ac:dyDescent="0.4">
      <c r="A602" s="2" t="s">
        <v>553</v>
      </c>
      <c r="B602" s="2" t="s">
        <v>66</v>
      </c>
      <c r="C602" s="2" t="s">
        <v>554</v>
      </c>
      <c r="D602" s="3" t="s">
        <v>68</v>
      </c>
      <c r="E602" s="3" t="s">
        <v>138</v>
      </c>
      <c r="F602" s="2" t="s">
        <v>139</v>
      </c>
      <c r="G602" s="4">
        <v>5</v>
      </c>
      <c r="H602" s="5">
        <v>3.297608695652174</v>
      </c>
      <c r="I602" s="5">
        <v>3.437303093507643</v>
      </c>
      <c r="J602" s="6">
        <v>633.11083148365651</v>
      </c>
      <c r="K602" s="5">
        <v>2051.2790940070472</v>
      </c>
      <c r="L602" s="6">
        <v>197.84713483864269</v>
      </c>
      <c r="M602" s="5">
        <v>652.89554496752078</v>
      </c>
      <c r="N602" s="6">
        <v>0</v>
      </c>
      <c r="O602" s="5">
        <v>0</v>
      </c>
      <c r="P602" s="6">
        <v>0</v>
      </c>
      <c r="Q602" s="5">
        <v>0</v>
      </c>
      <c r="R602" s="6">
        <v>0</v>
      </c>
      <c r="S602" s="5">
        <v>0</v>
      </c>
      <c r="T602" s="6">
        <v>197.84713483864269</v>
      </c>
      <c r="U602" s="5">
        <v>652.89554496752078</v>
      </c>
      <c r="V602" s="6">
        <v>0</v>
      </c>
      <c r="W602" s="5">
        <v>0</v>
      </c>
      <c r="X602" s="6">
        <v>791.38853935457064</v>
      </c>
      <c r="Y602" s="5">
        <v>2645.2161927926518</v>
      </c>
      <c r="Z602" s="6">
        <v>0</v>
      </c>
      <c r="AA602" s="5">
        <v>0</v>
      </c>
      <c r="AB602" s="6">
        <v>189.59922785967791</v>
      </c>
      <c r="AC602" s="5">
        <v>625.22406247901165</v>
      </c>
      <c r="AD602" s="6">
        <v>94.799613929838927</v>
      </c>
      <c r="AE602" s="5">
        <v>312.61203123950582</v>
      </c>
      <c r="AF602" s="6">
        <v>94.799613929838927</v>
      </c>
      <c r="AG602" s="5">
        <v>312.61203123950582</v>
      </c>
      <c r="AH602" s="7">
        <f t="shared" si="72"/>
        <v>2199.3920962348684</v>
      </c>
      <c r="AI602" s="8">
        <f t="shared" si="73"/>
        <v>7252.7345016927648</v>
      </c>
      <c r="AJ602" s="6">
        <v>690</v>
      </c>
      <c r="AK602" s="5">
        <v>2330.339228151217</v>
      </c>
      <c r="AL602" s="6">
        <v>215</v>
      </c>
      <c r="AM602" s="5">
        <v>739.56686454342866</v>
      </c>
      <c r="AN602" s="6">
        <v>0</v>
      </c>
      <c r="AO602" s="5">
        <v>0</v>
      </c>
      <c r="AP602" s="6">
        <v>0</v>
      </c>
      <c r="AQ602" s="5">
        <v>0</v>
      </c>
      <c r="AR602" s="6">
        <v>0</v>
      </c>
      <c r="AS602" s="5">
        <v>0</v>
      </c>
      <c r="AT602" s="6">
        <v>215</v>
      </c>
      <c r="AU602" s="5">
        <v>739.56686454342866</v>
      </c>
      <c r="AV602" s="6">
        <v>0</v>
      </c>
      <c r="AW602" s="5">
        <v>0</v>
      </c>
      <c r="AX602" s="6">
        <v>860</v>
      </c>
      <c r="AY602" s="5">
        <v>2996.366357256255</v>
      </c>
      <c r="AZ602" s="6">
        <v>0</v>
      </c>
      <c r="BA602" s="5">
        <v>0</v>
      </c>
      <c r="BB602" s="6">
        <v>205</v>
      </c>
      <c r="BC602" s="5">
        <v>704.65741412910199</v>
      </c>
      <c r="BD602" s="6">
        <v>105</v>
      </c>
      <c r="BE602" s="5">
        <v>360.92209016368639</v>
      </c>
      <c r="BF602" s="6">
        <v>105</v>
      </c>
      <c r="BG602" s="5">
        <v>360.92209016368639</v>
      </c>
      <c r="BH602" s="9">
        <f t="shared" si="74"/>
        <v>2395</v>
      </c>
      <c r="BI602" s="10">
        <f t="shared" si="75"/>
        <v>8232.3409089508041</v>
      </c>
      <c r="BJ602" s="6">
        <f t="shared" si="76"/>
        <v>195.6079037651316</v>
      </c>
      <c r="BK602" s="11">
        <f t="shared" si="77"/>
        <v>8.8937258663424348E-2</v>
      </c>
      <c r="BL602" s="5">
        <f t="shared" si="78"/>
        <v>979.60640725803933</v>
      </c>
      <c r="BM602" s="11">
        <f t="shared" si="79"/>
        <v>0.13506718149263597</v>
      </c>
    </row>
    <row r="603" spans="1:65" ht="15" customHeight="1" x14ac:dyDescent="0.4">
      <c r="A603" s="2" t="s">
        <v>553</v>
      </c>
      <c r="B603" s="2" t="s">
        <v>66</v>
      </c>
      <c r="C603" s="2" t="s">
        <v>554</v>
      </c>
      <c r="D603" s="3" t="s">
        <v>68</v>
      </c>
      <c r="E603" s="3" t="s">
        <v>120</v>
      </c>
      <c r="F603" s="2" t="s">
        <v>121</v>
      </c>
      <c r="G603" s="4">
        <v>5</v>
      </c>
      <c r="H603" s="5">
        <v>4.04</v>
      </c>
      <c r="I603" s="5">
        <v>4.2112052611070503</v>
      </c>
      <c r="J603" s="6">
        <v>197.84713483864269</v>
      </c>
      <c r="K603" s="5">
        <v>799.30242474811632</v>
      </c>
      <c r="L603" s="6">
        <v>0</v>
      </c>
      <c r="M603" s="5">
        <v>0</v>
      </c>
      <c r="N603" s="6">
        <v>0</v>
      </c>
      <c r="O603" s="5">
        <v>0</v>
      </c>
      <c r="P603" s="6">
        <v>0</v>
      </c>
      <c r="Q603" s="5">
        <v>0</v>
      </c>
      <c r="R603" s="6">
        <v>0</v>
      </c>
      <c r="S603" s="5">
        <v>0</v>
      </c>
      <c r="T603" s="6">
        <v>0</v>
      </c>
      <c r="U603" s="5">
        <v>0</v>
      </c>
      <c r="V603" s="6">
        <v>0</v>
      </c>
      <c r="W603" s="5">
        <v>0</v>
      </c>
      <c r="X603" s="6">
        <v>0</v>
      </c>
      <c r="Y603" s="5">
        <v>0</v>
      </c>
      <c r="Z603" s="6">
        <v>0</v>
      </c>
      <c r="AA603" s="5">
        <v>0</v>
      </c>
      <c r="AB603" s="6">
        <v>0</v>
      </c>
      <c r="AC603" s="5">
        <v>0</v>
      </c>
      <c r="AD603" s="6">
        <v>0</v>
      </c>
      <c r="AE603" s="5">
        <v>0</v>
      </c>
      <c r="AF603" s="6">
        <v>0</v>
      </c>
      <c r="AG603" s="5">
        <v>0</v>
      </c>
      <c r="AH603" s="7">
        <f t="shared" si="72"/>
        <v>197.84713483864269</v>
      </c>
      <c r="AI603" s="8">
        <f t="shared" si="73"/>
        <v>799.30242474811632</v>
      </c>
      <c r="AJ603" s="6">
        <v>215</v>
      </c>
      <c r="AK603" s="5">
        <v>905.40913113801582</v>
      </c>
      <c r="AL603" s="6">
        <v>0</v>
      </c>
      <c r="AM603" s="5">
        <v>0</v>
      </c>
      <c r="AN603" s="6">
        <v>0</v>
      </c>
      <c r="AO603" s="5">
        <v>0</v>
      </c>
      <c r="AP603" s="6">
        <v>0</v>
      </c>
      <c r="AQ603" s="5">
        <v>0</v>
      </c>
      <c r="AR603" s="6">
        <v>0</v>
      </c>
      <c r="AS603" s="5">
        <v>0</v>
      </c>
      <c r="AT603" s="6">
        <v>0</v>
      </c>
      <c r="AU603" s="5">
        <v>0</v>
      </c>
      <c r="AV603" s="6">
        <v>0</v>
      </c>
      <c r="AW603" s="5">
        <v>0</v>
      </c>
      <c r="AX603" s="6">
        <v>0</v>
      </c>
      <c r="AY603" s="5">
        <v>0</v>
      </c>
      <c r="AZ603" s="6">
        <v>0</v>
      </c>
      <c r="BA603" s="5">
        <v>0</v>
      </c>
      <c r="BB603" s="6">
        <v>0</v>
      </c>
      <c r="BC603" s="5">
        <v>0</v>
      </c>
      <c r="BD603" s="6">
        <v>0</v>
      </c>
      <c r="BE603" s="5">
        <v>0</v>
      </c>
      <c r="BF603" s="6">
        <v>0</v>
      </c>
      <c r="BG603" s="5">
        <v>0</v>
      </c>
      <c r="BH603" s="9">
        <f t="shared" si="74"/>
        <v>215</v>
      </c>
      <c r="BI603" s="10">
        <f t="shared" si="75"/>
        <v>905.40913113801582</v>
      </c>
      <c r="BJ603" s="6">
        <f t="shared" si="76"/>
        <v>17.152865161357312</v>
      </c>
      <c r="BK603" s="11">
        <f t="shared" si="77"/>
        <v>8.6697566660980954E-2</v>
      </c>
      <c r="BL603" s="5">
        <f t="shared" si="78"/>
        <v>106.1067063898995</v>
      </c>
      <c r="BM603" s="11">
        <f t="shared" si="79"/>
        <v>0.1327491361274637</v>
      </c>
    </row>
    <row r="604" spans="1:65" ht="15" customHeight="1" x14ac:dyDescent="0.4">
      <c r="A604" s="2" t="s">
        <v>553</v>
      </c>
      <c r="B604" s="2" t="s">
        <v>66</v>
      </c>
      <c r="C604" s="2" t="s">
        <v>554</v>
      </c>
      <c r="D604" s="3" t="s">
        <v>68</v>
      </c>
      <c r="E604" s="3" t="s">
        <v>122</v>
      </c>
      <c r="F604" s="2" t="s">
        <v>123</v>
      </c>
      <c r="G604" s="4">
        <v>5</v>
      </c>
      <c r="H604" s="5">
        <v>4.593684210526316</v>
      </c>
      <c r="I604" s="5">
        <v>4.7882701221390214</v>
      </c>
      <c r="J604" s="6">
        <v>0</v>
      </c>
      <c r="K604" s="5">
        <v>0</v>
      </c>
      <c r="L604" s="6">
        <v>593.54140451592798</v>
      </c>
      <c r="M604" s="5">
        <v>2801.51542931518</v>
      </c>
      <c r="N604" s="6">
        <v>98.92356741932133</v>
      </c>
      <c r="O604" s="5">
        <v>466.91923821919659</v>
      </c>
      <c r="P604" s="6">
        <v>593.54140451592798</v>
      </c>
      <c r="Q604" s="5">
        <v>2682.8071484119941</v>
      </c>
      <c r="R604" s="6">
        <v>0</v>
      </c>
      <c r="S604" s="5">
        <v>0</v>
      </c>
      <c r="T604" s="6">
        <v>0</v>
      </c>
      <c r="U604" s="5">
        <v>0</v>
      </c>
      <c r="V604" s="6">
        <v>593.54140451592798</v>
      </c>
      <c r="W604" s="5">
        <v>2682.8071484119941</v>
      </c>
      <c r="X604" s="6">
        <v>0</v>
      </c>
      <c r="Y604" s="5">
        <v>0</v>
      </c>
      <c r="Z604" s="6">
        <v>0</v>
      </c>
      <c r="AA604" s="5">
        <v>0</v>
      </c>
      <c r="AB604" s="6">
        <v>0</v>
      </c>
      <c r="AC604" s="5">
        <v>0</v>
      </c>
      <c r="AD604" s="6">
        <v>568.79768357903356</v>
      </c>
      <c r="AE604" s="5">
        <v>2612.8769380409499</v>
      </c>
      <c r="AF604" s="6">
        <v>284.39884178951678</v>
      </c>
      <c r="AG604" s="5">
        <v>1306.4384690204749</v>
      </c>
      <c r="AH604" s="7">
        <f t="shared" si="72"/>
        <v>2732.7443063356554</v>
      </c>
      <c r="AI604" s="8">
        <f t="shared" si="73"/>
        <v>12553.36437141979</v>
      </c>
      <c r="AJ604" s="6">
        <v>0</v>
      </c>
      <c r="AK604" s="5">
        <v>0</v>
      </c>
      <c r="AL604" s="6">
        <v>715</v>
      </c>
      <c r="AM604" s="5">
        <v>3517.8157215802162</v>
      </c>
      <c r="AN604" s="6">
        <v>120</v>
      </c>
      <c r="AO604" s="5">
        <v>590.40263858688934</v>
      </c>
      <c r="AP604" s="6">
        <v>715</v>
      </c>
      <c r="AQ604" s="5">
        <v>3368.755733377664</v>
      </c>
      <c r="AR604" s="6">
        <v>0</v>
      </c>
      <c r="AS604" s="5">
        <v>0</v>
      </c>
      <c r="AT604" s="6">
        <v>0</v>
      </c>
      <c r="AU604" s="5">
        <v>0</v>
      </c>
      <c r="AV604" s="6">
        <v>720</v>
      </c>
      <c r="AW604" s="5">
        <v>3392.313465778906</v>
      </c>
      <c r="AX604" s="6">
        <v>0</v>
      </c>
      <c r="AY604" s="5">
        <v>0</v>
      </c>
      <c r="AZ604" s="6">
        <v>0</v>
      </c>
      <c r="BA604" s="5">
        <v>0</v>
      </c>
      <c r="BB604" s="6">
        <v>0</v>
      </c>
      <c r="BC604" s="5">
        <v>0</v>
      </c>
      <c r="BD604" s="6">
        <v>685</v>
      </c>
      <c r="BE604" s="5">
        <v>3280.0219737461571</v>
      </c>
      <c r="BF604" s="6">
        <v>345</v>
      </c>
      <c r="BG604" s="5">
        <v>1651.9818699889399</v>
      </c>
      <c r="BH604" s="9">
        <f t="shared" si="74"/>
        <v>3300</v>
      </c>
      <c r="BI604" s="10">
        <f t="shared" si="75"/>
        <v>15801.291403058773</v>
      </c>
      <c r="BJ604" s="6">
        <f t="shared" si="76"/>
        <v>567.25569366434456</v>
      </c>
      <c r="BK604" s="11">
        <f t="shared" si="77"/>
        <v>0.20757730328051779</v>
      </c>
      <c r="BL604" s="5">
        <f t="shared" si="78"/>
        <v>3247.927031638983</v>
      </c>
      <c r="BM604" s="11">
        <f t="shared" si="79"/>
        <v>0.25872960710305914</v>
      </c>
    </row>
    <row r="605" spans="1:65" ht="15" customHeight="1" x14ac:dyDescent="0.4">
      <c r="A605" s="2" t="s">
        <v>553</v>
      </c>
      <c r="B605" s="2" t="s">
        <v>66</v>
      </c>
      <c r="C605" s="2" t="s">
        <v>554</v>
      </c>
      <c r="D605" s="3" t="s">
        <v>68</v>
      </c>
      <c r="E605" s="3" t="s">
        <v>143</v>
      </c>
      <c r="F605" s="2" t="s">
        <v>144</v>
      </c>
      <c r="G605" s="4">
        <v>1</v>
      </c>
      <c r="H605" s="5">
        <v>9.4216666666666651</v>
      </c>
      <c r="I605" s="5">
        <v>9.8209337215503929</v>
      </c>
      <c r="J605" s="6">
        <v>178.06242135477839</v>
      </c>
      <c r="K605" s="5">
        <v>1750.3536019174719</v>
      </c>
      <c r="L605" s="6">
        <v>0</v>
      </c>
      <c r="M605" s="5">
        <v>0</v>
      </c>
      <c r="N605" s="6">
        <v>118.7082809031856</v>
      </c>
      <c r="O605" s="5">
        <v>1108.735343635753</v>
      </c>
      <c r="P605" s="6">
        <v>415.47898316114959</v>
      </c>
      <c r="Q605" s="5">
        <v>3880.5737027251371</v>
      </c>
      <c r="R605" s="6">
        <v>0</v>
      </c>
      <c r="S605" s="5">
        <v>0</v>
      </c>
      <c r="T605" s="6">
        <v>0</v>
      </c>
      <c r="U605" s="5">
        <v>0</v>
      </c>
      <c r="V605" s="6">
        <v>0</v>
      </c>
      <c r="W605" s="5">
        <v>0</v>
      </c>
      <c r="X605" s="6">
        <v>356.12484270955679</v>
      </c>
      <c r="Y605" s="5">
        <v>3326.2060309072599</v>
      </c>
      <c r="Z605" s="6">
        <v>56.879768357903359</v>
      </c>
      <c r="AA605" s="5">
        <v>535.90221754537947</v>
      </c>
      <c r="AB605" s="6">
        <v>113.7595367158067</v>
      </c>
      <c r="AC605" s="5">
        <v>1071.8044350907589</v>
      </c>
      <c r="AD605" s="6">
        <v>102.383583044226</v>
      </c>
      <c r="AE605" s="5">
        <v>964.62399158168307</v>
      </c>
      <c r="AF605" s="6">
        <v>102.383583044226</v>
      </c>
      <c r="AG605" s="5">
        <v>964.62399158168307</v>
      </c>
      <c r="AH605" s="7">
        <f t="shared" si="72"/>
        <v>1443.7809992908326</v>
      </c>
      <c r="AI605" s="8">
        <f t="shared" si="73"/>
        <v>13602.823314985124</v>
      </c>
      <c r="AJ605" s="6">
        <v>215</v>
      </c>
      <c r="AK605" s="5">
        <v>2203.0128116551218</v>
      </c>
      <c r="AL605" s="6">
        <v>0</v>
      </c>
      <c r="AM605" s="5">
        <v>0</v>
      </c>
      <c r="AN605" s="6">
        <v>143</v>
      </c>
      <c r="AO605" s="5">
        <v>1392.220289811831</v>
      </c>
      <c r="AP605" s="6">
        <v>502</v>
      </c>
      <c r="AQ605" s="5">
        <v>4887.3747236750996</v>
      </c>
      <c r="AR605" s="6">
        <v>0</v>
      </c>
      <c r="AS605" s="5">
        <v>0</v>
      </c>
      <c r="AT605" s="6">
        <v>0</v>
      </c>
      <c r="AU605" s="5">
        <v>0</v>
      </c>
      <c r="AV605" s="6">
        <v>0</v>
      </c>
      <c r="AW605" s="5">
        <v>0</v>
      </c>
      <c r="AX605" s="6">
        <v>430</v>
      </c>
      <c r="AY605" s="5">
        <v>4186.3966756579539</v>
      </c>
      <c r="AZ605" s="6">
        <v>69</v>
      </c>
      <c r="BA605" s="5">
        <v>677.64442678697708</v>
      </c>
      <c r="BB605" s="6">
        <v>137</v>
      </c>
      <c r="BC605" s="5">
        <v>1345.4679198524041</v>
      </c>
      <c r="BD605" s="6">
        <v>124</v>
      </c>
      <c r="BE605" s="5">
        <v>1217.795781472249</v>
      </c>
      <c r="BF605" s="6">
        <v>124</v>
      </c>
      <c r="BG605" s="5">
        <v>1217.795781472249</v>
      </c>
      <c r="BH605" s="9">
        <f t="shared" si="74"/>
        <v>1744</v>
      </c>
      <c r="BI605" s="10">
        <f t="shared" si="75"/>
        <v>17127.708410383886</v>
      </c>
      <c r="BJ605" s="6">
        <f t="shared" si="76"/>
        <v>300.2190007091674</v>
      </c>
      <c r="BK605" s="11">
        <f t="shared" si="77"/>
        <v>0.20793943185055855</v>
      </c>
      <c r="BL605" s="5">
        <f t="shared" si="78"/>
        <v>3524.8850953987621</v>
      </c>
      <c r="BM605" s="11">
        <f t="shared" si="79"/>
        <v>0.25912893329399367</v>
      </c>
    </row>
    <row r="606" spans="1:65" ht="15" customHeight="1" x14ac:dyDescent="0.4">
      <c r="A606" s="2" t="s">
        <v>553</v>
      </c>
      <c r="B606" s="2" t="s">
        <v>66</v>
      </c>
      <c r="C606" s="2" t="s">
        <v>554</v>
      </c>
      <c r="D606" s="3" t="s">
        <v>68</v>
      </c>
      <c r="E606" s="3" t="s">
        <v>201</v>
      </c>
      <c r="F606" s="2" t="s">
        <v>202</v>
      </c>
      <c r="G606" s="4">
        <v>5</v>
      </c>
      <c r="H606" s="5">
        <v>4.6281065013728417</v>
      </c>
      <c r="I606" s="5">
        <v>4.8243978061988582</v>
      </c>
      <c r="J606" s="6">
        <v>791.38853935457064</v>
      </c>
      <c r="K606" s="5">
        <v>3814.4927596890302</v>
      </c>
      <c r="L606" s="6">
        <v>197.84713483864269</v>
      </c>
      <c r="M606" s="5">
        <v>906.13987756098334</v>
      </c>
      <c r="N606" s="6">
        <v>890.31210677389186</v>
      </c>
      <c r="O606" s="5">
        <v>4077.629449024425</v>
      </c>
      <c r="P606" s="6">
        <v>197.84713483864269</v>
      </c>
      <c r="Q606" s="5">
        <v>906.13987756098334</v>
      </c>
      <c r="R606" s="6">
        <v>0</v>
      </c>
      <c r="S606" s="5">
        <v>0</v>
      </c>
      <c r="T606" s="6">
        <v>197.84713483864269</v>
      </c>
      <c r="U606" s="5">
        <v>906.13987756098334</v>
      </c>
      <c r="V606" s="6">
        <v>1187.082809031856</v>
      </c>
      <c r="W606" s="5">
        <v>5436.8392653659002</v>
      </c>
      <c r="X606" s="6">
        <v>0</v>
      </c>
      <c r="Y606" s="5">
        <v>0</v>
      </c>
      <c r="Z606" s="6">
        <v>284.39884178951678</v>
      </c>
      <c r="AA606" s="5">
        <v>1309.216254520011</v>
      </c>
      <c r="AB606" s="6">
        <v>0</v>
      </c>
      <c r="AC606" s="5">
        <v>0</v>
      </c>
      <c r="AD606" s="6">
        <v>379.19845571935571</v>
      </c>
      <c r="AE606" s="5">
        <v>1745.621672693348</v>
      </c>
      <c r="AF606" s="6">
        <v>284.39884178951678</v>
      </c>
      <c r="AG606" s="5">
        <v>1309.216254520011</v>
      </c>
      <c r="AH606" s="7">
        <f t="shared" si="72"/>
        <v>4410.3209989746365</v>
      </c>
      <c r="AI606" s="8">
        <f t="shared" si="73"/>
        <v>20411.435288495679</v>
      </c>
      <c r="AJ606" s="6">
        <v>850</v>
      </c>
      <c r="AK606" s="5">
        <v>4270.6207808800946</v>
      </c>
      <c r="AL606" s="6">
        <v>210</v>
      </c>
      <c r="AM606" s="5">
        <v>1002.558717854644</v>
      </c>
      <c r="AN606" s="6">
        <v>955</v>
      </c>
      <c r="AO606" s="5">
        <v>4559.2551216723086</v>
      </c>
      <c r="AP606" s="6">
        <v>210</v>
      </c>
      <c r="AQ606" s="5">
        <v>1002.558717854644</v>
      </c>
      <c r="AR606" s="6">
        <v>0</v>
      </c>
      <c r="AS606" s="5">
        <v>0</v>
      </c>
      <c r="AT606" s="6">
        <v>210</v>
      </c>
      <c r="AU606" s="5">
        <v>1002.558717854644</v>
      </c>
      <c r="AV606" s="6">
        <v>1270</v>
      </c>
      <c r="AW606" s="5">
        <v>6063.0931984542731</v>
      </c>
      <c r="AX606" s="6">
        <v>0</v>
      </c>
      <c r="AY606" s="5">
        <v>0</v>
      </c>
      <c r="AZ606" s="6">
        <v>305</v>
      </c>
      <c r="BA606" s="5">
        <v>1463.552984393931</v>
      </c>
      <c r="BB606" s="6">
        <v>0</v>
      </c>
      <c r="BC606" s="5">
        <v>0</v>
      </c>
      <c r="BD606" s="6">
        <v>405</v>
      </c>
      <c r="BE606" s="5">
        <v>1943.4064219001391</v>
      </c>
      <c r="BF606" s="6">
        <v>305</v>
      </c>
      <c r="BG606" s="5">
        <v>1463.552984393931</v>
      </c>
      <c r="BH606" s="9">
        <f t="shared" si="74"/>
        <v>4720</v>
      </c>
      <c r="BI606" s="10">
        <f t="shared" si="75"/>
        <v>22771.157645258605</v>
      </c>
      <c r="BJ606" s="6">
        <f t="shared" si="76"/>
        <v>309.6790010253635</v>
      </c>
      <c r="BK606" s="11">
        <f t="shared" si="77"/>
        <v>7.0216884688747455E-2</v>
      </c>
      <c r="BL606" s="5">
        <f t="shared" si="78"/>
        <v>2359.7223567629262</v>
      </c>
      <c r="BM606" s="11">
        <f t="shared" si="79"/>
        <v>0.11560786017301371</v>
      </c>
    </row>
    <row r="607" spans="1:65" ht="15" customHeight="1" x14ac:dyDescent="0.4">
      <c r="A607" s="2" t="s">
        <v>553</v>
      </c>
      <c r="B607" s="2" t="s">
        <v>66</v>
      </c>
      <c r="C607" s="2" t="s">
        <v>554</v>
      </c>
      <c r="D607" s="3" t="s">
        <v>68</v>
      </c>
      <c r="E607" s="3" t="s">
        <v>558</v>
      </c>
      <c r="F607" s="2" t="s">
        <v>559</v>
      </c>
      <c r="G607" s="4">
        <v>1</v>
      </c>
      <c r="H607" s="5">
        <v>16.350000000000001</v>
      </c>
      <c r="I607" s="5">
        <v>17.042872777005019</v>
      </c>
      <c r="J607" s="6">
        <v>35.612484270955683</v>
      </c>
      <c r="K607" s="5">
        <v>582.26411783012531</v>
      </c>
      <c r="L607" s="6">
        <v>11.870828090318559</v>
      </c>
      <c r="M607" s="5">
        <v>194.0880392767084</v>
      </c>
      <c r="N607" s="6">
        <v>23.741656180637118</v>
      </c>
      <c r="O607" s="5">
        <v>388.17607855341691</v>
      </c>
      <c r="P607" s="6">
        <v>0</v>
      </c>
      <c r="Q607" s="5">
        <v>0</v>
      </c>
      <c r="R607" s="6">
        <v>0</v>
      </c>
      <c r="S607" s="5">
        <v>0</v>
      </c>
      <c r="T607" s="6">
        <v>0</v>
      </c>
      <c r="U607" s="5">
        <v>0</v>
      </c>
      <c r="V607" s="6">
        <v>0</v>
      </c>
      <c r="W607" s="5">
        <v>0</v>
      </c>
      <c r="X607" s="6">
        <v>0</v>
      </c>
      <c r="Y607" s="5">
        <v>0</v>
      </c>
      <c r="Z607" s="6">
        <v>0</v>
      </c>
      <c r="AA607" s="5">
        <v>0</v>
      </c>
      <c r="AB607" s="6">
        <v>0</v>
      </c>
      <c r="AC607" s="5">
        <v>0</v>
      </c>
      <c r="AD607" s="6">
        <v>0</v>
      </c>
      <c r="AE607" s="5">
        <v>0</v>
      </c>
      <c r="AF607" s="6">
        <v>0</v>
      </c>
      <c r="AG607" s="5">
        <v>0</v>
      </c>
      <c r="AH607" s="7">
        <f t="shared" si="72"/>
        <v>71.224968541911366</v>
      </c>
      <c r="AI607" s="8">
        <f t="shared" si="73"/>
        <v>1164.5282356602506</v>
      </c>
      <c r="AJ607" s="6">
        <v>38</v>
      </c>
      <c r="AK607" s="5">
        <v>647.62916552619072</v>
      </c>
      <c r="AL607" s="6">
        <v>13</v>
      </c>
      <c r="AM607" s="5">
        <v>221.55734610106521</v>
      </c>
      <c r="AN607" s="6">
        <v>25</v>
      </c>
      <c r="AO607" s="5">
        <v>426.0718194251254</v>
      </c>
      <c r="AP607" s="6">
        <v>0</v>
      </c>
      <c r="AQ607" s="5">
        <v>0</v>
      </c>
      <c r="AR607" s="6">
        <v>0</v>
      </c>
      <c r="AS607" s="5">
        <v>0</v>
      </c>
      <c r="AT607" s="6">
        <v>0</v>
      </c>
      <c r="AU607" s="5">
        <v>0</v>
      </c>
      <c r="AV607" s="6">
        <v>0</v>
      </c>
      <c r="AW607" s="5">
        <v>0</v>
      </c>
      <c r="AX607" s="6">
        <v>0</v>
      </c>
      <c r="AY607" s="5">
        <v>0</v>
      </c>
      <c r="AZ607" s="6">
        <v>0</v>
      </c>
      <c r="BA607" s="5">
        <v>0</v>
      </c>
      <c r="BB607" s="6">
        <v>0</v>
      </c>
      <c r="BC607" s="5">
        <v>0</v>
      </c>
      <c r="BD607" s="6">
        <v>0</v>
      </c>
      <c r="BE607" s="5">
        <v>0</v>
      </c>
      <c r="BF607" s="6">
        <v>0</v>
      </c>
      <c r="BG607" s="5">
        <v>0</v>
      </c>
      <c r="BH607" s="9">
        <f t="shared" si="74"/>
        <v>76</v>
      </c>
      <c r="BI607" s="10">
        <f t="shared" si="75"/>
        <v>1295.2583310523812</v>
      </c>
      <c r="BJ607" s="6">
        <f t="shared" si="76"/>
        <v>4.7750314580886339</v>
      </c>
      <c r="BK607" s="11">
        <f t="shared" si="77"/>
        <v>6.7041538323443853E-2</v>
      </c>
      <c r="BL607" s="5">
        <f t="shared" si="78"/>
        <v>130.73009539213058</v>
      </c>
      <c r="BM607" s="11">
        <f t="shared" si="79"/>
        <v>0.11226013366520972</v>
      </c>
    </row>
    <row r="608" spans="1:65" ht="15" customHeight="1" x14ac:dyDescent="0.4">
      <c r="A608" s="2" t="s">
        <v>553</v>
      </c>
      <c r="B608" s="2" t="s">
        <v>66</v>
      </c>
      <c r="C608" s="2" t="s">
        <v>554</v>
      </c>
      <c r="D608" s="3" t="s">
        <v>68</v>
      </c>
      <c r="E608" s="3" t="s">
        <v>558</v>
      </c>
      <c r="F608" s="2" t="s">
        <v>560</v>
      </c>
      <c r="G608" s="4">
        <v>1</v>
      </c>
      <c r="H608" s="5">
        <v>10.25416666666667</v>
      </c>
      <c r="I608" s="5">
        <v>10.66086519216384</v>
      </c>
      <c r="J608" s="6">
        <v>0</v>
      </c>
      <c r="K608" s="5">
        <v>0</v>
      </c>
      <c r="L608" s="6">
        <v>0</v>
      </c>
      <c r="M608" s="5">
        <v>0</v>
      </c>
      <c r="N608" s="6">
        <v>0</v>
      </c>
      <c r="O608" s="5">
        <v>0</v>
      </c>
      <c r="P608" s="6">
        <v>35.612484270955683</v>
      </c>
      <c r="Q608" s="5">
        <v>582.26411783012531</v>
      </c>
      <c r="R608" s="6">
        <v>0</v>
      </c>
      <c r="S608" s="5">
        <v>0</v>
      </c>
      <c r="T608" s="6">
        <v>47.483312361274237</v>
      </c>
      <c r="U608" s="5">
        <v>878.44127868357339</v>
      </c>
      <c r="V608" s="6">
        <v>59.354140451592791</v>
      </c>
      <c r="W608" s="5">
        <v>0</v>
      </c>
      <c r="X608" s="6">
        <v>0</v>
      </c>
      <c r="Y608" s="5">
        <v>0</v>
      </c>
      <c r="Z608" s="6">
        <v>0</v>
      </c>
      <c r="AA608" s="5">
        <v>0</v>
      </c>
      <c r="AB608" s="6">
        <v>0</v>
      </c>
      <c r="AC608" s="5">
        <v>0</v>
      </c>
      <c r="AD608" s="6">
        <v>0</v>
      </c>
      <c r="AE608" s="5">
        <v>0</v>
      </c>
      <c r="AF608" s="6">
        <v>0</v>
      </c>
      <c r="AG608" s="5">
        <v>0</v>
      </c>
      <c r="AH608" s="7">
        <f t="shared" si="72"/>
        <v>142.4499370838227</v>
      </c>
      <c r="AI608" s="8">
        <f t="shared" si="73"/>
        <v>1460.7053965136988</v>
      </c>
      <c r="AJ608" s="6">
        <v>0</v>
      </c>
      <c r="AK608" s="5">
        <v>0</v>
      </c>
      <c r="AL608" s="6">
        <v>0</v>
      </c>
      <c r="AM608" s="5">
        <v>0</v>
      </c>
      <c r="AN608" s="6">
        <v>0</v>
      </c>
      <c r="AO608" s="5">
        <v>0</v>
      </c>
      <c r="AP608" s="6">
        <v>38</v>
      </c>
      <c r="AQ608" s="5">
        <v>647.62916552619072</v>
      </c>
      <c r="AR608" s="6">
        <v>0</v>
      </c>
      <c r="AS608" s="5">
        <v>0</v>
      </c>
      <c r="AT608" s="6">
        <v>51</v>
      </c>
      <c r="AU608" s="5">
        <v>983.48320887487671</v>
      </c>
      <c r="AV608" s="6">
        <v>64</v>
      </c>
      <c r="AW608" s="5">
        <v>0</v>
      </c>
      <c r="AX608" s="6">
        <v>0</v>
      </c>
      <c r="AY608" s="5">
        <v>0</v>
      </c>
      <c r="AZ608" s="6">
        <v>0</v>
      </c>
      <c r="BA608" s="5">
        <v>0</v>
      </c>
      <c r="BB608" s="6">
        <v>0</v>
      </c>
      <c r="BC608" s="5">
        <v>0</v>
      </c>
      <c r="BD608" s="6">
        <v>0</v>
      </c>
      <c r="BE608" s="5">
        <v>0</v>
      </c>
      <c r="BF608" s="6">
        <v>0</v>
      </c>
      <c r="BG608" s="5">
        <v>0</v>
      </c>
      <c r="BH608" s="9">
        <f t="shared" si="74"/>
        <v>153</v>
      </c>
      <c r="BI608" s="10">
        <f t="shared" si="75"/>
        <v>1631.1123744010674</v>
      </c>
      <c r="BJ608" s="6">
        <f t="shared" si="76"/>
        <v>10.550062916177296</v>
      </c>
      <c r="BK608" s="11">
        <f t="shared" si="77"/>
        <v>7.4061548443993042E-2</v>
      </c>
      <c r="BL608" s="5">
        <f t="shared" si="78"/>
        <v>170.40697788736861</v>
      </c>
      <c r="BM608" s="11">
        <f t="shared" si="79"/>
        <v>0.11666074370238044</v>
      </c>
    </row>
    <row r="609" spans="1:65" ht="15" customHeight="1" x14ac:dyDescent="0.4">
      <c r="A609" s="2" t="s">
        <v>553</v>
      </c>
      <c r="B609" s="2" t="s">
        <v>66</v>
      </c>
      <c r="C609" s="2" t="s">
        <v>554</v>
      </c>
      <c r="D609" s="3" t="s">
        <v>68</v>
      </c>
      <c r="E609" s="3" t="s">
        <v>561</v>
      </c>
      <c r="F609" s="2" t="s">
        <v>562</v>
      </c>
      <c r="G609" s="4">
        <v>1</v>
      </c>
      <c r="H609" s="5">
        <v>9.4214285714285726</v>
      </c>
      <c r="I609" s="5">
        <v>9.8224567254449298</v>
      </c>
      <c r="J609" s="6">
        <v>35.612484270955683</v>
      </c>
      <c r="K609" s="5">
        <v>324.07360686569672</v>
      </c>
      <c r="L609" s="6">
        <v>0</v>
      </c>
      <c r="M609" s="5">
        <v>0</v>
      </c>
      <c r="N609" s="6">
        <v>71.224968541911352</v>
      </c>
      <c r="O609" s="5">
        <v>648.14721373139332</v>
      </c>
      <c r="P609" s="6">
        <v>59.354140451592791</v>
      </c>
      <c r="Q609" s="5">
        <v>593.54140451592798</v>
      </c>
      <c r="R609" s="6">
        <v>0</v>
      </c>
      <c r="S609" s="5">
        <v>0</v>
      </c>
      <c r="T609" s="6">
        <v>0</v>
      </c>
      <c r="U609" s="5">
        <v>0</v>
      </c>
      <c r="V609" s="6">
        <v>0</v>
      </c>
      <c r="W609" s="5">
        <v>0</v>
      </c>
      <c r="X609" s="6">
        <v>0</v>
      </c>
      <c r="Y609" s="5">
        <v>0</v>
      </c>
      <c r="Z609" s="6">
        <v>45.503814686322677</v>
      </c>
      <c r="AA609" s="5">
        <v>428.71093979471169</v>
      </c>
      <c r="AB609" s="6">
        <v>0</v>
      </c>
      <c r="AC609" s="5">
        <v>0</v>
      </c>
      <c r="AD609" s="6">
        <v>0</v>
      </c>
      <c r="AE609" s="5">
        <v>0</v>
      </c>
      <c r="AF609" s="6">
        <v>0</v>
      </c>
      <c r="AG609" s="5">
        <v>0</v>
      </c>
      <c r="AH609" s="7">
        <f t="shared" si="72"/>
        <v>211.69540795078251</v>
      </c>
      <c r="AI609" s="8">
        <f t="shared" si="73"/>
        <v>1994.4731649077298</v>
      </c>
      <c r="AJ609" s="6">
        <v>38</v>
      </c>
      <c r="AK609" s="5">
        <v>360.45415328980641</v>
      </c>
      <c r="AL609" s="6">
        <v>0</v>
      </c>
      <c r="AM609" s="5">
        <v>0</v>
      </c>
      <c r="AN609" s="6">
        <v>76</v>
      </c>
      <c r="AO609" s="5">
        <v>720.90830657961283</v>
      </c>
      <c r="AP609" s="6">
        <v>64</v>
      </c>
      <c r="AQ609" s="5">
        <v>667.12162552190898</v>
      </c>
      <c r="AR609" s="6">
        <v>0</v>
      </c>
      <c r="AS609" s="5">
        <v>0</v>
      </c>
      <c r="AT609" s="6">
        <v>0</v>
      </c>
      <c r="AU609" s="5">
        <v>0</v>
      </c>
      <c r="AV609" s="6">
        <v>0</v>
      </c>
      <c r="AW609" s="5">
        <v>0</v>
      </c>
      <c r="AX609" s="6">
        <v>0</v>
      </c>
      <c r="AY609" s="5">
        <v>0</v>
      </c>
      <c r="AZ609" s="6">
        <v>49</v>
      </c>
      <c r="BA609" s="5">
        <v>481.21359128467083</v>
      </c>
      <c r="BB609" s="6">
        <v>0</v>
      </c>
      <c r="BC609" s="5">
        <v>0</v>
      </c>
      <c r="BD609" s="6">
        <v>0</v>
      </c>
      <c r="BE609" s="5">
        <v>0</v>
      </c>
      <c r="BF609" s="6">
        <v>0</v>
      </c>
      <c r="BG609" s="5">
        <v>0</v>
      </c>
      <c r="BH609" s="9">
        <f t="shared" si="74"/>
        <v>227</v>
      </c>
      <c r="BI609" s="10">
        <f t="shared" si="75"/>
        <v>2229.697676675999</v>
      </c>
      <c r="BJ609" s="6">
        <f t="shared" si="76"/>
        <v>15.30459204921749</v>
      </c>
      <c r="BK609" s="11">
        <f t="shared" si="77"/>
        <v>7.2295342621582451E-2</v>
      </c>
      <c r="BL609" s="5">
        <f t="shared" si="78"/>
        <v>235.22451176826917</v>
      </c>
      <c r="BM609" s="11">
        <f t="shared" si="79"/>
        <v>0.11793816828773995</v>
      </c>
    </row>
    <row r="610" spans="1:65" ht="15" customHeight="1" x14ac:dyDescent="0.4">
      <c r="A610" s="2" t="s">
        <v>553</v>
      </c>
      <c r="B610" s="2" t="s">
        <v>66</v>
      </c>
      <c r="C610" s="2" t="s">
        <v>554</v>
      </c>
      <c r="D610" s="3" t="s">
        <v>68</v>
      </c>
      <c r="E610" s="3" t="s">
        <v>563</v>
      </c>
      <c r="F610" s="2" t="s">
        <v>564</v>
      </c>
      <c r="G610" s="4">
        <v>5</v>
      </c>
      <c r="H610" s="5">
        <v>8.5647659574468076</v>
      </c>
      <c r="I610" s="5">
        <v>8.9265728275291689</v>
      </c>
      <c r="J610" s="6">
        <v>593.54140451592798</v>
      </c>
      <c r="K610" s="5">
        <v>4778.0083063532202</v>
      </c>
      <c r="L610" s="6">
        <v>791.38853935457064</v>
      </c>
      <c r="M610" s="5">
        <v>6370.677741804293</v>
      </c>
      <c r="N610" s="6">
        <v>494.61783709660659</v>
      </c>
      <c r="O610" s="5">
        <v>3981.6735886276829</v>
      </c>
      <c r="P610" s="6">
        <v>1068.3745281286699</v>
      </c>
      <c r="Q610" s="5">
        <v>9042.009756395646</v>
      </c>
      <c r="R610" s="6">
        <v>217.6318483225069</v>
      </c>
      <c r="S610" s="5">
        <v>1751.936378996181</v>
      </c>
      <c r="T610" s="6">
        <v>197.84713483864269</v>
      </c>
      <c r="U610" s="5">
        <v>1830.085997257444</v>
      </c>
      <c r="V610" s="6">
        <v>1187.082809031856</v>
      </c>
      <c r="W610" s="5">
        <v>10980.51598354467</v>
      </c>
      <c r="X610" s="6">
        <v>98.92356741932133</v>
      </c>
      <c r="Y610" s="5">
        <v>1086.1807702641479</v>
      </c>
      <c r="Z610" s="6">
        <v>379.19845571935571</v>
      </c>
      <c r="AA610" s="5">
        <v>3247.7460246615392</v>
      </c>
      <c r="AB610" s="6">
        <v>113.7595367158067</v>
      </c>
      <c r="AC610" s="5">
        <v>974.32380739846178</v>
      </c>
      <c r="AD610" s="6">
        <v>189.59922785967791</v>
      </c>
      <c r="AE610" s="5">
        <v>1623.8730123307701</v>
      </c>
      <c r="AF610" s="6">
        <v>284.39884178951678</v>
      </c>
      <c r="AG610" s="5">
        <v>2435.8095184961549</v>
      </c>
      <c r="AH610" s="7">
        <f t="shared" si="72"/>
        <v>5616.3637307924591</v>
      </c>
      <c r="AI610" s="8">
        <f t="shared" si="73"/>
        <v>48102.840886130209</v>
      </c>
      <c r="AJ610" s="6">
        <v>635</v>
      </c>
      <c r="AK610" s="5">
        <v>5328.3733894712786</v>
      </c>
      <c r="AL610" s="6">
        <v>850</v>
      </c>
      <c r="AM610" s="5">
        <v>7132.4683166150953</v>
      </c>
      <c r="AN610" s="6">
        <v>530</v>
      </c>
      <c r="AO610" s="5">
        <v>4447.3037738894136</v>
      </c>
      <c r="AP610" s="6">
        <v>1145</v>
      </c>
      <c r="AQ610" s="5">
        <v>10101.17692314659</v>
      </c>
      <c r="AR610" s="6">
        <v>235</v>
      </c>
      <c r="AS610" s="5">
        <v>1971.917711064174</v>
      </c>
      <c r="AT610" s="6">
        <v>210</v>
      </c>
      <c r="AU610" s="5">
        <v>2024.818371212981</v>
      </c>
      <c r="AV610" s="6">
        <v>1270</v>
      </c>
      <c r="AW610" s="5">
        <v>12245.330149716599</v>
      </c>
      <c r="AX610" s="6">
        <v>105</v>
      </c>
      <c r="AY610" s="5">
        <v>1201.7570657253259</v>
      </c>
      <c r="AZ610" s="6">
        <v>405</v>
      </c>
      <c r="BA610" s="5">
        <v>3615.72646568341</v>
      </c>
      <c r="BB610" s="6">
        <v>120</v>
      </c>
      <c r="BC610" s="5">
        <v>1071.326360202492</v>
      </c>
      <c r="BD610" s="6">
        <v>205</v>
      </c>
      <c r="BE610" s="5">
        <v>1830.1825320125899</v>
      </c>
      <c r="BF610" s="6">
        <v>305</v>
      </c>
      <c r="BG610" s="5">
        <v>2722.9544988480011</v>
      </c>
      <c r="BH610" s="9">
        <f t="shared" si="74"/>
        <v>6015</v>
      </c>
      <c r="BI610" s="10">
        <f t="shared" si="75"/>
        <v>53693.335557587954</v>
      </c>
      <c r="BJ610" s="6">
        <f t="shared" si="76"/>
        <v>398.63626920754086</v>
      </c>
      <c r="BK610" s="11">
        <f t="shared" si="77"/>
        <v>7.0977644667485587E-2</v>
      </c>
      <c r="BL610" s="5">
        <f t="shared" si="78"/>
        <v>5590.4946714577454</v>
      </c>
      <c r="BM610" s="11">
        <f t="shared" si="79"/>
        <v>0.11621963627245324</v>
      </c>
    </row>
    <row r="611" spans="1:65" ht="15" customHeight="1" x14ac:dyDescent="0.4">
      <c r="A611" s="2" t="s">
        <v>553</v>
      </c>
      <c r="B611" s="2" t="s">
        <v>66</v>
      </c>
      <c r="C611" s="2" t="s">
        <v>554</v>
      </c>
      <c r="D611" s="3" t="s">
        <v>68</v>
      </c>
      <c r="E611" s="3" t="s">
        <v>347</v>
      </c>
      <c r="F611" s="2" t="s">
        <v>348</v>
      </c>
      <c r="G611" s="4">
        <v>5</v>
      </c>
      <c r="H611" s="5">
        <v>3.9722297705146921</v>
      </c>
      <c r="I611" s="5">
        <v>4.14056834396479</v>
      </c>
      <c r="J611" s="6">
        <v>0</v>
      </c>
      <c r="K611" s="5">
        <v>0</v>
      </c>
      <c r="L611" s="6">
        <v>0</v>
      </c>
      <c r="M611" s="5">
        <v>0</v>
      </c>
      <c r="N611" s="6">
        <v>197.84713483864269</v>
      </c>
      <c r="O611" s="5">
        <v>787.43159665779774</v>
      </c>
      <c r="P611" s="6">
        <v>1483.8535112898201</v>
      </c>
      <c r="Q611" s="5">
        <v>5905.736974933483</v>
      </c>
      <c r="R611" s="6">
        <v>890.31210677389186</v>
      </c>
      <c r="S611" s="5">
        <v>3543.4421849600899</v>
      </c>
      <c r="T611" s="6">
        <v>0</v>
      </c>
      <c r="U611" s="5">
        <v>0</v>
      </c>
      <c r="V611" s="6">
        <v>1731.162429838123</v>
      </c>
      <c r="W611" s="5">
        <v>6890.0264707557308</v>
      </c>
      <c r="X611" s="6">
        <v>0</v>
      </c>
      <c r="Y611" s="5">
        <v>0</v>
      </c>
      <c r="Z611" s="6">
        <v>758.39691143871141</v>
      </c>
      <c r="AA611" s="5">
        <v>3004.5419157673318</v>
      </c>
      <c r="AB611" s="6">
        <v>805.79671840363096</v>
      </c>
      <c r="AC611" s="5">
        <v>3192.32578550279</v>
      </c>
      <c r="AD611" s="6">
        <v>473.99806964919469</v>
      </c>
      <c r="AE611" s="5">
        <v>1877.8386973545821</v>
      </c>
      <c r="AF611" s="6">
        <v>1137.5953671580669</v>
      </c>
      <c r="AG611" s="5">
        <v>4506.8128736509971</v>
      </c>
      <c r="AH611" s="7">
        <f t="shared" si="72"/>
        <v>7478.9622493900824</v>
      </c>
      <c r="AI611" s="8">
        <f t="shared" si="73"/>
        <v>29708.156499582805</v>
      </c>
      <c r="AJ611" s="6">
        <v>0</v>
      </c>
      <c r="AK611" s="5">
        <v>0</v>
      </c>
      <c r="AL611" s="6">
        <v>0</v>
      </c>
      <c r="AM611" s="5">
        <v>0</v>
      </c>
      <c r="AN611" s="6">
        <v>215</v>
      </c>
      <c r="AO611" s="5">
        <v>891.96246087358975</v>
      </c>
      <c r="AP611" s="6">
        <v>1615</v>
      </c>
      <c r="AQ611" s="5">
        <v>6700.0901130737084</v>
      </c>
      <c r="AR611" s="6">
        <v>970</v>
      </c>
      <c r="AS611" s="5">
        <v>4024.2027304529402</v>
      </c>
      <c r="AT611" s="6">
        <v>0</v>
      </c>
      <c r="AU611" s="5">
        <v>0</v>
      </c>
      <c r="AV611" s="6">
        <v>1880</v>
      </c>
      <c r="AW611" s="5">
        <v>7799.4857043830179</v>
      </c>
      <c r="AX611" s="6">
        <v>0</v>
      </c>
      <c r="AY611" s="5">
        <v>0</v>
      </c>
      <c r="AZ611" s="6">
        <v>825</v>
      </c>
      <c r="BA611" s="5">
        <v>3406.910345742509</v>
      </c>
      <c r="BB611" s="6">
        <v>875</v>
      </c>
      <c r="BC611" s="5">
        <v>3613.3897606359942</v>
      </c>
      <c r="BD611" s="6">
        <v>515</v>
      </c>
      <c r="BE611" s="5">
        <v>2126.7379734029</v>
      </c>
      <c r="BF611" s="6">
        <v>1235</v>
      </c>
      <c r="BG611" s="5">
        <v>5100.0415478690893</v>
      </c>
      <c r="BH611" s="9">
        <f t="shared" si="74"/>
        <v>8130</v>
      </c>
      <c r="BI611" s="10">
        <f t="shared" si="75"/>
        <v>33662.820636433746</v>
      </c>
      <c r="BJ611" s="6">
        <f t="shared" si="76"/>
        <v>651.03775060991757</v>
      </c>
      <c r="BK611" s="11">
        <f t="shared" si="77"/>
        <v>8.7049209355617538E-2</v>
      </c>
      <c r="BL611" s="5">
        <f t="shared" si="78"/>
        <v>3954.6641368509408</v>
      </c>
      <c r="BM611" s="11">
        <f t="shared" si="79"/>
        <v>0.13311711673884835</v>
      </c>
    </row>
    <row r="612" spans="1:65" ht="15" customHeight="1" x14ac:dyDescent="0.4">
      <c r="A612" s="2" t="s">
        <v>553</v>
      </c>
      <c r="B612" s="2" t="s">
        <v>66</v>
      </c>
      <c r="C612" s="2" t="s">
        <v>554</v>
      </c>
      <c r="D612" s="3" t="s">
        <v>68</v>
      </c>
      <c r="E612" s="3" t="s">
        <v>264</v>
      </c>
      <c r="F612" s="2" t="s">
        <v>265</v>
      </c>
      <c r="G612" s="4">
        <v>20</v>
      </c>
      <c r="H612" s="5">
        <v>2.1482588293667471</v>
      </c>
      <c r="I612" s="5">
        <v>2.2393010990037392</v>
      </c>
      <c r="J612" s="6">
        <v>2532.443325934626</v>
      </c>
      <c r="K612" s="5">
        <v>5444.7531507594458</v>
      </c>
      <c r="L612" s="6">
        <v>1266.221662967313</v>
      </c>
      <c r="M612" s="5">
        <v>2722.3765753797229</v>
      </c>
      <c r="N612" s="6">
        <v>4431.7758203855956</v>
      </c>
      <c r="O612" s="5">
        <v>9528.31801382903</v>
      </c>
      <c r="P612" s="6">
        <v>2532.443325934626</v>
      </c>
      <c r="Q612" s="5">
        <v>5444.7531507594458</v>
      </c>
      <c r="R612" s="6">
        <v>633.11083148365651</v>
      </c>
      <c r="S612" s="5">
        <v>1361.188287689861</v>
      </c>
      <c r="T612" s="6">
        <v>3165.554157418283</v>
      </c>
      <c r="U612" s="5">
        <v>6805.9414384493066</v>
      </c>
      <c r="V612" s="6">
        <v>5064.8866518692521</v>
      </c>
      <c r="W612" s="5">
        <v>10889.50630151889</v>
      </c>
      <c r="X612" s="6">
        <v>633.11083148365651</v>
      </c>
      <c r="Y612" s="5">
        <v>1361.188287689861</v>
      </c>
      <c r="Z612" s="6">
        <v>1213.4350583019379</v>
      </c>
      <c r="AA612" s="5">
        <v>2602.363161910795</v>
      </c>
      <c r="AB612" s="6">
        <v>4247.0227040567843</v>
      </c>
      <c r="AC612" s="5">
        <v>9108.2710666877811</v>
      </c>
      <c r="AD612" s="6">
        <v>2426.8701166038768</v>
      </c>
      <c r="AE612" s="5">
        <v>5204.7263238215892</v>
      </c>
      <c r="AF612" s="6">
        <v>1820.152587452907</v>
      </c>
      <c r="AG612" s="5">
        <v>3903.5447428661919</v>
      </c>
      <c r="AH612" s="7">
        <f t="shared" si="72"/>
        <v>29967.027073892514</v>
      </c>
      <c r="AI612" s="8">
        <f t="shared" si="73"/>
        <v>64376.930501361923</v>
      </c>
      <c r="AJ612" s="6">
        <v>2720</v>
      </c>
      <c r="AK612" s="5">
        <v>6095.8238532064424</v>
      </c>
      <c r="AL612" s="6">
        <v>1360</v>
      </c>
      <c r="AM612" s="5">
        <v>3047.9119266032212</v>
      </c>
      <c r="AN612" s="6">
        <v>4740</v>
      </c>
      <c r="AO612" s="5">
        <v>10622.86950889652</v>
      </c>
      <c r="AP612" s="6">
        <v>2720</v>
      </c>
      <c r="AQ612" s="5">
        <v>6095.8238532064424</v>
      </c>
      <c r="AR612" s="6">
        <v>680</v>
      </c>
      <c r="AS612" s="5">
        <v>1523.9559633016111</v>
      </c>
      <c r="AT612" s="6">
        <v>3400</v>
      </c>
      <c r="AU612" s="5">
        <v>7619.779816508053</v>
      </c>
      <c r="AV612" s="6">
        <v>5440</v>
      </c>
      <c r="AW612" s="5">
        <v>12191.647706412879</v>
      </c>
      <c r="AX612" s="6">
        <v>680</v>
      </c>
      <c r="AY612" s="5">
        <v>1523.9559633016111</v>
      </c>
      <c r="AZ612" s="6">
        <v>1300</v>
      </c>
      <c r="BA612" s="5">
        <v>2906.1616108990638</v>
      </c>
      <c r="BB612" s="6">
        <v>4540</v>
      </c>
      <c r="BC612" s="5">
        <v>10149.210548832119</v>
      </c>
      <c r="BD612" s="6">
        <v>2600</v>
      </c>
      <c r="BE612" s="5">
        <v>5812.3232217981295</v>
      </c>
      <c r="BF612" s="6">
        <v>1940</v>
      </c>
      <c r="BG612" s="5">
        <v>4336.8873270339882</v>
      </c>
      <c r="BH612" s="9">
        <f t="shared" si="74"/>
        <v>32120</v>
      </c>
      <c r="BI612" s="10">
        <f t="shared" si="75"/>
        <v>71926.351300000068</v>
      </c>
      <c r="BJ612" s="6">
        <f t="shared" si="76"/>
        <v>2152.9729261074863</v>
      </c>
      <c r="BK612" s="11">
        <f t="shared" si="77"/>
        <v>7.1844728567792143E-2</v>
      </c>
      <c r="BL612" s="5">
        <f t="shared" si="78"/>
        <v>7549.4207986381443</v>
      </c>
      <c r="BM612" s="11">
        <f t="shared" si="79"/>
        <v>0.11726903938792846</v>
      </c>
    </row>
    <row r="613" spans="1:65" ht="15" customHeight="1" x14ac:dyDescent="0.4">
      <c r="A613" s="2" t="s">
        <v>553</v>
      </c>
      <c r="B613" s="2" t="s">
        <v>66</v>
      </c>
      <c r="C613" s="2" t="s">
        <v>554</v>
      </c>
      <c r="D613" s="3" t="s">
        <v>68</v>
      </c>
      <c r="E613" s="3" t="s">
        <v>147</v>
      </c>
      <c r="F613" s="2" t="s">
        <v>148</v>
      </c>
      <c r="G613" s="4">
        <v>5</v>
      </c>
      <c r="H613" s="5">
        <v>2.2999999999999998</v>
      </c>
      <c r="I613" s="5">
        <v>2.3974683417193599</v>
      </c>
      <c r="J613" s="6">
        <v>0</v>
      </c>
      <c r="K613" s="5">
        <v>0</v>
      </c>
      <c r="L613" s="6">
        <v>0</v>
      </c>
      <c r="M613" s="5">
        <v>0</v>
      </c>
      <c r="N613" s="6">
        <v>0</v>
      </c>
      <c r="O613" s="5">
        <v>0</v>
      </c>
      <c r="P613" s="6">
        <v>0</v>
      </c>
      <c r="Q613" s="5">
        <v>0</v>
      </c>
      <c r="R613" s="6">
        <v>0</v>
      </c>
      <c r="S613" s="5">
        <v>0</v>
      </c>
      <c r="T613" s="6">
        <v>237.41656180637119</v>
      </c>
      <c r="U613" s="5">
        <v>546.05809215465365</v>
      </c>
      <c r="V613" s="6">
        <v>0</v>
      </c>
      <c r="W613" s="5">
        <v>0</v>
      </c>
      <c r="X613" s="6">
        <v>0</v>
      </c>
      <c r="Y613" s="5">
        <v>0</v>
      </c>
      <c r="Z613" s="6">
        <v>0</v>
      </c>
      <c r="AA613" s="5">
        <v>0</v>
      </c>
      <c r="AB613" s="6">
        <v>0</v>
      </c>
      <c r="AC613" s="5">
        <v>0</v>
      </c>
      <c r="AD613" s="6">
        <v>284.39884178951678</v>
      </c>
      <c r="AE613" s="5">
        <v>654.11733611588863</v>
      </c>
      <c r="AF613" s="6">
        <v>284.39884178951678</v>
      </c>
      <c r="AG613" s="5">
        <v>654.11733611588863</v>
      </c>
      <c r="AH613" s="7">
        <f t="shared" si="72"/>
        <v>806.21424538540487</v>
      </c>
      <c r="AI613" s="8">
        <f t="shared" si="73"/>
        <v>1854.2927643864309</v>
      </c>
      <c r="AJ613" s="6">
        <v>0</v>
      </c>
      <c r="AK613" s="5">
        <v>0</v>
      </c>
      <c r="AL613" s="6">
        <v>0</v>
      </c>
      <c r="AM613" s="5">
        <v>0</v>
      </c>
      <c r="AN613" s="6">
        <v>0</v>
      </c>
      <c r="AO613" s="5">
        <v>0</v>
      </c>
      <c r="AP613" s="6">
        <v>0</v>
      </c>
      <c r="AQ613" s="5">
        <v>0</v>
      </c>
      <c r="AR613" s="6">
        <v>0</v>
      </c>
      <c r="AS613" s="5">
        <v>0</v>
      </c>
      <c r="AT613" s="6">
        <v>300</v>
      </c>
      <c r="AU613" s="5">
        <v>719.24050251580809</v>
      </c>
      <c r="AV613" s="6">
        <v>0</v>
      </c>
      <c r="AW613" s="5">
        <v>0</v>
      </c>
      <c r="AX613" s="6">
        <v>0</v>
      </c>
      <c r="AY613" s="5">
        <v>0</v>
      </c>
      <c r="AZ613" s="6">
        <v>0</v>
      </c>
      <c r="BA613" s="5">
        <v>0</v>
      </c>
      <c r="BB613" s="6">
        <v>0</v>
      </c>
      <c r="BC613" s="5">
        <v>0</v>
      </c>
      <c r="BD613" s="6">
        <v>360</v>
      </c>
      <c r="BE613" s="5">
        <v>863.08860301896959</v>
      </c>
      <c r="BF613" s="6">
        <v>360</v>
      </c>
      <c r="BG613" s="5">
        <v>863.08860301896959</v>
      </c>
      <c r="BH613" s="9">
        <f t="shared" si="74"/>
        <v>1020</v>
      </c>
      <c r="BI613" s="10">
        <f t="shared" si="75"/>
        <v>2445.4177085537472</v>
      </c>
      <c r="BJ613" s="6">
        <f t="shared" si="76"/>
        <v>213.78575461459513</v>
      </c>
      <c r="BK613" s="11">
        <f t="shared" si="77"/>
        <v>0.26517238542764326</v>
      </c>
      <c r="BL613" s="5">
        <f t="shared" si="78"/>
        <v>591.12494416731624</v>
      </c>
      <c r="BM613" s="11">
        <f t="shared" si="79"/>
        <v>0.31878727864362577</v>
      </c>
    </row>
    <row r="614" spans="1:65" ht="15" customHeight="1" x14ac:dyDescent="0.4">
      <c r="A614" s="2" t="s">
        <v>553</v>
      </c>
      <c r="B614" s="2" t="s">
        <v>66</v>
      </c>
      <c r="C614" s="2" t="s">
        <v>554</v>
      </c>
      <c r="D614" s="3" t="s">
        <v>68</v>
      </c>
      <c r="E614" s="3" t="s">
        <v>565</v>
      </c>
      <c r="F614" s="2" t="s">
        <v>566</v>
      </c>
      <c r="G614" s="4">
        <v>1</v>
      </c>
      <c r="H614" s="5">
        <v>8.1300000000000008</v>
      </c>
      <c r="I614" s="5">
        <v>8.4745293992080004</v>
      </c>
      <c r="J614" s="6">
        <v>59.354140451592791</v>
      </c>
      <c r="K614" s="5">
        <v>482.54916187144943</v>
      </c>
      <c r="L614" s="6">
        <v>0</v>
      </c>
      <c r="M614" s="5">
        <v>0</v>
      </c>
      <c r="N614" s="6">
        <v>0</v>
      </c>
      <c r="O614" s="5">
        <v>0</v>
      </c>
      <c r="P614" s="6">
        <v>0</v>
      </c>
      <c r="Q614" s="5">
        <v>0</v>
      </c>
      <c r="R614" s="6">
        <v>0</v>
      </c>
      <c r="S614" s="5">
        <v>0</v>
      </c>
      <c r="T614" s="6">
        <v>0</v>
      </c>
      <c r="U614" s="5">
        <v>0</v>
      </c>
      <c r="V614" s="6">
        <v>0</v>
      </c>
      <c r="W614" s="5">
        <v>0</v>
      </c>
      <c r="X614" s="6">
        <v>0</v>
      </c>
      <c r="Y614" s="5">
        <v>0</v>
      </c>
      <c r="Z614" s="6">
        <v>0</v>
      </c>
      <c r="AA614" s="5">
        <v>0</v>
      </c>
      <c r="AB614" s="6">
        <v>0</v>
      </c>
      <c r="AC614" s="5">
        <v>0</v>
      </c>
      <c r="AD614" s="6">
        <v>0</v>
      </c>
      <c r="AE614" s="5">
        <v>0</v>
      </c>
      <c r="AF614" s="6">
        <v>0</v>
      </c>
      <c r="AG614" s="5">
        <v>0</v>
      </c>
      <c r="AH614" s="7">
        <f t="shared" si="72"/>
        <v>59.354140451592791</v>
      </c>
      <c r="AI614" s="8">
        <f t="shared" si="73"/>
        <v>482.54916187144943</v>
      </c>
      <c r="AJ614" s="6">
        <v>75</v>
      </c>
      <c r="AK614" s="5">
        <v>635.58970494059997</v>
      </c>
      <c r="AL614" s="6">
        <v>0</v>
      </c>
      <c r="AM614" s="5">
        <v>0</v>
      </c>
      <c r="AN614" s="6">
        <v>0</v>
      </c>
      <c r="AO614" s="5">
        <v>0</v>
      </c>
      <c r="AP614" s="6">
        <v>0</v>
      </c>
      <c r="AQ614" s="5">
        <v>0</v>
      </c>
      <c r="AR614" s="6">
        <v>0</v>
      </c>
      <c r="AS614" s="5">
        <v>0</v>
      </c>
      <c r="AT614" s="6">
        <v>0</v>
      </c>
      <c r="AU614" s="5">
        <v>0</v>
      </c>
      <c r="AV614" s="6">
        <v>0</v>
      </c>
      <c r="AW614" s="5">
        <v>0</v>
      </c>
      <c r="AX614" s="6">
        <v>0</v>
      </c>
      <c r="AY614" s="5">
        <v>0</v>
      </c>
      <c r="AZ614" s="6">
        <v>0</v>
      </c>
      <c r="BA614" s="5">
        <v>0</v>
      </c>
      <c r="BB614" s="6">
        <v>0</v>
      </c>
      <c r="BC614" s="5">
        <v>0</v>
      </c>
      <c r="BD614" s="6">
        <v>0</v>
      </c>
      <c r="BE614" s="5">
        <v>0</v>
      </c>
      <c r="BF614" s="6">
        <v>0</v>
      </c>
      <c r="BG614" s="5">
        <v>0</v>
      </c>
      <c r="BH614" s="9">
        <f t="shared" si="74"/>
        <v>75</v>
      </c>
      <c r="BI614" s="10">
        <f t="shared" si="75"/>
        <v>635.58970494059997</v>
      </c>
      <c r="BJ614" s="6">
        <f t="shared" si="76"/>
        <v>15.645859548407209</v>
      </c>
      <c r="BK614" s="11">
        <f t="shared" si="77"/>
        <v>0.26360182169881541</v>
      </c>
      <c r="BL614" s="5">
        <f t="shared" si="78"/>
        <v>153.04054306915054</v>
      </c>
      <c r="BM614" s="11">
        <f t="shared" si="79"/>
        <v>0.31715015828774845</v>
      </c>
    </row>
    <row r="615" spans="1:65" ht="15" customHeight="1" x14ac:dyDescent="0.4">
      <c r="A615" s="2" t="s">
        <v>553</v>
      </c>
      <c r="B615" s="2" t="s">
        <v>66</v>
      </c>
      <c r="C615" s="2" t="s">
        <v>554</v>
      </c>
      <c r="D615" s="3" t="s">
        <v>68</v>
      </c>
      <c r="E615" s="3" t="s">
        <v>565</v>
      </c>
      <c r="F615" s="2" t="s">
        <v>567</v>
      </c>
      <c r="G615" s="4">
        <v>1</v>
      </c>
      <c r="H615" s="5">
        <v>7.879999999999999</v>
      </c>
      <c r="I615" s="5">
        <v>8.213935014238503</v>
      </c>
      <c r="J615" s="6">
        <v>0</v>
      </c>
      <c r="K615" s="5">
        <v>0</v>
      </c>
      <c r="L615" s="6">
        <v>0</v>
      </c>
      <c r="M615" s="5">
        <v>0</v>
      </c>
      <c r="N615" s="6">
        <v>0</v>
      </c>
      <c r="O615" s="5">
        <v>0</v>
      </c>
      <c r="P615" s="6">
        <v>0</v>
      </c>
      <c r="Q615" s="5">
        <v>0</v>
      </c>
      <c r="R615" s="6">
        <v>0</v>
      </c>
      <c r="S615" s="5">
        <v>0</v>
      </c>
      <c r="T615" s="6">
        <v>0</v>
      </c>
      <c r="U615" s="5">
        <v>0</v>
      </c>
      <c r="V615" s="6">
        <v>47.483312361274237</v>
      </c>
      <c r="W615" s="5">
        <v>374.16850140684102</v>
      </c>
      <c r="X615" s="6">
        <v>0</v>
      </c>
      <c r="Y615" s="5">
        <v>0</v>
      </c>
      <c r="Z615" s="6">
        <v>0</v>
      </c>
      <c r="AA615" s="5">
        <v>0</v>
      </c>
      <c r="AB615" s="6">
        <v>0</v>
      </c>
      <c r="AC615" s="5">
        <v>0</v>
      </c>
      <c r="AD615" s="6">
        <v>0</v>
      </c>
      <c r="AE615" s="5">
        <v>0</v>
      </c>
      <c r="AF615" s="6">
        <v>0</v>
      </c>
      <c r="AG615" s="5">
        <v>0</v>
      </c>
      <c r="AH615" s="7">
        <f t="shared" si="72"/>
        <v>47.483312361274237</v>
      </c>
      <c r="AI615" s="8">
        <f t="shared" si="73"/>
        <v>374.16850140684102</v>
      </c>
      <c r="AJ615" s="6">
        <v>0</v>
      </c>
      <c r="AK615" s="5">
        <v>0</v>
      </c>
      <c r="AL615" s="6">
        <v>0</v>
      </c>
      <c r="AM615" s="5">
        <v>0</v>
      </c>
      <c r="AN615" s="6">
        <v>0</v>
      </c>
      <c r="AO615" s="5">
        <v>0</v>
      </c>
      <c r="AP615" s="6">
        <v>0</v>
      </c>
      <c r="AQ615" s="5">
        <v>0</v>
      </c>
      <c r="AR615" s="6">
        <v>0</v>
      </c>
      <c r="AS615" s="5">
        <v>0</v>
      </c>
      <c r="AT615" s="6">
        <v>0</v>
      </c>
      <c r="AU615" s="5">
        <v>0</v>
      </c>
      <c r="AV615" s="6">
        <v>60</v>
      </c>
      <c r="AW615" s="5">
        <v>492.83610085431008</v>
      </c>
      <c r="AX615" s="6">
        <v>0</v>
      </c>
      <c r="AY615" s="5">
        <v>0</v>
      </c>
      <c r="AZ615" s="6">
        <v>0</v>
      </c>
      <c r="BA615" s="5">
        <v>0</v>
      </c>
      <c r="BB615" s="6">
        <v>0</v>
      </c>
      <c r="BC615" s="5">
        <v>0</v>
      </c>
      <c r="BD615" s="6">
        <v>0</v>
      </c>
      <c r="BE615" s="5">
        <v>0</v>
      </c>
      <c r="BF615" s="6">
        <v>0</v>
      </c>
      <c r="BG615" s="5">
        <v>0</v>
      </c>
      <c r="BH615" s="9">
        <f t="shared" si="74"/>
        <v>60</v>
      </c>
      <c r="BI615" s="10">
        <f t="shared" si="75"/>
        <v>492.83610085431008</v>
      </c>
      <c r="BJ615" s="6">
        <f t="shared" si="76"/>
        <v>12.516687638725763</v>
      </c>
      <c r="BK615" s="11">
        <f t="shared" si="77"/>
        <v>0.2636018216988153</v>
      </c>
      <c r="BL615" s="5">
        <f t="shared" si="78"/>
        <v>118.66759944746906</v>
      </c>
      <c r="BM615" s="11">
        <f t="shared" si="79"/>
        <v>0.3171501582877479</v>
      </c>
    </row>
    <row r="616" spans="1:65" ht="15" customHeight="1" x14ac:dyDescent="0.4">
      <c r="A616" s="2" t="s">
        <v>553</v>
      </c>
      <c r="B616" s="2" t="s">
        <v>66</v>
      </c>
      <c r="C616" s="2" t="s">
        <v>554</v>
      </c>
      <c r="D616" s="3" t="s">
        <v>68</v>
      </c>
      <c r="E616" s="3" t="s">
        <v>182</v>
      </c>
      <c r="F616" s="2" t="s">
        <v>568</v>
      </c>
      <c r="G616" s="4">
        <v>5</v>
      </c>
      <c r="H616" s="5">
        <v>6.6466666666666674</v>
      </c>
      <c r="I616" s="5">
        <v>6.9283360483889922</v>
      </c>
      <c r="J616" s="6">
        <v>138.49299438704989</v>
      </c>
      <c r="K616" s="5">
        <v>932.05785222484553</v>
      </c>
      <c r="L616" s="6">
        <v>98.92356741932133</v>
      </c>
      <c r="M616" s="5">
        <v>645.97089524816829</v>
      </c>
      <c r="N616" s="6">
        <v>0</v>
      </c>
      <c r="O616" s="5">
        <v>0</v>
      </c>
      <c r="P616" s="6">
        <v>0</v>
      </c>
      <c r="Q616" s="5">
        <v>0</v>
      </c>
      <c r="R616" s="6">
        <v>0</v>
      </c>
      <c r="S616" s="5">
        <v>0</v>
      </c>
      <c r="T616" s="6">
        <v>0</v>
      </c>
      <c r="U616" s="5">
        <v>0</v>
      </c>
      <c r="V616" s="6">
        <v>0</v>
      </c>
      <c r="W616" s="5">
        <v>0</v>
      </c>
      <c r="X616" s="6">
        <v>0</v>
      </c>
      <c r="Y616" s="5">
        <v>0</v>
      </c>
      <c r="Z616" s="6">
        <v>0</v>
      </c>
      <c r="AA616" s="5">
        <v>0</v>
      </c>
      <c r="AB616" s="6">
        <v>0</v>
      </c>
      <c r="AC616" s="5">
        <v>0</v>
      </c>
      <c r="AD616" s="6">
        <v>0</v>
      </c>
      <c r="AE616" s="5">
        <v>0</v>
      </c>
      <c r="AF616" s="6">
        <v>0</v>
      </c>
      <c r="AG616" s="5">
        <v>0</v>
      </c>
      <c r="AH616" s="7">
        <f t="shared" si="72"/>
        <v>237.41656180637122</v>
      </c>
      <c r="AI616" s="8">
        <f t="shared" si="73"/>
        <v>1578.0287474730139</v>
      </c>
      <c r="AJ616" s="6">
        <v>175</v>
      </c>
      <c r="AK616" s="5">
        <v>1227.6601475912939</v>
      </c>
      <c r="AL616" s="6">
        <v>125</v>
      </c>
      <c r="AM616" s="5">
        <v>850.84066692540341</v>
      </c>
      <c r="AN616" s="6">
        <v>0</v>
      </c>
      <c r="AO616" s="5">
        <v>0</v>
      </c>
      <c r="AP616" s="6">
        <v>0</v>
      </c>
      <c r="AQ616" s="5">
        <v>0</v>
      </c>
      <c r="AR616" s="6">
        <v>0</v>
      </c>
      <c r="AS616" s="5">
        <v>0</v>
      </c>
      <c r="AT616" s="6">
        <v>0</v>
      </c>
      <c r="AU616" s="5">
        <v>0</v>
      </c>
      <c r="AV616" s="6">
        <v>0</v>
      </c>
      <c r="AW616" s="5">
        <v>0</v>
      </c>
      <c r="AX616" s="6">
        <v>0</v>
      </c>
      <c r="AY616" s="5">
        <v>0</v>
      </c>
      <c r="AZ616" s="6">
        <v>0</v>
      </c>
      <c r="BA616" s="5">
        <v>0</v>
      </c>
      <c r="BB616" s="6">
        <v>0</v>
      </c>
      <c r="BC616" s="5">
        <v>0</v>
      </c>
      <c r="BD616" s="6">
        <v>0</v>
      </c>
      <c r="BE616" s="5">
        <v>0</v>
      </c>
      <c r="BF616" s="6">
        <v>0</v>
      </c>
      <c r="BG616" s="5">
        <v>0</v>
      </c>
      <c r="BH616" s="9">
        <f t="shared" si="74"/>
        <v>300</v>
      </c>
      <c r="BI616" s="10">
        <f t="shared" si="75"/>
        <v>2078.5008145166976</v>
      </c>
      <c r="BJ616" s="6">
        <f t="shared" si="76"/>
        <v>62.58343819362878</v>
      </c>
      <c r="BK616" s="11">
        <f t="shared" si="77"/>
        <v>0.26360182169881508</v>
      </c>
      <c r="BL616" s="5">
        <f t="shared" si="78"/>
        <v>500.47206704368364</v>
      </c>
      <c r="BM616" s="11">
        <f t="shared" si="79"/>
        <v>0.31715015828774834</v>
      </c>
    </row>
    <row r="617" spans="1:65" ht="15" customHeight="1" x14ac:dyDescent="0.4">
      <c r="A617" s="2" t="s">
        <v>553</v>
      </c>
      <c r="B617" s="2" t="s">
        <v>66</v>
      </c>
      <c r="C617" s="2" t="s">
        <v>554</v>
      </c>
      <c r="D617" s="3" t="s">
        <v>68</v>
      </c>
      <c r="E617" s="3" t="s">
        <v>182</v>
      </c>
      <c r="F617" s="2" t="s">
        <v>183</v>
      </c>
      <c r="G617" s="4">
        <v>5</v>
      </c>
      <c r="H617" s="5">
        <v>6.2592818329537669</v>
      </c>
      <c r="I617" s="5">
        <v>6.5245741436279134</v>
      </c>
      <c r="J617" s="6">
        <v>0</v>
      </c>
      <c r="K617" s="5">
        <v>0</v>
      </c>
      <c r="L617" s="6">
        <v>0</v>
      </c>
      <c r="M617" s="5">
        <v>0</v>
      </c>
      <c r="N617" s="6">
        <v>0</v>
      </c>
      <c r="O617" s="5">
        <v>0</v>
      </c>
      <c r="P617" s="6">
        <v>98.92356741932133</v>
      </c>
      <c r="Q617" s="5">
        <v>645.97089524816829</v>
      </c>
      <c r="R617" s="6">
        <v>0</v>
      </c>
      <c r="S617" s="5">
        <v>0</v>
      </c>
      <c r="T617" s="6">
        <v>19.78471348386427</v>
      </c>
      <c r="U617" s="5">
        <v>0</v>
      </c>
      <c r="V617" s="6">
        <v>316.55541574182831</v>
      </c>
      <c r="W617" s="5">
        <v>2067.1068647941379</v>
      </c>
      <c r="X617" s="6">
        <v>0</v>
      </c>
      <c r="Y617" s="5">
        <v>0</v>
      </c>
      <c r="Z617" s="6">
        <v>0</v>
      </c>
      <c r="AA617" s="5">
        <v>0</v>
      </c>
      <c r="AB617" s="6">
        <v>0</v>
      </c>
      <c r="AC617" s="5">
        <v>0</v>
      </c>
      <c r="AD617" s="6">
        <v>0</v>
      </c>
      <c r="AE617" s="5">
        <v>0</v>
      </c>
      <c r="AF617" s="6">
        <v>94.799613929838927</v>
      </c>
      <c r="AG617" s="5">
        <v>604.73789015419914</v>
      </c>
      <c r="AH617" s="7">
        <f t="shared" si="72"/>
        <v>530.06331057485284</v>
      </c>
      <c r="AI617" s="8">
        <f t="shared" si="73"/>
        <v>3317.8156501965054</v>
      </c>
      <c r="AJ617" s="6">
        <v>0</v>
      </c>
      <c r="AK617" s="5">
        <v>0</v>
      </c>
      <c r="AL617" s="6">
        <v>0</v>
      </c>
      <c r="AM617" s="5">
        <v>0</v>
      </c>
      <c r="AN617" s="6">
        <v>0</v>
      </c>
      <c r="AO617" s="5">
        <v>0</v>
      </c>
      <c r="AP617" s="6">
        <v>125</v>
      </c>
      <c r="AQ617" s="5">
        <v>850.84066692540341</v>
      </c>
      <c r="AR617" s="6">
        <v>0</v>
      </c>
      <c r="AS617" s="5">
        <v>0</v>
      </c>
      <c r="AT617" s="6">
        <v>25</v>
      </c>
      <c r="AU617" s="5">
        <v>0</v>
      </c>
      <c r="AV617" s="6">
        <v>400</v>
      </c>
      <c r="AW617" s="5">
        <v>2722.6901341612911</v>
      </c>
      <c r="AX617" s="6">
        <v>0</v>
      </c>
      <c r="AY617" s="5">
        <v>0</v>
      </c>
      <c r="AZ617" s="6">
        <v>0</v>
      </c>
      <c r="BA617" s="5">
        <v>0</v>
      </c>
      <c r="BB617" s="6">
        <v>0</v>
      </c>
      <c r="BC617" s="5">
        <v>0</v>
      </c>
      <c r="BD617" s="6">
        <v>0</v>
      </c>
      <c r="BE617" s="5">
        <v>0</v>
      </c>
      <c r="BF617" s="6">
        <v>120</v>
      </c>
      <c r="BG617" s="5">
        <v>797.93387514400831</v>
      </c>
      <c r="BH617" s="9">
        <f t="shared" si="74"/>
        <v>670</v>
      </c>
      <c r="BI617" s="10">
        <f t="shared" si="75"/>
        <v>4371.4646762307029</v>
      </c>
      <c r="BJ617" s="6">
        <f t="shared" si="76"/>
        <v>139.93668942514716</v>
      </c>
      <c r="BK617" s="11">
        <f t="shared" si="77"/>
        <v>0.26399995365343443</v>
      </c>
      <c r="BL617" s="5">
        <f t="shared" si="78"/>
        <v>1053.6490260341975</v>
      </c>
      <c r="BM617" s="11">
        <f t="shared" si="79"/>
        <v>0.31757310746659256</v>
      </c>
    </row>
    <row r="618" spans="1:65" ht="15" customHeight="1" x14ac:dyDescent="0.4">
      <c r="A618" s="2" t="s">
        <v>553</v>
      </c>
      <c r="B618" s="2" t="s">
        <v>66</v>
      </c>
      <c r="C618" s="2" t="s">
        <v>554</v>
      </c>
      <c r="D618" s="3" t="s">
        <v>68</v>
      </c>
      <c r="E618" s="3" t="s">
        <v>247</v>
      </c>
      <c r="F618" s="2" t="s">
        <v>248</v>
      </c>
      <c r="G618" s="4">
        <v>5</v>
      </c>
      <c r="H618" s="5">
        <v>2.92</v>
      </c>
      <c r="I618" s="5">
        <v>3.0437424164437088</v>
      </c>
      <c r="J618" s="6">
        <v>0</v>
      </c>
      <c r="K618" s="5">
        <v>0</v>
      </c>
      <c r="L618" s="6">
        <v>0</v>
      </c>
      <c r="M618" s="5">
        <v>0</v>
      </c>
      <c r="N618" s="6">
        <v>593.54140451592798</v>
      </c>
      <c r="O618" s="5">
        <v>1733.1409011865101</v>
      </c>
      <c r="P618" s="6">
        <v>0</v>
      </c>
      <c r="Q618" s="5">
        <v>0</v>
      </c>
      <c r="R618" s="6">
        <v>0</v>
      </c>
      <c r="S618" s="5">
        <v>0</v>
      </c>
      <c r="T618" s="6">
        <v>0</v>
      </c>
      <c r="U618" s="5">
        <v>0</v>
      </c>
      <c r="V618" s="6">
        <v>1384.9299438704991</v>
      </c>
      <c r="W618" s="5">
        <v>4043.9954361018549</v>
      </c>
      <c r="X618" s="6">
        <v>0</v>
      </c>
      <c r="Y618" s="5">
        <v>0</v>
      </c>
      <c r="Z618" s="6">
        <v>0</v>
      </c>
      <c r="AA618" s="5">
        <v>0</v>
      </c>
      <c r="AB618" s="6">
        <v>0</v>
      </c>
      <c r="AC618" s="5">
        <v>0</v>
      </c>
      <c r="AD618" s="6">
        <v>0</v>
      </c>
      <c r="AE618" s="5">
        <v>0</v>
      </c>
      <c r="AF618" s="6">
        <v>0</v>
      </c>
      <c r="AG618" s="5">
        <v>0</v>
      </c>
      <c r="AH618" s="7">
        <f t="shared" si="72"/>
        <v>1978.4713483864271</v>
      </c>
      <c r="AI618" s="8">
        <f t="shared" si="73"/>
        <v>5777.1363372883652</v>
      </c>
      <c r="AJ618" s="6">
        <v>0</v>
      </c>
      <c r="AK618" s="5">
        <v>0</v>
      </c>
      <c r="AL618" s="6">
        <v>0</v>
      </c>
      <c r="AM618" s="5">
        <v>0</v>
      </c>
      <c r="AN618" s="6">
        <v>670</v>
      </c>
      <c r="AO618" s="5">
        <v>2039.3074190172849</v>
      </c>
      <c r="AP618" s="6">
        <v>0</v>
      </c>
      <c r="AQ618" s="5">
        <v>0</v>
      </c>
      <c r="AR618" s="6">
        <v>0</v>
      </c>
      <c r="AS618" s="5">
        <v>0</v>
      </c>
      <c r="AT618" s="6">
        <v>0</v>
      </c>
      <c r="AU618" s="5">
        <v>0</v>
      </c>
      <c r="AV618" s="6">
        <v>1565</v>
      </c>
      <c r="AW618" s="5">
        <v>4763.4568817344043</v>
      </c>
      <c r="AX618" s="6">
        <v>0</v>
      </c>
      <c r="AY618" s="5">
        <v>0</v>
      </c>
      <c r="AZ618" s="6">
        <v>0</v>
      </c>
      <c r="BA618" s="5">
        <v>0</v>
      </c>
      <c r="BB618" s="6">
        <v>0</v>
      </c>
      <c r="BC618" s="5">
        <v>0</v>
      </c>
      <c r="BD618" s="6">
        <v>0</v>
      </c>
      <c r="BE618" s="5">
        <v>0</v>
      </c>
      <c r="BF618" s="6">
        <v>0</v>
      </c>
      <c r="BG618" s="5">
        <v>0</v>
      </c>
      <c r="BH618" s="9">
        <f t="shared" si="74"/>
        <v>2235</v>
      </c>
      <c r="BI618" s="10">
        <f t="shared" si="75"/>
        <v>6802.764300751689</v>
      </c>
      <c r="BJ618" s="6">
        <f t="shared" si="76"/>
        <v>256.52865161357295</v>
      </c>
      <c r="BK618" s="11">
        <f t="shared" si="77"/>
        <v>0.12966002859874057</v>
      </c>
      <c r="BL618" s="5">
        <f t="shared" si="78"/>
        <v>1025.6279634633238</v>
      </c>
      <c r="BM618" s="11">
        <f t="shared" si="79"/>
        <v>0.17753224150924685</v>
      </c>
    </row>
    <row r="619" spans="1:65" ht="15" customHeight="1" x14ac:dyDescent="0.4">
      <c r="A619" s="2" t="s">
        <v>553</v>
      </c>
      <c r="B619" s="2" t="s">
        <v>66</v>
      </c>
      <c r="C619" s="2" t="s">
        <v>554</v>
      </c>
      <c r="D619" s="3" t="s">
        <v>68</v>
      </c>
      <c r="E619" s="3" t="s">
        <v>336</v>
      </c>
      <c r="F619" s="2" t="s">
        <v>337</v>
      </c>
      <c r="G619" s="4">
        <v>5</v>
      </c>
      <c r="H619" s="5">
        <v>3.1085074626865681</v>
      </c>
      <c r="I619" s="5">
        <v>3.2400923081390931</v>
      </c>
      <c r="J619" s="6">
        <v>237.41656180637119</v>
      </c>
      <c r="K619" s="5">
        <v>750.23633530813288</v>
      </c>
      <c r="L619" s="6">
        <v>197.84713483864269</v>
      </c>
      <c r="M619" s="5">
        <v>607.39070395463295</v>
      </c>
      <c r="N619" s="6">
        <v>98.92356741932133</v>
      </c>
      <c r="O619" s="5">
        <v>303.69535197731648</v>
      </c>
      <c r="P619" s="6">
        <v>0</v>
      </c>
      <c r="Q619" s="5">
        <v>0</v>
      </c>
      <c r="R619" s="6">
        <v>0</v>
      </c>
      <c r="S619" s="5">
        <v>0</v>
      </c>
      <c r="T619" s="6">
        <v>197.84713483864269</v>
      </c>
      <c r="U619" s="5">
        <v>607.39070395463295</v>
      </c>
      <c r="V619" s="6">
        <v>0</v>
      </c>
      <c r="W619" s="5">
        <v>0</v>
      </c>
      <c r="X619" s="6">
        <v>593.54140451592798</v>
      </c>
      <c r="Y619" s="5">
        <v>1851.849182089695</v>
      </c>
      <c r="Z619" s="6">
        <v>0</v>
      </c>
      <c r="AA619" s="5">
        <v>0</v>
      </c>
      <c r="AB619" s="6">
        <v>0</v>
      </c>
      <c r="AC619" s="5">
        <v>0</v>
      </c>
      <c r="AD619" s="6">
        <v>0</v>
      </c>
      <c r="AE619" s="5">
        <v>0</v>
      </c>
      <c r="AF619" s="6">
        <v>0</v>
      </c>
      <c r="AG619" s="5">
        <v>0</v>
      </c>
      <c r="AH619" s="7">
        <f t="shared" si="72"/>
        <v>1325.5758034189057</v>
      </c>
      <c r="AI619" s="8">
        <f t="shared" si="73"/>
        <v>4120.5622772844099</v>
      </c>
      <c r="AJ619" s="6">
        <v>260</v>
      </c>
      <c r="AK619" s="5">
        <v>856.41738676375064</v>
      </c>
      <c r="AL619" s="6">
        <v>220</v>
      </c>
      <c r="AM619" s="5">
        <v>704.02179043358956</v>
      </c>
      <c r="AN619" s="6">
        <v>110</v>
      </c>
      <c r="AO619" s="5">
        <v>352.01089521679478</v>
      </c>
      <c r="AP619" s="6">
        <v>0</v>
      </c>
      <c r="AQ619" s="5">
        <v>0</v>
      </c>
      <c r="AR619" s="6">
        <v>0</v>
      </c>
      <c r="AS619" s="5">
        <v>0</v>
      </c>
      <c r="AT619" s="6">
        <v>220</v>
      </c>
      <c r="AU619" s="5">
        <v>704.02179043358956</v>
      </c>
      <c r="AV619" s="6">
        <v>0</v>
      </c>
      <c r="AW619" s="5">
        <v>0</v>
      </c>
      <c r="AX619" s="6">
        <v>660</v>
      </c>
      <c r="AY619" s="5">
        <v>2146.463830116742</v>
      </c>
      <c r="AZ619" s="6">
        <v>0</v>
      </c>
      <c r="BA619" s="5">
        <v>0</v>
      </c>
      <c r="BB619" s="6">
        <v>0</v>
      </c>
      <c r="BC619" s="5">
        <v>0</v>
      </c>
      <c r="BD619" s="6">
        <v>0</v>
      </c>
      <c r="BE619" s="5">
        <v>0</v>
      </c>
      <c r="BF619" s="6">
        <v>0</v>
      </c>
      <c r="BG619" s="5">
        <v>0</v>
      </c>
      <c r="BH619" s="9">
        <f t="shared" si="74"/>
        <v>1470</v>
      </c>
      <c r="BI619" s="10">
        <f t="shared" si="75"/>
        <v>4762.9356929644664</v>
      </c>
      <c r="BJ619" s="6">
        <f t="shared" si="76"/>
        <v>144.42419658109429</v>
      </c>
      <c r="BK619" s="11">
        <f t="shared" si="77"/>
        <v>0.10895204650582602</v>
      </c>
      <c r="BL619" s="5">
        <f t="shared" si="78"/>
        <v>642.3734156800565</v>
      </c>
      <c r="BM619" s="11">
        <f t="shared" si="79"/>
        <v>0.15589460186569545</v>
      </c>
    </row>
    <row r="620" spans="1:65" ht="15" customHeight="1" x14ac:dyDescent="0.4">
      <c r="A620" s="2" t="s">
        <v>553</v>
      </c>
      <c r="B620" s="2" t="s">
        <v>66</v>
      </c>
      <c r="C620" s="2" t="s">
        <v>554</v>
      </c>
      <c r="D620" s="3" t="s">
        <v>68</v>
      </c>
      <c r="E620" s="3" t="s">
        <v>569</v>
      </c>
      <c r="F620" s="2" t="s">
        <v>570</v>
      </c>
      <c r="G620" s="4">
        <v>1</v>
      </c>
      <c r="H620" s="5">
        <v>5.45</v>
      </c>
      <c r="I620" s="5">
        <v>5.6809575923350053</v>
      </c>
      <c r="J620" s="6">
        <v>59.354140451592791</v>
      </c>
      <c r="K620" s="5">
        <v>323.48006546118069</v>
      </c>
      <c r="L620" s="6">
        <v>0</v>
      </c>
      <c r="M620" s="5">
        <v>0</v>
      </c>
      <c r="N620" s="6">
        <v>0</v>
      </c>
      <c r="O620" s="5">
        <v>0</v>
      </c>
      <c r="P620" s="6">
        <v>0</v>
      </c>
      <c r="Q620" s="5">
        <v>0</v>
      </c>
      <c r="R620" s="6">
        <v>0</v>
      </c>
      <c r="S620" s="5">
        <v>0</v>
      </c>
      <c r="T620" s="6">
        <v>0</v>
      </c>
      <c r="U620" s="5">
        <v>0</v>
      </c>
      <c r="V620" s="6">
        <v>0</v>
      </c>
      <c r="W620" s="5">
        <v>0</v>
      </c>
      <c r="X620" s="6">
        <v>0</v>
      </c>
      <c r="Y620" s="5">
        <v>0</v>
      </c>
      <c r="Z620" s="6">
        <v>0</v>
      </c>
      <c r="AA620" s="5">
        <v>0</v>
      </c>
      <c r="AB620" s="6">
        <v>0</v>
      </c>
      <c r="AC620" s="5">
        <v>0</v>
      </c>
      <c r="AD620" s="6">
        <v>0</v>
      </c>
      <c r="AE620" s="5">
        <v>0</v>
      </c>
      <c r="AF620" s="6">
        <v>0</v>
      </c>
      <c r="AG620" s="5">
        <v>0</v>
      </c>
      <c r="AH620" s="7">
        <f t="shared" si="72"/>
        <v>59.354140451592791</v>
      </c>
      <c r="AI620" s="8">
        <f t="shared" si="73"/>
        <v>323.48006546118069</v>
      </c>
      <c r="AJ620" s="6">
        <v>64</v>
      </c>
      <c r="AK620" s="5">
        <v>363.58128590944028</v>
      </c>
      <c r="AL620" s="6">
        <v>0</v>
      </c>
      <c r="AM620" s="5">
        <v>0</v>
      </c>
      <c r="AN620" s="6">
        <v>0</v>
      </c>
      <c r="AO620" s="5">
        <v>0</v>
      </c>
      <c r="AP620" s="6">
        <v>0</v>
      </c>
      <c r="AQ620" s="5">
        <v>0</v>
      </c>
      <c r="AR620" s="6">
        <v>0</v>
      </c>
      <c r="AS620" s="5">
        <v>0</v>
      </c>
      <c r="AT620" s="6">
        <v>0</v>
      </c>
      <c r="AU620" s="5">
        <v>0</v>
      </c>
      <c r="AV620" s="6">
        <v>0</v>
      </c>
      <c r="AW620" s="5">
        <v>0</v>
      </c>
      <c r="AX620" s="6">
        <v>0</v>
      </c>
      <c r="AY620" s="5">
        <v>0</v>
      </c>
      <c r="AZ620" s="6">
        <v>0</v>
      </c>
      <c r="BA620" s="5">
        <v>0</v>
      </c>
      <c r="BB620" s="6">
        <v>0</v>
      </c>
      <c r="BC620" s="5">
        <v>0</v>
      </c>
      <c r="BD620" s="6">
        <v>0</v>
      </c>
      <c r="BE620" s="5">
        <v>0</v>
      </c>
      <c r="BF620" s="6">
        <v>0</v>
      </c>
      <c r="BG620" s="5">
        <v>0</v>
      </c>
      <c r="BH620" s="9">
        <f t="shared" si="74"/>
        <v>64</v>
      </c>
      <c r="BI620" s="10">
        <f t="shared" si="75"/>
        <v>363.58128590944028</v>
      </c>
      <c r="BJ620" s="6">
        <f t="shared" si="76"/>
        <v>4.6458595484072092</v>
      </c>
      <c r="BK620" s="11">
        <f t="shared" si="77"/>
        <v>7.8273554516322466E-2</v>
      </c>
      <c r="BL620" s="5">
        <f t="shared" si="78"/>
        <v>40.101220448259596</v>
      </c>
      <c r="BM620" s="11">
        <f t="shared" si="79"/>
        <v>0.12396813507221191</v>
      </c>
    </row>
    <row r="621" spans="1:65" ht="15" customHeight="1" x14ac:dyDescent="0.4">
      <c r="A621" s="2" t="s">
        <v>553</v>
      </c>
      <c r="B621" s="2" t="s">
        <v>66</v>
      </c>
      <c r="C621" s="2" t="s">
        <v>554</v>
      </c>
      <c r="D621" s="3" t="s">
        <v>68</v>
      </c>
      <c r="E621" s="3" t="s">
        <v>184</v>
      </c>
      <c r="F621" s="2" t="s">
        <v>185</v>
      </c>
      <c r="G621" s="4">
        <v>5</v>
      </c>
      <c r="H621" s="5">
        <v>3.9375</v>
      </c>
      <c r="I621" s="5">
        <v>4.1041246592832206</v>
      </c>
      <c r="J621" s="6">
        <v>138.49299438704989</v>
      </c>
      <c r="K621" s="5">
        <v>538.737748165624</v>
      </c>
      <c r="L621" s="6">
        <v>0</v>
      </c>
      <c r="M621" s="5">
        <v>0</v>
      </c>
      <c r="N621" s="6">
        <v>197.84713483864269</v>
      </c>
      <c r="O621" s="5">
        <v>769.62535452231987</v>
      </c>
      <c r="P621" s="6">
        <v>0</v>
      </c>
      <c r="Q621" s="5">
        <v>0</v>
      </c>
      <c r="R621" s="6">
        <v>0</v>
      </c>
      <c r="S621" s="5">
        <v>0</v>
      </c>
      <c r="T621" s="6">
        <v>197.84713483864269</v>
      </c>
      <c r="U621" s="5">
        <v>769.62535452231987</v>
      </c>
      <c r="V621" s="6">
        <v>0</v>
      </c>
      <c r="W621" s="5">
        <v>0</v>
      </c>
      <c r="X621" s="6">
        <v>257.20127529023551</v>
      </c>
      <c r="Y621" s="5">
        <v>1038.1039164983581</v>
      </c>
      <c r="Z621" s="6">
        <v>94.799613929838927</v>
      </c>
      <c r="AA621" s="5">
        <v>373.27347984874081</v>
      </c>
      <c r="AB621" s="6">
        <v>0</v>
      </c>
      <c r="AC621" s="5">
        <v>0</v>
      </c>
      <c r="AD621" s="6">
        <v>94.799613929838927</v>
      </c>
      <c r="AE621" s="5">
        <v>373.27347984874081</v>
      </c>
      <c r="AF621" s="6">
        <v>0</v>
      </c>
      <c r="AG621" s="5">
        <v>0</v>
      </c>
      <c r="AH621" s="7">
        <f t="shared" si="72"/>
        <v>980.98776721424861</v>
      </c>
      <c r="AI621" s="8">
        <f t="shared" si="73"/>
        <v>3862.6393334061036</v>
      </c>
      <c r="AJ621" s="6">
        <v>150</v>
      </c>
      <c r="AK621" s="5">
        <v>608.22729451880298</v>
      </c>
      <c r="AL621" s="6">
        <v>0</v>
      </c>
      <c r="AM621" s="5">
        <v>0</v>
      </c>
      <c r="AN621" s="6">
        <v>210</v>
      </c>
      <c r="AO621" s="5">
        <v>851.51821232632392</v>
      </c>
      <c r="AP621" s="6">
        <v>0</v>
      </c>
      <c r="AQ621" s="5">
        <v>0</v>
      </c>
      <c r="AR621" s="6">
        <v>0</v>
      </c>
      <c r="AS621" s="5">
        <v>0</v>
      </c>
      <c r="AT621" s="6">
        <v>210</v>
      </c>
      <c r="AU621" s="5">
        <v>851.51821232632392</v>
      </c>
      <c r="AV621" s="6">
        <v>0</v>
      </c>
      <c r="AW621" s="5">
        <v>0</v>
      </c>
      <c r="AX621" s="6">
        <v>275</v>
      </c>
      <c r="AY621" s="5">
        <v>1156.674237125603</v>
      </c>
      <c r="AZ621" s="6">
        <v>100</v>
      </c>
      <c r="BA621" s="5">
        <v>410.43615632695571</v>
      </c>
      <c r="BB621" s="6">
        <v>0</v>
      </c>
      <c r="BC621" s="5">
        <v>0</v>
      </c>
      <c r="BD621" s="6">
        <v>100</v>
      </c>
      <c r="BE621" s="5">
        <v>410.43615632695571</v>
      </c>
      <c r="BF621" s="6">
        <v>0</v>
      </c>
      <c r="BG621" s="5">
        <v>0</v>
      </c>
      <c r="BH621" s="9">
        <f t="shared" si="74"/>
        <v>1045</v>
      </c>
      <c r="BI621" s="10">
        <f t="shared" si="75"/>
        <v>4288.8102689509651</v>
      </c>
      <c r="BJ621" s="6">
        <f t="shared" si="76"/>
        <v>64.012232785751394</v>
      </c>
      <c r="BK621" s="11">
        <f t="shared" si="77"/>
        <v>6.5252834872273249E-2</v>
      </c>
      <c r="BL621" s="5">
        <f t="shared" si="78"/>
        <v>426.17093554486155</v>
      </c>
      <c r="BM621" s="11">
        <f t="shared" si="79"/>
        <v>0.11033153726238813</v>
      </c>
    </row>
    <row r="622" spans="1:65" ht="15" customHeight="1" x14ac:dyDescent="0.4">
      <c r="A622" s="2" t="s">
        <v>553</v>
      </c>
      <c r="B622" s="2" t="s">
        <v>66</v>
      </c>
      <c r="C622" s="2" t="s">
        <v>554</v>
      </c>
      <c r="D622" s="3" t="s">
        <v>68</v>
      </c>
      <c r="E622" s="3" t="s">
        <v>77</v>
      </c>
      <c r="F622" s="2" t="s">
        <v>78</v>
      </c>
      <c r="G622" s="4">
        <v>20</v>
      </c>
      <c r="H622" s="5">
        <v>3.640000000000001</v>
      </c>
      <c r="I622" s="5">
        <v>3.794254245155857</v>
      </c>
      <c r="J622" s="6">
        <v>0</v>
      </c>
      <c r="K622" s="5">
        <v>0</v>
      </c>
      <c r="L622" s="6">
        <v>0</v>
      </c>
      <c r="M622" s="5">
        <v>0</v>
      </c>
      <c r="N622" s="6">
        <v>0</v>
      </c>
      <c r="O622" s="5">
        <v>0</v>
      </c>
      <c r="P622" s="6">
        <v>0</v>
      </c>
      <c r="Q622" s="5">
        <v>0</v>
      </c>
      <c r="R622" s="6">
        <v>0</v>
      </c>
      <c r="S622" s="5">
        <v>0</v>
      </c>
      <c r="T622" s="6">
        <v>0</v>
      </c>
      <c r="U622" s="5">
        <v>0</v>
      </c>
      <c r="V622" s="6">
        <v>0</v>
      </c>
      <c r="W622" s="5">
        <v>0</v>
      </c>
      <c r="X622" s="6">
        <v>1899.33249445097</v>
      </c>
      <c r="Y622" s="5">
        <v>6913.5702798015282</v>
      </c>
      <c r="Z622" s="6">
        <v>3033.5876457548461</v>
      </c>
      <c r="AA622" s="5">
        <v>11042.259030547641</v>
      </c>
      <c r="AB622" s="6">
        <v>1213.4350583019379</v>
      </c>
      <c r="AC622" s="5">
        <v>4416.9036122190564</v>
      </c>
      <c r="AD622" s="6">
        <v>1820.152587452907</v>
      </c>
      <c r="AE622" s="5">
        <v>6625.3554183285833</v>
      </c>
      <c r="AF622" s="6">
        <v>606.7175291509692</v>
      </c>
      <c r="AG622" s="5">
        <v>2208.4518061095282</v>
      </c>
      <c r="AH622" s="7">
        <f t="shared" si="72"/>
        <v>8573.2253151116292</v>
      </c>
      <c r="AI622" s="8">
        <f t="shared" si="73"/>
        <v>31206.540147006337</v>
      </c>
      <c r="AJ622" s="6">
        <v>0</v>
      </c>
      <c r="AK622" s="5">
        <v>0</v>
      </c>
      <c r="AL622" s="6">
        <v>0</v>
      </c>
      <c r="AM622" s="5">
        <v>0</v>
      </c>
      <c r="AN622" s="6">
        <v>0</v>
      </c>
      <c r="AO622" s="5">
        <v>0</v>
      </c>
      <c r="AP622" s="6">
        <v>0</v>
      </c>
      <c r="AQ622" s="5">
        <v>0</v>
      </c>
      <c r="AR622" s="6">
        <v>0</v>
      </c>
      <c r="AS622" s="5">
        <v>0</v>
      </c>
      <c r="AT622" s="6">
        <v>0</v>
      </c>
      <c r="AU622" s="5">
        <v>0</v>
      </c>
      <c r="AV622" s="6">
        <v>0</v>
      </c>
      <c r="AW622" s="5">
        <v>0</v>
      </c>
      <c r="AX622" s="6">
        <v>2040</v>
      </c>
      <c r="AY622" s="5">
        <v>7740.2786601179478</v>
      </c>
      <c r="AZ622" s="6">
        <v>3300</v>
      </c>
      <c r="BA622" s="5">
        <v>12521.03900901433</v>
      </c>
      <c r="BB622" s="6">
        <v>1320</v>
      </c>
      <c r="BC622" s="5">
        <v>5008.4156036057311</v>
      </c>
      <c r="BD622" s="6">
        <v>1980</v>
      </c>
      <c r="BE622" s="5">
        <v>7512.6234054085962</v>
      </c>
      <c r="BF622" s="6">
        <v>660</v>
      </c>
      <c r="BG622" s="5">
        <v>2504.207801802866</v>
      </c>
      <c r="BH622" s="9">
        <f t="shared" si="74"/>
        <v>9300</v>
      </c>
      <c r="BI622" s="10">
        <f t="shared" si="75"/>
        <v>35286.564479949477</v>
      </c>
      <c r="BJ622" s="6">
        <f t="shared" si="76"/>
        <v>726.77468488837076</v>
      </c>
      <c r="BK622" s="11">
        <f t="shared" si="77"/>
        <v>8.4772609860995773E-2</v>
      </c>
      <c r="BL622" s="5">
        <f t="shared" si="78"/>
        <v>4080.0243329431396</v>
      </c>
      <c r="BM622" s="11">
        <f t="shared" si="79"/>
        <v>0.13074260439392346</v>
      </c>
    </row>
    <row r="623" spans="1:65" ht="15" customHeight="1" x14ac:dyDescent="0.4">
      <c r="A623" s="2" t="s">
        <v>553</v>
      </c>
      <c r="B623" s="2" t="s">
        <v>66</v>
      </c>
      <c r="C623" s="2" t="s">
        <v>554</v>
      </c>
      <c r="D623" s="3" t="s">
        <v>68</v>
      </c>
      <c r="E623" s="3" t="s">
        <v>128</v>
      </c>
      <c r="F623" s="2" t="s">
        <v>129</v>
      </c>
      <c r="G623" s="4">
        <v>5</v>
      </c>
      <c r="H623" s="5">
        <v>3.61</v>
      </c>
      <c r="I623" s="5">
        <v>3.762982918959517</v>
      </c>
      <c r="J623" s="6">
        <v>197.84713483864269</v>
      </c>
      <c r="K623" s="5">
        <v>714.22815676749997</v>
      </c>
      <c r="L623" s="6">
        <v>0</v>
      </c>
      <c r="M623" s="5">
        <v>0</v>
      </c>
      <c r="N623" s="6">
        <v>197.84713483864269</v>
      </c>
      <c r="O623" s="5">
        <v>714.22815676749997</v>
      </c>
      <c r="P623" s="6">
        <v>98.92356741932133</v>
      </c>
      <c r="Q623" s="5">
        <v>357.11407838374998</v>
      </c>
      <c r="R623" s="6">
        <v>0</v>
      </c>
      <c r="S623" s="5">
        <v>0</v>
      </c>
      <c r="T623" s="6">
        <v>0</v>
      </c>
      <c r="U623" s="5">
        <v>0</v>
      </c>
      <c r="V623" s="6">
        <v>0</v>
      </c>
      <c r="W623" s="5">
        <v>0</v>
      </c>
      <c r="X623" s="6">
        <v>296.77070225796399</v>
      </c>
      <c r="Y623" s="5">
        <v>1071.34223515125</v>
      </c>
      <c r="Z623" s="6">
        <v>0</v>
      </c>
      <c r="AA623" s="5">
        <v>0</v>
      </c>
      <c r="AB623" s="6">
        <v>94.799613929838927</v>
      </c>
      <c r="AC623" s="5">
        <v>342.22660628671849</v>
      </c>
      <c r="AD623" s="6">
        <v>0</v>
      </c>
      <c r="AE623" s="5">
        <v>0</v>
      </c>
      <c r="AF623" s="6">
        <v>94.799613929838927</v>
      </c>
      <c r="AG623" s="5">
        <v>342.22660628671849</v>
      </c>
      <c r="AH623" s="7">
        <f t="shared" si="72"/>
        <v>980.98776721424838</v>
      </c>
      <c r="AI623" s="8">
        <f t="shared" si="73"/>
        <v>3541.3658396434366</v>
      </c>
      <c r="AJ623" s="6">
        <v>220</v>
      </c>
      <c r="AK623" s="5">
        <v>827.85624217109387</v>
      </c>
      <c r="AL623" s="6">
        <v>0</v>
      </c>
      <c r="AM623" s="5">
        <v>0</v>
      </c>
      <c r="AN623" s="6">
        <v>220</v>
      </c>
      <c r="AO623" s="5">
        <v>827.85624217109387</v>
      </c>
      <c r="AP623" s="6">
        <v>110</v>
      </c>
      <c r="AQ623" s="5">
        <v>413.92812108554688</v>
      </c>
      <c r="AR623" s="6">
        <v>0</v>
      </c>
      <c r="AS623" s="5">
        <v>0</v>
      </c>
      <c r="AT623" s="6">
        <v>0</v>
      </c>
      <c r="AU623" s="5">
        <v>0</v>
      </c>
      <c r="AV623" s="6">
        <v>0</v>
      </c>
      <c r="AW623" s="5">
        <v>0</v>
      </c>
      <c r="AX623" s="6">
        <v>330</v>
      </c>
      <c r="AY623" s="5">
        <v>1241.784363256641</v>
      </c>
      <c r="AZ623" s="6">
        <v>0</v>
      </c>
      <c r="BA623" s="5">
        <v>0</v>
      </c>
      <c r="BB623" s="6">
        <v>105</v>
      </c>
      <c r="BC623" s="5">
        <v>395.11320649074929</v>
      </c>
      <c r="BD623" s="6">
        <v>0</v>
      </c>
      <c r="BE623" s="5">
        <v>0</v>
      </c>
      <c r="BF623" s="6">
        <v>105</v>
      </c>
      <c r="BG623" s="5">
        <v>395.11320649074929</v>
      </c>
      <c r="BH623" s="9">
        <f t="shared" si="74"/>
        <v>1090</v>
      </c>
      <c r="BI623" s="10">
        <f t="shared" si="75"/>
        <v>4101.6513816658744</v>
      </c>
      <c r="BJ623" s="6">
        <f t="shared" si="76"/>
        <v>109.01223278575162</v>
      </c>
      <c r="BK623" s="11">
        <f t="shared" si="77"/>
        <v>0.11112496651749101</v>
      </c>
      <c r="BL623" s="5">
        <f t="shared" si="78"/>
        <v>560.28554202243777</v>
      </c>
      <c r="BM623" s="11">
        <f t="shared" si="79"/>
        <v>0.15821170909550827</v>
      </c>
    </row>
    <row r="624" spans="1:65" ht="15" customHeight="1" x14ac:dyDescent="0.4">
      <c r="A624" s="2" t="s">
        <v>553</v>
      </c>
      <c r="B624" s="2" t="s">
        <v>66</v>
      </c>
      <c r="C624" s="2" t="s">
        <v>554</v>
      </c>
      <c r="D624" s="3" t="s">
        <v>68</v>
      </c>
      <c r="E624" s="3" t="s">
        <v>94</v>
      </c>
      <c r="F624" s="2" t="s">
        <v>130</v>
      </c>
      <c r="G624" s="4">
        <v>20</v>
      </c>
      <c r="H624" s="5">
        <v>2.04</v>
      </c>
      <c r="I624" s="5">
        <v>2.1264501813510841</v>
      </c>
      <c r="J624" s="6">
        <v>633.11083148365651</v>
      </c>
      <c r="K624" s="5">
        <v>1291.5460962266591</v>
      </c>
      <c r="L624" s="6">
        <v>0</v>
      </c>
      <c r="M624" s="5">
        <v>0</v>
      </c>
      <c r="N624" s="6">
        <v>0</v>
      </c>
      <c r="O624" s="5">
        <v>0</v>
      </c>
      <c r="P624" s="6">
        <v>0</v>
      </c>
      <c r="Q624" s="5">
        <v>0</v>
      </c>
      <c r="R624" s="6">
        <v>0</v>
      </c>
      <c r="S624" s="5">
        <v>0</v>
      </c>
      <c r="T624" s="6">
        <v>0</v>
      </c>
      <c r="U624" s="5">
        <v>0</v>
      </c>
      <c r="V624" s="6">
        <v>0</v>
      </c>
      <c r="W624" s="5">
        <v>0</v>
      </c>
      <c r="X624" s="6">
        <v>0</v>
      </c>
      <c r="Y624" s="5">
        <v>0</v>
      </c>
      <c r="Z624" s="6">
        <v>0</v>
      </c>
      <c r="AA624" s="5">
        <v>0</v>
      </c>
      <c r="AB624" s="6">
        <v>0</v>
      </c>
      <c r="AC624" s="5">
        <v>0</v>
      </c>
      <c r="AD624" s="6">
        <v>0</v>
      </c>
      <c r="AE624" s="5">
        <v>0</v>
      </c>
      <c r="AF624" s="6">
        <v>0</v>
      </c>
      <c r="AG624" s="5">
        <v>0</v>
      </c>
      <c r="AH624" s="7">
        <f t="shared" si="72"/>
        <v>633.11083148365651</v>
      </c>
      <c r="AI624" s="8">
        <f t="shared" si="73"/>
        <v>1291.5460962266591</v>
      </c>
      <c r="AJ624" s="6">
        <v>680</v>
      </c>
      <c r="AK624" s="5">
        <v>1445.9861233187371</v>
      </c>
      <c r="AL624" s="6">
        <v>0</v>
      </c>
      <c r="AM624" s="5">
        <v>0</v>
      </c>
      <c r="AN624" s="6">
        <v>0</v>
      </c>
      <c r="AO624" s="5">
        <v>0</v>
      </c>
      <c r="AP624" s="6">
        <v>0</v>
      </c>
      <c r="AQ624" s="5">
        <v>0</v>
      </c>
      <c r="AR624" s="6">
        <v>0</v>
      </c>
      <c r="AS624" s="5">
        <v>0</v>
      </c>
      <c r="AT624" s="6">
        <v>0</v>
      </c>
      <c r="AU624" s="5">
        <v>0</v>
      </c>
      <c r="AV624" s="6">
        <v>0</v>
      </c>
      <c r="AW624" s="5">
        <v>0</v>
      </c>
      <c r="AX624" s="6">
        <v>0</v>
      </c>
      <c r="AY624" s="5">
        <v>0</v>
      </c>
      <c r="AZ624" s="6">
        <v>0</v>
      </c>
      <c r="BA624" s="5">
        <v>0</v>
      </c>
      <c r="BB624" s="6">
        <v>0</v>
      </c>
      <c r="BC624" s="5">
        <v>0</v>
      </c>
      <c r="BD624" s="6">
        <v>0</v>
      </c>
      <c r="BE624" s="5">
        <v>0</v>
      </c>
      <c r="BF624" s="6">
        <v>0</v>
      </c>
      <c r="BG624" s="5">
        <v>0</v>
      </c>
      <c r="BH624" s="9">
        <f t="shared" si="74"/>
        <v>680</v>
      </c>
      <c r="BI624" s="10">
        <f t="shared" si="75"/>
        <v>1445.9861233187371</v>
      </c>
      <c r="BJ624" s="6">
        <f t="shared" si="76"/>
        <v>46.889168516343489</v>
      </c>
      <c r="BK624" s="11">
        <f t="shared" si="77"/>
        <v>7.4061548443992958E-2</v>
      </c>
      <c r="BL624" s="5">
        <f t="shared" si="78"/>
        <v>154.44002709207803</v>
      </c>
      <c r="BM624" s="11">
        <f t="shared" si="79"/>
        <v>0.11957763454458591</v>
      </c>
    </row>
    <row r="625" spans="1:65" ht="15" customHeight="1" x14ac:dyDescent="0.4">
      <c r="A625" s="2" t="s">
        <v>553</v>
      </c>
      <c r="B625" s="2" t="s">
        <v>66</v>
      </c>
      <c r="C625" s="2" t="s">
        <v>554</v>
      </c>
      <c r="D625" s="3" t="s">
        <v>68</v>
      </c>
      <c r="E625" s="3" t="s">
        <v>94</v>
      </c>
      <c r="F625" s="2" t="s">
        <v>95</v>
      </c>
      <c r="G625" s="4">
        <v>20</v>
      </c>
      <c r="H625" s="5">
        <v>2.04</v>
      </c>
      <c r="I625" s="5">
        <v>2.126450181351085</v>
      </c>
      <c r="J625" s="6">
        <v>0</v>
      </c>
      <c r="K625" s="5">
        <v>0</v>
      </c>
      <c r="L625" s="6">
        <v>0</v>
      </c>
      <c r="M625" s="5">
        <v>0</v>
      </c>
      <c r="N625" s="6">
        <v>0</v>
      </c>
      <c r="O625" s="5">
        <v>0</v>
      </c>
      <c r="P625" s="6">
        <v>0</v>
      </c>
      <c r="Q625" s="5">
        <v>0</v>
      </c>
      <c r="R625" s="6">
        <v>0</v>
      </c>
      <c r="S625" s="5">
        <v>0</v>
      </c>
      <c r="T625" s="6">
        <v>0</v>
      </c>
      <c r="U625" s="5">
        <v>0</v>
      </c>
      <c r="V625" s="6">
        <v>0</v>
      </c>
      <c r="W625" s="5">
        <v>0</v>
      </c>
      <c r="X625" s="6">
        <v>0</v>
      </c>
      <c r="Y625" s="5">
        <v>0</v>
      </c>
      <c r="Z625" s="6">
        <v>606.7175291509692</v>
      </c>
      <c r="AA625" s="5">
        <v>1237.7037594679771</v>
      </c>
      <c r="AB625" s="6">
        <v>0</v>
      </c>
      <c r="AC625" s="5">
        <v>0</v>
      </c>
      <c r="AD625" s="6">
        <v>0</v>
      </c>
      <c r="AE625" s="5">
        <v>0</v>
      </c>
      <c r="AF625" s="6">
        <v>0</v>
      </c>
      <c r="AG625" s="5">
        <v>0</v>
      </c>
      <c r="AH625" s="7">
        <f t="shared" si="72"/>
        <v>606.7175291509692</v>
      </c>
      <c r="AI625" s="8">
        <f t="shared" si="73"/>
        <v>1237.7037594679771</v>
      </c>
      <c r="AJ625" s="6">
        <v>0</v>
      </c>
      <c r="AK625" s="5">
        <v>0</v>
      </c>
      <c r="AL625" s="6">
        <v>0</v>
      </c>
      <c r="AM625" s="5">
        <v>0</v>
      </c>
      <c r="AN625" s="6">
        <v>0</v>
      </c>
      <c r="AO625" s="5">
        <v>0</v>
      </c>
      <c r="AP625" s="6">
        <v>0</v>
      </c>
      <c r="AQ625" s="5">
        <v>0</v>
      </c>
      <c r="AR625" s="6">
        <v>0</v>
      </c>
      <c r="AS625" s="5">
        <v>0</v>
      </c>
      <c r="AT625" s="6">
        <v>0</v>
      </c>
      <c r="AU625" s="5">
        <v>0</v>
      </c>
      <c r="AV625" s="6">
        <v>0</v>
      </c>
      <c r="AW625" s="5">
        <v>0</v>
      </c>
      <c r="AX625" s="6">
        <v>0</v>
      </c>
      <c r="AY625" s="5">
        <v>0</v>
      </c>
      <c r="AZ625" s="6">
        <v>660</v>
      </c>
      <c r="BA625" s="5">
        <v>1403.4571196917159</v>
      </c>
      <c r="BB625" s="6">
        <v>0</v>
      </c>
      <c r="BC625" s="5">
        <v>0</v>
      </c>
      <c r="BD625" s="6">
        <v>0</v>
      </c>
      <c r="BE625" s="5">
        <v>0</v>
      </c>
      <c r="BF625" s="6">
        <v>0</v>
      </c>
      <c r="BG625" s="5">
        <v>0</v>
      </c>
      <c r="BH625" s="9">
        <f t="shared" si="74"/>
        <v>660</v>
      </c>
      <c r="BI625" s="10">
        <f t="shared" si="75"/>
        <v>1403.4571196917159</v>
      </c>
      <c r="BJ625" s="6">
        <f t="shared" si="76"/>
        <v>53.282470849030801</v>
      </c>
      <c r="BK625" s="11">
        <f t="shared" si="77"/>
        <v>8.7820885814183472E-2</v>
      </c>
      <c r="BL625" s="5">
        <f t="shared" si="78"/>
        <v>165.75336022373881</v>
      </c>
      <c r="BM625" s="11">
        <f t="shared" si="79"/>
        <v>0.13392005878287658</v>
      </c>
    </row>
    <row r="626" spans="1:65" ht="15" customHeight="1" x14ac:dyDescent="0.4">
      <c r="A626" s="2" t="s">
        <v>553</v>
      </c>
      <c r="B626" s="2" t="s">
        <v>66</v>
      </c>
      <c r="C626" s="2" t="s">
        <v>554</v>
      </c>
      <c r="D626" s="3" t="s">
        <v>68</v>
      </c>
      <c r="E626" s="3" t="s">
        <v>571</v>
      </c>
      <c r="F626" s="2" t="s">
        <v>572</v>
      </c>
      <c r="G626" s="4">
        <v>1</v>
      </c>
      <c r="H626" s="5">
        <v>12.285113938718069</v>
      </c>
      <c r="I626" s="5">
        <v>12.809163438145131</v>
      </c>
      <c r="J626" s="6">
        <v>0</v>
      </c>
      <c r="K626" s="5">
        <v>0</v>
      </c>
      <c r="L626" s="6">
        <v>0</v>
      </c>
      <c r="M626" s="5">
        <v>0</v>
      </c>
      <c r="N626" s="6">
        <v>118.7082809031856</v>
      </c>
      <c r="O626" s="5">
        <v>1519.465995560776</v>
      </c>
      <c r="P626" s="6">
        <v>178.06242135477839</v>
      </c>
      <c r="Q626" s="5">
        <v>2279.1989933411628</v>
      </c>
      <c r="R626" s="6">
        <v>273.02904607732683</v>
      </c>
      <c r="S626" s="5">
        <v>3621.1961089516772</v>
      </c>
      <c r="T626" s="6">
        <v>0</v>
      </c>
      <c r="U626" s="5">
        <v>0</v>
      </c>
      <c r="V626" s="6">
        <v>783.47465396102496</v>
      </c>
      <c r="W626" s="5">
        <v>9218.0937064020382</v>
      </c>
      <c r="X626" s="6">
        <v>0</v>
      </c>
      <c r="Y626" s="5">
        <v>0</v>
      </c>
      <c r="Z626" s="6">
        <v>0</v>
      </c>
      <c r="AA626" s="5">
        <v>0</v>
      </c>
      <c r="AB626" s="6">
        <v>0</v>
      </c>
      <c r="AC626" s="5">
        <v>0</v>
      </c>
      <c r="AD626" s="6">
        <v>0</v>
      </c>
      <c r="AE626" s="5">
        <v>0</v>
      </c>
      <c r="AF626" s="6">
        <v>102.383583044226</v>
      </c>
      <c r="AG626" s="5">
        <v>1244.9694014576951</v>
      </c>
      <c r="AH626" s="7">
        <f t="shared" si="72"/>
        <v>1455.6579853405417</v>
      </c>
      <c r="AI626" s="8">
        <f t="shared" si="73"/>
        <v>17882.924205713352</v>
      </c>
      <c r="AJ626" s="6">
        <v>0</v>
      </c>
      <c r="AK626" s="5">
        <v>0</v>
      </c>
      <c r="AL626" s="6">
        <v>0</v>
      </c>
      <c r="AM626" s="5">
        <v>0</v>
      </c>
      <c r="AN626" s="6">
        <v>143</v>
      </c>
      <c r="AO626" s="5">
        <v>1907.96784899266</v>
      </c>
      <c r="AP626" s="6">
        <v>215</v>
      </c>
      <c r="AQ626" s="5">
        <v>2868.6229897442081</v>
      </c>
      <c r="AR626" s="6">
        <v>330</v>
      </c>
      <c r="AS626" s="5">
        <v>4562.2825486142156</v>
      </c>
      <c r="AT626" s="6">
        <v>0</v>
      </c>
      <c r="AU626" s="5">
        <v>0</v>
      </c>
      <c r="AV626" s="6">
        <v>946</v>
      </c>
      <c r="AW626" s="5">
        <v>11607.916284081221</v>
      </c>
      <c r="AX626" s="6">
        <v>0</v>
      </c>
      <c r="AY626" s="5">
        <v>0</v>
      </c>
      <c r="AZ626" s="6">
        <v>0</v>
      </c>
      <c r="BA626" s="5">
        <v>0</v>
      </c>
      <c r="BB626" s="6">
        <v>0</v>
      </c>
      <c r="BC626" s="5">
        <v>0</v>
      </c>
      <c r="BD626" s="6">
        <v>0</v>
      </c>
      <c r="BE626" s="5">
        <v>0</v>
      </c>
      <c r="BF626" s="6">
        <v>124</v>
      </c>
      <c r="BG626" s="5">
        <v>1571.719652826848</v>
      </c>
      <c r="BH626" s="9">
        <f t="shared" si="74"/>
        <v>1758</v>
      </c>
      <c r="BI626" s="10">
        <f t="shared" si="75"/>
        <v>22518.50932425915</v>
      </c>
      <c r="BJ626" s="6">
        <f t="shared" si="76"/>
        <v>302.3420146594583</v>
      </c>
      <c r="BK626" s="11">
        <f t="shared" si="77"/>
        <v>0.20770127166150731</v>
      </c>
      <c r="BL626" s="5">
        <f t="shared" si="78"/>
        <v>4635.5851185457977</v>
      </c>
      <c r="BM626" s="11">
        <f t="shared" si="79"/>
        <v>0.25921851847164856</v>
      </c>
    </row>
    <row r="627" spans="1:65" ht="15" customHeight="1" x14ac:dyDescent="0.4">
      <c r="A627" s="2" t="s">
        <v>553</v>
      </c>
      <c r="B627" s="2" t="s">
        <v>66</v>
      </c>
      <c r="C627" s="2" t="s">
        <v>554</v>
      </c>
      <c r="D627" s="3" t="s">
        <v>68</v>
      </c>
      <c r="E627" s="3" t="s">
        <v>140</v>
      </c>
      <c r="F627" s="2" t="s">
        <v>141</v>
      </c>
      <c r="G627" s="4">
        <v>5</v>
      </c>
      <c r="H627" s="5">
        <v>10.22533030517457</v>
      </c>
      <c r="I627" s="5">
        <v>10.65908532333118</v>
      </c>
      <c r="J627" s="6">
        <v>197.84713483864269</v>
      </c>
      <c r="K627" s="5">
        <v>2310.854534915346</v>
      </c>
      <c r="L627" s="6">
        <v>197.84713483864269</v>
      </c>
      <c r="M627" s="5">
        <v>1990.342176476745</v>
      </c>
      <c r="N627" s="6">
        <v>197.84713483864269</v>
      </c>
      <c r="O627" s="5">
        <v>1990.342176476745</v>
      </c>
      <c r="P627" s="6">
        <v>593.54140451592798</v>
      </c>
      <c r="Q627" s="5">
        <v>5971.0265294302353</v>
      </c>
      <c r="R627" s="6">
        <v>59.354140451592791</v>
      </c>
      <c r="S627" s="5">
        <v>597.10265294302349</v>
      </c>
      <c r="T627" s="6">
        <v>197.84713483864269</v>
      </c>
      <c r="U627" s="5">
        <v>1990.342176476745</v>
      </c>
      <c r="V627" s="6">
        <v>395.69426967728532</v>
      </c>
      <c r="W627" s="5">
        <v>3980.6843529534899</v>
      </c>
      <c r="X627" s="6">
        <v>0</v>
      </c>
      <c r="Y627" s="5">
        <v>0</v>
      </c>
      <c r="Z627" s="6">
        <v>94.799613929838927</v>
      </c>
      <c r="AA627" s="5">
        <v>966.09573010417705</v>
      </c>
      <c r="AB627" s="6">
        <v>94.799613929838927</v>
      </c>
      <c r="AC627" s="5">
        <v>966.09573010417705</v>
      </c>
      <c r="AD627" s="6">
        <v>94.799613929838927</v>
      </c>
      <c r="AE627" s="5">
        <v>966.09573010417705</v>
      </c>
      <c r="AF627" s="6">
        <v>189.59922785967791</v>
      </c>
      <c r="AG627" s="5">
        <v>1932.1914602083541</v>
      </c>
      <c r="AH627" s="7">
        <f t="shared" si="72"/>
        <v>2313.9764236485712</v>
      </c>
      <c r="AI627" s="8">
        <f t="shared" si="73"/>
        <v>23661.173250193217</v>
      </c>
      <c r="AJ627" s="6">
        <v>240</v>
      </c>
      <c r="AK627" s="5">
        <v>2921.9927197859602</v>
      </c>
      <c r="AL627" s="6">
        <v>240</v>
      </c>
      <c r="AM627" s="5">
        <v>2516.7163322814008</v>
      </c>
      <c r="AN627" s="6">
        <v>240</v>
      </c>
      <c r="AO627" s="5">
        <v>2516.7163322814008</v>
      </c>
      <c r="AP627" s="6">
        <v>715</v>
      </c>
      <c r="AQ627" s="5">
        <v>7497.7174065883419</v>
      </c>
      <c r="AR627" s="6">
        <v>70</v>
      </c>
      <c r="AS627" s="5">
        <v>734.04226358207541</v>
      </c>
      <c r="AT627" s="6">
        <v>240</v>
      </c>
      <c r="AU627" s="5">
        <v>2516.7163322814008</v>
      </c>
      <c r="AV627" s="6">
        <v>480</v>
      </c>
      <c r="AW627" s="5">
        <v>5033.4326645628034</v>
      </c>
      <c r="AX627" s="6">
        <v>0</v>
      </c>
      <c r="AY627" s="5">
        <v>0</v>
      </c>
      <c r="AZ627" s="6">
        <v>115</v>
      </c>
      <c r="BA627" s="5">
        <v>1221.6209707927819</v>
      </c>
      <c r="BB627" s="6">
        <v>115</v>
      </c>
      <c r="BC627" s="5">
        <v>1221.6209707927819</v>
      </c>
      <c r="BD627" s="6">
        <v>115</v>
      </c>
      <c r="BE627" s="5">
        <v>1221.6209707927819</v>
      </c>
      <c r="BF627" s="6">
        <v>230</v>
      </c>
      <c r="BG627" s="5">
        <v>2443.2419415855652</v>
      </c>
      <c r="BH627" s="9">
        <f t="shared" si="74"/>
        <v>2800</v>
      </c>
      <c r="BI627" s="10">
        <f t="shared" si="75"/>
        <v>29845.438905327293</v>
      </c>
      <c r="BJ627" s="6">
        <f t="shared" si="76"/>
        <v>486.0235763514288</v>
      </c>
      <c r="BK627" s="11">
        <f t="shared" si="77"/>
        <v>0.21003825768677853</v>
      </c>
      <c r="BL627" s="5">
        <f t="shared" si="78"/>
        <v>6184.265655134077</v>
      </c>
      <c r="BM627" s="11">
        <f t="shared" si="79"/>
        <v>0.26136766717954596</v>
      </c>
    </row>
    <row r="628" spans="1:65" ht="15" customHeight="1" x14ac:dyDescent="0.4">
      <c r="A628" s="2" t="s">
        <v>553</v>
      </c>
      <c r="B628" s="2" t="s">
        <v>66</v>
      </c>
      <c r="C628" s="2" t="s">
        <v>573</v>
      </c>
      <c r="D628" s="3" t="s">
        <v>68</v>
      </c>
      <c r="E628" s="3" t="s">
        <v>102</v>
      </c>
      <c r="F628" s="2" t="s">
        <v>103</v>
      </c>
      <c r="G628" s="4">
        <v>5</v>
      </c>
      <c r="H628" s="5">
        <v>5.875</v>
      </c>
      <c r="I628" s="5">
        <v>6.1239680467831477</v>
      </c>
      <c r="J628" s="6">
        <v>0</v>
      </c>
      <c r="K628" s="5">
        <v>0</v>
      </c>
      <c r="L628" s="6">
        <v>0</v>
      </c>
      <c r="M628" s="5">
        <v>0</v>
      </c>
      <c r="N628" s="6">
        <v>0</v>
      </c>
      <c r="O628" s="5">
        <v>0</v>
      </c>
      <c r="P628" s="6">
        <v>0</v>
      </c>
      <c r="Q628" s="5">
        <v>0</v>
      </c>
      <c r="R628" s="6">
        <v>0</v>
      </c>
      <c r="S628" s="5">
        <v>0</v>
      </c>
      <c r="T628" s="6">
        <v>0</v>
      </c>
      <c r="U628" s="5">
        <v>0</v>
      </c>
      <c r="V628" s="6">
        <v>197.84713483864269</v>
      </c>
      <c r="W628" s="5">
        <v>1133.664082625422</v>
      </c>
      <c r="X628" s="6">
        <v>197.84713483864269</v>
      </c>
      <c r="Y628" s="5">
        <v>1191.039751728629</v>
      </c>
      <c r="Z628" s="6">
        <v>0</v>
      </c>
      <c r="AA628" s="5">
        <v>0</v>
      </c>
      <c r="AB628" s="6">
        <v>0</v>
      </c>
      <c r="AC628" s="5">
        <v>0</v>
      </c>
      <c r="AD628" s="6">
        <v>0</v>
      </c>
      <c r="AE628" s="5">
        <v>0</v>
      </c>
      <c r="AF628" s="6">
        <v>189.59922785967791</v>
      </c>
      <c r="AG628" s="5">
        <v>1113.895463675608</v>
      </c>
      <c r="AH628" s="7">
        <f t="shared" si="72"/>
        <v>585.29349753696329</v>
      </c>
      <c r="AI628" s="8">
        <f t="shared" si="73"/>
        <v>3438.5992980296587</v>
      </c>
      <c r="AJ628" s="6">
        <v>0</v>
      </c>
      <c r="AK628" s="5">
        <v>0</v>
      </c>
      <c r="AL628" s="6">
        <v>0</v>
      </c>
      <c r="AM628" s="5">
        <v>0</v>
      </c>
      <c r="AN628" s="6">
        <v>0</v>
      </c>
      <c r="AO628" s="5">
        <v>0</v>
      </c>
      <c r="AP628" s="6">
        <v>0</v>
      </c>
      <c r="AQ628" s="5">
        <v>0</v>
      </c>
      <c r="AR628" s="6">
        <v>0</v>
      </c>
      <c r="AS628" s="5">
        <v>0</v>
      </c>
      <c r="AT628" s="6">
        <v>0</v>
      </c>
      <c r="AU628" s="5">
        <v>0</v>
      </c>
      <c r="AV628" s="6">
        <v>250</v>
      </c>
      <c r="AW628" s="5">
        <v>1493.2058258752099</v>
      </c>
      <c r="AX628" s="6">
        <v>250</v>
      </c>
      <c r="AY628" s="5">
        <v>1568.7781975163639</v>
      </c>
      <c r="AZ628" s="6">
        <v>0</v>
      </c>
      <c r="BA628" s="5">
        <v>0</v>
      </c>
      <c r="BB628" s="6">
        <v>0</v>
      </c>
      <c r="BC628" s="5">
        <v>0</v>
      </c>
      <c r="BD628" s="6">
        <v>0</v>
      </c>
      <c r="BE628" s="5">
        <v>0</v>
      </c>
      <c r="BF628" s="6">
        <v>240</v>
      </c>
      <c r="BG628" s="5">
        <v>1469.752331227955</v>
      </c>
      <c r="BH628" s="9">
        <f t="shared" si="74"/>
        <v>740</v>
      </c>
      <c r="BI628" s="10">
        <f t="shared" si="75"/>
        <v>4531.7363546195284</v>
      </c>
      <c r="BJ628" s="6">
        <f t="shared" si="76"/>
        <v>154.70650246303671</v>
      </c>
      <c r="BK628" s="11">
        <f t="shared" si="77"/>
        <v>0.26432294757087482</v>
      </c>
      <c r="BL628" s="5">
        <f t="shared" si="78"/>
        <v>1093.1370565898696</v>
      </c>
      <c r="BM628" s="11">
        <f t="shared" si="79"/>
        <v>0.31790184370020802</v>
      </c>
    </row>
    <row r="629" spans="1:65" ht="15" customHeight="1" x14ac:dyDescent="0.4">
      <c r="A629" s="2" t="s">
        <v>553</v>
      </c>
      <c r="B629" s="2" t="s">
        <v>66</v>
      </c>
      <c r="C629" s="2" t="s">
        <v>573</v>
      </c>
      <c r="D629" s="3" t="s">
        <v>68</v>
      </c>
      <c r="E629" s="3" t="s">
        <v>82</v>
      </c>
      <c r="F629" s="2" t="s">
        <v>83</v>
      </c>
      <c r="G629" s="4">
        <v>20</v>
      </c>
      <c r="H629" s="5">
        <v>3.31</v>
      </c>
      <c r="I629" s="5">
        <v>3.450269656996122</v>
      </c>
      <c r="J629" s="6">
        <v>1266.221662967313</v>
      </c>
      <c r="K629" s="5">
        <v>4191.1937044218057</v>
      </c>
      <c r="L629" s="6">
        <v>0</v>
      </c>
      <c r="M629" s="5">
        <v>0</v>
      </c>
      <c r="N629" s="6">
        <v>2532.443325934626</v>
      </c>
      <c r="O629" s="5">
        <v>8382.3874088436114</v>
      </c>
      <c r="P629" s="6">
        <v>3798.6649889019391</v>
      </c>
      <c r="Q629" s="5">
        <v>12573.58111326542</v>
      </c>
      <c r="R629" s="6">
        <v>0</v>
      </c>
      <c r="S629" s="5">
        <v>0</v>
      </c>
      <c r="T629" s="6">
        <v>0</v>
      </c>
      <c r="U629" s="5">
        <v>0</v>
      </c>
      <c r="V629" s="6">
        <v>2532.443325934626</v>
      </c>
      <c r="W629" s="5">
        <v>8382.3874088436114</v>
      </c>
      <c r="X629" s="6">
        <v>0</v>
      </c>
      <c r="Y629" s="5">
        <v>0</v>
      </c>
      <c r="Z629" s="6">
        <v>3033.5876457548461</v>
      </c>
      <c r="AA629" s="5">
        <v>10041.17510744854</v>
      </c>
      <c r="AB629" s="6">
        <v>4853.7402332077536</v>
      </c>
      <c r="AC629" s="5">
        <v>16065.880171917661</v>
      </c>
      <c r="AD629" s="6">
        <v>3640.305174905815</v>
      </c>
      <c r="AE629" s="5">
        <v>12049.410128938251</v>
      </c>
      <c r="AF629" s="6">
        <v>6673.8928206606606</v>
      </c>
      <c r="AG629" s="5">
        <v>22090.585236386789</v>
      </c>
      <c r="AH629" s="7">
        <f t="shared" si="72"/>
        <v>28331.299178267578</v>
      </c>
      <c r="AI629" s="8">
        <f t="shared" si="73"/>
        <v>93776.600280065686</v>
      </c>
      <c r="AJ629" s="6">
        <v>1400</v>
      </c>
      <c r="AK629" s="5">
        <v>4830.3775197945706</v>
      </c>
      <c r="AL629" s="6">
        <v>0</v>
      </c>
      <c r="AM629" s="5">
        <v>0</v>
      </c>
      <c r="AN629" s="6">
        <v>2800</v>
      </c>
      <c r="AO629" s="5">
        <v>9660.7550395891412</v>
      </c>
      <c r="AP629" s="6">
        <v>4180</v>
      </c>
      <c r="AQ629" s="5">
        <v>14422.12716624379</v>
      </c>
      <c r="AR629" s="6">
        <v>0</v>
      </c>
      <c r="AS629" s="5">
        <v>0</v>
      </c>
      <c r="AT629" s="6">
        <v>0</v>
      </c>
      <c r="AU629" s="5">
        <v>0</v>
      </c>
      <c r="AV629" s="6">
        <v>2800</v>
      </c>
      <c r="AW629" s="5">
        <v>9660.7550395891412</v>
      </c>
      <c r="AX629" s="6">
        <v>0</v>
      </c>
      <c r="AY629" s="5">
        <v>0</v>
      </c>
      <c r="AZ629" s="6">
        <v>3340</v>
      </c>
      <c r="BA629" s="5">
        <v>11523.900654367049</v>
      </c>
      <c r="BB629" s="6">
        <v>5360</v>
      </c>
      <c r="BC629" s="5">
        <v>18493.44536149922</v>
      </c>
      <c r="BD629" s="6">
        <v>4020</v>
      </c>
      <c r="BE629" s="5">
        <v>13870.08402112441</v>
      </c>
      <c r="BF629" s="6">
        <v>7360</v>
      </c>
      <c r="BG629" s="5">
        <v>25393.984675491469</v>
      </c>
      <c r="BH629" s="9">
        <f t="shared" si="74"/>
        <v>31260</v>
      </c>
      <c r="BI629" s="10">
        <f t="shared" si="75"/>
        <v>107855.42947769878</v>
      </c>
      <c r="BJ629" s="6">
        <f t="shared" si="76"/>
        <v>2928.7008217324219</v>
      </c>
      <c r="BK629" s="11">
        <f t="shared" si="77"/>
        <v>0.10337333291016089</v>
      </c>
      <c r="BL629" s="5">
        <f t="shared" si="78"/>
        <v>14078.829197633095</v>
      </c>
      <c r="BM629" s="11">
        <f t="shared" si="79"/>
        <v>0.15013158032586371</v>
      </c>
    </row>
    <row r="630" spans="1:65" ht="15" customHeight="1" x14ac:dyDescent="0.4">
      <c r="A630" s="2" t="s">
        <v>553</v>
      </c>
      <c r="B630" s="2" t="s">
        <v>66</v>
      </c>
      <c r="C630" s="2" t="s">
        <v>573</v>
      </c>
      <c r="D630" s="3" t="s">
        <v>68</v>
      </c>
      <c r="E630" s="3" t="s">
        <v>221</v>
      </c>
      <c r="F630" s="2" t="s">
        <v>222</v>
      </c>
      <c r="G630" s="4">
        <v>200</v>
      </c>
      <c r="H630" s="5">
        <v>3.22</v>
      </c>
      <c r="I630" s="5">
        <v>3.3564556784071038</v>
      </c>
      <c r="J630" s="6">
        <v>0</v>
      </c>
      <c r="K630" s="5">
        <v>0</v>
      </c>
      <c r="L630" s="6">
        <v>0</v>
      </c>
      <c r="M630" s="5">
        <v>0</v>
      </c>
      <c r="N630" s="6">
        <v>0</v>
      </c>
      <c r="O630" s="5">
        <v>0</v>
      </c>
      <c r="P630" s="6">
        <v>0</v>
      </c>
      <c r="Q630" s="5">
        <v>0</v>
      </c>
      <c r="R630" s="6">
        <v>0</v>
      </c>
      <c r="S630" s="5">
        <v>0</v>
      </c>
      <c r="T630" s="6">
        <v>0</v>
      </c>
      <c r="U630" s="5">
        <v>0</v>
      </c>
      <c r="V630" s="6">
        <v>0</v>
      </c>
      <c r="W630" s="5">
        <v>0</v>
      </c>
      <c r="X630" s="6">
        <v>0</v>
      </c>
      <c r="Y630" s="5">
        <v>0</v>
      </c>
      <c r="Z630" s="6">
        <v>379.19845571935571</v>
      </c>
      <c r="AA630" s="5">
        <v>1221.0190274163249</v>
      </c>
      <c r="AB630" s="6">
        <v>0</v>
      </c>
      <c r="AC630" s="5">
        <v>0</v>
      </c>
      <c r="AD630" s="6">
        <v>0</v>
      </c>
      <c r="AE630" s="5">
        <v>0</v>
      </c>
      <c r="AF630" s="6">
        <v>0</v>
      </c>
      <c r="AG630" s="5">
        <v>0</v>
      </c>
      <c r="AH630" s="7">
        <f t="shared" si="72"/>
        <v>379.19845571935571</v>
      </c>
      <c r="AI630" s="8">
        <f t="shared" si="73"/>
        <v>1221.0190274163249</v>
      </c>
      <c r="AJ630" s="6">
        <v>0</v>
      </c>
      <c r="AK630" s="5">
        <v>0</v>
      </c>
      <c r="AL630" s="6">
        <v>0</v>
      </c>
      <c r="AM630" s="5">
        <v>0</v>
      </c>
      <c r="AN630" s="6">
        <v>0</v>
      </c>
      <c r="AO630" s="5">
        <v>0</v>
      </c>
      <c r="AP630" s="6">
        <v>0</v>
      </c>
      <c r="AQ630" s="5">
        <v>0</v>
      </c>
      <c r="AR630" s="6">
        <v>0</v>
      </c>
      <c r="AS630" s="5">
        <v>0</v>
      </c>
      <c r="AT630" s="6">
        <v>0</v>
      </c>
      <c r="AU630" s="5">
        <v>0</v>
      </c>
      <c r="AV630" s="6">
        <v>0</v>
      </c>
      <c r="AW630" s="5">
        <v>0</v>
      </c>
      <c r="AX630" s="6">
        <v>0</v>
      </c>
      <c r="AY630" s="5">
        <v>0</v>
      </c>
      <c r="AZ630" s="6">
        <v>400</v>
      </c>
      <c r="BA630" s="5">
        <v>1342.582271362842</v>
      </c>
      <c r="BB630" s="6">
        <v>0</v>
      </c>
      <c r="BC630" s="5">
        <v>0</v>
      </c>
      <c r="BD630" s="6">
        <v>0</v>
      </c>
      <c r="BE630" s="5">
        <v>0</v>
      </c>
      <c r="BF630" s="6">
        <v>0</v>
      </c>
      <c r="BG630" s="5">
        <v>0</v>
      </c>
      <c r="BH630" s="9">
        <f t="shared" si="74"/>
        <v>400</v>
      </c>
      <c r="BI630" s="10">
        <f t="shared" si="75"/>
        <v>1342.582271362842</v>
      </c>
      <c r="BJ630" s="6">
        <f t="shared" si="76"/>
        <v>20.801544280644293</v>
      </c>
      <c r="BK630" s="11">
        <f t="shared" si="77"/>
        <v>5.4856616547087129E-2</v>
      </c>
      <c r="BL630" s="5">
        <f t="shared" si="78"/>
        <v>121.5632439465171</v>
      </c>
      <c r="BM630" s="11">
        <f t="shared" si="79"/>
        <v>9.9558844880365885E-2</v>
      </c>
    </row>
    <row r="631" spans="1:65" ht="15" customHeight="1" x14ac:dyDescent="0.4">
      <c r="A631" s="2" t="s">
        <v>553</v>
      </c>
      <c r="B631" s="2" t="s">
        <v>66</v>
      </c>
      <c r="C631" s="2" t="s">
        <v>573</v>
      </c>
      <c r="D631" s="3" t="s">
        <v>68</v>
      </c>
      <c r="E631" s="3" t="s">
        <v>574</v>
      </c>
      <c r="F631" s="2" t="s">
        <v>575</v>
      </c>
      <c r="G631" s="4">
        <v>1</v>
      </c>
      <c r="H631" s="5">
        <v>6.55</v>
      </c>
      <c r="I631" s="5">
        <v>6.8275728862007874</v>
      </c>
      <c r="J631" s="6">
        <v>0</v>
      </c>
      <c r="K631" s="5">
        <v>0</v>
      </c>
      <c r="L631" s="6">
        <v>0</v>
      </c>
      <c r="M631" s="5">
        <v>0</v>
      </c>
      <c r="N631" s="6">
        <v>0</v>
      </c>
      <c r="O631" s="5">
        <v>0</v>
      </c>
      <c r="P631" s="6">
        <v>0</v>
      </c>
      <c r="Q631" s="5">
        <v>0</v>
      </c>
      <c r="R631" s="6">
        <v>0</v>
      </c>
      <c r="S631" s="5">
        <v>0</v>
      </c>
      <c r="T631" s="6">
        <v>0</v>
      </c>
      <c r="U631" s="5">
        <v>0</v>
      </c>
      <c r="V631" s="6">
        <v>0</v>
      </c>
      <c r="W631" s="5">
        <v>0</v>
      </c>
      <c r="X631" s="6">
        <v>0</v>
      </c>
      <c r="Y631" s="5">
        <v>0</v>
      </c>
      <c r="Z631" s="6">
        <v>0</v>
      </c>
      <c r="AA631" s="5">
        <v>0</v>
      </c>
      <c r="AB631" s="6">
        <v>0</v>
      </c>
      <c r="AC631" s="5">
        <v>0</v>
      </c>
      <c r="AD631" s="6">
        <v>106.1755676014196</v>
      </c>
      <c r="AE631" s="5">
        <v>695.4499677892984</v>
      </c>
      <c r="AF631" s="6">
        <v>0</v>
      </c>
      <c r="AG631" s="5">
        <v>0</v>
      </c>
      <c r="AH631" s="7">
        <f t="shared" si="72"/>
        <v>106.1755676014196</v>
      </c>
      <c r="AI631" s="8">
        <f t="shared" si="73"/>
        <v>695.4499677892984</v>
      </c>
      <c r="AJ631" s="6">
        <v>0</v>
      </c>
      <c r="AK631" s="5">
        <v>0</v>
      </c>
      <c r="AL631" s="6">
        <v>0</v>
      </c>
      <c r="AM631" s="5">
        <v>0</v>
      </c>
      <c r="AN631" s="6">
        <v>0</v>
      </c>
      <c r="AO631" s="5">
        <v>0</v>
      </c>
      <c r="AP631" s="6">
        <v>0</v>
      </c>
      <c r="AQ631" s="5">
        <v>0</v>
      </c>
      <c r="AR631" s="6">
        <v>0</v>
      </c>
      <c r="AS631" s="5">
        <v>0</v>
      </c>
      <c r="AT631" s="6">
        <v>0</v>
      </c>
      <c r="AU631" s="5">
        <v>0</v>
      </c>
      <c r="AV631" s="6">
        <v>0</v>
      </c>
      <c r="AW631" s="5">
        <v>0</v>
      </c>
      <c r="AX631" s="6">
        <v>0</v>
      </c>
      <c r="AY631" s="5">
        <v>0</v>
      </c>
      <c r="AZ631" s="6">
        <v>0</v>
      </c>
      <c r="BA631" s="5">
        <v>0</v>
      </c>
      <c r="BB631" s="6">
        <v>0</v>
      </c>
      <c r="BC631" s="5">
        <v>0</v>
      </c>
      <c r="BD631" s="6">
        <v>114</v>
      </c>
      <c r="BE631" s="5">
        <v>778.34330902688964</v>
      </c>
      <c r="BF631" s="6">
        <v>0</v>
      </c>
      <c r="BG631" s="5">
        <v>0</v>
      </c>
      <c r="BH631" s="9">
        <f t="shared" si="74"/>
        <v>114</v>
      </c>
      <c r="BI631" s="10">
        <f t="shared" si="75"/>
        <v>778.34330902688964</v>
      </c>
      <c r="BJ631" s="6">
        <f t="shared" si="76"/>
        <v>7.8244323985803987</v>
      </c>
      <c r="BK631" s="11">
        <f t="shared" si="77"/>
        <v>7.3693341842570786E-2</v>
      </c>
      <c r="BL631" s="5">
        <f t="shared" si="78"/>
        <v>82.893341237591244</v>
      </c>
      <c r="BM631" s="11">
        <f t="shared" si="79"/>
        <v>0.11919382425322878</v>
      </c>
    </row>
    <row r="632" spans="1:65" ht="15" customHeight="1" x14ac:dyDescent="0.4">
      <c r="A632" s="2" t="s">
        <v>553</v>
      </c>
      <c r="B632" s="2" t="s">
        <v>66</v>
      </c>
      <c r="C632" s="2" t="s">
        <v>573</v>
      </c>
      <c r="D632" s="3" t="s">
        <v>68</v>
      </c>
      <c r="E632" s="3" t="s">
        <v>320</v>
      </c>
      <c r="F632" s="2" t="s">
        <v>321</v>
      </c>
      <c r="G632" s="4">
        <v>5</v>
      </c>
      <c r="H632" s="5">
        <v>6.95</v>
      </c>
      <c r="I632" s="5">
        <v>7.2445239021519798</v>
      </c>
      <c r="J632" s="6">
        <v>0</v>
      </c>
      <c r="K632" s="5">
        <v>0</v>
      </c>
      <c r="L632" s="6">
        <v>0</v>
      </c>
      <c r="M632" s="5">
        <v>0</v>
      </c>
      <c r="N632" s="6">
        <v>0</v>
      </c>
      <c r="O632" s="5">
        <v>0</v>
      </c>
      <c r="P632" s="6">
        <v>0</v>
      </c>
      <c r="Q632" s="5">
        <v>0</v>
      </c>
      <c r="R632" s="6">
        <v>0</v>
      </c>
      <c r="S632" s="5">
        <v>0</v>
      </c>
      <c r="T632" s="6">
        <v>0</v>
      </c>
      <c r="U632" s="5">
        <v>0</v>
      </c>
      <c r="V632" s="6">
        <v>0</v>
      </c>
      <c r="W632" s="5">
        <v>0</v>
      </c>
      <c r="X632" s="6">
        <v>197.84713483864269</v>
      </c>
      <c r="Y632" s="5">
        <v>1375.037587128566</v>
      </c>
      <c r="Z632" s="6">
        <v>0</v>
      </c>
      <c r="AA632" s="5">
        <v>0</v>
      </c>
      <c r="AB632" s="6">
        <v>0</v>
      </c>
      <c r="AC632" s="5">
        <v>0</v>
      </c>
      <c r="AD632" s="6">
        <v>0</v>
      </c>
      <c r="AE632" s="5">
        <v>0</v>
      </c>
      <c r="AF632" s="6">
        <v>189.59922785967791</v>
      </c>
      <c r="AG632" s="5">
        <v>1317.7146336247611</v>
      </c>
      <c r="AH632" s="7">
        <f t="shared" si="72"/>
        <v>387.44636269832063</v>
      </c>
      <c r="AI632" s="8">
        <f t="shared" si="73"/>
        <v>2692.752220753327</v>
      </c>
      <c r="AJ632" s="6">
        <v>0</v>
      </c>
      <c r="AK632" s="5">
        <v>0</v>
      </c>
      <c r="AL632" s="6">
        <v>0</v>
      </c>
      <c r="AM632" s="5">
        <v>0</v>
      </c>
      <c r="AN632" s="6">
        <v>0</v>
      </c>
      <c r="AO632" s="5">
        <v>0</v>
      </c>
      <c r="AP632" s="6">
        <v>0</v>
      </c>
      <c r="AQ632" s="5">
        <v>0</v>
      </c>
      <c r="AR632" s="6">
        <v>0</v>
      </c>
      <c r="AS632" s="5">
        <v>0</v>
      </c>
      <c r="AT632" s="6">
        <v>0</v>
      </c>
      <c r="AU632" s="5">
        <v>0</v>
      </c>
      <c r="AV632" s="6">
        <v>0</v>
      </c>
      <c r="AW632" s="5">
        <v>0</v>
      </c>
      <c r="AX632" s="6">
        <v>210</v>
      </c>
      <c r="AY632" s="5">
        <v>1521.3500194519161</v>
      </c>
      <c r="AZ632" s="6">
        <v>0</v>
      </c>
      <c r="BA632" s="5">
        <v>0</v>
      </c>
      <c r="BB632" s="6">
        <v>0</v>
      </c>
      <c r="BC632" s="5">
        <v>0</v>
      </c>
      <c r="BD632" s="6">
        <v>0</v>
      </c>
      <c r="BE632" s="5">
        <v>0</v>
      </c>
      <c r="BF632" s="6">
        <v>205</v>
      </c>
      <c r="BG632" s="5">
        <v>1485.127399941156</v>
      </c>
      <c r="BH632" s="9">
        <f t="shared" si="74"/>
        <v>415</v>
      </c>
      <c r="BI632" s="10">
        <f t="shared" si="75"/>
        <v>3006.4774193930721</v>
      </c>
      <c r="BJ632" s="6">
        <f t="shared" si="76"/>
        <v>27.553637301679373</v>
      </c>
      <c r="BK632" s="11">
        <f t="shared" si="77"/>
        <v>7.111600457360237E-2</v>
      </c>
      <c r="BL632" s="5">
        <f t="shared" si="78"/>
        <v>313.72519863974503</v>
      </c>
      <c r="BM632" s="11">
        <f t="shared" si="79"/>
        <v>0.11650726577136643</v>
      </c>
    </row>
    <row r="633" spans="1:65" ht="15" customHeight="1" x14ac:dyDescent="0.4">
      <c r="A633" s="2" t="s">
        <v>553</v>
      </c>
      <c r="B633" s="2" t="s">
        <v>66</v>
      </c>
      <c r="C633" s="2" t="s">
        <v>573</v>
      </c>
      <c r="D633" s="3" t="s">
        <v>68</v>
      </c>
      <c r="E633" s="3" t="s">
        <v>84</v>
      </c>
      <c r="F633" s="2" t="s">
        <v>85</v>
      </c>
      <c r="G633" s="4">
        <v>20</v>
      </c>
      <c r="H633" s="5">
        <v>2.58</v>
      </c>
      <c r="I633" s="5">
        <v>2.689334052885195</v>
      </c>
      <c r="J633" s="6">
        <v>0</v>
      </c>
      <c r="K633" s="5">
        <v>0</v>
      </c>
      <c r="L633" s="6">
        <v>0</v>
      </c>
      <c r="M633" s="5">
        <v>0</v>
      </c>
      <c r="N633" s="6">
        <v>0</v>
      </c>
      <c r="O633" s="5">
        <v>0</v>
      </c>
      <c r="P633" s="6">
        <v>0</v>
      </c>
      <c r="Q633" s="5">
        <v>0</v>
      </c>
      <c r="R633" s="6">
        <v>0</v>
      </c>
      <c r="S633" s="5">
        <v>0</v>
      </c>
      <c r="T633" s="6">
        <v>0</v>
      </c>
      <c r="U633" s="5">
        <v>0</v>
      </c>
      <c r="V633" s="6">
        <v>0</v>
      </c>
      <c r="W633" s="5">
        <v>0</v>
      </c>
      <c r="X633" s="6">
        <v>0</v>
      </c>
      <c r="Y633" s="5">
        <v>0</v>
      </c>
      <c r="Z633" s="6">
        <v>0</v>
      </c>
      <c r="AA633" s="5">
        <v>0</v>
      </c>
      <c r="AB633" s="6">
        <v>0</v>
      </c>
      <c r="AC633" s="5">
        <v>0</v>
      </c>
      <c r="AD633" s="6">
        <v>606.7175291509692</v>
      </c>
      <c r="AE633" s="5">
        <v>1565.3312252095</v>
      </c>
      <c r="AF633" s="6">
        <v>284.39884178951678</v>
      </c>
      <c r="AG633" s="5">
        <v>733.74901181695338</v>
      </c>
      <c r="AH633" s="7">
        <f t="shared" si="72"/>
        <v>891.11637094048592</v>
      </c>
      <c r="AI633" s="8">
        <f t="shared" si="73"/>
        <v>2299.0802370264532</v>
      </c>
      <c r="AJ633" s="6">
        <v>0</v>
      </c>
      <c r="AK633" s="5">
        <v>0</v>
      </c>
      <c r="AL633" s="6">
        <v>0</v>
      </c>
      <c r="AM633" s="5">
        <v>0</v>
      </c>
      <c r="AN633" s="6">
        <v>0</v>
      </c>
      <c r="AO633" s="5">
        <v>0</v>
      </c>
      <c r="AP633" s="6">
        <v>0</v>
      </c>
      <c r="AQ633" s="5">
        <v>0</v>
      </c>
      <c r="AR633" s="6">
        <v>0</v>
      </c>
      <c r="AS633" s="5">
        <v>0</v>
      </c>
      <c r="AT633" s="6">
        <v>0</v>
      </c>
      <c r="AU633" s="5">
        <v>0</v>
      </c>
      <c r="AV633" s="6">
        <v>0</v>
      </c>
      <c r="AW633" s="5">
        <v>0</v>
      </c>
      <c r="AX633" s="6">
        <v>0</v>
      </c>
      <c r="AY633" s="5">
        <v>0</v>
      </c>
      <c r="AZ633" s="6">
        <v>0</v>
      </c>
      <c r="BA633" s="5">
        <v>0</v>
      </c>
      <c r="BB633" s="6">
        <v>0</v>
      </c>
      <c r="BC633" s="5">
        <v>0</v>
      </c>
      <c r="BD633" s="6">
        <v>660</v>
      </c>
      <c r="BE633" s="5">
        <v>1774.9604749042289</v>
      </c>
      <c r="BF633" s="6">
        <v>320</v>
      </c>
      <c r="BG633" s="5">
        <v>860.58689692326254</v>
      </c>
      <c r="BH633" s="9">
        <f t="shared" si="74"/>
        <v>980</v>
      </c>
      <c r="BI633" s="10">
        <f t="shared" si="75"/>
        <v>2635.5473718274916</v>
      </c>
      <c r="BJ633" s="6">
        <f t="shared" si="76"/>
        <v>88.883629059514078</v>
      </c>
      <c r="BK633" s="11">
        <f t="shared" si="77"/>
        <v>9.9744132144835504E-2</v>
      </c>
      <c r="BL633" s="5">
        <f t="shared" si="78"/>
        <v>336.46713480103836</v>
      </c>
      <c r="BM633" s="11">
        <f t="shared" si="79"/>
        <v>0.14634858296038103</v>
      </c>
    </row>
    <row r="634" spans="1:65" ht="15" customHeight="1" x14ac:dyDescent="0.4">
      <c r="A634" s="2" t="s">
        <v>553</v>
      </c>
      <c r="B634" s="2" t="s">
        <v>66</v>
      </c>
      <c r="C634" s="2" t="s">
        <v>573</v>
      </c>
      <c r="D634" s="3" t="s">
        <v>68</v>
      </c>
      <c r="E634" s="3" t="s">
        <v>116</v>
      </c>
      <c r="F634" s="2" t="s">
        <v>117</v>
      </c>
      <c r="G634" s="4">
        <v>5</v>
      </c>
      <c r="H634" s="5">
        <v>13.73</v>
      </c>
      <c r="I634" s="5">
        <v>14.3118436225247</v>
      </c>
      <c r="J634" s="6">
        <v>0</v>
      </c>
      <c r="K634" s="5">
        <v>0</v>
      </c>
      <c r="L634" s="6">
        <v>0</v>
      </c>
      <c r="M634" s="5">
        <v>0</v>
      </c>
      <c r="N634" s="6">
        <v>0</v>
      </c>
      <c r="O634" s="5">
        <v>0</v>
      </c>
      <c r="P634" s="6">
        <v>0</v>
      </c>
      <c r="Q634" s="5">
        <v>0</v>
      </c>
      <c r="R634" s="6">
        <v>593.54140451592798</v>
      </c>
      <c r="S634" s="5">
        <v>8149.3234840036903</v>
      </c>
      <c r="T634" s="6">
        <v>0</v>
      </c>
      <c r="U634" s="5">
        <v>0</v>
      </c>
      <c r="V634" s="6">
        <v>0</v>
      </c>
      <c r="W634" s="5">
        <v>0</v>
      </c>
      <c r="X634" s="6">
        <v>0</v>
      </c>
      <c r="Y634" s="5">
        <v>0</v>
      </c>
      <c r="Z634" s="6">
        <v>0</v>
      </c>
      <c r="AA634" s="5">
        <v>0</v>
      </c>
      <c r="AB634" s="6">
        <v>0</v>
      </c>
      <c r="AC634" s="5">
        <v>0</v>
      </c>
      <c r="AD634" s="6">
        <v>0</v>
      </c>
      <c r="AE634" s="5">
        <v>0</v>
      </c>
      <c r="AF634" s="6">
        <v>0</v>
      </c>
      <c r="AG634" s="5">
        <v>0</v>
      </c>
      <c r="AH634" s="7">
        <f t="shared" si="72"/>
        <v>593.54140451592798</v>
      </c>
      <c r="AI634" s="8">
        <f t="shared" si="73"/>
        <v>8149.3234840036903</v>
      </c>
      <c r="AJ634" s="6">
        <v>0</v>
      </c>
      <c r="AK634" s="5">
        <v>0</v>
      </c>
      <c r="AL634" s="6">
        <v>0</v>
      </c>
      <c r="AM634" s="5">
        <v>0</v>
      </c>
      <c r="AN634" s="6">
        <v>0</v>
      </c>
      <c r="AO634" s="5">
        <v>0</v>
      </c>
      <c r="AP634" s="6">
        <v>0</v>
      </c>
      <c r="AQ634" s="5">
        <v>0</v>
      </c>
      <c r="AR634" s="6">
        <v>715</v>
      </c>
      <c r="AS634" s="5">
        <v>10232.968190105161</v>
      </c>
      <c r="AT634" s="6">
        <v>0</v>
      </c>
      <c r="AU634" s="5">
        <v>0</v>
      </c>
      <c r="AV634" s="6">
        <v>0</v>
      </c>
      <c r="AW634" s="5">
        <v>0</v>
      </c>
      <c r="AX634" s="6">
        <v>0</v>
      </c>
      <c r="AY634" s="5">
        <v>0</v>
      </c>
      <c r="AZ634" s="6">
        <v>0</v>
      </c>
      <c r="BA634" s="5">
        <v>0</v>
      </c>
      <c r="BB634" s="6">
        <v>0</v>
      </c>
      <c r="BC634" s="5">
        <v>0</v>
      </c>
      <c r="BD634" s="6">
        <v>0</v>
      </c>
      <c r="BE634" s="5">
        <v>0</v>
      </c>
      <c r="BF634" s="6">
        <v>0</v>
      </c>
      <c r="BG634" s="5">
        <v>0</v>
      </c>
      <c r="BH634" s="9">
        <f t="shared" si="74"/>
        <v>715</v>
      </c>
      <c r="BI634" s="10">
        <f t="shared" si="75"/>
        <v>10232.968190105161</v>
      </c>
      <c r="BJ634" s="6">
        <f t="shared" si="76"/>
        <v>121.45859548407202</v>
      </c>
      <c r="BK634" s="11">
        <f t="shared" si="77"/>
        <v>0.20463373668620385</v>
      </c>
      <c r="BL634" s="5">
        <f t="shared" si="78"/>
        <v>2083.6447061014705</v>
      </c>
      <c r="BM634" s="11">
        <f t="shared" si="79"/>
        <v>0.25568315090098676</v>
      </c>
    </row>
    <row r="635" spans="1:65" ht="15" customHeight="1" x14ac:dyDescent="0.4">
      <c r="A635" s="2" t="s">
        <v>553</v>
      </c>
      <c r="B635" s="2" t="s">
        <v>66</v>
      </c>
      <c r="C635" s="2" t="s">
        <v>573</v>
      </c>
      <c r="D635" s="3" t="s">
        <v>68</v>
      </c>
      <c r="E635" s="3" t="s">
        <v>174</v>
      </c>
      <c r="F635" s="2" t="s">
        <v>175</v>
      </c>
      <c r="G635" s="4">
        <v>5</v>
      </c>
      <c r="H635" s="5">
        <v>5.48</v>
      </c>
      <c r="I635" s="5">
        <v>5.7122289185313448</v>
      </c>
      <c r="J635" s="6">
        <v>0</v>
      </c>
      <c r="K635" s="5">
        <v>0</v>
      </c>
      <c r="L635" s="6">
        <v>0</v>
      </c>
      <c r="M635" s="5">
        <v>0</v>
      </c>
      <c r="N635" s="6">
        <v>0</v>
      </c>
      <c r="O635" s="5">
        <v>0</v>
      </c>
      <c r="P635" s="6">
        <v>0</v>
      </c>
      <c r="Q635" s="5">
        <v>0</v>
      </c>
      <c r="R635" s="6">
        <v>0</v>
      </c>
      <c r="S635" s="5">
        <v>0</v>
      </c>
      <c r="T635" s="6">
        <v>0</v>
      </c>
      <c r="U635" s="5">
        <v>0</v>
      </c>
      <c r="V635" s="6">
        <v>1187.082809031856</v>
      </c>
      <c r="W635" s="5">
        <v>6398.3763406817034</v>
      </c>
      <c r="X635" s="6">
        <v>593.54140451592798</v>
      </c>
      <c r="Y635" s="5">
        <v>3359.4443495601522</v>
      </c>
      <c r="Z635" s="6">
        <v>1137.5953671580669</v>
      </c>
      <c r="AA635" s="5">
        <v>6234.0226120262087</v>
      </c>
      <c r="AB635" s="6">
        <v>853.1965253685504</v>
      </c>
      <c r="AC635" s="5">
        <v>4675.5169590196556</v>
      </c>
      <c r="AD635" s="6">
        <v>0</v>
      </c>
      <c r="AE635" s="5">
        <v>0</v>
      </c>
      <c r="AF635" s="6">
        <v>568.79768357903356</v>
      </c>
      <c r="AG635" s="5">
        <v>3117.0113060131039</v>
      </c>
      <c r="AH635" s="7">
        <f t="shared" si="72"/>
        <v>4340.2137896534341</v>
      </c>
      <c r="AI635" s="8">
        <f t="shared" si="73"/>
        <v>23784.371567300823</v>
      </c>
      <c r="AJ635" s="6">
        <v>0</v>
      </c>
      <c r="AK635" s="5">
        <v>0</v>
      </c>
      <c r="AL635" s="6">
        <v>0</v>
      </c>
      <c r="AM635" s="5">
        <v>0</v>
      </c>
      <c r="AN635" s="6">
        <v>0</v>
      </c>
      <c r="AO635" s="5">
        <v>0</v>
      </c>
      <c r="AP635" s="6">
        <v>0</v>
      </c>
      <c r="AQ635" s="5">
        <v>0</v>
      </c>
      <c r="AR635" s="6">
        <v>0</v>
      </c>
      <c r="AS635" s="5">
        <v>0</v>
      </c>
      <c r="AT635" s="6">
        <v>0</v>
      </c>
      <c r="AU635" s="5">
        <v>0</v>
      </c>
      <c r="AV635" s="6">
        <v>1310</v>
      </c>
      <c r="AW635" s="5">
        <v>7360.1235713244469</v>
      </c>
      <c r="AX635" s="6">
        <v>655</v>
      </c>
      <c r="AY635" s="5">
        <v>3864.4062535896451</v>
      </c>
      <c r="AZ635" s="6">
        <v>1255</v>
      </c>
      <c r="BA635" s="5">
        <v>7168.8472927568391</v>
      </c>
      <c r="BB635" s="6">
        <v>940</v>
      </c>
      <c r="BC635" s="5">
        <v>5369.4951834194644</v>
      </c>
      <c r="BD635" s="6">
        <v>0</v>
      </c>
      <c r="BE635" s="5">
        <v>0</v>
      </c>
      <c r="BF635" s="6">
        <v>625</v>
      </c>
      <c r="BG635" s="5">
        <v>3570.1430740820911</v>
      </c>
      <c r="BH635" s="9">
        <f t="shared" si="74"/>
        <v>4785</v>
      </c>
      <c r="BI635" s="10">
        <f t="shared" si="75"/>
        <v>27333.015375172487</v>
      </c>
      <c r="BJ635" s="6">
        <f t="shared" si="76"/>
        <v>444.78621034656589</v>
      </c>
      <c r="BK635" s="11">
        <f t="shared" si="77"/>
        <v>0.1024802537162765</v>
      </c>
      <c r="BL635" s="5">
        <f t="shared" si="78"/>
        <v>3548.6438078716637</v>
      </c>
      <c r="BM635" s="11">
        <f t="shared" si="79"/>
        <v>0.14920065463282631</v>
      </c>
    </row>
    <row r="636" spans="1:65" ht="15" customHeight="1" x14ac:dyDescent="0.4">
      <c r="A636" s="2" t="s">
        <v>553</v>
      </c>
      <c r="B636" s="2" t="s">
        <v>66</v>
      </c>
      <c r="C636" s="2" t="s">
        <v>573</v>
      </c>
      <c r="D636" s="3" t="s">
        <v>68</v>
      </c>
      <c r="E636" s="3" t="s">
        <v>138</v>
      </c>
      <c r="F636" s="2" t="s">
        <v>139</v>
      </c>
      <c r="G636" s="4">
        <v>5</v>
      </c>
      <c r="H636" s="5">
        <v>4.63</v>
      </c>
      <c r="I636" s="5">
        <v>4.826093462652655</v>
      </c>
      <c r="J636" s="6">
        <v>296.77070225796399</v>
      </c>
      <c r="K636" s="5">
        <v>1365.145230386634</v>
      </c>
      <c r="L636" s="6">
        <v>0</v>
      </c>
      <c r="M636" s="5">
        <v>0</v>
      </c>
      <c r="N636" s="6">
        <v>0</v>
      </c>
      <c r="O636" s="5">
        <v>0</v>
      </c>
      <c r="P636" s="6">
        <v>0</v>
      </c>
      <c r="Q636" s="5">
        <v>0</v>
      </c>
      <c r="R636" s="6">
        <v>0</v>
      </c>
      <c r="S636" s="5">
        <v>0</v>
      </c>
      <c r="T636" s="6">
        <v>0</v>
      </c>
      <c r="U636" s="5">
        <v>0</v>
      </c>
      <c r="V636" s="6">
        <v>296.77070225796399</v>
      </c>
      <c r="W636" s="5">
        <v>1382.951472522112</v>
      </c>
      <c r="X636" s="6">
        <v>0</v>
      </c>
      <c r="Y636" s="5">
        <v>0</v>
      </c>
      <c r="Z636" s="6">
        <v>0</v>
      </c>
      <c r="AA636" s="5">
        <v>0</v>
      </c>
      <c r="AB636" s="6">
        <v>379.19845571935571</v>
      </c>
      <c r="AC636" s="5">
        <v>1755.6888499806171</v>
      </c>
      <c r="AD636" s="6">
        <v>0</v>
      </c>
      <c r="AE636" s="5">
        <v>0</v>
      </c>
      <c r="AF636" s="6">
        <v>284.39884178951678</v>
      </c>
      <c r="AG636" s="5">
        <v>1316.766637485463</v>
      </c>
      <c r="AH636" s="7">
        <f t="shared" si="72"/>
        <v>1257.1387020248005</v>
      </c>
      <c r="AI636" s="8">
        <f t="shared" si="73"/>
        <v>5820.5521903748268</v>
      </c>
      <c r="AJ636" s="6">
        <v>325</v>
      </c>
      <c r="AK636" s="5">
        <v>1558.3544221175839</v>
      </c>
      <c r="AL636" s="6">
        <v>0</v>
      </c>
      <c r="AM636" s="5">
        <v>0</v>
      </c>
      <c r="AN636" s="6">
        <v>0</v>
      </c>
      <c r="AO636" s="5">
        <v>0</v>
      </c>
      <c r="AP636" s="6">
        <v>0</v>
      </c>
      <c r="AQ636" s="5">
        <v>0</v>
      </c>
      <c r="AR636" s="6">
        <v>0</v>
      </c>
      <c r="AS636" s="5">
        <v>0</v>
      </c>
      <c r="AT636" s="6">
        <v>0</v>
      </c>
      <c r="AU636" s="5">
        <v>0</v>
      </c>
      <c r="AV636" s="6">
        <v>320</v>
      </c>
      <c r="AW636" s="5">
        <v>1554.393387466047</v>
      </c>
      <c r="AX636" s="6">
        <v>0</v>
      </c>
      <c r="AY636" s="5">
        <v>0</v>
      </c>
      <c r="AZ636" s="6">
        <v>0</v>
      </c>
      <c r="BA636" s="5">
        <v>0</v>
      </c>
      <c r="BB636" s="6">
        <v>410</v>
      </c>
      <c r="BC636" s="5">
        <v>1978.745283950374</v>
      </c>
      <c r="BD636" s="6">
        <v>0</v>
      </c>
      <c r="BE636" s="5">
        <v>0</v>
      </c>
      <c r="BF636" s="6">
        <v>310</v>
      </c>
      <c r="BG636" s="5">
        <v>1496.1244829868681</v>
      </c>
      <c r="BH636" s="9">
        <f t="shared" si="74"/>
        <v>1365</v>
      </c>
      <c r="BI636" s="10">
        <f t="shared" si="75"/>
        <v>6587.6175765208736</v>
      </c>
      <c r="BJ636" s="6">
        <f t="shared" si="76"/>
        <v>107.86129797519948</v>
      </c>
      <c r="BK636" s="11">
        <f t="shared" si="77"/>
        <v>8.5799043336644981E-2</v>
      </c>
      <c r="BL636" s="5">
        <f t="shared" si="78"/>
        <v>767.06538614604688</v>
      </c>
      <c r="BM636" s="11">
        <f t="shared" si="79"/>
        <v>0.13178567274330205</v>
      </c>
    </row>
    <row r="637" spans="1:65" ht="15" customHeight="1" x14ac:dyDescent="0.4">
      <c r="A637" s="2" t="s">
        <v>553</v>
      </c>
      <c r="B637" s="2" t="s">
        <v>66</v>
      </c>
      <c r="C637" s="2" t="s">
        <v>573</v>
      </c>
      <c r="D637" s="3" t="s">
        <v>68</v>
      </c>
      <c r="E637" s="3" t="s">
        <v>122</v>
      </c>
      <c r="F637" s="2" t="s">
        <v>123</v>
      </c>
      <c r="G637" s="4">
        <v>5</v>
      </c>
      <c r="H637" s="5">
        <v>4.8062499999999986</v>
      </c>
      <c r="I637" s="5">
        <v>5.0099270510385541</v>
      </c>
      <c r="J637" s="6">
        <v>494.61783709660659</v>
      </c>
      <c r="K637" s="5">
        <v>2334.5961910959832</v>
      </c>
      <c r="L637" s="6">
        <v>0</v>
      </c>
      <c r="M637" s="5">
        <v>0</v>
      </c>
      <c r="N637" s="6">
        <v>0</v>
      </c>
      <c r="O637" s="5">
        <v>0</v>
      </c>
      <c r="P637" s="6">
        <v>0</v>
      </c>
      <c r="Q637" s="5">
        <v>0</v>
      </c>
      <c r="R637" s="6">
        <v>0</v>
      </c>
      <c r="S637" s="5">
        <v>0</v>
      </c>
      <c r="T637" s="6">
        <v>0</v>
      </c>
      <c r="U637" s="5">
        <v>0</v>
      </c>
      <c r="V637" s="6">
        <v>0</v>
      </c>
      <c r="W637" s="5">
        <v>0</v>
      </c>
      <c r="X637" s="6">
        <v>296.77070225796399</v>
      </c>
      <c r="Y637" s="5">
        <v>1469.0149761769219</v>
      </c>
      <c r="Z637" s="6">
        <v>0</v>
      </c>
      <c r="AA637" s="5">
        <v>0</v>
      </c>
      <c r="AB637" s="6">
        <v>0</v>
      </c>
      <c r="AC637" s="5">
        <v>0</v>
      </c>
      <c r="AD637" s="6">
        <v>284.39884178951678</v>
      </c>
      <c r="AE637" s="5">
        <v>1366.891933350865</v>
      </c>
      <c r="AF637" s="6">
        <v>284.39884178951678</v>
      </c>
      <c r="AG637" s="5">
        <v>1366.891933350865</v>
      </c>
      <c r="AH637" s="7">
        <f t="shared" si="72"/>
        <v>1360.1862229336043</v>
      </c>
      <c r="AI637" s="8">
        <f t="shared" si="73"/>
        <v>6537.3950339746343</v>
      </c>
      <c r="AJ637" s="6">
        <v>600</v>
      </c>
      <c r="AK637" s="5">
        <v>2952.013192934447</v>
      </c>
      <c r="AL637" s="6">
        <v>0</v>
      </c>
      <c r="AM637" s="5">
        <v>0</v>
      </c>
      <c r="AN637" s="6">
        <v>0</v>
      </c>
      <c r="AO637" s="5">
        <v>0</v>
      </c>
      <c r="AP637" s="6">
        <v>0</v>
      </c>
      <c r="AQ637" s="5">
        <v>0</v>
      </c>
      <c r="AR637" s="6">
        <v>0</v>
      </c>
      <c r="AS637" s="5">
        <v>0</v>
      </c>
      <c r="AT637" s="6">
        <v>0</v>
      </c>
      <c r="AU637" s="5">
        <v>0</v>
      </c>
      <c r="AV637" s="6">
        <v>0</v>
      </c>
      <c r="AW637" s="5">
        <v>0</v>
      </c>
      <c r="AX637" s="6">
        <v>360</v>
      </c>
      <c r="AY637" s="5">
        <v>1857.516776062565</v>
      </c>
      <c r="AZ637" s="6">
        <v>0</v>
      </c>
      <c r="BA637" s="5">
        <v>0</v>
      </c>
      <c r="BB637" s="6">
        <v>0</v>
      </c>
      <c r="BC637" s="5">
        <v>0</v>
      </c>
      <c r="BD637" s="6">
        <v>345</v>
      </c>
      <c r="BE637" s="5">
        <v>1728.4248326083009</v>
      </c>
      <c r="BF637" s="6">
        <v>345</v>
      </c>
      <c r="BG637" s="5">
        <v>1728.4248326083009</v>
      </c>
      <c r="BH637" s="9">
        <f t="shared" si="74"/>
        <v>1650</v>
      </c>
      <c r="BI637" s="10">
        <f t="shared" si="75"/>
        <v>8266.3796342136138</v>
      </c>
      <c r="BJ637" s="6">
        <f t="shared" si="76"/>
        <v>289.81377706639569</v>
      </c>
      <c r="BK637" s="11">
        <f t="shared" si="77"/>
        <v>0.21306919021818571</v>
      </c>
      <c r="BL637" s="5">
        <f t="shared" si="78"/>
        <v>1728.9846002389795</v>
      </c>
      <c r="BM637" s="11">
        <f t="shared" si="79"/>
        <v>0.26447607820140917</v>
      </c>
    </row>
    <row r="638" spans="1:65" ht="15" customHeight="1" x14ac:dyDescent="0.4">
      <c r="A638" s="2" t="s">
        <v>553</v>
      </c>
      <c r="B638" s="2" t="s">
        <v>66</v>
      </c>
      <c r="C638" s="2" t="s">
        <v>573</v>
      </c>
      <c r="D638" s="3" t="s">
        <v>68</v>
      </c>
      <c r="E638" s="3" t="s">
        <v>201</v>
      </c>
      <c r="F638" s="2" t="s">
        <v>202</v>
      </c>
      <c r="G638" s="4">
        <v>5</v>
      </c>
      <c r="H638" s="5">
        <v>4.7799999999999994</v>
      </c>
      <c r="I638" s="5">
        <v>4.9825646406167561</v>
      </c>
      <c r="J638" s="6">
        <v>0</v>
      </c>
      <c r="K638" s="5">
        <v>0</v>
      </c>
      <c r="L638" s="6">
        <v>197.84713483864269</v>
      </c>
      <c r="M638" s="5">
        <v>945.70930452871187</v>
      </c>
      <c r="N638" s="6">
        <v>0</v>
      </c>
      <c r="O638" s="5">
        <v>0</v>
      </c>
      <c r="P638" s="6">
        <v>0</v>
      </c>
      <c r="Q638" s="5">
        <v>0</v>
      </c>
      <c r="R638" s="6">
        <v>0</v>
      </c>
      <c r="S638" s="5">
        <v>0</v>
      </c>
      <c r="T638" s="6">
        <v>0</v>
      </c>
      <c r="U638" s="5">
        <v>0</v>
      </c>
      <c r="V638" s="6">
        <v>197.84713483864269</v>
      </c>
      <c r="W638" s="5">
        <v>945.70930452871187</v>
      </c>
      <c r="X638" s="6">
        <v>0</v>
      </c>
      <c r="Y638" s="5">
        <v>0</v>
      </c>
      <c r="Z638" s="6">
        <v>189.59922785967791</v>
      </c>
      <c r="AA638" s="5">
        <v>906.28430916926015</v>
      </c>
      <c r="AB638" s="6">
        <v>0</v>
      </c>
      <c r="AC638" s="5">
        <v>0</v>
      </c>
      <c r="AD638" s="6">
        <v>0</v>
      </c>
      <c r="AE638" s="5">
        <v>0</v>
      </c>
      <c r="AF638" s="6">
        <v>0</v>
      </c>
      <c r="AG638" s="5">
        <v>0</v>
      </c>
      <c r="AH638" s="7">
        <f t="shared" si="72"/>
        <v>585.29349753696329</v>
      </c>
      <c r="AI638" s="8">
        <f t="shared" si="73"/>
        <v>2797.7029182266838</v>
      </c>
      <c r="AJ638" s="6">
        <v>0</v>
      </c>
      <c r="AK638" s="5">
        <v>0</v>
      </c>
      <c r="AL638" s="6">
        <v>210</v>
      </c>
      <c r="AM638" s="5">
        <v>1046.3385745295191</v>
      </c>
      <c r="AN638" s="6">
        <v>0</v>
      </c>
      <c r="AO638" s="5">
        <v>0</v>
      </c>
      <c r="AP638" s="6">
        <v>0</v>
      </c>
      <c r="AQ638" s="5">
        <v>0</v>
      </c>
      <c r="AR638" s="6">
        <v>0</v>
      </c>
      <c r="AS638" s="5">
        <v>0</v>
      </c>
      <c r="AT638" s="6">
        <v>0</v>
      </c>
      <c r="AU638" s="5">
        <v>0</v>
      </c>
      <c r="AV638" s="6">
        <v>210</v>
      </c>
      <c r="AW638" s="5">
        <v>1046.3385745295191</v>
      </c>
      <c r="AX638" s="6">
        <v>0</v>
      </c>
      <c r="AY638" s="5">
        <v>0</v>
      </c>
      <c r="AZ638" s="6">
        <v>205</v>
      </c>
      <c r="BA638" s="5">
        <v>1021.425751326435</v>
      </c>
      <c r="BB638" s="6">
        <v>0</v>
      </c>
      <c r="BC638" s="5">
        <v>0</v>
      </c>
      <c r="BD638" s="6">
        <v>0</v>
      </c>
      <c r="BE638" s="5">
        <v>0</v>
      </c>
      <c r="BF638" s="6">
        <v>0</v>
      </c>
      <c r="BG638" s="5">
        <v>0</v>
      </c>
      <c r="BH638" s="9">
        <f t="shared" si="74"/>
        <v>625</v>
      </c>
      <c r="BI638" s="10">
        <f t="shared" si="75"/>
        <v>3114.1029003854733</v>
      </c>
      <c r="BJ638" s="6">
        <f t="shared" si="76"/>
        <v>39.706502463036713</v>
      </c>
      <c r="BK638" s="11">
        <f t="shared" si="77"/>
        <v>6.7840327340265918E-2</v>
      </c>
      <c r="BL638" s="5">
        <f t="shared" si="78"/>
        <v>316.3999821587895</v>
      </c>
      <c r="BM638" s="11">
        <f t="shared" si="79"/>
        <v>0.11309277339544642</v>
      </c>
    </row>
    <row r="639" spans="1:65" ht="15" customHeight="1" x14ac:dyDescent="0.4">
      <c r="A639" s="2" t="s">
        <v>553</v>
      </c>
      <c r="B639" s="2" t="s">
        <v>66</v>
      </c>
      <c r="C639" s="2" t="s">
        <v>573</v>
      </c>
      <c r="D639" s="3" t="s">
        <v>68</v>
      </c>
      <c r="E639" s="3" t="s">
        <v>563</v>
      </c>
      <c r="F639" s="2" t="s">
        <v>564</v>
      </c>
      <c r="G639" s="4">
        <v>5</v>
      </c>
      <c r="H639" s="5">
        <v>9.8776470588235306</v>
      </c>
      <c r="I639" s="5">
        <v>10.295196890727309</v>
      </c>
      <c r="J639" s="6">
        <v>0</v>
      </c>
      <c r="K639" s="5">
        <v>0</v>
      </c>
      <c r="L639" s="6">
        <v>0</v>
      </c>
      <c r="M639" s="5">
        <v>0</v>
      </c>
      <c r="N639" s="6">
        <v>296.77070225796399</v>
      </c>
      <c r="O639" s="5">
        <v>2475.0676568314188</v>
      </c>
      <c r="P639" s="6">
        <v>197.84713483864269</v>
      </c>
      <c r="Q639" s="5">
        <v>1855.806124786468</v>
      </c>
      <c r="R639" s="6">
        <v>0</v>
      </c>
      <c r="S639" s="5">
        <v>0</v>
      </c>
      <c r="T639" s="6">
        <v>0</v>
      </c>
      <c r="U639" s="5">
        <v>0</v>
      </c>
      <c r="V639" s="6">
        <v>593.54140451592798</v>
      </c>
      <c r="W639" s="5">
        <v>5763.28703784966</v>
      </c>
      <c r="X639" s="6">
        <v>593.54140451592798</v>
      </c>
      <c r="Y639" s="5">
        <v>6517.0846215848887</v>
      </c>
      <c r="Z639" s="6">
        <v>284.39884178951678</v>
      </c>
      <c r="AA639" s="5">
        <v>2809.191383135038</v>
      </c>
      <c r="AB639" s="6">
        <v>284.39884178951678</v>
      </c>
      <c r="AC639" s="5">
        <v>2809.191383135038</v>
      </c>
      <c r="AD639" s="6">
        <v>0</v>
      </c>
      <c r="AE639" s="5">
        <v>0</v>
      </c>
      <c r="AF639" s="6">
        <v>568.79768357903356</v>
      </c>
      <c r="AG639" s="5">
        <v>5618.3827662700769</v>
      </c>
      <c r="AH639" s="7">
        <f t="shared" si="72"/>
        <v>2819.2960132865296</v>
      </c>
      <c r="AI639" s="8">
        <f t="shared" si="73"/>
        <v>27848.010973592594</v>
      </c>
      <c r="AJ639" s="6">
        <v>0</v>
      </c>
      <c r="AK639" s="5">
        <v>0</v>
      </c>
      <c r="AL639" s="6">
        <v>0</v>
      </c>
      <c r="AM639" s="5">
        <v>0</v>
      </c>
      <c r="AN639" s="6">
        <v>320</v>
      </c>
      <c r="AO639" s="5">
        <v>2781.897178426359</v>
      </c>
      <c r="AP639" s="6">
        <v>210</v>
      </c>
      <c r="AQ639" s="5">
        <v>2053.2752780516498</v>
      </c>
      <c r="AR639" s="6">
        <v>0</v>
      </c>
      <c r="AS639" s="5">
        <v>0</v>
      </c>
      <c r="AT639" s="6">
        <v>0</v>
      </c>
      <c r="AU639" s="5">
        <v>0</v>
      </c>
      <c r="AV639" s="6">
        <v>635</v>
      </c>
      <c r="AW639" s="5">
        <v>6427.1435542566587</v>
      </c>
      <c r="AX639" s="6">
        <v>635</v>
      </c>
      <c r="AY639" s="5">
        <v>7267.7689212912583</v>
      </c>
      <c r="AZ639" s="6">
        <v>305</v>
      </c>
      <c r="BA639" s="5">
        <v>3140.3524194926358</v>
      </c>
      <c r="BB639" s="6">
        <v>305</v>
      </c>
      <c r="BC639" s="5">
        <v>3140.3524194926358</v>
      </c>
      <c r="BD639" s="6">
        <v>0</v>
      </c>
      <c r="BE639" s="5">
        <v>0</v>
      </c>
      <c r="BF639" s="6">
        <v>610</v>
      </c>
      <c r="BG639" s="5">
        <v>6280.7048389852716</v>
      </c>
      <c r="BH639" s="9">
        <f t="shared" si="74"/>
        <v>3020</v>
      </c>
      <c r="BI639" s="10">
        <f t="shared" si="75"/>
        <v>31091.494609996469</v>
      </c>
      <c r="BJ639" s="6">
        <f t="shared" si="76"/>
        <v>200.70398671347039</v>
      </c>
      <c r="BK639" s="11">
        <f t="shared" si="77"/>
        <v>7.118939826382556E-2</v>
      </c>
      <c r="BL639" s="5">
        <f t="shared" si="78"/>
        <v>3243.4836364038747</v>
      </c>
      <c r="BM639" s="11">
        <f t="shared" si="79"/>
        <v>0.11647092639684643</v>
      </c>
    </row>
    <row r="640" spans="1:65" ht="15" customHeight="1" x14ac:dyDescent="0.4">
      <c r="A640" s="2" t="s">
        <v>553</v>
      </c>
      <c r="B640" s="2" t="s">
        <v>66</v>
      </c>
      <c r="C640" s="2" t="s">
        <v>573</v>
      </c>
      <c r="D640" s="3" t="s">
        <v>68</v>
      </c>
      <c r="E640" s="3" t="s">
        <v>347</v>
      </c>
      <c r="F640" s="2" t="s">
        <v>348</v>
      </c>
      <c r="G640" s="4">
        <v>5</v>
      </c>
      <c r="H640" s="5">
        <v>4.3600000000000003</v>
      </c>
      <c r="I640" s="5">
        <v>4.5447660738680042</v>
      </c>
      <c r="J640" s="6">
        <v>0</v>
      </c>
      <c r="K640" s="5">
        <v>0</v>
      </c>
      <c r="L640" s="6">
        <v>0</v>
      </c>
      <c r="M640" s="5">
        <v>0</v>
      </c>
      <c r="N640" s="6">
        <v>0</v>
      </c>
      <c r="O640" s="5">
        <v>0</v>
      </c>
      <c r="P640" s="6">
        <v>0</v>
      </c>
      <c r="Q640" s="5">
        <v>0</v>
      </c>
      <c r="R640" s="6">
        <v>0</v>
      </c>
      <c r="S640" s="5">
        <v>0</v>
      </c>
      <c r="T640" s="6">
        <v>0</v>
      </c>
      <c r="U640" s="5">
        <v>0</v>
      </c>
      <c r="V640" s="6">
        <v>0</v>
      </c>
      <c r="W640" s="5">
        <v>0</v>
      </c>
      <c r="X640" s="6">
        <v>197.84713483864269</v>
      </c>
      <c r="Y640" s="5">
        <v>862.61350789648191</v>
      </c>
      <c r="Z640" s="6">
        <v>0</v>
      </c>
      <c r="AA640" s="5">
        <v>0</v>
      </c>
      <c r="AB640" s="6">
        <v>0</v>
      </c>
      <c r="AC640" s="5">
        <v>0</v>
      </c>
      <c r="AD640" s="6">
        <v>94.799613929838927</v>
      </c>
      <c r="AE640" s="5">
        <v>413.32631673409782</v>
      </c>
      <c r="AF640" s="6">
        <v>0</v>
      </c>
      <c r="AG640" s="5">
        <v>0</v>
      </c>
      <c r="AH640" s="7">
        <f t="shared" si="72"/>
        <v>292.64674876848164</v>
      </c>
      <c r="AI640" s="8">
        <f t="shared" si="73"/>
        <v>1275.9398246305798</v>
      </c>
      <c r="AJ640" s="6">
        <v>0</v>
      </c>
      <c r="AK640" s="5">
        <v>0</v>
      </c>
      <c r="AL640" s="6">
        <v>0</v>
      </c>
      <c r="AM640" s="5">
        <v>0</v>
      </c>
      <c r="AN640" s="6">
        <v>0</v>
      </c>
      <c r="AO640" s="5">
        <v>0</v>
      </c>
      <c r="AP640" s="6">
        <v>0</v>
      </c>
      <c r="AQ640" s="5">
        <v>0</v>
      </c>
      <c r="AR640" s="6">
        <v>0</v>
      </c>
      <c r="AS640" s="5">
        <v>0</v>
      </c>
      <c r="AT640" s="6">
        <v>0</v>
      </c>
      <c r="AU640" s="5">
        <v>0</v>
      </c>
      <c r="AV640" s="6">
        <v>0</v>
      </c>
      <c r="AW640" s="5">
        <v>0</v>
      </c>
      <c r="AX640" s="6">
        <v>215</v>
      </c>
      <c r="AY640" s="5">
        <v>977.1247058816208</v>
      </c>
      <c r="AZ640" s="6">
        <v>0</v>
      </c>
      <c r="BA640" s="5">
        <v>0</v>
      </c>
      <c r="BB640" s="6">
        <v>0</v>
      </c>
      <c r="BC640" s="5">
        <v>0</v>
      </c>
      <c r="BD640" s="6">
        <v>105</v>
      </c>
      <c r="BE640" s="5">
        <v>477.20043775614039</v>
      </c>
      <c r="BF640" s="6">
        <v>0</v>
      </c>
      <c r="BG640" s="5">
        <v>0</v>
      </c>
      <c r="BH640" s="9">
        <f t="shared" si="74"/>
        <v>320</v>
      </c>
      <c r="BI640" s="10">
        <f t="shared" si="75"/>
        <v>1454.3251436377611</v>
      </c>
      <c r="BJ640" s="6">
        <f t="shared" si="76"/>
        <v>27.353251231518357</v>
      </c>
      <c r="BK640" s="11">
        <f t="shared" si="77"/>
        <v>9.34684951964323E-2</v>
      </c>
      <c r="BL640" s="5">
        <f t="shared" si="78"/>
        <v>178.38531900718135</v>
      </c>
      <c r="BM640" s="11">
        <f t="shared" si="79"/>
        <v>0.13980699995693674</v>
      </c>
    </row>
    <row r="641" spans="1:65" ht="15" customHeight="1" x14ac:dyDescent="0.4">
      <c r="A641" s="2" t="s">
        <v>553</v>
      </c>
      <c r="B641" s="2" t="s">
        <v>66</v>
      </c>
      <c r="C641" s="2" t="s">
        <v>573</v>
      </c>
      <c r="D641" s="3" t="s">
        <v>68</v>
      </c>
      <c r="E641" s="3" t="s">
        <v>264</v>
      </c>
      <c r="F641" s="2" t="s">
        <v>265</v>
      </c>
      <c r="G641" s="4">
        <v>20</v>
      </c>
      <c r="H641" s="5">
        <v>2.15</v>
      </c>
      <c r="I641" s="5">
        <v>2.241111710737663</v>
      </c>
      <c r="J641" s="6">
        <v>633.11083148365651</v>
      </c>
      <c r="K641" s="5">
        <v>1361.188287689861</v>
      </c>
      <c r="L641" s="6">
        <v>0</v>
      </c>
      <c r="M641" s="5">
        <v>0</v>
      </c>
      <c r="N641" s="6">
        <v>0</v>
      </c>
      <c r="O641" s="5">
        <v>0</v>
      </c>
      <c r="P641" s="6">
        <v>1266.221662967313</v>
      </c>
      <c r="Q641" s="5">
        <v>2722.3765753797229</v>
      </c>
      <c r="R641" s="6">
        <v>0</v>
      </c>
      <c r="S641" s="5">
        <v>0</v>
      </c>
      <c r="T641" s="6">
        <v>0</v>
      </c>
      <c r="U641" s="5">
        <v>0</v>
      </c>
      <c r="V641" s="6">
        <v>0</v>
      </c>
      <c r="W641" s="5">
        <v>0</v>
      </c>
      <c r="X641" s="6">
        <v>0</v>
      </c>
      <c r="Y641" s="5">
        <v>0</v>
      </c>
      <c r="Z641" s="6">
        <v>606.7175291509692</v>
      </c>
      <c r="AA641" s="5">
        <v>1304.442687674584</v>
      </c>
      <c r="AB641" s="6">
        <v>1213.4350583019379</v>
      </c>
      <c r="AC641" s="5">
        <v>2608.885375349168</v>
      </c>
      <c r="AD641" s="6">
        <v>1213.4350583019379</v>
      </c>
      <c r="AE641" s="5">
        <v>2608.885375349168</v>
      </c>
      <c r="AF641" s="6">
        <v>0</v>
      </c>
      <c r="AG641" s="5">
        <v>0</v>
      </c>
      <c r="AH641" s="7">
        <f t="shared" si="72"/>
        <v>4932.9201402058143</v>
      </c>
      <c r="AI641" s="8">
        <f t="shared" si="73"/>
        <v>10605.778301442504</v>
      </c>
      <c r="AJ641" s="6">
        <v>680</v>
      </c>
      <c r="AK641" s="5">
        <v>1523.9559633016111</v>
      </c>
      <c r="AL641" s="6">
        <v>0</v>
      </c>
      <c r="AM641" s="5">
        <v>0</v>
      </c>
      <c r="AN641" s="6">
        <v>0</v>
      </c>
      <c r="AO641" s="5">
        <v>0</v>
      </c>
      <c r="AP641" s="6">
        <v>1360</v>
      </c>
      <c r="AQ641" s="5">
        <v>3047.9119266032212</v>
      </c>
      <c r="AR641" s="6">
        <v>0</v>
      </c>
      <c r="AS641" s="5">
        <v>0</v>
      </c>
      <c r="AT641" s="6">
        <v>0</v>
      </c>
      <c r="AU641" s="5">
        <v>0</v>
      </c>
      <c r="AV641" s="6">
        <v>0</v>
      </c>
      <c r="AW641" s="5">
        <v>0</v>
      </c>
      <c r="AX641" s="6">
        <v>0</v>
      </c>
      <c r="AY641" s="5">
        <v>0</v>
      </c>
      <c r="AZ641" s="6">
        <v>640</v>
      </c>
      <c r="BA641" s="5">
        <v>1434.311494872104</v>
      </c>
      <c r="BB641" s="6">
        <v>1300</v>
      </c>
      <c r="BC641" s="5">
        <v>2913.4452239589609</v>
      </c>
      <c r="BD641" s="6">
        <v>1300</v>
      </c>
      <c r="BE641" s="5">
        <v>2913.4452239589609</v>
      </c>
      <c r="BF641" s="6">
        <v>0</v>
      </c>
      <c r="BG641" s="5">
        <v>0</v>
      </c>
      <c r="BH641" s="9">
        <f t="shared" si="74"/>
        <v>5280</v>
      </c>
      <c r="BI641" s="10">
        <f t="shared" si="75"/>
        <v>11833.069832694857</v>
      </c>
      <c r="BJ641" s="6">
        <f t="shared" si="76"/>
        <v>347.07985979418572</v>
      </c>
      <c r="BK641" s="11">
        <f t="shared" si="77"/>
        <v>7.0359918654532408E-2</v>
      </c>
      <c r="BL641" s="5">
        <f t="shared" si="78"/>
        <v>1227.2915312523528</v>
      </c>
      <c r="BM641" s="11">
        <f t="shared" si="79"/>
        <v>0.11571913879110857</v>
      </c>
    </row>
    <row r="642" spans="1:65" ht="15" customHeight="1" x14ac:dyDescent="0.4">
      <c r="A642" s="2" t="s">
        <v>553</v>
      </c>
      <c r="B642" s="2" t="s">
        <v>66</v>
      </c>
      <c r="C642" s="2" t="s">
        <v>573</v>
      </c>
      <c r="D642" s="3" t="s">
        <v>68</v>
      </c>
      <c r="E642" s="3" t="s">
        <v>266</v>
      </c>
      <c r="F642" s="2" t="s">
        <v>267</v>
      </c>
      <c r="G642" s="4">
        <v>20</v>
      </c>
      <c r="H642" s="5">
        <v>2.96</v>
      </c>
      <c r="I642" s="5">
        <v>3.085437518038828</v>
      </c>
      <c r="J642" s="6">
        <v>0</v>
      </c>
      <c r="K642" s="5">
        <v>0</v>
      </c>
      <c r="L642" s="6">
        <v>0</v>
      </c>
      <c r="M642" s="5">
        <v>0</v>
      </c>
      <c r="N642" s="6">
        <v>0</v>
      </c>
      <c r="O642" s="5">
        <v>0</v>
      </c>
      <c r="P642" s="6">
        <v>0</v>
      </c>
      <c r="Q642" s="5">
        <v>0</v>
      </c>
      <c r="R642" s="6">
        <v>0</v>
      </c>
      <c r="S642" s="5">
        <v>0</v>
      </c>
      <c r="T642" s="6">
        <v>0</v>
      </c>
      <c r="U642" s="5">
        <v>0</v>
      </c>
      <c r="V642" s="6">
        <v>197.84713483864269</v>
      </c>
      <c r="W642" s="5">
        <v>585.62751912238218</v>
      </c>
      <c r="X642" s="6">
        <v>0</v>
      </c>
      <c r="Y642" s="5">
        <v>0</v>
      </c>
      <c r="Z642" s="6">
        <v>0</v>
      </c>
      <c r="AA642" s="5">
        <v>0</v>
      </c>
      <c r="AB642" s="6">
        <v>0</v>
      </c>
      <c r="AC642" s="5">
        <v>0</v>
      </c>
      <c r="AD642" s="6">
        <v>0</v>
      </c>
      <c r="AE642" s="5">
        <v>0</v>
      </c>
      <c r="AF642" s="6">
        <v>0</v>
      </c>
      <c r="AG642" s="5">
        <v>0</v>
      </c>
      <c r="AH642" s="7">
        <f t="shared" ref="AH642:AH705" si="80">J642+L642+N642+P642+R642+T642+V642+X642+Z642+AB642+AD642+AF642</f>
        <v>197.84713483864269</v>
      </c>
      <c r="AI642" s="8">
        <f t="shared" ref="AI642:AI705" si="81">K642+M642+O642+Q642+S642+U642+W642+Y642+AA642+AC642+AE642+AG642</f>
        <v>585.62751912238218</v>
      </c>
      <c r="AJ642" s="6">
        <v>0</v>
      </c>
      <c r="AK642" s="5">
        <v>0</v>
      </c>
      <c r="AL642" s="6">
        <v>0</v>
      </c>
      <c r="AM642" s="5">
        <v>0</v>
      </c>
      <c r="AN642" s="6">
        <v>0</v>
      </c>
      <c r="AO642" s="5">
        <v>0</v>
      </c>
      <c r="AP642" s="6">
        <v>0</v>
      </c>
      <c r="AQ642" s="5">
        <v>0</v>
      </c>
      <c r="AR642" s="6">
        <v>0</v>
      </c>
      <c r="AS642" s="5">
        <v>0</v>
      </c>
      <c r="AT642" s="6">
        <v>0</v>
      </c>
      <c r="AU642" s="5">
        <v>0</v>
      </c>
      <c r="AV642" s="6">
        <v>220</v>
      </c>
      <c r="AW642" s="5">
        <v>678.79625396854226</v>
      </c>
      <c r="AX642" s="6">
        <v>0</v>
      </c>
      <c r="AY642" s="5">
        <v>0</v>
      </c>
      <c r="AZ642" s="6">
        <v>0</v>
      </c>
      <c r="BA642" s="5">
        <v>0</v>
      </c>
      <c r="BB642" s="6">
        <v>0</v>
      </c>
      <c r="BC642" s="5">
        <v>0</v>
      </c>
      <c r="BD642" s="6">
        <v>0</v>
      </c>
      <c r="BE642" s="5">
        <v>0</v>
      </c>
      <c r="BF642" s="6">
        <v>0</v>
      </c>
      <c r="BG642" s="5">
        <v>0</v>
      </c>
      <c r="BH642" s="9">
        <f t="shared" ref="BH642:BH705" si="82">AJ642+AL642+AN642+AP642+AR642+AT642+AV642+AX642+AZ642+BB642+BD642+BF642</f>
        <v>220</v>
      </c>
      <c r="BI642" s="10">
        <f t="shared" ref="BI642:BI705" si="83">AK642+AM642+AO642+AQ642+AS642+AU642+AW642+AY642+BA642+BC642+BE642+BG642</f>
        <v>678.79625396854226</v>
      </c>
      <c r="BJ642" s="6">
        <f t="shared" ref="BJ642:BJ705" si="84">BH642-AH642</f>
        <v>22.152865161357312</v>
      </c>
      <c r="BK642" s="11">
        <f t="shared" ref="BK642:BK705" si="85">IF(AH642&gt;0, BJ642/AH642, 0)</f>
        <v>0.11196960309495725</v>
      </c>
      <c r="BL642" s="5">
        <f t="shared" ref="BL642:BL705" si="86">BI642-AI642</f>
        <v>93.168734846160078</v>
      </c>
      <c r="BM642" s="11">
        <f t="shared" ref="BM642:BM705" si="87">IF(AI642&gt;0, BL642/AI642, 0)</f>
        <v>0.15909213929321861</v>
      </c>
    </row>
    <row r="643" spans="1:65" ht="15" customHeight="1" x14ac:dyDescent="0.4">
      <c r="A643" s="2" t="s">
        <v>553</v>
      </c>
      <c r="B643" s="2" t="s">
        <v>66</v>
      </c>
      <c r="C643" s="2" t="s">
        <v>573</v>
      </c>
      <c r="D643" s="3" t="s">
        <v>68</v>
      </c>
      <c r="E643" s="3" t="s">
        <v>147</v>
      </c>
      <c r="F643" s="2" t="s">
        <v>148</v>
      </c>
      <c r="G643" s="4">
        <v>5</v>
      </c>
      <c r="H643" s="5">
        <v>3.18</v>
      </c>
      <c r="I643" s="5">
        <v>3.314760576811985</v>
      </c>
      <c r="J643" s="6">
        <v>0</v>
      </c>
      <c r="K643" s="5">
        <v>0</v>
      </c>
      <c r="L643" s="6">
        <v>0</v>
      </c>
      <c r="M643" s="5">
        <v>0</v>
      </c>
      <c r="N643" s="6">
        <v>0</v>
      </c>
      <c r="O643" s="5">
        <v>0</v>
      </c>
      <c r="P643" s="6">
        <v>0</v>
      </c>
      <c r="Q643" s="5">
        <v>0</v>
      </c>
      <c r="R643" s="6">
        <v>0</v>
      </c>
      <c r="S643" s="5">
        <v>0</v>
      </c>
      <c r="T643" s="6">
        <v>0</v>
      </c>
      <c r="U643" s="5">
        <v>0</v>
      </c>
      <c r="V643" s="6">
        <v>98.92356741932133</v>
      </c>
      <c r="W643" s="5">
        <v>314.57694439344181</v>
      </c>
      <c r="X643" s="6">
        <v>0</v>
      </c>
      <c r="Y643" s="5">
        <v>0</v>
      </c>
      <c r="Z643" s="6">
        <v>0</v>
      </c>
      <c r="AA643" s="5">
        <v>0</v>
      </c>
      <c r="AB643" s="6">
        <v>0</v>
      </c>
      <c r="AC643" s="5">
        <v>0</v>
      </c>
      <c r="AD643" s="6">
        <v>0</v>
      </c>
      <c r="AE643" s="5">
        <v>0</v>
      </c>
      <c r="AF643" s="6">
        <v>0</v>
      </c>
      <c r="AG643" s="5">
        <v>0</v>
      </c>
      <c r="AH643" s="7">
        <f t="shared" si="80"/>
        <v>98.92356741932133</v>
      </c>
      <c r="AI643" s="8">
        <f t="shared" si="81"/>
        <v>314.57694439344181</v>
      </c>
      <c r="AJ643" s="6">
        <v>0</v>
      </c>
      <c r="AK643" s="5">
        <v>0</v>
      </c>
      <c r="AL643" s="6">
        <v>0</v>
      </c>
      <c r="AM643" s="5">
        <v>0</v>
      </c>
      <c r="AN643" s="6">
        <v>0</v>
      </c>
      <c r="AO643" s="5">
        <v>0</v>
      </c>
      <c r="AP643" s="6">
        <v>0</v>
      </c>
      <c r="AQ643" s="5">
        <v>0</v>
      </c>
      <c r="AR643" s="6">
        <v>0</v>
      </c>
      <c r="AS643" s="5">
        <v>0</v>
      </c>
      <c r="AT643" s="6">
        <v>0</v>
      </c>
      <c r="AU643" s="5">
        <v>0</v>
      </c>
      <c r="AV643" s="6">
        <v>125</v>
      </c>
      <c r="AW643" s="5">
        <v>414.34507210149809</v>
      </c>
      <c r="AX643" s="6">
        <v>0</v>
      </c>
      <c r="AY643" s="5">
        <v>0</v>
      </c>
      <c r="AZ643" s="6">
        <v>0</v>
      </c>
      <c r="BA643" s="5">
        <v>0</v>
      </c>
      <c r="BB643" s="6">
        <v>0</v>
      </c>
      <c r="BC643" s="5">
        <v>0</v>
      </c>
      <c r="BD643" s="6">
        <v>0</v>
      </c>
      <c r="BE643" s="5">
        <v>0</v>
      </c>
      <c r="BF643" s="6">
        <v>0</v>
      </c>
      <c r="BG643" s="5">
        <v>0</v>
      </c>
      <c r="BH643" s="9">
        <f t="shared" si="82"/>
        <v>125</v>
      </c>
      <c r="BI643" s="10">
        <f t="shared" si="83"/>
        <v>414.34507210149809</v>
      </c>
      <c r="BJ643" s="6">
        <f t="shared" si="84"/>
        <v>26.07643258067867</v>
      </c>
      <c r="BK643" s="11">
        <f t="shared" si="85"/>
        <v>0.26360182169881524</v>
      </c>
      <c r="BL643" s="5">
        <f t="shared" si="86"/>
        <v>99.768127708056284</v>
      </c>
      <c r="BM643" s="11">
        <f t="shared" si="87"/>
        <v>0.31715015828774834</v>
      </c>
    </row>
    <row r="644" spans="1:65" ht="15" customHeight="1" x14ac:dyDescent="0.4">
      <c r="A644" s="2" t="s">
        <v>553</v>
      </c>
      <c r="B644" s="2" t="s">
        <v>66</v>
      </c>
      <c r="C644" s="2" t="s">
        <v>573</v>
      </c>
      <c r="D644" s="3" t="s">
        <v>68</v>
      </c>
      <c r="E644" s="3" t="s">
        <v>182</v>
      </c>
      <c r="F644" s="2" t="s">
        <v>568</v>
      </c>
      <c r="G644" s="4">
        <v>5</v>
      </c>
      <c r="H644" s="5">
        <v>7.02</v>
      </c>
      <c r="I644" s="5">
        <v>7.3174903299434373</v>
      </c>
      <c r="J644" s="6">
        <v>197.84713483864269</v>
      </c>
      <c r="K644" s="5">
        <v>1388.8868865672709</v>
      </c>
      <c r="L644" s="6">
        <v>0</v>
      </c>
      <c r="M644" s="5">
        <v>0</v>
      </c>
      <c r="N644" s="6">
        <v>0</v>
      </c>
      <c r="O644" s="5">
        <v>0</v>
      </c>
      <c r="P644" s="6">
        <v>0</v>
      </c>
      <c r="Q644" s="5">
        <v>0</v>
      </c>
      <c r="R644" s="6">
        <v>0</v>
      </c>
      <c r="S644" s="5">
        <v>0</v>
      </c>
      <c r="T644" s="6">
        <v>0</v>
      </c>
      <c r="U644" s="5">
        <v>0</v>
      </c>
      <c r="V644" s="6">
        <v>0</v>
      </c>
      <c r="W644" s="5">
        <v>0</v>
      </c>
      <c r="X644" s="6">
        <v>0</v>
      </c>
      <c r="Y644" s="5">
        <v>0</v>
      </c>
      <c r="Z644" s="6">
        <v>0</v>
      </c>
      <c r="AA644" s="5">
        <v>0</v>
      </c>
      <c r="AB644" s="6">
        <v>0</v>
      </c>
      <c r="AC644" s="5">
        <v>0</v>
      </c>
      <c r="AD644" s="6">
        <v>0</v>
      </c>
      <c r="AE644" s="5">
        <v>0</v>
      </c>
      <c r="AF644" s="6">
        <v>0</v>
      </c>
      <c r="AG644" s="5">
        <v>0</v>
      </c>
      <c r="AH644" s="7">
        <f t="shared" si="80"/>
        <v>197.84713483864269</v>
      </c>
      <c r="AI644" s="8">
        <f t="shared" si="81"/>
        <v>1388.8868865672709</v>
      </c>
      <c r="AJ644" s="6">
        <v>250</v>
      </c>
      <c r="AK644" s="5">
        <v>1829.3725824858591</v>
      </c>
      <c r="AL644" s="6">
        <v>0</v>
      </c>
      <c r="AM644" s="5">
        <v>0</v>
      </c>
      <c r="AN644" s="6">
        <v>0</v>
      </c>
      <c r="AO644" s="5">
        <v>0</v>
      </c>
      <c r="AP644" s="6">
        <v>0</v>
      </c>
      <c r="AQ644" s="5">
        <v>0</v>
      </c>
      <c r="AR644" s="6">
        <v>0</v>
      </c>
      <c r="AS644" s="5">
        <v>0</v>
      </c>
      <c r="AT644" s="6">
        <v>0</v>
      </c>
      <c r="AU644" s="5">
        <v>0</v>
      </c>
      <c r="AV644" s="6">
        <v>0</v>
      </c>
      <c r="AW644" s="5">
        <v>0</v>
      </c>
      <c r="AX644" s="6">
        <v>0</v>
      </c>
      <c r="AY644" s="5">
        <v>0</v>
      </c>
      <c r="AZ644" s="6">
        <v>0</v>
      </c>
      <c r="BA644" s="5">
        <v>0</v>
      </c>
      <c r="BB644" s="6">
        <v>0</v>
      </c>
      <c r="BC644" s="5">
        <v>0</v>
      </c>
      <c r="BD644" s="6">
        <v>0</v>
      </c>
      <c r="BE644" s="5">
        <v>0</v>
      </c>
      <c r="BF644" s="6">
        <v>0</v>
      </c>
      <c r="BG644" s="5">
        <v>0</v>
      </c>
      <c r="BH644" s="9">
        <f t="shared" si="82"/>
        <v>250</v>
      </c>
      <c r="BI644" s="10">
        <f t="shared" si="83"/>
        <v>1829.3725824858591</v>
      </c>
      <c r="BJ644" s="6">
        <f t="shared" si="84"/>
        <v>52.152865161357312</v>
      </c>
      <c r="BK644" s="11">
        <f t="shared" si="85"/>
        <v>0.26360182169881508</v>
      </c>
      <c r="BL644" s="5">
        <f t="shared" si="86"/>
        <v>440.48569591858814</v>
      </c>
      <c r="BM644" s="11">
        <f t="shared" si="87"/>
        <v>0.31715015828774845</v>
      </c>
    </row>
    <row r="645" spans="1:65" ht="15" customHeight="1" x14ac:dyDescent="0.4">
      <c r="A645" s="2" t="s">
        <v>553</v>
      </c>
      <c r="B645" s="2" t="s">
        <v>66</v>
      </c>
      <c r="C645" s="2" t="s">
        <v>573</v>
      </c>
      <c r="D645" s="3" t="s">
        <v>68</v>
      </c>
      <c r="E645" s="3" t="s">
        <v>182</v>
      </c>
      <c r="F645" s="2" t="s">
        <v>183</v>
      </c>
      <c r="G645" s="4">
        <v>5</v>
      </c>
      <c r="H645" s="5">
        <v>7.1599999999999993</v>
      </c>
      <c r="I645" s="5">
        <v>7.4634231855263549</v>
      </c>
      <c r="J645" s="6">
        <v>0</v>
      </c>
      <c r="K645" s="5">
        <v>0</v>
      </c>
      <c r="L645" s="6">
        <v>0</v>
      </c>
      <c r="M645" s="5">
        <v>0</v>
      </c>
      <c r="N645" s="6">
        <v>0</v>
      </c>
      <c r="O645" s="5">
        <v>0</v>
      </c>
      <c r="P645" s="6">
        <v>0</v>
      </c>
      <c r="Q645" s="5">
        <v>0</v>
      </c>
      <c r="R645" s="6">
        <v>0</v>
      </c>
      <c r="S645" s="5">
        <v>0</v>
      </c>
      <c r="T645" s="6">
        <v>0</v>
      </c>
      <c r="U645" s="5">
        <v>0</v>
      </c>
      <c r="V645" s="6">
        <v>0</v>
      </c>
      <c r="W645" s="5">
        <v>0</v>
      </c>
      <c r="X645" s="6">
        <v>197.84713483864269</v>
      </c>
      <c r="Y645" s="5">
        <v>1416.5854854446809</v>
      </c>
      <c r="Z645" s="6">
        <v>0</v>
      </c>
      <c r="AA645" s="5">
        <v>0</v>
      </c>
      <c r="AB645" s="6">
        <v>0</v>
      </c>
      <c r="AC645" s="5">
        <v>0</v>
      </c>
      <c r="AD645" s="6">
        <v>0</v>
      </c>
      <c r="AE645" s="5">
        <v>0</v>
      </c>
      <c r="AF645" s="6">
        <v>0</v>
      </c>
      <c r="AG645" s="5">
        <v>0</v>
      </c>
      <c r="AH645" s="7">
        <f t="shared" si="80"/>
        <v>197.84713483864269</v>
      </c>
      <c r="AI645" s="8">
        <f t="shared" si="81"/>
        <v>1416.5854854446809</v>
      </c>
      <c r="AJ645" s="6">
        <v>0</v>
      </c>
      <c r="AK645" s="5">
        <v>0</v>
      </c>
      <c r="AL645" s="6">
        <v>0</v>
      </c>
      <c r="AM645" s="5">
        <v>0</v>
      </c>
      <c r="AN645" s="6">
        <v>0</v>
      </c>
      <c r="AO645" s="5">
        <v>0</v>
      </c>
      <c r="AP645" s="6">
        <v>0</v>
      </c>
      <c r="AQ645" s="5">
        <v>0</v>
      </c>
      <c r="AR645" s="6">
        <v>0</v>
      </c>
      <c r="AS645" s="5">
        <v>0</v>
      </c>
      <c r="AT645" s="6">
        <v>0</v>
      </c>
      <c r="AU645" s="5">
        <v>0</v>
      </c>
      <c r="AV645" s="6">
        <v>0</v>
      </c>
      <c r="AW645" s="5">
        <v>0</v>
      </c>
      <c r="AX645" s="6">
        <v>250</v>
      </c>
      <c r="AY645" s="5">
        <v>1865.855796381589</v>
      </c>
      <c r="AZ645" s="6">
        <v>0</v>
      </c>
      <c r="BA645" s="5">
        <v>0</v>
      </c>
      <c r="BB645" s="6">
        <v>0</v>
      </c>
      <c r="BC645" s="5">
        <v>0</v>
      </c>
      <c r="BD645" s="6">
        <v>0</v>
      </c>
      <c r="BE645" s="5">
        <v>0</v>
      </c>
      <c r="BF645" s="6">
        <v>0</v>
      </c>
      <c r="BG645" s="5">
        <v>0</v>
      </c>
      <c r="BH645" s="9">
        <f t="shared" si="82"/>
        <v>250</v>
      </c>
      <c r="BI645" s="10">
        <f t="shared" si="83"/>
        <v>1865.855796381589</v>
      </c>
      <c r="BJ645" s="6">
        <f t="shared" si="84"/>
        <v>52.152865161357312</v>
      </c>
      <c r="BK645" s="11">
        <f t="shared" si="85"/>
        <v>0.26360182169881508</v>
      </c>
      <c r="BL645" s="5">
        <f t="shared" si="86"/>
        <v>449.27031093690812</v>
      </c>
      <c r="BM645" s="11">
        <f t="shared" si="87"/>
        <v>0.3171501582877489</v>
      </c>
    </row>
    <row r="646" spans="1:65" ht="15" customHeight="1" x14ac:dyDescent="0.4">
      <c r="A646" s="2" t="s">
        <v>553</v>
      </c>
      <c r="B646" s="2" t="s">
        <v>66</v>
      </c>
      <c r="C646" s="2" t="s">
        <v>573</v>
      </c>
      <c r="D646" s="3" t="s">
        <v>68</v>
      </c>
      <c r="E646" s="3" t="s">
        <v>77</v>
      </c>
      <c r="F646" s="2" t="s">
        <v>78</v>
      </c>
      <c r="G646" s="4">
        <v>20</v>
      </c>
      <c r="H646" s="5">
        <v>3.633999999999999</v>
      </c>
      <c r="I646" s="5">
        <v>3.787999979916588</v>
      </c>
      <c r="J646" s="6">
        <v>0</v>
      </c>
      <c r="K646" s="5">
        <v>0</v>
      </c>
      <c r="L646" s="6">
        <v>0</v>
      </c>
      <c r="M646" s="5">
        <v>0</v>
      </c>
      <c r="N646" s="6">
        <v>0</v>
      </c>
      <c r="O646" s="5">
        <v>0</v>
      </c>
      <c r="P646" s="6">
        <v>0</v>
      </c>
      <c r="Q646" s="5">
        <v>0</v>
      </c>
      <c r="R646" s="6">
        <v>0</v>
      </c>
      <c r="S646" s="5">
        <v>0</v>
      </c>
      <c r="T646" s="6">
        <v>0</v>
      </c>
      <c r="U646" s="5">
        <v>0</v>
      </c>
      <c r="V646" s="6">
        <v>0</v>
      </c>
      <c r="W646" s="5">
        <v>0</v>
      </c>
      <c r="X646" s="6">
        <v>0</v>
      </c>
      <c r="Y646" s="5">
        <v>0</v>
      </c>
      <c r="Z646" s="6">
        <v>1213.4350583019379</v>
      </c>
      <c r="AA646" s="5">
        <v>4409.6230018692431</v>
      </c>
      <c r="AB646" s="6">
        <v>1213.4350583019379</v>
      </c>
      <c r="AC646" s="5">
        <v>4409.6230018692431</v>
      </c>
      <c r="AD646" s="6">
        <v>1820.152587452907</v>
      </c>
      <c r="AE646" s="5">
        <v>6614.4345028038661</v>
      </c>
      <c r="AF646" s="6">
        <v>1213.4350583019379</v>
      </c>
      <c r="AG646" s="5">
        <v>4409.6230018692431</v>
      </c>
      <c r="AH646" s="7">
        <f t="shared" si="80"/>
        <v>5460.4577623587202</v>
      </c>
      <c r="AI646" s="8">
        <f t="shared" si="81"/>
        <v>19843.303508411595</v>
      </c>
      <c r="AJ646" s="6">
        <v>0</v>
      </c>
      <c r="AK646" s="5">
        <v>0</v>
      </c>
      <c r="AL646" s="6">
        <v>0</v>
      </c>
      <c r="AM646" s="5">
        <v>0</v>
      </c>
      <c r="AN646" s="6">
        <v>0</v>
      </c>
      <c r="AO646" s="5">
        <v>0</v>
      </c>
      <c r="AP646" s="6">
        <v>0</v>
      </c>
      <c r="AQ646" s="5">
        <v>0</v>
      </c>
      <c r="AR646" s="6">
        <v>0</v>
      </c>
      <c r="AS646" s="5">
        <v>0</v>
      </c>
      <c r="AT646" s="6">
        <v>0</v>
      </c>
      <c r="AU646" s="5">
        <v>0</v>
      </c>
      <c r="AV646" s="6">
        <v>0</v>
      </c>
      <c r="AW646" s="5">
        <v>0</v>
      </c>
      <c r="AX646" s="6">
        <v>0</v>
      </c>
      <c r="AY646" s="5">
        <v>0</v>
      </c>
      <c r="AZ646" s="6">
        <v>1320</v>
      </c>
      <c r="BA646" s="5">
        <v>5000.1599734898973</v>
      </c>
      <c r="BB646" s="6">
        <v>1320</v>
      </c>
      <c r="BC646" s="5">
        <v>5000.1599734898973</v>
      </c>
      <c r="BD646" s="6">
        <v>1980</v>
      </c>
      <c r="BE646" s="5">
        <v>7500.239960234846</v>
      </c>
      <c r="BF646" s="6">
        <v>1320</v>
      </c>
      <c r="BG646" s="5">
        <v>5000.1599734898973</v>
      </c>
      <c r="BH646" s="9">
        <f t="shared" si="82"/>
        <v>5940</v>
      </c>
      <c r="BI646" s="10">
        <f t="shared" si="83"/>
        <v>22500.719880704535</v>
      </c>
      <c r="BJ646" s="6">
        <f t="shared" si="84"/>
        <v>479.54223764127983</v>
      </c>
      <c r="BK646" s="11">
        <f t="shared" si="85"/>
        <v>8.7820885814183999E-2</v>
      </c>
      <c r="BL646" s="5">
        <f t="shared" si="86"/>
        <v>2657.4163722929407</v>
      </c>
      <c r="BM646" s="11">
        <f t="shared" si="87"/>
        <v>0.13392005878287652</v>
      </c>
    </row>
    <row r="647" spans="1:65" ht="15" customHeight="1" x14ac:dyDescent="0.4">
      <c r="A647" s="2" t="s">
        <v>553</v>
      </c>
      <c r="B647" s="2" t="s">
        <v>66</v>
      </c>
      <c r="C647" s="2" t="s">
        <v>573</v>
      </c>
      <c r="D647" s="3" t="s">
        <v>68</v>
      </c>
      <c r="E647" s="3" t="s">
        <v>128</v>
      </c>
      <c r="F647" s="2" t="s">
        <v>129</v>
      </c>
      <c r="G647" s="4">
        <v>5</v>
      </c>
      <c r="H647" s="5">
        <v>3.77</v>
      </c>
      <c r="I647" s="5">
        <v>3.9297633253399948</v>
      </c>
      <c r="J647" s="6">
        <v>494.61783709660659</v>
      </c>
      <c r="K647" s="5">
        <v>1864.709245854207</v>
      </c>
      <c r="L647" s="6">
        <v>0</v>
      </c>
      <c r="M647" s="5">
        <v>0</v>
      </c>
      <c r="N647" s="6">
        <v>0</v>
      </c>
      <c r="O647" s="5">
        <v>0</v>
      </c>
      <c r="P647" s="6">
        <v>197.84713483864269</v>
      </c>
      <c r="Q647" s="5">
        <v>745.88369834168282</v>
      </c>
      <c r="R647" s="6">
        <v>0</v>
      </c>
      <c r="S647" s="5">
        <v>0</v>
      </c>
      <c r="T647" s="6">
        <v>0</v>
      </c>
      <c r="U647" s="5">
        <v>0</v>
      </c>
      <c r="V647" s="6">
        <v>0</v>
      </c>
      <c r="W647" s="5">
        <v>0</v>
      </c>
      <c r="X647" s="6">
        <v>0</v>
      </c>
      <c r="Y647" s="5">
        <v>0</v>
      </c>
      <c r="Z647" s="6">
        <v>0</v>
      </c>
      <c r="AA647" s="5">
        <v>0</v>
      </c>
      <c r="AB647" s="6">
        <v>0</v>
      </c>
      <c r="AC647" s="5">
        <v>0</v>
      </c>
      <c r="AD647" s="6">
        <v>0</v>
      </c>
      <c r="AE647" s="5">
        <v>0</v>
      </c>
      <c r="AF647" s="6">
        <v>189.59922785967791</v>
      </c>
      <c r="AG647" s="5">
        <v>714.78908903098556</v>
      </c>
      <c r="AH647" s="7">
        <f t="shared" si="80"/>
        <v>882.06419979492716</v>
      </c>
      <c r="AI647" s="8">
        <f t="shared" si="81"/>
        <v>3325.3820332268751</v>
      </c>
      <c r="AJ647" s="6">
        <v>545</v>
      </c>
      <c r="AK647" s="5">
        <v>2141.7210123102968</v>
      </c>
      <c r="AL647" s="6">
        <v>0</v>
      </c>
      <c r="AM647" s="5">
        <v>0</v>
      </c>
      <c r="AN647" s="6">
        <v>0</v>
      </c>
      <c r="AO647" s="5">
        <v>0</v>
      </c>
      <c r="AP647" s="6">
        <v>220</v>
      </c>
      <c r="AQ647" s="5">
        <v>864.54793157479878</v>
      </c>
      <c r="AR647" s="6">
        <v>0</v>
      </c>
      <c r="AS647" s="5">
        <v>0</v>
      </c>
      <c r="AT647" s="6">
        <v>0</v>
      </c>
      <c r="AU647" s="5">
        <v>0</v>
      </c>
      <c r="AV647" s="6">
        <v>0</v>
      </c>
      <c r="AW647" s="5">
        <v>0</v>
      </c>
      <c r="AX647" s="6">
        <v>0</v>
      </c>
      <c r="AY647" s="5">
        <v>0</v>
      </c>
      <c r="AZ647" s="6">
        <v>0</v>
      </c>
      <c r="BA647" s="5">
        <v>0</v>
      </c>
      <c r="BB647" s="6">
        <v>0</v>
      </c>
      <c r="BC647" s="5">
        <v>0</v>
      </c>
      <c r="BD647" s="6">
        <v>0</v>
      </c>
      <c r="BE647" s="5">
        <v>0</v>
      </c>
      <c r="BF647" s="6">
        <v>210</v>
      </c>
      <c r="BG647" s="5">
        <v>825.25029832139899</v>
      </c>
      <c r="BH647" s="9">
        <f t="shared" si="82"/>
        <v>975</v>
      </c>
      <c r="BI647" s="10">
        <f t="shared" si="83"/>
        <v>3831.5192422064947</v>
      </c>
      <c r="BJ647" s="6">
        <f t="shared" si="84"/>
        <v>92.935800205072837</v>
      </c>
      <c r="BK647" s="11">
        <f t="shared" si="85"/>
        <v>0.10536171882577217</v>
      </c>
      <c r="BL647" s="5">
        <f t="shared" si="86"/>
        <v>506.13720897961957</v>
      </c>
      <c r="BM647" s="11">
        <f t="shared" si="87"/>
        <v>0.15220422914490686</v>
      </c>
    </row>
    <row r="648" spans="1:65" ht="15" customHeight="1" x14ac:dyDescent="0.4">
      <c r="A648" s="2" t="s">
        <v>553</v>
      </c>
      <c r="B648" s="2" t="s">
        <v>66</v>
      </c>
      <c r="C648" s="2" t="s">
        <v>573</v>
      </c>
      <c r="D648" s="3" t="s">
        <v>68</v>
      </c>
      <c r="E648" s="3" t="s">
        <v>79</v>
      </c>
      <c r="F648" s="2" t="s">
        <v>80</v>
      </c>
      <c r="G648" s="4">
        <v>20</v>
      </c>
      <c r="H648" s="5">
        <v>3.527222222222222</v>
      </c>
      <c r="I648" s="5">
        <v>3.6772342049719788</v>
      </c>
      <c r="J648" s="6">
        <v>0</v>
      </c>
      <c r="K648" s="5">
        <v>0</v>
      </c>
      <c r="L648" s="6">
        <v>316.55541574182831</v>
      </c>
      <c r="M648" s="5">
        <v>1101.612846781562</v>
      </c>
      <c r="N648" s="6">
        <v>0</v>
      </c>
      <c r="O648" s="5">
        <v>0</v>
      </c>
      <c r="P648" s="6">
        <v>0</v>
      </c>
      <c r="Q648" s="5">
        <v>0</v>
      </c>
      <c r="R648" s="6">
        <v>0</v>
      </c>
      <c r="S648" s="5">
        <v>0</v>
      </c>
      <c r="T648" s="6">
        <v>0</v>
      </c>
      <c r="U648" s="5">
        <v>0</v>
      </c>
      <c r="V648" s="6">
        <v>197.84713483864269</v>
      </c>
      <c r="W648" s="5">
        <v>688.50802923847641</v>
      </c>
      <c r="X648" s="6">
        <v>197.84713483864269</v>
      </c>
      <c r="Y648" s="5">
        <v>722.14204216104565</v>
      </c>
      <c r="Z648" s="6">
        <v>0</v>
      </c>
      <c r="AA648" s="5">
        <v>0</v>
      </c>
      <c r="AB648" s="6">
        <v>0</v>
      </c>
      <c r="AC648" s="5">
        <v>0</v>
      </c>
      <c r="AD648" s="6">
        <v>0</v>
      </c>
      <c r="AE648" s="5">
        <v>0</v>
      </c>
      <c r="AF648" s="6">
        <v>284.39884178951678</v>
      </c>
      <c r="AG648" s="5">
        <v>1003.137914734245</v>
      </c>
      <c r="AH648" s="7">
        <f t="shared" si="80"/>
        <v>996.64852720863041</v>
      </c>
      <c r="AI648" s="8">
        <f t="shared" si="81"/>
        <v>3515.4008329153289</v>
      </c>
      <c r="AJ648" s="6">
        <v>0</v>
      </c>
      <c r="AK648" s="5">
        <v>0</v>
      </c>
      <c r="AL648" s="6">
        <v>340</v>
      </c>
      <c r="AM648" s="5">
        <v>1233.341105183629</v>
      </c>
      <c r="AN648" s="6">
        <v>0</v>
      </c>
      <c r="AO648" s="5">
        <v>0</v>
      </c>
      <c r="AP648" s="6">
        <v>0</v>
      </c>
      <c r="AQ648" s="5">
        <v>0</v>
      </c>
      <c r="AR648" s="6">
        <v>0</v>
      </c>
      <c r="AS648" s="5">
        <v>0</v>
      </c>
      <c r="AT648" s="6">
        <v>0</v>
      </c>
      <c r="AU648" s="5">
        <v>0</v>
      </c>
      <c r="AV648" s="6">
        <v>220</v>
      </c>
      <c r="AW648" s="5">
        <v>798.04424453058346</v>
      </c>
      <c r="AX648" s="6">
        <v>220</v>
      </c>
      <c r="AY648" s="5">
        <v>837.02916452201998</v>
      </c>
      <c r="AZ648" s="6">
        <v>0</v>
      </c>
      <c r="BA648" s="5">
        <v>0</v>
      </c>
      <c r="BB648" s="6">
        <v>0</v>
      </c>
      <c r="BC648" s="5">
        <v>0</v>
      </c>
      <c r="BD648" s="6">
        <v>0</v>
      </c>
      <c r="BE648" s="5">
        <v>0</v>
      </c>
      <c r="BF648" s="6">
        <v>320</v>
      </c>
      <c r="BG648" s="5">
        <v>1176.5431112329441</v>
      </c>
      <c r="BH648" s="9">
        <f t="shared" si="82"/>
        <v>1100</v>
      </c>
      <c r="BI648" s="10">
        <f t="shared" si="83"/>
        <v>4044.9576254691765</v>
      </c>
      <c r="BJ648" s="6">
        <f t="shared" si="84"/>
        <v>103.35147279136959</v>
      </c>
      <c r="BK648" s="11">
        <f t="shared" si="85"/>
        <v>0.10369901722609461</v>
      </c>
      <c r="BL648" s="5">
        <f t="shared" si="86"/>
        <v>529.55679255384757</v>
      </c>
      <c r="BM648" s="11">
        <f t="shared" si="87"/>
        <v>0.15063909287257155</v>
      </c>
    </row>
    <row r="649" spans="1:65" ht="15" customHeight="1" x14ac:dyDescent="0.4">
      <c r="A649" s="2" t="s">
        <v>553</v>
      </c>
      <c r="B649" s="2" t="s">
        <v>66</v>
      </c>
      <c r="C649" s="2" t="s">
        <v>573</v>
      </c>
      <c r="D649" s="3" t="s">
        <v>68</v>
      </c>
      <c r="E649" s="3" t="s">
        <v>94</v>
      </c>
      <c r="F649" s="2" t="s">
        <v>130</v>
      </c>
      <c r="G649" s="4">
        <v>20</v>
      </c>
      <c r="H649" s="5">
        <v>2.23</v>
      </c>
      <c r="I649" s="5">
        <v>2.3245019139279011</v>
      </c>
      <c r="J649" s="6">
        <v>0</v>
      </c>
      <c r="K649" s="5">
        <v>0</v>
      </c>
      <c r="L649" s="6">
        <v>316.55541574182831</v>
      </c>
      <c r="M649" s="5">
        <v>705.91857710427701</v>
      </c>
      <c r="N649" s="6">
        <v>0</v>
      </c>
      <c r="O649" s="5">
        <v>0</v>
      </c>
      <c r="P649" s="6">
        <v>0</v>
      </c>
      <c r="Q649" s="5">
        <v>0</v>
      </c>
      <c r="R649" s="6">
        <v>0</v>
      </c>
      <c r="S649" s="5">
        <v>0</v>
      </c>
      <c r="T649" s="6">
        <v>0</v>
      </c>
      <c r="U649" s="5">
        <v>0</v>
      </c>
      <c r="V649" s="6">
        <v>0</v>
      </c>
      <c r="W649" s="5">
        <v>0</v>
      </c>
      <c r="X649" s="6">
        <v>0</v>
      </c>
      <c r="Y649" s="5">
        <v>0</v>
      </c>
      <c r="Z649" s="6">
        <v>0</v>
      </c>
      <c r="AA649" s="5">
        <v>0</v>
      </c>
      <c r="AB649" s="6">
        <v>0</v>
      </c>
      <c r="AC649" s="5">
        <v>0</v>
      </c>
      <c r="AD649" s="6">
        <v>0</v>
      </c>
      <c r="AE649" s="5">
        <v>0</v>
      </c>
      <c r="AF649" s="6">
        <v>0</v>
      </c>
      <c r="AG649" s="5">
        <v>0</v>
      </c>
      <c r="AH649" s="7">
        <f t="shared" si="80"/>
        <v>316.55541574182831</v>
      </c>
      <c r="AI649" s="8">
        <f t="shared" si="81"/>
        <v>705.91857710427701</v>
      </c>
      <c r="AJ649" s="6">
        <v>0</v>
      </c>
      <c r="AK649" s="5">
        <v>0</v>
      </c>
      <c r="AL649" s="6">
        <v>340</v>
      </c>
      <c r="AM649" s="5">
        <v>790.3306507354863</v>
      </c>
      <c r="AN649" s="6">
        <v>0</v>
      </c>
      <c r="AO649" s="5">
        <v>0</v>
      </c>
      <c r="AP649" s="6">
        <v>0</v>
      </c>
      <c r="AQ649" s="5">
        <v>0</v>
      </c>
      <c r="AR649" s="6">
        <v>0</v>
      </c>
      <c r="AS649" s="5">
        <v>0</v>
      </c>
      <c r="AT649" s="6">
        <v>0</v>
      </c>
      <c r="AU649" s="5">
        <v>0</v>
      </c>
      <c r="AV649" s="6">
        <v>0</v>
      </c>
      <c r="AW649" s="5">
        <v>0</v>
      </c>
      <c r="AX649" s="6">
        <v>0</v>
      </c>
      <c r="AY649" s="5">
        <v>0</v>
      </c>
      <c r="AZ649" s="6">
        <v>0</v>
      </c>
      <c r="BA649" s="5">
        <v>0</v>
      </c>
      <c r="BB649" s="6">
        <v>0</v>
      </c>
      <c r="BC649" s="5">
        <v>0</v>
      </c>
      <c r="BD649" s="6">
        <v>0</v>
      </c>
      <c r="BE649" s="5">
        <v>0</v>
      </c>
      <c r="BF649" s="6">
        <v>0</v>
      </c>
      <c r="BG649" s="5">
        <v>0</v>
      </c>
      <c r="BH649" s="9">
        <f t="shared" si="82"/>
        <v>340</v>
      </c>
      <c r="BI649" s="10">
        <f t="shared" si="83"/>
        <v>790.3306507354863</v>
      </c>
      <c r="BJ649" s="6">
        <f t="shared" si="84"/>
        <v>23.444584258171687</v>
      </c>
      <c r="BK649" s="11">
        <f t="shared" si="85"/>
        <v>7.4061548443992764E-2</v>
      </c>
      <c r="BL649" s="5">
        <f t="shared" si="86"/>
        <v>84.412073631209296</v>
      </c>
      <c r="BM649" s="11">
        <f t="shared" si="87"/>
        <v>0.11957763454458586</v>
      </c>
    </row>
    <row r="650" spans="1:65" ht="15" customHeight="1" x14ac:dyDescent="0.4">
      <c r="A650" s="2" t="s">
        <v>553</v>
      </c>
      <c r="B650" s="2" t="s">
        <v>66</v>
      </c>
      <c r="C650" s="2" t="s">
        <v>573</v>
      </c>
      <c r="D650" s="3" t="s">
        <v>68</v>
      </c>
      <c r="E650" s="3" t="s">
        <v>94</v>
      </c>
      <c r="F650" s="2" t="s">
        <v>95</v>
      </c>
      <c r="G650" s="4">
        <v>20</v>
      </c>
      <c r="H650" s="5">
        <v>2.3127958572685441</v>
      </c>
      <c r="I650" s="5">
        <v>2.4107135901584109</v>
      </c>
      <c r="J650" s="6">
        <v>0</v>
      </c>
      <c r="K650" s="5">
        <v>0</v>
      </c>
      <c r="L650" s="6">
        <v>0</v>
      </c>
      <c r="M650" s="5">
        <v>0</v>
      </c>
      <c r="N650" s="6">
        <v>0</v>
      </c>
      <c r="O650" s="5">
        <v>0</v>
      </c>
      <c r="P650" s="6">
        <v>0</v>
      </c>
      <c r="Q650" s="5">
        <v>0</v>
      </c>
      <c r="R650" s="6">
        <v>0</v>
      </c>
      <c r="S650" s="5">
        <v>0</v>
      </c>
      <c r="T650" s="6">
        <v>0</v>
      </c>
      <c r="U650" s="5">
        <v>0</v>
      </c>
      <c r="V650" s="6">
        <v>0</v>
      </c>
      <c r="W650" s="5">
        <v>0</v>
      </c>
      <c r="X650" s="6">
        <v>633.11083148365651</v>
      </c>
      <c r="Y650" s="5">
        <v>1481.4793456717559</v>
      </c>
      <c r="Z650" s="6">
        <v>0</v>
      </c>
      <c r="AA650" s="5">
        <v>0</v>
      </c>
      <c r="AB650" s="6">
        <v>606.7175291509692</v>
      </c>
      <c r="AC650" s="5">
        <v>1397.4727088110651</v>
      </c>
      <c r="AD650" s="6">
        <v>606.7175291509692</v>
      </c>
      <c r="AE650" s="5">
        <v>1397.4727088110651</v>
      </c>
      <c r="AF650" s="6">
        <v>606.7175291509692</v>
      </c>
      <c r="AG650" s="5">
        <v>1397.4727088110651</v>
      </c>
      <c r="AH650" s="7">
        <f t="shared" si="80"/>
        <v>2453.2634189365644</v>
      </c>
      <c r="AI650" s="8">
        <f t="shared" si="81"/>
        <v>5673.8974721049508</v>
      </c>
      <c r="AJ650" s="6">
        <v>0</v>
      </c>
      <c r="AK650" s="5">
        <v>0</v>
      </c>
      <c r="AL650" s="6">
        <v>0</v>
      </c>
      <c r="AM650" s="5">
        <v>0</v>
      </c>
      <c r="AN650" s="6">
        <v>0</v>
      </c>
      <c r="AO650" s="5">
        <v>0</v>
      </c>
      <c r="AP650" s="6">
        <v>0</v>
      </c>
      <c r="AQ650" s="5">
        <v>0</v>
      </c>
      <c r="AR650" s="6">
        <v>0</v>
      </c>
      <c r="AS650" s="5">
        <v>0</v>
      </c>
      <c r="AT650" s="6">
        <v>0</v>
      </c>
      <c r="AU650" s="5">
        <v>0</v>
      </c>
      <c r="AV650" s="6">
        <v>0</v>
      </c>
      <c r="AW650" s="5">
        <v>0</v>
      </c>
      <c r="AX650" s="6">
        <v>680</v>
      </c>
      <c r="AY650" s="5">
        <v>1658.631141453845</v>
      </c>
      <c r="AZ650" s="6">
        <v>0</v>
      </c>
      <c r="BA650" s="5">
        <v>0</v>
      </c>
      <c r="BB650" s="6">
        <v>660</v>
      </c>
      <c r="BC650" s="5">
        <v>1584.6223361225091</v>
      </c>
      <c r="BD650" s="6">
        <v>660</v>
      </c>
      <c r="BE650" s="5">
        <v>1584.6223361225091</v>
      </c>
      <c r="BF650" s="6">
        <v>660</v>
      </c>
      <c r="BG650" s="5">
        <v>1584.6223361225091</v>
      </c>
      <c r="BH650" s="9">
        <f t="shared" si="82"/>
        <v>2660</v>
      </c>
      <c r="BI650" s="10">
        <f t="shared" si="83"/>
        <v>6412.4981498213729</v>
      </c>
      <c r="BJ650" s="6">
        <f t="shared" si="84"/>
        <v>206.73658106343555</v>
      </c>
      <c r="BK650" s="11">
        <f t="shared" si="85"/>
        <v>8.4270029654235537E-2</v>
      </c>
      <c r="BL650" s="5">
        <f t="shared" si="86"/>
        <v>738.60067771642207</v>
      </c>
      <c r="BM650" s="11">
        <f t="shared" si="87"/>
        <v>0.13017518933813405</v>
      </c>
    </row>
    <row r="651" spans="1:65" ht="15" customHeight="1" x14ac:dyDescent="0.4">
      <c r="A651" s="2" t="s">
        <v>553</v>
      </c>
      <c r="B651" s="2" t="s">
        <v>66</v>
      </c>
      <c r="C651" s="2" t="s">
        <v>573</v>
      </c>
      <c r="D651" s="3" t="s">
        <v>68</v>
      </c>
      <c r="E651" s="3" t="s">
        <v>571</v>
      </c>
      <c r="F651" s="2" t="s">
        <v>572</v>
      </c>
      <c r="G651" s="4">
        <v>1</v>
      </c>
      <c r="H651" s="5">
        <v>28.500000000000011</v>
      </c>
      <c r="I651" s="5">
        <v>29.70775988652251</v>
      </c>
      <c r="J651" s="6">
        <v>106.837452812867</v>
      </c>
      <c r="K651" s="5">
        <v>3098.2861315731438</v>
      </c>
      <c r="L651" s="6">
        <v>0</v>
      </c>
      <c r="M651" s="5">
        <v>0</v>
      </c>
      <c r="N651" s="6">
        <v>0</v>
      </c>
      <c r="O651" s="5">
        <v>0</v>
      </c>
      <c r="P651" s="6">
        <v>0</v>
      </c>
      <c r="Q651" s="5">
        <v>0</v>
      </c>
      <c r="R651" s="6">
        <v>0</v>
      </c>
      <c r="S651" s="5">
        <v>0</v>
      </c>
      <c r="T651" s="6">
        <v>0</v>
      </c>
      <c r="U651" s="5">
        <v>0</v>
      </c>
      <c r="V651" s="6">
        <v>0</v>
      </c>
      <c r="W651" s="5">
        <v>0</v>
      </c>
      <c r="X651" s="6">
        <v>106.837452812867</v>
      </c>
      <c r="Y651" s="5">
        <v>2991.4486787602768</v>
      </c>
      <c r="Z651" s="6">
        <v>0</v>
      </c>
      <c r="AA651" s="5">
        <v>0</v>
      </c>
      <c r="AB651" s="6">
        <v>0</v>
      </c>
      <c r="AC651" s="5">
        <v>0</v>
      </c>
      <c r="AD651" s="6">
        <v>0</v>
      </c>
      <c r="AE651" s="5">
        <v>0</v>
      </c>
      <c r="AF651" s="6">
        <v>102.383583044226</v>
      </c>
      <c r="AG651" s="5">
        <v>2917.932116760443</v>
      </c>
      <c r="AH651" s="7">
        <f t="shared" si="80"/>
        <v>316.05848866996001</v>
      </c>
      <c r="AI651" s="8">
        <f t="shared" si="81"/>
        <v>9007.6669270938637</v>
      </c>
      <c r="AJ651" s="6">
        <v>129</v>
      </c>
      <c r="AK651" s="5">
        <v>3899.5343766835331</v>
      </c>
      <c r="AL651" s="6">
        <v>0</v>
      </c>
      <c r="AM651" s="5">
        <v>0</v>
      </c>
      <c r="AN651" s="6">
        <v>0</v>
      </c>
      <c r="AO651" s="5">
        <v>0</v>
      </c>
      <c r="AP651" s="6">
        <v>0</v>
      </c>
      <c r="AQ651" s="5">
        <v>0</v>
      </c>
      <c r="AR651" s="6">
        <v>0</v>
      </c>
      <c r="AS651" s="5">
        <v>0</v>
      </c>
      <c r="AT651" s="6">
        <v>0</v>
      </c>
      <c r="AU651" s="5">
        <v>0</v>
      </c>
      <c r="AV651" s="6">
        <v>0</v>
      </c>
      <c r="AW651" s="5">
        <v>0</v>
      </c>
      <c r="AX651" s="6">
        <v>129</v>
      </c>
      <c r="AY651" s="5">
        <v>3765.0676740392742</v>
      </c>
      <c r="AZ651" s="6">
        <v>0</v>
      </c>
      <c r="BA651" s="5">
        <v>0</v>
      </c>
      <c r="BB651" s="6">
        <v>0</v>
      </c>
      <c r="BC651" s="5">
        <v>0</v>
      </c>
      <c r="BD651" s="6">
        <v>0</v>
      </c>
      <c r="BE651" s="5">
        <v>0</v>
      </c>
      <c r="BF651" s="6">
        <v>124</v>
      </c>
      <c r="BG651" s="5">
        <v>3683.7622259287909</v>
      </c>
      <c r="BH651" s="9">
        <f t="shared" si="82"/>
        <v>382</v>
      </c>
      <c r="BI651" s="10">
        <f t="shared" si="83"/>
        <v>11348.364276651599</v>
      </c>
      <c r="BJ651" s="6">
        <f t="shared" si="84"/>
        <v>65.941511330039987</v>
      </c>
      <c r="BK651" s="11">
        <f t="shared" si="85"/>
        <v>0.20863705198216825</v>
      </c>
      <c r="BL651" s="5">
        <f t="shared" si="86"/>
        <v>2340.6973495577349</v>
      </c>
      <c r="BM651" s="11">
        <f t="shared" si="87"/>
        <v>0.25985611685054971</v>
      </c>
    </row>
    <row r="652" spans="1:65" ht="15" customHeight="1" x14ac:dyDescent="0.4">
      <c r="A652" s="2" t="s">
        <v>553</v>
      </c>
      <c r="B652" s="2" t="s">
        <v>66</v>
      </c>
      <c r="C652" s="2" t="s">
        <v>576</v>
      </c>
      <c r="D652" s="3" t="s">
        <v>68</v>
      </c>
      <c r="E652" s="3" t="s">
        <v>102</v>
      </c>
      <c r="F652" s="2" t="s">
        <v>171</v>
      </c>
      <c r="G652" s="4">
        <v>5</v>
      </c>
      <c r="H652" s="5">
        <v>5.2033333333333331</v>
      </c>
      <c r="I652" s="5">
        <v>5.4238377991651028</v>
      </c>
      <c r="J652" s="6">
        <v>197.84713483864269</v>
      </c>
      <c r="K652" s="5">
        <v>1028.8051011609421</v>
      </c>
      <c r="L652" s="6">
        <v>98.92356741932133</v>
      </c>
      <c r="M652" s="5">
        <v>515.39178625466411</v>
      </c>
      <c r="N652" s="6">
        <v>0</v>
      </c>
      <c r="O652" s="5">
        <v>0</v>
      </c>
      <c r="P652" s="6">
        <v>0</v>
      </c>
      <c r="Q652" s="5">
        <v>0</v>
      </c>
      <c r="R652" s="6">
        <v>0</v>
      </c>
      <c r="S652" s="5">
        <v>0</v>
      </c>
      <c r="T652" s="6">
        <v>0</v>
      </c>
      <c r="U652" s="5">
        <v>0</v>
      </c>
      <c r="V652" s="6">
        <v>0</v>
      </c>
      <c r="W652" s="5">
        <v>0</v>
      </c>
      <c r="X652" s="6">
        <v>0</v>
      </c>
      <c r="Y652" s="5">
        <v>0</v>
      </c>
      <c r="Z652" s="6">
        <v>0</v>
      </c>
      <c r="AA652" s="5">
        <v>0</v>
      </c>
      <c r="AB652" s="6">
        <v>0</v>
      </c>
      <c r="AC652" s="5">
        <v>0</v>
      </c>
      <c r="AD652" s="6">
        <v>0</v>
      </c>
      <c r="AE652" s="5">
        <v>0</v>
      </c>
      <c r="AF652" s="6">
        <v>0</v>
      </c>
      <c r="AG652" s="5">
        <v>0</v>
      </c>
      <c r="AH652" s="7">
        <f t="shared" si="80"/>
        <v>296.77070225796399</v>
      </c>
      <c r="AI652" s="8">
        <f t="shared" si="81"/>
        <v>1544.1968874156062</v>
      </c>
      <c r="AJ652" s="6">
        <v>250</v>
      </c>
      <c r="AK652" s="5">
        <v>1355.090801841377</v>
      </c>
      <c r="AL652" s="6">
        <v>125</v>
      </c>
      <c r="AM652" s="5">
        <v>678.84837284553623</v>
      </c>
      <c r="AN652" s="6">
        <v>0</v>
      </c>
      <c r="AO652" s="5">
        <v>0</v>
      </c>
      <c r="AP652" s="6">
        <v>0</v>
      </c>
      <c r="AQ652" s="5">
        <v>0</v>
      </c>
      <c r="AR652" s="6">
        <v>0</v>
      </c>
      <c r="AS652" s="5">
        <v>0</v>
      </c>
      <c r="AT652" s="6">
        <v>0</v>
      </c>
      <c r="AU652" s="5">
        <v>0</v>
      </c>
      <c r="AV652" s="6">
        <v>0</v>
      </c>
      <c r="AW652" s="5">
        <v>0</v>
      </c>
      <c r="AX652" s="6">
        <v>0</v>
      </c>
      <c r="AY652" s="5">
        <v>0</v>
      </c>
      <c r="AZ652" s="6">
        <v>0</v>
      </c>
      <c r="BA652" s="5">
        <v>0</v>
      </c>
      <c r="BB652" s="6">
        <v>0</v>
      </c>
      <c r="BC652" s="5">
        <v>0</v>
      </c>
      <c r="BD652" s="6">
        <v>0</v>
      </c>
      <c r="BE652" s="5">
        <v>0</v>
      </c>
      <c r="BF652" s="6">
        <v>0</v>
      </c>
      <c r="BG652" s="5">
        <v>0</v>
      </c>
      <c r="BH652" s="9">
        <f t="shared" si="82"/>
        <v>375</v>
      </c>
      <c r="BI652" s="10">
        <f t="shared" si="83"/>
        <v>2033.9391746869132</v>
      </c>
      <c r="BJ652" s="6">
        <f t="shared" si="84"/>
        <v>78.22929774203601</v>
      </c>
      <c r="BK652" s="11">
        <f t="shared" si="85"/>
        <v>0.26360182169881524</v>
      </c>
      <c r="BL652" s="5">
        <f t="shared" si="86"/>
        <v>489.74228727130708</v>
      </c>
      <c r="BM652" s="11">
        <f t="shared" si="87"/>
        <v>0.3171501582877479</v>
      </c>
    </row>
    <row r="653" spans="1:65" ht="15" customHeight="1" x14ac:dyDescent="0.4">
      <c r="A653" s="2" t="s">
        <v>553</v>
      </c>
      <c r="B653" s="2" t="s">
        <v>66</v>
      </c>
      <c r="C653" s="2" t="s">
        <v>576</v>
      </c>
      <c r="D653" s="3" t="s">
        <v>68</v>
      </c>
      <c r="E653" s="3" t="s">
        <v>102</v>
      </c>
      <c r="F653" s="2" t="s">
        <v>103</v>
      </c>
      <c r="G653" s="4">
        <v>5</v>
      </c>
      <c r="H653" s="5">
        <v>5.2087005828546067</v>
      </c>
      <c r="I653" s="5">
        <v>5.4294310445010341</v>
      </c>
      <c r="J653" s="6">
        <v>0</v>
      </c>
      <c r="K653" s="5">
        <v>0</v>
      </c>
      <c r="L653" s="6">
        <v>0</v>
      </c>
      <c r="M653" s="5">
        <v>0</v>
      </c>
      <c r="N653" s="6">
        <v>0</v>
      </c>
      <c r="O653" s="5">
        <v>0</v>
      </c>
      <c r="P653" s="6">
        <v>0</v>
      </c>
      <c r="Q653" s="5">
        <v>0</v>
      </c>
      <c r="R653" s="6">
        <v>0</v>
      </c>
      <c r="S653" s="5">
        <v>0</v>
      </c>
      <c r="T653" s="6">
        <v>0</v>
      </c>
      <c r="U653" s="5">
        <v>0</v>
      </c>
      <c r="V653" s="6">
        <v>296.77070225796399</v>
      </c>
      <c r="W653" s="5">
        <v>1546.1753587639921</v>
      </c>
      <c r="X653" s="6">
        <v>0</v>
      </c>
      <c r="Y653" s="5">
        <v>0</v>
      </c>
      <c r="Z653" s="6">
        <v>94.799613929838927</v>
      </c>
      <c r="AA653" s="5">
        <v>493.58998986136152</v>
      </c>
      <c r="AB653" s="6">
        <v>0</v>
      </c>
      <c r="AC653" s="5">
        <v>0</v>
      </c>
      <c r="AD653" s="6">
        <v>94.799613929838927</v>
      </c>
      <c r="AE653" s="5">
        <v>493.58998986136152</v>
      </c>
      <c r="AF653" s="6">
        <v>0</v>
      </c>
      <c r="AG653" s="5">
        <v>0</v>
      </c>
      <c r="AH653" s="7">
        <f t="shared" si="80"/>
        <v>486.36993011764184</v>
      </c>
      <c r="AI653" s="8">
        <f t="shared" si="81"/>
        <v>2533.355338486715</v>
      </c>
      <c r="AJ653" s="6">
        <v>0</v>
      </c>
      <c r="AK653" s="5">
        <v>0</v>
      </c>
      <c r="AL653" s="6">
        <v>0</v>
      </c>
      <c r="AM653" s="5">
        <v>0</v>
      </c>
      <c r="AN653" s="6">
        <v>0</v>
      </c>
      <c r="AO653" s="5">
        <v>0</v>
      </c>
      <c r="AP653" s="6">
        <v>0</v>
      </c>
      <c r="AQ653" s="5">
        <v>0</v>
      </c>
      <c r="AR653" s="6">
        <v>0</v>
      </c>
      <c r="AS653" s="5">
        <v>0</v>
      </c>
      <c r="AT653" s="6">
        <v>0</v>
      </c>
      <c r="AU653" s="5">
        <v>0</v>
      </c>
      <c r="AV653" s="6">
        <v>375</v>
      </c>
      <c r="AW653" s="5">
        <v>2036.5451185366089</v>
      </c>
      <c r="AX653" s="6">
        <v>0</v>
      </c>
      <c r="AY653" s="5">
        <v>0</v>
      </c>
      <c r="AZ653" s="6">
        <v>120</v>
      </c>
      <c r="BA653" s="5">
        <v>651.27748691576357</v>
      </c>
      <c r="BB653" s="6">
        <v>0</v>
      </c>
      <c r="BC653" s="5">
        <v>0</v>
      </c>
      <c r="BD653" s="6">
        <v>120</v>
      </c>
      <c r="BE653" s="5">
        <v>651.27748691576357</v>
      </c>
      <c r="BF653" s="6">
        <v>0</v>
      </c>
      <c r="BG653" s="5">
        <v>0</v>
      </c>
      <c r="BH653" s="9">
        <f t="shared" si="82"/>
        <v>615</v>
      </c>
      <c r="BI653" s="10">
        <f t="shared" si="83"/>
        <v>3339.1000923681358</v>
      </c>
      <c r="BJ653" s="6">
        <f t="shared" si="84"/>
        <v>128.63006988235816</v>
      </c>
      <c r="BK653" s="11">
        <f t="shared" si="85"/>
        <v>0.26446961852934753</v>
      </c>
      <c r="BL653" s="5">
        <f t="shared" si="86"/>
        <v>805.74475388142082</v>
      </c>
      <c r="BM653" s="11">
        <f t="shared" si="87"/>
        <v>0.31805437699187028</v>
      </c>
    </row>
    <row r="654" spans="1:65" ht="15" customHeight="1" x14ac:dyDescent="0.4">
      <c r="A654" s="2" t="s">
        <v>553</v>
      </c>
      <c r="B654" s="2" t="s">
        <v>66</v>
      </c>
      <c r="C654" s="2" t="s">
        <v>576</v>
      </c>
      <c r="D654" s="3" t="s">
        <v>68</v>
      </c>
      <c r="E654" s="3" t="s">
        <v>555</v>
      </c>
      <c r="F654" s="2" t="s">
        <v>556</v>
      </c>
      <c r="G654" s="4">
        <v>5</v>
      </c>
      <c r="H654" s="5">
        <v>0</v>
      </c>
      <c r="I654" s="5">
        <v>0</v>
      </c>
      <c r="J654" s="6">
        <v>0</v>
      </c>
      <c r="K654" s="5">
        <v>0</v>
      </c>
      <c r="L654" s="6">
        <v>0</v>
      </c>
      <c r="M654" s="5">
        <v>0</v>
      </c>
      <c r="N654" s="6">
        <v>4.9461783709660656</v>
      </c>
      <c r="O654" s="5">
        <v>0</v>
      </c>
      <c r="P654" s="6">
        <v>0</v>
      </c>
      <c r="Q654" s="5">
        <v>0</v>
      </c>
      <c r="R654" s="6">
        <v>0</v>
      </c>
      <c r="S654" s="5">
        <v>0</v>
      </c>
      <c r="T654" s="6">
        <v>0</v>
      </c>
      <c r="U654" s="5">
        <v>0</v>
      </c>
      <c r="V654" s="6">
        <v>0</v>
      </c>
      <c r="W654" s="5">
        <v>0</v>
      </c>
      <c r="X654" s="6">
        <v>0</v>
      </c>
      <c r="Y654" s="5">
        <v>0</v>
      </c>
      <c r="Z654" s="6">
        <v>0</v>
      </c>
      <c r="AA654" s="5">
        <v>0</v>
      </c>
      <c r="AB654" s="6">
        <v>0</v>
      </c>
      <c r="AC654" s="5">
        <v>0</v>
      </c>
      <c r="AD654" s="6">
        <v>0</v>
      </c>
      <c r="AE654" s="5">
        <v>0</v>
      </c>
      <c r="AF654" s="6">
        <v>0</v>
      </c>
      <c r="AG654" s="5">
        <v>0</v>
      </c>
      <c r="AH654" s="7">
        <f t="shared" si="80"/>
        <v>4.9461783709660656</v>
      </c>
      <c r="AI654" s="8">
        <f t="shared" si="81"/>
        <v>0</v>
      </c>
      <c r="AJ654" s="6">
        <v>0</v>
      </c>
      <c r="AK654" s="5">
        <v>0</v>
      </c>
      <c r="AL654" s="6">
        <v>0</v>
      </c>
      <c r="AM654" s="5">
        <v>0</v>
      </c>
      <c r="AN654" s="6">
        <v>5</v>
      </c>
      <c r="AO654" s="5">
        <v>0</v>
      </c>
      <c r="AP654" s="6">
        <v>0</v>
      </c>
      <c r="AQ654" s="5">
        <v>0</v>
      </c>
      <c r="AR654" s="6">
        <v>0</v>
      </c>
      <c r="AS654" s="5">
        <v>0</v>
      </c>
      <c r="AT654" s="6">
        <v>0</v>
      </c>
      <c r="AU654" s="5">
        <v>0</v>
      </c>
      <c r="AV654" s="6">
        <v>0</v>
      </c>
      <c r="AW654" s="5">
        <v>0</v>
      </c>
      <c r="AX654" s="6">
        <v>0</v>
      </c>
      <c r="AY654" s="5">
        <v>0</v>
      </c>
      <c r="AZ654" s="6">
        <v>0</v>
      </c>
      <c r="BA654" s="5">
        <v>0</v>
      </c>
      <c r="BB654" s="6">
        <v>0</v>
      </c>
      <c r="BC654" s="5">
        <v>0</v>
      </c>
      <c r="BD654" s="6">
        <v>0</v>
      </c>
      <c r="BE654" s="5">
        <v>0</v>
      </c>
      <c r="BF654" s="6">
        <v>0</v>
      </c>
      <c r="BG654" s="5">
        <v>0</v>
      </c>
      <c r="BH654" s="9">
        <f t="shared" si="82"/>
        <v>5</v>
      </c>
      <c r="BI654" s="10">
        <f t="shared" si="83"/>
        <v>0</v>
      </c>
      <c r="BJ654" s="6">
        <f t="shared" si="84"/>
        <v>5.3821629033934393E-2</v>
      </c>
      <c r="BK654" s="11">
        <f t="shared" si="85"/>
        <v>1.0881457359052377E-2</v>
      </c>
      <c r="BL654" s="5">
        <f t="shared" si="86"/>
        <v>0</v>
      </c>
      <c r="BM654" s="11">
        <f t="shared" si="87"/>
        <v>0</v>
      </c>
    </row>
    <row r="655" spans="1:65" ht="15" customHeight="1" x14ac:dyDescent="0.4">
      <c r="A655" s="2" t="s">
        <v>553</v>
      </c>
      <c r="B655" s="2" t="s">
        <v>66</v>
      </c>
      <c r="C655" s="2" t="s">
        <v>576</v>
      </c>
      <c r="D655" s="3" t="s">
        <v>68</v>
      </c>
      <c r="E655" s="3" t="s">
        <v>577</v>
      </c>
      <c r="F655" s="2" t="s">
        <v>578</v>
      </c>
      <c r="G655" s="4">
        <v>20</v>
      </c>
      <c r="H655" s="5">
        <v>3.01</v>
      </c>
      <c r="I655" s="5">
        <v>3.1375563950327279</v>
      </c>
      <c r="J655" s="6">
        <v>0</v>
      </c>
      <c r="K655" s="5">
        <v>0</v>
      </c>
      <c r="L655" s="6">
        <v>0</v>
      </c>
      <c r="M655" s="5">
        <v>0</v>
      </c>
      <c r="N655" s="6">
        <v>98.92356741932133</v>
      </c>
      <c r="O655" s="5">
        <v>297.75993793215719</v>
      </c>
      <c r="P655" s="6">
        <v>0</v>
      </c>
      <c r="Q655" s="5">
        <v>0</v>
      </c>
      <c r="R655" s="6">
        <v>0</v>
      </c>
      <c r="S655" s="5">
        <v>0</v>
      </c>
      <c r="T655" s="6">
        <v>0</v>
      </c>
      <c r="U655" s="5">
        <v>0</v>
      </c>
      <c r="V655" s="6">
        <v>0</v>
      </c>
      <c r="W655" s="5">
        <v>0</v>
      </c>
      <c r="X655" s="6">
        <v>0</v>
      </c>
      <c r="Y655" s="5">
        <v>0</v>
      </c>
      <c r="Z655" s="6">
        <v>0</v>
      </c>
      <c r="AA655" s="5">
        <v>0</v>
      </c>
      <c r="AB655" s="6">
        <v>0</v>
      </c>
      <c r="AC655" s="5">
        <v>0</v>
      </c>
      <c r="AD655" s="6">
        <v>0</v>
      </c>
      <c r="AE655" s="5">
        <v>0</v>
      </c>
      <c r="AF655" s="6">
        <v>0</v>
      </c>
      <c r="AG655" s="5">
        <v>0</v>
      </c>
      <c r="AH655" s="7">
        <f t="shared" si="80"/>
        <v>98.92356741932133</v>
      </c>
      <c r="AI655" s="8">
        <f t="shared" si="81"/>
        <v>297.75993793215719</v>
      </c>
      <c r="AJ655" s="6">
        <v>0</v>
      </c>
      <c r="AK655" s="5">
        <v>0</v>
      </c>
      <c r="AL655" s="6">
        <v>0</v>
      </c>
      <c r="AM655" s="5">
        <v>0</v>
      </c>
      <c r="AN655" s="6">
        <v>100</v>
      </c>
      <c r="AO655" s="5">
        <v>313.75563950327279</v>
      </c>
      <c r="AP655" s="6">
        <v>0</v>
      </c>
      <c r="AQ655" s="5">
        <v>0</v>
      </c>
      <c r="AR655" s="6">
        <v>0</v>
      </c>
      <c r="AS655" s="5">
        <v>0</v>
      </c>
      <c r="AT655" s="6">
        <v>0</v>
      </c>
      <c r="AU655" s="5">
        <v>0</v>
      </c>
      <c r="AV655" s="6">
        <v>0</v>
      </c>
      <c r="AW655" s="5">
        <v>0</v>
      </c>
      <c r="AX655" s="6">
        <v>0</v>
      </c>
      <c r="AY655" s="5">
        <v>0</v>
      </c>
      <c r="AZ655" s="6">
        <v>0</v>
      </c>
      <c r="BA655" s="5">
        <v>0</v>
      </c>
      <c r="BB655" s="6">
        <v>0</v>
      </c>
      <c r="BC655" s="5">
        <v>0</v>
      </c>
      <c r="BD655" s="6">
        <v>0</v>
      </c>
      <c r="BE655" s="5">
        <v>0</v>
      </c>
      <c r="BF655" s="6">
        <v>0</v>
      </c>
      <c r="BG655" s="5">
        <v>0</v>
      </c>
      <c r="BH655" s="9">
        <f t="shared" si="82"/>
        <v>100</v>
      </c>
      <c r="BI655" s="10">
        <f t="shared" si="83"/>
        <v>313.75563950327279</v>
      </c>
      <c r="BJ655" s="6">
        <f t="shared" si="84"/>
        <v>1.0764325806786701</v>
      </c>
      <c r="BK655" s="11">
        <f t="shared" si="85"/>
        <v>1.0881457359052195E-2</v>
      </c>
      <c r="BL655" s="5">
        <f t="shared" si="86"/>
        <v>15.995701571115603</v>
      </c>
      <c r="BM655" s="11">
        <f t="shared" si="87"/>
        <v>5.3720126630198747E-2</v>
      </c>
    </row>
    <row r="656" spans="1:65" ht="15" customHeight="1" x14ac:dyDescent="0.4">
      <c r="A656" s="2" t="s">
        <v>553</v>
      </c>
      <c r="B656" s="2" t="s">
        <v>66</v>
      </c>
      <c r="C656" s="2" t="s">
        <v>576</v>
      </c>
      <c r="D656" s="3" t="s">
        <v>68</v>
      </c>
      <c r="E656" s="3" t="s">
        <v>82</v>
      </c>
      <c r="F656" s="2" t="s">
        <v>83</v>
      </c>
      <c r="G656" s="4">
        <v>20</v>
      </c>
      <c r="H656" s="5">
        <v>3.298614565677616</v>
      </c>
      <c r="I656" s="5">
        <v>3.4384020698524429</v>
      </c>
      <c r="J656" s="6">
        <v>3165.554157418283</v>
      </c>
      <c r="K656" s="5">
        <v>10477.984261054509</v>
      </c>
      <c r="L656" s="6">
        <v>633.11083148365651</v>
      </c>
      <c r="M656" s="5">
        <v>2095.5968522109029</v>
      </c>
      <c r="N656" s="6">
        <v>4431.7758203855956</v>
      </c>
      <c r="O656" s="5">
        <v>14669.17796547632</v>
      </c>
      <c r="P656" s="6">
        <v>633.11083148365651</v>
      </c>
      <c r="Q656" s="5">
        <v>2095.5968522109029</v>
      </c>
      <c r="R656" s="6">
        <v>0</v>
      </c>
      <c r="S656" s="5">
        <v>0</v>
      </c>
      <c r="T656" s="6">
        <v>1266.221662967313</v>
      </c>
      <c r="U656" s="5">
        <v>4191.1937044218057</v>
      </c>
      <c r="V656" s="6">
        <v>6331.1083148365651</v>
      </c>
      <c r="W656" s="5">
        <v>20955.968522109029</v>
      </c>
      <c r="X656" s="6">
        <v>3798.6649889019391</v>
      </c>
      <c r="Y656" s="5">
        <v>12573.58111326542</v>
      </c>
      <c r="Z656" s="6">
        <v>1175.515212730003</v>
      </c>
      <c r="AA656" s="5">
        <v>3836.2387944687671</v>
      </c>
      <c r="AB656" s="6">
        <v>2351.030425460006</v>
      </c>
      <c r="AC656" s="5">
        <v>7672.4775889375342</v>
      </c>
      <c r="AD656" s="6">
        <v>1175.515212730003</v>
      </c>
      <c r="AE656" s="5">
        <v>3836.2387944687671</v>
      </c>
      <c r="AF656" s="6">
        <v>1858.0724330248429</v>
      </c>
      <c r="AG656" s="5">
        <v>6063.7322880312777</v>
      </c>
      <c r="AH656" s="7">
        <f t="shared" si="80"/>
        <v>26819.67989142186</v>
      </c>
      <c r="AI656" s="8">
        <f t="shared" si="81"/>
        <v>88467.786736655224</v>
      </c>
      <c r="AJ656" s="6">
        <v>3500</v>
      </c>
      <c r="AK656" s="5">
        <v>12075.943799486429</v>
      </c>
      <c r="AL656" s="6">
        <v>700</v>
      </c>
      <c r="AM656" s="5">
        <v>2415.1887598972849</v>
      </c>
      <c r="AN656" s="6">
        <v>4880</v>
      </c>
      <c r="AO656" s="5">
        <v>16837.31592614108</v>
      </c>
      <c r="AP656" s="6">
        <v>700</v>
      </c>
      <c r="AQ656" s="5">
        <v>2415.1887598972849</v>
      </c>
      <c r="AR656" s="6">
        <v>0</v>
      </c>
      <c r="AS656" s="5">
        <v>0</v>
      </c>
      <c r="AT656" s="6">
        <v>1400</v>
      </c>
      <c r="AU656" s="5">
        <v>4830.3775197945706</v>
      </c>
      <c r="AV656" s="6">
        <v>6980</v>
      </c>
      <c r="AW656" s="5">
        <v>24082.882205832932</v>
      </c>
      <c r="AX656" s="6">
        <v>4200</v>
      </c>
      <c r="AY656" s="5">
        <v>14491.13255938371</v>
      </c>
      <c r="AZ656" s="6">
        <v>1300</v>
      </c>
      <c r="BA656" s="5">
        <v>4422.2753119279987</v>
      </c>
      <c r="BB656" s="6">
        <v>2600</v>
      </c>
      <c r="BC656" s="5">
        <v>8844.5506238559974</v>
      </c>
      <c r="BD656" s="6">
        <v>1300</v>
      </c>
      <c r="BE656" s="5">
        <v>4422.2753119279987</v>
      </c>
      <c r="BF656" s="6">
        <v>2040</v>
      </c>
      <c r="BG656" s="5">
        <v>6939.5704894870132</v>
      </c>
      <c r="BH656" s="9">
        <f t="shared" si="82"/>
        <v>29600</v>
      </c>
      <c r="BI656" s="10">
        <f t="shared" si="83"/>
        <v>101776.70126763231</v>
      </c>
      <c r="BJ656" s="6">
        <f t="shared" si="84"/>
        <v>2780.3201085781402</v>
      </c>
      <c r="BK656" s="11">
        <f t="shared" si="85"/>
        <v>0.10366716231640824</v>
      </c>
      <c r="BL656" s="5">
        <f t="shared" si="86"/>
        <v>13308.914530977083</v>
      </c>
      <c r="BM656" s="11">
        <f t="shared" si="87"/>
        <v>0.15043797320932351</v>
      </c>
    </row>
    <row r="657" spans="1:65" ht="15" customHeight="1" x14ac:dyDescent="0.4">
      <c r="A657" s="2" t="s">
        <v>553</v>
      </c>
      <c r="B657" s="2" t="s">
        <v>66</v>
      </c>
      <c r="C657" s="2" t="s">
        <v>576</v>
      </c>
      <c r="D657" s="3" t="s">
        <v>68</v>
      </c>
      <c r="E657" s="3" t="s">
        <v>318</v>
      </c>
      <c r="F657" s="2" t="s">
        <v>319</v>
      </c>
      <c r="G657" s="4">
        <v>1000</v>
      </c>
      <c r="H657" s="5">
        <v>2.774</v>
      </c>
      <c r="I657" s="5">
        <v>2.891555295621524</v>
      </c>
      <c r="J657" s="6">
        <v>0</v>
      </c>
      <c r="K657" s="5">
        <v>0</v>
      </c>
      <c r="L657" s="6">
        <v>0</v>
      </c>
      <c r="M657" s="5">
        <v>0</v>
      </c>
      <c r="N657" s="6">
        <v>0</v>
      </c>
      <c r="O657" s="5">
        <v>0</v>
      </c>
      <c r="P657" s="6">
        <v>0</v>
      </c>
      <c r="Q657" s="5">
        <v>0</v>
      </c>
      <c r="R657" s="6">
        <v>0</v>
      </c>
      <c r="S657" s="5">
        <v>0</v>
      </c>
      <c r="T657" s="6">
        <v>0</v>
      </c>
      <c r="U657" s="5">
        <v>0</v>
      </c>
      <c r="V657" s="6">
        <v>0</v>
      </c>
      <c r="W657" s="5">
        <v>0</v>
      </c>
      <c r="X657" s="6">
        <v>0</v>
      </c>
      <c r="Y657" s="5">
        <v>0</v>
      </c>
      <c r="Z657" s="6">
        <v>0</v>
      </c>
      <c r="AA657" s="5">
        <v>0</v>
      </c>
      <c r="AB657" s="6">
        <v>0</v>
      </c>
      <c r="AC657" s="5">
        <v>0</v>
      </c>
      <c r="AD657" s="6">
        <v>947.99613929838938</v>
      </c>
      <c r="AE657" s="5">
        <v>2629.7412904137318</v>
      </c>
      <c r="AF657" s="6">
        <v>0</v>
      </c>
      <c r="AG657" s="5">
        <v>0</v>
      </c>
      <c r="AH657" s="7">
        <f t="shared" si="80"/>
        <v>947.99613929838938</v>
      </c>
      <c r="AI657" s="8">
        <f t="shared" si="81"/>
        <v>2629.7412904137318</v>
      </c>
      <c r="AJ657" s="6">
        <v>0</v>
      </c>
      <c r="AK657" s="5">
        <v>0</v>
      </c>
      <c r="AL657" s="6">
        <v>0</v>
      </c>
      <c r="AM657" s="5">
        <v>0</v>
      </c>
      <c r="AN657" s="6">
        <v>0</v>
      </c>
      <c r="AO657" s="5">
        <v>0</v>
      </c>
      <c r="AP657" s="6">
        <v>0</v>
      </c>
      <c r="AQ657" s="5">
        <v>0</v>
      </c>
      <c r="AR657" s="6">
        <v>0</v>
      </c>
      <c r="AS657" s="5">
        <v>0</v>
      </c>
      <c r="AT657" s="6">
        <v>0</v>
      </c>
      <c r="AU657" s="5">
        <v>0</v>
      </c>
      <c r="AV657" s="6">
        <v>0</v>
      </c>
      <c r="AW657" s="5">
        <v>0</v>
      </c>
      <c r="AX657" s="6">
        <v>0</v>
      </c>
      <c r="AY657" s="5">
        <v>0</v>
      </c>
      <c r="AZ657" s="6">
        <v>0</v>
      </c>
      <c r="BA657" s="5">
        <v>0</v>
      </c>
      <c r="BB657" s="6">
        <v>0</v>
      </c>
      <c r="BC657" s="5">
        <v>0</v>
      </c>
      <c r="BD657" s="6">
        <v>1000</v>
      </c>
      <c r="BE657" s="5">
        <v>2891.5552956215238</v>
      </c>
      <c r="BF657" s="6">
        <v>0</v>
      </c>
      <c r="BG657" s="5">
        <v>0</v>
      </c>
      <c r="BH657" s="9">
        <f t="shared" si="82"/>
        <v>1000</v>
      </c>
      <c r="BI657" s="10">
        <f t="shared" si="83"/>
        <v>2891.5552956215238</v>
      </c>
      <c r="BJ657" s="6">
        <f t="shared" si="84"/>
        <v>52.00386070161062</v>
      </c>
      <c r="BK657" s="11">
        <f t="shared" si="85"/>
        <v>5.4856616547086998E-2</v>
      </c>
      <c r="BL657" s="5">
        <f t="shared" si="86"/>
        <v>261.81400520779198</v>
      </c>
      <c r="BM657" s="11">
        <f t="shared" si="87"/>
        <v>9.9558844880365135E-2</v>
      </c>
    </row>
    <row r="658" spans="1:65" ht="15" customHeight="1" x14ac:dyDescent="0.4">
      <c r="A658" s="2" t="s">
        <v>553</v>
      </c>
      <c r="B658" s="2" t="s">
        <v>66</v>
      </c>
      <c r="C658" s="2" t="s">
        <v>576</v>
      </c>
      <c r="D658" s="3" t="s">
        <v>68</v>
      </c>
      <c r="E658" s="3" t="s">
        <v>314</v>
      </c>
      <c r="F658" s="2" t="s">
        <v>316</v>
      </c>
      <c r="G658" s="4">
        <v>5</v>
      </c>
      <c r="H658" s="5">
        <v>6.4</v>
      </c>
      <c r="I658" s="5">
        <v>6.6712162552190888</v>
      </c>
      <c r="J658" s="6">
        <v>0</v>
      </c>
      <c r="K658" s="5">
        <v>0</v>
      </c>
      <c r="L658" s="6">
        <v>0</v>
      </c>
      <c r="M658" s="5">
        <v>0</v>
      </c>
      <c r="N658" s="6">
        <v>0</v>
      </c>
      <c r="O658" s="5">
        <v>0</v>
      </c>
      <c r="P658" s="6">
        <v>0</v>
      </c>
      <c r="Q658" s="5">
        <v>0</v>
      </c>
      <c r="R658" s="6">
        <v>0</v>
      </c>
      <c r="S658" s="5">
        <v>0</v>
      </c>
      <c r="T658" s="6">
        <v>0</v>
      </c>
      <c r="U658" s="5">
        <v>0</v>
      </c>
      <c r="V658" s="6">
        <v>0</v>
      </c>
      <c r="W658" s="5">
        <v>0</v>
      </c>
      <c r="X658" s="6">
        <v>0</v>
      </c>
      <c r="Y658" s="5">
        <v>0</v>
      </c>
      <c r="Z658" s="6">
        <v>47.399806964919463</v>
      </c>
      <c r="AA658" s="5">
        <v>303.3587645754846</v>
      </c>
      <c r="AB658" s="6">
        <v>0</v>
      </c>
      <c r="AC658" s="5">
        <v>0</v>
      </c>
      <c r="AD658" s="6">
        <v>0</v>
      </c>
      <c r="AE658" s="5">
        <v>0</v>
      </c>
      <c r="AF658" s="6">
        <v>0</v>
      </c>
      <c r="AG658" s="5">
        <v>0</v>
      </c>
      <c r="AH658" s="7">
        <f t="shared" si="80"/>
        <v>47.399806964919463</v>
      </c>
      <c r="AI658" s="8">
        <f t="shared" si="81"/>
        <v>303.3587645754846</v>
      </c>
      <c r="AJ658" s="6">
        <v>0</v>
      </c>
      <c r="AK658" s="5">
        <v>0</v>
      </c>
      <c r="AL658" s="6">
        <v>0</v>
      </c>
      <c r="AM658" s="5">
        <v>0</v>
      </c>
      <c r="AN658" s="6">
        <v>0</v>
      </c>
      <c r="AO658" s="5">
        <v>0</v>
      </c>
      <c r="AP658" s="6">
        <v>0</v>
      </c>
      <c r="AQ658" s="5">
        <v>0</v>
      </c>
      <c r="AR658" s="6">
        <v>0</v>
      </c>
      <c r="AS658" s="5">
        <v>0</v>
      </c>
      <c r="AT658" s="6">
        <v>0</v>
      </c>
      <c r="AU658" s="5">
        <v>0</v>
      </c>
      <c r="AV658" s="6">
        <v>0</v>
      </c>
      <c r="AW658" s="5">
        <v>0</v>
      </c>
      <c r="AX658" s="6">
        <v>0</v>
      </c>
      <c r="AY658" s="5">
        <v>0</v>
      </c>
      <c r="AZ658" s="6">
        <v>50</v>
      </c>
      <c r="BA658" s="5">
        <v>333.56081276095438</v>
      </c>
      <c r="BB658" s="6">
        <v>0</v>
      </c>
      <c r="BC658" s="5">
        <v>0</v>
      </c>
      <c r="BD658" s="6">
        <v>0</v>
      </c>
      <c r="BE658" s="5">
        <v>0</v>
      </c>
      <c r="BF658" s="6">
        <v>0</v>
      </c>
      <c r="BG658" s="5">
        <v>0</v>
      </c>
      <c r="BH658" s="9">
        <f t="shared" si="82"/>
        <v>50</v>
      </c>
      <c r="BI658" s="10">
        <f t="shared" si="83"/>
        <v>333.56081276095438</v>
      </c>
      <c r="BJ658" s="6">
        <f t="shared" si="84"/>
        <v>2.6001930350805367</v>
      </c>
      <c r="BK658" s="11">
        <f t="shared" si="85"/>
        <v>5.4856616547087129E-2</v>
      </c>
      <c r="BL658" s="5">
        <f t="shared" si="86"/>
        <v>30.202048185469778</v>
      </c>
      <c r="BM658" s="11">
        <f t="shared" si="87"/>
        <v>9.9558844880364802E-2</v>
      </c>
    </row>
    <row r="659" spans="1:65" ht="15" customHeight="1" x14ac:dyDescent="0.4">
      <c r="A659" s="2" t="s">
        <v>553</v>
      </c>
      <c r="B659" s="2" t="s">
        <v>66</v>
      </c>
      <c r="C659" s="2" t="s">
        <v>576</v>
      </c>
      <c r="D659" s="3" t="s">
        <v>68</v>
      </c>
      <c r="E659" s="3" t="s">
        <v>116</v>
      </c>
      <c r="F659" s="2" t="s">
        <v>117</v>
      </c>
      <c r="G659" s="4">
        <v>5</v>
      </c>
      <c r="H659" s="5">
        <v>12.735483870967739</v>
      </c>
      <c r="I659" s="5">
        <v>13.275182346575081</v>
      </c>
      <c r="J659" s="6">
        <v>0</v>
      </c>
      <c r="K659" s="5">
        <v>0</v>
      </c>
      <c r="L659" s="6">
        <v>0</v>
      </c>
      <c r="M659" s="5">
        <v>0</v>
      </c>
      <c r="N659" s="6">
        <v>0</v>
      </c>
      <c r="O659" s="5">
        <v>0</v>
      </c>
      <c r="P659" s="6">
        <v>0</v>
      </c>
      <c r="Q659" s="5">
        <v>0</v>
      </c>
      <c r="R659" s="6">
        <v>613.32611799979225</v>
      </c>
      <c r="S659" s="5">
        <v>7811.0048834296113</v>
      </c>
      <c r="T659" s="6">
        <v>0</v>
      </c>
      <c r="U659" s="5">
        <v>0</v>
      </c>
      <c r="V659" s="6">
        <v>0</v>
      </c>
      <c r="W659" s="5">
        <v>0</v>
      </c>
      <c r="X659" s="6">
        <v>0</v>
      </c>
      <c r="Y659" s="5">
        <v>0</v>
      </c>
      <c r="Z659" s="6">
        <v>189.59922785967791</v>
      </c>
      <c r="AA659" s="5">
        <v>2414.637908354865</v>
      </c>
      <c r="AB659" s="6">
        <v>0</v>
      </c>
      <c r="AC659" s="5">
        <v>0</v>
      </c>
      <c r="AD659" s="6">
        <v>0</v>
      </c>
      <c r="AE659" s="5">
        <v>0</v>
      </c>
      <c r="AF659" s="6">
        <v>0</v>
      </c>
      <c r="AG659" s="5">
        <v>0</v>
      </c>
      <c r="AH659" s="7">
        <f t="shared" si="80"/>
        <v>802.9253458594701</v>
      </c>
      <c r="AI659" s="8">
        <f t="shared" si="81"/>
        <v>10225.642791784476</v>
      </c>
      <c r="AJ659" s="6">
        <v>0</v>
      </c>
      <c r="AK659" s="5">
        <v>0</v>
      </c>
      <c r="AL659" s="6">
        <v>0</v>
      </c>
      <c r="AM659" s="5">
        <v>0</v>
      </c>
      <c r="AN659" s="6">
        <v>0</v>
      </c>
      <c r="AO659" s="5">
        <v>0</v>
      </c>
      <c r="AP659" s="6">
        <v>0</v>
      </c>
      <c r="AQ659" s="5">
        <v>0</v>
      </c>
      <c r="AR659" s="6">
        <v>740</v>
      </c>
      <c r="AS659" s="5">
        <v>9823.6349364655598</v>
      </c>
      <c r="AT659" s="6">
        <v>0</v>
      </c>
      <c r="AU659" s="5">
        <v>0</v>
      </c>
      <c r="AV659" s="6">
        <v>0</v>
      </c>
      <c r="AW659" s="5">
        <v>0</v>
      </c>
      <c r="AX659" s="6">
        <v>0</v>
      </c>
      <c r="AY659" s="5">
        <v>0</v>
      </c>
      <c r="AZ659" s="6">
        <v>230</v>
      </c>
      <c r="BA659" s="5">
        <v>3053.2919397122678</v>
      </c>
      <c r="BB659" s="6">
        <v>0</v>
      </c>
      <c r="BC659" s="5">
        <v>0</v>
      </c>
      <c r="BD659" s="6">
        <v>0</v>
      </c>
      <c r="BE659" s="5">
        <v>0</v>
      </c>
      <c r="BF659" s="6">
        <v>0</v>
      </c>
      <c r="BG659" s="5">
        <v>0</v>
      </c>
      <c r="BH659" s="9">
        <f t="shared" si="82"/>
        <v>970</v>
      </c>
      <c r="BI659" s="10">
        <f t="shared" si="83"/>
        <v>12876.926876177828</v>
      </c>
      <c r="BJ659" s="6">
        <f t="shared" si="84"/>
        <v>167.0746541405299</v>
      </c>
      <c r="BK659" s="11">
        <f t="shared" si="85"/>
        <v>0.20808242634524046</v>
      </c>
      <c r="BL659" s="5">
        <f t="shared" si="86"/>
        <v>2651.2840843933518</v>
      </c>
      <c r="BM659" s="11">
        <f t="shared" si="87"/>
        <v>0.25927798754357589</v>
      </c>
    </row>
    <row r="660" spans="1:65" ht="15" customHeight="1" x14ac:dyDescent="0.4">
      <c r="A660" s="2" t="s">
        <v>553</v>
      </c>
      <c r="B660" s="2" t="s">
        <v>66</v>
      </c>
      <c r="C660" s="2" t="s">
        <v>576</v>
      </c>
      <c r="D660" s="3" t="s">
        <v>68</v>
      </c>
      <c r="E660" s="3" t="s">
        <v>174</v>
      </c>
      <c r="F660" s="2" t="s">
        <v>175</v>
      </c>
      <c r="G660" s="4">
        <v>5</v>
      </c>
      <c r="H660" s="5">
        <v>5.4020122920472424</v>
      </c>
      <c r="I660" s="5">
        <v>5.6309154593819022</v>
      </c>
      <c r="J660" s="6">
        <v>593.54140451592798</v>
      </c>
      <c r="K660" s="5">
        <v>3276.3485529279219</v>
      </c>
      <c r="L660" s="6">
        <v>593.54140451592798</v>
      </c>
      <c r="M660" s="5">
        <v>3199.1881703408521</v>
      </c>
      <c r="N660" s="6">
        <v>1187.082809031856</v>
      </c>
      <c r="O660" s="5">
        <v>6398.3763406817034</v>
      </c>
      <c r="P660" s="6">
        <v>0</v>
      </c>
      <c r="Q660" s="5">
        <v>0</v>
      </c>
      <c r="R660" s="6">
        <v>0</v>
      </c>
      <c r="S660" s="5">
        <v>0</v>
      </c>
      <c r="T660" s="6">
        <v>0</v>
      </c>
      <c r="U660" s="5">
        <v>0</v>
      </c>
      <c r="V660" s="6">
        <v>1187.082809031856</v>
      </c>
      <c r="W660" s="5">
        <v>6398.3763406817034</v>
      </c>
      <c r="X660" s="6">
        <v>593.54140451592798</v>
      </c>
      <c r="Y660" s="5">
        <v>3199.1881703408521</v>
      </c>
      <c r="Z660" s="6">
        <v>0</v>
      </c>
      <c r="AA660" s="5">
        <v>0</v>
      </c>
      <c r="AB660" s="6">
        <v>284.39884178951678</v>
      </c>
      <c r="AC660" s="5">
        <v>1527.2420946126899</v>
      </c>
      <c r="AD660" s="6">
        <v>284.39884178951678</v>
      </c>
      <c r="AE660" s="5">
        <v>1527.2420946126899</v>
      </c>
      <c r="AF660" s="6">
        <v>284.39884178951678</v>
      </c>
      <c r="AG660" s="5">
        <v>1527.2420946126899</v>
      </c>
      <c r="AH660" s="7">
        <f t="shared" si="80"/>
        <v>5007.9863569800473</v>
      </c>
      <c r="AI660" s="8">
        <f t="shared" si="81"/>
        <v>27053.203858811106</v>
      </c>
      <c r="AJ660" s="6">
        <v>655</v>
      </c>
      <c r="AK660" s="5">
        <v>3768.8202331828338</v>
      </c>
      <c r="AL660" s="6">
        <v>655</v>
      </c>
      <c r="AM660" s="5">
        <v>3680.061785662223</v>
      </c>
      <c r="AN660" s="6">
        <v>1310</v>
      </c>
      <c r="AO660" s="5">
        <v>7360.1235713244469</v>
      </c>
      <c r="AP660" s="6">
        <v>0</v>
      </c>
      <c r="AQ660" s="5">
        <v>0</v>
      </c>
      <c r="AR660" s="6">
        <v>0</v>
      </c>
      <c r="AS660" s="5">
        <v>0</v>
      </c>
      <c r="AT660" s="6">
        <v>0</v>
      </c>
      <c r="AU660" s="5">
        <v>0</v>
      </c>
      <c r="AV660" s="6">
        <v>1310</v>
      </c>
      <c r="AW660" s="5">
        <v>7360.1235713244469</v>
      </c>
      <c r="AX660" s="6">
        <v>655</v>
      </c>
      <c r="AY660" s="5">
        <v>3680.061785662223</v>
      </c>
      <c r="AZ660" s="6">
        <v>0</v>
      </c>
      <c r="BA660" s="5">
        <v>0</v>
      </c>
      <c r="BB660" s="6">
        <v>315</v>
      </c>
      <c r="BC660" s="5">
        <v>1763.257181075249</v>
      </c>
      <c r="BD660" s="6">
        <v>315</v>
      </c>
      <c r="BE660" s="5">
        <v>1763.257181075249</v>
      </c>
      <c r="BF660" s="6">
        <v>315</v>
      </c>
      <c r="BG660" s="5">
        <v>1763.257181075249</v>
      </c>
      <c r="BH660" s="9">
        <f t="shared" si="82"/>
        <v>5530</v>
      </c>
      <c r="BI660" s="10">
        <f t="shared" si="83"/>
        <v>31138.96249038192</v>
      </c>
      <c r="BJ660" s="6">
        <f t="shared" si="84"/>
        <v>522.01364301995272</v>
      </c>
      <c r="BK660" s="11">
        <f t="shared" si="85"/>
        <v>0.10423623504732174</v>
      </c>
      <c r="BL660" s="5">
        <f t="shared" si="86"/>
        <v>4085.758631570814</v>
      </c>
      <c r="BM660" s="11">
        <f t="shared" si="87"/>
        <v>0.15102679345833195</v>
      </c>
    </row>
    <row r="661" spans="1:65" ht="15" customHeight="1" x14ac:dyDescent="0.4">
      <c r="A661" s="2" t="s">
        <v>553</v>
      </c>
      <c r="B661" s="2" t="s">
        <v>66</v>
      </c>
      <c r="C661" s="2" t="s">
        <v>576</v>
      </c>
      <c r="D661" s="3" t="s">
        <v>68</v>
      </c>
      <c r="E661" s="3" t="s">
        <v>136</v>
      </c>
      <c r="F661" s="2" t="s">
        <v>137</v>
      </c>
      <c r="G661" s="4">
        <v>20</v>
      </c>
      <c r="H661" s="5">
        <v>5.0337172550276952</v>
      </c>
      <c r="I661" s="5">
        <v>5.2475625646837214</v>
      </c>
      <c r="J661" s="6">
        <v>0</v>
      </c>
      <c r="K661" s="5">
        <v>0</v>
      </c>
      <c r="L661" s="6">
        <v>0</v>
      </c>
      <c r="M661" s="5">
        <v>0</v>
      </c>
      <c r="N661" s="6">
        <v>633.11083148365651</v>
      </c>
      <c r="O661" s="5">
        <v>3216.2030239369751</v>
      </c>
      <c r="P661" s="6">
        <v>633.11083148365651</v>
      </c>
      <c r="Q661" s="5">
        <v>3216.2030239369751</v>
      </c>
      <c r="R661" s="6">
        <v>0</v>
      </c>
      <c r="S661" s="5">
        <v>0</v>
      </c>
      <c r="T661" s="6">
        <v>0</v>
      </c>
      <c r="U661" s="5">
        <v>0</v>
      </c>
      <c r="V661" s="6">
        <v>633.11083148365651</v>
      </c>
      <c r="W661" s="5">
        <v>3216.2030239369751</v>
      </c>
      <c r="X661" s="6">
        <v>633.11083148365651</v>
      </c>
      <c r="Y661" s="5">
        <v>3216.2030239369751</v>
      </c>
      <c r="Z661" s="6">
        <v>606.7175291509692</v>
      </c>
      <c r="AA661" s="5">
        <v>2995.4402811094792</v>
      </c>
      <c r="AB661" s="6">
        <v>606.7175291509692</v>
      </c>
      <c r="AC661" s="5">
        <v>2995.4402811094792</v>
      </c>
      <c r="AD661" s="6">
        <v>0</v>
      </c>
      <c r="AE661" s="5">
        <v>0</v>
      </c>
      <c r="AF661" s="6">
        <v>0</v>
      </c>
      <c r="AG661" s="5">
        <v>0</v>
      </c>
      <c r="AH661" s="7">
        <f t="shared" si="80"/>
        <v>3745.8783842365647</v>
      </c>
      <c r="AI661" s="8">
        <f t="shared" si="81"/>
        <v>18855.692657966858</v>
      </c>
      <c r="AJ661" s="6">
        <v>0</v>
      </c>
      <c r="AK661" s="5">
        <v>0</v>
      </c>
      <c r="AL661" s="6">
        <v>0</v>
      </c>
      <c r="AM661" s="5">
        <v>0</v>
      </c>
      <c r="AN661" s="6">
        <v>700</v>
      </c>
      <c r="AO661" s="5">
        <v>3706.6945318061062</v>
      </c>
      <c r="AP661" s="6">
        <v>700</v>
      </c>
      <c r="AQ661" s="5">
        <v>3706.6945318061062</v>
      </c>
      <c r="AR661" s="6">
        <v>0</v>
      </c>
      <c r="AS661" s="5">
        <v>0</v>
      </c>
      <c r="AT661" s="6">
        <v>0</v>
      </c>
      <c r="AU661" s="5">
        <v>0</v>
      </c>
      <c r="AV661" s="6">
        <v>700</v>
      </c>
      <c r="AW661" s="5">
        <v>3706.6945318061062</v>
      </c>
      <c r="AX661" s="6">
        <v>700</v>
      </c>
      <c r="AY661" s="5">
        <v>3706.6945318061062</v>
      </c>
      <c r="AZ661" s="6">
        <v>660</v>
      </c>
      <c r="BA661" s="5">
        <v>3396.5898196362559</v>
      </c>
      <c r="BB661" s="6">
        <v>660</v>
      </c>
      <c r="BC661" s="5">
        <v>3396.5898196362559</v>
      </c>
      <c r="BD661" s="6">
        <v>0</v>
      </c>
      <c r="BE661" s="5">
        <v>0</v>
      </c>
      <c r="BF661" s="6">
        <v>0</v>
      </c>
      <c r="BG661" s="5">
        <v>0</v>
      </c>
      <c r="BH661" s="9">
        <f t="shared" si="82"/>
        <v>4120</v>
      </c>
      <c r="BI661" s="10">
        <f t="shared" si="83"/>
        <v>21619.957766496933</v>
      </c>
      <c r="BJ661" s="6">
        <f t="shared" si="84"/>
        <v>374.12161576343533</v>
      </c>
      <c r="BK661" s="11">
        <f t="shared" si="85"/>
        <v>9.9875537160474009E-2</v>
      </c>
      <c r="BL661" s="5">
        <f t="shared" si="86"/>
        <v>2764.2651085300749</v>
      </c>
      <c r="BM661" s="11">
        <f t="shared" si="87"/>
        <v>0.14660109064527654</v>
      </c>
    </row>
    <row r="662" spans="1:65" ht="15" customHeight="1" x14ac:dyDescent="0.4">
      <c r="A662" s="2" t="s">
        <v>553</v>
      </c>
      <c r="B662" s="2" t="s">
        <v>66</v>
      </c>
      <c r="C662" s="2" t="s">
        <v>576</v>
      </c>
      <c r="D662" s="3" t="s">
        <v>68</v>
      </c>
      <c r="E662" s="3" t="s">
        <v>176</v>
      </c>
      <c r="F662" s="2" t="s">
        <v>177</v>
      </c>
      <c r="G662" s="4">
        <v>5</v>
      </c>
      <c r="H662" s="5">
        <v>3.6</v>
      </c>
      <c r="I662" s="5">
        <v>3.7525591435607382</v>
      </c>
      <c r="J662" s="6">
        <v>39.569426967728532</v>
      </c>
      <c r="K662" s="5">
        <v>142.4499370838227</v>
      </c>
      <c r="L662" s="6">
        <v>0</v>
      </c>
      <c r="M662" s="5">
        <v>0</v>
      </c>
      <c r="N662" s="6">
        <v>0</v>
      </c>
      <c r="O662" s="5">
        <v>0</v>
      </c>
      <c r="P662" s="6">
        <v>0</v>
      </c>
      <c r="Q662" s="5">
        <v>0</v>
      </c>
      <c r="R662" s="6">
        <v>0</v>
      </c>
      <c r="S662" s="5">
        <v>0</v>
      </c>
      <c r="T662" s="6">
        <v>0</v>
      </c>
      <c r="U662" s="5">
        <v>0</v>
      </c>
      <c r="V662" s="6">
        <v>0</v>
      </c>
      <c r="W662" s="5">
        <v>0</v>
      </c>
      <c r="X662" s="6">
        <v>0</v>
      </c>
      <c r="Y662" s="5">
        <v>0</v>
      </c>
      <c r="Z662" s="6">
        <v>0</v>
      </c>
      <c r="AA662" s="5">
        <v>0</v>
      </c>
      <c r="AB662" s="6">
        <v>0</v>
      </c>
      <c r="AC662" s="5">
        <v>0</v>
      </c>
      <c r="AD662" s="6">
        <v>0</v>
      </c>
      <c r="AE662" s="5">
        <v>0</v>
      </c>
      <c r="AF662" s="6">
        <v>0</v>
      </c>
      <c r="AG662" s="5">
        <v>0</v>
      </c>
      <c r="AH662" s="7">
        <f t="shared" si="80"/>
        <v>39.569426967728532</v>
      </c>
      <c r="AI662" s="8">
        <f t="shared" si="81"/>
        <v>142.4499370838227</v>
      </c>
      <c r="AJ662" s="6">
        <v>45</v>
      </c>
      <c r="AK662" s="5">
        <v>168.8651614602332</v>
      </c>
      <c r="AL662" s="6">
        <v>0</v>
      </c>
      <c r="AM662" s="5">
        <v>0</v>
      </c>
      <c r="AN662" s="6">
        <v>0</v>
      </c>
      <c r="AO662" s="5">
        <v>0</v>
      </c>
      <c r="AP662" s="6">
        <v>0</v>
      </c>
      <c r="AQ662" s="5">
        <v>0</v>
      </c>
      <c r="AR662" s="6">
        <v>0</v>
      </c>
      <c r="AS662" s="5">
        <v>0</v>
      </c>
      <c r="AT662" s="6">
        <v>0</v>
      </c>
      <c r="AU662" s="5">
        <v>0</v>
      </c>
      <c r="AV662" s="6">
        <v>0</v>
      </c>
      <c r="AW662" s="5">
        <v>0</v>
      </c>
      <c r="AX662" s="6">
        <v>0</v>
      </c>
      <c r="AY662" s="5">
        <v>0</v>
      </c>
      <c r="AZ662" s="6">
        <v>0</v>
      </c>
      <c r="BA662" s="5">
        <v>0</v>
      </c>
      <c r="BB662" s="6">
        <v>0</v>
      </c>
      <c r="BC662" s="5">
        <v>0</v>
      </c>
      <c r="BD662" s="6">
        <v>0</v>
      </c>
      <c r="BE662" s="5">
        <v>0</v>
      </c>
      <c r="BF662" s="6">
        <v>0</v>
      </c>
      <c r="BG662" s="5">
        <v>0</v>
      </c>
      <c r="BH662" s="9">
        <f t="shared" si="82"/>
        <v>45</v>
      </c>
      <c r="BI662" s="10">
        <f t="shared" si="83"/>
        <v>168.8651614602332</v>
      </c>
      <c r="BJ662" s="6">
        <f t="shared" si="84"/>
        <v>5.430573032271468</v>
      </c>
      <c r="BK662" s="11">
        <f t="shared" si="85"/>
        <v>0.13724163952893373</v>
      </c>
      <c r="BL662" s="5">
        <f t="shared" si="86"/>
        <v>26.415224376410492</v>
      </c>
      <c r="BM662" s="11">
        <f t="shared" si="87"/>
        <v>0.18543514245897363</v>
      </c>
    </row>
    <row r="663" spans="1:65" ht="15" customHeight="1" x14ac:dyDescent="0.4">
      <c r="A663" s="2" t="s">
        <v>553</v>
      </c>
      <c r="B663" s="2" t="s">
        <v>66</v>
      </c>
      <c r="C663" s="2" t="s">
        <v>576</v>
      </c>
      <c r="D663" s="3" t="s">
        <v>68</v>
      </c>
      <c r="E663" s="3" t="s">
        <v>167</v>
      </c>
      <c r="F663" s="2" t="s">
        <v>361</v>
      </c>
      <c r="G663" s="4">
        <v>5</v>
      </c>
      <c r="H663" s="5">
        <v>4.2799999999999994</v>
      </c>
      <c r="I663" s="5">
        <v>4.4613758706777658</v>
      </c>
      <c r="J663" s="6">
        <v>197.84713483864269</v>
      </c>
      <c r="K663" s="5">
        <v>846.78573710939054</v>
      </c>
      <c r="L663" s="6">
        <v>0</v>
      </c>
      <c r="M663" s="5">
        <v>0</v>
      </c>
      <c r="N663" s="6">
        <v>0</v>
      </c>
      <c r="O663" s="5">
        <v>0</v>
      </c>
      <c r="P663" s="6">
        <v>0</v>
      </c>
      <c r="Q663" s="5">
        <v>0</v>
      </c>
      <c r="R663" s="6">
        <v>0</v>
      </c>
      <c r="S663" s="5">
        <v>0</v>
      </c>
      <c r="T663" s="6">
        <v>0</v>
      </c>
      <c r="U663" s="5">
        <v>0</v>
      </c>
      <c r="V663" s="6">
        <v>0</v>
      </c>
      <c r="W663" s="5">
        <v>0</v>
      </c>
      <c r="X663" s="6">
        <v>0</v>
      </c>
      <c r="Y663" s="5">
        <v>0</v>
      </c>
      <c r="Z663" s="6">
        <v>0</v>
      </c>
      <c r="AA663" s="5">
        <v>0</v>
      </c>
      <c r="AB663" s="6">
        <v>0</v>
      </c>
      <c r="AC663" s="5">
        <v>0</v>
      </c>
      <c r="AD663" s="6">
        <v>0</v>
      </c>
      <c r="AE663" s="5">
        <v>0</v>
      </c>
      <c r="AF663" s="6">
        <v>0</v>
      </c>
      <c r="AG663" s="5">
        <v>0</v>
      </c>
      <c r="AH663" s="7">
        <f t="shared" si="80"/>
        <v>197.84713483864269</v>
      </c>
      <c r="AI663" s="8">
        <f t="shared" si="81"/>
        <v>846.78573710939054</v>
      </c>
      <c r="AJ663" s="6">
        <v>215</v>
      </c>
      <c r="AK663" s="5">
        <v>959.19581219571955</v>
      </c>
      <c r="AL663" s="6">
        <v>0</v>
      </c>
      <c r="AM663" s="5">
        <v>0</v>
      </c>
      <c r="AN663" s="6">
        <v>0</v>
      </c>
      <c r="AO663" s="5">
        <v>0</v>
      </c>
      <c r="AP663" s="6">
        <v>0</v>
      </c>
      <c r="AQ663" s="5">
        <v>0</v>
      </c>
      <c r="AR663" s="6">
        <v>0</v>
      </c>
      <c r="AS663" s="5">
        <v>0</v>
      </c>
      <c r="AT663" s="6">
        <v>0</v>
      </c>
      <c r="AU663" s="5">
        <v>0</v>
      </c>
      <c r="AV663" s="6">
        <v>0</v>
      </c>
      <c r="AW663" s="5">
        <v>0</v>
      </c>
      <c r="AX663" s="6">
        <v>0</v>
      </c>
      <c r="AY663" s="5">
        <v>0</v>
      </c>
      <c r="AZ663" s="6">
        <v>0</v>
      </c>
      <c r="BA663" s="5">
        <v>0</v>
      </c>
      <c r="BB663" s="6">
        <v>0</v>
      </c>
      <c r="BC663" s="5">
        <v>0</v>
      </c>
      <c r="BD663" s="6">
        <v>0</v>
      </c>
      <c r="BE663" s="5">
        <v>0</v>
      </c>
      <c r="BF663" s="6">
        <v>0</v>
      </c>
      <c r="BG663" s="5">
        <v>0</v>
      </c>
      <c r="BH663" s="9">
        <f t="shared" si="82"/>
        <v>215</v>
      </c>
      <c r="BI663" s="10">
        <f t="shared" si="83"/>
        <v>959.19581219571955</v>
      </c>
      <c r="BJ663" s="6">
        <f t="shared" si="84"/>
        <v>17.152865161357312</v>
      </c>
      <c r="BK663" s="11">
        <f t="shared" si="85"/>
        <v>8.6697566660980954E-2</v>
      </c>
      <c r="BL663" s="5">
        <f t="shared" si="86"/>
        <v>112.41007508632902</v>
      </c>
      <c r="BM663" s="11">
        <f t="shared" si="87"/>
        <v>0.1327491361274635</v>
      </c>
    </row>
    <row r="664" spans="1:65" ht="15" customHeight="1" x14ac:dyDescent="0.4">
      <c r="A664" s="2" t="s">
        <v>553</v>
      </c>
      <c r="B664" s="2" t="s">
        <v>66</v>
      </c>
      <c r="C664" s="2" t="s">
        <v>576</v>
      </c>
      <c r="D664" s="3" t="s">
        <v>68</v>
      </c>
      <c r="E664" s="3" t="s">
        <v>167</v>
      </c>
      <c r="F664" s="2" t="s">
        <v>168</v>
      </c>
      <c r="G664" s="4">
        <v>5</v>
      </c>
      <c r="H664" s="5">
        <v>4.2799999999999994</v>
      </c>
      <c r="I664" s="5">
        <v>4.4613758706777649</v>
      </c>
      <c r="J664" s="6">
        <v>0</v>
      </c>
      <c r="K664" s="5">
        <v>0</v>
      </c>
      <c r="L664" s="6">
        <v>0</v>
      </c>
      <c r="M664" s="5">
        <v>0</v>
      </c>
      <c r="N664" s="6">
        <v>0</v>
      </c>
      <c r="O664" s="5">
        <v>0</v>
      </c>
      <c r="P664" s="6">
        <v>98.92356741932133</v>
      </c>
      <c r="Q664" s="5">
        <v>423.39286855469533</v>
      </c>
      <c r="R664" s="6">
        <v>0</v>
      </c>
      <c r="S664" s="5">
        <v>0</v>
      </c>
      <c r="T664" s="6">
        <v>0</v>
      </c>
      <c r="U664" s="5">
        <v>0</v>
      </c>
      <c r="V664" s="6">
        <v>0</v>
      </c>
      <c r="W664" s="5">
        <v>0</v>
      </c>
      <c r="X664" s="6">
        <v>0</v>
      </c>
      <c r="Y664" s="5">
        <v>0</v>
      </c>
      <c r="Z664" s="6">
        <v>0</v>
      </c>
      <c r="AA664" s="5">
        <v>0</v>
      </c>
      <c r="AB664" s="6">
        <v>0</v>
      </c>
      <c r="AC664" s="5">
        <v>0</v>
      </c>
      <c r="AD664" s="6">
        <v>0</v>
      </c>
      <c r="AE664" s="5">
        <v>0</v>
      </c>
      <c r="AF664" s="6">
        <v>0</v>
      </c>
      <c r="AG664" s="5">
        <v>0</v>
      </c>
      <c r="AH664" s="7">
        <f t="shared" si="80"/>
        <v>98.92356741932133</v>
      </c>
      <c r="AI664" s="8">
        <f t="shared" si="81"/>
        <v>423.39286855469533</v>
      </c>
      <c r="AJ664" s="6">
        <v>0</v>
      </c>
      <c r="AK664" s="5">
        <v>0</v>
      </c>
      <c r="AL664" s="6">
        <v>0</v>
      </c>
      <c r="AM664" s="5">
        <v>0</v>
      </c>
      <c r="AN664" s="6">
        <v>0</v>
      </c>
      <c r="AO664" s="5">
        <v>0</v>
      </c>
      <c r="AP664" s="6">
        <v>110</v>
      </c>
      <c r="AQ664" s="5">
        <v>490.75134577455412</v>
      </c>
      <c r="AR664" s="6">
        <v>0</v>
      </c>
      <c r="AS664" s="5">
        <v>0</v>
      </c>
      <c r="AT664" s="6">
        <v>0</v>
      </c>
      <c r="AU664" s="5">
        <v>0</v>
      </c>
      <c r="AV664" s="6">
        <v>0</v>
      </c>
      <c r="AW664" s="5">
        <v>0</v>
      </c>
      <c r="AX664" s="6">
        <v>0</v>
      </c>
      <c r="AY664" s="5">
        <v>0</v>
      </c>
      <c r="AZ664" s="6">
        <v>0</v>
      </c>
      <c r="BA664" s="5">
        <v>0</v>
      </c>
      <c r="BB664" s="6">
        <v>0</v>
      </c>
      <c r="BC664" s="5">
        <v>0</v>
      </c>
      <c r="BD664" s="6">
        <v>0</v>
      </c>
      <c r="BE664" s="5">
        <v>0</v>
      </c>
      <c r="BF664" s="6">
        <v>0</v>
      </c>
      <c r="BG664" s="5">
        <v>0</v>
      </c>
      <c r="BH664" s="9">
        <f t="shared" si="82"/>
        <v>110</v>
      </c>
      <c r="BI664" s="10">
        <f t="shared" si="83"/>
        <v>490.75134577455412</v>
      </c>
      <c r="BJ664" s="6">
        <f t="shared" si="84"/>
        <v>11.07643258067867</v>
      </c>
      <c r="BK664" s="11">
        <f t="shared" si="85"/>
        <v>0.11196960309495742</v>
      </c>
      <c r="BL664" s="5">
        <f t="shared" si="86"/>
        <v>67.358477219858798</v>
      </c>
      <c r="BM664" s="11">
        <f t="shared" si="87"/>
        <v>0.15909213929321817</v>
      </c>
    </row>
    <row r="665" spans="1:65" ht="15" customHeight="1" x14ac:dyDescent="0.4">
      <c r="A665" s="2" t="s">
        <v>553</v>
      </c>
      <c r="B665" s="2" t="s">
        <v>66</v>
      </c>
      <c r="C665" s="2" t="s">
        <v>576</v>
      </c>
      <c r="D665" s="3" t="s">
        <v>68</v>
      </c>
      <c r="E665" s="3" t="s">
        <v>579</v>
      </c>
      <c r="F665" s="2" t="s">
        <v>580</v>
      </c>
      <c r="G665" s="4">
        <v>20</v>
      </c>
      <c r="H665" s="5">
        <v>3.95</v>
      </c>
      <c r="I665" s="5">
        <v>4.1173912825180317</v>
      </c>
      <c r="J665" s="6">
        <v>197.84713483864269</v>
      </c>
      <c r="K665" s="5">
        <v>781.49618261263845</v>
      </c>
      <c r="L665" s="6">
        <v>0</v>
      </c>
      <c r="M665" s="5">
        <v>0</v>
      </c>
      <c r="N665" s="6">
        <v>0</v>
      </c>
      <c r="O665" s="5">
        <v>0</v>
      </c>
      <c r="P665" s="6">
        <v>0</v>
      </c>
      <c r="Q665" s="5">
        <v>0</v>
      </c>
      <c r="R665" s="6">
        <v>0</v>
      </c>
      <c r="S665" s="5">
        <v>0</v>
      </c>
      <c r="T665" s="6">
        <v>0</v>
      </c>
      <c r="U665" s="5">
        <v>0</v>
      </c>
      <c r="V665" s="6">
        <v>0</v>
      </c>
      <c r="W665" s="5">
        <v>0</v>
      </c>
      <c r="X665" s="6">
        <v>0</v>
      </c>
      <c r="Y665" s="5">
        <v>0</v>
      </c>
      <c r="Z665" s="6">
        <v>0</v>
      </c>
      <c r="AA665" s="5">
        <v>0</v>
      </c>
      <c r="AB665" s="6">
        <v>0</v>
      </c>
      <c r="AC665" s="5">
        <v>0</v>
      </c>
      <c r="AD665" s="6">
        <v>0</v>
      </c>
      <c r="AE665" s="5">
        <v>0</v>
      </c>
      <c r="AF665" s="6">
        <v>0</v>
      </c>
      <c r="AG665" s="5">
        <v>0</v>
      </c>
      <c r="AH665" s="7">
        <f t="shared" si="80"/>
        <v>197.84713483864269</v>
      </c>
      <c r="AI665" s="8">
        <f t="shared" si="81"/>
        <v>781.49618261263845</v>
      </c>
      <c r="AJ665" s="6">
        <v>220</v>
      </c>
      <c r="AK665" s="5">
        <v>905.82608215396692</v>
      </c>
      <c r="AL665" s="6">
        <v>0</v>
      </c>
      <c r="AM665" s="5">
        <v>0</v>
      </c>
      <c r="AN665" s="6">
        <v>0</v>
      </c>
      <c r="AO665" s="5">
        <v>0</v>
      </c>
      <c r="AP665" s="6">
        <v>0</v>
      </c>
      <c r="AQ665" s="5">
        <v>0</v>
      </c>
      <c r="AR665" s="6">
        <v>0</v>
      </c>
      <c r="AS665" s="5">
        <v>0</v>
      </c>
      <c r="AT665" s="6">
        <v>0</v>
      </c>
      <c r="AU665" s="5">
        <v>0</v>
      </c>
      <c r="AV665" s="6">
        <v>0</v>
      </c>
      <c r="AW665" s="5">
        <v>0</v>
      </c>
      <c r="AX665" s="6">
        <v>0</v>
      </c>
      <c r="AY665" s="5">
        <v>0</v>
      </c>
      <c r="AZ665" s="6">
        <v>0</v>
      </c>
      <c r="BA665" s="5">
        <v>0</v>
      </c>
      <c r="BB665" s="6">
        <v>0</v>
      </c>
      <c r="BC665" s="5">
        <v>0</v>
      </c>
      <c r="BD665" s="6">
        <v>0</v>
      </c>
      <c r="BE665" s="5">
        <v>0</v>
      </c>
      <c r="BF665" s="6">
        <v>0</v>
      </c>
      <c r="BG665" s="5">
        <v>0</v>
      </c>
      <c r="BH665" s="9">
        <f t="shared" si="82"/>
        <v>220</v>
      </c>
      <c r="BI665" s="10">
        <f t="shared" si="83"/>
        <v>905.82608215396692</v>
      </c>
      <c r="BJ665" s="6">
        <f t="shared" si="84"/>
        <v>22.152865161357312</v>
      </c>
      <c r="BK665" s="11">
        <f t="shared" si="85"/>
        <v>0.11196960309495725</v>
      </c>
      <c r="BL665" s="5">
        <f t="shared" si="86"/>
        <v>124.32989954132847</v>
      </c>
      <c r="BM665" s="11">
        <f t="shared" si="87"/>
        <v>0.15909213929321861</v>
      </c>
    </row>
    <row r="666" spans="1:65" ht="15" customHeight="1" x14ac:dyDescent="0.4">
      <c r="A666" s="2" t="s">
        <v>553</v>
      </c>
      <c r="B666" s="2" t="s">
        <v>66</v>
      </c>
      <c r="C666" s="2" t="s">
        <v>576</v>
      </c>
      <c r="D666" s="3" t="s">
        <v>68</v>
      </c>
      <c r="E666" s="3" t="s">
        <v>579</v>
      </c>
      <c r="F666" s="2" t="s">
        <v>581</v>
      </c>
      <c r="G666" s="4">
        <v>20</v>
      </c>
      <c r="H666" s="5">
        <v>3.9499999999999988</v>
      </c>
      <c r="I666" s="5">
        <v>4.1173912825180308</v>
      </c>
      <c r="J666" s="6">
        <v>0</v>
      </c>
      <c r="K666" s="5">
        <v>0</v>
      </c>
      <c r="L666" s="6">
        <v>0</v>
      </c>
      <c r="M666" s="5">
        <v>0</v>
      </c>
      <c r="N666" s="6">
        <v>0</v>
      </c>
      <c r="O666" s="5">
        <v>0</v>
      </c>
      <c r="P666" s="6">
        <v>316.55541574182831</v>
      </c>
      <c r="Q666" s="5">
        <v>1250.393892180221</v>
      </c>
      <c r="R666" s="6">
        <v>0</v>
      </c>
      <c r="S666" s="5">
        <v>0</v>
      </c>
      <c r="T666" s="6">
        <v>0</v>
      </c>
      <c r="U666" s="5">
        <v>0</v>
      </c>
      <c r="V666" s="6">
        <v>0</v>
      </c>
      <c r="W666" s="5">
        <v>0</v>
      </c>
      <c r="X666" s="6">
        <v>0</v>
      </c>
      <c r="Y666" s="5">
        <v>0</v>
      </c>
      <c r="Z666" s="6">
        <v>75.83969114387115</v>
      </c>
      <c r="AA666" s="5">
        <v>299.56678001829101</v>
      </c>
      <c r="AB666" s="6">
        <v>0</v>
      </c>
      <c r="AC666" s="5">
        <v>0</v>
      </c>
      <c r="AD666" s="6">
        <v>0</v>
      </c>
      <c r="AE666" s="5">
        <v>0</v>
      </c>
      <c r="AF666" s="6">
        <v>0</v>
      </c>
      <c r="AG666" s="5">
        <v>0</v>
      </c>
      <c r="AH666" s="7">
        <f t="shared" si="80"/>
        <v>392.39510688569948</v>
      </c>
      <c r="AI666" s="8">
        <f t="shared" si="81"/>
        <v>1549.9606721985119</v>
      </c>
      <c r="AJ666" s="6">
        <v>0</v>
      </c>
      <c r="AK666" s="5">
        <v>0</v>
      </c>
      <c r="AL666" s="6">
        <v>0</v>
      </c>
      <c r="AM666" s="5">
        <v>0</v>
      </c>
      <c r="AN666" s="6">
        <v>0</v>
      </c>
      <c r="AO666" s="5">
        <v>0</v>
      </c>
      <c r="AP666" s="6">
        <v>340</v>
      </c>
      <c r="AQ666" s="5">
        <v>1399.913036056131</v>
      </c>
      <c r="AR666" s="6">
        <v>0</v>
      </c>
      <c r="AS666" s="5">
        <v>0</v>
      </c>
      <c r="AT666" s="6">
        <v>0</v>
      </c>
      <c r="AU666" s="5">
        <v>0</v>
      </c>
      <c r="AV666" s="6">
        <v>0</v>
      </c>
      <c r="AW666" s="5">
        <v>0</v>
      </c>
      <c r="AX666" s="6">
        <v>0</v>
      </c>
      <c r="AY666" s="5">
        <v>0</v>
      </c>
      <c r="AZ666" s="6">
        <v>80</v>
      </c>
      <c r="BA666" s="5">
        <v>329.39130260144248</v>
      </c>
      <c r="BB666" s="6">
        <v>0</v>
      </c>
      <c r="BC666" s="5">
        <v>0</v>
      </c>
      <c r="BD666" s="6">
        <v>0</v>
      </c>
      <c r="BE666" s="5">
        <v>0</v>
      </c>
      <c r="BF666" s="6">
        <v>0</v>
      </c>
      <c r="BG666" s="5">
        <v>0</v>
      </c>
      <c r="BH666" s="9">
        <f t="shared" si="82"/>
        <v>420</v>
      </c>
      <c r="BI666" s="10">
        <f t="shared" si="83"/>
        <v>1729.3043386575735</v>
      </c>
      <c r="BJ666" s="6">
        <f t="shared" si="84"/>
        <v>27.604893114300523</v>
      </c>
      <c r="BK666" s="11">
        <f t="shared" si="85"/>
        <v>7.0349738388408439E-2</v>
      </c>
      <c r="BL666" s="5">
        <f t="shared" si="86"/>
        <v>179.34366645906152</v>
      </c>
      <c r="BM666" s="11">
        <f t="shared" si="87"/>
        <v>0.11570852711035239</v>
      </c>
    </row>
    <row r="667" spans="1:65" ht="15" customHeight="1" x14ac:dyDescent="0.4">
      <c r="A667" s="2" t="s">
        <v>553</v>
      </c>
      <c r="B667" s="2" t="s">
        <v>66</v>
      </c>
      <c r="C667" s="2" t="s">
        <v>576</v>
      </c>
      <c r="D667" s="3" t="s">
        <v>68</v>
      </c>
      <c r="E667" s="3" t="s">
        <v>138</v>
      </c>
      <c r="F667" s="2" t="s">
        <v>139</v>
      </c>
      <c r="G667" s="4">
        <v>5</v>
      </c>
      <c r="H667" s="5">
        <v>3.411533234976357</v>
      </c>
      <c r="I667" s="5">
        <v>3.5560400972228892</v>
      </c>
      <c r="J667" s="6">
        <v>296.77070225796399</v>
      </c>
      <c r="K667" s="5">
        <v>1003.084973631918</v>
      </c>
      <c r="L667" s="6">
        <v>593.54140451592798</v>
      </c>
      <c r="M667" s="5">
        <v>2041.7824315347921</v>
      </c>
      <c r="N667" s="6">
        <v>0</v>
      </c>
      <c r="O667" s="5">
        <v>0</v>
      </c>
      <c r="P667" s="6">
        <v>0</v>
      </c>
      <c r="Q667" s="5">
        <v>0</v>
      </c>
      <c r="R667" s="6">
        <v>0</v>
      </c>
      <c r="S667" s="5">
        <v>0</v>
      </c>
      <c r="T667" s="6">
        <v>0</v>
      </c>
      <c r="U667" s="5">
        <v>0</v>
      </c>
      <c r="V667" s="6">
        <v>0</v>
      </c>
      <c r="W667" s="5">
        <v>0</v>
      </c>
      <c r="X667" s="6">
        <v>593.54140451592798</v>
      </c>
      <c r="Y667" s="5">
        <v>2041.7824315347921</v>
      </c>
      <c r="Z667" s="6">
        <v>568.79768357903356</v>
      </c>
      <c r="AA667" s="5">
        <v>1924.182690107494</v>
      </c>
      <c r="AB667" s="6">
        <v>0</v>
      </c>
      <c r="AC667" s="5">
        <v>0</v>
      </c>
      <c r="AD667" s="6">
        <v>0</v>
      </c>
      <c r="AE667" s="5">
        <v>0</v>
      </c>
      <c r="AF667" s="6">
        <v>284.39884178951678</v>
      </c>
      <c r="AG667" s="5">
        <v>962.09134505374686</v>
      </c>
      <c r="AH667" s="7">
        <f t="shared" si="80"/>
        <v>2337.0500366583701</v>
      </c>
      <c r="AI667" s="8">
        <f t="shared" si="81"/>
        <v>7972.9238718627439</v>
      </c>
      <c r="AJ667" s="6">
        <v>325</v>
      </c>
      <c r="AK667" s="5">
        <v>1145.0517275559639</v>
      </c>
      <c r="AL667" s="6">
        <v>645</v>
      </c>
      <c r="AM667" s="5">
        <v>2312.8272854812681</v>
      </c>
      <c r="AN667" s="6">
        <v>0</v>
      </c>
      <c r="AO667" s="5">
        <v>0</v>
      </c>
      <c r="AP667" s="6">
        <v>0</v>
      </c>
      <c r="AQ667" s="5">
        <v>0</v>
      </c>
      <c r="AR667" s="6">
        <v>0</v>
      </c>
      <c r="AS667" s="5">
        <v>0</v>
      </c>
      <c r="AT667" s="6">
        <v>0</v>
      </c>
      <c r="AU667" s="5">
        <v>0</v>
      </c>
      <c r="AV667" s="6">
        <v>0</v>
      </c>
      <c r="AW667" s="5">
        <v>0</v>
      </c>
      <c r="AX667" s="6">
        <v>645</v>
      </c>
      <c r="AY667" s="5">
        <v>2312.8272854812681</v>
      </c>
      <c r="AZ667" s="6">
        <v>620</v>
      </c>
      <c r="BA667" s="5">
        <v>2186.277165942503</v>
      </c>
      <c r="BB667" s="6">
        <v>0</v>
      </c>
      <c r="BC667" s="5">
        <v>0</v>
      </c>
      <c r="BD667" s="6">
        <v>0</v>
      </c>
      <c r="BE667" s="5">
        <v>0</v>
      </c>
      <c r="BF667" s="6">
        <v>310</v>
      </c>
      <c r="BG667" s="5">
        <v>1093.138582971251</v>
      </c>
      <c r="BH667" s="9">
        <f t="shared" si="82"/>
        <v>2545</v>
      </c>
      <c r="BI667" s="10">
        <f t="shared" si="83"/>
        <v>9050.1220474322545</v>
      </c>
      <c r="BJ667" s="6">
        <f t="shared" si="84"/>
        <v>207.94996334162988</v>
      </c>
      <c r="BK667" s="11">
        <f t="shared" si="85"/>
        <v>8.8979679544630985E-2</v>
      </c>
      <c r="BL667" s="5">
        <f t="shared" si="86"/>
        <v>1077.1981755695106</v>
      </c>
      <c r="BM667" s="11">
        <f t="shared" si="87"/>
        <v>0.13510704390030012</v>
      </c>
    </row>
    <row r="668" spans="1:65" ht="15" customHeight="1" x14ac:dyDescent="0.4">
      <c r="A668" s="2" t="s">
        <v>553</v>
      </c>
      <c r="B668" s="2" t="s">
        <v>66</v>
      </c>
      <c r="C668" s="2" t="s">
        <v>576</v>
      </c>
      <c r="D668" s="3" t="s">
        <v>68</v>
      </c>
      <c r="E668" s="3" t="s">
        <v>122</v>
      </c>
      <c r="F668" s="2" t="s">
        <v>123</v>
      </c>
      <c r="G668" s="4">
        <v>5</v>
      </c>
      <c r="H668" s="5">
        <v>4.72</v>
      </c>
      <c r="I668" s="5">
        <v>4.9200219882240779</v>
      </c>
      <c r="J668" s="6">
        <v>791.38853935457064</v>
      </c>
      <c r="K668" s="5">
        <v>3735.3539057535731</v>
      </c>
      <c r="L668" s="6">
        <v>593.54140451592798</v>
      </c>
      <c r="M668" s="5">
        <v>2801.51542931518</v>
      </c>
      <c r="N668" s="6">
        <v>0</v>
      </c>
      <c r="O668" s="5">
        <v>0</v>
      </c>
      <c r="P668" s="6">
        <v>0</v>
      </c>
      <c r="Q668" s="5">
        <v>0</v>
      </c>
      <c r="R668" s="6">
        <v>0</v>
      </c>
      <c r="S668" s="5">
        <v>0</v>
      </c>
      <c r="T668" s="6">
        <v>0</v>
      </c>
      <c r="U668" s="5">
        <v>0</v>
      </c>
      <c r="V668" s="6">
        <v>0</v>
      </c>
      <c r="W668" s="5">
        <v>0</v>
      </c>
      <c r="X668" s="6">
        <v>0</v>
      </c>
      <c r="Y668" s="5">
        <v>0</v>
      </c>
      <c r="Z668" s="6">
        <v>0</v>
      </c>
      <c r="AA668" s="5">
        <v>0</v>
      </c>
      <c r="AB668" s="6">
        <v>0</v>
      </c>
      <c r="AC668" s="5">
        <v>0</v>
      </c>
      <c r="AD668" s="6">
        <v>0</v>
      </c>
      <c r="AE668" s="5">
        <v>0</v>
      </c>
      <c r="AF668" s="6">
        <v>0</v>
      </c>
      <c r="AG668" s="5">
        <v>0</v>
      </c>
      <c r="AH668" s="7">
        <f t="shared" si="80"/>
        <v>1384.9299438704986</v>
      </c>
      <c r="AI668" s="8">
        <f t="shared" si="81"/>
        <v>6536.8693350687536</v>
      </c>
      <c r="AJ668" s="6">
        <v>955</v>
      </c>
      <c r="AK668" s="5">
        <v>4698.6209987539942</v>
      </c>
      <c r="AL668" s="6">
        <v>715</v>
      </c>
      <c r="AM668" s="5">
        <v>3517.8157215802162</v>
      </c>
      <c r="AN668" s="6">
        <v>0</v>
      </c>
      <c r="AO668" s="5">
        <v>0</v>
      </c>
      <c r="AP668" s="6">
        <v>0</v>
      </c>
      <c r="AQ668" s="5">
        <v>0</v>
      </c>
      <c r="AR668" s="6">
        <v>0</v>
      </c>
      <c r="AS668" s="5">
        <v>0</v>
      </c>
      <c r="AT668" s="6">
        <v>0</v>
      </c>
      <c r="AU668" s="5">
        <v>0</v>
      </c>
      <c r="AV668" s="6">
        <v>0</v>
      </c>
      <c r="AW668" s="5">
        <v>0</v>
      </c>
      <c r="AX668" s="6">
        <v>0</v>
      </c>
      <c r="AY668" s="5">
        <v>0</v>
      </c>
      <c r="AZ668" s="6">
        <v>0</v>
      </c>
      <c r="BA668" s="5">
        <v>0</v>
      </c>
      <c r="BB668" s="6">
        <v>0</v>
      </c>
      <c r="BC668" s="5">
        <v>0</v>
      </c>
      <c r="BD668" s="6">
        <v>0</v>
      </c>
      <c r="BE668" s="5">
        <v>0</v>
      </c>
      <c r="BF668" s="6">
        <v>0</v>
      </c>
      <c r="BG668" s="5">
        <v>0</v>
      </c>
      <c r="BH668" s="9">
        <f t="shared" si="82"/>
        <v>1670</v>
      </c>
      <c r="BI668" s="10">
        <f t="shared" si="83"/>
        <v>8216.4367203342099</v>
      </c>
      <c r="BJ668" s="6">
        <f t="shared" si="84"/>
        <v>285.07005612950138</v>
      </c>
      <c r="BK668" s="11">
        <f t="shared" si="85"/>
        <v>0.2058371669925837</v>
      </c>
      <c r="BL668" s="5">
        <f t="shared" si="86"/>
        <v>1679.5673852654563</v>
      </c>
      <c r="BM668" s="11">
        <f t="shared" si="87"/>
        <v>0.25693757962316544</v>
      </c>
    </row>
    <row r="669" spans="1:65" ht="15" customHeight="1" x14ac:dyDescent="0.4">
      <c r="A669" s="2" t="s">
        <v>553</v>
      </c>
      <c r="B669" s="2" t="s">
        <v>66</v>
      </c>
      <c r="C669" s="2" t="s">
        <v>576</v>
      </c>
      <c r="D669" s="3" t="s">
        <v>68</v>
      </c>
      <c r="E669" s="3" t="s">
        <v>143</v>
      </c>
      <c r="F669" s="2" t="s">
        <v>144</v>
      </c>
      <c r="G669" s="4">
        <v>1</v>
      </c>
      <c r="H669" s="5">
        <v>9.74</v>
      </c>
      <c r="I669" s="5">
        <v>10.152757238411549</v>
      </c>
      <c r="J669" s="6">
        <v>0</v>
      </c>
      <c r="K669" s="5">
        <v>0</v>
      </c>
      <c r="L669" s="6">
        <v>0</v>
      </c>
      <c r="M669" s="5">
        <v>0</v>
      </c>
      <c r="N669" s="6">
        <v>0</v>
      </c>
      <c r="O669" s="5">
        <v>0</v>
      </c>
      <c r="P669" s="6">
        <v>0</v>
      </c>
      <c r="Q669" s="5">
        <v>0</v>
      </c>
      <c r="R669" s="6">
        <v>0</v>
      </c>
      <c r="S669" s="5">
        <v>0</v>
      </c>
      <c r="T669" s="6">
        <v>0</v>
      </c>
      <c r="U669" s="5">
        <v>0</v>
      </c>
      <c r="V669" s="6">
        <v>201.8040775354155</v>
      </c>
      <c r="W669" s="5">
        <v>1965.571715194947</v>
      </c>
      <c r="X669" s="6">
        <v>0</v>
      </c>
      <c r="Y669" s="5">
        <v>0</v>
      </c>
      <c r="Z669" s="6">
        <v>0</v>
      </c>
      <c r="AA669" s="5">
        <v>0</v>
      </c>
      <c r="AB669" s="6">
        <v>102.383583044226</v>
      </c>
      <c r="AC669" s="5">
        <v>997.2160988507618</v>
      </c>
      <c r="AD669" s="6">
        <v>0</v>
      </c>
      <c r="AE669" s="5">
        <v>0</v>
      </c>
      <c r="AF669" s="6">
        <v>102.383583044226</v>
      </c>
      <c r="AG669" s="5">
        <v>997.2160988507618</v>
      </c>
      <c r="AH669" s="7">
        <f t="shared" si="80"/>
        <v>406.57124362386747</v>
      </c>
      <c r="AI669" s="8">
        <f t="shared" si="81"/>
        <v>3960.0039128964704</v>
      </c>
      <c r="AJ669" s="6">
        <v>0</v>
      </c>
      <c r="AK669" s="5">
        <v>0</v>
      </c>
      <c r="AL669" s="6">
        <v>0</v>
      </c>
      <c r="AM669" s="5">
        <v>0</v>
      </c>
      <c r="AN669" s="6">
        <v>0</v>
      </c>
      <c r="AO669" s="5">
        <v>0</v>
      </c>
      <c r="AP669" s="6">
        <v>0</v>
      </c>
      <c r="AQ669" s="5">
        <v>0</v>
      </c>
      <c r="AR669" s="6">
        <v>0</v>
      </c>
      <c r="AS669" s="5">
        <v>0</v>
      </c>
      <c r="AT669" s="6">
        <v>0</v>
      </c>
      <c r="AU669" s="5">
        <v>0</v>
      </c>
      <c r="AV669" s="6">
        <v>243</v>
      </c>
      <c r="AW669" s="5">
        <v>2467.1200089340068</v>
      </c>
      <c r="AX669" s="6">
        <v>0</v>
      </c>
      <c r="AY669" s="5">
        <v>0</v>
      </c>
      <c r="AZ669" s="6">
        <v>0</v>
      </c>
      <c r="BA669" s="5">
        <v>0</v>
      </c>
      <c r="BB669" s="6">
        <v>124</v>
      </c>
      <c r="BC669" s="5">
        <v>1258.9418975630331</v>
      </c>
      <c r="BD669" s="6">
        <v>0</v>
      </c>
      <c r="BE669" s="5">
        <v>0</v>
      </c>
      <c r="BF669" s="6">
        <v>124</v>
      </c>
      <c r="BG669" s="5">
        <v>1258.9418975630331</v>
      </c>
      <c r="BH669" s="9">
        <f t="shared" si="82"/>
        <v>491</v>
      </c>
      <c r="BI669" s="10">
        <f t="shared" si="83"/>
        <v>4985.003804060073</v>
      </c>
      <c r="BJ669" s="6">
        <f t="shared" si="84"/>
        <v>84.428756376132526</v>
      </c>
      <c r="BK669" s="11">
        <f t="shared" si="85"/>
        <v>0.20766042286610994</v>
      </c>
      <c r="BL669" s="5">
        <f t="shared" si="86"/>
        <v>1024.9998911636026</v>
      </c>
      <c r="BM669" s="11">
        <f t="shared" si="87"/>
        <v>0.25883810059517987</v>
      </c>
    </row>
    <row r="670" spans="1:65" ht="15" customHeight="1" x14ac:dyDescent="0.4">
      <c r="A670" s="2" t="s">
        <v>553</v>
      </c>
      <c r="B670" s="2" t="s">
        <v>66</v>
      </c>
      <c r="C670" s="2" t="s">
        <v>576</v>
      </c>
      <c r="D670" s="3" t="s">
        <v>68</v>
      </c>
      <c r="E670" s="3" t="s">
        <v>558</v>
      </c>
      <c r="F670" s="2" t="s">
        <v>559</v>
      </c>
      <c r="G670" s="4">
        <v>1</v>
      </c>
      <c r="H670" s="5">
        <v>16.25</v>
      </c>
      <c r="I670" s="5">
        <v>16.93863502301722</v>
      </c>
      <c r="J670" s="6">
        <v>0</v>
      </c>
      <c r="K670" s="5">
        <v>0</v>
      </c>
      <c r="L670" s="6">
        <v>23.741656180637118</v>
      </c>
      <c r="M670" s="5">
        <v>385.80191293535319</v>
      </c>
      <c r="N670" s="6">
        <v>0</v>
      </c>
      <c r="O670" s="5">
        <v>0</v>
      </c>
      <c r="P670" s="6">
        <v>0</v>
      </c>
      <c r="Q670" s="5">
        <v>0</v>
      </c>
      <c r="R670" s="6">
        <v>0</v>
      </c>
      <c r="S670" s="5">
        <v>0</v>
      </c>
      <c r="T670" s="6">
        <v>0</v>
      </c>
      <c r="U670" s="5">
        <v>0</v>
      </c>
      <c r="V670" s="6">
        <v>0</v>
      </c>
      <c r="W670" s="5">
        <v>0</v>
      </c>
      <c r="X670" s="6">
        <v>0</v>
      </c>
      <c r="Y670" s="5">
        <v>0</v>
      </c>
      <c r="Z670" s="6">
        <v>0</v>
      </c>
      <c r="AA670" s="5">
        <v>0</v>
      </c>
      <c r="AB670" s="6">
        <v>0</v>
      </c>
      <c r="AC670" s="5">
        <v>0</v>
      </c>
      <c r="AD670" s="6">
        <v>0</v>
      </c>
      <c r="AE670" s="5">
        <v>0</v>
      </c>
      <c r="AF670" s="6">
        <v>0</v>
      </c>
      <c r="AG670" s="5">
        <v>0</v>
      </c>
      <c r="AH670" s="7">
        <f t="shared" si="80"/>
        <v>23.741656180637118</v>
      </c>
      <c r="AI670" s="8">
        <f t="shared" si="81"/>
        <v>385.80191293535319</v>
      </c>
      <c r="AJ670" s="6">
        <v>0</v>
      </c>
      <c r="AK670" s="5">
        <v>0</v>
      </c>
      <c r="AL670" s="6">
        <v>25</v>
      </c>
      <c r="AM670" s="5">
        <v>423.46587557543052</v>
      </c>
      <c r="AN670" s="6">
        <v>0</v>
      </c>
      <c r="AO670" s="5">
        <v>0</v>
      </c>
      <c r="AP670" s="6">
        <v>0</v>
      </c>
      <c r="AQ670" s="5">
        <v>0</v>
      </c>
      <c r="AR670" s="6">
        <v>0</v>
      </c>
      <c r="AS670" s="5">
        <v>0</v>
      </c>
      <c r="AT670" s="6">
        <v>0</v>
      </c>
      <c r="AU670" s="5">
        <v>0</v>
      </c>
      <c r="AV670" s="6">
        <v>0</v>
      </c>
      <c r="AW670" s="5">
        <v>0</v>
      </c>
      <c r="AX670" s="6">
        <v>0</v>
      </c>
      <c r="AY670" s="5">
        <v>0</v>
      </c>
      <c r="AZ670" s="6">
        <v>0</v>
      </c>
      <c r="BA670" s="5">
        <v>0</v>
      </c>
      <c r="BB670" s="6">
        <v>0</v>
      </c>
      <c r="BC670" s="5">
        <v>0</v>
      </c>
      <c r="BD670" s="6">
        <v>0</v>
      </c>
      <c r="BE670" s="5">
        <v>0</v>
      </c>
      <c r="BF670" s="6">
        <v>0</v>
      </c>
      <c r="BG670" s="5">
        <v>0</v>
      </c>
      <c r="BH670" s="9">
        <f t="shared" si="82"/>
        <v>25</v>
      </c>
      <c r="BI670" s="10">
        <f t="shared" si="83"/>
        <v>423.46587557543052</v>
      </c>
      <c r="BJ670" s="6">
        <f t="shared" si="84"/>
        <v>1.2583438193628815</v>
      </c>
      <c r="BK670" s="11">
        <f t="shared" si="85"/>
        <v>5.3001518082346072E-2</v>
      </c>
      <c r="BL670" s="5">
        <f t="shared" si="86"/>
        <v>37.66396264007733</v>
      </c>
      <c r="BM670" s="11">
        <f t="shared" si="87"/>
        <v>9.7625131906457094E-2</v>
      </c>
    </row>
    <row r="671" spans="1:65" ht="15" customHeight="1" x14ac:dyDescent="0.4">
      <c r="A671" s="2" t="s">
        <v>553</v>
      </c>
      <c r="B671" s="2" t="s">
        <v>66</v>
      </c>
      <c r="C671" s="2" t="s">
        <v>576</v>
      </c>
      <c r="D671" s="3" t="s">
        <v>68</v>
      </c>
      <c r="E671" s="3" t="s">
        <v>558</v>
      </c>
      <c r="F671" s="2" t="s">
        <v>560</v>
      </c>
      <c r="G671" s="4">
        <v>1</v>
      </c>
      <c r="H671" s="5">
        <v>16.25</v>
      </c>
      <c r="I671" s="5">
        <v>16.93863502301722</v>
      </c>
      <c r="J671" s="6">
        <v>0</v>
      </c>
      <c r="K671" s="5">
        <v>0</v>
      </c>
      <c r="L671" s="6">
        <v>0</v>
      </c>
      <c r="M671" s="5">
        <v>0</v>
      </c>
      <c r="N671" s="6">
        <v>0</v>
      </c>
      <c r="O671" s="5">
        <v>0</v>
      </c>
      <c r="P671" s="6">
        <v>0</v>
      </c>
      <c r="Q671" s="5">
        <v>0</v>
      </c>
      <c r="R671" s="6">
        <v>0</v>
      </c>
      <c r="S671" s="5">
        <v>0</v>
      </c>
      <c r="T671" s="6">
        <v>0</v>
      </c>
      <c r="U671" s="5">
        <v>0</v>
      </c>
      <c r="V671" s="6">
        <v>0</v>
      </c>
      <c r="W671" s="5">
        <v>0</v>
      </c>
      <c r="X671" s="6">
        <v>59.354140451592791</v>
      </c>
      <c r="Y671" s="5">
        <v>964.50478233838294</v>
      </c>
      <c r="Z671" s="6">
        <v>34.127861014742017</v>
      </c>
      <c r="AA671" s="5">
        <v>554.57774148955775</v>
      </c>
      <c r="AB671" s="6">
        <v>0</v>
      </c>
      <c r="AC671" s="5">
        <v>0</v>
      </c>
      <c r="AD671" s="6">
        <v>0</v>
      </c>
      <c r="AE671" s="5">
        <v>0</v>
      </c>
      <c r="AF671" s="6">
        <v>0</v>
      </c>
      <c r="AG671" s="5">
        <v>0</v>
      </c>
      <c r="AH671" s="7">
        <f t="shared" si="80"/>
        <v>93.482001466334808</v>
      </c>
      <c r="AI671" s="8">
        <f t="shared" si="81"/>
        <v>1519.0825238279408</v>
      </c>
      <c r="AJ671" s="6">
        <v>0</v>
      </c>
      <c r="AK671" s="5">
        <v>0</v>
      </c>
      <c r="AL671" s="6">
        <v>0</v>
      </c>
      <c r="AM671" s="5">
        <v>0</v>
      </c>
      <c r="AN671" s="6">
        <v>0</v>
      </c>
      <c r="AO671" s="5">
        <v>0</v>
      </c>
      <c r="AP671" s="6">
        <v>0</v>
      </c>
      <c r="AQ671" s="5">
        <v>0</v>
      </c>
      <c r="AR671" s="6">
        <v>0</v>
      </c>
      <c r="AS671" s="5">
        <v>0</v>
      </c>
      <c r="AT671" s="6">
        <v>0</v>
      </c>
      <c r="AU671" s="5">
        <v>0</v>
      </c>
      <c r="AV671" s="6">
        <v>0</v>
      </c>
      <c r="AW671" s="5">
        <v>0</v>
      </c>
      <c r="AX671" s="6">
        <v>64</v>
      </c>
      <c r="AY671" s="5">
        <v>1084.0726414731021</v>
      </c>
      <c r="AZ671" s="6">
        <v>37</v>
      </c>
      <c r="BA671" s="5">
        <v>626.72949585163713</v>
      </c>
      <c r="BB671" s="6">
        <v>0</v>
      </c>
      <c r="BC671" s="5">
        <v>0</v>
      </c>
      <c r="BD671" s="6">
        <v>0</v>
      </c>
      <c r="BE671" s="5">
        <v>0</v>
      </c>
      <c r="BF671" s="6">
        <v>0</v>
      </c>
      <c r="BG671" s="5">
        <v>0</v>
      </c>
      <c r="BH671" s="9">
        <f t="shared" si="82"/>
        <v>101</v>
      </c>
      <c r="BI671" s="10">
        <f t="shared" si="83"/>
        <v>1710.8021373247393</v>
      </c>
      <c r="BJ671" s="6">
        <f t="shared" si="84"/>
        <v>7.5179985336651924</v>
      </c>
      <c r="BK671" s="11">
        <f t="shared" si="85"/>
        <v>8.0421882455871577E-2</v>
      </c>
      <c r="BL671" s="5">
        <f t="shared" si="86"/>
        <v>191.7196134967985</v>
      </c>
      <c r="BM671" s="11">
        <f t="shared" si="87"/>
        <v>0.1262075038646904</v>
      </c>
    </row>
    <row r="672" spans="1:65" ht="15" customHeight="1" x14ac:dyDescent="0.4">
      <c r="A672" s="2" t="s">
        <v>553</v>
      </c>
      <c r="B672" s="2" t="s">
        <v>66</v>
      </c>
      <c r="C672" s="2" t="s">
        <v>576</v>
      </c>
      <c r="D672" s="3" t="s">
        <v>68</v>
      </c>
      <c r="E672" s="3" t="s">
        <v>563</v>
      </c>
      <c r="F672" s="2" t="s">
        <v>564</v>
      </c>
      <c r="G672" s="4">
        <v>5</v>
      </c>
      <c r="H672" s="5">
        <v>8.41</v>
      </c>
      <c r="I672" s="5">
        <v>8.766395110373832</v>
      </c>
      <c r="J672" s="6">
        <v>0</v>
      </c>
      <c r="K672" s="5">
        <v>0</v>
      </c>
      <c r="L672" s="6">
        <v>158.2777078709141</v>
      </c>
      <c r="M672" s="5">
        <v>1331.1155231943881</v>
      </c>
      <c r="N672" s="6">
        <v>0</v>
      </c>
      <c r="O672" s="5">
        <v>0</v>
      </c>
      <c r="P672" s="6">
        <v>0</v>
      </c>
      <c r="Q672" s="5">
        <v>0</v>
      </c>
      <c r="R672" s="6">
        <v>0</v>
      </c>
      <c r="S672" s="5">
        <v>0</v>
      </c>
      <c r="T672" s="6">
        <v>0</v>
      </c>
      <c r="U672" s="5">
        <v>0</v>
      </c>
      <c r="V672" s="6">
        <v>0</v>
      </c>
      <c r="W672" s="5">
        <v>0</v>
      </c>
      <c r="X672" s="6">
        <v>197.84713483864269</v>
      </c>
      <c r="Y672" s="5">
        <v>1663.894403992985</v>
      </c>
      <c r="Z672" s="6">
        <v>0</v>
      </c>
      <c r="AA672" s="5">
        <v>0</v>
      </c>
      <c r="AB672" s="6">
        <v>94.799613929838927</v>
      </c>
      <c r="AC672" s="5">
        <v>797.26475314994548</v>
      </c>
      <c r="AD672" s="6">
        <v>0</v>
      </c>
      <c r="AE672" s="5">
        <v>0</v>
      </c>
      <c r="AF672" s="6">
        <v>0</v>
      </c>
      <c r="AG672" s="5">
        <v>0</v>
      </c>
      <c r="AH672" s="7">
        <f t="shared" si="80"/>
        <v>450.92445663939571</v>
      </c>
      <c r="AI672" s="8">
        <f t="shared" si="81"/>
        <v>3792.2746803373188</v>
      </c>
      <c r="AJ672" s="6">
        <v>0</v>
      </c>
      <c r="AK672" s="5">
        <v>0</v>
      </c>
      <c r="AL672" s="6">
        <v>170</v>
      </c>
      <c r="AM672" s="5">
        <v>1490.2871687635511</v>
      </c>
      <c r="AN672" s="6">
        <v>0</v>
      </c>
      <c r="AO672" s="5">
        <v>0</v>
      </c>
      <c r="AP672" s="6">
        <v>0</v>
      </c>
      <c r="AQ672" s="5">
        <v>0</v>
      </c>
      <c r="AR672" s="6">
        <v>0</v>
      </c>
      <c r="AS672" s="5">
        <v>0</v>
      </c>
      <c r="AT672" s="6">
        <v>0</v>
      </c>
      <c r="AU672" s="5">
        <v>0</v>
      </c>
      <c r="AV672" s="6">
        <v>0</v>
      </c>
      <c r="AW672" s="5">
        <v>0</v>
      </c>
      <c r="AX672" s="6">
        <v>210</v>
      </c>
      <c r="AY672" s="5">
        <v>1840.9429731785051</v>
      </c>
      <c r="AZ672" s="6">
        <v>0</v>
      </c>
      <c r="BA672" s="5">
        <v>0</v>
      </c>
      <c r="BB672" s="6">
        <v>100</v>
      </c>
      <c r="BC672" s="5">
        <v>876.63951103738339</v>
      </c>
      <c r="BD672" s="6">
        <v>0</v>
      </c>
      <c r="BE672" s="5">
        <v>0</v>
      </c>
      <c r="BF672" s="6">
        <v>0</v>
      </c>
      <c r="BG672" s="5">
        <v>0</v>
      </c>
      <c r="BH672" s="9">
        <f t="shared" si="82"/>
        <v>480</v>
      </c>
      <c r="BI672" s="10">
        <f t="shared" si="83"/>
        <v>4207.8696529794397</v>
      </c>
      <c r="BJ672" s="6">
        <f t="shared" si="84"/>
        <v>29.075543360604286</v>
      </c>
      <c r="BK672" s="11">
        <f t="shared" si="85"/>
        <v>6.4479854513315962E-2</v>
      </c>
      <c r="BL672" s="5">
        <f t="shared" si="86"/>
        <v>415.59497264212087</v>
      </c>
      <c r="BM672" s="11">
        <f t="shared" si="87"/>
        <v>0.10958989199726274</v>
      </c>
    </row>
    <row r="673" spans="1:65" ht="15" customHeight="1" x14ac:dyDescent="0.4">
      <c r="A673" s="2" t="s">
        <v>553</v>
      </c>
      <c r="B673" s="2" t="s">
        <v>66</v>
      </c>
      <c r="C673" s="2" t="s">
        <v>576</v>
      </c>
      <c r="D673" s="3" t="s">
        <v>68</v>
      </c>
      <c r="E673" s="3" t="s">
        <v>147</v>
      </c>
      <c r="F673" s="2" t="s">
        <v>148</v>
      </c>
      <c r="G673" s="4">
        <v>5</v>
      </c>
      <c r="H673" s="5">
        <v>2.8215519618179572</v>
      </c>
      <c r="I673" s="5">
        <v>2.9410697061211981</v>
      </c>
      <c r="J673" s="6">
        <v>593.54140451592798</v>
      </c>
      <c r="K673" s="5">
        <v>1685.6575888252351</v>
      </c>
      <c r="L673" s="6">
        <v>791.38853935457064</v>
      </c>
      <c r="M673" s="5">
        <v>2279.1989933411628</v>
      </c>
      <c r="N673" s="6">
        <v>296.77070225796399</v>
      </c>
      <c r="O673" s="5">
        <v>854.69962250293622</v>
      </c>
      <c r="P673" s="6">
        <v>0</v>
      </c>
      <c r="Q673" s="5">
        <v>0</v>
      </c>
      <c r="R673" s="6">
        <v>0</v>
      </c>
      <c r="S673" s="5">
        <v>0</v>
      </c>
      <c r="T673" s="6">
        <v>19.78471348386427</v>
      </c>
      <c r="U673" s="5">
        <v>0</v>
      </c>
      <c r="V673" s="6">
        <v>0</v>
      </c>
      <c r="W673" s="5">
        <v>0</v>
      </c>
      <c r="X673" s="6">
        <v>0</v>
      </c>
      <c r="Y673" s="5">
        <v>0</v>
      </c>
      <c r="Z673" s="6">
        <v>758.39691143871141</v>
      </c>
      <c r="AA673" s="5">
        <v>2129.1552360204942</v>
      </c>
      <c r="AB673" s="6">
        <v>0</v>
      </c>
      <c r="AC673" s="5">
        <v>0</v>
      </c>
      <c r="AD673" s="6">
        <v>0</v>
      </c>
      <c r="AE673" s="5">
        <v>0</v>
      </c>
      <c r="AF673" s="6">
        <v>568.79768357903356</v>
      </c>
      <c r="AG673" s="5">
        <v>1596.8664270153699</v>
      </c>
      <c r="AH673" s="7">
        <f t="shared" si="80"/>
        <v>3028.6799546300722</v>
      </c>
      <c r="AI673" s="8">
        <f t="shared" si="81"/>
        <v>8545.5778677051985</v>
      </c>
      <c r="AJ673" s="6">
        <v>750</v>
      </c>
      <c r="AK673" s="5">
        <v>2220.2641599401031</v>
      </c>
      <c r="AL673" s="6">
        <v>995</v>
      </c>
      <c r="AM673" s="5">
        <v>2987.0370782743471</v>
      </c>
      <c r="AN673" s="6">
        <v>375</v>
      </c>
      <c r="AO673" s="5">
        <v>1125.7677430682211</v>
      </c>
      <c r="AP673" s="6">
        <v>0</v>
      </c>
      <c r="AQ673" s="5">
        <v>0</v>
      </c>
      <c r="AR673" s="6">
        <v>0</v>
      </c>
      <c r="AS673" s="5">
        <v>0</v>
      </c>
      <c r="AT673" s="6">
        <v>25</v>
      </c>
      <c r="AU673" s="5">
        <v>0</v>
      </c>
      <c r="AV673" s="6">
        <v>0</v>
      </c>
      <c r="AW673" s="5">
        <v>0</v>
      </c>
      <c r="AX673" s="6">
        <v>0</v>
      </c>
      <c r="AY673" s="5">
        <v>0</v>
      </c>
      <c r="AZ673" s="6">
        <v>955</v>
      </c>
      <c r="BA673" s="5">
        <v>2794.7256945682998</v>
      </c>
      <c r="BB673" s="6">
        <v>0</v>
      </c>
      <c r="BC673" s="5">
        <v>0</v>
      </c>
      <c r="BD673" s="6">
        <v>0</v>
      </c>
      <c r="BE673" s="5">
        <v>0</v>
      </c>
      <c r="BF673" s="6">
        <v>715</v>
      </c>
      <c r="BG673" s="5">
        <v>2092.3862530013971</v>
      </c>
      <c r="BH673" s="9">
        <f t="shared" si="82"/>
        <v>3815</v>
      </c>
      <c r="BI673" s="10">
        <f t="shared" si="83"/>
        <v>11220.180928852369</v>
      </c>
      <c r="BJ673" s="6">
        <f t="shared" si="84"/>
        <v>786.32004536992781</v>
      </c>
      <c r="BK673" s="11">
        <f t="shared" si="85"/>
        <v>0.25962467383450233</v>
      </c>
      <c r="BL673" s="5">
        <f t="shared" si="86"/>
        <v>2674.6030611471706</v>
      </c>
      <c r="BM673" s="11">
        <f t="shared" si="87"/>
        <v>0.31298094787186109</v>
      </c>
    </row>
    <row r="674" spans="1:65" ht="15" customHeight="1" x14ac:dyDescent="0.4">
      <c r="A674" s="2" t="s">
        <v>553</v>
      </c>
      <c r="B674" s="2" t="s">
        <v>66</v>
      </c>
      <c r="C674" s="2" t="s">
        <v>576</v>
      </c>
      <c r="D674" s="3" t="s">
        <v>68</v>
      </c>
      <c r="E674" s="3" t="s">
        <v>225</v>
      </c>
      <c r="F674" s="2" t="s">
        <v>226</v>
      </c>
      <c r="G674" s="4">
        <v>5</v>
      </c>
      <c r="H674" s="5">
        <v>0</v>
      </c>
      <c r="I674" s="5">
        <v>0</v>
      </c>
      <c r="J674" s="6">
        <v>0</v>
      </c>
      <c r="K674" s="5">
        <v>0</v>
      </c>
      <c r="L674" s="6">
        <v>0</v>
      </c>
      <c r="M674" s="5">
        <v>0</v>
      </c>
      <c r="N674" s="6">
        <v>0</v>
      </c>
      <c r="O674" s="5">
        <v>0</v>
      </c>
      <c r="P674" s="6">
        <v>0</v>
      </c>
      <c r="Q674" s="5">
        <v>0</v>
      </c>
      <c r="R674" s="6">
        <v>0</v>
      </c>
      <c r="S674" s="5">
        <v>0</v>
      </c>
      <c r="T674" s="6">
        <v>0</v>
      </c>
      <c r="U674" s="5">
        <v>0</v>
      </c>
      <c r="V674" s="6">
        <v>0</v>
      </c>
      <c r="W674" s="5">
        <v>0</v>
      </c>
      <c r="X674" s="6">
        <v>39.569426967728532</v>
      </c>
      <c r="Y674" s="5">
        <v>0</v>
      </c>
      <c r="Z674" s="6">
        <v>0</v>
      </c>
      <c r="AA674" s="5">
        <v>0</v>
      </c>
      <c r="AB674" s="6">
        <v>0</v>
      </c>
      <c r="AC674" s="5">
        <v>0</v>
      </c>
      <c r="AD674" s="6">
        <v>0</v>
      </c>
      <c r="AE674" s="5">
        <v>0</v>
      </c>
      <c r="AF674" s="6">
        <v>0</v>
      </c>
      <c r="AG674" s="5">
        <v>0</v>
      </c>
      <c r="AH674" s="7">
        <f t="shared" si="80"/>
        <v>39.569426967728532</v>
      </c>
      <c r="AI674" s="8">
        <f t="shared" si="81"/>
        <v>0</v>
      </c>
      <c r="AJ674" s="6">
        <v>0</v>
      </c>
      <c r="AK674" s="5">
        <v>0</v>
      </c>
      <c r="AL674" s="6">
        <v>0</v>
      </c>
      <c r="AM674" s="5">
        <v>0</v>
      </c>
      <c r="AN674" s="6">
        <v>0</v>
      </c>
      <c r="AO674" s="5">
        <v>0</v>
      </c>
      <c r="AP674" s="6">
        <v>0</v>
      </c>
      <c r="AQ674" s="5">
        <v>0</v>
      </c>
      <c r="AR674" s="6">
        <v>0</v>
      </c>
      <c r="AS674" s="5">
        <v>0</v>
      </c>
      <c r="AT674" s="6">
        <v>0</v>
      </c>
      <c r="AU674" s="5">
        <v>0</v>
      </c>
      <c r="AV674" s="6">
        <v>0</v>
      </c>
      <c r="AW674" s="5">
        <v>0</v>
      </c>
      <c r="AX674" s="6">
        <v>45</v>
      </c>
      <c r="AY674" s="5">
        <v>0</v>
      </c>
      <c r="AZ674" s="6">
        <v>0</v>
      </c>
      <c r="BA674" s="5">
        <v>0</v>
      </c>
      <c r="BB674" s="6">
        <v>0</v>
      </c>
      <c r="BC674" s="5">
        <v>0</v>
      </c>
      <c r="BD674" s="6">
        <v>0</v>
      </c>
      <c r="BE674" s="5">
        <v>0</v>
      </c>
      <c r="BF674" s="6">
        <v>0</v>
      </c>
      <c r="BG674" s="5">
        <v>0</v>
      </c>
      <c r="BH674" s="9">
        <f t="shared" si="82"/>
        <v>45</v>
      </c>
      <c r="BI674" s="10">
        <f t="shared" si="83"/>
        <v>0</v>
      </c>
      <c r="BJ674" s="6">
        <f t="shared" si="84"/>
        <v>5.430573032271468</v>
      </c>
      <c r="BK674" s="11">
        <f t="shared" si="85"/>
        <v>0.13724163952893373</v>
      </c>
      <c r="BL674" s="5">
        <f t="shared" si="86"/>
        <v>0</v>
      </c>
      <c r="BM674" s="11">
        <f t="shared" si="87"/>
        <v>0</v>
      </c>
    </row>
    <row r="675" spans="1:65" ht="15" customHeight="1" x14ac:dyDescent="0.4">
      <c r="A675" s="2" t="s">
        <v>553</v>
      </c>
      <c r="B675" s="2" t="s">
        <v>66</v>
      </c>
      <c r="C675" s="2" t="s">
        <v>576</v>
      </c>
      <c r="D675" s="3" t="s">
        <v>68</v>
      </c>
      <c r="E675" s="3" t="s">
        <v>182</v>
      </c>
      <c r="F675" s="2" t="s">
        <v>568</v>
      </c>
      <c r="G675" s="4">
        <v>5</v>
      </c>
      <c r="H675" s="5">
        <v>6.8199999999999994</v>
      </c>
      <c r="I675" s="5">
        <v>7.1090148219678424</v>
      </c>
      <c r="J675" s="6">
        <v>0</v>
      </c>
      <c r="K675" s="5">
        <v>0</v>
      </c>
      <c r="L675" s="6">
        <v>0</v>
      </c>
      <c r="M675" s="5">
        <v>0</v>
      </c>
      <c r="N675" s="6">
        <v>98.92356741932133</v>
      </c>
      <c r="O675" s="5">
        <v>674.65872979977144</v>
      </c>
      <c r="P675" s="6">
        <v>0</v>
      </c>
      <c r="Q675" s="5">
        <v>0</v>
      </c>
      <c r="R675" s="6">
        <v>0</v>
      </c>
      <c r="S675" s="5">
        <v>0</v>
      </c>
      <c r="T675" s="6">
        <v>0</v>
      </c>
      <c r="U675" s="5">
        <v>0</v>
      </c>
      <c r="V675" s="6">
        <v>0</v>
      </c>
      <c r="W675" s="5">
        <v>0</v>
      </c>
      <c r="X675" s="6">
        <v>0</v>
      </c>
      <c r="Y675" s="5">
        <v>0</v>
      </c>
      <c r="Z675" s="6">
        <v>0</v>
      </c>
      <c r="AA675" s="5">
        <v>0</v>
      </c>
      <c r="AB675" s="6">
        <v>0</v>
      </c>
      <c r="AC675" s="5">
        <v>0</v>
      </c>
      <c r="AD675" s="6">
        <v>0</v>
      </c>
      <c r="AE675" s="5">
        <v>0</v>
      </c>
      <c r="AF675" s="6">
        <v>0</v>
      </c>
      <c r="AG675" s="5">
        <v>0</v>
      </c>
      <c r="AH675" s="7">
        <f t="shared" si="80"/>
        <v>98.92356741932133</v>
      </c>
      <c r="AI675" s="8">
        <f t="shared" si="81"/>
        <v>674.65872979977144</v>
      </c>
      <c r="AJ675" s="6">
        <v>0</v>
      </c>
      <c r="AK675" s="5">
        <v>0</v>
      </c>
      <c r="AL675" s="6">
        <v>0</v>
      </c>
      <c r="AM675" s="5">
        <v>0</v>
      </c>
      <c r="AN675" s="6">
        <v>125</v>
      </c>
      <c r="AO675" s="5">
        <v>888.62685274598016</v>
      </c>
      <c r="AP675" s="6">
        <v>0</v>
      </c>
      <c r="AQ675" s="5">
        <v>0</v>
      </c>
      <c r="AR675" s="6">
        <v>0</v>
      </c>
      <c r="AS675" s="5">
        <v>0</v>
      </c>
      <c r="AT675" s="6">
        <v>0</v>
      </c>
      <c r="AU675" s="5">
        <v>0</v>
      </c>
      <c r="AV675" s="6">
        <v>0</v>
      </c>
      <c r="AW675" s="5">
        <v>0</v>
      </c>
      <c r="AX675" s="6">
        <v>0</v>
      </c>
      <c r="AY675" s="5">
        <v>0</v>
      </c>
      <c r="AZ675" s="6">
        <v>0</v>
      </c>
      <c r="BA675" s="5">
        <v>0</v>
      </c>
      <c r="BB675" s="6">
        <v>0</v>
      </c>
      <c r="BC675" s="5">
        <v>0</v>
      </c>
      <c r="BD675" s="6">
        <v>0</v>
      </c>
      <c r="BE675" s="5">
        <v>0</v>
      </c>
      <c r="BF675" s="6">
        <v>0</v>
      </c>
      <c r="BG675" s="5">
        <v>0</v>
      </c>
      <c r="BH675" s="9">
        <f t="shared" si="82"/>
        <v>125</v>
      </c>
      <c r="BI675" s="10">
        <f t="shared" si="83"/>
        <v>888.62685274598016</v>
      </c>
      <c r="BJ675" s="6">
        <f t="shared" si="84"/>
        <v>26.07643258067867</v>
      </c>
      <c r="BK675" s="11">
        <f t="shared" si="85"/>
        <v>0.26360182169881524</v>
      </c>
      <c r="BL675" s="5">
        <f t="shared" si="86"/>
        <v>213.96812294620872</v>
      </c>
      <c r="BM675" s="11">
        <f t="shared" si="87"/>
        <v>0.31715015828774828</v>
      </c>
    </row>
    <row r="676" spans="1:65" ht="15" customHeight="1" x14ac:dyDescent="0.4">
      <c r="A676" s="2" t="s">
        <v>553</v>
      </c>
      <c r="B676" s="2" t="s">
        <v>66</v>
      </c>
      <c r="C676" s="2" t="s">
        <v>576</v>
      </c>
      <c r="D676" s="3" t="s">
        <v>68</v>
      </c>
      <c r="E676" s="3" t="s">
        <v>182</v>
      </c>
      <c r="F676" s="2" t="s">
        <v>183</v>
      </c>
      <c r="G676" s="4">
        <v>5</v>
      </c>
      <c r="H676" s="5">
        <v>5.6833333333333336</v>
      </c>
      <c r="I676" s="5">
        <v>5.9241790183065346</v>
      </c>
      <c r="J676" s="6">
        <v>0</v>
      </c>
      <c r="K676" s="5">
        <v>0</v>
      </c>
      <c r="L676" s="6">
        <v>0</v>
      </c>
      <c r="M676" s="5">
        <v>0</v>
      </c>
      <c r="N676" s="6">
        <v>0</v>
      </c>
      <c r="O676" s="5">
        <v>0</v>
      </c>
      <c r="P676" s="6">
        <v>0</v>
      </c>
      <c r="Q676" s="5">
        <v>0</v>
      </c>
      <c r="R676" s="6">
        <v>0</v>
      </c>
      <c r="S676" s="5">
        <v>0</v>
      </c>
      <c r="T676" s="6">
        <v>0</v>
      </c>
      <c r="U676" s="5">
        <v>0</v>
      </c>
      <c r="V676" s="6">
        <v>0</v>
      </c>
      <c r="W676" s="5">
        <v>0</v>
      </c>
      <c r="X676" s="6">
        <v>0</v>
      </c>
      <c r="Y676" s="5">
        <v>0</v>
      </c>
      <c r="Z676" s="6">
        <v>0</v>
      </c>
      <c r="AA676" s="5">
        <v>0</v>
      </c>
      <c r="AB676" s="6">
        <v>37.919845571935568</v>
      </c>
      <c r="AC676" s="5">
        <v>215.51112233383381</v>
      </c>
      <c r="AD676" s="6">
        <v>37.919845571935568</v>
      </c>
      <c r="AE676" s="5">
        <v>215.51112233383381</v>
      </c>
      <c r="AF676" s="6">
        <v>37.919845571935568</v>
      </c>
      <c r="AG676" s="5">
        <v>215.51112233383381</v>
      </c>
      <c r="AH676" s="7">
        <f t="shared" si="80"/>
        <v>113.7595367158067</v>
      </c>
      <c r="AI676" s="8">
        <f t="shared" si="81"/>
        <v>646.53336700150146</v>
      </c>
      <c r="AJ676" s="6">
        <v>0</v>
      </c>
      <c r="AK676" s="5">
        <v>0</v>
      </c>
      <c r="AL676" s="6">
        <v>0</v>
      </c>
      <c r="AM676" s="5">
        <v>0</v>
      </c>
      <c r="AN676" s="6">
        <v>0</v>
      </c>
      <c r="AO676" s="5">
        <v>0</v>
      </c>
      <c r="AP676" s="6">
        <v>0</v>
      </c>
      <c r="AQ676" s="5">
        <v>0</v>
      </c>
      <c r="AR676" s="6">
        <v>0</v>
      </c>
      <c r="AS676" s="5">
        <v>0</v>
      </c>
      <c r="AT676" s="6">
        <v>0</v>
      </c>
      <c r="AU676" s="5">
        <v>0</v>
      </c>
      <c r="AV676" s="6">
        <v>0</v>
      </c>
      <c r="AW676" s="5">
        <v>0</v>
      </c>
      <c r="AX676" s="6">
        <v>0</v>
      </c>
      <c r="AY676" s="5">
        <v>0</v>
      </c>
      <c r="AZ676" s="6">
        <v>0</v>
      </c>
      <c r="BA676" s="5">
        <v>0</v>
      </c>
      <c r="BB676" s="6">
        <v>50</v>
      </c>
      <c r="BC676" s="5">
        <v>296.20895091532668</v>
      </c>
      <c r="BD676" s="6">
        <v>50</v>
      </c>
      <c r="BE676" s="5">
        <v>296.20895091532668</v>
      </c>
      <c r="BF676" s="6">
        <v>50</v>
      </c>
      <c r="BG676" s="5">
        <v>296.20895091532668</v>
      </c>
      <c r="BH676" s="9">
        <f t="shared" si="82"/>
        <v>150</v>
      </c>
      <c r="BI676" s="10">
        <f t="shared" si="83"/>
        <v>888.62685274598005</v>
      </c>
      <c r="BJ676" s="6">
        <f t="shared" si="84"/>
        <v>36.240463284193297</v>
      </c>
      <c r="BK676" s="11">
        <f t="shared" si="85"/>
        <v>0.31857077068385903</v>
      </c>
      <c r="BL676" s="5">
        <f t="shared" si="86"/>
        <v>242.09348574447858</v>
      </c>
      <c r="BM676" s="11">
        <f t="shared" si="87"/>
        <v>0.37444855610045624</v>
      </c>
    </row>
    <row r="677" spans="1:65" ht="15" customHeight="1" x14ac:dyDescent="0.4">
      <c r="A677" s="2" t="s">
        <v>553</v>
      </c>
      <c r="B677" s="2" t="s">
        <v>66</v>
      </c>
      <c r="C677" s="2" t="s">
        <v>576</v>
      </c>
      <c r="D677" s="3" t="s">
        <v>68</v>
      </c>
      <c r="E677" s="3" t="s">
        <v>336</v>
      </c>
      <c r="F677" s="2" t="s">
        <v>337</v>
      </c>
      <c r="G677" s="4">
        <v>5</v>
      </c>
      <c r="H677" s="5">
        <v>3.2565789473684208</v>
      </c>
      <c r="I677" s="5">
        <v>3.3945847515763252</v>
      </c>
      <c r="J677" s="6">
        <v>0</v>
      </c>
      <c r="K677" s="5">
        <v>0</v>
      </c>
      <c r="L677" s="6">
        <v>0</v>
      </c>
      <c r="M677" s="5">
        <v>0</v>
      </c>
      <c r="N677" s="6">
        <v>0</v>
      </c>
      <c r="O677" s="5">
        <v>0</v>
      </c>
      <c r="P677" s="6">
        <v>0</v>
      </c>
      <c r="Q677" s="5">
        <v>0</v>
      </c>
      <c r="R677" s="6">
        <v>0</v>
      </c>
      <c r="S677" s="5">
        <v>0</v>
      </c>
      <c r="T677" s="6">
        <v>0</v>
      </c>
      <c r="U677" s="5">
        <v>0</v>
      </c>
      <c r="V677" s="6">
        <v>0</v>
      </c>
      <c r="W677" s="5">
        <v>0</v>
      </c>
      <c r="X677" s="6">
        <v>0</v>
      </c>
      <c r="Y677" s="5">
        <v>0</v>
      </c>
      <c r="Z677" s="6">
        <v>0</v>
      </c>
      <c r="AA677" s="5">
        <v>0</v>
      </c>
      <c r="AB677" s="6">
        <v>0</v>
      </c>
      <c r="AC677" s="5">
        <v>0</v>
      </c>
      <c r="AD677" s="6">
        <v>0</v>
      </c>
      <c r="AE677" s="5">
        <v>0</v>
      </c>
      <c r="AF677" s="6">
        <v>94.799613929838927</v>
      </c>
      <c r="AG677" s="5">
        <v>308.72242694256761</v>
      </c>
      <c r="AH677" s="7">
        <f t="shared" si="80"/>
        <v>94.799613929838927</v>
      </c>
      <c r="AI677" s="8">
        <f t="shared" si="81"/>
        <v>308.72242694256761</v>
      </c>
      <c r="AJ677" s="6">
        <v>0</v>
      </c>
      <c r="AK677" s="5">
        <v>0</v>
      </c>
      <c r="AL677" s="6">
        <v>0</v>
      </c>
      <c r="AM677" s="5">
        <v>0</v>
      </c>
      <c r="AN677" s="6">
        <v>0</v>
      </c>
      <c r="AO677" s="5">
        <v>0</v>
      </c>
      <c r="AP677" s="6">
        <v>0</v>
      </c>
      <c r="AQ677" s="5">
        <v>0</v>
      </c>
      <c r="AR677" s="6">
        <v>0</v>
      </c>
      <c r="AS677" s="5">
        <v>0</v>
      </c>
      <c r="AT677" s="6">
        <v>0</v>
      </c>
      <c r="AU677" s="5">
        <v>0</v>
      </c>
      <c r="AV677" s="6">
        <v>0</v>
      </c>
      <c r="AW677" s="5">
        <v>0</v>
      </c>
      <c r="AX677" s="6">
        <v>0</v>
      </c>
      <c r="AY677" s="5">
        <v>0</v>
      </c>
      <c r="AZ677" s="6">
        <v>0</v>
      </c>
      <c r="BA677" s="5">
        <v>0</v>
      </c>
      <c r="BB677" s="6">
        <v>0</v>
      </c>
      <c r="BC677" s="5">
        <v>0</v>
      </c>
      <c r="BD677" s="6">
        <v>0</v>
      </c>
      <c r="BE677" s="5">
        <v>0</v>
      </c>
      <c r="BF677" s="6">
        <v>105</v>
      </c>
      <c r="BG677" s="5">
        <v>356.43139891551408</v>
      </c>
      <c r="BH677" s="9">
        <f t="shared" si="82"/>
        <v>105</v>
      </c>
      <c r="BI677" s="10">
        <f t="shared" si="83"/>
        <v>356.43139891551408</v>
      </c>
      <c r="BJ677" s="6">
        <f t="shared" si="84"/>
        <v>10.200386070161073</v>
      </c>
      <c r="BK677" s="11">
        <f t="shared" si="85"/>
        <v>0.10759944737444148</v>
      </c>
      <c r="BL677" s="5">
        <f t="shared" si="86"/>
        <v>47.708971972946472</v>
      </c>
      <c r="BM677" s="11">
        <f t="shared" si="87"/>
        <v>0.15453678712438307</v>
      </c>
    </row>
    <row r="678" spans="1:65" ht="15" customHeight="1" x14ac:dyDescent="0.4">
      <c r="A678" s="2" t="s">
        <v>553</v>
      </c>
      <c r="B678" s="2" t="s">
        <v>66</v>
      </c>
      <c r="C678" s="2" t="s">
        <v>576</v>
      </c>
      <c r="D678" s="3" t="s">
        <v>68</v>
      </c>
      <c r="E678" s="3" t="s">
        <v>128</v>
      </c>
      <c r="F678" s="2" t="s">
        <v>129</v>
      </c>
      <c r="G678" s="4">
        <v>5</v>
      </c>
      <c r="H678" s="5">
        <v>3.77</v>
      </c>
      <c r="I678" s="5">
        <v>3.9297633253399948</v>
      </c>
      <c r="J678" s="6">
        <v>98.92356741932133</v>
      </c>
      <c r="K678" s="5">
        <v>372.94184917084141</v>
      </c>
      <c r="L678" s="6">
        <v>0</v>
      </c>
      <c r="M678" s="5">
        <v>0</v>
      </c>
      <c r="N678" s="6">
        <v>0</v>
      </c>
      <c r="O678" s="5">
        <v>0</v>
      </c>
      <c r="P678" s="6">
        <v>0</v>
      </c>
      <c r="Q678" s="5">
        <v>0</v>
      </c>
      <c r="R678" s="6">
        <v>0</v>
      </c>
      <c r="S678" s="5">
        <v>0</v>
      </c>
      <c r="T678" s="6">
        <v>0</v>
      </c>
      <c r="U678" s="5">
        <v>0</v>
      </c>
      <c r="V678" s="6">
        <v>197.84713483864269</v>
      </c>
      <c r="W678" s="5">
        <v>745.88369834168282</v>
      </c>
      <c r="X678" s="6">
        <v>0</v>
      </c>
      <c r="Y678" s="5">
        <v>0</v>
      </c>
      <c r="Z678" s="6">
        <v>0</v>
      </c>
      <c r="AA678" s="5">
        <v>0</v>
      </c>
      <c r="AB678" s="6">
        <v>0</v>
      </c>
      <c r="AC678" s="5">
        <v>0</v>
      </c>
      <c r="AD678" s="6">
        <v>94.799613929838927</v>
      </c>
      <c r="AE678" s="5">
        <v>357.39454451549278</v>
      </c>
      <c r="AF678" s="6">
        <v>189.59922785967791</v>
      </c>
      <c r="AG678" s="5">
        <v>714.78908903098556</v>
      </c>
      <c r="AH678" s="7">
        <f t="shared" si="80"/>
        <v>581.16954404748083</v>
      </c>
      <c r="AI678" s="8">
        <f t="shared" si="81"/>
        <v>2191.0091810590025</v>
      </c>
      <c r="AJ678" s="6">
        <v>110</v>
      </c>
      <c r="AK678" s="5">
        <v>432.27396578739939</v>
      </c>
      <c r="AL678" s="6">
        <v>0</v>
      </c>
      <c r="AM678" s="5">
        <v>0</v>
      </c>
      <c r="AN678" s="6">
        <v>0</v>
      </c>
      <c r="AO678" s="5">
        <v>0</v>
      </c>
      <c r="AP678" s="6">
        <v>0</v>
      </c>
      <c r="AQ678" s="5">
        <v>0</v>
      </c>
      <c r="AR678" s="6">
        <v>0</v>
      </c>
      <c r="AS678" s="5">
        <v>0</v>
      </c>
      <c r="AT678" s="6">
        <v>0</v>
      </c>
      <c r="AU678" s="5">
        <v>0</v>
      </c>
      <c r="AV678" s="6">
        <v>220</v>
      </c>
      <c r="AW678" s="5">
        <v>864.54793157479878</v>
      </c>
      <c r="AX678" s="6">
        <v>0</v>
      </c>
      <c r="AY678" s="5">
        <v>0</v>
      </c>
      <c r="AZ678" s="6">
        <v>0</v>
      </c>
      <c r="BA678" s="5">
        <v>0</v>
      </c>
      <c r="BB678" s="6">
        <v>0</v>
      </c>
      <c r="BC678" s="5">
        <v>0</v>
      </c>
      <c r="BD678" s="6">
        <v>105</v>
      </c>
      <c r="BE678" s="5">
        <v>412.62514916069949</v>
      </c>
      <c r="BF678" s="6">
        <v>210</v>
      </c>
      <c r="BG678" s="5">
        <v>825.25029832139899</v>
      </c>
      <c r="BH678" s="9">
        <f t="shared" si="82"/>
        <v>645</v>
      </c>
      <c r="BI678" s="10">
        <f t="shared" si="83"/>
        <v>2534.6973448442968</v>
      </c>
      <c r="BJ678" s="6">
        <f t="shared" si="84"/>
        <v>63.830455952519173</v>
      </c>
      <c r="BK678" s="11">
        <f t="shared" si="85"/>
        <v>0.10983104088349183</v>
      </c>
      <c r="BL678" s="5">
        <f t="shared" si="86"/>
        <v>343.68816378529436</v>
      </c>
      <c r="BM678" s="11">
        <f t="shared" si="87"/>
        <v>0.15686295007635528</v>
      </c>
    </row>
    <row r="679" spans="1:65" ht="15" customHeight="1" x14ac:dyDescent="0.4">
      <c r="A679" s="2" t="s">
        <v>553</v>
      </c>
      <c r="B679" s="2" t="s">
        <v>66</v>
      </c>
      <c r="C679" s="2" t="s">
        <v>576</v>
      </c>
      <c r="D679" s="3" t="s">
        <v>68</v>
      </c>
      <c r="E679" s="3" t="s">
        <v>94</v>
      </c>
      <c r="F679" s="2" t="s">
        <v>95</v>
      </c>
      <c r="G679" s="4">
        <v>20</v>
      </c>
      <c r="H679" s="5">
        <v>2.23</v>
      </c>
      <c r="I679" s="5">
        <v>2.3245019139279011</v>
      </c>
      <c r="J679" s="6">
        <v>0</v>
      </c>
      <c r="K679" s="5">
        <v>0</v>
      </c>
      <c r="L679" s="6">
        <v>0</v>
      </c>
      <c r="M679" s="5">
        <v>0</v>
      </c>
      <c r="N679" s="6">
        <v>0</v>
      </c>
      <c r="O679" s="5">
        <v>0</v>
      </c>
      <c r="P679" s="6">
        <v>0</v>
      </c>
      <c r="Q679" s="5">
        <v>0</v>
      </c>
      <c r="R679" s="6">
        <v>0</v>
      </c>
      <c r="S679" s="5">
        <v>0</v>
      </c>
      <c r="T679" s="6">
        <v>0</v>
      </c>
      <c r="U679" s="5">
        <v>0</v>
      </c>
      <c r="V679" s="6">
        <v>633.11083148365651</v>
      </c>
      <c r="W679" s="5">
        <v>1411.837154208554</v>
      </c>
      <c r="X679" s="6">
        <v>0</v>
      </c>
      <c r="Y679" s="5">
        <v>0</v>
      </c>
      <c r="Z679" s="6">
        <v>0</v>
      </c>
      <c r="AA679" s="5">
        <v>0</v>
      </c>
      <c r="AB679" s="6">
        <v>606.7175291509692</v>
      </c>
      <c r="AC679" s="5">
        <v>1352.9800900066609</v>
      </c>
      <c r="AD679" s="6">
        <v>0</v>
      </c>
      <c r="AE679" s="5">
        <v>0</v>
      </c>
      <c r="AF679" s="6">
        <v>0</v>
      </c>
      <c r="AG679" s="5">
        <v>0</v>
      </c>
      <c r="AH679" s="7">
        <f t="shared" si="80"/>
        <v>1239.8283606346258</v>
      </c>
      <c r="AI679" s="8">
        <f t="shared" si="81"/>
        <v>2764.8172442152149</v>
      </c>
      <c r="AJ679" s="6">
        <v>0</v>
      </c>
      <c r="AK679" s="5">
        <v>0</v>
      </c>
      <c r="AL679" s="6">
        <v>0</v>
      </c>
      <c r="AM679" s="5">
        <v>0</v>
      </c>
      <c r="AN679" s="6">
        <v>0</v>
      </c>
      <c r="AO679" s="5">
        <v>0</v>
      </c>
      <c r="AP679" s="6">
        <v>0</v>
      </c>
      <c r="AQ679" s="5">
        <v>0</v>
      </c>
      <c r="AR679" s="6">
        <v>0</v>
      </c>
      <c r="AS679" s="5">
        <v>0</v>
      </c>
      <c r="AT679" s="6">
        <v>0</v>
      </c>
      <c r="AU679" s="5">
        <v>0</v>
      </c>
      <c r="AV679" s="6">
        <v>680</v>
      </c>
      <c r="AW679" s="5">
        <v>1580.6613014709731</v>
      </c>
      <c r="AX679" s="6">
        <v>0</v>
      </c>
      <c r="AY679" s="5">
        <v>0</v>
      </c>
      <c r="AZ679" s="6">
        <v>0</v>
      </c>
      <c r="BA679" s="5">
        <v>0</v>
      </c>
      <c r="BB679" s="6">
        <v>660</v>
      </c>
      <c r="BC679" s="5">
        <v>1534.1712631924149</v>
      </c>
      <c r="BD679" s="6">
        <v>0</v>
      </c>
      <c r="BE679" s="5">
        <v>0</v>
      </c>
      <c r="BF679" s="6">
        <v>0</v>
      </c>
      <c r="BG679" s="5">
        <v>0</v>
      </c>
      <c r="BH679" s="9">
        <f t="shared" si="82"/>
        <v>1340</v>
      </c>
      <c r="BI679" s="10">
        <f t="shared" si="83"/>
        <v>3114.832564663388</v>
      </c>
      <c r="BJ679" s="6">
        <f t="shared" si="84"/>
        <v>100.17163936537418</v>
      </c>
      <c r="BK679" s="11">
        <f t="shared" si="85"/>
        <v>8.0794763651074838E-2</v>
      </c>
      <c r="BL679" s="5">
        <f t="shared" si="86"/>
        <v>350.01532044817304</v>
      </c>
      <c r="BM679" s="11">
        <f t="shared" si="87"/>
        <v>0.12659618684761345</v>
      </c>
    </row>
    <row r="680" spans="1:65" ht="15" customHeight="1" x14ac:dyDescent="0.4">
      <c r="A680" s="2" t="s">
        <v>553</v>
      </c>
      <c r="B680" s="2" t="s">
        <v>66</v>
      </c>
      <c r="C680" s="2" t="s">
        <v>576</v>
      </c>
      <c r="D680" s="3" t="s">
        <v>68</v>
      </c>
      <c r="E680" s="3" t="s">
        <v>571</v>
      </c>
      <c r="F680" s="2" t="s">
        <v>572</v>
      </c>
      <c r="G680" s="4">
        <v>1</v>
      </c>
      <c r="H680" s="5">
        <v>14.061052631578949</v>
      </c>
      <c r="I680" s="5">
        <v>14.657820991275379</v>
      </c>
      <c r="J680" s="6">
        <v>71.224968541911352</v>
      </c>
      <c r="K680" s="5">
        <v>1109.6850098829791</v>
      </c>
      <c r="L680" s="6">
        <v>0</v>
      </c>
      <c r="M680" s="5">
        <v>0</v>
      </c>
      <c r="N680" s="6">
        <v>0</v>
      </c>
      <c r="O680" s="5">
        <v>0</v>
      </c>
      <c r="P680" s="6">
        <v>83.095796632229906</v>
      </c>
      <c r="Q680" s="5">
        <v>1110.1598430065919</v>
      </c>
      <c r="R680" s="6">
        <v>0</v>
      </c>
      <c r="S680" s="5">
        <v>0</v>
      </c>
      <c r="T680" s="6">
        <v>0</v>
      </c>
      <c r="U680" s="5">
        <v>0</v>
      </c>
      <c r="V680" s="6">
        <v>0</v>
      </c>
      <c r="W680" s="5">
        <v>0</v>
      </c>
      <c r="X680" s="6">
        <v>71.224968541911352</v>
      </c>
      <c r="Y680" s="5">
        <v>951.56557971993561</v>
      </c>
      <c r="Z680" s="6">
        <v>0</v>
      </c>
      <c r="AA680" s="5">
        <v>0</v>
      </c>
      <c r="AB680" s="6">
        <v>0</v>
      </c>
      <c r="AC680" s="5">
        <v>0</v>
      </c>
      <c r="AD680" s="6">
        <v>0</v>
      </c>
      <c r="AE680" s="5">
        <v>0</v>
      </c>
      <c r="AF680" s="6">
        <v>0</v>
      </c>
      <c r="AG680" s="5">
        <v>0</v>
      </c>
      <c r="AH680" s="7">
        <f t="shared" si="80"/>
        <v>225.54573371605261</v>
      </c>
      <c r="AI680" s="8">
        <f t="shared" si="81"/>
        <v>3171.4104326095066</v>
      </c>
      <c r="AJ680" s="6">
        <v>86</v>
      </c>
      <c r="AK680" s="5">
        <v>1396.660818131711</v>
      </c>
      <c r="AL680" s="6">
        <v>0</v>
      </c>
      <c r="AM680" s="5">
        <v>0</v>
      </c>
      <c r="AN680" s="6">
        <v>0</v>
      </c>
      <c r="AO680" s="5">
        <v>0</v>
      </c>
      <c r="AP680" s="6">
        <v>100</v>
      </c>
      <c r="AQ680" s="5">
        <v>1392.616393276985</v>
      </c>
      <c r="AR680" s="6">
        <v>0</v>
      </c>
      <c r="AS680" s="5">
        <v>0</v>
      </c>
      <c r="AT680" s="6">
        <v>0</v>
      </c>
      <c r="AU680" s="5">
        <v>0</v>
      </c>
      <c r="AV680" s="6">
        <v>0</v>
      </c>
      <c r="AW680" s="5">
        <v>0</v>
      </c>
      <c r="AX680" s="6">
        <v>86</v>
      </c>
      <c r="AY680" s="5">
        <v>1197.6500982182069</v>
      </c>
      <c r="AZ680" s="6">
        <v>0</v>
      </c>
      <c r="BA680" s="5">
        <v>0</v>
      </c>
      <c r="BB680" s="6">
        <v>0</v>
      </c>
      <c r="BC680" s="5">
        <v>0</v>
      </c>
      <c r="BD680" s="6">
        <v>0</v>
      </c>
      <c r="BE680" s="5">
        <v>0</v>
      </c>
      <c r="BF680" s="6">
        <v>0</v>
      </c>
      <c r="BG680" s="5">
        <v>0</v>
      </c>
      <c r="BH680" s="9">
        <f t="shared" si="82"/>
        <v>272</v>
      </c>
      <c r="BI680" s="10">
        <f t="shared" si="83"/>
        <v>3986.927309626903</v>
      </c>
      <c r="BJ680" s="6">
        <f t="shared" si="84"/>
        <v>46.454266283947391</v>
      </c>
      <c r="BK680" s="11">
        <f t="shared" si="85"/>
        <v>0.20596384386693958</v>
      </c>
      <c r="BL680" s="5">
        <f t="shared" si="86"/>
        <v>815.51687701739638</v>
      </c>
      <c r="BM680" s="11">
        <f t="shared" si="87"/>
        <v>0.25714643195720682</v>
      </c>
    </row>
    <row r="681" spans="1:65" ht="15" customHeight="1" x14ac:dyDescent="0.4">
      <c r="A681" s="2" t="s">
        <v>553</v>
      </c>
      <c r="B681" s="2" t="s">
        <v>66</v>
      </c>
      <c r="C681" s="2" t="s">
        <v>576</v>
      </c>
      <c r="D681" s="3" t="s">
        <v>68</v>
      </c>
      <c r="E681" s="3" t="s">
        <v>140</v>
      </c>
      <c r="F681" s="2" t="s">
        <v>141</v>
      </c>
      <c r="G681" s="4">
        <v>5</v>
      </c>
      <c r="H681" s="5">
        <v>10.6195583776446</v>
      </c>
      <c r="I681" s="5">
        <v>11.06958815764378</v>
      </c>
      <c r="J681" s="6">
        <v>98.92356741932133</v>
      </c>
      <c r="K681" s="5">
        <v>1205.8782868415269</v>
      </c>
      <c r="L681" s="6">
        <v>197.84713483864269</v>
      </c>
      <c r="M681" s="5">
        <v>2077.394915805748</v>
      </c>
      <c r="N681" s="6">
        <v>296.77070225796399</v>
      </c>
      <c r="O681" s="5">
        <v>3116.0923737086218</v>
      </c>
      <c r="P681" s="6">
        <v>0</v>
      </c>
      <c r="Q681" s="5">
        <v>0</v>
      </c>
      <c r="R681" s="6">
        <v>0</v>
      </c>
      <c r="S681" s="5">
        <v>0</v>
      </c>
      <c r="T681" s="6">
        <v>0</v>
      </c>
      <c r="U681" s="5">
        <v>0</v>
      </c>
      <c r="V681" s="6">
        <v>98.92356741932133</v>
      </c>
      <c r="W681" s="5">
        <v>1038.697457902874</v>
      </c>
      <c r="X681" s="6">
        <v>197.84713483864269</v>
      </c>
      <c r="Y681" s="5">
        <v>2077.394915805748</v>
      </c>
      <c r="Z681" s="6">
        <v>0</v>
      </c>
      <c r="AA681" s="5">
        <v>0</v>
      </c>
      <c r="AB681" s="6">
        <v>284.39884178951678</v>
      </c>
      <c r="AC681" s="5">
        <v>2989.8218239905709</v>
      </c>
      <c r="AD681" s="6">
        <v>284.39884178951678</v>
      </c>
      <c r="AE681" s="5">
        <v>2989.8218239905709</v>
      </c>
      <c r="AF681" s="6">
        <v>0</v>
      </c>
      <c r="AG681" s="5">
        <v>0</v>
      </c>
      <c r="AH681" s="7">
        <f t="shared" si="80"/>
        <v>1459.1097903529255</v>
      </c>
      <c r="AI681" s="8">
        <f t="shared" si="81"/>
        <v>15495.10159804566</v>
      </c>
      <c r="AJ681" s="6">
        <v>120</v>
      </c>
      <c r="AK681" s="5">
        <v>1524.789865333513</v>
      </c>
      <c r="AL681" s="6">
        <v>240</v>
      </c>
      <c r="AM681" s="5">
        <v>2626.791400492516</v>
      </c>
      <c r="AN681" s="6">
        <v>360</v>
      </c>
      <c r="AO681" s="5">
        <v>3940.187100738774</v>
      </c>
      <c r="AP681" s="6">
        <v>0</v>
      </c>
      <c r="AQ681" s="5">
        <v>0</v>
      </c>
      <c r="AR681" s="6">
        <v>0</v>
      </c>
      <c r="AS681" s="5">
        <v>0</v>
      </c>
      <c r="AT681" s="6">
        <v>0</v>
      </c>
      <c r="AU681" s="5">
        <v>0</v>
      </c>
      <c r="AV681" s="6">
        <v>120</v>
      </c>
      <c r="AW681" s="5">
        <v>1313.395700246258</v>
      </c>
      <c r="AX681" s="6">
        <v>240</v>
      </c>
      <c r="AY681" s="5">
        <v>2626.791400492516</v>
      </c>
      <c r="AZ681" s="6">
        <v>0</v>
      </c>
      <c r="BA681" s="5">
        <v>0</v>
      </c>
      <c r="BB681" s="6">
        <v>345</v>
      </c>
      <c r="BC681" s="5">
        <v>3780.6077858629551</v>
      </c>
      <c r="BD681" s="6">
        <v>345</v>
      </c>
      <c r="BE681" s="5">
        <v>3780.6077858629551</v>
      </c>
      <c r="BF681" s="6">
        <v>0</v>
      </c>
      <c r="BG681" s="5">
        <v>0</v>
      </c>
      <c r="BH681" s="9">
        <f t="shared" si="82"/>
        <v>1770</v>
      </c>
      <c r="BI681" s="10">
        <f t="shared" si="83"/>
        <v>19593.171039029487</v>
      </c>
      <c r="BJ681" s="6">
        <f t="shared" si="84"/>
        <v>310.89020964707447</v>
      </c>
      <c r="BK681" s="11">
        <f t="shared" si="85"/>
        <v>0.21306841452408951</v>
      </c>
      <c r="BL681" s="5">
        <f t="shared" si="86"/>
        <v>4098.069440983827</v>
      </c>
      <c r="BM681" s="11">
        <f t="shared" si="87"/>
        <v>0.26447515784605774</v>
      </c>
    </row>
    <row r="682" spans="1:65" ht="15" customHeight="1" x14ac:dyDescent="0.4">
      <c r="A682" s="2" t="s">
        <v>553</v>
      </c>
      <c r="B682" s="2" t="s">
        <v>66</v>
      </c>
      <c r="C682" s="2" t="s">
        <v>582</v>
      </c>
      <c r="D682" s="3" t="s">
        <v>134</v>
      </c>
      <c r="E682" s="3" t="s">
        <v>116</v>
      </c>
      <c r="F682" s="2" t="s">
        <v>117</v>
      </c>
      <c r="G682" s="4">
        <v>5</v>
      </c>
      <c r="H682" s="5">
        <v>12.58</v>
      </c>
      <c r="I682" s="5">
        <v>13.11310945166502</v>
      </c>
      <c r="J682" s="6">
        <v>0</v>
      </c>
      <c r="K682" s="5">
        <v>0</v>
      </c>
      <c r="L682" s="6">
        <v>0</v>
      </c>
      <c r="M682" s="5">
        <v>0</v>
      </c>
      <c r="N682" s="6">
        <v>0</v>
      </c>
      <c r="O682" s="5">
        <v>0</v>
      </c>
      <c r="P682" s="6">
        <v>593.54140451592798</v>
      </c>
      <c r="Q682" s="5">
        <v>7466.7508688103744</v>
      </c>
      <c r="R682" s="6">
        <v>0</v>
      </c>
      <c r="S682" s="5">
        <v>0</v>
      </c>
      <c r="T682" s="6">
        <v>0</v>
      </c>
      <c r="U682" s="5">
        <v>0</v>
      </c>
      <c r="V682" s="6">
        <v>0</v>
      </c>
      <c r="W682" s="5">
        <v>0</v>
      </c>
      <c r="X682" s="6">
        <v>0</v>
      </c>
      <c r="Y682" s="5">
        <v>0</v>
      </c>
      <c r="Z682" s="6">
        <v>0</v>
      </c>
      <c r="AA682" s="5">
        <v>0</v>
      </c>
      <c r="AB682" s="6">
        <v>0</v>
      </c>
      <c r="AC682" s="5">
        <v>0</v>
      </c>
      <c r="AD682" s="6">
        <v>0</v>
      </c>
      <c r="AE682" s="5">
        <v>0</v>
      </c>
      <c r="AF682" s="6">
        <v>0</v>
      </c>
      <c r="AG682" s="5">
        <v>0</v>
      </c>
      <c r="AH682" s="7">
        <f t="shared" si="80"/>
        <v>593.54140451592798</v>
      </c>
      <c r="AI682" s="8">
        <f t="shared" si="81"/>
        <v>7466.7508688103744</v>
      </c>
      <c r="AJ682" s="6">
        <v>0</v>
      </c>
      <c r="AK682" s="5">
        <v>0</v>
      </c>
      <c r="AL682" s="6">
        <v>0</v>
      </c>
      <c r="AM682" s="5">
        <v>0</v>
      </c>
      <c r="AN682" s="6">
        <v>0</v>
      </c>
      <c r="AO682" s="5">
        <v>0</v>
      </c>
      <c r="AP682" s="6">
        <v>705</v>
      </c>
      <c r="AQ682" s="5">
        <v>9244.7421634238399</v>
      </c>
      <c r="AR682" s="6">
        <v>0</v>
      </c>
      <c r="AS682" s="5">
        <v>0</v>
      </c>
      <c r="AT682" s="6">
        <v>0</v>
      </c>
      <c r="AU682" s="5">
        <v>0</v>
      </c>
      <c r="AV682" s="6">
        <v>0</v>
      </c>
      <c r="AW682" s="5">
        <v>0</v>
      </c>
      <c r="AX682" s="6">
        <v>0</v>
      </c>
      <c r="AY682" s="5">
        <v>0</v>
      </c>
      <c r="AZ682" s="6">
        <v>0</v>
      </c>
      <c r="BA682" s="5">
        <v>0</v>
      </c>
      <c r="BB682" s="6">
        <v>0</v>
      </c>
      <c r="BC682" s="5">
        <v>0</v>
      </c>
      <c r="BD682" s="6">
        <v>0</v>
      </c>
      <c r="BE682" s="5">
        <v>0</v>
      </c>
      <c r="BF682" s="6">
        <v>0</v>
      </c>
      <c r="BG682" s="5">
        <v>0</v>
      </c>
      <c r="BH682" s="9">
        <f t="shared" si="82"/>
        <v>705</v>
      </c>
      <c r="BI682" s="10">
        <f t="shared" si="83"/>
        <v>9244.7421634238399</v>
      </c>
      <c r="BJ682" s="6">
        <f t="shared" si="84"/>
        <v>111.45859548407202</v>
      </c>
      <c r="BK682" s="11">
        <f t="shared" si="85"/>
        <v>0.18778571239688632</v>
      </c>
      <c r="BL682" s="5">
        <f t="shared" si="86"/>
        <v>1777.9912946134655</v>
      </c>
      <c r="BM682" s="11">
        <f t="shared" si="87"/>
        <v>0.23812114879048327</v>
      </c>
    </row>
    <row r="683" spans="1:65" ht="15" customHeight="1" x14ac:dyDescent="0.4">
      <c r="A683" s="2" t="s">
        <v>553</v>
      </c>
      <c r="B683" s="2" t="s">
        <v>66</v>
      </c>
      <c r="C683" s="2" t="s">
        <v>582</v>
      </c>
      <c r="D683" s="3" t="s">
        <v>134</v>
      </c>
      <c r="E683" s="3" t="s">
        <v>138</v>
      </c>
      <c r="F683" s="2" t="s">
        <v>583</v>
      </c>
      <c r="G683" s="4">
        <v>5</v>
      </c>
      <c r="H683" s="5">
        <v>3.1</v>
      </c>
      <c r="I683" s="5">
        <v>3.2313703736217461</v>
      </c>
      <c r="J683" s="6">
        <v>0</v>
      </c>
      <c r="K683" s="5">
        <v>0</v>
      </c>
      <c r="L683" s="6">
        <v>0</v>
      </c>
      <c r="M683" s="5">
        <v>0</v>
      </c>
      <c r="N683" s="6">
        <v>0</v>
      </c>
      <c r="O683" s="5">
        <v>0</v>
      </c>
      <c r="P683" s="6">
        <v>0</v>
      </c>
      <c r="Q683" s="5">
        <v>0</v>
      </c>
      <c r="R683" s="6">
        <v>593.54140451592798</v>
      </c>
      <c r="S683" s="5">
        <v>1839.9783539993771</v>
      </c>
      <c r="T683" s="6">
        <v>0</v>
      </c>
      <c r="U683" s="5">
        <v>0</v>
      </c>
      <c r="V683" s="6">
        <v>0</v>
      </c>
      <c r="W683" s="5">
        <v>0</v>
      </c>
      <c r="X683" s="6">
        <v>0</v>
      </c>
      <c r="Y683" s="5">
        <v>0</v>
      </c>
      <c r="Z683" s="6">
        <v>0</v>
      </c>
      <c r="AA683" s="5">
        <v>0</v>
      </c>
      <c r="AB683" s="6">
        <v>0</v>
      </c>
      <c r="AC683" s="5">
        <v>0</v>
      </c>
      <c r="AD683" s="6">
        <v>0</v>
      </c>
      <c r="AE683" s="5">
        <v>0</v>
      </c>
      <c r="AF683" s="6">
        <v>0</v>
      </c>
      <c r="AG683" s="5">
        <v>0</v>
      </c>
      <c r="AH683" s="7">
        <f t="shared" si="80"/>
        <v>593.54140451592798</v>
      </c>
      <c r="AI683" s="8">
        <f t="shared" si="81"/>
        <v>1839.9783539993771</v>
      </c>
      <c r="AJ683" s="6">
        <v>0</v>
      </c>
      <c r="AK683" s="5">
        <v>0</v>
      </c>
      <c r="AL683" s="6">
        <v>0</v>
      </c>
      <c r="AM683" s="5">
        <v>0</v>
      </c>
      <c r="AN683" s="6">
        <v>0</v>
      </c>
      <c r="AO683" s="5">
        <v>0</v>
      </c>
      <c r="AP683" s="6">
        <v>0</v>
      </c>
      <c r="AQ683" s="5">
        <v>0</v>
      </c>
      <c r="AR683" s="6">
        <v>635</v>
      </c>
      <c r="AS683" s="5">
        <v>2051.9201872498079</v>
      </c>
      <c r="AT683" s="6">
        <v>0</v>
      </c>
      <c r="AU683" s="5">
        <v>0</v>
      </c>
      <c r="AV683" s="6">
        <v>0</v>
      </c>
      <c r="AW683" s="5">
        <v>0</v>
      </c>
      <c r="AX683" s="6">
        <v>0</v>
      </c>
      <c r="AY683" s="5">
        <v>0</v>
      </c>
      <c r="AZ683" s="6">
        <v>0</v>
      </c>
      <c r="BA683" s="5">
        <v>0</v>
      </c>
      <c r="BB683" s="6">
        <v>0</v>
      </c>
      <c r="BC683" s="5">
        <v>0</v>
      </c>
      <c r="BD683" s="6">
        <v>0</v>
      </c>
      <c r="BE683" s="5">
        <v>0</v>
      </c>
      <c r="BF683" s="6">
        <v>0</v>
      </c>
      <c r="BG683" s="5">
        <v>0</v>
      </c>
      <c r="BH683" s="9">
        <f t="shared" si="82"/>
        <v>635</v>
      </c>
      <c r="BI683" s="10">
        <f t="shared" si="83"/>
        <v>2051.9201872498079</v>
      </c>
      <c r="BJ683" s="6">
        <f t="shared" si="84"/>
        <v>41.458595484072021</v>
      </c>
      <c r="BK683" s="11">
        <f t="shared" si="85"/>
        <v>6.9849542371663575E-2</v>
      </c>
      <c r="BL683" s="5">
        <f t="shared" si="86"/>
        <v>211.94183325043082</v>
      </c>
      <c r="BM683" s="11">
        <f t="shared" si="87"/>
        <v>0.11518713401695951</v>
      </c>
    </row>
    <row r="684" spans="1:65" ht="15" customHeight="1" x14ac:dyDescent="0.4">
      <c r="A684" s="2" t="s">
        <v>553</v>
      </c>
      <c r="B684" s="2" t="s">
        <v>66</v>
      </c>
      <c r="C684" s="2" t="s">
        <v>582</v>
      </c>
      <c r="D684" s="3" t="s">
        <v>134</v>
      </c>
      <c r="E684" s="3" t="s">
        <v>120</v>
      </c>
      <c r="F684" s="2" t="s">
        <v>584</v>
      </c>
      <c r="G684" s="4">
        <v>5</v>
      </c>
      <c r="H684" s="5">
        <v>3.86</v>
      </c>
      <c r="I684" s="5">
        <v>4.023577303929013</v>
      </c>
      <c r="J684" s="6">
        <v>593.54140451592798</v>
      </c>
      <c r="K684" s="5">
        <v>2291.0698214314821</v>
      </c>
      <c r="L684" s="6">
        <v>0</v>
      </c>
      <c r="M684" s="5">
        <v>0</v>
      </c>
      <c r="N684" s="6">
        <v>0</v>
      </c>
      <c r="O684" s="5">
        <v>0</v>
      </c>
      <c r="P684" s="6">
        <v>0</v>
      </c>
      <c r="Q684" s="5">
        <v>0</v>
      </c>
      <c r="R684" s="6">
        <v>0</v>
      </c>
      <c r="S684" s="5">
        <v>0</v>
      </c>
      <c r="T684" s="6">
        <v>0</v>
      </c>
      <c r="U684" s="5">
        <v>0</v>
      </c>
      <c r="V684" s="6">
        <v>0</v>
      </c>
      <c r="W684" s="5">
        <v>0</v>
      </c>
      <c r="X684" s="6">
        <v>0</v>
      </c>
      <c r="Y684" s="5">
        <v>0</v>
      </c>
      <c r="Z684" s="6">
        <v>0</v>
      </c>
      <c r="AA684" s="5">
        <v>0</v>
      </c>
      <c r="AB684" s="6">
        <v>0</v>
      </c>
      <c r="AC684" s="5">
        <v>0</v>
      </c>
      <c r="AD684" s="6">
        <v>0</v>
      </c>
      <c r="AE684" s="5">
        <v>0</v>
      </c>
      <c r="AF684" s="6">
        <v>0</v>
      </c>
      <c r="AG684" s="5">
        <v>0</v>
      </c>
      <c r="AH684" s="7">
        <f t="shared" si="80"/>
        <v>593.54140451592798</v>
      </c>
      <c r="AI684" s="8">
        <f t="shared" si="81"/>
        <v>2291.0698214314821</v>
      </c>
      <c r="AJ684" s="6">
        <v>635</v>
      </c>
      <c r="AK684" s="5">
        <v>2554.9715879949231</v>
      </c>
      <c r="AL684" s="6">
        <v>0</v>
      </c>
      <c r="AM684" s="5">
        <v>0</v>
      </c>
      <c r="AN684" s="6">
        <v>0</v>
      </c>
      <c r="AO684" s="5">
        <v>0</v>
      </c>
      <c r="AP684" s="6">
        <v>0</v>
      </c>
      <c r="AQ684" s="5">
        <v>0</v>
      </c>
      <c r="AR684" s="6">
        <v>0</v>
      </c>
      <c r="AS684" s="5">
        <v>0</v>
      </c>
      <c r="AT684" s="6">
        <v>0</v>
      </c>
      <c r="AU684" s="5">
        <v>0</v>
      </c>
      <c r="AV684" s="6">
        <v>0</v>
      </c>
      <c r="AW684" s="5">
        <v>0</v>
      </c>
      <c r="AX684" s="6">
        <v>0</v>
      </c>
      <c r="AY684" s="5">
        <v>0</v>
      </c>
      <c r="AZ684" s="6">
        <v>0</v>
      </c>
      <c r="BA684" s="5">
        <v>0</v>
      </c>
      <c r="BB684" s="6">
        <v>0</v>
      </c>
      <c r="BC684" s="5">
        <v>0</v>
      </c>
      <c r="BD684" s="6">
        <v>0</v>
      </c>
      <c r="BE684" s="5">
        <v>0</v>
      </c>
      <c r="BF684" s="6">
        <v>0</v>
      </c>
      <c r="BG684" s="5">
        <v>0</v>
      </c>
      <c r="BH684" s="9">
        <f t="shared" si="82"/>
        <v>635</v>
      </c>
      <c r="BI684" s="10">
        <f t="shared" si="83"/>
        <v>2554.9715879949231</v>
      </c>
      <c r="BJ684" s="6">
        <f t="shared" si="84"/>
        <v>41.458595484072021</v>
      </c>
      <c r="BK684" s="11">
        <f t="shared" si="85"/>
        <v>6.9849542371663575E-2</v>
      </c>
      <c r="BL684" s="5">
        <f t="shared" si="86"/>
        <v>263.90176656344102</v>
      </c>
      <c r="BM684" s="11">
        <f t="shared" si="87"/>
        <v>0.11518713401696012</v>
      </c>
    </row>
    <row r="685" spans="1:65" ht="15" customHeight="1" x14ac:dyDescent="0.4">
      <c r="A685" s="2" t="s">
        <v>553</v>
      </c>
      <c r="B685" s="2" t="s">
        <v>66</v>
      </c>
      <c r="C685" s="2" t="s">
        <v>582</v>
      </c>
      <c r="D685" s="3" t="s">
        <v>134</v>
      </c>
      <c r="E685" s="3" t="s">
        <v>196</v>
      </c>
      <c r="F685" s="2" t="s">
        <v>197</v>
      </c>
      <c r="G685" s="4">
        <v>5</v>
      </c>
      <c r="H685" s="5">
        <v>3.16</v>
      </c>
      <c r="I685" s="5">
        <v>3.2939130260144251</v>
      </c>
      <c r="J685" s="6">
        <v>0</v>
      </c>
      <c r="K685" s="5">
        <v>0</v>
      </c>
      <c r="L685" s="6">
        <v>0</v>
      </c>
      <c r="M685" s="5">
        <v>0</v>
      </c>
      <c r="N685" s="6">
        <v>0</v>
      </c>
      <c r="O685" s="5">
        <v>0</v>
      </c>
      <c r="P685" s="6">
        <v>593.54140451592798</v>
      </c>
      <c r="Q685" s="5">
        <v>1875.5908382703319</v>
      </c>
      <c r="R685" s="6">
        <v>0</v>
      </c>
      <c r="S685" s="5">
        <v>0</v>
      </c>
      <c r="T685" s="6">
        <v>0</v>
      </c>
      <c r="U685" s="5">
        <v>0</v>
      </c>
      <c r="V685" s="6">
        <v>0</v>
      </c>
      <c r="W685" s="5">
        <v>0</v>
      </c>
      <c r="X685" s="6">
        <v>0</v>
      </c>
      <c r="Y685" s="5">
        <v>0</v>
      </c>
      <c r="Z685" s="6">
        <v>0</v>
      </c>
      <c r="AA685" s="5">
        <v>0</v>
      </c>
      <c r="AB685" s="6">
        <v>0</v>
      </c>
      <c r="AC685" s="5">
        <v>0</v>
      </c>
      <c r="AD685" s="6">
        <v>0</v>
      </c>
      <c r="AE685" s="5">
        <v>0</v>
      </c>
      <c r="AF685" s="6">
        <v>0</v>
      </c>
      <c r="AG685" s="5">
        <v>0</v>
      </c>
      <c r="AH685" s="7">
        <f t="shared" si="80"/>
        <v>593.54140451592798</v>
      </c>
      <c r="AI685" s="8">
        <f t="shared" si="81"/>
        <v>1875.5908382703319</v>
      </c>
      <c r="AJ685" s="6">
        <v>0</v>
      </c>
      <c r="AK685" s="5">
        <v>0</v>
      </c>
      <c r="AL685" s="6">
        <v>0</v>
      </c>
      <c r="AM685" s="5">
        <v>0</v>
      </c>
      <c r="AN685" s="6">
        <v>0</v>
      </c>
      <c r="AO685" s="5">
        <v>0</v>
      </c>
      <c r="AP685" s="6">
        <v>635</v>
      </c>
      <c r="AQ685" s="5">
        <v>2091.63477151916</v>
      </c>
      <c r="AR685" s="6">
        <v>0</v>
      </c>
      <c r="AS685" s="5">
        <v>0</v>
      </c>
      <c r="AT685" s="6">
        <v>0</v>
      </c>
      <c r="AU685" s="5">
        <v>0</v>
      </c>
      <c r="AV685" s="6">
        <v>0</v>
      </c>
      <c r="AW685" s="5">
        <v>0</v>
      </c>
      <c r="AX685" s="6">
        <v>0</v>
      </c>
      <c r="AY685" s="5">
        <v>0</v>
      </c>
      <c r="AZ685" s="6">
        <v>0</v>
      </c>
      <c r="BA685" s="5">
        <v>0</v>
      </c>
      <c r="BB685" s="6">
        <v>0</v>
      </c>
      <c r="BC685" s="5">
        <v>0</v>
      </c>
      <c r="BD685" s="6">
        <v>0</v>
      </c>
      <c r="BE685" s="5">
        <v>0</v>
      </c>
      <c r="BF685" s="6">
        <v>0</v>
      </c>
      <c r="BG685" s="5">
        <v>0</v>
      </c>
      <c r="BH685" s="9">
        <f t="shared" si="82"/>
        <v>635</v>
      </c>
      <c r="BI685" s="10">
        <f t="shared" si="83"/>
        <v>2091.63477151916</v>
      </c>
      <c r="BJ685" s="6">
        <f t="shared" si="84"/>
        <v>41.458595484072021</v>
      </c>
      <c r="BK685" s="11">
        <f t="shared" si="85"/>
        <v>6.9849542371663575E-2</v>
      </c>
      <c r="BL685" s="5">
        <f t="shared" si="86"/>
        <v>216.04393324882813</v>
      </c>
      <c r="BM685" s="11">
        <f t="shared" si="87"/>
        <v>0.11518713401696057</v>
      </c>
    </row>
    <row r="686" spans="1:65" ht="15" customHeight="1" x14ac:dyDescent="0.4">
      <c r="A686" s="2" t="s">
        <v>553</v>
      </c>
      <c r="B686" s="2" t="s">
        <v>66</v>
      </c>
      <c r="C686" s="2" t="s">
        <v>582</v>
      </c>
      <c r="D686" s="3" t="s">
        <v>134</v>
      </c>
      <c r="E686" s="3" t="s">
        <v>247</v>
      </c>
      <c r="F686" s="2" t="s">
        <v>585</v>
      </c>
      <c r="G686" s="4">
        <v>5</v>
      </c>
      <c r="H686" s="5">
        <v>2.79</v>
      </c>
      <c r="I686" s="5">
        <v>2.9082333362595709</v>
      </c>
      <c r="J686" s="6">
        <v>0</v>
      </c>
      <c r="K686" s="5">
        <v>0</v>
      </c>
      <c r="L686" s="6">
        <v>0</v>
      </c>
      <c r="M686" s="5">
        <v>0</v>
      </c>
      <c r="N686" s="6">
        <v>0</v>
      </c>
      <c r="O686" s="5">
        <v>0</v>
      </c>
      <c r="P686" s="6">
        <v>0</v>
      </c>
      <c r="Q686" s="5">
        <v>0</v>
      </c>
      <c r="R686" s="6">
        <v>0</v>
      </c>
      <c r="S686" s="5">
        <v>0</v>
      </c>
      <c r="T686" s="6">
        <v>593.54140451592798</v>
      </c>
      <c r="U686" s="5">
        <v>1655.9805185994389</v>
      </c>
      <c r="V686" s="6">
        <v>0</v>
      </c>
      <c r="W686" s="5">
        <v>0</v>
      </c>
      <c r="X686" s="6">
        <v>0</v>
      </c>
      <c r="Y686" s="5">
        <v>0</v>
      </c>
      <c r="Z686" s="6">
        <v>0</v>
      </c>
      <c r="AA686" s="5">
        <v>0</v>
      </c>
      <c r="AB686" s="6">
        <v>0</v>
      </c>
      <c r="AC686" s="5">
        <v>0</v>
      </c>
      <c r="AD686" s="6">
        <v>0</v>
      </c>
      <c r="AE686" s="5">
        <v>0</v>
      </c>
      <c r="AF686" s="6">
        <v>0</v>
      </c>
      <c r="AG686" s="5">
        <v>0</v>
      </c>
      <c r="AH686" s="7">
        <f t="shared" si="80"/>
        <v>593.54140451592798</v>
      </c>
      <c r="AI686" s="8">
        <f t="shared" si="81"/>
        <v>1655.9805185994389</v>
      </c>
      <c r="AJ686" s="6">
        <v>0</v>
      </c>
      <c r="AK686" s="5">
        <v>0</v>
      </c>
      <c r="AL686" s="6">
        <v>0</v>
      </c>
      <c r="AM686" s="5">
        <v>0</v>
      </c>
      <c r="AN686" s="6">
        <v>0</v>
      </c>
      <c r="AO686" s="5">
        <v>0</v>
      </c>
      <c r="AP686" s="6">
        <v>0</v>
      </c>
      <c r="AQ686" s="5">
        <v>0</v>
      </c>
      <c r="AR686" s="6">
        <v>0</v>
      </c>
      <c r="AS686" s="5">
        <v>0</v>
      </c>
      <c r="AT686" s="6">
        <v>655</v>
      </c>
      <c r="AU686" s="5">
        <v>1904.8928352500191</v>
      </c>
      <c r="AV686" s="6">
        <v>0</v>
      </c>
      <c r="AW686" s="5">
        <v>0</v>
      </c>
      <c r="AX686" s="6">
        <v>0</v>
      </c>
      <c r="AY686" s="5">
        <v>0</v>
      </c>
      <c r="AZ686" s="6">
        <v>0</v>
      </c>
      <c r="BA686" s="5">
        <v>0</v>
      </c>
      <c r="BB686" s="6">
        <v>0</v>
      </c>
      <c r="BC686" s="5">
        <v>0</v>
      </c>
      <c r="BD686" s="6">
        <v>0</v>
      </c>
      <c r="BE686" s="5">
        <v>0</v>
      </c>
      <c r="BF686" s="6">
        <v>0</v>
      </c>
      <c r="BG686" s="5">
        <v>0</v>
      </c>
      <c r="BH686" s="9">
        <f t="shared" si="82"/>
        <v>655</v>
      </c>
      <c r="BI686" s="10">
        <f t="shared" si="83"/>
        <v>1904.8928352500191</v>
      </c>
      <c r="BJ686" s="6">
        <f t="shared" si="84"/>
        <v>61.458595484072021</v>
      </c>
      <c r="BK686" s="11">
        <f t="shared" si="85"/>
        <v>0.10354559095029865</v>
      </c>
      <c r="BL686" s="5">
        <f t="shared" si="86"/>
        <v>248.91231665058012</v>
      </c>
      <c r="BM686" s="11">
        <f t="shared" si="87"/>
        <v>0.15031113823796674</v>
      </c>
    </row>
    <row r="687" spans="1:65" ht="15" customHeight="1" x14ac:dyDescent="0.4">
      <c r="A687" s="2" t="s">
        <v>553</v>
      </c>
      <c r="B687" s="2" t="s">
        <v>66</v>
      </c>
      <c r="C687" s="2" t="s">
        <v>586</v>
      </c>
      <c r="D687" s="3" t="s">
        <v>134</v>
      </c>
      <c r="E687" s="3" t="s">
        <v>338</v>
      </c>
      <c r="F687" s="2" t="s">
        <v>587</v>
      </c>
      <c r="G687" s="4">
        <v>20</v>
      </c>
      <c r="H687" s="5">
        <v>2.93</v>
      </c>
      <c r="I687" s="5">
        <v>3.0541661918424881</v>
      </c>
      <c r="J687" s="6">
        <v>0</v>
      </c>
      <c r="K687" s="5">
        <v>0</v>
      </c>
      <c r="L687" s="6">
        <v>0</v>
      </c>
      <c r="M687" s="5">
        <v>0</v>
      </c>
      <c r="N687" s="6">
        <v>0</v>
      </c>
      <c r="O687" s="5">
        <v>0</v>
      </c>
      <c r="P687" s="6">
        <v>0</v>
      </c>
      <c r="Q687" s="5">
        <v>0</v>
      </c>
      <c r="R687" s="6">
        <v>0</v>
      </c>
      <c r="S687" s="5">
        <v>0</v>
      </c>
      <c r="T687" s="6">
        <v>633.11083148365651</v>
      </c>
      <c r="U687" s="5">
        <v>1855.014736247113</v>
      </c>
      <c r="V687" s="6">
        <v>0</v>
      </c>
      <c r="W687" s="5">
        <v>0</v>
      </c>
      <c r="X687" s="6">
        <v>0</v>
      </c>
      <c r="Y687" s="5">
        <v>0</v>
      </c>
      <c r="Z687" s="6">
        <v>0</v>
      </c>
      <c r="AA687" s="5">
        <v>0</v>
      </c>
      <c r="AB687" s="6">
        <v>0</v>
      </c>
      <c r="AC687" s="5">
        <v>0</v>
      </c>
      <c r="AD687" s="6">
        <v>0</v>
      </c>
      <c r="AE687" s="5">
        <v>0</v>
      </c>
      <c r="AF687" s="6">
        <v>0</v>
      </c>
      <c r="AG687" s="5">
        <v>0</v>
      </c>
      <c r="AH687" s="7">
        <f t="shared" si="80"/>
        <v>633.11083148365651</v>
      </c>
      <c r="AI687" s="8">
        <f t="shared" si="81"/>
        <v>1855.014736247113</v>
      </c>
      <c r="AJ687" s="6">
        <v>0</v>
      </c>
      <c r="AK687" s="5">
        <v>0</v>
      </c>
      <c r="AL687" s="6">
        <v>0</v>
      </c>
      <c r="AM687" s="5">
        <v>0</v>
      </c>
      <c r="AN687" s="6">
        <v>0</v>
      </c>
      <c r="AO687" s="5">
        <v>0</v>
      </c>
      <c r="AP687" s="6">
        <v>0</v>
      </c>
      <c r="AQ687" s="5">
        <v>0</v>
      </c>
      <c r="AR687" s="6">
        <v>0</v>
      </c>
      <c r="AS687" s="5">
        <v>0</v>
      </c>
      <c r="AT687" s="6">
        <v>680</v>
      </c>
      <c r="AU687" s="5">
        <v>2076.8330104528918</v>
      </c>
      <c r="AV687" s="6">
        <v>0</v>
      </c>
      <c r="AW687" s="5">
        <v>0</v>
      </c>
      <c r="AX687" s="6">
        <v>0</v>
      </c>
      <c r="AY687" s="5">
        <v>0</v>
      </c>
      <c r="AZ687" s="6">
        <v>0</v>
      </c>
      <c r="BA687" s="5">
        <v>0</v>
      </c>
      <c r="BB687" s="6">
        <v>0</v>
      </c>
      <c r="BC687" s="5">
        <v>0</v>
      </c>
      <c r="BD687" s="6">
        <v>0</v>
      </c>
      <c r="BE687" s="5">
        <v>0</v>
      </c>
      <c r="BF687" s="6">
        <v>0</v>
      </c>
      <c r="BG687" s="5">
        <v>0</v>
      </c>
      <c r="BH687" s="9">
        <f t="shared" si="82"/>
        <v>680</v>
      </c>
      <c r="BI687" s="10">
        <f t="shared" si="83"/>
        <v>2076.8330104528918</v>
      </c>
      <c r="BJ687" s="6">
        <f t="shared" si="84"/>
        <v>46.889168516343489</v>
      </c>
      <c r="BK687" s="11">
        <f t="shared" si="85"/>
        <v>7.4061548443992958E-2</v>
      </c>
      <c r="BL687" s="5">
        <f t="shared" si="86"/>
        <v>221.81827420577883</v>
      </c>
      <c r="BM687" s="11">
        <f t="shared" si="87"/>
        <v>0.11957763454458599</v>
      </c>
    </row>
    <row r="688" spans="1:65" ht="15" customHeight="1" x14ac:dyDescent="0.4">
      <c r="A688" s="2" t="s">
        <v>553</v>
      </c>
      <c r="B688" s="2" t="s">
        <v>66</v>
      </c>
      <c r="C688" s="2" t="s">
        <v>588</v>
      </c>
      <c r="D688" s="3" t="s">
        <v>101</v>
      </c>
      <c r="E688" s="3" t="s">
        <v>82</v>
      </c>
      <c r="F688" s="2" t="s">
        <v>83</v>
      </c>
      <c r="G688" s="4">
        <v>20</v>
      </c>
      <c r="H688" s="5">
        <v>3.31</v>
      </c>
      <c r="I688" s="5">
        <v>3.4502696569961229</v>
      </c>
      <c r="J688" s="6">
        <v>1899.3324944509691</v>
      </c>
      <c r="K688" s="5">
        <v>6286.790556632709</v>
      </c>
      <c r="L688" s="6">
        <v>79.138853935457064</v>
      </c>
      <c r="M688" s="5">
        <v>261.94960652636291</v>
      </c>
      <c r="N688" s="6">
        <v>1800.4089270316481</v>
      </c>
      <c r="O688" s="5">
        <v>5959.3535484747563</v>
      </c>
      <c r="P688" s="6">
        <v>1899.3324944509691</v>
      </c>
      <c r="Q688" s="5">
        <v>6286.7905566327081</v>
      </c>
      <c r="R688" s="6">
        <v>949.66624722548465</v>
      </c>
      <c r="S688" s="5">
        <v>3143.395278316355</v>
      </c>
      <c r="T688" s="6">
        <v>0</v>
      </c>
      <c r="U688" s="5">
        <v>0</v>
      </c>
      <c r="V688" s="6">
        <v>0</v>
      </c>
      <c r="W688" s="5">
        <v>0</v>
      </c>
      <c r="X688" s="6">
        <v>0</v>
      </c>
      <c r="Y688" s="5">
        <v>0</v>
      </c>
      <c r="Z688" s="6">
        <v>0</v>
      </c>
      <c r="AA688" s="5">
        <v>0</v>
      </c>
      <c r="AB688" s="6">
        <v>2616.469344463555</v>
      </c>
      <c r="AC688" s="5">
        <v>8660.5135301743667</v>
      </c>
      <c r="AD688" s="6">
        <v>1213.4350583019379</v>
      </c>
      <c r="AE688" s="5">
        <v>4016.4700429794161</v>
      </c>
      <c r="AF688" s="6">
        <v>1213.4350583019379</v>
      </c>
      <c r="AG688" s="5">
        <v>4016.4700429794161</v>
      </c>
      <c r="AH688" s="7">
        <f t="shared" si="80"/>
        <v>11671.218478161962</v>
      </c>
      <c r="AI688" s="8">
        <f t="shared" si="81"/>
        <v>38631.733162716089</v>
      </c>
      <c r="AJ688" s="6">
        <v>2200</v>
      </c>
      <c r="AK688" s="5">
        <v>7590.5932453914711</v>
      </c>
      <c r="AL688" s="6">
        <v>100</v>
      </c>
      <c r="AM688" s="5">
        <v>345.02696569961222</v>
      </c>
      <c r="AN688" s="6">
        <v>2080</v>
      </c>
      <c r="AO688" s="5">
        <v>7176.5608865519353</v>
      </c>
      <c r="AP688" s="6">
        <v>2200</v>
      </c>
      <c r="AQ688" s="5">
        <v>7590.5932453914702</v>
      </c>
      <c r="AR688" s="6">
        <v>1100</v>
      </c>
      <c r="AS688" s="5">
        <v>3795.296622695736</v>
      </c>
      <c r="AT688" s="6">
        <v>0</v>
      </c>
      <c r="AU688" s="5">
        <v>0</v>
      </c>
      <c r="AV688" s="6">
        <v>0</v>
      </c>
      <c r="AW688" s="5">
        <v>0</v>
      </c>
      <c r="AX688" s="6">
        <v>0</v>
      </c>
      <c r="AY688" s="5">
        <v>0</v>
      </c>
      <c r="AZ688" s="6">
        <v>0</v>
      </c>
      <c r="BA688" s="5">
        <v>0</v>
      </c>
      <c r="BB688" s="6">
        <v>3020</v>
      </c>
      <c r="BC688" s="5">
        <v>10419.81436412829</v>
      </c>
      <c r="BD688" s="6">
        <v>1400</v>
      </c>
      <c r="BE688" s="5">
        <v>4830.3775197945724</v>
      </c>
      <c r="BF688" s="6">
        <v>1400</v>
      </c>
      <c r="BG688" s="5">
        <v>4830.3775197945724</v>
      </c>
      <c r="BH688" s="9">
        <f t="shared" si="82"/>
        <v>13500</v>
      </c>
      <c r="BI688" s="10">
        <f t="shared" si="83"/>
        <v>46578.640369447661</v>
      </c>
      <c r="BJ688" s="6">
        <f t="shared" si="84"/>
        <v>1828.7815218380383</v>
      </c>
      <c r="BK688" s="11">
        <f t="shared" si="85"/>
        <v>0.1566915678307175</v>
      </c>
      <c r="BL688" s="5">
        <f t="shared" si="86"/>
        <v>7946.9072067315719</v>
      </c>
      <c r="BM688" s="11">
        <f t="shared" si="87"/>
        <v>0.20570931087299027</v>
      </c>
    </row>
    <row r="689" spans="1:65" ht="15" customHeight="1" x14ac:dyDescent="0.4">
      <c r="A689" s="2" t="s">
        <v>553</v>
      </c>
      <c r="B689" s="2" t="s">
        <v>66</v>
      </c>
      <c r="C689" s="2" t="s">
        <v>588</v>
      </c>
      <c r="D689" s="3" t="s">
        <v>101</v>
      </c>
      <c r="E689" s="3" t="s">
        <v>221</v>
      </c>
      <c r="F689" s="2" t="s">
        <v>222</v>
      </c>
      <c r="G689" s="4">
        <v>200</v>
      </c>
      <c r="H689" s="5">
        <v>2.9</v>
      </c>
      <c r="I689" s="5">
        <v>3.022894865646149</v>
      </c>
      <c r="J689" s="6">
        <v>0</v>
      </c>
      <c r="K689" s="5">
        <v>0</v>
      </c>
      <c r="L689" s="6">
        <v>0</v>
      </c>
      <c r="M689" s="5">
        <v>0</v>
      </c>
      <c r="N689" s="6">
        <v>0</v>
      </c>
      <c r="O689" s="5">
        <v>0</v>
      </c>
      <c r="P689" s="6">
        <v>0</v>
      </c>
      <c r="Q689" s="5">
        <v>0</v>
      </c>
      <c r="R689" s="6">
        <v>0</v>
      </c>
      <c r="S689" s="5">
        <v>0</v>
      </c>
      <c r="T689" s="6">
        <v>0</v>
      </c>
      <c r="U689" s="5">
        <v>0</v>
      </c>
      <c r="V689" s="6">
        <v>0</v>
      </c>
      <c r="W689" s="5">
        <v>0</v>
      </c>
      <c r="X689" s="6">
        <v>0</v>
      </c>
      <c r="Y689" s="5">
        <v>0</v>
      </c>
      <c r="Z689" s="6">
        <v>0</v>
      </c>
      <c r="AA689" s="5">
        <v>0</v>
      </c>
      <c r="AB689" s="6">
        <v>0</v>
      </c>
      <c r="AC689" s="5">
        <v>0</v>
      </c>
      <c r="AD689" s="6">
        <v>0</v>
      </c>
      <c r="AE689" s="5">
        <v>0</v>
      </c>
      <c r="AF689" s="6">
        <v>189.59922785967791</v>
      </c>
      <c r="AG689" s="5">
        <v>549.83776079306585</v>
      </c>
      <c r="AH689" s="7">
        <f t="shared" si="80"/>
        <v>189.59922785967791</v>
      </c>
      <c r="AI689" s="8">
        <f t="shared" si="81"/>
        <v>549.83776079306585</v>
      </c>
      <c r="AJ689" s="6">
        <v>0</v>
      </c>
      <c r="AK689" s="5">
        <v>0</v>
      </c>
      <c r="AL689" s="6">
        <v>0</v>
      </c>
      <c r="AM689" s="5">
        <v>0</v>
      </c>
      <c r="AN689" s="6">
        <v>0</v>
      </c>
      <c r="AO689" s="5">
        <v>0</v>
      </c>
      <c r="AP689" s="6">
        <v>0</v>
      </c>
      <c r="AQ689" s="5">
        <v>0</v>
      </c>
      <c r="AR689" s="6">
        <v>0</v>
      </c>
      <c r="AS689" s="5">
        <v>0</v>
      </c>
      <c r="AT689" s="6">
        <v>0</v>
      </c>
      <c r="AU689" s="5">
        <v>0</v>
      </c>
      <c r="AV689" s="6">
        <v>0</v>
      </c>
      <c r="AW689" s="5">
        <v>0</v>
      </c>
      <c r="AX689" s="6">
        <v>0</v>
      </c>
      <c r="AY689" s="5">
        <v>0</v>
      </c>
      <c r="AZ689" s="6">
        <v>0</v>
      </c>
      <c r="BA689" s="5">
        <v>0</v>
      </c>
      <c r="BB689" s="6">
        <v>0</v>
      </c>
      <c r="BC689" s="5">
        <v>0</v>
      </c>
      <c r="BD689" s="6">
        <v>0</v>
      </c>
      <c r="BE689" s="5">
        <v>0</v>
      </c>
      <c r="BF689" s="6">
        <v>200</v>
      </c>
      <c r="BG689" s="5">
        <v>604.57897312922989</v>
      </c>
      <c r="BH689" s="9">
        <f t="shared" si="82"/>
        <v>200</v>
      </c>
      <c r="BI689" s="10">
        <f t="shared" si="83"/>
        <v>604.57897312922989</v>
      </c>
      <c r="BJ689" s="6">
        <f t="shared" si="84"/>
        <v>10.40077214032209</v>
      </c>
      <c r="BK689" s="11">
        <f t="shared" si="85"/>
        <v>5.485661654708681E-2</v>
      </c>
      <c r="BL689" s="5">
        <f t="shared" si="86"/>
        <v>54.74121233616404</v>
      </c>
      <c r="BM689" s="11">
        <f t="shared" si="87"/>
        <v>9.9558844880364927E-2</v>
      </c>
    </row>
    <row r="690" spans="1:65" ht="15" customHeight="1" x14ac:dyDescent="0.4">
      <c r="A690" s="2" t="s">
        <v>553</v>
      </c>
      <c r="B690" s="2" t="s">
        <v>66</v>
      </c>
      <c r="C690" s="2" t="s">
        <v>588</v>
      </c>
      <c r="D690" s="3" t="s">
        <v>101</v>
      </c>
      <c r="E690" s="3" t="s">
        <v>174</v>
      </c>
      <c r="F690" s="2" t="s">
        <v>175</v>
      </c>
      <c r="G690" s="4">
        <v>5</v>
      </c>
      <c r="H690" s="5">
        <v>5.660000000000001</v>
      </c>
      <c r="I690" s="5">
        <v>5.899856875709383</v>
      </c>
      <c r="J690" s="6">
        <v>0</v>
      </c>
      <c r="K690" s="5">
        <v>0</v>
      </c>
      <c r="L690" s="6">
        <v>0</v>
      </c>
      <c r="M690" s="5">
        <v>0</v>
      </c>
      <c r="N690" s="6">
        <v>0</v>
      </c>
      <c r="O690" s="5">
        <v>0</v>
      </c>
      <c r="P690" s="6">
        <v>0</v>
      </c>
      <c r="Q690" s="5">
        <v>0</v>
      </c>
      <c r="R690" s="6">
        <v>0</v>
      </c>
      <c r="S690" s="5">
        <v>0</v>
      </c>
      <c r="T690" s="6">
        <v>0</v>
      </c>
      <c r="U690" s="5">
        <v>0</v>
      </c>
      <c r="V690" s="6">
        <v>0</v>
      </c>
      <c r="W690" s="5">
        <v>0</v>
      </c>
      <c r="X690" s="6">
        <v>59.354140451592791</v>
      </c>
      <c r="Y690" s="5">
        <v>335.94443495601519</v>
      </c>
      <c r="Z690" s="6">
        <v>0</v>
      </c>
      <c r="AA690" s="5">
        <v>0</v>
      </c>
      <c r="AB690" s="6">
        <v>0</v>
      </c>
      <c r="AC690" s="5">
        <v>0</v>
      </c>
      <c r="AD690" s="6">
        <v>0</v>
      </c>
      <c r="AE690" s="5">
        <v>0</v>
      </c>
      <c r="AF690" s="6">
        <v>0</v>
      </c>
      <c r="AG690" s="5">
        <v>0</v>
      </c>
      <c r="AH690" s="7">
        <f t="shared" si="80"/>
        <v>59.354140451592791</v>
      </c>
      <c r="AI690" s="8">
        <f t="shared" si="81"/>
        <v>335.94443495601519</v>
      </c>
      <c r="AJ690" s="6">
        <v>0</v>
      </c>
      <c r="AK690" s="5">
        <v>0</v>
      </c>
      <c r="AL690" s="6">
        <v>0</v>
      </c>
      <c r="AM690" s="5">
        <v>0</v>
      </c>
      <c r="AN690" s="6">
        <v>0</v>
      </c>
      <c r="AO690" s="5">
        <v>0</v>
      </c>
      <c r="AP690" s="6">
        <v>0</v>
      </c>
      <c r="AQ690" s="5">
        <v>0</v>
      </c>
      <c r="AR690" s="6">
        <v>0</v>
      </c>
      <c r="AS690" s="5">
        <v>0</v>
      </c>
      <c r="AT690" s="6">
        <v>0</v>
      </c>
      <c r="AU690" s="5">
        <v>0</v>
      </c>
      <c r="AV690" s="6">
        <v>0</v>
      </c>
      <c r="AW690" s="5">
        <v>0</v>
      </c>
      <c r="AX690" s="6">
        <v>70</v>
      </c>
      <c r="AY690" s="5">
        <v>412.98998129965679</v>
      </c>
      <c r="AZ690" s="6">
        <v>0</v>
      </c>
      <c r="BA690" s="5">
        <v>0</v>
      </c>
      <c r="BB690" s="6">
        <v>0</v>
      </c>
      <c r="BC690" s="5">
        <v>0</v>
      </c>
      <c r="BD690" s="6">
        <v>0</v>
      </c>
      <c r="BE690" s="5">
        <v>0</v>
      </c>
      <c r="BF690" s="6">
        <v>0</v>
      </c>
      <c r="BG690" s="5">
        <v>0</v>
      </c>
      <c r="BH690" s="9">
        <f t="shared" si="82"/>
        <v>70</v>
      </c>
      <c r="BI690" s="10">
        <f t="shared" si="83"/>
        <v>412.98998129965679</v>
      </c>
      <c r="BJ690" s="6">
        <f t="shared" si="84"/>
        <v>10.645859548407209</v>
      </c>
      <c r="BK690" s="11">
        <f t="shared" si="85"/>
        <v>0.1793617002522277</v>
      </c>
      <c r="BL690" s="5">
        <f t="shared" si="86"/>
        <v>77.045546343641604</v>
      </c>
      <c r="BM690" s="11">
        <f t="shared" si="87"/>
        <v>0.22934014773523212</v>
      </c>
    </row>
    <row r="691" spans="1:65" ht="15" customHeight="1" x14ac:dyDescent="0.4">
      <c r="A691" s="2" t="s">
        <v>553</v>
      </c>
      <c r="B691" s="2" t="s">
        <v>66</v>
      </c>
      <c r="C691" s="2" t="s">
        <v>588</v>
      </c>
      <c r="D691" s="3" t="s">
        <v>101</v>
      </c>
      <c r="E691" s="3" t="s">
        <v>136</v>
      </c>
      <c r="F691" s="2" t="s">
        <v>137</v>
      </c>
      <c r="G691" s="4">
        <v>20</v>
      </c>
      <c r="H691" s="5">
        <v>5.08</v>
      </c>
      <c r="I691" s="5">
        <v>5.2952779025801524</v>
      </c>
      <c r="J691" s="6">
        <v>0</v>
      </c>
      <c r="K691" s="5">
        <v>0</v>
      </c>
      <c r="L691" s="6">
        <v>0</v>
      </c>
      <c r="M691" s="5">
        <v>0</v>
      </c>
      <c r="N691" s="6">
        <v>98.92356741932133</v>
      </c>
      <c r="O691" s="5">
        <v>502.53172249015228</v>
      </c>
      <c r="P691" s="6">
        <v>0</v>
      </c>
      <c r="Q691" s="5">
        <v>0</v>
      </c>
      <c r="R691" s="6">
        <v>0</v>
      </c>
      <c r="S691" s="5">
        <v>0</v>
      </c>
      <c r="T691" s="6">
        <v>0</v>
      </c>
      <c r="U691" s="5">
        <v>0</v>
      </c>
      <c r="V691" s="6">
        <v>0</v>
      </c>
      <c r="W691" s="5">
        <v>0</v>
      </c>
      <c r="X691" s="6">
        <v>0</v>
      </c>
      <c r="Y691" s="5">
        <v>0</v>
      </c>
      <c r="Z691" s="6">
        <v>0</v>
      </c>
      <c r="AA691" s="5">
        <v>0</v>
      </c>
      <c r="AB691" s="6">
        <v>0</v>
      </c>
      <c r="AC691" s="5">
        <v>0</v>
      </c>
      <c r="AD691" s="6">
        <v>0</v>
      </c>
      <c r="AE691" s="5">
        <v>0</v>
      </c>
      <c r="AF691" s="6">
        <v>189.59922785967791</v>
      </c>
      <c r="AG691" s="5">
        <v>963.16407752716361</v>
      </c>
      <c r="AH691" s="7">
        <f t="shared" si="80"/>
        <v>288.52279527899924</v>
      </c>
      <c r="AI691" s="8">
        <f t="shared" si="81"/>
        <v>1465.6958000173158</v>
      </c>
      <c r="AJ691" s="6">
        <v>0</v>
      </c>
      <c r="AK691" s="5">
        <v>0</v>
      </c>
      <c r="AL691" s="6">
        <v>0</v>
      </c>
      <c r="AM691" s="5">
        <v>0</v>
      </c>
      <c r="AN691" s="6">
        <v>120</v>
      </c>
      <c r="AO691" s="5">
        <v>635.43334830961817</v>
      </c>
      <c r="AP691" s="6">
        <v>0</v>
      </c>
      <c r="AQ691" s="5">
        <v>0</v>
      </c>
      <c r="AR691" s="6">
        <v>0</v>
      </c>
      <c r="AS691" s="5">
        <v>0</v>
      </c>
      <c r="AT691" s="6">
        <v>0</v>
      </c>
      <c r="AU691" s="5">
        <v>0</v>
      </c>
      <c r="AV691" s="6">
        <v>0</v>
      </c>
      <c r="AW691" s="5">
        <v>0</v>
      </c>
      <c r="AX691" s="6">
        <v>0</v>
      </c>
      <c r="AY691" s="5">
        <v>0</v>
      </c>
      <c r="AZ691" s="6">
        <v>0</v>
      </c>
      <c r="BA691" s="5">
        <v>0</v>
      </c>
      <c r="BB691" s="6">
        <v>0</v>
      </c>
      <c r="BC691" s="5">
        <v>0</v>
      </c>
      <c r="BD691" s="6">
        <v>0</v>
      </c>
      <c r="BE691" s="5">
        <v>0</v>
      </c>
      <c r="BF691" s="6">
        <v>220</v>
      </c>
      <c r="BG691" s="5">
        <v>1164.961138567633</v>
      </c>
      <c r="BH691" s="9">
        <f t="shared" si="82"/>
        <v>340</v>
      </c>
      <c r="BI691" s="10">
        <f t="shared" si="83"/>
        <v>1800.3944868772512</v>
      </c>
      <c r="BJ691" s="6">
        <f t="shared" si="84"/>
        <v>51.47720472100076</v>
      </c>
      <c r="BK691" s="11">
        <f t="shared" si="85"/>
        <v>0.17841642172925268</v>
      </c>
      <c r="BL691" s="5">
        <f t="shared" si="86"/>
        <v>334.69868685993538</v>
      </c>
      <c r="BM691" s="11">
        <f t="shared" si="87"/>
        <v>0.22835481063395366</v>
      </c>
    </row>
    <row r="692" spans="1:65" ht="15" customHeight="1" x14ac:dyDescent="0.4">
      <c r="A692" s="2" t="s">
        <v>589</v>
      </c>
      <c r="B692" s="2" t="s">
        <v>66</v>
      </c>
      <c r="C692" s="2" t="s">
        <v>590</v>
      </c>
      <c r="D692" s="3" t="s">
        <v>68</v>
      </c>
      <c r="E692" s="3" t="s">
        <v>108</v>
      </c>
      <c r="F692" s="2" t="s">
        <v>109</v>
      </c>
      <c r="G692" s="4">
        <v>5</v>
      </c>
      <c r="H692" s="5">
        <v>3.2</v>
      </c>
      <c r="I692" s="5">
        <v>3.3356081276095439</v>
      </c>
      <c r="J692" s="6">
        <v>0</v>
      </c>
      <c r="K692" s="5">
        <v>0</v>
      </c>
      <c r="L692" s="6">
        <v>0</v>
      </c>
      <c r="M692" s="5">
        <v>0</v>
      </c>
      <c r="N692" s="6">
        <v>0</v>
      </c>
      <c r="O692" s="5">
        <v>0</v>
      </c>
      <c r="P692" s="6">
        <v>19.78471348386427</v>
      </c>
      <c r="Q692" s="5">
        <v>63.311083148365647</v>
      </c>
      <c r="R692" s="6">
        <v>0</v>
      </c>
      <c r="S692" s="5">
        <v>0</v>
      </c>
      <c r="T692" s="6">
        <v>0</v>
      </c>
      <c r="U692" s="5">
        <v>0</v>
      </c>
      <c r="V692" s="6">
        <v>0</v>
      </c>
      <c r="W692" s="5">
        <v>0</v>
      </c>
      <c r="X692" s="6">
        <v>0</v>
      </c>
      <c r="Y692" s="5">
        <v>0</v>
      </c>
      <c r="Z692" s="6">
        <v>0</v>
      </c>
      <c r="AA692" s="5">
        <v>0</v>
      </c>
      <c r="AB692" s="6">
        <v>0</v>
      </c>
      <c r="AC692" s="5">
        <v>0</v>
      </c>
      <c r="AD692" s="6">
        <v>0</v>
      </c>
      <c r="AE692" s="5">
        <v>0</v>
      </c>
      <c r="AF692" s="6">
        <v>0</v>
      </c>
      <c r="AG692" s="5">
        <v>0</v>
      </c>
      <c r="AH692" s="7">
        <f t="shared" si="80"/>
        <v>19.78471348386427</v>
      </c>
      <c r="AI692" s="8">
        <f t="shared" si="81"/>
        <v>63.311083148365647</v>
      </c>
      <c r="AJ692" s="6">
        <v>0</v>
      </c>
      <c r="AK692" s="5">
        <v>0</v>
      </c>
      <c r="AL692" s="6">
        <v>0</v>
      </c>
      <c r="AM692" s="5">
        <v>0</v>
      </c>
      <c r="AN692" s="6">
        <v>0</v>
      </c>
      <c r="AO692" s="5">
        <v>0</v>
      </c>
      <c r="AP692" s="6">
        <v>25</v>
      </c>
      <c r="AQ692" s="5">
        <v>83.390203190238594</v>
      </c>
      <c r="AR692" s="6">
        <v>0</v>
      </c>
      <c r="AS692" s="5">
        <v>0</v>
      </c>
      <c r="AT692" s="6">
        <v>0</v>
      </c>
      <c r="AU692" s="5">
        <v>0</v>
      </c>
      <c r="AV692" s="6">
        <v>0</v>
      </c>
      <c r="AW692" s="5">
        <v>0</v>
      </c>
      <c r="AX692" s="6">
        <v>0</v>
      </c>
      <c r="AY692" s="5">
        <v>0</v>
      </c>
      <c r="AZ692" s="6">
        <v>0</v>
      </c>
      <c r="BA692" s="5">
        <v>0</v>
      </c>
      <c r="BB692" s="6">
        <v>0</v>
      </c>
      <c r="BC692" s="5">
        <v>0</v>
      </c>
      <c r="BD692" s="6">
        <v>0</v>
      </c>
      <c r="BE692" s="5">
        <v>0</v>
      </c>
      <c r="BF692" s="6">
        <v>0</v>
      </c>
      <c r="BG692" s="5">
        <v>0</v>
      </c>
      <c r="BH692" s="9">
        <f t="shared" si="82"/>
        <v>25</v>
      </c>
      <c r="BI692" s="10">
        <f t="shared" si="83"/>
        <v>83.390203190238594</v>
      </c>
      <c r="BJ692" s="6">
        <f t="shared" si="84"/>
        <v>5.2152865161357305</v>
      </c>
      <c r="BK692" s="11">
        <f t="shared" si="85"/>
        <v>0.26360182169881502</v>
      </c>
      <c r="BL692" s="5">
        <f t="shared" si="86"/>
        <v>20.079120041872947</v>
      </c>
      <c r="BM692" s="11">
        <f t="shared" si="87"/>
        <v>0.31715015828774812</v>
      </c>
    </row>
    <row r="693" spans="1:65" ht="15" customHeight="1" x14ac:dyDescent="0.4">
      <c r="A693" s="2" t="s">
        <v>589</v>
      </c>
      <c r="B693" s="2" t="s">
        <v>66</v>
      </c>
      <c r="C693" s="2" t="s">
        <v>590</v>
      </c>
      <c r="D693" s="3" t="s">
        <v>68</v>
      </c>
      <c r="E693" s="3" t="s">
        <v>154</v>
      </c>
      <c r="F693" s="2" t="s">
        <v>155</v>
      </c>
      <c r="G693" s="4">
        <v>20</v>
      </c>
      <c r="H693" s="5">
        <v>2.919999999999999</v>
      </c>
      <c r="I693" s="5">
        <v>3.0437424164437088</v>
      </c>
      <c r="J693" s="6">
        <v>0</v>
      </c>
      <c r="K693" s="5">
        <v>0</v>
      </c>
      <c r="L693" s="6">
        <v>0</v>
      </c>
      <c r="M693" s="5">
        <v>0</v>
      </c>
      <c r="N693" s="6">
        <v>0</v>
      </c>
      <c r="O693" s="5">
        <v>0</v>
      </c>
      <c r="P693" s="6">
        <v>39.569426967728532</v>
      </c>
      <c r="Q693" s="5">
        <v>115.5427267457673</v>
      </c>
      <c r="R693" s="6">
        <v>0</v>
      </c>
      <c r="S693" s="5">
        <v>0</v>
      </c>
      <c r="T693" s="6">
        <v>0</v>
      </c>
      <c r="U693" s="5">
        <v>0</v>
      </c>
      <c r="V693" s="6">
        <v>0</v>
      </c>
      <c r="W693" s="5">
        <v>0</v>
      </c>
      <c r="X693" s="6">
        <v>0</v>
      </c>
      <c r="Y693" s="5">
        <v>0</v>
      </c>
      <c r="Z693" s="6">
        <v>0</v>
      </c>
      <c r="AA693" s="5">
        <v>0</v>
      </c>
      <c r="AB693" s="6">
        <v>0</v>
      </c>
      <c r="AC693" s="5">
        <v>0</v>
      </c>
      <c r="AD693" s="6">
        <v>0</v>
      </c>
      <c r="AE693" s="5">
        <v>0</v>
      </c>
      <c r="AF693" s="6">
        <v>0</v>
      </c>
      <c r="AG693" s="5">
        <v>0</v>
      </c>
      <c r="AH693" s="7">
        <f t="shared" si="80"/>
        <v>39.569426967728532</v>
      </c>
      <c r="AI693" s="8">
        <f t="shared" si="81"/>
        <v>115.5427267457673</v>
      </c>
      <c r="AJ693" s="6">
        <v>0</v>
      </c>
      <c r="AK693" s="5">
        <v>0</v>
      </c>
      <c r="AL693" s="6">
        <v>0</v>
      </c>
      <c r="AM693" s="5">
        <v>0</v>
      </c>
      <c r="AN693" s="6">
        <v>0</v>
      </c>
      <c r="AO693" s="5">
        <v>0</v>
      </c>
      <c r="AP693" s="6">
        <v>40</v>
      </c>
      <c r="AQ693" s="5">
        <v>121.7496966577484</v>
      </c>
      <c r="AR693" s="6">
        <v>0</v>
      </c>
      <c r="AS693" s="5">
        <v>0</v>
      </c>
      <c r="AT693" s="6">
        <v>0</v>
      </c>
      <c r="AU693" s="5">
        <v>0</v>
      </c>
      <c r="AV693" s="6">
        <v>0</v>
      </c>
      <c r="AW693" s="5">
        <v>0</v>
      </c>
      <c r="AX693" s="6">
        <v>0</v>
      </c>
      <c r="AY693" s="5">
        <v>0</v>
      </c>
      <c r="AZ693" s="6">
        <v>0</v>
      </c>
      <c r="BA693" s="5">
        <v>0</v>
      </c>
      <c r="BB693" s="6">
        <v>0</v>
      </c>
      <c r="BC693" s="5">
        <v>0</v>
      </c>
      <c r="BD693" s="6">
        <v>0</v>
      </c>
      <c r="BE693" s="5">
        <v>0</v>
      </c>
      <c r="BF693" s="6">
        <v>0</v>
      </c>
      <c r="BG693" s="5">
        <v>0</v>
      </c>
      <c r="BH693" s="9">
        <f t="shared" si="82"/>
        <v>40</v>
      </c>
      <c r="BI693" s="10">
        <f t="shared" si="83"/>
        <v>121.7496966577484</v>
      </c>
      <c r="BJ693" s="6">
        <f t="shared" si="84"/>
        <v>0.43057303227146804</v>
      </c>
      <c r="BK693" s="11">
        <f t="shared" si="85"/>
        <v>1.0881457359052195E-2</v>
      </c>
      <c r="BL693" s="5">
        <f t="shared" si="86"/>
        <v>6.2069699119811048</v>
      </c>
      <c r="BM693" s="11">
        <f t="shared" si="87"/>
        <v>5.3720126630199039E-2</v>
      </c>
    </row>
    <row r="694" spans="1:65" ht="15" customHeight="1" x14ac:dyDescent="0.4">
      <c r="A694" s="2" t="s">
        <v>589</v>
      </c>
      <c r="B694" s="2" t="s">
        <v>66</v>
      </c>
      <c r="C694" s="2" t="s">
        <v>590</v>
      </c>
      <c r="D694" s="3" t="s">
        <v>68</v>
      </c>
      <c r="E694" s="3" t="s">
        <v>110</v>
      </c>
      <c r="F694" s="2" t="s">
        <v>111</v>
      </c>
      <c r="G694" s="4">
        <v>5</v>
      </c>
      <c r="H694" s="5">
        <v>3.23</v>
      </c>
      <c r="I694" s="5">
        <v>3.366879453805883</v>
      </c>
      <c r="J694" s="6">
        <v>0</v>
      </c>
      <c r="K694" s="5">
        <v>0</v>
      </c>
      <c r="L694" s="6">
        <v>19.78471348386427</v>
      </c>
      <c r="M694" s="5">
        <v>63.904624552881572</v>
      </c>
      <c r="N694" s="6">
        <v>0</v>
      </c>
      <c r="O694" s="5">
        <v>0</v>
      </c>
      <c r="P694" s="6">
        <v>0</v>
      </c>
      <c r="Q694" s="5">
        <v>0</v>
      </c>
      <c r="R694" s="6">
        <v>0</v>
      </c>
      <c r="S694" s="5">
        <v>0</v>
      </c>
      <c r="T694" s="6">
        <v>0</v>
      </c>
      <c r="U694" s="5">
        <v>0</v>
      </c>
      <c r="V694" s="6">
        <v>0</v>
      </c>
      <c r="W694" s="5">
        <v>0</v>
      </c>
      <c r="X694" s="6">
        <v>0</v>
      </c>
      <c r="Y694" s="5">
        <v>0</v>
      </c>
      <c r="Z694" s="6">
        <v>0</v>
      </c>
      <c r="AA694" s="5">
        <v>0</v>
      </c>
      <c r="AB694" s="6">
        <v>0</v>
      </c>
      <c r="AC694" s="5">
        <v>0</v>
      </c>
      <c r="AD694" s="6">
        <v>0</v>
      </c>
      <c r="AE694" s="5">
        <v>0</v>
      </c>
      <c r="AF694" s="6">
        <v>0</v>
      </c>
      <c r="AG694" s="5">
        <v>0</v>
      </c>
      <c r="AH694" s="7">
        <f t="shared" si="80"/>
        <v>19.78471348386427</v>
      </c>
      <c r="AI694" s="8">
        <f t="shared" si="81"/>
        <v>63.904624552881572</v>
      </c>
      <c r="AJ694" s="6">
        <v>0</v>
      </c>
      <c r="AK694" s="5">
        <v>0</v>
      </c>
      <c r="AL694" s="6">
        <v>20</v>
      </c>
      <c r="AM694" s="5">
        <v>67.337589076117666</v>
      </c>
      <c r="AN694" s="6">
        <v>0</v>
      </c>
      <c r="AO694" s="5">
        <v>0</v>
      </c>
      <c r="AP694" s="6">
        <v>0</v>
      </c>
      <c r="AQ694" s="5">
        <v>0</v>
      </c>
      <c r="AR694" s="6">
        <v>0</v>
      </c>
      <c r="AS694" s="5">
        <v>0</v>
      </c>
      <c r="AT694" s="6">
        <v>0</v>
      </c>
      <c r="AU694" s="5">
        <v>0</v>
      </c>
      <c r="AV694" s="6">
        <v>0</v>
      </c>
      <c r="AW694" s="5">
        <v>0</v>
      </c>
      <c r="AX694" s="6">
        <v>0</v>
      </c>
      <c r="AY694" s="5">
        <v>0</v>
      </c>
      <c r="AZ694" s="6">
        <v>0</v>
      </c>
      <c r="BA694" s="5">
        <v>0</v>
      </c>
      <c r="BB694" s="6">
        <v>0</v>
      </c>
      <c r="BC694" s="5">
        <v>0</v>
      </c>
      <c r="BD694" s="6">
        <v>0</v>
      </c>
      <c r="BE694" s="5">
        <v>0</v>
      </c>
      <c r="BF694" s="6">
        <v>0</v>
      </c>
      <c r="BG694" s="5">
        <v>0</v>
      </c>
      <c r="BH694" s="9">
        <f t="shared" si="82"/>
        <v>20</v>
      </c>
      <c r="BI694" s="10">
        <f t="shared" si="83"/>
        <v>67.337589076117666</v>
      </c>
      <c r="BJ694" s="6">
        <f t="shared" si="84"/>
        <v>0.21528651613573047</v>
      </c>
      <c r="BK694" s="11">
        <f t="shared" si="85"/>
        <v>1.0881457359052014E-2</v>
      </c>
      <c r="BL694" s="5">
        <f t="shared" si="86"/>
        <v>3.4329645232360946</v>
      </c>
      <c r="BM694" s="11">
        <f t="shared" si="87"/>
        <v>5.3720126630198567E-2</v>
      </c>
    </row>
    <row r="695" spans="1:65" ht="15" customHeight="1" x14ac:dyDescent="0.4">
      <c r="A695" s="2" t="s">
        <v>589</v>
      </c>
      <c r="B695" s="2" t="s">
        <v>66</v>
      </c>
      <c r="C695" s="2" t="s">
        <v>590</v>
      </c>
      <c r="D695" s="3" t="s">
        <v>68</v>
      </c>
      <c r="E695" s="3" t="s">
        <v>82</v>
      </c>
      <c r="F695" s="2" t="s">
        <v>83</v>
      </c>
      <c r="G695" s="4">
        <v>20</v>
      </c>
      <c r="H695" s="5">
        <v>3.012</v>
      </c>
      <c r="I695" s="5">
        <v>3.139641150112483</v>
      </c>
      <c r="J695" s="6">
        <v>0</v>
      </c>
      <c r="K695" s="5">
        <v>0</v>
      </c>
      <c r="L695" s="6">
        <v>633.11083148365651</v>
      </c>
      <c r="M695" s="5">
        <v>1886.6702778212959</v>
      </c>
      <c r="N695" s="6">
        <v>1266.221662967313</v>
      </c>
      <c r="O695" s="5">
        <v>3773.3405556425928</v>
      </c>
      <c r="P695" s="6">
        <v>0</v>
      </c>
      <c r="Q695" s="5">
        <v>0</v>
      </c>
      <c r="R695" s="6">
        <v>633.11083148365651</v>
      </c>
      <c r="S695" s="5">
        <v>1937.319144339989</v>
      </c>
      <c r="T695" s="6">
        <v>0</v>
      </c>
      <c r="U695" s="5">
        <v>0</v>
      </c>
      <c r="V695" s="6">
        <v>0</v>
      </c>
      <c r="W695" s="5">
        <v>0</v>
      </c>
      <c r="X695" s="6">
        <v>633.11083148365651</v>
      </c>
      <c r="Y695" s="5">
        <v>1937.319144339989</v>
      </c>
      <c r="Z695" s="6">
        <v>0</v>
      </c>
      <c r="AA695" s="5">
        <v>0</v>
      </c>
      <c r="AB695" s="6">
        <v>606.7175291509692</v>
      </c>
      <c r="AC695" s="5">
        <v>1827.433197802719</v>
      </c>
      <c r="AD695" s="6">
        <v>1213.4350583019379</v>
      </c>
      <c r="AE695" s="5">
        <v>3654.8663956054379</v>
      </c>
      <c r="AF695" s="6">
        <v>606.7175291509692</v>
      </c>
      <c r="AG695" s="5">
        <v>1827.433197802719</v>
      </c>
      <c r="AH695" s="7">
        <f t="shared" si="80"/>
        <v>5592.4242740221589</v>
      </c>
      <c r="AI695" s="8">
        <f t="shared" si="81"/>
        <v>16844.38191335474</v>
      </c>
      <c r="AJ695" s="6">
        <v>0</v>
      </c>
      <c r="AK695" s="5">
        <v>0</v>
      </c>
      <c r="AL695" s="6">
        <v>700</v>
      </c>
      <c r="AM695" s="5">
        <v>2174.3995481854722</v>
      </c>
      <c r="AN695" s="6">
        <v>1400</v>
      </c>
      <c r="AO695" s="5">
        <v>4348.7990963709444</v>
      </c>
      <c r="AP695" s="6">
        <v>0</v>
      </c>
      <c r="AQ695" s="5">
        <v>0</v>
      </c>
      <c r="AR695" s="6">
        <v>700</v>
      </c>
      <c r="AS695" s="5">
        <v>2232.7726904186388</v>
      </c>
      <c r="AT695" s="6">
        <v>0</v>
      </c>
      <c r="AU695" s="5">
        <v>0</v>
      </c>
      <c r="AV695" s="6">
        <v>0</v>
      </c>
      <c r="AW695" s="5">
        <v>0</v>
      </c>
      <c r="AX695" s="6">
        <v>700</v>
      </c>
      <c r="AY695" s="5">
        <v>2232.7726904186388</v>
      </c>
      <c r="AZ695" s="6">
        <v>0</v>
      </c>
      <c r="BA695" s="5">
        <v>0</v>
      </c>
      <c r="BB695" s="6">
        <v>660</v>
      </c>
      <c r="BC695" s="5">
        <v>2072.163159074239</v>
      </c>
      <c r="BD695" s="6">
        <v>1340</v>
      </c>
      <c r="BE695" s="5">
        <v>4207.119141150728</v>
      </c>
      <c r="BF695" s="6">
        <v>660</v>
      </c>
      <c r="BG695" s="5">
        <v>2072.163159074239</v>
      </c>
      <c r="BH695" s="9">
        <f t="shared" si="82"/>
        <v>6160</v>
      </c>
      <c r="BI695" s="10">
        <f t="shared" si="83"/>
        <v>19340.189484692899</v>
      </c>
      <c r="BJ695" s="6">
        <f t="shared" si="84"/>
        <v>567.5757259778411</v>
      </c>
      <c r="BK695" s="11">
        <f t="shared" si="85"/>
        <v>0.10149010485744706</v>
      </c>
      <c r="BL695" s="5">
        <f t="shared" si="86"/>
        <v>2495.8075713381586</v>
      </c>
      <c r="BM695" s="11">
        <f t="shared" si="87"/>
        <v>0.14816854570124691</v>
      </c>
    </row>
    <row r="696" spans="1:65" ht="15" customHeight="1" x14ac:dyDescent="0.4">
      <c r="A696" s="2" t="s">
        <v>589</v>
      </c>
      <c r="B696" s="2" t="s">
        <v>66</v>
      </c>
      <c r="C696" s="2" t="s">
        <v>590</v>
      </c>
      <c r="D696" s="3" t="s">
        <v>68</v>
      </c>
      <c r="E696" s="3" t="s">
        <v>221</v>
      </c>
      <c r="F696" s="2" t="s">
        <v>222</v>
      </c>
      <c r="G696" s="4">
        <v>200</v>
      </c>
      <c r="H696" s="5">
        <v>2.89888888888889</v>
      </c>
      <c r="I696" s="5">
        <v>3.0214719375758401</v>
      </c>
      <c r="J696" s="6">
        <v>791.38853935457064</v>
      </c>
      <c r="K696" s="5">
        <v>2287.1128787347088</v>
      </c>
      <c r="L696" s="6">
        <v>791.38853935457064</v>
      </c>
      <c r="M696" s="5">
        <v>2287.1128787347088</v>
      </c>
      <c r="N696" s="6">
        <v>3956.9426967728532</v>
      </c>
      <c r="O696" s="5">
        <v>11435.564393673551</v>
      </c>
      <c r="P696" s="6">
        <v>791.38853935457064</v>
      </c>
      <c r="Q696" s="5">
        <v>2287.1128787347088</v>
      </c>
      <c r="R696" s="6">
        <v>0</v>
      </c>
      <c r="S696" s="5">
        <v>0</v>
      </c>
      <c r="T696" s="6">
        <v>791.38853935457064</v>
      </c>
      <c r="U696" s="5">
        <v>2350.4239618830752</v>
      </c>
      <c r="V696" s="6">
        <v>0</v>
      </c>
      <c r="W696" s="5">
        <v>0</v>
      </c>
      <c r="X696" s="6">
        <v>0</v>
      </c>
      <c r="Y696" s="5">
        <v>0</v>
      </c>
      <c r="Z696" s="6">
        <v>1516.7938228774231</v>
      </c>
      <c r="AA696" s="5">
        <v>4397.016759874663</v>
      </c>
      <c r="AB696" s="6">
        <v>1516.7938228774231</v>
      </c>
      <c r="AC696" s="5">
        <v>4397.016759874663</v>
      </c>
      <c r="AD696" s="6">
        <v>1516.7938228774231</v>
      </c>
      <c r="AE696" s="5">
        <v>4397.016759874663</v>
      </c>
      <c r="AF696" s="6">
        <v>1516.7938228774231</v>
      </c>
      <c r="AG696" s="5">
        <v>4397.016759874663</v>
      </c>
      <c r="AH696" s="7">
        <f t="shared" si="80"/>
        <v>13189.67214570083</v>
      </c>
      <c r="AI696" s="8">
        <f t="shared" si="81"/>
        <v>38235.394031259406</v>
      </c>
      <c r="AJ696" s="6">
        <v>800</v>
      </c>
      <c r="AK696" s="5">
        <v>2409.9768721978958</v>
      </c>
      <c r="AL696" s="6">
        <v>800</v>
      </c>
      <c r="AM696" s="5">
        <v>2409.9768721978958</v>
      </c>
      <c r="AN696" s="6">
        <v>4400</v>
      </c>
      <c r="AO696" s="5">
        <v>13254.87279708843</v>
      </c>
      <c r="AP696" s="6">
        <v>800</v>
      </c>
      <c r="AQ696" s="5">
        <v>2409.9768721978958</v>
      </c>
      <c r="AR696" s="6">
        <v>0</v>
      </c>
      <c r="AS696" s="5">
        <v>0</v>
      </c>
      <c r="AT696" s="6">
        <v>800</v>
      </c>
      <c r="AU696" s="5">
        <v>2476.6890347500871</v>
      </c>
      <c r="AV696" s="6">
        <v>0</v>
      </c>
      <c r="AW696" s="5">
        <v>0</v>
      </c>
      <c r="AX696" s="6">
        <v>0</v>
      </c>
      <c r="AY696" s="5">
        <v>0</v>
      </c>
      <c r="AZ696" s="6">
        <v>1600</v>
      </c>
      <c r="BA696" s="5">
        <v>4834.7786694073902</v>
      </c>
      <c r="BB696" s="6">
        <v>1600</v>
      </c>
      <c r="BC696" s="5">
        <v>4834.7786694073902</v>
      </c>
      <c r="BD696" s="6">
        <v>1600</v>
      </c>
      <c r="BE696" s="5">
        <v>4834.7786694073902</v>
      </c>
      <c r="BF696" s="6">
        <v>1600</v>
      </c>
      <c r="BG696" s="5">
        <v>4834.7786694073902</v>
      </c>
      <c r="BH696" s="9">
        <f t="shared" si="82"/>
        <v>14000</v>
      </c>
      <c r="BI696" s="10">
        <f t="shared" si="83"/>
        <v>42300.607126061761</v>
      </c>
      <c r="BJ696" s="6">
        <f t="shared" si="84"/>
        <v>810.32785429917021</v>
      </c>
      <c r="BK696" s="11">
        <f t="shared" si="85"/>
        <v>6.143654257268983E-2</v>
      </c>
      <c r="BL696" s="5">
        <f t="shared" si="86"/>
        <v>4065.213094802355</v>
      </c>
      <c r="BM696" s="11">
        <f t="shared" si="87"/>
        <v>0.10632068003480842</v>
      </c>
    </row>
    <row r="697" spans="1:65" ht="15" customHeight="1" x14ac:dyDescent="0.4">
      <c r="A697" s="2" t="s">
        <v>589</v>
      </c>
      <c r="B697" s="2" t="s">
        <v>66</v>
      </c>
      <c r="C697" s="2" t="s">
        <v>590</v>
      </c>
      <c r="D697" s="3" t="s">
        <v>68</v>
      </c>
      <c r="E697" s="3" t="s">
        <v>318</v>
      </c>
      <c r="F697" s="2" t="s">
        <v>319</v>
      </c>
      <c r="G697" s="4">
        <v>1000</v>
      </c>
      <c r="H697" s="5">
        <v>2.62</v>
      </c>
      <c r="I697" s="5">
        <v>2.7310291544803138</v>
      </c>
      <c r="J697" s="6">
        <v>989.23567419321319</v>
      </c>
      <c r="K697" s="5">
        <v>2591.7974663862192</v>
      </c>
      <c r="L697" s="6">
        <v>0</v>
      </c>
      <c r="M697" s="5">
        <v>0</v>
      </c>
      <c r="N697" s="6">
        <v>0</v>
      </c>
      <c r="O697" s="5">
        <v>0</v>
      </c>
      <c r="P697" s="6">
        <v>0</v>
      </c>
      <c r="Q697" s="5">
        <v>0</v>
      </c>
      <c r="R697" s="6">
        <v>0</v>
      </c>
      <c r="S697" s="5">
        <v>0</v>
      </c>
      <c r="T697" s="6">
        <v>0</v>
      </c>
      <c r="U697" s="5">
        <v>0</v>
      </c>
      <c r="V697" s="6">
        <v>0</v>
      </c>
      <c r="W697" s="5">
        <v>0</v>
      </c>
      <c r="X697" s="6">
        <v>0</v>
      </c>
      <c r="Y697" s="5">
        <v>0</v>
      </c>
      <c r="Z697" s="6">
        <v>0</v>
      </c>
      <c r="AA697" s="5">
        <v>0</v>
      </c>
      <c r="AB697" s="6">
        <v>0</v>
      </c>
      <c r="AC697" s="5">
        <v>0</v>
      </c>
      <c r="AD697" s="6">
        <v>0</v>
      </c>
      <c r="AE697" s="5">
        <v>0</v>
      </c>
      <c r="AF697" s="6">
        <v>0</v>
      </c>
      <c r="AG697" s="5">
        <v>0</v>
      </c>
      <c r="AH697" s="7">
        <f t="shared" si="80"/>
        <v>989.23567419321319</v>
      </c>
      <c r="AI697" s="8">
        <f t="shared" si="81"/>
        <v>2591.7974663862192</v>
      </c>
      <c r="AJ697" s="6">
        <v>1000</v>
      </c>
      <c r="AK697" s="5">
        <v>2731.029154480314</v>
      </c>
      <c r="AL697" s="6">
        <v>0</v>
      </c>
      <c r="AM697" s="5">
        <v>0</v>
      </c>
      <c r="AN697" s="6">
        <v>0</v>
      </c>
      <c r="AO697" s="5">
        <v>0</v>
      </c>
      <c r="AP697" s="6">
        <v>0</v>
      </c>
      <c r="AQ697" s="5">
        <v>0</v>
      </c>
      <c r="AR697" s="6">
        <v>0</v>
      </c>
      <c r="AS697" s="5">
        <v>0</v>
      </c>
      <c r="AT697" s="6">
        <v>0</v>
      </c>
      <c r="AU697" s="5">
        <v>0</v>
      </c>
      <c r="AV697" s="6">
        <v>0</v>
      </c>
      <c r="AW697" s="5">
        <v>0</v>
      </c>
      <c r="AX697" s="6">
        <v>0</v>
      </c>
      <c r="AY697" s="5">
        <v>0</v>
      </c>
      <c r="AZ697" s="6">
        <v>0</v>
      </c>
      <c r="BA697" s="5">
        <v>0</v>
      </c>
      <c r="BB697" s="6">
        <v>0</v>
      </c>
      <c r="BC697" s="5">
        <v>0</v>
      </c>
      <c r="BD697" s="6">
        <v>0</v>
      </c>
      <c r="BE697" s="5">
        <v>0</v>
      </c>
      <c r="BF697" s="6">
        <v>0</v>
      </c>
      <c r="BG697" s="5">
        <v>0</v>
      </c>
      <c r="BH697" s="9">
        <f t="shared" si="82"/>
        <v>1000</v>
      </c>
      <c r="BI697" s="10">
        <f t="shared" si="83"/>
        <v>2731.029154480314</v>
      </c>
      <c r="BJ697" s="6">
        <f t="shared" si="84"/>
        <v>10.764325806786815</v>
      </c>
      <c r="BK697" s="11">
        <f t="shared" si="85"/>
        <v>1.0881457359052311E-2</v>
      </c>
      <c r="BL697" s="5">
        <f t="shared" si="86"/>
        <v>139.23168809409481</v>
      </c>
      <c r="BM697" s="11">
        <f t="shared" si="87"/>
        <v>5.3720126630198296E-2</v>
      </c>
    </row>
    <row r="698" spans="1:65" ht="15" customHeight="1" x14ac:dyDescent="0.4">
      <c r="A698" s="2" t="s">
        <v>589</v>
      </c>
      <c r="B698" s="2" t="s">
        <v>66</v>
      </c>
      <c r="C698" s="2" t="s">
        <v>590</v>
      </c>
      <c r="D698" s="3" t="s">
        <v>68</v>
      </c>
      <c r="E698" s="3" t="s">
        <v>86</v>
      </c>
      <c r="F698" s="2" t="s">
        <v>87</v>
      </c>
      <c r="G698" s="4">
        <v>20</v>
      </c>
      <c r="H698" s="5">
        <v>1.5645605833769789</v>
      </c>
      <c r="I698" s="5">
        <v>1.630979762473358</v>
      </c>
      <c r="J698" s="6">
        <v>0</v>
      </c>
      <c r="K698" s="5">
        <v>0</v>
      </c>
      <c r="L698" s="6">
        <v>0</v>
      </c>
      <c r="M698" s="5">
        <v>0</v>
      </c>
      <c r="N698" s="6">
        <v>0</v>
      </c>
      <c r="O698" s="5">
        <v>0</v>
      </c>
      <c r="P698" s="6">
        <v>0</v>
      </c>
      <c r="Q698" s="5">
        <v>0</v>
      </c>
      <c r="R698" s="6">
        <v>0</v>
      </c>
      <c r="S698" s="5">
        <v>0</v>
      </c>
      <c r="T698" s="6">
        <v>0</v>
      </c>
      <c r="U698" s="5">
        <v>0</v>
      </c>
      <c r="V698" s="6">
        <v>2176.318483225069</v>
      </c>
      <c r="W698" s="5">
        <v>3569.162312489113</v>
      </c>
      <c r="X698" s="6">
        <v>0</v>
      </c>
      <c r="Y698" s="5">
        <v>0</v>
      </c>
      <c r="Z698" s="6">
        <v>1042.795753228228</v>
      </c>
      <c r="AA698" s="5">
        <v>1590.4720828236941</v>
      </c>
      <c r="AB698" s="6">
        <v>2085.591506456457</v>
      </c>
      <c r="AC698" s="5">
        <v>3180.9441656473869</v>
      </c>
      <c r="AD698" s="6">
        <v>1042.795753228228</v>
      </c>
      <c r="AE698" s="5">
        <v>1590.4720828236941</v>
      </c>
      <c r="AF698" s="6">
        <v>0</v>
      </c>
      <c r="AG698" s="5">
        <v>0</v>
      </c>
      <c r="AH698" s="7">
        <f t="shared" si="80"/>
        <v>6347.501496137982</v>
      </c>
      <c r="AI698" s="8">
        <f t="shared" si="81"/>
        <v>9931.0506437838885</v>
      </c>
      <c r="AJ698" s="6">
        <v>0</v>
      </c>
      <c r="AK698" s="5">
        <v>0</v>
      </c>
      <c r="AL698" s="6">
        <v>0</v>
      </c>
      <c r="AM698" s="5">
        <v>0</v>
      </c>
      <c r="AN698" s="6">
        <v>0</v>
      </c>
      <c r="AO698" s="5">
        <v>0</v>
      </c>
      <c r="AP698" s="6">
        <v>0</v>
      </c>
      <c r="AQ698" s="5">
        <v>0</v>
      </c>
      <c r="AR698" s="6">
        <v>0</v>
      </c>
      <c r="AS698" s="5">
        <v>0</v>
      </c>
      <c r="AT698" s="6">
        <v>0</v>
      </c>
      <c r="AU698" s="5">
        <v>0</v>
      </c>
      <c r="AV698" s="6">
        <v>2400</v>
      </c>
      <c r="AW698" s="5">
        <v>4102.79799695974</v>
      </c>
      <c r="AX698" s="6">
        <v>0</v>
      </c>
      <c r="AY698" s="5">
        <v>0</v>
      </c>
      <c r="AZ698" s="6">
        <v>1140</v>
      </c>
      <c r="BA698" s="5">
        <v>1812.411015156965</v>
      </c>
      <c r="BB698" s="6">
        <v>2300</v>
      </c>
      <c r="BC698" s="5">
        <v>3656.618714790367</v>
      </c>
      <c r="BD698" s="6">
        <v>1140</v>
      </c>
      <c r="BE698" s="5">
        <v>1812.411015156965</v>
      </c>
      <c r="BF698" s="6">
        <v>0</v>
      </c>
      <c r="BG698" s="5">
        <v>0</v>
      </c>
      <c r="BH698" s="9">
        <f t="shared" si="82"/>
        <v>6980</v>
      </c>
      <c r="BI698" s="10">
        <f t="shared" si="83"/>
        <v>11384.238742064037</v>
      </c>
      <c r="BJ698" s="6">
        <f t="shared" si="84"/>
        <v>632.49850386201797</v>
      </c>
      <c r="BK698" s="11">
        <f t="shared" si="85"/>
        <v>9.964527054414242E-2</v>
      </c>
      <c r="BL698" s="5">
        <f t="shared" si="86"/>
        <v>1453.1880982801486</v>
      </c>
      <c r="BM698" s="11">
        <f t="shared" si="87"/>
        <v>0.14632773010675743</v>
      </c>
    </row>
    <row r="699" spans="1:65" ht="15" customHeight="1" x14ac:dyDescent="0.4">
      <c r="A699" s="2" t="s">
        <v>589</v>
      </c>
      <c r="B699" s="2" t="s">
        <v>66</v>
      </c>
      <c r="C699" s="2" t="s">
        <v>590</v>
      </c>
      <c r="D699" s="3" t="s">
        <v>68</v>
      </c>
      <c r="E699" s="3" t="s">
        <v>174</v>
      </c>
      <c r="F699" s="2" t="s">
        <v>175</v>
      </c>
      <c r="G699" s="4">
        <v>5</v>
      </c>
      <c r="H699" s="5">
        <v>4.8933333333333344</v>
      </c>
      <c r="I699" s="5">
        <v>5.1024380577027246</v>
      </c>
      <c r="J699" s="6">
        <v>0</v>
      </c>
      <c r="K699" s="5">
        <v>0</v>
      </c>
      <c r="L699" s="6">
        <v>0</v>
      </c>
      <c r="M699" s="5">
        <v>0</v>
      </c>
      <c r="N699" s="6">
        <v>0</v>
      </c>
      <c r="O699" s="5">
        <v>0</v>
      </c>
      <c r="P699" s="6">
        <v>79.138853935457064</v>
      </c>
      <c r="Q699" s="5">
        <v>383.82344158696668</v>
      </c>
      <c r="R699" s="6">
        <v>39.569426967728532</v>
      </c>
      <c r="S699" s="5">
        <v>197.0557462992881</v>
      </c>
      <c r="T699" s="6">
        <v>0</v>
      </c>
      <c r="U699" s="5">
        <v>0</v>
      </c>
      <c r="V699" s="6">
        <v>0</v>
      </c>
      <c r="W699" s="5">
        <v>0</v>
      </c>
      <c r="X699" s="6">
        <v>0</v>
      </c>
      <c r="Y699" s="5">
        <v>0</v>
      </c>
      <c r="Z699" s="6">
        <v>0</v>
      </c>
      <c r="AA699" s="5">
        <v>0</v>
      </c>
      <c r="AB699" s="6">
        <v>0</v>
      </c>
      <c r="AC699" s="5">
        <v>0</v>
      </c>
      <c r="AD699" s="6">
        <v>0</v>
      </c>
      <c r="AE699" s="5">
        <v>0</v>
      </c>
      <c r="AF699" s="6">
        <v>0</v>
      </c>
      <c r="AG699" s="5">
        <v>0</v>
      </c>
      <c r="AH699" s="7">
        <f t="shared" si="80"/>
        <v>118.7082809031856</v>
      </c>
      <c r="AI699" s="8">
        <f t="shared" si="81"/>
        <v>580.87918788625484</v>
      </c>
      <c r="AJ699" s="6">
        <v>0</v>
      </c>
      <c r="AK699" s="5">
        <v>0</v>
      </c>
      <c r="AL699" s="6">
        <v>0</v>
      </c>
      <c r="AM699" s="5">
        <v>0</v>
      </c>
      <c r="AN699" s="6">
        <v>0</v>
      </c>
      <c r="AO699" s="5">
        <v>0</v>
      </c>
      <c r="AP699" s="6">
        <v>85</v>
      </c>
      <c r="AQ699" s="5">
        <v>429.72014081469831</v>
      </c>
      <c r="AR699" s="6">
        <v>45</v>
      </c>
      <c r="AS699" s="5">
        <v>233.5968066866559</v>
      </c>
      <c r="AT699" s="6">
        <v>0</v>
      </c>
      <c r="AU699" s="5">
        <v>0</v>
      </c>
      <c r="AV699" s="6">
        <v>0</v>
      </c>
      <c r="AW699" s="5">
        <v>0</v>
      </c>
      <c r="AX699" s="6">
        <v>0</v>
      </c>
      <c r="AY699" s="5">
        <v>0</v>
      </c>
      <c r="AZ699" s="6">
        <v>0</v>
      </c>
      <c r="BA699" s="5">
        <v>0</v>
      </c>
      <c r="BB699" s="6">
        <v>0</v>
      </c>
      <c r="BC699" s="5">
        <v>0</v>
      </c>
      <c r="BD699" s="6">
        <v>0</v>
      </c>
      <c r="BE699" s="5">
        <v>0</v>
      </c>
      <c r="BF699" s="6">
        <v>0</v>
      </c>
      <c r="BG699" s="5">
        <v>0</v>
      </c>
      <c r="BH699" s="9">
        <f t="shared" si="82"/>
        <v>130</v>
      </c>
      <c r="BI699" s="10">
        <f t="shared" si="83"/>
        <v>663.31694750135421</v>
      </c>
      <c r="BJ699" s="6">
        <f t="shared" si="84"/>
        <v>11.291719096814404</v>
      </c>
      <c r="BK699" s="11">
        <f t="shared" si="85"/>
        <v>9.5121578805639873E-2</v>
      </c>
      <c r="BL699" s="5">
        <f t="shared" si="86"/>
        <v>82.437759615099367</v>
      </c>
      <c r="BM699" s="11">
        <f t="shared" si="87"/>
        <v>0.1419189417253523</v>
      </c>
    </row>
    <row r="700" spans="1:65" ht="15" customHeight="1" x14ac:dyDescent="0.4">
      <c r="A700" s="2" t="s">
        <v>589</v>
      </c>
      <c r="B700" s="2" t="s">
        <v>66</v>
      </c>
      <c r="C700" s="2" t="s">
        <v>590</v>
      </c>
      <c r="D700" s="3" t="s">
        <v>68</v>
      </c>
      <c r="E700" s="3" t="s">
        <v>136</v>
      </c>
      <c r="F700" s="2" t="s">
        <v>137</v>
      </c>
      <c r="G700" s="4">
        <v>20</v>
      </c>
      <c r="H700" s="5">
        <v>4.577219843613018</v>
      </c>
      <c r="I700" s="5">
        <v>4.7701299723947912</v>
      </c>
      <c r="J700" s="6">
        <v>98.92356741932133</v>
      </c>
      <c r="K700" s="5">
        <v>454.05917445468492</v>
      </c>
      <c r="L700" s="6">
        <v>0</v>
      </c>
      <c r="M700" s="5">
        <v>0</v>
      </c>
      <c r="N700" s="6">
        <v>59.354140451592791</v>
      </c>
      <c r="O700" s="5">
        <v>271.24842186377907</v>
      </c>
      <c r="P700" s="6">
        <v>98.92356741932133</v>
      </c>
      <c r="Q700" s="5">
        <v>452.08070310629847</v>
      </c>
      <c r="R700" s="6">
        <v>197.84713483864269</v>
      </c>
      <c r="S700" s="5">
        <v>929.88153374162039</v>
      </c>
      <c r="T700" s="6">
        <v>0</v>
      </c>
      <c r="U700" s="5">
        <v>0</v>
      </c>
      <c r="V700" s="6">
        <v>633.11083148365651</v>
      </c>
      <c r="W700" s="5">
        <v>2975.6209079731848</v>
      </c>
      <c r="X700" s="6">
        <v>0</v>
      </c>
      <c r="Y700" s="5">
        <v>0</v>
      </c>
      <c r="Z700" s="6">
        <v>0</v>
      </c>
      <c r="AA700" s="5">
        <v>0</v>
      </c>
      <c r="AB700" s="6">
        <v>284.39884178951678</v>
      </c>
      <c r="AC700" s="5">
        <v>1250.682688429644</v>
      </c>
      <c r="AD700" s="6">
        <v>284.39884178951678</v>
      </c>
      <c r="AE700" s="5">
        <v>1250.682688429644</v>
      </c>
      <c r="AF700" s="6">
        <v>0</v>
      </c>
      <c r="AG700" s="5">
        <v>0</v>
      </c>
      <c r="AH700" s="7">
        <f t="shared" si="80"/>
        <v>1656.9569251915682</v>
      </c>
      <c r="AI700" s="8">
        <f t="shared" si="81"/>
        <v>7584.2561179988561</v>
      </c>
      <c r="AJ700" s="6">
        <v>100</v>
      </c>
      <c r="AK700" s="5">
        <v>478.45129080399403</v>
      </c>
      <c r="AL700" s="6">
        <v>0</v>
      </c>
      <c r="AM700" s="5">
        <v>0</v>
      </c>
      <c r="AN700" s="6">
        <v>60</v>
      </c>
      <c r="AO700" s="5">
        <v>285.81992143454278</v>
      </c>
      <c r="AP700" s="6">
        <v>100</v>
      </c>
      <c r="AQ700" s="5">
        <v>476.36653572423808</v>
      </c>
      <c r="AR700" s="6">
        <v>220</v>
      </c>
      <c r="AS700" s="5">
        <v>1077.818376233834</v>
      </c>
      <c r="AT700" s="6">
        <v>0</v>
      </c>
      <c r="AU700" s="5">
        <v>0</v>
      </c>
      <c r="AV700" s="6">
        <v>700</v>
      </c>
      <c r="AW700" s="5">
        <v>3429.4221061985631</v>
      </c>
      <c r="AX700" s="6">
        <v>0</v>
      </c>
      <c r="AY700" s="5">
        <v>0</v>
      </c>
      <c r="AZ700" s="6">
        <v>0</v>
      </c>
      <c r="BA700" s="5">
        <v>0</v>
      </c>
      <c r="BB700" s="6">
        <v>320</v>
      </c>
      <c r="BC700" s="5">
        <v>1466.8791596816741</v>
      </c>
      <c r="BD700" s="6">
        <v>320</v>
      </c>
      <c r="BE700" s="5">
        <v>1466.8791596816741</v>
      </c>
      <c r="BF700" s="6">
        <v>0</v>
      </c>
      <c r="BG700" s="5">
        <v>0</v>
      </c>
      <c r="BH700" s="9">
        <f t="shared" si="82"/>
        <v>1820</v>
      </c>
      <c r="BI700" s="10">
        <f t="shared" si="83"/>
        <v>8681.6365497585193</v>
      </c>
      <c r="BJ700" s="6">
        <f t="shared" si="84"/>
        <v>163.04307480843181</v>
      </c>
      <c r="BK700" s="11">
        <f t="shared" si="85"/>
        <v>9.8399102794770404E-2</v>
      </c>
      <c r="BL700" s="5">
        <f t="shared" si="86"/>
        <v>1097.3804317596632</v>
      </c>
      <c r="BM700" s="11">
        <f t="shared" si="87"/>
        <v>0.14469190052210584</v>
      </c>
    </row>
    <row r="701" spans="1:65" ht="15" customHeight="1" x14ac:dyDescent="0.4">
      <c r="A701" s="2" t="s">
        <v>589</v>
      </c>
      <c r="B701" s="2" t="s">
        <v>66</v>
      </c>
      <c r="C701" s="2" t="s">
        <v>590</v>
      </c>
      <c r="D701" s="3" t="s">
        <v>68</v>
      </c>
      <c r="E701" s="3" t="s">
        <v>591</v>
      </c>
      <c r="F701" s="2" t="s">
        <v>481</v>
      </c>
      <c r="G701" s="4">
        <v>200</v>
      </c>
      <c r="H701" s="5">
        <v>4.4899999999999993</v>
      </c>
      <c r="I701" s="5">
        <v>4.6802751540521417</v>
      </c>
      <c r="J701" s="6">
        <v>197.84713483864269</v>
      </c>
      <c r="K701" s="5">
        <v>888.33363542550546</v>
      </c>
      <c r="L701" s="6">
        <v>0</v>
      </c>
      <c r="M701" s="5">
        <v>0</v>
      </c>
      <c r="N701" s="6">
        <v>0</v>
      </c>
      <c r="O701" s="5">
        <v>0</v>
      </c>
      <c r="P701" s="6">
        <v>0</v>
      </c>
      <c r="Q701" s="5">
        <v>0</v>
      </c>
      <c r="R701" s="6">
        <v>0</v>
      </c>
      <c r="S701" s="5">
        <v>0</v>
      </c>
      <c r="T701" s="6">
        <v>0</v>
      </c>
      <c r="U701" s="5">
        <v>0</v>
      </c>
      <c r="V701" s="6">
        <v>0</v>
      </c>
      <c r="W701" s="5">
        <v>0</v>
      </c>
      <c r="X701" s="6">
        <v>0</v>
      </c>
      <c r="Y701" s="5">
        <v>0</v>
      </c>
      <c r="Z701" s="6">
        <v>0</v>
      </c>
      <c r="AA701" s="5">
        <v>0</v>
      </c>
      <c r="AB701" s="6">
        <v>0</v>
      </c>
      <c r="AC701" s="5">
        <v>0</v>
      </c>
      <c r="AD701" s="6">
        <v>0</v>
      </c>
      <c r="AE701" s="5">
        <v>0</v>
      </c>
      <c r="AF701" s="6">
        <v>0</v>
      </c>
      <c r="AG701" s="5">
        <v>0</v>
      </c>
      <c r="AH701" s="7">
        <f t="shared" si="80"/>
        <v>197.84713483864269</v>
      </c>
      <c r="AI701" s="8">
        <f t="shared" si="81"/>
        <v>888.33363542550546</v>
      </c>
      <c r="AJ701" s="6">
        <v>200</v>
      </c>
      <c r="AK701" s="5">
        <v>936.05503081042832</v>
      </c>
      <c r="AL701" s="6">
        <v>0</v>
      </c>
      <c r="AM701" s="5">
        <v>0</v>
      </c>
      <c r="AN701" s="6">
        <v>0</v>
      </c>
      <c r="AO701" s="5">
        <v>0</v>
      </c>
      <c r="AP701" s="6">
        <v>0</v>
      </c>
      <c r="AQ701" s="5">
        <v>0</v>
      </c>
      <c r="AR701" s="6">
        <v>0</v>
      </c>
      <c r="AS701" s="5">
        <v>0</v>
      </c>
      <c r="AT701" s="6">
        <v>0</v>
      </c>
      <c r="AU701" s="5">
        <v>0</v>
      </c>
      <c r="AV701" s="6">
        <v>0</v>
      </c>
      <c r="AW701" s="5">
        <v>0</v>
      </c>
      <c r="AX701" s="6">
        <v>0</v>
      </c>
      <c r="AY701" s="5">
        <v>0</v>
      </c>
      <c r="AZ701" s="6">
        <v>0</v>
      </c>
      <c r="BA701" s="5">
        <v>0</v>
      </c>
      <c r="BB701" s="6">
        <v>0</v>
      </c>
      <c r="BC701" s="5">
        <v>0</v>
      </c>
      <c r="BD701" s="6">
        <v>0</v>
      </c>
      <c r="BE701" s="5">
        <v>0</v>
      </c>
      <c r="BF701" s="6">
        <v>0</v>
      </c>
      <c r="BG701" s="5">
        <v>0</v>
      </c>
      <c r="BH701" s="9">
        <f t="shared" si="82"/>
        <v>200</v>
      </c>
      <c r="BI701" s="10">
        <f t="shared" si="83"/>
        <v>936.05503081042832</v>
      </c>
      <c r="BJ701" s="6">
        <f t="shared" si="84"/>
        <v>2.1528651613573118</v>
      </c>
      <c r="BK701" s="11">
        <f t="shared" si="85"/>
        <v>1.0881457359052051E-2</v>
      </c>
      <c r="BL701" s="5">
        <f t="shared" si="86"/>
        <v>47.721395384922857</v>
      </c>
      <c r="BM701" s="11">
        <f t="shared" si="87"/>
        <v>5.3720126630198629E-2</v>
      </c>
    </row>
    <row r="702" spans="1:65" ht="15" customHeight="1" x14ac:dyDescent="0.4">
      <c r="A702" s="2" t="s">
        <v>589</v>
      </c>
      <c r="B702" s="2" t="s">
        <v>66</v>
      </c>
      <c r="C702" s="2" t="s">
        <v>590</v>
      </c>
      <c r="D702" s="3" t="s">
        <v>68</v>
      </c>
      <c r="E702" s="3" t="s">
        <v>241</v>
      </c>
      <c r="F702" s="2" t="s">
        <v>242</v>
      </c>
      <c r="G702" s="4">
        <v>1</v>
      </c>
      <c r="H702" s="5">
        <v>4.7699999999999996</v>
      </c>
      <c r="I702" s="5">
        <v>4.9713179355812311</v>
      </c>
      <c r="J702" s="6">
        <v>11.870828090318559</v>
      </c>
      <c r="K702" s="5">
        <v>55.911600305400412</v>
      </c>
      <c r="L702" s="6">
        <v>0</v>
      </c>
      <c r="M702" s="5">
        <v>0</v>
      </c>
      <c r="N702" s="6">
        <v>0</v>
      </c>
      <c r="O702" s="5">
        <v>0</v>
      </c>
      <c r="P702" s="6">
        <v>0</v>
      </c>
      <c r="Q702" s="5">
        <v>0</v>
      </c>
      <c r="R702" s="6">
        <v>0</v>
      </c>
      <c r="S702" s="5">
        <v>0</v>
      </c>
      <c r="T702" s="6">
        <v>0</v>
      </c>
      <c r="U702" s="5">
        <v>0</v>
      </c>
      <c r="V702" s="6">
        <v>0</v>
      </c>
      <c r="W702" s="5">
        <v>0</v>
      </c>
      <c r="X702" s="6">
        <v>23.741656180637118</v>
      </c>
      <c r="Y702" s="5">
        <v>113.9599496670582</v>
      </c>
      <c r="Z702" s="6">
        <v>0</v>
      </c>
      <c r="AA702" s="5">
        <v>0</v>
      </c>
      <c r="AB702" s="6">
        <v>0</v>
      </c>
      <c r="AC702" s="5">
        <v>0</v>
      </c>
      <c r="AD702" s="6">
        <v>0</v>
      </c>
      <c r="AE702" s="5">
        <v>0</v>
      </c>
      <c r="AF702" s="6">
        <v>0</v>
      </c>
      <c r="AG702" s="5">
        <v>0</v>
      </c>
      <c r="AH702" s="7">
        <f t="shared" si="80"/>
        <v>35.612484270955676</v>
      </c>
      <c r="AI702" s="8">
        <f t="shared" si="81"/>
        <v>169.87154997245861</v>
      </c>
      <c r="AJ702" s="6">
        <v>13</v>
      </c>
      <c r="AK702" s="5">
        <v>63.824776766728881</v>
      </c>
      <c r="AL702" s="6">
        <v>0</v>
      </c>
      <c r="AM702" s="5">
        <v>0</v>
      </c>
      <c r="AN702" s="6">
        <v>0</v>
      </c>
      <c r="AO702" s="5">
        <v>0</v>
      </c>
      <c r="AP702" s="6">
        <v>0</v>
      </c>
      <c r="AQ702" s="5">
        <v>0</v>
      </c>
      <c r="AR702" s="6">
        <v>0</v>
      </c>
      <c r="AS702" s="5">
        <v>0</v>
      </c>
      <c r="AT702" s="6">
        <v>0</v>
      </c>
      <c r="AU702" s="5">
        <v>0</v>
      </c>
      <c r="AV702" s="6">
        <v>0</v>
      </c>
      <c r="AW702" s="5">
        <v>0</v>
      </c>
      <c r="AX702" s="6">
        <v>25</v>
      </c>
      <c r="AY702" s="5">
        <v>125.08530478535791</v>
      </c>
      <c r="AZ702" s="6">
        <v>0</v>
      </c>
      <c r="BA702" s="5">
        <v>0</v>
      </c>
      <c r="BB702" s="6">
        <v>0</v>
      </c>
      <c r="BC702" s="5">
        <v>0</v>
      </c>
      <c r="BD702" s="6">
        <v>0</v>
      </c>
      <c r="BE702" s="5">
        <v>0</v>
      </c>
      <c r="BF702" s="6">
        <v>0</v>
      </c>
      <c r="BG702" s="5">
        <v>0</v>
      </c>
      <c r="BH702" s="9">
        <f t="shared" si="82"/>
        <v>38</v>
      </c>
      <c r="BI702" s="10">
        <f t="shared" si="83"/>
        <v>188.91008155208678</v>
      </c>
      <c r="BJ702" s="6">
        <f t="shared" si="84"/>
        <v>2.3875157290443241</v>
      </c>
      <c r="BK702" s="11">
        <f t="shared" si="85"/>
        <v>6.7041538323444075E-2</v>
      </c>
      <c r="BL702" s="5">
        <f t="shared" si="86"/>
        <v>19.03853157962817</v>
      </c>
      <c r="BM702" s="11">
        <f t="shared" si="87"/>
        <v>0.1120760455927723</v>
      </c>
    </row>
    <row r="703" spans="1:65" ht="15" customHeight="1" x14ac:dyDescent="0.4">
      <c r="A703" s="2" t="s">
        <v>589</v>
      </c>
      <c r="B703" s="2" t="s">
        <v>66</v>
      </c>
      <c r="C703" s="2" t="s">
        <v>590</v>
      </c>
      <c r="D703" s="3" t="s">
        <v>68</v>
      </c>
      <c r="E703" s="3" t="s">
        <v>176</v>
      </c>
      <c r="F703" s="2" t="s">
        <v>177</v>
      </c>
      <c r="G703" s="4">
        <v>5</v>
      </c>
      <c r="H703" s="5">
        <v>3.1914285714285708</v>
      </c>
      <c r="I703" s="5">
        <v>3.3251843522107638</v>
      </c>
      <c r="J703" s="6">
        <v>39.569426967728532</v>
      </c>
      <c r="K703" s="5">
        <v>125.83077775737669</v>
      </c>
      <c r="L703" s="6">
        <v>0</v>
      </c>
      <c r="M703" s="5">
        <v>0</v>
      </c>
      <c r="N703" s="6">
        <v>0</v>
      </c>
      <c r="O703" s="5">
        <v>0</v>
      </c>
      <c r="P703" s="6">
        <v>59.354140451592791</v>
      </c>
      <c r="Q703" s="5">
        <v>187.55908382703319</v>
      </c>
      <c r="R703" s="6">
        <v>0</v>
      </c>
      <c r="S703" s="5">
        <v>0</v>
      </c>
      <c r="T703" s="6">
        <v>19.78471348386427</v>
      </c>
      <c r="U703" s="5">
        <v>64.300318822558864</v>
      </c>
      <c r="V703" s="6">
        <v>0</v>
      </c>
      <c r="W703" s="5">
        <v>0</v>
      </c>
      <c r="X703" s="6">
        <v>19.78471348386427</v>
      </c>
      <c r="Y703" s="5">
        <v>64.300318822558864</v>
      </c>
      <c r="Z703" s="6">
        <v>0</v>
      </c>
      <c r="AA703" s="5">
        <v>0</v>
      </c>
      <c r="AB703" s="6">
        <v>0</v>
      </c>
      <c r="AC703" s="5">
        <v>0</v>
      </c>
      <c r="AD703" s="6">
        <v>0</v>
      </c>
      <c r="AE703" s="5">
        <v>0</v>
      </c>
      <c r="AF703" s="6">
        <v>0</v>
      </c>
      <c r="AG703" s="5">
        <v>0</v>
      </c>
      <c r="AH703" s="7">
        <f t="shared" si="80"/>
        <v>138.49299438704986</v>
      </c>
      <c r="AI703" s="8">
        <f t="shared" si="81"/>
        <v>441.9904992295277</v>
      </c>
      <c r="AJ703" s="6">
        <v>45</v>
      </c>
      <c r="AK703" s="5">
        <v>149.1642259565393</v>
      </c>
      <c r="AL703" s="6">
        <v>0</v>
      </c>
      <c r="AM703" s="5">
        <v>0</v>
      </c>
      <c r="AN703" s="6">
        <v>0</v>
      </c>
      <c r="AO703" s="5">
        <v>0</v>
      </c>
      <c r="AP703" s="6">
        <v>65</v>
      </c>
      <c r="AQ703" s="5">
        <v>214.10434669093769</v>
      </c>
      <c r="AR703" s="6">
        <v>0</v>
      </c>
      <c r="AS703" s="5">
        <v>0</v>
      </c>
      <c r="AT703" s="6">
        <v>20</v>
      </c>
      <c r="AU703" s="5">
        <v>67.754540092068879</v>
      </c>
      <c r="AV703" s="6">
        <v>0</v>
      </c>
      <c r="AW703" s="5">
        <v>0</v>
      </c>
      <c r="AX703" s="6">
        <v>20</v>
      </c>
      <c r="AY703" s="5">
        <v>67.754540092068879</v>
      </c>
      <c r="AZ703" s="6">
        <v>0</v>
      </c>
      <c r="BA703" s="5">
        <v>0</v>
      </c>
      <c r="BB703" s="6">
        <v>0</v>
      </c>
      <c r="BC703" s="5">
        <v>0</v>
      </c>
      <c r="BD703" s="6">
        <v>0</v>
      </c>
      <c r="BE703" s="5">
        <v>0</v>
      </c>
      <c r="BF703" s="6">
        <v>0</v>
      </c>
      <c r="BG703" s="5">
        <v>0</v>
      </c>
      <c r="BH703" s="9">
        <f t="shared" si="82"/>
        <v>150</v>
      </c>
      <c r="BI703" s="10">
        <f t="shared" si="83"/>
        <v>498.77765283161466</v>
      </c>
      <c r="BJ703" s="6">
        <f t="shared" si="84"/>
        <v>11.507005612950138</v>
      </c>
      <c r="BK703" s="11">
        <f t="shared" si="85"/>
        <v>8.3087275741841632E-2</v>
      </c>
      <c r="BL703" s="5">
        <f t="shared" si="86"/>
        <v>56.78715360208696</v>
      </c>
      <c r="BM703" s="11">
        <f t="shared" si="87"/>
        <v>0.12848048476398841</v>
      </c>
    </row>
    <row r="704" spans="1:65" ht="15" customHeight="1" x14ac:dyDescent="0.4">
      <c r="A704" s="2" t="s">
        <v>589</v>
      </c>
      <c r="B704" s="2" t="s">
        <v>66</v>
      </c>
      <c r="C704" s="2" t="s">
        <v>590</v>
      </c>
      <c r="D704" s="3" t="s">
        <v>68</v>
      </c>
      <c r="E704" s="3" t="s">
        <v>223</v>
      </c>
      <c r="F704" s="2" t="s">
        <v>224</v>
      </c>
      <c r="G704" s="4">
        <v>20</v>
      </c>
      <c r="H704" s="5">
        <v>2.8905263157894741</v>
      </c>
      <c r="I704" s="5">
        <v>3.0130197100051999</v>
      </c>
      <c r="J704" s="6">
        <v>79.138853935457064</v>
      </c>
      <c r="K704" s="5">
        <v>231.08545349153459</v>
      </c>
      <c r="L704" s="6">
        <v>0</v>
      </c>
      <c r="M704" s="5">
        <v>0</v>
      </c>
      <c r="N704" s="6">
        <v>79.138853935457064</v>
      </c>
      <c r="O704" s="5">
        <v>224.754345176698</v>
      </c>
      <c r="P704" s="6">
        <v>59.354140451592791</v>
      </c>
      <c r="Q704" s="5">
        <v>168.56575888252351</v>
      </c>
      <c r="R704" s="6">
        <v>79.138853935457064</v>
      </c>
      <c r="S704" s="5">
        <v>231.08545349153459</v>
      </c>
      <c r="T704" s="6">
        <v>79.138853935457064</v>
      </c>
      <c r="U704" s="5">
        <v>231.08545349153459</v>
      </c>
      <c r="V704" s="6">
        <v>0</v>
      </c>
      <c r="W704" s="5">
        <v>0</v>
      </c>
      <c r="X704" s="6">
        <v>0</v>
      </c>
      <c r="Y704" s="5">
        <v>0</v>
      </c>
      <c r="Z704" s="6">
        <v>0</v>
      </c>
      <c r="AA704" s="5">
        <v>0</v>
      </c>
      <c r="AB704" s="6">
        <v>0</v>
      </c>
      <c r="AC704" s="5">
        <v>0</v>
      </c>
      <c r="AD704" s="6">
        <v>0</v>
      </c>
      <c r="AE704" s="5">
        <v>0</v>
      </c>
      <c r="AF704" s="6">
        <v>0</v>
      </c>
      <c r="AG704" s="5">
        <v>0</v>
      </c>
      <c r="AH704" s="7">
        <f t="shared" si="80"/>
        <v>375.90955619342105</v>
      </c>
      <c r="AI704" s="8">
        <f t="shared" si="81"/>
        <v>1086.5764645338252</v>
      </c>
      <c r="AJ704" s="6">
        <v>80</v>
      </c>
      <c r="AK704" s="5">
        <v>243.49939331549669</v>
      </c>
      <c r="AL704" s="6">
        <v>0</v>
      </c>
      <c r="AM704" s="5">
        <v>0</v>
      </c>
      <c r="AN704" s="6">
        <v>80</v>
      </c>
      <c r="AO704" s="5">
        <v>236.8281770602776</v>
      </c>
      <c r="AP704" s="6">
        <v>60</v>
      </c>
      <c r="AQ704" s="5">
        <v>177.6211327952083</v>
      </c>
      <c r="AR704" s="6">
        <v>80</v>
      </c>
      <c r="AS704" s="5">
        <v>243.49939331549669</v>
      </c>
      <c r="AT704" s="6">
        <v>80</v>
      </c>
      <c r="AU704" s="5">
        <v>243.49939331549669</v>
      </c>
      <c r="AV704" s="6">
        <v>0</v>
      </c>
      <c r="AW704" s="5">
        <v>0</v>
      </c>
      <c r="AX704" s="6">
        <v>0</v>
      </c>
      <c r="AY704" s="5">
        <v>0</v>
      </c>
      <c r="AZ704" s="6">
        <v>0</v>
      </c>
      <c r="BA704" s="5">
        <v>0</v>
      </c>
      <c r="BB704" s="6">
        <v>0</v>
      </c>
      <c r="BC704" s="5">
        <v>0</v>
      </c>
      <c r="BD704" s="6">
        <v>0</v>
      </c>
      <c r="BE704" s="5">
        <v>0</v>
      </c>
      <c r="BF704" s="6">
        <v>0</v>
      </c>
      <c r="BG704" s="5">
        <v>0</v>
      </c>
      <c r="BH704" s="9">
        <f t="shared" si="82"/>
        <v>380</v>
      </c>
      <c r="BI704" s="10">
        <f t="shared" si="83"/>
        <v>1144.947489801976</v>
      </c>
      <c r="BJ704" s="6">
        <f t="shared" si="84"/>
        <v>4.0904438065789464</v>
      </c>
      <c r="BK704" s="11">
        <f t="shared" si="85"/>
        <v>1.0881457359052195E-2</v>
      </c>
      <c r="BL704" s="5">
        <f t="shared" si="86"/>
        <v>58.371025268150788</v>
      </c>
      <c r="BM704" s="11">
        <f t="shared" si="87"/>
        <v>5.3720126630198789E-2</v>
      </c>
    </row>
    <row r="705" spans="1:65" ht="15" customHeight="1" x14ac:dyDescent="0.4">
      <c r="A705" s="2" t="s">
        <v>589</v>
      </c>
      <c r="B705" s="2" t="s">
        <v>66</v>
      </c>
      <c r="C705" s="2" t="s">
        <v>590</v>
      </c>
      <c r="D705" s="3" t="s">
        <v>68</v>
      </c>
      <c r="E705" s="3" t="s">
        <v>178</v>
      </c>
      <c r="F705" s="2" t="s">
        <v>179</v>
      </c>
      <c r="G705" s="4">
        <v>5</v>
      </c>
      <c r="H705" s="5">
        <v>2.548</v>
      </c>
      <c r="I705" s="5">
        <v>2.6559779716090999</v>
      </c>
      <c r="J705" s="6">
        <v>0</v>
      </c>
      <c r="K705" s="5">
        <v>0</v>
      </c>
      <c r="L705" s="6">
        <v>0</v>
      </c>
      <c r="M705" s="5">
        <v>0</v>
      </c>
      <c r="N705" s="6">
        <v>59.354140451592791</v>
      </c>
      <c r="O705" s="5">
        <v>149.5724339380138</v>
      </c>
      <c r="P705" s="6">
        <v>59.354140451592791</v>
      </c>
      <c r="Q705" s="5">
        <v>149.5724339380138</v>
      </c>
      <c r="R705" s="6">
        <v>0</v>
      </c>
      <c r="S705" s="5">
        <v>0</v>
      </c>
      <c r="T705" s="6">
        <v>39.569426967728532</v>
      </c>
      <c r="U705" s="5">
        <v>102.48481584641689</v>
      </c>
      <c r="V705" s="6">
        <v>0</v>
      </c>
      <c r="W705" s="5">
        <v>0</v>
      </c>
      <c r="X705" s="6">
        <v>39.569426967728532</v>
      </c>
      <c r="Y705" s="5">
        <v>102.48481584641689</v>
      </c>
      <c r="Z705" s="6">
        <v>0</v>
      </c>
      <c r="AA705" s="5">
        <v>0</v>
      </c>
      <c r="AB705" s="6">
        <v>0</v>
      </c>
      <c r="AC705" s="5">
        <v>0</v>
      </c>
      <c r="AD705" s="6">
        <v>0</v>
      </c>
      <c r="AE705" s="5">
        <v>0</v>
      </c>
      <c r="AF705" s="6">
        <v>0</v>
      </c>
      <c r="AG705" s="5">
        <v>0</v>
      </c>
      <c r="AH705" s="7">
        <f t="shared" si="80"/>
        <v>197.84713483864266</v>
      </c>
      <c r="AI705" s="8">
        <f t="shared" si="81"/>
        <v>504.11449956886139</v>
      </c>
      <c r="AJ705" s="6">
        <v>0</v>
      </c>
      <c r="AK705" s="5">
        <v>0</v>
      </c>
      <c r="AL705" s="6">
        <v>0</v>
      </c>
      <c r="AM705" s="5">
        <v>0</v>
      </c>
      <c r="AN705" s="6">
        <v>75</v>
      </c>
      <c r="AO705" s="5">
        <v>197.0093550369387</v>
      </c>
      <c r="AP705" s="6">
        <v>75</v>
      </c>
      <c r="AQ705" s="5">
        <v>197.0093550369387</v>
      </c>
      <c r="AR705" s="6">
        <v>0</v>
      </c>
      <c r="AS705" s="5">
        <v>0</v>
      </c>
      <c r="AT705" s="6">
        <v>50</v>
      </c>
      <c r="AU705" s="5">
        <v>134.98789141419871</v>
      </c>
      <c r="AV705" s="6">
        <v>0</v>
      </c>
      <c r="AW705" s="5">
        <v>0</v>
      </c>
      <c r="AX705" s="6">
        <v>50</v>
      </c>
      <c r="AY705" s="5">
        <v>134.98789141419871</v>
      </c>
      <c r="AZ705" s="6">
        <v>0</v>
      </c>
      <c r="BA705" s="5">
        <v>0</v>
      </c>
      <c r="BB705" s="6">
        <v>0</v>
      </c>
      <c r="BC705" s="5">
        <v>0</v>
      </c>
      <c r="BD705" s="6">
        <v>0</v>
      </c>
      <c r="BE705" s="5">
        <v>0</v>
      </c>
      <c r="BF705" s="6">
        <v>0</v>
      </c>
      <c r="BG705" s="5">
        <v>0</v>
      </c>
      <c r="BH705" s="9">
        <f t="shared" si="82"/>
        <v>250</v>
      </c>
      <c r="BI705" s="10">
        <f t="shared" si="83"/>
        <v>663.99449290227471</v>
      </c>
      <c r="BJ705" s="6">
        <f t="shared" si="84"/>
        <v>52.15286516135734</v>
      </c>
      <c r="BK705" s="11">
        <f t="shared" si="85"/>
        <v>0.26360182169881524</v>
      </c>
      <c r="BL705" s="5">
        <f t="shared" si="86"/>
        <v>159.87999333341332</v>
      </c>
      <c r="BM705" s="11">
        <f t="shared" si="87"/>
        <v>0.31715015828774812</v>
      </c>
    </row>
    <row r="706" spans="1:65" ht="15" customHeight="1" x14ac:dyDescent="0.4">
      <c r="A706" s="2" t="s">
        <v>589</v>
      </c>
      <c r="B706" s="2" t="s">
        <v>66</v>
      </c>
      <c r="C706" s="2" t="s">
        <v>590</v>
      </c>
      <c r="D706" s="3" t="s">
        <v>68</v>
      </c>
      <c r="E706" s="3" t="s">
        <v>71</v>
      </c>
      <c r="F706" s="2" t="s">
        <v>72</v>
      </c>
      <c r="G706" s="4">
        <v>20</v>
      </c>
      <c r="H706" s="5">
        <v>2.2799999999999998</v>
      </c>
      <c r="I706" s="5">
        <v>2.3766207909218</v>
      </c>
      <c r="J706" s="6">
        <v>0</v>
      </c>
      <c r="K706" s="5">
        <v>0</v>
      </c>
      <c r="L706" s="6">
        <v>0</v>
      </c>
      <c r="M706" s="5">
        <v>0</v>
      </c>
      <c r="N706" s="6">
        <v>0</v>
      </c>
      <c r="O706" s="5">
        <v>0</v>
      </c>
      <c r="P706" s="6">
        <v>732.03439890297784</v>
      </c>
      <c r="Q706" s="5">
        <v>1669.0384294987889</v>
      </c>
      <c r="R706" s="6">
        <v>0</v>
      </c>
      <c r="S706" s="5">
        <v>0</v>
      </c>
      <c r="T706" s="6">
        <v>0</v>
      </c>
      <c r="U706" s="5">
        <v>0</v>
      </c>
      <c r="V706" s="6">
        <v>0</v>
      </c>
      <c r="W706" s="5">
        <v>0</v>
      </c>
      <c r="X706" s="6">
        <v>0</v>
      </c>
      <c r="Y706" s="5">
        <v>0</v>
      </c>
      <c r="Z706" s="6">
        <v>0</v>
      </c>
      <c r="AA706" s="5">
        <v>0</v>
      </c>
      <c r="AB706" s="6">
        <v>606.7175291509692</v>
      </c>
      <c r="AC706" s="5">
        <v>1383.3159664642101</v>
      </c>
      <c r="AD706" s="6">
        <v>606.7175291509692</v>
      </c>
      <c r="AE706" s="5">
        <v>1383.3159664642101</v>
      </c>
      <c r="AF706" s="6">
        <v>0</v>
      </c>
      <c r="AG706" s="5">
        <v>0</v>
      </c>
      <c r="AH706" s="7">
        <f t="shared" ref="AH706:AH769" si="88">J706+L706+N706+P706+R706+T706+V706+X706+Z706+AB706+AD706+AF706</f>
        <v>1945.4694572049161</v>
      </c>
      <c r="AI706" s="8">
        <f t="shared" ref="AI706:AI769" si="89">K706+M706+O706+Q706+S706+U706+W706+Y706+AA706+AC706+AE706+AG706</f>
        <v>4435.6703624272086</v>
      </c>
      <c r="AJ706" s="6">
        <v>0</v>
      </c>
      <c r="AK706" s="5">
        <v>0</v>
      </c>
      <c r="AL706" s="6">
        <v>0</v>
      </c>
      <c r="AM706" s="5">
        <v>0</v>
      </c>
      <c r="AN706" s="6">
        <v>0</v>
      </c>
      <c r="AO706" s="5">
        <v>0</v>
      </c>
      <c r="AP706" s="6">
        <v>920</v>
      </c>
      <c r="AQ706" s="5">
        <v>2186.4911276480561</v>
      </c>
      <c r="AR706" s="6">
        <v>0</v>
      </c>
      <c r="AS706" s="5">
        <v>0</v>
      </c>
      <c r="AT706" s="6">
        <v>0</v>
      </c>
      <c r="AU706" s="5">
        <v>0</v>
      </c>
      <c r="AV706" s="6">
        <v>0</v>
      </c>
      <c r="AW706" s="5">
        <v>0</v>
      </c>
      <c r="AX706" s="6">
        <v>0</v>
      </c>
      <c r="AY706" s="5">
        <v>0</v>
      </c>
      <c r="AZ706" s="6">
        <v>0</v>
      </c>
      <c r="BA706" s="5">
        <v>0</v>
      </c>
      <c r="BB706" s="6">
        <v>760</v>
      </c>
      <c r="BC706" s="5">
        <v>1806.231801100568</v>
      </c>
      <c r="BD706" s="6">
        <v>760</v>
      </c>
      <c r="BE706" s="5">
        <v>1806.231801100568</v>
      </c>
      <c r="BF706" s="6">
        <v>0</v>
      </c>
      <c r="BG706" s="5">
        <v>0</v>
      </c>
      <c r="BH706" s="9">
        <f t="shared" ref="BH706:BH769" si="90">AJ706+AL706+AN706+AP706+AR706+AT706+AV706+AX706+AZ706+BB706+BD706+BF706</f>
        <v>2440</v>
      </c>
      <c r="BI706" s="10">
        <f t="shared" ref="BI706:BI769" si="91">AK706+AM706+AO706+AQ706+AS706+AU706+AW706+AY706+BA706+BC706+BE706+BG706</f>
        <v>5798.9547298491925</v>
      </c>
      <c r="BJ706" s="6">
        <f t="shared" ref="BJ706:BJ769" si="92">BH706-AH706</f>
        <v>494.53054279508387</v>
      </c>
      <c r="BK706" s="11">
        <f t="shared" ref="BK706:BK769" si="93">IF(AH706&gt;0, BJ706/AH706, 0)</f>
        <v>0.254195994166664</v>
      </c>
      <c r="BL706" s="5">
        <f t="shared" ref="BL706:BL769" si="94">BI706-AI706</f>
        <v>1363.2843674219839</v>
      </c>
      <c r="BM706" s="11">
        <f t="shared" ref="BM706:BM769" si="95">IF(AI706&gt;0, BL706/AI706, 0)</f>
        <v>0.30734573492426787</v>
      </c>
    </row>
    <row r="707" spans="1:65" ht="15" customHeight="1" x14ac:dyDescent="0.4">
      <c r="A707" s="2" t="s">
        <v>589</v>
      </c>
      <c r="B707" s="2" t="s">
        <v>66</v>
      </c>
      <c r="C707" s="2" t="s">
        <v>590</v>
      </c>
      <c r="D707" s="3" t="s">
        <v>68</v>
      </c>
      <c r="E707" s="3" t="s">
        <v>592</v>
      </c>
      <c r="F707" s="2" t="s">
        <v>593</v>
      </c>
      <c r="G707" s="4">
        <v>1</v>
      </c>
      <c r="H707" s="5">
        <v>4.3999999999999986</v>
      </c>
      <c r="I707" s="5">
        <v>4.586461175463123</v>
      </c>
      <c r="J707" s="6">
        <v>0</v>
      </c>
      <c r="K707" s="5">
        <v>0</v>
      </c>
      <c r="L707" s="6">
        <v>0</v>
      </c>
      <c r="M707" s="5">
        <v>0</v>
      </c>
      <c r="N707" s="6">
        <v>0</v>
      </c>
      <c r="O707" s="5">
        <v>0</v>
      </c>
      <c r="P707" s="6">
        <v>0</v>
      </c>
      <c r="Q707" s="5">
        <v>0</v>
      </c>
      <c r="R707" s="6">
        <v>0</v>
      </c>
      <c r="S707" s="5">
        <v>0</v>
      </c>
      <c r="T707" s="6">
        <v>0</v>
      </c>
      <c r="U707" s="5">
        <v>0</v>
      </c>
      <c r="V707" s="6">
        <v>0</v>
      </c>
      <c r="W707" s="5">
        <v>0</v>
      </c>
      <c r="X707" s="6">
        <v>23.741656180637118</v>
      </c>
      <c r="Y707" s="5">
        <v>104.4632871948033</v>
      </c>
      <c r="Z707" s="6">
        <v>0</v>
      </c>
      <c r="AA707" s="5">
        <v>0</v>
      </c>
      <c r="AB707" s="6">
        <v>0</v>
      </c>
      <c r="AC707" s="5">
        <v>0</v>
      </c>
      <c r="AD707" s="6">
        <v>0</v>
      </c>
      <c r="AE707" s="5">
        <v>0</v>
      </c>
      <c r="AF707" s="6">
        <v>0</v>
      </c>
      <c r="AG707" s="5">
        <v>0</v>
      </c>
      <c r="AH707" s="7">
        <f t="shared" si="88"/>
        <v>23.741656180637118</v>
      </c>
      <c r="AI707" s="8">
        <f t="shared" si="89"/>
        <v>104.4632871948033</v>
      </c>
      <c r="AJ707" s="6">
        <v>0</v>
      </c>
      <c r="AK707" s="5">
        <v>0</v>
      </c>
      <c r="AL707" s="6">
        <v>0</v>
      </c>
      <c r="AM707" s="5">
        <v>0</v>
      </c>
      <c r="AN707" s="6">
        <v>0</v>
      </c>
      <c r="AO707" s="5">
        <v>0</v>
      </c>
      <c r="AP707" s="6">
        <v>0</v>
      </c>
      <c r="AQ707" s="5">
        <v>0</v>
      </c>
      <c r="AR707" s="6">
        <v>0</v>
      </c>
      <c r="AS707" s="5">
        <v>0</v>
      </c>
      <c r="AT707" s="6">
        <v>0</v>
      </c>
      <c r="AU707" s="5">
        <v>0</v>
      </c>
      <c r="AV707" s="6">
        <v>0</v>
      </c>
      <c r="AW707" s="5">
        <v>0</v>
      </c>
      <c r="AX707" s="6">
        <v>26</v>
      </c>
      <c r="AY707" s="5">
        <v>119.2479905620412</v>
      </c>
      <c r="AZ707" s="6">
        <v>0</v>
      </c>
      <c r="BA707" s="5">
        <v>0</v>
      </c>
      <c r="BB707" s="6">
        <v>0</v>
      </c>
      <c r="BC707" s="5">
        <v>0</v>
      </c>
      <c r="BD707" s="6">
        <v>0</v>
      </c>
      <c r="BE707" s="5">
        <v>0</v>
      </c>
      <c r="BF707" s="6">
        <v>0</v>
      </c>
      <c r="BG707" s="5">
        <v>0</v>
      </c>
      <c r="BH707" s="9">
        <f t="shared" si="90"/>
        <v>26</v>
      </c>
      <c r="BI707" s="10">
        <f t="shared" si="91"/>
        <v>119.2479905620412</v>
      </c>
      <c r="BJ707" s="6">
        <f t="shared" si="92"/>
        <v>2.2583438193628815</v>
      </c>
      <c r="BK707" s="11">
        <f t="shared" si="93"/>
        <v>9.5121578805639914E-2</v>
      </c>
      <c r="BL707" s="5">
        <f t="shared" si="94"/>
        <v>14.784703367237896</v>
      </c>
      <c r="BM707" s="11">
        <f t="shared" si="95"/>
        <v>0.14153013718271529</v>
      </c>
    </row>
    <row r="708" spans="1:65" ht="15" customHeight="1" x14ac:dyDescent="0.4">
      <c r="A708" s="2" t="s">
        <v>589</v>
      </c>
      <c r="B708" s="2" t="s">
        <v>66</v>
      </c>
      <c r="C708" s="2" t="s">
        <v>590</v>
      </c>
      <c r="D708" s="3" t="s">
        <v>68</v>
      </c>
      <c r="E708" s="3" t="s">
        <v>138</v>
      </c>
      <c r="F708" s="2" t="s">
        <v>139</v>
      </c>
      <c r="G708" s="4">
        <v>5</v>
      </c>
      <c r="H708" s="5">
        <v>3.12</v>
      </c>
      <c r="I708" s="5">
        <v>3.2554252399266228</v>
      </c>
      <c r="J708" s="6">
        <v>0</v>
      </c>
      <c r="K708" s="5">
        <v>0</v>
      </c>
      <c r="L708" s="6">
        <v>0</v>
      </c>
      <c r="M708" s="5">
        <v>0</v>
      </c>
      <c r="N708" s="6">
        <v>19.78471348386427</v>
      </c>
      <c r="O708" s="5">
        <v>60.145528990947362</v>
      </c>
      <c r="P708" s="6">
        <v>0</v>
      </c>
      <c r="Q708" s="5">
        <v>0</v>
      </c>
      <c r="R708" s="6">
        <v>0</v>
      </c>
      <c r="S708" s="5">
        <v>0</v>
      </c>
      <c r="T708" s="6">
        <v>0</v>
      </c>
      <c r="U708" s="5">
        <v>0</v>
      </c>
      <c r="V708" s="6">
        <v>0</v>
      </c>
      <c r="W708" s="5">
        <v>0</v>
      </c>
      <c r="X708" s="6">
        <v>39.569426967728532</v>
      </c>
      <c r="Y708" s="5">
        <v>125.03938921802219</v>
      </c>
      <c r="Z708" s="6">
        <v>0</v>
      </c>
      <c r="AA708" s="5">
        <v>0</v>
      </c>
      <c r="AB708" s="6">
        <v>0</v>
      </c>
      <c r="AC708" s="5">
        <v>0</v>
      </c>
      <c r="AD708" s="6">
        <v>0</v>
      </c>
      <c r="AE708" s="5">
        <v>0</v>
      </c>
      <c r="AF708" s="6">
        <v>0</v>
      </c>
      <c r="AG708" s="5">
        <v>0</v>
      </c>
      <c r="AH708" s="7">
        <f t="shared" si="88"/>
        <v>59.354140451592798</v>
      </c>
      <c r="AI708" s="8">
        <f t="shared" si="89"/>
        <v>185.18491820896955</v>
      </c>
      <c r="AJ708" s="6">
        <v>0</v>
      </c>
      <c r="AK708" s="5">
        <v>0</v>
      </c>
      <c r="AL708" s="6">
        <v>0</v>
      </c>
      <c r="AM708" s="5">
        <v>0</v>
      </c>
      <c r="AN708" s="6">
        <v>20</v>
      </c>
      <c r="AO708" s="5">
        <v>63.376554424581343</v>
      </c>
      <c r="AP708" s="6">
        <v>0</v>
      </c>
      <c r="AQ708" s="5">
        <v>0</v>
      </c>
      <c r="AR708" s="6">
        <v>0</v>
      </c>
      <c r="AS708" s="5">
        <v>0</v>
      </c>
      <c r="AT708" s="6">
        <v>0</v>
      </c>
      <c r="AU708" s="5">
        <v>0</v>
      </c>
      <c r="AV708" s="6">
        <v>0</v>
      </c>
      <c r="AW708" s="5">
        <v>0</v>
      </c>
      <c r="AX708" s="6">
        <v>45</v>
      </c>
      <c r="AY708" s="5">
        <v>148.2260861706491</v>
      </c>
      <c r="AZ708" s="6">
        <v>0</v>
      </c>
      <c r="BA708" s="5">
        <v>0</v>
      </c>
      <c r="BB708" s="6">
        <v>0</v>
      </c>
      <c r="BC708" s="5">
        <v>0</v>
      </c>
      <c r="BD708" s="6">
        <v>0</v>
      </c>
      <c r="BE708" s="5">
        <v>0</v>
      </c>
      <c r="BF708" s="6">
        <v>0</v>
      </c>
      <c r="BG708" s="5">
        <v>0</v>
      </c>
      <c r="BH708" s="9">
        <f t="shared" si="90"/>
        <v>65</v>
      </c>
      <c r="BI708" s="10">
        <f t="shared" si="91"/>
        <v>211.60264059523044</v>
      </c>
      <c r="BJ708" s="6">
        <f t="shared" si="92"/>
        <v>5.6458595484072021</v>
      </c>
      <c r="BK708" s="11">
        <f t="shared" si="93"/>
        <v>9.5121578805639873E-2</v>
      </c>
      <c r="BL708" s="5">
        <f t="shared" si="94"/>
        <v>26.417722386260891</v>
      </c>
      <c r="BM708" s="11">
        <f t="shared" si="95"/>
        <v>0.14265590654877278</v>
      </c>
    </row>
    <row r="709" spans="1:65" ht="15" customHeight="1" x14ac:dyDescent="0.4">
      <c r="A709" s="2" t="s">
        <v>589</v>
      </c>
      <c r="B709" s="2" t="s">
        <v>66</v>
      </c>
      <c r="C709" s="2" t="s">
        <v>590</v>
      </c>
      <c r="D709" s="3" t="s">
        <v>68</v>
      </c>
      <c r="E709" s="3" t="s">
        <v>594</v>
      </c>
      <c r="F709" s="2" t="s">
        <v>494</v>
      </c>
      <c r="G709" s="4">
        <v>1</v>
      </c>
      <c r="H709" s="5">
        <v>4.9800000000000004</v>
      </c>
      <c r="I709" s="5">
        <v>5.1888456695610312</v>
      </c>
      <c r="J709" s="6">
        <v>11.870828090318559</v>
      </c>
      <c r="K709" s="5">
        <v>57.217391395335447</v>
      </c>
      <c r="L709" s="6">
        <v>0</v>
      </c>
      <c r="M709" s="5">
        <v>0</v>
      </c>
      <c r="N709" s="6">
        <v>0</v>
      </c>
      <c r="O709" s="5">
        <v>0</v>
      </c>
      <c r="P709" s="6">
        <v>0</v>
      </c>
      <c r="Q709" s="5">
        <v>0</v>
      </c>
      <c r="R709" s="6">
        <v>0</v>
      </c>
      <c r="S709" s="5">
        <v>0</v>
      </c>
      <c r="T709" s="6">
        <v>23.741656180637118</v>
      </c>
      <c r="U709" s="5">
        <v>120.1327802740238</v>
      </c>
      <c r="V709" s="6">
        <v>0</v>
      </c>
      <c r="W709" s="5">
        <v>0</v>
      </c>
      <c r="X709" s="6">
        <v>0</v>
      </c>
      <c r="Y709" s="5">
        <v>0</v>
      </c>
      <c r="Z709" s="6">
        <v>0</v>
      </c>
      <c r="AA709" s="5">
        <v>0</v>
      </c>
      <c r="AB709" s="6">
        <v>0</v>
      </c>
      <c r="AC709" s="5">
        <v>0</v>
      </c>
      <c r="AD709" s="6">
        <v>0</v>
      </c>
      <c r="AE709" s="5">
        <v>0</v>
      </c>
      <c r="AF709" s="6">
        <v>0</v>
      </c>
      <c r="AG709" s="5">
        <v>0</v>
      </c>
      <c r="AH709" s="7">
        <f t="shared" si="88"/>
        <v>35.612484270955676</v>
      </c>
      <c r="AI709" s="8">
        <f t="shared" si="89"/>
        <v>177.35017166935924</v>
      </c>
      <c r="AJ709" s="6">
        <v>13</v>
      </c>
      <c r="AK709" s="5">
        <v>65.315376648754409</v>
      </c>
      <c r="AL709" s="6">
        <v>0</v>
      </c>
      <c r="AM709" s="5">
        <v>0</v>
      </c>
      <c r="AN709" s="6">
        <v>0</v>
      </c>
      <c r="AO709" s="5">
        <v>0</v>
      </c>
      <c r="AP709" s="6">
        <v>0</v>
      </c>
      <c r="AQ709" s="5">
        <v>0</v>
      </c>
      <c r="AR709" s="6">
        <v>0</v>
      </c>
      <c r="AS709" s="5">
        <v>0</v>
      </c>
      <c r="AT709" s="6">
        <v>25</v>
      </c>
      <c r="AU709" s="5">
        <v>131.86075879456479</v>
      </c>
      <c r="AV709" s="6">
        <v>0</v>
      </c>
      <c r="AW709" s="5">
        <v>0</v>
      </c>
      <c r="AX709" s="6">
        <v>0</v>
      </c>
      <c r="AY709" s="5">
        <v>0</v>
      </c>
      <c r="AZ709" s="6">
        <v>0</v>
      </c>
      <c r="BA709" s="5">
        <v>0</v>
      </c>
      <c r="BB709" s="6">
        <v>0</v>
      </c>
      <c r="BC709" s="5">
        <v>0</v>
      </c>
      <c r="BD709" s="6">
        <v>0</v>
      </c>
      <c r="BE709" s="5">
        <v>0</v>
      </c>
      <c r="BF709" s="6">
        <v>0</v>
      </c>
      <c r="BG709" s="5">
        <v>0</v>
      </c>
      <c r="BH709" s="9">
        <f t="shared" si="90"/>
        <v>38</v>
      </c>
      <c r="BI709" s="10">
        <f t="shared" si="91"/>
        <v>197.1761354433192</v>
      </c>
      <c r="BJ709" s="6">
        <f t="shared" si="92"/>
        <v>2.3875157290443241</v>
      </c>
      <c r="BK709" s="11">
        <f t="shared" si="93"/>
        <v>6.7041538323444075E-2</v>
      </c>
      <c r="BL709" s="5">
        <f t="shared" si="94"/>
        <v>19.825963773959955</v>
      </c>
      <c r="BM709" s="11">
        <f t="shared" si="95"/>
        <v>0.11178993280549096</v>
      </c>
    </row>
    <row r="710" spans="1:65" ht="15" customHeight="1" x14ac:dyDescent="0.4">
      <c r="A710" s="2" t="s">
        <v>589</v>
      </c>
      <c r="B710" s="2" t="s">
        <v>66</v>
      </c>
      <c r="C710" s="2" t="s">
        <v>590</v>
      </c>
      <c r="D710" s="3" t="s">
        <v>68</v>
      </c>
      <c r="E710" s="3" t="s">
        <v>120</v>
      </c>
      <c r="F710" s="2" t="s">
        <v>121</v>
      </c>
      <c r="G710" s="4">
        <v>5</v>
      </c>
      <c r="H710" s="5">
        <v>3.765760462338998</v>
      </c>
      <c r="I710" s="5">
        <v>3.9250777211199268</v>
      </c>
      <c r="J710" s="6">
        <v>395.69426967728532</v>
      </c>
      <c r="K710" s="5">
        <v>1471.982683199501</v>
      </c>
      <c r="L710" s="6">
        <v>0</v>
      </c>
      <c r="M710" s="5">
        <v>0</v>
      </c>
      <c r="N710" s="6">
        <v>0</v>
      </c>
      <c r="O710" s="5">
        <v>0</v>
      </c>
      <c r="P710" s="6">
        <v>0</v>
      </c>
      <c r="Q710" s="5">
        <v>0</v>
      </c>
      <c r="R710" s="6">
        <v>0</v>
      </c>
      <c r="S710" s="5">
        <v>0</v>
      </c>
      <c r="T710" s="6">
        <v>197.84713483864269</v>
      </c>
      <c r="U710" s="5">
        <v>722.14204216104565</v>
      </c>
      <c r="V710" s="6">
        <v>593.54140451592798</v>
      </c>
      <c r="W710" s="5">
        <v>2332.6177197475972</v>
      </c>
      <c r="X710" s="6">
        <v>0</v>
      </c>
      <c r="Y710" s="5">
        <v>0</v>
      </c>
      <c r="Z710" s="6">
        <v>0</v>
      </c>
      <c r="AA710" s="5">
        <v>0</v>
      </c>
      <c r="AB710" s="6">
        <v>94.799613929838927</v>
      </c>
      <c r="AC710" s="5">
        <v>342.87440364857252</v>
      </c>
      <c r="AD710" s="6">
        <v>284.39884178951678</v>
      </c>
      <c r="AE710" s="5">
        <v>1028.6232109457169</v>
      </c>
      <c r="AF710" s="6">
        <v>0</v>
      </c>
      <c r="AG710" s="5">
        <v>0</v>
      </c>
      <c r="AH710" s="7">
        <f t="shared" si="88"/>
        <v>1566.2812647512117</v>
      </c>
      <c r="AI710" s="8">
        <f t="shared" si="89"/>
        <v>5898.2400597024334</v>
      </c>
      <c r="AJ710" s="6">
        <v>430</v>
      </c>
      <c r="AK710" s="5">
        <v>1667.387112788821</v>
      </c>
      <c r="AL710" s="6">
        <v>0</v>
      </c>
      <c r="AM710" s="5">
        <v>0</v>
      </c>
      <c r="AN710" s="6">
        <v>0</v>
      </c>
      <c r="AO710" s="5">
        <v>0</v>
      </c>
      <c r="AP710" s="6">
        <v>0</v>
      </c>
      <c r="AQ710" s="5">
        <v>0</v>
      </c>
      <c r="AR710" s="6">
        <v>0</v>
      </c>
      <c r="AS710" s="5">
        <v>0</v>
      </c>
      <c r="AT710" s="6">
        <v>215</v>
      </c>
      <c r="AU710" s="5">
        <v>818.0057744192469</v>
      </c>
      <c r="AV710" s="6">
        <v>645</v>
      </c>
      <c r="AW710" s="5">
        <v>2642.2707069597041</v>
      </c>
      <c r="AX710" s="6">
        <v>0</v>
      </c>
      <c r="AY710" s="5">
        <v>0</v>
      </c>
      <c r="AZ710" s="6">
        <v>0</v>
      </c>
      <c r="BA710" s="5">
        <v>0</v>
      </c>
      <c r="BB710" s="6">
        <v>105</v>
      </c>
      <c r="BC710" s="5">
        <v>395.86111237561181</v>
      </c>
      <c r="BD710" s="6">
        <v>310</v>
      </c>
      <c r="BE710" s="5">
        <v>1168.732807966092</v>
      </c>
      <c r="BF710" s="6">
        <v>0</v>
      </c>
      <c r="BG710" s="5">
        <v>0</v>
      </c>
      <c r="BH710" s="9">
        <f t="shared" si="90"/>
        <v>1705</v>
      </c>
      <c r="BI710" s="10">
        <f t="shared" si="91"/>
        <v>6692.2575145094761</v>
      </c>
      <c r="BJ710" s="6">
        <f t="shared" si="92"/>
        <v>138.71873524878833</v>
      </c>
      <c r="BK710" s="11">
        <f t="shared" si="93"/>
        <v>8.8565660823902173E-2</v>
      </c>
      <c r="BL710" s="5">
        <f t="shared" si="94"/>
        <v>794.01745480704267</v>
      </c>
      <c r="BM710" s="11">
        <f t="shared" si="95"/>
        <v>0.13461938591341446</v>
      </c>
    </row>
    <row r="711" spans="1:65" ht="15" customHeight="1" x14ac:dyDescent="0.4">
      <c r="A711" s="2" t="s">
        <v>589</v>
      </c>
      <c r="B711" s="2" t="s">
        <v>66</v>
      </c>
      <c r="C711" s="2" t="s">
        <v>590</v>
      </c>
      <c r="D711" s="3" t="s">
        <v>68</v>
      </c>
      <c r="E711" s="3" t="s">
        <v>595</v>
      </c>
      <c r="F711" s="2" t="s">
        <v>596</v>
      </c>
      <c r="G711" s="4">
        <v>5</v>
      </c>
      <c r="H711" s="5">
        <v>13.25</v>
      </c>
      <c r="I711" s="5">
        <v>13.811502403383271</v>
      </c>
      <c r="J711" s="6">
        <v>0</v>
      </c>
      <c r="K711" s="5">
        <v>0</v>
      </c>
      <c r="L711" s="6">
        <v>19.78471348386427</v>
      </c>
      <c r="M711" s="5">
        <v>262.1474536612015</v>
      </c>
      <c r="N711" s="6">
        <v>0</v>
      </c>
      <c r="O711" s="5">
        <v>0</v>
      </c>
      <c r="P711" s="6">
        <v>0</v>
      </c>
      <c r="Q711" s="5">
        <v>0</v>
      </c>
      <c r="R711" s="6">
        <v>0</v>
      </c>
      <c r="S711" s="5">
        <v>0</v>
      </c>
      <c r="T711" s="6">
        <v>0</v>
      </c>
      <c r="U711" s="5">
        <v>0</v>
      </c>
      <c r="V711" s="6">
        <v>0</v>
      </c>
      <c r="W711" s="5">
        <v>0</v>
      </c>
      <c r="X711" s="6">
        <v>0</v>
      </c>
      <c r="Y711" s="5">
        <v>0</v>
      </c>
      <c r="Z711" s="6">
        <v>0</v>
      </c>
      <c r="AA711" s="5">
        <v>0</v>
      </c>
      <c r="AB711" s="6">
        <v>0</v>
      </c>
      <c r="AC711" s="5">
        <v>0</v>
      </c>
      <c r="AD711" s="6">
        <v>0</v>
      </c>
      <c r="AE711" s="5">
        <v>0</v>
      </c>
      <c r="AF711" s="6">
        <v>0</v>
      </c>
      <c r="AG711" s="5">
        <v>0</v>
      </c>
      <c r="AH711" s="7">
        <f t="shared" si="88"/>
        <v>19.78471348386427</v>
      </c>
      <c r="AI711" s="8">
        <f t="shared" si="89"/>
        <v>262.1474536612015</v>
      </c>
      <c r="AJ711" s="6">
        <v>0</v>
      </c>
      <c r="AK711" s="5">
        <v>0</v>
      </c>
      <c r="AL711" s="6">
        <v>20</v>
      </c>
      <c r="AM711" s="5">
        <v>276.23004806766539</v>
      </c>
      <c r="AN711" s="6">
        <v>0</v>
      </c>
      <c r="AO711" s="5">
        <v>0</v>
      </c>
      <c r="AP711" s="6">
        <v>0</v>
      </c>
      <c r="AQ711" s="5">
        <v>0</v>
      </c>
      <c r="AR711" s="6">
        <v>0</v>
      </c>
      <c r="AS711" s="5">
        <v>0</v>
      </c>
      <c r="AT711" s="6">
        <v>0</v>
      </c>
      <c r="AU711" s="5">
        <v>0</v>
      </c>
      <c r="AV711" s="6">
        <v>0</v>
      </c>
      <c r="AW711" s="5">
        <v>0</v>
      </c>
      <c r="AX711" s="6">
        <v>0</v>
      </c>
      <c r="AY711" s="5">
        <v>0</v>
      </c>
      <c r="AZ711" s="6">
        <v>0</v>
      </c>
      <c r="BA711" s="5">
        <v>0</v>
      </c>
      <c r="BB711" s="6">
        <v>0</v>
      </c>
      <c r="BC711" s="5">
        <v>0</v>
      </c>
      <c r="BD711" s="6">
        <v>0</v>
      </c>
      <c r="BE711" s="5">
        <v>0</v>
      </c>
      <c r="BF711" s="6">
        <v>0</v>
      </c>
      <c r="BG711" s="5">
        <v>0</v>
      </c>
      <c r="BH711" s="9">
        <f t="shared" si="90"/>
        <v>20</v>
      </c>
      <c r="BI711" s="10">
        <f t="shared" si="91"/>
        <v>276.23004806766539</v>
      </c>
      <c r="BJ711" s="6">
        <f t="shared" si="92"/>
        <v>0.21528651613573047</v>
      </c>
      <c r="BK711" s="11">
        <f t="shared" si="93"/>
        <v>1.0881457359052014E-2</v>
      </c>
      <c r="BL711" s="5">
        <f t="shared" si="94"/>
        <v>14.082594406463897</v>
      </c>
      <c r="BM711" s="11">
        <f t="shared" si="95"/>
        <v>5.3720126630198727E-2</v>
      </c>
    </row>
    <row r="712" spans="1:65" ht="15" customHeight="1" x14ac:dyDescent="0.4">
      <c r="A712" s="2" t="s">
        <v>589</v>
      </c>
      <c r="B712" s="2" t="s">
        <v>66</v>
      </c>
      <c r="C712" s="2" t="s">
        <v>590</v>
      </c>
      <c r="D712" s="3" t="s">
        <v>68</v>
      </c>
      <c r="E712" s="3" t="s">
        <v>563</v>
      </c>
      <c r="F712" s="2" t="s">
        <v>564</v>
      </c>
      <c r="G712" s="4">
        <v>5</v>
      </c>
      <c r="H712" s="5">
        <v>7.8033333333333328</v>
      </c>
      <c r="I712" s="5">
        <v>8.1340194028478585</v>
      </c>
      <c r="J712" s="6">
        <v>39.569426967728532</v>
      </c>
      <c r="K712" s="5">
        <v>297.56209079731849</v>
      </c>
      <c r="L712" s="6">
        <v>0</v>
      </c>
      <c r="M712" s="5">
        <v>0</v>
      </c>
      <c r="N712" s="6">
        <v>0</v>
      </c>
      <c r="O712" s="5">
        <v>0</v>
      </c>
      <c r="P712" s="6">
        <v>0</v>
      </c>
      <c r="Q712" s="5">
        <v>0</v>
      </c>
      <c r="R712" s="6">
        <v>19.78471348386427</v>
      </c>
      <c r="S712" s="5">
        <v>165.59805185994389</v>
      </c>
      <c r="T712" s="6">
        <v>0</v>
      </c>
      <c r="U712" s="5">
        <v>0</v>
      </c>
      <c r="V712" s="6">
        <v>0</v>
      </c>
      <c r="W712" s="5">
        <v>0</v>
      </c>
      <c r="X712" s="6">
        <v>0</v>
      </c>
      <c r="Y712" s="5">
        <v>0</v>
      </c>
      <c r="Z712" s="6">
        <v>0</v>
      </c>
      <c r="AA712" s="5">
        <v>0</v>
      </c>
      <c r="AB712" s="6">
        <v>0</v>
      </c>
      <c r="AC712" s="5">
        <v>0</v>
      </c>
      <c r="AD712" s="6">
        <v>0</v>
      </c>
      <c r="AE712" s="5">
        <v>0</v>
      </c>
      <c r="AF712" s="6">
        <v>0</v>
      </c>
      <c r="AG712" s="5">
        <v>0</v>
      </c>
      <c r="AH712" s="7">
        <f t="shared" si="88"/>
        <v>59.354140451592798</v>
      </c>
      <c r="AI712" s="8">
        <f t="shared" si="89"/>
        <v>463.16014265726238</v>
      </c>
      <c r="AJ712" s="6">
        <v>40</v>
      </c>
      <c r="AK712" s="5">
        <v>313.54716399529718</v>
      </c>
      <c r="AL712" s="6">
        <v>0</v>
      </c>
      <c r="AM712" s="5">
        <v>0</v>
      </c>
      <c r="AN712" s="6">
        <v>0</v>
      </c>
      <c r="AO712" s="5">
        <v>0</v>
      </c>
      <c r="AP712" s="6">
        <v>0</v>
      </c>
      <c r="AQ712" s="5">
        <v>0</v>
      </c>
      <c r="AR712" s="6">
        <v>20</v>
      </c>
      <c r="AS712" s="5">
        <v>174.49400017557431</v>
      </c>
      <c r="AT712" s="6">
        <v>0</v>
      </c>
      <c r="AU712" s="5">
        <v>0</v>
      </c>
      <c r="AV712" s="6">
        <v>0</v>
      </c>
      <c r="AW712" s="5">
        <v>0</v>
      </c>
      <c r="AX712" s="6">
        <v>0</v>
      </c>
      <c r="AY712" s="5">
        <v>0</v>
      </c>
      <c r="AZ712" s="6">
        <v>0</v>
      </c>
      <c r="BA712" s="5">
        <v>0</v>
      </c>
      <c r="BB712" s="6">
        <v>0</v>
      </c>
      <c r="BC712" s="5">
        <v>0</v>
      </c>
      <c r="BD712" s="6">
        <v>0</v>
      </c>
      <c r="BE712" s="5">
        <v>0</v>
      </c>
      <c r="BF712" s="6">
        <v>0</v>
      </c>
      <c r="BG712" s="5">
        <v>0</v>
      </c>
      <c r="BH712" s="9">
        <f t="shared" si="90"/>
        <v>60</v>
      </c>
      <c r="BI712" s="10">
        <f t="shared" si="91"/>
        <v>488.04116417087153</v>
      </c>
      <c r="BJ712" s="6">
        <f t="shared" si="92"/>
        <v>0.64585954840720206</v>
      </c>
      <c r="BK712" s="11">
        <f t="shared" si="93"/>
        <v>1.0881457359052195E-2</v>
      </c>
      <c r="BL712" s="5">
        <f t="shared" si="94"/>
        <v>24.881021513609141</v>
      </c>
      <c r="BM712" s="11">
        <f t="shared" si="95"/>
        <v>5.3720126630198942E-2</v>
      </c>
    </row>
    <row r="713" spans="1:65" ht="15" customHeight="1" x14ac:dyDescent="0.4">
      <c r="A713" s="2" t="s">
        <v>589</v>
      </c>
      <c r="B713" s="2" t="s">
        <v>66</v>
      </c>
      <c r="C713" s="2" t="s">
        <v>590</v>
      </c>
      <c r="D713" s="3" t="s">
        <v>68</v>
      </c>
      <c r="E713" s="3" t="s">
        <v>597</v>
      </c>
      <c r="F713" s="2" t="s">
        <v>598</v>
      </c>
      <c r="G713" s="4">
        <v>20</v>
      </c>
      <c r="H713" s="5">
        <v>3.5390000000000001</v>
      </c>
      <c r="I713" s="5">
        <v>3.6886714878907969</v>
      </c>
      <c r="J713" s="6">
        <v>118.7082809031856</v>
      </c>
      <c r="K713" s="5">
        <v>422.60148001534071</v>
      </c>
      <c r="L713" s="6">
        <v>0</v>
      </c>
      <c r="M713" s="5">
        <v>0</v>
      </c>
      <c r="N713" s="6">
        <v>178.06242135477839</v>
      </c>
      <c r="O713" s="5">
        <v>628.56034738236769</v>
      </c>
      <c r="P713" s="6">
        <v>98.92356741932133</v>
      </c>
      <c r="Q713" s="5">
        <v>349.20019299020419</v>
      </c>
      <c r="R713" s="6">
        <v>0</v>
      </c>
      <c r="S713" s="5">
        <v>0</v>
      </c>
      <c r="T713" s="6">
        <v>0</v>
      </c>
      <c r="U713" s="5">
        <v>0</v>
      </c>
      <c r="V713" s="6">
        <v>0</v>
      </c>
      <c r="W713" s="5">
        <v>0</v>
      </c>
      <c r="X713" s="6">
        <v>0</v>
      </c>
      <c r="Y713" s="5">
        <v>0</v>
      </c>
      <c r="Z713" s="6">
        <v>0</v>
      </c>
      <c r="AA713" s="5">
        <v>0</v>
      </c>
      <c r="AB713" s="6">
        <v>0</v>
      </c>
      <c r="AC713" s="5">
        <v>0</v>
      </c>
      <c r="AD713" s="6">
        <v>189.59922785967791</v>
      </c>
      <c r="AE713" s="5">
        <v>670.99166739539999</v>
      </c>
      <c r="AF713" s="6">
        <v>0</v>
      </c>
      <c r="AG713" s="5">
        <v>0</v>
      </c>
      <c r="AH713" s="7">
        <f t="shared" si="88"/>
        <v>585.29349753696329</v>
      </c>
      <c r="AI713" s="8">
        <f t="shared" si="89"/>
        <v>2071.3536877833126</v>
      </c>
      <c r="AJ713" s="6">
        <v>120</v>
      </c>
      <c r="AK713" s="5">
        <v>445.3036850358742</v>
      </c>
      <c r="AL713" s="6">
        <v>0</v>
      </c>
      <c r="AM713" s="5">
        <v>0</v>
      </c>
      <c r="AN713" s="6">
        <v>200</v>
      </c>
      <c r="AO713" s="5">
        <v>735.91854315385569</v>
      </c>
      <c r="AP713" s="6">
        <v>100</v>
      </c>
      <c r="AQ713" s="5">
        <v>367.95927157692779</v>
      </c>
      <c r="AR713" s="6">
        <v>0</v>
      </c>
      <c r="AS713" s="5">
        <v>0</v>
      </c>
      <c r="AT713" s="6">
        <v>0</v>
      </c>
      <c r="AU713" s="5">
        <v>0</v>
      </c>
      <c r="AV713" s="6">
        <v>0</v>
      </c>
      <c r="AW713" s="5">
        <v>0</v>
      </c>
      <c r="AX713" s="6">
        <v>0</v>
      </c>
      <c r="AY713" s="5">
        <v>0</v>
      </c>
      <c r="AZ713" s="6">
        <v>0</v>
      </c>
      <c r="BA713" s="5">
        <v>0</v>
      </c>
      <c r="BB713" s="6">
        <v>0</v>
      </c>
      <c r="BC713" s="5">
        <v>0</v>
      </c>
      <c r="BD713" s="6">
        <v>200</v>
      </c>
      <c r="BE713" s="5">
        <v>737.79482272563621</v>
      </c>
      <c r="BF713" s="6">
        <v>0</v>
      </c>
      <c r="BG713" s="5">
        <v>0</v>
      </c>
      <c r="BH713" s="9">
        <f t="shared" si="90"/>
        <v>620</v>
      </c>
      <c r="BI713" s="10">
        <f t="shared" si="91"/>
        <v>2286.9763224922935</v>
      </c>
      <c r="BJ713" s="6">
        <f t="shared" si="92"/>
        <v>34.706502463036713</v>
      </c>
      <c r="BK713" s="11">
        <f t="shared" si="93"/>
        <v>5.9297604721543794E-2</v>
      </c>
      <c r="BL713" s="5">
        <f t="shared" si="94"/>
        <v>215.62263470898097</v>
      </c>
      <c r="BM713" s="11">
        <f t="shared" si="95"/>
        <v>0.10409744891985707</v>
      </c>
    </row>
    <row r="714" spans="1:65" ht="15" customHeight="1" x14ac:dyDescent="0.4">
      <c r="A714" s="2" t="s">
        <v>589</v>
      </c>
      <c r="B714" s="2" t="s">
        <v>66</v>
      </c>
      <c r="C714" s="2" t="s">
        <v>590</v>
      </c>
      <c r="D714" s="3" t="s">
        <v>68</v>
      </c>
      <c r="E714" s="3" t="s">
        <v>599</v>
      </c>
      <c r="F714" s="2" t="s">
        <v>600</v>
      </c>
      <c r="G714" s="4">
        <v>5</v>
      </c>
      <c r="H714" s="5">
        <v>3.91</v>
      </c>
      <c r="I714" s="5">
        <v>4.075696180922912</v>
      </c>
      <c r="J714" s="6">
        <v>39.569426967728532</v>
      </c>
      <c r="K714" s="5">
        <v>154.71645944381859</v>
      </c>
      <c r="L714" s="6">
        <v>0</v>
      </c>
      <c r="M714" s="5">
        <v>0</v>
      </c>
      <c r="N714" s="6">
        <v>39.569426967728532</v>
      </c>
      <c r="O714" s="5">
        <v>154.71645944381859</v>
      </c>
      <c r="P714" s="6">
        <v>0</v>
      </c>
      <c r="Q714" s="5">
        <v>0</v>
      </c>
      <c r="R714" s="6">
        <v>0</v>
      </c>
      <c r="S714" s="5">
        <v>0</v>
      </c>
      <c r="T714" s="6">
        <v>0</v>
      </c>
      <c r="U714" s="5">
        <v>0</v>
      </c>
      <c r="V714" s="6">
        <v>0</v>
      </c>
      <c r="W714" s="5">
        <v>0</v>
      </c>
      <c r="X714" s="6">
        <v>0</v>
      </c>
      <c r="Y714" s="5">
        <v>0</v>
      </c>
      <c r="Z714" s="6">
        <v>0</v>
      </c>
      <c r="AA714" s="5">
        <v>0</v>
      </c>
      <c r="AB714" s="6">
        <v>0</v>
      </c>
      <c r="AC714" s="5">
        <v>0</v>
      </c>
      <c r="AD714" s="6">
        <v>0</v>
      </c>
      <c r="AE714" s="5">
        <v>0</v>
      </c>
      <c r="AF714" s="6">
        <v>0</v>
      </c>
      <c r="AG714" s="5">
        <v>0</v>
      </c>
      <c r="AH714" s="7">
        <f t="shared" si="88"/>
        <v>79.138853935457064</v>
      </c>
      <c r="AI714" s="8">
        <f t="shared" si="89"/>
        <v>309.43291888763719</v>
      </c>
      <c r="AJ714" s="6">
        <v>45</v>
      </c>
      <c r="AK714" s="5">
        <v>183.40632814153099</v>
      </c>
      <c r="AL714" s="6">
        <v>0</v>
      </c>
      <c r="AM714" s="5">
        <v>0</v>
      </c>
      <c r="AN714" s="6">
        <v>45</v>
      </c>
      <c r="AO714" s="5">
        <v>183.40632814153099</v>
      </c>
      <c r="AP714" s="6">
        <v>0</v>
      </c>
      <c r="AQ714" s="5">
        <v>0</v>
      </c>
      <c r="AR714" s="6">
        <v>0</v>
      </c>
      <c r="AS714" s="5">
        <v>0</v>
      </c>
      <c r="AT714" s="6">
        <v>0</v>
      </c>
      <c r="AU714" s="5">
        <v>0</v>
      </c>
      <c r="AV714" s="6">
        <v>0</v>
      </c>
      <c r="AW714" s="5">
        <v>0</v>
      </c>
      <c r="AX714" s="6">
        <v>0</v>
      </c>
      <c r="AY714" s="5">
        <v>0</v>
      </c>
      <c r="AZ714" s="6">
        <v>0</v>
      </c>
      <c r="BA714" s="5">
        <v>0</v>
      </c>
      <c r="BB714" s="6">
        <v>0</v>
      </c>
      <c r="BC714" s="5">
        <v>0</v>
      </c>
      <c r="BD714" s="6">
        <v>0</v>
      </c>
      <c r="BE714" s="5">
        <v>0</v>
      </c>
      <c r="BF714" s="6">
        <v>0</v>
      </c>
      <c r="BG714" s="5">
        <v>0</v>
      </c>
      <c r="BH714" s="9">
        <f t="shared" si="90"/>
        <v>90</v>
      </c>
      <c r="BI714" s="10">
        <f t="shared" si="91"/>
        <v>366.81265628306198</v>
      </c>
      <c r="BJ714" s="6">
        <f t="shared" si="92"/>
        <v>10.861146064542936</v>
      </c>
      <c r="BK714" s="11">
        <f t="shared" si="93"/>
        <v>0.13724163952893373</v>
      </c>
      <c r="BL714" s="5">
        <f t="shared" si="94"/>
        <v>57.379737395424797</v>
      </c>
      <c r="BM714" s="11">
        <f t="shared" si="95"/>
        <v>0.18543514245897286</v>
      </c>
    </row>
    <row r="715" spans="1:65" ht="15" customHeight="1" x14ac:dyDescent="0.4">
      <c r="A715" s="2" t="s">
        <v>589</v>
      </c>
      <c r="B715" s="2" t="s">
        <v>66</v>
      </c>
      <c r="C715" s="2" t="s">
        <v>590</v>
      </c>
      <c r="D715" s="3" t="s">
        <v>68</v>
      </c>
      <c r="E715" s="3" t="s">
        <v>264</v>
      </c>
      <c r="F715" s="2" t="s">
        <v>265</v>
      </c>
      <c r="G715" s="4">
        <v>20</v>
      </c>
      <c r="H715" s="5">
        <v>2.2549999999999999</v>
      </c>
      <c r="I715" s="5">
        <v>2.3503774034472249</v>
      </c>
      <c r="J715" s="6">
        <v>98.92356741932133</v>
      </c>
      <c r="K715" s="5">
        <v>221.5887910192798</v>
      </c>
      <c r="L715" s="6">
        <v>0</v>
      </c>
      <c r="M715" s="5">
        <v>0</v>
      </c>
      <c r="N715" s="6">
        <v>197.84713483864269</v>
      </c>
      <c r="O715" s="5">
        <v>443.17758203855948</v>
      </c>
      <c r="P715" s="6">
        <v>0</v>
      </c>
      <c r="Q715" s="5">
        <v>0</v>
      </c>
      <c r="R715" s="6">
        <v>98.92356741932133</v>
      </c>
      <c r="S715" s="5">
        <v>227.524205064439</v>
      </c>
      <c r="T715" s="6">
        <v>0</v>
      </c>
      <c r="U715" s="5">
        <v>0</v>
      </c>
      <c r="V715" s="6">
        <v>0</v>
      </c>
      <c r="W715" s="5">
        <v>0</v>
      </c>
      <c r="X715" s="6">
        <v>0</v>
      </c>
      <c r="Y715" s="5">
        <v>0</v>
      </c>
      <c r="Z715" s="6">
        <v>0</v>
      </c>
      <c r="AA715" s="5">
        <v>0</v>
      </c>
      <c r="AB715" s="6">
        <v>606.7175291509692</v>
      </c>
      <c r="AC715" s="5">
        <v>1368.148028235435</v>
      </c>
      <c r="AD715" s="6">
        <v>606.7175291509692</v>
      </c>
      <c r="AE715" s="5">
        <v>1368.148028235435</v>
      </c>
      <c r="AF715" s="6">
        <v>0</v>
      </c>
      <c r="AG715" s="5">
        <v>0</v>
      </c>
      <c r="AH715" s="7">
        <f t="shared" si="88"/>
        <v>1609.1293279792237</v>
      </c>
      <c r="AI715" s="8">
        <f t="shared" si="89"/>
        <v>3628.5866345931481</v>
      </c>
      <c r="AJ715" s="6">
        <v>100</v>
      </c>
      <c r="AK715" s="5">
        <v>233.49256893266809</v>
      </c>
      <c r="AL715" s="6">
        <v>0</v>
      </c>
      <c r="AM715" s="5">
        <v>0</v>
      </c>
      <c r="AN715" s="6">
        <v>220</v>
      </c>
      <c r="AO715" s="5">
        <v>513.68365165186992</v>
      </c>
      <c r="AP715" s="6">
        <v>0</v>
      </c>
      <c r="AQ715" s="5">
        <v>0</v>
      </c>
      <c r="AR715" s="6">
        <v>100</v>
      </c>
      <c r="AS715" s="5">
        <v>239.746834171936</v>
      </c>
      <c r="AT715" s="6">
        <v>0</v>
      </c>
      <c r="AU715" s="5">
        <v>0</v>
      </c>
      <c r="AV715" s="6">
        <v>0</v>
      </c>
      <c r="AW715" s="5">
        <v>0</v>
      </c>
      <c r="AX715" s="6">
        <v>0</v>
      </c>
      <c r="AY715" s="5">
        <v>0</v>
      </c>
      <c r="AZ715" s="6">
        <v>0</v>
      </c>
      <c r="BA715" s="5">
        <v>0</v>
      </c>
      <c r="BB715" s="6">
        <v>640</v>
      </c>
      <c r="BC715" s="5">
        <v>1504.3592655519039</v>
      </c>
      <c r="BD715" s="6">
        <v>640</v>
      </c>
      <c r="BE715" s="5">
        <v>1504.3592655519039</v>
      </c>
      <c r="BF715" s="6">
        <v>0</v>
      </c>
      <c r="BG715" s="5">
        <v>0</v>
      </c>
      <c r="BH715" s="9">
        <f t="shared" si="90"/>
        <v>1700</v>
      </c>
      <c r="BI715" s="10">
        <f t="shared" si="91"/>
        <v>3995.6415858602822</v>
      </c>
      <c r="BJ715" s="6">
        <f t="shared" si="92"/>
        <v>90.870672020776283</v>
      </c>
      <c r="BK715" s="11">
        <f t="shared" si="93"/>
        <v>5.647195066346436E-2</v>
      </c>
      <c r="BL715" s="5">
        <f t="shared" si="94"/>
        <v>367.05495126713413</v>
      </c>
      <c r="BM715" s="11">
        <f t="shared" si="95"/>
        <v>0.10115645242360041</v>
      </c>
    </row>
    <row r="716" spans="1:65" ht="15" customHeight="1" x14ac:dyDescent="0.4">
      <c r="A716" s="2" t="s">
        <v>589</v>
      </c>
      <c r="B716" s="2" t="s">
        <v>66</v>
      </c>
      <c r="C716" s="2" t="s">
        <v>590</v>
      </c>
      <c r="D716" s="3" t="s">
        <v>68</v>
      </c>
      <c r="E716" s="3" t="s">
        <v>601</v>
      </c>
      <c r="F716" s="2" t="s">
        <v>602</v>
      </c>
      <c r="G716" s="4">
        <v>200</v>
      </c>
      <c r="H716" s="5">
        <v>2.16</v>
      </c>
      <c r="I716" s="5">
        <v>2.2515354861364432</v>
      </c>
      <c r="J716" s="6">
        <v>0</v>
      </c>
      <c r="K716" s="5">
        <v>0</v>
      </c>
      <c r="L716" s="6">
        <v>0</v>
      </c>
      <c r="M716" s="5">
        <v>0</v>
      </c>
      <c r="N716" s="6">
        <v>197.84713483864269</v>
      </c>
      <c r="O716" s="5">
        <v>427.34981125146811</v>
      </c>
      <c r="P716" s="6">
        <v>0</v>
      </c>
      <c r="Q716" s="5">
        <v>0</v>
      </c>
      <c r="R716" s="6">
        <v>0</v>
      </c>
      <c r="S716" s="5">
        <v>0</v>
      </c>
      <c r="T716" s="6">
        <v>0</v>
      </c>
      <c r="U716" s="5">
        <v>0</v>
      </c>
      <c r="V716" s="6">
        <v>0</v>
      </c>
      <c r="W716" s="5">
        <v>0</v>
      </c>
      <c r="X716" s="6">
        <v>0</v>
      </c>
      <c r="Y716" s="5">
        <v>0</v>
      </c>
      <c r="Z716" s="6">
        <v>0</v>
      </c>
      <c r="AA716" s="5">
        <v>0</v>
      </c>
      <c r="AB716" s="6">
        <v>0</v>
      </c>
      <c r="AC716" s="5">
        <v>0</v>
      </c>
      <c r="AD716" s="6">
        <v>758.39691143871141</v>
      </c>
      <c r="AE716" s="5">
        <v>1638.1373287076169</v>
      </c>
      <c r="AF716" s="6">
        <v>0</v>
      </c>
      <c r="AG716" s="5">
        <v>0</v>
      </c>
      <c r="AH716" s="7">
        <f t="shared" si="88"/>
        <v>956.24404627735407</v>
      </c>
      <c r="AI716" s="8">
        <f t="shared" si="89"/>
        <v>2065.4871399590852</v>
      </c>
      <c r="AJ716" s="6">
        <v>0</v>
      </c>
      <c r="AK716" s="5">
        <v>0</v>
      </c>
      <c r="AL716" s="6">
        <v>0</v>
      </c>
      <c r="AM716" s="5">
        <v>0</v>
      </c>
      <c r="AN716" s="6">
        <v>200</v>
      </c>
      <c r="AO716" s="5">
        <v>450.30709722728852</v>
      </c>
      <c r="AP716" s="6">
        <v>0</v>
      </c>
      <c r="AQ716" s="5">
        <v>0</v>
      </c>
      <c r="AR716" s="6">
        <v>0</v>
      </c>
      <c r="AS716" s="5">
        <v>0</v>
      </c>
      <c r="AT716" s="6">
        <v>0</v>
      </c>
      <c r="AU716" s="5">
        <v>0</v>
      </c>
      <c r="AV716" s="6">
        <v>0</v>
      </c>
      <c r="AW716" s="5">
        <v>0</v>
      </c>
      <c r="AX716" s="6">
        <v>0</v>
      </c>
      <c r="AY716" s="5">
        <v>0</v>
      </c>
      <c r="AZ716" s="6">
        <v>0</v>
      </c>
      <c r="BA716" s="5">
        <v>0</v>
      </c>
      <c r="BB716" s="6">
        <v>0</v>
      </c>
      <c r="BC716" s="5">
        <v>0</v>
      </c>
      <c r="BD716" s="6">
        <v>800</v>
      </c>
      <c r="BE716" s="5">
        <v>1801.2283889091541</v>
      </c>
      <c r="BF716" s="6">
        <v>0</v>
      </c>
      <c r="BG716" s="5">
        <v>0</v>
      </c>
      <c r="BH716" s="9">
        <f t="shared" si="90"/>
        <v>1000</v>
      </c>
      <c r="BI716" s="10">
        <f t="shared" si="91"/>
        <v>2251.5354861364426</v>
      </c>
      <c r="BJ716" s="6">
        <f t="shared" si="92"/>
        <v>43.755953722645927</v>
      </c>
      <c r="BK716" s="11">
        <f t="shared" si="93"/>
        <v>4.5758144997594806E-2</v>
      </c>
      <c r="BL716" s="5">
        <f t="shared" si="94"/>
        <v>186.04834617735742</v>
      </c>
      <c r="BM716" s="11">
        <f t="shared" si="95"/>
        <v>9.0074802489955377E-2</v>
      </c>
    </row>
    <row r="717" spans="1:65" ht="15" customHeight="1" x14ac:dyDescent="0.4">
      <c r="A717" s="2" t="s">
        <v>589</v>
      </c>
      <c r="B717" s="2" t="s">
        <v>66</v>
      </c>
      <c r="C717" s="2" t="s">
        <v>590</v>
      </c>
      <c r="D717" s="3" t="s">
        <v>68</v>
      </c>
      <c r="E717" s="3" t="s">
        <v>603</v>
      </c>
      <c r="F717" s="2" t="s">
        <v>604</v>
      </c>
      <c r="G717" s="4">
        <v>1000</v>
      </c>
      <c r="H717" s="5">
        <v>1.93</v>
      </c>
      <c r="I717" s="5">
        <v>2.011788651964507</v>
      </c>
      <c r="J717" s="6">
        <v>1978.4713483864259</v>
      </c>
      <c r="K717" s="5">
        <v>3818.449702385803</v>
      </c>
      <c r="L717" s="6">
        <v>0</v>
      </c>
      <c r="M717" s="5">
        <v>0</v>
      </c>
      <c r="N717" s="6">
        <v>0</v>
      </c>
      <c r="O717" s="5">
        <v>0</v>
      </c>
      <c r="P717" s="6">
        <v>0</v>
      </c>
      <c r="Q717" s="5">
        <v>0</v>
      </c>
      <c r="R717" s="6">
        <v>0</v>
      </c>
      <c r="S717" s="5">
        <v>0</v>
      </c>
      <c r="T717" s="6">
        <v>0</v>
      </c>
      <c r="U717" s="5">
        <v>0</v>
      </c>
      <c r="V717" s="6">
        <v>0</v>
      </c>
      <c r="W717" s="5">
        <v>0</v>
      </c>
      <c r="X717" s="6">
        <v>0</v>
      </c>
      <c r="Y717" s="5">
        <v>0</v>
      </c>
      <c r="Z717" s="6">
        <v>0</v>
      </c>
      <c r="AA717" s="5">
        <v>0</v>
      </c>
      <c r="AB717" s="6">
        <v>1895.992278596779</v>
      </c>
      <c r="AC717" s="5">
        <v>3659.265097691783</v>
      </c>
      <c r="AD717" s="6">
        <v>1895.992278596779</v>
      </c>
      <c r="AE717" s="5">
        <v>3659.265097691783</v>
      </c>
      <c r="AF717" s="6">
        <v>0</v>
      </c>
      <c r="AG717" s="5">
        <v>0</v>
      </c>
      <c r="AH717" s="7">
        <f t="shared" si="88"/>
        <v>5770.4559055799837</v>
      </c>
      <c r="AI717" s="8">
        <f t="shared" si="89"/>
        <v>11136.979897769368</v>
      </c>
      <c r="AJ717" s="6">
        <v>2000</v>
      </c>
      <c r="AK717" s="5">
        <v>4023.5773039290129</v>
      </c>
      <c r="AL717" s="6">
        <v>0</v>
      </c>
      <c r="AM717" s="5">
        <v>0</v>
      </c>
      <c r="AN717" s="6">
        <v>0</v>
      </c>
      <c r="AO717" s="5">
        <v>0</v>
      </c>
      <c r="AP717" s="6">
        <v>0</v>
      </c>
      <c r="AQ717" s="5">
        <v>0</v>
      </c>
      <c r="AR717" s="6">
        <v>0</v>
      </c>
      <c r="AS717" s="5">
        <v>0</v>
      </c>
      <c r="AT717" s="6">
        <v>0</v>
      </c>
      <c r="AU717" s="5">
        <v>0</v>
      </c>
      <c r="AV717" s="6">
        <v>0</v>
      </c>
      <c r="AW717" s="5">
        <v>0</v>
      </c>
      <c r="AX717" s="6">
        <v>0</v>
      </c>
      <c r="AY717" s="5">
        <v>0</v>
      </c>
      <c r="AZ717" s="6">
        <v>0</v>
      </c>
      <c r="BA717" s="5">
        <v>0</v>
      </c>
      <c r="BB717" s="6">
        <v>2000</v>
      </c>
      <c r="BC717" s="5">
        <v>4023.5773039290129</v>
      </c>
      <c r="BD717" s="6">
        <v>2000</v>
      </c>
      <c r="BE717" s="5">
        <v>4023.5773039290129</v>
      </c>
      <c r="BF717" s="6">
        <v>0</v>
      </c>
      <c r="BG717" s="5">
        <v>0</v>
      </c>
      <c r="BH717" s="9">
        <f t="shared" si="90"/>
        <v>6000</v>
      </c>
      <c r="BI717" s="10">
        <f t="shared" si="91"/>
        <v>12070.731911787039</v>
      </c>
      <c r="BJ717" s="6">
        <f t="shared" si="92"/>
        <v>229.54409442001634</v>
      </c>
      <c r="BK717" s="11">
        <f t="shared" si="93"/>
        <v>3.9779195643458443E-2</v>
      </c>
      <c r="BL717" s="5">
        <f t="shared" si="94"/>
        <v>933.75201401767117</v>
      </c>
      <c r="BM717" s="11">
        <f t="shared" si="95"/>
        <v>8.3842479971135878E-2</v>
      </c>
    </row>
    <row r="718" spans="1:65" ht="15" customHeight="1" x14ac:dyDescent="0.4">
      <c r="A718" s="2" t="s">
        <v>589</v>
      </c>
      <c r="B718" s="2" t="s">
        <v>66</v>
      </c>
      <c r="C718" s="2" t="s">
        <v>590</v>
      </c>
      <c r="D718" s="3" t="s">
        <v>68</v>
      </c>
      <c r="E718" s="3" t="s">
        <v>605</v>
      </c>
      <c r="F718" s="2" t="s">
        <v>606</v>
      </c>
      <c r="G718" s="4">
        <v>200</v>
      </c>
      <c r="H718" s="5">
        <v>2.41</v>
      </c>
      <c r="I718" s="5">
        <v>2.5121298711059379</v>
      </c>
      <c r="J718" s="6">
        <v>0</v>
      </c>
      <c r="K718" s="5">
        <v>0</v>
      </c>
      <c r="L718" s="6">
        <v>197.84713483864269</v>
      </c>
      <c r="M718" s="5">
        <v>476.81159496112878</v>
      </c>
      <c r="N718" s="6">
        <v>0</v>
      </c>
      <c r="O718" s="5">
        <v>0</v>
      </c>
      <c r="P718" s="6">
        <v>0</v>
      </c>
      <c r="Q718" s="5">
        <v>0</v>
      </c>
      <c r="R718" s="6">
        <v>0</v>
      </c>
      <c r="S718" s="5">
        <v>0</v>
      </c>
      <c r="T718" s="6">
        <v>0</v>
      </c>
      <c r="U718" s="5">
        <v>0</v>
      </c>
      <c r="V718" s="6">
        <v>0</v>
      </c>
      <c r="W718" s="5">
        <v>0</v>
      </c>
      <c r="X718" s="6">
        <v>0</v>
      </c>
      <c r="Y718" s="5">
        <v>0</v>
      </c>
      <c r="Z718" s="6">
        <v>0</v>
      </c>
      <c r="AA718" s="5">
        <v>0</v>
      </c>
      <c r="AB718" s="6">
        <v>189.59922785967791</v>
      </c>
      <c r="AC718" s="5">
        <v>456.93413914182372</v>
      </c>
      <c r="AD718" s="6">
        <v>0</v>
      </c>
      <c r="AE718" s="5">
        <v>0</v>
      </c>
      <c r="AF718" s="6">
        <v>0</v>
      </c>
      <c r="AG718" s="5">
        <v>0</v>
      </c>
      <c r="AH718" s="7">
        <f t="shared" si="88"/>
        <v>387.44636269832063</v>
      </c>
      <c r="AI718" s="8">
        <f t="shared" si="89"/>
        <v>933.7457341029525</v>
      </c>
      <c r="AJ718" s="6">
        <v>0</v>
      </c>
      <c r="AK718" s="5">
        <v>0</v>
      </c>
      <c r="AL718" s="6">
        <v>200</v>
      </c>
      <c r="AM718" s="5">
        <v>502.42597422118757</v>
      </c>
      <c r="AN718" s="6">
        <v>0</v>
      </c>
      <c r="AO718" s="5">
        <v>0</v>
      </c>
      <c r="AP718" s="6">
        <v>0</v>
      </c>
      <c r="AQ718" s="5">
        <v>0</v>
      </c>
      <c r="AR718" s="6">
        <v>0</v>
      </c>
      <c r="AS718" s="5">
        <v>0</v>
      </c>
      <c r="AT718" s="6">
        <v>0</v>
      </c>
      <c r="AU718" s="5">
        <v>0</v>
      </c>
      <c r="AV718" s="6">
        <v>0</v>
      </c>
      <c r="AW718" s="5">
        <v>0</v>
      </c>
      <c r="AX718" s="6">
        <v>0</v>
      </c>
      <c r="AY718" s="5">
        <v>0</v>
      </c>
      <c r="AZ718" s="6">
        <v>0</v>
      </c>
      <c r="BA718" s="5">
        <v>0</v>
      </c>
      <c r="BB718" s="6">
        <v>200</v>
      </c>
      <c r="BC718" s="5">
        <v>502.42597422118769</v>
      </c>
      <c r="BD718" s="6">
        <v>0</v>
      </c>
      <c r="BE718" s="5">
        <v>0</v>
      </c>
      <c r="BF718" s="6">
        <v>0</v>
      </c>
      <c r="BG718" s="5">
        <v>0</v>
      </c>
      <c r="BH718" s="9">
        <f t="shared" si="90"/>
        <v>400</v>
      </c>
      <c r="BI718" s="10">
        <f t="shared" si="91"/>
        <v>1004.8519484423753</v>
      </c>
      <c r="BJ718" s="6">
        <f t="shared" si="92"/>
        <v>12.553637301679373</v>
      </c>
      <c r="BK718" s="11">
        <f t="shared" si="93"/>
        <v>3.240096826371313E-2</v>
      </c>
      <c r="BL718" s="5">
        <f t="shared" si="94"/>
        <v>71.106214339422763</v>
      </c>
      <c r="BM718" s="11">
        <f t="shared" si="95"/>
        <v>7.6151581466376767E-2</v>
      </c>
    </row>
    <row r="719" spans="1:65" ht="15" customHeight="1" x14ac:dyDescent="0.4">
      <c r="A719" s="2" t="s">
        <v>589</v>
      </c>
      <c r="B719" s="2" t="s">
        <v>66</v>
      </c>
      <c r="C719" s="2" t="s">
        <v>590</v>
      </c>
      <c r="D719" s="3" t="s">
        <v>68</v>
      </c>
      <c r="E719" s="3" t="s">
        <v>147</v>
      </c>
      <c r="F719" s="2" t="s">
        <v>148</v>
      </c>
      <c r="G719" s="4">
        <v>5</v>
      </c>
      <c r="H719" s="5">
        <v>2.59</v>
      </c>
      <c r="I719" s="5">
        <v>2.6997578282839738</v>
      </c>
      <c r="J719" s="6">
        <v>0</v>
      </c>
      <c r="K719" s="5">
        <v>0</v>
      </c>
      <c r="L719" s="6">
        <v>0</v>
      </c>
      <c r="M719" s="5">
        <v>0</v>
      </c>
      <c r="N719" s="6">
        <v>0</v>
      </c>
      <c r="O719" s="5">
        <v>0</v>
      </c>
      <c r="P719" s="6">
        <v>19.78471348386427</v>
      </c>
      <c r="Q719" s="5">
        <v>50.253172249015229</v>
      </c>
      <c r="R719" s="6">
        <v>0</v>
      </c>
      <c r="S719" s="5">
        <v>0</v>
      </c>
      <c r="T719" s="6">
        <v>0</v>
      </c>
      <c r="U719" s="5">
        <v>0</v>
      </c>
      <c r="V719" s="6">
        <v>0</v>
      </c>
      <c r="W719" s="5">
        <v>0</v>
      </c>
      <c r="X719" s="6">
        <v>19.78471348386427</v>
      </c>
      <c r="Y719" s="5">
        <v>52.231643597401657</v>
      </c>
      <c r="Z719" s="6">
        <v>0</v>
      </c>
      <c r="AA719" s="5">
        <v>0</v>
      </c>
      <c r="AB719" s="6">
        <v>0</v>
      </c>
      <c r="AC719" s="5">
        <v>0</v>
      </c>
      <c r="AD719" s="6">
        <v>0</v>
      </c>
      <c r="AE719" s="5">
        <v>0</v>
      </c>
      <c r="AF719" s="6">
        <v>0</v>
      </c>
      <c r="AG719" s="5">
        <v>0</v>
      </c>
      <c r="AH719" s="7">
        <f t="shared" si="88"/>
        <v>39.569426967728539</v>
      </c>
      <c r="AI719" s="8">
        <f t="shared" si="89"/>
        <v>102.48481584641689</v>
      </c>
      <c r="AJ719" s="6">
        <v>0</v>
      </c>
      <c r="AK719" s="5">
        <v>0</v>
      </c>
      <c r="AL719" s="6">
        <v>0</v>
      </c>
      <c r="AM719" s="5">
        <v>0</v>
      </c>
      <c r="AN719" s="6">
        <v>0</v>
      </c>
      <c r="AO719" s="5">
        <v>0</v>
      </c>
      <c r="AP719" s="6">
        <v>25</v>
      </c>
      <c r="AQ719" s="5">
        <v>66.190973782251888</v>
      </c>
      <c r="AR719" s="6">
        <v>0</v>
      </c>
      <c r="AS719" s="5">
        <v>0</v>
      </c>
      <c r="AT719" s="6">
        <v>0</v>
      </c>
      <c r="AU719" s="5">
        <v>0</v>
      </c>
      <c r="AV719" s="6">
        <v>0</v>
      </c>
      <c r="AW719" s="5">
        <v>0</v>
      </c>
      <c r="AX719" s="6">
        <v>25</v>
      </c>
      <c r="AY719" s="5">
        <v>68.79691763194684</v>
      </c>
      <c r="AZ719" s="6">
        <v>0</v>
      </c>
      <c r="BA719" s="5">
        <v>0</v>
      </c>
      <c r="BB719" s="6">
        <v>0</v>
      </c>
      <c r="BC719" s="5">
        <v>0</v>
      </c>
      <c r="BD719" s="6">
        <v>0</v>
      </c>
      <c r="BE719" s="5">
        <v>0</v>
      </c>
      <c r="BF719" s="6">
        <v>0</v>
      </c>
      <c r="BG719" s="5">
        <v>0</v>
      </c>
      <c r="BH719" s="9">
        <f t="shared" si="90"/>
        <v>50</v>
      </c>
      <c r="BI719" s="10">
        <f t="shared" si="91"/>
        <v>134.98789141419871</v>
      </c>
      <c r="BJ719" s="6">
        <f t="shared" si="92"/>
        <v>10.430573032271461</v>
      </c>
      <c r="BK719" s="11">
        <f t="shared" si="93"/>
        <v>0.26360182169881502</v>
      </c>
      <c r="BL719" s="5">
        <f t="shared" si="94"/>
        <v>32.503075567781821</v>
      </c>
      <c r="BM719" s="11">
        <f t="shared" si="95"/>
        <v>0.31715015828774801</v>
      </c>
    </row>
    <row r="720" spans="1:65" ht="15" customHeight="1" x14ac:dyDescent="0.4">
      <c r="A720" s="2" t="s">
        <v>589</v>
      </c>
      <c r="B720" s="2" t="s">
        <v>66</v>
      </c>
      <c r="C720" s="2" t="s">
        <v>590</v>
      </c>
      <c r="D720" s="3" t="s">
        <v>68</v>
      </c>
      <c r="E720" s="3" t="s">
        <v>607</v>
      </c>
      <c r="F720" s="2" t="s">
        <v>608</v>
      </c>
      <c r="G720" s="4">
        <v>1</v>
      </c>
      <c r="H720" s="5">
        <v>6.4299999999999988</v>
      </c>
      <c r="I720" s="5">
        <v>6.7024875814154274</v>
      </c>
      <c r="J720" s="6">
        <v>11.870828090318559</v>
      </c>
      <c r="K720" s="5">
        <v>76.329424620748327</v>
      </c>
      <c r="L720" s="6">
        <v>0</v>
      </c>
      <c r="M720" s="5">
        <v>0</v>
      </c>
      <c r="N720" s="6">
        <v>0</v>
      </c>
      <c r="O720" s="5">
        <v>0</v>
      </c>
      <c r="P720" s="6">
        <v>0</v>
      </c>
      <c r="Q720" s="5">
        <v>0</v>
      </c>
      <c r="R720" s="6">
        <v>0</v>
      </c>
      <c r="S720" s="5">
        <v>0</v>
      </c>
      <c r="T720" s="6">
        <v>0</v>
      </c>
      <c r="U720" s="5">
        <v>0</v>
      </c>
      <c r="V720" s="6">
        <v>0</v>
      </c>
      <c r="W720" s="5">
        <v>0</v>
      </c>
      <c r="X720" s="6">
        <v>0</v>
      </c>
      <c r="Y720" s="5">
        <v>0</v>
      </c>
      <c r="Z720" s="6">
        <v>0</v>
      </c>
      <c r="AA720" s="5">
        <v>0</v>
      </c>
      <c r="AB720" s="6">
        <v>0</v>
      </c>
      <c r="AC720" s="5">
        <v>0</v>
      </c>
      <c r="AD720" s="6">
        <v>0</v>
      </c>
      <c r="AE720" s="5">
        <v>0</v>
      </c>
      <c r="AF720" s="6">
        <v>0</v>
      </c>
      <c r="AG720" s="5">
        <v>0</v>
      </c>
      <c r="AH720" s="7">
        <f t="shared" si="88"/>
        <v>11.870828090318559</v>
      </c>
      <c r="AI720" s="8">
        <f t="shared" si="89"/>
        <v>76.329424620748327</v>
      </c>
      <c r="AJ720" s="6">
        <v>13</v>
      </c>
      <c r="AK720" s="5">
        <v>87.132338558400548</v>
      </c>
      <c r="AL720" s="6">
        <v>0</v>
      </c>
      <c r="AM720" s="5">
        <v>0</v>
      </c>
      <c r="AN720" s="6">
        <v>0</v>
      </c>
      <c r="AO720" s="5">
        <v>0</v>
      </c>
      <c r="AP720" s="6">
        <v>0</v>
      </c>
      <c r="AQ720" s="5">
        <v>0</v>
      </c>
      <c r="AR720" s="6">
        <v>0</v>
      </c>
      <c r="AS720" s="5">
        <v>0</v>
      </c>
      <c r="AT720" s="6">
        <v>0</v>
      </c>
      <c r="AU720" s="5">
        <v>0</v>
      </c>
      <c r="AV720" s="6">
        <v>0</v>
      </c>
      <c r="AW720" s="5">
        <v>0</v>
      </c>
      <c r="AX720" s="6">
        <v>0</v>
      </c>
      <c r="AY720" s="5">
        <v>0</v>
      </c>
      <c r="AZ720" s="6">
        <v>0</v>
      </c>
      <c r="BA720" s="5">
        <v>0</v>
      </c>
      <c r="BB720" s="6">
        <v>0</v>
      </c>
      <c r="BC720" s="5">
        <v>0</v>
      </c>
      <c r="BD720" s="6">
        <v>0</v>
      </c>
      <c r="BE720" s="5">
        <v>0</v>
      </c>
      <c r="BF720" s="6">
        <v>0</v>
      </c>
      <c r="BG720" s="5">
        <v>0</v>
      </c>
      <c r="BH720" s="9">
        <f t="shared" si="90"/>
        <v>13</v>
      </c>
      <c r="BI720" s="10">
        <f t="shared" si="91"/>
        <v>87.132338558400548</v>
      </c>
      <c r="BJ720" s="6">
        <f t="shared" si="92"/>
        <v>1.1291719096814408</v>
      </c>
      <c r="BK720" s="11">
        <f t="shared" si="93"/>
        <v>9.5121578805639914E-2</v>
      </c>
      <c r="BL720" s="5">
        <f t="shared" si="94"/>
        <v>10.802913937652221</v>
      </c>
      <c r="BM720" s="11">
        <f t="shared" si="95"/>
        <v>0.14153013718271509</v>
      </c>
    </row>
    <row r="721" spans="1:65" ht="15" customHeight="1" x14ac:dyDescent="0.4">
      <c r="A721" s="2" t="s">
        <v>589</v>
      </c>
      <c r="B721" s="2" t="s">
        <v>66</v>
      </c>
      <c r="C721" s="2" t="s">
        <v>590</v>
      </c>
      <c r="D721" s="3" t="s">
        <v>68</v>
      </c>
      <c r="E721" s="3" t="s">
        <v>225</v>
      </c>
      <c r="F721" s="2" t="s">
        <v>609</v>
      </c>
      <c r="G721" s="4">
        <v>5</v>
      </c>
      <c r="H721" s="5">
        <v>5.2350000000000003</v>
      </c>
      <c r="I721" s="5">
        <v>5.4568464212612389</v>
      </c>
      <c r="J721" s="6">
        <v>19.78471348386427</v>
      </c>
      <c r="K721" s="5">
        <v>104.85898146448061</v>
      </c>
      <c r="L721" s="6">
        <v>19.78471348386427</v>
      </c>
      <c r="M721" s="5">
        <v>102.2869687115783</v>
      </c>
      <c r="N721" s="6">
        <v>0</v>
      </c>
      <c r="O721" s="5">
        <v>0</v>
      </c>
      <c r="P721" s="6">
        <v>0</v>
      </c>
      <c r="Q721" s="5">
        <v>0</v>
      </c>
      <c r="R721" s="6">
        <v>0</v>
      </c>
      <c r="S721" s="5">
        <v>0</v>
      </c>
      <c r="T721" s="6">
        <v>0</v>
      </c>
      <c r="U721" s="5">
        <v>0</v>
      </c>
      <c r="V721" s="6">
        <v>0</v>
      </c>
      <c r="W721" s="5">
        <v>0</v>
      </c>
      <c r="X721" s="6">
        <v>0</v>
      </c>
      <c r="Y721" s="5">
        <v>0</v>
      </c>
      <c r="Z721" s="6">
        <v>0</v>
      </c>
      <c r="AA721" s="5">
        <v>0</v>
      </c>
      <c r="AB721" s="6">
        <v>0</v>
      </c>
      <c r="AC721" s="5">
        <v>0</v>
      </c>
      <c r="AD721" s="6">
        <v>0</v>
      </c>
      <c r="AE721" s="5">
        <v>0</v>
      </c>
      <c r="AF721" s="6">
        <v>0</v>
      </c>
      <c r="AG721" s="5">
        <v>0</v>
      </c>
      <c r="AH721" s="7">
        <f t="shared" si="88"/>
        <v>39.569426967728539</v>
      </c>
      <c r="AI721" s="8">
        <f t="shared" si="89"/>
        <v>207.1459501760589</v>
      </c>
      <c r="AJ721" s="6">
        <v>20</v>
      </c>
      <c r="AK721" s="5">
        <v>110.49201922706619</v>
      </c>
      <c r="AL721" s="6">
        <v>20</v>
      </c>
      <c r="AM721" s="5">
        <v>107.7818376233834</v>
      </c>
      <c r="AN721" s="6">
        <v>0</v>
      </c>
      <c r="AO721" s="5">
        <v>0</v>
      </c>
      <c r="AP721" s="6">
        <v>0</v>
      </c>
      <c r="AQ721" s="5">
        <v>0</v>
      </c>
      <c r="AR721" s="6">
        <v>0</v>
      </c>
      <c r="AS721" s="5">
        <v>0</v>
      </c>
      <c r="AT721" s="6">
        <v>0</v>
      </c>
      <c r="AU721" s="5">
        <v>0</v>
      </c>
      <c r="AV721" s="6">
        <v>0</v>
      </c>
      <c r="AW721" s="5">
        <v>0</v>
      </c>
      <c r="AX721" s="6">
        <v>0</v>
      </c>
      <c r="AY721" s="5">
        <v>0</v>
      </c>
      <c r="AZ721" s="6">
        <v>0</v>
      </c>
      <c r="BA721" s="5">
        <v>0</v>
      </c>
      <c r="BB721" s="6">
        <v>0</v>
      </c>
      <c r="BC721" s="5">
        <v>0</v>
      </c>
      <c r="BD721" s="6">
        <v>0</v>
      </c>
      <c r="BE721" s="5">
        <v>0</v>
      </c>
      <c r="BF721" s="6">
        <v>0</v>
      </c>
      <c r="BG721" s="5">
        <v>0</v>
      </c>
      <c r="BH721" s="9">
        <f t="shared" si="90"/>
        <v>40</v>
      </c>
      <c r="BI721" s="10">
        <f t="shared" si="91"/>
        <v>218.27385685044959</v>
      </c>
      <c r="BJ721" s="6">
        <f t="shared" si="92"/>
        <v>0.43057303227146093</v>
      </c>
      <c r="BK721" s="11">
        <f t="shared" si="93"/>
        <v>1.0881457359052014E-2</v>
      </c>
      <c r="BL721" s="5">
        <f t="shared" si="94"/>
        <v>11.127906674390687</v>
      </c>
      <c r="BM721" s="11">
        <f t="shared" si="95"/>
        <v>5.372012663019856E-2</v>
      </c>
    </row>
    <row r="722" spans="1:65" ht="15" customHeight="1" x14ac:dyDescent="0.4">
      <c r="A722" s="2" t="s">
        <v>589</v>
      </c>
      <c r="B722" s="2" t="s">
        <v>66</v>
      </c>
      <c r="C722" s="2" t="s">
        <v>590</v>
      </c>
      <c r="D722" s="3" t="s">
        <v>68</v>
      </c>
      <c r="E722" s="3" t="s">
        <v>610</v>
      </c>
      <c r="F722" s="2" t="s">
        <v>611</v>
      </c>
      <c r="G722" s="4">
        <v>1</v>
      </c>
      <c r="H722" s="5">
        <v>4.0599999999999996</v>
      </c>
      <c r="I722" s="5">
        <v>4.2320528119046097</v>
      </c>
      <c r="J722" s="6">
        <v>0</v>
      </c>
      <c r="K722" s="5">
        <v>0</v>
      </c>
      <c r="L722" s="6">
        <v>11.870828090318559</v>
      </c>
      <c r="M722" s="5">
        <v>48.195562046693347</v>
      </c>
      <c r="N722" s="6">
        <v>0</v>
      </c>
      <c r="O722" s="5">
        <v>0</v>
      </c>
      <c r="P722" s="6">
        <v>0</v>
      </c>
      <c r="Q722" s="5">
        <v>0</v>
      </c>
      <c r="R722" s="6">
        <v>0</v>
      </c>
      <c r="S722" s="5">
        <v>0</v>
      </c>
      <c r="T722" s="6">
        <v>0</v>
      </c>
      <c r="U722" s="5">
        <v>0</v>
      </c>
      <c r="V722" s="6">
        <v>0</v>
      </c>
      <c r="W722" s="5">
        <v>0</v>
      </c>
      <c r="X722" s="6">
        <v>0</v>
      </c>
      <c r="Y722" s="5">
        <v>0</v>
      </c>
      <c r="Z722" s="6">
        <v>0</v>
      </c>
      <c r="AA722" s="5">
        <v>0</v>
      </c>
      <c r="AB722" s="6">
        <v>0</v>
      </c>
      <c r="AC722" s="5">
        <v>0</v>
      </c>
      <c r="AD722" s="6">
        <v>0</v>
      </c>
      <c r="AE722" s="5">
        <v>0</v>
      </c>
      <c r="AF722" s="6">
        <v>0</v>
      </c>
      <c r="AG722" s="5">
        <v>0</v>
      </c>
      <c r="AH722" s="7">
        <f t="shared" si="88"/>
        <v>11.870828090318559</v>
      </c>
      <c r="AI722" s="8">
        <f t="shared" si="89"/>
        <v>48.195562046693347</v>
      </c>
      <c r="AJ722" s="6">
        <v>0</v>
      </c>
      <c r="AK722" s="5">
        <v>0</v>
      </c>
      <c r="AL722" s="6">
        <v>13</v>
      </c>
      <c r="AM722" s="5">
        <v>55.016686554759922</v>
      </c>
      <c r="AN722" s="6">
        <v>0</v>
      </c>
      <c r="AO722" s="5">
        <v>0</v>
      </c>
      <c r="AP722" s="6">
        <v>0</v>
      </c>
      <c r="AQ722" s="5">
        <v>0</v>
      </c>
      <c r="AR722" s="6">
        <v>0</v>
      </c>
      <c r="AS722" s="5">
        <v>0</v>
      </c>
      <c r="AT722" s="6">
        <v>0</v>
      </c>
      <c r="AU722" s="5">
        <v>0</v>
      </c>
      <c r="AV722" s="6">
        <v>0</v>
      </c>
      <c r="AW722" s="5">
        <v>0</v>
      </c>
      <c r="AX722" s="6">
        <v>0</v>
      </c>
      <c r="AY722" s="5">
        <v>0</v>
      </c>
      <c r="AZ722" s="6">
        <v>0</v>
      </c>
      <c r="BA722" s="5">
        <v>0</v>
      </c>
      <c r="BB722" s="6">
        <v>0</v>
      </c>
      <c r="BC722" s="5">
        <v>0</v>
      </c>
      <c r="BD722" s="6">
        <v>0</v>
      </c>
      <c r="BE722" s="5">
        <v>0</v>
      </c>
      <c r="BF722" s="6">
        <v>0</v>
      </c>
      <c r="BG722" s="5">
        <v>0</v>
      </c>
      <c r="BH722" s="9">
        <f t="shared" si="90"/>
        <v>13</v>
      </c>
      <c r="BI722" s="10">
        <f t="shared" si="91"/>
        <v>55.016686554759922</v>
      </c>
      <c r="BJ722" s="6">
        <f t="shared" si="92"/>
        <v>1.1291719096814408</v>
      </c>
      <c r="BK722" s="11">
        <f t="shared" si="93"/>
        <v>9.5121578805639914E-2</v>
      </c>
      <c r="BL722" s="5">
        <f t="shared" si="94"/>
        <v>6.8211245080665748</v>
      </c>
      <c r="BM722" s="11">
        <f t="shared" si="95"/>
        <v>0.14153013718271526</v>
      </c>
    </row>
    <row r="723" spans="1:65" ht="15" customHeight="1" x14ac:dyDescent="0.4">
      <c r="A723" s="2" t="s">
        <v>589</v>
      </c>
      <c r="B723" s="2" t="s">
        <v>66</v>
      </c>
      <c r="C723" s="2" t="s">
        <v>590</v>
      </c>
      <c r="D723" s="3" t="s">
        <v>68</v>
      </c>
      <c r="E723" s="3" t="s">
        <v>247</v>
      </c>
      <c r="F723" s="2" t="s">
        <v>612</v>
      </c>
      <c r="G723" s="4">
        <v>5</v>
      </c>
      <c r="H723" s="5">
        <v>2.8050000000000002</v>
      </c>
      <c r="I723" s="5">
        <v>2.923868999357742</v>
      </c>
      <c r="J723" s="6">
        <v>39.569426967728532</v>
      </c>
      <c r="K723" s="5">
        <v>108.4202298915762</v>
      </c>
      <c r="L723" s="6">
        <v>0</v>
      </c>
      <c r="M723" s="5">
        <v>0</v>
      </c>
      <c r="N723" s="6">
        <v>0</v>
      </c>
      <c r="O723" s="5">
        <v>0</v>
      </c>
      <c r="P723" s="6">
        <v>0</v>
      </c>
      <c r="Q723" s="5">
        <v>0</v>
      </c>
      <c r="R723" s="6">
        <v>39.569426967728532</v>
      </c>
      <c r="S723" s="5">
        <v>113.5642553973809</v>
      </c>
      <c r="T723" s="6">
        <v>0</v>
      </c>
      <c r="U723" s="5">
        <v>0</v>
      </c>
      <c r="V723" s="6">
        <v>0</v>
      </c>
      <c r="W723" s="5">
        <v>0</v>
      </c>
      <c r="X723" s="6">
        <v>0</v>
      </c>
      <c r="Y723" s="5">
        <v>0</v>
      </c>
      <c r="Z723" s="6">
        <v>0</v>
      </c>
      <c r="AA723" s="5">
        <v>0</v>
      </c>
      <c r="AB723" s="6">
        <v>0</v>
      </c>
      <c r="AC723" s="5">
        <v>0</v>
      </c>
      <c r="AD723" s="6">
        <v>0</v>
      </c>
      <c r="AE723" s="5">
        <v>0</v>
      </c>
      <c r="AF723" s="6">
        <v>0</v>
      </c>
      <c r="AG723" s="5">
        <v>0</v>
      </c>
      <c r="AH723" s="7">
        <f t="shared" si="88"/>
        <v>79.138853935457064</v>
      </c>
      <c r="AI723" s="8">
        <f t="shared" si="89"/>
        <v>221.9844852889571</v>
      </c>
      <c r="AJ723" s="6">
        <v>45</v>
      </c>
      <c r="AK723" s="5">
        <v>128.52515066695531</v>
      </c>
      <c r="AL723" s="6">
        <v>0</v>
      </c>
      <c r="AM723" s="5">
        <v>0</v>
      </c>
      <c r="AN723" s="6">
        <v>0</v>
      </c>
      <c r="AO723" s="5">
        <v>0</v>
      </c>
      <c r="AP723" s="6">
        <v>0</v>
      </c>
      <c r="AQ723" s="5">
        <v>0</v>
      </c>
      <c r="AR723" s="6">
        <v>45</v>
      </c>
      <c r="AS723" s="5">
        <v>134.62305927524139</v>
      </c>
      <c r="AT723" s="6">
        <v>0</v>
      </c>
      <c r="AU723" s="5">
        <v>0</v>
      </c>
      <c r="AV723" s="6">
        <v>0</v>
      </c>
      <c r="AW723" s="5">
        <v>0</v>
      </c>
      <c r="AX723" s="6">
        <v>0</v>
      </c>
      <c r="AY723" s="5">
        <v>0</v>
      </c>
      <c r="AZ723" s="6">
        <v>0</v>
      </c>
      <c r="BA723" s="5">
        <v>0</v>
      </c>
      <c r="BB723" s="6">
        <v>0</v>
      </c>
      <c r="BC723" s="5">
        <v>0</v>
      </c>
      <c r="BD723" s="6">
        <v>0</v>
      </c>
      <c r="BE723" s="5">
        <v>0</v>
      </c>
      <c r="BF723" s="6">
        <v>0</v>
      </c>
      <c r="BG723" s="5">
        <v>0</v>
      </c>
      <c r="BH723" s="9">
        <f t="shared" si="90"/>
        <v>90</v>
      </c>
      <c r="BI723" s="10">
        <f t="shared" si="91"/>
        <v>263.14820994219667</v>
      </c>
      <c r="BJ723" s="6">
        <f t="shared" si="92"/>
        <v>10.861146064542936</v>
      </c>
      <c r="BK723" s="11">
        <f t="shared" si="93"/>
        <v>0.13724163952893373</v>
      </c>
      <c r="BL723" s="5">
        <f t="shared" si="94"/>
        <v>41.163724653239569</v>
      </c>
      <c r="BM723" s="11">
        <f t="shared" si="95"/>
        <v>0.18543514245897305</v>
      </c>
    </row>
    <row r="724" spans="1:65" ht="15" customHeight="1" x14ac:dyDescent="0.4">
      <c r="A724" s="2" t="s">
        <v>589</v>
      </c>
      <c r="B724" s="2" t="s">
        <v>66</v>
      </c>
      <c r="C724" s="2" t="s">
        <v>590</v>
      </c>
      <c r="D724" s="3" t="s">
        <v>68</v>
      </c>
      <c r="E724" s="3" t="s">
        <v>613</v>
      </c>
      <c r="F724" s="2" t="s">
        <v>614</v>
      </c>
      <c r="G724" s="4">
        <v>20</v>
      </c>
      <c r="H724" s="5">
        <v>2.3854285714285708</v>
      </c>
      <c r="I724" s="5">
        <v>2.48667718968444</v>
      </c>
      <c r="J724" s="6">
        <v>1266.221662967313</v>
      </c>
      <c r="K724" s="5">
        <v>3054.1266510771588</v>
      </c>
      <c r="L724" s="6">
        <v>1266.221662967313</v>
      </c>
      <c r="M724" s="5">
        <v>2905.9787165099829</v>
      </c>
      <c r="N724" s="6">
        <v>1266.221662967313</v>
      </c>
      <c r="O724" s="5">
        <v>2905.9787165099829</v>
      </c>
      <c r="P724" s="6">
        <v>0</v>
      </c>
      <c r="Q724" s="5">
        <v>0</v>
      </c>
      <c r="R724" s="6">
        <v>1187.082809031856</v>
      </c>
      <c r="S724" s="5">
        <v>3027.0611630312319</v>
      </c>
      <c r="T724" s="6">
        <v>0</v>
      </c>
      <c r="U724" s="5">
        <v>0</v>
      </c>
      <c r="V724" s="6">
        <v>0</v>
      </c>
      <c r="W724" s="5">
        <v>0</v>
      </c>
      <c r="X724" s="6">
        <v>0</v>
      </c>
      <c r="Y724" s="5">
        <v>0</v>
      </c>
      <c r="Z724" s="6">
        <v>0</v>
      </c>
      <c r="AA724" s="5">
        <v>0</v>
      </c>
      <c r="AB724" s="6">
        <v>0</v>
      </c>
      <c r="AC724" s="5">
        <v>0</v>
      </c>
      <c r="AD724" s="6">
        <v>0</v>
      </c>
      <c r="AE724" s="5">
        <v>0</v>
      </c>
      <c r="AF724" s="6">
        <v>0</v>
      </c>
      <c r="AG724" s="5">
        <v>0</v>
      </c>
      <c r="AH724" s="7">
        <f t="shared" si="88"/>
        <v>4985.7477979337946</v>
      </c>
      <c r="AI724" s="8">
        <f t="shared" si="89"/>
        <v>11893.145247128357</v>
      </c>
      <c r="AJ724" s="6">
        <v>1360</v>
      </c>
      <c r="AK724" s="5">
        <v>3419.331891612544</v>
      </c>
      <c r="AL724" s="6">
        <v>1360</v>
      </c>
      <c r="AM724" s="5">
        <v>3253.4687774671602</v>
      </c>
      <c r="AN724" s="6">
        <v>1360</v>
      </c>
      <c r="AO724" s="5">
        <v>3253.4687774671602</v>
      </c>
      <c r="AP724" s="6">
        <v>0</v>
      </c>
      <c r="AQ724" s="5">
        <v>0</v>
      </c>
      <c r="AR724" s="6">
        <v>1280</v>
      </c>
      <c r="AS724" s="5">
        <v>3402.3202901617351</v>
      </c>
      <c r="AT724" s="6">
        <v>0</v>
      </c>
      <c r="AU724" s="5">
        <v>0</v>
      </c>
      <c r="AV724" s="6">
        <v>0</v>
      </c>
      <c r="AW724" s="5">
        <v>0</v>
      </c>
      <c r="AX724" s="6">
        <v>0</v>
      </c>
      <c r="AY724" s="5">
        <v>0</v>
      </c>
      <c r="AZ724" s="6">
        <v>0</v>
      </c>
      <c r="BA724" s="5">
        <v>0</v>
      </c>
      <c r="BB724" s="6">
        <v>0</v>
      </c>
      <c r="BC724" s="5">
        <v>0</v>
      </c>
      <c r="BD724" s="6">
        <v>0</v>
      </c>
      <c r="BE724" s="5">
        <v>0</v>
      </c>
      <c r="BF724" s="6">
        <v>0</v>
      </c>
      <c r="BG724" s="5">
        <v>0</v>
      </c>
      <c r="BH724" s="9">
        <f t="shared" si="90"/>
        <v>5360</v>
      </c>
      <c r="BI724" s="10">
        <f t="shared" si="91"/>
        <v>13328.5897367086</v>
      </c>
      <c r="BJ724" s="6">
        <f t="shared" si="92"/>
        <v>374.25220206620543</v>
      </c>
      <c r="BK724" s="11">
        <f t="shared" si="93"/>
        <v>7.5064407032642916E-2</v>
      </c>
      <c r="BL724" s="5">
        <f t="shared" si="94"/>
        <v>1435.4444895802426</v>
      </c>
      <c r="BM724" s="11">
        <f t="shared" si="95"/>
        <v>0.12069511132278787</v>
      </c>
    </row>
    <row r="725" spans="1:65" ht="15" customHeight="1" x14ac:dyDescent="0.4">
      <c r="A725" s="2" t="s">
        <v>589</v>
      </c>
      <c r="B725" s="2" t="s">
        <v>66</v>
      </c>
      <c r="C725" s="2" t="s">
        <v>590</v>
      </c>
      <c r="D725" s="3" t="s">
        <v>68</v>
      </c>
      <c r="E725" s="3" t="s">
        <v>613</v>
      </c>
      <c r="F725" s="2" t="s">
        <v>615</v>
      </c>
      <c r="G725" s="4">
        <v>20</v>
      </c>
      <c r="H725" s="5">
        <v>2.3183604924289591</v>
      </c>
      <c r="I725" s="5">
        <v>2.4163108331376808</v>
      </c>
      <c r="J725" s="6">
        <v>0</v>
      </c>
      <c r="K725" s="5">
        <v>0</v>
      </c>
      <c r="L725" s="6">
        <v>0</v>
      </c>
      <c r="M725" s="5">
        <v>0</v>
      </c>
      <c r="N725" s="6">
        <v>0</v>
      </c>
      <c r="O725" s="5">
        <v>0</v>
      </c>
      <c r="P725" s="6">
        <v>1266.221662967313</v>
      </c>
      <c r="Q725" s="5">
        <v>2905.9787165099829</v>
      </c>
      <c r="R725" s="6">
        <v>0</v>
      </c>
      <c r="S725" s="5">
        <v>0</v>
      </c>
      <c r="T725" s="6">
        <v>0</v>
      </c>
      <c r="U725" s="5">
        <v>0</v>
      </c>
      <c r="V725" s="6">
        <v>0</v>
      </c>
      <c r="W725" s="5">
        <v>0</v>
      </c>
      <c r="X725" s="6">
        <v>0</v>
      </c>
      <c r="Y725" s="5">
        <v>0</v>
      </c>
      <c r="Z725" s="6">
        <v>0</v>
      </c>
      <c r="AA725" s="5">
        <v>0</v>
      </c>
      <c r="AB725" s="6">
        <v>0</v>
      </c>
      <c r="AC725" s="5">
        <v>0</v>
      </c>
      <c r="AD725" s="6">
        <v>606.7175291509692</v>
      </c>
      <c r="AE725" s="5">
        <v>1436.169511218855</v>
      </c>
      <c r="AF725" s="6">
        <v>0</v>
      </c>
      <c r="AG725" s="5">
        <v>0</v>
      </c>
      <c r="AH725" s="7">
        <f t="shared" si="88"/>
        <v>1872.9391921182823</v>
      </c>
      <c r="AI725" s="8">
        <f t="shared" si="89"/>
        <v>4342.1482277288378</v>
      </c>
      <c r="AJ725" s="6">
        <v>0</v>
      </c>
      <c r="AK725" s="5">
        <v>0</v>
      </c>
      <c r="AL725" s="6">
        <v>0</v>
      </c>
      <c r="AM725" s="5">
        <v>0</v>
      </c>
      <c r="AN725" s="6">
        <v>0</v>
      </c>
      <c r="AO725" s="5">
        <v>0</v>
      </c>
      <c r="AP725" s="6">
        <v>1360</v>
      </c>
      <c r="AQ725" s="5">
        <v>3253.4687774671602</v>
      </c>
      <c r="AR725" s="6">
        <v>0</v>
      </c>
      <c r="AS725" s="5">
        <v>0</v>
      </c>
      <c r="AT725" s="6">
        <v>0</v>
      </c>
      <c r="AU725" s="5">
        <v>0</v>
      </c>
      <c r="AV725" s="6">
        <v>0</v>
      </c>
      <c r="AW725" s="5">
        <v>0</v>
      </c>
      <c r="AX725" s="6">
        <v>0</v>
      </c>
      <c r="AY725" s="5">
        <v>0</v>
      </c>
      <c r="AZ725" s="6">
        <v>0</v>
      </c>
      <c r="BA725" s="5">
        <v>0</v>
      </c>
      <c r="BB725" s="6">
        <v>0</v>
      </c>
      <c r="BC725" s="5">
        <v>0</v>
      </c>
      <c r="BD725" s="6">
        <v>640</v>
      </c>
      <c r="BE725" s="5">
        <v>1579.152888808203</v>
      </c>
      <c r="BF725" s="6">
        <v>0</v>
      </c>
      <c r="BG725" s="5">
        <v>0</v>
      </c>
      <c r="BH725" s="9">
        <f t="shared" si="90"/>
        <v>2000</v>
      </c>
      <c r="BI725" s="10">
        <f t="shared" si="91"/>
        <v>4832.6216662753632</v>
      </c>
      <c r="BJ725" s="6">
        <f t="shared" si="92"/>
        <v>127.06080788171766</v>
      </c>
      <c r="BK725" s="11">
        <f t="shared" si="93"/>
        <v>6.7840327340266016E-2</v>
      </c>
      <c r="BL725" s="5">
        <f t="shared" si="94"/>
        <v>490.47343854652536</v>
      </c>
      <c r="BM725" s="11">
        <f t="shared" si="95"/>
        <v>0.11295640149140364</v>
      </c>
    </row>
    <row r="726" spans="1:65" ht="15" customHeight="1" x14ac:dyDescent="0.4">
      <c r="A726" s="2" t="s">
        <v>589</v>
      </c>
      <c r="B726" s="2" t="s">
        <v>66</v>
      </c>
      <c r="C726" s="2" t="s">
        <v>590</v>
      </c>
      <c r="D726" s="3" t="s">
        <v>68</v>
      </c>
      <c r="E726" s="3" t="s">
        <v>569</v>
      </c>
      <c r="F726" s="2" t="s">
        <v>570</v>
      </c>
      <c r="G726" s="4">
        <v>1</v>
      </c>
      <c r="H726" s="5">
        <v>5.1150000000000002</v>
      </c>
      <c r="I726" s="5">
        <v>5.3317611164758807</v>
      </c>
      <c r="J726" s="6">
        <v>11.870828090318559</v>
      </c>
      <c r="K726" s="5">
        <v>59.591557013399168</v>
      </c>
      <c r="L726" s="6">
        <v>0</v>
      </c>
      <c r="M726" s="5">
        <v>0</v>
      </c>
      <c r="N726" s="6">
        <v>0</v>
      </c>
      <c r="O726" s="5">
        <v>0</v>
      </c>
      <c r="P726" s="6">
        <v>11.870828090318559</v>
      </c>
      <c r="Q726" s="5">
        <v>59.591557013399168</v>
      </c>
      <c r="R726" s="6">
        <v>0</v>
      </c>
      <c r="S726" s="5">
        <v>0</v>
      </c>
      <c r="T726" s="6">
        <v>11.870828090318559</v>
      </c>
      <c r="U726" s="5">
        <v>61.847014350559697</v>
      </c>
      <c r="V726" s="6">
        <v>0</v>
      </c>
      <c r="W726" s="5">
        <v>0</v>
      </c>
      <c r="X726" s="6">
        <v>11.870828090318559</v>
      </c>
      <c r="Y726" s="5">
        <v>61.847014350559697</v>
      </c>
      <c r="Z726" s="6">
        <v>0</v>
      </c>
      <c r="AA726" s="5">
        <v>0</v>
      </c>
      <c r="AB726" s="6">
        <v>0</v>
      </c>
      <c r="AC726" s="5">
        <v>0</v>
      </c>
      <c r="AD726" s="6">
        <v>0</v>
      </c>
      <c r="AE726" s="5">
        <v>0</v>
      </c>
      <c r="AF726" s="6">
        <v>0</v>
      </c>
      <c r="AG726" s="5">
        <v>0</v>
      </c>
      <c r="AH726" s="7">
        <f t="shared" si="88"/>
        <v>47.483312361274237</v>
      </c>
      <c r="AI726" s="8">
        <f t="shared" si="89"/>
        <v>242.87714272791774</v>
      </c>
      <c r="AJ726" s="6">
        <v>13</v>
      </c>
      <c r="AK726" s="5">
        <v>68.02555825243715</v>
      </c>
      <c r="AL726" s="6">
        <v>0</v>
      </c>
      <c r="AM726" s="5">
        <v>0</v>
      </c>
      <c r="AN726" s="6">
        <v>0</v>
      </c>
      <c r="AO726" s="5">
        <v>0</v>
      </c>
      <c r="AP726" s="6">
        <v>13</v>
      </c>
      <c r="AQ726" s="5">
        <v>68.02555825243715</v>
      </c>
      <c r="AR726" s="6">
        <v>0</v>
      </c>
      <c r="AS726" s="5">
        <v>0</v>
      </c>
      <c r="AT726" s="6">
        <v>13</v>
      </c>
      <c r="AU726" s="5">
        <v>70.600230775935771</v>
      </c>
      <c r="AV726" s="6">
        <v>0</v>
      </c>
      <c r="AW726" s="5">
        <v>0</v>
      </c>
      <c r="AX726" s="6">
        <v>13</v>
      </c>
      <c r="AY726" s="5">
        <v>70.600230775935771</v>
      </c>
      <c r="AZ726" s="6">
        <v>0</v>
      </c>
      <c r="BA726" s="5">
        <v>0</v>
      </c>
      <c r="BB726" s="6">
        <v>0</v>
      </c>
      <c r="BC726" s="5">
        <v>0</v>
      </c>
      <c r="BD726" s="6">
        <v>0</v>
      </c>
      <c r="BE726" s="5">
        <v>0</v>
      </c>
      <c r="BF726" s="6">
        <v>0</v>
      </c>
      <c r="BG726" s="5">
        <v>0</v>
      </c>
      <c r="BH726" s="9">
        <f t="shared" si="90"/>
        <v>52</v>
      </c>
      <c r="BI726" s="10">
        <f t="shared" si="91"/>
        <v>277.25157805674581</v>
      </c>
      <c r="BJ726" s="6">
        <f t="shared" si="92"/>
        <v>4.5166876387257631</v>
      </c>
      <c r="BK726" s="11">
        <f t="shared" si="93"/>
        <v>9.5121578805639914E-2</v>
      </c>
      <c r="BL726" s="5">
        <f t="shared" si="94"/>
        <v>34.374435328828071</v>
      </c>
      <c r="BM726" s="11">
        <f t="shared" si="95"/>
        <v>0.14153013718271509</v>
      </c>
    </row>
    <row r="727" spans="1:65" ht="15" customHeight="1" x14ac:dyDescent="0.4">
      <c r="A727" s="2" t="s">
        <v>589</v>
      </c>
      <c r="B727" s="2" t="s">
        <v>66</v>
      </c>
      <c r="C727" s="2" t="s">
        <v>590</v>
      </c>
      <c r="D727" s="3" t="s">
        <v>68</v>
      </c>
      <c r="E727" s="3" t="s">
        <v>184</v>
      </c>
      <c r="F727" s="2" t="s">
        <v>185</v>
      </c>
      <c r="G727" s="4">
        <v>5</v>
      </c>
      <c r="H727" s="5">
        <v>3.5975000000000001</v>
      </c>
      <c r="I727" s="5">
        <v>3.7494004237429248</v>
      </c>
      <c r="J727" s="6">
        <v>0</v>
      </c>
      <c r="K727" s="5">
        <v>0</v>
      </c>
      <c r="L727" s="6">
        <v>19.78471348386427</v>
      </c>
      <c r="M727" s="5">
        <v>70.829274272234059</v>
      </c>
      <c r="N727" s="6">
        <v>39.569426967728532</v>
      </c>
      <c r="O727" s="5">
        <v>141.65854854446809</v>
      </c>
      <c r="P727" s="6">
        <v>79.138853935457064</v>
      </c>
      <c r="Q727" s="5">
        <v>283.31709708893618</v>
      </c>
      <c r="R727" s="6">
        <v>0</v>
      </c>
      <c r="S727" s="5">
        <v>0</v>
      </c>
      <c r="T727" s="6">
        <v>0</v>
      </c>
      <c r="U727" s="5">
        <v>0</v>
      </c>
      <c r="V727" s="6">
        <v>0</v>
      </c>
      <c r="W727" s="5">
        <v>0</v>
      </c>
      <c r="X727" s="6">
        <v>19.78471348386427</v>
      </c>
      <c r="Y727" s="5">
        <v>73.599134159975065</v>
      </c>
      <c r="Z727" s="6">
        <v>0</v>
      </c>
      <c r="AA727" s="5">
        <v>0</v>
      </c>
      <c r="AB727" s="6">
        <v>0</v>
      </c>
      <c r="AC727" s="5">
        <v>0</v>
      </c>
      <c r="AD727" s="6">
        <v>0</v>
      </c>
      <c r="AE727" s="5">
        <v>0</v>
      </c>
      <c r="AF727" s="6">
        <v>0</v>
      </c>
      <c r="AG727" s="5">
        <v>0</v>
      </c>
      <c r="AH727" s="7">
        <f t="shared" si="88"/>
        <v>158.27770787091413</v>
      </c>
      <c r="AI727" s="8">
        <f t="shared" si="89"/>
        <v>569.40405406561342</v>
      </c>
      <c r="AJ727" s="6">
        <v>0</v>
      </c>
      <c r="AK727" s="5">
        <v>0</v>
      </c>
      <c r="AL727" s="6">
        <v>20</v>
      </c>
      <c r="AM727" s="5">
        <v>74.634231855263536</v>
      </c>
      <c r="AN727" s="6">
        <v>40</v>
      </c>
      <c r="AO727" s="5">
        <v>149.2684637105271</v>
      </c>
      <c r="AP727" s="6">
        <v>85</v>
      </c>
      <c r="AQ727" s="5">
        <v>317.1954853848701</v>
      </c>
      <c r="AR727" s="6">
        <v>0</v>
      </c>
      <c r="AS727" s="5">
        <v>0</v>
      </c>
      <c r="AT727" s="6">
        <v>0</v>
      </c>
      <c r="AU727" s="5">
        <v>0</v>
      </c>
      <c r="AV727" s="6">
        <v>0</v>
      </c>
      <c r="AW727" s="5">
        <v>0</v>
      </c>
      <c r="AX727" s="6">
        <v>20</v>
      </c>
      <c r="AY727" s="5">
        <v>77.552888966921913</v>
      </c>
      <c r="AZ727" s="6">
        <v>0</v>
      </c>
      <c r="BA727" s="5">
        <v>0</v>
      </c>
      <c r="BB727" s="6">
        <v>0</v>
      </c>
      <c r="BC727" s="5">
        <v>0</v>
      </c>
      <c r="BD727" s="6">
        <v>0</v>
      </c>
      <c r="BE727" s="5">
        <v>0</v>
      </c>
      <c r="BF727" s="6">
        <v>0</v>
      </c>
      <c r="BG727" s="5">
        <v>0</v>
      </c>
      <c r="BH727" s="9">
        <f t="shared" si="90"/>
        <v>165</v>
      </c>
      <c r="BI727" s="10">
        <f t="shared" si="91"/>
        <v>618.65106991758262</v>
      </c>
      <c r="BJ727" s="6">
        <f t="shared" si="92"/>
        <v>6.7222921290858721</v>
      </c>
      <c r="BK727" s="11">
        <f t="shared" si="93"/>
        <v>4.247150290152258E-2</v>
      </c>
      <c r="BL727" s="5">
        <f t="shared" si="94"/>
        <v>49.247015851969195</v>
      </c>
      <c r="BM727" s="11">
        <f t="shared" si="95"/>
        <v>8.6488699018455489E-2</v>
      </c>
    </row>
    <row r="728" spans="1:65" ht="15" customHeight="1" x14ac:dyDescent="0.4">
      <c r="A728" s="2" t="s">
        <v>589</v>
      </c>
      <c r="B728" s="2" t="s">
        <v>66</v>
      </c>
      <c r="C728" s="2" t="s">
        <v>590</v>
      </c>
      <c r="D728" s="3" t="s">
        <v>68</v>
      </c>
      <c r="E728" s="3" t="s">
        <v>616</v>
      </c>
      <c r="F728" s="2" t="s">
        <v>439</v>
      </c>
      <c r="G728" s="4">
        <v>20</v>
      </c>
      <c r="H728" s="5">
        <v>3.3699999999999992</v>
      </c>
      <c r="I728" s="5">
        <v>3.512812309388802</v>
      </c>
      <c r="J728" s="6">
        <v>0</v>
      </c>
      <c r="K728" s="5">
        <v>0</v>
      </c>
      <c r="L728" s="6">
        <v>0</v>
      </c>
      <c r="M728" s="5">
        <v>0</v>
      </c>
      <c r="N728" s="6">
        <v>39.569426967728532</v>
      </c>
      <c r="O728" s="5">
        <v>130.57910899350409</v>
      </c>
      <c r="P728" s="6">
        <v>59.354140451592791</v>
      </c>
      <c r="Q728" s="5">
        <v>195.86866349025621</v>
      </c>
      <c r="R728" s="6">
        <v>79.138853935457064</v>
      </c>
      <c r="S728" s="5">
        <v>270.65488045926321</v>
      </c>
      <c r="T728" s="6">
        <v>0</v>
      </c>
      <c r="U728" s="5">
        <v>0</v>
      </c>
      <c r="V728" s="6">
        <v>0</v>
      </c>
      <c r="W728" s="5">
        <v>0</v>
      </c>
      <c r="X728" s="6">
        <v>59.354140451592791</v>
      </c>
      <c r="Y728" s="5">
        <v>202.99116034444731</v>
      </c>
      <c r="Z728" s="6">
        <v>0</v>
      </c>
      <c r="AA728" s="5">
        <v>0</v>
      </c>
      <c r="AB728" s="6">
        <v>0</v>
      </c>
      <c r="AC728" s="5">
        <v>0</v>
      </c>
      <c r="AD728" s="6">
        <v>0</v>
      </c>
      <c r="AE728" s="5">
        <v>0</v>
      </c>
      <c r="AF728" s="6">
        <v>0</v>
      </c>
      <c r="AG728" s="5">
        <v>0</v>
      </c>
      <c r="AH728" s="7">
        <f t="shared" si="88"/>
        <v>237.41656180637119</v>
      </c>
      <c r="AI728" s="8">
        <f t="shared" si="89"/>
        <v>800.09381328747077</v>
      </c>
      <c r="AJ728" s="6">
        <v>0</v>
      </c>
      <c r="AK728" s="5">
        <v>0</v>
      </c>
      <c r="AL728" s="6">
        <v>0</v>
      </c>
      <c r="AM728" s="5">
        <v>0</v>
      </c>
      <c r="AN728" s="6">
        <v>40</v>
      </c>
      <c r="AO728" s="5">
        <v>137.59383526389371</v>
      </c>
      <c r="AP728" s="6">
        <v>60</v>
      </c>
      <c r="AQ728" s="5">
        <v>206.39075289584059</v>
      </c>
      <c r="AR728" s="6">
        <v>80</v>
      </c>
      <c r="AS728" s="5">
        <v>285.19449491061607</v>
      </c>
      <c r="AT728" s="6">
        <v>0</v>
      </c>
      <c r="AU728" s="5">
        <v>0</v>
      </c>
      <c r="AV728" s="6">
        <v>0</v>
      </c>
      <c r="AW728" s="5">
        <v>0</v>
      </c>
      <c r="AX728" s="6">
        <v>60</v>
      </c>
      <c r="AY728" s="5">
        <v>213.895871182962</v>
      </c>
      <c r="AZ728" s="6">
        <v>0</v>
      </c>
      <c r="BA728" s="5">
        <v>0</v>
      </c>
      <c r="BB728" s="6">
        <v>0</v>
      </c>
      <c r="BC728" s="5">
        <v>0</v>
      </c>
      <c r="BD728" s="6">
        <v>0</v>
      </c>
      <c r="BE728" s="5">
        <v>0</v>
      </c>
      <c r="BF728" s="6">
        <v>0</v>
      </c>
      <c r="BG728" s="5">
        <v>0</v>
      </c>
      <c r="BH728" s="9">
        <f t="shared" si="90"/>
        <v>240</v>
      </c>
      <c r="BI728" s="10">
        <f t="shared" si="91"/>
        <v>843.07495425331228</v>
      </c>
      <c r="BJ728" s="6">
        <f t="shared" si="92"/>
        <v>2.5834381936288082</v>
      </c>
      <c r="BK728" s="11">
        <f t="shared" si="93"/>
        <v>1.0881457359052195E-2</v>
      </c>
      <c r="BL728" s="5">
        <f t="shared" si="94"/>
        <v>42.981140965841519</v>
      </c>
      <c r="BM728" s="11">
        <f t="shared" si="95"/>
        <v>5.372012663019874E-2</v>
      </c>
    </row>
    <row r="729" spans="1:65" ht="15" customHeight="1" x14ac:dyDescent="0.4">
      <c r="A729" s="2" t="s">
        <v>589</v>
      </c>
      <c r="B729" s="2" t="s">
        <v>66</v>
      </c>
      <c r="C729" s="2" t="s">
        <v>590</v>
      </c>
      <c r="D729" s="3" t="s">
        <v>68</v>
      </c>
      <c r="E729" s="3" t="s">
        <v>617</v>
      </c>
      <c r="F729" s="2" t="s">
        <v>618</v>
      </c>
      <c r="G729" s="4">
        <v>200</v>
      </c>
      <c r="H729" s="5">
        <v>2.29</v>
      </c>
      <c r="I729" s="5">
        <v>2.3870445663205802</v>
      </c>
      <c r="J729" s="6">
        <v>0</v>
      </c>
      <c r="K729" s="5">
        <v>0</v>
      </c>
      <c r="L729" s="6">
        <v>197.84713483864269</v>
      </c>
      <c r="M729" s="5">
        <v>453.06993878049173</v>
      </c>
      <c r="N729" s="6">
        <v>0</v>
      </c>
      <c r="O729" s="5">
        <v>0</v>
      </c>
      <c r="P729" s="6">
        <v>0</v>
      </c>
      <c r="Q729" s="5">
        <v>0</v>
      </c>
      <c r="R729" s="6">
        <v>0</v>
      </c>
      <c r="S729" s="5">
        <v>0</v>
      </c>
      <c r="T729" s="6">
        <v>0</v>
      </c>
      <c r="U729" s="5">
        <v>0</v>
      </c>
      <c r="V729" s="6">
        <v>0</v>
      </c>
      <c r="W729" s="5">
        <v>0</v>
      </c>
      <c r="X729" s="6">
        <v>0</v>
      </c>
      <c r="Y729" s="5">
        <v>0</v>
      </c>
      <c r="Z729" s="6">
        <v>0</v>
      </c>
      <c r="AA729" s="5">
        <v>0</v>
      </c>
      <c r="AB729" s="6">
        <v>0</v>
      </c>
      <c r="AC729" s="5">
        <v>0</v>
      </c>
      <c r="AD729" s="6">
        <v>0</v>
      </c>
      <c r="AE729" s="5">
        <v>0</v>
      </c>
      <c r="AF729" s="6">
        <v>0</v>
      </c>
      <c r="AG729" s="5">
        <v>0</v>
      </c>
      <c r="AH729" s="7">
        <f t="shared" si="88"/>
        <v>197.84713483864269</v>
      </c>
      <c r="AI729" s="8">
        <f t="shared" si="89"/>
        <v>453.06993878049173</v>
      </c>
      <c r="AJ729" s="6">
        <v>0</v>
      </c>
      <c r="AK729" s="5">
        <v>0</v>
      </c>
      <c r="AL729" s="6">
        <v>200</v>
      </c>
      <c r="AM729" s="5">
        <v>477.40891326411611</v>
      </c>
      <c r="AN729" s="6">
        <v>0</v>
      </c>
      <c r="AO729" s="5">
        <v>0</v>
      </c>
      <c r="AP729" s="6">
        <v>0</v>
      </c>
      <c r="AQ729" s="5">
        <v>0</v>
      </c>
      <c r="AR729" s="6">
        <v>0</v>
      </c>
      <c r="AS729" s="5">
        <v>0</v>
      </c>
      <c r="AT729" s="6">
        <v>0</v>
      </c>
      <c r="AU729" s="5">
        <v>0</v>
      </c>
      <c r="AV729" s="6">
        <v>0</v>
      </c>
      <c r="AW729" s="5">
        <v>0</v>
      </c>
      <c r="AX729" s="6">
        <v>0</v>
      </c>
      <c r="AY729" s="5">
        <v>0</v>
      </c>
      <c r="AZ729" s="6">
        <v>0</v>
      </c>
      <c r="BA729" s="5">
        <v>0</v>
      </c>
      <c r="BB729" s="6">
        <v>0</v>
      </c>
      <c r="BC729" s="5">
        <v>0</v>
      </c>
      <c r="BD729" s="6">
        <v>0</v>
      </c>
      <c r="BE729" s="5">
        <v>0</v>
      </c>
      <c r="BF729" s="6">
        <v>0</v>
      </c>
      <c r="BG729" s="5">
        <v>0</v>
      </c>
      <c r="BH729" s="9">
        <f t="shared" si="90"/>
        <v>200</v>
      </c>
      <c r="BI729" s="10">
        <f t="shared" si="91"/>
        <v>477.40891326411611</v>
      </c>
      <c r="BJ729" s="6">
        <f t="shared" si="92"/>
        <v>2.1528651613573118</v>
      </c>
      <c r="BK729" s="11">
        <f t="shared" si="93"/>
        <v>1.0881457359052051E-2</v>
      </c>
      <c r="BL729" s="5">
        <f t="shared" si="94"/>
        <v>24.338974483624384</v>
      </c>
      <c r="BM729" s="11">
        <f t="shared" si="95"/>
        <v>5.3720126630198692E-2</v>
      </c>
    </row>
    <row r="730" spans="1:65" ht="15" customHeight="1" x14ac:dyDescent="0.4">
      <c r="A730" s="2" t="s">
        <v>589</v>
      </c>
      <c r="B730" s="2" t="s">
        <v>66</v>
      </c>
      <c r="C730" s="2" t="s">
        <v>590</v>
      </c>
      <c r="D730" s="3" t="s">
        <v>68</v>
      </c>
      <c r="E730" s="3" t="s">
        <v>249</v>
      </c>
      <c r="F730" s="2" t="s">
        <v>250</v>
      </c>
      <c r="G730" s="4">
        <v>1</v>
      </c>
      <c r="H730" s="5">
        <v>4.5399999999999991</v>
      </c>
      <c r="I730" s="5">
        <v>4.7323940310460406</v>
      </c>
      <c r="J730" s="6">
        <v>0</v>
      </c>
      <c r="K730" s="5">
        <v>0</v>
      </c>
      <c r="L730" s="6">
        <v>0</v>
      </c>
      <c r="M730" s="5">
        <v>0</v>
      </c>
      <c r="N730" s="6">
        <v>0</v>
      </c>
      <c r="O730" s="5">
        <v>0</v>
      </c>
      <c r="P730" s="6">
        <v>0</v>
      </c>
      <c r="Q730" s="5">
        <v>0</v>
      </c>
      <c r="R730" s="6">
        <v>0</v>
      </c>
      <c r="S730" s="5">
        <v>0</v>
      </c>
      <c r="T730" s="6">
        <v>11.870828090318559</v>
      </c>
      <c r="U730" s="5">
        <v>53.893559530046247</v>
      </c>
      <c r="V730" s="6">
        <v>0</v>
      </c>
      <c r="W730" s="5">
        <v>0</v>
      </c>
      <c r="X730" s="6">
        <v>11.870828090318559</v>
      </c>
      <c r="Y730" s="5">
        <v>53.893559530046247</v>
      </c>
      <c r="Z730" s="6">
        <v>0</v>
      </c>
      <c r="AA730" s="5">
        <v>0</v>
      </c>
      <c r="AB730" s="6">
        <v>0</v>
      </c>
      <c r="AC730" s="5">
        <v>0</v>
      </c>
      <c r="AD730" s="6">
        <v>0</v>
      </c>
      <c r="AE730" s="5">
        <v>0</v>
      </c>
      <c r="AF730" s="6">
        <v>0</v>
      </c>
      <c r="AG730" s="5">
        <v>0</v>
      </c>
      <c r="AH730" s="7">
        <f t="shared" si="88"/>
        <v>23.741656180637118</v>
      </c>
      <c r="AI730" s="8">
        <f t="shared" si="89"/>
        <v>107.78711906009249</v>
      </c>
      <c r="AJ730" s="6">
        <v>0</v>
      </c>
      <c r="AK730" s="5">
        <v>0</v>
      </c>
      <c r="AL730" s="6">
        <v>0</v>
      </c>
      <c r="AM730" s="5">
        <v>0</v>
      </c>
      <c r="AN730" s="6">
        <v>0</v>
      </c>
      <c r="AO730" s="5">
        <v>0</v>
      </c>
      <c r="AP730" s="6">
        <v>0</v>
      </c>
      <c r="AQ730" s="5">
        <v>0</v>
      </c>
      <c r="AR730" s="6">
        <v>0</v>
      </c>
      <c r="AS730" s="5">
        <v>0</v>
      </c>
      <c r="AT730" s="6">
        <v>13</v>
      </c>
      <c r="AU730" s="5">
        <v>61.521122403598532</v>
      </c>
      <c r="AV730" s="6">
        <v>0</v>
      </c>
      <c r="AW730" s="5">
        <v>0</v>
      </c>
      <c r="AX730" s="6">
        <v>13</v>
      </c>
      <c r="AY730" s="5">
        <v>61.521122403598532</v>
      </c>
      <c r="AZ730" s="6">
        <v>0</v>
      </c>
      <c r="BA730" s="5">
        <v>0</v>
      </c>
      <c r="BB730" s="6">
        <v>0</v>
      </c>
      <c r="BC730" s="5">
        <v>0</v>
      </c>
      <c r="BD730" s="6">
        <v>0</v>
      </c>
      <c r="BE730" s="5">
        <v>0</v>
      </c>
      <c r="BF730" s="6">
        <v>0</v>
      </c>
      <c r="BG730" s="5">
        <v>0</v>
      </c>
      <c r="BH730" s="9">
        <f t="shared" si="90"/>
        <v>26</v>
      </c>
      <c r="BI730" s="10">
        <f t="shared" si="91"/>
        <v>123.04224480719706</v>
      </c>
      <c r="BJ730" s="6">
        <f t="shared" si="92"/>
        <v>2.2583438193628815</v>
      </c>
      <c r="BK730" s="11">
        <f t="shared" si="93"/>
        <v>9.5121578805639914E-2</v>
      </c>
      <c r="BL730" s="5">
        <f t="shared" si="94"/>
        <v>15.255125747104572</v>
      </c>
      <c r="BM730" s="11">
        <f t="shared" si="95"/>
        <v>0.14153013718271543</v>
      </c>
    </row>
    <row r="731" spans="1:65" ht="15" customHeight="1" x14ac:dyDescent="0.4">
      <c r="A731" s="2" t="s">
        <v>589</v>
      </c>
      <c r="B731" s="2" t="s">
        <v>66</v>
      </c>
      <c r="C731" s="2" t="s">
        <v>590</v>
      </c>
      <c r="D731" s="3" t="s">
        <v>68</v>
      </c>
      <c r="E731" s="3" t="s">
        <v>128</v>
      </c>
      <c r="F731" s="2" t="s">
        <v>129</v>
      </c>
      <c r="G731" s="4">
        <v>5</v>
      </c>
      <c r="H731" s="5">
        <v>3.4899999999999989</v>
      </c>
      <c r="I731" s="5">
        <v>3.6378976141741588</v>
      </c>
      <c r="J731" s="6">
        <v>0</v>
      </c>
      <c r="K731" s="5">
        <v>0</v>
      </c>
      <c r="L731" s="6">
        <v>0</v>
      </c>
      <c r="M731" s="5">
        <v>0</v>
      </c>
      <c r="N731" s="6">
        <v>0</v>
      </c>
      <c r="O731" s="5">
        <v>0</v>
      </c>
      <c r="P731" s="6">
        <v>0</v>
      </c>
      <c r="Q731" s="5">
        <v>0</v>
      </c>
      <c r="R731" s="6">
        <v>39.569426967728532</v>
      </c>
      <c r="S731" s="5">
        <v>138.09730011737261</v>
      </c>
      <c r="T731" s="6">
        <v>0</v>
      </c>
      <c r="U731" s="5">
        <v>0</v>
      </c>
      <c r="V731" s="6">
        <v>0</v>
      </c>
      <c r="W731" s="5">
        <v>0</v>
      </c>
      <c r="X731" s="6">
        <v>19.78471348386427</v>
      </c>
      <c r="Y731" s="5">
        <v>69.048650058686277</v>
      </c>
      <c r="Z731" s="6">
        <v>0</v>
      </c>
      <c r="AA731" s="5">
        <v>0</v>
      </c>
      <c r="AB731" s="6">
        <v>0</v>
      </c>
      <c r="AC731" s="5">
        <v>0</v>
      </c>
      <c r="AD731" s="6">
        <v>0</v>
      </c>
      <c r="AE731" s="5">
        <v>0</v>
      </c>
      <c r="AF731" s="6">
        <v>0</v>
      </c>
      <c r="AG731" s="5">
        <v>0</v>
      </c>
      <c r="AH731" s="7">
        <f t="shared" si="88"/>
        <v>59.354140451592798</v>
      </c>
      <c r="AI731" s="8">
        <f t="shared" si="89"/>
        <v>207.14595017605888</v>
      </c>
      <c r="AJ731" s="6">
        <v>0</v>
      </c>
      <c r="AK731" s="5">
        <v>0</v>
      </c>
      <c r="AL731" s="6">
        <v>0</v>
      </c>
      <c r="AM731" s="5">
        <v>0</v>
      </c>
      <c r="AN731" s="6">
        <v>0</v>
      </c>
      <c r="AO731" s="5">
        <v>0</v>
      </c>
      <c r="AP731" s="6">
        <v>0</v>
      </c>
      <c r="AQ731" s="5">
        <v>0</v>
      </c>
      <c r="AR731" s="6">
        <v>45</v>
      </c>
      <c r="AS731" s="5">
        <v>163.70539263783721</v>
      </c>
      <c r="AT731" s="6">
        <v>0</v>
      </c>
      <c r="AU731" s="5">
        <v>0</v>
      </c>
      <c r="AV731" s="6">
        <v>0</v>
      </c>
      <c r="AW731" s="5">
        <v>0</v>
      </c>
      <c r="AX731" s="6">
        <v>20</v>
      </c>
      <c r="AY731" s="5">
        <v>72.757952283483178</v>
      </c>
      <c r="AZ731" s="6">
        <v>0</v>
      </c>
      <c r="BA731" s="5">
        <v>0</v>
      </c>
      <c r="BB731" s="6">
        <v>0</v>
      </c>
      <c r="BC731" s="5">
        <v>0</v>
      </c>
      <c r="BD731" s="6">
        <v>0</v>
      </c>
      <c r="BE731" s="5">
        <v>0</v>
      </c>
      <c r="BF731" s="6">
        <v>0</v>
      </c>
      <c r="BG731" s="5">
        <v>0</v>
      </c>
      <c r="BH731" s="9">
        <f t="shared" si="90"/>
        <v>65</v>
      </c>
      <c r="BI731" s="10">
        <f t="shared" si="91"/>
        <v>236.46334492132038</v>
      </c>
      <c r="BJ731" s="6">
        <f t="shared" si="92"/>
        <v>5.6458595484072021</v>
      </c>
      <c r="BK731" s="11">
        <f t="shared" si="93"/>
        <v>9.5121578805639873E-2</v>
      </c>
      <c r="BL731" s="5">
        <f t="shared" si="94"/>
        <v>29.31739474526151</v>
      </c>
      <c r="BM731" s="11">
        <f t="shared" si="95"/>
        <v>0.14153013718271523</v>
      </c>
    </row>
    <row r="732" spans="1:65" ht="15" customHeight="1" x14ac:dyDescent="0.4">
      <c r="A732" s="2" t="s">
        <v>589</v>
      </c>
      <c r="B732" s="2" t="s">
        <v>66</v>
      </c>
      <c r="C732" s="2" t="s">
        <v>590</v>
      </c>
      <c r="D732" s="3" t="s">
        <v>68</v>
      </c>
      <c r="E732" s="3" t="s">
        <v>79</v>
      </c>
      <c r="F732" s="2" t="s">
        <v>80</v>
      </c>
      <c r="G732" s="4">
        <v>20</v>
      </c>
      <c r="H732" s="5">
        <v>3.1356068366820922</v>
      </c>
      <c r="I732" s="5">
        <v>3.2688269841907438</v>
      </c>
      <c r="J732" s="6">
        <v>0</v>
      </c>
      <c r="K732" s="5">
        <v>0</v>
      </c>
      <c r="L732" s="6">
        <v>0</v>
      </c>
      <c r="M732" s="5">
        <v>0</v>
      </c>
      <c r="N732" s="6">
        <v>633.11083148365651</v>
      </c>
      <c r="O732" s="5">
        <v>1981.6369025438451</v>
      </c>
      <c r="P732" s="6">
        <v>0</v>
      </c>
      <c r="Q732" s="5">
        <v>0</v>
      </c>
      <c r="R732" s="6">
        <v>0</v>
      </c>
      <c r="S732" s="5">
        <v>0</v>
      </c>
      <c r="T732" s="6">
        <v>0</v>
      </c>
      <c r="U732" s="5">
        <v>0</v>
      </c>
      <c r="V732" s="6">
        <v>633.11083148365651</v>
      </c>
      <c r="W732" s="5">
        <v>2038.6168773773741</v>
      </c>
      <c r="X732" s="6">
        <v>0</v>
      </c>
      <c r="Y732" s="5">
        <v>0</v>
      </c>
      <c r="Z732" s="6">
        <v>0</v>
      </c>
      <c r="AA732" s="5">
        <v>0</v>
      </c>
      <c r="AB732" s="6">
        <v>606.7175291509692</v>
      </c>
      <c r="AC732" s="5">
        <v>1877.4873939576739</v>
      </c>
      <c r="AD732" s="6">
        <v>606.7175291509692</v>
      </c>
      <c r="AE732" s="5">
        <v>1877.4873939576739</v>
      </c>
      <c r="AF732" s="6">
        <v>0</v>
      </c>
      <c r="AG732" s="5">
        <v>0</v>
      </c>
      <c r="AH732" s="7">
        <f t="shared" si="88"/>
        <v>2479.6567212692516</v>
      </c>
      <c r="AI732" s="8">
        <f t="shared" si="89"/>
        <v>7775.228567836567</v>
      </c>
      <c r="AJ732" s="6">
        <v>0</v>
      </c>
      <c r="AK732" s="5">
        <v>0</v>
      </c>
      <c r="AL732" s="6">
        <v>0</v>
      </c>
      <c r="AM732" s="5">
        <v>0</v>
      </c>
      <c r="AN732" s="6">
        <v>700</v>
      </c>
      <c r="AO732" s="5">
        <v>2283.8491898726602</v>
      </c>
      <c r="AP732" s="6">
        <v>0</v>
      </c>
      <c r="AQ732" s="5">
        <v>0</v>
      </c>
      <c r="AR732" s="6">
        <v>0</v>
      </c>
      <c r="AS732" s="5">
        <v>0</v>
      </c>
      <c r="AT732" s="6">
        <v>0</v>
      </c>
      <c r="AU732" s="5">
        <v>0</v>
      </c>
      <c r="AV732" s="6">
        <v>700</v>
      </c>
      <c r="AW732" s="5">
        <v>2349.518974884973</v>
      </c>
      <c r="AX732" s="6">
        <v>0</v>
      </c>
      <c r="AY732" s="5">
        <v>0</v>
      </c>
      <c r="AZ732" s="6">
        <v>0</v>
      </c>
      <c r="BA732" s="5">
        <v>0</v>
      </c>
      <c r="BB732" s="6">
        <v>660</v>
      </c>
      <c r="BC732" s="5">
        <v>2128.9206161205962</v>
      </c>
      <c r="BD732" s="6">
        <v>660</v>
      </c>
      <c r="BE732" s="5">
        <v>2128.9206161205962</v>
      </c>
      <c r="BF732" s="6">
        <v>0</v>
      </c>
      <c r="BG732" s="5">
        <v>0</v>
      </c>
      <c r="BH732" s="9">
        <f t="shared" si="90"/>
        <v>2720</v>
      </c>
      <c r="BI732" s="10">
        <f t="shared" si="91"/>
        <v>8891.2093969988255</v>
      </c>
      <c r="BJ732" s="6">
        <f t="shared" si="92"/>
        <v>240.34327873074835</v>
      </c>
      <c r="BK732" s="11">
        <f t="shared" si="93"/>
        <v>9.6926028780195364E-2</v>
      </c>
      <c r="BL732" s="5">
        <f t="shared" si="94"/>
        <v>1115.9808291622585</v>
      </c>
      <c r="BM732" s="11">
        <f t="shared" si="95"/>
        <v>0.14353029231560926</v>
      </c>
    </row>
    <row r="733" spans="1:65" ht="15" customHeight="1" x14ac:dyDescent="0.4">
      <c r="A733" s="2" t="s">
        <v>589</v>
      </c>
      <c r="B733" s="2" t="s">
        <v>66</v>
      </c>
      <c r="C733" s="2" t="s">
        <v>590</v>
      </c>
      <c r="D733" s="3" t="s">
        <v>68</v>
      </c>
      <c r="E733" s="3" t="s">
        <v>231</v>
      </c>
      <c r="F733" s="2" t="s">
        <v>232</v>
      </c>
      <c r="G733" s="4">
        <v>200</v>
      </c>
      <c r="H733" s="5">
        <v>3.0819999999999999</v>
      </c>
      <c r="I733" s="5">
        <v>3.2126075779039418</v>
      </c>
      <c r="J733" s="6">
        <v>0</v>
      </c>
      <c r="K733" s="5">
        <v>0</v>
      </c>
      <c r="L733" s="6">
        <v>197.84713483864269</v>
      </c>
      <c r="M733" s="5">
        <v>603.43376125786006</v>
      </c>
      <c r="N733" s="6">
        <v>0</v>
      </c>
      <c r="O733" s="5">
        <v>0</v>
      </c>
      <c r="P733" s="6">
        <v>395.69426967728532</v>
      </c>
      <c r="Q733" s="5">
        <v>1206.8675225157201</v>
      </c>
      <c r="R733" s="6">
        <v>197.84713483864269</v>
      </c>
      <c r="S733" s="5">
        <v>619.26153204495154</v>
      </c>
      <c r="T733" s="6">
        <v>197.84713483864269</v>
      </c>
      <c r="U733" s="5">
        <v>619.26153204495154</v>
      </c>
      <c r="V733" s="6">
        <v>0</v>
      </c>
      <c r="W733" s="5">
        <v>0</v>
      </c>
      <c r="X733" s="6">
        <v>0</v>
      </c>
      <c r="Y733" s="5">
        <v>0</v>
      </c>
      <c r="Z733" s="6">
        <v>0</v>
      </c>
      <c r="AA733" s="5">
        <v>0</v>
      </c>
      <c r="AB733" s="6">
        <v>189.59922785967791</v>
      </c>
      <c r="AC733" s="5">
        <v>584.34482026352714</v>
      </c>
      <c r="AD733" s="6">
        <v>189.59922785967791</v>
      </c>
      <c r="AE733" s="5">
        <v>584.34482026352714</v>
      </c>
      <c r="AF733" s="6">
        <v>0</v>
      </c>
      <c r="AG733" s="5">
        <v>0</v>
      </c>
      <c r="AH733" s="7">
        <f t="shared" si="88"/>
        <v>1368.4341299125692</v>
      </c>
      <c r="AI733" s="8">
        <f t="shared" si="89"/>
        <v>4217.5139883905376</v>
      </c>
      <c r="AJ733" s="6">
        <v>0</v>
      </c>
      <c r="AK733" s="5">
        <v>0</v>
      </c>
      <c r="AL733" s="6">
        <v>200</v>
      </c>
      <c r="AM733" s="5">
        <v>635.85029932556938</v>
      </c>
      <c r="AN733" s="6">
        <v>0</v>
      </c>
      <c r="AO733" s="5">
        <v>0</v>
      </c>
      <c r="AP733" s="6">
        <v>400</v>
      </c>
      <c r="AQ733" s="5">
        <v>1271.700598651139</v>
      </c>
      <c r="AR733" s="6">
        <v>200</v>
      </c>
      <c r="AS733" s="5">
        <v>652.5283399636171</v>
      </c>
      <c r="AT733" s="6">
        <v>200</v>
      </c>
      <c r="AU733" s="5">
        <v>652.5283399636171</v>
      </c>
      <c r="AV733" s="6">
        <v>0</v>
      </c>
      <c r="AW733" s="5">
        <v>0</v>
      </c>
      <c r="AX733" s="6">
        <v>0</v>
      </c>
      <c r="AY733" s="5">
        <v>0</v>
      </c>
      <c r="AZ733" s="6">
        <v>0</v>
      </c>
      <c r="BA733" s="5">
        <v>0</v>
      </c>
      <c r="BB733" s="6">
        <v>200</v>
      </c>
      <c r="BC733" s="5">
        <v>642.52151558078845</v>
      </c>
      <c r="BD733" s="6">
        <v>200</v>
      </c>
      <c r="BE733" s="5">
        <v>642.52151558078845</v>
      </c>
      <c r="BF733" s="6">
        <v>0</v>
      </c>
      <c r="BG733" s="5">
        <v>0</v>
      </c>
      <c r="BH733" s="9">
        <f t="shared" si="90"/>
        <v>1400</v>
      </c>
      <c r="BI733" s="10">
        <f t="shared" si="91"/>
        <v>4497.6506090655193</v>
      </c>
      <c r="BJ733" s="6">
        <f t="shared" si="92"/>
        <v>31.565870087430767</v>
      </c>
      <c r="BK733" s="11">
        <f t="shared" si="93"/>
        <v>2.3067146161757559E-2</v>
      </c>
      <c r="BL733" s="5">
        <f t="shared" si="94"/>
        <v>280.13662067498171</v>
      </c>
      <c r="BM733" s="11">
        <f t="shared" si="95"/>
        <v>6.6422214946081484E-2</v>
      </c>
    </row>
    <row r="734" spans="1:65" ht="15" customHeight="1" x14ac:dyDescent="0.4">
      <c r="A734" s="2" t="s">
        <v>589</v>
      </c>
      <c r="B734" s="2" t="s">
        <v>66</v>
      </c>
      <c r="C734" s="2" t="s">
        <v>590</v>
      </c>
      <c r="D734" s="3" t="s">
        <v>68</v>
      </c>
      <c r="E734" s="3" t="s">
        <v>94</v>
      </c>
      <c r="F734" s="2" t="s">
        <v>130</v>
      </c>
      <c r="G734" s="4">
        <v>20</v>
      </c>
      <c r="H734" s="5">
        <v>1.7324999999999999</v>
      </c>
      <c r="I734" s="5">
        <v>1.8059190878386051</v>
      </c>
      <c r="J734" s="6">
        <v>633.11083148365651</v>
      </c>
      <c r="K734" s="5">
        <v>1071.2235268703471</v>
      </c>
      <c r="L734" s="6">
        <v>0</v>
      </c>
      <c r="M734" s="5">
        <v>0</v>
      </c>
      <c r="N734" s="6">
        <v>633.11083148365651</v>
      </c>
      <c r="O734" s="5">
        <v>1122.5055042205231</v>
      </c>
      <c r="P734" s="6">
        <v>0</v>
      </c>
      <c r="Q734" s="5">
        <v>0</v>
      </c>
      <c r="R734" s="6">
        <v>0</v>
      </c>
      <c r="S734" s="5">
        <v>0</v>
      </c>
      <c r="T734" s="6">
        <v>0</v>
      </c>
      <c r="U734" s="5">
        <v>0</v>
      </c>
      <c r="V734" s="6">
        <v>0</v>
      </c>
      <c r="W734" s="5">
        <v>0</v>
      </c>
      <c r="X734" s="6">
        <v>0</v>
      </c>
      <c r="Y734" s="5">
        <v>0</v>
      </c>
      <c r="Z734" s="6">
        <v>0</v>
      </c>
      <c r="AA734" s="5">
        <v>0</v>
      </c>
      <c r="AB734" s="6">
        <v>0</v>
      </c>
      <c r="AC734" s="5">
        <v>0</v>
      </c>
      <c r="AD734" s="6">
        <v>0</v>
      </c>
      <c r="AE734" s="5">
        <v>0</v>
      </c>
      <c r="AF734" s="6">
        <v>0</v>
      </c>
      <c r="AG734" s="5">
        <v>0</v>
      </c>
      <c r="AH734" s="7">
        <f t="shared" si="88"/>
        <v>1266.221662967313</v>
      </c>
      <c r="AI734" s="8">
        <f t="shared" si="89"/>
        <v>2193.7290310908702</v>
      </c>
      <c r="AJ734" s="6">
        <v>680</v>
      </c>
      <c r="AK734" s="5">
        <v>1199.317902282012</v>
      </c>
      <c r="AL734" s="6">
        <v>0</v>
      </c>
      <c r="AM734" s="5">
        <v>0</v>
      </c>
      <c r="AN734" s="6">
        <v>680</v>
      </c>
      <c r="AO734" s="5">
        <v>1256.732057178491</v>
      </c>
      <c r="AP734" s="6">
        <v>0</v>
      </c>
      <c r="AQ734" s="5">
        <v>0</v>
      </c>
      <c r="AR734" s="6">
        <v>0</v>
      </c>
      <c r="AS734" s="5">
        <v>0</v>
      </c>
      <c r="AT734" s="6">
        <v>0</v>
      </c>
      <c r="AU734" s="5">
        <v>0</v>
      </c>
      <c r="AV734" s="6">
        <v>0</v>
      </c>
      <c r="AW734" s="5">
        <v>0</v>
      </c>
      <c r="AX734" s="6">
        <v>0</v>
      </c>
      <c r="AY734" s="5">
        <v>0</v>
      </c>
      <c r="AZ734" s="6">
        <v>0</v>
      </c>
      <c r="BA734" s="5">
        <v>0</v>
      </c>
      <c r="BB734" s="6">
        <v>0</v>
      </c>
      <c r="BC734" s="5">
        <v>0</v>
      </c>
      <c r="BD734" s="6">
        <v>0</v>
      </c>
      <c r="BE734" s="5">
        <v>0</v>
      </c>
      <c r="BF734" s="6">
        <v>0</v>
      </c>
      <c r="BG734" s="5">
        <v>0</v>
      </c>
      <c r="BH734" s="9">
        <f t="shared" si="90"/>
        <v>1360</v>
      </c>
      <c r="BI734" s="10">
        <f t="shared" si="91"/>
        <v>2456.049959460503</v>
      </c>
      <c r="BJ734" s="6">
        <f t="shared" si="92"/>
        <v>93.778337032686977</v>
      </c>
      <c r="BK734" s="11">
        <f t="shared" si="93"/>
        <v>7.4061548443992958E-2</v>
      </c>
      <c r="BL734" s="5">
        <f t="shared" si="94"/>
        <v>262.32092836963284</v>
      </c>
      <c r="BM734" s="11">
        <f t="shared" si="95"/>
        <v>0.11957763454458602</v>
      </c>
    </row>
    <row r="735" spans="1:65" ht="15" customHeight="1" x14ac:dyDescent="0.4">
      <c r="A735" s="2" t="s">
        <v>589</v>
      </c>
      <c r="B735" s="2" t="s">
        <v>66</v>
      </c>
      <c r="C735" s="2" t="s">
        <v>590</v>
      </c>
      <c r="D735" s="3" t="s">
        <v>68</v>
      </c>
      <c r="E735" s="3" t="s">
        <v>94</v>
      </c>
      <c r="F735" s="2" t="s">
        <v>95</v>
      </c>
      <c r="G735" s="4">
        <v>20</v>
      </c>
      <c r="H735" s="5">
        <v>1.910361237832493</v>
      </c>
      <c r="I735" s="5">
        <v>1.9904466400262359</v>
      </c>
      <c r="J735" s="6">
        <v>0</v>
      </c>
      <c r="K735" s="5">
        <v>0</v>
      </c>
      <c r="L735" s="6">
        <v>0</v>
      </c>
      <c r="M735" s="5">
        <v>0</v>
      </c>
      <c r="N735" s="6">
        <v>0</v>
      </c>
      <c r="O735" s="5">
        <v>0</v>
      </c>
      <c r="P735" s="6">
        <v>0</v>
      </c>
      <c r="Q735" s="5">
        <v>0</v>
      </c>
      <c r="R735" s="6">
        <v>633.11083148365651</v>
      </c>
      <c r="S735" s="5">
        <v>1304.208312856332</v>
      </c>
      <c r="T735" s="6">
        <v>633.11083148365651</v>
      </c>
      <c r="U735" s="5">
        <v>1304.208312856332</v>
      </c>
      <c r="V735" s="6">
        <v>0</v>
      </c>
      <c r="W735" s="5">
        <v>0</v>
      </c>
      <c r="X735" s="6">
        <v>633.11083148365651</v>
      </c>
      <c r="Y735" s="5">
        <v>1304.208312856332</v>
      </c>
      <c r="Z735" s="6">
        <v>0</v>
      </c>
      <c r="AA735" s="5">
        <v>0</v>
      </c>
      <c r="AB735" s="6">
        <v>1213.4350583019379</v>
      </c>
      <c r="AC735" s="5">
        <v>2175.9924182999512</v>
      </c>
      <c r="AD735" s="6">
        <v>1213.4350583019379</v>
      </c>
      <c r="AE735" s="5">
        <v>2175.9924182999512</v>
      </c>
      <c r="AF735" s="6">
        <v>0</v>
      </c>
      <c r="AG735" s="5">
        <v>0</v>
      </c>
      <c r="AH735" s="7">
        <f t="shared" si="88"/>
        <v>4326.202611054845</v>
      </c>
      <c r="AI735" s="8">
        <f t="shared" si="89"/>
        <v>8264.6097751688976</v>
      </c>
      <c r="AJ735" s="6">
        <v>0</v>
      </c>
      <c r="AK735" s="5">
        <v>0</v>
      </c>
      <c r="AL735" s="6">
        <v>0</v>
      </c>
      <c r="AM735" s="5">
        <v>0</v>
      </c>
      <c r="AN735" s="6">
        <v>0</v>
      </c>
      <c r="AO735" s="5">
        <v>0</v>
      </c>
      <c r="AP735" s="6">
        <v>0</v>
      </c>
      <c r="AQ735" s="5">
        <v>0</v>
      </c>
      <c r="AR735" s="6">
        <v>680</v>
      </c>
      <c r="AS735" s="5">
        <v>1460.1624578610781</v>
      </c>
      <c r="AT735" s="6">
        <v>680</v>
      </c>
      <c r="AU735" s="5">
        <v>1460.1624578610781</v>
      </c>
      <c r="AV735" s="6">
        <v>0</v>
      </c>
      <c r="AW735" s="5">
        <v>0</v>
      </c>
      <c r="AX735" s="6">
        <v>680</v>
      </c>
      <c r="AY735" s="5">
        <v>1460.1624578610781</v>
      </c>
      <c r="AZ735" s="6">
        <v>0</v>
      </c>
      <c r="BA735" s="5">
        <v>0</v>
      </c>
      <c r="BB735" s="6">
        <v>1320</v>
      </c>
      <c r="BC735" s="5">
        <v>2467.4014508697742</v>
      </c>
      <c r="BD735" s="6">
        <v>1320</v>
      </c>
      <c r="BE735" s="5">
        <v>2467.4014508697742</v>
      </c>
      <c r="BF735" s="6">
        <v>0</v>
      </c>
      <c r="BG735" s="5">
        <v>0</v>
      </c>
      <c r="BH735" s="9">
        <f t="shared" si="90"/>
        <v>4680</v>
      </c>
      <c r="BI735" s="10">
        <f t="shared" si="91"/>
        <v>9315.2902753227827</v>
      </c>
      <c r="BJ735" s="6">
        <f t="shared" si="92"/>
        <v>353.79738894515503</v>
      </c>
      <c r="BK735" s="11">
        <f t="shared" si="93"/>
        <v>8.1780124685119568E-2</v>
      </c>
      <c r="BL735" s="5">
        <f t="shared" si="94"/>
        <v>1050.6805001538851</v>
      </c>
      <c r="BM735" s="11">
        <f t="shared" si="95"/>
        <v>0.12713007979041735</v>
      </c>
    </row>
    <row r="736" spans="1:65" ht="15" customHeight="1" x14ac:dyDescent="0.4">
      <c r="A736" s="2" t="s">
        <v>589</v>
      </c>
      <c r="B736" s="2" t="s">
        <v>66</v>
      </c>
      <c r="C736" s="2" t="s">
        <v>590</v>
      </c>
      <c r="D736" s="3" t="s">
        <v>68</v>
      </c>
      <c r="E736" s="3" t="s">
        <v>235</v>
      </c>
      <c r="F736" s="2" t="s">
        <v>619</v>
      </c>
      <c r="G736" s="4">
        <v>200</v>
      </c>
      <c r="H736" s="5">
        <v>1.8330976292501451</v>
      </c>
      <c r="I736" s="5">
        <v>1.909114464286525</v>
      </c>
      <c r="J736" s="6">
        <v>0</v>
      </c>
      <c r="K736" s="5">
        <v>0</v>
      </c>
      <c r="L736" s="6">
        <v>0</v>
      </c>
      <c r="M736" s="5">
        <v>0</v>
      </c>
      <c r="N736" s="6">
        <v>0</v>
      </c>
      <c r="O736" s="5">
        <v>0</v>
      </c>
      <c r="P736" s="6">
        <v>0</v>
      </c>
      <c r="Q736" s="5">
        <v>0</v>
      </c>
      <c r="R736" s="6">
        <v>0</v>
      </c>
      <c r="S736" s="5">
        <v>0</v>
      </c>
      <c r="T736" s="6">
        <v>0</v>
      </c>
      <c r="U736" s="5">
        <v>0</v>
      </c>
      <c r="V736" s="6">
        <v>0</v>
      </c>
      <c r="W736" s="5">
        <v>0</v>
      </c>
      <c r="X736" s="6">
        <v>791.38853935457064</v>
      </c>
      <c r="Y736" s="5">
        <v>1566.9493079220499</v>
      </c>
      <c r="Z736" s="6">
        <v>0</v>
      </c>
      <c r="AA736" s="5">
        <v>0</v>
      </c>
      <c r="AB736" s="6">
        <v>1137.5953671580669</v>
      </c>
      <c r="AC736" s="5">
        <v>2027.1949442756761</v>
      </c>
      <c r="AD736" s="6">
        <v>1137.5953671580669</v>
      </c>
      <c r="AE736" s="5">
        <v>2027.1949442756761</v>
      </c>
      <c r="AF736" s="6">
        <v>0</v>
      </c>
      <c r="AG736" s="5">
        <v>0</v>
      </c>
      <c r="AH736" s="7">
        <f t="shared" si="88"/>
        <v>3066.5792736707044</v>
      </c>
      <c r="AI736" s="8">
        <f t="shared" si="89"/>
        <v>5621.3391964734019</v>
      </c>
      <c r="AJ736" s="6">
        <v>0</v>
      </c>
      <c r="AK736" s="5">
        <v>0</v>
      </c>
      <c r="AL736" s="6">
        <v>0</v>
      </c>
      <c r="AM736" s="5">
        <v>0</v>
      </c>
      <c r="AN736" s="6">
        <v>0</v>
      </c>
      <c r="AO736" s="5">
        <v>0</v>
      </c>
      <c r="AP736" s="6">
        <v>0</v>
      </c>
      <c r="AQ736" s="5">
        <v>0</v>
      </c>
      <c r="AR736" s="6">
        <v>0</v>
      </c>
      <c r="AS736" s="5">
        <v>0</v>
      </c>
      <c r="AT736" s="6">
        <v>0</v>
      </c>
      <c r="AU736" s="5">
        <v>0</v>
      </c>
      <c r="AV736" s="6">
        <v>0</v>
      </c>
      <c r="AW736" s="5">
        <v>0</v>
      </c>
      <c r="AX736" s="6">
        <v>800</v>
      </c>
      <c r="AY736" s="5">
        <v>1651.126023166725</v>
      </c>
      <c r="AZ736" s="6">
        <v>0</v>
      </c>
      <c r="BA736" s="5">
        <v>0</v>
      </c>
      <c r="BB736" s="6">
        <v>1200</v>
      </c>
      <c r="BC736" s="5">
        <v>2229.0201312750778</v>
      </c>
      <c r="BD736" s="6">
        <v>1200</v>
      </c>
      <c r="BE736" s="5">
        <v>2229.0201312750778</v>
      </c>
      <c r="BF736" s="6">
        <v>0</v>
      </c>
      <c r="BG736" s="5">
        <v>0</v>
      </c>
      <c r="BH736" s="9">
        <f t="shared" si="90"/>
        <v>3200</v>
      </c>
      <c r="BI736" s="10">
        <f t="shared" si="91"/>
        <v>6109.1662857168803</v>
      </c>
      <c r="BJ736" s="6">
        <f t="shared" si="92"/>
        <v>133.42072632929558</v>
      </c>
      <c r="BK736" s="11">
        <f t="shared" si="93"/>
        <v>4.3507998464227073E-2</v>
      </c>
      <c r="BL736" s="5">
        <f t="shared" si="94"/>
        <v>487.82708924347844</v>
      </c>
      <c r="BM736" s="11">
        <f t="shared" si="95"/>
        <v>8.6781293957411645E-2</v>
      </c>
    </row>
    <row r="737" spans="1:65" ht="15" customHeight="1" x14ac:dyDescent="0.4">
      <c r="A737" s="2" t="s">
        <v>589</v>
      </c>
      <c r="B737" s="2" t="s">
        <v>66</v>
      </c>
      <c r="C737" s="2" t="s">
        <v>590</v>
      </c>
      <c r="D737" s="3" t="s">
        <v>68</v>
      </c>
      <c r="E737" s="3" t="s">
        <v>253</v>
      </c>
      <c r="F737" s="2" t="s">
        <v>254</v>
      </c>
      <c r="G737" s="4">
        <v>20</v>
      </c>
      <c r="H737" s="5">
        <v>3.72</v>
      </c>
      <c r="I737" s="5">
        <v>3.877644448346095</v>
      </c>
      <c r="J737" s="6">
        <v>79.138853935457064</v>
      </c>
      <c r="K737" s="5">
        <v>294.39653663990032</v>
      </c>
      <c r="L737" s="6">
        <v>0</v>
      </c>
      <c r="M737" s="5">
        <v>0</v>
      </c>
      <c r="N737" s="6">
        <v>0</v>
      </c>
      <c r="O737" s="5">
        <v>0</v>
      </c>
      <c r="P737" s="6">
        <v>0</v>
      </c>
      <c r="Q737" s="5">
        <v>0</v>
      </c>
      <c r="R737" s="6">
        <v>0</v>
      </c>
      <c r="S737" s="5">
        <v>0</v>
      </c>
      <c r="T737" s="6">
        <v>0</v>
      </c>
      <c r="U737" s="5">
        <v>0</v>
      </c>
      <c r="V737" s="6">
        <v>0</v>
      </c>
      <c r="W737" s="5">
        <v>0</v>
      </c>
      <c r="X737" s="6">
        <v>0</v>
      </c>
      <c r="Y737" s="5">
        <v>0</v>
      </c>
      <c r="Z737" s="6">
        <v>0</v>
      </c>
      <c r="AA737" s="5">
        <v>0</v>
      </c>
      <c r="AB737" s="6">
        <v>0</v>
      </c>
      <c r="AC737" s="5">
        <v>0</v>
      </c>
      <c r="AD737" s="6">
        <v>0</v>
      </c>
      <c r="AE737" s="5">
        <v>0</v>
      </c>
      <c r="AF737" s="6">
        <v>0</v>
      </c>
      <c r="AG737" s="5">
        <v>0</v>
      </c>
      <c r="AH737" s="7">
        <f t="shared" si="88"/>
        <v>79.138853935457064</v>
      </c>
      <c r="AI737" s="8">
        <f t="shared" si="89"/>
        <v>294.39653663990032</v>
      </c>
      <c r="AJ737" s="6">
        <v>80</v>
      </c>
      <c r="AK737" s="5">
        <v>310.21155586768771</v>
      </c>
      <c r="AL737" s="6">
        <v>0</v>
      </c>
      <c r="AM737" s="5">
        <v>0</v>
      </c>
      <c r="AN737" s="6">
        <v>0</v>
      </c>
      <c r="AO737" s="5">
        <v>0</v>
      </c>
      <c r="AP737" s="6">
        <v>0</v>
      </c>
      <c r="AQ737" s="5">
        <v>0</v>
      </c>
      <c r="AR737" s="6">
        <v>0</v>
      </c>
      <c r="AS737" s="5">
        <v>0</v>
      </c>
      <c r="AT737" s="6">
        <v>0</v>
      </c>
      <c r="AU737" s="5">
        <v>0</v>
      </c>
      <c r="AV737" s="6">
        <v>0</v>
      </c>
      <c r="AW737" s="5">
        <v>0</v>
      </c>
      <c r="AX737" s="6">
        <v>0</v>
      </c>
      <c r="AY737" s="5">
        <v>0</v>
      </c>
      <c r="AZ737" s="6">
        <v>0</v>
      </c>
      <c r="BA737" s="5">
        <v>0</v>
      </c>
      <c r="BB737" s="6">
        <v>0</v>
      </c>
      <c r="BC737" s="5">
        <v>0</v>
      </c>
      <c r="BD737" s="6">
        <v>0</v>
      </c>
      <c r="BE737" s="5">
        <v>0</v>
      </c>
      <c r="BF737" s="6">
        <v>0</v>
      </c>
      <c r="BG737" s="5">
        <v>0</v>
      </c>
      <c r="BH737" s="9">
        <f t="shared" si="90"/>
        <v>80</v>
      </c>
      <c r="BI737" s="10">
        <f t="shared" si="91"/>
        <v>310.21155586768771</v>
      </c>
      <c r="BJ737" s="6">
        <f t="shared" si="92"/>
        <v>0.86114606454293607</v>
      </c>
      <c r="BK737" s="11">
        <f t="shared" si="93"/>
        <v>1.0881457359052195E-2</v>
      </c>
      <c r="BL737" s="5">
        <f t="shared" si="94"/>
        <v>15.815019227787388</v>
      </c>
      <c r="BM737" s="11">
        <f t="shared" si="95"/>
        <v>5.372012663019874E-2</v>
      </c>
    </row>
    <row r="738" spans="1:65" ht="15" customHeight="1" x14ac:dyDescent="0.4">
      <c r="A738" s="2" t="s">
        <v>589</v>
      </c>
      <c r="B738" s="2" t="s">
        <v>66</v>
      </c>
      <c r="C738" s="2" t="s">
        <v>590</v>
      </c>
      <c r="D738" s="3" t="s">
        <v>68</v>
      </c>
      <c r="E738" s="3" t="s">
        <v>253</v>
      </c>
      <c r="F738" s="2" t="s">
        <v>548</v>
      </c>
      <c r="G738" s="4">
        <v>20</v>
      </c>
      <c r="H738" s="5">
        <v>3.72</v>
      </c>
      <c r="I738" s="5">
        <v>3.877644448346095</v>
      </c>
      <c r="J738" s="6">
        <v>0</v>
      </c>
      <c r="K738" s="5">
        <v>0</v>
      </c>
      <c r="L738" s="6">
        <v>0</v>
      </c>
      <c r="M738" s="5">
        <v>0</v>
      </c>
      <c r="N738" s="6">
        <v>0</v>
      </c>
      <c r="O738" s="5">
        <v>0</v>
      </c>
      <c r="P738" s="6">
        <v>0</v>
      </c>
      <c r="Q738" s="5">
        <v>0</v>
      </c>
      <c r="R738" s="6">
        <v>0</v>
      </c>
      <c r="S738" s="5">
        <v>0</v>
      </c>
      <c r="T738" s="6">
        <v>0</v>
      </c>
      <c r="U738" s="5">
        <v>0</v>
      </c>
      <c r="V738" s="6">
        <v>98.92356741932133</v>
      </c>
      <c r="W738" s="5">
        <v>367.99567079987531</v>
      </c>
      <c r="X738" s="6">
        <v>59.354140451592798</v>
      </c>
      <c r="Y738" s="5">
        <v>220.79740247992521</v>
      </c>
      <c r="Z738" s="6">
        <v>0</v>
      </c>
      <c r="AA738" s="5">
        <v>0</v>
      </c>
      <c r="AB738" s="6">
        <v>0</v>
      </c>
      <c r="AC738" s="5">
        <v>0</v>
      </c>
      <c r="AD738" s="6">
        <v>0</v>
      </c>
      <c r="AE738" s="5">
        <v>0</v>
      </c>
      <c r="AF738" s="6">
        <v>0</v>
      </c>
      <c r="AG738" s="5">
        <v>0</v>
      </c>
      <c r="AH738" s="7">
        <f t="shared" si="88"/>
        <v>158.27770787091413</v>
      </c>
      <c r="AI738" s="8">
        <f t="shared" si="89"/>
        <v>588.79307327980052</v>
      </c>
      <c r="AJ738" s="6">
        <v>0</v>
      </c>
      <c r="AK738" s="5">
        <v>0</v>
      </c>
      <c r="AL738" s="6">
        <v>0</v>
      </c>
      <c r="AM738" s="5">
        <v>0</v>
      </c>
      <c r="AN738" s="6">
        <v>0</v>
      </c>
      <c r="AO738" s="5">
        <v>0</v>
      </c>
      <c r="AP738" s="6">
        <v>0</v>
      </c>
      <c r="AQ738" s="5">
        <v>0</v>
      </c>
      <c r="AR738" s="6">
        <v>0</v>
      </c>
      <c r="AS738" s="5">
        <v>0</v>
      </c>
      <c r="AT738" s="6">
        <v>0</v>
      </c>
      <c r="AU738" s="5">
        <v>0</v>
      </c>
      <c r="AV738" s="6">
        <v>100</v>
      </c>
      <c r="AW738" s="5">
        <v>387.76444483460949</v>
      </c>
      <c r="AX738" s="6">
        <v>60</v>
      </c>
      <c r="AY738" s="5">
        <v>232.65866690076581</v>
      </c>
      <c r="AZ738" s="6">
        <v>0</v>
      </c>
      <c r="BA738" s="5">
        <v>0</v>
      </c>
      <c r="BB738" s="6">
        <v>0</v>
      </c>
      <c r="BC738" s="5">
        <v>0</v>
      </c>
      <c r="BD738" s="6">
        <v>0</v>
      </c>
      <c r="BE738" s="5">
        <v>0</v>
      </c>
      <c r="BF738" s="6">
        <v>0</v>
      </c>
      <c r="BG738" s="5">
        <v>0</v>
      </c>
      <c r="BH738" s="9">
        <f t="shared" si="90"/>
        <v>160</v>
      </c>
      <c r="BI738" s="10">
        <f t="shared" si="91"/>
        <v>620.4231117353753</v>
      </c>
      <c r="BJ738" s="6">
        <f t="shared" si="92"/>
        <v>1.7222921290858721</v>
      </c>
      <c r="BK738" s="11">
        <f t="shared" si="93"/>
        <v>1.0881457359052195E-2</v>
      </c>
      <c r="BL738" s="5">
        <f t="shared" si="94"/>
        <v>31.630038455574777</v>
      </c>
      <c r="BM738" s="11">
        <f t="shared" si="95"/>
        <v>5.3720126630198754E-2</v>
      </c>
    </row>
    <row r="739" spans="1:65" ht="15" customHeight="1" x14ac:dyDescent="0.4">
      <c r="A739" s="2" t="s">
        <v>589</v>
      </c>
      <c r="B739" s="2" t="s">
        <v>66</v>
      </c>
      <c r="C739" s="2" t="s">
        <v>590</v>
      </c>
      <c r="D739" s="3" t="s">
        <v>68</v>
      </c>
      <c r="E739" s="3" t="s">
        <v>140</v>
      </c>
      <c r="F739" s="2" t="s">
        <v>141</v>
      </c>
      <c r="G739" s="4">
        <v>5</v>
      </c>
      <c r="H739" s="5">
        <v>10.21125</v>
      </c>
      <c r="I739" s="5">
        <v>10.654195697068641</v>
      </c>
      <c r="J739" s="6">
        <v>98.92356741932133</v>
      </c>
      <c r="K739" s="5">
        <v>1065.406821106091</v>
      </c>
      <c r="L739" s="6">
        <v>0</v>
      </c>
      <c r="M739" s="5">
        <v>0</v>
      </c>
      <c r="N739" s="6">
        <v>59.354140451592791</v>
      </c>
      <c r="O739" s="5">
        <v>550.80642339078111</v>
      </c>
      <c r="P739" s="6">
        <v>0</v>
      </c>
      <c r="Q739" s="5">
        <v>0</v>
      </c>
      <c r="R739" s="6">
        <v>0</v>
      </c>
      <c r="S739" s="5">
        <v>0</v>
      </c>
      <c r="T739" s="6">
        <v>0</v>
      </c>
      <c r="U739" s="5">
        <v>0</v>
      </c>
      <c r="V739" s="6">
        <v>0</v>
      </c>
      <c r="W739" s="5">
        <v>0</v>
      </c>
      <c r="X739" s="6">
        <v>0</v>
      </c>
      <c r="Y739" s="5">
        <v>0</v>
      </c>
      <c r="Z739" s="6">
        <v>0</v>
      </c>
      <c r="AA739" s="5">
        <v>0</v>
      </c>
      <c r="AB739" s="6">
        <v>0</v>
      </c>
      <c r="AC739" s="5">
        <v>0</v>
      </c>
      <c r="AD739" s="6">
        <v>0</v>
      </c>
      <c r="AE739" s="5">
        <v>0</v>
      </c>
      <c r="AF739" s="6">
        <v>0</v>
      </c>
      <c r="AG739" s="5">
        <v>0</v>
      </c>
      <c r="AH739" s="7">
        <f t="shared" si="88"/>
        <v>158.27770787091413</v>
      </c>
      <c r="AI739" s="8">
        <f t="shared" si="89"/>
        <v>1616.213244496872</v>
      </c>
      <c r="AJ739" s="6">
        <v>120</v>
      </c>
      <c r="AK739" s="5">
        <v>1347.168732538305</v>
      </c>
      <c r="AL739" s="6">
        <v>0</v>
      </c>
      <c r="AM739" s="5">
        <v>0</v>
      </c>
      <c r="AN739" s="6">
        <v>70</v>
      </c>
      <c r="AO739" s="5">
        <v>677.12844990473764</v>
      </c>
      <c r="AP739" s="6">
        <v>0</v>
      </c>
      <c r="AQ739" s="5">
        <v>0</v>
      </c>
      <c r="AR739" s="6">
        <v>0</v>
      </c>
      <c r="AS739" s="5">
        <v>0</v>
      </c>
      <c r="AT739" s="6">
        <v>0</v>
      </c>
      <c r="AU739" s="5">
        <v>0</v>
      </c>
      <c r="AV739" s="6">
        <v>0</v>
      </c>
      <c r="AW739" s="5">
        <v>0</v>
      </c>
      <c r="AX739" s="6">
        <v>0</v>
      </c>
      <c r="AY739" s="5">
        <v>0</v>
      </c>
      <c r="AZ739" s="6">
        <v>0</v>
      </c>
      <c r="BA739" s="5">
        <v>0</v>
      </c>
      <c r="BB739" s="6">
        <v>0</v>
      </c>
      <c r="BC739" s="5">
        <v>0</v>
      </c>
      <c r="BD739" s="6">
        <v>0</v>
      </c>
      <c r="BE739" s="5">
        <v>0</v>
      </c>
      <c r="BF739" s="6">
        <v>0</v>
      </c>
      <c r="BG739" s="5">
        <v>0</v>
      </c>
      <c r="BH739" s="9">
        <f t="shared" si="90"/>
        <v>190</v>
      </c>
      <c r="BI739" s="10">
        <f t="shared" si="91"/>
        <v>2024.2971824430426</v>
      </c>
      <c r="BJ739" s="6">
        <f t="shared" si="92"/>
        <v>31.722292129085872</v>
      </c>
      <c r="BK739" s="11">
        <f t="shared" si="93"/>
        <v>0.20042173061387447</v>
      </c>
      <c r="BL739" s="5">
        <f t="shared" si="94"/>
        <v>408.08393794617064</v>
      </c>
      <c r="BM739" s="11">
        <f t="shared" si="95"/>
        <v>0.25249387067930346</v>
      </c>
    </row>
    <row r="740" spans="1:65" ht="15" customHeight="1" x14ac:dyDescent="0.4">
      <c r="A740" s="2" t="s">
        <v>589</v>
      </c>
      <c r="B740" s="2" t="s">
        <v>66</v>
      </c>
      <c r="C740" s="2" t="s">
        <v>590</v>
      </c>
      <c r="D740" s="3" t="s">
        <v>68</v>
      </c>
      <c r="E740" s="3" t="s">
        <v>131</v>
      </c>
      <c r="F740" s="2" t="s">
        <v>132</v>
      </c>
      <c r="G740" s="4">
        <v>20</v>
      </c>
      <c r="H740" s="5">
        <v>1.78</v>
      </c>
      <c r="I740" s="5">
        <v>1.855432020982809</v>
      </c>
      <c r="J740" s="6">
        <v>0</v>
      </c>
      <c r="K740" s="5">
        <v>0</v>
      </c>
      <c r="L740" s="6">
        <v>0</v>
      </c>
      <c r="M740" s="5">
        <v>0</v>
      </c>
      <c r="N740" s="6">
        <v>0</v>
      </c>
      <c r="O740" s="5">
        <v>0</v>
      </c>
      <c r="P740" s="6">
        <v>0</v>
      </c>
      <c r="Q740" s="5">
        <v>0</v>
      </c>
      <c r="R740" s="6">
        <v>0</v>
      </c>
      <c r="S740" s="5">
        <v>0</v>
      </c>
      <c r="T740" s="6">
        <v>98.92356741932133</v>
      </c>
      <c r="U740" s="5">
        <v>176.08395000639189</v>
      </c>
      <c r="V740" s="6">
        <v>0</v>
      </c>
      <c r="W740" s="5">
        <v>0</v>
      </c>
      <c r="X740" s="6">
        <v>0</v>
      </c>
      <c r="Y740" s="5">
        <v>0</v>
      </c>
      <c r="Z740" s="6">
        <v>0</v>
      </c>
      <c r="AA740" s="5">
        <v>0</v>
      </c>
      <c r="AB740" s="6">
        <v>0</v>
      </c>
      <c r="AC740" s="5">
        <v>0</v>
      </c>
      <c r="AD740" s="6">
        <v>0</v>
      </c>
      <c r="AE740" s="5">
        <v>0</v>
      </c>
      <c r="AF740" s="6">
        <v>0</v>
      </c>
      <c r="AG740" s="5">
        <v>0</v>
      </c>
      <c r="AH740" s="7">
        <f t="shared" si="88"/>
        <v>98.92356741932133</v>
      </c>
      <c r="AI740" s="8">
        <f t="shared" si="89"/>
        <v>176.08395000639189</v>
      </c>
      <c r="AJ740" s="6">
        <v>0</v>
      </c>
      <c r="AK740" s="5">
        <v>0</v>
      </c>
      <c r="AL740" s="6">
        <v>0</v>
      </c>
      <c r="AM740" s="5">
        <v>0</v>
      </c>
      <c r="AN740" s="6">
        <v>0</v>
      </c>
      <c r="AO740" s="5">
        <v>0</v>
      </c>
      <c r="AP740" s="6">
        <v>0</v>
      </c>
      <c r="AQ740" s="5">
        <v>0</v>
      </c>
      <c r="AR740" s="6">
        <v>0</v>
      </c>
      <c r="AS740" s="5">
        <v>0</v>
      </c>
      <c r="AT740" s="6">
        <v>100</v>
      </c>
      <c r="AU740" s="5">
        <v>185.54320209828089</v>
      </c>
      <c r="AV740" s="6">
        <v>0</v>
      </c>
      <c r="AW740" s="5">
        <v>0</v>
      </c>
      <c r="AX740" s="6">
        <v>0</v>
      </c>
      <c r="AY740" s="5">
        <v>0</v>
      </c>
      <c r="AZ740" s="6">
        <v>0</v>
      </c>
      <c r="BA740" s="5">
        <v>0</v>
      </c>
      <c r="BB740" s="6">
        <v>0</v>
      </c>
      <c r="BC740" s="5">
        <v>0</v>
      </c>
      <c r="BD740" s="6">
        <v>0</v>
      </c>
      <c r="BE740" s="5">
        <v>0</v>
      </c>
      <c r="BF740" s="6">
        <v>0</v>
      </c>
      <c r="BG740" s="5">
        <v>0</v>
      </c>
      <c r="BH740" s="9">
        <f t="shared" si="90"/>
        <v>100</v>
      </c>
      <c r="BI740" s="10">
        <f t="shared" si="91"/>
        <v>185.54320209828089</v>
      </c>
      <c r="BJ740" s="6">
        <f t="shared" si="92"/>
        <v>1.0764325806786701</v>
      </c>
      <c r="BK740" s="11">
        <f t="shared" si="93"/>
        <v>1.0881457359052195E-2</v>
      </c>
      <c r="BL740" s="5">
        <f t="shared" si="94"/>
        <v>9.4592520918889988</v>
      </c>
      <c r="BM740" s="11">
        <f t="shared" si="95"/>
        <v>5.3720126630198983E-2</v>
      </c>
    </row>
    <row r="741" spans="1:65" ht="15" customHeight="1" x14ac:dyDescent="0.4">
      <c r="A741" s="2" t="s">
        <v>589</v>
      </c>
      <c r="B741" s="2" t="s">
        <v>66</v>
      </c>
      <c r="C741" s="2" t="s">
        <v>620</v>
      </c>
      <c r="D741" s="3" t="s">
        <v>68</v>
      </c>
      <c r="E741" s="3" t="s">
        <v>102</v>
      </c>
      <c r="F741" s="2" t="s">
        <v>171</v>
      </c>
      <c r="G741" s="4">
        <v>5</v>
      </c>
      <c r="H741" s="5">
        <v>4.7600000000000007</v>
      </c>
      <c r="I741" s="5">
        <v>4.9617170898191976</v>
      </c>
      <c r="J741" s="6">
        <v>247.3089185483033</v>
      </c>
      <c r="K741" s="5">
        <v>1177.190452289924</v>
      </c>
      <c r="L741" s="6">
        <v>0</v>
      </c>
      <c r="M741" s="5">
        <v>0</v>
      </c>
      <c r="N741" s="6">
        <v>0</v>
      </c>
      <c r="O741" s="5">
        <v>0</v>
      </c>
      <c r="P741" s="6">
        <v>0</v>
      </c>
      <c r="Q741" s="5">
        <v>0</v>
      </c>
      <c r="R741" s="6">
        <v>0</v>
      </c>
      <c r="S741" s="5">
        <v>0</v>
      </c>
      <c r="T741" s="6">
        <v>0</v>
      </c>
      <c r="U741" s="5">
        <v>0</v>
      </c>
      <c r="V741" s="6">
        <v>0</v>
      </c>
      <c r="W741" s="5">
        <v>0</v>
      </c>
      <c r="X741" s="6">
        <v>0</v>
      </c>
      <c r="Y741" s="5">
        <v>0</v>
      </c>
      <c r="Z741" s="6">
        <v>0</v>
      </c>
      <c r="AA741" s="5">
        <v>0</v>
      </c>
      <c r="AB741" s="6">
        <v>0</v>
      </c>
      <c r="AC741" s="5">
        <v>0</v>
      </c>
      <c r="AD741" s="6">
        <v>0</v>
      </c>
      <c r="AE741" s="5">
        <v>0</v>
      </c>
      <c r="AF741" s="6">
        <v>0</v>
      </c>
      <c r="AG741" s="5">
        <v>0</v>
      </c>
      <c r="AH741" s="7">
        <f t="shared" si="88"/>
        <v>247.3089185483033</v>
      </c>
      <c r="AI741" s="8">
        <f t="shared" si="89"/>
        <v>1177.190452289924</v>
      </c>
      <c r="AJ741" s="6">
        <v>310</v>
      </c>
      <c r="AK741" s="5">
        <v>1538.1322978439509</v>
      </c>
      <c r="AL741" s="6">
        <v>0</v>
      </c>
      <c r="AM741" s="5">
        <v>0</v>
      </c>
      <c r="AN741" s="6">
        <v>0</v>
      </c>
      <c r="AO741" s="5">
        <v>0</v>
      </c>
      <c r="AP741" s="6">
        <v>0</v>
      </c>
      <c r="AQ741" s="5">
        <v>0</v>
      </c>
      <c r="AR741" s="6">
        <v>0</v>
      </c>
      <c r="AS741" s="5">
        <v>0</v>
      </c>
      <c r="AT741" s="6">
        <v>0</v>
      </c>
      <c r="AU741" s="5">
        <v>0</v>
      </c>
      <c r="AV741" s="6">
        <v>0</v>
      </c>
      <c r="AW741" s="5">
        <v>0</v>
      </c>
      <c r="AX741" s="6">
        <v>0</v>
      </c>
      <c r="AY741" s="5">
        <v>0</v>
      </c>
      <c r="AZ741" s="6">
        <v>0</v>
      </c>
      <c r="BA741" s="5">
        <v>0</v>
      </c>
      <c r="BB741" s="6">
        <v>0</v>
      </c>
      <c r="BC741" s="5">
        <v>0</v>
      </c>
      <c r="BD741" s="6">
        <v>0</v>
      </c>
      <c r="BE741" s="5">
        <v>0</v>
      </c>
      <c r="BF741" s="6">
        <v>0</v>
      </c>
      <c r="BG741" s="5">
        <v>0</v>
      </c>
      <c r="BH741" s="9">
        <f t="shared" si="90"/>
        <v>310</v>
      </c>
      <c r="BI741" s="10">
        <f t="shared" si="91"/>
        <v>1538.1322978439509</v>
      </c>
      <c r="BJ741" s="6">
        <f t="shared" si="92"/>
        <v>62.691081451696704</v>
      </c>
      <c r="BK741" s="11">
        <f t="shared" si="93"/>
        <v>0.25349300712522488</v>
      </c>
      <c r="BL741" s="5">
        <f t="shared" si="94"/>
        <v>360.94184555402694</v>
      </c>
      <c r="BM741" s="11">
        <f t="shared" si="95"/>
        <v>0.30661295702144592</v>
      </c>
    </row>
    <row r="742" spans="1:65" ht="15" customHeight="1" x14ac:dyDescent="0.4">
      <c r="A742" s="2" t="s">
        <v>589</v>
      </c>
      <c r="B742" s="2" t="s">
        <v>66</v>
      </c>
      <c r="C742" s="2" t="s">
        <v>620</v>
      </c>
      <c r="D742" s="3" t="s">
        <v>68</v>
      </c>
      <c r="E742" s="3" t="s">
        <v>102</v>
      </c>
      <c r="F742" s="2" t="s">
        <v>103</v>
      </c>
      <c r="G742" s="4">
        <v>5</v>
      </c>
      <c r="H742" s="5">
        <v>4.8119977783270489</v>
      </c>
      <c r="I742" s="5">
        <v>5.0158611174310206</v>
      </c>
      <c r="J742" s="6">
        <v>0</v>
      </c>
      <c r="K742" s="5">
        <v>0</v>
      </c>
      <c r="L742" s="6">
        <v>0</v>
      </c>
      <c r="M742" s="5">
        <v>0</v>
      </c>
      <c r="N742" s="6">
        <v>0</v>
      </c>
      <c r="O742" s="5">
        <v>0</v>
      </c>
      <c r="P742" s="6">
        <v>296.77070225796399</v>
      </c>
      <c r="Q742" s="5">
        <v>1415.5962497704879</v>
      </c>
      <c r="R742" s="6">
        <v>370.96337782245502</v>
      </c>
      <c r="S742" s="5">
        <v>1765.785678434886</v>
      </c>
      <c r="T742" s="6">
        <v>370.96337782245502</v>
      </c>
      <c r="U742" s="5">
        <v>1802.882016217131</v>
      </c>
      <c r="V742" s="6">
        <v>0</v>
      </c>
      <c r="W742" s="5">
        <v>0</v>
      </c>
      <c r="X742" s="6">
        <v>370.96337782245502</v>
      </c>
      <c r="Y742" s="5">
        <v>1802.882016217131</v>
      </c>
      <c r="Z742" s="6">
        <v>0</v>
      </c>
      <c r="AA742" s="5">
        <v>0</v>
      </c>
      <c r="AB742" s="6">
        <v>0</v>
      </c>
      <c r="AC742" s="5">
        <v>0</v>
      </c>
      <c r="AD742" s="6">
        <v>710.99710447379198</v>
      </c>
      <c r="AE742" s="5">
        <v>3417.455336190149</v>
      </c>
      <c r="AF742" s="6">
        <v>0</v>
      </c>
      <c r="AG742" s="5">
        <v>0</v>
      </c>
      <c r="AH742" s="7">
        <f t="shared" si="88"/>
        <v>2120.6579401991212</v>
      </c>
      <c r="AI742" s="8">
        <f t="shared" si="89"/>
        <v>10204.601296829784</v>
      </c>
      <c r="AJ742" s="6">
        <v>0</v>
      </c>
      <c r="AK742" s="5">
        <v>0</v>
      </c>
      <c r="AL742" s="6">
        <v>0</v>
      </c>
      <c r="AM742" s="5">
        <v>0</v>
      </c>
      <c r="AN742" s="6">
        <v>0</v>
      </c>
      <c r="AO742" s="5">
        <v>0</v>
      </c>
      <c r="AP742" s="6">
        <v>375</v>
      </c>
      <c r="AQ742" s="5">
        <v>1864.552824456742</v>
      </c>
      <c r="AR742" s="6">
        <v>465</v>
      </c>
      <c r="AS742" s="5">
        <v>2307.1984467659272</v>
      </c>
      <c r="AT742" s="6">
        <v>465</v>
      </c>
      <c r="AU742" s="5">
        <v>2355.6690023702531</v>
      </c>
      <c r="AV742" s="6">
        <v>0</v>
      </c>
      <c r="AW742" s="5">
        <v>0</v>
      </c>
      <c r="AX742" s="6">
        <v>465</v>
      </c>
      <c r="AY742" s="5">
        <v>2355.6690023702531</v>
      </c>
      <c r="AZ742" s="6">
        <v>0</v>
      </c>
      <c r="BA742" s="5">
        <v>0</v>
      </c>
      <c r="BB742" s="6">
        <v>0</v>
      </c>
      <c r="BC742" s="5">
        <v>0</v>
      </c>
      <c r="BD742" s="6">
        <v>895</v>
      </c>
      <c r="BE742" s="5">
        <v>4484.1806019904989</v>
      </c>
      <c r="BF742" s="6">
        <v>0</v>
      </c>
      <c r="BG742" s="5">
        <v>0</v>
      </c>
      <c r="BH742" s="9">
        <f t="shared" si="90"/>
        <v>2665</v>
      </c>
      <c r="BI742" s="10">
        <f t="shared" si="91"/>
        <v>13367.269877953673</v>
      </c>
      <c r="BJ742" s="6">
        <f t="shared" si="92"/>
        <v>544.34205980087881</v>
      </c>
      <c r="BK742" s="11">
        <f t="shared" si="93"/>
        <v>0.25668546043298585</v>
      </c>
      <c r="BL742" s="5">
        <f t="shared" si="94"/>
        <v>3162.6685811238895</v>
      </c>
      <c r="BM742" s="11">
        <f t="shared" si="95"/>
        <v>0.30992573733443374</v>
      </c>
    </row>
    <row r="743" spans="1:65" ht="15" customHeight="1" x14ac:dyDescent="0.4">
      <c r="A743" s="2" t="s">
        <v>589</v>
      </c>
      <c r="B743" s="2" t="s">
        <v>66</v>
      </c>
      <c r="C743" s="2" t="s">
        <v>620</v>
      </c>
      <c r="D743" s="3" t="s">
        <v>68</v>
      </c>
      <c r="E743" s="3" t="s">
        <v>69</v>
      </c>
      <c r="F743" s="2" t="s">
        <v>70</v>
      </c>
      <c r="G743" s="4">
        <v>20</v>
      </c>
      <c r="H743" s="5">
        <v>4.6499999999999986</v>
      </c>
      <c r="I743" s="5">
        <v>4.8470555604326204</v>
      </c>
      <c r="J743" s="6">
        <v>98.92356741932133</v>
      </c>
      <c r="K743" s="5">
        <v>459.99458849984421</v>
      </c>
      <c r="L743" s="6">
        <v>0</v>
      </c>
      <c r="M743" s="5">
        <v>0</v>
      </c>
      <c r="N743" s="6">
        <v>0</v>
      </c>
      <c r="O743" s="5">
        <v>0</v>
      </c>
      <c r="P743" s="6">
        <v>0</v>
      </c>
      <c r="Q743" s="5">
        <v>0</v>
      </c>
      <c r="R743" s="6">
        <v>0</v>
      </c>
      <c r="S743" s="5">
        <v>0</v>
      </c>
      <c r="T743" s="6">
        <v>0</v>
      </c>
      <c r="U743" s="5">
        <v>0</v>
      </c>
      <c r="V743" s="6">
        <v>0</v>
      </c>
      <c r="W743" s="5">
        <v>0</v>
      </c>
      <c r="X743" s="6">
        <v>0</v>
      </c>
      <c r="Y743" s="5">
        <v>0</v>
      </c>
      <c r="Z743" s="6">
        <v>0</v>
      </c>
      <c r="AA743" s="5">
        <v>0</v>
      </c>
      <c r="AB743" s="6">
        <v>0</v>
      </c>
      <c r="AC743" s="5">
        <v>0</v>
      </c>
      <c r="AD743" s="6">
        <v>0</v>
      </c>
      <c r="AE743" s="5">
        <v>0</v>
      </c>
      <c r="AF743" s="6">
        <v>0</v>
      </c>
      <c r="AG743" s="5">
        <v>0</v>
      </c>
      <c r="AH743" s="7">
        <f t="shared" si="88"/>
        <v>98.92356741932133</v>
      </c>
      <c r="AI743" s="8">
        <f t="shared" si="89"/>
        <v>459.99458849984421</v>
      </c>
      <c r="AJ743" s="6">
        <v>120</v>
      </c>
      <c r="AK743" s="5">
        <v>581.64666725191432</v>
      </c>
      <c r="AL743" s="6">
        <v>0</v>
      </c>
      <c r="AM743" s="5">
        <v>0</v>
      </c>
      <c r="AN743" s="6">
        <v>0</v>
      </c>
      <c r="AO743" s="5">
        <v>0</v>
      </c>
      <c r="AP743" s="6">
        <v>0</v>
      </c>
      <c r="AQ743" s="5">
        <v>0</v>
      </c>
      <c r="AR743" s="6">
        <v>0</v>
      </c>
      <c r="AS743" s="5">
        <v>0</v>
      </c>
      <c r="AT743" s="6">
        <v>0</v>
      </c>
      <c r="AU743" s="5">
        <v>0</v>
      </c>
      <c r="AV743" s="6">
        <v>0</v>
      </c>
      <c r="AW743" s="5">
        <v>0</v>
      </c>
      <c r="AX743" s="6">
        <v>0</v>
      </c>
      <c r="AY743" s="5">
        <v>0</v>
      </c>
      <c r="AZ743" s="6">
        <v>0</v>
      </c>
      <c r="BA743" s="5">
        <v>0</v>
      </c>
      <c r="BB743" s="6">
        <v>0</v>
      </c>
      <c r="BC743" s="5">
        <v>0</v>
      </c>
      <c r="BD743" s="6">
        <v>0</v>
      </c>
      <c r="BE743" s="5">
        <v>0</v>
      </c>
      <c r="BF743" s="6">
        <v>0</v>
      </c>
      <c r="BG743" s="5">
        <v>0</v>
      </c>
      <c r="BH743" s="9">
        <f t="shared" si="90"/>
        <v>120</v>
      </c>
      <c r="BI743" s="10">
        <f t="shared" si="91"/>
        <v>581.64666725191432</v>
      </c>
      <c r="BJ743" s="6">
        <f t="shared" si="92"/>
        <v>21.07643258067867</v>
      </c>
      <c r="BK743" s="11">
        <f t="shared" si="93"/>
        <v>0.21305774883086265</v>
      </c>
      <c r="BL743" s="5">
        <f t="shared" si="94"/>
        <v>121.65207875207011</v>
      </c>
      <c r="BM743" s="11">
        <f t="shared" si="95"/>
        <v>0.26446415195623829</v>
      </c>
    </row>
    <row r="744" spans="1:65" ht="15" customHeight="1" x14ac:dyDescent="0.4">
      <c r="A744" s="2" t="s">
        <v>589</v>
      </c>
      <c r="B744" s="2" t="s">
        <v>66</v>
      </c>
      <c r="C744" s="2" t="s">
        <v>620</v>
      </c>
      <c r="D744" s="3" t="s">
        <v>68</v>
      </c>
      <c r="E744" s="3" t="s">
        <v>69</v>
      </c>
      <c r="F744" s="2" t="s">
        <v>192</v>
      </c>
      <c r="G744" s="4">
        <v>20</v>
      </c>
      <c r="H744" s="5">
        <v>4.6499999999999986</v>
      </c>
      <c r="I744" s="5">
        <v>4.8470555604326204</v>
      </c>
      <c r="J744" s="6">
        <v>0</v>
      </c>
      <c r="K744" s="5">
        <v>0</v>
      </c>
      <c r="L744" s="6">
        <v>0</v>
      </c>
      <c r="M744" s="5">
        <v>0</v>
      </c>
      <c r="N744" s="6">
        <v>0</v>
      </c>
      <c r="O744" s="5">
        <v>0</v>
      </c>
      <c r="P744" s="6">
        <v>0</v>
      </c>
      <c r="Q744" s="5">
        <v>0</v>
      </c>
      <c r="R744" s="6">
        <v>197.84713483864269</v>
      </c>
      <c r="S744" s="5">
        <v>919.98917699968831</v>
      </c>
      <c r="T744" s="6">
        <v>0</v>
      </c>
      <c r="U744" s="5">
        <v>0</v>
      </c>
      <c r="V744" s="6">
        <v>0</v>
      </c>
      <c r="W744" s="5">
        <v>0</v>
      </c>
      <c r="X744" s="6">
        <v>0</v>
      </c>
      <c r="Y744" s="5">
        <v>0</v>
      </c>
      <c r="Z744" s="6">
        <v>0</v>
      </c>
      <c r="AA744" s="5">
        <v>0</v>
      </c>
      <c r="AB744" s="6">
        <v>0</v>
      </c>
      <c r="AC744" s="5">
        <v>0</v>
      </c>
      <c r="AD744" s="6">
        <v>0</v>
      </c>
      <c r="AE744" s="5">
        <v>0</v>
      </c>
      <c r="AF744" s="6">
        <v>0</v>
      </c>
      <c r="AG744" s="5">
        <v>0</v>
      </c>
      <c r="AH744" s="7">
        <f t="shared" si="88"/>
        <v>197.84713483864269</v>
      </c>
      <c r="AI744" s="8">
        <f t="shared" si="89"/>
        <v>919.98917699968831</v>
      </c>
      <c r="AJ744" s="6">
        <v>0</v>
      </c>
      <c r="AK744" s="5">
        <v>0</v>
      </c>
      <c r="AL744" s="6">
        <v>0</v>
      </c>
      <c r="AM744" s="5">
        <v>0</v>
      </c>
      <c r="AN744" s="6">
        <v>0</v>
      </c>
      <c r="AO744" s="5">
        <v>0</v>
      </c>
      <c r="AP744" s="6">
        <v>0</v>
      </c>
      <c r="AQ744" s="5">
        <v>0</v>
      </c>
      <c r="AR744" s="6">
        <v>240</v>
      </c>
      <c r="AS744" s="5">
        <v>1163.2933345038291</v>
      </c>
      <c r="AT744" s="6">
        <v>0</v>
      </c>
      <c r="AU744" s="5">
        <v>0</v>
      </c>
      <c r="AV744" s="6">
        <v>0</v>
      </c>
      <c r="AW744" s="5">
        <v>0</v>
      </c>
      <c r="AX744" s="6">
        <v>0</v>
      </c>
      <c r="AY744" s="5">
        <v>0</v>
      </c>
      <c r="AZ744" s="6">
        <v>0</v>
      </c>
      <c r="BA744" s="5">
        <v>0</v>
      </c>
      <c r="BB744" s="6">
        <v>0</v>
      </c>
      <c r="BC744" s="5">
        <v>0</v>
      </c>
      <c r="BD744" s="6">
        <v>0</v>
      </c>
      <c r="BE744" s="5">
        <v>0</v>
      </c>
      <c r="BF744" s="6">
        <v>0</v>
      </c>
      <c r="BG744" s="5">
        <v>0</v>
      </c>
      <c r="BH744" s="9">
        <f t="shared" si="90"/>
        <v>240</v>
      </c>
      <c r="BI744" s="10">
        <f t="shared" si="91"/>
        <v>1163.2933345038291</v>
      </c>
      <c r="BJ744" s="6">
        <f t="shared" si="92"/>
        <v>42.152865161357312</v>
      </c>
      <c r="BK744" s="11">
        <f t="shared" si="93"/>
        <v>0.21305774883086245</v>
      </c>
      <c r="BL744" s="5">
        <f t="shared" si="94"/>
        <v>243.30415750414079</v>
      </c>
      <c r="BM744" s="11">
        <f t="shared" si="95"/>
        <v>0.26446415195623896</v>
      </c>
    </row>
    <row r="745" spans="1:65" ht="15" customHeight="1" x14ac:dyDescent="0.4">
      <c r="A745" s="2" t="s">
        <v>589</v>
      </c>
      <c r="B745" s="2" t="s">
        <v>66</v>
      </c>
      <c r="C745" s="2" t="s">
        <v>620</v>
      </c>
      <c r="D745" s="3" t="s">
        <v>68</v>
      </c>
      <c r="E745" s="3" t="s">
        <v>110</v>
      </c>
      <c r="F745" s="2" t="s">
        <v>111</v>
      </c>
      <c r="G745" s="4">
        <v>5</v>
      </c>
      <c r="H745" s="5">
        <v>3.2181238407271771</v>
      </c>
      <c r="I745" s="5">
        <v>3.354566246751018</v>
      </c>
      <c r="J745" s="6">
        <v>0</v>
      </c>
      <c r="K745" s="5">
        <v>0</v>
      </c>
      <c r="L745" s="6">
        <v>593.54140451592798</v>
      </c>
      <c r="M745" s="5">
        <v>1917.1387365864471</v>
      </c>
      <c r="N745" s="6">
        <v>0</v>
      </c>
      <c r="O745" s="5">
        <v>0</v>
      </c>
      <c r="P745" s="6">
        <v>0</v>
      </c>
      <c r="Q745" s="5">
        <v>0</v>
      </c>
      <c r="R745" s="6">
        <v>593.54140451592798</v>
      </c>
      <c r="S745" s="5">
        <v>1917.1387365864471</v>
      </c>
      <c r="T745" s="6">
        <v>0</v>
      </c>
      <c r="U745" s="5">
        <v>0</v>
      </c>
      <c r="V745" s="6">
        <v>0</v>
      </c>
      <c r="W745" s="5">
        <v>0</v>
      </c>
      <c r="X745" s="6">
        <v>2967.7070225796401</v>
      </c>
      <c r="Y745" s="5">
        <v>9763.7561042870148</v>
      </c>
      <c r="Z745" s="6">
        <v>0</v>
      </c>
      <c r="AA745" s="5">
        <v>0</v>
      </c>
      <c r="AB745" s="6">
        <v>0</v>
      </c>
      <c r="AC745" s="5">
        <v>0</v>
      </c>
      <c r="AD745" s="6">
        <v>1706.393050737101</v>
      </c>
      <c r="AE745" s="5">
        <v>5263.9787910881369</v>
      </c>
      <c r="AF745" s="6">
        <v>0</v>
      </c>
      <c r="AG745" s="5">
        <v>0</v>
      </c>
      <c r="AH745" s="7">
        <f t="shared" si="88"/>
        <v>5861.1828823485976</v>
      </c>
      <c r="AI745" s="8">
        <f t="shared" si="89"/>
        <v>18862.012368548043</v>
      </c>
      <c r="AJ745" s="6">
        <v>0</v>
      </c>
      <c r="AK745" s="5">
        <v>0</v>
      </c>
      <c r="AL745" s="6">
        <v>655</v>
      </c>
      <c r="AM745" s="5">
        <v>2205.3060422428539</v>
      </c>
      <c r="AN745" s="6">
        <v>0</v>
      </c>
      <c r="AO745" s="5">
        <v>0</v>
      </c>
      <c r="AP745" s="6">
        <v>0</v>
      </c>
      <c r="AQ745" s="5">
        <v>0</v>
      </c>
      <c r="AR745" s="6">
        <v>655</v>
      </c>
      <c r="AS745" s="5">
        <v>2205.3060422428539</v>
      </c>
      <c r="AT745" s="6">
        <v>0</v>
      </c>
      <c r="AU745" s="5">
        <v>0</v>
      </c>
      <c r="AV745" s="6">
        <v>0</v>
      </c>
      <c r="AW745" s="5">
        <v>0</v>
      </c>
      <c r="AX745" s="6">
        <v>3275</v>
      </c>
      <c r="AY745" s="5">
        <v>11231.35739780029</v>
      </c>
      <c r="AZ745" s="6">
        <v>0</v>
      </c>
      <c r="BA745" s="5">
        <v>0</v>
      </c>
      <c r="BB745" s="6">
        <v>0</v>
      </c>
      <c r="BC745" s="5">
        <v>0</v>
      </c>
      <c r="BD745" s="6">
        <v>1880</v>
      </c>
      <c r="BE745" s="5">
        <v>6045.3013029593276</v>
      </c>
      <c r="BF745" s="6">
        <v>0</v>
      </c>
      <c r="BG745" s="5">
        <v>0</v>
      </c>
      <c r="BH745" s="9">
        <f t="shared" si="90"/>
        <v>6465</v>
      </c>
      <c r="BI745" s="10">
        <f t="shared" si="91"/>
        <v>21687.270785245324</v>
      </c>
      <c r="BJ745" s="6">
        <f t="shared" si="92"/>
        <v>603.81711765140244</v>
      </c>
      <c r="BK745" s="11">
        <f t="shared" si="93"/>
        <v>0.10301966851603353</v>
      </c>
      <c r="BL745" s="5">
        <f t="shared" si="94"/>
        <v>2825.2584166972811</v>
      </c>
      <c r="BM745" s="11">
        <f t="shared" si="95"/>
        <v>0.14978563058352842</v>
      </c>
    </row>
    <row r="746" spans="1:65" ht="15" customHeight="1" x14ac:dyDescent="0.4">
      <c r="A746" s="2" t="s">
        <v>589</v>
      </c>
      <c r="B746" s="2" t="s">
        <v>66</v>
      </c>
      <c r="C746" s="2" t="s">
        <v>620</v>
      </c>
      <c r="D746" s="3" t="s">
        <v>68</v>
      </c>
      <c r="E746" s="3" t="s">
        <v>82</v>
      </c>
      <c r="F746" s="2" t="s">
        <v>83</v>
      </c>
      <c r="G746" s="4">
        <v>20</v>
      </c>
      <c r="H746" s="5">
        <v>2.99187238327751</v>
      </c>
      <c r="I746" s="5">
        <v>3.1186907133473709</v>
      </c>
      <c r="J746" s="6">
        <v>0</v>
      </c>
      <c r="K746" s="5">
        <v>0</v>
      </c>
      <c r="L746" s="6">
        <v>1899.3324944509691</v>
      </c>
      <c r="M746" s="5">
        <v>5660.010833463889</v>
      </c>
      <c r="N746" s="6">
        <v>0</v>
      </c>
      <c r="O746" s="5">
        <v>0</v>
      </c>
      <c r="P746" s="6">
        <v>0</v>
      </c>
      <c r="Q746" s="5">
        <v>0</v>
      </c>
      <c r="R746" s="6">
        <v>1266.221662967313</v>
      </c>
      <c r="S746" s="5">
        <v>3773.3405556425928</v>
      </c>
      <c r="T746" s="6">
        <v>1266.221662967313</v>
      </c>
      <c r="U746" s="5">
        <v>3849.3138554206312</v>
      </c>
      <c r="V746" s="6">
        <v>633.11083148365651</v>
      </c>
      <c r="W746" s="5">
        <v>1924.656927710316</v>
      </c>
      <c r="X746" s="6">
        <v>5064.8866518692521</v>
      </c>
      <c r="Y746" s="5">
        <v>15397.25542168253</v>
      </c>
      <c r="Z746" s="6">
        <v>0</v>
      </c>
      <c r="AA746" s="5">
        <v>0</v>
      </c>
      <c r="AB746" s="6">
        <v>0</v>
      </c>
      <c r="AC746" s="5">
        <v>0</v>
      </c>
      <c r="AD746" s="6">
        <v>2426.8701166038768</v>
      </c>
      <c r="AE746" s="5">
        <v>6963.2970820656737</v>
      </c>
      <c r="AF746" s="6">
        <v>0</v>
      </c>
      <c r="AG746" s="5">
        <v>0</v>
      </c>
      <c r="AH746" s="7">
        <f t="shared" si="88"/>
        <v>12556.643420342381</v>
      </c>
      <c r="AI746" s="8">
        <f t="shared" si="89"/>
        <v>37567.874675985629</v>
      </c>
      <c r="AJ746" s="6">
        <v>0</v>
      </c>
      <c r="AK746" s="5">
        <v>0</v>
      </c>
      <c r="AL746" s="6">
        <v>2100</v>
      </c>
      <c r="AM746" s="5">
        <v>6523.1986445564162</v>
      </c>
      <c r="AN746" s="6">
        <v>0</v>
      </c>
      <c r="AO746" s="5">
        <v>0</v>
      </c>
      <c r="AP746" s="6">
        <v>0</v>
      </c>
      <c r="AQ746" s="5">
        <v>0</v>
      </c>
      <c r="AR746" s="6">
        <v>1400</v>
      </c>
      <c r="AS746" s="5">
        <v>4348.7990963709444</v>
      </c>
      <c r="AT746" s="6">
        <v>1400</v>
      </c>
      <c r="AU746" s="5">
        <v>4436.358809720693</v>
      </c>
      <c r="AV746" s="6">
        <v>700</v>
      </c>
      <c r="AW746" s="5">
        <v>2218.179404860346</v>
      </c>
      <c r="AX746" s="6">
        <v>5600</v>
      </c>
      <c r="AY746" s="5">
        <v>17745.435238882779</v>
      </c>
      <c r="AZ746" s="6">
        <v>0</v>
      </c>
      <c r="BA746" s="5">
        <v>0</v>
      </c>
      <c r="BB746" s="6">
        <v>0</v>
      </c>
      <c r="BC746" s="5">
        <v>0</v>
      </c>
      <c r="BD746" s="6">
        <v>2680</v>
      </c>
      <c r="BE746" s="5">
        <v>8015.4559068703365</v>
      </c>
      <c r="BF746" s="6">
        <v>0</v>
      </c>
      <c r="BG746" s="5">
        <v>0</v>
      </c>
      <c r="BH746" s="9">
        <f t="shared" si="90"/>
        <v>13880</v>
      </c>
      <c r="BI746" s="10">
        <f t="shared" si="91"/>
        <v>43287.427101261521</v>
      </c>
      <c r="BJ746" s="6">
        <f t="shared" si="92"/>
        <v>1323.3565796576186</v>
      </c>
      <c r="BK746" s="11">
        <f t="shared" si="93"/>
        <v>0.10539095006183863</v>
      </c>
      <c r="BL746" s="5">
        <f t="shared" si="94"/>
        <v>5719.5524252758914</v>
      </c>
      <c r="BM746" s="11">
        <f t="shared" si="95"/>
        <v>0.15224583436262312</v>
      </c>
    </row>
    <row r="747" spans="1:65" ht="15" customHeight="1" x14ac:dyDescent="0.4">
      <c r="A747" s="2" t="s">
        <v>589</v>
      </c>
      <c r="B747" s="2" t="s">
        <v>66</v>
      </c>
      <c r="C747" s="2" t="s">
        <v>620</v>
      </c>
      <c r="D747" s="3" t="s">
        <v>68</v>
      </c>
      <c r="E747" s="3" t="s">
        <v>351</v>
      </c>
      <c r="F747" s="2" t="s">
        <v>352</v>
      </c>
      <c r="G747" s="4">
        <v>5</v>
      </c>
      <c r="H747" s="5">
        <v>1.723846153846154</v>
      </c>
      <c r="I747" s="5">
        <v>1.796903544355581</v>
      </c>
      <c r="J747" s="6">
        <v>6528.9554496752071</v>
      </c>
      <c r="K747" s="5">
        <v>11229.80337344136</v>
      </c>
      <c r="L747" s="6">
        <v>2176.318483225069</v>
      </c>
      <c r="M747" s="5">
        <v>3786.7941608116198</v>
      </c>
      <c r="N747" s="6">
        <v>6528.9554496752071</v>
      </c>
      <c r="O747" s="5">
        <v>11360.382482434859</v>
      </c>
      <c r="P747" s="6">
        <v>2176.318483225069</v>
      </c>
      <c r="Q747" s="5">
        <v>3786.7941608116198</v>
      </c>
      <c r="R747" s="6">
        <v>11969.751657737879</v>
      </c>
      <c r="S747" s="5">
        <v>19880.669344261001</v>
      </c>
      <c r="T747" s="6">
        <v>3264.477724837604</v>
      </c>
      <c r="U747" s="5">
        <v>5778.1255729625582</v>
      </c>
      <c r="V747" s="6">
        <v>5440.796208062673</v>
      </c>
      <c r="W747" s="5">
        <v>9630.2092882709294</v>
      </c>
      <c r="X747" s="6">
        <v>4352.6369664501381</v>
      </c>
      <c r="Y747" s="5">
        <v>7704.1674306167442</v>
      </c>
      <c r="Z747" s="6">
        <v>6256.77451936937</v>
      </c>
      <c r="AA747" s="5">
        <v>10785.716690697511</v>
      </c>
      <c r="AB747" s="6">
        <v>4171.183012912913</v>
      </c>
      <c r="AC747" s="5">
        <v>7190.4777937983381</v>
      </c>
      <c r="AD747" s="6">
        <v>6256.77451936937</v>
      </c>
      <c r="AE747" s="5">
        <v>10785.716690697511</v>
      </c>
      <c r="AF747" s="6">
        <v>0</v>
      </c>
      <c r="AG747" s="5">
        <v>0</v>
      </c>
      <c r="AH747" s="7">
        <f t="shared" si="88"/>
        <v>59122.942474540505</v>
      </c>
      <c r="AI747" s="8">
        <f t="shared" si="89"/>
        <v>101918.85698880404</v>
      </c>
      <c r="AJ747" s="6">
        <v>7200</v>
      </c>
      <c r="AK747" s="5">
        <v>12908.803453848939</v>
      </c>
      <c r="AL747" s="6">
        <v>2400</v>
      </c>
      <c r="AM747" s="5">
        <v>4352.968606530455</v>
      </c>
      <c r="AN747" s="6">
        <v>7200</v>
      </c>
      <c r="AO747" s="5">
        <v>13058.905819591369</v>
      </c>
      <c r="AP747" s="6">
        <v>2400</v>
      </c>
      <c r="AQ747" s="5">
        <v>4352.968606530455</v>
      </c>
      <c r="AR747" s="6">
        <v>13195</v>
      </c>
      <c r="AS747" s="5">
        <v>22844.42871262418</v>
      </c>
      <c r="AT747" s="6">
        <v>3600</v>
      </c>
      <c r="AU747" s="5">
        <v>6642.0296841025047</v>
      </c>
      <c r="AV747" s="6">
        <v>6000</v>
      </c>
      <c r="AW747" s="5">
        <v>11070.049473504179</v>
      </c>
      <c r="AX747" s="6">
        <v>4800</v>
      </c>
      <c r="AY747" s="5">
        <v>8856.0395788033402</v>
      </c>
      <c r="AZ747" s="6">
        <v>6900</v>
      </c>
      <c r="BA747" s="5">
        <v>12398.599739522509</v>
      </c>
      <c r="BB747" s="6">
        <v>4600</v>
      </c>
      <c r="BC747" s="5">
        <v>8265.733159681673</v>
      </c>
      <c r="BD747" s="6">
        <v>6900</v>
      </c>
      <c r="BE747" s="5">
        <v>12398.599739522509</v>
      </c>
      <c r="BF747" s="6">
        <v>0</v>
      </c>
      <c r="BG747" s="5">
        <v>0</v>
      </c>
      <c r="BH747" s="9">
        <f t="shared" si="90"/>
        <v>65195</v>
      </c>
      <c r="BI747" s="10">
        <f t="shared" si="91"/>
        <v>117149.12657426212</v>
      </c>
      <c r="BJ747" s="6">
        <f t="shared" si="92"/>
        <v>6072.0575254594951</v>
      </c>
      <c r="BK747" s="11">
        <f t="shared" si="93"/>
        <v>0.10270222135974105</v>
      </c>
      <c r="BL747" s="5">
        <f t="shared" si="94"/>
        <v>15230.269585458082</v>
      </c>
      <c r="BM747" s="11">
        <f t="shared" si="95"/>
        <v>0.14943524717051285</v>
      </c>
    </row>
    <row r="748" spans="1:65" ht="15" customHeight="1" x14ac:dyDescent="0.4">
      <c r="A748" s="2" t="s">
        <v>589</v>
      </c>
      <c r="B748" s="2" t="s">
        <v>66</v>
      </c>
      <c r="C748" s="2" t="s">
        <v>620</v>
      </c>
      <c r="D748" s="3" t="s">
        <v>68</v>
      </c>
      <c r="E748" s="3" t="s">
        <v>322</v>
      </c>
      <c r="F748" s="2" t="s">
        <v>323</v>
      </c>
      <c r="G748" s="4">
        <v>20</v>
      </c>
      <c r="H748" s="5">
        <v>1.557418181818182</v>
      </c>
      <c r="I748" s="5">
        <v>1.6234177329248769</v>
      </c>
      <c r="J748" s="6">
        <v>2176.318483225069</v>
      </c>
      <c r="K748" s="5">
        <v>3351.5304641666071</v>
      </c>
      <c r="L748" s="6">
        <v>1088.159241612535</v>
      </c>
      <c r="M748" s="5">
        <v>1691.197308600717</v>
      </c>
      <c r="N748" s="6">
        <v>1088.159241612535</v>
      </c>
      <c r="O748" s="5">
        <v>1697.5284169155541</v>
      </c>
      <c r="P748" s="6">
        <v>2176.318483225069</v>
      </c>
      <c r="Q748" s="5">
        <v>3395.0568338311082</v>
      </c>
      <c r="R748" s="6">
        <v>2176.318483225069</v>
      </c>
      <c r="S748" s="5">
        <v>3351.5304641666071</v>
      </c>
      <c r="T748" s="6">
        <v>0</v>
      </c>
      <c r="U748" s="5">
        <v>0</v>
      </c>
      <c r="V748" s="6">
        <v>0</v>
      </c>
      <c r="W748" s="5">
        <v>0</v>
      </c>
      <c r="X748" s="6">
        <v>2176.318483225069</v>
      </c>
      <c r="Y748" s="5">
        <v>3460.34638832786</v>
      </c>
      <c r="Z748" s="6">
        <v>0</v>
      </c>
      <c r="AA748" s="5">
        <v>0</v>
      </c>
      <c r="AB748" s="6">
        <v>1042.795753228228</v>
      </c>
      <c r="AC748" s="5">
        <v>1624.0690660004291</v>
      </c>
      <c r="AD748" s="6">
        <v>1042.795753228228</v>
      </c>
      <c r="AE748" s="5">
        <v>1624.0690660004291</v>
      </c>
      <c r="AF748" s="6">
        <v>0</v>
      </c>
      <c r="AG748" s="5">
        <v>0</v>
      </c>
      <c r="AH748" s="7">
        <f t="shared" si="88"/>
        <v>12967.1839225818</v>
      </c>
      <c r="AI748" s="8">
        <f t="shared" si="89"/>
        <v>20195.328008009314</v>
      </c>
      <c r="AJ748" s="6">
        <v>2400</v>
      </c>
      <c r="AK748" s="5">
        <v>3852.627387389025</v>
      </c>
      <c r="AL748" s="6">
        <v>1200</v>
      </c>
      <c r="AM748" s="5">
        <v>1944.053064191344</v>
      </c>
      <c r="AN748" s="6">
        <v>1200</v>
      </c>
      <c r="AO748" s="5">
        <v>1951.330754651583</v>
      </c>
      <c r="AP748" s="6">
        <v>2400</v>
      </c>
      <c r="AQ748" s="5">
        <v>3902.6615093031669</v>
      </c>
      <c r="AR748" s="6">
        <v>2400</v>
      </c>
      <c r="AS748" s="5">
        <v>3852.627387389025</v>
      </c>
      <c r="AT748" s="6">
        <v>0</v>
      </c>
      <c r="AU748" s="5">
        <v>0</v>
      </c>
      <c r="AV748" s="6">
        <v>0</v>
      </c>
      <c r="AW748" s="5">
        <v>0</v>
      </c>
      <c r="AX748" s="6">
        <v>2400</v>
      </c>
      <c r="AY748" s="5">
        <v>3977.712692174382</v>
      </c>
      <c r="AZ748" s="6">
        <v>0</v>
      </c>
      <c r="BA748" s="5">
        <v>0</v>
      </c>
      <c r="BB748" s="6">
        <v>1140</v>
      </c>
      <c r="BC748" s="5">
        <v>1850.6962155343599</v>
      </c>
      <c r="BD748" s="6">
        <v>1140</v>
      </c>
      <c r="BE748" s="5">
        <v>1850.6962155343599</v>
      </c>
      <c r="BF748" s="6">
        <v>0</v>
      </c>
      <c r="BG748" s="5">
        <v>0</v>
      </c>
      <c r="BH748" s="9">
        <f t="shared" si="90"/>
        <v>14280</v>
      </c>
      <c r="BI748" s="10">
        <f t="shared" si="91"/>
        <v>23182.405226167248</v>
      </c>
      <c r="BJ748" s="6">
        <f t="shared" si="92"/>
        <v>1312.8160774181997</v>
      </c>
      <c r="BK748" s="11">
        <f t="shared" si="93"/>
        <v>0.10124141720022851</v>
      </c>
      <c r="BL748" s="5">
        <f t="shared" si="94"/>
        <v>2987.0772181579341</v>
      </c>
      <c r="BM748" s="11">
        <f t="shared" si="95"/>
        <v>0.14790931927291709</v>
      </c>
    </row>
    <row r="749" spans="1:65" ht="15" customHeight="1" x14ac:dyDescent="0.4">
      <c r="A749" s="2" t="s">
        <v>589</v>
      </c>
      <c r="B749" s="2" t="s">
        <v>66</v>
      </c>
      <c r="C749" s="2" t="s">
        <v>620</v>
      </c>
      <c r="D749" s="3" t="s">
        <v>68</v>
      </c>
      <c r="E749" s="3" t="s">
        <v>176</v>
      </c>
      <c r="F749" s="2" t="s">
        <v>177</v>
      </c>
      <c r="G749" s="4">
        <v>5</v>
      </c>
      <c r="H749" s="5">
        <v>3.25</v>
      </c>
      <c r="I749" s="5">
        <v>3.3877270046034429</v>
      </c>
      <c r="J749" s="6">
        <v>0</v>
      </c>
      <c r="K749" s="5">
        <v>0</v>
      </c>
      <c r="L749" s="6">
        <v>0</v>
      </c>
      <c r="M749" s="5">
        <v>0</v>
      </c>
      <c r="N749" s="6">
        <v>0</v>
      </c>
      <c r="O749" s="5">
        <v>0</v>
      </c>
      <c r="P749" s="6">
        <v>0</v>
      </c>
      <c r="Q749" s="5">
        <v>0</v>
      </c>
      <c r="R749" s="6">
        <v>0</v>
      </c>
      <c r="S749" s="5">
        <v>0</v>
      </c>
      <c r="T749" s="6">
        <v>0</v>
      </c>
      <c r="U749" s="5">
        <v>0</v>
      </c>
      <c r="V749" s="6">
        <v>98.92356741932133</v>
      </c>
      <c r="W749" s="5">
        <v>321.50159411279429</v>
      </c>
      <c r="X749" s="6">
        <v>0</v>
      </c>
      <c r="Y749" s="5">
        <v>0</v>
      </c>
      <c r="Z749" s="6">
        <v>0</v>
      </c>
      <c r="AA749" s="5">
        <v>0</v>
      </c>
      <c r="AB749" s="6">
        <v>0</v>
      </c>
      <c r="AC749" s="5">
        <v>0</v>
      </c>
      <c r="AD749" s="6">
        <v>0</v>
      </c>
      <c r="AE749" s="5">
        <v>0</v>
      </c>
      <c r="AF749" s="6">
        <v>0</v>
      </c>
      <c r="AG749" s="5">
        <v>0</v>
      </c>
      <c r="AH749" s="7">
        <f t="shared" si="88"/>
        <v>98.92356741932133</v>
      </c>
      <c r="AI749" s="8">
        <f t="shared" si="89"/>
        <v>321.50159411279429</v>
      </c>
      <c r="AJ749" s="6">
        <v>0</v>
      </c>
      <c r="AK749" s="5">
        <v>0</v>
      </c>
      <c r="AL749" s="6">
        <v>0</v>
      </c>
      <c r="AM749" s="5">
        <v>0</v>
      </c>
      <c r="AN749" s="6">
        <v>0</v>
      </c>
      <c r="AO749" s="5">
        <v>0</v>
      </c>
      <c r="AP749" s="6">
        <v>0</v>
      </c>
      <c r="AQ749" s="5">
        <v>0</v>
      </c>
      <c r="AR749" s="6">
        <v>0</v>
      </c>
      <c r="AS749" s="5">
        <v>0</v>
      </c>
      <c r="AT749" s="6">
        <v>0</v>
      </c>
      <c r="AU749" s="5">
        <v>0</v>
      </c>
      <c r="AV749" s="6">
        <v>110</v>
      </c>
      <c r="AW749" s="5">
        <v>372.64997050637868</v>
      </c>
      <c r="AX749" s="6">
        <v>0</v>
      </c>
      <c r="AY749" s="5">
        <v>0</v>
      </c>
      <c r="AZ749" s="6">
        <v>0</v>
      </c>
      <c r="BA749" s="5">
        <v>0</v>
      </c>
      <c r="BB749" s="6">
        <v>0</v>
      </c>
      <c r="BC749" s="5">
        <v>0</v>
      </c>
      <c r="BD749" s="6">
        <v>0</v>
      </c>
      <c r="BE749" s="5">
        <v>0</v>
      </c>
      <c r="BF749" s="6">
        <v>0</v>
      </c>
      <c r="BG749" s="5">
        <v>0</v>
      </c>
      <c r="BH749" s="9">
        <f t="shared" si="90"/>
        <v>110</v>
      </c>
      <c r="BI749" s="10">
        <f t="shared" si="91"/>
        <v>372.64997050637868</v>
      </c>
      <c r="BJ749" s="6">
        <f t="shared" si="92"/>
        <v>11.07643258067867</v>
      </c>
      <c r="BK749" s="11">
        <f t="shared" si="93"/>
        <v>0.11196960309495742</v>
      </c>
      <c r="BL749" s="5">
        <f t="shared" si="94"/>
        <v>51.148376393584385</v>
      </c>
      <c r="BM749" s="11">
        <f t="shared" si="95"/>
        <v>0.15909213929321825</v>
      </c>
    </row>
    <row r="750" spans="1:65" ht="15" customHeight="1" x14ac:dyDescent="0.4">
      <c r="A750" s="2" t="s">
        <v>589</v>
      </c>
      <c r="B750" s="2" t="s">
        <v>66</v>
      </c>
      <c r="C750" s="2" t="s">
        <v>620</v>
      </c>
      <c r="D750" s="3" t="s">
        <v>68</v>
      </c>
      <c r="E750" s="3" t="s">
        <v>178</v>
      </c>
      <c r="F750" s="2" t="s">
        <v>179</v>
      </c>
      <c r="G750" s="4">
        <v>5</v>
      </c>
      <c r="H750" s="5">
        <v>2.13</v>
      </c>
      <c r="I750" s="5">
        <v>2.2202641599401032</v>
      </c>
      <c r="J750" s="6">
        <v>0</v>
      </c>
      <c r="K750" s="5">
        <v>0</v>
      </c>
      <c r="L750" s="6">
        <v>0</v>
      </c>
      <c r="M750" s="5">
        <v>0</v>
      </c>
      <c r="N750" s="6">
        <v>593.54140451592798</v>
      </c>
      <c r="O750" s="5">
        <v>1270.178605664086</v>
      </c>
      <c r="P750" s="6">
        <v>0</v>
      </c>
      <c r="Q750" s="5">
        <v>0</v>
      </c>
      <c r="R750" s="6">
        <v>593.54140451592798</v>
      </c>
      <c r="S750" s="5">
        <v>1258.307777573767</v>
      </c>
      <c r="T750" s="6">
        <v>0</v>
      </c>
      <c r="U750" s="5">
        <v>0</v>
      </c>
      <c r="V750" s="6">
        <v>0</v>
      </c>
      <c r="W750" s="5">
        <v>0</v>
      </c>
      <c r="X750" s="6">
        <v>0</v>
      </c>
      <c r="Y750" s="5">
        <v>0</v>
      </c>
      <c r="Z750" s="6">
        <v>0</v>
      </c>
      <c r="AA750" s="5">
        <v>0</v>
      </c>
      <c r="AB750" s="6">
        <v>1137.5953671580669</v>
      </c>
      <c r="AC750" s="5">
        <v>2423.0781320466831</v>
      </c>
      <c r="AD750" s="6">
        <v>1137.5953671580669</v>
      </c>
      <c r="AE750" s="5">
        <v>2423.0781320466831</v>
      </c>
      <c r="AF750" s="6">
        <v>0</v>
      </c>
      <c r="AG750" s="5">
        <v>0</v>
      </c>
      <c r="AH750" s="7">
        <f t="shared" si="88"/>
        <v>3462.2735433479897</v>
      </c>
      <c r="AI750" s="8">
        <f t="shared" si="89"/>
        <v>7374.6426473312195</v>
      </c>
      <c r="AJ750" s="6">
        <v>0</v>
      </c>
      <c r="AK750" s="5">
        <v>0</v>
      </c>
      <c r="AL750" s="6">
        <v>0</v>
      </c>
      <c r="AM750" s="5">
        <v>0</v>
      </c>
      <c r="AN750" s="6">
        <v>750</v>
      </c>
      <c r="AO750" s="5">
        <v>1673.0159515041621</v>
      </c>
      <c r="AP750" s="6">
        <v>0</v>
      </c>
      <c r="AQ750" s="5">
        <v>0</v>
      </c>
      <c r="AR750" s="6">
        <v>750</v>
      </c>
      <c r="AS750" s="5">
        <v>1657.3802884059919</v>
      </c>
      <c r="AT750" s="6">
        <v>0</v>
      </c>
      <c r="AU750" s="5">
        <v>0</v>
      </c>
      <c r="AV750" s="6">
        <v>0</v>
      </c>
      <c r="AW750" s="5">
        <v>0</v>
      </c>
      <c r="AX750" s="6">
        <v>0</v>
      </c>
      <c r="AY750" s="5">
        <v>0</v>
      </c>
      <c r="AZ750" s="6">
        <v>0</v>
      </c>
      <c r="BA750" s="5">
        <v>0</v>
      </c>
      <c r="BB750" s="6">
        <v>1435</v>
      </c>
      <c r="BC750" s="5">
        <v>3186.0790695140481</v>
      </c>
      <c r="BD750" s="6">
        <v>1435</v>
      </c>
      <c r="BE750" s="5">
        <v>3186.0790695140481</v>
      </c>
      <c r="BF750" s="6">
        <v>0</v>
      </c>
      <c r="BG750" s="5">
        <v>0</v>
      </c>
      <c r="BH750" s="9">
        <f t="shared" si="90"/>
        <v>4370</v>
      </c>
      <c r="BI750" s="10">
        <f t="shared" si="91"/>
        <v>9702.55437893825</v>
      </c>
      <c r="BJ750" s="6">
        <f t="shared" si="92"/>
        <v>907.72645665201026</v>
      </c>
      <c r="BK750" s="11">
        <f t="shared" si="93"/>
        <v>0.26217641248942053</v>
      </c>
      <c r="BL750" s="5">
        <f t="shared" si="94"/>
        <v>2327.9117316070306</v>
      </c>
      <c r="BM750" s="11">
        <f t="shared" si="95"/>
        <v>0.31566434374273977</v>
      </c>
    </row>
    <row r="751" spans="1:65" ht="15" customHeight="1" x14ac:dyDescent="0.4">
      <c r="A751" s="2" t="s">
        <v>589</v>
      </c>
      <c r="B751" s="2" t="s">
        <v>66</v>
      </c>
      <c r="C751" s="2" t="s">
        <v>620</v>
      </c>
      <c r="D751" s="3" t="s">
        <v>68</v>
      </c>
      <c r="E751" s="3" t="s">
        <v>71</v>
      </c>
      <c r="F751" s="2" t="s">
        <v>72</v>
      </c>
      <c r="G751" s="4">
        <v>20</v>
      </c>
      <c r="H751" s="5">
        <v>1.93</v>
      </c>
      <c r="I751" s="5">
        <v>2.011788651964507</v>
      </c>
      <c r="J751" s="6">
        <v>0</v>
      </c>
      <c r="K751" s="5">
        <v>0</v>
      </c>
      <c r="L751" s="6">
        <v>633.11083148365651</v>
      </c>
      <c r="M751" s="5">
        <v>1228.2350130782929</v>
      </c>
      <c r="N751" s="6">
        <v>0</v>
      </c>
      <c r="O751" s="5">
        <v>0</v>
      </c>
      <c r="P751" s="6">
        <v>0</v>
      </c>
      <c r="Q751" s="5">
        <v>0</v>
      </c>
      <c r="R751" s="6">
        <v>1266.221662967313</v>
      </c>
      <c r="S751" s="5">
        <v>2431.1455928972409</v>
      </c>
      <c r="T751" s="6">
        <v>0</v>
      </c>
      <c r="U751" s="5">
        <v>0</v>
      </c>
      <c r="V751" s="6">
        <v>633.11083148365651</v>
      </c>
      <c r="W751" s="5">
        <v>1228.2350130782929</v>
      </c>
      <c r="X751" s="6">
        <v>0</v>
      </c>
      <c r="Y751" s="5">
        <v>0</v>
      </c>
      <c r="Z751" s="6">
        <v>0</v>
      </c>
      <c r="AA751" s="5">
        <v>0</v>
      </c>
      <c r="AB751" s="6">
        <v>1213.4350583019379</v>
      </c>
      <c r="AC751" s="5">
        <v>2341.9296625227412</v>
      </c>
      <c r="AD751" s="6">
        <v>1213.4350583019379</v>
      </c>
      <c r="AE751" s="5">
        <v>2341.9296625227412</v>
      </c>
      <c r="AF751" s="6">
        <v>0</v>
      </c>
      <c r="AG751" s="5">
        <v>0</v>
      </c>
      <c r="AH751" s="7">
        <f t="shared" si="88"/>
        <v>4959.3134425385015</v>
      </c>
      <c r="AI751" s="8">
        <f t="shared" si="89"/>
        <v>9571.4749440993091</v>
      </c>
      <c r="AJ751" s="6">
        <v>0</v>
      </c>
      <c r="AK751" s="5">
        <v>0</v>
      </c>
      <c r="AL751" s="6">
        <v>800</v>
      </c>
      <c r="AM751" s="5">
        <v>1617.7699418906291</v>
      </c>
      <c r="AN751" s="6">
        <v>0</v>
      </c>
      <c r="AO751" s="5">
        <v>0</v>
      </c>
      <c r="AP751" s="6">
        <v>0</v>
      </c>
      <c r="AQ751" s="5">
        <v>0</v>
      </c>
      <c r="AR751" s="6">
        <v>1600</v>
      </c>
      <c r="AS751" s="5">
        <v>3202.1838025051629</v>
      </c>
      <c r="AT751" s="6">
        <v>0</v>
      </c>
      <c r="AU751" s="5">
        <v>0</v>
      </c>
      <c r="AV751" s="6">
        <v>800</v>
      </c>
      <c r="AW751" s="5">
        <v>1617.7699418906291</v>
      </c>
      <c r="AX751" s="6">
        <v>0</v>
      </c>
      <c r="AY751" s="5">
        <v>0</v>
      </c>
      <c r="AZ751" s="6">
        <v>0</v>
      </c>
      <c r="BA751" s="5">
        <v>0</v>
      </c>
      <c r="BB751" s="6">
        <v>1520</v>
      </c>
      <c r="BC751" s="5">
        <v>3057.9187509860499</v>
      </c>
      <c r="BD751" s="6">
        <v>1520</v>
      </c>
      <c r="BE751" s="5">
        <v>3057.9187509860499</v>
      </c>
      <c r="BF751" s="6">
        <v>0</v>
      </c>
      <c r="BG751" s="5">
        <v>0</v>
      </c>
      <c r="BH751" s="9">
        <f t="shared" si="90"/>
        <v>6240</v>
      </c>
      <c r="BI751" s="10">
        <f t="shared" si="91"/>
        <v>12553.56118825852</v>
      </c>
      <c r="BJ751" s="6">
        <f t="shared" si="92"/>
        <v>1280.6865574614985</v>
      </c>
      <c r="BK751" s="11">
        <f t="shared" si="93"/>
        <v>0.25823868007140105</v>
      </c>
      <c r="BL751" s="5">
        <f t="shared" si="94"/>
        <v>2982.0862441592108</v>
      </c>
      <c r="BM751" s="11">
        <f t="shared" si="95"/>
        <v>0.3115597399121468</v>
      </c>
    </row>
    <row r="752" spans="1:65" ht="15" customHeight="1" x14ac:dyDescent="0.4">
      <c r="A752" s="2" t="s">
        <v>589</v>
      </c>
      <c r="B752" s="2" t="s">
        <v>66</v>
      </c>
      <c r="C752" s="2" t="s">
        <v>620</v>
      </c>
      <c r="D752" s="3" t="s">
        <v>68</v>
      </c>
      <c r="E752" s="3" t="s">
        <v>262</v>
      </c>
      <c r="F752" s="2" t="s">
        <v>263</v>
      </c>
      <c r="G752" s="4">
        <v>1</v>
      </c>
      <c r="H752" s="5">
        <v>5.5549999999999997</v>
      </c>
      <c r="I752" s="5">
        <v>5.7899371421904844</v>
      </c>
      <c r="J752" s="6">
        <v>118.7082809031856</v>
      </c>
      <c r="K752" s="5">
        <v>673.07595272106221</v>
      </c>
      <c r="L752" s="6">
        <v>0</v>
      </c>
      <c r="M752" s="5">
        <v>0</v>
      </c>
      <c r="N752" s="6">
        <v>59.354140451592791</v>
      </c>
      <c r="O752" s="5">
        <v>318.13819282053743</v>
      </c>
      <c r="P752" s="6">
        <v>0</v>
      </c>
      <c r="Q752" s="5">
        <v>0</v>
      </c>
      <c r="R752" s="6">
        <v>0</v>
      </c>
      <c r="S752" s="5">
        <v>0</v>
      </c>
      <c r="T752" s="6">
        <v>0</v>
      </c>
      <c r="U752" s="5">
        <v>0</v>
      </c>
      <c r="V752" s="6">
        <v>0</v>
      </c>
      <c r="W752" s="5">
        <v>0</v>
      </c>
      <c r="X752" s="6">
        <v>59.354140451592798</v>
      </c>
      <c r="Y752" s="5">
        <v>327.63485529279222</v>
      </c>
      <c r="Z752" s="6">
        <v>0</v>
      </c>
      <c r="AA752" s="5">
        <v>0</v>
      </c>
      <c r="AB752" s="6">
        <v>0</v>
      </c>
      <c r="AC752" s="5">
        <v>0</v>
      </c>
      <c r="AD752" s="6">
        <v>0</v>
      </c>
      <c r="AE752" s="5">
        <v>0</v>
      </c>
      <c r="AF752" s="6">
        <v>0</v>
      </c>
      <c r="AG752" s="5">
        <v>0</v>
      </c>
      <c r="AH752" s="7">
        <f t="shared" si="88"/>
        <v>237.41656180637119</v>
      </c>
      <c r="AI752" s="8">
        <f t="shared" si="89"/>
        <v>1318.849000834392</v>
      </c>
      <c r="AJ752" s="6">
        <v>127</v>
      </c>
      <c r="AK752" s="5">
        <v>750.60564269073654</v>
      </c>
      <c r="AL752" s="6">
        <v>0</v>
      </c>
      <c r="AM752" s="5">
        <v>0</v>
      </c>
      <c r="AN752" s="6">
        <v>64</v>
      </c>
      <c r="AO752" s="5">
        <v>357.57719127974309</v>
      </c>
      <c r="AP752" s="6">
        <v>0</v>
      </c>
      <c r="AQ752" s="5">
        <v>0</v>
      </c>
      <c r="AR752" s="6">
        <v>0</v>
      </c>
      <c r="AS752" s="5">
        <v>0</v>
      </c>
      <c r="AT752" s="6">
        <v>0</v>
      </c>
      <c r="AU752" s="5">
        <v>0</v>
      </c>
      <c r="AV752" s="6">
        <v>0</v>
      </c>
      <c r="AW752" s="5">
        <v>0</v>
      </c>
      <c r="AX752" s="6">
        <v>64</v>
      </c>
      <c r="AY752" s="5">
        <v>368.25113728809367</v>
      </c>
      <c r="AZ752" s="6">
        <v>0</v>
      </c>
      <c r="BA752" s="5">
        <v>0</v>
      </c>
      <c r="BB752" s="6">
        <v>0</v>
      </c>
      <c r="BC752" s="5">
        <v>0</v>
      </c>
      <c r="BD752" s="6">
        <v>0</v>
      </c>
      <c r="BE752" s="5">
        <v>0</v>
      </c>
      <c r="BF752" s="6">
        <v>0</v>
      </c>
      <c r="BG752" s="5">
        <v>0</v>
      </c>
      <c r="BH752" s="9">
        <f t="shared" si="90"/>
        <v>255</v>
      </c>
      <c r="BI752" s="10">
        <f t="shared" si="91"/>
        <v>1476.4339712585734</v>
      </c>
      <c r="BJ752" s="6">
        <f t="shared" si="92"/>
        <v>17.583438193628808</v>
      </c>
      <c r="BK752" s="11">
        <f t="shared" si="93"/>
        <v>7.4061548443992958E-2</v>
      </c>
      <c r="BL752" s="5">
        <f t="shared" si="94"/>
        <v>157.58497042418139</v>
      </c>
      <c r="BM752" s="11">
        <f t="shared" si="95"/>
        <v>0.11948674209441916</v>
      </c>
    </row>
    <row r="753" spans="1:65" ht="15" customHeight="1" x14ac:dyDescent="0.4">
      <c r="A753" s="2" t="s">
        <v>589</v>
      </c>
      <c r="B753" s="2" t="s">
        <v>66</v>
      </c>
      <c r="C753" s="2" t="s">
        <v>620</v>
      </c>
      <c r="D753" s="3" t="s">
        <v>68</v>
      </c>
      <c r="E753" s="3" t="s">
        <v>201</v>
      </c>
      <c r="F753" s="2" t="s">
        <v>202</v>
      </c>
      <c r="G753" s="4">
        <v>5</v>
      </c>
      <c r="H753" s="5">
        <v>4.3046575342465756</v>
      </c>
      <c r="I753" s="5">
        <v>4.4872160388184312</v>
      </c>
      <c r="J753" s="6">
        <v>296.77070225796399</v>
      </c>
      <c r="K753" s="5">
        <v>1317.6619180253599</v>
      </c>
      <c r="L753" s="6">
        <v>237.41656180637119</v>
      </c>
      <c r="M753" s="5">
        <v>1001.897890822886</v>
      </c>
      <c r="N753" s="6">
        <v>237.41656180637119</v>
      </c>
      <c r="O753" s="5">
        <v>1001.897890822886</v>
      </c>
      <c r="P753" s="6">
        <v>197.84713483864269</v>
      </c>
      <c r="Q753" s="5">
        <v>834.91490901907196</v>
      </c>
      <c r="R753" s="6">
        <v>0</v>
      </c>
      <c r="S753" s="5">
        <v>0</v>
      </c>
      <c r="T753" s="6">
        <v>237.41656180637119</v>
      </c>
      <c r="U753" s="5">
        <v>1030.3878782396509</v>
      </c>
      <c r="V753" s="6">
        <v>0</v>
      </c>
      <c r="W753" s="5">
        <v>0</v>
      </c>
      <c r="X753" s="6">
        <v>237.41656180637119</v>
      </c>
      <c r="Y753" s="5">
        <v>1030.3878782396509</v>
      </c>
      <c r="Z753" s="6">
        <v>0</v>
      </c>
      <c r="AA753" s="5">
        <v>0</v>
      </c>
      <c r="AB753" s="6">
        <v>0</v>
      </c>
      <c r="AC753" s="5">
        <v>0</v>
      </c>
      <c r="AD753" s="6">
        <v>0</v>
      </c>
      <c r="AE753" s="5">
        <v>0</v>
      </c>
      <c r="AF753" s="6">
        <v>0</v>
      </c>
      <c r="AG753" s="5">
        <v>0</v>
      </c>
      <c r="AH753" s="7">
        <f t="shared" si="88"/>
        <v>1444.2840843220915</v>
      </c>
      <c r="AI753" s="8">
        <f t="shared" si="89"/>
        <v>6217.1483651695053</v>
      </c>
      <c r="AJ753" s="6">
        <v>320</v>
      </c>
      <c r="AK753" s="5">
        <v>1481.0100086586381</v>
      </c>
      <c r="AL753" s="6">
        <v>255</v>
      </c>
      <c r="AM753" s="5">
        <v>1121.7024706626969</v>
      </c>
      <c r="AN753" s="6">
        <v>255</v>
      </c>
      <c r="AO753" s="5">
        <v>1121.7024706626969</v>
      </c>
      <c r="AP753" s="6">
        <v>210</v>
      </c>
      <c r="AQ753" s="5">
        <v>923.75497583986817</v>
      </c>
      <c r="AR753" s="6">
        <v>0</v>
      </c>
      <c r="AS753" s="5">
        <v>0</v>
      </c>
      <c r="AT753" s="6">
        <v>255</v>
      </c>
      <c r="AU753" s="5">
        <v>1153.5992233829629</v>
      </c>
      <c r="AV753" s="6">
        <v>0</v>
      </c>
      <c r="AW753" s="5">
        <v>0</v>
      </c>
      <c r="AX753" s="6">
        <v>250</v>
      </c>
      <c r="AY753" s="5">
        <v>1130.9796307676111</v>
      </c>
      <c r="AZ753" s="6">
        <v>0</v>
      </c>
      <c r="BA753" s="5">
        <v>0</v>
      </c>
      <c r="BB753" s="6">
        <v>0</v>
      </c>
      <c r="BC753" s="5">
        <v>0</v>
      </c>
      <c r="BD753" s="6">
        <v>0</v>
      </c>
      <c r="BE753" s="5">
        <v>0</v>
      </c>
      <c r="BF753" s="6">
        <v>0</v>
      </c>
      <c r="BG753" s="5">
        <v>0</v>
      </c>
      <c r="BH753" s="9">
        <f t="shared" si="90"/>
        <v>1545</v>
      </c>
      <c r="BI753" s="10">
        <f t="shared" si="91"/>
        <v>6932.748779974474</v>
      </c>
      <c r="BJ753" s="6">
        <f t="shared" si="92"/>
        <v>100.71591567790847</v>
      </c>
      <c r="BK753" s="11">
        <f t="shared" si="93"/>
        <v>6.9734144945024334E-2</v>
      </c>
      <c r="BL753" s="5">
        <f t="shared" si="94"/>
        <v>715.60041480496875</v>
      </c>
      <c r="BM753" s="11">
        <f t="shared" si="95"/>
        <v>0.11510106768788017</v>
      </c>
    </row>
    <row r="754" spans="1:65" ht="15" customHeight="1" x14ac:dyDescent="0.4">
      <c r="A754" s="2" t="s">
        <v>589</v>
      </c>
      <c r="B754" s="2" t="s">
        <v>66</v>
      </c>
      <c r="C754" s="2" t="s">
        <v>620</v>
      </c>
      <c r="D754" s="3" t="s">
        <v>68</v>
      </c>
      <c r="E754" s="3" t="s">
        <v>347</v>
      </c>
      <c r="F754" s="2" t="s">
        <v>348</v>
      </c>
      <c r="G754" s="4">
        <v>5</v>
      </c>
      <c r="H754" s="5">
        <v>3.664643962848297</v>
      </c>
      <c r="I754" s="5">
        <v>3.8199542431218139</v>
      </c>
      <c r="J754" s="6">
        <v>123.65445927415161</v>
      </c>
      <c r="K754" s="5">
        <v>452.57532094339513</v>
      </c>
      <c r="L754" s="6">
        <v>494.61783709660659</v>
      </c>
      <c r="M754" s="5">
        <v>1815.247462144546</v>
      </c>
      <c r="N754" s="6">
        <v>0</v>
      </c>
      <c r="O754" s="5">
        <v>0</v>
      </c>
      <c r="P754" s="6">
        <v>247.3089185483033</v>
      </c>
      <c r="Q754" s="5">
        <v>907.62373107227313</v>
      </c>
      <c r="R754" s="6">
        <v>732.03439890297784</v>
      </c>
      <c r="S754" s="5">
        <v>2679.2458999848991</v>
      </c>
      <c r="T754" s="6">
        <v>0</v>
      </c>
      <c r="U754" s="5">
        <v>0</v>
      </c>
      <c r="V754" s="6">
        <v>0</v>
      </c>
      <c r="W754" s="5">
        <v>0</v>
      </c>
      <c r="X754" s="6">
        <v>0</v>
      </c>
      <c r="Y754" s="5">
        <v>0</v>
      </c>
      <c r="Z754" s="6">
        <v>0</v>
      </c>
      <c r="AA754" s="5">
        <v>0</v>
      </c>
      <c r="AB754" s="6">
        <v>0</v>
      </c>
      <c r="AC754" s="5">
        <v>0</v>
      </c>
      <c r="AD754" s="6">
        <v>0</v>
      </c>
      <c r="AE754" s="5">
        <v>0</v>
      </c>
      <c r="AF754" s="6">
        <v>0</v>
      </c>
      <c r="AG754" s="5">
        <v>0</v>
      </c>
      <c r="AH754" s="7">
        <f t="shared" si="88"/>
        <v>1597.6156138220394</v>
      </c>
      <c r="AI754" s="8">
        <f t="shared" si="89"/>
        <v>5854.6924141451136</v>
      </c>
      <c r="AJ754" s="6">
        <v>135</v>
      </c>
      <c r="AK754" s="5">
        <v>515.03874245371128</v>
      </c>
      <c r="AL754" s="6">
        <v>540</v>
      </c>
      <c r="AM754" s="5">
        <v>2065.783808530186</v>
      </c>
      <c r="AN754" s="6">
        <v>0</v>
      </c>
      <c r="AO754" s="5">
        <v>0</v>
      </c>
      <c r="AP754" s="6">
        <v>270</v>
      </c>
      <c r="AQ754" s="5">
        <v>1032.891904265093</v>
      </c>
      <c r="AR754" s="6">
        <v>795</v>
      </c>
      <c r="AS754" s="5">
        <v>3033.005927782966</v>
      </c>
      <c r="AT754" s="6">
        <v>0</v>
      </c>
      <c r="AU754" s="5">
        <v>0</v>
      </c>
      <c r="AV754" s="6">
        <v>0</v>
      </c>
      <c r="AW754" s="5">
        <v>0</v>
      </c>
      <c r="AX754" s="6">
        <v>0</v>
      </c>
      <c r="AY754" s="5">
        <v>0</v>
      </c>
      <c r="AZ754" s="6">
        <v>0</v>
      </c>
      <c r="BA754" s="5">
        <v>0</v>
      </c>
      <c r="BB754" s="6">
        <v>0</v>
      </c>
      <c r="BC754" s="5">
        <v>0</v>
      </c>
      <c r="BD754" s="6">
        <v>0</v>
      </c>
      <c r="BE754" s="5">
        <v>0</v>
      </c>
      <c r="BF754" s="6">
        <v>0</v>
      </c>
      <c r="BG754" s="5">
        <v>0</v>
      </c>
      <c r="BH754" s="9">
        <f t="shared" si="90"/>
        <v>1740</v>
      </c>
      <c r="BI754" s="10">
        <f t="shared" si="91"/>
        <v>6646.7203830319559</v>
      </c>
      <c r="BJ754" s="6">
        <f t="shared" si="92"/>
        <v>142.38438617796055</v>
      </c>
      <c r="BK754" s="11">
        <f t="shared" si="93"/>
        <v>8.9123056225851927E-2</v>
      </c>
      <c r="BL754" s="5">
        <f t="shared" si="94"/>
        <v>792.02796888684225</v>
      </c>
      <c r="BM754" s="11">
        <f t="shared" si="95"/>
        <v>0.13528088460689733</v>
      </c>
    </row>
    <row r="755" spans="1:65" ht="15" customHeight="1" x14ac:dyDescent="0.4">
      <c r="A755" s="2" t="s">
        <v>589</v>
      </c>
      <c r="B755" s="2" t="s">
        <v>66</v>
      </c>
      <c r="C755" s="2" t="s">
        <v>620</v>
      </c>
      <c r="D755" s="3" t="s">
        <v>68</v>
      </c>
      <c r="E755" s="3" t="s">
        <v>597</v>
      </c>
      <c r="F755" s="2" t="s">
        <v>598</v>
      </c>
      <c r="G755" s="4">
        <v>20</v>
      </c>
      <c r="H755" s="5">
        <v>3.5299999999999989</v>
      </c>
      <c r="I755" s="5">
        <v>3.679592715769278</v>
      </c>
      <c r="J755" s="6">
        <v>0</v>
      </c>
      <c r="K755" s="5">
        <v>0</v>
      </c>
      <c r="L755" s="6">
        <v>0</v>
      </c>
      <c r="M755" s="5">
        <v>0</v>
      </c>
      <c r="N755" s="6">
        <v>0</v>
      </c>
      <c r="O755" s="5">
        <v>0</v>
      </c>
      <c r="P755" s="6">
        <v>0</v>
      </c>
      <c r="Q755" s="5">
        <v>0</v>
      </c>
      <c r="R755" s="6">
        <v>791.38853935457064</v>
      </c>
      <c r="S755" s="5">
        <v>2793.6015439216339</v>
      </c>
      <c r="T755" s="6">
        <v>0</v>
      </c>
      <c r="U755" s="5">
        <v>0</v>
      </c>
      <c r="V755" s="6">
        <v>0</v>
      </c>
      <c r="W755" s="5">
        <v>0</v>
      </c>
      <c r="X755" s="6">
        <v>0</v>
      </c>
      <c r="Y755" s="5">
        <v>0</v>
      </c>
      <c r="Z755" s="6">
        <v>0</v>
      </c>
      <c r="AA755" s="5">
        <v>0</v>
      </c>
      <c r="AB755" s="6">
        <v>0</v>
      </c>
      <c r="AC755" s="5">
        <v>0</v>
      </c>
      <c r="AD755" s="6">
        <v>758.39691143871141</v>
      </c>
      <c r="AE755" s="5">
        <v>2677.141097378651</v>
      </c>
      <c r="AF755" s="6">
        <v>0</v>
      </c>
      <c r="AG755" s="5">
        <v>0</v>
      </c>
      <c r="AH755" s="7">
        <f t="shared" si="88"/>
        <v>1549.7854507932821</v>
      </c>
      <c r="AI755" s="8">
        <f t="shared" si="89"/>
        <v>5470.742641300285</v>
      </c>
      <c r="AJ755" s="6">
        <v>0</v>
      </c>
      <c r="AK755" s="5">
        <v>0</v>
      </c>
      <c r="AL755" s="6">
        <v>0</v>
      </c>
      <c r="AM755" s="5">
        <v>0</v>
      </c>
      <c r="AN755" s="6">
        <v>0</v>
      </c>
      <c r="AO755" s="5">
        <v>0</v>
      </c>
      <c r="AP755" s="6">
        <v>0</v>
      </c>
      <c r="AQ755" s="5">
        <v>0</v>
      </c>
      <c r="AR755" s="6">
        <v>860</v>
      </c>
      <c r="AS755" s="5">
        <v>3164.449735561579</v>
      </c>
      <c r="AT755" s="6">
        <v>0</v>
      </c>
      <c r="AU755" s="5">
        <v>0</v>
      </c>
      <c r="AV755" s="6">
        <v>0</v>
      </c>
      <c r="AW755" s="5">
        <v>0</v>
      </c>
      <c r="AX755" s="6">
        <v>0</v>
      </c>
      <c r="AY755" s="5">
        <v>0</v>
      </c>
      <c r="AZ755" s="6">
        <v>0</v>
      </c>
      <c r="BA755" s="5">
        <v>0</v>
      </c>
      <c r="BB755" s="6">
        <v>0</v>
      </c>
      <c r="BC755" s="5">
        <v>0</v>
      </c>
      <c r="BD755" s="6">
        <v>820</v>
      </c>
      <c r="BE755" s="5">
        <v>3017.266026930808</v>
      </c>
      <c r="BF755" s="6">
        <v>0</v>
      </c>
      <c r="BG755" s="5">
        <v>0</v>
      </c>
      <c r="BH755" s="9">
        <f t="shared" si="90"/>
        <v>1680</v>
      </c>
      <c r="BI755" s="10">
        <f t="shared" si="91"/>
        <v>6181.7157624923875</v>
      </c>
      <c r="BJ755" s="6">
        <f t="shared" si="92"/>
        <v>130.21454920671795</v>
      </c>
      <c r="BK755" s="11">
        <f t="shared" si="93"/>
        <v>8.402101667689911E-2</v>
      </c>
      <c r="BL755" s="5">
        <f t="shared" si="94"/>
        <v>710.97312119210255</v>
      </c>
      <c r="BM755" s="11">
        <f t="shared" si="95"/>
        <v>0.1299591605396957</v>
      </c>
    </row>
    <row r="756" spans="1:65" ht="15" customHeight="1" x14ac:dyDescent="0.4">
      <c r="A756" s="2" t="s">
        <v>589</v>
      </c>
      <c r="B756" s="2" t="s">
        <v>66</v>
      </c>
      <c r="C756" s="2" t="s">
        <v>620</v>
      </c>
      <c r="D756" s="3" t="s">
        <v>68</v>
      </c>
      <c r="E756" s="3" t="s">
        <v>264</v>
      </c>
      <c r="F756" s="2" t="s">
        <v>265</v>
      </c>
      <c r="G756" s="4">
        <v>20</v>
      </c>
      <c r="H756" s="5">
        <v>2.2999999999999998</v>
      </c>
      <c r="I756" s="5">
        <v>2.3974683417193599</v>
      </c>
      <c r="J756" s="6">
        <v>0</v>
      </c>
      <c r="K756" s="5">
        <v>0</v>
      </c>
      <c r="L756" s="6">
        <v>0</v>
      </c>
      <c r="M756" s="5">
        <v>0</v>
      </c>
      <c r="N756" s="6">
        <v>0</v>
      </c>
      <c r="O756" s="5">
        <v>0</v>
      </c>
      <c r="P756" s="6">
        <v>0</v>
      </c>
      <c r="Q756" s="5">
        <v>0</v>
      </c>
      <c r="R756" s="6">
        <v>0</v>
      </c>
      <c r="S756" s="5">
        <v>0</v>
      </c>
      <c r="T756" s="6">
        <v>0</v>
      </c>
      <c r="U756" s="5">
        <v>0</v>
      </c>
      <c r="V756" s="6">
        <v>98.92356741932133</v>
      </c>
      <c r="W756" s="5">
        <v>227.524205064439</v>
      </c>
      <c r="X756" s="6">
        <v>0</v>
      </c>
      <c r="Y756" s="5">
        <v>0</v>
      </c>
      <c r="Z756" s="6">
        <v>0</v>
      </c>
      <c r="AA756" s="5">
        <v>0</v>
      </c>
      <c r="AB756" s="6">
        <v>0</v>
      </c>
      <c r="AC756" s="5">
        <v>0</v>
      </c>
      <c r="AD756" s="6">
        <v>0</v>
      </c>
      <c r="AE756" s="5">
        <v>0</v>
      </c>
      <c r="AF756" s="6">
        <v>0</v>
      </c>
      <c r="AG756" s="5">
        <v>0</v>
      </c>
      <c r="AH756" s="7">
        <f t="shared" si="88"/>
        <v>98.92356741932133</v>
      </c>
      <c r="AI756" s="8">
        <f t="shared" si="89"/>
        <v>227.524205064439</v>
      </c>
      <c r="AJ756" s="6">
        <v>0</v>
      </c>
      <c r="AK756" s="5">
        <v>0</v>
      </c>
      <c r="AL756" s="6">
        <v>0</v>
      </c>
      <c r="AM756" s="5">
        <v>0</v>
      </c>
      <c r="AN756" s="6">
        <v>0</v>
      </c>
      <c r="AO756" s="5">
        <v>0</v>
      </c>
      <c r="AP756" s="6">
        <v>0</v>
      </c>
      <c r="AQ756" s="5">
        <v>0</v>
      </c>
      <c r="AR756" s="6">
        <v>0</v>
      </c>
      <c r="AS756" s="5">
        <v>0</v>
      </c>
      <c r="AT756" s="6">
        <v>0</v>
      </c>
      <c r="AU756" s="5">
        <v>0</v>
      </c>
      <c r="AV756" s="6">
        <v>100</v>
      </c>
      <c r="AW756" s="5">
        <v>239.746834171936</v>
      </c>
      <c r="AX756" s="6">
        <v>0</v>
      </c>
      <c r="AY756" s="5">
        <v>0</v>
      </c>
      <c r="AZ756" s="6">
        <v>0</v>
      </c>
      <c r="BA756" s="5">
        <v>0</v>
      </c>
      <c r="BB756" s="6">
        <v>0</v>
      </c>
      <c r="BC756" s="5">
        <v>0</v>
      </c>
      <c r="BD756" s="6">
        <v>0</v>
      </c>
      <c r="BE756" s="5">
        <v>0</v>
      </c>
      <c r="BF756" s="6">
        <v>0</v>
      </c>
      <c r="BG756" s="5">
        <v>0</v>
      </c>
      <c r="BH756" s="9">
        <f t="shared" si="90"/>
        <v>100</v>
      </c>
      <c r="BI756" s="10">
        <f t="shared" si="91"/>
        <v>239.746834171936</v>
      </c>
      <c r="BJ756" s="6">
        <f t="shared" si="92"/>
        <v>1.0764325806786701</v>
      </c>
      <c r="BK756" s="11">
        <f t="shared" si="93"/>
        <v>1.0881457359052195E-2</v>
      </c>
      <c r="BL756" s="5">
        <f t="shared" si="94"/>
        <v>12.222629107496999</v>
      </c>
      <c r="BM756" s="11">
        <f t="shared" si="95"/>
        <v>5.3720126630198872E-2</v>
      </c>
    </row>
    <row r="757" spans="1:65" ht="15" customHeight="1" x14ac:dyDescent="0.4">
      <c r="A757" s="2" t="s">
        <v>589</v>
      </c>
      <c r="B757" s="2" t="s">
        <v>66</v>
      </c>
      <c r="C757" s="2" t="s">
        <v>620</v>
      </c>
      <c r="D757" s="3" t="s">
        <v>68</v>
      </c>
      <c r="E757" s="3" t="s">
        <v>249</v>
      </c>
      <c r="F757" s="2" t="s">
        <v>250</v>
      </c>
      <c r="G757" s="4">
        <v>1</v>
      </c>
      <c r="H757" s="5">
        <v>4.34</v>
      </c>
      <c r="I757" s="5">
        <v>4.5239185230704448</v>
      </c>
      <c r="J757" s="6">
        <v>118.7082809031856</v>
      </c>
      <c r="K757" s="5">
        <v>515.19393911982536</v>
      </c>
      <c r="L757" s="6">
        <v>0</v>
      </c>
      <c r="M757" s="5">
        <v>0</v>
      </c>
      <c r="N757" s="6">
        <v>0</v>
      </c>
      <c r="O757" s="5">
        <v>0</v>
      </c>
      <c r="P757" s="6">
        <v>0</v>
      </c>
      <c r="Q757" s="5">
        <v>0</v>
      </c>
      <c r="R757" s="6">
        <v>0</v>
      </c>
      <c r="S757" s="5">
        <v>0</v>
      </c>
      <c r="T757" s="6">
        <v>0</v>
      </c>
      <c r="U757" s="5">
        <v>0</v>
      </c>
      <c r="V757" s="6">
        <v>0</v>
      </c>
      <c r="W757" s="5">
        <v>0</v>
      </c>
      <c r="X757" s="6">
        <v>0</v>
      </c>
      <c r="Y757" s="5">
        <v>0</v>
      </c>
      <c r="Z757" s="6">
        <v>0</v>
      </c>
      <c r="AA757" s="5">
        <v>0</v>
      </c>
      <c r="AB757" s="6">
        <v>0</v>
      </c>
      <c r="AC757" s="5">
        <v>0</v>
      </c>
      <c r="AD757" s="6">
        <v>0</v>
      </c>
      <c r="AE757" s="5">
        <v>0</v>
      </c>
      <c r="AF757" s="6">
        <v>0</v>
      </c>
      <c r="AG757" s="5">
        <v>0</v>
      </c>
      <c r="AH757" s="7">
        <f t="shared" si="88"/>
        <v>118.7082809031856</v>
      </c>
      <c r="AI757" s="8">
        <f t="shared" si="89"/>
        <v>515.19393911982536</v>
      </c>
      <c r="AJ757" s="6">
        <v>131</v>
      </c>
      <c r="AK757" s="5">
        <v>592.63332652222823</v>
      </c>
      <c r="AL757" s="6">
        <v>0</v>
      </c>
      <c r="AM757" s="5">
        <v>0</v>
      </c>
      <c r="AN757" s="6">
        <v>0</v>
      </c>
      <c r="AO757" s="5">
        <v>0</v>
      </c>
      <c r="AP757" s="6">
        <v>0</v>
      </c>
      <c r="AQ757" s="5">
        <v>0</v>
      </c>
      <c r="AR757" s="6">
        <v>0</v>
      </c>
      <c r="AS757" s="5">
        <v>0</v>
      </c>
      <c r="AT757" s="6">
        <v>0</v>
      </c>
      <c r="AU757" s="5">
        <v>0</v>
      </c>
      <c r="AV757" s="6">
        <v>0</v>
      </c>
      <c r="AW757" s="5">
        <v>0</v>
      </c>
      <c r="AX757" s="6">
        <v>0</v>
      </c>
      <c r="AY757" s="5">
        <v>0</v>
      </c>
      <c r="AZ757" s="6">
        <v>0</v>
      </c>
      <c r="BA757" s="5">
        <v>0</v>
      </c>
      <c r="BB757" s="6">
        <v>0</v>
      </c>
      <c r="BC757" s="5">
        <v>0</v>
      </c>
      <c r="BD757" s="6">
        <v>0</v>
      </c>
      <c r="BE757" s="5">
        <v>0</v>
      </c>
      <c r="BF757" s="6">
        <v>0</v>
      </c>
      <c r="BG757" s="5">
        <v>0</v>
      </c>
      <c r="BH757" s="9">
        <f t="shared" si="90"/>
        <v>131</v>
      </c>
      <c r="BI757" s="10">
        <f t="shared" si="91"/>
        <v>592.63332652222823</v>
      </c>
      <c r="BJ757" s="6">
        <f t="shared" si="92"/>
        <v>12.291719096814404</v>
      </c>
      <c r="BK757" s="11">
        <f t="shared" si="93"/>
        <v>0.10354559095029865</v>
      </c>
      <c r="BL757" s="5">
        <f t="shared" si="94"/>
        <v>77.439387402402872</v>
      </c>
      <c r="BM757" s="11">
        <f t="shared" si="95"/>
        <v>0.1503111382379671</v>
      </c>
    </row>
    <row r="758" spans="1:65" ht="15" customHeight="1" x14ac:dyDescent="0.4">
      <c r="A758" s="2" t="s">
        <v>589</v>
      </c>
      <c r="B758" s="2" t="s">
        <v>66</v>
      </c>
      <c r="C758" s="2" t="s">
        <v>620</v>
      </c>
      <c r="D758" s="3" t="s">
        <v>68</v>
      </c>
      <c r="E758" s="3" t="s">
        <v>218</v>
      </c>
      <c r="F758" s="2" t="s">
        <v>621</v>
      </c>
      <c r="G758" s="4">
        <v>5</v>
      </c>
      <c r="H758" s="5">
        <v>3.830000000000001</v>
      </c>
      <c r="I758" s="5">
        <v>3.9923059777326739</v>
      </c>
      <c r="J758" s="6">
        <v>370.96337782245502</v>
      </c>
      <c r="K758" s="5">
        <v>1450.466807285799</v>
      </c>
      <c r="L758" s="6">
        <v>494.61783709660659</v>
      </c>
      <c r="M758" s="5">
        <v>1864.709245854207</v>
      </c>
      <c r="N758" s="6">
        <v>0</v>
      </c>
      <c r="O758" s="5">
        <v>0</v>
      </c>
      <c r="P758" s="6">
        <v>0</v>
      </c>
      <c r="Q758" s="5">
        <v>0</v>
      </c>
      <c r="R758" s="6">
        <v>0</v>
      </c>
      <c r="S758" s="5">
        <v>0</v>
      </c>
      <c r="T758" s="6">
        <v>0</v>
      </c>
      <c r="U758" s="5">
        <v>0</v>
      </c>
      <c r="V758" s="6">
        <v>0</v>
      </c>
      <c r="W758" s="5">
        <v>0</v>
      </c>
      <c r="X758" s="6">
        <v>0</v>
      </c>
      <c r="Y758" s="5">
        <v>0</v>
      </c>
      <c r="Z758" s="6">
        <v>0</v>
      </c>
      <c r="AA758" s="5">
        <v>0</v>
      </c>
      <c r="AB758" s="6">
        <v>0</v>
      </c>
      <c r="AC758" s="5">
        <v>0</v>
      </c>
      <c r="AD758" s="6">
        <v>0</v>
      </c>
      <c r="AE758" s="5">
        <v>0</v>
      </c>
      <c r="AF758" s="6">
        <v>0</v>
      </c>
      <c r="AG758" s="5">
        <v>0</v>
      </c>
      <c r="AH758" s="7">
        <f t="shared" si="88"/>
        <v>865.58121491906161</v>
      </c>
      <c r="AI758" s="8">
        <f t="shared" si="89"/>
        <v>3315.1760531400059</v>
      </c>
      <c r="AJ758" s="6">
        <v>405</v>
      </c>
      <c r="AK758" s="5">
        <v>1650.656953273779</v>
      </c>
      <c r="AL758" s="6">
        <v>540</v>
      </c>
      <c r="AM758" s="5">
        <v>2122.0721956835969</v>
      </c>
      <c r="AN758" s="6">
        <v>0</v>
      </c>
      <c r="AO758" s="5">
        <v>0</v>
      </c>
      <c r="AP758" s="6">
        <v>0</v>
      </c>
      <c r="AQ758" s="5">
        <v>0</v>
      </c>
      <c r="AR758" s="6">
        <v>0</v>
      </c>
      <c r="AS758" s="5">
        <v>0</v>
      </c>
      <c r="AT758" s="6">
        <v>0</v>
      </c>
      <c r="AU758" s="5">
        <v>0</v>
      </c>
      <c r="AV758" s="6">
        <v>0</v>
      </c>
      <c r="AW758" s="5">
        <v>0</v>
      </c>
      <c r="AX758" s="6">
        <v>0</v>
      </c>
      <c r="AY758" s="5">
        <v>0</v>
      </c>
      <c r="AZ758" s="6">
        <v>0</v>
      </c>
      <c r="BA758" s="5">
        <v>0</v>
      </c>
      <c r="BB758" s="6">
        <v>0</v>
      </c>
      <c r="BC758" s="5">
        <v>0</v>
      </c>
      <c r="BD758" s="6">
        <v>0</v>
      </c>
      <c r="BE758" s="5">
        <v>0</v>
      </c>
      <c r="BF758" s="6">
        <v>0</v>
      </c>
      <c r="BG758" s="5">
        <v>0</v>
      </c>
      <c r="BH758" s="9">
        <f t="shared" si="90"/>
        <v>945</v>
      </c>
      <c r="BI758" s="10">
        <f t="shared" si="91"/>
        <v>3772.7291489573759</v>
      </c>
      <c r="BJ758" s="6">
        <f t="shared" si="92"/>
        <v>79.418785080938392</v>
      </c>
      <c r="BK758" s="11">
        <f t="shared" si="93"/>
        <v>9.1751973947776413E-2</v>
      </c>
      <c r="BL758" s="5">
        <f t="shared" si="94"/>
        <v>457.55309581736992</v>
      </c>
      <c r="BM758" s="11">
        <f t="shared" si="95"/>
        <v>0.13801773676061438</v>
      </c>
    </row>
    <row r="759" spans="1:65" ht="15" customHeight="1" x14ac:dyDescent="0.4">
      <c r="A759" s="2" t="s">
        <v>589</v>
      </c>
      <c r="B759" s="2" t="s">
        <v>66</v>
      </c>
      <c r="C759" s="2" t="s">
        <v>620</v>
      </c>
      <c r="D759" s="3" t="s">
        <v>68</v>
      </c>
      <c r="E759" s="3" t="s">
        <v>218</v>
      </c>
      <c r="F759" s="2" t="s">
        <v>219</v>
      </c>
      <c r="G759" s="4">
        <v>5</v>
      </c>
      <c r="H759" s="5">
        <v>3.8043454044890752</v>
      </c>
      <c r="I759" s="5">
        <v>3.9655003162708748</v>
      </c>
      <c r="J759" s="6">
        <v>0</v>
      </c>
      <c r="K759" s="5">
        <v>0</v>
      </c>
      <c r="L759" s="6">
        <v>0</v>
      </c>
      <c r="M759" s="5">
        <v>0</v>
      </c>
      <c r="N759" s="6">
        <v>0</v>
      </c>
      <c r="O759" s="5">
        <v>0</v>
      </c>
      <c r="P759" s="6">
        <v>0</v>
      </c>
      <c r="Q759" s="5">
        <v>0</v>
      </c>
      <c r="R759" s="6">
        <v>741.92675564490992</v>
      </c>
      <c r="S759" s="5">
        <v>2797.0638687813098</v>
      </c>
      <c r="T759" s="6">
        <v>0</v>
      </c>
      <c r="U759" s="5">
        <v>0</v>
      </c>
      <c r="V759" s="6">
        <v>741.92675564490992</v>
      </c>
      <c r="W759" s="5">
        <v>2848.9987416764538</v>
      </c>
      <c r="X759" s="6">
        <v>4451.5605338694604</v>
      </c>
      <c r="Y759" s="5">
        <v>17093.992450058729</v>
      </c>
      <c r="Z759" s="6">
        <v>0</v>
      </c>
      <c r="AA759" s="5">
        <v>0</v>
      </c>
      <c r="AB759" s="6">
        <v>0</v>
      </c>
      <c r="AC759" s="5">
        <v>0</v>
      </c>
      <c r="AD759" s="6">
        <v>710.99710447379198</v>
      </c>
      <c r="AE759" s="5">
        <v>2545.1886529350372</v>
      </c>
      <c r="AF759" s="6">
        <v>0</v>
      </c>
      <c r="AG759" s="5">
        <v>0</v>
      </c>
      <c r="AH759" s="7">
        <f t="shared" si="88"/>
        <v>6646.4111496330725</v>
      </c>
      <c r="AI759" s="8">
        <f t="shared" si="89"/>
        <v>25285.243713451531</v>
      </c>
      <c r="AJ759" s="6">
        <v>0</v>
      </c>
      <c r="AK759" s="5">
        <v>0</v>
      </c>
      <c r="AL759" s="6">
        <v>0</v>
      </c>
      <c r="AM759" s="5">
        <v>0</v>
      </c>
      <c r="AN759" s="6">
        <v>0</v>
      </c>
      <c r="AO759" s="5">
        <v>0</v>
      </c>
      <c r="AP759" s="6">
        <v>0</v>
      </c>
      <c r="AQ759" s="5">
        <v>0</v>
      </c>
      <c r="AR759" s="6">
        <v>805</v>
      </c>
      <c r="AS759" s="5">
        <v>3163.4594768986958</v>
      </c>
      <c r="AT759" s="6">
        <v>0</v>
      </c>
      <c r="AU759" s="5">
        <v>0</v>
      </c>
      <c r="AV759" s="6">
        <v>805</v>
      </c>
      <c r="AW759" s="5">
        <v>3222.1974512708198</v>
      </c>
      <c r="AX759" s="6">
        <v>4840</v>
      </c>
      <c r="AY759" s="5">
        <v>19373.212005156231</v>
      </c>
      <c r="AZ759" s="6">
        <v>0</v>
      </c>
      <c r="BA759" s="5">
        <v>0</v>
      </c>
      <c r="BB759" s="6">
        <v>0</v>
      </c>
      <c r="BC759" s="5">
        <v>0</v>
      </c>
      <c r="BD759" s="6">
        <v>775</v>
      </c>
      <c r="BE759" s="5">
        <v>2891.8708517313239</v>
      </c>
      <c r="BF759" s="6">
        <v>0</v>
      </c>
      <c r="BG759" s="5">
        <v>0</v>
      </c>
      <c r="BH759" s="9">
        <f t="shared" si="90"/>
        <v>7225</v>
      </c>
      <c r="BI759" s="10">
        <f t="shared" si="91"/>
        <v>28650.739785057071</v>
      </c>
      <c r="BJ759" s="6">
        <f t="shared" si="92"/>
        <v>578.58885036692755</v>
      </c>
      <c r="BK759" s="11">
        <f t="shared" si="93"/>
        <v>8.7052822544520084E-2</v>
      </c>
      <c r="BL759" s="5">
        <f t="shared" si="94"/>
        <v>3365.4960716055393</v>
      </c>
      <c r="BM759" s="11">
        <f t="shared" si="95"/>
        <v>0.13310119173639307</v>
      </c>
    </row>
    <row r="760" spans="1:65" ht="15" customHeight="1" x14ac:dyDescent="0.4">
      <c r="A760" s="2" t="s">
        <v>589</v>
      </c>
      <c r="B760" s="2" t="s">
        <v>66</v>
      </c>
      <c r="C760" s="2" t="s">
        <v>620</v>
      </c>
      <c r="D760" s="3" t="s">
        <v>68</v>
      </c>
      <c r="E760" s="3" t="s">
        <v>253</v>
      </c>
      <c r="F760" s="2" t="s">
        <v>254</v>
      </c>
      <c r="G760" s="4">
        <v>20</v>
      </c>
      <c r="H760" s="5">
        <v>3.62</v>
      </c>
      <c r="I760" s="5">
        <v>3.7734066943582971</v>
      </c>
      <c r="J760" s="6">
        <v>0</v>
      </c>
      <c r="K760" s="5">
        <v>0</v>
      </c>
      <c r="L760" s="6">
        <v>296.77070225796399</v>
      </c>
      <c r="M760" s="5">
        <v>1074.30994217383</v>
      </c>
      <c r="N760" s="6">
        <v>0</v>
      </c>
      <c r="O760" s="5">
        <v>0</v>
      </c>
      <c r="P760" s="6">
        <v>0</v>
      </c>
      <c r="Q760" s="5">
        <v>0</v>
      </c>
      <c r="R760" s="6">
        <v>0</v>
      </c>
      <c r="S760" s="5">
        <v>0</v>
      </c>
      <c r="T760" s="6">
        <v>0</v>
      </c>
      <c r="U760" s="5">
        <v>0</v>
      </c>
      <c r="V760" s="6">
        <v>0</v>
      </c>
      <c r="W760" s="5">
        <v>0</v>
      </c>
      <c r="X760" s="6">
        <v>0</v>
      </c>
      <c r="Y760" s="5">
        <v>0</v>
      </c>
      <c r="Z760" s="6">
        <v>0</v>
      </c>
      <c r="AA760" s="5">
        <v>0</v>
      </c>
      <c r="AB760" s="6">
        <v>0</v>
      </c>
      <c r="AC760" s="5">
        <v>0</v>
      </c>
      <c r="AD760" s="6">
        <v>0</v>
      </c>
      <c r="AE760" s="5">
        <v>0</v>
      </c>
      <c r="AF760" s="6">
        <v>0</v>
      </c>
      <c r="AG760" s="5">
        <v>0</v>
      </c>
      <c r="AH760" s="7">
        <f t="shared" si="88"/>
        <v>296.77070225796399</v>
      </c>
      <c r="AI760" s="8">
        <f t="shared" si="89"/>
        <v>1074.30994217383</v>
      </c>
      <c r="AJ760" s="6">
        <v>0</v>
      </c>
      <c r="AK760" s="5">
        <v>0</v>
      </c>
      <c r="AL760" s="6">
        <v>320</v>
      </c>
      <c r="AM760" s="5">
        <v>1207.4901421946549</v>
      </c>
      <c r="AN760" s="6">
        <v>0</v>
      </c>
      <c r="AO760" s="5">
        <v>0</v>
      </c>
      <c r="AP760" s="6">
        <v>0</v>
      </c>
      <c r="AQ760" s="5">
        <v>0</v>
      </c>
      <c r="AR760" s="6">
        <v>0</v>
      </c>
      <c r="AS760" s="5">
        <v>0</v>
      </c>
      <c r="AT760" s="6">
        <v>0</v>
      </c>
      <c r="AU760" s="5">
        <v>0</v>
      </c>
      <c r="AV760" s="6">
        <v>0</v>
      </c>
      <c r="AW760" s="5">
        <v>0</v>
      </c>
      <c r="AX760" s="6">
        <v>0</v>
      </c>
      <c r="AY760" s="5">
        <v>0</v>
      </c>
      <c r="AZ760" s="6">
        <v>0</v>
      </c>
      <c r="BA760" s="5">
        <v>0</v>
      </c>
      <c r="BB760" s="6">
        <v>0</v>
      </c>
      <c r="BC760" s="5">
        <v>0</v>
      </c>
      <c r="BD760" s="6">
        <v>0</v>
      </c>
      <c r="BE760" s="5">
        <v>0</v>
      </c>
      <c r="BF760" s="6">
        <v>0</v>
      </c>
      <c r="BG760" s="5">
        <v>0</v>
      </c>
      <c r="BH760" s="9">
        <f t="shared" si="90"/>
        <v>320</v>
      </c>
      <c r="BI760" s="10">
        <f t="shared" si="91"/>
        <v>1207.4901421946549</v>
      </c>
      <c r="BJ760" s="6">
        <f t="shared" si="92"/>
        <v>23.22929774203601</v>
      </c>
      <c r="BK760" s="11">
        <f t="shared" si="93"/>
        <v>7.8273554516322341E-2</v>
      </c>
      <c r="BL760" s="5">
        <f t="shared" si="94"/>
        <v>133.18020002082494</v>
      </c>
      <c r="BM760" s="11">
        <f t="shared" si="95"/>
        <v>0.12396813507221137</v>
      </c>
    </row>
    <row r="761" spans="1:65" ht="15" customHeight="1" x14ac:dyDescent="0.4">
      <c r="A761" s="2" t="s">
        <v>589</v>
      </c>
      <c r="B761" s="2" t="s">
        <v>66</v>
      </c>
      <c r="C761" s="2" t="s">
        <v>620</v>
      </c>
      <c r="D761" s="3" t="s">
        <v>68</v>
      </c>
      <c r="E761" s="3" t="s">
        <v>253</v>
      </c>
      <c r="F761" s="2" t="s">
        <v>548</v>
      </c>
      <c r="G761" s="4">
        <v>20</v>
      </c>
      <c r="H761" s="5">
        <v>3.4750859921758792</v>
      </c>
      <c r="I761" s="5">
        <v>3.6223731989132619</v>
      </c>
      <c r="J761" s="6">
        <v>0</v>
      </c>
      <c r="K761" s="5">
        <v>0</v>
      </c>
      <c r="L761" s="6">
        <v>0</v>
      </c>
      <c r="M761" s="5">
        <v>0</v>
      </c>
      <c r="N761" s="6">
        <v>0</v>
      </c>
      <c r="O761" s="5">
        <v>0</v>
      </c>
      <c r="P761" s="6">
        <v>0</v>
      </c>
      <c r="Q761" s="5">
        <v>0</v>
      </c>
      <c r="R761" s="6">
        <v>1780.6242135477839</v>
      </c>
      <c r="S761" s="5">
        <v>6089.7348103334207</v>
      </c>
      <c r="T761" s="6">
        <v>0</v>
      </c>
      <c r="U761" s="5">
        <v>0</v>
      </c>
      <c r="V761" s="6">
        <v>0</v>
      </c>
      <c r="W761" s="5">
        <v>0</v>
      </c>
      <c r="X761" s="6">
        <v>791.38853935457064</v>
      </c>
      <c r="Y761" s="5">
        <v>2912.3098248248202</v>
      </c>
      <c r="Z761" s="6">
        <v>0</v>
      </c>
      <c r="AA761" s="5">
        <v>0</v>
      </c>
      <c r="AB761" s="6">
        <v>0</v>
      </c>
      <c r="AC761" s="5">
        <v>0</v>
      </c>
      <c r="AD761" s="6">
        <v>758.39691143871141</v>
      </c>
      <c r="AE761" s="5">
        <v>2571.4153376005679</v>
      </c>
      <c r="AF761" s="6">
        <v>0</v>
      </c>
      <c r="AG761" s="5">
        <v>0</v>
      </c>
      <c r="AH761" s="7">
        <f t="shared" si="88"/>
        <v>3330.4096643410662</v>
      </c>
      <c r="AI761" s="8">
        <f t="shared" si="89"/>
        <v>11573.45997275881</v>
      </c>
      <c r="AJ761" s="6">
        <v>0</v>
      </c>
      <c r="AK761" s="5">
        <v>0</v>
      </c>
      <c r="AL761" s="6">
        <v>0</v>
      </c>
      <c r="AM761" s="5">
        <v>0</v>
      </c>
      <c r="AN761" s="6">
        <v>0</v>
      </c>
      <c r="AO761" s="5">
        <v>0</v>
      </c>
      <c r="AP761" s="6">
        <v>0</v>
      </c>
      <c r="AQ761" s="5">
        <v>0</v>
      </c>
      <c r="AR761" s="6">
        <v>1940</v>
      </c>
      <c r="AS761" s="5">
        <v>6915.9665015824403</v>
      </c>
      <c r="AT761" s="6">
        <v>0</v>
      </c>
      <c r="AU761" s="5">
        <v>0</v>
      </c>
      <c r="AV761" s="6">
        <v>0</v>
      </c>
      <c r="AW761" s="5">
        <v>0</v>
      </c>
      <c r="AX761" s="6">
        <v>860</v>
      </c>
      <c r="AY761" s="5">
        <v>3298.9164382058389</v>
      </c>
      <c r="AZ761" s="6">
        <v>0</v>
      </c>
      <c r="BA761" s="5">
        <v>0</v>
      </c>
      <c r="BB761" s="6">
        <v>0</v>
      </c>
      <c r="BC761" s="5">
        <v>0</v>
      </c>
      <c r="BD761" s="6">
        <v>820</v>
      </c>
      <c r="BE761" s="5">
        <v>2898.1080402777279</v>
      </c>
      <c r="BF761" s="6">
        <v>0</v>
      </c>
      <c r="BG761" s="5">
        <v>0</v>
      </c>
      <c r="BH761" s="9">
        <f t="shared" si="90"/>
        <v>3620</v>
      </c>
      <c r="BI761" s="10">
        <f t="shared" si="91"/>
        <v>13112.990980066008</v>
      </c>
      <c r="BJ761" s="6">
        <f t="shared" si="92"/>
        <v>289.59033565893378</v>
      </c>
      <c r="BK761" s="11">
        <f t="shared" si="93"/>
        <v>8.6953367557030037E-2</v>
      </c>
      <c r="BL761" s="5">
        <f t="shared" si="94"/>
        <v>1539.5310073071978</v>
      </c>
      <c r="BM761" s="11">
        <f t="shared" si="95"/>
        <v>0.13302253698815134</v>
      </c>
    </row>
    <row r="762" spans="1:65" ht="15" customHeight="1" x14ac:dyDescent="0.4">
      <c r="A762" s="2" t="s">
        <v>589</v>
      </c>
      <c r="B762" s="2" t="s">
        <v>66</v>
      </c>
      <c r="C762" s="2" t="s">
        <v>622</v>
      </c>
      <c r="D762" s="3" t="s">
        <v>68</v>
      </c>
      <c r="E762" s="3" t="s">
        <v>102</v>
      </c>
      <c r="F762" s="2" t="s">
        <v>171</v>
      </c>
      <c r="G762" s="4">
        <v>5</v>
      </c>
      <c r="H762" s="5">
        <v>4.34</v>
      </c>
      <c r="I762" s="5">
        <v>4.523918523070444</v>
      </c>
      <c r="J762" s="6">
        <v>0</v>
      </c>
      <c r="K762" s="5">
        <v>0</v>
      </c>
      <c r="L762" s="6">
        <v>0</v>
      </c>
      <c r="M762" s="5">
        <v>0</v>
      </c>
      <c r="N762" s="6">
        <v>197.84713483864269</v>
      </c>
      <c r="O762" s="5">
        <v>858.65656519970912</v>
      </c>
      <c r="P762" s="6">
        <v>0</v>
      </c>
      <c r="Q762" s="5">
        <v>0</v>
      </c>
      <c r="R762" s="6">
        <v>0</v>
      </c>
      <c r="S762" s="5">
        <v>0</v>
      </c>
      <c r="T762" s="6">
        <v>0</v>
      </c>
      <c r="U762" s="5">
        <v>0</v>
      </c>
      <c r="V762" s="6">
        <v>0</v>
      </c>
      <c r="W762" s="5">
        <v>0</v>
      </c>
      <c r="X762" s="6">
        <v>0</v>
      </c>
      <c r="Y762" s="5">
        <v>0</v>
      </c>
      <c r="Z762" s="6">
        <v>0</v>
      </c>
      <c r="AA762" s="5">
        <v>0</v>
      </c>
      <c r="AB762" s="6">
        <v>0</v>
      </c>
      <c r="AC762" s="5">
        <v>0</v>
      </c>
      <c r="AD762" s="6">
        <v>0</v>
      </c>
      <c r="AE762" s="5">
        <v>0</v>
      </c>
      <c r="AF762" s="6">
        <v>0</v>
      </c>
      <c r="AG762" s="5">
        <v>0</v>
      </c>
      <c r="AH762" s="7">
        <f t="shared" si="88"/>
        <v>197.84713483864269</v>
      </c>
      <c r="AI762" s="8">
        <f t="shared" si="89"/>
        <v>858.65656519970912</v>
      </c>
      <c r="AJ762" s="6">
        <v>0</v>
      </c>
      <c r="AK762" s="5">
        <v>0</v>
      </c>
      <c r="AL762" s="6">
        <v>0</v>
      </c>
      <c r="AM762" s="5">
        <v>0</v>
      </c>
      <c r="AN762" s="6">
        <v>250</v>
      </c>
      <c r="AO762" s="5">
        <v>1130.9796307676111</v>
      </c>
      <c r="AP762" s="6">
        <v>0</v>
      </c>
      <c r="AQ762" s="5">
        <v>0</v>
      </c>
      <c r="AR762" s="6">
        <v>0</v>
      </c>
      <c r="AS762" s="5">
        <v>0</v>
      </c>
      <c r="AT762" s="6">
        <v>0</v>
      </c>
      <c r="AU762" s="5">
        <v>0</v>
      </c>
      <c r="AV762" s="6">
        <v>0</v>
      </c>
      <c r="AW762" s="5">
        <v>0</v>
      </c>
      <c r="AX762" s="6">
        <v>0</v>
      </c>
      <c r="AY762" s="5">
        <v>0</v>
      </c>
      <c r="AZ762" s="6">
        <v>0</v>
      </c>
      <c r="BA762" s="5">
        <v>0</v>
      </c>
      <c r="BB762" s="6">
        <v>0</v>
      </c>
      <c r="BC762" s="5">
        <v>0</v>
      </c>
      <c r="BD762" s="6">
        <v>0</v>
      </c>
      <c r="BE762" s="5">
        <v>0</v>
      </c>
      <c r="BF762" s="6">
        <v>0</v>
      </c>
      <c r="BG762" s="5">
        <v>0</v>
      </c>
      <c r="BH762" s="9">
        <f t="shared" si="90"/>
        <v>250</v>
      </c>
      <c r="BI762" s="10">
        <f t="shared" si="91"/>
        <v>1130.9796307676111</v>
      </c>
      <c r="BJ762" s="6">
        <f t="shared" si="92"/>
        <v>52.152865161357312</v>
      </c>
      <c r="BK762" s="11">
        <f t="shared" si="93"/>
        <v>0.26360182169881508</v>
      </c>
      <c r="BL762" s="5">
        <f t="shared" si="94"/>
        <v>272.32306556790195</v>
      </c>
      <c r="BM762" s="11">
        <f t="shared" si="95"/>
        <v>0.31715015828774823</v>
      </c>
    </row>
    <row r="763" spans="1:65" ht="15" customHeight="1" x14ac:dyDescent="0.4">
      <c r="A763" s="2" t="s">
        <v>589</v>
      </c>
      <c r="B763" s="2" t="s">
        <v>66</v>
      </c>
      <c r="C763" s="2" t="s">
        <v>622</v>
      </c>
      <c r="D763" s="3" t="s">
        <v>68</v>
      </c>
      <c r="E763" s="3" t="s">
        <v>102</v>
      </c>
      <c r="F763" s="2" t="s">
        <v>103</v>
      </c>
      <c r="G763" s="4">
        <v>5</v>
      </c>
      <c r="H763" s="5">
        <v>4.3839999999999986</v>
      </c>
      <c r="I763" s="5">
        <v>4.5683036312200871</v>
      </c>
      <c r="J763" s="6">
        <v>0</v>
      </c>
      <c r="K763" s="5">
        <v>0</v>
      </c>
      <c r="L763" s="6">
        <v>0</v>
      </c>
      <c r="M763" s="5">
        <v>0</v>
      </c>
      <c r="N763" s="6">
        <v>0</v>
      </c>
      <c r="O763" s="5">
        <v>0</v>
      </c>
      <c r="P763" s="6">
        <v>197.84713483864269</v>
      </c>
      <c r="Q763" s="5">
        <v>858.65656519970912</v>
      </c>
      <c r="R763" s="6">
        <v>49.461783709660658</v>
      </c>
      <c r="S763" s="5">
        <v>225.54573371605261</v>
      </c>
      <c r="T763" s="6">
        <v>0</v>
      </c>
      <c r="U763" s="5">
        <v>0</v>
      </c>
      <c r="V763" s="6">
        <v>0</v>
      </c>
      <c r="W763" s="5">
        <v>0</v>
      </c>
      <c r="X763" s="6">
        <v>0</v>
      </c>
      <c r="Y763" s="5">
        <v>0</v>
      </c>
      <c r="Z763" s="6">
        <v>0</v>
      </c>
      <c r="AA763" s="5">
        <v>0</v>
      </c>
      <c r="AB763" s="6">
        <v>0</v>
      </c>
      <c r="AC763" s="5">
        <v>0</v>
      </c>
      <c r="AD763" s="6">
        <v>0</v>
      </c>
      <c r="AE763" s="5">
        <v>0</v>
      </c>
      <c r="AF763" s="6">
        <v>0</v>
      </c>
      <c r="AG763" s="5">
        <v>0</v>
      </c>
      <c r="AH763" s="7">
        <f t="shared" si="88"/>
        <v>247.30891854830335</v>
      </c>
      <c r="AI763" s="8">
        <f t="shared" si="89"/>
        <v>1084.2022989157617</v>
      </c>
      <c r="AJ763" s="6">
        <v>0</v>
      </c>
      <c r="AK763" s="5">
        <v>0</v>
      </c>
      <c r="AL763" s="6">
        <v>0</v>
      </c>
      <c r="AM763" s="5">
        <v>0</v>
      </c>
      <c r="AN763" s="6">
        <v>0</v>
      </c>
      <c r="AO763" s="5">
        <v>0</v>
      </c>
      <c r="AP763" s="6">
        <v>250</v>
      </c>
      <c r="AQ763" s="5">
        <v>1130.9796307676111</v>
      </c>
      <c r="AR763" s="6">
        <v>60</v>
      </c>
      <c r="AS763" s="5">
        <v>285.19449491061607</v>
      </c>
      <c r="AT763" s="6">
        <v>0</v>
      </c>
      <c r="AU763" s="5">
        <v>0</v>
      </c>
      <c r="AV763" s="6">
        <v>0</v>
      </c>
      <c r="AW763" s="5">
        <v>0</v>
      </c>
      <c r="AX763" s="6">
        <v>0</v>
      </c>
      <c r="AY763" s="5">
        <v>0</v>
      </c>
      <c r="AZ763" s="6">
        <v>0</v>
      </c>
      <c r="BA763" s="5">
        <v>0</v>
      </c>
      <c r="BB763" s="6">
        <v>0</v>
      </c>
      <c r="BC763" s="5">
        <v>0</v>
      </c>
      <c r="BD763" s="6">
        <v>0</v>
      </c>
      <c r="BE763" s="5">
        <v>0</v>
      </c>
      <c r="BF763" s="6">
        <v>0</v>
      </c>
      <c r="BG763" s="5">
        <v>0</v>
      </c>
      <c r="BH763" s="9">
        <f t="shared" si="90"/>
        <v>310</v>
      </c>
      <c r="BI763" s="10">
        <f t="shared" si="91"/>
        <v>1416.174125678227</v>
      </c>
      <c r="BJ763" s="6">
        <f t="shared" si="92"/>
        <v>62.691081451696647</v>
      </c>
      <c r="BK763" s="11">
        <f t="shared" si="93"/>
        <v>0.2534930071252246</v>
      </c>
      <c r="BL763" s="5">
        <f t="shared" si="94"/>
        <v>331.9718267624653</v>
      </c>
      <c r="BM763" s="11">
        <f t="shared" si="95"/>
        <v>0.30618993069323697</v>
      </c>
    </row>
    <row r="764" spans="1:65" ht="15" customHeight="1" x14ac:dyDescent="0.4">
      <c r="A764" s="2" t="s">
        <v>589</v>
      </c>
      <c r="B764" s="2" t="s">
        <v>66</v>
      </c>
      <c r="C764" s="2" t="s">
        <v>622</v>
      </c>
      <c r="D764" s="3" t="s">
        <v>68</v>
      </c>
      <c r="E764" s="3" t="s">
        <v>209</v>
      </c>
      <c r="F764" s="2" t="s">
        <v>623</v>
      </c>
      <c r="G764" s="4">
        <v>1</v>
      </c>
      <c r="H764" s="5">
        <v>9.7799999999999994</v>
      </c>
      <c r="I764" s="5">
        <v>10.19445234000667</v>
      </c>
      <c r="J764" s="6">
        <v>0</v>
      </c>
      <c r="K764" s="5">
        <v>0</v>
      </c>
      <c r="L764" s="6">
        <v>0</v>
      </c>
      <c r="M764" s="5">
        <v>0</v>
      </c>
      <c r="N764" s="6">
        <v>79.138853935457064</v>
      </c>
      <c r="O764" s="5">
        <v>773.97799148877004</v>
      </c>
      <c r="P764" s="6">
        <v>0</v>
      </c>
      <c r="Q764" s="5">
        <v>0</v>
      </c>
      <c r="R764" s="6">
        <v>0</v>
      </c>
      <c r="S764" s="5">
        <v>0</v>
      </c>
      <c r="T764" s="6">
        <v>0</v>
      </c>
      <c r="U764" s="5">
        <v>0</v>
      </c>
      <c r="V764" s="6">
        <v>0</v>
      </c>
      <c r="W764" s="5">
        <v>0</v>
      </c>
      <c r="X764" s="6">
        <v>0</v>
      </c>
      <c r="Y764" s="5">
        <v>0</v>
      </c>
      <c r="Z764" s="6">
        <v>0</v>
      </c>
      <c r="AA764" s="5">
        <v>0</v>
      </c>
      <c r="AB764" s="6">
        <v>0</v>
      </c>
      <c r="AC764" s="5">
        <v>0</v>
      </c>
      <c r="AD764" s="6">
        <v>0</v>
      </c>
      <c r="AE764" s="5">
        <v>0</v>
      </c>
      <c r="AF764" s="6">
        <v>0</v>
      </c>
      <c r="AG764" s="5">
        <v>0</v>
      </c>
      <c r="AH764" s="7">
        <f t="shared" si="88"/>
        <v>79.138853935457064</v>
      </c>
      <c r="AI764" s="8">
        <f t="shared" si="89"/>
        <v>773.97799148877004</v>
      </c>
      <c r="AJ764" s="6">
        <v>0</v>
      </c>
      <c r="AK764" s="5">
        <v>0</v>
      </c>
      <c r="AL764" s="6">
        <v>0</v>
      </c>
      <c r="AM764" s="5">
        <v>0</v>
      </c>
      <c r="AN764" s="6">
        <v>86</v>
      </c>
      <c r="AO764" s="5">
        <v>876.72290124057361</v>
      </c>
      <c r="AP764" s="6">
        <v>0</v>
      </c>
      <c r="AQ764" s="5">
        <v>0</v>
      </c>
      <c r="AR764" s="6">
        <v>0</v>
      </c>
      <c r="AS764" s="5">
        <v>0</v>
      </c>
      <c r="AT764" s="6">
        <v>0</v>
      </c>
      <c r="AU764" s="5">
        <v>0</v>
      </c>
      <c r="AV764" s="6">
        <v>0</v>
      </c>
      <c r="AW764" s="5">
        <v>0</v>
      </c>
      <c r="AX764" s="6">
        <v>0</v>
      </c>
      <c r="AY764" s="5">
        <v>0</v>
      </c>
      <c r="AZ764" s="6">
        <v>0</v>
      </c>
      <c r="BA764" s="5">
        <v>0</v>
      </c>
      <c r="BB764" s="6">
        <v>0</v>
      </c>
      <c r="BC764" s="5">
        <v>0</v>
      </c>
      <c r="BD764" s="6">
        <v>0</v>
      </c>
      <c r="BE764" s="5">
        <v>0</v>
      </c>
      <c r="BF764" s="6">
        <v>0</v>
      </c>
      <c r="BG764" s="5">
        <v>0</v>
      </c>
      <c r="BH764" s="9">
        <f t="shared" si="90"/>
        <v>86</v>
      </c>
      <c r="BI764" s="10">
        <f t="shared" si="91"/>
        <v>876.72290124057361</v>
      </c>
      <c r="BJ764" s="6">
        <f t="shared" si="92"/>
        <v>6.8611460645429361</v>
      </c>
      <c r="BK764" s="11">
        <f t="shared" si="93"/>
        <v>8.6697566660981107E-2</v>
      </c>
      <c r="BL764" s="5">
        <f t="shared" si="94"/>
        <v>102.74490975180356</v>
      </c>
      <c r="BM764" s="11">
        <f t="shared" si="95"/>
        <v>0.13274913612746356</v>
      </c>
    </row>
    <row r="765" spans="1:65" ht="15" customHeight="1" x14ac:dyDescent="0.4">
      <c r="A765" s="2" t="s">
        <v>589</v>
      </c>
      <c r="B765" s="2" t="s">
        <v>66</v>
      </c>
      <c r="C765" s="2" t="s">
        <v>622</v>
      </c>
      <c r="D765" s="3" t="s">
        <v>68</v>
      </c>
      <c r="E765" s="3" t="s">
        <v>104</v>
      </c>
      <c r="F765" s="2" t="s">
        <v>105</v>
      </c>
      <c r="G765" s="4">
        <v>1</v>
      </c>
      <c r="H765" s="5">
        <v>5.29</v>
      </c>
      <c r="I765" s="5">
        <v>5.5141771859545283</v>
      </c>
      <c r="J765" s="6">
        <v>0</v>
      </c>
      <c r="K765" s="5">
        <v>0</v>
      </c>
      <c r="L765" s="6">
        <v>0</v>
      </c>
      <c r="M765" s="5">
        <v>0</v>
      </c>
      <c r="N765" s="6">
        <v>0</v>
      </c>
      <c r="O765" s="5">
        <v>0</v>
      </c>
      <c r="P765" s="6">
        <v>0</v>
      </c>
      <c r="Q765" s="5">
        <v>0</v>
      </c>
      <c r="R765" s="6">
        <v>94.966624722548474</v>
      </c>
      <c r="S765" s="5">
        <v>502.37344478228141</v>
      </c>
      <c r="T765" s="6">
        <v>0</v>
      </c>
      <c r="U765" s="5">
        <v>0</v>
      </c>
      <c r="V765" s="6">
        <v>0</v>
      </c>
      <c r="W765" s="5">
        <v>0</v>
      </c>
      <c r="X765" s="6">
        <v>0</v>
      </c>
      <c r="Y765" s="5">
        <v>0</v>
      </c>
      <c r="Z765" s="6">
        <v>0</v>
      </c>
      <c r="AA765" s="5">
        <v>0</v>
      </c>
      <c r="AB765" s="6">
        <v>0</v>
      </c>
      <c r="AC765" s="5">
        <v>0</v>
      </c>
      <c r="AD765" s="6">
        <v>0</v>
      </c>
      <c r="AE765" s="5">
        <v>0</v>
      </c>
      <c r="AF765" s="6">
        <v>0</v>
      </c>
      <c r="AG765" s="5">
        <v>0</v>
      </c>
      <c r="AH765" s="7">
        <f t="shared" si="88"/>
        <v>94.966624722548474</v>
      </c>
      <c r="AI765" s="8">
        <f t="shared" si="89"/>
        <v>502.37344478228141</v>
      </c>
      <c r="AJ765" s="6">
        <v>0</v>
      </c>
      <c r="AK765" s="5">
        <v>0</v>
      </c>
      <c r="AL765" s="6">
        <v>0</v>
      </c>
      <c r="AM765" s="5">
        <v>0</v>
      </c>
      <c r="AN765" s="6">
        <v>0</v>
      </c>
      <c r="AO765" s="5">
        <v>0</v>
      </c>
      <c r="AP765" s="6">
        <v>0</v>
      </c>
      <c r="AQ765" s="5">
        <v>0</v>
      </c>
      <c r="AR765" s="6">
        <v>107</v>
      </c>
      <c r="AS765" s="5">
        <v>590.01695889713449</v>
      </c>
      <c r="AT765" s="6">
        <v>0</v>
      </c>
      <c r="AU765" s="5">
        <v>0</v>
      </c>
      <c r="AV765" s="6">
        <v>0</v>
      </c>
      <c r="AW765" s="5">
        <v>0</v>
      </c>
      <c r="AX765" s="6">
        <v>0</v>
      </c>
      <c r="AY765" s="5">
        <v>0</v>
      </c>
      <c r="AZ765" s="6">
        <v>0</v>
      </c>
      <c r="BA765" s="5">
        <v>0</v>
      </c>
      <c r="BB765" s="6">
        <v>0</v>
      </c>
      <c r="BC765" s="5">
        <v>0</v>
      </c>
      <c r="BD765" s="6">
        <v>0</v>
      </c>
      <c r="BE765" s="5">
        <v>0</v>
      </c>
      <c r="BF765" s="6">
        <v>0</v>
      </c>
      <c r="BG765" s="5">
        <v>0</v>
      </c>
      <c r="BH765" s="9">
        <f t="shared" si="90"/>
        <v>107</v>
      </c>
      <c r="BI765" s="10">
        <f t="shared" si="91"/>
        <v>590.01695889713449</v>
      </c>
      <c r="BJ765" s="6">
        <f t="shared" si="92"/>
        <v>12.033375277451526</v>
      </c>
      <c r="BK765" s="11">
        <f t="shared" si="93"/>
        <v>0.12671162434811029</v>
      </c>
      <c r="BL765" s="5">
        <f t="shared" si="94"/>
        <v>87.643514114853076</v>
      </c>
      <c r="BM765" s="11">
        <f t="shared" si="95"/>
        <v>0.17445889113990892</v>
      </c>
    </row>
    <row r="766" spans="1:65" ht="15" customHeight="1" x14ac:dyDescent="0.4">
      <c r="A766" s="2" t="s">
        <v>589</v>
      </c>
      <c r="B766" s="2" t="s">
        <v>66</v>
      </c>
      <c r="C766" s="2" t="s">
        <v>622</v>
      </c>
      <c r="D766" s="3" t="s">
        <v>68</v>
      </c>
      <c r="E766" s="3" t="s">
        <v>108</v>
      </c>
      <c r="F766" s="2" t="s">
        <v>135</v>
      </c>
      <c r="G766" s="4">
        <v>5</v>
      </c>
      <c r="H766" s="5">
        <v>3.17</v>
      </c>
      <c r="I766" s="5">
        <v>3.3043368014132048</v>
      </c>
      <c r="J766" s="6">
        <v>0</v>
      </c>
      <c r="K766" s="5">
        <v>0</v>
      </c>
      <c r="L766" s="6">
        <v>0</v>
      </c>
      <c r="M766" s="5">
        <v>0</v>
      </c>
      <c r="N766" s="6">
        <v>0</v>
      </c>
      <c r="O766" s="5">
        <v>0</v>
      </c>
      <c r="P766" s="6">
        <v>0</v>
      </c>
      <c r="Q766" s="5">
        <v>0</v>
      </c>
      <c r="R766" s="6">
        <v>296.77070225796399</v>
      </c>
      <c r="S766" s="5">
        <v>940.76312615774577</v>
      </c>
      <c r="T766" s="6">
        <v>0</v>
      </c>
      <c r="U766" s="5">
        <v>0</v>
      </c>
      <c r="V766" s="6">
        <v>0</v>
      </c>
      <c r="W766" s="5">
        <v>0</v>
      </c>
      <c r="X766" s="6">
        <v>0</v>
      </c>
      <c r="Y766" s="5">
        <v>0</v>
      </c>
      <c r="Z766" s="6">
        <v>0</v>
      </c>
      <c r="AA766" s="5">
        <v>0</v>
      </c>
      <c r="AB766" s="6">
        <v>0</v>
      </c>
      <c r="AC766" s="5">
        <v>0</v>
      </c>
      <c r="AD766" s="6">
        <v>0</v>
      </c>
      <c r="AE766" s="5">
        <v>0</v>
      </c>
      <c r="AF766" s="6">
        <v>0</v>
      </c>
      <c r="AG766" s="5">
        <v>0</v>
      </c>
      <c r="AH766" s="7">
        <f t="shared" si="88"/>
        <v>296.77070225796399</v>
      </c>
      <c r="AI766" s="8">
        <f t="shared" si="89"/>
        <v>940.76312615774577</v>
      </c>
      <c r="AJ766" s="6">
        <v>0</v>
      </c>
      <c r="AK766" s="5">
        <v>0</v>
      </c>
      <c r="AL766" s="6">
        <v>0</v>
      </c>
      <c r="AM766" s="5">
        <v>0</v>
      </c>
      <c r="AN766" s="6">
        <v>0</v>
      </c>
      <c r="AO766" s="5">
        <v>0</v>
      </c>
      <c r="AP766" s="6">
        <v>0</v>
      </c>
      <c r="AQ766" s="5">
        <v>0</v>
      </c>
      <c r="AR766" s="6">
        <v>360</v>
      </c>
      <c r="AS766" s="5">
        <v>1189.561248508754</v>
      </c>
      <c r="AT766" s="6">
        <v>0</v>
      </c>
      <c r="AU766" s="5">
        <v>0</v>
      </c>
      <c r="AV766" s="6">
        <v>0</v>
      </c>
      <c r="AW766" s="5">
        <v>0</v>
      </c>
      <c r="AX766" s="6">
        <v>0</v>
      </c>
      <c r="AY766" s="5">
        <v>0</v>
      </c>
      <c r="AZ766" s="6">
        <v>0</v>
      </c>
      <c r="BA766" s="5">
        <v>0</v>
      </c>
      <c r="BB766" s="6">
        <v>0</v>
      </c>
      <c r="BC766" s="5">
        <v>0</v>
      </c>
      <c r="BD766" s="6">
        <v>0</v>
      </c>
      <c r="BE766" s="5">
        <v>0</v>
      </c>
      <c r="BF766" s="6">
        <v>0</v>
      </c>
      <c r="BG766" s="5">
        <v>0</v>
      </c>
      <c r="BH766" s="9">
        <f t="shared" si="90"/>
        <v>360</v>
      </c>
      <c r="BI766" s="10">
        <f t="shared" si="91"/>
        <v>1189.561248508754</v>
      </c>
      <c r="BJ766" s="6">
        <f t="shared" si="92"/>
        <v>63.22929774203601</v>
      </c>
      <c r="BK766" s="11">
        <f t="shared" si="93"/>
        <v>0.21305774883086265</v>
      </c>
      <c r="BL766" s="5">
        <f t="shared" si="94"/>
        <v>248.79812235100826</v>
      </c>
      <c r="BM766" s="11">
        <f t="shared" si="95"/>
        <v>0.26446415195623874</v>
      </c>
    </row>
    <row r="767" spans="1:65" ht="15" customHeight="1" x14ac:dyDescent="0.4">
      <c r="A767" s="2" t="s">
        <v>589</v>
      </c>
      <c r="B767" s="2" t="s">
        <v>66</v>
      </c>
      <c r="C767" s="2" t="s">
        <v>622</v>
      </c>
      <c r="D767" s="3" t="s">
        <v>68</v>
      </c>
      <c r="E767" s="3" t="s">
        <v>154</v>
      </c>
      <c r="F767" s="2" t="s">
        <v>155</v>
      </c>
      <c r="G767" s="4">
        <v>20</v>
      </c>
      <c r="H767" s="5">
        <v>2.8038461538461532</v>
      </c>
      <c r="I767" s="5">
        <v>2.923028372309453</v>
      </c>
      <c r="J767" s="6">
        <v>0</v>
      </c>
      <c r="K767" s="5">
        <v>0</v>
      </c>
      <c r="L767" s="6">
        <v>0</v>
      </c>
      <c r="M767" s="5">
        <v>0</v>
      </c>
      <c r="N767" s="6">
        <v>0</v>
      </c>
      <c r="O767" s="5">
        <v>0</v>
      </c>
      <c r="P767" s="6">
        <v>316.55541574182831</v>
      </c>
      <c r="Q767" s="5">
        <v>870.52739329002759</v>
      </c>
      <c r="R767" s="6">
        <v>197.84713483864269</v>
      </c>
      <c r="S767" s="5">
        <v>571.77821968367721</v>
      </c>
      <c r="T767" s="6">
        <v>0</v>
      </c>
      <c r="U767" s="5">
        <v>0</v>
      </c>
      <c r="V767" s="6">
        <v>0</v>
      </c>
      <c r="W767" s="5">
        <v>0</v>
      </c>
      <c r="X767" s="6">
        <v>0</v>
      </c>
      <c r="Y767" s="5">
        <v>0</v>
      </c>
      <c r="Z767" s="6">
        <v>0</v>
      </c>
      <c r="AA767" s="5">
        <v>0</v>
      </c>
      <c r="AB767" s="6">
        <v>0</v>
      </c>
      <c r="AC767" s="5">
        <v>0</v>
      </c>
      <c r="AD767" s="6">
        <v>0</v>
      </c>
      <c r="AE767" s="5">
        <v>0</v>
      </c>
      <c r="AF767" s="6">
        <v>0</v>
      </c>
      <c r="AG767" s="5">
        <v>0</v>
      </c>
      <c r="AH767" s="7">
        <f t="shared" si="88"/>
        <v>514.40255058047103</v>
      </c>
      <c r="AI767" s="8">
        <f t="shared" si="89"/>
        <v>1442.3056129737047</v>
      </c>
      <c r="AJ767" s="6">
        <v>0</v>
      </c>
      <c r="AK767" s="5">
        <v>0</v>
      </c>
      <c r="AL767" s="6">
        <v>0</v>
      </c>
      <c r="AM767" s="5">
        <v>0</v>
      </c>
      <c r="AN767" s="6">
        <v>0</v>
      </c>
      <c r="AO767" s="5">
        <v>0</v>
      </c>
      <c r="AP767" s="6">
        <v>380</v>
      </c>
      <c r="AQ767" s="5">
        <v>1089.2845291724921</v>
      </c>
      <c r="AR767" s="6">
        <v>240</v>
      </c>
      <c r="AS767" s="5">
        <v>722.99306165936878</v>
      </c>
      <c r="AT767" s="6">
        <v>0</v>
      </c>
      <c r="AU767" s="5">
        <v>0</v>
      </c>
      <c r="AV767" s="6">
        <v>0</v>
      </c>
      <c r="AW767" s="5">
        <v>0</v>
      </c>
      <c r="AX767" s="6">
        <v>0</v>
      </c>
      <c r="AY767" s="5">
        <v>0</v>
      </c>
      <c r="AZ767" s="6">
        <v>0</v>
      </c>
      <c r="BA767" s="5">
        <v>0</v>
      </c>
      <c r="BB767" s="6">
        <v>0</v>
      </c>
      <c r="BC767" s="5">
        <v>0</v>
      </c>
      <c r="BD767" s="6">
        <v>0</v>
      </c>
      <c r="BE767" s="5">
        <v>0</v>
      </c>
      <c r="BF767" s="6">
        <v>0</v>
      </c>
      <c r="BG767" s="5">
        <v>0</v>
      </c>
      <c r="BH767" s="9">
        <f t="shared" si="90"/>
        <v>620</v>
      </c>
      <c r="BI767" s="10">
        <f t="shared" si="91"/>
        <v>1812.2775908318608</v>
      </c>
      <c r="BJ767" s="6">
        <f t="shared" si="92"/>
        <v>105.59744941952897</v>
      </c>
      <c r="BK767" s="11">
        <f t="shared" si="93"/>
        <v>0.20528173762040813</v>
      </c>
      <c r="BL767" s="5">
        <f t="shared" si="94"/>
        <v>369.97197785815615</v>
      </c>
      <c r="BM767" s="11">
        <f t="shared" si="95"/>
        <v>0.25651427445765701</v>
      </c>
    </row>
    <row r="768" spans="1:65" ht="15" customHeight="1" x14ac:dyDescent="0.4">
      <c r="A768" s="2" t="s">
        <v>589</v>
      </c>
      <c r="B768" s="2" t="s">
        <v>66</v>
      </c>
      <c r="C768" s="2" t="s">
        <v>622</v>
      </c>
      <c r="D768" s="3" t="s">
        <v>68</v>
      </c>
      <c r="E768" s="3" t="s">
        <v>82</v>
      </c>
      <c r="F768" s="2" t="s">
        <v>83</v>
      </c>
      <c r="G768" s="4">
        <v>20</v>
      </c>
      <c r="H768" s="5">
        <v>2.7844444444444441</v>
      </c>
      <c r="I768" s="5">
        <v>2.9025234975060998</v>
      </c>
      <c r="J768" s="6">
        <v>0</v>
      </c>
      <c r="K768" s="5">
        <v>0</v>
      </c>
      <c r="L768" s="6">
        <v>633.11083148365651</v>
      </c>
      <c r="M768" s="5">
        <v>1747.3858948948921</v>
      </c>
      <c r="N768" s="6">
        <v>0</v>
      </c>
      <c r="O768" s="5">
        <v>0</v>
      </c>
      <c r="P768" s="6">
        <v>3798.6649889019391</v>
      </c>
      <c r="Q768" s="5">
        <v>10484.315369369349</v>
      </c>
      <c r="R768" s="6">
        <v>1266.221662967313</v>
      </c>
      <c r="S768" s="5">
        <v>3634.056172716188</v>
      </c>
      <c r="T768" s="6">
        <v>0</v>
      </c>
      <c r="U768" s="5">
        <v>0</v>
      </c>
      <c r="V768" s="6">
        <v>0</v>
      </c>
      <c r="W768" s="5">
        <v>0</v>
      </c>
      <c r="X768" s="6">
        <v>0</v>
      </c>
      <c r="Y768" s="5">
        <v>0</v>
      </c>
      <c r="Z768" s="6">
        <v>0</v>
      </c>
      <c r="AA768" s="5">
        <v>0</v>
      </c>
      <c r="AB768" s="6">
        <v>0</v>
      </c>
      <c r="AC768" s="5">
        <v>0</v>
      </c>
      <c r="AD768" s="6">
        <v>0</v>
      </c>
      <c r="AE768" s="5">
        <v>0</v>
      </c>
      <c r="AF768" s="6">
        <v>0</v>
      </c>
      <c r="AG768" s="5">
        <v>0</v>
      </c>
      <c r="AH768" s="7">
        <f t="shared" si="88"/>
        <v>5697.9974833529086</v>
      </c>
      <c r="AI768" s="8">
        <f t="shared" si="89"/>
        <v>15865.75743698043</v>
      </c>
      <c r="AJ768" s="6">
        <v>0</v>
      </c>
      <c r="AK768" s="5">
        <v>0</v>
      </c>
      <c r="AL768" s="6">
        <v>700</v>
      </c>
      <c r="AM768" s="5">
        <v>2013.873407044262</v>
      </c>
      <c r="AN768" s="6">
        <v>0</v>
      </c>
      <c r="AO768" s="5">
        <v>0</v>
      </c>
      <c r="AP768" s="6">
        <v>4180</v>
      </c>
      <c r="AQ768" s="5">
        <v>12025.701202064311</v>
      </c>
      <c r="AR768" s="6">
        <v>1400</v>
      </c>
      <c r="AS768" s="5">
        <v>4188.2729552297342</v>
      </c>
      <c r="AT768" s="6">
        <v>0</v>
      </c>
      <c r="AU768" s="5">
        <v>0</v>
      </c>
      <c r="AV768" s="6">
        <v>0</v>
      </c>
      <c r="AW768" s="5">
        <v>0</v>
      </c>
      <c r="AX768" s="6">
        <v>0</v>
      </c>
      <c r="AY768" s="5">
        <v>0</v>
      </c>
      <c r="AZ768" s="6">
        <v>0</v>
      </c>
      <c r="BA768" s="5">
        <v>0</v>
      </c>
      <c r="BB768" s="6">
        <v>0</v>
      </c>
      <c r="BC768" s="5">
        <v>0</v>
      </c>
      <c r="BD768" s="6">
        <v>0</v>
      </c>
      <c r="BE768" s="5">
        <v>0</v>
      </c>
      <c r="BF768" s="6">
        <v>0</v>
      </c>
      <c r="BG768" s="5">
        <v>0</v>
      </c>
      <c r="BH768" s="9">
        <f t="shared" si="90"/>
        <v>6280</v>
      </c>
      <c r="BI768" s="10">
        <f t="shared" si="91"/>
        <v>18227.847564338306</v>
      </c>
      <c r="BJ768" s="6">
        <f t="shared" si="92"/>
        <v>582.0025166470914</v>
      </c>
      <c r="BK768" s="11">
        <f t="shared" si="93"/>
        <v>0.10214158892618885</v>
      </c>
      <c r="BL768" s="5">
        <f t="shared" si="94"/>
        <v>2362.0901273578766</v>
      </c>
      <c r="BM768" s="11">
        <f t="shared" si="95"/>
        <v>0.14887975797816239</v>
      </c>
    </row>
    <row r="769" spans="1:65" ht="15" customHeight="1" x14ac:dyDescent="0.4">
      <c r="A769" s="2" t="s">
        <v>589</v>
      </c>
      <c r="B769" s="2" t="s">
        <v>66</v>
      </c>
      <c r="C769" s="2" t="s">
        <v>622</v>
      </c>
      <c r="D769" s="3" t="s">
        <v>68</v>
      </c>
      <c r="E769" s="3" t="s">
        <v>221</v>
      </c>
      <c r="F769" s="2" t="s">
        <v>222</v>
      </c>
      <c r="G769" s="4">
        <v>200</v>
      </c>
      <c r="H769" s="5">
        <v>2.798</v>
      </c>
      <c r="I769" s="5">
        <v>2.916572356578595</v>
      </c>
      <c r="J769" s="6">
        <v>0</v>
      </c>
      <c r="K769" s="5">
        <v>0</v>
      </c>
      <c r="L769" s="6">
        <v>0</v>
      </c>
      <c r="M769" s="5">
        <v>0</v>
      </c>
      <c r="N769" s="6">
        <v>0</v>
      </c>
      <c r="O769" s="5">
        <v>0</v>
      </c>
      <c r="P769" s="6">
        <v>197.84713483864269</v>
      </c>
      <c r="Q769" s="5">
        <v>530.23032136756228</v>
      </c>
      <c r="R769" s="6">
        <v>197.84713483864269</v>
      </c>
      <c r="S769" s="5">
        <v>551.99350619981294</v>
      </c>
      <c r="T769" s="6">
        <v>395.69426967728532</v>
      </c>
      <c r="U769" s="5">
        <v>1103.9870123996261</v>
      </c>
      <c r="V769" s="6">
        <v>197.84713483864269</v>
      </c>
      <c r="W769" s="5">
        <v>581.6705764256094</v>
      </c>
      <c r="X769" s="6">
        <v>0</v>
      </c>
      <c r="Y769" s="5">
        <v>0</v>
      </c>
      <c r="Z769" s="6">
        <v>0</v>
      </c>
      <c r="AA769" s="5">
        <v>0</v>
      </c>
      <c r="AB769" s="6">
        <v>0</v>
      </c>
      <c r="AC769" s="5">
        <v>0</v>
      </c>
      <c r="AD769" s="6">
        <v>0</v>
      </c>
      <c r="AE769" s="5">
        <v>0</v>
      </c>
      <c r="AF769" s="6">
        <v>0</v>
      </c>
      <c r="AG769" s="5">
        <v>0</v>
      </c>
      <c r="AH769" s="7">
        <f t="shared" si="88"/>
        <v>989.2356741932133</v>
      </c>
      <c r="AI769" s="8">
        <f t="shared" si="89"/>
        <v>2767.8814163926108</v>
      </c>
      <c r="AJ769" s="6">
        <v>0</v>
      </c>
      <c r="AK769" s="5">
        <v>0</v>
      </c>
      <c r="AL769" s="6">
        <v>0</v>
      </c>
      <c r="AM769" s="5">
        <v>0</v>
      </c>
      <c r="AN769" s="6">
        <v>0</v>
      </c>
      <c r="AO769" s="5">
        <v>0</v>
      </c>
      <c r="AP769" s="6">
        <v>200</v>
      </c>
      <c r="AQ769" s="5">
        <v>558.71436137459864</v>
      </c>
      <c r="AR769" s="6">
        <v>200</v>
      </c>
      <c r="AS769" s="5">
        <v>581.64666725191421</v>
      </c>
      <c r="AT769" s="6">
        <v>400</v>
      </c>
      <c r="AU769" s="5">
        <v>1163.293334503828</v>
      </c>
      <c r="AV769" s="6">
        <v>200</v>
      </c>
      <c r="AW769" s="5">
        <v>612.91799344825381</v>
      </c>
      <c r="AX769" s="6">
        <v>0</v>
      </c>
      <c r="AY769" s="5">
        <v>0</v>
      </c>
      <c r="AZ769" s="6">
        <v>0</v>
      </c>
      <c r="BA769" s="5">
        <v>0</v>
      </c>
      <c r="BB769" s="6">
        <v>0</v>
      </c>
      <c r="BC769" s="5">
        <v>0</v>
      </c>
      <c r="BD769" s="6">
        <v>0</v>
      </c>
      <c r="BE769" s="5">
        <v>0</v>
      </c>
      <c r="BF769" s="6">
        <v>0</v>
      </c>
      <c r="BG769" s="5">
        <v>0</v>
      </c>
      <c r="BH769" s="9">
        <f t="shared" si="90"/>
        <v>1000</v>
      </c>
      <c r="BI769" s="10">
        <f t="shared" si="91"/>
        <v>2916.5723565785947</v>
      </c>
      <c r="BJ769" s="6">
        <f t="shared" si="92"/>
        <v>10.764325806786701</v>
      </c>
      <c r="BK769" s="11">
        <f t="shared" si="93"/>
        <v>1.0881457359052195E-2</v>
      </c>
      <c r="BL769" s="5">
        <f t="shared" si="94"/>
        <v>148.69094018598389</v>
      </c>
      <c r="BM769" s="11">
        <f t="shared" si="95"/>
        <v>5.3720126630198373E-2</v>
      </c>
    </row>
    <row r="770" spans="1:65" ht="15" customHeight="1" x14ac:dyDescent="0.4">
      <c r="A770" s="2" t="s">
        <v>589</v>
      </c>
      <c r="B770" s="2" t="s">
        <v>66</v>
      </c>
      <c r="C770" s="2" t="s">
        <v>622</v>
      </c>
      <c r="D770" s="3" t="s">
        <v>68</v>
      </c>
      <c r="E770" s="3" t="s">
        <v>318</v>
      </c>
      <c r="F770" s="2" t="s">
        <v>319</v>
      </c>
      <c r="G770" s="4">
        <v>1000</v>
      </c>
      <c r="H770" s="5">
        <v>2.4742017861731931</v>
      </c>
      <c r="I770" s="5">
        <v>2.5794106032253361</v>
      </c>
      <c r="J770" s="6">
        <v>0</v>
      </c>
      <c r="K770" s="5">
        <v>0</v>
      </c>
      <c r="L770" s="6">
        <v>0</v>
      </c>
      <c r="M770" s="5">
        <v>0</v>
      </c>
      <c r="N770" s="6">
        <v>1978.4713483864259</v>
      </c>
      <c r="O770" s="5">
        <v>4807.6853765790174</v>
      </c>
      <c r="P770" s="6">
        <v>0</v>
      </c>
      <c r="Q770" s="5">
        <v>0</v>
      </c>
      <c r="R770" s="6">
        <v>5935.4140451592793</v>
      </c>
      <c r="S770" s="5">
        <v>15016.59753425298</v>
      </c>
      <c r="T770" s="6">
        <v>6924.6497193524929</v>
      </c>
      <c r="U770" s="5">
        <v>16925.822385445881</v>
      </c>
      <c r="V770" s="6">
        <v>989.23567419321319</v>
      </c>
      <c r="W770" s="5">
        <v>2502.7662557088302</v>
      </c>
      <c r="X770" s="6">
        <v>0</v>
      </c>
      <c r="Y770" s="5">
        <v>0</v>
      </c>
      <c r="Z770" s="6">
        <v>0</v>
      </c>
      <c r="AA770" s="5">
        <v>0</v>
      </c>
      <c r="AB770" s="6">
        <v>1895.992278596779</v>
      </c>
      <c r="AC770" s="5">
        <v>4645.1810825621078</v>
      </c>
      <c r="AD770" s="6">
        <v>1895.992278596779</v>
      </c>
      <c r="AE770" s="5">
        <v>4645.1810825621078</v>
      </c>
      <c r="AF770" s="6">
        <v>0</v>
      </c>
      <c r="AG770" s="5">
        <v>0</v>
      </c>
      <c r="AH770" s="7">
        <f t="shared" ref="AH770:AH833" si="96">J770+L770+N770+P770+R770+T770+V770+X770+Z770+AB770+AD770+AF770</f>
        <v>19619.755344284968</v>
      </c>
      <c r="AI770" s="8">
        <f t="shared" ref="AI770:AI833" si="97">K770+M770+O770+Q770+S770+U770+W770+Y770+AA770+AC770+AE770+AG770</f>
        <v>48543.233717110925</v>
      </c>
      <c r="AJ770" s="6">
        <v>0</v>
      </c>
      <c r="AK770" s="5">
        <v>0</v>
      </c>
      <c r="AL770" s="6">
        <v>0</v>
      </c>
      <c r="AM770" s="5">
        <v>0</v>
      </c>
      <c r="AN770" s="6">
        <v>2000</v>
      </c>
      <c r="AO770" s="5">
        <v>5065.954843806996</v>
      </c>
      <c r="AP770" s="6">
        <v>0</v>
      </c>
      <c r="AQ770" s="5">
        <v>0</v>
      </c>
      <c r="AR770" s="6">
        <v>7000</v>
      </c>
      <c r="AS770" s="5">
        <v>18460.506231239069</v>
      </c>
      <c r="AT770" s="6">
        <v>8000</v>
      </c>
      <c r="AU770" s="5">
        <v>20368.05712921578</v>
      </c>
      <c r="AV770" s="6">
        <v>1000</v>
      </c>
      <c r="AW770" s="5">
        <v>2637.215175891296</v>
      </c>
      <c r="AX770" s="6">
        <v>0</v>
      </c>
      <c r="AY770" s="5">
        <v>0</v>
      </c>
      <c r="AZ770" s="6">
        <v>0</v>
      </c>
      <c r="BA770" s="5">
        <v>0</v>
      </c>
      <c r="BB770" s="6">
        <v>2000</v>
      </c>
      <c r="BC770" s="5">
        <v>5107.649945402115</v>
      </c>
      <c r="BD770" s="6">
        <v>2000</v>
      </c>
      <c r="BE770" s="5">
        <v>5107.649945402115</v>
      </c>
      <c r="BF770" s="6">
        <v>0</v>
      </c>
      <c r="BG770" s="5">
        <v>0</v>
      </c>
      <c r="BH770" s="9">
        <f t="shared" ref="BH770:BH833" si="98">AJ770+AL770+AN770+AP770+AR770+AT770+AV770+AX770+AZ770+BB770+BD770+BF770</f>
        <v>22000</v>
      </c>
      <c r="BI770" s="10">
        <f t="shared" ref="BI770:BI833" si="99">AK770+AM770+AO770+AQ770+AS770+AU770+AW770+AY770+BA770+BC770+BE770+BG770</f>
        <v>56747.03327095737</v>
      </c>
      <c r="BJ770" s="6">
        <f t="shared" ref="BJ770:BJ833" si="100">BH770-AH770</f>
        <v>2380.2446557150324</v>
      </c>
      <c r="BK770" s="11">
        <f t="shared" ref="BK770:BK833" si="101">IF(AH770&gt;0, BJ770/AH770, 0)</f>
        <v>0.12131877354976157</v>
      </c>
      <c r="BL770" s="5">
        <f t="shared" ref="BL770:BL833" si="102">BI770-AI770</f>
        <v>8203.7995538464456</v>
      </c>
      <c r="BM770" s="11">
        <f t="shared" ref="BM770:BM833" si="103">IF(AI770&gt;0, BL770/AI770, 0)</f>
        <v>0.16899985694514419</v>
      </c>
    </row>
    <row r="771" spans="1:65" ht="15" customHeight="1" x14ac:dyDescent="0.4">
      <c r="A771" s="2" t="s">
        <v>589</v>
      </c>
      <c r="B771" s="2" t="s">
        <v>66</v>
      </c>
      <c r="C771" s="2" t="s">
        <v>622</v>
      </c>
      <c r="D771" s="3" t="s">
        <v>68</v>
      </c>
      <c r="E771" s="3" t="s">
        <v>342</v>
      </c>
      <c r="F771" s="2" t="s">
        <v>343</v>
      </c>
      <c r="G771" s="4">
        <v>20</v>
      </c>
      <c r="H771" s="5">
        <v>3.5</v>
      </c>
      <c r="I771" s="5">
        <v>3.6483213895729398</v>
      </c>
      <c r="J771" s="6">
        <v>0</v>
      </c>
      <c r="K771" s="5">
        <v>0</v>
      </c>
      <c r="L771" s="6">
        <v>0</v>
      </c>
      <c r="M771" s="5">
        <v>0</v>
      </c>
      <c r="N771" s="6">
        <v>0</v>
      </c>
      <c r="O771" s="5">
        <v>0</v>
      </c>
      <c r="P771" s="6">
        <v>0</v>
      </c>
      <c r="Q771" s="5">
        <v>0</v>
      </c>
      <c r="R771" s="6">
        <v>98.92356741932133</v>
      </c>
      <c r="S771" s="5">
        <v>346.23248596762471</v>
      </c>
      <c r="T771" s="6">
        <v>0</v>
      </c>
      <c r="U771" s="5">
        <v>0</v>
      </c>
      <c r="V771" s="6">
        <v>0</v>
      </c>
      <c r="W771" s="5">
        <v>0</v>
      </c>
      <c r="X771" s="6">
        <v>0</v>
      </c>
      <c r="Y771" s="5">
        <v>0</v>
      </c>
      <c r="Z771" s="6">
        <v>0</v>
      </c>
      <c r="AA771" s="5">
        <v>0</v>
      </c>
      <c r="AB771" s="6">
        <v>0</v>
      </c>
      <c r="AC771" s="5">
        <v>0</v>
      </c>
      <c r="AD771" s="6">
        <v>0</v>
      </c>
      <c r="AE771" s="5">
        <v>0</v>
      </c>
      <c r="AF771" s="6">
        <v>0</v>
      </c>
      <c r="AG771" s="5">
        <v>0</v>
      </c>
      <c r="AH771" s="7">
        <f t="shared" si="96"/>
        <v>98.92356741932133</v>
      </c>
      <c r="AI771" s="8">
        <f t="shared" si="97"/>
        <v>346.23248596762471</v>
      </c>
      <c r="AJ771" s="6">
        <v>0</v>
      </c>
      <c r="AK771" s="5">
        <v>0</v>
      </c>
      <c r="AL771" s="6">
        <v>0</v>
      </c>
      <c r="AM771" s="5">
        <v>0</v>
      </c>
      <c r="AN771" s="6">
        <v>0</v>
      </c>
      <c r="AO771" s="5">
        <v>0</v>
      </c>
      <c r="AP771" s="6">
        <v>0</v>
      </c>
      <c r="AQ771" s="5">
        <v>0</v>
      </c>
      <c r="AR771" s="6">
        <v>100</v>
      </c>
      <c r="AS771" s="5">
        <v>364.83213895729398</v>
      </c>
      <c r="AT771" s="6">
        <v>0</v>
      </c>
      <c r="AU771" s="5">
        <v>0</v>
      </c>
      <c r="AV771" s="6">
        <v>0</v>
      </c>
      <c r="AW771" s="5">
        <v>0</v>
      </c>
      <c r="AX771" s="6">
        <v>0</v>
      </c>
      <c r="AY771" s="5">
        <v>0</v>
      </c>
      <c r="AZ771" s="6">
        <v>0</v>
      </c>
      <c r="BA771" s="5">
        <v>0</v>
      </c>
      <c r="BB771" s="6">
        <v>0</v>
      </c>
      <c r="BC771" s="5">
        <v>0</v>
      </c>
      <c r="BD771" s="6">
        <v>0</v>
      </c>
      <c r="BE771" s="5">
        <v>0</v>
      </c>
      <c r="BF771" s="6">
        <v>0</v>
      </c>
      <c r="BG771" s="5">
        <v>0</v>
      </c>
      <c r="BH771" s="9">
        <f t="shared" si="98"/>
        <v>100</v>
      </c>
      <c r="BI771" s="10">
        <f t="shared" si="99"/>
        <v>364.83213895729398</v>
      </c>
      <c r="BJ771" s="6">
        <f t="shared" si="100"/>
        <v>1.0764325806786701</v>
      </c>
      <c r="BK771" s="11">
        <f t="shared" si="101"/>
        <v>1.0881457359052195E-2</v>
      </c>
      <c r="BL771" s="5">
        <f t="shared" si="102"/>
        <v>18.599652989669266</v>
      </c>
      <c r="BM771" s="11">
        <f t="shared" si="103"/>
        <v>5.3720126630198622E-2</v>
      </c>
    </row>
    <row r="772" spans="1:65" ht="15" customHeight="1" x14ac:dyDescent="0.4">
      <c r="A772" s="2" t="s">
        <v>589</v>
      </c>
      <c r="B772" s="2" t="s">
        <v>66</v>
      </c>
      <c r="C772" s="2" t="s">
        <v>622</v>
      </c>
      <c r="D772" s="3" t="s">
        <v>68</v>
      </c>
      <c r="E772" s="3" t="s">
        <v>624</v>
      </c>
      <c r="F772" s="2" t="s">
        <v>625</v>
      </c>
      <c r="G772" s="4">
        <v>1000</v>
      </c>
      <c r="H772" s="5">
        <v>3.15</v>
      </c>
      <c r="I772" s="5">
        <v>3.2834892506156459</v>
      </c>
      <c r="J772" s="6">
        <v>0</v>
      </c>
      <c r="K772" s="5">
        <v>0</v>
      </c>
      <c r="L772" s="6">
        <v>0</v>
      </c>
      <c r="M772" s="5">
        <v>0</v>
      </c>
      <c r="N772" s="6">
        <v>0</v>
      </c>
      <c r="O772" s="5">
        <v>0</v>
      </c>
      <c r="P772" s="6">
        <v>0</v>
      </c>
      <c r="Q772" s="5">
        <v>0</v>
      </c>
      <c r="R772" s="6">
        <v>989.23567419321319</v>
      </c>
      <c r="S772" s="5">
        <v>3116.0923737086218</v>
      </c>
      <c r="T772" s="6">
        <v>0</v>
      </c>
      <c r="U772" s="5">
        <v>0</v>
      </c>
      <c r="V772" s="6">
        <v>0</v>
      </c>
      <c r="W772" s="5">
        <v>0</v>
      </c>
      <c r="X772" s="6">
        <v>0</v>
      </c>
      <c r="Y772" s="5">
        <v>0</v>
      </c>
      <c r="Z772" s="6">
        <v>0</v>
      </c>
      <c r="AA772" s="5">
        <v>0</v>
      </c>
      <c r="AB772" s="6">
        <v>0</v>
      </c>
      <c r="AC772" s="5">
        <v>0</v>
      </c>
      <c r="AD772" s="6">
        <v>0</v>
      </c>
      <c r="AE772" s="5">
        <v>0</v>
      </c>
      <c r="AF772" s="6">
        <v>0</v>
      </c>
      <c r="AG772" s="5">
        <v>0</v>
      </c>
      <c r="AH772" s="7">
        <f t="shared" si="96"/>
        <v>989.23567419321319</v>
      </c>
      <c r="AI772" s="8">
        <f t="shared" si="97"/>
        <v>3116.0923737086218</v>
      </c>
      <c r="AJ772" s="6">
        <v>0</v>
      </c>
      <c r="AK772" s="5">
        <v>0</v>
      </c>
      <c r="AL772" s="6">
        <v>0</v>
      </c>
      <c r="AM772" s="5">
        <v>0</v>
      </c>
      <c r="AN772" s="6">
        <v>0</v>
      </c>
      <c r="AO772" s="5">
        <v>0</v>
      </c>
      <c r="AP772" s="6">
        <v>0</v>
      </c>
      <c r="AQ772" s="5">
        <v>0</v>
      </c>
      <c r="AR772" s="6">
        <v>1000</v>
      </c>
      <c r="AS772" s="5">
        <v>3283.4892506156461</v>
      </c>
      <c r="AT772" s="6">
        <v>0</v>
      </c>
      <c r="AU772" s="5">
        <v>0</v>
      </c>
      <c r="AV772" s="6">
        <v>0</v>
      </c>
      <c r="AW772" s="5">
        <v>0</v>
      </c>
      <c r="AX772" s="6">
        <v>0</v>
      </c>
      <c r="AY772" s="5">
        <v>0</v>
      </c>
      <c r="AZ772" s="6">
        <v>0</v>
      </c>
      <c r="BA772" s="5">
        <v>0</v>
      </c>
      <c r="BB772" s="6">
        <v>0</v>
      </c>
      <c r="BC772" s="5">
        <v>0</v>
      </c>
      <c r="BD772" s="6">
        <v>0</v>
      </c>
      <c r="BE772" s="5">
        <v>0</v>
      </c>
      <c r="BF772" s="6">
        <v>0</v>
      </c>
      <c r="BG772" s="5">
        <v>0</v>
      </c>
      <c r="BH772" s="9">
        <f t="shared" si="98"/>
        <v>1000</v>
      </c>
      <c r="BI772" s="10">
        <f t="shared" si="99"/>
        <v>3283.4892506156461</v>
      </c>
      <c r="BJ772" s="6">
        <f t="shared" si="100"/>
        <v>10.764325806786815</v>
      </c>
      <c r="BK772" s="11">
        <f t="shared" si="101"/>
        <v>1.0881457359052311E-2</v>
      </c>
      <c r="BL772" s="5">
        <f t="shared" si="102"/>
        <v>167.39687690702431</v>
      </c>
      <c r="BM772" s="11">
        <f t="shared" si="103"/>
        <v>5.3720126630198921E-2</v>
      </c>
    </row>
    <row r="773" spans="1:65" ht="15" customHeight="1" x14ac:dyDescent="0.4">
      <c r="A773" s="2" t="s">
        <v>589</v>
      </c>
      <c r="B773" s="2" t="s">
        <v>66</v>
      </c>
      <c r="C773" s="2" t="s">
        <v>622</v>
      </c>
      <c r="D773" s="3" t="s">
        <v>68</v>
      </c>
      <c r="E773" s="3" t="s">
        <v>320</v>
      </c>
      <c r="F773" s="2" t="s">
        <v>626</v>
      </c>
      <c r="G773" s="4">
        <v>5</v>
      </c>
      <c r="H773" s="5">
        <v>4.7799999999999994</v>
      </c>
      <c r="I773" s="5">
        <v>4.9825646406167561</v>
      </c>
      <c r="J773" s="6">
        <v>0</v>
      </c>
      <c r="K773" s="5">
        <v>0</v>
      </c>
      <c r="L773" s="6">
        <v>98.92356741932133</v>
      </c>
      <c r="M773" s="5">
        <v>472.85465226435588</v>
      </c>
      <c r="N773" s="6">
        <v>49.461783709660658</v>
      </c>
      <c r="O773" s="5">
        <v>236.427326132178</v>
      </c>
      <c r="P773" s="6">
        <v>0</v>
      </c>
      <c r="Q773" s="5">
        <v>0</v>
      </c>
      <c r="R773" s="6">
        <v>0</v>
      </c>
      <c r="S773" s="5">
        <v>0</v>
      </c>
      <c r="T773" s="6">
        <v>0</v>
      </c>
      <c r="U773" s="5">
        <v>0</v>
      </c>
      <c r="V773" s="6">
        <v>0</v>
      </c>
      <c r="W773" s="5">
        <v>0</v>
      </c>
      <c r="X773" s="6">
        <v>0</v>
      </c>
      <c r="Y773" s="5">
        <v>0</v>
      </c>
      <c r="Z773" s="6">
        <v>0</v>
      </c>
      <c r="AA773" s="5">
        <v>0</v>
      </c>
      <c r="AB773" s="6">
        <v>0</v>
      </c>
      <c r="AC773" s="5">
        <v>0</v>
      </c>
      <c r="AD773" s="6">
        <v>0</v>
      </c>
      <c r="AE773" s="5">
        <v>0</v>
      </c>
      <c r="AF773" s="6">
        <v>0</v>
      </c>
      <c r="AG773" s="5">
        <v>0</v>
      </c>
      <c r="AH773" s="7">
        <f t="shared" si="96"/>
        <v>148.38535112898199</v>
      </c>
      <c r="AI773" s="8">
        <f t="shared" si="97"/>
        <v>709.28197839653387</v>
      </c>
      <c r="AJ773" s="6">
        <v>0</v>
      </c>
      <c r="AK773" s="5">
        <v>0</v>
      </c>
      <c r="AL773" s="6">
        <v>105</v>
      </c>
      <c r="AM773" s="5">
        <v>523.16928726475942</v>
      </c>
      <c r="AN773" s="6">
        <v>55</v>
      </c>
      <c r="AO773" s="5">
        <v>274.04105523392161</v>
      </c>
      <c r="AP773" s="6">
        <v>0</v>
      </c>
      <c r="AQ773" s="5">
        <v>0</v>
      </c>
      <c r="AR773" s="6">
        <v>0</v>
      </c>
      <c r="AS773" s="5">
        <v>0</v>
      </c>
      <c r="AT773" s="6">
        <v>0</v>
      </c>
      <c r="AU773" s="5">
        <v>0</v>
      </c>
      <c r="AV773" s="6">
        <v>0</v>
      </c>
      <c r="AW773" s="5">
        <v>0</v>
      </c>
      <c r="AX773" s="6">
        <v>0</v>
      </c>
      <c r="AY773" s="5">
        <v>0</v>
      </c>
      <c r="AZ773" s="6">
        <v>0</v>
      </c>
      <c r="BA773" s="5">
        <v>0</v>
      </c>
      <c r="BB773" s="6">
        <v>0</v>
      </c>
      <c r="BC773" s="5">
        <v>0</v>
      </c>
      <c r="BD773" s="6">
        <v>0</v>
      </c>
      <c r="BE773" s="5">
        <v>0</v>
      </c>
      <c r="BF773" s="6">
        <v>0</v>
      </c>
      <c r="BG773" s="5">
        <v>0</v>
      </c>
      <c r="BH773" s="9">
        <f t="shared" si="98"/>
        <v>160</v>
      </c>
      <c r="BI773" s="10">
        <f t="shared" si="99"/>
        <v>797.21034249868103</v>
      </c>
      <c r="BJ773" s="6">
        <f t="shared" si="100"/>
        <v>11.614648871018005</v>
      </c>
      <c r="BK773" s="11">
        <f t="shared" si="101"/>
        <v>7.8273554516322341E-2</v>
      </c>
      <c r="BL773" s="5">
        <f t="shared" si="102"/>
        <v>87.928364102147157</v>
      </c>
      <c r="BM773" s="11">
        <f t="shared" si="103"/>
        <v>0.12396813507221184</v>
      </c>
    </row>
    <row r="774" spans="1:65" ht="15" customHeight="1" x14ac:dyDescent="0.4">
      <c r="A774" s="2" t="s">
        <v>589</v>
      </c>
      <c r="B774" s="2" t="s">
        <v>66</v>
      </c>
      <c r="C774" s="2" t="s">
        <v>622</v>
      </c>
      <c r="D774" s="3" t="s">
        <v>68</v>
      </c>
      <c r="E774" s="3" t="s">
        <v>314</v>
      </c>
      <c r="F774" s="2" t="s">
        <v>315</v>
      </c>
      <c r="G774" s="4">
        <v>5</v>
      </c>
      <c r="H774" s="5">
        <v>5.6</v>
      </c>
      <c r="I774" s="5">
        <v>5.837314223316703</v>
      </c>
      <c r="J774" s="6">
        <v>0</v>
      </c>
      <c r="K774" s="5">
        <v>0</v>
      </c>
      <c r="L774" s="6">
        <v>0</v>
      </c>
      <c r="M774" s="5">
        <v>0</v>
      </c>
      <c r="N774" s="6">
        <v>24.730891854830329</v>
      </c>
      <c r="O774" s="5">
        <v>138.49299438704989</v>
      </c>
      <c r="P774" s="6">
        <v>0</v>
      </c>
      <c r="Q774" s="5">
        <v>0</v>
      </c>
      <c r="R774" s="6">
        <v>0</v>
      </c>
      <c r="S774" s="5">
        <v>0</v>
      </c>
      <c r="T774" s="6">
        <v>0</v>
      </c>
      <c r="U774" s="5">
        <v>0</v>
      </c>
      <c r="V774" s="6">
        <v>0</v>
      </c>
      <c r="W774" s="5">
        <v>0</v>
      </c>
      <c r="X774" s="6">
        <v>0</v>
      </c>
      <c r="Y774" s="5">
        <v>0</v>
      </c>
      <c r="Z774" s="6">
        <v>0</v>
      </c>
      <c r="AA774" s="5">
        <v>0</v>
      </c>
      <c r="AB774" s="6">
        <v>0</v>
      </c>
      <c r="AC774" s="5">
        <v>0</v>
      </c>
      <c r="AD774" s="6">
        <v>0</v>
      </c>
      <c r="AE774" s="5">
        <v>0</v>
      </c>
      <c r="AF774" s="6">
        <v>0</v>
      </c>
      <c r="AG774" s="5">
        <v>0</v>
      </c>
      <c r="AH774" s="7">
        <f t="shared" si="96"/>
        <v>24.730891854830329</v>
      </c>
      <c r="AI774" s="8">
        <f t="shared" si="97"/>
        <v>138.49299438704989</v>
      </c>
      <c r="AJ774" s="6">
        <v>0</v>
      </c>
      <c r="AK774" s="5">
        <v>0</v>
      </c>
      <c r="AL774" s="6">
        <v>0</v>
      </c>
      <c r="AM774" s="5">
        <v>0</v>
      </c>
      <c r="AN774" s="6">
        <v>25</v>
      </c>
      <c r="AO774" s="5">
        <v>145.9328555829176</v>
      </c>
      <c r="AP774" s="6">
        <v>0</v>
      </c>
      <c r="AQ774" s="5">
        <v>0</v>
      </c>
      <c r="AR774" s="6">
        <v>0</v>
      </c>
      <c r="AS774" s="5">
        <v>0</v>
      </c>
      <c r="AT774" s="6">
        <v>0</v>
      </c>
      <c r="AU774" s="5">
        <v>0</v>
      </c>
      <c r="AV774" s="6">
        <v>0</v>
      </c>
      <c r="AW774" s="5">
        <v>0</v>
      </c>
      <c r="AX774" s="6">
        <v>0</v>
      </c>
      <c r="AY774" s="5">
        <v>0</v>
      </c>
      <c r="AZ774" s="6">
        <v>0</v>
      </c>
      <c r="BA774" s="5">
        <v>0</v>
      </c>
      <c r="BB774" s="6">
        <v>0</v>
      </c>
      <c r="BC774" s="5">
        <v>0</v>
      </c>
      <c r="BD774" s="6">
        <v>0</v>
      </c>
      <c r="BE774" s="5">
        <v>0</v>
      </c>
      <c r="BF774" s="6">
        <v>0</v>
      </c>
      <c r="BG774" s="5">
        <v>0</v>
      </c>
      <c r="BH774" s="9">
        <f t="shared" si="98"/>
        <v>25</v>
      </c>
      <c r="BI774" s="10">
        <f t="shared" si="99"/>
        <v>145.9328555829176</v>
      </c>
      <c r="BJ774" s="6">
        <f t="shared" si="100"/>
        <v>0.26910814516967108</v>
      </c>
      <c r="BK774" s="11">
        <f t="shared" si="101"/>
        <v>1.0881457359052341E-2</v>
      </c>
      <c r="BL774" s="5">
        <f t="shared" si="102"/>
        <v>7.4398611958677066</v>
      </c>
      <c r="BM774" s="11">
        <f t="shared" si="103"/>
        <v>5.3720126630198616E-2</v>
      </c>
    </row>
    <row r="775" spans="1:65" ht="15" customHeight="1" x14ac:dyDescent="0.4">
      <c r="A775" s="2" t="s">
        <v>589</v>
      </c>
      <c r="B775" s="2" t="s">
        <v>66</v>
      </c>
      <c r="C775" s="2" t="s">
        <v>622</v>
      </c>
      <c r="D775" s="3" t="s">
        <v>68</v>
      </c>
      <c r="E775" s="3" t="s">
        <v>314</v>
      </c>
      <c r="F775" s="2" t="s">
        <v>316</v>
      </c>
      <c r="G775" s="4">
        <v>5</v>
      </c>
      <c r="H775" s="5">
        <v>6.3199999999999994</v>
      </c>
      <c r="I775" s="5">
        <v>6.5878260520288503</v>
      </c>
      <c r="J775" s="6">
        <v>0</v>
      </c>
      <c r="K775" s="5">
        <v>0</v>
      </c>
      <c r="L775" s="6">
        <v>0</v>
      </c>
      <c r="M775" s="5">
        <v>0</v>
      </c>
      <c r="N775" s="6">
        <v>0</v>
      </c>
      <c r="O775" s="5">
        <v>0</v>
      </c>
      <c r="P775" s="6">
        <v>0</v>
      </c>
      <c r="Q775" s="5">
        <v>0</v>
      </c>
      <c r="R775" s="6">
        <v>24.730891854830329</v>
      </c>
      <c r="S775" s="5">
        <v>156.29923652252771</v>
      </c>
      <c r="T775" s="6">
        <v>0</v>
      </c>
      <c r="U775" s="5">
        <v>0</v>
      </c>
      <c r="V775" s="6">
        <v>0</v>
      </c>
      <c r="W775" s="5">
        <v>0</v>
      </c>
      <c r="X775" s="6">
        <v>0</v>
      </c>
      <c r="Y775" s="5">
        <v>0</v>
      </c>
      <c r="Z775" s="6">
        <v>0</v>
      </c>
      <c r="AA775" s="5">
        <v>0</v>
      </c>
      <c r="AB775" s="6">
        <v>0</v>
      </c>
      <c r="AC775" s="5">
        <v>0</v>
      </c>
      <c r="AD775" s="6">
        <v>0</v>
      </c>
      <c r="AE775" s="5">
        <v>0</v>
      </c>
      <c r="AF775" s="6">
        <v>0</v>
      </c>
      <c r="AG775" s="5">
        <v>0</v>
      </c>
      <c r="AH775" s="7">
        <f t="shared" si="96"/>
        <v>24.730891854830329</v>
      </c>
      <c r="AI775" s="8">
        <f t="shared" si="97"/>
        <v>156.29923652252771</v>
      </c>
      <c r="AJ775" s="6">
        <v>0</v>
      </c>
      <c r="AK775" s="5">
        <v>0</v>
      </c>
      <c r="AL775" s="6">
        <v>0</v>
      </c>
      <c r="AM775" s="5">
        <v>0</v>
      </c>
      <c r="AN775" s="6">
        <v>0</v>
      </c>
      <c r="AO775" s="5">
        <v>0</v>
      </c>
      <c r="AP775" s="6">
        <v>0</v>
      </c>
      <c r="AQ775" s="5">
        <v>0</v>
      </c>
      <c r="AR775" s="6">
        <v>25</v>
      </c>
      <c r="AS775" s="5">
        <v>164.69565130072129</v>
      </c>
      <c r="AT775" s="6">
        <v>0</v>
      </c>
      <c r="AU775" s="5">
        <v>0</v>
      </c>
      <c r="AV775" s="6">
        <v>0</v>
      </c>
      <c r="AW775" s="5">
        <v>0</v>
      </c>
      <c r="AX775" s="6">
        <v>0</v>
      </c>
      <c r="AY775" s="5">
        <v>0</v>
      </c>
      <c r="AZ775" s="6">
        <v>0</v>
      </c>
      <c r="BA775" s="5">
        <v>0</v>
      </c>
      <c r="BB775" s="6">
        <v>0</v>
      </c>
      <c r="BC775" s="5">
        <v>0</v>
      </c>
      <c r="BD775" s="6">
        <v>0</v>
      </c>
      <c r="BE775" s="5">
        <v>0</v>
      </c>
      <c r="BF775" s="6">
        <v>0</v>
      </c>
      <c r="BG775" s="5">
        <v>0</v>
      </c>
      <c r="BH775" s="9">
        <f t="shared" si="98"/>
        <v>25</v>
      </c>
      <c r="BI775" s="10">
        <f t="shared" si="99"/>
        <v>164.69565130072129</v>
      </c>
      <c r="BJ775" s="6">
        <f t="shared" si="100"/>
        <v>0.26910814516967108</v>
      </c>
      <c r="BK775" s="11">
        <f t="shared" si="101"/>
        <v>1.0881457359052341E-2</v>
      </c>
      <c r="BL775" s="5">
        <f t="shared" si="102"/>
        <v>8.3964147781935878</v>
      </c>
      <c r="BM775" s="11">
        <f t="shared" si="103"/>
        <v>5.3720126630198838E-2</v>
      </c>
    </row>
    <row r="776" spans="1:65" ht="15" customHeight="1" x14ac:dyDescent="0.4">
      <c r="A776" s="2" t="s">
        <v>589</v>
      </c>
      <c r="B776" s="2" t="s">
        <v>66</v>
      </c>
      <c r="C776" s="2" t="s">
        <v>622</v>
      </c>
      <c r="D776" s="3" t="s">
        <v>68</v>
      </c>
      <c r="E776" s="3" t="s">
        <v>86</v>
      </c>
      <c r="F776" s="2" t="s">
        <v>87</v>
      </c>
      <c r="G776" s="4">
        <v>20</v>
      </c>
      <c r="H776" s="5">
        <v>1.5129938271604939</v>
      </c>
      <c r="I776" s="5">
        <v>1.5771053577785701</v>
      </c>
      <c r="J776" s="6">
        <v>0</v>
      </c>
      <c r="K776" s="5">
        <v>0</v>
      </c>
      <c r="L776" s="6">
        <v>1088.159241612535</v>
      </c>
      <c r="M776" s="5">
        <v>1632.238862418802</v>
      </c>
      <c r="N776" s="6">
        <v>6528.9554496752071</v>
      </c>
      <c r="O776" s="5">
        <v>9793.4331745128111</v>
      </c>
      <c r="P776" s="6">
        <v>13057.910899350411</v>
      </c>
      <c r="Q776" s="5">
        <v>19434.524055199869</v>
      </c>
      <c r="R776" s="6">
        <v>9199.8917699968824</v>
      </c>
      <c r="S776" s="5">
        <v>14259.83224349517</v>
      </c>
      <c r="T776" s="6">
        <v>1088.159241612535</v>
      </c>
      <c r="U776" s="5">
        <v>1686.646824499428</v>
      </c>
      <c r="V776" s="6">
        <v>1088.159241612535</v>
      </c>
      <c r="W776" s="5">
        <v>1686.646824499428</v>
      </c>
      <c r="X776" s="6">
        <v>0</v>
      </c>
      <c r="Y776" s="5">
        <v>0</v>
      </c>
      <c r="Z776" s="6">
        <v>0</v>
      </c>
      <c r="AA776" s="5">
        <v>0</v>
      </c>
      <c r="AB776" s="6">
        <v>1042.795753228228</v>
      </c>
      <c r="AC776" s="5">
        <v>1577.7435376234871</v>
      </c>
      <c r="AD776" s="6">
        <v>2085.591506456457</v>
      </c>
      <c r="AE776" s="5">
        <v>3155.4870752469742</v>
      </c>
      <c r="AF776" s="6">
        <v>0</v>
      </c>
      <c r="AG776" s="5">
        <v>0</v>
      </c>
      <c r="AH776" s="7">
        <f t="shared" si="96"/>
        <v>35179.623103544793</v>
      </c>
      <c r="AI776" s="8">
        <f t="shared" si="97"/>
        <v>53226.55259749596</v>
      </c>
      <c r="AJ776" s="6">
        <v>0</v>
      </c>
      <c r="AK776" s="5">
        <v>0</v>
      </c>
      <c r="AL776" s="6">
        <v>1200</v>
      </c>
      <c r="AM776" s="5">
        <v>1876.279571780369</v>
      </c>
      <c r="AN776" s="6">
        <v>7200</v>
      </c>
      <c r="AO776" s="5">
        <v>11257.67743068221</v>
      </c>
      <c r="AP776" s="6">
        <v>14400</v>
      </c>
      <c r="AQ776" s="5">
        <v>22340.23543466493</v>
      </c>
      <c r="AR776" s="6">
        <v>10140</v>
      </c>
      <c r="AS776" s="5">
        <v>16383.047794262249</v>
      </c>
      <c r="AT776" s="6">
        <v>1200</v>
      </c>
      <c r="AU776" s="5">
        <v>1938.822224173048</v>
      </c>
      <c r="AV776" s="6">
        <v>1200</v>
      </c>
      <c r="AW776" s="5">
        <v>1938.822224173048</v>
      </c>
      <c r="AX776" s="6">
        <v>0</v>
      </c>
      <c r="AY776" s="5">
        <v>0</v>
      </c>
      <c r="AZ776" s="6">
        <v>0</v>
      </c>
      <c r="BA776" s="5">
        <v>0</v>
      </c>
      <c r="BB776" s="6">
        <v>1140</v>
      </c>
      <c r="BC776" s="5">
        <v>1797.9062930829871</v>
      </c>
      <c r="BD776" s="6">
        <v>2300</v>
      </c>
      <c r="BE776" s="5">
        <v>3627.3548018340971</v>
      </c>
      <c r="BF776" s="6">
        <v>0</v>
      </c>
      <c r="BG776" s="5">
        <v>0</v>
      </c>
      <c r="BH776" s="9">
        <f t="shared" si="98"/>
        <v>38780</v>
      </c>
      <c r="BI776" s="10">
        <f t="shared" si="99"/>
        <v>61160.145774652941</v>
      </c>
      <c r="BJ776" s="6">
        <f t="shared" si="100"/>
        <v>3600.3768964552073</v>
      </c>
      <c r="BK776" s="11">
        <f t="shared" si="101"/>
        <v>0.10234267962047677</v>
      </c>
      <c r="BL776" s="5">
        <f t="shared" si="102"/>
        <v>7933.5931771569813</v>
      </c>
      <c r="BM776" s="11">
        <f t="shared" si="103"/>
        <v>0.14905329746135421</v>
      </c>
    </row>
    <row r="777" spans="1:65" ht="15" customHeight="1" x14ac:dyDescent="0.4">
      <c r="A777" s="2" t="s">
        <v>589</v>
      </c>
      <c r="B777" s="2" t="s">
        <v>66</v>
      </c>
      <c r="C777" s="2" t="s">
        <v>622</v>
      </c>
      <c r="D777" s="3" t="s">
        <v>68</v>
      </c>
      <c r="E777" s="3" t="s">
        <v>176</v>
      </c>
      <c r="F777" s="2" t="s">
        <v>177</v>
      </c>
      <c r="G777" s="4">
        <v>5</v>
      </c>
      <c r="H777" s="5">
        <v>2.875</v>
      </c>
      <c r="I777" s="5">
        <v>2.9972437317155118</v>
      </c>
      <c r="J777" s="6">
        <v>0</v>
      </c>
      <c r="K777" s="5">
        <v>0</v>
      </c>
      <c r="L777" s="6">
        <v>0</v>
      </c>
      <c r="M777" s="5">
        <v>0</v>
      </c>
      <c r="N777" s="6">
        <v>0</v>
      </c>
      <c r="O777" s="5">
        <v>0</v>
      </c>
      <c r="P777" s="6">
        <v>296.77070225796399</v>
      </c>
      <c r="Q777" s="5">
        <v>676.63720114815783</v>
      </c>
      <c r="R777" s="6">
        <v>98.92356741932133</v>
      </c>
      <c r="S777" s="5">
        <v>309.63076602247583</v>
      </c>
      <c r="T777" s="6">
        <v>296.77070225796399</v>
      </c>
      <c r="U777" s="5">
        <v>928.89229806742719</v>
      </c>
      <c r="V777" s="6">
        <v>296.77070225796399</v>
      </c>
      <c r="W777" s="5">
        <v>928.89229806742719</v>
      </c>
      <c r="X777" s="6">
        <v>0</v>
      </c>
      <c r="Y777" s="5">
        <v>0</v>
      </c>
      <c r="Z777" s="6">
        <v>0</v>
      </c>
      <c r="AA777" s="5">
        <v>0</v>
      </c>
      <c r="AB777" s="6">
        <v>0</v>
      </c>
      <c r="AC777" s="5">
        <v>0</v>
      </c>
      <c r="AD777" s="6">
        <v>0</v>
      </c>
      <c r="AE777" s="5">
        <v>0</v>
      </c>
      <c r="AF777" s="6">
        <v>0</v>
      </c>
      <c r="AG777" s="5">
        <v>0</v>
      </c>
      <c r="AH777" s="7">
        <f t="shared" si="96"/>
        <v>989.2356741932133</v>
      </c>
      <c r="AI777" s="8">
        <f t="shared" si="97"/>
        <v>2844.0525633054881</v>
      </c>
      <c r="AJ777" s="6">
        <v>0</v>
      </c>
      <c r="AK777" s="5">
        <v>0</v>
      </c>
      <c r="AL777" s="6">
        <v>0</v>
      </c>
      <c r="AM777" s="5">
        <v>0</v>
      </c>
      <c r="AN777" s="6">
        <v>0</v>
      </c>
      <c r="AO777" s="5">
        <v>0</v>
      </c>
      <c r="AP777" s="6">
        <v>325</v>
      </c>
      <c r="AQ777" s="5">
        <v>772.40175704958517</v>
      </c>
      <c r="AR777" s="6">
        <v>110</v>
      </c>
      <c r="AS777" s="5">
        <v>358.89058697998951</v>
      </c>
      <c r="AT777" s="6">
        <v>325</v>
      </c>
      <c r="AU777" s="5">
        <v>1060.3585524408779</v>
      </c>
      <c r="AV777" s="6">
        <v>325</v>
      </c>
      <c r="AW777" s="5">
        <v>1060.3585524408779</v>
      </c>
      <c r="AX777" s="6">
        <v>0</v>
      </c>
      <c r="AY777" s="5">
        <v>0</v>
      </c>
      <c r="AZ777" s="6">
        <v>0</v>
      </c>
      <c r="BA777" s="5">
        <v>0</v>
      </c>
      <c r="BB777" s="6">
        <v>0</v>
      </c>
      <c r="BC777" s="5">
        <v>0</v>
      </c>
      <c r="BD777" s="6">
        <v>0</v>
      </c>
      <c r="BE777" s="5">
        <v>0</v>
      </c>
      <c r="BF777" s="6">
        <v>0</v>
      </c>
      <c r="BG777" s="5">
        <v>0</v>
      </c>
      <c r="BH777" s="9">
        <f t="shared" si="98"/>
        <v>1085</v>
      </c>
      <c r="BI777" s="10">
        <f t="shared" si="99"/>
        <v>3252.0094489113308</v>
      </c>
      <c r="BJ777" s="6">
        <f t="shared" si="100"/>
        <v>95.764325806786701</v>
      </c>
      <c r="BK777" s="11">
        <f t="shared" si="101"/>
        <v>9.6806381234571637E-2</v>
      </c>
      <c r="BL777" s="5">
        <f t="shared" si="102"/>
        <v>407.95688560584267</v>
      </c>
      <c r="BM777" s="11">
        <f t="shared" si="103"/>
        <v>0.14344210471683283</v>
      </c>
    </row>
    <row r="778" spans="1:65" ht="15" customHeight="1" x14ac:dyDescent="0.4">
      <c r="A778" s="2" t="s">
        <v>589</v>
      </c>
      <c r="B778" s="2" t="s">
        <v>66</v>
      </c>
      <c r="C778" s="2" t="s">
        <v>622</v>
      </c>
      <c r="D778" s="3" t="s">
        <v>68</v>
      </c>
      <c r="E778" s="3" t="s">
        <v>223</v>
      </c>
      <c r="F778" s="2" t="s">
        <v>224</v>
      </c>
      <c r="G778" s="4">
        <v>20</v>
      </c>
      <c r="H778" s="5">
        <v>2.68</v>
      </c>
      <c r="I778" s="5">
        <v>2.7935718068729929</v>
      </c>
      <c r="J778" s="6">
        <v>0</v>
      </c>
      <c r="K778" s="5">
        <v>0</v>
      </c>
      <c r="L778" s="6">
        <v>633.11083148365651</v>
      </c>
      <c r="M778" s="5">
        <v>1696.7370283761991</v>
      </c>
      <c r="N778" s="6">
        <v>197.84713483864269</v>
      </c>
      <c r="O778" s="5">
        <v>530.23032136756228</v>
      </c>
      <c r="P778" s="6">
        <v>633.11083148365651</v>
      </c>
      <c r="Q778" s="5">
        <v>1696.7370283761991</v>
      </c>
      <c r="R778" s="6">
        <v>0</v>
      </c>
      <c r="S778" s="5">
        <v>0</v>
      </c>
      <c r="T778" s="6">
        <v>0</v>
      </c>
      <c r="U778" s="5">
        <v>0</v>
      </c>
      <c r="V778" s="6">
        <v>0</v>
      </c>
      <c r="W778" s="5">
        <v>0</v>
      </c>
      <c r="X778" s="6">
        <v>0</v>
      </c>
      <c r="Y778" s="5">
        <v>0</v>
      </c>
      <c r="Z778" s="6">
        <v>0</v>
      </c>
      <c r="AA778" s="5">
        <v>0</v>
      </c>
      <c r="AB778" s="6">
        <v>606.7175291509692</v>
      </c>
      <c r="AC778" s="5">
        <v>1626.0029781245969</v>
      </c>
      <c r="AD778" s="6">
        <v>0</v>
      </c>
      <c r="AE778" s="5">
        <v>0</v>
      </c>
      <c r="AF778" s="6">
        <v>0</v>
      </c>
      <c r="AG778" s="5">
        <v>0</v>
      </c>
      <c r="AH778" s="7">
        <f t="shared" si="96"/>
        <v>2070.7863269569248</v>
      </c>
      <c r="AI778" s="8">
        <f t="shared" si="97"/>
        <v>5549.7073562445576</v>
      </c>
      <c r="AJ778" s="6">
        <v>0</v>
      </c>
      <c r="AK778" s="5">
        <v>0</v>
      </c>
      <c r="AL778" s="6">
        <v>680</v>
      </c>
      <c r="AM778" s="5">
        <v>1899.6288286736351</v>
      </c>
      <c r="AN778" s="6">
        <v>220</v>
      </c>
      <c r="AO778" s="5">
        <v>614.58579751205843</v>
      </c>
      <c r="AP778" s="6">
        <v>680</v>
      </c>
      <c r="AQ778" s="5">
        <v>1899.6288286736351</v>
      </c>
      <c r="AR778" s="6">
        <v>0</v>
      </c>
      <c r="AS778" s="5">
        <v>0</v>
      </c>
      <c r="AT778" s="6">
        <v>0</v>
      </c>
      <c r="AU778" s="5">
        <v>0</v>
      </c>
      <c r="AV778" s="6">
        <v>0</v>
      </c>
      <c r="AW778" s="5">
        <v>0</v>
      </c>
      <c r="AX778" s="6">
        <v>0</v>
      </c>
      <c r="AY778" s="5">
        <v>0</v>
      </c>
      <c r="AZ778" s="6">
        <v>0</v>
      </c>
      <c r="BA778" s="5">
        <v>0</v>
      </c>
      <c r="BB778" s="6">
        <v>660</v>
      </c>
      <c r="BC778" s="5">
        <v>1843.757392536176</v>
      </c>
      <c r="BD778" s="6">
        <v>0</v>
      </c>
      <c r="BE778" s="5">
        <v>0</v>
      </c>
      <c r="BF778" s="6">
        <v>0</v>
      </c>
      <c r="BG778" s="5">
        <v>0</v>
      </c>
      <c r="BH778" s="9">
        <f t="shared" si="98"/>
        <v>2240</v>
      </c>
      <c r="BI778" s="10">
        <f t="shared" si="99"/>
        <v>6257.6008473955044</v>
      </c>
      <c r="BJ778" s="6">
        <f t="shared" si="100"/>
        <v>169.21367304307523</v>
      </c>
      <c r="BK778" s="11">
        <f t="shared" si="101"/>
        <v>8.1714694964081208E-2</v>
      </c>
      <c r="BL778" s="5">
        <f t="shared" si="102"/>
        <v>707.89349115094683</v>
      </c>
      <c r="BM778" s="11">
        <f t="shared" si="103"/>
        <v>0.12755510258652136</v>
      </c>
    </row>
    <row r="779" spans="1:65" ht="15" customHeight="1" x14ac:dyDescent="0.4">
      <c r="A779" s="2" t="s">
        <v>589</v>
      </c>
      <c r="B779" s="2" t="s">
        <v>66</v>
      </c>
      <c r="C779" s="2" t="s">
        <v>622</v>
      </c>
      <c r="D779" s="3" t="s">
        <v>68</v>
      </c>
      <c r="E779" s="3" t="s">
        <v>627</v>
      </c>
      <c r="F779" s="2" t="s">
        <v>486</v>
      </c>
      <c r="G779" s="4">
        <v>200</v>
      </c>
      <c r="H779" s="5">
        <v>2.71</v>
      </c>
      <c r="I779" s="5">
        <v>2.8248431330693329</v>
      </c>
      <c r="J779" s="6">
        <v>0</v>
      </c>
      <c r="K779" s="5">
        <v>0</v>
      </c>
      <c r="L779" s="6">
        <v>0</v>
      </c>
      <c r="M779" s="5">
        <v>0</v>
      </c>
      <c r="N779" s="6">
        <v>0</v>
      </c>
      <c r="O779" s="5">
        <v>0</v>
      </c>
      <c r="P779" s="6">
        <v>0</v>
      </c>
      <c r="Q779" s="5">
        <v>0</v>
      </c>
      <c r="R779" s="6">
        <v>197.84713483864269</v>
      </c>
      <c r="S779" s="5">
        <v>536.16573541272157</v>
      </c>
      <c r="T779" s="6">
        <v>0</v>
      </c>
      <c r="U779" s="5">
        <v>0</v>
      </c>
      <c r="V779" s="6">
        <v>0</v>
      </c>
      <c r="W779" s="5">
        <v>0</v>
      </c>
      <c r="X779" s="6">
        <v>0</v>
      </c>
      <c r="Y779" s="5">
        <v>0</v>
      </c>
      <c r="Z779" s="6">
        <v>0</v>
      </c>
      <c r="AA779" s="5">
        <v>0</v>
      </c>
      <c r="AB779" s="6">
        <v>0</v>
      </c>
      <c r="AC779" s="5">
        <v>0</v>
      </c>
      <c r="AD779" s="6">
        <v>0</v>
      </c>
      <c r="AE779" s="5">
        <v>0</v>
      </c>
      <c r="AF779" s="6">
        <v>0</v>
      </c>
      <c r="AG779" s="5">
        <v>0</v>
      </c>
      <c r="AH779" s="7">
        <f t="shared" si="96"/>
        <v>197.84713483864269</v>
      </c>
      <c r="AI779" s="8">
        <f t="shared" si="97"/>
        <v>536.16573541272157</v>
      </c>
      <c r="AJ779" s="6">
        <v>0</v>
      </c>
      <c r="AK779" s="5">
        <v>0</v>
      </c>
      <c r="AL779" s="6">
        <v>0</v>
      </c>
      <c r="AM779" s="5">
        <v>0</v>
      </c>
      <c r="AN779" s="6">
        <v>0</v>
      </c>
      <c r="AO779" s="5">
        <v>0</v>
      </c>
      <c r="AP779" s="6">
        <v>0</v>
      </c>
      <c r="AQ779" s="5">
        <v>0</v>
      </c>
      <c r="AR779" s="6">
        <v>200</v>
      </c>
      <c r="AS779" s="5">
        <v>564.9686266138666</v>
      </c>
      <c r="AT779" s="6">
        <v>0</v>
      </c>
      <c r="AU779" s="5">
        <v>0</v>
      </c>
      <c r="AV779" s="6">
        <v>0</v>
      </c>
      <c r="AW779" s="5">
        <v>0</v>
      </c>
      <c r="AX779" s="6">
        <v>0</v>
      </c>
      <c r="AY779" s="5">
        <v>0</v>
      </c>
      <c r="AZ779" s="6">
        <v>0</v>
      </c>
      <c r="BA779" s="5">
        <v>0</v>
      </c>
      <c r="BB779" s="6">
        <v>0</v>
      </c>
      <c r="BC779" s="5">
        <v>0</v>
      </c>
      <c r="BD779" s="6">
        <v>0</v>
      </c>
      <c r="BE779" s="5">
        <v>0</v>
      </c>
      <c r="BF779" s="6">
        <v>0</v>
      </c>
      <c r="BG779" s="5">
        <v>0</v>
      </c>
      <c r="BH779" s="9">
        <f t="shared" si="98"/>
        <v>200</v>
      </c>
      <c r="BI779" s="10">
        <f t="shared" si="99"/>
        <v>564.9686266138666</v>
      </c>
      <c r="BJ779" s="6">
        <f t="shared" si="100"/>
        <v>2.1528651613573118</v>
      </c>
      <c r="BK779" s="11">
        <f t="shared" si="101"/>
        <v>1.0881457359052051E-2</v>
      </c>
      <c r="BL779" s="5">
        <f t="shared" si="102"/>
        <v>28.80289120114503</v>
      </c>
      <c r="BM779" s="11">
        <f t="shared" si="103"/>
        <v>5.3720126630198727E-2</v>
      </c>
    </row>
    <row r="780" spans="1:65" ht="15" customHeight="1" x14ac:dyDescent="0.4">
      <c r="A780" s="2" t="s">
        <v>589</v>
      </c>
      <c r="B780" s="2" t="s">
        <v>66</v>
      </c>
      <c r="C780" s="2" t="s">
        <v>622</v>
      </c>
      <c r="D780" s="3" t="s">
        <v>68</v>
      </c>
      <c r="E780" s="3" t="s">
        <v>628</v>
      </c>
      <c r="F780" s="2" t="s">
        <v>488</v>
      </c>
      <c r="G780" s="4">
        <v>1000</v>
      </c>
      <c r="H780" s="5">
        <v>2.4900000000000002</v>
      </c>
      <c r="I780" s="5">
        <v>2.5955200742961768</v>
      </c>
      <c r="J780" s="6">
        <v>0</v>
      </c>
      <c r="K780" s="5">
        <v>0</v>
      </c>
      <c r="L780" s="6">
        <v>0</v>
      </c>
      <c r="M780" s="5">
        <v>0</v>
      </c>
      <c r="N780" s="6">
        <v>0</v>
      </c>
      <c r="O780" s="5">
        <v>0</v>
      </c>
      <c r="P780" s="6">
        <v>0</v>
      </c>
      <c r="Q780" s="5">
        <v>0</v>
      </c>
      <c r="R780" s="6">
        <v>0</v>
      </c>
      <c r="S780" s="5">
        <v>0</v>
      </c>
      <c r="T780" s="6">
        <v>0</v>
      </c>
      <c r="U780" s="5">
        <v>0</v>
      </c>
      <c r="V780" s="6">
        <v>989.23567419321319</v>
      </c>
      <c r="W780" s="5">
        <v>2463.1968287411009</v>
      </c>
      <c r="X780" s="6">
        <v>0</v>
      </c>
      <c r="Y780" s="5">
        <v>0</v>
      </c>
      <c r="Z780" s="6">
        <v>0</v>
      </c>
      <c r="AA780" s="5">
        <v>0</v>
      </c>
      <c r="AB780" s="6">
        <v>0</v>
      </c>
      <c r="AC780" s="5">
        <v>0</v>
      </c>
      <c r="AD780" s="6">
        <v>0</v>
      </c>
      <c r="AE780" s="5">
        <v>0</v>
      </c>
      <c r="AF780" s="6">
        <v>0</v>
      </c>
      <c r="AG780" s="5">
        <v>0</v>
      </c>
      <c r="AH780" s="7">
        <f t="shared" si="96"/>
        <v>989.23567419321319</v>
      </c>
      <c r="AI780" s="8">
        <f t="shared" si="97"/>
        <v>2463.1968287411009</v>
      </c>
      <c r="AJ780" s="6">
        <v>0</v>
      </c>
      <c r="AK780" s="5">
        <v>0</v>
      </c>
      <c r="AL780" s="6">
        <v>0</v>
      </c>
      <c r="AM780" s="5">
        <v>0</v>
      </c>
      <c r="AN780" s="6">
        <v>0</v>
      </c>
      <c r="AO780" s="5">
        <v>0</v>
      </c>
      <c r="AP780" s="6">
        <v>0</v>
      </c>
      <c r="AQ780" s="5">
        <v>0</v>
      </c>
      <c r="AR780" s="6">
        <v>0</v>
      </c>
      <c r="AS780" s="5">
        <v>0</v>
      </c>
      <c r="AT780" s="6">
        <v>0</v>
      </c>
      <c r="AU780" s="5">
        <v>0</v>
      </c>
      <c r="AV780" s="6">
        <v>1000</v>
      </c>
      <c r="AW780" s="5">
        <v>2595.520074296177</v>
      </c>
      <c r="AX780" s="6">
        <v>0</v>
      </c>
      <c r="AY780" s="5">
        <v>0</v>
      </c>
      <c r="AZ780" s="6">
        <v>0</v>
      </c>
      <c r="BA780" s="5">
        <v>0</v>
      </c>
      <c r="BB780" s="6">
        <v>0</v>
      </c>
      <c r="BC780" s="5">
        <v>0</v>
      </c>
      <c r="BD780" s="6">
        <v>0</v>
      </c>
      <c r="BE780" s="5">
        <v>0</v>
      </c>
      <c r="BF780" s="6">
        <v>0</v>
      </c>
      <c r="BG780" s="5">
        <v>0</v>
      </c>
      <c r="BH780" s="9">
        <f t="shared" si="98"/>
        <v>1000</v>
      </c>
      <c r="BI780" s="10">
        <f t="shared" si="99"/>
        <v>2595.520074296177</v>
      </c>
      <c r="BJ780" s="6">
        <f t="shared" si="100"/>
        <v>10.764325806786815</v>
      </c>
      <c r="BK780" s="11">
        <f t="shared" si="101"/>
        <v>1.0881457359052311E-2</v>
      </c>
      <c r="BL780" s="5">
        <f t="shared" si="102"/>
        <v>132.32324555507603</v>
      </c>
      <c r="BM780" s="11">
        <f t="shared" si="103"/>
        <v>5.3720126630198789E-2</v>
      </c>
    </row>
    <row r="781" spans="1:65" ht="15" customHeight="1" x14ac:dyDescent="0.4">
      <c r="A781" s="2" t="s">
        <v>589</v>
      </c>
      <c r="B781" s="2" t="s">
        <v>66</v>
      </c>
      <c r="C781" s="2" t="s">
        <v>622</v>
      </c>
      <c r="D781" s="3" t="s">
        <v>68</v>
      </c>
      <c r="E781" s="3" t="s">
        <v>71</v>
      </c>
      <c r="F781" s="2" t="s">
        <v>72</v>
      </c>
      <c r="G781" s="4">
        <v>20</v>
      </c>
      <c r="H781" s="5">
        <v>2.1848648648648652</v>
      </c>
      <c r="I781" s="5">
        <v>2.2774618398543192</v>
      </c>
      <c r="J781" s="6">
        <v>0</v>
      </c>
      <c r="K781" s="5">
        <v>0</v>
      </c>
      <c r="L781" s="6">
        <v>0</v>
      </c>
      <c r="M781" s="5">
        <v>0</v>
      </c>
      <c r="N781" s="6">
        <v>633.11083148365651</v>
      </c>
      <c r="O781" s="5">
        <v>1361.188287689861</v>
      </c>
      <c r="P781" s="6">
        <v>830.95796632229917</v>
      </c>
      <c r="Q781" s="5">
        <v>1782.6026848961701</v>
      </c>
      <c r="R781" s="6">
        <v>732.03439890297784</v>
      </c>
      <c r="S781" s="5">
        <v>1654.3977415207301</v>
      </c>
      <c r="T781" s="6">
        <v>0</v>
      </c>
      <c r="U781" s="5">
        <v>0</v>
      </c>
      <c r="V781" s="6">
        <v>0</v>
      </c>
      <c r="W781" s="5">
        <v>0</v>
      </c>
      <c r="X781" s="6">
        <v>0</v>
      </c>
      <c r="Y781" s="5">
        <v>0</v>
      </c>
      <c r="Z781" s="6">
        <v>0</v>
      </c>
      <c r="AA781" s="5">
        <v>0</v>
      </c>
      <c r="AB781" s="6">
        <v>0</v>
      </c>
      <c r="AC781" s="5">
        <v>0</v>
      </c>
      <c r="AD781" s="6">
        <v>0</v>
      </c>
      <c r="AE781" s="5">
        <v>0</v>
      </c>
      <c r="AF781" s="6">
        <v>0</v>
      </c>
      <c r="AG781" s="5">
        <v>0</v>
      </c>
      <c r="AH781" s="7">
        <f t="shared" si="96"/>
        <v>2196.1031967089334</v>
      </c>
      <c r="AI781" s="8">
        <f t="shared" si="97"/>
        <v>4798.1887141067609</v>
      </c>
      <c r="AJ781" s="6">
        <v>0</v>
      </c>
      <c r="AK781" s="5">
        <v>0</v>
      </c>
      <c r="AL781" s="6">
        <v>0</v>
      </c>
      <c r="AM781" s="5">
        <v>0</v>
      </c>
      <c r="AN781" s="6">
        <v>800</v>
      </c>
      <c r="AO781" s="5">
        <v>1792.8893685901301</v>
      </c>
      <c r="AP781" s="6">
        <v>1040</v>
      </c>
      <c r="AQ781" s="5">
        <v>2325.593928493488</v>
      </c>
      <c r="AR781" s="6">
        <v>920</v>
      </c>
      <c r="AS781" s="5">
        <v>2167.311380914301</v>
      </c>
      <c r="AT781" s="6">
        <v>0</v>
      </c>
      <c r="AU781" s="5">
        <v>0</v>
      </c>
      <c r="AV781" s="6">
        <v>0</v>
      </c>
      <c r="AW781" s="5">
        <v>0</v>
      </c>
      <c r="AX781" s="6">
        <v>0</v>
      </c>
      <c r="AY781" s="5">
        <v>0</v>
      </c>
      <c r="AZ781" s="6">
        <v>0</v>
      </c>
      <c r="BA781" s="5">
        <v>0</v>
      </c>
      <c r="BB781" s="6">
        <v>0</v>
      </c>
      <c r="BC781" s="5">
        <v>0</v>
      </c>
      <c r="BD781" s="6">
        <v>0</v>
      </c>
      <c r="BE781" s="5">
        <v>0</v>
      </c>
      <c r="BF781" s="6">
        <v>0</v>
      </c>
      <c r="BG781" s="5">
        <v>0</v>
      </c>
      <c r="BH781" s="9">
        <f t="shared" si="98"/>
        <v>2760</v>
      </c>
      <c r="BI781" s="10">
        <f t="shared" si="99"/>
        <v>6285.7946779979193</v>
      </c>
      <c r="BJ781" s="6">
        <f t="shared" si="100"/>
        <v>563.89680329106659</v>
      </c>
      <c r="BK781" s="11">
        <f t="shared" si="101"/>
        <v>0.25677154158152443</v>
      </c>
      <c r="BL781" s="5">
        <f t="shared" si="102"/>
        <v>1487.6059638911584</v>
      </c>
      <c r="BM781" s="11">
        <f t="shared" si="103"/>
        <v>0.31003490119460497</v>
      </c>
    </row>
    <row r="782" spans="1:65" ht="15" customHeight="1" x14ac:dyDescent="0.4">
      <c r="A782" s="2" t="s">
        <v>589</v>
      </c>
      <c r="B782" s="2" t="s">
        <v>66</v>
      </c>
      <c r="C782" s="2" t="s">
        <v>622</v>
      </c>
      <c r="D782" s="3" t="s">
        <v>68</v>
      </c>
      <c r="E782" s="3" t="s">
        <v>629</v>
      </c>
      <c r="F782" s="2" t="s">
        <v>411</v>
      </c>
      <c r="G782" s="4">
        <v>200</v>
      </c>
      <c r="H782" s="5">
        <v>2.17</v>
      </c>
      <c r="I782" s="5">
        <v>2.261959261535222</v>
      </c>
      <c r="J782" s="6">
        <v>0</v>
      </c>
      <c r="K782" s="5">
        <v>0</v>
      </c>
      <c r="L782" s="6">
        <v>0</v>
      </c>
      <c r="M782" s="5">
        <v>0</v>
      </c>
      <c r="N782" s="6">
        <v>0</v>
      </c>
      <c r="O782" s="5">
        <v>0</v>
      </c>
      <c r="P782" s="6">
        <v>0</v>
      </c>
      <c r="Q782" s="5">
        <v>0</v>
      </c>
      <c r="R782" s="6">
        <v>197.84713483864269</v>
      </c>
      <c r="S782" s="5">
        <v>429.32828259985462</v>
      </c>
      <c r="T782" s="6">
        <v>0</v>
      </c>
      <c r="U782" s="5">
        <v>0</v>
      </c>
      <c r="V782" s="6">
        <v>0</v>
      </c>
      <c r="W782" s="5">
        <v>0</v>
      </c>
      <c r="X782" s="6">
        <v>0</v>
      </c>
      <c r="Y782" s="5">
        <v>0</v>
      </c>
      <c r="Z782" s="6">
        <v>0</v>
      </c>
      <c r="AA782" s="5">
        <v>0</v>
      </c>
      <c r="AB782" s="6">
        <v>0</v>
      </c>
      <c r="AC782" s="5">
        <v>0</v>
      </c>
      <c r="AD782" s="6">
        <v>0</v>
      </c>
      <c r="AE782" s="5">
        <v>0</v>
      </c>
      <c r="AF782" s="6">
        <v>0</v>
      </c>
      <c r="AG782" s="5">
        <v>0</v>
      </c>
      <c r="AH782" s="7">
        <f t="shared" si="96"/>
        <v>197.84713483864269</v>
      </c>
      <c r="AI782" s="8">
        <f t="shared" si="97"/>
        <v>429.32828259985462</v>
      </c>
      <c r="AJ782" s="6">
        <v>0</v>
      </c>
      <c r="AK782" s="5">
        <v>0</v>
      </c>
      <c r="AL782" s="6">
        <v>0</v>
      </c>
      <c r="AM782" s="5">
        <v>0</v>
      </c>
      <c r="AN782" s="6">
        <v>0</v>
      </c>
      <c r="AO782" s="5">
        <v>0</v>
      </c>
      <c r="AP782" s="6">
        <v>0</v>
      </c>
      <c r="AQ782" s="5">
        <v>0</v>
      </c>
      <c r="AR782" s="6">
        <v>200</v>
      </c>
      <c r="AS782" s="5">
        <v>452.39185230704447</v>
      </c>
      <c r="AT782" s="6">
        <v>0</v>
      </c>
      <c r="AU782" s="5">
        <v>0</v>
      </c>
      <c r="AV782" s="6">
        <v>0</v>
      </c>
      <c r="AW782" s="5">
        <v>0</v>
      </c>
      <c r="AX782" s="6">
        <v>0</v>
      </c>
      <c r="AY782" s="5">
        <v>0</v>
      </c>
      <c r="AZ782" s="6">
        <v>0</v>
      </c>
      <c r="BA782" s="5">
        <v>0</v>
      </c>
      <c r="BB782" s="6">
        <v>0</v>
      </c>
      <c r="BC782" s="5">
        <v>0</v>
      </c>
      <c r="BD782" s="6">
        <v>0</v>
      </c>
      <c r="BE782" s="5">
        <v>0</v>
      </c>
      <c r="BF782" s="6">
        <v>0</v>
      </c>
      <c r="BG782" s="5">
        <v>0</v>
      </c>
      <c r="BH782" s="9">
        <f t="shared" si="98"/>
        <v>200</v>
      </c>
      <c r="BI782" s="10">
        <f t="shared" si="99"/>
        <v>452.39185230704447</v>
      </c>
      <c r="BJ782" s="6">
        <f t="shared" si="100"/>
        <v>2.1528651613573118</v>
      </c>
      <c r="BK782" s="11">
        <f t="shared" si="101"/>
        <v>1.0881457359052051E-2</v>
      </c>
      <c r="BL782" s="5">
        <f t="shared" si="102"/>
        <v>23.063569707189856</v>
      </c>
      <c r="BM782" s="11">
        <f t="shared" si="103"/>
        <v>5.3720126630198546E-2</v>
      </c>
    </row>
    <row r="783" spans="1:65" ht="15" customHeight="1" x14ac:dyDescent="0.4">
      <c r="A783" s="2" t="s">
        <v>589</v>
      </c>
      <c r="B783" s="2" t="s">
        <v>66</v>
      </c>
      <c r="C783" s="2" t="s">
        <v>622</v>
      </c>
      <c r="D783" s="3" t="s">
        <v>68</v>
      </c>
      <c r="E783" s="3" t="s">
        <v>260</v>
      </c>
      <c r="F783" s="2" t="s">
        <v>261</v>
      </c>
      <c r="G783" s="4">
        <v>1000</v>
      </c>
      <c r="H783" s="5">
        <v>2.0099999999999998</v>
      </c>
      <c r="I783" s="5">
        <v>2.095178855154745</v>
      </c>
      <c r="J783" s="6">
        <v>0</v>
      </c>
      <c r="K783" s="5">
        <v>0</v>
      </c>
      <c r="L783" s="6">
        <v>0</v>
      </c>
      <c r="M783" s="5">
        <v>0</v>
      </c>
      <c r="N783" s="6">
        <v>0</v>
      </c>
      <c r="O783" s="5">
        <v>0</v>
      </c>
      <c r="P783" s="6">
        <v>0</v>
      </c>
      <c r="Q783" s="5">
        <v>0</v>
      </c>
      <c r="R783" s="6">
        <v>0</v>
      </c>
      <c r="S783" s="5">
        <v>0</v>
      </c>
      <c r="T783" s="6">
        <v>989.23567419321319</v>
      </c>
      <c r="U783" s="5">
        <v>1988.363705128359</v>
      </c>
      <c r="V783" s="6">
        <v>0</v>
      </c>
      <c r="W783" s="5">
        <v>0</v>
      </c>
      <c r="X783" s="6">
        <v>0</v>
      </c>
      <c r="Y783" s="5">
        <v>0</v>
      </c>
      <c r="Z783" s="6">
        <v>0</v>
      </c>
      <c r="AA783" s="5">
        <v>0</v>
      </c>
      <c r="AB783" s="6">
        <v>947.99613929838938</v>
      </c>
      <c r="AC783" s="5">
        <v>1905.4722399897621</v>
      </c>
      <c r="AD783" s="6">
        <v>0</v>
      </c>
      <c r="AE783" s="5">
        <v>0</v>
      </c>
      <c r="AF783" s="6">
        <v>0</v>
      </c>
      <c r="AG783" s="5">
        <v>0</v>
      </c>
      <c r="AH783" s="7">
        <f t="shared" si="96"/>
        <v>1937.2318134916027</v>
      </c>
      <c r="AI783" s="8">
        <f t="shared" si="97"/>
        <v>3893.8359451181213</v>
      </c>
      <c r="AJ783" s="6">
        <v>0</v>
      </c>
      <c r="AK783" s="5">
        <v>0</v>
      </c>
      <c r="AL783" s="6">
        <v>0</v>
      </c>
      <c r="AM783" s="5">
        <v>0</v>
      </c>
      <c r="AN783" s="6">
        <v>0</v>
      </c>
      <c r="AO783" s="5">
        <v>0</v>
      </c>
      <c r="AP783" s="6">
        <v>0</v>
      </c>
      <c r="AQ783" s="5">
        <v>0</v>
      </c>
      <c r="AR783" s="6">
        <v>0</v>
      </c>
      <c r="AS783" s="5">
        <v>0</v>
      </c>
      <c r="AT783" s="6">
        <v>1000</v>
      </c>
      <c r="AU783" s="5">
        <v>2095.1788551547452</v>
      </c>
      <c r="AV783" s="6">
        <v>0</v>
      </c>
      <c r="AW783" s="5">
        <v>0</v>
      </c>
      <c r="AX783" s="6">
        <v>0</v>
      </c>
      <c r="AY783" s="5">
        <v>0</v>
      </c>
      <c r="AZ783" s="6">
        <v>0</v>
      </c>
      <c r="BA783" s="5">
        <v>0</v>
      </c>
      <c r="BB783" s="6">
        <v>1000</v>
      </c>
      <c r="BC783" s="5">
        <v>2095.1788551547452</v>
      </c>
      <c r="BD783" s="6">
        <v>0</v>
      </c>
      <c r="BE783" s="5">
        <v>0</v>
      </c>
      <c r="BF783" s="6">
        <v>0</v>
      </c>
      <c r="BG783" s="5">
        <v>0</v>
      </c>
      <c r="BH783" s="9">
        <f t="shared" si="98"/>
        <v>2000</v>
      </c>
      <c r="BI783" s="10">
        <f t="shared" si="99"/>
        <v>4190.3577103094904</v>
      </c>
      <c r="BJ783" s="6">
        <f t="shared" si="100"/>
        <v>62.768186508397321</v>
      </c>
      <c r="BK783" s="11">
        <f t="shared" si="101"/>
        <v>3.2400968263713373E-2</v>
      </c>
      <c r="BL783" s="5">
        <f t="shared" si="102"/>
        <v>296.52176519136901</v>
      </c>
      <c r="BM783" s="11">
        <f t="shared" si="103"/>
        <v>7.6151581466376822E-2</v>
      </c>
    </row>
    <row r="784" spans="1:65" ht="15" customHeight="1" x14ac:dyDescent="0.4">
      <c r="A784" s="2" t="s">
        <v>589</v>
      </c>
      <c r="B784" s="2" t="s">
        <v>66</v>
      </c>
      <c r="C784" s="2" t="s">
        <v>622</v>
      </c>
      <c r="D784" s="3" t="s">
        <v>68</v>
      </c>
      <c r="E784" s="3" t="s">
        <v>630</v>
      </c>
      <c r="F784" s="2" t="s">
        <v>387</v>
      </c>
      <c r="G784" s="4">
        <v>5</v>
      </c>
      <c r="H784" s="5">
        <v>4.3334482758620689</v>
      </c>
      <c r="I784" s="5">
        <v>4.5171363871539301</v>
      </c>
      <c r="J784" s="6">
        <v>0</v>
      </c>
      <c r="K784" s="5">
        <v>0</v>
      </c>
      <c r="L784" s="6">
        <v>0</v>
      </c>
      <c r="M784" s="5">
        <v>0</v>
      </c>
      <c r="N784" s="6">
        <v>593.54140451592798</v>
      </c>
      <c r="O784" s="5">
        <v>2481.0030708765789</v>
      </c>
      <c r="P784" s="6">
        <v>197.84713483864269</v>
      </c>
      <c r="Q784" s="5">
        <v>890.31210677389186</v>
      </c>
      <c r="R784" s="6">
        <v>247.3089185483033</v>
      </c>
      <c r="S784" s="5">
        <v>1085.686152427051</v>
      </c>
      <c r="T784" s="6">
        <v>197.84713483864269</v>
      </c>
      <c r="U784" s="5">
        <v>890.31210677389186</v>
      </c>
      <c r="V784" s="6">
        <v>197.84713483864269</v>
      </c>
      <c r="W784" s="5">
        <v>868.5489219416412</v>
      </c>
      <c r="X784" s="6">
        <v>0</v>
      </c>
      <c r="Y784" s="5">
        <v>0</v>
      </c>
      <c r="Z784" s="6">
        <v>0</v>
      </c>
      <c r="AA784" s="5">
        <v>0</v>
      </c>
      <c r="AB784" s="6">
        <v>0</v>
      </c>
      <c r="AC784" s="5">
        <v>0</v>
      </c>
      <c r="AD784" s="6">
        <v>0</v>
      </c>
      <c r="AE784" s="5">
        <v>0</v>
      </c>
      <c r="AF784" s="6">
        <v>0</v>
      </c>
      <c r="AG784" s="5">
        <v>0</v>
      </c>
      <c r="AH784" s="7">
        <f t="shared" si="96"/>
        <v>1434.3917275801593</v>
      </c>
      <c r="AI784" s="8">
        <f t="shared" si="97"/>
        <v>6215.8623587930551</v>
      </c>
      <c r="AJ784" s="6">
        <v>0</v>
      </c>
      <c r="AK784" s="5">
        <v>0</v>
      </c>
      <c r="AL784" s="6">
        <v>0</v>
      </c>
      <c r="AM784" s="5">
        <v>0</v>
      </c>
      <c r="AN784" s="6">
        <v>645</v>
      </c>
      <c r="AO784" s="5">
        <v>2810.354085265029</v>
      </c>
      <c r="AP784" s="6">
        <v>215</v>
      </c>
      <c r="AQ784" s="5">
        <v>1008.500269831948</v>
      </c>
      <c r="AR784" s="6">
        <v>270</v>
      </c>
      <c r="AS784" s="5">
        <v>1235.5300980173729</v>
      </c>
      <c r="AT784" s="6">
        <v>215</v>
      </c>
      <c r="AU784" s="5">
        <v>1008.500269831948</v>
      </c>
      <c r="AV784" s="6">
        <v>215</v>
      </c>
      <c r="AW784" s="5">
        <v>983.84804101383395</v>
      </c>
      <c r="AX784" s="6">
        <v>0</v>
      </c>
      <c r="AY784" s="5">
        <v>0</v>
      </c>
      <c r="AZ784" s="6">
        <v>0</v>
      </c>
      <c r="BA784" s="5">
        <v>0</v>
      </c>
      <c r="BB784" s="6">
        <v>0</v>
      </c>
      <c r="BC784" s="5">
        <v>0</v>
      </c>
      <c r="BD784" s="6">
        <v>0</v>
      </c>
      <c r="BE784" s="5">
        <v>0</v>
      </c>
      <c r="BF784" s="6">
        <v>0</v>
      </c>
      <c r="BG784" s="5">
        <v>0</v>
      </c>
      <c r="BH784" s="9">
        <f t="shared" si="98"/>
        <v>1560</v>
      </c>
      <c r="BI784" s="10">
        <f t="shared" si="99"/>
        <v>7046.7327639601308</v>
      </c>
      <c r="BJ784" s="6">
        <f t="shared" si="100"/>
        <v>125.60827241984066</v>
      </c>
      <c r="BK784" s="11">
        <f t="shared" si="101"/>
        <v>8.7569016193187146E-2</v>
      </c>
      <c r="BL784" s="5">
        <f t="shared" si="102"/>
        <v>830.87040516707566</v>
      </c>
      <c r="BM784" s="11">
        <f t="shared" si="103"/>
        <v>0.1336693699453807</v>
      </c>
    </row>
    <row r="785" spans="1:65" ht="15" customHeight="1" x14ac:dyDescent="0.4">
      <c r="A785" s="2" t="s">
        <v>589</v>
      </c>
      <c r="B785" s="2" t="s">
        <v>66</v>
      </c>
      <c r="C785" s="2" t="s">
        <v>622</v>
      </c>
      <c r="D785" s="3" t="s">
        <v>68</v>
      </c>
      <c r="E785" s="3" t="s">
        <v>88</v>
      </c>
      <c r="F785" s="2" t="s">
        <v>89</v>
      </c>
      <c r="G785" s="4">
        <v>5</v>
      </c>
      <c r="H785" s="5">
        <v>2.0063636363636359</v>
      </c>
      <c r="I785" s="5">
        <v>2.0914871013676768</v>
      </c>
      <c r="J785" s="6">
        <v>0</v>
      </c>
      <c r="K785" s="5">
        <v>0</v>
      </c>
      <c r="L785" s="6">
        <v>158.2777078709141</v>
      </c>
      <c r="M785" s="5">
        <v>319.72096989924648</v>
      </c>
      <c r="N785" s="6">
        <v>0</v>
      </c>
      <c r="O785" s="5">
        <v>0</v>
      </c>
      <c r="P785" s="6">
        <v>59.354140451592791</v>
      </c>
      <c r="Q785" s="5">
        <v>116.9276566896378</v>
      </c>
      <c r="R785" s="6">
        <v>0</v>
      </c>
      <c r="S785" s="5">
        <v>0</v>
      </c>
      <c r="T785" s="6">
        <v>0</v>
      </c>
      <c r="U785" s="5">
        <v>0</v>
      </c>
      <c r="V785" s="6">
        <v>0</v>
      </c>
      <c r="W785" s="5">
        <v>0</v>
      </c>
      <c r="X785" s="6">
        <v>0</v>
      </c>
      <c r="Y785" s="5">
        <v>0</v>
      </c>
      <c r="Z785" s="6">
        <v>0</v>
      </c>
      <c r="AA785" s="5">
        <v>0</v>
      </c>
      <c r="AB785" s="6">
        <v>0</v>
      </c>
      <c r="AC785" s="5">
        <v>0</v>
      </c>
      <c r="AD785" s="6">
        <v>0</v>
      </c>
      <c r="AE785" s="5">
        <v>0</v>
      </c>
      <c r="AF785" s="6">
        <v>0</v>
      </c>
      <c r="AG785" s="5">
        <v>0</v>
      </c>
      <c r="AH785" s="7">
        <f t="shared" si="96"/>
        <v>217.6318483225069</v>
      </c>
      <c r="AI785" s="8">
        <f t="shared" si="97"/>
        <v>436.64862658888427</v>
      </c>
      <c r="AJ785" s="6">
        <v>0</v>
      </c>
      <c r="AK785" s="5">
        <v>0</v>
      </c>
      <c r="AL785" s="6">
        <v>175</v>
      </c>
      <c r="AM785" s="5">
        <v>368.48046034686678</v>
      </c>
      <c r="AN785" s="6">
        <v>0</v>
      </c>
      <c r="AO785" s="5">
        <v>0</v>
      </c>
      <c r="AP785" s="6">
        <v>65</v>
      </c>
      <c r="AQ785" s="5">
        <v>133.4764439813757</v>
      </c>
      <c r="AR785" s="6">
        <v>0</v>
      </c>
      <c r="AS785" s="5">
        <v>0</v>
      </c>
      <c r="AT785" s="6">
        <v>0</v>
      </c>
      <c r="AU785" s="5">
        <v>0</v>
      </c>
      <c r="AV785" s="6">
        <v>0</v>
      </c>
      <c r="AW785" s="5">
        <v>0</v>
      </c>
      <c r="AX785" s="6">
        <v>0</v>
      </c>
      <c r="AY785" s="5">
        <v>0</v>
      </c>
      <c r="AZ785" s="6">
        <v>0</v>
      </c>
      <c r="BA785" s="5">
        <v>0</v>
      </c>
      <c r="BB785" s="6">
        <v>0</v>
      </c>
      <c r="BC785" s="5">
        <v>0</v>
      </c>
      <c r="BD785" s="6">
        <v>0</v>
      </c>
      <c r="BE785" s="5">
        <v>0</v>
      </c>
      <c r="BF785" s="6">
        <v>0</v>
      </c>
      <c r="BG785" s="5">
        <v>0</v>
      </c>
      <c r="BH785" s="9">
        <f t="shared" si="98"/>
        <v>240</v>
      </c>
      <c r="BI785" s="10">
        <f t="shared" si="99"/>
        <v>501.95690432824244</v>
      </c>
      <c r="BJ785" s="6">
        <f t="shared" si="100"/>
        <v>22.368151677493103</v>
      </c>
      <c r="BK785" s="11">
        <f t="shared" si="101"/>
        <v>0.10277977166442072</v>
      </c>
      <c r="BL785" s="5">
        <f t="shared" si="102"/>
        <v>65.308277739358175</v>
      </c>
      <c r="BM785" s="11">
        <f t="shared" si="103"/>
        <v>0.14956712047750828</v>
      </c>
    </row>
    <row r="786" spans="1:65" ht="15" customHeight="1" x14ac:dyDescent="0.4">
      <c r="A786" s="2" t="s">
        <v>589</v>
      </c>
      <c r="B786" s="2" t="s">
        <v>66</v>
      </c>
      <c r="C786" s="2" t="s">
        <v>622</v>
      </c>
      <c r="D786" s="3" t="s">
        <v>68</v>
      </c>
      <c r="E786" s="3" t="s">
        <v>138</v>
      </c>
      <c r="F786" s="2" t="s">
        <v>139</v>
      </c>
      <c r="G786" s="4">
        <v>5</v>
      </c>
      <c r="H786" s="5">
        <v>2.87</v>
      </c>
      <c r="I786" s="5">
        <v>2.9916235394498099</v>
      </c>
      <c r="J786" s="6">
        <v>0</v>
      </c>
      <c r="K786" s="5">
        <v>0</v>
      </c>
      <c r="L786" s="6">
        <v>296.77070225796399</v>
      </c>
      <c r="M786" s="5">
        <v>851.73191548035663</v>
      </c>
      <c r="N786" s="6">
        <v>0</v>
      </c>
      <c r="O786" s="5">
        <v>0</v>
      </c>
      <c r="P786" s="6">
        <v>0</v>
      </c>
      <c r="Q786" s="5">
        <v>0</v>
      </c>
      <c r="R786" s="6">
        <v>0</v>
      </c>
      <c r="S786" s="5">
        <v>0</v>
      </c>
      <c r="T786" s="6">
        <v>0</v>
      </c>
      <c r="U786" s="5">
        <v>0</v>
      </c>
      <c r="V786" s="6">
        <v>0</v>
      </c>
      <c r="W786" s="5">
        <v>0</v>
      </c>
      <c r="X786" s="6">
        <v>0</v>
      </c>
      <c r="Y786" s="5">
        <v>0</v>
      </c>
      <c r="Z786" s="6">
        <v>0</v>
      </c>
      <c r="AA786" s="5">
        <v>0</v>
      </c>
      <c r="AB786" s="6">
        <v>0</v>
      </c>
      <c r="AC786" s="5">
        <v>0</v>
      </c>
      <c r="AD786" s="6">
        <v>0</v>
      </c>
      <c r="AE786" s="5">
        <v>0</v>
      </c>
      <c r="AF786" s="6">
        <v>0</v>
      </c>
      <c r="AG786" s="5">
        <v>0</v>
      </c>
      <c r="AH786" s="7">
        <f t="shared" si="96"/>
        <v>296.77070225796399</v>
      </c>
      <c r="AI786" s="8">
        <f t="shared" si="97"/>
        <v>851.73191548035663</v>
      </c>
      <c r="AJ786" s="6">
        <v>0</v>
      </c>
      <c r="AK786" s="5">
        <v>0</v>
      </c>
      <c r="AL786" s="6">
        <v>325</v>
      </c>
      <c r="AM786" s="5">
        <v>972.27765032118828</v>
      </c>
      <c r="AN786" s="6">
        <v>0</v>
      </c>
      <c r="AO786" s="5">
        <v>0</v>
      </c>
      <c r="AP786" s="6">
        <v>0</v>
      </c>
      <c r="AQ786" s="5">
        <v>0</v>
      </c>
      <c r="AR786" s="6">
        <v>0</v>
      </c>
      <c r="AS786" s="5">
        <v>0</v>
      </c>
      <c r="AT786" s="6">
        <v>0</v>
      </c>
      <c r="AU786" s="5">
        <v>0</v>
      </c>
      <c r="AV786" s="6">
        <v>0</v>
      </c>
      <c r="AW786" s="5">
        <v>0</v>
      </c>
      <c r="AX786" s="6">
        <v>0</v>
      </c>
      <c r="AY786" s="5">
        <v>0</v>
      </c>
      <c r="AZ786" s="6">
        <v>0</v>
      </c>
      <c r="BA786" s="5">
        <v>0</v>
      </c>
      <c r="BB786" s="6">
        <v>0</v>
      </c>
      <c r="BC786" s="5">
        <v>0</v>
      </c>
      <c r="BD786" s="6">
        <v>0</v>
      </c>
      <c r="BE786" s="5">
        <v>0</v>
      </c>
      <c r="BF786" s="6">
        <v>0</v>
      </c>
      <c r="BG786" s="5">
        <v>0</v>
      </c>
      <c r="BH786" s="9">
        <f t="shared" si="98"/>
        <v>325</v>
      </c>
      <c r="BI786" s="10">
        <f t="shared" si="99"/>
        <v>972.27765032118828</v>
      </c>
      <c r="BJ786" s="6">
        <f t="shared" si="100"/>
        <v>28.22929774203601</v>
      </c>
      <c r="BK786" s="11">
        <f t="shared" si="101"/>
        <v>9.5121578805639873E-2</v>
      </c>
      <c r="BL786" s="5">
        <f t="shared" si="102"/>
        <v>120.54573484083164</v>
      </c>
      <c r="BM786" s="11">
        <f t="shared" si="103"/>
        <v>0.14153013718271518</v>
      </c>
    </row>
    <row r="787" spans="1:65" ht="15" customHeight="1" x14ac:dyDescent="0.4">
      <c r="A787" s="2" t="s">
        <v>589</v>
      </c>
      <c r="B787" s="2" t="s">
        <v>66</v>
      </c>
      <c r="C787" s="2" t="s">
        <v>622</v>
      </c>
      <c r="D787" s="3" t="s">
        <v>68</v>
      </c>
      <c r="E787" s="3" t="s">
        <v>73</v>
      </c>
      <c r="F787" s="2" t="s">
        <v>74</v>
      </c>
      <c r="G787" s="4">
        <v>20</v>
      </c>
      <c r="H787" s="5">
        <v>2.58</v>
      </c>
      <c r="I787" s="5">
        <v>2.689334052885195</v>
      </c>
      <c r="J787" s="6">
        <v>0</v>
      </c>
      <c r="K787" s="5">
        <v>0</v>
      </c>
      <c r="L787" s="6">
        <v>0</v>
      </c>
      <c r="M787" s="5">
        <v>0</v>
      </c>
      <c r="N787" s="6">
        <v>0</v>
      </c>
      <c r="O787" s="5">
        <v>0</v>
      </c>
      <c r="P787" s="6">
        <v>98.92356741932133</v>
      </c>
      <c r="Q787" s="5">
        <v>255.22280394184901</v>
      </c>
      <c r="R787" s="6">
        <v>0</v>
      </c>
      <c r="S787" s="5">
        <v>0</v>
      </c>
      <c r="T787" s="6">
        <v>0</v>
      </c>
      <c r="U787" s="5">
        <v>0</v>
      </c>
      <c r="V787" s="6">
        <v>0</v>
      </c>
      <c r="W787" s="5">
        <v>0</v>
      </c>
      <c r="X787" s="6">
        <v>0</v>
      </c>
      <c r="Y787" s="5">
        <v>0</v>
      </c>
      <c r="Z787" s="6">
        <v>0</v>
      </c>
      <c r="AA787" s="5">
        <v>0</v>
      </c>
      <c r="AB787" s="6">
        <v>0</v>
      </c>
      <c r="AC787" s="5">
        <v>0</v>
      </c>
      <c r="AD787" s="6">
        <v>0</v>
      </c>
      <c r="AE787" s="5">
        <v>0</v>
      </c>
      <c r="AF787" s="6">
        <v>0</v>
      </c>
      <c r="AG787" s="5">
        <v>0</v>
      </c>
      <c r="AH787" s="7">
        <f t="shared" si="96"/>
        <v>98.92356741932133</v>
      </c>
      <c r="AI787" s="8">
        <f t="shared" si="97"/>
        <v>255.22280394184901</v>
      </c>
      <c r="AJ787" s="6">
        <v>0</v>
      </c>
      <c r="AK787" s="5">
        <v>0</v>
      </c>
      <c r="AL787" s="6">
        <v>0</v>
      </c>
      <c r="AM787" s="5">
        <v>0</v>
      </c>
      <c r="AN787" s="6">
        <v>0</v>
      </c>
      <c r="AO787" s="5">
        <v>0</v>
      </c>
      <c r="AP787" s="6">
        <v>100</v>
      </c>
      <c r="AQ787" s="5">
        <v>268.93340528851951</v>
      </c>
      <c r="AR787" s="6">
        <v>0</v>
      </c>
      <c r="AS787" s="5">
        <v>0</v>
      </c>
      <c r="AT787" s="6">
        <v>0</v>
      </c>
      <c r="AU787" s="5">
        <v>0</v>
      </c>
      <c r="AV787" s="6">
        <v>0</v>
      </c>
      <c r="AW787" s="5">
        <v>0</v>
      </c>
      <c r="AX787" s="6">
        <v>0</v>
      </c>
      <c r="AY787" s="5">
        <v>0</v>
      </c>
      <c r="AZ787" s="6">
        <v>0</v>
      </c>
      <c r="BA787" s="5">
        <v>0</v>
      </c>
      <c r="BB787" s="6">
        <v>0</v>
      </c>
      <c r="BC787" s="5">
        <v>0</v>
      </c>
      <c r="BD787" s="6">
        <v>0</v>
      </c>
      <c r="BE787" s="5">
        <v>0</v>
      </c>
      <c r="BF787" s="6">
        <v>0</v>
      </c>
      <c r="BG787" s="5">
        <v>0</v>
      </c>
      <c r="BH787" s="9">
        <f t="shared" si="98"/>
        <v>100</v>
      </c>
      <c r="BI787" s="10">
        <f t="shared" si="99"/>
        <v>268.93340528851951</v>
      </c>
      <c r="BJ787" s="6">
        <f t="shared" si="100"/>
        <v>1.0764325806786701</v>
      </c>
      <c r="BK787" s="11">
        <f t="shared" si="101"/>
        <v>1.0881457359052195E-2</v>
      </c>
      <c r="BL787" s="5">
        <f t="shared" si="102"/>
        <v>13.710601346670501</v>
      </c>
      <c r="BM787" s="11">
        <f t="shared" si="103"/>
        <v>5.3720126630198685E-2</v>
      </c>
    </row>
    <row r="788" spans="1:65" ht="15" customHeight="1" x14ac:dyDescent="0.4">
      <c r="A788" s="2" t="s">
        <v>589</v>
      </c>
      <c r="B788" s="2" t="s">
        <v>66</v>
      </c>
      <c r="C788" s="2" t="s">
        <v>622</v>
      </c>
      <c r="D788" s="3" t="s">
        <v>68</v>
      </c>
      <c r="E788" s="3" t="s">
        <v>120</v>
      </c>
      <c r="F788" s="2" t="s">
        <v>121</v>
      </c>
      <c r="G788" s="4">
        <v>5</v>
      </c>
      <c r="H788" s="5">
        <v>3.629999999999999</v>
      </c>
      <c r="I788" s="5">
        <v>3.784792664409272</v>
      </c>
      <c r="J788" s="6">
        <v>0</v>
      </c>
      <c r="K788" s="5">
        <v>0</v>
      </c>
      <c r="L788" s="6">
        <v>0</v>
      </c>
      <c r="M788" s="5">
        <v>0</v>
      </c>
      <c r="N788" s="6">
        <v>0</v>
      </c>
      <c r="O788" s="5">
        <v>0</v>
      </c>
      <c r="P788" s="6">
        <v>197.84713483864269</v>
      </c>
      <c r="Q788" s="5">
        <v>706.31427137395428</v>
      </c>
      <c r="R788" s="6">
        <v>98.92356741932133</v>
      </c>
      <c r="S788" s="5">
        <v>370.96337782245502</v>
      </c>
      <c r="T788" s="6">
        <v>0</v>
      </c>
      <c r="U788" s="5">
        <v>0</v>
      </c>
      <c r="V788" s="6">
        <v>0</v>
      </c>
      <c r="W788" s="5">
        <v>0</v>
      </c>
      <c r="X788" s="6">
        <v>0</v>
      </c>
      <c r="Y788" s="5">
        <v>0</v>
      </c>
      <c r="Z788" s="6">
        <v>0</v>
      </c>
      <c r="AA788" s="5">
        <v>0</v>
      </c>
      <c r="AB788" s="6">
        <v>0</v>
      </c>
      <c r="AC788" s="5">
        <v>0</v>
      </c>
      <c r="AD788" s="6">
        <v>0</v>
      </c>
      <c r="AE788" s="5">
        <v>0</v>
      </c>
      <c r="AF788" s="6">
        <v>0</v>
      </c>
      <c r="AG788" s="5">
        <v>0</v>
      </c>
      <c r="AH788" s="7">
        <f t="shared" si="96"/>
        <v>296.77070225796399</v>
      </c>
      <c r="AI788" s="8">
        <f t="shared" si="97"/>
        <v>1077.2776491964094</v>
      </c>
      <c r="AJ788" s="6">
        <v>0</v>
      </c>
      <c r="AK788" s="5">
        <v>0</v>
      </c>
      <c r="AL788" s="6">
        <v>0</v>
      </c>
      <c r="AM788" s="5">
        <v>0</v>
      </c>
      <c r="AN788" s="6">
        <v>0</v>
      </c>
      <c r="AO788" s="5">
        <v>0</v>
      </c>
      <c r="AP788" s="6">
        <v>215</v>
      </c>
      <c r="AQ788" s="5">
        <v>800.07688073334566</v>
      </c>
      <c r="AR788" s="6">
        <v>110</v>
      </c>
      <c r="AS788" s="5">
        <v>429.98073519966778</v>
      </c>
      <c r="AT788" s="6">
        <v>0</v>
      </c>
      <c r="AU788" s="5">
        <v>0</v>
      </c>
      <c r="AV788" s="6">
        <v>0</v>
      </c>
      <c r="AW788" s="5">
        <v>0</v>
      </c>
      <c r="AX788" s="6">
        <v>0</v>
      </c>
      <c r="AY788" s="5">
        <v>0</v>
      </c>
      <c r="AZ788" s="6">
        <v>0</v>
      </c>
      <c r="BA788" s="5">
        <v>0</v>
      </c>
      <c r="BB788" s="6">
        <v>0</v>
      </c>
      <c r="BC788" s="5">
        <v>0</v>
      </c>
      <c r="BD788" s="6">
        <v>0</v>
      </c>
      <c r="BE788" s="5">
        <v>0</v>
      </c>
      <c r="BF788" s="6">
        <v>0</v>
      </c>
      <c r="BG788" s="5">
        <v>0</v>
      </c>
      <c r="BH788" s="9">
        <f t="shared" si="98"/>
        <v>325</v>
      </c>
      <c r="BI788" s="10">
        <f t="shared" si="99"/>
        <v>1230.0576159330135</v>
      </c>
      <c r="BJ788" s="6">
        <f t="shared" si="100"/>
        <v>28.22929774203601</v>
      </c>
      <c r="BK788" s="11">
        <f t="shared" si="101"/>
        <v>9.5121578805639873E-2</v>
      </c>
      <c r="BL788" s="5">
        <f t="shared" si="102"/>
        <v>152.77996673660414</v>
      </c>
      <c r="BM788" s="11">
        <f t="shared" si="103"/>
        <v>0.14182041820933508</v>
      </c>
    </row>
    <row r="789" spans="1:65" ht="15" customHeight="1" x14ac:dyDescent="0.4">
      <c r="A789" s="2" t="s">
        <v>589</v>
      </c>
      <c r="B789" s="2" t="s">
        <v>66</v>
      </c>
      <c r="C789" s="2" t="s">
        <v>622</v>
      </c>
      <c r="D789" s="3" t="s">
        <v>68</v>
      </c>
      <c r="E789" s="3" t="s">
        <v>90</v>
      </c>
      <c r="F789" s="2" t="s">
        <v>91</v>
      </c>
      <c r="G789" s="4">
        <v>20</v>
      </c>
      <c r="H789" s="5">
        <v>3.49</v>
      </c>
      <c r="I789" s="5">
        <v>3.6378976141741588</v>
      </c>
      <c r="J789" s="6">
        <v>0</v>
      </c>
      <c r="K789" s="5">
        <v>0</v>
      </c>
      <c r="L789" s="6">
        <v>0</v>
      </c>
      <c r="M789" s="5">
        <v>0</v>
      </c>
      <c r="N789" s="6">
        <v>0</v>
      </c>
      <c r="O789" s="5">
        <v>0</v>
      </c>
      <c r="P789" s="6">
        <v>0</v>
      </c>
      <c r="Q789" s="5">
        <v>0</v>
      </c>
      <c r="R789" s="6">
        <v>98.92356741932133</v>
      </c>
      <c r="S789" s="5">
        <v>345.2432502934314</v>
      </c>
      <c r="T789" s="6">
        <v>0</v>
      </c>
      <c r="U789" s="5">
        <v>0</v>
      </c>
      <c r="V789" s="6">
        <v>0</v>
      </c>
      <c r="W789" s="5">
        <v>0</v>
      </c>
      <c r="X789" s="6">
        <v>791.38853935457064</v>
      </c>
      <c r="Y789" s="5">
        <v>2761.9460023474512</v>
      </c>
      <c r="Z789" s="6">
        <v>0</v>
      </c>
      <c r="AA789" s="5">
        <v>0</v>
      </c>
      <c r="AB789" s="6">
        <v>606.7175291509692</v>
      </c>
      <c r="AC789" s="5">
        <v>2117.444176736883</v>
      </c>
      <c r="AD789" s="6">
        <v>0</v>
      </c>
      <c r="AE789" s="5">
        <v>0</v>
      </c>
      <c r="AF789" s="6">
        <v>0</v>
      </c>
      <c r="AG789" s="5">
        <v>0</v>
      </c>
      <c r="AH789" s="7">
        <f t="shared" si="96"/>
        <v>1497.0296359248612</v>
      </c>
      <c r="AI789" s="8">
        <f t="shared" si="97"/>
        <v>5224.6334293777654</v>
      </c>
      <c r="AJ789" s="6">
        <v>0</v>
      </c>
      <c r="AK789" s="5">
        <v>0</v>
      </c>
      <c r="AL789" s="6">
        <v>0</v>
      </c>
      <c r="AM789" s="5">
        <v>0</v>
      </c>
      <c r="AN789" s="6">
        <v>0</v>
      </c>
      <c r="AO789" s="5">
        <v>0</v>
      </c>
      <c r="AP789" s="6">
        <v>0</v>
      </c>
      <c r="AQ789" s="5">
        <v>0</v>
      </c>
      <c r="AR789" s="6">
        <v>100</v>
      </c>
      <c r="AS789" s="5">
        <v>363.78976141741589</v>
      </c>
      <c r="AT789" s="6">
        <v>0</v>
      </c>
      <c r="AU789" s="5">
        <v>0</v>
      </c>
      <c r="AV789" s="6">
        <v>0</v>
      </c>
      <c r="AW789" s="5">
        <v>0</v>
      </c>
      <c r="AX789" s="6">
        <v>860</v>
      </c>
      <c r="AY789" s="5">
        <v>3128.5919481897772</v>
      </c>
      <c r="AZ789" s="6">
        <v>0</v>
      </c>
      <c r="BA789" s="5">
        <v>0</v>
      </c>
      <c r="BB789" s="6">
        <v>660</v>
      </c>
      <c r="BC789" s="5">
        <v>2401.0124253549452</v>
      </c>
      <c r="BD789" s="6">
        <v>0</v>
      </c>
      <c r="BE789" s="5">
        <v>0</v>
      </c>
      <c r="BF789" s="6">
        <v>0</v>
      </c>
      <c r="BG789" s="5">
        <v>0</v>
      </c>
      <c r="BH789" s="9">
        <f t="shared" si="98"/>
        <v>1620</v>
      </c>
      <c r="BI789" s="10">
        <f t="shared" si="99"/>
        <v>5893.3941349621382</v>
      </c>
      <c r="BJ789" s="6">
        <f t="shared" si="100"/>
        <v>122.97036407513883</v>
      </c>
      <c r="BK789" s="11">
        <f t="shared" si="101"/>
        <v>8.2142905607321556E-2</v>
      </c>
      <c r="BL789" s="5">
        <f t="shared" si="102"/>
        <v>668.76070558437277</v>
      </c>
      <c r="BM789" s="11">
        <f t="shared" si="103"/>
        <v>0.12800145974337182</v>
      </c>
    </row>
    <row r="790" spans="1:65" ht="15" customHeight="1" x14ac:dyDescent="0.4">
      <c r="A790" s="2" t="s">
        <v>589</v>
      </c>
      <c r="B790" s="2" t="s">
        <v>66</v>
      </c>
      <c r="C790" s="2" t="s">
        <v>622</v>
      </c>
      <c r="D790" s="3" t="s">
        <v>68</v>
      </c>
      <c r="E790" s="3" t="s">
        <v>631</v>
      </c>
      <c r="F790" s="2" t="s">
        <v>632</v>
      </c>
      <c r="G790" s="4">
        <v>1000</v>
      </c>
      <c r="H790" s="5">
        <v>3.06</v>
      </c>
      <c r="I790" s="5">
        <v>3.1896752720266268</v>
      </c>
      <c r="J790" s="6">
        <v>0</v>
      </c>
      <c r="K790" s="5">
        <v>0</v>
      </c>
      <c r="L790" s="6">
        <v>989.23567419321319</v>
      </c>
      <c r="M790" s="5">
        <v>3027.0611630312319</v>
      </c>
      <c r="N790" s="6">
        <v>0</v>
      </c>
      <c r="O790" s="5">
        <v>0</v>
      </c>
      <c r="P790" s="6">
        <v>0</v>
      </c>
      <c r="Q790" s="5">
        <v>0</v>
      </c>
      <c r="R790" s="6">
        <v>0</v>
      </c>
      <c r="S790" s="5">
        <v>0</v>
      </c>
      <c r="T790" s="6">
        <v>0</v>
      </c>
      <c r="U790" s="5">
        <v>0</v>
      </c>
      <c r="V790" s="6">
        <v>0</v>
      </c>
      <c r="W790" s="5">
        <v>0</v>
      </c>
      <c r="X790" s="6">
        <v>0</v>
      </c>
      <c r="Y790" s="5">
        <v>0</v>
      </c>
      <c r="Z790" s="6">
        <v>0</v>
      </c>
      <c r="AA790" s="5">
        <v>0</v>
      </c>
      <c r="AB790" s="6">
        <v>0</v>
      </c>
      <c r="AC790" s="5">
        <v>0</v>
      </c>
      <c r="AD790" s="6">
        <v>0</v>
      </c>
      <c r="AE790" s="5">
        <v>0</v>
      </c>
      <c r="AF790" s="6">
        <v>0</v>
      </c>
      <c r="AG790" s="5">
        <v>0</v>
      </c>
      <c r="AH790" s="7">
        <f t="shared" si="96"/>
        <v>989.23567419321319</v>
      </c>
      <c r="AI790" s="8">
        <f t="shared" si="97"/>
        <v>3027.0611630312319</v>
      </c>
      <c r="AJ790" s="6">
        <v>0</v>
      </c>
      <c r="AK790" s="5">
        <v>0</v>
      </c>
      <c r="AL790" s="6">
        <v>1000</v>
      </c>
      <c r="AM790" s="5">
        <v>3189.6752720266272</v>
      </c>
      <c r="AN790" s="6">
        <v>0</v>
      </c>
      <c r="AO790" s="5">
        <v>0</v>
      </c>
      <c r="AP790" s="6">
        <v>0</v>
      </c>
      <c r="AQ790" s="5">
        <v>0</v>
      </c>
      <c r="AR790" s="6">
        <v>0</v>
      </c>
      <c r="AS790" s="5">
        <v>0</v>
      </c>
      <c r="AT790" s="6">
        <v>0</v>
      </c>
      <c r="AU790" s="5">
        <v>0</v>
      </c>
      <c r="AV790" s="6">
        <v>0</v>
      </c>
      <c r="AW790" s="5">
        <v>0</v>
      </c>
      <c r="AX790" s="6">
        <v>0</v>
      </c>
      <c r="AY790" s="5">
        <v>0</v>
      </c>
      <c r="AZ790" s="6">
        <v>0</v>
      </c>
      <c r="BA790" s="5">
        <v>0</v>
      </c>
      <c r="BB790" s="6">
        <v>0</v>
      </c>
      <c r="BC790" s="5">
        <v>0</v>
      </c>
      <c r="BD790" s="6">
        <v>0</v>
      </c>
      <c r="BE790" s="5">
        <v>0</v>
      </c>
      <c r="BF790" s="6">
        <v>0</v>
      </c>
      <c r="BG790" s="5">
        <v>0</v>
      </c>
      <c r="BH790" s="9">
        <f t="shared" si="98"/>
        <v>1000</v>
      </c>
      <c r="BI790" s="10">
        <f t="shared" si="99"/>
        <v>3189.6752720266272</v>
      </c>
      <c r="BJ790" s="6">
        <f t="shared" si="100"/>
        <v>10.764325806786815</v>
      </c>
      <c r="BK790" s="11">
        <f t="shared" si="101"/>
        <v>1.0881457359052311E-2</v>
      </c>
      <c r="BL790" s="5">
        <f t="shared" si="102"/>
        <v>162.61410899539533</v>
      </c>
      <c r="BM790" s="11">
        <f t="shared" si="103"/>
        <v>5.3720126630199032E-2</v>
      </c>
    </row>
    <row r="791" spans="1:65" ht="15" customHeight="1" x14ac:dyDescent="0.4">
      <c r="A791" s="2" t="s">
        <v>589</v>
      </c>
      <c r="B791" s="2" t="s">
        <v>66</v>
      </c>
      <c r="C791" s="2" t="s">
        <v>622</v>
      </c>
      <c r="D791" s="3" t="s">
        <v>68</v>
      </c>
      <c r="E791" s="3" t="s">
        <v>122</v>
      </c>
      <c r="F791" s="2" t="s">
        <v>123</v>
      </c>
      <c r="G791" s="4">
        <v>5</v>
      </c>
      <c r="H791" s="5">
        <v>3.93</v>
      </c>
      <c r="I791" s="5">
        <v>4.0965437317204714</v>
      </c>
      <c r="J791" s="6">
        <v>0</v>
      </c>
      <c r="K791" s="5">
        <v>0</v>
      </c>
      <c r="L791" s="6">
        <v>39.569426967728532</v>
      </c>
      <c r="M791" s="5">
        <v>155.50784798317309</v>
      </c>
      <c r="N791" s="6">
        <v>0</v>
      </c>
      <c r="O791" s="5">
        <v>0</v>
      </c>
      <c r="P791" s="6">
        <v>0</v>
      </c>
      <c r="Q791" s="5">
        <v>0</v>
      </c>
      <c r="R791" s="6">
        <v>0</v>
      </c>
      <c r="S791" s="5">
        <v>0</v>
      </c>
      <c r="T791" s="6">
        <v>0</v>
      </c>
      <c r="U791" s="5">
        <v>0</v>
      </c>
      <c r="V791" s="6">
        <v>0</v>
      </c>
      <c r="W791" s="5">
        <v>0</v>
      </c>
      <c r="X791" s="6">
        <v>0</v>
      </c>
      <c r="Y791" s="5">
        <v>0</v>
      </c>
      <c r="Z791" s="6">
        <v>0</v>
      </c>
      <c r="AA791" s="5">
        <v>0</v>
      </c>
      <c r="AB791" s="6">
        <v>0</v>
      </c>
      <c r="AC791" s="5">
        <v>0</v>
      </c>
      <c r="AD791" s="6">
        <v>0</v>
      </c>
      <c r="AE791" s="5">
        <v>0</v>
      </c>
      <c r="AF791" s="6">
        <v>0</v>
      </c>
      <c r="AG791" s="5">
        <v>0</v>
      </c>
      <c r="AH791" s="7">
        <f t="shared" si="96"/>
        <v>39.569426967728532</v>
      </c>
      <c r="AI791" s="8">
        <f t="shared" si="97"/>
        <v>155.50784798317309</v>
      </c>
      <c r="AJ791" s="6">
        <v>0</v>
      </c>
      <c r="AK791" s="5">
        <v>0</v>
      </c>
      <c r="AL791" s="6">
        <v>50</v>
      </c>
      <c r="AM791" s="5">
        <v>204.8271865860236</v>
      </c>
      <c r="AN791" s="6">
        <v>0</v>
      </c>
      <c r="AO791" s="5">
        <v>0</v>
      </c>
      <c r="AP791" s="6">
        <v>0</v>
      </c>
      <c r="AQ791" s="5">
        <v>0</v>
      </c>
      <c r="AR791" s="6">
        <v>0</v>
      </c>
      <c r="AS791" s="5">
        <v>0</v>
      </c>
      <c r="AT791" s="6">
        <v>0</v>
      </c>
      <c r="AU791" s="5">
        <v>0</v>
      </c>
      <c r="AV791" s="6">
        <v>0</v>
      </c>
      <c r="AW791" s="5">
        <v>0</v>
      </c>
      <c r="AX791" s="6">
        <v>0</v>
      </c>
      <c r="AY791" s="5">
        <v>0</v>
      </c>
      <c r="AZ791" s="6">
        <v>0</v>
      </c>
      <c r="BA791" s="5">
        <v>0</v>
      </c>
      <c r="BB791" s="6">
        <v>0</v>
      </c>
      <c r="BC791" s="5">
        <v>0</v>
      </c>
      <c r="BD791" s="6">
        <v>0</v>
      </c>
      <c r="BE791" s="5">
        <v>0</v>
      </c>
      <c r="BF791" s="6">
        <v>0</v>
      </c>
      <c r="BG791" s="5">
        <v>0</v>
      </c>
      <c r="BH791" s="9">
        <f t="shared" si="98"/>
        <v>50</v>
      </c>
      <c r="BI791" s="10">
        <f t="shared" si="99"/>
        <v>204.8271865860236</v>
      </c>
      <c r="BJ791" s="6">
        <f t="shared" si="100"/>
        <v>10.430573032271468</v>
      </c>
      <c r="BK791" s="11">
        <f t="shared" si="101"/>
        <v>0.26360182169881524</v>
      </c>
      <c r="BL791" s="5">
        <f t="shared" si="102"/>
        <v>49.319338602850507</v>
      </c>
      <c r="BM791" s="11">
        <f t="shared" si="103"/>
        <v>0.31715015828774867</v>
      </c>
    </row>
    <row r="792" spans="1:65" ht="15" customHeight="1" x14ac:dyDescent="0.4">
      <c r="A792" s="2" t="s">
        <v>589</v>
      </c>
      <c r="B792" s="2" t="s">
        <v>66</v>
      </c>
      <c r="C792" s="2" t="s">
        <v>622</v>
      </c>
      <c r="D792" s="3" t="s">
        <v>68</v>
      </c>
      <c r="E792" s="3" t="s">
        <v>143</v>
      </c>
      <c r="F792" s="2" t="s">
        <v>144</v>
      </c>
      <c r="G792" s="4">
        <v>1</v>
      </c>
      <c r="H792" s="5">
        <v>7.77</v>
      </c>
      <c r="I792" s="5">
        <v>8.0992734848519277</v>
      </c>
      <c r="J792" s="6">
        <v>0</v>
      </c>
      <c r="K792" s="5">
        <v>0</v>
      </c>
      <c r="L792" s="6">
        <v>0</v>
      </c>
      <c r="M792" s="5">
        <v>0</v>
      </c>
      <c r="N792" s="6">
        <v>0</v>
      </c>
      <c r="O792" s="5">
        <v>0</v>
      </c>
      <c r="P792" s="6">
        <v>0</v>
      </c>
      <c r="Q792" s="5">
        <v>0</v>
      </c>
      <c r="R792" s="6">
        <v>59.354140451592791</v>
      </c>
      <c r="S792" s="5">
        <v>461.18167130887599</v>
      </c>
      <c r="T792" s="6">
        <v>0</v>
      </c>
      <c r="U792" s="5">
        <v>0</v>
      </c>
      <c r="V792" s="6">
        <v>0</v>
      </c>
      <c r="W792" s="5">
        <v>0</v>
      </c>
      <c r="X792" s="6">
        <v>0</v>
      </c>
      <c r="Y792" s="5">
        <v>0</v>
      </c>
      <c r="Z792" s="6">
        <v>0</v>
      </c>
      <c r="AA792" s="5">
        <v>0</v>
      </c>
      <c r="AB792" s="6">
        <v>0</v>
      </c>
      <c r="AC792" s="5">
        <v>0</v>
      </c>
      <c r="AD792" s="6">
        <v>0</v>
      </c>
      <c r="AE792" s="5">
        <v>0</v>
      </c>
      <c r="AF792" s="6">
        <v>0</v>
      </c>
      <c r="AG792" s="5">
        <v>0</v>
      </c>
      <c r="AH792" s="7">
        <f t="shared" si="96"/>
        <v>59.354140451592791</v>
      </c>
      <c r="AI792" s="8">
        <f t="shared" si="97"/>
        <v>461.18167130887599</v>
      </c>
      <c r="AJ792" s="6">
        <v>0</v>
      </c>
      <c r="AK792" s="5">
        <v>0</v>
      </c>
      <c r="AL792" s="6">
        <v>0</v>
      </c>
      <c r="AM792" s="5">
        <v>0</v>
      </c>
      <c r="AN792" s="6">
        <v>0</v>
      </c>
      <c r="AO792" s="5">
        <v>0</v>
      </c>
      <c r="AP792" s="6">
        <v>0</v>
      </c>
      <c r="AQ792" s="5">
        <v>0</v>
      </c>
      <c r="AR792" s="6">
        <v>72</v>
      </c>
      <c r="AS792" s="5">
        <v>583.14769090933873</v>
      </c>
      <c r="AT792" s="6">
        <v>0</v>
      </c>
      <c r="AU792" s="5">
        <v>0</v>
      </c>
      <c r="AV792" s="6">
        <v>0</v>
      </c>
      <c r="AW792" s="5">
        <v>0</v>
      </c>
      <c r="AX792" s="6">
        <v>0</v>
      </c>
      <c r="AY792" s="5">
        <v>0</v>
      </c>
      <c r="AZ792" s="6">
        <v>0</v>
      </c>
      <c r="BA792" s="5">
        <v>0</v>
      </c>
      <c r="BB792" s="6">
        <v>0</v>
      </c>
      <c r="BC792" s="5">
        <v>0</v>
      </c>
      <c r="BD792" s="6">
        <v>0</v>
      </c>
      <c r="BE792" s="5">
        <v>0</v>
      </c>
      <c r="BF792" s="6">
        <v>0</v>
      </c>
      <c r="BG792" s="5">
        <v>0</v>
      </c>
      <c r="BH792" s="9">
        <f t="shared" si="98"/>
        <v>72</v>
      </c>
      <c r="BI792" s="10">
        <f t="shared" si="99"/>
        <v>583.14769090933873</v>
      </c>
      <c r="BJ792" s="6">
        <f t="shared" si="100"/>
        <v>12.645859548407209</v>
      </c>
      <c r="BK792" s="11">
        <f t="shared" si="101"/>
        <v>0.21305774883086279</v>
      </c>
      <c r="BL792" s="5">
        <f t="shared" si="102"/>
        <v>121.96601960046274</v>
      </c>
      <c r="BM792" s="11">
        <f t="shared" si="103"/>
        <v>0.26446415195623879</v>
      </c>
    </row>
    <row r="793" spans="1:65" ht="15" customHeight="1" x14ac:dyDescent="0.4">
      <c r="A793" s="2" t="s">
        <v>589</v>
      </c>
      <c r="B793" s="2" t="s">
        <v>66</v>
      </c>
      <c r="C793" s="2" t="s">
        <v>622</v>
      </c>
      <c r="D793" s="3" t="s">
        <v>68</v>
      </c>
      <c r="E793" s="3" t="s">
        <v>201</v>
      </c>
      <c r="F793" s="2" t="s">
        <v>202</v>
      </c>
      <c r="G793" s="4">
        <v>5</v>
      </c>
      <c r="H793" s="5">
        <v>4.0799999999999992</v>
      </c>
      <c r="I793" s="5">
        <v>4.2529003627021682</v>
      </c>
      <c r="J793" s="6">
        <v>0</v>
      </c>
      <c r="K793" s="5">
        <v>0</v>
      </c>
      <c r="L793" s="6">
        <v>395.69426967728532</v>
      </c>
      <c r="M793" s="5">
        <v>1614.432620283324</v>
      </c>
      <c r="N793" s="6">
        <v>296.77070225796399</v>
      </c>
      <c r="O793" s="5">
        <v>1210.8244652124929</v>
      </c>
      <c r="P793" s="6">
        <v>0</v>
      </c>
      <c r="Q793" s="5">
        <v>0</v>
      </c>
      <c r="R793" s="6">
        <v>0</v>
      </c>
      <c r="S793" s="5">
        <v>0</v>
      </c>
      <c r="T793" s="6">
        <v>0</v>
      </c>
      <c r="U793" s="5">
        <v>0</v>
      </c>
      <c r="V793" s="6">
        <v>0</v>
      </c>
      <c r="W793" s="5">
        <v>0</v>
      </c>
      <c r="X793" s="6">
        <v>0</v>
      </c>
      <c r="Y793" s="5">
        <v>0</v>
      </c>
      <c r="Z793" s="6">
        <v>189.59922785967791</v>
      </c>
      <c r="AA793" s="5">
        <v>773.56484966748565</v>
      </c>
      <c r="AB793" s="6">
        <v>0</v>
      </c>
      <c r="AC793" s="5">
        <v>0</v>
      </c>
      <c r="AD793" s="6">
        <v>0</v>
      </c>
      <c r="AE793" s="5">
        <v>0</v>
      </c>
      <c r="AF793" s="6">
        <v>0</v>
      </c>
      <c r="AG793" s="5">
        <v>0</v>
      </c>
      <c r="AH793" s="7">
        <f t="shared" si="96"/>
        <v>882.06419979492716</v>
      </c>
      <c r="AI793" s="8">
        <f t="shared" si="97"/>
        <v>3598.8219351633024</v>
      </c>
      <c r="AJ793" s="6">
        <v>0</v>
      </c>
      <c r="AK793" s="5">
        <v>0</v>
      </c>
      <c r="AL793" s="6">
        <v>425</v>
      </c>
      <c r="AM793" s="5">
        <v>1807.4826541484219</v>
      </c>
      <c r="AN793" s="6">
        <v>320</v>
      </c>
      <c r="AO793" s="5">
        <v>1360.928116064694</v>
      </c>
      <c r="AP793" s="6">
        <v>0</v>
      </c>
      <c r="AQ793" s="5">
        <v>0</v>
      </c>
      <c r="AR793" s="6">
        <v>0</v>
      </c>
      <c r="AS793" s="5">
        <v>0</v>
      </c>
      <c r="AT793" s="6">
        <v>0</v>
      </c>
      <c r="AU793" s="5">
        <v>0</v>
      </c>
      <c r="AV793" s="6">
        <v>0</v>
      </c>
      <c r="AW793" s="5">
        <v>0</v>
      </c>
      <c r="AX793" s="6">
        <v>0</v>
      </c>
      <c r="AY793" s="5">
        <v>0</v>
      </c>
      <c r="AZ793" s="6">
        <v>205</v>
      </c>
      <c r="BA793" s="5">
        <v>871.84457435394461</v>
      </c>
      <c r="BB793" s="6">
        <v>0</v>
      </c>
      <c r="BC793" s="5">
        <v>0</v>
      </c>
      <c r="BD793" s="6">
        <v>0</v>
      </c>
      <c r="BE793" s="5">
        <v>0</v>
      </c>
      <c r="BF793" s="6">
        <v>0</v>
      </c>
      <c r="BG793" s="5">
        <v>0</v>
      </c>
      <c r="BH793" s="9">
        <f t="shared" si="98"/>
        <v>950</v>
      </c>
      <c r="BI793" s="10">
        <f t="shared" si="99"/>
        <v>4040.2553445670605</v>
      </c>
      <c r="BJ793" s="6">
        <f t="shared" si="100"/>
        <v>67.935800205072837</v>
      </c>
      <c r="BK793" s="11">
        <f t="shared" si="101"/>
        <v>7.701911065075237E-2</v>
      </c>
      <c r="BL793" s="5">
        <f t="shared" si="102"/>
        <v>441.43340940375811</v>
      </c>
      <c r="BM793" s="11">
        <f t="shared" si="103"/>
        <v>0.1226605309617041</v>
      </c>
    </row>
    <row r="794" spans="1:65" ht="15" customHeight="1" x14ac:dyDescent="0.4">
      <c r="A794" s="2" t="s">
        <v>589</v>
      </c>
      <c r="B794" s="2" t="s">
        <v>66</v>
      </c>
      <c r="C794" s="2" t="s">
        <v>622</v>
      </c>
      <c r="D794" s="3" t="s">
        <v>68</v>
      </c>
      <c r="E794" s="3" t="s">
        <v>92</v>
      </c>
      <c r="F794" s="2" t="s">
        <v>93</v>
      </c>
      <c r="G794" s="4">
        <v>20</v>
      </c>
      <c r="H794" s="5">
        <v>3.8299999999999992</v>
      </c>
      <c r="I794" s="5">
        <v>3.992305977732673</v>
      </c>
      <c r="J794" s="6">
        <v>0</v>
      </c>
      <c r="K794" s="5">
        <v>0</v>
      </c>
      <c r="L794" s="6">
        <v>534.18726406433518</v>
      </c>
      <c r="M794" s="5">
        <v>2045.937221366403</v>
      </c>
      <c r="N794" s="6">
        <v>0</v>
      </c>
      <c r="O794" s="5">
        <v>0</v>
      </c>
      <c r="P794" s="6">
        <v>0</v>
      </c>
      <c r="Q794" s="5">
        <v>0</v>
      </c>
      <c r="R794" s="6">
        <v>0</v>
      </c>
      <c r="S794" s="5">
        <v>0</v>
      </c>
      <c r="T794" s="6">
        <v>0</v>
      </c>
      <c r="U794" s="5">
        <v>0</v>
      </c>
      <c r="V794" s="6">
        <v>0</v>
      </c>
      <c r="W794" s="5">
        <v>0</v>
      </c>
      <c r="X794" s="6">
        <v>0</v>
      </c>
      <c r="Y794" s="5">
        <v>0</v>
      </c>
      <c r="Z794" s="6">
        <v>606.7175291509692</v>
      </c>
      <c r="AA794" s="5">
        <v>2323.7281366482121</v>
      </c>
      <c r="AB794" s="6">
        <v>0</v>
      </c>
      <c r="AC794" s="5">
        <v>0</v>
      </c>
      <c r="AD794" s="6">
        <v>0</v>
      </c>
      <c r="AE794" s="5">
        <v>0</v>
      </c>
      <c r="AF794" s="6">
        <v>0</v>
      </c>
      <c r="AG794" s="5">
        <v>0</v>
      </c>
      <c r="AH794" s="7">
        <f t="shared" si="96"/>
        <v>1140.9047932153044</v>
      </c>
      <c r="AI794" s="8">
        <f t="shared" si="97"/>
        <v>4369.6653580146149</v>
      </c>
      <c r="AJ794" s="6">
        <v>0</v>
      </c>
      <c r="AK794" s="5">
        <v>0</v>
      </c>
      <c r="AL794" s="6">
        <v>580</v>
      </c>
      <c r="AM794" s="5">
        <v>2315.5374670849501</v>
      </c>
      <c r="AN794" s="6">
        <v>0</v>
      </c>
      <c r="AO794" s="5">
        <v>0</v>
      </c>
      <c r="AP794" s="6">
        <v>0</v>
      </c>
      <c r="AQ794" s="5">
        <v>0</v>
      </c>
      <c r="AR794" s="6">
        <v>0</v>
      </c>
      <c r="AS794" s="5">
        <v>0</v>
      </c>
      <c r="AT794" s="6">
        <v>0</v>
      </c>
      <c r="AU794" s="5">
        <v>0</v>
      </c>
      <c r="AV794" s="6">
        <v>0</v>
      </c>
      <c r="AW794" s="5">
        <v>0</v>
      </c>
      <c r="AX794" s="6">
        <v>0</v>
      </c>
      <c r="AY794" s="5">
        <v>0</v>
      </c>
      <c r="AZ794" s="6">
        <v>640</v>
      </c>
      <c r="BA794" s="5">
        <v>2555.075825748911</v>
      </c>
      <c r="BB794" s="6">
        <v>0</v>
      </c>
      <c r="BC794" s="5">
        <v>0</v>
      </c>
      <c r="BD794" s="6">
        <v>0</v>
      </c>
      <c r="BE794" s="5">
        <v>0</v>
      </c>
      <c r="BF794" s="6">
        <v>0</v>
      </c>
      <c r="BG794" s="5">
        <v>0</v>
      </c>
      <c r="BH794" s="9">
        <f t="shared" si="98"/>
        <v>1220</v>
      </c>
      <c r="BI794" s="10">
        <f t="shared" si="99"/>
        <v>4870.6132928338611</v>
      </c>
      <c r="BJ794" s="6">
        <f t="shared" si="100"/>
        <v>79.09520678469562</v>
      </c>
      <c r="BK794" s="11">
        <f t="shared" si="101"/>
        <v>6.9326737213355957E-2</v>
      </c>
      <c r="BL794" s="5">
        <f t="shared" si="102"/>
        <v>500.94793481924626</v>
      </c>
      <c r="BM794" s="11">
        <f t="shared" si="103"/>
        <v>0.11464217366220811</v>
      </c>
    </row>
    <row r="795" spans="1:65" ht="15" customHeight="1" x14ac:dyDescent="0.4">
      <c r="A795" s="2" t="s">
        <v>589</v>
      </c>
      <c r="B795" s="2" t="s">
        <v>66</v>
      </c>
      <c r="C795" s="2" t="s">
        <v>622</v>
      </c>
      <c r="D795" s="3" t="s">
        <v>68</v>
      </c>
      <c r="E795" s="3" t="s">
        <v>563</v>
      </c>
      <c r="F795" s="2" t="s">
        <v>564</v>
      </c>
      <c r="G795" s="4">
        <v>5</v>
      </c>
      <c r="H795" s="5">
        <v>7</v>
      </c>
      <c r="I795" s="5">
        <v>7.2966427791458779</v>
      </c>
      <c r="J795" s="6">
        <v>0</v>
      </c>
      <c r="K795" s="5">
        <v>0</v>
      </c>
      <c r="L795" s="6">
        <v>98.92356741932133</v>
      </c>
      <c r="M795" s="5">
        <v>692.46497193524931</v>
      </c>
      <c r="N795" s="6">
        <v>0</v>
      </c>
      <c r="O795" s="5">
        <v>0</v>
      </c>
      <c r="P795" s="6">
        <v>0</v>
      </c>
      <c r="Q795" s="5">
        <v>0</v>
      </c>
      <c r="R795" s="6">
        <v>0</v>
      </c>
      <c r="S795" s="5">
        <v>0</v>
      </c>
      <c r="T795" s="6">
        <v>0</v>
      </c>
      <c r="U795" s="5">
        <v>0</v>
      </c>
      <c r="V795" s="6">
        <v>0</v>
      </c>
      <c r="W795" s="5">
        <v>0</v>
      </c>
      <c r="X795" s="6">
        <v>0</v>
      </c>
      <c r="Y795" s="5">
        <v>0</v>
      </c>
      <c r="Z795" s="6">
        <v>0</v>
      </c>
      <c r="AA795" s="5">
        <v>0</v>
      </c>
      <c r="AB795" s="6">
        <v>0</v>
      </c>
      <c r="AC795" s="5">
        <v>0</v>
      </c>
      <c r="AD795" s="6">
        <v>0</v>
      </c>
      <c r="AE795" s="5">
        <v>0</v>
      </c>
      <c r="AF795" s="6">
        <v>0</v>
      </c>
      <c r="AG795" s="5">
        <v>0</v>
      </c>
      <c r="AH795" s="7">
        <f t="shared" si="96"/>
        <v>98.92356741932133</v>
      </c>
      <c r="AI795" s="8">
        <f t="shared" si="97"/>
        <v>692.46497193524931</v>
      </c>
      <c r="AJ795" s="6">
        <v>0</v>
      </c>
      <c r="AK795" s="5">
        <v>0</v>
      </c>
      <c r="AL795" s="6">
        <v>105</v>
      </c>
      <c r="AM795" s="5">
        <v>766.14749181031721</v>
      </c>
      <c r="AN795" s="6">
        <v>0</v>
      </c>
      <c r="AO795" s="5">
        <v>0</v>
      </c>
      <c r="AP795" s="6">
        <v>0</v>
      </c>
      <c r="AQ795" s="5">
        <v>0</v>
      </c>
      <c r="AR795" s="6">
        <v>0</v>
      </c>
      <c r="AS795" s="5">
        <v>0</v>
      </c>
      <c r="AT795" s="6">
        <v>0</v>
      </c>
      <c r="AU795" s="5">
        <v>0</v>
      </c>
      <c r="AV795" s="6">
        <v>0</v>
      </c>
      <c r="AW795" s="5">
        <v>0</v>
      </c>
      <c r="AX795" s="6">
        <v>0</v>
      </c>
      <c r="AY795" s="5">
        <v>0</v>
      </c>
      <c r="AZ795" s="6">
        <v>0</v>
      </c>
      <c r="BA795" s="5">
        <v>0</v>
      </c>
      <c r="BB795" s="6">
        <v>0</v>
      </c>
      <c r="BC795" s="5">
        <v>0</v>
      </c>
      <c r="BD795" s="6">
        <v>0</v>
      </c>
      <c r="BE795" s="5">
        <v>0</v>
      </c>
      <c r="BF795" s="6">
        <v>0</v>
      </c>
      <c r="BG795" s="5">
        <v>0</v>
      </c>
      <c r="BH795" s="9">
        <f t="shared" si="98"/>
        <v>105</v>
      </c>
      <c r="BI795" s="10">
        <f t="shared" si="99"/>
        <v>766.14749181031721</v>
      </c>
      <c r="BJ795" s="6">
        <f t="shared" si="100"/>
        <v>6.0764325806786701</v>
      </c>
      <c r="BK795" s="11">
        <f t="shared" si="101"/>
        <v>6.1425530227004803E-2</v>
      </c>
      <c r="BL795" s="5">
        <f t="shared" si="102"/>
        <v>73.682519875067896</v>
      </c>
      <c r="BM795" s="11">
        <f t="shared" si="103"/>
        <v>0.10640613296170852</v>
      </c>
    </row>
    <row r="796" spans="1:65" ht="15" customHeight="1" x14ac:dyDescent="0.4">
      <c r="A796" s="2" t="s">
        <v>589</v>
      </c>
      <c r="B796" s="2" t="s">
        <v>66</v>
      </c>
      <c r="C796" s="2" t="s">
        <v>622</v>
      </c>
      <c r="D796" s="3" t="s">
        <v>68</v>
      </c>
      <c r="E796" s="3" t="s">
        <v>324</v>
      </c>
      <c r="F796" s="2" t="s">
        <v>325</v>
      </c>
      <c r="G796" s="4">
        <v>20</v>
      </c>
      <c r="H796" s="5">
        <v>6.74</v>
      </c>
      <c r="I796" s="5">
        <v>7.0256246187776021</v>
      </c>
      <c r="J796" s="6">
        <v>0</v>
      </c>
      <c r="K796" s="5">
        <v>0</v>
      </c>
      <c r="L796" s="6">
        <v>395.69426967728532</v>
      </c>
      <c r="M796" s="5">
        <v>2666.979377624903</v>
      </c>
      <c r="N796" s="6">
        <v>0</v>
      </c>
      <c r="O796" s="5">
        <v>0</v>
      </c>
      <c r="P796" s="6">
        <v>0</v>
      </c>
      <c r="Q796" s="5">
        <v>0</v>
      </c>
      <c r="R796" s="6">
        <v>0</v>
      </c>
      <c r="S796" s="5">
        <v>0</v>
      </c>
      <c r="T796" s="6">
        <v>0</v>
      </c>
      <c r="U796" s="5">
        <v>0</v>
      </c>
      <c r="V796" s="6">
        <v>0</v>
      </c>
      <c r="W796" s="5">
        <v>0</v>
      </c>
      <c r="X796" s="6">
        <v>0</v>
      </c>
      <c r="Y796" s="5">
        <v>0</v>
      </c>
      <c r="Z796" s="6">
        <v>0</v>
      </c>
      <c r="AA796" s="5">
        <v>0</v>
      </c>
      <c r="AB796" s="6">
        <v>0</v>
      </c>
      <c r="AC796" s="5">
        <v>0</v>
      </c>
      <c r="AD796" s="6">
        <v>0</v>
      </c>
      <c r="AE796" s="5">
        <v>0</v>
      </c>
      <c r="AF796" s="6">
        <v>0</v>
      </c>
      <c r="AG796" s="5">
        <v>0</v>
      </c>
      <c r="AH796" s="7">
        <f t="shared" si="96"/>
        <v>395.69426967728532</v>
      </c>
      <c r="AI796" s="8">
        <f t="shared" si="97"/>
        <v>2666.979377624903</v>
      </c>
      <c r="AJ796" s="6">
        <v>0</v>
      </c>
      <c r="AK796" s="5">
        <v>0</v>
      </c>
      <c r="AL796" s="6">
        <v>420</v>
      </c>
      <c r="AM796" s="5">
        <v>2950.7623398865931</v>
      </c>
      <c r="AN796" s="6">
        <v>0</v>
      </c>
      <c r="AO796" s="5">
        <v>0</v>
      </c>
      <c r="AP796" s="6">
        <v>0</v>
      </c>
      <c r="AQ796" s="5">
        <v>0</v>
      </c>
      <c r="AR796" s="6">
        <v>0</v>
      </c>
      <c r="AS796" s="5">
        <v>0</v>
      </c>
      <c r="AT796" s="6">
        <v>0</v>
      </c>
      <c r="AU796" s="5">
        <v>0</v>
      </c>
      <c r="AV796" s="6">
        <v>0</v>
      </c>
      <c r="AW796" s="5">
        <v>0</v>
      </c>
      <c r="AX796" s="6">
        <v>0</v>
      </c>
      <c r="AY796" s="5">
        <v>0</v>
      </c>
      <c r="AZ796" s="6">
        <v>0</v>
      </c>
      <c r="BA796" s="5">
        <v>0</v>
      </c>
      <c r="BB796" s="6">
        <v>0</v>
      </c>
      <c r="BC796" s="5">
        <v>0</v>
      </c>
      <c r="BD796" s="6">
        <v>0</v>
      </c>
      <c r="BE796" s="5">
        <v>0</v>
      </c>
      <c r="BF796" s="6">
        <v>0</v>
      </c>
      <c r="BG796" s="5">
        <v>0</v>
      </c>
      <c r="BH796" s="9">
        <f t="shared" si="98"/>
        <v>420</v>
      </c>
      <c r="BI796" s="10">
        <f t="shared" si="99"/>
        <v>2950.7623398865931</v>
      </c>
      <c r="BJ796" s="6">
        <f t="shared" si="100"/>
        <v>24.30573032271468</v>
      </c>
      <c r="BK796" s="11">
        <f t="shared" si="101"/>
        <v>6.1425530227004803E-2</v>
      </c>
      <c r="BL796" s="5">
        <f t="shared" si="102"/>
        <v>283.78296226169005</v>
      </c>
      <c r="BM796" s="11">
        <f t="shared" si="103"/>
        <v>0.10640613296170852</v>
      </c>
    </row>
    <row r="797" spans="1:65" ht="15" customHeight="1" x14ac:dyDescent="0.4">
      <c r="A797" s="2" t="s">
        <v>589</v>
      </c>
      <c r="B797" s="2" t="s">
        <v>66</v>
      </c>
      <c r="C797" s="2" t="s">
        <v>622</v>
      </c>
      <c r="D797" s="3" t="s">
        <v>68</v>
      </c>
      <c r="E797" s="3" t="s">
        <v>264</v>
      </c>
      <c r="F797" s="2" t="s">
        <v>265</v>
      </c>
      <c r="G797" s="4">
        <v>20</v>
      </c>
      <c r="H797" s="5">
        <v>2.11</v>
      </c>
      <c r="I797" s="5">
        <v>2.1994166091425429</v>
      </c>
      <c r="J797" s="6">
        <v>0</v>
      </c>
      <c r="K797" s="5">
        <v>0</v>
      </c>
      <c r="L797" s="6">
        <v>0</v>
      </c>
      <c r="M797" s="5">
        <v>0</v>
      </c>
      <c r="N797" s="6">
        <v>633.11083148365651</v>
      </c>
      <c r="O797" s="5">
        <v>1335.8638544305149</v>
      </c>
      <c r="P797" s="6">
        <v>0</v>
      </c>
      <c r="Q797" s="5">
        <v>0</v>
      </c>
      <c r="R797" s="6">
        <v>0</v>
      </c>
      <c r="S797" s="5">
        <v>0</v>
      </c>
      <c r="T797" s="6">
        <v>0</v>
      </c>
      <c r="U797" s="5">
        <v>0</v>
      </c>
      <c r="V797" s="6">
        <v>0</v>
      </c>
      <c r="W797" s="5">
        <v>0</v>
      </c>
      <c r="X797" s="6">
        <v>0</v>
      </c>
      <c r="Y797" s="5">
        <v>0</v>
      </c>
      <c r="Z797" s="6">
        <v>0</v>
      </c>
      <c r="AA797" s="5">
        <v>0</v>
      </c>
      <c r="AB797" s="6">
        <v>0</v>
      </c>
      <c r="AC797" s="5">
        <v>0</v>
      </c>
      <c r="AD797" s="6">
        <v>0</v>
      </c>
      <c r="AE797" s="5">
        <v>0</v>
      </c>
      <c r="AF797" s="6">
        <v>0</v>
      </c>
      <c r="AG797" s="5">
        <v>0</v>
      </c>
      <c r="AH797" s="7">
        <f t="shared" si="96"/>
        <v>633.11083148365651</v>
      </c>
      <c r="AI797" s="8">
        <f t="shared" si="97"/>
        <v>1335.8638544305149</v>
      </c>
      <c r="AJ797" s="6">
        <v>0</v>
      </c>
      <c r="AK797" s="5">
        <v>0</v>
      </c>
      <c r="AL797" s="6">
        <v>0</v>
      </c>
      <c r="AM797" s="5">
        <v>0</v>
      </c>
      <c r="AN797" s="6">
        <v>680</v>
      </c>
      <c r="AO797" s="5">
        <v>1495.603294216929</v>
      </c>
      <c r="AP797" s="6">
        <v>0</v>
      </c>
      <c r="AQ797" s="5">
        <v>0</v>
      </c>
      <c r="AR797" s="6">
        <v>0</v>
      </c>
      <c r="AS797" s="5">
        <v>0</v>
      </c>
      <c r="AT797" s="6">
        <v>0</v>
      </c>
      <c r="AU797" s="5">
        <v>0</v>
      </c>
      <c r="AV797" s="6">
        <v>0</v>
      </c>
      <c r="AW797" s="5">
        <v>0</v>
      </c>
      <c r="AX797" s="6">
        <v>0</v>
      </c>
      <c r="AY797" s="5">
        <v>0</v>
      </c>
      <c r="AZ797" s="6">
        <v>0</v>
      </c>
      <c r="BA797" s="5">
        <v>0</v>
      </c>
      <c r="BB797" s="6">
        <v>0</v>
      </c>
      <c r="BC797" s="5">
        <v>0</v>
      </c>
      <c r="BD797" s="6">
        <v>0</v>
      </c>
      <c r="BE797" s="5">
        <v>0</v>
      </c>
      <c r="BF797" s="6">
        <v>0</v>
      </c>
      <c r="BG797" s="5">
        <v>0</v>
      </c>
      <c r="BH797" s="9">
        <f t="shared" si="98"/>
        <v>680</v>
      </c>
      <c r="BI797" s="10">
        <f t="shared" si="99"/>
        <v>1495.603294216929</v>
      </c>
      <c r="BJ797" s="6">
        <f t="shared" si="100"/>
        <v>46.889168516343489</v>
      </c>
      <c r="BK797" s="11">
        <f t="shared" si="101"/>
        <v>7.4061548443992958E-2</v>
      </c>
      <c r="BL797" s="5">
        <f t="shared" si="102"/>
        <v>159.7394397864141</v>
      </c>
      <c r="BM797" s="11">
        <f t="shared" si="103"/>
        <v>0.11957763454458596</v>
      </c>
    </row>
    <row r="798" spans="1:65" ht="15" customHeight="1" x14ac:dyDescent="0.4">
      <c r="A798" s="2" t="s">
        <v>589</v>
      </c>
      <c r="B798" s="2" t="s">
        <v>66</v>
      </c>
      <c r="C798" s="2" t="s">
        <v>622</v>
      </c>
      <c r="D798" s="3" t="s">
        <v>68</v>
      </c>
      <c r="E798" s="3" t="s">
        <v>147</v>
      </c>
      <c r="F798" s="2" t="s">
        <v>148</v>
      </c>
      <c r="G798" s="4">
        <v>5</v>
      </c>
      <c r="H798" s="5">
        <v>2.4630769230769229</v>
      </c>
      <c r="I798" s="5">
        <v>2.5674016184365058</v>
      </c>
      <c r="J798" s="6">
        <v>0</v>
      </c>
      <c r="K798" s="5">
        <v>0</v>
      </c>
      <c r="L798" s="6">
        <v>0</v>
      </c>
      <c r="M798" s="5">
        <v>0</v>
      </c>
      <c r="N798" s="6">
        <v>1088.159241612535</v>
      </c>
      <c r="O798" s="5">
        <v>2611.5821798700831</v>
      </c>
      <c r="P798" s="6">
        <v>593.54140451592798</v>
      </c>
      <c r="Q798" s="5">
        <v>1406.6931287027489</v>
      </c>
      <c r="R798" s="6">
        <v>2176.318483225069</v>
      </c>
      <c r="S798" s="5">
        <v>5484.3225777271746</v>
      </c>
      <c r="T798" s="6">
        <v>0</v>
      </c>
      <c r="U798" s="5">
        <v>0</v>
      </c>
      <c r="V798" s="6">
        <v>0</v>
      </c>
      <c r="W798" s="5">
        <v>0</v>
      </c>
      <c r="X798" s="6">
        <v>0</v>
      </c>
      <c r="Y798" s="5">
        <v>0</v>
      </c>
      <c r="Z798" s="6">
        <v>0</v>
      </c>
      <c r="AA798" s="5">
        <v>0</v>
      </c>
      <c r="AB798" s="6">
        <v>0</v>
      </c>
      <c r="AC798" s="5">
        <v>0</v>
      </c>
      <c r="AD798" s="6">
        <v>0</v>
      </c>
      <c r="AE798" s="5">
        <v>0</v>
      </c>
      <c r="AF798" s="6">
        <v>0</v>
      </c>
      <c r="AG798" s="5">
        <v>0</v>
      </c>
      <c r="AH798" s="7">
        <f t="shared" si="96"/>
        <v>3858.0191293535318</v>
      </c>
      <c r="AI798" s="8">
        <f t="shared" si="97"/>
        <v>9502.5978863000055</v>
      </c>
      <c r="AJ798" s="6">
        <v>0</v>
      </c>
      <c r="AK798" s="5">
        <v>0</v>
      </c>
      <c r="AL798" s="6">
        <v>0</v>
      </c>
      <c r="AM798" s="5">
        <v>0</v>
      </c>
      <c r="AN798" s="6">
        <v>1370</v>
      </c>
      <c r="AO798" s="5">
        <v>3427.337351118807</v>
      </c>
      <c r="AP798" s="6">
        <v>750</v>
      </c>
      <c r="AQ798" s="5">
        <v>1852.826077133114</v>
      </c>
      <c r="AR798" s="6">
        <v>2740</v>
      </c>
      <c r="AS798" s="5">
        <v>7197.408437349497</v>
      </c>
      <c r="AT798" s="6">
        <v>0</v>
      </c>
      <c r="AU798" s="5">
        <v>0</v>
      </c>
      <c r="AV798" s="6">
        <v>0</v>
      </c>
      <c r="AW798" s="5">
        <v>0</v>
      </c>
      <c r="AX798" s="6">
        <v>0</v>
      </c>
      <c r="AY798" s="5">
        <v>0</v>
      </c>
      <c r="AZ798" s="6">
        <v>0</v>
      </c>
      <c r="BA798" s="5">
        <v>0</v>
      </c>
      <c r="BB798" s="6">
        <v>0</v>
      </c>
      <c r="BC798" s="5">
        <v>0</v>
      </c>
      <c r="BD798" s="6">
        <v>0</v>
      </c>
      <c r="BE798" s="5">
        <v>0</v>
      </c>
      <c r="BF798" s="6">
        <v>0</v>
      </c>
      <c r="BG798" s="5">
        <v>0</v>
      </c>
      <c r="BH798" s="9">
        <f t="shared" si="98"/>
        <v>4860</v>
      </c>
      <c r="BI798" s="10">
        <f t="shared" si="99"/>
        <v>12477.571865601418</v>
      </c>
      <c r="BJ798" s="6">
        <f t="shared" si="100"/>
        <v>1001.9808706464682</v>
      </c>
      <c r="BK798" s="11">
        <f t="shared" si="101"/>
        <v>0.25971381609358818</v>
      </c>
      <c r="BL798" s="5">
        <f t="shared" si="102"/>
        <v>2974.9739793014123</v>
      </c>
      <c r="BM798" s="11">
        <f t="shared" si="103"/>
        <v>0.3130695431814981</v>
      </c>
    </row>
    <row r="799" spans="1:65" ht="15" customHeight="1" x14ac:dyDescent="0.4">
      <c r="A799" s="2" t="s">
        <v>589</v>
      </c>
      <c r="B799" s="2" t="s">
        <v>66</v>
      </c>
      <c r="C799" s="2" t="s">
        <v>622</v>
      </c>
      <c r="D799" s="3" t="s">
        <v>68</v>
      </c>
      <c r="E799" s="3" t="s">
        <v>225</v>
      </c>
      <c r="F799" s="2" t="s">
        <v>226</v>
      </c>
      <c r="G799" s="4">
        <v>5</v>
      </c>
      <c r="H799" s="5">
        <v>5.1741176470588233</v>
      </c>
      <c r="I799" s="5">
        <v>5.393529028805137</v>
      </c>
      <c r="J799" s="6">
        <v>0</v>
      </c>
      <c r="K799" s="5">
        <v>0</v>
      </c>
      <c r="L799" s="6">
        <v>0</v>
      </c>
      <c r="M799" s="5">
        <v>0</v>
      </c>
      <c r="N799" s="6">
        <v>0</v>
      </c>
      <c r="O799" s="5">
        <v>0</v>
      </c>
      <c r="P799" s="6">
        <v>395.69426967728532</v>
      </c>
      <c r="Q799" s="5">
        <v>1990.342176476745</v>
      </c>
      <c r="R799" s="6">
        <v>79.138853935457064</v>
      </c>
      <c r="S799" s="5">
        <v>425.76703417275888</v>
      </c>
      <c r="T799" s="6">
        <v>98.92356741932133</v>
      </c>
      <c r="U799" s="5">
        <v>532.20879271594868</v>
      </c>
      <c r="V799" s="6">
        <v>98.92356741932133</v>
      </c>
      <c r="W799" s="5">
        <v>532.20879271594868</v>
      </c>
      <c r="X799" s="6">
        <v>0</v>
      </c>
      <c r="Y799" s="5">
        <v>0</v>
      </c>
      <c r="Z799" s="6">
        <v>0</v>
      </c>
      <c r="AA799" s="5">
        <v>0</v>
      </c>
      <c r="AB799" s="6">
        <v>0</v>
      </c>
      <c r="AC799" s="5">
        <v>0</v>
      </c>
      <c r="AD799" s="6">
        <v>0</v>
      </c>
      <c r="AE799" s="5">
        <v>0</v>
      </c>
      <c r="AF799" s="6">
        <v>0</v>
      </c>
      <c r="AG799" s="5">
        <v>0</v>
      </c>
      <c r="AH799" s="7">
        <f t="shared" si="96"/>
        <v>672.68025845138504</v>
      </c>
      <c r="AI799" s="8">
        <f t="shared" si="97"/>
        <v>3480.5267960814012</v>
      </c>
      <c r="AJ799" s="6">
        <v>0</v>
      </c>
      <c r="AK799" s="5">
        <v>0</v>
      </c>
      <c r="AL799" s="6">
        <v>0</v>
      </c>
      <c r="AM799" s="5">
        <v>0</v>
      </c>
      <c r="AN799" s="6">
        <v>0</v>
      </c>
      <c r="AO799" s="5">
        <v>0</v>
      </c>
      <c r="AP799" s="6">
        <v>435</v>
      </c>
      <c r="AQ799" s="5">
        <v>2280.7741761300199</v>
      </c>
      <c r="AR799" s="6">
        <v>85</v>
      </c>
      <c r="AS799" s="5">
        <v>476.6792489862014</v>
      </c>
      <c r="AT799" s="6">
        <v>110</v>
      </c>
      <c r="AU799" s="5">
        <v>616.87902809979005</v>
      </c>
      <c r="AV799" s="6">
        <v>110</v>
      </c>
      <c r="AW799" s="5">
        <v>616.87902809979005</v>
      </c>
      <c r="AX799" s="6">
        <v>0</v>
      </c>
      <c r="AY799" s="5">
        <v>0</v>
      </c>
      <c r="AZ799" s="6">
        <v>0</v>
      </c>
      <c r="BA799" s="5">
        <v>0</v>
      </c>
      <c r="BB799" s="6">
        <v>0</v>
      </c>
      <c r="BC799" s="5">
        <v>0</v>
      </c>
      <c r="BD799" s="6">
        <v>0</v>
      </c>
      <c r="BE799" s="5">
        <v>0</v>
      </c>
      <c r="BF799" s="6">
        <v>0</v>
      </c>
      <c r="BG799" s="5">
        <v>0</v>
      </c>
      <c r="BH799" s="9">
        <f t="shared" si="98"/>
        <v>740</v>
      </c>
      <c r="BI799" s="10">
        <f t="shared" si="99"/>
        <v>3991.2114813158014</v>
      </c>
      <c r="BJ799" s="6">
        <f t="shared" si="100"/>
        <v>67.319741548614957</v>
      </c>
      <c r="BK799" s="11">
        <f t="shared" si="101"/>
        <v>0.10007688006720386</v>
      </c>
      <c r="BL799" s="5">
        <f t="shared" si="102"/>
        <v>510.68468523440015</v>
      </c>
      <c r="BM799" s="11">
        <f t="shared" si="103"/>
        <v>0.14672626161343205</v>
      </c>
    </row>
    <row r="800" spans="1:65" ht="15" customHeight="1" x14ac:dyDescent="0.4">
      <c r="A800" s="2" t="s">
        <v>589</v>
      </c>
      <c r="B800" s="2" t="s">
        <v>66</v>
      </c>
      <c r="C800" s="2" t="s">
        <v>622</v>
      </c>
      <c r="D800" s="3" t="s">
        <v>68</v>
      </c>
      <c r="E800" s="3" t="s">
        <v>193</v>
      </c>
      <c r="F800" s="2" t="s">
        <v>194</v>
      </c>
      <c r="G800" s="4">
        <v>20</v>
      </c>
      <c r="H800" s="5">
        <v>4.9726086956521733</v>
      </c>
      <c r="I800" s="5">
        <v>5.1889553935125967</v>
      </c>
      <c r="J800" s="6">
        <v>0</v>
      </c>
      <c r="K800" s="5">
        <v>0</v>
      </c>
      <c r="L800" s="6">
        <v>0</v>
      </c>
      <c r="M800" s="5">
        <v>0</v>
      </c>
      <c r="N800" s="6">
        <v>0</v>
      </c>
      <c r="O800" s="5">
        <v>0</v>
      </c>
      <c r="P800" s="6">
        <v>98.92356741932133</v>
      </c>
      <c r="Q800" s="5">
        <v>467.90847389338978</v>
      </c>
      <c r="R800" s="6">
        <v>356.12484270955679</v>
      </c>
      <c r="S800" s="5">
        <v>1794.869207256166</v>
      </c>
      <c r="T800" s="6">
        <v>0</v>
      </c>
      <c r="U800" s="5">
        <v>0</v>
      </c>
      <c r="V800" s="6">
        <v>0</v>
      </c>
      <c r="W800" s="5">
        <v>0</v>
      </c>
      <c r="X800" s="6">
        <v>0</v>
      </c>
      <c r="Y800" s="5">
        <v>0</v>
      </c>
      <c r="Z800" s="6">
        <v>0</v>
      </c>
      <c r="AA800" s="5">
        <v>0</v>
      </c>
      <c r="AB800" s="6">
        <v>0</v>
      </c>
      <c r="AC800" s="5">
        <v>0</v>
      </c>
      <c r="AD800" s="6">
        <v>0</v>
      </c>
      <c r="AE800" s="5">
        <v>0</v>
      </c>
      <c r="AF800" s="6">
        <v>0</v>
      </c>
      <c r="AG800" s="5">
        <v>0</v>
      </c>
      <c r="AH800" s="7">
        <f t="shared" si="96"/>
        <v>455.04841012887812</v>
      </c>
      <c r="AI800" s="8">
        <f t="shared" si="97"/>
        <v>2262.777681149556</v>
      </c>
      <c r="AJ800" s="6">
        <v>0</v>
      </c>
      <c r="AK800" s="5">
        <v>0</v>
      </c>
      <c r="AL800" s="6">
        <v>0</v>
      </c>
      <c r="AM800" s="5">
        <v>0</v>
      </c>
      <c r="AN800" s="6">
        <v>0</v>
      </c>
      <c r="AO800" s="5">
        <v>0</v>
      </c>
      <c r="AP800" s="6">
        <v>100</v>
      </c>
      <c r="AQ800" s="5">
        <v>493.04457636228568</v>
      </c>
      <c r="AR800" s="6">
        <v>400</v>
      </c>
      <c r="AS800" s="5">
        <v>2101.4331203940128</v>
      </c>
      <c r="AT800" s="6">
        <v>0</v>
      </c>
      <c r="AU800" s="5">
        <v>0</v>
      </c>
      <c r="AV800" s="6">
        <v>0</v>
      </c>
      <c r="AW800" s="5">
        <v>0</v>
      </c>
      <c r="AX800" s="6">
        <v>0</v>
      </c>
      <c r="AY800" s="5">
        <v>0</v>
      </c>
      <c r="AZ800" s="6">
        <v>0</v>
      </c>
      <c r="BA800" s="5">
        <v>0</v>
      </c>
      <c r="BB800" s="6">
        <v>0</v>
      </c>
      <c r="BC800" s="5">
        <v>0</v>
      </c>
      <c r="BD800" s="6">
        <v>0</v>
      </c>
      <c r="BE800" s="5">
        <v>0</v>
      </c>
      <c r="BF800" s="6">
        <v>0</v>
      </c>
      <c r="BG800" s="5">
        <v>0</v>
      </c>
      <c r="BH800" s="9">
        <f t="shared" si="98"/>
        <v>500</v>
      </c>
      <c r="BI800" s="10">
        <f t="shared" si="99"/>
        <v>2594.4776967562984</v>
      </c>
      <c r="BJ800" s="6">
        <f t="shared" si="100"/>
        <v>44.951589871121882</v>
      </c>
      <c r="BK800" s="11">
        <f t="shared" si="101"/>
        <v>9.8784192781578475E-2</v>
      </c>
      <c r="BL800" s="5">
        <f t="shared" si="102"/>
        <v>331.70001560674245</v>
      </c>
      <c r="BM800" s="11">
        <f t="shared" si="103"/>
        <v>0.14658975045141392</v>
      </c>
    </row>
    <row r="801" spans="1:65" ht="15" customHeight="1" x14ac:dyDescent="0.4">
      <c r="A801" s="2" t="s">
        <v>589</v>
      </c>
      <c r="B801" s="2" t="s">
        <v>66</v>
      </c>
      <c r="C801" s="2" t="s">
        <v>622</v>
      </c>
      <c r="D801" s="3" t="s">
        <v>68</v>
      </c>
      <c r="E801" s="3" t="s">
        <v>227</v>
      </c>
      <c r="F801" s="2" t="s">
        <v>228</v>
      </c>
      <c r="G801" s="4">
        <v>200</v>
      </c>
      <c r="H801" s="5">
        <v>4.9400000000000004</v>
      </c>
      <c r="I801" s="5">
        <v>5.1493450469972331</v>
      </c>
      <c r="J801" s="6">
        <v>0</v>
      </c>
      <c r="K801" s="5">
        <v>0</v>
      </c>
      <c r="L801" s="6">
        <v>0</v>
      </c>
      <c r="M801" s="5">
        <v>0</v>
      </c>
      <c r="N801" s="6">
        <v>0</v>
      </c>
      <c r="O801" s="5">
        <v>0</v>
      </c>
      <c r="P801" s="6">
        <v>0</v>
      </c>
      <c r="Q801" s="5">
        <v>0</v>
      </c>
      <c r="R801" s="6">
        <v>0</v>
      </c>
      <c r="S801" s="5">
        <v>0</v>
      </c>
      <c r="T801" s="6">
        <v>197.84713483864269</v>
      </c>
      <c r="U801" s="5">
        <v>977.36484610289472</v>
      </c>
      <c r="V801" s="6">
        <v>0</v>
      </c>
      <c r="W801" s="5">
        <v>0</v>
      </c>
      <c r="X801" s="6">
        <v>0</v>
      </c>
      <c r="Y801" s="5">
        <v>0</v>
      </c>
      <c r="Z801" s="6">
        <v>0</v>
      </c>
      <c r="AA801" s="5">
        <v>0</v>
      </c>
      <c r="AB801" s="6">
        <v>0</v>
      </c>
      <c r="AC801" s="5">
        <v>0</v>
      </c>
      <c r="AD801" s="6">
        <v>0</v>
      </c>
      <c r="AE801" s="5">
        <v>0</v>
      </c>
      <c r="AF801" s="6">
        <v>0</v>
      </c>
      <c r="AG801" s="5">
        <v>0</v>
      </c>
      <c r="AH801" s="7">
        <f t="shared" si="96"/>
        <v>197.84713483864269</v>
      </c>
      <c r="AI801" s="8">
        <f t="shared" si="97"/>
        <v>977.36484610289472</v>
      </c>
      <c r="AJ801" s="6">
        <v>0</v>
      </c>
      <c r="AK801" s="5">
        <v>0</v>
      </c>
      <c r="AL801" s="6">
        <v>0</v>
      </c>
      <c r="AM801" s="5">
        <v>0</v>
      </c>
      <c r="AN801" s="6">
        <v>0</v>
      </c>
      <c r="AO801" s="5">
        <v>0</v>
      </c>
      <c r="AP801" s="6">
        <v>0</v>
      </c>
      <c r="AQ801" s="5">
        <v>0</v>
      </c>
      <c r="AR801" s="6">
        <v>0</v>
      </c>
      <c r="AS801" s="5">
        <v>0</v>
      </c>
      <c r="AT801" s="6">
        <v>200</v>
      </c>
      <c r="AU801" s="5">
        <v>1029.8690093994469</v>
      </c>
      <c r="AV801" s="6">
        <v>0</v>
      </c>
      <c r="AW801" s="5">
        <v>0</v>
      </c>
      <c r="AX801" s="6">
        <v>0</v>
      </c>
      <c r="AY801" s="5">
        <v>0</v>
      </c>
      <c r="AZ801" s="6">
        <v>0</v>
      </c>
      <c r="BA801" s="5">
        <v>0</v>
      </c>
      <c r="BB801" s="6">
        <v>0</v>
      </c>
      <c r="BC801" s="5">
        <v>0</v>
      </c>
      <c r="BD801" s="6">
        <v>0</v>
      </c>
      <c r="BE801" s="5">
        <v>0</v>
      </c>
      <c r="BF801" s="6">
        <v>0</v>
      </c>
      <c r="BG801" s="5">
        <v>0</v>
      </c>
      <c r="BH801" s="9">
        <f t="shared" si="98"/>
        <v>200</v>
      </c>
      <c r="BI801" s="10">
        <f t="shared" si="99"/>
        <v>1029.8690093994469</v>
      </c>
      <c r="BJ801" s="6">
        <f t="shared" si="100"/>
        <v>2.1528651613573118</v>
      </c>
      <c r="BK801" s="11">
        <f t="shared" si="101"/>
        <v>1.0881457359052051E-2</v>
      </c>
      <c r="BL801" s="5">
        <f t="shared" si="102"/>
        <v>52.504163296552179</v>
      </c>
      <c r="BM801" s="11">
        <f t="shared" si="103"/>
        <v>5.3720126630198713E-2</v>
      </c>
    </row>
    <row r="802" spans="1:65" ht="15" customHeight="1" x14ac:dyDescent="0.4">
      <c r="A802" s="2" t="s">
        <v>589</v>
      </c>
      <c r="B802" s="2" t="s">
        <v>66</v>
      </c>
      <c r="C802" s="2" t="s">
        <v>622</v>
      </c>
      <c r="D802" s="3" t="s">
        <v>68</v>
      </c>
      <c r="E802" s="3" t="s">
        <v>613</v>
      </c>
      <c r="F802" s="2" t="s">
        <v>615</v>
      </c>
      <c r="G802" s="4">
        <v>20</v>
      </c>
      <c r="H802" s="5">
        <v>2.39</v>
      </c>
      <c r="I802" s="5">
        <v>2.491282320308378</v>
      </c>
      <c r="J802" s="6">
        <v>0</v>
      </c>
      <c r="K802" s="5">
        <v>0</v>
      </c>
      <c r="L802" s="6">
        <v>0</v>
      </c>
      <c r="M802" s="5">
        <v>0</v>
      </c>
      <c r="N802" s="6">
        <v>0</v>
      </c>
      <c r="O802" s="5">
        <v>0</v>
      </c>
      <c r="P802" s="6">
        <v>0</v>
      </c>
      <c r="Q802" s="5">
        <v>0</v>
      </c>
      <c r="R802" s="6">
        <v>0</v>
      </c>
      <c r="S802" s="5">
        <v>0</v>
      </c>
      <c r="T802" s="6">
        <v>633.11083148365651</v>
      </c>
      <c r="U802" s="5">
        <v>1513.1348872459389</v>
      </c>
      <c r="V802" s="6">
        <v>0</v>
      </c>
      <c r="W802" s="5">
        <v>0</v>
      </c>
      <c r="X802" s="6">
        <v>0</v>
      </c>
      <c r="Y802" s="5">
        <v>0</v>
      </c>
      <c r="Z802" s="6">
        <v>0</v>
      </c>
      <c r="AA802" s="5">
        <v>0</v>
      </c>
      <c r="AB802" s="6">
        <v>0</v>
      </c>
      <c r="AC802" s="5">
        <v>0</v>
      </c>
      <c r="AD802" s="6">
        <v>0</v>
      </c>
      <c r="AE802" s="5">
        <v>0</v>
      </c>
      <c r="AF802" s="6">
        <v>0</v>
      </c>
      <c r="AG802" s="5">
        <v>0</v>
      </c>
      <c r="AH802" s="7">
        <f t="shared" si="96"/>
        <v>633.11083148365651</v>
      </c>
      <c r="AI802" s="8">
        <f t="shared" si="97"/>
        <v>1513.1348872459389</v>
      </c>
      <c r="AJ802" s="6">
        <v>0</v>
      </c>
      <c r="AK802" s="5">
        <v>0</v>
      </c>
      <c r="AL802" s="6">
        <v>0</v>
      </c>
      <c r="AM802" s="5">
        <v>0</v>
      </c>
      <c r="AN802" s="6">
        <v>0</v>
      </c>
      <c r="AO802" s="5">
        <v>0</v>
      </c>
      <c r="AP802" s="6">
        <v>0</v>
      </c>
      <c r="AQ802" s="5">
        <v>0</v>
      </c>
      <c r="AR802" s="6">
        <v>0</v>
      </c>
      <c r="AS802" s="5">
        <v>0</v>
      </c>
      <c r="AT802" s="6">
        <v>680</v>
      </c>
      <c r="AU802" s="5">
        <v>1694.071977809697</v>
      </c>
      <c r="AV802" s="6">
        <v>0</v>
      </c>
      <c r="AW802" s="5">
        <v>0</v>
      </c>
      <c r="AX802" s="6">
        <v>0</v>
      </c>
      <c r="AY802" s="5">
        <v>0</v>
      </c>
      <c r="AZ802" s="6">
        <v>0</v>
      </c>
      <c r="BA802" s="5">
        <v>0</v>
      </c>
      <c r="BB802" s="6">
        <v>0</v>
      </c>
      <c r="BC802" s="5">
        <v>0</v>
      </c>
      <c r="BD802" s="6">
        <v>0</v>
      </c>
      <c r="BE802" s="5">
        <v>0</v>
      </c>
      <c r="BF802" s="6">
        <v>0</v>
      </c>
      <c r="BG802" s="5">
        <v>0</v>
      </c>
      <c r="BH802" s="9">
        <f t="shared" si="98"/>
        <v>680</v>
      </c>
      <c r="BI802" s="10">
        <f t="shared" si="99"/>
        <v>1694.071977809697</v>
      </c>
      <c r="BJ802" s="6">
        <f t="shared" si="100"/>
        <v>46.889168516343489</v>
      </c>
      <c r="BK802" s="11">
        <f t="shared" si="101"/>
        <v>7.4061548443992958E-2</v>
      </c>
      <c r="BL802" s="5">
        <f t="shared" si="102"/>
        <v>180.93709056375815</v>
      </c>
      <c r="BM802" s="11">
        <f t="shared" si="103"/>
        <v>0.11957763454458595</v>
      </c>
    </row>
    <row r="803" spans="1:65" ht="15" customHeight="1" x14ac:dyDescent="0.4">
      <c r="A803" s="2" t="s">
        <v>589</v>
      </c>
      <c r="B803" s="2" t="s">
        <v>66</v>
      </c>
      <c r="C803" s="2" t="s">
        <v>622</v>
      </c>
      <c r="D803" s="3" t="s">
        <v>68</v>
      </c>
      <c r="E803" s="3" t="s">
        <v>633</v>
      </c>
      <c r="F803" s="2" t="s">
        <v>634</v>
      </c>
      <c r="G803" s="4">
        <v>1000</v>
      </c>
      <c r="H803" s="5">
        <v>2.02</v>
      </c>
      <c r="I803" s="5">
        <v>2.1056026305535251</v>
      </c>
      <c r="J803" s="6">
        <v>0</v>
      </c>
      <c r="K803" s="5">
        <v>0</v>
      </c>
      <c r="L803" s="6">
        <v>0</v>
      </c>
      <c r="M803" s="5">
        <v>0</v>
      </c>
      <c r="N803" s="6">
        <v>0</v>
      </c>
      <c r="O803" s="5">
        <v>0</v>
      </c>
      <c r="P803" s="6">
        <v>989.23567419321319</v>
      </c>
      <c r="Q803" s="5">
        <v>1998.256061870291</v>
      </c>
      <c r="R803" s="6">
        <v>0</v>
      </c>
      <c r="S803" s="5">
        <v>0</v>
      </c>
      <c r="T803" s="6">
        <v>0</v>
      </c>
      <c r="U803" s="5">
        <v>0</v>
      </c>
      <c r="V803" s="6">
        <v>0</v>
      </c>
      <c r="W803" s="5">
        <v>0</v>
      </c>
      <c r="X803" s="6">
        <v>0</v>
      </c>
      <c r="Y803" s="5">
        <v>0</v>
      </c>
      <c r="Z803" s="6">
        <v>0</v>
      </c>
      <c r="AA803" s="5">
        <v>0</v>
      </c>
      <c r="AB803" s="6">
        <v>0</v>
      </c>
      <c r="AC803" s="5">
        <v>0</v>
      </c>
      <c r="AD803" s="6">
        <v>0</v>
      </c>
      <c r="AE803" s="5">
        <v>0</v>
      </c>
      <c r="AF803" s="6">
        <v>0</v>
      </c>
      <c r="AG803" s="5">
        <v>0</v>
      </c>
      <c r="AH803" s="7">
        <f t="shared" si="96"/>
        <v>989.23567419321319</v>
      </c>
      <c r="AI803" s="8">
        <f t="shared" si="97"/>
        <v>1998.256061870291</v>
      </c>
      <c r="AJ803" s="6">
        <v>0</v>
      </c>
      <c r="AK803" s="5">
        <v>0</v>
      </c>
      <c r="AL803" s="6">
        <v>0</v>
      </c>
      <c r="AM803" s="5">
        <v>0</v>
      </c>
      <c r="AN803" s="6">
        <v>0</v>
      </c>
      <c r="AO803" s="5">
        <v>0</v>
      </c>
      <c r="AP803" s="6">
        <v>1000</v>
      </c>
      <c r="AQ803" s="5">
        <v>2105.6026305535252</v>
      </c>
      <c r="AR803" s="6">
        <v>0</v>
      </c>
      <c r="AS803" s="5">
        <v>0</v>
      </c>
      <c r="AT803" s="6">
        <v>0</v>
      </c>
      <c r="AU803" s="5">
        <v>0</v>
      </c>
      <c r="AV803" s="6">
        <v>0</v>
      </c>
      <c r="AW803" s="5">
        <v>0</v>
      </c>
      <c r="AX803" s="6">
        <v>0</v>
      </c>
      <c r="AY803" s="5">
        <v>0</v>
      </c>
      <c r="AZ803" s="6">
        <v>0</v>
      </c>
      <c r="BA803" s="5">
        <v>0</v>
      </c>
      <c r="BB803" s="6">
        <v>0</v>
      </c>
      <c r="BC803" s="5">
        <v>0</v>
      </c>
      <c r="BD803" s="6">
        <v>0</v>
      </c>
      <c r="BE803" s="5">
        <v>0</v>
      </c>
      <c r="BF803" s="6">
        <v>0</v>
      </c>
      <c r="BG803" s="5">
        <v>0</v>
      </c>
      <c r="BH803" s="9">
        <f t="shared" si="98"/>
        <v>1000</v>
      </c>
      <c r="BI803" s="10">
        <f t="shared" si="99"/>
        <v>2105.6026305535252</v>
      </c>
      <c r="BJ803" s="6">
        <f t="shared" si="100"/>
        <v>10.764325806786815</v>
      </c>
      <c r="BK803" s="11">
        <f t="shared" si="101"/>
        <v>1.0881457359052311E-2</v>
      </c>
      <c r="BL803" s="5">
        <f t="shared" si="102"/>
        <v>107.34656868323418</v>
      </c>
      <c r="BM803" s="11">
        <f t="shared" si="103"/>
        <v>5.3720126630198692E-2</v>
      </c>
    </row>
    <row r="804" spans="1:65" ht="15" customHeight="1" x14ac:dyDescent="0.4">
      <c r="A804" s="2" t="s">
        <v>589</v>
      </c>
      <c r="B804" s="2" t="s">
        <v>66</v>
      </c>
      <c r="C804" s="2" t="s">
        <v>622</v>
      </c>
      <c r="D804" s="3" t="s">
        <v>68</v>
      </c>
      <c r="E804" s="3" t="s">
        <v>184</v>
      </c>
      <c r="F804" s="2" t="s">
        <v>185</v>
      </c>
      <c r="G804" s="4">
        <v>5</v>
      </c>
      <c r="H804" s="5">
        <v>3.4649999999999999</v>
      </c>
      <c r="I804" s="5">
        <v>3.6118381756772111</v>
      </c>
      <c r="J804" s="6">
        <v>0</v>
      </c>
      <c r="K804" s="5">
        <v>0</v>
      </c>
      <c r="L804" s="6">
        <v>0</v>
      </c>
      <c r="M804" s="5">
        <v>0</v>
      </c>
      <c r="N804" s="6">
        <v>0</v>
      </c>
      <c r="O804" s="5">
        <v>0</v>
      </c>
      <c r="P804" s="6">
        <v>0</v>
      </c>
      <c r="Q804" s="5">
        <v>0</v>
      </c>
      <c r="R804" s="6">
        <v>296.77070225796399</v>
      </c>
      <c r="S804" s="5">
        <v>1053.535993015772</v>
      </c>
      <c r="T804" s="6">
        <v>296.77070225796399</v>
      </c>
      <c r="U804" s="5">
        <v>1003.084973631918</v>
      </c>
      <c r="V804" s="6">
        <v>0</v>
      </c>
      <c r="W804" s="5">
        <v>0</v>
      </c>
      <c r="X804" s="6">
        <v>0</v>
      </c>
      <c r="Y804" s="5">
        <v>0</v>
      </c>
      <c r="Z804" s="6">
        <v>0</v>
      </c>
      <c r="AA804" s="5">
        <v>0</v>
      </c>
      <c r="AB804" s="6">
        <v>0</v>
      </c>
      <c r="AC804" s="5">
        <v>0</v>
      </c>
      <c r="AD804" s="6">
        <v>0</v>
      </c>
      <c r="AE804" s="5">
        <v>0</v>
      </c>
      <c r="AF804" s="6">
        <v>0</v>
      </c>
      <c r="AG804" s="5">
        <v>0</v>
      </c>
      <c r="AH804" s="7">
        <f t="shared" si="96"/>
        <v>593.54140451592798</v>
      </c>
      <c r="AI804" s="8">
        <f t="shared" si="97"/>
        <v>2056.6209666476898</v>
      </c>
      <c r="AJ804" s="6">
        <v>0</v>
      </c>
      <c r="AK804" s="5">
        <v>0</v>
      </c>
      <c r="AL804" s="6">
        <v>0</v>
      </c>
      <c r="AM804" s="5">
        <v>0</v>
      </c>
      <c r="AN804" s="6">
        <v>0</v>
      </c>
      <c r="AO804" s="5">
        <v>0</v>
      </c>
      <c r="AP804" s="6">
        <v>0</v>
      </c>
      <c r="AQ804" s="5">
        <v>0</v>
      </c>
      <c r="AR804" s="6">
        <v>320</v>
      </c>
      <c r="AS804" s="5">
        <v>1184.1408853013891</v>
      </c>
      <c r="AT804" s="6">
        <v>320</v>
      </c>
      <c r="AU804" s="5">
        <v>1127.4355471320259</v>
      </c>
      <c r="AV804" s="6">
        <v>0</v>
      </c>
      <c r="AW804" s="5">
        <v>0</v>
      </c>
      <c r="AX804" s="6">
        <v>0</v>
      </c>
      <c r="AY804" s="5">
        <v>0</v>
      </c>
      <c r="AZ804" s="6">
        <v>0</v>
      </c>
      <c r="BA804" s="5">
        <v>0</v>
      </c>
      <c r="BB804" s="6">
        <v>0</v>
      </c>
      <c r="BC804" s="5">
        <v>0</v>
      </c>
      <c r="BD804" s="6">
        <v>0</v>
      </c>
      <c r="BE804" s="5">
        <v>0</v>
      </c>
      <c r="BF804" s="6">
        <v>0</v>
      </c>
      <c r="BG804" s="5">
        <v>0</v>
      </c>
      <c r="BH804" s="9">
        <f t="shared" si="98"/>
        <v>640</v>
      </c>
      <c r="BI804" s="10">
        <f t="shared" si="99"/>
        <v>2311.576432433415</v>
      </c>
      <c r="BJ804" s="6">
        <f t="shared" si="100"/>
        <v>46.458595484072021</v>
      </c>
      <c r="BK804" s="11">
        <f t="shared" si="101"/>
        <v>7.8273554516322341E-2</v>
      </c>
      <c r="BL804" s="5">
        <f t="shared" si="102"/>
        <v>254.95546578572521</v>
      </c>
      <c r="BM804" s="11">
        <f t="shared" si="103"/>
        <v>0.12396813507221258</v>
      </c>
    </row>
    <row r="805" spans="1:65" ht="15" customHeight="1" x14ac:dyDescent="0.4">
      <c r="A805" s="2" t="s">
        <v>589</v>
      </c>
      <c r="B805" s="2" t="s">
        <v>66</v>
      </c>
      <c r="C805" s="2" t="s">
        <v>622</v>
      </c>
      <c r="D805" s="3" t="s">
        <v>68</v>
      </c>
      <c r="E805" s="3" t="s">
        <v>616</v>
      </c>
      <c r="F805" s="2" t="s">
        <v>439</v>
      </c>
      <c r="G805" s="4">
        <v>20</v>
      </c>
      <c r="H805" s="5">
        <v>3.160196078431373</v>
      </c>
      <c r="I805" s="5">
        <v>3.293344456447219</v>
      </c>
      <c r="J805" s="6">
        <v>0</v>
      </c>
      <c r="K805" s="5">
        <v>0</v>
      </c>
      <c r="L805" s="6">
        <v>197.84713483864269</v>
      </c>
      <c r="M805" s="5">
        <v>615.30458934817864</v>
      </c>
      <c r="N805" s="6">
        <v>197.84713483864269</v>
      </c>
      <c r="O805" s="5">
        <v>615.30458934817864</v>
      </c>
      <c r="P805" s="6">
        <v>0</v>
      </c>
      <c r="Q805" s="5">
        <v>0</v>
      </c>
      <c r="R805" s="6">
        <v>316.55541574182831</v>
      </c>
      <c r="S805" s="5">
        <v>1035.136209475779</v>
      </c>
      <c r="T805" s="6">
        <v>296.77070225796399</v>
      </c>
      <c r="U805" s="5">
        <v>922.9568840222679</v>
      </c>
      <c r="V805" s="6">
        <v>0</v>
      </c>
      <c r="W805" s="5">
        <v>0</v>
      </c>
      <c r="X805" s="6">
        <v>0</v>
      </c>
      <c r="Y805" s="5">
        <v>0</v>
      </c>
      <c r="Z805" s="6">
        <v>0</v>
      </c>
      <c r="AA805" s="5">
        <v>0</v>
      </c>
      <c r="AB805" s="6">
        <v>0</v>
      </c>
      <c r="AC805" s="5">
        <v>0</v>
      </c>
      <c r="AD805" s="6">
        <v>0</v>
      </c>
      <c r="AE805" s="5">
        <v>0</v>
      </c>
      <c r="AF805" s="6">
        <v>0</v>
      </c>
      <c r="AG805" s="5">
        <v>0</v>
      </c>
      <c r="AH805" s="7">
        <f t="shared" si="96"/>
        <v>1009.0203876770777</v>
      </c>
      <c r="AI805" s="8">
        <f t="shared" si="97"/>
        <v>3188.702272194404</v>
      </c>
      <c r="AJ805" s="6">
        <v>0</v>
      </c>
      <c r="AK805" s="5">
        <v>0</v>
      </c>
      <c r="AL805" s="6">
        <v>220</v>
      </c>
      <c r="AM805" s="5">
        <v>713.19471278451567</v>
      </c>
      <c r="AN805" s="6">
        <v>220</v>
      </c>
      <c r="AO805" s="5">
        <v>713.19471278451567</v>
      </c>
      <c r="AP805" s="6">
        <v>0</v>
      </c>
      <c r="AQ805" s="5">
        <v>0</v>
      </c>
      <c r="AR805" s="6">
        <v>340</v>
      </c>
      <c r="AS805" s="5">
        <v>1158.9153488363411</v>
      </c>
      <c r="AT805" s="6">
        <v>320</v>
      </c>
      <c r="AU805" s="5">
        <v>1037.374127686568</v>
      </c>
      <c r="AV805" s="6">
        <v>0</v>
      </c>
      <c r="AW805" s="5">
        <v>0</v>
      </c>
      <c r="AX805" s="6">
        <v>0</v>
      </c>
      <c r="AY805" s="5">
        <v>0</v>
      </c>
      <c r="AZ805" s="6">
        <v>0</v>
      </c>
      <c r="BA805" s="5">
        <v>0</v>
      </c>
      <c r="BB805" s="6">
        <v>0</v>
      </c>
      <c r="BC805" s="5">
        <v>0</v>
      </c>
      <c r="BD805" s="6">
        <v>0</v>
      </c>
      <c r="BE805" s="5">
        <v>0</v>
      </c>
      <c r="BF805" s="6">
        <v>0</v>
      </c>
      <c r="BG805" s="5">
        <v>0</v>
      </c>
      <c r="BH805" s="9">
        <f t="shared" si="98"/>
        <v>1100</v>
      </c>
      <c r="BI805" s="10">
        <f t="shared" si="99"/>
        <v>3622.6789020919405</v>
      </c>
      <c r="BJ805" s="6">
        <f t="shared" si="100"/>
        <v>90.979612322922321</v>
      </c>
      <c r="BK805" s="11">
        <f t="shared" si="101"/>
        <v>9.0166277544075774E-2</v>
      </c>
      <c r="BL805" s="5">
        <f t="shared" si="102"/>
        <v>433.97662989753644</v>
      </c>
      <c r="BM805" s="11">
        <f t="shared" si="103"/>
        <v>0.13609819696301781</v>
      </c>
    </row>
    <row r="806" spans="1:65" ht="15" customHeight="1" x14ac:dyDescent="0.4">
      <c r="A806" s="2" t="s">
        <v>589</v>
      </c>
      <c r="B806" s="2" t="s">
        <v>66</v>
      </c>
      <c r="C806" s="2" t="s">
        <v>622</v>
      </c>
      <c r="D806" s="3" t="s">
        <v>68</v>
      </c>
      <c r="E806" s="3" t="s">
        <v>635</v>
      </c>
      <c r="F806" s="2" t="s">
        <v>636</v>
      </c>
      <c r="G806" s="4">
        <v>5</v>
      </c>
      <c r="H806" s="5">
        <v>3.65</v>
      </c>
      <c r="I806" s="5">
        <v>3.8046780205546371</v>
      </c>
      <c r="J806" s="6">
        <v>0</v>
      </c>
      <c r="K806" s="5">
        <v>0</v>
      </c>
      <c r="L806" s="6">
        <v>0</v>
      </c>
      <c r="M806" s="5">
        <v>0</v>
      </c>
      <c r="N806" s="6">
        <v>0</v>
      </c>
      <c r="O806" s="5">
        <v>0</v>
      </c>
      <c r="P806" s="6">
        <v>0</v>
      </c>
      <c r="Q806" s="5">
        <v>0</v>
      </c>
      <c r="R806" s="6">
        <v>0</v>
      </c>
      <c r="S806" s="5">
        <v>0</v>
      </c>
      <c r="T806" s="6">
        <v>0</v>
      </c>
      <c r="U806" s="5">
        <v>0</v>
      </c>
      <c r="V806" s="6">
        <v>593.54140451592798</v>
      </c>
      <c r="W806" s="5">
        <v>2166.4261264831371</v>
      </c>
      <c r="X806" s="6">
        <v>0</v>
      </c>
      <c r="Y806" s="5">
        <v>0</v>
      </c>
      <c r="Z806" s="6">
        <v>0</v>
      </c>
      <c r="AA806" s="5">
        <v>0</v>
      </c>
      <c r="AB806" s="6">
        <v>0</v>
      </c>
      <c r="AC806" s="5">
        <v>0</v>
      </c>
      <c r="AD806" s="6">
        <v>0</v>
      </c>
      <c r="AE806" s="5">
        <v>0</v>
      </c>
      <c r="AF806" s="6">
        <v>0</v>
      </c>
      <c r="AG806" s="5">
        <v>0</v>
      </c>
      <c r="AH806" s="7">
        <f t="shared" si="96"/>
        <v>593.54140451592798</v>
      </c>
      <c r="AI806" s="8">
        <f t="shared" si="97"/>
        <v>2166.4261264831371</v>
      </c>
      <c r="AJ806" s="6">
        <v>0</v>
      </c>
      <c r="AK806" s="5">
        <v>0</v>
      </c>
      <c r="AL806" s="6">
        <v>0</v>
      </c>
      <c r="AM806" s="5">
        <v>0</v>
      </c>
      <c r="AN806" s="6">
        <v>0</v>
      </c>
      <c r="AO806" s="5">
        <v>0</v>
      </c>
      <c r="AP806" s="6">
        <v>0</v>
      </c>
      <c r="AQ806" s="5">
        <v>0</v>
      </c>
      <c r="AR806" s="6">
        <v>0</v>
      </c>
      <c r="AS806" s="5">
        <v>0</v>
      </c>
      <c r="AT806" s="6">
        <v>0</v>
      </c>
      <c r="AU806" s="5">
        <v>0</v>
      </c>
      <c r="AV806" s="6">
        <v>650</v>
      </c>
      <c r="AW806" s="5">
        <v>2473.040713360514</v>
      </c>
      <c r="AX806" s="6">
        <v>0</v>
      </c>
      <c r="AY806" s="5">
        <v>0</v>
      </c>
      <c r="AZ806" s="6">
        <v>0</v>
      </c>
      <c r="BA806" s="5">
        <v>0</v>
      </c>
      <c r="BB806" s="6">
        <v>0</v>
      </c>
      <c r="BC806" s="5">
        <v>0</v>
      </c>
      <c r="BD806" s="6">
        <v>0</v>
      </c>
      <c r="BE806" s="5">
        <v>0</v>
      </c>
      <c r="BF806" s="6">
        <v>0</v>
      </c>
      <c r="BG806" s="5">
        <v>0</v>
      </c>
      <c r="BH806" s="9">
        <f t="shared" si="98"/>
        <v>650</v>
      </c>
      <c r="BI806" s="10">
        <f t="shared" si="99"/>
        <v>2473.040713360514</v>
      </c>
      <c r="BJ806" s="6">
        <f t="shared" si="100"/>
        <v>56.458595484072021</v>
      </c>
      <c r="BK806" s="11">
        <f t="shared" si="101"/>
        <v>9.5121578805639873E-2</v>
      </c>
      <c r="BL806" s="5">
        <f t="shared" si="102"/>
        <v>306.61458687737695</v>
      </c>
      <c r="BM806" s="11">
        <f t="shared" si="103"/>
        <v>0.14153013718271532</v>
      </c>
    </row>
    <row r="807" spans="1:65" ht="15" customHeight="1" x14ac:dyDescent="0.4">
      <c r="A807" s="2" t="s">
        <v>589</v>
      </c>
      <c r="B807" s="2" t="s">
        <v>66</v>
      </c>
      <c r="C807" s="2" t="s">
        <v>622</v>
      </c>
      <c r="D807" s="3" t="s">
        <v>68</v>
      </c>
      <c r="E807" s="3" t="s">
        <v>128</v>
      </c>
      <c r="F807" s="2" t="s">
        <v>129</v>
      </c>
      <c r="G807" s="4">
        <v>5</v>
      </c>
      <c r="H807" s="5">
        <v>3.22</v>
      </c>
      <c r="I807" s="5">
        <v>3.3568364555906212</v>
      </c>
      <c r="J807" s="6">
        <v>0</v>
      </c>
      <c r="K807" s="5">
        <v>0</v>
      </c>
      <c r="L807" s="6">
        <v>0</v>
      </c>
      <c r="M807" s="5">
        <v>0</v>
      </c>
      <c r="N807" s="6">
        <v>98.92356741932133</v>
      </c>
      <c r="O807" s="5">
        <v>310.62000169666902</v>
      </c>
      <c r="P807" s="6">
        <v>395.69426967728532</v>
      </c>
      <c r="Q807" s="5">
        <v>1242.4800067866761</v>
      </c>
      <c r="R807" s="6">
        <v>197.84713483864269</v>
      </c>
      <c r="S807" s="5">
        <v>652.89554496752078</v>
      </c>
      <c r="T807" s="6">
        <v>197.84713483864269</v>
      </c>
      <c r="U807" s="5">
        <v>652.89554496752078</v>
      </c>
      <c r="V807" s="6">
        <v>98.92356741932133</v>
      </c>
      <c r="W807" s="5">
        <v>326.44777248376039</v>
      </c>
      <c r="X807" s="6">
        <v>0</v>
      </c>
      <c r="Y807" s="5">
        <v>0</v>
      </c>
      <c r="Z807" s="6">
        <v>0</v>
      </c>
      <c r="AA807" s="5">
        <v>0</v>
      </c>
      <c r="AB807" s="6">
        <v>0</v>
      </c>
      <c r="AC807" s="5">
        <v>0</v>
      </c>
      <c r="AD807" s="6">
        <v>0</v>
      </c>
      <c r="AE807" s="5">
        <v>0</v>
      </c>
      <c r="AF807" s="6">
        <v>0</v>
      </c>
      <c r="AG807" s="5">
        <v>0</v>
      </c>
      <c r="AH807" s="7">
        <f t="shared" si="96"/>
        <v>989.2356741932133</v>
      </c>
      <c r="AI807" s="8">
        <f t="shared" si="97"/>
        <v>3185.3388709021469</v>
      </c>
      <c r="AJ807" s="6">
        <v>0</v>
      </c>
      <c r="AK807" s="5">
        <v>0</v>
      </c>
      <c r="AL807" s="6">
        <v>0</v>
      </c>
      <c r="AM807" s="5">
        <v>0</v>
      </c>
      <c r="AN807" s="6">
        <v>110</v>
      </c>
      <c r="AO807" s="5">
        <v>360.03720227385509</v>
      </c>
      <c r="AP807" s="6">
        <v>435</v>
      </c>
      <c r="AQ807" s="5">
        <v>1423.7834817193359</v>
      </c>
      <c r="AR807" s="6">
        <v>220</v>
      </c>
      <c r="AS807" s="5">
        <v>756.76609395141543</v>
      </c>
      <c r="AT807" s="6">
        <v>220</v>
      </c>
      <c r="AU807" s="5">
        <v>756.76609395141543</v>
      </c>
      <c r="AV807" s="6">
        <v>110</v>
      </c>
      <c r="AW807" s="5">
        <v>378.38304697570771</v>
      </c>
      <c r="AX807" s="6">
        <v>0</v>
      </c>
      <c r="AY807" s="5">
        <v>0</v>
      </c>
      <c r="AZ807" s="6">
        <v>0</v>
      </c>
      <c r="BA807" s="5">
        <v>0</v>
      </c>
      <c r="BB807" s="6">
        <v>0</v>
      </c>
      <c r="BC807" s="5">
        <v>0</v>
      </c>
      <c r="BD807" s="6">
        <v>0</v>
      </c>
      <c r="BE807" s="5">
        <v>0</v>
      </c>
      <c r="BF807" s="6">
        <v>0</v>
      </c>
      <c r="BG807" s="5">
        <v>0</v>
      </c>
      <c r="BH807" s="9">
        <f t="shared" si="98"/>
        <v>1095</v>
      </c>
      <c r="BI807" s="10">
        <f t="shared" si="99"/>
        <v>3675.7359188717292</v>
      </c>
      <c r="BJ807" s="6">
        <f t="shared" si="100"/>
        <v>105.7643258067867</v>
      </c>
      <c r="BK807" s="11">
        <f t="shared" si="101"/>
        <v>0.10691519580816215</v>
      </c>
      <c r="BL807" s="5">
        <f t="shared" si="102"/>
        <v>490.39704796958222</v>
      </c>
      <c r="BM807" s="11">
        <f t="shared" si="103"/>
        <v>0.15395443557020755</v>
      </c>
    </row>
    <row r="808" spans="1:65" ht="15" customHeight="1" x14ac:dyDescent="0.4">
      <c r="A808" s="2" t="s">
        <v>589</v>
      </c>
      <c r="B808" s="2" t="s">
        <v>66</v>
      </c>
      <c r="C808" s="2" t="s">
        <v>622</v>
      </c>
      <c r="D808" s="3" t="s">
        <v>68</v>
      </c>
      <c r="E808" s="3" t="s">
        <v>79</v>
      </c>
      <c r="F808" s="2" t="s">
        <v>80</v>
      </c>
      <c r="G808" s="4">
        <v>20</v>
      </c>
      <c r="H808" s="5">
        <v>2.9533333333333331</v>
      </c>
      <c r="I808" s="5">
        <v>3.0779387816550128</v>
      </c>
      <c r="J808" s="6">
        <v>0</v>
      </c>
      <c r="K808" s="5">
        <v>0</v>
      </c>
      <c r="L808" s="6">
        <v>0</v>
      </c>
      <c r="M808" s="5">
        <v>0</v>
      </c>
      <c r="N808" s="6">
        <v>197.84713483864269</v>
      </c>
      <c r="O808" s="5">
        <v>573.75669103206371</v>
      </c>
      <c r="P808" s="6">
        <v>2097.179629289612</v>
      </c>
      <c r="Q808" s="5">
        <v>6081.8209249398751</v>
      </c>
      <c r="R808" s="6">
        <v>633.11083148365651</v>
      </c>
      <c r="S808" s="5">
        <v>1930.988036025152</v>
      </c>
      <c r="T808" s="6">
        <v>316.55541574182831</v>
      </c>
      <c r="U808" s="5">
        <v>965.49401801257613</v>
      </c>
      <c r="V808" s="6">
        <v>316.55541574182831</v>
      </c>
      <c r="W808" s="5">
        <v>965.49401801257602</v>
      </c>
      <c r="X808" s="6">
        <v>0</v>
      </c>
      <c r="Y808" s="5">
        <v>0</v>
      </c>
      <c r="Z808" s="6">
        <v>0</v>
      </c>
      <c r="AA808" s="5">
        <v>0</v>
      </c>
      <c r="AB808" s="6">
        <v>0</v>
      </c>
      <c r="AC808" s="5">
        <v>0</v>
      </c>
      <c r="AD808" s="6">
        <v>0</v>
      </c>
      <c r="AE808" s="5">
        <v>0</v>
      </c>
      <c r="AF808" s="6">
        <v>0</v>
      </c>
      <c r="AG808" s="5">
        <v>0</v>
      </c>
      <c r="AH808" s="7">
        <f t="shared" si="96"/>
        <v>3561.2484270955679</v>
      </c>
      <c r="AI808" s="8">
        <f t="shared" si="97"/>
        <v>10517.553688022243</v>
      </c>
      <c r="AJ808" s="6">
        <v>0</v>
      </c>
      <c r="AK808" s="5">
        <v>0</v>
      </c>
      <c r="AL808" s="6">
        <v>0</v>
      </c>
      <c r="AM808" s="5">
        <v>0</v>
      </c>
      <c r="AN808" s="6">
        <v>220</v>
      </c>
      <c r="AO808" s="5">
        <v>665.03687044215292</v>
      </c>
      <c r="AP808" s="6">
        <v>2320</v>
      </c>
      <c r="AQ808" s="5">
        <v>7013.116088299068</v>
      </c>
      <c r="AR808" s="6">
        <v>700</v>
      </c>
      <c r="AS808" s="5">
        <v>2225.4760476394931</v>
      </c>
      <c r="AT808" s="6">
        <v>340</v>
      </c>
      <c r="AU808" s="5">
        <v>1080.945508853468</v>
      </c>
      <c r="AV808" s="6">
        <v>340</v>
      </c>
      <c r="AW808" s="5">
        <v>1080.945508853468</v>
      </c>
      <c r="AX808" s="6">
        <v>0</v>
      </c>
      <c r="AY808" s="5">
        <v>0</v>
      </c>
      <c r="AZ808" s="6">
        <v>0</v>
      </c>
      <c r="BA808" s="5">
        <v>0</v>
      </c>
      <c r="BB808" s="6">
        <v>0</v>
      </c>
      <c r="BC808" s="5">
        <v>0</v>
      </c>
      <c r="BD808" s="6">
        <v>0</v>
      </c>
      <c r="BE808" s="5">
        <v>0</v>
      </c>
      <c r="BF808" s="6">
        <v>0</v>
      </c>
      <c r="BG808" s="5">
        <v>0</v>
      </c>
      <c r="BH808" s="9">
        <f t="shared" si="98"/>
        <v>3920</v>
      </c>
      <c r="BI808" s="10">
        <f t="shared" si="99"/>
        <v>12065.520024087651</v>
      </c>
      <c r="BJ808" s="6">
        <f t="shared" si="100"/>
        <v>358.75157290443212</v>
      </c>
      <c r="BK808" s="11">
        <f t="shared" si="101"/>
        <v>0.10073758690207905</v>
      </c>
      <c r="BL808" s="5">
        <f t="shared" si="102"/>
        <v>1547.9663360654085</v>
      </c>
      <c r="BM808" s="11">
        <f t="shared" si="103"/>
        <v>0.14717931393383679</v>
      </c>
    </row>
    <row r="809" spans="1:65" ht="15" customHeight="1" x14ac:dyDescent="0.4">
      <c r="A809" s="2" t="s">
        <v>589</v>
      </c>
      <c r="B809" s="2" t="s">
        <v>66</v>
      </c>
      <c r="C809" s="2" t="s">
        <v>622</v>
      </c>
      <c r="D809" s="3" t="s">
        <v>68</v>
      </c>
      <c r="E809" s="3" t="s">
        <v>231</v>
      </c>
      <c r="F809" s="2" t="s">
        <v>232</v>
      </c>
      <c r="G809" s="4">
        <v>200</v>
      </c>
      <c r="H809" s="5">
        <v>2.96</v>
      </c>
      <c r="I809" s="5">
        <v>3.0854375180388289</v>
      </c>
      <c r="J809" s="6">
        <v>0</v>
      </c>
      <c r="K809" s="5">
        <v>0</v>
      </c>
      <c r="L809" s="6">
        <v>0</v>
      </c>
      <c r="M809" s="5">
        <v>0</v>
      </c>
      <c r="N809" s="6">
        <v>0</v>
      </c>
      <c r="O809" s="5">
        <v>0</v>
      </c>
      <c r="P809" s="6">
        <v>0</v>
      </c>
      <c r="Q809" s="5">
        <v>0</v>
      </c>
      <c r="R809" s="6">
        <v>593.54140451592798</v>
      </c>
      <c r="S809" s="5">
        <v>1756.882557367147</v>
      </c>
      <c r="T809" s="6">
        <v>0</v>
      </c>
      <c r="U809" s="5">
        <v>0</v>
      </c>
      <c r="V809" s="6">
        <v>0</v>
      </c>
      <c r="W809" s="5">
        <v>0</v>
      </c>
      <c r="X809" s="6">
        <v>0</v>
      </c>
      <c r="Y809" s="5">
        <v>0</v>
      </c>
      <c r="Z809" s="6">
        <v>0</v>
      </c>
      <c r="AA809" s="5">
        <v>0</v>
      </c>
      <c r="AB809" s="6">
        <v>0</v>
      </c>
      <c r="AC809" s="5">
        <v>0</v>
      </c>
      <c r="AD809" s="6">
        <v>0</v>
      </c>
      <c r="AE809" s="5">
        <v>0</v>
      </c>
      <c r="AF809" s="6">
        <v>0</v>
      </c>
      <c r="AG809" s="5">
        <v>0</v>
      </c>
      <c r="AH809" s="7">
        <f t="shared" si="96"/>
        <v>593.54140451592798</v>
      </c>
      <c r="AI809" s="8">
        <f t="shared" si="97"/>
        <v>1756.882557367147</v>
      </c>
      <c r="AJ809" s="6">
        <v>0</v>
      </c>
      <c r="AK809" s="5">
        <v>0</v>
      </c>
      <c r="AL809" s="6">
        <v>0</v>
      </c>
      <c r="AM809" s="5">
        <v>0</v>
      </c>
      <c r="AN809" s="6">
        <v>0</v>
      </c>
      <c r="AO809" s="5">
        <v>0</v>
      </c>
      <c r="AP809" s="6">
        <v>0</v>
      </c>
      <c r="AQ809" s="5">
        <v>0</v>
      </c>
      <c r="AR809" s="6">
        <v>600</v>
      </c>
      <c r="AS809" s="5">
        <v>1851.2625108232969</v>
      </c>
      <c r="AT809" s="6">
        <v>0</v>
      </c>
      <c r="AU809" s="5">
        <v>0</v>
      </c>
      <c r="AV809" s="6">
        <v>0</v>
      </c>
      <c r="AW809" s="5">
        <v>0</v>
      </c>
      <c r="AX809" s="6">
        <v>0</v>
      </c>
      <c r="AY809" s="5">
        <v>0</v>
      </c>
      <c r="AZ809" s="6">
        <v>0</v>
      </c>
      <c r="BA809" s="5">
        <v>0</v>
      </c>
      <c r="BB809" s="6">
        <v>0</v>
      </c>
      <c r="BC809" s="5">
        <v>0</v>
      </c>
      <c r="BD809" s="6">
        <v>0</v>
      </c>
      <c r="BE809" s="5">
        <v>0</v>
      </c>
      <c r="BF809" s="6">
        <v>0</v>
      </c>
      <c r="BG809" s="5">
        <v>0</v>
      </c>
      <c r="BH809" s="9">
        <f t="shared" si="98"/>
        <v>600</v>
      </c>
      <c r="BI809" s="10">
        <f t="shared" si="99"/>
        <v>1851.2625108232969</v>
      </c>
      <c r="BJ809" s="6">
        <f t="shared" si="100"/>
        <v>6.4585954840720206</v>
      </c>
      <c r="BK809" s="11">
        <f t="shared" si="101"/>
        <v>1.0881457359052195E-2</v>
      </c>
      <c r="BL809" s="5">
        <f t="shared" si="102"/>
        <v>94.379953456149906</v>
      </c>
      <c r="BM809" s="11">
        <f t="shared" si="103"/>
        <v>5.372012663019838E-2</v>
      </c>
    </row>
    <row r="810" spans="1:65" ht="15" customHeight="1" x14ac:dyDescent="0.4">
      <c r="A810" s="2" t="s">
        <v>589</v>
      </c>
      <c r="B810" s="2" t="s">
        <v>66</v>
      </c>
      <c r="C810" s="2" t="s">
        <v>622</v>
      </c>
      <c r="D810" s="3" t="s">
        <v>68</v>
      </c>
      <c r="E810" s="3" t="s">
        <v>162</v>
      </c>
      <c r="F810" s="2" t="s">
        <v>163</v>
      </c>
      <c r="G810" s="4">
        <v>5</v>
      </c>
      <c r="H810" s="5">
        <v>6.8886111111111106</v>
      </c>
      <c r="I810" s="5">
        <v>7.180848861902609</v>
      </c>
      <c r="J810" s="6">
        <v>0</v>
      </c>
      <c r="K810" s="5">
        <v>0</v>
      </c>
      <c r="L810" s="6">
        <v>870.5273932900277</v>
      </c>
      <c r="M810" s="5">
        <v>5902.175726506387</v>
      </c>
      <c r="N810" s="6">
        <v>98.92356741932133</v>
      </c>
      <c r="O810" s="5">
        <v>670.70178710299854</v>
      </c>
      <c r="P810" s="6">
        <v>0</v>
      </c>
      <c r="Q810" s="5">
        <v>0</v>
      </c>
      <c r="R810" s="6">
        <v>197.84713483864269</v>
      </c>
      <c r="S810" s="5">
        <v>1408.671600051136</v>
      </c>
      <c r="T810" s="6">
        <v>257.20127529023551</v>
      </c>
      <c r="U810" s="5">
        <v>1831.273080066476</v>
      </c>
      <c r="V810" s="6">
        <v>0</v>
      </c>
      <c r="W810" s="5">
        <v>0</v>
      </c>
      <c r="X810" s="6">
        <v>0</v>
      </c>
      <c r="Y810" s="5">
        <v>0</v>
      </c>
      <c r="Z810" s="6">
        <v>0</v>
      </c>
      <c r="AA810" s="5">
        <v>0</v>
      </c>
      <c r="AB810" s="6">
        <v>0</v>
      </c>
      <c r="AC810" s="5">
        <v>0</v>
      </c>
      <c r="AD810" s="6">
        <v>0</v>
      </c>
      <c r="AE810" s="5">
        <v>0</v>
      </c>
      <c r="AF810" s="6">
        <v>0</v>
      </c>
      <c r="AG810" s="5">
        <v>0</v>
      </c>
      <c r="AH810" s="7">
        <f t="shared" si="96"/>
        <v>1424.4993708382274</v>
      </c>
      <c r="AI810" s="8">
        <f t="shared" si="97"/>
        <v>9812.8221937269973</v>
      </c>
      <c r="AJ810" s="6">
        <v>0</v>
      </c>
      <c r="AK810" s="5">
        <v>0</v>
      </c>
      <c r="AL810" s="6">
        <v>1095</v>
      </c>
      <c r="AM810" s="5">
        <v>7738.7150938081313</v>
      </c>
      <c r="AN810" s="6">
        <v>125</v>
      </c>
      <c r="AO810" s="5">
        <v>883.41496504659017</v>
      </c>
      <c r="AP810" s="6">
        <v>0</v>
      </c>
      <c r="AQ810" s="5">
        <v>0</v>
      </c>
      <c r="AR810" s="6">
        <v>250</v>
      </c>
      <c r="AS810" s="5">
        <v>1855.432020982809</v>
      </c>
      <c r="AT810" s="6">
        <v>325</v>
      </c>
      <c r="AU810" s="5">
        <v>2412.061627277651</v>
      </c>
      <c r="AV810" s="6">
        <v>0</v>
      </c>
      <c r="AW810" s="5">
        <v>0</v>
      </c>
      <c r="AX810" s="6">
        <v>0</v>
      </c>
      <c r="AY810" s="5">
        <v>0</v>
      </c>
      <c r="AZ810" s="6">
        <v>0</v>
      </c>
      <c r="BA810" s="5">
        <v>0</v>
      </c>
      <c r="BB810" s="6">
        <v>0</v>
      </c>
      <c r="BC810" s="5">
        <v>0</v>
      </c>
      <c r="BD810" s="6">
        <v>0</v>
      </c>
      <c r="BE810" s="5">
        <v>0</v>
      </c>
      <c r="BF810" s="6">
        <v>0</v>
      </c>
      <c r="BG810" s="5">
        <v>0</v>
      </c>
      <c r="BH810" s="9">
        <f t="shared" si="98"/>
        <v>1795</v>
      </c>
      <c r="BI810" s="10">
        <f t="shared" si="99"/>
        <v>12889.623707115183</v>
      </c>
      <c r="BJ810" s="6">
        <f t="shared" si="100"/>
        <v>370.50062916177262</v>
      </c>
      <c r="BK810" s="11">
        <f t="shared" si="101"/>
        <v>0.26009181663854053</v>
      </c>
      <c r="BL810" s="5">
        <f t="shared" si="102"/>
        <v>3076.8015133881854</v>
      </c>
      <c r="BM810" s="11">
        <f t="shared" si="103"/>
        <v>0.31354909450566421</v>
      </c>
    </row>
    <row r="811" spans="1:65" ht="15" customHeight="1" x14ac:dyDescent="0.4">
      <c r="A811" s="2" t="s">
        <v>589</v>
      </c>
      <c r="B811" s="2" t="s">
        <v>66</v>
      </c>
      <c r="C811" s="2" t="s">
        <v>622</v>
      </c>
      <c r="D811" s="3" t="s">
        <v>68</v>
      </c>
      <c r="E811" s="3" t="s">
        <v>164</v>
      </c>
      <c r="F811" s="2" t="s">
        <v>165</v>
      </c>
      <c r="G811" s="4">
        <v>20</v>
      </c>
      <c r="H811" s="5">
        <v>6.8499999999999988</v>
      </c>
      <c r="I811" s="5">
        <v>7.1402861481641802</v>
      </c>
      <c r="J811" s="6">
        <v>0</v>
      </c>
      <c r="K811" s="5">
        <v>0</v>
      </c>
      <c r="L811" s="6">
        <v>0</v>
      </c>
      <c r="M811" s="5">
        <v>0</v>
      </c>
      <c r="N811" s="6">
        <v>0</v>
      </c>
      <c r="O811" s="5">
        <v>0</v>
      </c>
      <c r="P811" s="6">
        <v>0</v>
      </c>
      <c r="Q811" s="5">
        <v>0</v>
      </c>
      <c r="R811" s="6">
        <v>197.84713483864269</v>
      </c>
      <c r="S811" s="5">
        <v>1355.252873644702</v>
      </c>
      <c r="T811" s="6">
        <v>0</v>
      </c>
      <c r="U811" s="5">
        <v>0</v>
      </c>
      <c r="V811" s="6">
        <v>0</v>
      </c>
      <c r="W811" s="5">
        <v>0</v>
      </c>
      <c r="X811" s="6">
        <v>0</v>
      </c>
      <c r="Y811" s="5">
        <v>0</v>
      </c>
      <c r="Z811" s="6">
        <v>0</v>
      </c>
      <c r="AA811" s="5">
        <v>0</v>
      </c>
      <c r="AB811" s="6">
        <v>0</v>
      </c>
      <c r="AC811" s="5">
        <v>0</v>
      </c>
      <c r="AD811" s="6">
        <v>0</v>
      </c>
      <c r="AE811" s="5">
        <v>0</v>
      </c>
      <c r="AF811" s="6">
        <v>0</v>
      </c>
      <c r="AG811" s="5">
        <v>0</v>
      </c>
      <c r="AH811" s="7">
        <f t="shared" si="96"/>
        <v>197.84713483864269</v>
      </c>
      <c r="AI811" s="8">
        <f t="shared" si="97"/>
        <v>1355.252873644702</v>
      </c>
      <c r="AJ811" s="6">
        <v>0</v>
      </c>
      <c r="AK811" s="5">
        <v>0</v>
      </c>
      <c r="AL811" s="6">
        <v>0</v>
      </c>
      <c r="AM811" s="5">
        <v>0</v>
      </c>
      <c r="AN811" s="6">
        <v>0</v>
      </c>
      <c r="AO811" s="5">
        <v>0</v>
      </c>
      <c r="AP811" s="6">
        <v>0</v>
      </c>
      <c r="AQ811" s="5">
        <v>0</v>
      </c>
      <c r="AR811" s="6">
        <v>240</v>
      </c>
      <c r="AS811" s="5">
        <v>1713.668675559403</v>
      </c>
      <c r="AT811" s="6">
        <v>0</v>
      </c>
      <c r="AU811" s="5">
        <v>0</v>
      </c>
      <c r="AV811" s="6">
        <v>0</v>
      </c>
      <c r="AW811" s="5">
        <v>0</v>
      </c>
      <c r="AX811" s="6">
        <v>0</v>
      </c>
      <c r="AY811" s="5">
        <v>0</v>
      </c>
      <c r="AZ811" s="6">
        <v>0</v>
      </c>
      <c r="BA811" s="5">
        <v>0</v>
      </c>
      <c r="BB811" s="6">
        <v>0</v>
      </c>
      <c r="BC811" s="5">
        <v>0</v>
      </c>
      <c r="BD811" s="6">
        <v>0</v>
      </c>
      <c r="BE811" s="5">
        <v>0</v>
      </c>
      <c r="BF811" s="6">
        <v>0</v>
      </c>
      <c r="BG811" s="5">
        <v>0</v>
      </c>
      <c r="BH811" s="9">
        <f t="shared" si="98"/>
        <v>240</v>
      </c>
      <c r="BI811" s="10">
        <f t="shared" si="99"/>
        <v>1713.668675559403</v>
      </c>
      <c r="BJ811" s="6">
        <f t="shared" si="100"/>
        <v>42.152865161357312</v>
      </c>
      <c r="BK811" s="11">
        <f t="shared" si="101"/>
        <v>0.21305774883086245</v>
      </c>
      <c r="BL811" s="5">
        <f t="shared" si="102"/>
        <v>358.41580191470098</v>
      </c>
      <c r="BM811" s="11">
        <f t="shared" si="103"/>
        <v>0.26446415195623818</v>
      </c>
    </row>
    <row r="812" spans="1:65" ht="15" customHeight="1" x14ac:dyDescent="0.4">
      <c r="A812" s="2" t="s">
        <v>589</v>
      </c>
      <c r="B812" s="2" t="s">
        <v>66</v>
      </c>
      <c r="C812" s="2" t="s">
        <v>622</v>
      </c>
      <c r="D812" s="3" t="s">
        <v>68</v>
      </c>
      <c r="E812" s="3" t="s">
        <v>94</v>
      </c>
      <c r="F812" s="2" t="s">
        <v>130</v>
      </c>
      <c r="G812" s="4">
        <v>20</v>
      </c>
      <c r="H812" s="5">
        <v>1.86</v>
      </c>
      <c r="I812" s="5">
        <v>1.9388222241730479</v>
      </c>
      <c r="J812" s="6">
        <v>0</v>
      </c>
      <c r="K812" s="5">
        <v>0</v>
      </c>
      <c r="L812" s="6">
        <v>2097.179629289612</v>
      </c>
      <c r="M812" s="5">
        <v>3900.7541104786778</v>
      </c>
      <c r="N812" s="6">
        <v>0</v>
      </c>
      <c r="O812" s="5">
        <v>0</v>
      </c>
      <c r="P812" s="6">
        <v>0</v>
      </c>
      <c r="Q812" s="5">
        <v>0</v>
      </c>
      <c r="R812" s="6">
        <v>0</v>
      </c>
      <c r="S812" s="5">
        <v>0</v>
      </c>
      <c r="T812" s="6">
        <v>0</v>
      </c>
      <c r="U812" s="5">
        <v>0</v>
      </c>
      <c r="V812" s="6">
        <v>0</v>
      </c>
      <c r="W812" s="5">
        <v>0</v>
      </c>
      <c r="X812" s="6">
        <v>0</v>
      </c>
      <c r="Y812" s="5">
        <v>0</v>
      </c>
      <c r="Z812" s="6">
        <v>0</v>
      </c>
      <c r="AA812" s="5">
        <v>0</v>
      </c>
      <c r="AB812" s="6">
        <v>0</v>
      </c>
      <c r="AC812" s="5">
        <v>0</v>
      </c>
      <c r="AD812" s="6">
        <v>0</v>
      </c>
      <c r="AE812" s="5">
        <v>0</v>
      </c>
      <c r="AF812" s="6">
        <v>0</v>
      </c>
      <c r="AG812" s="5">
        <v>0</v>
      </c>
      <c r="AH812" s="7">
        <f t="shared" si="96"/>
        <v>2097.179629289612</v>
      </c>
      <c r="AI812" s="8">
        <f t="shared" si="97"/>
        <v>3900.7541104786778</v>
      </c>
      <c r="AJ812" s="6">
        <v>0</v>
      </c>
      <c r="AK812" s="5">
        <v>0</v>
      </c>
      <c r="AL812" s="6">
        <v>2280</v>
      </c>
      <c r="AM812" s="5">
        <v>4420.5146711145489</v>
      </c>
      <c r="AN812" s="6">
        <v>0</v>
      </c>
      <c r="AO812" s="5">
        <v>0</v>
      </c>
      <c r="AP812" s="6">
        <v>0</v>
      </c>
      <c r="AQ812" s="5">
        <v>0</v>
      </c>
      <c r="AR812" s="6">
        <v>0</v>
      </c>
      <c r="AS812" s="5">
        <v>0</v>
      </c>
      <c r="AT812" s="6">
        <v>0</v>
      </c>
      <c r="AU812" s="5">
        <v>0</v>
      </c>
      <c r="AV812" s="6">
        <v>0</v>
      </c>
      <c r="AW812" s="5">
        <v>0</v>
      </c>
      <c r="AX812" s="6">
        <v>0</v>
      </c>
      <c r="AY812" s="5">
        <v>0</v>
      </c>
      <c r="AZ812" s="6">
        <v>0</v>
      </c>
      <c r="BA812" s="5">
        <v>0</v>
      </c>
      <c r="BB812" s="6">
        <v>0</v>
      </c>
      <c r="BC812" s="5">
        <v>0</v>
      </c>
      <c r="BD812" s="6">
        <v>0</v>
      </c>
      <c r="BE812" s="5">
        <v>0</v>
      </c>
      <c r="BF812" s="6">
        <v>0</v>
      </c>
      <c r="BG812" s="5">
        <v>0</v>
      </c>
      <c r="BH812" s="9">
        <f t="shared" si="98"/>
        <v>2280</v>
      </c>
      <c r="BI812" s="10">
        <f t="shared" si="99"/>
        <v>4420.5146711145489</v>
      </c>
      <c r="BJ812" s="6">
        <f t="shared" si="100"/>
        <v>182.82037071038803</v>
      </c>
      <c r="BK812" s="11">
        <f t="shared" si="101"/>
        <v>8.7174397537093995E-2</v>
      </c>
      <c r="BL812" s="5">
        <f t="shared" si="102"/>
        <v>519.76056063587112</v>
      </c>
      <c r="BM812" s="11">
        <f t="shared" si="103"/>
        <v>0.13324617392304411</v>
      </c>
    </row>
    <row r="813" spans="1:65" ht="15" customHeight="1" x14ac:dyDescent="0.4">
      <c r="A813" s="2" t="s">
        <v>589</v>
      </c>
      <c r="B813" s="2" t="s">
        <v>66</v>
      </c>
      <c r="C813" s="2" t="s">
        <v>622</v>
      </c>
      <c r="D813" s="3" t="s">
        <v>68</v>
      </c>
      <c r="E813" s="3" t="s">
        <v>94</v>
      </c>
      <c r="F813" s="2" t="s">
        <v>95</v>
      </c>
      <c r="G813" s="4">
        <v>20</v>
      </c>
      <c r="H813" s="5">
        <v>1.875</v>
      </c>
      <c r="I813" s="5">
        <v>1.9543060847168661</v>
      </c>
      <c r="J813" s="6">
        <v>0</v>
      </c>
      <c r="K813" s="5">
        <v>0</v>
      </c>
      <c r="L813" s="6">
        <v>0</v>
      </c>
      <c r="M813" s="5">
        <v>0</v>
      </c>
      <c r="N813" s="6">
        <v>0</v>
      </c>
      <c r="O813" s="5">
        <v>0</v>
      </c>
      <c r="P813" s="6">
        <v>1582.7770787091411</v>
      </c>
      <c r="Q813" s="5">
        <v>2943.965366399003</v>
      </c>
      <c r="R813" s="6">
        <v>316.55541574182831</v>
      </c>
      <c r="S813" s="5">
        <v>617.28306069656503</v>
      </c>
      <c r="T813" s="6">
        <v>0</v>
      </c>
      <c r="U813" s="5">
        <v>0</v>
      </c>
      <c r="V813" s="6">
        <v>0</v>
      </c>
      <c r="W813" s="5">
        <v>0</v>
      </c>
      <c r="X813" s="6">
        <v>0</v>
      </c>
      <c r="Y813" s="5">
        <v>0</v>
      </c>
      <c r="Z813" s="6">
        <v>0</v>
      </c>
      <c r="AA813" s="5">
        <v>0</v>
      </c>
      <c r="AB813" s="6">
        <v>0</v>
      </c>
      <c r="AC813" s="5">
        <v>0</v>
      </c>
      <c r="AD813" s="6">
        <v>0</v>
      </c>
      <c r="AE813" s="5">
        <v>0</v>
      </c>
      <c r="AF813" s="6">
        <v>0</v>
      </c>
      <c r="AG813" s="5">
        <v>0</v>
      </c>
      <c r="AH813" s="7">
        <f t="shared" si="96"/>
        <v>1899.3324944509693</v>
      </c>
      <c r="AI813" s="8">
        <f t="shared" si="97"/>
        <v>3561.2484270955679</v>
      </c>
      <c r="AJ813" s="6">
        <v>0</v>
      </c>
      <c r="AK813" s="5">
        <v>0</v>
      </c>
      <c r="AL813" s="6">
        <v>0</v>
      </c>
      <c r="AM813" s="5">
        <v>0</v>
      </c>
      <c r="AN813" s="6">
        <v>0</v>
      </c>
      <c r="AO813" s="5">
        <v>0</v>
      </c>
      <c r="AP813" s="6">
        <v>1720</v>
      </c>
      <c r="AQ813" s="5">
        <v>3334.774225577642</v>
      </c>
      <c r="AR813" s="6">
        <v>340</v>
      </c>
      <c r="AS813" s="5">
        <v>691.09630893910241</v>
      </c>
      <c r="AT813" s="6">
        <v>0</v>
      </c>
      <c r="AU813" s="5">
        <v>0</v>
      </c>
      <c r="AV813" s="6">
        <v>0</v>
      </c>
      <c r="AW813" s="5">
        <v>0</v>
      </c>
      <c r="AX813" s="6">
        <v>0</v>
      </c>
      <c r="AY813" s="5">
        <v>0</v>
      </c>
      <c r="AZ813" s="6">
        <v>0</v>
      </c>
      <c r="BA813" s="5">
        <v>0</v>
      </c>
      <c r="BB813" s="6">
        <v>0</v>
      </c>
      <c r="BC813" s="5">
        <v>0</v>
      </c>
      <c r="BD813" s="6">
        <v>0</v>
      </c>
      <c r="BE813" s="5">
        <v>0</v>
      </c>
      <c r="BF813" s="6">
        <v>0</v>
      </c>
      <c r="BG813" s="5">
        <v>0</v>
      </c>
      <c r="BH813" s="9">
        <f t="shared" si="98"/>
        <v>2060</v>
      </c>
      <c r="BI813" s="10">
        <f t="shared" si="99"/>
        <v>4025.8705345167446</v>
      </c>
      <c r="BJ813" s="6">
        <f t="shared" si="100"/>
        <v>160.66750554903069</v>
      </c>
      <c r="BK813" s="11">
        <f t="shared" si="101"/>
        <v>8.4591563624816554E-2</v>
      </c>
      <c r="BL813" s="5">
        <f t="shared" si="102"/>
        <v>464.62210742117668</v>
      </c>
      <c r="BM813" s="11">
        <f t="shared" si="103"/>
        <v>0.13046607585309811</v>
      </c>
    </row>
    <row r="814" spans="1:65" ht="15" customHeight="1" x14ac:dyDescent="0.4">
      <c r="A814" s="2" t="s">
        <v>589</v>
      </c>
      <c r="B814" s="2" t="s">
        <v>66</v>
      </c>
      <c r="C814" s="2" t="s">
        <v>622</v>
      </c>
      <c r="D814" s="3" t="s">
        <v>68</v>
      </c>
      <c r="E814" s="3" t="s">
        <v>235</v>
      </c>
      <c r="F814" s="2" t="s">
        <v>619</v>
      </c>
      <c r="G814" s="4">
        <v>200</v>
      </c>
      <c r="H814" s="5">
        <v>1.783333333333333</v>
      </c>
      <c r="I814" s="5">
        <v>1.858906612782403</v>
      </c>
      <c r="J814" s="6">
        <v>0</v>
      </c>
      <c r="K814" s="5">
        <v>0</v>
      </c>
      <c r="L814" s="6">
        <v>0</v>
      </c>
      <c r="M814" s="5">
        <v>0</v>
      </c>
      <c r="N814" s="6">
        <v>0</v>
      </c>
      <c r="O814" s="5">
        <v>0</v>
      </c>
      <c r="P814" s="6">
        <v>395.69426967728532</v>
      </c>
      <c r="Q814" s="5">
        <v>688.50802923847641</v>
      </c>
      <c r="R814" s="6">
        <v>0</v>
      </c>
      <c r="S814" s="5">
        <v>0</v>
      </c>
      <c r="T814" s="6">
        <v>197.84713483864269</v>
      </c>
      <c r="U814" s="5">
        <v>369.97414214826182</v>
      </c>
      <c r="V814" s="6">
        <v>0</v>
      </c>
      <c r="W814" s="5">
        <v>0</v>
      </c>
      <c r="X814" s="6">
        <v>0</v>
      </c>
      <c r="Y814" s="5">
        <v>0</v>
      </c>
      <c r="Z814" s="6">
        <v>0</v>
      </c>
      <c r="AA814" s="5">
        <v>0</v>
      </c>
      <c r="AB814" s="6">
        <v>0</v>
      </c>
      <c r="AC814" s="5">
        <v>0</v>
      </c>
      <c r="AD814" s="6">
        <v>0</v>
      </c>
      <c r="AE814" s="5">
        <v>0</v>
      </c>
      <c r="AF814" s="6">
        <v>0</v>
      </c>
      <c r="AG814" s="5">
        <v>0</v>
      </c>
      <c r="AH814" s="7">
        <f t="shared" si="96"/>
        <v>593.54140451592798</v>
      </c>
      <c r="AI814" s="8">
        <f t="shared" si="97"/>
        <v>1058.4821713867382</v>
      </c>
      <c r="AJ814" s="6">
        <v>0</v>
      </c>
      <c r="AK814" s="5">
        <v>0</v>
      </c>
      <c r="AL814" s="6">
        <v>0</v>
      </c>
      <c r="AM814" s="5">
        <v>0</v>
      </c>
      <c r="AN814" s="6">
        <v>0</v>
      </c>
      <c r="AO814" s="5">
        <v>0</v>
      </c>
      <c r="AP814" s="6">
        <v>400</v>
      </c>
      <c r="AQ814" s="5">
        <v>725.49476775507594</v>
      </c>
      <c r="AR814" s="6">
        <v>0</v>
      </c>
      <c r="AS814" s="5">
        <v>0</v>
      </c>
      <c r="AT814" s="6">
        <v>200</v>
      </c>
      <c r="AU814" s="5">
        <v>389.8491999143655</v>
      </c>
      <c r="AV814" s="6">
        <v>0</v>
      </c>
      <c r="AW814" s="5">
        <v>0</v>
      </c>
      <c r="AX814" s="6">
        <v>0</v>
      </c>
      <c r="AY814" s="5">
        <v>0</v>
      </c>
      <c r="AZ814" s="6">
        <v>0</v>
      </c>
      <c r="BA814" s="5">
        <v>0</v>
      </c>
      <c r="BB814" s="6">
        <v>0</v>
      </c>
      <c r="BC814" s="5">
        <v>0</v>
      </c>
      <c r="BD814" s="6">
        <v>0</v>
      </c>
      <c r="BE814" s="5">
        <v>0</v>
      </c>
      <c r="BF814" s="6">
        <v>0</v>
      </c>
      <c r="BG814" s="5">
        <v>0</v>
      </c>
      <c r="BH814" s="9">
        <f t="shared" si="98"/>
        <v>600</v>
      </c>
      <c r="BI814" s="10">
        <f t="shared" si="99"/>
        <v>1115.3439676694416</v>
      </c>
      <c r="BJ814" s="6">
        <f t="shared" si="100"/>
        <v>6.4585954840720206</v>
      </c>
      <c r="BK814" s="11">
        <f t="shared" si="101"/>
        <v>1.0881457359052195E-2</v>
      </c>
      <c r="BL814" s="5">
        <f t="shared" si="102"/>
        <v>56.861796282703381</v>
      </c>
      <c r="BM814" s="11">
        <f t="shared" si="103"/>
        <v>5.3720126630198817E-2</v>
      </c>
    </row>
    <row r="815" spans="1:65" ht="15" customHeight="1" x14ac:dyDescent="0.4">
      <c r="A815" s="2" t="s">
        <v>589</v>
      </c>
      <c r="B815" s="2" t="s">
        <v>66</v>
      </c>
      <c r="C815" s="2" t="s">
        <v>622</v>
      </c>
      <c r="D815" s="3" t="s">
        <v>68</v>
      </c>
      <c r="E815" s="3" t="s">
        <v>96</v>
      </c>
      <c r="F815" s="2" t="s">
        <v>268</v>
      </c>
      <c r="G815" s="4">
        <v>1000</v>
      </c>
      <c r="H815" s="5">
        <v>1.69</v>
      </c>
      <c r="I815" s="5">
        <v>1.7616180423937911</v>
      </c>
      <c r="J815" s="6">
        <v>0</v>
      </c>
      <c r="K815" s="5">
        <v>0</v>
      </c>
      <c r="L815" s="6">
        <v>0</v>
      </c>
      <c r="M815" s="5">
        <v>0</v>
      </c>
      <c r="N815" s="6">
        <v>0</v>
      </c>
      <c r="O815" s="5">
        <v>0</v>
      </c>
      <c r="P815" s="6">
        <v>0</v>
      </c>
      <c r="Q815" s="5">
        <v>0</v>
      </c>
      <c r="R815" s="6">
        <v>0</v>
      </c>
      <c r="S815" s="5">
        <v>0</v>
      </c>
      <c r="T815" s="6">
        <v>989.23567419321319</v>
      </c>
      <c r="U815" s="5">
        <v>1671.8082893865301</v>
      </c>
      <c r="V815" s="6">
        <v>0</v>
      </c>
      <c r="W815" s="5">
        <v>0</v>
      </c>
      <c r="X815" s="6">
        <v>0</v>
      </c>
      <c r="Y815" s="5">
        <v>0</v>
      </c>
      <c r="Z815" s="6">
        <v>0</v>
      </c>
      <c r="AA815" s="5">
        <v>0</v>
      </c>
      <c r="AB815" s="6">
        <v>0</v>
      </c>
      <c r="AC815" s="5">
        <v>0</v>
      </c>
      <c r="AD815" s="6">
        <v>0</v>
      </c>
      <c r="AE815" s="5">
        <v>0</v>
      </c>
      <c r="AF815" s="6">
        <v>0</v>
      </c>
      <c r="AG815" s="5">
        <v>0</v>
      </c>
      <c r="AH815" s="7">
        <f t="shared" si="96"/>
        <v>989.23567419321319</v>
      </c>
      <c r="AI815" s="8">
        <f t="shared" si="97"/>
        <v>1671.8082893865301</v>
      </c>
      <c r="AJ815" s="6">
        <v>0</v>
      </c>
      <c r="AK815" s="5">
        <v>0</v>
      </c>
      <c r="AL815" s="6">
        <v>0</v>
      </c>
      <c r="AM815" s="5">
        <v>0</v>
      </c>
      <c r="AN815" s="6">
        <v>0</v>
      </c>
      <c r="AO815" s="5">
        <v>0</v>
      </c>
      <c r="AP815" s="6">
        <v>0</v>
      </c>
      <c r="AQ815" s="5">
        <v>0</v>
      </c>
      <c r="AR815" s="6">
        <v>0</v>
      </c>
      <c r="AS815" s="5">
        <v>0</v>
      </c>
      <c r="AT815" s="6">
        <v>1000</v>
      </c>
      <c r="AU815" s="5">
        <v>1761.618042393791</v>
      </c>
      <c r="AV815" s="6">
        <v>0</v>
      </c>
      <c r="AW815" s="5">
        <v>0</v>
      </c>
      <c r="AX815" s="6">
        <v>0</v>
      </c>
      <c r="AY815" s="5">
        <v>0</v>
      </c>
      <c r="AZ815" s="6">
        <v>0</v>
      </c>
      <c r="BA815" s="5">
        <v>0</v>
      </c>
      <c r="BB815" s="6">
        <v>0</v>
      </c>
      <c r="BC815" s="5">
        <v>0</v>
      </c>
      <c r="BD815" s="6">
        <v>0</v>
      </c>
      <c r="BE815" s="5">
        <v>0</v>
      </c>
      <c r="BF815" s="6">
        <v>0</v>
      </c>
      <c r="BG815" s="5">
        <v>0</v>
      </c>
      <c r="BH815" s="9">
        <f t="shared" si="98"/>
        <v>1000</v>
      </c>
      <c r="BI815" s="10">
        <f t="shared" si="99"/>
        <v>1761.618042393791</v>
      </c>
      <c r="BJ815" s="6">
        <f t="shared" si="100"/>
        <v>10.764325806786815</v>
      </c>
      <c r="BK815" s="11">
        <f t="shared" si="101"/>
        <v>1.0881457359052311E-2</v>
      </c>
      <c r="BL815" s="5">
        <f t="shared" si="102"/>
        <v>89.809753007260952</v>
      </c>
      <c r="BM815" s="11">
        <f t="shared" si="103"/>
        <v>5.3720126630199108E-2</v>
      </c>
    </row>
    <row r="816" spans="1:65" ht="15" customHeight="1" x14ac:dyDescent="0.4">
      <c r="A816" s="2" t="s">
        <v>589</v>
      </c>
      <c r="B816" s="2" t="s">
        <v>66</v>
      </c>
      <c r="C816" s="2" t="s">
        <v>622</v>
      </c>
      <c r="D816" s="3" t="s">
        <v>68</v>
      </c>
      <c r="E816" s="3" t="s">
        <v>637</v>
      </c>
      <c r="F816" s="2" t="s">
        <v>638</v>
      </c>
      <c r="G816" s="4">
        <v>20</v>
      </c>
      <c r="H816" s="5">
        <v>10.28</v>
      </c>
      <c r="I816" s="5">
        <v>10.715641109945659</v>
      </c>
      <c r="J816" s="6">
        <v>0</v>
      </c>
      <c r="K816" s="5">
        <v>0</v>
      </c>
      <c r="L816" s="6">
        <v>316.55541574182831</v>
      </c>
      <c r="M816" s="5">
        <v>3200.3752531498831</v>
      </c>
      <c r="N816" s="6">
        <v>316.55541574182831</v>
      </c>
      <c r="O816" s="5">
        <v>3200.3752531498831</v>
      </c>
      <c r="P816" s="6">
        <v>0</v>
      </c>
      <c r="Q816" s="5">
        <v>0</v>
      </c>
      <c r="R816" s="6">
        <v>0</v>
      </c>
      <c r="S816" s="5">
        <v>0</v>
      </c>
      <c r="T816" s="6">
        <v>0</v>
      </c>
      <c r="U816" s="5">
        <v>0</v>
      </c>
      <c r="V816" s="6">
        <v>316.55541574182831</v>
      </c>
      <c r="W816" s="5">
        <v>3361.8185151782159</v>
      </c>
      <c r="X816" s="6">
        <v>0</v>
      </c>
      <c r="Y816" s="5">
        <v>0</v>
      </c>
      <c r="Z816" s="6">
        <v>0</v>
      </c>
      <c r="AA816" s="5">
        <v>0</v>
      </c>
      <c r="AB816" s="6">
        <v>0</v>
      </c>
      <c r="AC816" s="5">
        <v>0</v>
      </c>
      <c r="AD816" s="6">
        <v>0</v>
      </c>
      <c r="AE816" s="5">
        <v>0</v>
      </c>
      <c r="AF816" s="6">
        <v>0</v>
      </c>
      <c r="AG816" s="5">
        <v>0</v>
      </c>
      <c r="AH816" s="7">
        <f t="shared" si="96"/>
        <v>949.66624722548499</v>
      </c>
      <c r="AI816" s="8">
        <f t="shared" si="97"/>
        <v>9762.5690214779825</v>
      </c>
      <c r="AJ816" s="6">
        <v>0</v>
      </c>
      <c r="AK816" s="5">
        <v>0</v>
      </c>
      <c r="AL816" s="6">
        <v>340</v>
      </c>
      <c r="AM816" s="5">
        <v>3583.0685555765772</v>
      </c>
      <c r="AN816" s="6">
        <v>340</v>
      </c>
      <c r="AO816" s="5">
        <v>3583.0685555765772</v>
      </c>
      <c r="AP816" s="6">
        <v>0</v>
      </c>
      <c r="AQ816" s="5">
        <v>0</v>
      </c>
      <c r="AR816" s="6">
        <v>0</v>
      </c>
      <c r="AS816" s="5">
        <v>0</v>
      </c>
      <c r="AT816" s="6">
        <v>0</v>
      </c>
      <c r="AU816" s="5">
        <v>0</v>
      </c>
      <c r="AV816" s="6">
        <v>340</v>
      </c>
      <c r="AW816" s="5">
        <v>3763.8168209914202</v>
      </c>
      <c r="AX816" s="6">
        <v>0</v>
      </c>
      <c r="AY816" s="5">
        <v>0</v>
      </c>
      <c r="AZ816" s="6">
        <v>0</v>
      </c>
      <c r="BA816" s="5">
        <v>0</v>
      </c>
      <c r="BB816" s="6">
        <v>0</v>
      </c>
      <c r="BC816" s="5">
        <v>0</v>
      </c>
      <c r="BD816" s="6">
        <v>0</v>
      </c>
      <c r="BE816" s="5">
        <v>0</v>
      </c>
      <c r="BF816" s="6">
        <v>0</v>
      </c>
      <c r="BG816" s="5">
        <v>0</v>
      </c>
      <c r="BH816" s="9">
        <f t="shared" si="98"/>
        <v>1020</v>
      </c>
      <c r="BI816" s="10">
        <f t="shared" si="99"/>
        <v>10929.953932144574</v>
      </c>
      <c r="BJ816" s="6">
        <f t="shared" si="100"/>
        <v>70.333752774515006</v>
      </c>
      <c r="BK816" s="11">
        <f t="shared" si="101"/>
        <v>7.4061548443992695E-2</v>
      </c>
      <c r="BL816" s="5">
        <f t="shared" si="102"/>
        <v>1167.3849106665912</v>
      </c>
      <c r="BM816" s="11">
        <f t="shared" si="103"/>
        <v>0.11957763454458605</v>
      </c>
    </row>
    <row r="817" spans="1:65" ht="15" customHeight="1" x14ac:dyDescent="0.4">
      <c r="A817" s="2" t="s">
        <v>589</v>
      </c>
      <c r="B817" s="2" t="s">
        <v>66</v>
      </c>
      <c r="C817" s="2" t="s">
        <v>622</v>
      </c>
      <c r="D817" s="3" t="s">
        <v>68</v>
      </c>
      <c r="E817" s="3" t="s">
        <v>253</v>
      </c>
      <c r="F817" s="2" t="s">
        <v>254</v>
      </c>
      <c r="G817" s="4">
        <v>20</v>
      </c>
      <c r="H817" s="5">
        <v>3.46</v>
      </c>
      <c r="I817" s="5">
        <v>3.6066262879778201</v>
      </c>
      <c r="J817" s="6">
        <v>0</v>
      </c>
      <c r="K817" s="5">
        <v>0</v>
      </c>
      <c r="L817" s="6">
        <v>791.38853935457064</v>
      </c>
      <c r="M817" s="5">
        <v>2738.204346166814</v>
      </c>
      <c r="N817" s="6">
        <v>1582.7770787091411</v>
      </c>
      <c r="O817" s="5">
        <v>5476.4086923336281</v>
      </c>
      <c r="P817" s="6">
        <v>0</v>
      </c>
      <c r="Q817" s="5">
        <v>0</v>
      </c>
      <c r="R817" s="6">
        <v>0</v>
      </c>
      <c r="S817" s="5">
        <v>0</v>
      </c>
      <c r="T817" s="6">
        <v>0</v>
      </c>
      <c r="U817" s="5">
        <v>0</v>
      </c>
      <c r="V817" s="6">
        <v>0</v>
      </c>
      <c r="W817" s="5">
        <v>0</v>
      </c>
      <c r="X817" s="6">
        <v>0</v>
      </c>
      <c r="Y817" s="5">
        <v>0</v>
      </c>
      <c r="Z817" s="6">
        <v>0</v>
      </c>
      <c r="AA817" s="5">
        <v>0</v>
      </c>
      <c r="AB817" s="6">
        <v>0</v>
      </c>
      <c r="AC817" s="5">
        <v>0</v>
      </c>
      <c r="AD817" s="6">
        <v>0</v>
      </c>
      <c r="AE817" s="5">
        <v>0</v>
      </c>
      <c r="AF817" s="6">
        <v>0</v>
      </c>
      <c r="AG817" s="5">
        <v>0</v>
      </c>
      <c r="AH817" s="7">
        <f t="shared" si="96"/>
        <v>2374.1656180637119</v>
      </c>
      <c r="AI817" s="8">
        <f t="shared" si="97"/>
        <v>8214.6130385004417</v>
      </c>
      <c r="AJ817" s="6">
        <v>0</v>
      </c>
      <c r="AK817" s="5">
        <v>0</v>
      </c>
      <c r="AL817" s="6">
        <v>860</v>
      </c>
      <c r="AM817" s="5">
        <v>3101.6986076609251</v>
      </c>
      <c r="AN817" s="6">
        <v>1720</v>
      </c>
      <c r="AO817" s="5">
        <v>6203.3972153218501</v>
      </c>
      <c r="AP817" s="6">
        <v>0</v>
      </c>
      <c r="AQ817" s="5">
        <v>0</v>
      </c>
      <c r="AR817" s="6">
        <v>0</v>
      </c>
      <c r="AS817" s="5">
        <v>0</v>
      </c>
      <c r="AT817" s="6">
        <v>0</v>
      </c>
      <c r="AU817" s="5">
        <v>0</v>
      </c>
      <c r="AV817" s="6">
        <v>0</v>
      </c>
      <c r="AW817" s="5">
        <v>0</v>
      </c>
      <c r="AX817" s="6">
        <v>0</v>
      </c>
      <c r="AY817" s="5">
        <v>0</v>
      </c>
      <c r="AZ817" s="6">
        <v>0</v>
      </c>
      <c r="BA817" s="5">
        <v>0</v>
      </c>
      <c r="BB817" s="6">
        <v>0</v>
      </c>
      <c r="BC817" s="5">
        <v>0</v>
      </c>
      <c r="BD817" s="6">
        <v>0</v>
      </c>
      <c r="BE817" s="5">
        <v>0</v>
      </c>
      <c r="BF817" s="6">
        <v>0</v>
      </c>
      <c r="BG817" s="5">
        <v>0</v>
      </c>
      <c r="BH817" s="9">
        <f t="shared" si="98"/>
        <v>2580</v>
      </c>
      <c r="BI817" s="10">
        <f t="shared" si="99"/>
        <v>9305.0958229827756</v>
      </c>
      <c r="BJ817" s="6">
        <f t="shared" si="100"/>
        <v>205.83438193628808</v>
      </c>
      <c r="BK817" s="11">
        <f t="shared" si="101"/>
        <v>8.6697566660981107E-2</v>
      </c>
      <c r="BL817" s="5">
        <f t="shared" si="102"/>
        <v>1090.482784482334</v>
      </c>
      <c r="BM817" s="11">
        <f t="shared" si="103"/>
        <v>0.13274913612746378</v>
      </c>
    </row>
    <row r="818" spans="1:65" ht="15" customHeight="1" x14ac:dyDescent="0.4">
      <c r="A818" s="2" t="s">
        <v>589</v>
      </c>
      <c r="B818" s="2" t="s">
        <v>66</v>
      </c>
      <c r="C818" s="2" t="s">
        <v>622</v>
      </c>
      <c r="D818" s="3" t="s">
        <v>68</v>
      </c>
      <c r="E818" s="3" t="s">
        <v>253</v>
      </c>
      <c r="F818" s="2" t="s">
        <v>548</v>
      </c>
      <c r="G818" s="4">
        <v>20</v>
      </c>
      <c r="H818" s="5">
        <v>3.46</v>
      </c>
      <c r="I818" s="5">
        <v>3.6066262879778201</v>
      </c>
      <c r="J818" s="6">
        <v>0</v>
      </c>
      <c r="K818" s="5">
        <v>0</v>
      </c>
      <c r="L818" s="6">
        <v>0</v>
      </c>
      <c r="M818" s="5">
        <v>0</v>
      </c>
      <c r="N818" s="6">
        <v>0</v>
      </c>
      <c r="O818" s="5">
        <v>0</v>
      </c>
      <c r="P818" s="6">
        <v>0</v>
      </c>
      <c r="Q818" s="5">
        <v>0</v>
      </c>
      <c r="R818" s="6">
        <v>0</v>
      </c>
      <c r="S818" s="5">
        <v>0</v>
      </c>
      <c r="T818" s="6">
        <v>0</v>
      </c>
      <c r="U818" s="5">
        <v>0</v>
      </c>
      <c r="V818" s="6">
        <v>0</v>
      </c>
      <c r="W818" s="5">
        <v>0</v>
      </c>
      <c r="X818" s="6">
        <v>0</v>
      </c>
      <c r="Y818" s="5">
        <v>0</v>
      </c>
      <c r="Z818" s="6">
        <v>0</v>
      </c>
      <c r="AA818" s="5">
        <v>0</v>
      </c>
      <c r="AB818" s="6">
        <v>758.39691143871141</v>
      </c>
      <c r="AC818" s="5">
        <v>2624.053313577941</v>
      </c>
      <c r="AD818" s="6">
        <v>0</v>
      </c>
      <c r="AE818" s="5">
        <v>0</v>
      </c>
      <c r="AF818" s="6">
        <v>0</v>
      </c>
      <c r="AG818" s="5">
        <v>0</v>
      </c>
      <c r="AH818" s="7">
        <f t="shared" si="96"/>
        <v>758.39691143871141</v>
      </c>
      <c r="AI818" s="8">
        <f t="shared" si="97"/>
        <v>2624.053313577941</v>
      </c>
      <c r="AJ818" s="6">
        <v>0</v>
      </c>
      <c r="AK818" s="5">
        <v>0</v>
      </c>
      <c r="AL818" s="6">
        <v>0</v>
      </c>
      <c r="AM818" s="5">
        <v>0</v>
      </c>
      <c r="AN818" s="6">
        <v>0</v>
      </c>
      <c r="AO818" s="5">
        <v>0</v>
      </c>
      <c r="AP818" s="6">
        <v>0</v>
      </c>
      <c r="AQ818" s="5">
        <v>0</v>
      </c>
      <c r="AR818" s="6">
        <v>0</v>
      </c>
      <c r="AS818" s="5">
        <v>0</v>
      </c>
      <c r="AT818" s="6">
        <v>0</v>
      </c>
      <c r="AU818" s="5">
        <v>0</v>
      </c>
      <c r="AV818" s="6">
        <v>0</v>
      </c>
      <c r="AW818" s="5">
        <v>0</v>
      </c>
      <c r="AX818" s="6">
        <v>0</v>
      </c>
      <c r="AY818" s="5">
        <v>0</v>
      </c>
      <c r="AZ818" s="6">
        <v>0</v>
      </c>
      <c r="BA818" s="5">
        <v>0</v>
      </c>
      <c r="BB818" s="6">
        <v>820</v>
      </c>
      <c r="BC818" s="5">
        <v>2957.433556141812</v>
      </c>
      <c r="BD818" s="6">
        <v>0</v>
      </c>
      <c r="BE818" s="5">
        <v>0</v>
      </c>
      <c r="BF818" s="6">
        <v>0</v>
      </c>
      <c r="BG818" s="5">
        <v>0</v>
      </c>
      <c r="BH818" s="9">
        <f t="shared" si="98"/>
        <v>820</v>
      </c>
      <c r="BI818" s="10">
        <f t="shared" si="99"/>
        <v>2957.433556141812</v>
      </c>
      <c r="BJ818" s="6">
        <f t="shared" si="100"/>
        <v>61.603088561288587</v>
      </c>
      <c r="BK818" s="11">
        <f t="shared" si="101"/>
        <v>8.1228031960764308E-2</v>
      </c>
      <c r="BL818" s="5">
        <f t="shared" si="102"/>
        <v>333.38024256387098</v>
      </c>
      <c r="BM818" s="11">
        <f t="shared" si="103"/>
        <v>0.12704781600237436</v>
      </c>
    </row>
    <row r="819" spans="1:65" ht="15" customHeight="1" x14ac:dyDescent="0.4">
      <c r="A819" s="2" t="s">
        <v>589</v>
      </c>
      <c r="B819" s="2" t="s">
        <v>66</v>
      </c>
      <c r="C819" s="2" t="s">
        <v>622</v>
      </c>
      <c r="D819" s="3" t="s">
        <v>68</v>
      </c>
      <c r="E819" s="3" t="s">
        <v>140</v>
      </c>
      <c r="F819" s="2" t="s">
        <v>141</v>
      </c>
      <c r="G819" s="4">
        <v>5</v>
      </c>
      <c r="H819" s="5">
        <v>8.75</v>
      </c>
      <c r="I819" s="5">
        <v>9.1208034739323463</v>
      </c>
      <c r="J819" s="6">
        <v>0</v>
      </c>
      <c r="K819" s="5">
        <v>0</v>
      </c>
      <c r="L819" s="6">
        <v>0</v>
      </c>
      <c r="M819" s="5">
        <v>0</v>
      </c>
      <c r="N819" s="6">
        <v>0</v>
      </c>
      <c r="O819" s="5">
        <v>0</v>
      </c>
      <c r="P819" s="6">
        <v>98.92356741932133</v>
      </c>
      <c r="Q819" s="5">
        <v>865.58121491906161</v>
      </c>
      <c r="R819" s="6">
        <v>0</v>
      </c>
      <c r="S819" s="5">
        <v>0</v>
      </c>
      <c r="T819" s="6">
        <v>0</v>
      </c>
      <c r="U819" s="5">
        <v>0</v>
      </c>
      <c r="V819" s="6">
        <v>0</v>
      </c>
      <c r="W819" s="5">
        <v>0</v>
      </c>
      <c r="X819" s="6">
        <v>0</v>
      </c>
      <c r="Y819" s="5">
        <v>0</v>
      </c>
      <c r="Z819" s="6">
        <v>0</v>
      </c>
      <c r="AA819" s="5">
        <v>0</v>
      </c>
      <c r="AB819" s="6">
        <v>0</v>
      </c>
      <c r="AC819" s="5">
        <v>0</v>
      </c>
      <c r="AD819" s="6">
        <v>0</v>
      </c>
      <c r="AE819" s="5">
        <v>0</v>
      </c>
      <c r="AF819" s="6">
        <v>0</v>
      </c>
      <c r="AG819" s="5">
        <v>0</v>
      </c>
      <c r="AH819" s="7">
        <f t="shared" si="96"/>
        <v>98.92356741932133</v>
      </c>
      <c r="AI819" s="8">
        <f t="shared" si="97"/>
        <v>865.58121491906161</v>
      </c>
      <c r="AJ819" s="6">
        <v>0</v>
      </c>
      <c r="AK819" s="5">
        <v>0</v>
      </c>
      <c r="AL819" s="6">
        <v>0</v>
      </c>
      <c r="AM819" s="5">
        <v>0</v>
      </c>
      <c r="AN819" s="6">
        <v>0</v>
      </c>
      <c r="AO819" s="5">
        <v>0</v>
      </c>
      <c r="AP819" s="6">
        <v>120</v>
      </c>
      <c r="AQ819" s="5">
        <v>1094.496416871882</v>
      </c>
      <c r="AR819" s="6">
        <v>0</v>
      </c>
      <c r="AS819" s="5">
        <v>0</v>
      </c>
      <c r="AT819" s="6">
        <v>0</v>
      </c>
      <c r="AU819" s="5">
        <v>0</v>
      </c>
      <c r="AV819" s="6">
        <v>0</v>
      </c>
      <c r="AW819" s="5">
        <v>0</v>
      </c>
      <c r="AX819" s="6">
        <v>0</v>
      </c>
      <c r="AY819" s="5">
        <v>0</v>
      </c>
      <c r="AZ819" s="6">
        <v>0</v>
      </c>
      <c r="BA819" s="5">
        <v>0</v>
      </c>
      <c r="BB819" s="6">
        <v>0</v>
      </c>
      <c r="BC819" s="5">
        <v>0</v>
      </c>
      <c r="BD819" s="6">
        <v>0</v>
      </c>
      <c r="BE819" s="5">
        <v>0</v>
      </c>
      <c r="BF819" s="6">
        <v>0</v>
      </c>
      <c r="BG819" s="5">
        <v>0</v>
      </c>
      <c r="BH819" s="9">
        <f t="shared" si="98"/>
        <v>120</v>
      </c>
      <c r="BI819" s="10">
        <f t="shared" si="99"/>
        <v>1094.496416871882</v>
      </c>
      <c r="BJ819" s="6">
        <f t="shared" si="100"/>
        <v>21.07643258067867</v>
      </c>
      <c r="BK819" s="11">
        <f t="shared" si="101"/>
        <v>0.21305774883086265</v>
      </c>
      <c r="BL819" s="5">
        <f t="shared" si="102"/>
        <v>228.91520195282044</v>
      </c>
      <c r="BM819" s="11">
        <f t="shared" si="103"/>
        <v>0.26446415195623874</v>
      </c>
    </row>
    <row r="820" spans="1:65" ht="15" customHeight="1" x14ac:dyDescent="0.4">
      <c r="A820" s="2" t="s">
        <v>589</v>
      </c>
      <c r="B820" s="2" t="s">
        <v>66</v>
      </c>
      <c r="C820" s="2" t="s">
        <v>622</v>
      </c>
      <c r="D820" s="3" t="s">
        <v>68</v>
      </c>
      <c r="E820" s="3" t="s">
        <v>131</v>
      </c>
      <c r="F820" s="2" t="s">
        <v>132</v>
      </c>
      <c r="G820" s="4">
        <v>20</v>
      </c>
      <c r="H820" s="5">
        <v>1.659652173913043</v>
      </c>
      <c r="I820" s="5">
        <v>1.729959089949801</v>
      </c>
      <c r="J820" s="6">
        <v>0</v>
      </c>
      <c r="K820" s="5">
        <v>0</v>
      </c>
      <c r="L820" s="6">
        <v>0</v>
      </c>
      <c r="M820" s="5">
        <v>0</v>
      </c>
      <c r="N820" s="6">
        <v>0</v>
      </c>
      <c r="O820" s="5">
        <v>0</v>
      </c>
      <c r="P820" s="6">
        <v>3858.0191293535322</v>
      </c>
      <c r="Q820" s="5">
        <v>6018.5098417915096</v>
      </c>
      <c r="R820" s="6">
        <v>8012.8089609650269</v>
      </c>
      <c r="S820" s="5">
        <v>13461.519054421249</v>
      </c>
      <c r="T820" s="6">
        <v>7617.1146912877412</v>
      </c>
      <c r="U820" s="5">
        <v>12796.75268136341</v>
      </c>
      <c r="V820" s="6">
        <v>3264.477724837604</v>
      </c>
      <c r="W820" s="5">
        <v>5484.3225777271746</v>
      </c>
      <c r="X820" s="6">
        <v>0</v>
      </c>
      <c r="Y820" s="5">
        <v>0</v>
      </c>
      <c r="Z820" s="6">
        <v>0</v>
      </c>
      <c r="AA820" s="5">
        <v>0</v>
      </c>
      <c r="AB820" s="6">
        <v>0</v>
      </c>
      <c r="AC820" s="5">
        <v>0</v>
      </c>
      <c r="AD820" s="6">
        <v>0</v>
      </c>
      <c r="AE820" s="5">
        <v>0</v>
      </c>
      <c r="AF820" s="6">
        <v>0</v>
      </c>
      <c r="AG820" s="5">
        <v>0</v>
      </c>
      <c r="AH820" s="7">
        <f t="shared" si="96"/>
        <v>22752.420506443905</v>
      </c>
      <c r="AI820" s="8">
        <f t="shared" si="97"/>
        <v>37761.104155303343</v>
      </c>
      <c r="AJ820" s="6">
        <v>0</v>
      </c>
      <c r="AK820" s="5">
        <v>0</v>
      </c>
      <c r="AL820" s="6">
        <v>0</v>
      </c>
      <c r="AM820" s="5">
        <v>0</v>
      </c>
      <c r="AN820" s="6">
        <v>0</v>
      </c>
      <c r="AO820" s="5">
        <v>0</v>
      </c>
      <c r="AP820" s="6">
        <v>4200</v>
      </c>
      <c r="AQ820" s="5">
        <v>6829.6576412805434</v>
      </c>
      <c r="AR820" s="6">
        <v>8720</v>
      </c>
      <c r="AS820" s="5">
        <v>15270.414008196491</v>
      </c>
      <c r="AT820" s="6">
        <v>8280</v>
      </c>
      <c r="AU820" s="5">
        <v>14499.88853071869</v>
      </c>
      <c r="AV820" s="6">
        <v>3540</v>
      </c>
      <c r="AW820" s="5">
        <v>6199.2277051623396</v>
      </c>
      <c r="AX820" s="6">
        <v>0</v>
      </c>
      <c r="AY820" s="5">
        <v>0</v>
      </c>
      <c r="AZ820" s="6">
        <v>0</v>
      </c>
      <c r="BA820" s="5">
        <v>0</v>
      </c>
      <c r="BB820" s="6">
        <v>0</v>
      </c>
      <c r="BC820" s="5">
        <v>0</v>
      </c>
      <c r="BD820" s="6">
        <v>0</v>
      </c>
      <c r="BE820" s="5">
        <v>0</v>
      </c>
      <c r="BF820" s="6">
        <v>0</v>
      </c>
      <c r="BG820" s="5">
        <v>0</v>
      </c>
      <c r="BH820" s="9">
        <f t="shared" si="98"/>
        <v>24740</v>
      </c>
      <c r="BI820" s="10">
        <f t="shared" si="99"/>
        <v>42799.187885358064</v>
      </c>
      <c r="BJ820" s="6">
        <f t="shared" si="100"/>
        <v>1987.5794935560953</v>
      </c>
      <c r="BK820" s="11">
        <f t="shared" si="101"/>
        <v>8.7356837176650118E-2</v>
      </c>
      <c r="BL820" s="5">
        <f t="shared" si="102"/>
        <v>5038.0837300547209</v>
      </c>
      <c r="BM820" s="11">
        <f t="shared" si="103"/>
        <v>0.13341992621121884</v>
      </c>
    </row>
    <row r="821" spans="1:65" ht="15" customHeight="1" x14ac:dyDescent="0.4">
      <c r="A821" s="2" t="s">
        <v>589</v>
      </c>
      <c r="B821" s="2" t="s">
        <v>66</v>
      </c>
      <c r="C821" s="2" t="s">
        <v>639</v>
      </c>
      <c r="D821" s="3" t="s">
        <v>68</v>
      </c>
      <c r="E821" s="3" t="s">
        <v>110</v>
      </c>
      <c r="F821" s="2" t="s">
        <v>111</v>
      </c>
      <c r="G821" s="4">
        <v>5</v>
      </c>
      <c r="H821" s="5">
        <v>3.23</v>
      </c>
      <c r="I821" s="5">
        <v>3.366879453805883</v>
      </c>
      <c r="J821" s="6">
        <v>0</v>
      </c>
      <c r="K821" s="5">
        <v>0</v>
      </c>
      <c r="L821" s="6">
        <v>0</v>
      </c>
      <c r="M821" s="5">
        <v>0</v>
      </c>
      <c r="N821" s="6">
        <v>19.78471348386427</v>
      </c>
      <c r="O821" s="5">
        <v>63.904624552881572</v>
      </c>
      <c r="P821" s="6">
        <v>0</v>
      </c>
      <c r="Q821" s="5">
        <v>0</v>
      </c>
      <c r="R821" s="6">
        <v>0</v>
      </c>
      <c r="S821" s="5">
        <v>0</v>
      </c>
      <c r="T821" s="6">
        <v>0</v>
      </c>
      <c r="U821" s="5">
        <v>0</v>
      </c>
      <c r="V821" s="6">
        <v>0</v>
      </c>
      <c r="W821" s="5">
        <v>0</v>
      </c>
      <c r="X821" s="6">
        <v>0</v>
      </c>
      <c r="Y821" s="5">
        <v>0</v>
      </c>
      <c r="Z821" s="6">
        <v>0</v>
      </c>
      <c r="AA821" s="5">
        <v>0</v>
      </c>
      <c r="AB821" s="6">
        <v>0</v>
      </c>
      <c r="AC821" s="5">
        <v>0</v>
      </c>
      <c r="AD821" s="6">
        <v>0</v>
      </c>
      <c r="AE821" s="5">
        <v>0</v>
      </c>
      <c r="AF821" s="6">
        <v>0</v>
      </c>
      <c r="AG821" s="5">
        <v>0</v>
      </c>
      <c r="AH821" s="7">
        <f t="shared" si="96"/>
        <v>19.78471348386427</v>
      </c>
      <c r="AI821" s="8">
        <f t="shared" si="97"/>
        <v>63.904624552881572</v>
      </c>
      <c r="AJ821" s="6">
        <v>0</v>
      </c>
      <c r="AK821" s="5">
        <v>0</v>
      </c>
      <c r="AL821" s="6">
        <v>0</v>
      </c>
      <c r="AM821" s="5">
        <v>0</v>
      </c>
      <c r="AN821" s="6">
        <v>20</v>
      </c>
      <c r="AO821" s="5">
        <v>67.337589076117666</v>
      </c>
      <c r="AP821" s="6">
        <v>0</v>
      </c>
      <c r="AQ821" s="5">
        <v>0</v>
      </c>
      <c r="AR821" s="6">
        <v>0</v>
      </c>
      <c r="AS821" s="5">
        <v>0</v>
      </c>
      <c r="AT821" s="6">
        <v>0</v>
      </c>
      <c r="AU821" s="5">
        <v>0</v>
      </c>
      <c r="AV821" s="6">
        <v>0</v>
      </c>
      <c r="AW821" s="5">
        <v>0</v>
      </c>
      <c r="AX821" s="6">
        <v>0</v>
      </c>
      <c r="AY821" s="5">
        <v>0</v>
      </c>
      <c r="AZ821" s="6">
        <v>0</v>
      </c>
      <c r="BA821" s="5">
        <v>0</v>
      </c>
      <c r="BB821" s="6">
        <v>0</v>
      </c>
      <c r="BC821" s="5">
        <v>0</v>
      </c>
      <c r="BD821" s="6">
        <v>0</v>
      </c>
      <c r="BE821" s="5">
        <v>0</v>
      </c>
      <c r="BF821" s="6">
        <v>0</v>
      </c>
      <c r="BG821" s="5">
        <v>0</v>
      </c>
      <c r="BH821" s="9">
        <f t="shared" si="98"/>
        <v>20</v>
      </c>
      <c r="BI821" s="10">
        <f t="shared" si="99"/>
        <v>67.337589076117666</v>
      </c>
      <c r="BJ821" s="6">
        <f t="shared" si="100"/>
        <v>0.21528651613573047</v>
      </c>
      <c r="BK821" s="11">
        <f t="shared" si="101"/>
        <v>1.0881457359052014E-2</v>
      </c>
      <c r="BL821" s="5">
        <f t="shared" si="102"/>
        <v>3.4329645232360946</v>
      </c>
      <c r="BM821" s="11">
        <f t="shared" si="103"/>
        <v>5.3720126630198567E-2</v>
      </c>
    </row>
    <row r="822" spans="1:65" ht="15" customHeight="1" x14ac:dyDescent="0.4">
      <c r="A822" s="2" t="s">
        <v>589</v>
      </c>
      <c r="B822" s="2" t="s">
        <v>66</v>
      </c>
      <c r="C822" s="2" t="s">
        <v>639</v>
      </c>
      <c r="D822" s="3" t="s">
        <v>68</v>
      </c>
      <c r="E822" s="3" t="s">
        <v>82</v>
      </c>
      <c r="F822" s="2" t="s">
        <v>83</v>
      </c>
      <c r="G822" s="4">
        <v>20</v>
      </c>
      <c r="H822" s="5">
        <v>2.907088607594936</v>
      </c>
      <c r="I822" s="5">
        <v>3.0300820704259479</v>
      </c>
      <c r="J822" s="6">
        <v>296.77070225796399</v>
      </c>
      <c r="K822" s="5">
        <v>884.37669272873268</v>
      </c>
      <c r="L822" s="6">
        <v>0</v>
      </c>
      <c r="M822" s="5">
        <v>0</v>
      </c>
      <c r="N822" s="6">
        <v>0</v>
      </c>
      <c r="O822" s="5">
        <v>0</v>
      </c>
      <c r="P822" s="6">
        <v>0</v>
      </c>
      <c r="Q822" s="5">
        <v>0</v>
      </c>
      <c r="R822" s="6">
        <v>1266.221662967313</v>
      </c>
      <c r="S822" s="5">
        <v>3659.3806059755339</v>
      </c>
      <c r="T822" s="6">
        <v>0</v>
      </c>
      <c r="U822" s="5">
        <v>0</v>
      </c>
      <c r="V822" s="6">
        <v>0</v>
      </c>
      <c r="W822" s="5">
        <v>0</v>
      </c>
      <c r="X822" s="6">
        <v>0</v>
      </c>
      <c r="Y822" s="5">
        <v>0</v>
      </c>
      <c r="Z822" s="6">
        <v>0</v>
      </c>
      <c r="AA822" s="5">
        <v>0</v>
      </c>
      <c r="AB822" s="6">
        <v>0</v>
      </c>
      <c r="AC822" s="5">
        <v>0</v>
      </c>
      <c r="AD822" s="6">
        <v>1213.4350583019379</v>
      </c>
      <c r="AE822" s="5">
        <v>3527.5632340458619</v>
      </c>
      <c r="AF822" s="6">
        <v>0</v>
      </c>
      <c r="AG822" s="5">
        <v>0</v>
      </c>
      <c r="AH822" s="7">
        <f t="shared" si="96"/>
        <v>2776.4274235272151</v>
      </c>
      <c r="AI822" s="8">
        <f t="shared" si="97"/>
        <v>8071.3205327501291</v>
      </c>
      <c r="AJ822" s="6">
        <v>320</v>
      </c>
      <c r="AK822" s="5">
        <v>994.01122202764429</v>
      </c>
      <c r="AL822" s="6">
        <v>0</v>
      </c>
      <c r="AM822" s="5">
        <v>0</v>
      </c>
      <c r="AN822" s="6">
        <v>0</v>
      </c>
      <c r="AO822" s="5">
        <v>0</v>
      </c>
      <c r="AP822" s="6">
        <v>0</v>
      </c>
      <c r="AQ822" s="5">
        <v>0</v>
      </c>
      <c r="AR822" s="6">
        <v>1400</v>
      </c>
      <c r="AS822" s="5">
        <v>4217.459526346317</v>
      </c>
      <c r="AT822" s="6">
        <v>0</v>
      </c>
      <c r="AU822" s="5">
        <v>0</v>
      </c>
      <c r="AV822" s="6">
        <v>0</v>
      </c>
      <c r="AW822" s="5">
        <v>0</v>
      </c>
      <c r="AX822" s="6">
        <v>0</v>
      </c>
      <c r="AY822" s="5">
        <v>0</v>
      </c>
      <c r="AZ822" s="6">
        <v>0</v>
      </c>
      <c r="BA822" s="5">
        <v>0</v>
      </c>
      <c r="BB822" s="6">
        <v>0</v>
      </c>
      <c r="BC822" s="5">
        <v>0</v>
      </c>
      <c r="BD822" s="6">
        <v>1340</v>
      </c>
      <c r="BE822" s="5">
        <v>4060.5803871294411</v>
      </c>
      <c r="BF822" s="6">
        <v>0</v>
      </c>
      <c r="BG822" s="5">
        <v>0</v>
      </c>
      <c r="BH822" s="9">
        <f t="shared" si="98"/>
        <v>3060</v>
      </c>
      <c r="BI822" s="10">
        <f t="shared" si="99"/>
        <v>9272.0511355034032</v>
      </c>
      <c r="BJ822" s="6">
        <f t="shared" si="100"/>
        <v>283.57257647278493</v>
      </c>
      <c r="BK822" s="11">
        <f t="shared" si="101"/>
        <v>0.10213577854397148</v>
      </c>
      <c r="BL822" s="5">
        <f t="shared" si="102"/>
        <v>1200.7306027532741</v>
      </c>
      <c r="BM822" s="11">
        <f t="shared" si="103"/>
        <v>0.1487650747955305</v>
      </c>
    </row>
    <row r="823" spans="1:65" ht="15" customHeight="1" x14ac:dyDescent="0.4">
      <c r="A823" s="2" t="s">
        <v>589</v>
      </c>
      <c r="B823" s="2" t="s">
        <v>66</v>
      </c>
      <c r="C823" s="2" t="s">
        <v>639</v>
      </c>
      <c r="D823" s="3" t="s">
        <v>68</v>
      </c>
      <c r="E823" s="3" t="s">
        <v>221</v>
      </c>
      <c r="F823" s="2" t="s">
        <v>222</v>
      </c>
      <c r="G823" s="4">
        <v>200</v>
      </c>
      <c r="H823" s="5">
        <v>2.8257142857142861</v>
      </c>
      <c r="I823" s="5">
        <v>2.9457403138105378</v>
      </c>
      <c r="J823" s="6">
        <v>0</v>
      </c>
      <c r="K823" s="5">
        <v>0</v>
      </c>
      <c r="L823" s="6">
        <v>0</v>
      </c>
      <c r="M823" s="5">
        <v>0</v>
      </c>
      <c r="N823" s="6">
        <v>1582.7770787091411</v>
      </c>
      <c r="O823" s="5">
        <v>4574.2257574694177</v>
      </c>
      <c r="P823" s="6">
        <v>0</v>
      </c>
      <c r="Q823" s="5">
        <v>0</v>
      </c>
      <c r="R823" s="6">
        <v>3956.9426967728532</v>
      </c>
      <c r="S823" s="5">
        <v>11079.439550963991</v>
      </c>
      <c r="T823" s="6">
        <v>0</v>
      </c>
      <c r="U823" s="5">
        <v>0</v>
      </c>
      <c r="V823" s="6">
        <v>0</v>
      </c>
      <c r="W823" s="5">
        <v>0</v>
      </c>
      <c r="X823" s="6">
        <v>0</v>
      </c>
      <c r="Y823" s="5">
        <v>0</v>
      </c>
      <c r="Z823" s="6">
        <v>0</v>
      </c>
      <c r="AA823" s="5">
        <v>0</v>
      </c>
      <c r="AB823" s="6">
        <v>758.39691143871141</v>
      </c>
      <c r="AC823" s="5">
        <v>2143.0129868939589</v>
      </c>
      <c r="AD823" s="6">
        <v>2275.1907343161338</v>
      </c>
      <c r="AE823" s="5">
        <v>6429.0389606818771</v>
      </c>
      <c r="AF823" s="6">
        <v>0</v>
      </c>
      <c r="AG823" s="5">
        <v>0</v>
      </c>
      <c r="AH823" s="7">
        <f t="shared" si="96"/>
        <v>8573.307421236841</v>
      </c>
      <c r="AI823" s="8">
        <f t="shared" si="97"/>
        <v>24225.717256009244</v>
      </c>
      <c r="AJ823" s="6">
        <v>0</v>
      </c>
      <c r="AK823" s="5">
        <v>0</v>
      </c>
      <c r="AL823" s="6">
        <v>0</v>
      </c>
      <c r="AM823" s="5">
        <v>0</v>
      </c>
      <c r="AN823" s="6">
        <v>1800</v>
      </c>
      <c r="AO823" s="5">
        <v>5422.4479624452651</v>
      </c>
      <c r="AP823" s="6">
        <v>0</v>
      </c>
      <c r="AQ823" s="5">
        <v>0</v>
      </c>
      <c r="AR823" s="6">
        <v>4400</v>
      </c>
      <c r="AS823" s="5">
        <v>12842.091291296751</v>
      </c>
      <c r="AT823" s="6">
        <v>0</v>
      </c>
      <c r="AU823" s="5">
        <v>0</v>
      </c>
      <c r="AV823" s="6">
        <v>0</v>
      </c>
      <c r="AW823" s="5">
        <v>0</v>
      </c>
      <c r="AX823" s="6">
        <v>0</v>
      </c>
      <c r="AY823" s="5">
        <v>0</v>
      </c>
      <c r="AZ823" s="6">
        <v>0</v>
      </c>
      <c r="BA823" s="5">
        <v>0</v>
      </c>
      <c r="BB823" s="6">
        <v>800</v>
      </c>
      <c r="BC823" s="5">
        <v>2356.368884432743</v>
      </c>
      <c r="BD823" s="6">
        <v>2600</v>
      </c>
      <c r="BE823" s="5">
        <v>7658.1988744064138</v>
      </c>
      <c r="BF823" s="6">
        <v>0</v>
      </c>
      <c r="BG823" s="5">
        <v>0</v>
      </c>
      <c r="BH823" s="9">
        <f t="shared" si="98"/>
        <v>9600</v>
      </c>
      <c r="BI823" s="10">
        <f t="shared" si="99"/>
        <v>28279.107012581175</v>
      </c>
      <c r="BJ823" s="6">
        <f t="shared" si="100"/>
        <v>1026.692578763159</v>
      </c>
      <c r="BK823" s="11">
        <f t="shared" si="101"/>
        <v>0.11975455076064934</v>
      </c>
      <c r="BL823" s="5">
        <f t="shared" si="102"/>
        <v>4053.3897565719308</v>
      </c>
      <c r="BM823" s="11">
        <f t="shared" si="103"/>
        <v>0.16731763661472102</v>
      </c>
    </row>
    <row r="824" spans="1:65" ht="15" customHeight="1" x14ac:dyDescent="0.4">
      <c r="A824" s="2" t="s">
        <v>589</v>
      </c>
      <c r="B824" s="2" t="s">
        <v>66</v>
      </c>
      <c r="C824" s="2" t="s">
        <v>639</v>
      </c>
      <c r="D824" s="3" t="s">
        <v>68</v>
      </c>
      <c r="E824" s="3" t="s">
        <v>318</v>
      </c>
      <c r="F824" s="2" t="s">
        <v>319</v>
      </c>
      <c r="G824" s="4">
        <v>1000</v>
      </c>
      <c r="H824" s="5">
        <v>2.583076923076923</v>
      </c>
      <c r="I824" s="5">
        <v>2.690937710638853</v>
      </c>
      <c r="J824" s="6">
        <v>989.23567419321319</v>
      </c>
      <c r="K824" s="5">
        <v>2591.7974663862192</v>
      </c>
      <c r="L824" s="6">
        <v>989.23567419321319</v>
      </c>
      <c r="M824" s="5">
        <v>2591.7974663862192</v>
      </c>
      <c r="N824" s="6">
        <v>2967.7070225796401</v>
      </c>
      <c r="O824" s="5">
        <v>7775.3923991586562</v>
      </c>
      <c r="P824" s="6">
        <v>1978.4713483864259</v>
      </c>
      <c r="Q824" s="5">
        <v>5183.5949327724366</v>
      </c>
      <c r="R824" s="6">
        <v>5935.4140451592793</v>
      </c>
      <c r="S824" s="5">
        <v>15075.951674704571</v>
      </c>
      <c r="T824" s="6">
        <v>0</v>
      </c>
      <c r="U824" s="5">
        <v>0</v>
      </c>
      <c r="V824" s="6">
        <v>0</v>
      </c>
      <c r="W824" s="5">
        <v>0</v>
      </c>
      <c r="X824" s="6">
        <v>0</v>
      </c>
      <c r="Y824" s="5">
        <v>0</v>
      </c>
      <c r="Z824" s="6">
        <v>0</v>
      </c>
      <c r="AA824" s="5">
        <v>0</v>
      </c>
      <c r="AB824" s="6">
        <v>7583.969114387115</v>
      </c>
      <c r="AC824" s="5">
        <v>19589.975604701489</v>
      </c>
      <c r="AD824" s="6">
        <v>5687.9768357903358</v>
      </c>
      <c r="AE824" s="5">
        <v>14692.481703526109</v>
      </c>
      <c r="AF824" s="6">
        <v>0</v>
      </c>
      <c r="AG824" s="5">
        <v>0</v>
      </c>
      <c r="AH824" s="7">
        <f t="shared" si="96"/>
        <v>26132.009714689222</v>
      </c>
      <c r="AI824" s="8">
        <f t="shared" si="97"/>
        <v>67500.991247635699</v>
      </c>
      <c r="AJ824" s="6">
        <v>1000</v>
      </c>
      <c r="AK824" s="5">
        <v>2731.029154480314</v>
      </c>
      <c r="AL824" s="6">
        <v>1000</v>
      </c>
      <c r="AM824" s="5">
        <v>2731.029154480314</v>
      </c>
      <c r="AN824" s="6">
        <v>3000</v>
      </c>
      <c r="AO824" s="5">
        <v>8193.0874634409429</v>
      </c>
      <c r="AP824" s="6">
        <v>2000</v>
      </c>
      <c r="AQ824" s="5">
        <v>5462.0583089606289</v>
      </c>
      <c r="AR824" s="6">
        <v>7000</v>
      </c>
      <c r="AS824" s="5">
        <v>18533.472659030529</v>
      </c>
      <c r="AT824" s="6">
        <v>0</v>
      </c>
      <c r="AU824" s="5">
        <v>0</v>
      </c>
      <c r="AV824" s="6">
        <v>0</v>
      </c>
      <c r="AW824" s="5">
        <v>0</v>
      </c>
      <c r="AX824" s="6">
        <v>0</v>
      </c>
      <c r="AY824" s="5">
        <v>0</v>
      </c>
      <c r="AZ824" s="6">
        <v>0</v>
      </c>
      <c r="BA824" s="5">
        <v>0</v>
      </c>
      <c r="BB824" s="6">
        <v>8000</v>
      </c>
      <c r="BC824" s="5">
        <v>21540.33094714009</v>
      </c>
      <c r="BD824" s="6">
        <v>6000</v>
      </c>
      <c r="BE824" s="5">
        <v>16155.24821035507</v>
      </c>
      <c r="BF824" s="6">
        <v>0</v>
      </c>
      <c r="BG824" s="5">
        <v>0</v>
      </c>
      <c r="BH824" s="9">
        <f t="shared" si="98"/>
        <v>28000</v>
      </c>
      <c r="BI824" s="10">
        <f t="shared" si="99"/>
        <v>75346.255897887895</v>
      </c>
      <c r="BJ824" s="6">
        <f t="shared" si="100"/>
        <v>1867.9902853107778</v>
      </c>
      <c r="BK824" s="11">
        <f t="shared" si="101"/>
        <v>7.1482840612168863E-2</v>
      </c>
      <c r="BL824" s="5">
        <f t="shared" si="102"/>
        <v>7845.2646502521966</v>
      </c>
      <c r="BM824" s="11">
        <f t="shared" si="103"/>
        <v>0.11622443619340163</v>
      </c>
    </row>
    <row r="825" spans="1:65" ht="15" customHeight="1" x14ac:dyDescent="0.4">
      <c r="A825" s="2" t="s">
        <v>589</v>
      </c>
      <c r="B825" s="2" t="s">
        <v>66</v>
      </c>
      <c r="C825" s="2" t="s">
        <v>639</v>
      </c>
      <c r="D825" s="3" t="s">
        <v>68</v>
      </c>
      <c r="E825" s="3" t="s">
        <v>320</v>
      </c>
      <c r="F825" s="2" t="s">
        <v>626</v>
      </c>
      <c r="G825" s="4">
        <v>5</v>
      </c>
      <c r="H825" s="5">
        <v>4.93</v>
      </c>
      <c r="I825" s="5">
        <v>5.1389212715984547</v>
      </c>
      <c r="J825" s="6">
        <v>0</v>
      </c>
      <c r="K825" s="5">
        <v>0</v>
      </c>
      <c r="L825" s="6">
        <v>0</v>
      </c>
      <c r="M825" s="5">
        <v>0</v>
      </c>
      <c r="N825" s="6">
        <v>24.730891854830329</v>
      </c>
      <c r="O825" s="5">
        <v>121.9232968443135</v>
      </c>
      <c r="P825" s="6">
        <v>0</v>
      </c>
      <c r="Q825" s="5">
        <v>0</v>
      </c>
      <c r="R825" s="6">
        <v>0</v>
      </c>
      <c r="S825" s="5">
        <v>0</v>
      </c>
      <c r="T825" s="6">
        <v>0</v>
      </c>
      <c r="U825" s="5">
        <v>0</v>
      </c>
      <c r="V825" s="6">
        <v>0</v>
      </c>
      <c r="W825" s="5">
        <v>0</v>
      </c>
      <c r="X825" s="6">
        <v>0</v>
      </c>
      <c r="Y825" s="5">
        <v>0</v>
      </c>
      <c r="Z825" s="6">
        <v>0</v>
      </c>
      <c r="AA825" s="5">
        <v>0</v>
      </c>
      <c r="AB825" s="6">
        <v>0</v>
      </c>
      <c r="AC825" s="5">
        <v>0</v>
      </c>
      <c r="AD825" s="6">
        <v>0</v>
      </c>
      <c r="AE825" s="5">
        <v>0</v>
      </c>
      <c r="AF825" s="6">
        <v>0</v>
      </c>
      <c r="AG825" s="5">
        <v>0</v>
      </c>
      <c r="AH825" s="7">
        <f t="shared" si="96"/>
        <v>24.730891854830329</v>
      </c>
      <c r="AI825" s="8">
        <f t="shared" si="97"/>
        <v>121.9232968443135</v>
      </c>
      <c r="AJ825" s="6">
        <v>0</v>
      </c>
      <c r="AK825" s="5">
        <v>0</v>
      </c>
      <c r="AL825" s="6">
        <v>0</v>
      </c>
      <c r="AM825" s="5">
        <v>0</v>
      </c>
      <c r="AN825" s="6">
        <v>25</v>
      </c>
      <c r="AO825" s="5">
        <v>128.4730317899614</v>
      </c>
      <c r="AP825" s="6">
        <v>0</v>
      </c>
      <c r="AQ825" s="5">
        <v>0</v>
      </c>
      <c r="AR825" s="6">
        <v>0</v>
      </c>
      <c r="AS825" s="5">
        <v>0</v>
      </c>
      <c r="AT825" s="6">
        <v>0</v>
      </c>
      <c r="AU825" s="5">
        <v>0</v>
      </c>
      <c r="AV825" s="6">
        <v>0</v>
      </c>
      <c r="AW825" s="5">
        <v>0</v>
      </c>
      <c r="AX825" s="6">
        <v>0</v>
      </c>
      <c r="AY825" s="5">
        <v>0</v>
      </c>
      <c r="AZ825" s="6">
        <v>0</v>
      </c>
      <c r="BA825" s="5">
        <v>0</v>
      </c>
      <c r="BB825" s="6">
        <v>0</v>
      </c>
      <c r="BC825" s="5">
        <v>0</v>
      </c>
      <c r="BD825" s="6">
        <v>0</v>
      </c>
      <c r="BE825" s="5">
        <v>0</v>
      </c>
      <c r="BF825" s="6">
        <v>0</v>
      </c>
      <c r="BG825" s="5">
        <v>0</v>
      </c>
      <c r="BH825" s="9">
        <f t="shared" si="98"/>
        <v>25</v>
      </c>
      <c r="BI825" s="10">
        <f t="shared" si="99"/>
        <v>128.4730317899614</v>
      </c>
      <c r="BJ825" s="6">
        <f t="shared" si="100"/>
        <v>0.26910814516967108</v>
      </c>
      <c r="BK825" s="11">
        <f t="shared" si="101"/>
        <v>1.0881457359052341E-2</v>
      </c>
      <c r="BL825" s="5">
        <f t="shared" si="102"/>
        <v>6.5497349456478986</v>
      </c>
      <c r="BM825" s="11">
        <f t="shared" si="103"/>
        <v>5.3720126630199289E-2</v>
      </c>
    </row>
    <row r="826" spans="1:65" ht="15" customHeight="1" x14ac:dyDescent="0.4">
      <c r="A826" s="2" t="s">
        <v>589</v>
      </c>
      <c r="B826" s="2" t="s">
        <v>66</v>
      </c>
      <c r="C826" s="2" t="s">
        <v>639</v>
      </c>
      <c r="D826" s="3" t="s">
        <v>68</v>
      </c>
      <c r="E826" s="3" t="s">
        <v>314</v>
      </c>
      <c r="F826" s="2" t="s">
        <v>315</v>
      </c>
      <c r="G826" s="4">
        <v>5</v>
      </c>
      <c r="H826" s="5">
        <v>5.88</v>
      </c>
      <c r="I826" s="5">
        <v>6.1291799344825382</v>
      </c>
      <c r="J826" s="6">
        <v>74.192675564490997</v>
      </c>
      <c r="K826" s="5">
        <v>436.25293231920699</v>
      </c>
      <c r="L826" s="6">
        <v>0</v>
      </c>
      <c r="M826" s="5">
        <v>0</v>
      </c>
      <c r="N826" s="6">
        <v>0</v>
      </c>
      <c r="O826" s="5">
        <v>0</v>
      </c>
      <c r="P826" s="6">
        <v>0</v>
      </c>
      <c r="Q826" s="5">
        <v>0</v>
      </c>
      <c r="R826" s="6">
        <v>0</v>
      </c>
      <c r="S826" s="5">
        <v>0</v>
      </c>
      <c r="T826" s="6">
        <v>0</v>
      </c>
      <c r="U826" s="5">
        <v>0</v>
      </c>
      <c r="V826" s="6">
        <v>0</v>
      </c>
      <c r="W826" s="5">
        <v>0</v>
      </c>
      <c r="X826" s="6">
        <v>0</v>
      </c>
      <c r="Y826" s="5">
        <v>0</v>
      </c>
      <c r="Z826" s="6">
        <v>0</v>
      </c>
      <c r="AA826" s="5">
        <v>0</v>
      </c>
      <c r="AB826" s="6">
        <v>0</v>
      </c>
      <c r="AC826" s="5">
        <v>0</v>
      </c>
      <c r="AD826" s="6">
        <v>0</v>
      </c>
      <c r="AE826" s="5">
        <v>0</v>
      </c>
      <c r="AF826" s="6">
        <v>0</v>
      </c>
      <c r="AG826" s="5">
        <v>0</v>
      </c>
      <c r="AH826" s="7">
        <f t="shared" si="96"/>
        <v>74.192675564490997</v>
      </c>
      <c r="AI826" s="8">
        <f t="shared" si="97"/>
        <v>436.25293231920699</v>
      </c>
      <c r="AJ826" s="6">
        <v>80</v>
      </c>
      <c r="AK826" s="5">
        <v>490.33439475860308</v>
      </c>
      <c r="AL826" s="6">
        <v>0</v>
      </c>
      <c r="AM826" s="5">
        <v>0</v>
      </c>
      <c r="AN826" s="6">
        <v>0</v>
      </c>
      <c r="AO826" s="5">
        <v>0</v>
      </c>
      <c r="AP826" s="6">
        <v>0</v>
      </c>
      <c r="AQ826" s="5">
        <v>0</v>
      </c>
      <c r="AR826" s="6">
        <v>0</v>
      </c>
      <c r="AS826" s="5">
        <v>0</v>
      </c>
      <c r="AT826" s="6">
        <v>0</v>
      </c>
      <c r="AU826" s="5">
        <v>0</v>
      </c>
      <c r="AV826" s="6">
        <v>0</v>
      </c>
      <c r="AW826" s="5">
        <v>0</v>
      </c>
      <c r="AX826" s="6">
        <v>0</v>
      </c>
      <c r="AY826" s="5">
        <v>0</v>
      </c>
      <c r="AZ826" s="6">
        <v>0</v>
      </c>
      <c r="BA826" s="5">
        <v>0</v>
      </c>
      <c r="BB826" s="6">
        <v>0</v>
      </c>
      <c r="BC826" s="5">
        <v>0</v>
      </c>
      <c r="BD826" s="6">
        <v>0</v>
      </c>
      <c r="BE826" s="5">
        <v>0</v>
      </c>
      <c r="BF826" s="6">
        <v>0</v>
      </c>
      <c r="BG826" s="5">
        <v>0</v>
      </c>
      <c r="BH826" s="9">
        <f t="shared" si="98"/>
        <v>80</v>
      </c>
      <c r="BI826" s="10">
        <f t="shared" si="99"/>
        <v>490.33439475860308</v>
      </c>
      <c r="BJ826" s="6">
        <f t="shared" si="100"/>
        <v>5.8073244355090026</v>
      </c>
      <c r="BK826" s="11">
        <f t="shared" si="101"/>
        <v>7.8273554516322341E-2</v>
      </c>
      <c r="BL826" s="5">
        <f t="shared" si="102"/>
        <v>54.081462439396091</v>
      </c>
      <c r="BM826" s="11">
        <f t="shared" si="103"/>
        <v>0.12396813507221219</v>
      </c>
    </row>
    <row r="827" spans="1:65" ht="15" customHeight="1" x14ac:dyDescent="0.4">
      <c r="A827" s="2" t="s">
        <v>589</v>
      </c>
      <c r="B827" s="2" t="s">
        <v>66</v>
      </c>
      <c r="C827" s="2" t="s">
        <v>639</v>
      </c>
      <c r="D827" s="3" t="s">
        <v>68</v>
      </c>
      <c r="E827" s="3" t="s">
        <v>136</v>
      </c>
      <c r="F827" s="2" t="s">
        <v>137</v>
      </c>
      <c r="G827" s="4">
        <v>20</v>
      </c>
      <c r="H827" s="5">
        <v>4.4580000000000002</v>
      </c>
      <c r="I827" s="5">
        <v>4.6457277841590443</v>
      </c>
      <c r="J827" s="6">
        <v>0</v>
      </c>
      <c r="K827" s="5">
        <v>0</v>
      </c>
      <c r="L827" s="6">
        <v>0</v>
      </c>
      <c r="M827" s="5">
        <v>0</v>
      </c>
      <c r="N827" s="6">
        <v>0</v>
      </c>
      <c r="O827" s="5">
        <v>0</v>
      </c>
      <c r="P827" s="6">
        <v>98.92356741932133</v>
      </c>
      <c r="Q827" s="5">
        <v>452.08070310629847</v>
      </c>
      <c r="R827" s="6">
        <v>395.69426967728532</v>
      </c>
      <c r="S827" s="5">
        <v>1752.925614670374</v>
      </c>
      <c r="T827" s="6">
        <v>0</v>
      </c>
      <c r="U827" s="5">
        <v>0</v>
      </c>
      <c r="V827" s="6">
        <v>0</v>
      </c>
      <c r="W827" s="5">
        <v>0</v>
      </c>
      <c r="X827" s="6">
        <v>0</v>
      </c>
      <c r="Y827" s="5">
        <v>0</v>
      </c>
      <c r="Z827" s="6">
        <v>0</v>
      </c>
      <c r="AA827" s="5">
        <v>0</v>
      </c>
      <c r="AB827" s="6">
        <v>208.55915064564559</v>
      </c>
      <c r="AC827" s="5">
        <v>929.75669357828826</v>
      </c>
      <c r="AD827" s="6">
        <v>208.55915064564559</v>
      </c>
      <c r="AE827" s="5">
        <v>929.75669357828826</v>
      </c>
      <c r="AF827" s="6">
        <v>0</v>
      </c>
      <c r="AG827" s="5">
        <v>0</v>
      </c>
      <c r="AH827" s="7">
        <f t="shared" si="96"/>
        <v>911.73613838789777</v>
      </c>
      <c r="AI827" s="8">
        <f t="shared" si="97"/>
        <v>4064.5197049332492</v>
      </c>
      <c r="AJ827" s="6">
        <v>0</v>
      </c>
      <c r="AK827" s="5">
        <v>0</v>
      </c>
      <c r="AL827" s="6">
        <v>0</v>
      </c>
      <c r="AM827" s="5">
        <v>0</v>
      </c>
      <c r="AN827" s="6">
        <v>0</v>
      </c>
      <c r="AO827" s="5">
        <v>0</v>
      </c>
      <c r="AP827" s="6">
        <v>100</v>
      </c>
      <c r="AQ827" s="5">
        <v>476.36653572423808</v>
      </c>
      <c r="AR827" s="6">
        <v>440</v>
      </c>
      <c r="AS827" s="5">
        <v>2031.802300730164</v>
      </c>
      <c r="AT827" s="6">
        <v>0</v>
      </c>
      <c r="AU827" s="5">
        <v>0</v>
      </c>
      <c r="AV827" s="6">
        <v>0</v>
      </c>
      <c r="AW827" s="5">
        <v>0</v>
      </c>
      <c r="AX827" s="6">
        <v>0</v>
      </c>
      <c r="AY827" s="5">
        <v>0</v>
      </c>
      <c r="AZ827" s="6">
        <v>0</v>
      </c>
      <c r="BA827" s="5">
        <v>0</v>
      </c>
      <c r="BB827" s="6">
        <v>220</v>
      </c>
      <c r="BC827" s="5">
        <v>1022.32219601073</v>
      </c>
      <c r="BD827" s="6">
        <v>220</v>
      </c>
      <c r="BE827" s="5">
        <v>1022.32219601073</v>
      </c>
      <c r="BF827" s="6">
        <v>0</v>
      </c>
      <c r="BG827" s="5">
        <v>0</v>
      </c>
      <c r="BH827" s="9">
        <f t="shared" si="98"/>
        <v>980</v>
      </c>
      <c r="BI827" s="10">
        <f t="shared" si="99"/>
        <v>4552.8132284758622</v>
      </c>
      <c r="BJ827" s="6">
        <f t="shared" si="100"/>
        <v>68.263861612102232</v>
      </c>
      <c r="BK827" s="11">
        <f t="shared" si="101"/>
        <v>7.4872387676553187E-2</v>
      </c>
      <c r="BL827" s="5">
        <f t="shared" si="102"/>
        <v>488.293523542613</v>
      </c>
      <c r="BM827" s="11">
        <f t="shared" si="103"/>
        <v>0.12013560247966178</v>
      </c>
    </row>
    <row r="828" spans="1:65" ht="15" customHeight="1" x14ac:dyDescent="0.4">
      <c r="A828" s="2" t="s">
        <v>589</v>
      </c>
      <c r="B828" s="2" t="s">
        <v>66</v>
      </c>
      <c r="C828" s="2" t="s">
        <v>639</v>
      </c>
      <c r="D828" s="3" t="s">
        <v>68</v>
      </c>
      <c r="E828" s="3" t="s">
        <v>241</v>
      </c>
      <c r="F828" s="2" t="s">
        <v>242</v>
      </c>
      <c r="G828" s="4">
        <v>1</v>
      </c>
      <c r="H828" s="5">
        <v>4.6189999999999998</v>
      </c>
      <c r="I828" s="5">
        <v>4.8144710026899773</v>
      </c>
      <c r="J828" s="6">
        <v>35.612484270955683</v>
      </c>
      <c r="K828" s="5">
        <v>167.73480091620121</v>
      </c>
      <c r="L828" s="6">
        <v>35.612484270955683</v>
      </c>
      <c r="M828" s="5">
        <v>165.95417670265351</v>
      </c>
      <c r="N828" s="6">
        <v>0</v>
      </c>
      <c r="O828" s="5">
        <v>0</v>
      </c>
      <c r="P828" s="6">
        <v>0</v>
      </c>
      <c r="Q828" s="5">
        <v>0</v>
      </c>
      <c r="R828" s="6">
        <v>47.483312361274237</v>
      </c>
      <c r="S828" s="5">
        <v>214.62457187295959</v>
      </c>
      <c r="T828" s="6">
        <v>0</v>
      </c>
      <c r="U828" s="5">
        <v>0</v>
      </c>
      <c r="V828" s="6">
        <v>0</v>
      </c>
      <c r="W828" s="5">
        <v>0</v>
      </c>
      <c r="X828" s="6">
        <v>0</v>
      </c>
      <c r="Y828" s="5">
        <v>0</v>
      </c>
      <c r="Z828" s="6">
        <v>0</v>
      </c>
      <c r="AA828" s="5">
        <v>0</v>
      </c>
      <c r="AB828" s="6">
        <v>0</v>
      </c>
      <c r="AC828" s="5">
        <v>0</v>
      </c>
      <c r="AD828" s="6">
        <v>0</v>
      </c>
      <c r="AE828" s="5">
        <v>0</v>
      </c>
      <c r="AF828" s="6">
        <v>0</v>
      </c>
      <c r="AG828" s="5">
        <v>0</v>
      </c>
      <c r="AH828" s="7">
        <f t="shared" si="96"/>
        <v>118.7082809031856</v>
      </c>
      <c r="AI828" s="8">
        <f t="shared" si="97"/>
        <v>548.31354949181434</v>
      </c>
      <c r="AJ828" s="6">
        <v>38</v>
      </c>
      <c r="AK828" s="5">
        <v>186.56473208736131</v>
      </c>
      <c r="AL828" s="6">
        <v>38</v>
      </c>
      <c r="AM828" s="5">
        <v>184.58421476159319</v>
      </c>
      <c r="AN828" s="6">
        <v>0</v>
      </c>
      <c r="AO828" s="5">
        <v>0</v>
      </c>
      <c r="AP828" s="6">
        <v>0</v>
      </c>
      <c r="AQ828" s="5">
        <v>0</v>
      </c>
      <c r="AR828" s="6">
        <v>51</v>
      </c>
      <c r="AS828" s="5">
        <v>240.2888704926726</v>
      </c>
      <c r="AT828" s="6">
        <v>0</v>
      </c>
      <c r="AU828" s="5">
        <v>0</v>
      </c>
      <c r="AV828" s="6">
        <v>0</v>
      </c>
      <c r="AW828" s="5">
        <v>0</v>
      </c>
      <c r="AX828" s="6">
        <v>0</v>
      </c>
      <c r="AY828" s="5">
        <v>0</v>
      </c>
      <c r="AZ828" s="6">
        <v>0</v>
      </c>
      <c r="BA828" s="5">
        <v>0</v>
      </c>
      <c r="BB828" s="6">
        <v>0</v>
      </c>
      <c r="BC828" s="5">
        <v>0</v>
      </c>
      <c r="BD828" s="6">
        <v>0</v>
      </c>
      <c r="BE828" s="5">
        <v>0</v>
      </c>
      <c r="BF828" s="6">
        <v>0</v>
      </c>
      <c r="BG828" s="5">
        <v>0</v>
      </c>
      <c r="BH828" s="9">
        <f t="shared" si="98"/>
        <v>127</v>
      </c>
      <c r="BI828" s="10">
        <f t="shared" si="99"/>
        <v>611.43781734162712</v>
      </c>
      <c r="BJ828" s="6">
        <f t="shared" si="100"/>
        <v>8.2917190968144041</v>
      </c>
      <c r="BK828" s="11">
        <f t="shared" si="101"/>
        <v>6.9849542371663575E-2</v>
      </c>
      <c r="BL828" s="5">
        <f t="shared" si="102"/>
        <v>63.124267849812782</v>
      </c>
      <c r="BM828" s="11">
        <f t="shared" si="103"/>
        <v>0.11512439900184365</v>
      </c>
    </row>
    <row r="829" spans="1:65" ht="15" customHeight="1" x14ac:dyDescent="0.4">
      <c r="A829" s="2" t="s">
        <v>589</v>
      </c>
      <c r="B829" s="2" t="s">
        <v>66</v>
      </c>
      <c r="C829" s="2" t="s">
        <v>639</v>
      </c>
      <c r="D829" s="3" t="s">
        <v>68</v>
      </c>
      <c r="E829" s="3" t="s">
        <v>176</v>
      </c>
      <c r="F829" s="2" t="s">
        <v>177</v>
      </c>
      <c r="G829" s="4">
        <v>5</v>
      </c>
      <c r="H829" s="5">
        <v>3.0924999999999998</v>
      </c>
      <c r="I829" s="5">
        <v>3.22217292474047</v>
      </c>
      <c r="J829" s="6">
        <v>0</v>
      </c>
      <c r="K829" s="5">
        <v>0</v>
      </c>
      <c r="L829" s="6">
        <v>0</v>
      </c>
      <c r="M829" s="5">
        <v>0</v>
      </c>
      <c r="N829" s="6">
        <v>0</v>
      </c>
      <c r="O829" s="5">
        <v>0</v>
      </c>
      <c r="P829" s="6">
        <v>19.78471348386427</v>
      </c>
      <c r="Q829" s="5">
        <v>62.519694609011083</v>
      </c>
      <c r="R829" s="6">
        <v>59.354140451592791</v>
      </c>
      <c r="S829" s="5">
        <v>182.2172111863899</v>
      </c>
      <c r="T829" s="6">
        <v>0</v>
      </c>
      <c r="U829" s="5">
        <v>0</v>
      </c>
      <c r="V829" s="6">
        <v>0</v>
      </c>
      <c r="W829" s="5">
        <v>0</v>
      </c>
      <c r="X829" s="6">
        <v>0</v>
      </c>
      <c r="Y829" s="5">
        <v>0</v>
      </c>
      <c r="Z829" s="6">
        <v>0</v>
      </c>
      <c r="AA829" s="5">
        <v>0</v>
      </c>
      <c r="AB829" s="6">
        <v>0</v>
      </c>
      <c r="AC829" s="5">
        <v>0</v>
      </c>
      <c r="AD829" s="6">
        <v>0</v>
      </c>
      <c r="AE829" s="5">
        <v>0</v>
      </c>
      <c r="AF829" s="6">
        <v>0</v>
      </c>
      <c r="AG829" s="5">
        <v>0</v>
      </c>
      <c r="AH829" s="7">
        <f t="shared" si="96"/>
        <v>79.138853935457064</v>
      </c>
      <c r="AI829" s="8">
        <f t="shared" si="97"/>
        <v>244.73690579540099</v>
      </c>
      <c r="AJ829" s="6">
        <v>0</v>
      </c>
      <c r="AK829" s="5">
        <v>0</v>
      </c>
      <c r="AL829" s="6">
        <v>0</v>
      </c>
      <c r="AM829" s="5">
        <v>0</v>
      </c>
      <c r="AN829" s="6">
        <v>0</v>
      </c>
      <c r="AO829" s="5">
        <v>0</v>
      </c>
      <c r="AP829" s="6">
        <v>20</v>
      </c>
      <c r="AQ829" s="5">
        <v>65.878260520288507</v>
      </c>
      <c r="AR829" s="6">
        <v>65</v>
      </c>
      <c r="AS829" s="5">
        <v>208.0064380826515</v>
      </c>
      <c r="AT829" s="6">
        <v>0</v>
      </c>
      <c r="AU829" s="5">
        <v>0</v>
      </c>
      <c r="AV829" s="6">
        <v>0</v>
      </c>
      <c r="AW829" s="5">
        <v>0</v>
      </c>
      <c r="AX829" s="6">
        <v>0</v>
      </c>
      <c r="AY829" s="5">
        <v>0</v>
      </c>
      <c r="AZ829" s="6">
        <v>0</v>
      </c>
      <c r="BA829" s="5">
        <v>0</v>
      </c>
      <c r="BB829" s="6">
        <v>0</v>
      </c>
      <c r="BC829" s="5">
        <v>0</v>
      </c>
      <c r="BD829" s="6">
        <v>0</v>
      </c>
      <c r="BE829" s="5">
        <v>0</v>
      </c>
      <c r="BF829" s="6">
        <v>0</v>
      </c>
      <c r="BG829" s="5">
        <v>0</v>
      </c>
      <c r="BH829" s="9">
        <f t="shared" si="98"/>
        <v>85</v>
      </c>
      <c r="BI829" s="10">
        <f t="shared" si="99"/>
        <v>273.88469860294003</v>
      </c>
      <c r="BJ829" s="6">
        <f t="shared" si="100"/>
        <v>5.8611460645429361</v>
      </c>
      <c r="BK829" s="11">
        <f t="shared" si="101"/>
        <v>7.4061548443992958E-2</v>
      </c>
      <c r="BL829" s="5">
        <f t="shared" si="102"/>
        <v>29.147792807539048</v>
      </c>
      <c r="BM829" s="11">
        <f t="shared" si="103"/>
        <v>0.11909847725175736</v>
      </c>
    </row>
    <row r="830" spans="1:65" ht="15" customHeight="1" x14ac:dyDescent="0.4">
      <c r="A830" s="2" t="s">
        <v>589</v>
      </c>
      <c r="B830" s="2" t="s">
        <v>66</v>
      </c>
      <c r="C830" s="2" t="s">
        <v>639</v>
      </c>
      <c r="D830" s="3" t="s">
        <v>68</v>
      </c>
      <c r="E830" s="3" t="s">
        <v>594</v>
      </c>
      <c r="F830" s="2" t="s">
        <v>494</v>
      </c>
      <c r="G830" s="4">
        <v>1</v>
      </c>
      <c r="H830" s="5">
        <v>4.8</v>
      </c>
      <c r="I830" s="5">
        <v>5.0031378815354017</v>
      </c>
      <c r="J830" s="6">
        <v>23.741656180637118</v>
      </c>
      <c r="K830" s="5">
        <v>114.43478279067089</v>
      </c>
      <c r="L830" s="6">
        <v>0</v>
      </c>
      <c r="M830" s="5">
        <v>0</v>
      </c>
      <c r="N830" s="6">
        <v>35.612484270955683</v>
      </c>
      <c r="O830" s="5">
        <v>173.78892324226371</v>
      </c>
      <c r="P830" s="6">
        <v>0</v>
      </c>
      <c r="Q830" s="5">
        <v>0</v>
      </c>
      <c r="R830" s="6">
        <v>47.483312361274237</v>
      </c>
      <c r="S830" s="5">
        <v>224.5960674688271</v>
      </c>
      <c r="T830" s="6">
        <v>0</v>
      </c>
      <c r="U830" s="5">
        <v>0</v>
      </c>
      <c r="V830" s="6">
        <v>0</v>
      </c>
      <c r="W830" s="5">
        <v>0</v>
      </c>
      <c r="X830" s="6">
        <v>0</v>
      </c>
      <c r="Y830" s="5">
        <v>0</v>
      </c>
      <c r="Z830" s="6">
        <v>0</v>
      </c>
      <c r="AA830" s="5">
        <v>0</v>
      </c>
      <c r="AB830" s="6">
        <v>0</v>
      </c>
      <c r="AC830" s="5">
        <v>0</v>
      </c>
      <c r="AD830" s="6">
        <v>0</v>
      </c>
      <c r="AE830" s="5">
        <v>0</v>
      </c>
      <c r="AF830" s="6">
        <v>0</v>
      </c>
      <c r="AG830" s="5">
        <v>0</v>
      </c>
      <c r="AH830" s="7">
        <f t="shared" si="96"/>
        <v>106.83745281286704</v>
      </c>
      <c r="AI830" s="8">
        <f t="shared" si="97"/>
        <v>512.81977350176169</v>
      </c>
      <c r="AJ830" s="6">
        <v>25</v>
      </c>
      <c r="AK830" s="5">
        <v>125.60649355529689</v>
      </c>
      <c r="AL830" s="6">
        <v>0</v>
      </c>
      <c r="AM830" s="5">
        <v>0</v>
      </c>
      <c r="AN830" s="6">
        <v>38</v>
      </c>
      <c r="AO830" s="5">
        <v>193.29849099497309</v>
      </c>
      <c r="AP830" s="6">
        <v>0</v>
      </c>
      <c r="AQ830" s="5">
        <v>0</v>
      </c>
      <c r="AR830" s="6">
        <v>51</v>
      </c>
      <c r="AS830" s="5">
        <v>251.4527339447657</v>
      </c>
      <c r="AT830" s="6">
        <v>0</v>
      </c>
      <c r="AU830" s="5">
        <v>0</v>
      </c>
      <c r="AV830" s="6">
        <v>0</v>
      </c>
      <c r="AW830" s="5">
        <v>0</v>
      </c>
      <c r="AX830" s="6">
        <v>0</v>
      </c>
      <c r="AY830" s="5">
        <v>0</v>
      </c>
      <c r="AZ830" s="6">
        <v>0</v>
      </c>
      <c r="BA830" s="5">
        <v>0</v>
      </c>
      <c r="BB830" s="6">
        <v>0</v>
      </c>
      <c r="BC830" s="5">
        <v>0</v>
      </c>
      <c r="BD830" s="6">
        <v>0</v>
      </c>
      <c r="BE830" s="5">
        <v>0</v>
      </c>
      <c r="BF830" s="6">
        <v>0</v>
      </c>
      <c r="BG830" s="5">
        <v>0</v>
      </c>
      <c r="BH830" s="9">
        <f t="shared" si="98"/>
        <v>114</v>
      </c>
      <c r="BI830" s="10">
        <f t="shared" si="99"/>
        <v>570.35771849503567</v>
      </c>
      <c r="BJ830" s="6">
        <f t="shared" si="100"/>
        <v>7.162547187132958</v>
      </c>
      <c r="BK830" s="11">
        <f t="shared" si="101"/>
        <v>6.7041538323443922E-2</v>
      </c>
      <c r="BL830" s="5">
        <f t="shared" si="102"/>
        <v>57.537944993273982</v>
      </c>
      <c r="BM830" s="11">
        <f t="shared" si="103"/>
        <v>0.11219915449121488</v>
      </c>
    </row>
    <row r="831" spans="1:65" ht="15" customHeight="1" x14ac:dyDescent="0.4">
      <c r="A831" s="2" t="s">
        <v>589</v>
      </c>
      <c r="B831" s="2" t="s">
        <v>66</v>
      </c>
      <c r="C831" s="2" t="s">
        <v>639</v>
      </c>
      <c r="D831" s="3" t="s">
        <v>68</v>
      </c>
      <c r="E831" s="3" t="s">
        <v>120</v>
      </c>
      <c r="F831" s="2" t="s">
        <v>121</v>
      </c>
      <c r="G831" s="4">
        <v>5</v>
      </c>
      <c r="H831" s="5">
        <v>3.66</v>
      </c>
      <c r="I831" s="5">
        <v>3.8151017959534168</v>
      </c>
      <c r="J831" s="6">
        <v>0</v>
      </c>
      <c r="K831" s="5">
        <v>0</v>
      </c>
      <c r="L831" s="6">
        <v>0</v>
      </c>
      <c r="M831" s="5">
        <v>0</v>
      </c>
      <c r="N831" s="6">
        <v>0</v>
      </c>
      <c r="O831" s="5">
        <v>0</v>
      </c>
      <c r="P831" s="6">
        <v>0</v>
      </c>
      <c r="Q831" s="5">
        <v>0</v>
      </c>
      <c r="R831" s="6">
        <v>39.569426967728532</v>
      </c>
      <c r="S831" s="5">
        <v>144.8241027018864</v>
      </c>
      <c r="T831" s="6">
        <v>0</v>
      </c>
      <c r="U831" s="5">
        <v>0</v>
      </c>
      <c r="V831" s="6">
        <v>0</v>
      </c>
      <c r="W831" s="5">
        <v>0</v>
      </c>
      <c r="X831" s="6">
        <v>0</v>
      </c>
      <c r="Y831" s="5">
        <v>0</v>
      </c>
      <c r="Z831" s="6">
        <v>0</v>
      </c>
      <c r="AA831" s="5">
        <v>0</v>
      </c>
      <c r="AB831" s="6">
        <v>0</v>
      </c>
      <c r="AC831" s="5">
        <v>0</v>
      </c>
      <c r="AD831" s="6">
        <v>0</v>
      </c>
      <c r="AE831" s="5">
        <v>0</v>
      </c>
      <c r="AF831" s="6">
        <v>0</v>
      </c>
      <c r="AG831" s="5">
        <v>0</v>
      </c>
      <c r="AH831" s="7">
        <f t="shared" si="96"/>
        <v>39.569426967728532</v>
      </c>
      <c r="AI831" s="8">
        <f t="shared" si="97"/>
        <v>144.8241027018864</v>
      </c>
      <c r="AJ831" s="6">
        <v>0</v>
      </c>
      <c r="AK831" s="5">
        <v>0</v>
      </c>
      <c r="AL831" s="6">
        <v>0</v>
      </c>
      <c r="AM831" s="5">
        <v>0</v>
      </c>
      <c r="AN831" s="6">
        <v>0</v>
      </c>
      <c r="AO831" s="5">
        <v>0</v>
      </c>
      <c r="AP831" s="6">
        <v>0</v>
      </c>
      <c r="AQ831" s="5">
        <v>0</v>
      </c>
      <c r="AR831" s="6">
        <v>45</v>
      </c>
      <c r="AS831" s="5">
        <v>171.6795808179038</v>
      </c>
      <c r="AT831" s="6">
        <v>0</v>
      </c>
      <c r="AU831" s="5">
        <v>0</v>
      </c>
      <c r="AV831" s="6">
        <v>0</v>
      </c>
      <c r="AW831" s="5">
        <v>0</v>
      </c>
      <c r="AX831" s="6">
        <v>0</v>
      </c>
      <c r="AY831" s="5">
        <v>0</v>
      </c>
      <c r="AZ831" s="6">
        <v>0</v>
      </c>
      <c r="BA831" s="5">
        <v>0</v>
      </c>
      <c r="BB831" s="6">
        <v>0</v>
      </c>
      <c r="BC831" s="5">
        <v>0</v>
      </c>
      <c r="BD831" s="6">
        <v>0</v>
      </c>
      <c r="BE831" s="5">
        <v>0</v>
      </c>
      <c r="BF831" s="6">
        <v>0</v>
      </c>
      <c r="BG831" s="5">
        <v>0</v>
      </c>
      <c r="BH831" s="9">
        <f t="shared" si="98"/>
        <v>45</v>
      </c>
      <c r="BI831" s="10">
        <f t="shared" si="99"/>
        <v>171.6795808179038</v>
      </c>
      <c r="BJ831" s="6">
        <f t="shared" si="100"/>
        <v>5.430573032271468</v>
      </c>
      <c r="BK831" s="11">
        <f t="shared" si="101"/>
        <v>0.13724163952893373</v>
      </c>
      <c r="BL831" s="5">
        <f t="shared" si="102"/>
        <v>26.855478116017395</v>
      </c>
      <c r="BM831" s="11">
        <f t="shared" si="103"/>
        <v>0.18543514245897405</v>
      </c>
    </row>
    <row r="832" spans="1:65" ht="15" customHeight="1" x14ac:dyDescent="0.4">
      <c r="A832" s="2" t="s">
        <v>589</v>
      </c>
      <c r="B832" s="2" t="s">
        <v>66</v>
      </c>
      <c r="C832" s="2" t="s">
        <v>639</v>
      </c>
      <c r="D832" s="3" t="s">
        <v>68</v>
      </c>
      <c r="E832" s="3" t="s">
        <v>90</v>
      </c>
      <c r="F832" s="2" t="s">
        <v>91</v>
      </c>
      <c r="G832" s="4">
        <v>20</v>
      </c>
      <c r="H832" s="5">
        <v>3.49</v>
      </c>
      <c r="I832" s="5">
        <v>3.6398520720614309</v>
      </c>
      <c r="J832" s="6">
        <v>0</v>
      </c>
      <c r="K832" s="5">
        <v>0</v>
      </c>
      <c r="L832" s="6">
        <v>0</v>
      </c>
      <c r="M832" s="5">
        <v>0</v>
      </c>
      <c r="N832" s="6">
        <v>0</v>
      </c>
      <c r="O832" s="5">
        <v>0</v>
      </c>
      <c r="P832" s="6">
        <v>197.84713483864269</v>
      </c>
      <c r="Q832" s="5">
        <v>696.42191463202209</v>
      </c>
      <c r="R832" s="6">
        <v>98.92356741932133</v>
      </c>
      <c r="S832" s="5">
        <v>339.30783624827211</v>
      </c>
      <c r="T832" s="6">
        <v>0</v>
      </c>
      <c r="U832" s="5">
        <v>0</v>
      </c>
      <c r="V832" s="6">
        <v>0</v>
      </c>
      <c r="W832" s="5">
        <v>0</v>
      </c>
      <c r="X832" s="6">
        <v>0</v>
      </c>
      <c r="Y832" s="5">
        <v>0</v>
      </c>
      <c r="Z832" s="6">
        <v>0</v>
      </c>
      <c r="AA832" s="5">
        <v>0</v>
      </c>
      <c r="AB832" s="6">
        <v>0</v>
      </c>
      <c r="AC832" s="5">
        <v>0</v>
      </c>
      <c r="AD832" s="6">
        <v>0</v>
      </c>
      <c r="AE832" s="5">
        <v>0</v>
      </c>
      <c r="AF832" s="6">
        <v>0</v>
      </c>
      <c r="AG832" s="5">
        <v>0</v>
      </c>
      <c r="AH832" s="7">
        <f t="shared" si="96"/>
        <v>296.77070225796399</v>
      </c>
      <c r="AI832" s="8">
        <f t="shared" si="97"/>
        <v>1035.7297508802942</v>
      </c>
      <c r="AJ832" s="6">
        <v>0</v>
      </c>
      <c r="AK832" s="5">
        <v>0</v>
      </c>
      <c r="AL832" s="6">
        <v>0</v>
      </c>
      <c r="AM832" s="5">
        <v>0</v>
      </c>
      <c r="AN832" s="6">
        <v>0</v>
      </c>
      <c r="AO832" s="5">
        <v>0</v>
      </c>
      <c r="AP832" s="6">
        <v>220</v>
      </c>
      <c r="AQ832" s="5">
        <v>807.2171668815098</v>
      </c>
      <c r="AR832" s="6">
        <v>100</v>
      </c>
      <c r="AS832" s="5">
        <v>357.53549617814798</v>
      </c>
      <c r="AT832" s="6">
        <v>0</v>
      </c>
      <c r="AU832" s="5">
        <v>0</v>
      </c>
      <c r="AV832" s="6">
        <v>0</v>
      </c>
      <c r="AW832" s="5">
        <v>0</v>
      </c>
      <c r="AX832" s="6">
        <v>0</v>
      </c>
      <c r="AY832" s="5">
        <v>0</v>
      </c>
      <c r="AZ832" s="6">
        <v>0</v>
      </c>
      <c r="BA832" s="5">
        <v>0</v>
      </c>
      <c r="BB832" s="6">
        <v>0</v>
      </c>
      <c r="BC832" s="5">
        <v>0</v>
      </c>
      <c r="BD832" s="6">
        <v>0</v>
      </c>
      <c r="BE832" s="5">
        <v>0</v>
      </c>
      <c r="BF832" s="6">
        <v>0</v>
      </c>
      <c r="BG832" s="5">
        <v>0</v>
      </c>
      <c r="BH832" s="9">
        <f t="shared" si="98"/>
        <v>320</v>
      </c>
      <c r="BI832" s="10">
        <f t="shared" si="99"/>
        <v>1164.7526630596578</v>
      </c>
      <c r="BJ832" s="6">
        <f t="shared" si="100"/>
        <v>23.22929774203601</v>
      </c>
      <c r="BK832" s="11">
        <f t="shared" si="101"/>
        <v>7.8273554516322341E-2</v>
      </c>
      <c r="BL832" s="5">
        <f t="shared" si="102"/>
        <v>129.02291217936363</v>
      </c>
      <c r="BM832" s="11">
        <f t="shared" si="103"/>
        <v>0.12457198614764482</v>
      </c>
    </row>
    <row r="833" spans="1:65" ht="15" customHeight="1" x14ac:dyDescent="0.4">
      <c r="A833" s="2" t="s">
        <v>589</v>
      </c>
      <c r="B833" s="2" t="s">
        <v>66</v>
      </c>
      <c r="C833" s="2" t="s">
        <v>639</v>
      </c>
      <c r="D833" s="3" t="s">
        <v>68</v>
      </c>
      <c r="E833" s="3" t="s">
        <v>201</v>
      </c>
      <c r="F833" s="2" t="s">
        <v>202</v>
      </c>
      <c r="G833" s="4">
        <v>5</v>
      </c>
      <c r="H833" s="5">
        <v>4.4400000000000004</v>
      </c>
      <c r="I833" s="5">
        <v>4.6281562770582427</v>
      </c>
      <c r="J833" s="6">
        <v>197.84713483864269</v>
      </c>
      <c r="K833" s="5">
        <v>878.44127868357339</v>
      </c>
      <c r="L833" s="6">
        <v>0</v>
      </c>
      <c r="M833" s="5">
        <v>0</v>
      </c>
      <c r="N833" s="6">
        <v>0</v>
      </c>
      <c r="O833" s="5">
        <v>0</v>
      </c>
      <c r="P833" s="6">
        <v>0</v>
      </c>
      <c r="Q833" s="5">
        <v>0</v>
      </c>
      <c r="R833" s="6">
        <v>0</v>
      </c>
      <c r="S833" s="5">
        <v>0</v>
      </c>
      <c r="T833" s="6">
        <v>0</v>
      </c>
      <c r="U833" s="5">
        <v>0</v>
      </c>
      <c r="V833" s="6">
        <v>0</v>
      </c>
      <c r="W833" s="5">
        <v>0</v>
      </c>
      <c r="X833" s="6">
        <v>0</v>
      </c>
      <c r="Y833" s="5">
        <v>0</v>
      </c>
      <c r="Z833" s="6">
        <v>0</v>
      </c>
      <c r="AA833" s="5">
        <v>0</v>
      </c>
      <c r="AB833" s="6">
        <v>0</v>
      </c>
      <c r="AC833" s="5">
        <v>0</v>
      </c>
      <c r="AD833" s="6">
        <v>0</v>
      </c>
      <c r="AE833" s="5">
        <v>0</v>
      </c>
      <c r="AF833" s="6">
        <v>0</v>
      </c>
      <c r="AG833" s="5">
        <v>0</v>
      </c>
      <c r="AH833" s="7">
        <f t="shared" si="96"/>
        <v>197.84713483864269</v>
      </c>
      <c r="AI833" s="8">
        <f t="shared" si="97"/>
        <v>878.44127868357339</v>
      </c>
      <c r="AJ833" s="6">
        <v>210</v>
      </c>
      <c r="AK833" s="5">
        <v>971.91281818223092</v>
      </c>
      <c r="AL833" s="6">
        <v>0</v>
      </c>
      <c r="AM833" s="5">
        <v>0</v>
      </c>
      <c r="AN833" s="6">
        <v>0</v>
      </c>
      <c r="AO833" s="5">
        <v>0</v>
      </c>
      <c r="AP833" s="6">
        <v>0</v>
      </c>
      <c r="AQ833" s="5">
        <v>0</v>
      </c>
      <c r="AR833" s="6">
        <v>0</v>
      </c>
      <c r="AS833" s="5">
        <v>0</v>
      </c>
      <c r="AT833" s="6">
        <v>0</v>
      </c>
      <c r="AU833" s="5">
        <v>0</v>
      </c>
      <c r="AV833" s="6">
        <v>0</v>
      </c>
      <c r="AW833" s="5">
        <v>0</v>
      </c>
      <c r="AX833" s="6">
        <v>0</v>
      </c>
      <c r="AY833" s="5">
        <v>0</v>
      </c>
      <c r="AZ833" s="6">
        <v>0</v>
      </c>
      <c r="BA833" s="5">
        <v>0</v>
      </c>
      <c r="BB833" s="6">
        <v>0</v>
      </c>
      <c r="BC833" s="5">
        <v>0</v>
      </c>
      <c r="BD833" s="6">
        <v>0</v>
      </c>
      <c r="BE833" s="5">
        <v>0</v>
      </c>
      <c r="BF833" s="6">
        <v>0</v>
      </c>
      <c r="BG833" s="5">
        <v>0</v>
      </c>
      <c r="BH833" s="9">
        <f t="shared" si="98"/>
        <v>210</v>
      </c>
      <c r="BI833" s="10">
        <f t="shared" si="99"/>
        <v>971.91281818223092</v>
      </c>
      <c r="BJ833" s="6">
        <f t="shared" si="100"/>
        <v>12.152865161357312</v>
      </c>
      <c r="BK833" s="11">
        <f t="shared" si="101"/>
        <v>6.142553022700465E-2</v>
      </c>
      <c r="BL833" s="5">
        <f t="shared" si="102"/>
        <v>93.471539498657535</v>
      </c>
      <c r="BM833" s="11">
        <f t="shared" si="103"/>
        <v>0.10640613296170849</v>
      </c>
    </row>
    <row r="834" spans="1:65" ht="15" customHeight="1" x14ac:dyDescent="0.4">
      <c r="A834" s="2" t="s">
        <v>589</v>
      </c>
      <c r="B834" s="2" t="s">
        <v>66</v>
      </c>
      <c r="C834" s="2" t="s">
        <v>639</v>
      </c>
      <c r="D834" s="3" t="s">
        <v>68</v>
      </c>
      <c r="E834" s="3" t="s">
        <v>245</v>
      </c>
      <c r="F834" s="2" t="s">
        <v>246</v>
      </c>
      <c r="G834" s="4">
        <v>5</v>
      </c>
      <c r="H834" s="5">
        <v>3.42</v>
      </c>
      <c r="I834" s="5">
        <v>3.5649311863827009</v>
      </c>
      <c r="J834" s="6">
        <v>0</v>
      </c>
      <c r="K834" s="5">
        <v>0</v>
      </c>
      <c r="L834" s="6">
        <v>59.354140451592791</v>
      </c>
      <c r="M834" s="5">
        <v>202.99116034444731</v>
      </c>
      <c r="N834" s="6">
        <v>0</v>
      </c>
      <c r="O834" s="5">
        <v>0</v>
      </c>
      <c r="P834" s="6">
        <v>0</v>
      </c>
      <c r="Q834" s="5">
        <v>0</v>
      </c>
      <c r="R834" s="6">
        <v>0</v>
      </c>
      <c r="S834" s="5">
        <v>0</v>
      </c>
      <c r="T834" s="6">
        <v>0</v>
      </c>
      <c r="U834" s="5">
        <v>0</v>
      </c>
      <c r="V834" s="6">
        <v>0</v>
      </c>
      <c r="W834" s="5">
        <v>0</v>
      </c>
      <c r="X834" s="6">
        <v>0</v>
      </c>
      <c r="Y834" s="5">
        <v>0</v>
      </c>
      <c r="Z834" s="6">
        <v>0</v>
      </c>
      <c r="AA834" s="5">
        <v>0</v>
      </c>
      <c r="AB834" s="6">
        <v>0</v>
      </c>
      <c r="AC834" s="5">
        <v>0</v>
      </c>
      <c r="AD834" s="6">
        <v>0</v>
      </c>
      <c r="AE834" s="5">
        <v>0</v>
      </c>
      <c r="AF834" s="6">
        <v>0</v>
      </c>
      <c r="AG834" s="5">
        <v>0</v>
      </c>
      <c r="AH834" s="7">
        <f t="shared" ref="AH834:AH897" si="104">J834+L834+N834+P834+R834+T834+V834+X834+Z834+AB834+AD834+AF834</f>
        <v>59.354140451592791</v>
      </c>
      <c r="AI834" s="8">
        <f t="shared" ref="AI834:AI897" si="105">K834+M834+O834+Q834+S834+U834+W834+Y834+AA834+AC834+AE834+AG834</f>
        <v>202.99116034444731</v>
      </c>
      <c r="AJ834" s="6">
        <v>0</v>
      </c>
      <c r="AK834" s="5">
        <v>0</v>
      </c>
      <c r="AL834" s="6">
        <v>65</v>
      </c>
      <c r="AM834" s="5">
        <v>231.72052711487561</v>
      </c>
      <c r="AN834" s="6">
        <v>0</v>
      </c>
      <c r="AO834" s="5">
        <v>0</v>
      </c>
      <c r="AP834" s="6">
        <v>0</v>
      </c>
      <c r="AQ834" s="5">
        <v>0</v>
      </c>
      <c r="AR834" s="6">
        <v>0</v>
      </c>
      <c r="AS834" s="5">
        <v>0</v>
      </c>
      <c r="AT834" s="6">
        <v>0</v>
      </c>
      <c r="AU834" s="5">
        <v>0</v>
      </c>
      <c r="AV834" s="6">
        <v>0</v>
      </c>
      <c r="AW834" s="5">
        <v>0</v>
      </c>
      <c r="AX834" s="6">
        <v>0</v>
      </c>
      <c r="AY834" s="5">
        <v>0</v>
      </c>
      <c r="AZ834" s="6">
        <v>0</v>
      </c>
      <c r="BA834" s="5">
        <v>0</v>
      </c>
      <c r="BB834" s="6">
        <v>0</v>
      </c>
      <c r="BC834" s="5">
        <v>0</v>
      </c>
      <c r="BD834" s="6">
        <v>0</v>
      </c>
      <c r="BE834" s="5">
        <v>0</v>
      </c>
      <c r="BF834" s="6">
        <v>0</v>
      </c>
      <c r="BG834" s="5">
        <v>0</v>
      </c>
      <c r="BH834" s="9">
        <f t="shared" ref="BH834:BH897" si="106">AJ834+AL834+AN834+AP834+AR834+AT834+AV834+AX834+AZ834+BB834+BD834+BF834</f>
        <v>65</v>
      </c>
      <c r="BI834" s="10">
        <f t="shared" ref="BI834:BI897" si="107">AK834+AM834+AO834+AQ834+AS834+AU834+AW834+AY834+BA834+BC834+BE834+BG834</f>
        <v>231.72052711487561</v>
      </c>
      <c r="BJ834" s="6">
        <f t="shared" ref="BJ834:BJ897" si="108">BH834-AH834</f>
        <v>5.6458595484072092</v>
      </c>
      <c r="BK834" s="11">
        <f t="shared" ref="BK834:BK897" si="109">IF(AH834&gt;0, BJ834/AH834, 0)</f>
        <v>9.5121578805640011E-2</v>
      </c>
      <c r="BL834" s="5">
        <f t="shared" ref="BL834:BL897" si="110">BI834-AI834</f>
        <v>28.7293667704283</v>
      </c>
      <c r="BM834" s="11">
        <f t="shared" ref="BM834:BM897" si="111">IF(AI834&gt;0, BL834/AI834, 0)</f>
        <v>0.14153013718271587</v>
      </c>
    </row>
    <row r="835" spans="1:65" ht="15" customHeight="1" x14ac:dyDescent="0.4">
      <c r="A835" s="2" t="s">
        <v>589</v>
      </c>
      <c r="B835" s="2" t="s">
        <v>66</v>
      </c>
      <c r="C835" s="2" t="s">
        <v>639</v>
      </c>
      <c r="D835" s="3" t="s">
        <v>68</v>
      </c>
      <c r="E835" s="3" t="s">
        <v>610</v>
      </c>
      <c r="F835" s="2" t="s">
        <v>611</v>
      </c>
      <c r="G835" s="4">
        <v>1</v>
      </c>
      <c r="H835" s="5">
        <v>4.12</v>
      </c>
      <c r="I835" s="5">
        <v>4.2945954642972888</v>
      </c>
      <c r="J835" s="6">
        <v>0</v>
      </c>
      <c r="K835" s="5">
        <v>0</v>
      </c>
      <c r="L835" s="6">
        <v>0</v>
      </c>
      <c r="M835" s="5">
        <v>0</v>
      </c>
      <c r="N835" s="6">
        <v>0</v>
      </c>
      <c r="O835" s="5">
        <v>0</v>
      </c>
      <c r="P835" s="6">
        <v>0</v>
      </c>
      <c r="Q835" s="5">
        <v>0</v>
      </c>
      <c r="R835" s="6">
        <v>59.354140451592791</v>
      </c>
      <c r="S835" s="5">
        <v>244.53905866056229</v>
      </c>
      <c r="T835" s="6">
        <v>0</v>
      </c>
      <c r="U835" s="5">
        <v>0</v>
      </c>
      <c r="V835" s="6">
        <v>0</v>
      </c>
      <c r="W835" s="5">
        <v>0</v>
      </c>
      <c r="X835" s="6">
        <v>0</v>
      </c>
      <c r="Y835" s="5">
        <v>0</v>
      </c>
      <c r="Z835" s="6">
        <v>0</v>
      </c>
      <c r="AA835" s="5">
        <v>0</v>
      </c>
      <c r="AB835" s="6">
        <v>0</v>
      </c>
      <c r="AC835" s="5">
        <v>0</v>
      </c>
      <c r="AD835" s="6">
        <v>0</v>
      </c>
      <c r="AE835" s="5">
        <v>0</v>
      </c>
      <c r="AF835" s="6">
        <v>0</v>
      </c>
      <c r="AG835" s="5">
        <v>0</v>
      </c>
      <c r="AH835" s="7">
        <f t="shared" si="104"/>
        <v>59.354140451592791</v>
      </c>
      <c r="AI835" s="8">
        <f t="shared" si="105"/>
        <v>244.53905866056229</v>
      </c>
      <c r="AJ835" s="6">
        <v>0</v>
      </c>
      <c r="AK835" s="5">
        <v>0</v>
      </c>
      <c r="AL835" s="6">
        <v>0</v>
      </c>
      <c r="AM835" s="5">
        <v>0</v>
      </c>
      <c r="AN835" s="6">
        <v>0</v>
      </c>
      <c r="AO835" s="5">
        <v>0</v>
      </c>
      <c r="AP835" s="6">
        <v>0</v>
      </c>
      <c r="AQ835" s="5">
        <v>0</v>
      </c>
      <c r="AR835" s="6">
        <v>64</v>
      </c>
      <c r="AS835" s="5">
        <v>274.85410971502648</v>
      </c>
      <c r="AT835" s="6">
        <v>0</v>
      </c>
      <c r="AU835" s="5">
        <v>0</v>
      </c>
      <c r="AV835" s="6">
        <v>0</v>
      </c>
      <c r="AW835" s="5">
        <v>0</v>
      </c>
      <c r="AX835" s="6">
        <v>0</v>
      </c>
      <c r="AY835" s="5">
        <v>0</v>
      </c>
      <c r="AZ835" s="6">
        <v>0</v>
      </c>
      <c r="BA835" s="5">
        <v>0</v>
      </c>
      <c r="BB835" s="6">
        <v>0</v>
      </c>
      <c r="BC835" s="5">
        <v>0</v>
      </c>
      <c r="BD835" s="6">
        <v>0</v>
      </c>
      <c r="BE835" s="5">
        <v>0</v>
      </c>
      <c r="BF835" s="6">
        <v>0</v>
      </c>
      <c r="BG835" s="5">
        <v>0</v>
      </c>
      <c r="BH835" s="9">
        <f t="shared" si="106"/>
        <v>64</v>
      </c>
      <c r="BI835" s="10">
        <f t="shared" si="107"/>
        <v>274.85410971502648</v>
      </c>
      <c r="BJ835" s="6">
        <f t="shared" si="108"/>
        <v>4.6458595484072092</v>
      </c>
      <c r="BK835" s="11">
        <f t="shared" si="109"/>
        <v>7.8273554516322466E-2</v>
      </c>
      <c r="BL835" s="5">
        <f t="shared" si="110"/>
        <v>30.315051054464192</v>
      </c>
      <c r="BM835" s="11">
        <f t="shared" si="111"/>
        <v>0.12396813507221213</v>
      </c>
    </row>
    <row r="836" spans="1:65" ht="15" customHeight="1" x14ac:dyDescent="0.4">
      <c r="A836" s="2" t="s">
        <v>589</v>
      </c>
      <c r="B836" s="2" t="s">
        <v>66</v>
      </c>
      <c r="C836" s="2" t="s">
        <v>639</v>
      </c>
      <c r="D836" s="3" t="s">
        <v>68</v>
      </c>
      <c r="E836" s="3" t="s">
        <v>247</v>
      </c>
      <c r="F836" s="2" t="s">
        <v>612</v>
      </c>
      <c r="G836" s="4">
        <v>5</v>
      </c>
      <c r="H836" s="5">
        <v>2.78</v>
      </c>
      <c r="I836" s="5">
        <v>2.8978095608607921</v>
      </c>
      <c r="J836" s="6">
        <v>0</v>
      </c>
      <c r="K836" s="5">
        <v>0</v>
      </c>
      <c r="L836" s="6">
        <v>0</v>
      </c>
      <c r="M836" s="5">
        <v>0</v>
      </c>
      <c r="N836" s="6">
        <v>0</v>
      </c>
      <c r="O836" s="5">
        <v>0</v>
      </c>
      <c r="P836" s="6">
        <v>0</v>
      </c>
      <c r="Q836" s="5">
        <v>0</v>
      </c>
      <c r="R836" s="6">
        <v>197.84713483864269</v>
      </c>
      <c r="S836" s="5">
        <v>550.01503485142655</v>
      </c>
      <c r="T836" s="6">
        <v>0</v>
      </c>
      <c r="U836" s="5">
        <v>0</v>
      </c>
      <c r="V836" s="6">
        <v>0</v>
      </c>
      <c r="W836" s="5">
        <v>0</v>
      </c>
      <c r="X836" s="6">
        <v>0</v>
      </c>
      <c r="Y836" s="5">
        <v>0</v>
      </c>
      <c r="Z836" s="6">
        <v>0</v>
      </c>
      <c r="AA836" s="5">
        <v>0</v>
      </c>
      <c r="AB836" s="6">
        <v>0</v>
      </c>
      <c r="AC836" s="5">
        <v>0</v>
      </c>
      <c r="AD836" s="6">
        <v>0</v>
      </c>
      <c r="AE836" s="5">
        <v>0</v>
      </c>
      <c r="AF836" s="6">
        <v>0</v>
      </c>
      <c r="AG836" s="5">
        <v>0</v>
      </c>
      <c r="AH836" s="7">
        <f t="shared" si="104"/>
        <v>197.84713483864269</v>
      </c>
      <c r="AI836" s="8">
        <f t="shared" si="105"/>
        <v>550.01503485142655</v>
      </c>
      <c r="AJ836" s="6">
        <v>0</v>
      </c>
      <c r="AK836" s="5">
        <v>0</v>
      </c>
      <c r="AL836" s="6">
        <v>0</v>
      </c>
      <c r="AM836" s="5">
        <v>0</v>
      </c>
      <c r="AN836" s="6">
        <v>0</v>
      </c>
      <c r="AO836" s="5">
        <v>0</v>
      </c>
      <c r="AP836" s="6">
        <v>0</v>
      </c>
      <c r="AQ836" s="5">
        <v>0</v>
      </c>
      <c r="AR836" s="6">
        <v>225</v>
      </c>
      <c r="AS836" s="5">
        <v>652.00715119367817</v>
      </c>
      <c r="AT836" s="6">
        <v>0</v>
      </c>
      <c r="AU836" s="5">
        <v>0</v>
      </c>
      <c r="AV836" s="6">
        <v>0</v>
      </c>
      <c r="AW836" s="5">
        <v>0</v>
      </c>
      <c r="AX836" s="6">
        <v>0</v>
      </c>
      <c r="AY836" s="5">
        <v>0</v>
      </c>
      <c r="AZ836" s="6">
        <v>0</v>
      </c>
      <c r="BA836" s="5">
        <v>0</v>
      </c>
      <c r="BB836" s="6">
        <v>0</v>
      </c>
      <c r="BC836" s="5">
        <v>0</v>
      </c>
      <c r="BD836" s="6">
        <v>0</v>
      </c>
      <c r="BE836" s="5">
        <v>0</v>
      </c>
      <c r="BF836" s="6">
        <v>0</v>
      </c>
      <c r="BG836" s="5">
        <v>0</v>
      </c>
      <c r="BH836" s="9">
        <f t="shared" si="106"/>
        <v>225</v>
      </c>
      <c r="BI836" s="10">
        <f t="shared" si="107"/>
        <v>652.00715119367817</v>
      </c>
      <c r="BJ836" s="6">
        <f t="shared" si="108"/>
        <v>27.152865161357312</v>
      </c>
      <c r="BK836" s="11">
        <f t="shared" si="109"/>
        <v>0.13724163952893356</v>
      </c>
      <c r="BL836" s="5">
        <f t="shared" si="110"/>
        <v>101.99211634225162</v>
      </c>
      <c r="BM836" s="11">
        <f t="shared" si="111"/>
        <v>0.18543514245897361</v>
      </c>
    </row>
    <row r="837" spans="1:65" ht="15" customHeight="1" x14ac:dyDescent="0.4">
      <c r="A837" s="2" t="s">
        <v>589</v>
      </c>
      <c r="B837" s="2" t="s">
        <v>66</v>
      </c>
      <c r="C837" s="2" t="s">
        <v>639</v>
      </c>
      <c r="D837" s="3" t="s">
        <v>68</v>
      </c>
      <c r="E837" s="3" t="s">
        <v>613</v>
      </c>
      <c r="F837" s="2" t="s">
        <v>614</v>
      </c>
      <c r="G837" s="4">
        <v>20</v>
      </c>
      <c r="H837" s="5">
        <v>2.536</v>
      </c>
      <c r="I837" s="5">
        <v>2.6434694411305628</v>
      </c>
      <c r="J837" s="6">
        <v>0</v>
      </c>
      <c r="K837" s="5">
        <v>0</v>
      </c>
      <c r="L837" s="6">
        <v>0</v>
      </c>
      <c r="M837" s="5">
        <v>0</v>
      </c>
      <c r="N837" s="6">
        <v>0</v>
      </c>
      <c r="O837" s="5">
        <v>0</v>
      </c>
      <c r="P837" s="6">
        <v>0</v>
      </c>
      <c r="Q837" s="5">
        <v>0</v>
      </c>
      <c r="R837" s="6">
        <v>1266.221662967313</v>
      </c>
      <c r="S837" s="5">
        <v>2937.634258084166</v>
      </c>
      <c r="T837" s="6">
        <v>0</v>
      </c>
      <c r="U837" s="5">
        <v>0</v>
      </c>
      <c r="V837" s="6">
        <v>1899.33249445097</v>
      </c>
      <c r="W837" s="5">
        <v>5090.2110851285979</v>
      </c>
      <c r="X837" s="6">
        <v>0</v>
      </c>
      <c r="Y837" s="5">
        <v>0</v>
      </c>
      <c r="Z837" s="6">
        <v>0</v>
      </c>
      <c r="AA837" s="5">
        <v>0</v>
      </c>
      <c r="AB837" s="6">
        <v>0</v>
      </c>
      <c r="AC837" s="5">
        <v>0</v>
      </c>
      <c r="AD837" s="6">
        <v>0</v>
      </c>
      <c r="AE837" s="5">
        <v>0</v>
      </c>
      <c r="AF837" s="6">
        <v>0</v>
      </c>
      <c r="AG837" s="5">
        <v>0</v>
      </c>
      <c r="AH837" s="7">
        <f t="shared" si="104"/>
        <v>3165.554157418283</v>
      </c>
      <c r="AI837" s="8">
        <f t="shared" si="105"/>
        <v>8027.8453432127644</v>
      </c>
      <c r="AJ837" s="6">
        <v>0</v>
      </c>
      <c r="AK837" s="5">
        <v>0</v>
      </c>
      <c r="AL837" s="6">
        <v>0</v>
      </c>
      <c r="AM837" s="5">
        <v>0</v>
      </c>
      <c r="AN837" s="6">
        <v>0</v>
      </c>
      <c r="AO837" s="5">
        <v>0</v>
      </c>
      <c r="AP837" s="6">
        <v>0</v>
      </c>
      <c r="AQ837" s="5">
        <v>0</v>
      </c>
      <c r="AR837" s="6">
        <v>1360</v>
      </c>
      <c r="AS837" s="5">
        <v>3288.9096138230111</v>
      </c>
      <c r="AT837" s="6">
        <v>0</v>
      </c>
      <c r="AU837" s="5">
        <v>0</v>
      </c>
      <c r="AV837" s="6">
        <v>2040</v>
      </c>
      <c r="AW837" s="5">
        <v>5698.8864860209051</v>
      </c>
      <c r="AX837" s="6">
        <v>0</v>
      </c>
      <c r="AY837" s="5">
        <v>0</v>
      </c>
      <c r="AZ837" s="6">
        <v>0</v>
      </c>
      <c r="BA837" s="5">
        <v>0</v>
      </c>
      <c r="BB837" s="6">
        <v>0</v>
      </c>
      <c r="BC837" s="5">
        <v>0</v>
      </c>
      <c r="BD837" s="6">
        <v>0</v>
      </c>
      <c r="BE837" s="5">
        <v>0</v>
      </c>
      <c r="BF837" s="6">
        <v>0</v>
      </c>
      <c r="BG837" s="5">
        <v>0</v>
      </c>
      <c r="BH837" s="9">
        <f t="shared" si="106"/>
        <v>3400</v>
      </c>
      <c r="BI837" s="10">
        <f t="shared" si="107"/>
        <v>8987.7960998439157</v>
      </c>
      <c r="BJ837" s="6">
        <f t="shared" si="108"/>
        <v>234.44584258171699</v>
      </c>
      <c r="BK837" s="11">
        <f t="shared" si="109"/>
        <v>7.4061548443992806E-2</v>
      </c>
      <c r="BL837" s="5">
        <f t="shared" si="110"/>
        <v>959.95075663115131</v>
      </c>
      <c r="BM837" s="11">
        <f t="shared" si="111"/>
        <v>0.11957763454458585</v>
      </c>
    </row>
    <row r="838" spans="1:65" ht="15" customHeight="1" x14ac:dyDescent="0.4">
      <c r="A838" s="2" t="s">
        <v>589</v>
      </c>
      <c r="B838" s="2" t="s">
        <v>66</v>
      </c>
      <c r="C838" s="2" t="s">
        <v>639</v>
      </c>
      <c r="D838" s="3" t="s">
        <v>68</v>
      </c>
      <c r="E838" s="3" t="s">
        <v>613</v>
      </c>
      <c r="F838" s="2" t="s">
        <v>615</v>
      </c>
      <c r="G838" s="4">
        <v>20</v>
      </c>
      <c r="H838" s="5">
        <v>2.3752</v>
      </c>
      <c r="I838" s="5">
        <v>2.475855132718185</v>
      </c>
      <c r="J838" s="6">
        <v>0</v>
      </c>
      <c r="K838" s="5">
        <v>0</v>
      </c>
      <c r="L838" s="6">
        <v>0</v>
      </c>
      <c r="M838" s="5">
        <v>0</v>
      </c>
      <c r="N838" s="6">
        <v>0</v>
      </c>
      <c r="O838" s="5">
        <v>0</v>
      </c>
      <c r="P838" s="6">
        <v>0</v>
      </c>
      <c r="Q838" s="5">
        <v>0</v>
      </c>
      <c r="R838" s="6">
        <v>0</v>
      </c>
      <c r="S838" s="5">
        <v>0</v>
      </c>
      <c r="T838" s="6">
        <v>0</v>
      </c>
      <c r="U838" s="5">
        <v>0</v>
      </c>
      <c r="V838" s="6">
        <v>0</v>
      </c>
      <c r="W838" s="5">
        <v>0</v>
      </c>
      <c r="X838" s="6">
        <v>0</v>
      </c>
      <c r="Y838" s="5">
        <v>0</v>
      </c>
      <c r="Z838" s="6">
        <v>0</v>
      </c>
      <c r="AA838" s="5">
        <v>0</v>
      </c>
      <c r="AB838" s="6">
        <v>1213.4350583019379</v>
      </c>
      <c r="AC838" s="5">
        <v>2882.1509504787641</v>
      </c>
      <c r="AD838" s="6">
        <v>1820.152587452907</v>
      </c>
      <c r="AE838" s="5">
        <v>4323.2264257181459</v>
      </c>
      <c r="AF838" s="6">
        <v>0</v>
      </c>
      <c r="AG838" s="5">
        <v>0</v>
      </c>
      <c r="AH838" s="7">
        <f t="shared" si="104"/>
        <v>3033.5876457548447</v>
      </c>
      <c r="AI838" s="8">
        <f t="shared" si="105"/>
        <v>7205.3773761969096</v>
      </c>
      <c r="AJ838" s="6">
        <v>0</v>
      </c>
      <c r="AK838" s="5">
        <v>0</v>
      </c>
      <c r="AL838" s="6">
        <v>0</v>
      </c>
      <c r="AM838" s="5">
        <v>0</v>
      </c>
      <c r="AN838" s="6">
        <v>0</v>
      </c>
      <c r="AO838" s="5">
        <v>0</v>
      </c>
      <c r="AP838" s="6">
        <v>0</v>
      </c>
      <c r="AQ838" s="5">
        <v>0</v>
      </c>
      <c r="AR838" s="6">
        <v>0</v>
      </c>
      <c r="AS838" s="5">
        <v>0</v>
      </c>
      <c r="AT838" s="6">
        <v>0</v>
      </c>
      <c r="AU838" s="5">
        <v>0</v>
      </c>
      <c r="AV838" s="6">
        <v>0</v>
      </c>
      <c r="AW838" s="5">
        <v>0</v>
      </c>
      <c r="AX838" s="6">
        <v>0</v>
      </c>
      <c r="AY838" s="5">
        <v>0</v>
      </c>
      <c r="AZ838" s="6">
        <v>0</v>
      </c>
      <c r="BA838" s="5">
        <v>0</v>
      </c>
      <c r="BB838" s="6">
        <v>1300</v>
      </c>
      <c r="BC838" s="5">
        <v>3218.6116725336401</v>
      </c>
      <c r="BD838" s="6">
        <v>1940</v>
      </c>
      <c r="BE838" s="5">
        <v>4803.158957473278</v>
      </c>
      <c r="BF838" s="6">
        <v>0</v>
      </c>
      <c r="BG838" s="5">
        <v>0</v>
      </c>
      <c r="BH838" s="9">
        <f t="shared" si="106"/>
        <v>3240</v>
      </c>
      <c r="BI838" s="10">
        <f t="shared" si="107"/>
        <v>8021.7706300069185</v>
      </c>
      <c r="BJ838" s="6">
        <f t="shared" si="108"/>
        <v>206.41235424515526</v>
      </c>
      <c r="BK838" s="11">
        <f t="shared" si="109"/>
        <v>6.8042324253926034E-2</v>
      </c>
      <c r="BL838" s="5">
        <f t="shared" si="110"/>
        <v>816.3932538100089</v>
      </c>
      <c r="BM838" s="11">
        <f t="shared" si="111"/>
        <v>0.11330333044136985</v>
      </c>
    </row>
    <row r="839" spans="1:65" ht="15" customHeight="1" x14ac:dyDescent="0.4">
      <c r="A839" s="2" t="s">
        <v>589</v>
      </c>
      <c r="B839" s="2" t="s">
        <v>66</v>
      </c>
      <c r="C839" s="2" t="s">
        <v>639</v>
      </c>
      <c r="D839" s="3" t="s">
        <v>68</v>
      </c>
      <c r="E839" s="3" t="s">
        <v>616</v>
      </c>
      <c r="F839" s="2" t="s">
        <v>439</v>
      </c>
      <c r="G839" s="4">
        <v>20</v>
      </c>
      <c r="H839" s="5">
        <v>3.1482011738683111</v>
      </c>
      <c r="I839" s="5">
        <v>3.2817519547158489</v>
      </c>
      <c r="J839" s="6">
        <v>0</v>
      </c>
      <c r="K839" s="5">
        <v>0</v>
      </c>
      <c r="L839" s="6">
        <v>0</v>
      </c>
      <c r="M839" s="5">
        <v>0</v>
      </c>
      <c r="N839" s="6">
        <v>633.11083148365651</v>
      </c>
      <c r="O839" s="5">
        <v>2089.2657438960659</v>
      </c>
      <c r="P839" s="6">
        <v>0</v>
      </c>
      <c r="Q839" s="5">
        <v>0</v>
      </c>
      <c r="R839" s="6">
        <v>0</v>
      </c>
      <c r="S839" s="5">
        <v>0</v>
      </c>
      <c r="T839" s="6">
        <v>0</v>
      </c>
      <c r="U839" s="5">
        <v>0</v>
      </c>
      <c r="V839" s="6">
        <v>0</v>
      </c>
      <c r="W839" s="5">
        <v>0</v>
      </c>
      <c r="X839" s="6">
        <v>0</v>
      </c>
      <c r="Y839" s="5">
        <v>0</v>
      </c>
      <c r="Z839" s="6">
        <v>0</v>
      </c>
      <c r="AA839" s="5">
        <v>0</v>
      </c>
      <c r="AB839" s="6">
        <v>1213.4350583019379</v>
      </c>
      <c r="AC839" s="5">
        <v>3724.0321939286491</v>
      </c>
      <c r="AD839" s="6">
        <v>0</v>
      </c>
      <c r="AE839" s="5">
        <v>0</v>
      </c>
      <c r="AF839" s="6">
        <v>0</v>
      </c>
      <c r="AG839" s="5">
        <v>0</v>
      </c>
      <c r="AH839" s="7">
        <f t="shared" si="104"/>
        <v>1846.5458897855945</v>
      </c>
      <c r="AI839" s="8">
        <f t="shared" si="105"/>
        <v>5813.2979378247146</v>
      </c>
      <c r="AJ839" s="6">
        <v>0</v>
      </c>
      <c r="AK839" s="5">
        <v>0</v>
      </c>
      <c r="AL839" s="6">
        <v>0</v>
      </c>
      <c r="AM839" s="5">
        <v>0</v>
      </c>
      <c r="AN839" s="6">
        <v>680</v>
      </c>
      <c r="AO839" s="5">
        <v>2339.095199486193</v>
      </c>
      <c r="AP839" s="6">
        <v>0</v>
      </c>
      <c r="AQ839" s="5">
        <v>0</v>
      </c>
      <c r="AR839" s="6">
        <v>0</v>
      </c>
      <c r="AS839" s="5">
        <v>0</v>
      </c>
      <c r="AT839" s="6">
        <v>0</v>
      </c>
      <c r="AU839" s="5">
        <v>0</v>
      </c>
      <c r="AV839" s="6">
        <v>0</v>
      </c>
      <c r="AW839" s="5">
        <v>0</v>
      </c>
      <c r="AX839" s="6">
        <v>0</v>
      </c>
      <c r="AY839" s="5">
        <v>0</v>
      </c>
      <c r="AZ839" s="6">
        <v>0</v>
      </c>
      <c r="BA839" s="5">
        <v>0</v>
      </c>
      <c r="BB839" s="6">
        <v>1300</v>
      </c>
      <c r="BC839" s="5">
        <v>4158.7736708511866</v>
      </c>
      <c r="BD839" s="6">
        <v>0</v>
      </c>
      <c r="BE839" s="5">
        <v>0</v>
      </c>
      <c r="BF839" s="6">
        <v>0</v>
      </c>
      <c r="BG839" s="5">
        <v>0</v>
      </c>
      <c r="BH839" s="9">
        <f t="shared" si="106"/>
        <v>1980</v>
      </c>
      <c r="BI839" s="10">
        <f t="shared" si="107"/>
        <v>6497.8688703373791</v>
      </c>
      <c r="BJ839" s="6">
        <f t="shared" si="108"/>
        <v>133.45411021440555</v>
      </c>
      <c r="BK839" s="11">
        <f t="shared" si="109"/>
        <v>7.2272295507316703E-2</v>
      </c>
      <c r="BL839" s="5">
        <f t="shared" si="110"/>
        <v>684.57093251266451</v>
      </c>
      <c r="BM839" s="11">
        <f t="shared" si="111"/>
        <v>0.11775947832614012</v>
      </c>
    </row>
    <row r="840" spans="1:65" ht="15" customHeight="1" x14ac:dyDescent="0.4">
      <c r="A840" s="2" t="s">
        <v>589</v>
      </c>
      <c r="B840" s="2" t="s">
        <v>66</v>
      </c>
      <c r="C840" s="2" t="s">
        <v>639</v>
      </c>
      <c r="D840" s="3" t="s">
        <v>68</v>
      </c>
      <c r="E840" s="3" t="s">
        <v>249</v>
      </c>
      <c r="F840" s="2" t="s">
        <v>250</v>
      </c>
      <c r="G840" s="4">
        <v>1</v>
      </c>
      <c r="H840" s="5">
        <v>4.4000000000000004</v>
      </c>
      <c r="I840" s="5">
        <v>4.5864611754631239</v>
      </c>
      <c r="J840" s="6">
        <v>0</v>
      </c>
      <c r="K840" s="5">
        <v>0</v>
      </c>
      <c r="L840" s="6">
        <v>0</v>
      </c>
      <c r="M840" s="5">
        <v>0</v>
      </c>
      <c r="N840" s="6">
        <v>0</v>
      </c>
      <c r="O840" s="5">
        <v>0</v>
      </c>
      <c r="P840" s="6">
        <v>0</v>
      </c>
      <c r="Q840" s="5">
        <v>0</v>
      </c>
      <c r="R840" s="6">
        <v>35.612484270955683</v>
      </c>
      <c r="S840" s="5">
        <v>156.69493079220501</v>
      </c>
      <c r="T840" s="6">
        <v>0</v>
      </c>
      <c r="U840" s="5">
        <v>0</v>
      </c>
      <c r="V840" s="6">
        <v>0</v>
      </c>
      <c r="W840" s="5">
        <v>0</v>
      </c>
      <c r="X840" s="6">
        <v>0</v>
      </c>
      <c r="Y840" s="5">
        <v>0</v>
      </c>
      <c r="Z840" s="6">
        <v>0</v>
      </c>
      <c r="AA840" s="5">
        <v>0</v>
      </c>
      <c r="AB840" s="6">
        <v>0</v>
      </c>
      <c r="AC840" s="5">
        <v>0</v>
      </c>
      <c r="AD840" s="6">
        <v>0</v>
      </c>
      <c r="AE840" s="5">
        <v>0</v>
      </c>
      <c r="AF840" s="6">
        <v>0</v>
      </c>
      <c r="AG840" s="5">
        <v>0</v>
      </c>
      <c r="AH840" s="7">
        <f t="shared" si="104"/>
        <v>35.612484270955683</v>
      </c>
      <c r="AI840" s="8">
        <f t="shared" si="105"/>
        <v>156.69493079220501</v>
      </c>
      <c r="AJ840" s="6">
        <v>0</v>
      </c>
      <c r="AK840" s="5">
        <v>0</v>
      </c>
      <c r="AL840" s="6">
        <v>0</v>
      </c>
      <c r="AM840" s="5">
        <v>0</v>
      </c>
      <c r="AN840" s="6">
        <v>0</v>
      </c>
      <c r="AO840" s="5">
        <v>0</v>
      </c>
      <c r="AP840" s="6">
        <v>0</v>
      </c>
      <c r="AQ840" s="5">
        <v>0</v>
      </c>
      <c r="AR840" s="6">
        <v>39</v>
      </c>
      <c r="AS840" s="5">
        <v>178.87198584306191</v>
      </c>
      <c r="AT840" s="6">
        <v>0</v>
      </c>
      <c r="AU840" s="5">
        <v>0</v>
      </c>
      <c r="AV840" s="6">
        <v>0</v>
      </c>
      <c r="AW840" s="5">
        <v>0</v>
      </c>
      <c r="AX840" s="6">
        <v>0</v>
      </c>
      <c r="AY840" s="5">
        <v>0</v>
      </c>
      <c r="AZ840" s="6">
        <v>0</v>
      </c>
      <c r="BA840" s="5">
        <v>0</v>
      </c>
      <c r="BB840" s="6">
        <v>0</v>
      </c>
      <c r="BC840" s="5">
        <v>0</v>
      </c>
      <c r="BD840" s="6">
        <v>0</v>
      </c>
      <c r="BE840" s="5">
        <v>0</v>
      </c>
      <c r="BF840" s="6">
        <v>0</v>
      </c>
      <c r="BG840" s="5">
        <v>0</v>
      </c>
      <c r="BH840" s="9">
        <f t="shared" si="106"/>
        <v>39</v>
      </c>
      <c r="BI840" s="10">
        <f t="shared" si="107"/>
        <v>178.87198584306191</v>
      </c>
      <c r="BJ840" s="6">
        <f t="shared" si="108"/>
        <v>3.387515729044317</v>
      </c>
      <c r="BK840" s="11">
        <f t="shared" si="109"/>
        <v>9.5121578805639748E-2</v>
      </c>
      <c r="BL840" s="5">
        <f t="shared" si="110"/>
        <v>22.177055050856893</v>
      </c>
      <c r="BM840" s="11">
        <f t="shared" si="111"/>
        <v>0.14153013718271554</v>
      </c>
    </row>
    <row r="841" spans="1:65" ht="15" customHeight="1" x14ac:dyDescent="0.4">
      <c r="A841" s="2" t="s">
        <v>589</v>
      </c>
      <c r="B841" s="2" t="s">
        <v>66</v>
      </c>
      <c r="C841" s="2" t="s">
        <v>639</v>
      </c>
      <c r="D841" s="3" t="s">
        <v>68</v>
      </c>
      <c r="E841" s="3" t="s">
        <v>128</v>
      </c>
      <c r="F841" s="2" t="s">
        <v>129</v>
      </c>
      <c r="G841" s="4">
        <v>5</v>
      </c>
      <c r="H841" s="5">
        <v>3.390000000000001</v>
      </c>
      <c r="I841" s="5">
        <v>3.5336598601863618</v>
      </c>
      <c r="J841" s="6">
        <v>0</v>
      </c>
      <c r="K841" s="5">
        <v>0</v>
      </c>
      <c r="L841" s="6">
        <v>0</v>
      </c>
      <c r="M841" s="5">
        <v>0</v>
      </c>
      <c r="N841" s="6">
        <v>0</v>
      </c>
      <c r="O841" s="5">
        <v>0</v>
      </c>
      <c r="P841" s="6">
        <v>0</v>
      </c>
      <c r="Q841" s="5">
        <v>0</v>
      </c>
      <c r="R841" s="6">
        <v>59.354140451592791</v>
      </c>
      <c r="S841" s="5">
        <v>201.21053613089961</v>
      </c>
      <c r="T841" s="6">
        <v>0</v>
      </c>
      <c r="U841" s="5">
        <v>0</v>
      </c>
      <c r="V841" s="6">
        <v>0</v>
      </c>
      <c r="W841" s="5">
        <v>0</v>
      </c>
      <c r="X841" s="6">
        <v>0</v>
      </c>
      <c r="Y841" s="5">
        <v>0</v>
      </c>
      <c r="Z841" s="6">
        <v>0</v>
      </c>
      <c r="AA841" s="5">
        <v>0</v>
      </c>
      <c r="AB841" s="6">
        <v>0</v>
      </c>
      <c r="AC841" s="5">
        <v>0</v>
      </c>
      <c r="AD841" s="6">
        <v>0</v>
      </c>
      <c r="AE841" s="5">
        <v>0</v>
      </c>
      <c r="AF841" s="6">
        <v>0</v>
      </c>
      <c r="AG841" s="5">
        <v>0</v>
      </c>
      <c r="AH841" s="7">
        <f t="shared" si="104"/>
        <v>59.354140451592791</v>
      </c>
      <c r="AI841" s="8">
        <f t="shared" si="105"/>
        <v>201.21053613089961</v>
      </c>
      <c r="AJ841" s="6">
        <v>0</v>
      </c>
      <c r="AK841" s="5">
        <v>0</v>
      </c>
      <c r="AL841" s="6">
        <v>0</v>
      </c>
      <c r="AM841" s="5">
        <v>0</v>
      </c>
      <c r="AN841" s="6">
        <v>0</v>
      </c>
      <c r="AO841" s="5">
        <v>0</v>
      </c>
      <c r="AP841" s="6">
        <v>0</v>
      </c>
      <c r="AQ841" s="5">
        <v>0</v>
      </c>
      <c r="AR841" s="6">
        <v>65</v>
      </c>
      <c r="AS841" s="5">
        <v>229.68789091211349</v>
      </c>
      <c r="AT841" s="6">
        <v>0</v>
      </c>
      <c r="AU841" s="5">
        <v>0</v>
      </c>
      <c r="AV841" s="6">
        <v>0</v>
      </c>
      <c r="AW841" s="5">
        <v>0</v>
      </c>
      <c r="AX841" s="6">
        <v>0</v>
      </c>
      <c r="AY841" s="5">
        <v>0</v>
      </c>
      <c r="AZ841" s="6">
        <v>0</v>
      </c>
      <c r="BA841" s="5">
        <v>0</v>
      </c>
      <c r="BB841" s="6">
        <v>0</v>
      </c>
      <c r="BC841" s="5">
        <v>0</v>
      </c>
      <c r="BD841" s="6">
        <v>0</v>
      </c>
      <c r="BE841" s="5">
        <v>0</v>
      </c>
      <c r="BF841" s="6">
        <v>0</v>
      </c>
      <c r="BG841" s="5">
        <v>0</v>
      </c>
      <c r="BH841" s="9">
        <f t="shared" si="106"/>
        <v>65</v>
      </c>
      <c r="BI841" s="10">
        <f t="shared" si="107"/>
        <v>229.68789091211349</v>
      </c>
      <c r="BJ841" s="6">
        <f t="shared" si="108"/>
        <v>5.6458595484072092</v>
      </c>
      <c r="BK841" s="11">
        <f t="shared" si="109"/>
        <v>9.5121578805640011E-2</v>
      </c>
      <c r="BL841" s="5">
        <f t="shared" si="110"/>
        <v>28.477354781213876</v>
      </c>
      <c r="BM841" s="11">
        <f t="shared" si="111"/>
        <v>0.14153013718271509</v>
      </c>
    </row>
    <row r="842" spans="1:65" ht="15" customHeight="1" x14ac:dyDescent="0.4">
      <c r="A842" s="2" t="s">
        <v>589</v>
      </c>
      <c r="B842" s="2" t="s">
        <v>66</v>
      </c>
      <c r="C842" s="2" t="s">
        <v>639</v>
      </c>
      <c r="D842" s="3" t="s">
        <v>68</v>
      </c>
      <c r="E842" s="3" t="s">
        <v>79</v>
      </c>
      <c r="F842" s="2" t="s">
        <v>80</v>
      </c>
      <c r="G842" s="4">
        <v>20</v>
      </c>
      <c r="H842" s="5">
        <v>3.13</v>
      </c>
      <c r="I842" s="5">
        <v>3.262641699818086</v>
      </c>
      <c r="J842" s="6">
        <v>0</v>
      </c>
      <c r="K842" s="5">
        <v>0</v>
      </c>
      <c r="L842" s="6">
        <v>0</v>
      </c>
      <c r="M842" s="5">
        <v>0</v>
      </c>
      <c r="N842" s="6">
        <v>197.84713483864269</v>
      </c>
      <c r="O842" s="5">
        <v>619.26153204495154</v>
      </c>
      <c r="P842" s="6">
        <v>0</v>
      </c>
      <c r="Q842" s="5">
        <v>0</v>
      </c>
      <c r="R842" s="6">
        <v>395.69426967728532</v>
      </c>
      <c r="S842" s="5">
        <v>1238.5230640899031</v>
      </c>
      <c r="T842" s="6">
        <v>0</v>
      </c>
      <c r="U842" s="5">
        <v>0</v>
      </c>
      <c r="V842" s="6">
        <v>0</v>
      </c>
      <c r="W842" s="5">
        <v>0</v>
      </c>
      <c r="X842" s="6">
        <v>0</v>
      </c>
      <c r="Y842" s="5">
        <v>0</v>
      </c>
      <c r="Z842" s="6">
        <v>0</v>
      </c>
      <c r="AA842" s="5">
        <v>0</v>
      </c>
      <c r="AB842" s="6">
        <v>0</v>
      </c>
      <c r="AC842" s="5">
        <v>0</v>
      </c>
      <c r="AD842" s="6">
        <v>0</v>
      </c>
      <c r="AE842" s="5">
        <v>0</v>
      </c>
      <c r="AF842" s="6">
        <v>0</v>
      </c>
      <c r="AG842" s="5">
        <v>0</v>
      </c>
      <c r="AH842" s="7">
        <f t="shared" si="104"/>
        <v>593.54140451592798</v>
      </c>
      <c r="AI842" s="8">
        <f t="shared" si="105"/>
        <v>1857.7845961348546</v>
      </c>
      <c r="AJ842" s="6">
        <v>0</v>
      </c>
      <c r="AK842" s="5">
        <v>0</v>
      </c>
      <c r="AL842" s="6">
        <v>0</v>
      </c>
      <c r="AM842" s="5">
        <v>0</v>
      </c>
      <c r="AN842" s="6">
        <v>220</v>
      </c>
      <c r="AO842" s="5">
        <v>717.7811739599789</v>
      </c>
      <c r="AP842" s="6">
        <v>0</v>
      </c>
      <c r="AQ842" s="5">
        <v>0</v>
      </c>
      <c r="AR842" s="6">
        <v>440</v>
      </c>
      <c r="AS842" s="5">
        <v>1435.562347919958</v>
      </c>
      <c r="AT842" s="6">
        <v>0</v>
      </c>
      <c r="AU842" s="5">
        <v>0</v>
      </c>
      <c r="AV842" s="6">
        <v>0</v>
      </c>
      <c r="AW842" s="5">
        <v>0</v>
      </c>
      <c r="AX842" s="6">
        <v>0</v>
      </c>
      <c r="AY842" s="5">
        <v>0</v>
      </c>
      <c r="AZ842" s="6">
        <v>0</v>
      </c>
      <c r="BA842" s="5">
        <v>0</v>
      </c>
      <c r="BB842" s="6">
        <v>0</v>
      </c>
      <c r="BC842" s="5">
        <v>0</v>
      </c>
      <c r="BD842" s="6">
        <v>0</v>
      </c>
      <c r="BE842" s="5">
        <v>0</v>
      </c>
      <c r="BF842" s="6">
        <v>0</v>
      </c>
      <c r="BG842" s="5">
        <v>0</v>
      </c>
      <c r="BH842" s="9">
        <f t="shared" si="106"/>
        <v>660</v>
      </c>
      <c r="BI842" s="10">
        <f t="shared" si="107"/>
        <v>2153.3435218799368</v>
      </c>
      <c r="BJ842" s="6">
        <f t="shared" si="108"/>
        <v>66.458595484072021</v>
      </c>
      <c r="BK842" s="11">
        <f t="shared" si="109"/>
        <v>0.11196960309495742</v>
      </c>
      <c r="BL842" s="5">
        <f t="shared" si="110"/>
        <v>295.55892574508221</v>
      </c>
      <c r="BM842" s="11">
        <f t="shared" si="111"/>
        <v>0.15909213929321864</v>
      </c>
    </row>
    <row r="843" spans="1:65" ht="15" customHeight="1" x14ac:dyDescent="0.4">
      <c r="A843" s="2" t="s">
        <v>589</v>
      </c>
      <c r="B843" s="2" t="s">
        <v>66</v>
      </c>
      <c r="C843" s="2" t="s">
        <v>639</v>
      </c>
      <c r="D843" s="3" t="s">
        <v>68</v>
      </c>
      <c r="E843" s="3" t="s">
        <v>94</v>
      </c>
      <c r="F843" s="2" t="s">
        <v>95</v>
      </c>
      <c r="G843" s="4">
        <v>20</v>
      </c>
      <c r="H843" s="5">
        <v>1.797027027027027</v>
      </c>
      <c r="I843" s="5">
        <v>1.871735874811669</v>
      </c>
      <c r="J843" s="6">
        <v>0</v>
      </c>
      <c r="K843" s="5">
        <v>0</v>
      </c>
      <c r="L843" s="6">
        <v>0</v>
      </c>
      <c r="M843" s="5">
        <v>0</v>
      </c>
      <c r="N843" s="6">
        <v>0</v>
      </c>
      <c r="O843" s="5">
        <v>0</v>
      </c>
      <c r="P843" s="6">
        <v>98.92356741932133</v>
      </c>
      <c r="Q843" s="5">
        <v>194.87942781606299</v>
      </c>
      <c r="R843" s="6">
        <v>633.11083148365651</v>
      </c>
      <c r="S843" s="5">
        <v>1120.606171726072</v>
      </c>
      <c r="T843" s="6">
        <v>0</v>
      </c>
      <c r="U843" s="5">
        <v>0</v>
      </c>
      <c r="V843" s="6">
        <v>0</v>
      </c>
      <c r="W843" s="5">
        <v>0</v>
      </c>
      <c r="X843" s="6">
        <v>0</v>
      </c>
      <c r="Y843" s="5">
        <v>0</v>
      </c>
      <c r="Z843" s="6">
        <v>0</v>
      </c>
      <c r="AA843" s="5">
        <v>0</v>
      </c>
      <c r="AB843" s="6">
        <v>0</v>
      </c>
      <c r="AC843" s="5">
        <v>0</v>
      </c>
      <c r="AD843" s="6">
        <v>0</v>
      </c>
      <c r="AE843" s="5">
        <v>0</v>
      </c>
      <c r="AF843" s="6">
        <v>0</v>
      </c>
      <c r="AG843" s="5">
        <v>0</v>
      </c>
      <c r="AH843" s="7">
        <f t="shared" si="104"/>
        <v>732.03439890297784</v>
      </c>
      <c r="AI843" s="8">
        <f t="shared" si="105"/>
        <v>1315.4855995421351</v>
      </c>
      <c r="AJ843" s="6">
        <v>0</v>
      </c>
      <c r="AK843" s="5">
        <v>0</v>
      </c>
      <c r="AL843" s="6">
        <v>0</v>
      </c>
      <c r="AM843" s="5">
        <v>0</v>
      </c>
      <c r="AN843" s="6">
        <v>0</v>
      </c>
      <c r="AO843" s="5">
        <v>0</v>
      </c>
      <c r="AP843" s="6">
        <v>100</v>
      </c>
      <c r="AQ843" s="5">
        <v>205.34837535596259</v>
      </c>
      <c r="AR843" s="6">
        <v>680</v>
      </c>
      <c r="AS843" s="5">
        <v>1254.6056069971401</v>
      </c>
      <c r="AT843" s="6">
        <v>0</v>
      </c>
      <c r="AU843" s="5">
        <v>0</v>
      </c>
      <c r="AV843" s="6">
        <v>0</v>
      </c>
      <c r="AW843" s="5">
        <v>0</v>
      </c>
      <c r="AX843" s="6">
        <v>0</v>
      </c>
      <c r="AY843" s="5">
        <v>0</v>
      </c>
      <c r="AZ843" s="6">
        <v>0</v>
      </c>
      <c r="BA843" s="5">
        <v>0</v>
      </c>
      <c r="BB843" s="6">
        <v>0</v>
      </c>
      <c r="BC843" s="5">
        <v>0</v>
      </c>
      <c r="BD843" s="6">
        <v>0</v>
      </c>
      <c r="BE843" s="5">
        <v>0</v>
      </c>
      <c r="BF843" s="6">
        <v>0</v>
      </c>
      <c r="BG843" s="5">
        <v>0</v>
      </c>
      <c r="BH843" s="9">
        <f t="shared" si="106"/>
        <v>780</v>
      </c>
      <c r="BI843" s="10">
        <f t="shared" si="107"/>
        <v>1459.9539823531027</v>
      </c>
      <c r="BJ843" s="6">
        <f t="shared" si="108"/>
        <v>47.965601097022159</v>
      </c>
      <c r="BK843" s="11">
        <f t="shared" si="109"/>
        <v>6.5523698297379335E-2</v>
      </c>
      <c r="BL843" s="5">
        <f t="shared" si="110"/>
        <v>144.46838281096757</v>
      </c>
      <c r="BM843" s="11">
        <f t="shared" si="111"/>
        <v>0.10982133355260666</v>
      </c>
    </row>
    <row r="844" spans="1:65" ht="15" customHeight="1" x14ac:dyDescent="0.4">
      <c r="A844" s="2" t="s">
        <v>589</v>
      </c>
      <c r="B844" s="2" t="s">
        <v>66</v>
      </c>
      <c r="C844" s="2" t="s">
        <v>639</v>
      </c>
      <c r="D844" s="3" t="s">
        <v>68</v>
      </c>
      <c r="E844" s="3" t="s">
        <v>235</v>
      </c>
      <c r="F844" s="2" t="s">
        <v>236</v>
      </c>
      <c r="G844" s="4">
        <v>200</v>
      </c>
      <c r="H844" s="5">
        <v>1.7010000000000001</v>
      </c>
      <c r="I844" s="5">
        <v>1.7730841953324481</v>
      </c>
      <c r="J844" s="6">
        <v>0</v>
      </c>
      <c r="K844" s="5">
        <v>0</v>
      </c>
      <c r="L844" s="6">
        <v>791.38853935457064</v>
      </c>
      <c r="M844" s="5">
        <v>1346.151905442124</v>
      </c>
      <c r="N844" s="6">
        <v>0</v>
      </c>
      <c r="O844" s="5">
        <v>0</v>
      </c>
      <c r="P844" s="6">
        <v>0</v>
      </c>
      <c r="Q844" s="5">
        <v>0</v>
      </c>
      <c r="R844" s="6">
        <v>0</v>
      </c>
      <c r="S844" s="5">
        <v>0</v>
      </c>
      <c r="T844" s="6">
        <v>0</v>
      </c>
      <c r="U844" s="5">
        <v>0</v>
      </c>
      <c r="V844" s="6">
        <v>0</v>
      </c>
      <c r="W844" s="5">
        <v>0</v>
      </c>
      <c r="X844" s="6">
        <v>0</v>
      </c>
      <c r="Y844" s="5">
        <v>0</v>
      </c>
      <c r="Z844" s="6">
        <v>0</v>
      </c>
      <c r="AA844" s="5">
        <v>0</v>
      </c>
      <c r="AB844" s="6">
        <v>0</v>
      </c>
      <c r="AC844" s="5">
        <v>0</v>
      </c>
      <c r="AD844" s="6">
        <v>0</v>
      </c>
      <c r="AE844" s="5">
        <v>0</v>
      </c>
      <c r="AF844" s="6">
        <v>0</v>
      </c>
      <c r="AG844" s="5">
        <v>0</v>
      </c>
      <c r="AH844" s="7">
        <f t="shared" si="104"/>
        <v>791.38853935457064</v>
      </c>
      <c r="AI844" s="8">
        <f t="shared" si="105"/>
        <v>1346.151905442124</v>
      </c>
      <c r="AJ844" s="6">
        <v>0</v>
      </c>
      <c r="AK844" s="5">
        <v>0</v>
      </c>
      <c r="AL844" s="6">
        <v>800</v>
      </c>
      <c r="AM844" s="5">
        <v>1418.467356265958</v>
      </c>
      <c r="AN844" s="6">
        <v>0</v>
      </c>
      <c r="AO844" s="5">
        <v>0</v>
      </c>
      <c r="AP844" s="6">
        <v>0</v>
      </c>
      <c r="AQ844" s="5">
        <v>0</v>
      </c>
      <c r="AR844" s="6">
        <v>0</v>
      </c>
      <c r="AS844" s="5">
        <v>0</v>
      </c>
      <c r="AT844" s="6">
        <v>0</v>
      </c>
      <c r="AU844" s="5">
        <v>0</v>
      </c>
      <c r="AV844" s="6">
        <v>0</v>
      </c>
      <c r="AW844" s="5">
        <v>0</v>
      </c>
      <c r="AX844" s="6">
        <v>0</v>
      </c>
      <c r="AY844" s="5">
        <v>0</v>
      </c>
      <c r="AZ844" s="6">
        <v>0</v>
      </c>
      <c r="BA844" s="5">
        <v>0</v>
      </c>
      <c r="BB844" s="6">
        <v>0</v>
      </c>
      <c r="BC844" s="5">
        <v>0</v>
      </c>
      <c r="BD844" s="6">
        <v>0</v>
      </c>
      <c r="BE844" s="5">
        <v>0</v>
      </c>
      <c r="BF844" s="6">
        <v>0</v>
      </c>
      <c r="BG844" s="5">
        <v>0</v>
      </c>
      <c r="BH844" s="9">
        <f t="shared" si="106"/>
        <v>800</v>
      </c>
      <c r="BI844" s="10">
        <f t="shared" si="107"/>
        <v>1418.467356265958</v>
      </c>
      <c r="BJ844" s="6">
        <f t="shared" si="108"/>
        <v>8.6114606454293607</v>
      </c>
      <c r="BK844" s="11">
        <f t="shared" si="109"/>
        <v>1.0881457359052195E-2</v>
      </c>
      <c r="BL844" s="5">
        <f t="shared" si="110"/>
        <v>72.315450823833999</v>
      </c>
      <c r="BM844" s="11">
        <f t="shared" si="111"/>
        <v>5.3720126630198574E-2</v>
      </c>
    </row>
    <row r="845" spans="1:65" ht="15" customHeight="1" x14ac:dyDescent="0.4">
      <c r="A845" s="2" t="s">
        <v>589</v>
      </c>
      <c r="B845" s="2" t="s">
        <v>66</v>
      </c>
      <c r="C845" s="2" t="s">
        <v>639</v>
      </c>
      <c r="D845" s="3" t="s">
        <v>68</v>
      </c>
      <c r="E845" s="3" t="s">
        <v>96</v>
      </c>
      <c r="F845" s="2" t="s">
        <v>97</v>
      </c>
      <c r="G845" s="4">
        <v>1000</v>
      </c>
      <c r="H845" s="5">
        <v>1.5389999999999999</v>
      </c>
      <c r="I845" s="5">
        <v>1.1883103954609</v>
      </c>
      <c r="J845" s="6">
        <v>0</v>
      </c>
      <c r="K845" s="5">
        <v>0</v>
      </c>
      <c r="L845" s="6">
        <v>1978.4713483864259</v>
      </c>
      <c r="M845" s="5">
        <v>3044.8674051667099</v>
      </c>
      <c r="N845" s="6">
        <v>0</v>
      </c>
      <c r="O845" s="5">
        <v>0</v>
      </c>
      <c r="P845" s="6">
        <v>0</v>
      </c>
      <c r="Q845" s="5">
        <v>0</v>
      </c>
      <c r="R845" s="6">
        <v>0</v>
      </c>
      <c r="S845" s="5">
        <v>0</v>
      </c>
      <c r="T845" s="6">
        <v>0</v>
      </c>
      <c r="U845" s="5">
        <v>0</v>
      </c>
      <c r="V845" s="6">
        <v>0</v>
      </c>
      <c r="W845" s="5">
        <v>0</v>
      </c>
      <c r="X845" s="6">
        <v>0</v>
      </c>
      <c r="Y845" s="5">
        <v>0</v>
      </c>
      <c r="Z845" s="6">
        <v>0</v>
      </c>
      <c r="AA845" s="5">
        <v>0</v>
      </c>
      <c r="AB845" s="6">
        <v>0</v>
      </c>
      <c r="AC845" s="5">
        <v>0</v>
      </c>
      <c r="AD845" s="6">
        <v>0</v>
      </c>
      <c r="AE845" s="5">
        <v>0</v>
      </c>
      <c r="AF845" s="6">
        <v>0</v>
      </c>
      <c r="AG845" s="5">
        <v>0</v>
      </c>
      <c r="AH845" s="7">
        <f t="shared" si="104"/>
        <v>1978.4713483864259</v>
      </c>
      <c r="AI845" s="8">
        <f t="shared" si="105"/>
        <v>3044.8674051667099</v>
      </c>
      <c r="AJ845" s="6">
        <v>0</v>
      </c>
      <c r="AK845" s="5">
        <v>0</v>
      </c>
      <c r="AL845" s="6">
        <v>3000</v>
      </c>
      <c r="AM845" s="5">
        <v>3564.9311863827011</v>
      </c>
      <c r="AN845" s="6">
        <v>0</v>
      </c>
      <c r="AO845" s="5">
        <v>0</v>
      </c>
      <c r="AP845" s="6">
        <v>0</v>
      </c>
      <c r="AQ845" s="5">
        <v>0</v>
      </c>
      <c r="AR845" s="6">
        <v>0</v>
      </c>
      <c r="AS845" s="5">
        <v>0</v>
      </c>
      <c r="AT845" s="6">
        <v>0</v>
      </c>
      <c r="AU845" s="5">
        <v>0</v>
      </c>
      <c r="AV845" s="6">
        <v>0</v>
      </c>
      <c r="AW845" s="5">
        <v>0</v>
      </c>
      <c r="AX845" s="6">
        <v>0</v>
      </c>
      <c r="AY845" s="5">
        <v>0</v>
      </c>
      <c r="AZ845" s="6">
        <v>0</v>
      </c>
      <c r="BA845" s="5">
        <v>0</v>
      </c>
      <c r="BB845" s="6">
        <v>0</v>
      </c>
      <c r="BC845" s="5">
        <v>0</v>
      </c>
      <c r="BD845" s="6">
        <v>0</v>
      </c>
      <c r="BE845" s="5">
        <v>0</v>
      </c>
      <c r="BF845" s="6">
        <v>0</v>
      </c>
      <c r="BG845" s="5">
        <v>0</v>
      </c>
      <c r="BH845" s="9">
        <f t="shared" si="106"/>
        <v>3000</v>
      </c>
      <c r="BI845" s="10">
        <f t="shared" si="107"/>
        <v>3564.9311863827011</v>
      </c>
      <c r="BJ845" s="6">
        <f t="shared" si="108"/>
        <v>1021.5286516135741</v>
      </c>
      <c r="BK845" s="11">
        <f t="shared" si="109"/>
        <v>0.51632218603857882</v>
      </c>
      <c r="BL845" s="5">
        <f t="shared" si="110"/>
        <v>520.06378121599118</v>
      </c>
      <c r="BM845" s="11">
        <f t="shared" si="111"/>
        <v>0.17080014070022109</v>
      </c>
    </row>
    <row r="846" spans="1:65" ht="15" customHeight="1" x14ac:dyDescent="0.4">
      <c r="A846" s="2" t="s">
        <v>589</v>
      </c>
      <c r="B846" s="2" t="s">
        <v>66</v>
      </c>
      <c r="C846" s="2" t="s">
        <v>639</v>
      </c>
      <c r="D846" s="3" t="s">
        <v>68</v>
      </c>
      <c r="E846" s="3" t="s">
        <v>96</v>
      </c>
      <c r="F846" s="2" t="s">
        <v>268</v>
      </c>
      <c r="G846" s="4">
        <v>1000</v>
      </c>
      <c r="H846" s="5">
        <v>1.539471266835148</v>
      </c>
      <c r="I846" s="5">
        <v>1.604705476724158</v>
      </c>
      <c r="J846" s="6">
        <v>0</v>
      </c>
      <c r="K846" s="5">
        <v>0</v>
      </c>
      <c r="L846" s="6">
        <v>0</v>
      </c>
      <c r="M846" s="5">
        <v>0</v>
      </c>
      <c r="N846" s="6">
        <v>0</v>
      </c>
      <c r="O846" s="5">
        <v>0</v>
      </c>
      <c r="P846" s="6">
        <v>0</v>
      </c>
      <c r="Q846" s="5">
        <v>0</v>
      </c>
      <c r="R846" s="6">
        <v>989.23567419321319</v>
      </c>
      <c r="S846" s="5">
        <v>1523.4229382575479</v>
      </c>
      <c r="T846" s="6">
        <v>0</v>
      </c>
      <c r="U846" s="5">
        <v>0</v>
      </c>
      <c r="V846" s="6">
        <v>0</v>
      </c>
      <c r="W846" s="5">
        <v>0</v>
      </c>
      <c r="X846" s="6">
        <v>0</v>
      </c>
      <c r="Y846" s="5">
        <v>0</v>
      </c>
      <c r="Z846" s="6">
        <v>0</v>
      </c>
      <c r="AA846" s="5">
        <v>0</v>
      </c>
      <c r="AB846" s="6">
        <v>1895.992278596779</v>
      </c>
      <c r="AC846" s="5">
        <v>2918.5641141866408</v>
      </c>
      <c r="AD846" s="6">
        <v>1895.992278596779</v>
      </c>
      <c r="AE846" s="5">
        <v>2918.5641141866408</v>
      </c>
      <c r="AF846" s="6">
        <v>0</v>
      </c>
      <c r="AG846" s="5">
        <v>0</v>
      </c>
      <c r="AH846" s="7">
        <f t="shared" si="104"/>
        <v>4781.220231386771</v>
      </c>
      <c r="AI846" s="8">
        <f t="shared" si="105"/>
        <v>7360.5511666308294</v>
      </c>
      <c r="AJ846" s="6">
        <v>0</v>
      </c>
      <c r="AK846" s="5">
        <v>0</v>
      </c>
      <c r="AL846" s="6">
        <v>0</v>
      </c>
      <c r="AM846" s="5">
        <v>0</v>
      </c>
      <c r="AN846" s="6">
        <v>0</v>
      </c>
      <c r="AO846" s="5">
        <v>0</v>
      </c>
      <c r="AP846" s="6">
        <v>0</v>
      </c>
      <c r="AQ846" s="5">
        <v>0</v>
      </c>
      <c r="AR846" s="6">
        <v>1000</v>
      </c>
      <c r="AS846" s="5">
        <v>1605.2614114120929</v>
      </c>
      <c r="AT846" s="6">
        <v>0</v>
      </c>
      <c r="AU846" s="5">
        <v>0</v>
      </c>
      <c r="AV846" s="6">
        <v>0</v>
      </c>
      <c r="AW846" s="5">
        <v>0</v>
      </c>
      <c r="AX846" s="6">
        <v>0</v>
      </c>
      <c r="AY846" s="5">
        <v>0</v>
      </c>
      <c r="AZ846" s="6">
        <v>0</v>
      </c>
      <c r="BA846" s="5">
        <v>0</v>
      </c>
      <c r="BB846" s="6">
        <v>2000</v>
      </c>
      <c r="BC846" s="5">
        <v>3209.1329861043491</v>
      </c>
      <c r="BD846" s="6">
        <v>2000</v>
      </c>
      <c r="BE846" s="5">
        <v>3209.1329861043491</v>
      </c>
      <c r="BF846" s="6">
        <v>0</v>
      </c>
      <c r="BG846" s="5">
        <v>0</v>
      </c>
      <c r="BH846" s="9">
        <f t="shared" si="106"/>
        <v>5000</v>
      </c>
      <c r="BI846" s="10">
        <f t="shared" si="107"/>
        <v>8023.5273836207907</v>
      </c>
      <c r="BJ846" s="6">
        <f t="shared" si="108"/>
        <v>218.77976861322895</v>
      </c>
      <c r="BK846" s="11">
        <f t="shared" si="109"/>
        <v>4.575814499759466E-2</v>
      </c>
      <c r="BL846" s="5">
        <f t="shared" si="110"/>
        <v>662.97621698996136</v>
      </c>
      <c r="BM846" s="11">
        <f t="shared" si="111"/>
        <v>9.0071545184764706E-2</v>
      </c>
    </row>
    <row r="847" spans="1:65" ht="15" customHeight="1" x14ac:dyDescent="0.4">
      <c r="A847" s="2" t="s">
        <v>589</v>
      </c>
      <c r="B847" s="2" t="s">
        <v>66</v>
      </c>
      <c r="C847" s="2" t="s">
        <v>639</v>
      </c>
      <c r="D847" s="3" t="s">
        <v>68</v>
      </c>
      <c r="E847" s="3" t="s">
        <v>98</v>
      </c>
      <c r="F847" s="2" t="s">
        <v>99</v>
      </c>
      <c r="G847" s="4">
        <v>5</v>
      </c>
      <c r="H847" s="5">
        <v>4.79</v>
      </c>
      <c r="I847" s="5">
        <v>4.992988416015538</v>
      </c>
      <c r="J847" s="6">
        <v>0</v>
      </c>
      <c r="K847" s="5">
        <v>0</v>
      </c>
      <c r="L847" s="6">
        <v>0</v>
      </c>
      <c r="M847" s="5">
        <v>0</v>
      </c>
      <c r="N847" s="6">
        <v>0</v>
      </c>
      <c r="O847" s="5">
        <v>0</v>
      </c>
      <c r="P847" s="6">
        <v>98.92356741932133</v>
      </c>
      <c r="Q847" s="5">
        <v>473.84388793854907</v>
      </c>
      <c r="R847" s="6">
        <v>0</v>
      </c>
      <c r="S847" s="5">
        <v>0</v>
      </c>
      <c r="T847" s="6">
        <v>0</v>
      </c>
      <c r="U847" s="5">
        <v>0</v>
      </c>
      <c r="V847" s="6">
        <v>0</v>
      </c>
      <c r="W847" s="5">
        <v>0</v>
      </c>
      <c r="X847" s="6">
        <v>0</v>
      </c>
      <c r="Y847" s="5">
        <v>0</v>
      </c>
      <c r="Z847" s="6">
        <v>0</v>
      </c>
      <c r="AA847" s="5">
        <v>0</v>
      </c>
      <c r="AB847" s="6">
        <v>0</v>
      </c>
      <c r="AC847" s="5">
        <v>0</v>
      </c>
      <c r="AD847" s="6">
        <v>0</v>
      </c>
      <c r="AE847" s="5">
        <v>0</v>
      </c>
      <c r="AF847" s="6">
        <v>0</v>
      </c>
      <c r="AG847" s="5">
        <v>0</v>
      </c>
      <c r="AH847" s="7">
        <f t="shared" si="104"/>
        <v>98.92356741932133</v>
      </c>
      <c r="AI847" s="8">
        <f t="shared" si="105"/>
        <v>473.84388793854907</v>
      </c>
      <c r="AJ847" s="6">
        <v>0</v>
      </c>
      <c r="AK847" s="5">
        <v>0</v>
      </c>
      <c r="AL847" s="6">
        <v>0</v>
      </c>
      <c r="AM847" s="5">
        <v>0</v>
      </c>
      <c r="AN847" s="6">
        <v>0</v>
      </c>
      <c r="AO847" s="5">
        <v>0</v>
      </c>
      <c r="AP847" s="6">
        <v>110</v>
      </c>
      <c r="AQ847" s="5">
        <v>549.22872576170914</v>
      </c>
      <c r="AR847" s="6">
        <v>0</v>
      </c>
      <c r="AS847" s="5">
        <v>0</v>
      </c>
      <c r="AT847" s="6">
        <v>0</v>
      </c>
      <c r="AU847" s="5">
        <v>0</v>
      </c>
      <c r="AV847" s="6">
        <v>0</v>
      </c>
      <c r="AW847" s="5">
        <v>0</v>
      </c>
      <c r="AX847" s="6">
        <v>0</v>
      </c>
      <c r="AY847" s="5">
        <v>0</v>
      </c>
      <c r="AZ847" s="6">
        <v>0</v>
      </c>
      <c r="BA847" s="5">
        <v>0</v>
      </c>
      <c r="BB847" s="6">
        <v>0</v>
      </c>
      <c r="BC847" s="5">
        <v>0</v>
      </c>
      <c r="BD847" s="6">
        <v>0</v>
      </c>
      <c r="BE847" s="5">
        <v>0</v>
      </c>
      <c r="BF847" s="6">
        <v>0</v>
      </c>
      <c r="BG847" s="5">
        <v>0</v>
      </c>
      <c r="BH847" s="9">
        <f t="shared" si="106"/>
        <v>110</v>
      </c>
      <c r="BI847" s="10">
        <f t="shared" si="107"/>
        <v>549.22872576170914</v>
      </c>
      <c r="BJ847" s="6">
        <f t="shared" si="108"/>
        <v>11.07643258067867</v>
      </c>
      <c r="BK847" s="11">
        <f t="shared" si="109"/>
        <v>0.11196960309495742</v>
      </c>
      <c r="BL847" s="5">
        <f t="shared" si="110"/>
        <v>75.384837823160069</v>
      </c>
      <c r="BM847" s="11">
        <f t="shared" si="111"/>
        <v>0.15909213929321891</v>
      </c>
    </row>
    <row r="848" spans="1:65" ht="15" customHeight="1" x14ac:dyDescent="0.4">
      <c r="A848" s="2" t="s">
        <v>589</v>
      </c>
      <c r="B848" s="2" t="s">
        <v>66</v>
      </c>
      <c r="C848" s="2" t="s">
        <v>639</v>
      </c>
      <c r="D848" s="3" t="s">
        <v>68</v>
      </c>
      <c r="E848" s="3" t="s">
        <v>131</v>
      </c>
      <c r="F848" s="2" t="s">
        <v>132</v>
      </c>
      <c r="G848" s="4">
        <v>20</v>
      </c>
      <c r="H848" s="5">
        <v>1.65</v>
      </c>
      <c r="I848" s="5">
        <v>1.7199229407986709</v>
      </c>
      <c r="J848" s="6">
        <v>0</v>
      </c>
      <c r="K848" s="5">
        <v>0</v>
      </c>
      <c r="L848" s="6">
        <v>0</v>
      </c>
      <c r="M848" s="5">
        <v>0</v>
      </c>
      <c r="N848" s="6">
        <v>0</v>
      </c>
      <c r="O848" s="5">
        <v>0</v>
      </c>
      <c r="P848" s="6">
        <v>0</v>
      </c>
      <c r="Q848" s="5">
        <v>0</v>
      </c>
      <c r="R848" s="6">
        <v>118.7082809031856</v>
      </c>
      <c r="S848" s="5">
        <v>195.86866349025621</v>
      </c>
      <c r="T848" s="6">
        <v>0</v>
      </c>
      <c r="U848" s="5">
        <v>0</v>
      </c>
      <c r="V848" s="6">
        <v>0</v>
      </c>
      <c r="W848" s="5">
        <v>0</v>
      </c>
      <c r="X848" s="6">
        <v>0</v>
      </c>
      <c r="Y848" s="5">
        <v>0</v>
      </c>
      <c r="Z848" s="6">
        <v>0</v>
      </c>
      <c r="AA848" s="5">
        <v>0</v>
      </c>
      <c r="AB848" s="6">
        <v>0</v>
      </c>
      <c r="AC848" s="5">
        <v>0</v>
      </c>
      <c r="AD848" s="6">
        <v>0</v>
      </c>
      <c r="AE848" s="5">
        <v>0</v>
      </c>
      <c r="AF848" s="6">
        <v>0</v>
      </c>
      <c r="AG848" s="5">
        <v>0</v>
      </c>
      <c r="AH848" s="7">
        <f t="shared" si="104"/>
        <v>118.7082809031856</v>
      </c>
      <c r="AI848" s="8">
        <f t="shared" si="105"/>
        <v>195.86866349025621</v>
      </c>
      <c r="AJ848" s="6">
        <v>0</v>
      </c>
      <c r="AK848" s="5">
        <v>0</v>
      </c>
      <c r="AL848" s="6">
        <v>0</v>
      </c>
      <c r="AM848" s="5">
        <v>0</v>
      </c>
      <c r="AN848" s="6">
        <v>0</v>
      </c>
      <c r="AO848" s="5">
        <v>0</v>
      </c>
      <c r="AP848" s="6">
        <v>0</v>
      </c>
      <c r="AQ848" s="5">
        <v>0</v>
      </c>
      <c r="AR848" s="6">
        <v>120</v>
      </c>
      <c r="AS848" s="5">
        <v>206.39075289584059</v>
      </c>
      <c r="AT848" s="6">
        <v>0</v>
      </c>
      <c r="AU848" s="5">
        <v>0</v>
      </c>
      <c r="AV848" s="6">
        <v>0</v>
      </c>
      <c r="AW848" s="5">
        <v>0</v>
      </c>
      <c r="AX848" s="6">
        <v>0</v>
      </c>
      <c r="AY848" s="5">
        <v>0</v>
      </c>
      <c r="AZ848" s="6">
        <v>0</v>
      </c>
      <c r="BA848" s="5">
        <v>0</v>
      </c>
      <c r="BB848" s="6">
        <v>0</v>
      </c>
      <c r="BC848" s="5">
        <v>0</v>
      </c>
      <c r="BD848" s="6">
        <v>0</v>
      </c>
      <c r="BE848" s="5">
        <v>0</v>
      </c>
      <c r="BF848" s="6">
        <v>0</v>
      </c>
      <c r="BG848" s="5">
        <v>0</v>
      </c>
      <c r="BH848" s="9">
        <f t="shared" si="106"/>
        <v>120</v>
      </c>
      <c r="BI848" s="10">
        <f t="shared" si="107"/>
        <v>206.39075289584059</v>
      </c>
      <c r="BJ848" s="6">
        <f t="shared" si="108"/>
        <v>1.2917190968144041</v>
      </c>
      <c r="BK848" s="11">
        <f t="shared" si="109"/>
        <v>1.0881457359052195E-2</v>
      </c>
      <c r="BL848" s="5">
        <f t="shared" si="110"/>
        <v>10.522089405584381</v>
      </c>
      <c r="BM848" s="11">
        <f t="shared" si="111"/>
        <v>5.3720126630198907E-2</v>
      </c>
    </row>
    <row r="849" spans="1:65" ht="15" customHeight="1" x14ac:dyDescent="0.4">
      <c r="A849" s="2" t="s">
        <v>589</v>
      </c>
      <c r="B849" s="2" t="s">
        <v>66</v>
      </c>
      <c r="C849" s="2" t="s">
        <v>640</v>
      </c>
      <c r="D849" s="3" t="s">
        <v>68</v>
      </c>
      <c r="E849" s="3" t="s">
        <v>641</v>
      </c>
      <c r="F849" s="2" t="s">
        <v>642</v>
      </c>
      <c r="G849" s="4">
        <v>5</v>
      </c>
      <c r="H849" s="5">
        <v>4.37</v>
      </c>
      <c r="I849" s="5">
        <v>4.5551898492667844</v>
      </c>
      <c r="J849" s="6">
        <v>0</v>
      </c>
      <c r="K849" s="5">
        <v>0</v>
      </c>
      <c r="L849" s="6">
        <v>222.57802669347299</v>
      </c>
      <c r="M849" s="5">
        <v>972.66597665047686</v>
      </c>
      <c r="N849" s="6">
        <v>0</v>
      </c>
      <c r="O849" s="5">
        <v>0</v>
      </c>
      <c r="P849" s="6">
        <v>0</v>
      </c>
      <c r="Q849" s="5">
        <v>0</v>
      </c>
      <c r="R849" s="6">
        <v>0</v>
      </c>
      <c r="S849" s="5">
        <v>0</v>
      </c>
      <c r="T849" s="6">
        <v>0</v>
      </c>
      <c r="U849" s="5">
        <v>0</v>
      </c>
      <c r="V849" s="6">
        <v>0</v>
      </c>
      <c r="W849" s="5">
        <v>0</v>
      </c>
      <c r="X849" s="6">
        <v>0</v>
      </c>
      <c r="Y849" s="5">
        <v>0</v>
      </c>
      <c r="Z849" s="6">
        <v>0</v>
      </c>
      <c r="AA849" s="5">
        <v>0</v>
      </c>
      <c r="AB849" s="6">
        <v>0</v>
      </c>
      <c r="AC849" s="5">
        <v>0</v>
      </c>
      <c r="AD849" s="6">
        <v>0</v>
      </c>
      <c r="AE849" s="5">
        <v>0</v>
      </c>
      <c r="AF849" s="6">
        <v>0</v>
      </c>
      <c r="AG849" s="5">
        <v>0</v>
      </c>
      <c r="AH849" s="7">
        <f t="shared" si="104"/>
        <v>222.57802669347299</v>
      </c>
      <c r="AI849" s="8">
        <f t="shared" si="105"/>
        <v>972.66597665047686</v>
      </c>
      <c r="AJ849" s="6">
        <v>0</v>
      </c>
      <c r="AK849" s="5">
        <v>0</v>
      </c>
      <c r="AL849" s="6">
        <v>240</v>
      </c>
      <c r="AM849" s="5">
        <v>1093.2455638240281</v>
      </c>
      <c r="AN849" s="6">
        <v>0</v>
      </c>
      <c r="AO849" s="5">
        <v>0</v>
      </c>
      <c r="AP849" s="6">
        <v>0</v>
      </c>
      <c r="AQ849" s="5">
        <v>0</v>
      </c>
      <c r="AR849" s="6">
        <v>0</v>
      </c>
      <c r="AS849" s="5">
        <v>0</v>
      </c>
      <c r="AT849" s="6">
        <v>0</v>
      </c>
      <c r="AU849" s="5">
        <v>0</v>
      </c>
      <c r="AV849" s="6">
        <v>0</v>
      </c>
      <c r="AW849" s="5">
        <v>0</v>
      </c>
      <c r="AX849" s="6">
        <v>0</v>
      </c>
      <c r="AY849" s="5">
        <v>0</v>
      </c>
      <c r="AZ849" s="6">
        <v>0</v>
      </c>
      <c r="BA849" s="5">
        <v>0</v>
      </c>
      <c r="BB849" s="6">
        <v>0</v>
      </c>
      <c r="BC849" s="5">
        <v>0</v>
      </c>
      <c r="BD849" s="6">
        <v>0</v>
      </c>
      <c r="BE849" s="5">
        <v>0</v>
      </c>
      <c r="BF849" s="6">
        <v>0</v>
      </c>
      <c r="BG849" s="5">
        <v>0</v>
      </c>
      <c r="BH849" s="9">
        <f t="shared" si="106"/>
        <v>240</v>
      </c>
      <c r="BI849" s="10">
        <f t="shared" si="107"/>
        <v>1093.2455638240281</v>
      </c>
      <c r="BJ849" s="6">
        <f t="shared" si="108"/>
        <v>17.421973306527008</v>
      </c>
      <c r="BK849" s="11">
        <f t="shared" si="109"/>
        <v>7.8273554516322341E-2</v>
      </c>
      <c r="BL849" s="5">
        <f t="shared" si="110"/>
        <v>120.5795871735512</v>
      </c>
      <c r="BM849" s="11">
        <f t="shared" si="111"/>
        <v>0.12396813507221188</v>
      </c>
    </row>
    <row r="850" spans="1:65" ht="15" customHeight="1" x14ac:dyDescent="0.4">
      <c r="A850" s="2" t="s">
        <v>589</v>
      </c>
      <c r="B850" s="2" t="s">
        <v>66</v>
      </c>
      <c r="C850" s="2" t="s">
        <v>640</v>
      </c>
      <c r="D850" s="3" t="s">
        <v>68</v>
      </c>
      <c r="E850" s="3" t="s">
        <v>154</v>
      </c>
      <c r="F850" s="2" t="s">
        <v>155</v>
      </c>
      <c r="G850" s="4">
        <v>20</v>
      </c>
      <c r="H850" s="5">
        <v>2.919999999999999</v>
      </c>
      <c r="I850" s="5">
        <v>3.0437424164437079</v>
      </c>
      <c r="J850" s="6">
        <v>0</v>
      </c>
      <c r="K850" s="5">
        <v>0</v>
      </c>
      <c r="L850" s="6">
        <v>0</v>
      </c>
      <c r="M850" s="5">
        <v>0</v>
      </c>
      <c r="N850" s="6">
        <v>0</v>
      </c>
      <c r="O850" s="5">
        <v>0</v>
      </c>
      <c r="P850" s="6">
        <v>633.11083148365651</v>
      </c>
      <c r="Q850" s="5">
        <v>1848.683627932277</v>
      </c>
      <c r="R850" s="6">
        <v>0</v>
      </c>
      <c r="S850" s="5">
        <v>0</v>
      </c>
      <c r="T850" s="6">
        <v>0</v>
      </c>
      <c r="U850" s="5">
        <v>0</v>
      </c>
      <c r="V850" s="6">
        <v>0</v>
      </c>
      <c r="W850" s="5">
        <v>0</v>
      </c>
      <c r="X850" s="6">
        <v>0</v>
      </c>
      <c r="Y850" s="5">
        <v>0</v>
      </c>
      <c r="Z850" s="6">
        <v>0</v>
      </c>
      <c r="AA850" s="5">
        <v>0</v>
      </c>
      <c r="AB850" s="6">
        <v>0</v>
      </c>
      <c r="AC850" s="5">
        <v>0</v>
      </c>
      <c r="AD850" s="6">
        <v>0</v>
      </c>
      <c r="AE850" s="5">
        <v>0</v>
      </c>
      <c r="AF850" s="6">
        <v>0</v>
      </c>
      <c r="AG850" s="5">
        <v>0</v>
      </c>
      <c r="AH850" s="7">
        <f t="shared" si="104"/>
        <v>633.11083148365651</v>
      </c>
      <c r="AI850" s="8">
        <f t="shared" si="105"/>
        <v>1848.683627932277</v>
      </c>
      <c r="AJ850" s="6">
        <v>0</v>
      </c>
      <c r="AK850" s="5">
        <v>0</v>
      </c>
      <c r="AL850" s="6">
        <v>0</v>
      </c>
      <c r="AM850" s="5">
        <v>0</v>
      </c>
      <c r="AN850" s="6">
        <v>0</v>
      </c>
      <c r="AO850" s="5">
        <v>0</v>
      </c>
      <c r="AP850" s="6">
        <v>760</v>
      </c>
      <c r="AQ850" s="5">
        <v>2313.244236497218</v>
      </c>
      <c r="AR850" s="6">
        <v>0</v>
      </c>
      <c r="AS850" s="5">
        <v>0</v>
      </c>
      <c r="AT850" s="6">
        <v>0</v>
      </c>
      <c r="AU850" s="5">
        <v>0</v>
      </c>
      <c r="AV850" s="6">
        <v>0</v>
      </c>
      <c r="AW850" s="5">
        <v>0</v>
      </c>
      <c r="AX850" s="6">
        <v>0</v>
      </c>
      <c r="AY850" s="5">
        <v>0</v>
      </c>
      <c r="AZ850" s="6">
        <v>0</v>
      </c>
      <c r="BA850" s="5">
        <v>0</v>
      </c>
      <c r="BB850" s="6">
        <v>0</v>
      </c>
      <c r="BC850" s="5">
        <v>0</v>
      </c>
      <c r="BD850" s="6">
        <v>0</v>
      </c>
      <c r="BE850" s="5">
        <v>0</v>
      </c>
      <c r="BF850" s="6">
        <v>0</v>
      </c>
      <c r="BG850" s="5">
        <v>0</v>
      </c>
      <c r="BH850" s="9">
        <f t="shared" si="106"/>
        <v>760</v>
      </c>
      <c r="BI850" s="10">
        <f t="shared" si="107"/>
        <v>2313.244236497218</v>
      </c>
      <c r="BJ850" s="6">
        <f t="shared" si="108"/>
        <v>126.88916851634349</v>
      </c>
      <c r="BK850" s="11">
        <f t="shared" si="109"/>
        <v>0.20042173061387447</v>
      </c>
      <c r="BL850" s="5">
        <f t="shared" si="110"/>
        <v>464.56060856494105</v>
      </c>
      <c r="BM850" s="11">
        <f t="shared" si="111"/>
        <v>0.25129265037336035</v>
      </c>
    </row>
    <row r="851" spans="1:65" ht="15" customHeight="1" x14ac:dyDescent="0.4">
      <c r="A851" s="2" t="s">
        <v>589</v>
      </c>
      <c r="B851" s="2" t="s">
        <v>66</v>
      </c>
      <c r="C851" s="2" t="s">
        <v>640</v>
      </c>
      <c r="D851" s="3" t="s">
        <v>68</v>
      </c>
      <c r="E851" s="3" t="s">
        <v>82</v>
      </c>
      <c r="F851" s="2" t="s">
        <v>83</v>
      </c>
      <c r="G851" s="4">
        <v>20</v>
      </c>
      <c r="H851" s="5">
        <v>2.9371275614794148</v>
      </c>
      <c r="I851" s="5">
        <v>3.0625278725428151</v>
      </c>
      <c r="J851" s="6">
        <v>0</v>
      </c>
      <c r="K851" s="5">
        <v>0</v>
      </c>
      <c r="L851" s="6">
        <v>0</v>
      </c>
      <c r="M851" s="5">
        <v>0</v>
      </c>
      <c r="N851" s="6">
        <v>0</v>
      </c>
      <c r="O851" s="5">
        <v>0</v>
      </c>
      <c r="P851" s="6">
        <v>0</v>
      </c>
      <c r="Q851" s="5">
        <v>0</v>
      </c>
      <c r="R851" s="6">
        <v>0</v>
      </c>
      <c r="S851" s="5">
        <v>0</v>
      </c>
      <c r="T851" s="6">
        <v>0</v>
      </c>
      <c r="U851" s="5">
        <v>0</v>
      </c>
      <c r="V851" s="6">
        <v>1899.33249445097</v>
      </c>
      <c r="W851" s="5">
        <v>5716.990808297418</v>
      </c>
      <c r="X851" s="6">
        <v>0</v>
      </c>
      <c r="Y851" s="5">
        <v>0</v>
      </c>
      <c r="Z851" s="6">
        <v>0</v>
      </c>
      <c r="AA851" s="5">
        <v>0</v>
      </c>
      <c r="AB851" s="6">
        <v>606.7175291509692</v>
      </c>
      <c r="AC851" s="5">
        <v>1643.597786469976</v>
      </c>
      <c r="AD851" s="6">
        <v>0</v>
      </c>
      <c r="AE851" s="5">
        <v>0</v>
      </c>
      <c r="AF851" s="6">
        <v>0</v>
      </c>
      <c r="AG851" s="5">
        <v>0</v>
      </c>
      <c r="AH851" s="7">
        <f t="shared" si="104"/>
        <v>2506.0500236019393</v>
      </c>
      <c r="AI851" s="8">
        <f t="shared" si="105"/>
        <v>7360.5885947673942</v>
      </c>
      <c r="AJ851" s="6">
        <v>0</v>
      </c>
      <c r="AK851" s="5">
        <v>0</v>
      </c>
      <c r="AL851" s="6">
        <v>0</v>
      </c>
      <c r="AM851" s="5">
        <v>0</v>
      </c>
      <c r="AN851" s="6">
        <v>0</v>
      </c>
      <c r="AO851" s="5">
        <v>0</v>
      </c>
      <c r="AP851" s="6">
        <v>0</v>
      </c>
      <c r="AQ851" s="5">
        <v>0</v>
      </c>
      <c r="AR851" s="6">
        <v>0</v>
      </c>
      <c r="AS851" s="5">
        <v>0</v>
      </c>
      <c r="AT851" s="6">
        <v>0</v>
      </c>
      <c r="AU851" s="5">
        <v>0</v>
      </c>
      <c r="AV851" s="6">
        <v>2100</v>
      </c>
      <c r="AW851" s="5">
        <v>6588.8684295687281</v>
      </c>
      <c r="AX851" s="6">
        <v>0</v>
      </c>
      <c r="AY851" s="5">
        <v>0</v>
      </c>
      <c r="AZ851" s="6">
        <v>0</v>
      </c>
      <c r="BA851" s="5">
        <v>0</v>
      </c>
      <c r="BB851" s="6">
        <v>660</v>
      </c>
      <c r="BC851" s="5">
        <v>1863.708498649441</v>
      </c>
      <c r="BD851" s="6">
        <v>0</v>
      </c>
      <c r="BE851" s="5">
        <v>0</v>
      </c>
      <c r="BF851" s="6">
        <v>0</v>
      </c>
      <c r="BG851" s="5">
        <v>0</v>
      </c>
      <c r="BH851" s="9">
        <f t="shared" si="106"/>
        <v>2760</v>
      </c>
      <c r="BI851" s="10">
        <f t="shared" si="107"/>
        <v>8452.5769282181682</v>
      </c>
      <c r="BJ851" s="6">
        <f t="shared" si="108"/>
        <v>253.9499763980607</v>
      </c>
      <c r="BK851" s="11">
        <f t="shared" si="109"/>
        <v>0.10133475948459283</v>
      </c>
      <c r="BL851" s="5">
        <f t="shared" si="110"/>
        <v>1091.988333450774</v>
      </c>
      <c r="BM851" s="11">
        <f t="shared" si="111"/>
        <v>0.14835611573605176</v>
      </c>
    </row>
    <row r="852" spans="1:65" ht="15" customHeight="1" x14ac:dyDescent="0.4">
      <c r="A852" s="2" t="s">
        <v>589</v>
      </c>
      <c r="B852" s="2" t="s">
        <v>66</v>
      </c>
      <c r="C852" s="2" t="s">
        <v>640</v>
      </c>
      <c r="D852" s="3" t="s">
        <v>68</v>
      </c>
      <c r="E852" s="3" t="s">
        <v>86</v>
      </c>
      <c r="F852" s="2" t="s">
        <v>87</v>
      </c>
      <c r="G852" s="4">
        <v>20</v>
      </c>
      <c r="H852" s="5">
        <v>1.56</v>
      </c>
      <c r="I852" s="5">
        <v>1.626108962209653</v>
      </c>
      <c r="J852" s="6">
        <v>0</v>
      </c>
      <c r="K852" s="5">
        <v>0</v>
      </c>
      <c r="L852" s="6">
        <v>1088.159241612535</v>
      </c>
      <c r="M852" s="5">
        <v>1697.5284169155541</v>
      </c>
      <c r="N852" s="6">
        <v>0</v>
      </c>
      <c r="O852" s="5">
        <v>0</v>
      </c>
      <c r="P852" s="6">
        <v>0</v>
      </c>
      <c r="Q852" s="5">
        <v>0</v>
      </c>
      <c r="R852" s="6">
        <v>0</v>
      </c>
      <c r="S852" s="5">
        <v>0</v>
      </c>
      <c r="T852" s="6">
        <v>0</v>
      </c>
      <c r="U852" s="5">
        <v>0</v>
      </c>
      <c r="V852" s="6">
        <v>0</v>
      </c>
      <c r="W852" s="5">
        <v>0</v>
      </c>
      <c r="X852" s="6">
        <v>0</v>
      </c>
      <c r="Y852" s="5">
        <v>0</v>
      </c>
      <c r="Z852" s="6">
        <v>0</v>
      </c>
      <c r="AA852" s="5">
        <v>0</v>
      </c>
      <c r="AB852" s="6">
        <v>0</v>
      </c>
      <c r="AC852" s="5">
        <v>0</v>
      </c>
      <c r="AD852" s="6">
        <v>0</v>
      </c>
      <c r="AE852" s="5">
        <v>0</v>
      </c>
      <c r="AF852" s="6">
        <v>0</v>
      </c>
      <c r="AG852" s="5">
        <v>0</v>
      </c>
      <c r="AH852" s="7">
        <f t="shared" si="104"/>
        <v>1088.159241612535</v>
      </c>
      <c r="AI852" s="8">
        <f t="shared" si="105"/>
        <v>1697.5284169155541</v>
      </c>
      <c r="AJ852" s="6">
        <v>0</v>
      </c>
      <c r="AK852" s="5">
        <v>0</v>
      </c>
      <c r="AL852" s="6">
        <v>1200</v>
      </c>
      <c r="AM852" s="5">
        <v>1951.330754651583</v>
      </c>
      <c r="AN852" s="6">
        <v>0</v>
      </c>
      <c r="AO852" s="5">
        <v>0</v>
      </c>
      <c r="AP852" s="6">
        <v>0</v>
      </c>
      <c r="AQ852" s="5">
        <v>0</v>
      </c>
      <c r="AR852" s="6">
        <v>0</v>
      </c>
      <c r="AS852" s="5">
        <v>0</v>
      </c>
      <c r="AT852" s="6">
        <v>0</v>
      </c>
      <c r="AU852" s="5">
        <v>0</v>
      </c>
      <c r="AV852" s="6">
        <v>0</v>
      </c>
      <c r="AW852" s="5">
        <v>0</v>
      </c>
      <c r="AX852" s="6">
        <v>0</v>
      </c>
      <c r="AY852" s="5">
        <v>0</v>
      </c>
      <c r="AZ852" s="6">
        <v>0</v>
      </c>
      <c r="BA852" s="5">
        <v>0</v>
      </c>
      <c r="BB852" s="6">
        <v>0</v>
      </c>
      <c r="BC852" s="5">
        <v>0</v>
      </c>
      <c r="BD852" s="6">
        <v>0</v>
      </c>
      <c r="BE852" s="5">
        <v>0</v>
      </c>
      <c r="BF852" s="6">
        <v>0</v>
      </c>
      <c r="BG852" s="5">
        <v>0</v>
      </c>
      <c r="BH852" s="9">
        <f t="shared" si="106"/>
        <v>1200</v>
      </c>
      <c r="BI852" s="10">
        <f t="shared" si="107"/>
        <v>1951.330754651583</v>
      </c>
      <c r="BJ852" s="6">
        <f t="shared" si="108"/>
        <v>111.84075838746503</v>
      </c>
      <c r="BK852" s="11">
        <f t="shared" si="109"/>
        <v>0.10277977166442023</v>
      </c>
      <c r="BL852" s="5">
        <f t="shared" si="110"/>
        <v>253.8023377360289</v>
      </c>
      <c r="BM852" s="11">
        <f t="shared" si="111"/>
        <v>0.1495128654147618</v>
      </c>
    </row>
    <row r="853" spans="1:65" ht="15" customHeight="1" x14ac:dyDescent="0.4">
      <c r="A853" s="2" t="s">
        <v>589</v>
      </c>
      <c r="B853" s="2" t="s">
        <v>66</v>
      </c>
      <c r="C853" s="2" t="s">
        <v>640</v>
      </c>
      <c r="D853" s="3" t="s">
        <v>68</v>
      </c>
      <c r="E853" s="3" t="s">
        <v>241</v>
      </c>
      <c r="F853" s="2" t="s">
        <v>242</v>
      </c>
      <c r="G853" s="4">
        <v>1</v>
      </c>
      <c r="H853" s="5">
        <v>4.7885714285714283</v>
      </c>
      <c r="I853" s="5">
        <v>4.9924028106560554</v>
      </c>
      <c r="J853" s="6">
        <v>0</v>
      </c>
      <c r="K853" s="5">
        <v>0</v>
      </c>
      <c r="L853" s="6">
        <v>23.741656180637118</v>
      </c>
      <c r="M853" s="5">
        <v>110.636117801769</v>
      </c>
      <c r="N853" s="6">
        <v>0</v>
      </c>
      <c r="O853" s="5">
        <v>0</v>
      </c>
      <c r="P853" s="6">
        <v>0</v>
      </c>
      <c r="Q853" s="5">
        <v>0</v>
      </c>
      <c r="R853" s="6">
        <v>0</v>
      </c>
      <c r="S853" s="5">
        <v>0</v>
      </c>
      <c r="T853" s="6">
        <v>59.354140451592791</v>
      </c>
      <c r="U853" s="5">
        <v>287.27403978570908</v>
      </c>
      <c r="V853" s="6">
        <v>0</v>
      </c>
      <c r="W853" s="5">
        <v>0</v>
      </c>
      <c r="X853" s="6">
        <v>0</v>
      </c>
      <c r="Y853" s="5">
        <v>0</v>
      </c>
      <c r="Z853" s="6">
        <v>0</v>
      </c>
      <c r="AA853" s="5">
        <v>0</v>
      </c>
      <c r="AB853" s="6">
        <v>0</v>
      </c>
      <c r="AC853" s="5">
        <v>0</v>
      </c>
      <c r="AD853" s="6">
        <v>0</v>
      </c>
      <c r="AE853" s="5">
        <v>0</v>
      </c>
      <c r="AF853" s="6">
        <v>0</v>
      </c>
      <c r="AG853" s="5">
        <v>0</v>
      </c>
      <c r="AH853" s="7">
        <f t="shared" si="104"/>
        <v>83.095796632229906</v>
      </c>
      <c r="AI853" s="8">
        <f t="shared" si="105"/>
        <v>397.91015758747807</v>
      </c>
      <c r="AJ853" s="6">
        <v>0</v>
      </c>
      <c r="AK853" s="5">
        <v>0</v>
      </c>
      <c r="AL853" s="6">
        <v>25</v>
      </c>
      <c r="AM853" s="5">
        <v>121.43698339578501</v>
      </c>
      <c r="AN853" s="6">
        <v>0</v>
      </c>
      <c r="AO853" s="5">
        <v>0</v>
      </c>
      <c r="AP853" s="6">
        <v>0</v>
      </c>
      <c r="AQ853" s="5">
        <v>0</v>
      </c>
      <c r="AR853" s="6">
        <v>0</v>
      </c>
      <c r="AS853" s="5">
        <v>0</v>
      </c>
      <c r="AT853" s="6">
        <v>64</v>
      </c>
      <c r="AU853" s="5">
        <v>322.88686675260391</v>
      </c>
      <c r="AV853" s="6">
        <v>0</v>
      </c>
      <c r="AW853" s="5">
        <v>0</v>
      </c>
      <c r="AX853" s="6">
        <v>0</v>
      </c>
      <c r="AY853" s="5">
        <v>0</v>
      </c>
      <c r="AZ853" s="6">
        <v>0</v>
      </c>
      <c r="BA853" s="5">
        <v>0</v>
      </c>
      <c r="BB853" s="6">
        <v>0</v>
      </c>
      <c r="BC853" s="5">
        <v>0</v>
      </c>
      <c r="BD853" s="6">
        <v>0</v>
      </c>
      <c r="BE853" s="5">
        <v>0</v>
      </c>
      <c r="BF853" s="6">
        <v>0</v>
      </c>
      <c r="BG853" s="5">
        <v>0</v>
      </c>
      <c r="BH853" s="9">
        <f t="shared" si="106"/>
        <v>89</v>
      </c>
      <c r="BI853" s="10">
        <f t="shared" si="107"/>
        <v>444.32385014838894</v>
      </c>
      <c r="BJ853" s="6">
        <f t="shared" si="108"/>
        <v>5.9042033677700942</v>
      </c>
      <c r="BK853" s="11">
        <f t="shared" si="109"/>
        <v>7.1052972678043544E-2</v>
      </c>
      <c r="BL853" s="5">
        <f t="shared" si="110"/>
        <v>46.413692560910874</v>
      </c>
      <c r="BM853" s="11">
        <f t="shared" si="111"/>
        <v>0.11664364851180536</v>
      </c>
    </row>
    <row r="854" spans="1:65" ht="15" customHeight="1" x14ac:dyDescent="0.4">
      <c r="A854" s="2" t="s">
        <v>589</v>
      </c>
      <c r="B854" s="2" t="s">
        <v>66</v>
      </c>
      <c r="C854" s="2" t="s">
        <v>640</v>
      </c>
      <c r="D854" s="3" t="s">
        <v>68</v>
      </c>
      <c r="E854" s="3" t="s">
        <v>176</v>
      </c>
      <c r="F854" s="2" t="s">
        <v>177</v>
      </c>
      <c r="G854" s="4">
        <v>5</v>
      </c>
      <c r="H854" s="5">
        <v>3.28</v>
      </c>
      <c r="I854" s="5">
        <v>3.4189983307997829</v>
      </c>
      <c r="J854" s="6">
        <v>0</v>
      </c>
      <c r="K854" s="5">
        <v>0</v>
      </c>
      <c r="L854" s="6">
        <v>0</v>
      </c>
      <c r="M854" s="5">
        <v>0</v>
      </c>
      <c r="N854" s="6">
        <v>0</v>
      </c>
      <c r="O854" s="5">
        <v>0</v>
      </c>
      <c r="P854" s="6">
        <v>0</v>
      </c>
      <c r="Q854" s="5">
        <v>0</v>
      </c>
      <c r="R854" s="6">
        <v>0</v>
      </c>
      <c r="S854" s="5">
        <v>0</v>
      </c>
      <c r="T854" s="6">
        <v>98.92356741932133</v>
      </c>
      <c r="U854" s="5">
        <v>324.46930113537388</v>
      </c>
      <c r="V854" s="6">
        <v>98.92356741932133</v>
      </c>
      <c r="W854" s="5">
        <v>324.46930113537388</v>
      </c>
      <c r="X854" s="6">
        <v>0</v>
      </c>
      <c r="Y854" s="5">
        <v>0</v>
      </c>
      <c r="Z854" s="6">
        <v>0</v>
      </c>
      <c r="AA854" s="5">
        <v>0</v>
      </c>
      <c r="AB854" s="6">
        <v>0</v>
      </c>
      <c r="AC854" s="5">
        <v>0</v>
      </c>
      <c r="AD854" s="6">
        <v>0</v>
      </c>
      <c r="AE854" s="5">
        <v>0</v>
      </c>
      <c r="AF854" s="6">
        <v>0</v>
      </c>
      <c r="AG854" s="5">
        <v>0</v>
      </c>
      <c r="AH854" s="7">
        <f t="shared" si="104"/>
        <v>197.84713483864266</v>
      </c>
      <c r="AI854" s="8">
        <f t="shared" si="105"/>
        <v>648.93860227074777</v>
      </c>
      <c r="AJ854" s="6">
        <v>0</v>
      </c>
      <c r="AK854" s="5">
        <v>0</v>
      </c>
      <c r="AL854" s="6">
        <v>0</v>
      </c>
      <c r="AM854" s="5">
        <v>0</v>
      </c>
      <c r="AN854" s="6">
        <v>0</v>
      </c>
      <c r="AO854" s="5">
        <v>0</v>
      </c>
      <c r="AP854" s="6">
        <v>0</v>
      </c>
      <c r="AQ854" s="5">
        <v>0</v>
      </c>
      <c r="AR854" s="6">
        <v>0</v>
      </c>
      <c r="AS854" s="5">
        <v>0</v>
      </c>
      <c r="AT854" s="6">
        <v>110</v>
      </c>
      <c r="AU854" s="5">
        <v>376.0898163879761</v>
      </c>
      <c r="AV854" s="6">
        <v>110</v>
      </c>
      <c r="AW854" s="5">
        <v>376.0898163879761</v>
      </c>
      <c r="AX854" s="6">
        <v>0</v>
      </c>
      <c r="AY854" s="5">
        <v>0</v>
      </c>
      <c r="AZ854" s="6">
        <v>0</v>
      </c>
      <c r="BA854" s="5">
        <v>0</v>
      </c>
      <c r="BB854" s="6">
        <v>0</v>
      </c>
      <c r="BC854" s="5">
        <v>0</v>
      </c>
      <c r="BD854" s="6">
        <v>0</v>
      </c>
      <c r="BE854" s="5">
        <v>0</v>
      </c>
      <c r="BF854" s="6">
        <v>0</v>
      </c>
      <c r="BG854" s="5">
        <v>0</v>
      </c>
      <c r="BH854" s="9">
        <f t="shared" si="106"/>
        <v>220</v>
      </c>
      <c r="BI854" s="10">
        <f t="shared" si="107"/>
        <v>752.1796327759522</v>
      </c>
      <c r="BJ854" s="6">
        <f t="shared" si="108"/>
        <v>22.15286516135734</v>
      </c>
      <c r="BK854" s="11">
        <f t="shared" si="109"/>
        <v>0.11196960309495742</v>
      </c>
      <c r="BL854" s="5">
        <f t="shared" si="110"/>
        <v>103.24103050520444</v>
      </c>
      <c r="BM854" s="11">
        <f t="shared" si="111"/>
        <v>0.15909213929321867</v>
      </c>
    </row>
    <row r="855" spans="1:65" ht="15" customHeight="1" x14ac:dyDescent="0.4">
      <c r="A855" s="2" t="s">
        <v>589</v>
      </c>
      <c r="B855" s="2" t="s">
        <v>66</v>
      </c>
      <c r="C855" s="2" t="s">
        <v>640</v>
      </c>
      <c r="D855" s="3" t="s">
        <v>68</v>
      </c>
      <c r="E855" s="3" t="s">
        <v>223</v>
      </c>
      <c r="F855" s="2" t="s">
        <v>224</v>
      </c>
      <c r="G855" s="4">
        <v>20</v>
      </c>
      <c r="H855" s="5">
        <v>2.89</v>
      </c>
      <c r="I855" s="5">
        <v>3.0124710902473701</v>
      </c>
      <c r="J855" s="6">
        <v>0</v>
      </c>
      <c r="K855" s="5">
        <v>0</v>
      </c>
      <c r="L855" s="6">
        <v>118.7082809031856</v>
      </c>
      <c r="M855" s="5">
        <v>337.13151776504708</v>
      </c>
      <c r="N855" s="6">
        <v>0</v>
      </c>
      <c r="O855" s="5">
        <v>0</v>
      </c>
      <c r="P855" s="6">
        <v>0</v>
      </c>
      <c r="Q855" s="5">
        <v>0</v>
      </c>
      <c r="R855" s="6">
        <v>0</v>
      </c>
      <c r="S855" s="5">
        <v>0</v>
      </c>
      <c r="T855" s="6">
        <v>0</v>
      </c>
      <c r="U855" s="5">
        <v>0</v>
      </c>
      <c r="V855" s="6">
        <v>98.92356741932133</v>
      </c>
      <c r="W855" s="5">
        <v>291.82452388699789</v>
      </c>
      <c r="X855" s="6">
        <v>0</v>
      </c>
      <c r="Y855" s="5">
        <v>0</v>
      </c>
      <c r="Z855" s="6">
        <v>0</v>
      </c>
      <c r="AA855" s="5">
        <v>0</v>
      </c>
      <c r="AB855" s="6">
        <v>0</v>
      </c>
      <c r="AC855" s="5">
        <v>0</v>
      </c>
      <c r="AD855" s="6">
        <v>0</v>
      </c>
      <c r="AE855" s="5">
        <v>0</v>
      </c>
      <c r="AF855" s="6">
        <v>0</v>
      </c>
      <c r="AG855" s="5">
        <v>0</v>
      </c>
      <c r="AH855" s="7">
        <f t="shared" si="104"/>
        <v>217.63184832250693</v>
      </c>
      <c r="AI855" s="8">
        <f t="shared" si="105"/>
        <v>628.95604165204497</v>
      </c>
      <c r="AJ855" s="6">
        <v>0</v>
      </c>
      <c r="AK855" s="5">
        <v>0</v>
      </c>
      <c r="AL855" s="6">
        <v>120</v>
      </c>
      <c r="AM855" s="5">
        <v>355.24226559041648</v>
      </c>
      <c r="AN855" s="6">
        <v>0</v>
      </c>
      <c r="AO855" s="5">
        <v>0</v>
      </c>
      <c r="AP855" s="6">
        <v>0</v>
      </c>
      <c r="AQ855" s="5">
        <v>0</v>
      </c>
      <c r="AR855" s="6">
        <v>0</v>
      </c>
      <c r="AS855" s="5">
        <v>0</v>
      </c>
      <c r="AT855" s="6">
        <v>0</v>
      </c>
      <c r="AU855" s="5">
        <v>0</v>
      </c>
      <c r="AV855" s="6">
        <v>100</v>
      </c>
      <c r="AW855" s="5">
        <v>307.50137426400482</v>
      </c>
      <c r="AX855" s="6">
        <v>0</v>
      </c>
      <c r="AY855" s="5">
        <v>0</v>
      </c>
      <c r="AZ855" s="6">
        <v>0</v>
      </c>
      <c r="BA855" s="5">
        <v>0</v>
      </c>
      <c r="BB855" s="6">
        <v>0</v>
      </c>
      <c r="BC855" s="5">
        <v>0</v>
      </c>
      <c r="BD855" s="6">
        <v>0</v>
      </c>
      <c r="BE855" s="5">
        <v>0</v>
      </c>
      <c r="BF855" s="6">
        <v>0</v>
      </c>
      <c r="BG855" s="5">
        <v>0</v>
      </c>
      <c r="BH855" s="9">
        <f t="shared" si="106"/>
        <v>220</v>
      </c>
      <c r="BI855" s="10">
        <f t="shared" si="107"/>
        <v>662.7436398544213</v>
      </c>
      <c r="BJ855" s="6">
        <f t="shared" si="108"/>
        <v>2.3681516774930742</v>
      </c>
      <c r="BK855" s="11">
        <f t="shared" si="109"/>
        <v>1.0881457359052195E-2</v>
      </c>
      <c r="BL855" s="5">
        <f t="shared" si="110"/>
        <v>33.78759820237633</v>
      </c>
      <c r="BM855" s="11">
        <f t="shared" si="111"/>
        <v>5.3720126630198616E-2</v>
      </c>
    </row>
    <row r="856" spans="1:65" ht="15" customHeight="1" x14ac:dyDescent="0.4">
      <c r="A856" s="2" t="s">
        <v>589</v>
      </c>
      <c r="B856" s="2" t="s">
        <v>66</v>
      </c>
      <c r="C856" s="2" t="s">
        <v>640</v>
      </c>
      <c r="D856" s="3" t="s">
        <v>68</v>
      </c>
      <c r="E856" s="3" t="s">
        <v>71</v>
      </c>
      <c r="F856" s="2" t="s">
        <v>72</v>
      </c>
      <c r="G856" s="4">
        <v>20</v>
      </c>
      <c r="H856" s="5">
        <v>2.2919634075448041</v>
      </c>
      <c r="I856" s="5">
        <v>2.3892141269313658</v>
      </c>
      <c r="J856" s="6">
        <v>197.84713483864269</v>
      </c>
      <c r="K856" s="5">
        <v>447.13452473533238</v>
      </c>
      <c r="L856" s="6">
        <v>494.61783709660659</v>
      </c>
      <c r="M856" s="5">
        <v>1127.728668580263</v>
      </c>
      <c r="N856" s="6">
        <v>0</v>
      </c>
      <c r="O856" s="5">
        <v>0</v>
      </c>
      <c r="P856" s="6">
        <v>1899.3324944509691</v>
      </c>
      <c r="Q856" s="5">
        <v>4330.4780873482096</v>
      </c>
      <c r="R856" s="6">
        <v>0</v>
      </c>
      <c r="S856" s="5">
        <v>0</v>
      </c>
      <c r="T856" s="6">
        <v>633.11083148365651</v>
      </c>
      <c r="U856" s="5">
        <v>1481.4793456717559</v>
      </c>
      <c r="V856" s="6">
        <v>633.11083148365651</v>
      </c>
      <c r="W856" s="5">
        <v>1481.4793456717559</v>
      </c>
      <c r="X856" s="6">
        <v>0</v>
      </c>
      <c r="Y856" s="5">
        <v>0</v>
      </c>
      <c r="Z856" s="6">
        <v>0</v>
      </c>
      <c r="AA856" s="5">
        <v>0</v>
      </c>
      <c r="AB856" s="6">
        <v>0</v>
      </c>
      <c r="AC856" s="5">
        <v>0</v>
      </c>
      <c r="AD856" s="6">
        <v>606.7175291509692</v>
      </c>
      <c r="AE856" s="5">
        <v>1364.7130736088579</v>
      </c>
      <c r="AF856" s="6">
        <v>0</v>
      </c>
      <c r="AG856" s="5">
        <v>0</v>
      </c>
      <c r="AH856" s="7">
        <f t="shared" si="104"/>
        <v>4464.7366585045002</v>
      </c>
      <c r="AI856" s="8">
        <f t="shared" si="105"/>
        <v>10233.013045616175</v>
      </c>
      <c r="AJ856" s="6">
        <v>240</v>
      </c>
      <c r="AK856" s="5">
        <v>565.3855776298177</v>
      </c>
      <c r="AL856" s="6">
        <v>620</v>
      </c>
      <c r="AM856" s="5">
        <v>1473.504890371516</v>
      </c>
      <c r="AN856" s="6">
        <v>0</v>
      </c>
      <c r="AO856" s="5">
        <v>0</v>
      </c>
      <c r="AP856" s="6">
        <v>2400</v>
      </c>
      <c r="AQ856" s="5">
        <v>5703.889898212321</v>
      </c>
      <c r="AR856" s="6">
        <v>0</v>
      </c>
      <c r="AS856" s="5">
        <v>0</v>
      </c>
      <c r="AT856" s="6">
        <v>800</v>
      </c>
      <c r="AU856" s="5">
        <v>1951.330754651583</v>
      </c>
      <c r="AV856" s="6">
        <v>800</v>
      </c>
      <c r="AW856" s="5">
        <v>1951.330754651583</v>
      </c>
      <c r="AX856" s="6">
        <v>0</v>
      </c>
      <c r="AY856" s="5">
        <v>0</v>
      </c>
      <c r="AZ856" s="6">
        <v>0</v>
      </c>
      <c r="BA856" s="5">
        <v>0</v>
      </c>
      <c r="BB856" s="6">
        <v>0</v>
      </c>
      <c r="BC856" s="5">
        <v>0</v>
      </c>
      <c r="BD856" s="6">
        <v>760</v>
      </c>
      <c r="BE856" s="5">
        <v>1781.941517837455</v>
      </c>
      <c r="BF856" s="6">
        <v>0</v>
      </c>
      <c r="BG856" s="5">
        <v>0</v>
      </c>
      <c r="BH856" s="9">
        <f t="shared" si="106"/>
        <v>5620</v>
      </c>
      <c r="BI856" s="10">
        <f t="shared" si="107"/>
        <v>13427.383393354276</v>
      </c>
      <c r="BJ856" s="6">
        <f t="shared" si="108"/>
        <v>1155.2633414954998</v>
      </c>
      <c r="BK856" s="11">
        <f t="shared" si="109"/>
        <v>0.25875285148003885</v>
      </c>
      <c r="BL856" s="5">
        <f t="shared" si="110"/>
        <v>3194.3703477381005</v>
      </c>
      <c r="BM856" s="11">
        <f t="shared" si="111"/>
        <v>0.31216322440892125</v>
      </c>
    </row>
    <row r="857" spans="1:65" ht="15" customHeight="1" x14ac:dyDescent="0.4">
      <c r="A857" s="2" t="s">
        <v>589</v>
      </c>
      <c r="B857" s="2" t="s">
        <v>66</v>
      </c>
      <c r="C857" s="2" t="s">
        <v>640</v>
      </c>
      <c r="D857" s="3" t="s">
        <v>68</v>
      </c>
      <c r="E857" s="3" t="s">
        <v>120</v>
      </c>
      <c r="F857" s="2" t="s">
        <v>121</v>
      </c>
      <c r="G857" s="4">
        <v>5</v>
      </c>
      <c r="H857" s="5">
        <v>3.93</v>
      </c>
      <c r="I857" s="5">
        <v>4.0965437317204714</v>
      </c>
      <c r="J857" s="6">
        <v>0</v>
      </c>
      <c r="K857" s="5">
        <v>0</v>
      </c>
      <c r="L857" s="6">
        <v>0</v>
      </c>
      <c r="M857" s="5">
        <v>0</v>
      </c>
      <c r="N857" s="6">
        <v>0</v>
      </c>
      <c r="O857" s="5">
        <v>0</v>
      </c>
      <c r="P857" s="6">
        <v>0</v>
      </c>
      <c r="Q857" s="5">
        <v>0</v>
      </c>
      <c r="R857" s="6">
        <v>0</v>
      </c>
      <c r="S857" s="5">
        <v>0</v>
      </c>
      <c r="T857" s="6">
        <v>0</v>
      </c>
      <c r="U857" s="5">
        <v>0</v>
      </c>
      <c r="V857" s="6">
        <v>435.26369664501391</v>
      </c>
      <c r="W857" s="5">
        <v>1710.5863278149041</v>
      </c>
      <c r="X857" s="6">
        <v>0</v>
      </c>
      <c r="Y857" s="5">
        <v>0</v>
      </c>
      <c r="Z857" s="6">
        <v>0</v>
      </c>
      <c r="AA857" s="5">
        <v>0</v>
      </c>
      <c r="AB857" s="6">
        <v>0</v>
      </c>
      <c r="AC857" s="5">
        <v>0</v>
      </c>
      <c r="AD857" s="6">
        <v>0</v>
      </c>
      <c r="AE857" s="5">
        <v>0</v>
      </c>
      <c r="AF857" s="6">
        <v>0</v>
      </c>
      <c r="AG857" s="5">
        <v>0</v>
      </c>
      <c r="AH857" s="7">
        <f t="shared" si="104"/>
        <v>435.26369664501391</v>
      </c>
      <c r="AI857" s="8">
        <f t="shared" si="105"/>
        <v>1710.5863278149041</v>
      </c>
      <c r="AJ857" s="6">
        <v>0</v>
      </c>
      <c r="AK857" s="5">
        <v>0</v>
      </c>
      <c r="AL857" s="6">
        <v>0</v>
      </c>
      <c r="AM857" s="5">
        <v>0</v>
      </c>
      <c r="AN857" s="6">
        <v>0</v>
      </c>
      <c r="AO857" s="5">
        <v>0</v>
      </c>
      <c r="AP857" s="6">
        <v>0</v>
      </c>
      <c r="AQ857" s="5">
        <v>0</v>
      </c>
      <c r="AR857" s="6">
        <v>0</v>
      </c>
      <c r="AS857" s="5">
        <v>0</v>
      </c>
      <c r="AT857" s="6">
        <v>0</v>
      </c>
      <c r="AU857" s="5">
        <v>0</v>
      </c>
      <c r="AV857" s="6">
        <v>475</v>
      </c>
      <c r="AW857" s="5">
        <v>1945.858272567224</v>
      </c>
      <c r="AX857" s="6">
        <v>0</v>
      </c>
      <c r="AY857" s="5">
        <v>0</v>
      </c>
      <c r="AZ857" s="6">
        <v>0</v>
      </c>
      <c r="BA857" s="5">
        <v>0</v>
      </c>
      <c r="BB857" s="6">
        <v>0</v>
      </c>
      <c r="BC857" s="5">
        <v>0</v>
      </c>
      <c r="BD857" s="6">
        <v>0</v>
      </c>
      <c r="BE857" s="5">
        <v>0</v>
      </c>
      <c r="BF857" s="6">
        <v>0</v>
      </c>
      <c r="BG857" s="5">
        <v>0</v>
      </c>
      <c r="BH857" s="9">
        <f t="shared" si="106"/>
        <v>475</v>
      </c>
      <c r="BI857" s="10">
        <f t="shared" si="107"/>
        <v>1945.858272567224</v>
      </c>
      <c r="BJ857" s="6">
        <f t="shared" si="108"/>
        <v>39.736303354986092</v>
      </c>
      <c r="BK857" s="11">
        <f t="shared" si="109"/>
        <v>9.1292482376249387E-2</v>
      </c>
      <c r="BL857" s="5">
        <f t="shared" si="110"/>
        <v>235.27194475232</v>
      </c>
      <c r="BM857" s="11">
        <f t="shared" si="111"/>
        <v>0.13753877306669193</v>
      </c>
    </row>
    <row r="858" spans="1:65" ht="15" customHeight="1" x14ac:dyDescent="0.4">
      <c r="A858" s="2" t="s">
        <v>589</v>
      </c>
      <c r="B858" s="2" t="s">
        <v>66</v>
      </c>
      <c r="C858" s="2" t="s">
        <v>640</v>
      </c>
      <c r="D858" s="3" t="s">
        <v>68</v>
      </c>
      <c r="E858" s="3" t="s">
        <v>262</v>
      </c>
      <c r="F858" s="2" t="s">
        <v>263</v>
      </c>
      <c r="G858" s="4">
        <v>1</v>
      </c>
      <c r="H858" s="5">
        <v>5.5666666666666664</v>
      </c>
      <c r="I858" s="5">
        <v>5.8011053192998867</v>
      </c>
      <c r="J858" s="6">
        <v>0</v>
      </c>
      <c r="K858" s="5">
        <v>0</v>
      </c>
      <c r="L858" s="6">
        <v>11.870828090318559</v>
      </c>
      <c r="M858" s="5">
        <v>64.814721373139321</v>
      </c>
      <c r="N858" s="6">
        <v>0</v>
      </c>
      <c r="O858" s="5">
        <v>0</v>
      </c>
      <c r="P858" s="6">
        <v>0</v>
      </c>
      <c r="Q858" s="5">
        <v>0</v>
      </c>
      <c r="R858" s="6">
        <v>23.741656180637118</v>
      </c>
      <c r="S858" s="5">
        <v>133.42810773518059</v>
      </c>
      <c r="T858" s="6">
        <v>0</v>
      </c>
      <c r="U858" s="5">
        <v>0</v>
      </c>
      <c r="V858" s="6">
        <v>0</v>
      </c>
      <c r="W858" s="5">
        <v>0</v>
      </c>
      <c r="X858" s="6">
        <v>0</v>
      </c>
      <c r="Y858" s="5">
        <v>0</v>
      </c>
      <c r="Z858" s="6">
        <v>0</v>
      </c>
      <c r="AA858" s="5">
        <v>0</v>
      </c>
      <c r="AB858" s="6">
        <v>0</v>
      </c>
      <c r="AC858" s="5">
        <v>0</v>
      </c>
      <c r="AD858" s="6">
        <v>0</v>
      </c>
      <c r="AE858" s="5">
        <v>0</v>
      </c>
      <c r="AF858" s="6">
        <v>0</v>
      </c>
      <c r="AG858" s="5">
        <v>0</v>
      </c>
      <c r="AH858" s="7">
        <f t="shared" si="104"/>
        <v>35.612484270955676</v>
      </c>
      <c r="AI858" s="8">
        <f t="shared" si="105"/>
        <v>198.24282910831991</v>
      </c>
      <c r="AJ858" s="6">
        <v>0</v>
      </c>
      <c r="AK858" s="5">
        <v>0</v>
      </c>
      <c r="AL858" s="6">
        <v>13</v>
      </c>
      <c r="AM858" s="5">
        <v>73.98795778053919</v>
      </c>
      <c r="AN858" s="6">
        <v>0</v>
      </c>
      <c r="AO858" s="5">
        <v>0</v>
      </c>
      <c r="AP858" s="6">
        <v>0</v>
      </c>
      <c r="AQ858" s="5">
        <v>0</v>
      </c>
      <c r="AR858" s="6">
        <v>25</v>
      </c>
      <c r="AS858" s="5">
        <v>146.4540443528565</v>
      </c>
      <c r="AT858" s="6">
        <v>0</v>
      </c>
      <c r="AU858" s="5">
        <v>0</v>
      </c>
      <c r="AV858" s="6">
        <v>0</v>
      </c>
      <c r="AW858" s="5">
        <v>0</v>
      </c>
      <c r="AX858" s="6">
        <v>0</v>
      </c>
      <c r="AY858" s="5">
        <v>0</v>
      </c>
      <c r="AZ858" s="6">
        <v>0</v>
      </c>
      <c r="BA858" s="5">
        <v>0</v>
      </c>
      <c r="BB858" s="6">
        <v>0</v>
      </c>
      <c r="BC858" s="5">
        <v>0</v>
      </c>
      <c r="BD858" s="6">
        <v>0</v>
      </c>
      <c r="BE858" s="5">
        <v>0</v>
      </c>
      <c r="BF858" s="6">
        <v>0</v>
      </c>
      <c r="BG858" s="5">
        <v>0</v>
      </c>
      <c r="BH858" s="9">
        <f t="shared" si="106"/>
        <v>38</v>
      </c>
      <c r="BI858" s="10">
        <f t="shared" si="107"/>
        <v>220.4420021333957</v>
      </c>
      <c r="BJ858" s="6">
        <f t="shared" si="108"/>
        <v>2.3875157290443241</v>
      </c>
      <c r="BK858" s="11">
        <f t="shared" si="109"/>
        <v>6.7041538323444075E-2</v>
      </c>
      <c r="BL858" s="5">
        <f t="shared" si="110"/>
        <v>22.199173025075794</v>
      </c>
      <c r="BM858" s="11">
        <f t="shared" si="111"/>
        <v>0.11197970249378435</v>
      </c>
    </row>
    <row r="859" spans="1:65" ht="15" customHeight="1" x14ac:dyDescent="0.4">
      <c r="A859" s="2" t="s">
        <v>589</v>
      </c>
      <c r="B859" s="2" t="s">
        <v>66</v>
      </c>
      <c r="C859" s="2" t="s">
        <v>640</v>
      </c>
      <c r="D859" s="3" t="s">
        <v>68</v>
      </c>
      <c r="E859" s="3" t="s">
        <v>201</v>
      </c>
      <c r="F859" s="2" t="s">
        <v>202</v>
      </c>
      <c r="G859" s="4">
        <v>5</v>
      </c>
      <c r="H859" s="5">
        <v>4.3923076923076918</v>
      </c>
      <c r="I859" s="5">
        <v>4.5777431087659624</v>
      </c>
      <c r="J859" s="6">
        <v>0</v>
      </c>
      <c r="K859" s="5">
        <v>0</v>
      </c>
      <c r="L859" s="6">
        <v>59.354140451592791</v>
      </c>
      <c r="M859" s="5">
        <v>255.22280394184901</v>
      </c>
      <c r="N859" s="6">
        <v>0</v>
      </c>
      <c r="O859" s="5">
        <v>0</v>
      </c>
      <c r="P859" s="6">
        <v>0</v>
      </c>
      <c r="Q859" s="5">
        <v>0</v>
      </c>
      <c r="R859" s="6">
        <v>0</v>
      </c>
      <c r="S859" s="5">
        <v>0</v>
      </c>
      <c r="T859" s="6">
        <v>0</v>
      </c>
      <c r="U859" s="5">
        <v>0</v>
      </c>
      <c r="V859" s="6">
        <v>0</v>
      </c>
      <c r="W859" s="5">
        <v>0</v>
      </c>
      <c r="X859" s="6">
        <v>197.84713483864269</v>
      </c>
      <c r="Y859" s="5">
        <v>874.48433598680049</v>
      </c>
      <c r="Z859" s="6">
        <v>0</v>
      </c>
      <c r="AA859" s="5">
        <v>0</v>
      </c>
      <c r="AB859" s="6">
        <v>0</v>
      </c>
      <c r="AC859" s="5">
        <v>0</v>
      </c>
      <c r="AD859" s="6">
        <v>0</v>
      </c>
      <c r="AE859" s="5">
        <v>0</v>
      </c>
      <c r="AF859" s="6">
        <v>0</v>
      </c>
      <c r="AG859" s="5">
        <v>0</v>
      </c>
      <c r="AH859" s="7">
        <f t="shared" si="104"/>
        <v>257.20127529023546</v>
      </c>
      <c r="AI859" s="8">
        <f t="shared" si="105"/>
        <v>1129.7071399286494</v>
      </c>
      <c r="AJ859" s="6">
        <v>0</v>
      </c>
      <c r="AK859" s="5">
        <v>0</v>
      </c>
      <c r="AL859" s="6">
        <v>65</v>
      </c>
      <c r="AM859" s="5">
        <v>291.34452239589609</v>
      </c>
      <c r="AN859" s="6">
        <v>0</v>
      </c>
      <c r="AO859" s="5">
        <v>0</v>
      </c>
      <c r="AP859" s="6">
        <v>0</v>
      </c>
      <c r="AQ859" s="5">
        <v>0</v>
      </c>
      <c r="AR859" s="6">
        <v>0</v>
      </c>
      <c r="AS859" s="5">
        <v>0</v>
      </c>
      <c r="AT859" s="6">
        <v>0</v>
      </c>
      <c r="AU859" s="5">
        <v>0</v>
      </c>
      <c r="AV859" s="6">
        <v>0</v>
      </c>
      <c r="AW859" s="5">
        <v>0</v>
      </c>
      <c r="AX859" s="6">
        <v>210</v>
      </c>
      <c r="AY859" s="5">
        <v>967.53483251474358</v>
      </c>
      <c r="AZ859" s="6">
        <v>0</v>
      </c>
      <c r="BA859" s="5">
        <v>0</v>
      </c>
      <c r="BB859" s="6">
        <v>0</v>
      </c>
      <c r="BC859" s="5">
        <v>0</v>
      </c>
      <c r="BD859" s="6">
        <v>0</v>
      </c>
      <c r="BE859" s="5">
        <v>0</v>
      </c>
      <c r="BF859" s="6">
        <v>0</v>
      </c>
      <c r="BG859" s="5">
        <v>0</v>
      </c>
      <c r="BH859" s="9">
        <f t="shared" si="106"/>
        <v>275</v>
      </c>
      <c r="BI859" s="10">
        <f t="shared" si="107"/>
        <v>1258.8793549106397</v>
      </c>
      <c r="BJ859" s="6">
        <f t="shared" si="108"/>
        <v>17.798724709764542</v>
      </c>
      <c r="BK859" s="11">
        <f t="shared" si="109"/>
        <v>6.9201541437459047E-2</v>
      </c>
      <c r="BL859" s="5">
        <f t="shared" si="110"/>
        <v>129.17221498199024</v>
      </c>
      <c r="BM859" s="11">
        <f t="shared" si="111"/>
        <v>0.11434132831111304</v>
      </c>
    </row>
    <row r="860" spans="1:65" ht="15" customHeight="1" x14ac:dyDescent="0.4">
      <c r="A860" s="2" t="s">
        <v>589</v>
      </c>
      <c r="B860" s="2" t="s">
        <v>66</v>
      </c>
      <c r="C860" s="2" t="s">
        <v>640</v>
      </c>
      <c r="D860" s="3" t="s">
        <v>68</v>
      </c>
      <c r="E860" s="3" t="s">
        <v>92</v>
      </c>
      <c r="F860" s="2" t="s">
        <v>93</v>
      </c>
      <c r="G860" s="4">
        <v>20</v>
      </c>
      <c r="H860" s="5">
        <v>4.2300000000000004</v>
      </c>
      <c r="I860" s="5">
        <v>4.4092569936838659</v>
      </c>
      <c r="J860" s="6">
        <v>19.78471348386427</v>
      </c>
      <c r="K860" s="5">
        <v>83.689338036745838</v>
      </c>
      <c r="L860" s="6">
        <v>0</v>
      </c>
      <c r="M860" s="5">
        <v>0</v>
      </c>
      <c r="N860" s="6">
        <v>0</v>
      </c>
      <c r="O860" s="5">
        <v>0</v>
      </c>
      <c r="P860" s="6">
        <v>0</v>
      </c>
      <c r="Q860" s="5">
        <v>0</v>
      </c>
      <c r="R860" s="6">
        <v>0</v>
      </c>
      <c r="S860" s="5">
        <v>0</v>
      </c>
      <c r="T860" s="6">
        <v>0</v>
      </c>
      <c r="U860" s="5">
        <v>0</v>
      </c>
      <c r="V860" s="6">
        <v>0</v>
      </c>
      <c r="W860" s="5">
        <v>0</v>
      </c>
      <c r="X860" s="6">
        <v>0</v>
      </c>
      <c r="Y860" s="5">
        <v>0</v>
      </c>
      <c r="Z860" s="6">
        <v>0</v>
      </c>
      <c r="AA860" s="5">
        <v>0</v>
      </c>
      <c r="AB860" s="6">
        <v>0</v>
      </c>
      <c r="AC860" s="5">
        <v>0</v>
      </c>
      <c r="AD860" s="6">
        <v>0</v>
      </c>
      <c r="AE860" s="5">
        <v>0</v>
      </c>
      <c r="AF860" s="6">
        <v>0</v>
      </c>
      <c r="AG860" s="5">
        <v>0</v>
      </c>
      <c r="AH860" s="7">
        <f t="shared" si="104"/>
        <v>19.78471348386427</v>
      </c>
      <c r="AI860" s="8">
        <f t="shared" si="105"/>
        <v>83.689338036745838</v>
      </c>
      <c r="AJ860" s="6">
        <v>20</v>
      </c>
      <c r="AK860" s="5">
        <v>88.185139873677315</v>
      </c>
      <c r="AL860" s="6">
        <v>0</v>
      </c>
      <c r="AM860" s="5">
        <v>0</v>
      </c>
      <c r="AN860" s="6">
        <v>0</v>
      </c>
      <c r="AO860" s="5">
        <v>0</v>
      </c>
      <c r="AP860" s="6">
        <v>0</v>
      </c>
      <c r="AQ860" s="5">
        <v>0</v>
      </c>
      <c r="AR860" s="6">
        <v>0</v>
      </c>
      <c r="AS860" s="5">
        <v>0</v>
      </c>
      <c r="AT860" s="6">
        <v>0</v>
      </c>
      <c r="AU860" s="5">
        <v>0</v>
      </c>
      <c r="AV860" s="6">
        <v>0</v>
      </c>
      <c r="AW860" s="5">
        <v>0</v>
      </c>
      <c r="AX860" s="6">
        <v>0</v>
      </c>
      <c r="AY860" s="5">
        <v>0</v>
      </c>
      <c r="AZ860" s="6">
        <v>0</v>
      </c>
      <c r="BA860" s="5">
        <v>0</v>
      </c>
      <c r="BB860" s="6">
        <v>0</v>
      </c>
      <c r="BC860" s="5">
        <v>0</v>
      </c>
      <c r="BD860" s="6">
        <v>0</v>
      </c>
      <c r="BE860" s="5">
        <v>0</v>
      </c>
      <c r="BF860" s="6">
        <v>0</v>
      </c>
      <c r="BG860" s="5">
        <v>0</v>
      </c>
      <c r="BH860" s="9">
        <f t="shared" si="106"/>
        <v>20</v>
      </c>
      <c r="BI860" s="10">
        <f t="shared" si="107"/>
        <v>88.185139873677315</v>
      </c>
      <c r="BJ860" s="6">
        <f t="shared" si="108"/>
        <v>0.21528651613573047</v>
      </c>
      <c r="BK860" s="11">
        <f t="shared" si="109"/>
        <v>1.0881457359052014E-2</v>
      </c>
      <c r="BL860" s="5">
        <f t="shared" si="110"/>
        <v>4.4958018369314772</v>
      </c>
      <c r="BM860" s="11">
        <f t="shared" si="111"/>
        <v>5.3720126630198532E-2</v>
      </c>
    </row>
    <row r="861" spans="1:65" ht="15" customHeight="1" x14ac:dyDescent="0.4">
      <c r="A861" s="2" t="s">
        <v>589</v>
      </c>
      <c r="B861" s="2" t="s">
        <v>66</v>
      </c>
      <c r="C861" s="2" t="s">
        <v>640</v>
      </c>
      <c r="D861" s="3" t="s">
        <v>68</v>
      </c>
      <c r="E861" s="3" t="s">
        <v>563</v>
      </c>
      <c r="F861" s="2" t="s">
        <v>564</v>
      </c>
      <c r="G861" s="4">
        <v>5</v>
      </c>
      <c r="H861" s="5">
        <v>7.49</v>
      </c>
      <c r="I861" s="5">
        <v>7.8074077736860907</v>
      </c>
      <c r="J861" s="6">
        <v>0</v>
      </c>
      <c r="K861" s="5">
        <v>0</v>
      </c>
      <c r="L861" s="6">
        <v>59.354140451592791</v>
      </c>
      <c r="M861" s="5">
        <v>444.56251198243001</v>
      </c>
      <c r="N861" s="6">
        <v>0</v>
      </c>
      <c r="O861" s="5">
        <v>0</v>
      </c>
      <c r="P861" s="6">
        <v>0</v>
      </c>
      <c r="Q861" s="5">
        <v>0</v>
      </c>
      <c r="R861" s="6">
        <v>0</v>
      </c>
      <c r="S861" s="5">
        <v>0</v>
      </c>
      <c r="T861" s="6">
        <v>0</v>
      </c>
      <c r="U861" s="5">
        <v>0</v>
      </c>
      <c r="V861" s="6">
        <v>0</v>
      </c>
      <c r="W861" s="5">
        <v>0</v>
      </c>
      <c r="X861" s="6">
        <v>0</v>
      </c>
      <c r="Y861" s="5">
        <v>0</v>
      </c>
      <c r="Z861" s="6">
        <v>0</v>
      </c>
      <c r="AA861" s="5">
        <v>0</v>
      </c>
      <c r="AB861" s="6">
        <v>0</v>
      </c>
      <c r="AC861" s="5">
        <v>0</v>
      </c>
      <c r="AD861" s="6">
        <v>0</v>
      </c>
      <c r="AE861" s="5">
        <v>0</v>
      </c>
      <c r="AF861" s="6">
        <v>0</v>
      </c>
      <c r="AG861" s="5">
        <v>0</v>
      </c>
      <c r="AH861" s="7">
        <f t="shared" si="104"/>
        <v>59.354140451592791</v>
      </c>
      <c r="AI861" s="8">
        <f t="shared" si="105"/>
        <v>444.56251198243001</v>
      </c>
      <c r="AJ861" s="6">
        <v>0</v>
      </c>
      <c r="AK861" s="5">
        <v>0</v>
      </c>
      <c r="AL861" s="6">
        <v>65</v>
      </c>
      <c r="AM861" s="5">
        <v>507.48150528959587</v>
      </c>
      <c r="AN861" s="6">
        <v>0</v>
      </c>
      <c r="AO861" s="5">
        <v>0</v>
      </c>
      <c r="AP861" s="6">
        <v>0</v>
      </c>
      <c r="AQ861" s="5">
        <v>0</v>
      </c>
      <c r="AR861" s="6">
        <v>0</v>
      </c>
      <c r="AS861" s="5">
        <v>0</v>
      </c>
      <c r="AT861" s="6">
        <v>0</v>
      </c>
      <c r="AU861" s="5">
        <v>0</v>
      </c>
      <c r="AV861" s="6">
        <v>0</v>
      </c>
      <c r="AW861" s="5">
        <v>0</v>
      </c>
      <c r="AX861" s="6">
        <v>0</v>
      </c>
      <c r="AY861" s="5">
        <v>0</v>
      </c>
      <c r="AZ861" s="6">
        <v>0</v>
      </c>
      <c r="BA861" s="5">
        <v>0</v>
      </c>
      <c r="BB861" s="6">
        <v>0</v>
      </c>
      <c r="BC861" s="5">
        <v>0</v>
      </c>
      <c r="BD861" s="6">
        <v>0</v>
      </c>
      <c r="BE861" s="5">
        <v>0</v>
      </c>
      <c r="BF861" s="6">
        <v>0</v>
      </c>
      <c r="BG861" s="5">
        <v>0</v>
      </c>
      <c r="BH861" s="9">
        <f t="shared" si="106"/>
        <v>65</v>
      </c>
      <c r="BI861" s="10">
        <f t="shared" si="107"/>
        <v>507.48150528959587</v>
      </c>
      <c r="BJ861" s="6">
        <f t="shared" si="108"/>
        <v>5.6458595484072092</v>
      </c>
      <c r="BK861" s="11">
        <f t="shared" si="109"/>
        <v>9.5121578805640011E-2</v>
      </c>
      <c r="BL861" s="5">
        <f t="shared" si="110"/>
        <v>62.918993307165863</v>
      </c>
      <c r="BM861" s="11">
        <f t="shared" si="111"/>
        <v>0.14153013718271537</v>
      </c>
    </row>
    <row r="862" spans="1:65" ht="15" customHeight="1" x14ac:dyDescent="0.4">
      <c r="A862" s="2" t="s">
        <v>589</v>
      </c>
      <c r="B862" s="2" t="s">
        <v>66</v>
      </c>
      <c r="C862" s="2" t="s">
        <v>640</v>
      </c>
      <c r="D862" s="3" t="s">
        <v>68</v>
      </c>
      <c r="E862" s="3" t="s">
        <v>643</v>
      </c>
      <c r="F862" s="2" t="s">
        <v>644</v>
      </c>
      <c r="G862" s="4">
        <v>1</v>
      </c>
      <c r="H862" s="5">
        <v>4.2699999999999996</v>
      </c>
      <c r="I862" s="5">
        <v>4.4509520952789856</v>
      </c>
      <c r="J862" s="6">
        <v>0</v>
      </c>
      <c r="K862" s="5">
        <v>0</v>
      </c>
      <c r="L862" s="6">
        <v>23.741656180637118</v>
      </c>
      <c r="M862" s="5">
        <v>101.3768718913205</v>
      </c>
      <c r="N862" s="6">
        <v>0</v>
      </c>
      <c r="O862" s="5">
        <v>0</v>
      </c>
      <c r="P862" s="6">
        <v>0</v>
      </c>
      <c r="Q862" s="5">
        <v>0</v>
      </c>
      <c r="R862" s="6">
        <v>0</v>
      </c>
      <c r="S862" s="5">
        <v>0</v>
      </c>
      <c r="T862" s="6">
        <v>0</v>
      </c>
      <c r="U862" s="5">
        <v>0</v>
      </c>
      <c r="V862" s="6">
        <v>0</v>
      </c>
      <c r="W862" s="5">
        <v>0</v>
      </c>
      <c r="X862" s="6">
        <v>0</v>
      </c>
      <c r="Y862" s="5">
        <v>0</v>
      </c>
      <c r="Z862" s="6">
        <v>0</v>
      </c>
      <c r="AA862" s="5">
        <v>0</v>
      </c>
      <c r="AB862" s="6">
        <v>0</v>
      </c>
      <c r="AC862" s="5">
        <v>0</v>
      </c>
      <c r="AD862" s="6">
        <v>0</v>
      </c>
      <c r="AE862" s="5">
        <v>0</v>
      </c>
      <c r="AF862" s="6">
        <v>0</v>
      </c>
      <c r="AG862" s="5">
        <v>0</v>
      </c>
      <c r="AH862" s="7">
        <f t="shared" si="104"/>
        <v>23.741656180637118</v>
      </c>
      <c r="AI862" s="8">
        <f t="shared" si="105"/>
        <v>101.3768718913205</v>
      </c>
      <c r="AJ862" s="6">
        <v>0</v>
      </c>
      <c r="AK862" s="5">
        <v>0</v>
      </c>
      <c r="AL862" s="6">
        <v>26</v>
      </c>
      <c r="AM862" s="5">
        <v>115.7247544772536</v>
      </c>
      <c r="AN862" s="6">
        <v>0</v>
      </c>
      <c r="AO862" s="5">
        <v>0</v>
      </c>
      <c r="AP862" s="6">
        <v>0</v>
      </c>
      <c r="AQ862" s="5">
        <v>0</v>
      </c>
      <c r="AR862" s="6">
        <v>0</v>
      </c>
      <c r="AS862" s="5">
        <v>0</v>
      </c>
      <c r="AT862" s="6">
        <v>0</v>
      </c>
      <c r="AU862" s="5">
        <v>0</v>
      </c>
      <c r="AV862" s="6">
        <v>0</v>
      </c>
      <c r="AW862" s="5">
        <v>0</v>
      </c>
      <c r="AX862" s="6">
        <v>0</v>
      </c>
      <c r="AY862" s="5">
        <v>0</v>
      </c>
      <c r="AZ862" s="6">
        <v>0</v>
      </c>
      <c r="BA862" s="5">
        <v>0</v>
      </c>
      <c r="BB862" s="6">
        <v>0</v>
      </c>
      <c r="BC862" s="5">
        <v>0</v>
      </c>
      <c r="BD862" s="6">
        <v>0</v>
      </c>
      <c r="BE862" s="5">
        <v>0</v>
      </c>
      <c r="BF862" s="6">
        <v>0</v>
      </c>
      <c r="BG862" s="5">
        <v>0</v>
      </c>
      <c r="BH862" s="9">
        <f t="shared" si="106"/>
        <v>26</v>
      </c>
      <c r="BI862" s="10">
        <f t="shared" si="107"/>
        <v>115.7247544772536</v>
      </c>
      <c r="BJ862" s="6">
        <f t="shared" si="108"/>
        <v>2.2583438193628815</v>
      </c>
      <c r="BK862" s="11">
        <f t="shared" si="109"/>
        <v>9.5121578805639914E-2</v>
      </c>
      <c r="BL862" s="5">
        <f t="shared" si="110"/>
        <v>14.347882585933093</v>
      </c>
      <c r="BM862" s="11">
        <f t="shared" si="111"/>
        <v>0.14153013718271479</v>
      </c>
    </row>
    <row r="863" spans="1:65" ht="15" customHeight="1" x14ac:dyDescent="0.4">
      <c r="A863" s="2" t="s">
        <v>589</v>
      </c>
      <c r="B863" s="2" t="s">
        <v>66</v>
      </c>
      <c r="C863" s="2" t="s">
        <v>640</v>
      </c>
      <c r="D863" s="3" t="s">
        <v>68</v>
      </c>
      <c r="E863" s="3" t="s">
        <v>196</v>
      </c>
      <c r="F863" s="2" t="s">
        <v>197</v>
      </c>
      <c r="G863" s="4">
        <v>5</v>
      </c>
      <c r="H863" s="5">
        <v>3.22</v>
      </c>
      <c r="I863" s="5">
        <v>3.3564556784071038</v>
      </c>
      <c r="J863" s="6">
        <v>0</v>
      </c>
      <c r="K863" s="5">
        <v>0</v>
      </c>
      <c r="L863" s="6">
        <v>197.84713483864269</v>
      </c>
      <c r="M863" s="5">
        <v>637.0677741804293</v>
      </c>
      <c r="N863" s="6">
        <v>0</v>
      </c>
      <c r="O863" s="5">
        <v>0</v>
      </c>
      <c r="P863" s="6">
        <v>197.84713483864269</v>
      </c>
      <c r="Q863" s="5">
        <v>637.0677741804293</v>
      </c>
      <c r="R863" s="6">
        <v>0</v>
      </c>
      <c r="S863" s="5">
        <v>0</v>
      </c>
      <c r="T863" s="6">
        <v>0</v>
      </c>
      <c r="U863" s="5">
        <v>0</v>
      </c>
      <c r="V863" s="6">
        <v>0</v>
      </c>
      <c r="W863" s="5">
        <v>0</v>
      </c>
      <c r="X863" s="6">
        <v>0</v>
      </c>
      <c r="Y863" s="5">
        <v>0</v>
      </c>
      <c r="Z863" s="6">
        <v>0</v>
      </c>
      <c r="AA863" s="5">
        <v>0</v>
      </c>
      <c r="AB863" s="6">
        <v>0</v>
      </c>
      <c r="AC863" s="5">
        <v>0</v>
      </c>
      <c r="AD863" s="6">
        <v>0</v>
      </c>
      <c r="AE863" s="5">
        <v>0</v>
      </c>
      <c r="AF863" s="6">
        <v>0</v>
      </c>
      <c r="AG863" s="5">
        <v>0</v>
      </c>
      <c r="AH863" s="7">
        <f t="shared" si="104"/>
        <v>395.69426967728538</v>
      </c>
      <c r="AI863" s="8">
        <f t="shared" si="105"/>
        <v>1274.1355483608586</v>
      </c>
      <c r="AJ863" s="6">
        <v>0</v>
      </c>
      <c r="AK863" s="5">
        <v>0</v>
      </c>
      <c r="AL863" s="6">
        <v>215</v>
      </c>
      <c r="AM863" s="5">
        <v>721.63797085752731</v>
      </c>
      <c r="AN863" s="6">
        <v>0</v>
      </c>
      <c r="AO863" s="5">
        <v>0</v>
      </c>
      <c r="AP863" s="6">
        <v>215</v>
      </c>
      <c r="AQ863" s="5">
        <v>721.63797085752731</v>
      </c>
      <c r="AR863" s="6">
        <v>0</v>
      </c>
      <c r="AS863" s="5">
        <v>0</v>
      </c>
      <c r="AT863" s="6">
        <v>0</v>
      </c>
      <c r="AU863" s="5">
        <v>0</v>
      </c>
      <c r="AV863" s="6">
        <v>0</v>
      </c>
      <c r="AW863" s="5">
        <v>0</v>
      </c>
      <c r="AX863" s="6">
        <v>0</v>
      </c>
      <c r="AY863" s="5">
        <v>0</v>
      </c>
      <c r="AZ863" s="6">
        <v>0</v>
      </c>
      <c r="BA863" s="5">
        <v>0</v>
      </c>
      <c r="BB863" s="6">
        <v>0</v>
      </c>
      <c r="BC863" s="5">
        <v>0</v>
      </c>
      <c r="BD863" s="6">
        <v>0</v>
      </c>
      <c r="BE863" s="5">
        <v>0</v>
      </c>
      <c r="BF863" s="6">
        <v>0</v>
      </c>
      <c r="BG863" s="5">
        <v>0</v>
      </c>
      <c r="BH863" s="9">
        <f t="shared" si="106"/>
        <v>430</v>
      </c>
      <c r="BI863" s="10">
        <f t="shared" si="107"/>
        <v>1443.2759417150546</v>
      </c>
      <c r="BJ863" s="6">
        <f t="shared" si="108"/>
        <v>34.305730322714624</v>
      </c>
      <c r="BK863" s="11">
        <f t="shared" si="109"/>
        <v>8.6697566660980954E-2</v>
      </c>
      <c r="BL863" s="5">
        <f t="shared" si="110"/>
        <v>169.14039335419602</v>
      </c>
      <c r="BM863" s="11">
        <f t="shared" si="111"/>
        <v>0.13274913612746353</v>
      </c>
    </row>
    <row r="864" spans="1:65" ht="15" customHeight="1" x14ac:dyDescent="0.4">
      <c r="A864" s="2" t="s">
        <v>589</v>
      </c>
      <c r="B864" s="2" t="s">
        <v>66</v>
      </c>
      <c r="C864" s="2" t="s">
        <v>640</v>
      </c>
      <c r="D864" s="3" t="s">
        <v>68</v>
      </c>
      <c r="E864" s="3" t="s">
        <v>645</v>
      </c>
      <c r="F864" s="2" t="s">
        <v>646</v>
      </c>
      <c r="G864" s="4">
        <v>20</v>
      </c>
      <c r="H864" s="5">
        <v>2.919999999999999</v>
      </c>
      <c r="I864" s="5">
        <v>3.0437424164437088</v>
      </c>
      <c r="J864" s="6">
        <v>98.92356741932133</v>
      </c>
      <c r="K864" s="5">
        <v>288.85681686441819</v>
      </c>
      <c r="L864" s="6">
        <v>0</v>
      </c>
      <c r="M864" s="5">
        <v>0</v>
      </c>
      <c r="N864" s="6">
        <v>0</v>
      </c>
      <c r="O864" s="5">
        <v>0</v>
      </c>
      <c r="P864" s="6">
        <v>0</v>
      </c>
      <c r="Q864" s="5">
        <v>0</v>
      </c>
      <c r="R864" s="6">
        <v>0</v>
      </c>
      <c r="S864" s="5">
        <v>0</v>
      </c>
      <c r="T864" s="6">
        <v>0</v>
      </c>
      <c r="U864" s="5">
        <v>0</v>
      </c>
      <c r="V864" s="6">
        <v>0</v>
      </c>
      <c r="W864" s="5">
        <v>0</v>
      </c>
      <c r="X864" s="6">
        <v>0</v>
      </c>
      <c r="Y864" s="5">
        <v>0</v>
      </c>
      <c r="Z864" s="6">
        <v>0</v>
      </c>
      <c r="AA864" s="5">
        <v>0</v>
      </c>
      <c r="AB864" s="6">
        <v>0</v>
      </c>
      <c r="AC864" s="5">
        <v>0</v>
      </c>
      <c r="AD864" s="6">
        <v>0</v>
      </c>
      <c r="AE864" s="5">
        <v>0</v>
      </c>
      <c r="AF864" s="6">
        <v>0</v>
      </c>
      <c r="AG864" s="5">
        <v>0</v>
      </c>
      <c r="AH864" s="7">
        <f t="shared" si="104"/>
        <v>98.92356741932133</v>
      </c>
      <c r="AI864" s="8">
        <f t="shared" si="105"/>
        <v>288.85681686441819</v>
      </c>
      <c r="AJ864" s="6">
        <v>100</v>
      </c>
      <c r="AK864" s="5">
        <v>304.3742416443709</v>
      </c>
      <c r="AL864" s="6">
        <v>0</v>
      </c>
      <c r="AM864" s="5">
        <v>0</v>
      </c>
      <c r="AN864" s="6">
        <v>0</v>
      </c>
      <c r="AO864" s="5">
        <v>0</v>
      </c>
      <c r="AP864" s="6">
        <v>0</v>
      </c>
      <c r="AQ864" s="5">
        <v>0</v>
      </c>
      <c r="AR864" s="6">
        <v>0</v>
      </c>
      <c r="AS864" s="5">
        <v>0</v>
      </c>
      <c r="AT864" s="6">
        <v>0</v>
      </c>
      <c r="AU864" s="5">
        <v>0</v>
      </c>
      <c r="AV864" s="6">
        <v>0</v>
      </c>
      <c r="AW864" s="5">
        <v>0</v>
      </c>
      <c r="AX864" s="6">
        <v>0</v>
      </c>
      <c r="AY864" s="5">
        <v>0</v>
      </c>
      <c r="AZ864" s="6">
        <v>0</v>
      </c>
      <c r="BA864" s="5">
        <v>0</v>
      </c>
      <c r="BB864" s="6">
        <v>0</v>
      </c>
      <c r="BC864" s="5">
        <v>0</v>
      </c>
      <c r="BD864" s="6">
        <v>0</v>
      </c>
      <c r="BE864" s="5">
        <v>0</v>
      </c>
      <c r="BF864" s="6">
        <v>0</v>
      </c>
      <c r="BG864" s="5">
        <v>0</v>
      </c>
      <c r="BH864" s="9">
        <f t="shared" si="106"/>
        <v>100</v>
      </c>
      <c r="BI864" s="10">
        <f t="shared" si="107"/>
        <v>304.3742416443709</v>
      </c>
      <c r="BJ864" s="6">
        <f t="shared" si="108"/>
        <v>1.0764325806786701</v>
      </c>
      <c r="BK864" s="11">
        <f t="shared" si="109"/>
        <v>1.0881457359052195E-2</v>
      </c>
      <c r="BL864" s="5">
        <f t="shared" si="110"/>
        <v>15.517424779952705</v>
      </c>
      <c r="BM864" s="11">
        <f t="shared" si="111"/>
        <v>5.3720126630198851E-2</v>
      </c>
    </row>
    <row r="865" spans="1:65" ht="15" customHeight="1" x14ac:dyDescent="0.4">
      <c r="A865" s="2" t="s">
        <v>589</v>
      </c>
      <c r="B865" s="2" t="s">
        <v>66</v>
      </c>
      <c r="C865" s="2" t="s">
        <v>640</v>
      </c>
      <c r="D865" s="3" t="s">
        <v>68</v>
      </c>
      <c r="E865" s="3" t="s">
        <v>147</v>
      </c>
      <c r="F865" s="2" t="s">
        <v>148</v>
      </c>
      <c r="G865" s="4">
        <v>5</v>
      </c>
      <c r="H865" s="5">
        <v>2.4903935114092861</v>
      </c>
      <c r="I865" s="5">
        <v>2.5959103954669098</v>
      </c>
      <c r="J865" s="6">
        <v>0</v>
      </c>
      <c r="K865" s="5">
        <v>0</v>
      </c>
      <c r="L865" s="6">
        <v>0</v>
      </c>
      <c r="M865" s="5">
        <v>0</v>
      </c>
      <c r="N865" s="6">
        <v>0</v>
      </c>
      <c r="O865" s="5">
        <v>0</v>
      </c>
      <c r="P865" s="6">
        <v>0</v>
      </c>
      <c r="Q865" s="5">
        <v>0</v>
      </c>
      <c r="R865" s="6">
        <v>0</v>
      </c>
      <c r="S865" s="5">
        <v>0</v>
      </c>
      <c r="T865" s="6">
        <v>0</v>
      </c>
      <c r="U865" s="5">
        <v>0</v>
      </c>
      <c r="V865" s="6">
        <v>0</v>
      </c>
      <c r="W865" s="5">
        <v>0</v>
      </c>
      <c r="X865" s="6">
        <v>2176.318483225069</v>
      </c>
      <c r="Y865" s="5">
        <v>5604.0200943045529</v>
      </c>
      <c r="Z865" s="6">
        <v>4171.183012912913</v>
      </c>
      <c r="AA865" s="5">
        <v>10203.756445338209</v>
      </c>
      <c r="AB865" s="6">
        <v>0</v>
      </c>
      <c r="AC865" s="5">
        <v>0</v>
      </c>
      <c r="AD865" s="6">
        <v>0</v>
      </c>
      <c r="AE865" s="5">
        <v>0</v>
      </c>
      <c r="AF865" s="6">
        <v>0</v>
      </c>
      <c r="AG865" s="5">
        <v>0</v>
      </c>
      <c r="AH865" s="7">
        <f t="shared" si="104"/>
        <v>6347.501496137982</v>
      </c>
      <c r="AI865" s="8">
        <f t="shared" si="105"/>
        <v>15807.776539642762</v>
      </c>
      <c r="AJ865" s="6">
        <v>0</v>
      </c>
      <c r="AK865" s="5">
        <v>0</v>
      </c>
      <c r="AL865" s="6">
        <v>0</v>
      </c>
      <c r="AM865" s="5">
        <v>0</v>
      </c>
      <c r="AN865" s="6">
        <v>0</v>
      </c>
      <c r="AO865" s="5">
        <v>0</v>
      </c>
      <c r="AP865" s="6">
        <v>0</v>
      </c>
      <c r="AQ865" s="5">
        <v>0</v>
      </c>
      <c r="AR865" s="6">
        <v>0</v>
      </c>
      <c r="AS865" s="5">
        <v>0</v>
      </c>
      <c r="AT865" s="6">
        <v>0</v>
      </c>
      <c r="AU865" s="5">
        <v>0</v>
      </c>
      <c r="AV865" s="6">
        <v>0</v>
      </c>
      <c r="AW865" s="5">
        <v>0</v>
      </c>
      <c r="AX865" s="6">
        <v>2740</v>
      </c>
      <c r="AY865" s="5">
        <v>7354.494732609106</v>
      </c>
      <c r="AZ865" s="6">
        <v>5255</v>
      </c>
      <c r="BA865" s="5">
        <v>13399.808879148841</v>
      </c>
      <c r="BB865" s="6">
        <v>0</v>
      </c>
      <c r="BC865" s="5">
        <v>0</v>
      </c>
      <c r="BD865" s="6">
        <v>0</v>
      </c>
      <c r="BE865" s="5">
        <v>0</v>
      </c>
      <c r="BF865" s="6">
        <v>0</v>
      </c>
      <c r="BG865" s="5">
        <v>0</v>
      </c>
      <c r="BH865" s="9">
        <f t="shared" si="106"/>
        <v>7995</v>
      </c>
      <c r="BI865" s="10">
        <f t="shared" si="107"/>
        <v>20754.303611757947</v>
      </c>
      <c r="BJ865" s="6">
        <f t="shared" si="108"/>
        <v>1647.498503862018</v>
      </c>
      <c r="BK865" s="11">
        <f t="shared" si="109"/>
        <v>0.25955070744991671</v>
      </c>
      <c r="BL865" s="5">
        <f t="shared" si="110"/>
        <v>4946.5270721151846</v>
      </c>
      <c r="BM865" s="11">
        <f t="shared" si="111"/>
        <v>0.31291732013735629</v>
      </c>
    </row>
    <row r="866" spans="1:65" ht="15" customHeight="1" x14ac:dyDescent="0.4">
      <c r="A866" s="2" t="s">
        <v>589</v>
      </c>
      <c r="B866" s="2" t="s">
        <v>66</v>
      </c>
      <c r="C866" s="2" t="s">
        <v>640</v>
      </c>
      <c r="D866" s="3" t="s">
        <v>68</v>
      </c>
      <c r="E866" s="3" t="s">
        <v>647</v>
      </c>
      <c r="F866" s="2" t="s">
        <v>648</v>
      </c>
      <c r="G866" s="4">
        <v>1</v>
      </c>
      <c r="H866" s="5">
        <v>4.16</v>
      </c>
      <c r="I866" s="5">
        <v>4.3362905658924076</v>
      </c>
      <c r="J866" s="6">
        <v>0</v>
      </c>
      <c r="K866" s="5">
        <v>0</v>
      </c>
      <c r="L866" s="6">
        <v>23.741656180637118</v>
      </c>
      <c r="M866" s="5">
        <v>98.765289711450407</v>
      </c>
      <c r="N866" s="6">
        <v>0</v>
      </c>
      <c r="O866" s="5">
        <v>0</v>
      </c>
      <c r="P866" s="6">
        <v>0</v>
      </c>
      <c r="Q866" s="5">
        <v>0</v>
      </c>
      <c r="R866" s="6">
        <v>0</v>
      </c>
      <c r="S866" s="5">
        <v>0</v>
      </c>
      <c r="T866" s="6">
        <v>0</v>
      </c>
      <c r="U866" s="5">
        <v>0</v>
      </c>
      <c r="V866" s="6">
        <v>0</v>
      </c>
      <c r="W866" s="5">
        <v>0</v>
      </c>
      <c r="X866" s="6">
        <v>0</v>
      </c>
      <c r="Y866" s="5">
        <v>0</v>
      </c>
      <c r="Z866" s="6">
        <v>0</v>
      </c>
      <c r="AA866" s="5">
        <v>0</v>
      </c>
      <c r="AB866" s="6">
        <v>0</v>
      </c>
      <c r="AC866" s="5">
        <v>0</v>
      </c>
      <c r="AD866" s="6">
        <v>0</v>
      </c>
      <c r="AE866" s="5">
        <v>0</v>
      </c>
      <c r="AF866" s="6">
        <v>0</v>
      </c>
      <c r="AG866" s="5">
        <v>0</v>
      </c>
      <c r="AH866" s="7">
        <f t="shared" si="104"/>
        <v>23.741656180637118</v>
      </c>
      <c r="AI866" s="8">
        <f t="shared" si="105"/>
        <v>98.765289711450407</v>
      </c>
      <c r="AJ866" s="6">
        <v>0</v>
      </c>
      <c r="AK866" s="5">
        <v>0</v>
      </c>
      <c r="AL866" s="6">
        <v>25</v>
      </c>
      <c r="AM866" s="5">
        <v>108.4072641473102</v>
      </c>
      <c r="AN866" s="6">
        <v>0</v>
      </c>
      <c r="AO866" s="5">
        <v>0</v>
      </c>
      <c r="AP866" s="6">
        <v>0</v>
      </c>
      <c r="AQ866" s="5">
        <v>0</v>
      </c>
      <c r="AR866" s="6">
        <v>0</v>
      </c>
      <c r="AS866" s="5">
        <v>0</v>
      </c>
      <c r="AT866" s="6">
        <v>0</v>
      </c>
      <c r="AU866" s="5">
        <v>0</v>
      </c>
      <c r="AV866" s="6">
        <v>0</v>
      </c>
      <c r="AW866" s="5">
        <v>0</v>
      </c>
      <c r="AX866" s="6">
        <v>0</v>
      </c>
      <c r="AY866" s="5">
        <v>0</v>
      </c>
      <c r="AZ866" s="6">
        <v>0</v>
      </c>
      <c r="BA866" s="5">
        <v>0</v>
      </c>
      <c r="BB866" s="6">
        <v>0</v>
      </c>
      <c r="BC866" s="5">
        <v>0</v>
      </c>
      <c r="BD866" s="6">
        <v>0</v>
      </c>
      <c r="BE866" s="5">
        <v>0</v>
      </c>
      <c r="BF866" s="6">
        <v>0</v>
      </c>
      <c r="BG866" s="5">
        <v>0</v>
      </c>
      <c r="BH866" s="9">
        <f t="shared" si="106"/>
        <v>25</v>
      </c>
      <c r="BI866" s="10">
        <f t="shared" si="107"/>
        <v>108.4072641473102</v>
      </c>
      <c r="BJ866" s="6">
        <f t="shared" si="108"/>
        <v>1.2583438193628815</v>
      </c>
      <c r="BK866" s="11">
        <f t="shared" si="109"/>
        <v>5.3001518082346072E-2</v>
      </c>
      <c r="BL866" s="5">
        <f t="shared" si="110"/>
        <v>9.6419744358597939</v>
      </c>
      <c r="BM866" s="11">
        <f t="shared" si="111"/>
        <v>9.762513190645708E-2</v>
      </c>
    </row>
    <row r="867" spans="1:65" ht="15" customHeight="1" x14ac:dyDescent="0.4">
      <c r="A867" s="2" t="s">
        <v>589</v>
      </c>
      <c r="B867" s="2" t="s">
        <v>66</v>
      </c>
      <c r="C867" s="2" t="s">
        <v>640</v>
      </c>
      <c r="D867" s="3" t="s">
        <v>68</v>
      </c>
      <c r="E867" s="3" t="s">
        <v>607</v>
      </c>
      <c r="F867" s="2" t="s">
        <v>608</v>
      </c>
      <c r="G867" s="4">
        <v>1</v>
      </c>
      <c r="H867" s="5">
        <v>6.4299999999999988</v>
      </c>
      <c r="I867" s="5">
        <v>6.7024875814154274</v>
      </c>
      <c r="J867" s="6">
        <v>11.870828090318559</v>
      </c>
      <c r="K867" s="5">
        <v>76.329424620748327</v>
      </c>
      <c r="L867" s="6">
        <v>0</v>
      </c>
      <c r="M867" s="5">
        <v>0</v>
      </c>
      <c r="N867" s="6">
        <v>0</v>
      </c>
      <c r="O867" s="5">
        <v>0</v>
      </c>
      <c r="P867" s="6">
        <v>0</v>
      </c>
      <c r="Q867" s="5">
        <v>0</v>
      </c>
      <c r="R867" s="6">
        <v>0</v>
      </c>
      <c r="S867" s="5">
        <v>0</v>
      </c>
      <c r="T867" s="6">
        <v>0</v>
      </c>
      <c r="U867" s="5">
        <v>0</v>
      </c>
      <c r="V867" s="6">
        <v>0</v>
      </c>
      <c r="W867" s="5">
        <v>0</v>
      </c>
      <c r="X867" s="6">
        <v>0</v>
      </c>
      <c r="Y867" s="5">
        <v>0</v>
      </c>
      <c r="Z867" s="6">
        <v>0</v>
      </c>
      <c r="AA867" s="5">
        <v>0</v>
      </c>
      <c r="AB867" s="6">
        <v>0</v>
      </c>
      <c r="AC867" s="5">
        <v>0</v>
      </c>
      <c r="AD867" s="6">
        <v>0</v>
      </c>
      <c r="AE867" s="5">
        <v>0</v>
      </c>
      <c r="AF867" s="6">
        <v>0</v>
      </c>
      <c r="AG867" s="5">
        <v>0</v>
      </c>
      <c r="AH867" s="7">
        <f t="shared" si="104"/>
        <v>11.870828090318559</v>
      </c>
      <c r="AI867" s="8">
        <f t="shared" si="105"/>
        <v>76.329424620748327</v>
      </c>
      <c r="AJ867" s="6">
        <v>13</v>
      </c>
      <c r="AK867" s="5">
        <v>87.132338558400548</v>
      </c>
      <c r="AL867" s="6">
        <v>0</v>
      </c>
      <c r="AM867" s="5">
        <v>0</v>
      </c>
      <c r="AN867" s="6">
        <v>0</v>
      </c>
      <c r="AO867" s="5">
        <v>0</v>
      </c>
      <c r="AP867" s="6">
        <v>0</v>
      </c>
      <c r="AQ867" s="5">
        <v>0</v>
      </c>
      <c r="AR867" s="6">
        <v>0</v>
      </c>
      <c r="AS867" s="5">
        <v>0</v>
      </c>
      <c r="AT867" s="6">
        <v>0</v>
      </c>
      <c r="AU867" s="5">
        <v>0</v>
      </c>
      <c r="AV867" s="6">
        <v>0</v>
      </c>
      <c r="AW867" s="5">
        <v>0</v>
      </c>
      <c r="AX867" s="6">
        <v>0</v>
      </c>
      <c r="AY867" s="5">
        <v>0</v>
      </c>
      <c r="AZ867" s="6">
        <v>0</v>
      </c>
      <c r="BA867" s="5">
        <v>0</v>
      </c>
      <c r="BB867" s="6">
        <v>0</v>
      </c>
      <c r="BC867" s="5">
        <v>0</v>
      </c>
      <c r="BD867" s="6">
        <v>0</v>
      </c>
      <c r="BE867" s="5">
        <v>0</v>
      </c>
      <c r="BF867" s="6">
        <v>0</v>
      </c>
      <c r="BG867" s="5">
        <v>0</v>
      </c>
      <c r="BH867" s="9">
        <f t="shared" si="106"/>
        <v>13</v>
      </c>
      <c r="BI867" s="10">
        <f t="shared" si="107"/>
        <v>87.132338558400548</v>
      </c>
      <c r="BJ867" s="6">
        <f t="shared" si="108"/>
        <v>1.1291719096814408</v>
      </c>
      <c r="BK867" s="11">
        <f t="shared" si="109"/>
        <v>9.5121578805639914E-2</v>
      </c>
      <c r="BL867" s="5">
        <f t="shared" si="110"/>
        <v>10.802913937652221</v>
      </c>
      <c r="BM867" s="11">
        <f t="shared" si="111"/>
        <v>0.14153013718271509</v>
      </c>
    </row>
    <row r="868" spans="1:65" ht="15" customHeight="1" x14ac:dyDescent="0.4">
      <c r="A868" s="2" t="s">
        <v>589</v>
      </c>
      <c r="B868" s="2" t="s">
        <v>66</v>
      </c>
      <c r="C868" s="2" t="s">
        <v>640</v>
      </c>
      <c r="D868" s="3" t="s">
        <v>68</v>
      </c>
      <c r="E868" s="3" t="s">
        <v>225</v>
      </c>
      <c r="F868" s="2" t="s">
        <v>226</v>
      </c>
      <c r="G868" s="4">
        <v>5</v>
      </c>
      <c r="H868" s="5">
        <v>5.42</v>
      </c>
      <c r="I868" s="5">
        <v>5.6496862661386658</v>
      </c>
      <c r="J868" s="6">
        <v>0</v>
      </c>
      <c r="K868" s="5">
        <v>0</v>
      </c>
      <c r="L868" s="6">
        <v>0</v>
      </c>
      <c r="M868" s="5">
        <v>0</v>
      </c>
      <c r="N868" s="6">
        <v>0</v>
      </c>
      <c r="O868" s="5">
        <v>0</v>
      </c>
      <c r="P868" s="6">
        <v>0</v>
      </c>
      <c r="Q868" s="5">
        <v>0</v>
      </c>
      <c r="R868" s="6">
        <v>0</v>
      </c>
      <c r="S868" s="5">
        <v>0</v>
      </c>
      <c r="T868" s="6">
        <v>0</v>
      </c>
      <c r="U868" s="5">
        <v>0</v>
      </c>
      <c r="V868" s="6">
        <v>0</v>
      </c>
      <c r="W868" s="5">
        <v>0</v>
      </c>
      <c r="X868" s="6">
        <v>98.92356741932133</v>
      </c>
      <c r="Y868" s="5">
        <v>536.16573541272157</v>
      </c>
      <c r="Z868" s="6">
        <v>0</v>
      </c>
      <c r="AA868" s="5">
        <v>0</v>
      </c>
      <c r="AB868" s="6">
        <v>0</v>
      </c>
      <c r="AC868" s="5">
        <v>0</v>
      </c>
      <c r="AD868" s="6">
        <v>0</v>
      </c>
      <c r="AE868" s="5">
        <v>0</v>
      </c>
      <c r="AF868" s="6">
        <v>0</v>
      </c>
      <c r="AG868" s="5">
        <v>0</v>
      </c>
      <c r="AH868" s="7">
        <f t="shared" si="104"/>
        <v>98.92356741932133</v>
      </c>
      <c r="AI868" s="8">
        <f t="shared" si="105"/>
        <v>536.16573541272157</v>
      </c>
      <c r="AJ868" s="6">
        <v>0</v>
      </c>
      <c r="AK868" s="5">
        <v>0</v>
      </c>
      <c r="AL868" s="6">
        <v>0</v>
      </c>
      <c r="AM868" s="5">
        <v>0</v>
      </c>
      <c r="AN868" s="6">
        <v>0</v>
      </c>
      <c r="AO868" s="5">
        <v>0</v>
      </c>
      <c r="AP868" s="6">
        <v>0</v>
      </c>
      <c r="AQ868" s="5">
        <v>0</v>
      </c>
      <c r="AR868" s="6">
        <v>0</v>
      </c>
      <c r="AS868" s="5">
        <v>0</v>
      </c>
      <c r="AT868" s="6">
        <v>0</v>
      </c>
      <c r="AU868" s="5">
        <v>0</v>
      </c>
      <c r="AV868" s="6">
        <v>0</v>
      </c>
      <c r="AW868" s="5">
        <v>0</v>
      </c>
      <c r="AX868" s="6">
        <v>110</v>
      </c>
      <c r="AY868" s="5">
        <v>621.46548927525328</v>
      </c>
      <c r="AZ868" s="6">
        <v>0</v>
      </c>
      <c r="BA868" s="5">
        <v>0</v>
      </c>
      <c r="BB868" s="6">
        <v>0</v>
      </c>
      <c r="BC868" s="5">
        <v>0</v>
      </c>
      <c r="BD868" s="6">
        <v>0</v>
      </c>
      <c r="BE868" s="5">
        <v>0</v>
      </c>
      <c r="BF868" s="6">
        <v>0</v>
      </c>
      <c r="BG868" s="5">
        <v>0</v>
      </c>
      <c r="BH868" s="9">
        <f t="shared" si="106"/>
        <v>110</v>
      </c>
      <c r="BI868" s="10">
        <f t="shared" si="107"/>
        <v>621.46548927525328</v>
      </c>
      <c r="BJ868" s="6">
        <f t="shared" si="108"/>
        <v>11.07643258067867</v>
      </c>
      <c r="BK868" s="11">
        <f t="shared" si="109"/>
        <v>0.11196960309495742</v>
      </c>
      <c r="BL868" s="5">
        <f t="shared" si="110"/>
        <v>85.299753862531702</v>
      </c>
      <c r="BM868" s="11">
        <f t="shared" si="111"/>
        <v>0.15909213929321864</v>
      </c>
    </row>
    <row r="869" spans="1:65" ht="15" customHeight="1" x14ac:dyDescent="0.4">
      <c r="A869" s="2" t="s">
        <v>589</v>
      </c>
      <c r="B869" s="2" t="s">
        <v>66</v>
      </c>
      <c r="C869" s="2" t="s">
        <v>640</v>
      </c>
      <c r="D869" s="3" t="s">
        <v>68</v>
      </c>
      <c r="E869" s="3" t="s">
        <v>193</v>
      </c>
      <c r="F869" s="2" t="s">
        <v>194</v>
      </c>
      <c r="G869" s="4">
        <v>20</v>
      </c>
      <c r="H869" s="5">
        <v>5.04</v>
      </c>
      <c r="I869" s="5">
        <v>5.2535828009850318</v>
      </c>
      <c r="J869" s="6">
        <v>98.92356741932133</v>
      </c>
      <c r="K869" s="5">
        <v>495.60707277079979</v>
      </c>
      <c r="L869" s="6">
        <v>0</v>
      </c>
      <c r="M869" s="5">
        <v>0</v>
      </c>
      <c r="N869" s="6">
        <v>0</v>
      </c>
      <c r="O869" s="5">
        <v>0</v>
      </c>
      <c r="P869" s="6">
        <v>0</v>
      </c>
      <c r="Q869" s="5">
        <v>0</v>
      </c>
      <c r="R869" s="6">
        <v>0</v>
      </c>
      <c r="S869" s="5">
        <v>0</v>
      </c>
      <c r="T869" s="6">
        <v>0</v>
      </c>
      <c r="U869" s="5">
        <v>0</v>
      </c>
      <c r="V869" s="6">
        <v>98.92356741932133</v>
      </c>
      <c r="W869" s="5">
        <v>501.54248681595908</v>
      </c>
      <c r="X869" s="6">
        <v>0</v>
      </c>
      <c r="Y869" s="5">
        <v>0</v>
      </c>
      <c r="Z869" s="6">
        <v>0</v>
      </c>
      <c r="AA869" s="5">
        <v>0</v>
      </c>
      <c r="AB869" s="6">
        <v>0</v>
      </c>
      <c r="AC869" s="5">
        <v>0</v>
      </c>
      <c r="AD869" s="6">
        <v>0</v>
      </c>
      <c r="AE869" s="5">
        <v>0</v>
      </c>
      <c r="AF869" s="6">
        <v>0</v>
      </c>
      <c r="AG869" s="5">
        <v>0</v>
      </c>
      <c r="AH869" s="7">
        <f t="shared" si="104"/>
        <v>197.84713483864266</v>
      </c>
      <c r="AI869" s="8">
        <f t="shared" si="105"/>
        <v>997.14955958675887</v>
      </c>
      <c r="AJ869" s="6">
        <v>100</v>
      </c>
      <c r="AK869" s="5">
        <v>522.23114747886927</v>
      </c>
      <c r="AL869" s="6">
        <v>0</v>
      </c>
      <c r="AM869" s="5">
        <v>0</v>
      </c>
      <c r="AN869" s="6">
        <v>0</v>
      </c>
      <c r="AO869" s="5">
        <v>0</v>
      </c>
      <c r="AP869" s="6">
        <v>0</v>
      </c>
      <c r="AQ869" s="5">
        <v>0</v>
      </c>
      <c r="AR869" s="6">
        <v>0</v>
      </c>
      <c r="AS869" s="5">
        <v>0</v>
      </c>
      <c r="AT869" s="6">
        <v>0</v>
      </c>
      <c r="AU869" s="5">
        <v>0</v>
      </c>
      <c r="AV869" s="6">
        <v>100</v>
      </c>
      <c r="AW869" s="5">
        <v>528.48541271813724</v>
      </c>
      <c r="AX869" s="6">
        <v>0</v>
      </c>
      <c r="AY869" s="5">
        <v>0</v>
      </c>
      <c r="AZ869" s="6">
        <v>0</v>
      </c>
      <c r="BA869" s="5">
        <v>0</v>
      </c>
      <c r="BB869" s="6">
        <v>0</v>
      </c>
      <c r="BC869" s="5">
        <v>0</v>
      </c>
      <c r="BD869" s="6">
        <v>0</v>
      </c>
      <c r="BE869" s="5">
        <v>0</v>
      </c>
      <c r="BF869" s="6">
        <v>0</v>
      </c>
      <c r="BG869" s="5">
        <v>0</v>
      </c>
      <c r="BH869" s="9">
        <f t="shared" si="106"/>
        <v>200</v>
      </c>
      <c r="BI869" s="10">
        <f t="shared" si="107"/>
        <v>1050.7165601970064</v>
      </c>
      <c r="BJ869" s="6">
        <f t="shared" si="108"/>
        <v>2.1528651613573402</v>
      </c>
      <c r="BK869" s="11">
        <f t="shared" si="109"/>
        <v>1.0881457359052195E-2</v>
      </c>
      <c r="BL869" s="5">
        <f t="shared" si="110"/>
        <v>53.567000610247533</v>
      </c>
      <c r="BM869" s="11">
        <f t="shared" si="111"/>
        <v>5.3720126630198685E-2</v>
      </c>
    </row>
    <row r="870" spans="1:65" ht="15" customHeight="1" x14ac:dyDescent="0.4">
      <c r="A870" s="2" t="s">
        <v>589</v>
      </c>
      <c r="B870" s="2" t="s">
        <v>66</v>
      </c>
      <c r="C870" s="2" t="s">
        <v>640</v>
      </c>
      <c r="D870" s="3" t="s">
        <v>68</v>
      </c>
      <c r="E870" s="3" t="s">
        <v>126</v>
      </c>
      <c r="F870" s="2" t="s">
        <v>649</v>
      </c>
      <c r="G870" s="4">
        <v>20</v>
      </c>
      <c r="H870" s="5">
        <v>5.86</v>
      </c>
      <c r="I870" s="5">
        <v>6.1083323836849779</v>
      </c>
      <c r="J870" s="6">
        <v>197.84713483864269</v>
      </c>
      <c r="K870" s="5">
        <v>1167.298095547992</v>
      </c>
      <c r="L870" s="6">
        <v>197.84713483864269</v>
      </c>
      <c r="M870" s="5">
        <v>1151.4703247609</v>
      </c>
      <c r="N870" s="6">
        <v>0</v>
      </c>
      <c r="O870" s="5">
        <v>0</v>
      </c>
      <c r="P870" s="6">
        <v>0</v>
      </c>
      <c r="Q870" s="5">
        <v>0</v>
      </c>
      <c r="R870" s="6">
        <v>0</v>
      </c>
      <c r="S870" s="5">
        <v>0</v>
      </c>
      <c r="T870" s="6">
        <v>0</v>
      </c>
      <c r="U870" s="5">
        <v>0</v>
      </c>
      <c r="V870" s="6">
        <v>0</v>
      </c>
      <c r="W870" s="5">
        <v>0</v>
      </c>
      <c r="X870" s="6">
        <v>0</v>
      </c>
      <c r="Y870" s="5">
        <v>0</v>
      </c>
      <c r="Z870" s="6">
        <v>0</v>
      </c>
      <c r="AA870" s="5">
        <v>0</v>
      </c>
      <c r="AB870" s="6">
        <v>0</v>
      </c>
      <c r="AC870" s="5">
        <v>0</v>
      </c>
      <c r="AD870" s="6">
        <v>0</v>
      </c>
      <c r="AE870" s="5">
        <v>0</v>
      </c>
      <c r="AF870" s="6">
        <v>0</v>
      </c>
      <c r="AG870" s="5">
        <v>0</v>
      </c>
      <c r="AH870" s="7">
        <f t="shared" si="104"/>
        <v>395.69426967728538</v>
      </c>
      <c r="AI870" s="8">
        <f t="shared" si="105"/>
        <v>2318.768420308892</v>
      </c>
      <c r="AJ870" s="6">
        <v>240</v>
      </c>
      <c r="AK870" s="5">
        <v>1476.0065964672231</v>
      </c>
      <c r="AL870" s="6">
        <v>240</v>
      </c>
      <c r="AM870" s="5">
        <v>1455.992947701566</v>
      </c>
      <c r="AN870" s="6">
        <v>0</v>
      </c>
      <c r="AO870" s="5">
        <v>0</v>
      </c>
      <c r="AP870" s="6">
        <v>0</v>
      </c>
      <c r="AQ870" s="5">
        <v>0</v>
      </c>
      <c r="AR870" s="6">
        <v>0</v>
      </c>
      <c r="AS870" s="5">
        <v>0</v>
      </c>
      <c r="AT870" s="6">
        <v>0</v>
      </c>
      <c r="AU870" s="5">
        <v>0</v>
      </c>
      <c r="AV870" s="6">
        <v>0</v>
      </c>
      <c r="AW870" s="5">
        <v>0</v>
      </c>
      <c r="AX870" s="6">
        <v>0</v>
      </c>
      <c r="AY870" s="5">
        <v>0</v>
      </c>
      <c r="AZ870" s="6">
        <v>0</v>
      </c>
      <c r="BA870" s="5">
        <v>0</v>
      </c>
      <c r="BB870" s="6">
        <v>0</v>
      </c>
      <c r="BC870" s="5">
        <v>0</v>
      </c>
      <c r="BD870" s="6">
        <v>0</v>
      </c>
      <c r="BE870" s="5">
        <v>0</v>
      </c>
      <c r="BF870" s="6">
        <v>0</v>
      </c>
      <c r="BG870" s="5">
        <v>0</v>
      </c>
      <c r="BH870" s="9">
        <f t="shared" si="106"/>
        <v>480</v>
      </c>
      <c r="BI870" s="10">
        <f t="shared" si="107"/>
        <v>2931.9995441687888</v>
      </c>
      <c r="BJ870" s="6">
        <f t="shared" si="108"/>
        <v>84.305730322714624</v>
      </c>
      <c r="BK870" s="11">
        <f t="shared" si="109"/>
        <v>0.21305774883086245</v>
      </c>
      <c r="BL870" s="5">
        <f t="shared" si="110"/>
        <v>613.2311238598968</v>
      </c>
      <c r="BM870" s="11">
        <f t="shared" si="111"/>
        <v>0.26446415195623801</v>
      </c>
    </row>
    <row r="871" spans="1:65" ht="15" customHeight="1" x14ac:dyDescent="0.4">
      <c r="A871" s="2" t="s">
        <v>589</v>
      </c>
      <c r="B871" s="2" t="s">
        <v>66</v>
      </c>
      <c r="C871" s="2" t="s">
        <v>640</v>
      </c>
      <c r="D871" s="3" t="s">
        <v>68</v>
      </c>
      <c r="E871" s="3" t="s">
        <v>650</v>
      </c>
      <c r="F871" s="2" t="s">
        <v>651</v>
      </c>
      <c r="G871" s="4">
        <v>1</v>
      </c>
      <c r="H871" s="5">
        <v>3.53</v>
      </c>
      <c r="I871" s="5">
        <v>3.6795927157692789</v>
      </c>
      <c r="J871" s="6">
        <v>0</v>
      </c>
      <c r="K871" s="5">
        <v>0</v>
      </c>
      <c r="L871" s="6">
        <v>0</v>
      </c>
      <c r="M871" s="5">
        <v>0</v>
      </c>
      <c r="N871" s="6">
        <v>0</v>
      </c>
      <c r="O871" s="5">
        <v>0</v>
      </c>
      <c r="P871" s="6">
        <v>0</v>
      </c>
      <c r="Q871" s="5">
        <v>0</v>
      </c>
      <c r="R871" s="6">
        <v>23.741656180637118</v>
      </c>
      <c r="S871" s="5">
        <v>83.80804631764903</v>
      </c>
      <c r="T871" s="6">
        <v>0</v>
      </c>
      <c r="U871" s="5">
        <v>0</v>
      </c>
      <c r="V871" s="6">
        <v>0</v>
      </c>
      <c r="W871" s="5">
        <v>0</v>
      </c>
      <c r="X871" s="6">
        <v>0</v>
      </c>
      <c r="Y871" s="5">
        <v>0</v>
      </c>
      <c r="Z871" s="6">
        <v>0</v>
      </c>
      <c r="AA871" s="5">
        <v>0</v>
      </c>
      <c r="AB871" s="6">
        <v>0</v>
      </c>
      <c r="AC871" s="5">
        <v>0</v>
      </c>
      <c r="AD871" s="6">
        <v>0</v>
      </c>
      <c r="AE871" s="5">
        <v>0</v>
      </c>
      <c r="AF871" s="6">
        <v>0</v>
      </c>
      <c r="AG871" s="5">
        <v>0</v>
      </c>
      <c r="AH871" s="7">
        <f t="shared" si="104"/>
        <v>23.741656180637118</v>
      </c>
      <c r="AI871" s="8">
        <f t="shared" si="105"/>
        <v>83.80804631764903</v>
      </c>
      <c r="AJ871" s="6">
        <v>0</v>
      </c>
      <c r="AK871" s="5">
        <v>0</v>
      </c>
      <c r="AL871" s="6">
        <v>0</v>
      </c>
      <c r="AM871" s="5">
        <v>0</v>
      </c>
      <c r="AN871" s="6">
        <v>0</v>
      </c>
      <c r="AO871" s="5">
        <v>0</v>
      </c>
      <c r="AP871" s="6">
        <v>0</v>
      </c>
      <c r="AQ871" s="5">
        <v>0</v>
      </c>
      <c r="AR871" s="6">
        <v>26</v>
      </c>
      <c r="AS871" s="5">
        <v>95.66941061000125</v>
      </c>
      <c r="AT871" s="6">
        <v>0</v>
      </c>
      <c r="AU871" s="5">
        <v>0</v>
      </c>
      <c r="AV871" s="6">
        <v>0</v>
      </c>
      <c r="AW871" s="5">
        <v>0</v>
      </c>
      <c r="AX871" s="6">
        <v>0</v>
      </c>
      <c r="AY871" s="5">
        <v>0</v>
      </c>
      <c r="AZ871" s="6">
        <v>0</v>
      </c>
      <c r="BA871" s="5">
        <v>0</v>
      </c>
      <c r="BB871" s="6">
        <v>0</v>
      </c>
      <c r="BC871" s="5">
        <v>0</v>
      </c>
      <c r="BD871" s="6">
        <v>0</v>
      </c>
      <c r="BE871" s="5">
        <v>0</v>
      </c>
      <c r="BF871" s="6">
        <v>0</v>
      </c>
      <c r="BG871" s="5">
        <v>0</v>
      </c>
      <c r="BH871" s="9">
        <f t="shared" si="106"/>
        <v>26</v>
      </c>
      <c r="BI871" s="10">
        <f t="shared" si="107"/>
        <v>95.66941061000125</v>
      </c>
      <c r="BJ871" s="6">
        <f t="shared" si="108"/>
        <v>2.2583438193628815</v>
      </c>
      <c r="BK871" s="11">
        <f t="shared" si="109"/>
        <v>9.5121578805639914E-2</v>
      </c>
      <c r="BL871" s="5">
        <f t="shared" si="110"/>
        <v>11.861364292352221</v>
      </c>
      <c r="BM871" s="11">
        <f t="shared" si="111"/>
        <v>0.14153013718271526</v>
      </c>
    </row>
    <row r="872" spans="1:65" ht="15" customHeight="1" x14ac:dyDescent="0.4">
      <c r="A872" s="2" t="s">
        <v>589</v>
      </c>
      <c r="B872" s="2" t="s">
        <v>66</v>
      </c>
      <c r="C872" s="2" t="s">
        <v>640</v>
      </c>
      <c r="D872" s="3" t="s">
        <v>68</v>
      </c>
      <c r="E872" s="3" t="s">
        <v>229</v>
      </c>
      <c r="F872" s="2" t="s">
        <v>230</v>
      </c>
      <c r="G872" s="4">
        <v>20</v>
      </c>
      <c r="H872" s="5">
        <v>2.29</v>
      </c>
      <c r="I872" s="5">
        <v>2.3870445663205802</v>
      </c>
      <c r="J872" s="6">
        <v>0</v>
      </c>
      <c r="K872" s="5">
        <v>0</v>
      </c>
      <c r="L872" s="6">
        <v>0</v>
      </c>
      <c r="M872" s="5">
        <v>0</v>
      </c>
      <c r="N872" s="6">
        <v>0</v>
      </c>
      <c r="O872" s="5">
        <v>0</v>
      </c>
      <c r="P872" s="6">
        <v>197.84713483864269</v>
      </c>
      <c r="Q872" s="5">
        <v>453.06993878049173</v>
      </c>
      <c r="R872" s="6">
        <v>0</v>
      </c>
      <c r="S872" s="5">
        <v>0</v>
      </c>
      <c r="T872" s="6">
        <v>0</v>
      </c>
      <c r="U872" s="5">
        <v>0</v>
      </c>
      <c r="V872" s="6">
        <v>0</v>
      </c>
      <c r="W872" s="5">
        <v>0</v>
      </c>
      <c r="X872" s="6">
        <v>0</v>
      </c>
      <c r="Y872" s="5">
        <v>0</v>
      </c>
      <c r="Z872" s="6">
        <v>0</v>
      </c>
      <c r="AA872" s="5">
        <v>0</v>
      </c>
      <c r="AB872" s="6">
        <v>0</v>
      </c>
      <c r="AC872" s="5">
        <v>0</v>
      </c>
      <c r="AD872" s="6">
        <v>0</v>
      </c>
      <c r="AE872" s="5">
        <v>0</v>
      </c>
      <c r="AF872" s="6">
        <v>0</v>
      </c>
      <c r="AG872" s="5">
        <v>0</v>
      </c>
      <c r="AH872" s="7">
        <f t="shared" si="104"/>
        <v>197.84713483864269</v>
      </c>
      <c r="AI872" s="8">
        <f t="shared" si="105"/>
        <v>453.06993878049173</v>
      </c>
      <c r="AJ872" s="6">
        <v>0</v>
      </c>
      <c r="AK872" s="5">
        <v>0</v>
      </c>
      <c r="AL872" s="6">
        <v>0</v>
      </c>
      <c r="AM872" s="5">
        <v>0</v>
      </c>
      <c r="AN872" s="6">
        <v>0</v>
      </c>
      <c r="AO872" s="5">
        <v>0</v>
      </c>
      <c r="AP872" s="6">
        <v>220</v>
      </c>
      <c r="AQ872" s="5">
        <v>525.14980459052754</v>
      </c>
      <c r="AR872" s="6">
        <v>0</v>
      </c>
      <c r="AS872" s="5">
        <v>0</v>
      </c>
      <c r="AT872" s="6">
        <v>0</v>
      </c>
      <c r="AU872" s="5">
        <v>0</v>
      </c>
      <c r="AV872" s="6">
        <v>0</v>
      </c>
      <c r="AW872" s="5">
        <v>0</v>
      </c>
      <c r="AX872" s="6">
        <v>0</v>
      </c>
      <c r="AY872" s="5">
        <v>0</v>
      </c>
      <c r="AZ872" s="6">
        <v>0</v>
      </c>
      <c r="BA872" s="5">
        <v>0</v>
      </c>
      <c r="BB872" s="6">
        <v>0</v>
      </c>
      <c r="BC872" s="5">
        <v>0</v>
      </c>
      <c r="BD872" s="6">
        <v>0</v>
      </c>
      <c r="BE872" s="5">
        <v>0</v>
      </c>
      <c r="BF872" s="6">
        <v>0</v>
      </c>
      <c r="BG872" s="5">
        <v>0</v>
      </c>
      <c r="BH872" s="9">
        <f t="shared" si="106"/>
        <v>220</v>
      </c>
      <c r="BI872" s="10">
        <f t="shared" si="107"/>
        <v>525.14980459052754</v>
      </c>
      <c r="BJ872" s="6">
        <f t="shared" si="108"/>
        <v>22.152865161357312</v>
      </c>
      <c r="BK872" s="11">
        <f t="shared" si="109"/>
        <v>0.11196960309495725</v>
      </c>
      <c r="BL872" s="5">
        <f t="shared" si="110"/>
        <v>72.079865810035813</v>
      </c>
      <c r="BM872" s="11">
        <f t="shared" si="111"/>
        <v>0.15909213929321817</v>
      </c>
    </row>
    <row r="873" spans="1:65" ht="15" customHeight="1" x14ac:dyDescent="0.4">
      <c r="A873" s="2" t="s">
        <v>589</v>
      </c>
      <c r="B873" s="2" t="s">
        <v>66</v>
      </c>
      <c r="C873" s="2" t="s">
        <v>640</v>
      </c>
      <c r="D873" s="3" t="s">
        <v>68</v>
      </c>
      <c r="E873" s="3" t="s">
        <v>652</v>
      </c>
      <c r="F873" s="2" t="s">
        <v>653</v>
      </c>
      <c r="G873" s="4">
        <v>20</v>
      </c>
      <c r="H873" s="5">
        <v>2</v>
      </c>
      <c r="I873" s="5">
        <v>2.0847550797559649</v>
      </c>
      <c r="J873" s="6">
        <v>0</v>
      </c>
      <c r="K873" s="5">
        <v>0</v>
      </c>
      <c r="L873" s="6">
        <v>0</v>
      </c>
      <c r="M873" s="5">
        <v>0</v>
      </c>
      <c r="N873" s="6">
        <v>0</v>
      </c>
      <c r="O873" s="5">
        <v>0</v>
      </c>
      <c r="P873" s="6">
        <v>633.11083148365651</v>
      </c>
      <c r="Q873" s="5">
        <v>1266.221662967313</v>
      </c>
      <c r="R873" s="6">
        <v>0</v>
      </c>
      <c r="S873" s="5">
        <v>0</v>
      </c>
      <c r="T873" s="6">
        <v>633.11083148365651</v>
      </c>
      <c r="U873" s="5">
        <v>1266.221662967313</v>
      </c>
      <c r="V873" s="6">
        <v>0</v>
      </c>
      <c r="W873" s="5">
        <v>0</v>
      </c>
      <c r="X873" s="6">
        <v>0</v>
      </c>
      <c r="Y873" s="5">
        <v>0</v>
      </c>
      <c r="Z873" s="6">
        <v>0</v>
      </c>
      <c r="AA873" s="5">
        <v>0</v>
      </c>
      <c r="AB873" s="6">
        <v>0</v>
      </c>
      <c r="AC873" s="5">
        <v>0</v>
      </c>
      <c r="AD873" s="6">
        <v>0</v>
      </c>
      <c r="AE873" s="5">
        <v>0</v>
      </c>
      <c r="AF873" s="6">
        <v>0</v>
      </c>
      <c r="AG873" s="5">
        <v>0</v>
      </c>
      <c r="AH873" s="7">
        <f t="shared" si="104"/>
        <v>1266.221662967313</v>
      </c>
      <c r="AI873" s="8">
        <f t="shared" si="105"/>
        <v>2532.443325934626</v>
      </c>
      <c r="AJ873" s="6">
        <v>0</v>
      </c>
      <c r="AK873" s="5">
        <v>0</v>
      </c>
      <c r="AL873" s="6">
        <v>0</v>
      </c>
      <c r="AM873" s="5">
        <v>0</v>
      </c>
      <c r="AN873" s="6">
        <v>0</v>
      </c>
      <c r="AO873" s="5">
        <v>0</v>
      </c>
      <c r="AP873" s="6">
        <v>680</v>
      </c>
      <c r="AQ873" s="5">
        <v>1417.633454234056</v>
      </c>
      <c r="AR873" s="6">
        <v>0</v>
      </c>
      <c r="AS873" s="5">
        <v>0</v>
      </c>
      <c r="AT873" s="6">
        <v>680</v>
      </c>
      <c r="AU873" s="5">
        <v>1417.633454234056</v>
      </c>
      <c r="AV873" s="6">
        <v>0</v>
      </c>
      <c r="AW873" s="5">
        <v>0</v>
      </c>
      <c r="AX873" s="6">
        <v>0</v>
      </c>
      <c r="AY873" s="5">
        <v>0</v>
      </c>
      <c r="AZ873" s="6">
        <v>0</v>
      </c>
      <c r="BA873" s="5">
        <v>0</v>
      </c>
      <c r="BB873" s="6">
        <v>0</v>
      </c>
      <c r="BC873" s="5">
        <v>0</v>
      </c>
      <c r="BD873" s="6">
        <v>0</v>
      </c>
      <c r="BE873" s="5">
        <v>0</v>
      </c>
      <c r="BF873" s="6">
        <v>0</v>
      </c>
      <c r="BG873" s="5">
        <v>0</v>
      </c>
      <c r="BH873" s="9">
        <f t="shared" si="106"/>
        <v>1360</v>
      </c>
      <c r="BI873" s="10">
        <f t="shared" si="107"/>
        <v>2835.266908468112</v>
      </c>
      <c r="BJ873" s="6">
        <f t="shared" si="108"/>
        <v>93.778337032686977</v>
      </c>
      <c r="BK873" s="11">
        <f t="shared" si="109"/>
        <v>7.4061548443992958E-2</v>
      </c>
      <c r="BL873" s="5">
        <f t="shared" si="110"/>
        <v>302.82358253348593</v>
      </c>
      <c r="BM873" s="11">
        <f t="shared" si="111"/>
        <v>0.11957763454458574</v>
      </c>
    </row>
    <row r="874" spans="1:65" ht="15" customHeight="1" x14ac:dyDescent="0.4">
      <c r="A874" s="2" t="s">
        <v>589</v>
      </c>
      <c r="B874" s="2" t="s">
        <v>66</v>
      </c>
      <c r="C874" s="2" t="s">
        <v>640</v>
      </c>
      <c r="D874" s="3" t="s">
        <v>68</v>
      </c>
      <c r="E874" s="3" t="s">
        <v>128</v>
      </c>
      <c r="F874" s="2" t="s">
        <v>129</v>
      </c>
      <c r="G874" s="4">
        <v>5</v>
      </c>
      <c r="H874" s="5">
        <v>3.4087499999999999</v>
      </c>
      <c r="I874" s="5">
        <v>3.5531036360734829</v>
      </c>
      <c r="J874" s="6">
        <v>0</v>
      </c>
      <c r="K874" s="5">
        <v>0</v>
      </c>
      <c r="L874" s="6">
        <v>0</v>
      </c>
      <c r="M874" s="5">
        <v>0</v>
      </c>
      <c r="N874" s="6">
        <v>0</v>
      </c>
      <c r="O874" s="5">
        <v>0</v>
      </c>
      <c r="P874" s="6">
        <v>0</v>
      </c>
      <c r="Q874" s="5">
        <v>0</v>
      </c>
      <c r="R874" s="6">
        <v>197.84713483864269</v>
      </c>
      <c r="S874" s="5">
        <v>658.83095901268007</v>
      </c>
      <c r="T874" s="6">
        <v>395.69426967728532</v>
      </c>
      <c r="U874" s="5">
        <v>1353.2744022963161</v>
      </c>
      <c r="V874" s="6">
        <v>989.2356741932133</v>
      </c>
      <c r="W874" s="5">
        <v>3383.1860057407889</v>
      </c>
      <c r="X874" s="6">
        <v>0</v>
      </c>
      <c r="Y874" s="5">
        <v>0</v>
      </c>
      <c r="Z874" s="6">
        <v>0</v>
      </c>
      <c r="AA874" s="5">
        <v>0</v>
      </c>
      <c r="AB874" s="6">
        <v>0</v>
      </c>
      <c r="AC874" s="5">
        <v>0</v>
      </c>
      <c r="AD874" s="6">
        <v>0</v>
      </c>
      <c r="AE874" s="5">
        <v>0</v>
      </c>
      <c r="AF874" s="6">
        <v>0</v>
      </c>
      <c r="AG874" s="5">
        <v>0</v>
      </c>
      <c r="AH874" s="7">
        <f t="shared" si="104"/>
        <v>1582.7770787091413</v>
      </c>
      <c r="AI874" s="8">
        <f t="shared" si="105"/>
        <v>5395.2913670497855</v>
      </c>
      <c r="AJ874" s="6">
        <v>0</v>
      </c>
      <c r="AK874" s="5">
        <v>0</v>
      </c>
      <c r="AL874" s="6">
        <v>0</v>
      </c>
      <c r="AM874" s="5">
        <v>0</v>
      </c>
      <c r="AN874" s="6">
        <v>0</v>
      </c>
      <c r="AO874" s="5">
        <v>0</v>
      </c>
      <c r="AP874" s="6">
        <v>0</v>
      </c>
      <c r="AQ874" s="5">
        <v>0</v>
      </c>
      <c r="AR874" s="6">
        <v>220</v>
      </c>
      <c r="AS874" s="5">
        <v>763.64578571461016</v>
      </c>
      <c r="AT874" s="6">
        <v>435</v>
      </c>
      <c r="AU874" s="5">
        <v>1550.745066076475</v>
      </c>
      <c r="AV874" s="6">
        <v>1090</v>
      </c>
      <c r="AW874" s="5">
        <v>3885.7749931571429</v>
      </c>
      <c r="AX874" s="6">
        <v>0</v>
      </c>
      <c r="AY874" s="5">
        <v>0</v>
      </c>
      <c r="AZ874" s="6">
        <v>0</v>
      </c>
      <c r="BA874" s="5">
        <v>0</v>
      </c>
      <c r="BB874" s="6">
        <v>0</v>
      </c>
      <c r="BC874" s="5">
        <v>0</v>
      </c>
      <c r="BD874" s="6">
        <v>0</v>
      </c>
      <c r="BE874" s="5">
        <v>0</v>
      </c>
      <c r="BF874" s="6">
        <v>0</v>
      </c>
      <c r="BG874" s="5">
        <v>0</v>
      </c>
      <c r="BH874" s="9">
        <f t="shared" si="106"/>
        <v>1745</v>
      </c>
      <c r="BI874" s="10">
        <f t="shared" si="107"/>
        <v>6200.1658449482275</v>
      </c>
      <c r="BJ874" s="6">
        <f t="shared" si="108"/>
        <v>162.22292129085872</v>
      </c>
      <c r="BK874" s="11">
        <f t="shared" si="109"/>
        <v>0.1024925894322163</v>
      </c>
      <c r="BL874" s="5">
        <f t="shared" si="110"/>
        <v>804.87447789844191</v>
      </c>
      <c r="BM874" s="11">
        <f t="shared" si="111"/>
        <v>0.14918091037936984</v>
      </c>
    </row>
    <row r="875" spans="1:65" ht="15" customHeight="1" x14ac:dyDescent="0.4">
      <c r="A875" s="2" t="s">
        <v>589</v>
      </c>
      <c r="B875" s="2" t="s">
        <v>66</v>
      </c>
      <c r="C875" s="2" t="s">
        <v>640</v>
      </c>
      <c r="D875" s="3" t="s">
        <v>68</v>
      </c>
      <c r="E875" s="3" t="s">
        <v>79</v>
      </c>
      <c r="F875" s="2" t="s">
        <v>80</v>
      </c>
      <c r="G875" s="4">
        <v>20</v>
      </c>
      <c r="H875" s="5">
        <v>3.0650937186000382</v>
      </c>
      <c r="I875" s="5">
        <v>3.1949470209029451</v>
      </c>
      <c r="J875" s="6">
        <v>0</v>
      </c>
      <c r="K875" s="5">
        <v>0</v>
      </c>
      <c r="L875" s="6">
        <v>0</v>
      </c>
      <c r="M875" s="5">
        <v>0</v>
      </c>
      <c r="N875" s="6">
        <v>0</v>
      </c>
      <c r="O875" s="5">
        <v>0</v>
      </c>
      <c r="P875" s="6">
        <v>1266.221662967313</v>
      </c>
      <c r="Q875" s="5">
        <v>3887.3005053096508</v>
      </c>
      <c r="R875" s="6">
        <v>633.11083148365651</v>
      </c>
      <c r="S875" s="5">
        <v>2000.630227488354</v>
      </c>
      <c r="T875" s="6">
        <v>633.11083148365651</v>
      </c>
      <c r="U875" s="5">
        <v>2000.630227488354</v>
      </c>
      <c r="V875" s="6">
        <v>5697.9974833529086</v>
      </c>
      <c r="W875" s="5">
        <v>18005.67204739519</v>
      </c>
      <c r="X875" s="6">
        <v>2532.443325934626</v>
      </c>
      <c r="Y875" s="5">
        <v>8002.5209099534177</v>
      </c>
      <c r="Z875" s="6">
        <v>2426.8701166038768</v>
      </c>
      <c r="AA875" s="5">
        <v>7075.5822059624761</v>
      </c>
      <c r="AB875" s="6">
        <v>2426.8701166038768</v>
      </c>
      <c r="AC875" s="5">
        <v>7075.5822059624761</v>
      </c>
      <c r="AD875" s="6">
        <v>1213.4350583019379</v>
      </c>
      <c r="AE875" s="5">
        <v>3537.7911029812381</v>
      </c>
      <c r="AF875" s="6">
        <v>0</v>
      </c>
      <c r="AG875" s="5">
        <v>0</v>
      </c>
      <c r="AH875" s="7">
        <f t="shared" si="104"/>
        <v>16830.059426731852</v>
      </c>
      <c r="AI875" s="8">
        <f t="shared" si="105"/>
        <v>51585.70943254116</v>
      </c>
      <c r="AJ875" s="6">
        <v>0</v>
      </c>
      <c r="AK875" s="5">
        <v>0</v>
      </c>
      <c r="AL875" s="6">
        <v>0</v>
      </c>
      <c r="AM875" s="5">
        <v>0</v>
      </c>
      <c r="AN875" s="6">
        <v>0</v>
      </c>
      <c r="AO875" s="5">
        <v>0</v>
      </c>
      <c r="AP875" s="6">
        <v>1400</v>
      </c>
      <c r="AQ875" s="5">
        <v>4480.13866639557</v>
      </c>
      <c r="AR875" s="6">
        <v>700</v>
      </c>
      <c r="AS875" s="5">
        <v>2305.7391182100969</v>
      </c>
      <c r="AT875" s="6">
        <v>700</v>
      </c>
      <c r="AU875" s="5">
        <v>2305.7391182100969</v>
      </c>
      <c r="AV875" s="6">
        <v>6280</v>
      </c>
      <c r="AW875" s="5">
        <v>20685.77380337059</v>
      </c>
      <c r="AX875" s="6">
        <v>2800</v>
      </c>
      <c r="AY875" s="5">
        <v>9222.9564728403893</v>
      </c>
      <c r="AZ875" s="6">
        <v>2680</v>
      </c>
      <c r="BA875" s="5">
        <v>8144.7073877399871</v>
      </c>
      <c r="BB875" s="6">
        <v>2680</v>
      </c>
      <c r="BC875" s="5">
        <v>8144.7073877399871</v>
      </c>
      <c r="BD875" s="6">
        <v>1340</v>
      </c>
      <c r="BE875" s="5">
        <v>4072.353693869994</v>
      </c>
      <c r="BF875" s="6">
        <v>0</v>
      </c>
      <c r="BG875" s="5">
        <v>0</v>
      </c>
      <c r="BH875" s="9">
        <f t="shared" si="106"/>
        <v>18580</v>
      </c>
      <c r="BI875" s="10">
        <f t="shared" si="107"/>
        <v>59362.115648376712</v>
      </c>
      <c r="BJ875" s="6">
        <f t="shared" si="108"/>
        <v>1749.940573268148</v>
      </c>
      <c r="BK875" s="11">
        <f t="shared" si="109"/>
        <v>0.10397708819070763</v>
      </c>
      <c r="BL875" s="5">
        <f t="shared" si="110"/>
        <v>7776.4062158355518</v>
      </c>
      <c r="BM875" s="11">
        <f t="shared" si="111"/>
        <v>0.15074729612868443</v>
      </c>
    </row>
    <row r="876" spans="1:65" ht="15" customHeight="1" x14ac:dyDescent="0.4">
      <c r="A876" s="2" t="s">
        <v>589</v>
      </c>
      <c r="B876" s="2" t="s">
        <v>66</v>
      </c>
      <c r="C876" s="2" t="s">
        <v>640</v>
      </c>
      <c r="D876" s="3" t="s">
        <v>68</v>
      </c>
      <c r="E876" s="3" t="s">
        <v>94</v>
      </c>
      <c r="F876" s="2" t="s">
        <v>95</v>
      </c>
      <c r="G876" s="4">
        <v>20</v>
      </c>
      <c r="H876" s="5">
        <v>2.06</v>
      </c>
      <c r="I876" s="5">
        <v>2.1472977321486439</v>
      </c>
      <c r="J876" s="6">
        <v>0</v>
      </c>
      <c r="K876" s="5">
        <v>0</v>
      </c>
      <c r="L876" s="6">
        <v>0</v>
      </c>
      <c r="M876" s="5">
        <v>0</v>
      </c>
      <c r="N876" s="6">
        <v>0</v>
      </c>
      <c r="O876" s="5">
        <v>0</v>
      </c>
      <c r="P876" s="6">
        <v>0</v>
      </c>
      <c r="Q876" s="5">
        <v>0</v>
      </c>
      <c r="R876" s="6">
        <v>0</v>
      </c>
      <c r="S876" s="5">
        <v>0</v>
      </c>
      <c r="T876" s="6">
        <v>0</v>
      </c>
      <c r="U876" s="5">
        <v>0</v>
      </c>
      <c r="V876" s="6">
        <v>197.84713483864269</v>
      </c>
      <c r="W876" s="5">
        <v>407.56509776760379</v>
      </c>
      <c r="X876" s="6">
        <v>0</v>
      </c>
      <c r="Y876" s="5">
        <v>0</v>
      </c>
      <c r="Z876" s="6">
        <v>0</v>
      </c>
      <c r="AA876" s="5">
        <v>0</v>
      </c>
      <c r="AB876" s="6">
        <v>0</v>
      </c>
      <c r="AC876" s="5">
        <v>0</v>
      </c>
      <c r="AD876" s="6">
        <v>0</v>
      </c>
      <c r="AE876" s="5">
        <v>0</v>
      </c>
      <c r="AF876" s="6">
        <v>0</v>
      </c>
      <c r="AG876" s="5">
        <v>0</v>
      </c>
      <c r="AH876" s="7">
        <f t="shared" si="104"/>
        <v>197.84713483864269</v>
      </c>
      <c r="AI876" s="8">
        <f t="shared" si="105"/>
        <v>407.56509776760379</v>
      </c>
      <c r="AJ876" s="6">
        <v>0</v>
      </c>
      <c r="AK876" s="5">
        <v>0</v>
      </c>
      <c r="AL876" s="6">
        <v>0</v>
      </c>
      <c r="AM876" s="5">
        <v>0</v>
      </c>
      <c r="AN876" s="6">
        <v>0</v>
      </c>
      <c r="AO876" s="5">
        <v>0</v>
      </c>
      <c r="AP876" s="6">
        <v>0</v>
      </c>
      <c r="AQ876" s="5">
        <v>0</v>
      </c>
      <c r="AR876" s="6">
        <v>0</v>
      </c>
      <c r="AS876" s="5">
        <v>0</v>
      </c>
      <c r="AT876" s="6">
        <v>0</v>
      </c>
      <c r="AU876" s="5">
        <v>0</v>
      </c>
      <c r="AV876" s="6">
        <v>220</v>
      </c>
      <c r="AW876" s="5">
        <v>472.40550107270172</v>
      </c>
      <c r="AX876" s="6">
        <v>0</v>
      </c>
      <c r="AY876" s="5">
        <v>0</v>
      </c>
      <c r="AZ876" s="6">
        <v>0</v>
      </c>
      <c r="BA876" s="5">
        <v>0</v>
      </c>
      <c r="BB876" s="6">
        <v>0</v>
      </c>
      <c r="BC876" s="5">
        <v>0</v>
      </c>
      <c r="BD876" s="6">
        <v>0</v>
      </c>
      <c r="BE876" s="5">
        <v>0</v>
      </c>
      <c r="BF876" s="6">
        <v>0</v>
      </c>
      <c r="BG876" s="5">
        <v>0</v>
      </c>
      <c r="BH876" s="9">
        <f t="shared" si="106"/>
        <v>220</v>
      </c>
      <c r="BI876" s="10">
        <f t="shared" si="107"/>
        <v>472.40550107270172</v>
      </c>
      <c r="BJ876" s="6">
        <f t="shared" si="108"/>
        <v>22.152865161357312</v>
      </c>
      <c r="BK876" s="11">
        <f t="shared" si="109"/>
        <v>0.11196960309495725</v>
      </c>
      <c r="BL876" s="5">
        <f t="shared" si="110"/>
        <v>64.840403305097936</v>
      </c>
      <c r="BM876" s="11">
        <f t="shared" si="111"/>
        <v>0.15909213929321875</v>
      </c>
    </row>
    <row r="877" spans="1:65" ht="15" customHeight="1" x14ac:dyDescent="0.4">
      <c r="A877" s="2" t="s">
        <v>589</v>
      </c>
      <c r="B877" s="2" t="s">
        <v>66</v>
      </c>
      <c r="C877" s="2" t="s">
        <v>640</v>
      </c>
      <c r="D877" s="3" t="s">
        <v>68</v>
      </c>
      <c r="E877" s="3" t="s">
        <v>637</v>
      </c>
      <c r="F877" s="2" t="s">
        <v>638</v>
      </c>
      <c r="G877" s="4">
        <v>20</v>
      </c>
      <c r="H877" s="5">
        <v>10.66</v>
      </c>
      <c r="I877" s="5">
        <v>11.111744575099291</v>
      </c>
      <c r="J877" s="6">
        <v>79.138853935457064</v>
      </c>
      <c r="K877" s="5">
        <v>843.6201829519722</v>
      </c>
      <c r="L877" s="6">
        <v>0</v>
      </c>
      <c r="M877" s="5">
        <v>0</v>
      </c>
      <c r="N877" s="6">
        <v>0</v>
      </c>
      <c r="O877" s="5">
        <v>0</v>
      </c>
      <c r="P877" s="6">
        <v>0</v>
      </c>
      <c r="Q877" s="5">
        <v>0</v>
      </c>
      <c r="R877" s="6">
        <v>0</v>
      </c>
      <c r="S877" s="5">
        <v>0</v>
      </c>
      <c r="T877" s="6">
        <v>0</v>
      </c>
      <c r="U877" s="5">
        <v>0</v>
      </c>
      <c r="V877" s="6">
        <v>0</v>
      </c>
      <c r="W877" s="5">
        <v>0</v>
      </c>
      <c r="X877" s="6">
        <v>0</v>
      </c>
      <c r="Y877" s="5">
        <v>0</v>
      </c>
      <c r="Z877" s="6">
        <v>0</v>
      </c>
      <c r="AA877" s="5">
        <v>0</v>
      </c>
      <c r="AB877" s="6">
        <v>0</v>
      </c>
      <c r="AC877" s="5">
        <v>0</v>
      </c>
      <c r="AD877" s="6">
        <v>0</v>
      </c>
      <c r="AE877" s="5">
        <v>0</v>
      </c>
      <c r="AF877" s="6">
        <v>0</v>
      </c>
      <c r="AG877" s="5">
        <v>0</v>
      </c>
      <c r="AH877" s="7">
        <f t="shared" si="104"/>
        <v>79.138853935457064</v>
      </c>
      <c r="AI877" s="8">
        <f t="shared" si="105"/>
        <v>843.6201829519722</v>
      </c>
      <c r="AJ877" s="6">
        <v>80</v>
      </c>
      <c r="AK877" s="5">
        <v>888.93956600794354</v>
      </c>
      <c r="AL877" s="6">
        <v>0</v>
      </c>
      <c r="AM877" s="5">
        <v>0</v>
      </c>
      <c r="AN877" s="6">
        <v>0</v>
      </c>
      <c r="AO877" s="5">
        <v>0</v>
      </c>
      <c r="AP877" s="6">
        <v>0</v>
      </c>
      <c r="AQ877" s="5">
        <v>0</v>
      </c>
      <c r="AR877" s="6">
        <v>0</v>
      </c>
      <c r="AS877" s="5">
        <v>0</v>
      </c>
      <c r="AT877" s="6">
        <v>0</v>
      </c>
      <c r="AU877" s="5">
        <v>0</v>
      </c>
      <c r="AV877" s="6">
        <v>0</v>
      </c>
      <c r="AW877" s="5">
        <v>0</v>
      </c>
      <c r="AX877" s="6">
        <v>0</v>
      </c>
      <c r="AY877" s="5">
        <v>0</v>
      </c>
      <c r="AZ877" s="6">
        <v>0</v>
      </c>
      <c r="BA877" s="5">
        <v>0</v>
      </c>
      <c r="BB877" s="6">
        <v>0</v>
      </c>
      <c r="BC877" s="5">
        <v>0</v>
      </c>
      <c r="BD877" s="6">
        <v>0</v>
      </c>
      <c r="BE877" s="5">
        <v>0</v>
      </c>
      <c r="BF877" s="6">
        <v>0</v>
      </c>
      <c r="BG877" s="5">
        <v>0</v>
      </c>
      <c r="BH877" s="9">
        <f t="shared" si="106"/>
        <v>80</v>
      </c>
      <c r="BI877" s="10">
        <f t="shared" si="107"/>
        <v>888.93956600794354</v>
      </c>
      <c r="BJ877" s="6">
        <f t="shared" si="108"/>
        <v>0.86114606454293607</v>
      </c>
      <c r="BK877" s="11">
        <f t="shared" si="109"/>
        <v>1.0881457359052195E-2</v>
      </c>
      <c r="BL877" s="5">
        <f t="shared" si="110"/>
        <v>45.319383055971343</v>
      </c>
      <c r="BM877" s="11">
        <f t="shared" si="111"/>
        <v>5.3720126630198706E-2</v>
      </c>
    </row>
    <row r="878" spans="1:65" ht="15" customHeight="1" x14ac:dyDescent="0.4">
      <c r="A878" s="2" t="s">
        <v>589</v>
      </c>
      <c r="B878" s="2" t="s">
        <v>66</v>
      </c>
      <c r="C878" s="2" t="s">
        <v>640</v>
      </c>
      <c r="D878" s="3" t="s">
        <v>68</v>
      </c>
      <c r="E878" s="3" t="s">
        <v>131</v>
      </c>
      <c r="F878" s="2" t="s">
        <v>132</v>
      </c>
      <c r="G878" s="4">
        <v>20</v>
      </c>
      <c r="H878" s="5">
        <v>1.74</v>
      </c>
      <c r="I878" s="5">
        <v>1.81373691938769</v>
      </c>
      <c r="J878" s="6">
        <v>0</v>
      </c>
      <c r="K878" s="5">
        <v>0</v>
      </c>
      <c r="L878" s="6">
        <v>0</v>
      </c>
      <c r="M878" s="5">
        <v>0</v>
      </c>
      <c r="N878" s="6">
        <v>0</v>
      </c>
      <c r="O878" s="5">
        <v>0</v>
      </c>
      <c r="P878" s="6">
        <v>0</v>
      </c>
      <c r="Q878" s="5">
        <v>0</v>
      </c>
      <c r="R878" s="6">
        <v>0</v>
      </c>
      <c r="S878" s="5">
        <v>0</v>
      </c>
      <c r="T878" s="6">
        <v>0</v>
      </c>
      <c r="U878" s="5">
        <v>0</v>
      </c>
      <c r="V878" s="6">
        <v>791.38853935457064</v>
      </c>
      <c r="W878" s="5">
        <v>1377.016058476953</v>
      </c>
      <c r="X878" s="6">
        <v>0</v>
      </c>
      <c r="Y878" s="5">
        <v>0</v>
      </c>
      <c r="Z878" s="6">
        <v>0</v>
      </c>
      <c r="AA878" s="5">
        <v>0</v>
      </c>
      <c r="AB878" s="6">
        <v>0</v>
      </c>
      <c r="AC878" s="5">
        <v>0</v>
      </c>
      <c r="AD878" s="6">
        <v>0</v>
      </c>
      <c r="AE878" s="5">
        <v>0</v>
      </c>
      <c r="AF878" s="6">
        <v>0</v>
      </c>
      <c r="AG878" s="5">
        <v>0</v>
      </c>
      <c r="AH878" s="7">
        <f t="shared" si="104"/>
        <v>791.38853935457064</v>
      </c>
      <c r="AI878" s="8">
        <f t="shared" si="105"/>
        <v>1377.016058476953</v>
      </c>
      <c r="AJ878" s="6">
        <v>0</v>
      </c>
      <c r="AK878" s="5">
        <v>0</v>
      </c>
      <c r="AL878" s="6">
        <v>0</v>
      </c>
      <c r="AM878" s="5">
        <v>0</v>
      </c>
      <c r="AN878" s="6">
        <v>0</v>
      </c>
      <c r="AO878" s="5">
        <v>0</v>
      </c>
      <c r="AP878" s="6">
        <v>0</v>
      </c>
      <c r="AQ878" s="5">
        <v>0</v>
      </c>
      <c r="AR878" s="6">
        <v>0</v>
      </c>
      <c r="AS878" s="5">
        <v>0</v>
      </c>
      <c r="AT878" s="6">
        <v>0</v>
      </c>
      <c r="AU878" s="5">
        <v>0</v>
      </c>
      <c r="AV878" s="6">
        <v>860</v>
      </c>
      <c r="AW878" s="5">
        <v>1559.8137506734131</v>
      </c>
      <c r="AX878" s="6">
        <v>0</v>
      </c>
      <c r="AY878" s="5">
        <v>0</v>
      </c>
      <c r="AZ878" s="6">
        <v>0</v>
      </c>
      <c r="BA878" s="5">
        <v>0</v>
      </c>
      <c r="BB878" s="6">
        <v>0</v>
      </c>
      <c r="BC878" s="5">
        <v>0</v>
      </c>
      <c r="BD878" s="6">
        <v>0</v>
      </c>
      <c r="BE878" s="5">
        <v>0</v>
      </c>
      <c r="BF878" s="6">
        <v>0</v>
      </c>
      <c r="BG878" s="5">
        <v>0</v>
      </c>
      <c r="BH878" s="9">
        <f t="shared" si="106"/>
        <v>860</v>
      </c>
      <c r="BI878" s="10">
        <f t="shared" si="107"/>
        <v>1559.8137506734131</v>
      </c>
      <c r="BJ878" s="6">
        <f t="shared" si="108"/>
        <v>68.611460645429361</v>
      </c>
      <c r="BK878" s="11">
        <f t="shared" si="109"/>
        <v>8.6697566660981107E-2</v>
      </c>
      <c r="BL878" s="5">
        <f t="shared" si="110"/>
        <v>182.79769219646005</v>
      </c>
      <c r="BM878" s="11">
        <f t="shared" si="111"/>
        <v>0.13274913612746334</v>
      </c>
    </row>
    <row r="879" spans="1:65" ht="15" customHeight="1" x14ac:dyDescent="0.4">
      <c r="A879" s="2" t="s">
        <v>654</v>
      </c>
      <c r="B879" s="2" t="s">
        <v>655</v>
      </c>
      <c r="C879" s="2" t="s">
        <v>656</v>
      </c>
      <c r="D879" s="3" t="s">
        <v>68</v>
      </c>
      <c r="E879" s="3" t="s">
        <v>657</v>
      </c>
      <c r="F879" s="2" t="s">
        <v>454</v>
      </c>
      <c r="G879" s="4">
        <v>5</v>
      </c>
      <c r="H879" s="5">
        <v>4.4000000000000004</v>
      </c>
      <c r="I879" s="5">
        <v>4.5864611754631239</v>
      </c>
      <c r="J879" s="6">
        <v>3956.9426967728532</v>
      </c>
      <c r="K879" s="5">
        <v>17410.547865800549</v>
      </c>
      <c r="L879" s="6">
        <v>0</v>
      </c>
      <c r="M879" s="5">
        <v>0</v>
      </c>
      <c r="N879" s="6">
        <v>0</v>
      </c>
      <c r="O879" s="5">
        <v>0</v>
      </c>
      <c r="P879" s="6">
        <v>0</v>
      </c>
      <c r="Q879" s="5">
        <v>0</v>
      </c>
      <c r="R879" s="6">
        <v>0</v>
      </c>
      <c r="S879" s="5">
        <v>0</v>
      </c>
      <c r="T879" s="6">
        <v>0</v>
      </c>
      <c r="U879" s="5">
        <v>0</v>
      </c>
      <c r="V879" s="6">
        <v>0</v>
      </c>
      <c r="W879" s="5">
        <v>0</v>
      </c>
      <c r="X879" s="6">
        <v>0</v>
      </c>
      <c r="Y879" s="5">
        <v>0</v>
      </c>
      <c r="Z879" s="6">
        <v>0</v>
      </c>
      <c r="AA879" s="5">
        <v>0</v>
      </c>
      <c r="AB879" s="6">
        <v>0</v>
      </c>
      <c r="AC879" s="5">
        <v>0</v>
      </c>
      <c r="AD879" s="6">
        <v>0</v>
      </c>
      <c r="AE879" s="5">
        <v>0</v>
      </c>
      <c r="AF879" s="6">
        <v>0</v>
      </c>
      <c r="AG879" s="5">
        <v>0</v>
      </c>
      <c r="AH879" s="7">
        <f t="shared" si="104"/>
        <v>3956.9426967728532</v>
      </c>
      <c r="AI879" s="8">
        <f t="shared" si="105"/>
        <v>17410.547865800549</v>
      </c>
      <c r="AJ879" s="6">
        <v>4365</v>
      </c>
      <c r="AK879" s="5">
        <v>20019.903030896541</v>
      </c>
      <c r="AL879" s="6">
        <v>0</v>
      </c>
      <c r="AM879" s="5">
        <v>0</v>
      </c>
      <c r="AN879" s="6">
        <v>0</v>
      </c>
      <c r="AO879" s="5">
        <v>0</v>
      </c>
      <c r="AP879" s="6">
        <v>0</v>
      </c>
      <c r="AQ879" s="5">
        <v>0</v>
      </c>
      <c r="AR879" s="6">
        <v>0</v>
      </c>
      <c r="AS879" s="5">
        <v>0</v>
      </c>
      <c r="AT879" s="6">
        <v>0</v>
      </c>
      <c r="AU879" s="5">
        <v>0</v>
      </c>
      <c r="AV879" s="6">
        <v>0</v>
      </c>
      <c r="AW879" s="5">
        <v>0</v>
      </c>
      <c r="AX879" s="6">
        <v>0</v>
      </c>
      <c r="AY879" s="5">
        <v>0</v>
      </c>
      <c r="AZ879" s="6">
        <v>0</v>
      </c>
      <c r="BA879" s="5">
        <v>0</v>
      </c>
      <c r="BB879" s="6">
        <v>0</v>
      </c>
      <c r="BC879" s="5">
        <v>0</v>
      </c>
      <c r="BD879" s="6">
        <v>0</v>
      </c>
      <c r="BE879" s="5">
        <v>0</v>
      </c>
      <c r="BF879" s="6">
        <v>0</v>
      </c>
      <c r="BG879" s="5">
        <v>0</v>
      </c>
      <c r="BH879" s="9">
        <f t="shared" si="106"/>
        <v>4365</v>
      </c>
      <c r="BI879" s="10">
        <f t="shared" si="107"/>
        <v>20019.903030896541</v>
      </c>
      <c r="BJ879" s="6">
        <f t="shared" si="108"/>
        <v>408.0573032271468</v>
      </c>
      <c r="BK879" s="11">
        <f t="shared" si="109"/>
        <v>0.10312439034306571</v>
      </c>
      <c r="BL879" s="5">
        <f t="shared" si="110"/>
        <v>2609.3551650959926</v>
      </c>
      <c r="BM879" s="11">
        <f t="shared" si="111"/>
        <v>0.149872088185205</v>
      </c>
    </row>
    <row r="880" spans="1:65" ht="15" customHeight="1" x14ac:dyDescent="0.4">
      <c r="A880" s="2" t="s">
        <v>654</v>
      </c>
      <c r="B880" s="2" t="s">
        <v>655</v>
      </c>
      <c r="C880" s="2" t="s">
        <v>656</v>
      </c>
      <c r="D880" s="3" t="s">
        <v>68</v>
      </c>
      <c r="E880" s="3" t="s">
        <v>657</v>
      </c>
      <c r="F880" s="2" t="s">
        <v>283</v>
      </c>
      <c r="G880" s="4">
        <v>5</v>
      </c>
      <c r="H880" s="5">
        <v>4.7699999999999996</v>
      </c>
      <c r="I880" s="5">
        <v>4.9721408652179768</v>
      </c>
      <c r="J880" s="6">
        <v>0</v>
      </c>
      <c r="K880" s="5">
        <v>0</v>
      </c>
      <c r="L880" s="6">
        <v>0</v>
      </c>
      <c r="M880" s="5">
        <v>0</v>
      </c>
      <c r="N880" s="6">
        <v>0</v>
      </c>
      <c r="O880" s="5">
        <v>0</v>
      </c>
      <c r="P880" s="6">
        <v>0</v>
      </c>
      <c r="Q880" s="5">
        <v>0</v>
      </c>
      <c r="R880" s="6">
        <v>0</v>
      </c>
      <c r="S880" s="5">
        <v>0</v>
      </c>
      <c r="T880" s="6">
        <v>6924.6497193524929</v>
      </c>
      <c r="U880" s="5">
        <v>33030.579161311391</v>
      </c>
      <c r="V880" s="6">
        <v>0</v>
      </c>
      <c r="W880" s="5">
        <v>0</v>
      </c>
      <c r="X880" s="6">
        <v>0</v>
      </c>
      <c r="Y880" s="5">
        <v>0</v>
      </c>
      <c r="Z880" s="6">
        <v>0</v>
      </c>
      <c r="AA880" s="5">
        <v>0</v>
      </c>
      <c r="AB880" s="6">
        <v>0</v>
      </c>
      <c r="AC880" s="5">
        <v>0</v>
      </c>
      <c r="AD880" s="6">
        <v>0</v>
      </c>
      <c r="AE880" s="5">
        <v>0</v>
      </c>
      <c r="AF880" s="6">
        <v>0</v>
      </c>
      <c r="AG880" s="5">
        <v>0</v>
      </c>
      <c r="AH880" s="7">
        <f t="shared" si="104"/>
        <v>6924.6497193524929</v>
      </c>
      <c r="AI880" s="8">
        <f t="shared" si="105"/>
        <v>33030.579161311391</v>
      </c>
      <c r="AJ880" s="6">
        <v>0</v>
      </c>
      <c r="AK880" s="5">
        <v>0</v>
      </c>
      <c r="AL880" s="6">
        <v>0</v>
      </c>
      <c r="AM880" s="5">
        <v>0</v>
      </c>
      <c r="AN880" s="6">
        <v>0</v>
      </c>
      <c r="AO880" s="5">
        <v>0</v>
      </c>
      <c r="AP880" s="6">
        <v>0</v>
      </c>
      <c r="AQ880" s="5">
        <v>0</v>
      </c>
      <c r="AR880" s="6">
        <v>0</v>
      </c>
      <c r="AS880" s="5">
        <v>0</v>
      </c>
      <c r="AT880" s="6">
        <v>7635</v>
      </c>
      <c r="AU880" s="5">
        <v>37962.295505939263</v>
      </c>
      <c r="AV880" s="6">
        <v>0</v>
      </c>
      <c r="AW880" s="5">
        <v>0</v>
      </c>
      <c r="AX880" s="6">
        <v>0</v>
      </c>
      <c r="AY880" s="5">
        <v>0</v>
      </c>
      <c r="AZ880" s="6">
        <v>0</v>
      </c>
      <c r="BA880" s="5">
        <v>0</v>
      </c>
      <c r="BB880" s="6">
        <v>0</v>
      </c>
      <c r="BC880" s="5">
        <v>0</v>
      </c>
      <c r="BD880" s="6">
        <v>0</v>
      </c>
      <c r="BE880" s="5">
        <v>0</v>
      </c>
      <c r="BF880" s="6">
        <v>0</v>
      </c>
      <c r="BG880" s="5">
        <v>0</v>
      </c>
      <c r="BH880" s="9">
        <f t="shared" si="106"/>
        <v>7635</v>
      </c>
      <c r="BI880" s="10">
        <f t="shared" si="107"/>
        <v>37962.295505939263</v>
      </c>
      <c r="BJ880" s="6">
        <f t="shared" si="108"/>
        <v>710.35028064750713</v>
      </c>
      <c r="BK880" s="11">
        <f t="shared" si="109"/>
        <v>0.10258284670519482</v>
      </c>
      <c r="BL880" s="5">
        <f t="shared" si="110"/>
        <v>4931.7163446278719</v>
      </c>
      <c r="BM880" s="11">
        <f t="shared" si="111"/>
        <v>0.14930759526022405</v>
      </c>
    </row>
    <row r="881" spans="1:65" ht="15" customHeight="1" x14ac:dyDescent="0.4">
      <c r="A881" s="2" t="s">
        <v>654</v>
      </c>
      <c r="B881" s="2" t="s">
        <v>655</v>
      </c>
      <c r="C881" s="2" t="s">
        <v>656</v>
      </c>
      <c r="D881" s="3" t="s">
        <v>68</v>
      </c>
      <c r="E881" s="3" t="s">
        <v>657</v>
      </c>
      <c r="F881" s="2" t="s">
        <v>103</v>
      </c>
      <c r="G881" s="4">
        <v>5</v>
      </c>
      <c r="H881" s="5">
        <v>4.7699999999999996</v>
      </c>
      <c r="I881" s="5">
        <v>4.9721408652179768</v>
      </c>
      <c r="J881" s="6">
        <v>0</v>
      </c>
      <c r="K881" s="5">
        <v>0</v>
      </c>
      <c r="L881" s="6">
        <v>0</v>
      </c>
      <c r="M881" s="5">
        <v>0</v>
      </c>
      <c r="N881" s="6">
        <v>0</v>
      </c>
      <c r="O881" s="5">
        <v>0</v>
      </c>
      <c r="P881" s="6">
        <v>0</v>
      </c>
      <c r="Q881" s="5">
        <v>0</v>
      </c>
      <c r="R881" s="6">
        <v>0</v>
      </c>
      <c r="S881" s="5">
        <v>0</v>
      </c>
      <c r="T881" s="6">
        <v>2967.7070225796401</v>
      </c>
      <c r="U881" s="5">
        <v>14155.962497704881</v>
      </c>
      <c r="V881" s="6">
        <v>0</v>
      </c>
      <c r="W881" s="5">
        <v>0</v>
      </c>
      <c r="X881" s="6">
        <v>0</v>
      </c>
      <c r="Y881" s="5">
        <v>0</v>
      </c>
      <c r="Z881" s="6">
        <v>0</v>
      </c>
      <c r="AA881" s="5">
        <v>0</v>
      </c>
      <c r="AB881" s="6">
        <v>0</v>
      </c>
      <c r="AC881" s="5">
        <v>0</v>
      </c>
      <c r="AD881" s="6">
        <v>0</v>
      </c>
      <c r="AE881" s="5">
        <v>0</v>
      </c>
      <c r="AF881" s="6">
        <v>0</v>
      </c>
      <c r="AG881" s="5">
        <v>0</v>
      </c>
      <c r="AH881" s="7">
        <f t="shared" si="104"/>
        <v>2967.7070225796401</v>
      </c>
      <c r="AI881" s="8">
        <f t="shared" si="105"/>
        <v>14155.962497704881</v>
      </c>
      <c r="AJ881" s="6">
        <v>0</v>
      </c>
      <c r="AK881" s="5">
        <v>0</v>
      </c>
      <c r="AL881" s="6">
        <v>0</v>
      </c>
      <c r="AM881" s="5">
        <v>0</v>
      </c>
      <c r="AN881" s="6">
        <v>0</v>
      </c>
      <c r="AO881" s="5">
        <v>0</v>
      </c>
      <c r="AP881" s="6">
        <v>0</v>
      </c>
      <c r="AQ881" s="5">
        <v>0</v>
      </c>
      <c r="AR881" s="6">
        <v>0</v>
      </c>
      <c r="AS881" s="5">
        <v>0</v>
      </c>
      <c r="AT881" s="6">
        <v>3270</v>
      </c>
      <c r="AU881" s="5">
        <v>16258.900629262789</v>
      </c>
      <c r="AV881" s="6">
        <v>0</v>
      </c>
      <c r="AW881" s="5">
        <v>0</v>
      </c>
      <c r="AX881" s="6">
        <v>0</v>
      </c>
      <c r="AY881" s="5">
        <v>0</v>
      </c>
      <c r="AZ881" s="6">
        <v>0</v>
      </c>
      <c r="BA881" s="5">
        <v>0</v>
      </c>
      <c r="BB881" s="6">
        <v>0</v>
      </c>
      <c r="BC881" s="5">
        <v>0</v>
      </c>
      <c r="BD881" s="6">
        <v>0</v>
      </c>
      <c r="BE881" s="5">
        <v>0</v>
      </c>
      <c r="BF881" s="6">
        <v>0</v>
      </c>
      <c r="BG881" s="5">
        <v>0</v>
      </c>
      <c r="BH881" s="9">
        <f t="shared" si="106"/>
        <v>3270</v>
      </c>
      <c r="BI881" s="10">
        <f t="shared" si="107"/>
        <v>16258.900629262789</v>
      </c>
      <c r="BJ881" s="6">
        <f t="shared" si="108"/>
        <v>302.29297742035988</v>
      </c>
      <c r="BK881" s="11">
        <f t="shared" si="109"/>
        <v>0.1018607885213668</v>
      </c>
      <c r="BL881" s="5">
        <f t="shared" si="110"/>
        <v>2102.9381315579085</v>
      </c>
      <c r="BM881" s="11">
        <f t="shared" si="111"/>
        <v>0.14855493802691691</v>
      </c>
    </row>
    <row r="882" spans="1:65" ht="15" customHeight="1" x14ac:dyDescent="0.4">
      <c r="A882" s="2" t="s">
        <v>654</v>
      </c>
      <c r="B882" s="2" t="s">
        <v>655</v>
      </c>
      <c r="C882" s="2" t="s">
        <v>656</v>
      </c>
      <c r="D882" s="3" t="s">
        <v>68</v>
      </c>
      <c r="E882" s="3" t="s">
        <v>658</v>
      </c>
      <c r="F882" s="2" t="s">
        <v>659</v>
      </c>
      <c r="G882" s="4">
        <v>1</v>
      </c>
      <c r="H882" s="5">
        <v>4.53</v>
      </c>
      <c r="I882" s="5">
        <v>4.7219702556472622</v>
      </c>
      <c r="J882" s="6">
        <v>0</v>
      </c>
      <c r="K882" s="5">
        <v>0</v>
      </c>
      <c r="L882" s="6">
        <v>0</v>
      </c>
      <c r="M882" s="5">
        <v>0</v>
      </c>
      <c r="N882" s="6">
        <v>0</v>
      </c>
      <c r="O882" s="5">
        <v>0</v>
      </c>
      <c r="P882" s="6">
        <v>0</v>
      </c>
      <c r="Q882" s="5">
        <v>0</v>
      </c>
      <c r="R882" s="6">
        <v>0</v>
      </c>
      <c r="S882" s="5">
        <v>0</v>
      </c>
      <c r="T882" s="6">
        <v>985.2787314964404</v>
      </c>
      <c r="U882" s="5">
        <v>4463.312653678875</v>
      </c>
      <c r="V882" s="6">
        <v>0</v>
      </c>
      <c r="W882" s="5">
        <v>0</v>
      </c>
      <c r="X882" s="6">
        <v>0</v>
      </c>
      <c r="Y882" s="5">
        <v>0</v>
      </c>
      <c r="Z882" s="6">
        <v>0</v>
      </c>
      <c r="AA882" s="5">
        <v>0</v>
      </c>
      <c r="AB882" s="6">
        <v>0</v>
      </c>
      <c r="AC882" s="5">
        <v>0</v>
      </c>
      <c r="AD882" s="6">
        <v>0</v>
      </c>
      <c r="AE882" s="5">
        <v>0</v>
      </c>
      <c r="AF882" s="6">
        <v>0</v>
      </c>
      <c r="AG882" s="5">
        <v>0</v>
      </c>
      <c r="AH882" s="7">
        <f t="shared" si="104"/>
        <v>985.2787314964404</v>
      </c>
      <c r="AI882" s="8">
        <f t="shared" si="105"/>
        <v>4463.312653678875</v>
      </c>
      <c r="AJ882" s="6">
        <v>0</v>
      </c>
      <c r="AK882" s="5">
        <v>0</v>
      </c>
      <c r="AL882" s="6">
        <v>0</v>
      </c>
      <c r="AM882" s="5">
        <v>0</v>
      </c>
      <c r="AN882" s="6">
        <v>0</v>
      </c>
      <c r="AO882" s="5">
        <v>0</v>
      </c>
      <c r="AP882" s="6">
        <v>0</v>
      </c>
      <c r="AQ882" s="5">
        <v>0</v>
      </c>
      <c r="AR882" s="6">
        <v>0</v>
      </c>
      <c r="AS882" s="5">
        <v>0</v>
      </c>
      <c r="AT882" s="6">
        <v>1112</v>
      </c>
      <c r="AU882" s="5">
        <v>5250.8309242797559</v>
      </c>
      <c r="AV882" s="6">
        <v>0</v>
      </c>
      <c r="AW882" s="5">
        <v>0</v>
      </c>
      <c r="AX882" s="6">
        <v>0</v>
      </c>
      <c r="AY882" s="5">
        <v>0</v>
      </c>
      <c r="AZ882" s="6">
        <v>0</v>
      </c>
      <c r="BA882" s="5">
        <v>0</v>
      </c>
      <c r="BB882" s="6">
        <v>0</v>
      </c>
      <c r="BC882" s="5">
        <v>0</v>
      </c>
      <c r="BD882" s="6">
        <v>0</v>
      </c>
      <c r="BE882" s="5">
        <v>0</v>
      </c>
      <c r="BF882" s="6">
        <v>0</v>
      </c>
      <c r="BG882" s="5">
        <v>0</v>
      </c>
      <c r="BH882" s="9">
        <f t="shared" si="106"/>
        <v>1112</v>
      </c>
      <c r="BI882" s="10">
        <f t="shared" si="107"/>
        <v>5250.8309242797559</v>
      </c>
      <c r="BJ882" s="6">
        <f t="shared" si="108"/>
        <v>126.7212685035596</v>
      </c>
      <c r="BK882" s="11">
        <f t="shared" si="109"/>
        <v>0.1286146391398254</v>
      </c>
      <c r="BL882" s="5">
        <f t="shared" si="110"/>
        <v>787.5182706008809</v>
      </c>
      <c r="BM882" s="11">
        <f t="shared" si="111"/>
        <v>0.17644255101684861</v>
      </c>
    </row>
    <row r="883" spans="1:65" ht="15" customHeight="1" x14ac:dyDescent="0.4">
      <c r="A883" s="2" t="s">
        <v>654</v>
      </c>
      <c r="B883" s="2" t="s">
        <v>655</v>
      </c>
      <c r="C883" s="2" t="s">
        <v>656</v>
      </c>
      <c r="D883" s="3" t="s">
        <v>68</v>
      </c>
      <c r="E883" s="3" t="s">
        <v>660</v>
      </c>
      <c r="F883" s="2" t="s">
        <v>400</v>
      </c>
      <c r="G883" s="4">
        <v>1</v>
      </c>
      <c r="H883" s="5">
        <v>4.1500000000000004</v>
      </c>
      <c r="I883" s="5">
        <v>4.3258667904936283</v>
      </c>
      <c r="J883" s="6">
        <v>0</v>
      </c>
      <c r="K883" s="5">
        <v>0</v>
      </c>
      <c r="L883" s="6">
        <v>0</v>
      </c>
      <c r="M883" s="5">
        <v>0</v>
      </c>
      <c r="N883" s="6">
        <v>0</v>
      </c>
      <c r="O883" s="5">
        <v>0</v>
      </c>
      <c r="P883" s="6">
        <v>0</v>
      </c>
      <c r="Q883" s="5">
        <v>0</v>
      </c>
      <c r="R883" s="6">
        <v>0</v>
      </c>
      <c r="S883" s="5">
        <v>0</v>
      </c>
      <c r="T883" s="6">
        <v>783.47465396102484</v>
      </c>
      <c r="U883" s="5">
        <v>3251.4198139382529</v>
      </c>
      <c r="V883" s="6">
        <v>0</v>
      </c>
      <c r="W883" s="5">
        <v>0</v>
      </c>
      <c r="X883" s="6">
        <v>0</v>
      </c>
      <c r="Y883" s="5">
        <v>0</v>
      </c>
      <c r="Z883" s="6">
        <v>0</v>
      </c>
      <c r="AA883" s="5">
        <v>0</v>
      </c>
      <c r="AB883" s="6">
        <v>0</v>
      </c>
      <c r="AC883" s="5">
        <v>0</v>
      </c>
      <c r="AD883" s="6">
        <v>0</v>
      </c>
      <c r="AE883" s="5">
        <v>0</v>
      </c>
      <c r="AF883" s="6">
        <v>0</v>
      </c>
      <c r="AG883" s="5">
        <v>0</v>
      </c>
      <c r="AH883" s="7">
        <f t="shared" si="104"/>
        <v>783.47465396102484</v>
      </c>
      <c r="AI883" s="8">
        <f t="shared" si="105"/>
        <v>3251.4198139382529</v>
      </c>
      <c r="AJ883" s="6">
        <v>0</v>
      </c>
      <c r="AK883" s="5">
        <v>0</v>
      </c>
      <c r="AL883" s="6">
        <v>0</v>
      </c>
      <c r="AM883" s="5">
        <v>0</v>
      </c>
      <c r="AN883" s="6">
        <v>0</v>
      </c>
      <c r="AO883" s="5">
        <v>0</v>
      </c>
      <c r="AP883" s="6">
        <v>0</v>
      </c>
      <c r="AQ883" s="5">
        <v>0</v>
      </c>
      <c r="AR883" s="6">
        <v>0</v>
      </c>
      <c r="AS883" s="5">
        <v>0</v>
      </c>
      <c r="AT883" s="6">
        <v>856</v>
      </c>
      <c r="AU883" s="5">
        <v>3702.941972662546</v>
      </c>
      <c r="AV883" s="6">
        <v>0</v>
      </c>
      <c r="AW883" s="5">
        <v>0</v>
      </c>
      <c r="AX883" s="6">
        <v>0</v>
      </c>
      <c r="AY883" s="5">
        <v>0</v>
      </c>
      <c r="AZ883" s="6">
        <v>0</v>
      </c>
      <c r="BA883" s="5">
        <v>0</v>
      </c>
      <c r="BB883" s="6">
        <v>0</v>
      </c>
      <c r="BC883" s="5">
        <v>0</v>
      </c>
      <c r="BD883" s="6">
        <v>0</v>
      </c>
      <c r="BE883" s="5">
        <v>0</v>
      </c>
      <c r="BF883" s="6">
        <v>0</v>
      </c>
      <c r="BG883" s="5">
        <v>0</v>
      </c>
      <c r="BH883" s="9">
        <f t="shared" si="106"/>
        <v>856</v>
      </c>
      <c r="BI883" s="10">
        <f t="shared" si="107"/>
        <v>3702.941972662546</v>
      </c>
      <c r="BJ883" s="6">
        <f t="shared" si="108"/>
        <v>72.525346038975158</v>
      </c>
      <c r="BK883" s="11">
        <f t="shared" si="109"/>
        <v>9.2568847852713104E-2</v>
      </c>
      <c r="BL883" s="5">
        <f t="shared" si="110"/>
        <v>451.52215872429315</v>
      </c>
      <c r="BM883" s="11">
        <f t="shared" si="111"/>
        <v>0.13886922777203323</v>
      </c>
    </row>
    <row r="884" spans="1:65" ht="15" customHeight="1" x14ac:dyDescent="0.4">
      <c r="A884" s="2" t="s">
        <v>654</v>
      </c>
      <c r="B884" s="2" t="s">
        <v>655</v>
      </c>
      <c r="C884" s="2" t="s">
        <v>656</v>
      </c>
      <c r="D884" s="3" t="s">
        <v>68</v>
      </c>
      <c r="E884" s="3" t="s">
        <v>661</v>
      </c>
      <c r="F884" s="2" t="s">
        <v>400</v>
      </c>
      <c r="G884" s="4">
        <v>5</v>
      </c>
      <c r="H884" s="5">
        <v>3.44</v>
      </c>
      <c r="I884" s="5">
        <v>3.5857787371802612</v>
      </c>
      <c r="J884" s="6">
        <v>0</v>
      </c>
      <c r="K884" s="5">
        <v>0</v>
      </c>
      <c r="L884" s="6">
        <v>0</v>
      </c>
      <c r="M884" s="5">
        <v>0</v>
      </c>
      <c r="N884" s="6">
        <v>0</v>
      </c>
      <c r="O884" s="5">
        <v>0</v>
      </c>
      <c r="P884" s="6">
        <v>0</v>
      </c>
      <c r="Q884" s="5">
        <v>0</v>
      </c>
      <c r="R884" s="6">
        <v>0</v>
      </c>
      <c r="S884" s="5">
        <v>0</v>
      </c>
      <c r="T884" s="6">
        <v>1978.4713483864259</v>
      </c>
      <c r="U884" s="5">
        <v>6805.9414384493066</v>
      </c>
      <c r="V884" s="6">
        <v>0</v>
      </c>
      <c r="W884" s="5">
        <v>0</v>
      </c>
      <c r="X884" s="6">
        <v>0</v>
      </c>
      <c r="Y884" s="5">
        <v>0</v>
      </c>
      <c r="Z884" s="6">
        <v>0</v>
      </c>
      <c r="AA884" s="5">
        <v>0</v>
      </c>
      <c r="AB884" s="6">
        <v>0</v>
      </c>
      <c r="AC884" s="5">
        <v>0</v>
      </c>
      <c r="AD884" s="6">
        <v>0</v>
      </c>
      <c r="AE884" s="5">
        <v>0</v>
      </c>
      <c r="AF884" s="6">
        <v>0</v>
      </c>
      <c r="AG884" s="5">
        <v>0</v>
      </c>
      <c r="AH884" s="7">
        <f t="shared" si="104"/>
        <v>1978.4713483864259</v>
      </c>
      <c r="AI884" s="8">
        <f t="shared" si="105"/>
        <v>6805.9414384493066</v>
      </c>
      <c r="AJ884" s="6">
        <v>0</v>
      </c>
      <c r="AK884" s="5">
        <v>0</v>
      </c>
      <c r="AL884" s="6">
        <v>0</v>
      </c>
      <c r="AM884" s="5">
        <v>0</v>
      </c>
      <c r="AN884" s="6">
        <v>0</v>
      </c>
      <c r="AO884" s="5">
        <v>0</v>
      </c>
      <c r="AP884" s="6">
        <v>0</v>
      </c>
      <c r="AQ884" s="5">
        <v>0</v>
      </c>
      <c r="AR884" s="6">
        <v>0</v>
      </c>
      <c r="AS884" s="5">
        <v>0</v>
      </c>
      <c r="AT884" s="6">
        <v>2180</v>
      </c>
      <c r="AU884" s="5">
        <v>7816.9976470529682</v>
      </c>
      <c r="AV884" s="6">
        <v>0</v>
      </c>
      <c r="AW884" s="5">
        <v>0</v>
      </c>
      <c r="AX884" s="6">
        <v>0</v>
      </c>
      <c r="AY884" s="5">
        <v>0</v>
      </c>
      <c r="AZ884" s="6">
        <v>0</v>
      </c>
      <c r="BA884" s="5">
        <v>0</v>
      </c>
      <c r="BB884" s="6">
        <v>0</v>
      </c>
      <c r="BC884" s="5">
        <v>0</v>
      </c>
      <c r="BD884" s="6">
        <v>0</v>
      </c>
      <c r="BE884" s="5">
        <v>0</v>
      </c>
      <c r="BF884" s="6">
        <v>0</v>
      </c>
      <c r="BG884" s="5">
        <v>0</v>
      </c>
      <c r="BH884" s="9">
        <f t="shared" si="106"/>
        <v>2180</v>
      </c>
      <c r="BI884" s="10">
        <f t="shared" si="107"/>
        <v>7816.9976470529682</v>
      </c>
      <c r="BJ884" s="6">
        <f t="shared" si="108"/>
        <v>201.52865161357408</v>
      </c>
      <c r="BK884" s="11">
        <f t="shared" si="109"/>
        <v>0.10186078852136728</v>
      </c>
      <c r="BL884" s="5">
        <f t="shared" si="110"/>
        <v>1011.0562086036616</v>
      </c>
      <c r="BM884" s="11">
        <f t="shared" si="111"/>
        <v>0.14855493802691677</v>
      </c>
    </row>
    <row r="885" spans="1:65" ht="15" customHeight="1" x14ac:dyDescent="0.4">
      <c r="A885" s="2" t="s">
        <v>654</v>
      </c>
      <c r="B885" s="2" t="s">
        <v>655</v>
      </c>
      <c r="C885" s="2" t="s">
        <v>656</v>
      </c>
      <c r="D885" s="3" t="s">
        <v>68</v>
      </c>
      <c r="E885" s="3" t="s">
        <v>662</v>
      </c>
      <c r="F885" s="2" t="s">
        <v>400</v>
      </c>
      <c r="G885" s="4">
        <v>20</v>
      </c>
      <c r="H885" s="5">
        <v>3.2005669679539852</v>
      </c>
      <c r="I885" s="5">
        <v>3.336859059208833</v>
      </c>
      <c r="J885" s="6">
        <v>9496.6624722548477</v>
      </c>
      <c r="K885" s="5">
        <v>33048.385403446868</v>
      </c>
      <c r="L885" s="6">
        <v>0</v>
      </c>
      <c r="M885" s="5">
        <v>0</v>
      </c>
      <c r="N885" s="6">
        <v>0</v>
      </c>
      <c r="O885" s="5">
        <v>0</v>
      </c>
      <c r="P885" s="6">
        <v>0</v>
      </c>
      <c r="Q885" s="5">
        <v>0</v>
      </c>
      <c r="R885" s="6">
        <v>2967.7070225796401</v>
      </c>
      <c r="S885" s="5">
        <v>9407.6312615774586</v>
      </c>
      <c r="T885" s="6">
        <v>30666.305899989609</v>
      </c>
      <c r="U885" s="5">
        <v>97212.189702967065</v>
      </c>
      <c r="V885" s="6">
        <v>53181.309844627147</v>
      </c>
      <c r="W885" s="5">
        <v>168584.75220746809</v>
      </c>
      <c r="X885" s="6">
        <v>0</v>
      </c>
      <c r="Y885" s="5">
        <v>0</v>
      </c>
      <c r="Z885" s="6">
        <v>0</v>
      </c>
      <c r="AA885" s="5">
        <v>0</v>
      </c>
      <c r="AB885" s="6">
        <v>0</v>
      </c>
      <c r="AC885" s="5">
        <v>0</v>
      </c>
      <c r="AD885" s="6">
        <v>0</v>
      </c>
      <c r="AE885" s="5">
        <v>0</v>
      </c>
      <c r="AF885" s="6">
        <v>0</v>
      </c>
      <c r="AG885" s="5">
        <v>0</v>
      </c>
      <c r="AH885" s="7">
        <f t="shared" si="104"/>
        <v>96311.985239451242</v>
      </c>
      <c r="AI885" s="8">
        <f t="shared" si="105"/>
        <v>308252.95857545949</v>
      </c>
      <c r="AJ885" s="6">
        <v>10480</v>
      </c>
      <c r="AK885" s="5">
        <v>38015.925830365981</v>
      </c>
      <c r="AL885" s="6">
        <v>0</v>
      </c>
      <c r="AM885" s="5">
        <v>0</v>
      </c>
      <c r="AN885" s="6">
        <v>0</v>
      </c>
      <c r="AO885" s="5">
        <v>0</v>
      </c>
      <c r="AP885" s="6">
        <v>0</v>
      </c>
      <c r="AQ885" s="5">
        <v>0</v>
      </c>
      <c r="AR885" s="6">
        <v>3280</v>
      </c>
      <c r="AS885" s="5">
        <v>10838.224708635311</v>
      </c>
      <c r="AT885" s="6">
        <v>33780</v>
      </c>
      <c r="AU885" s="5">
        <v>111686.5838877663</v>
      </c>
      <c r="AV885" s="6">
        <v>58620</v>
      </c>
      <c r="AW885" s="5">
        <v>193700.22329884209</v>
      </c>
      <c r="AX885" s="6">
        <v>0</v>
      </c>
      <c r="AY885" s="5">
        <v>0</v>
      </c>
      <c r="AZ885" s="6">
        <v>0</v>
      </c>
      <c r="BA885" s="5">
        <v>0</v>
      </c>
      <c r="BB885" s="6">
        <v>0</v>
      </c>
      <c r="BC885" s="5">
        <v>0</v>
      </c>
      <c r="BD885" s="6">
        <v>0</v>
      </c>
      <c r="BE885" s="5">
        <v>0</v>
      </c>
      <c r="BF885" s="6">
        <v>0</v>
      </c>
      <c r="BG885" s="5">
        <v>0</v>
      </c>
      <c r="BH885" s="9">
        <f t="shared" si="106"/>
        <v>106160</v>
      </c>
      <c r="BI885" s="10">
        <f t="shared" si="107"/>
        <v>354240.95772560965</v>
      </c>
      <c r="BJ885" s="6">
        <f t="shared" si="108"/>
        <v>9848.0147605487582</v>
      </c>
      <c r="BK885" s="11">
        <f t="shared" si="109"/>
        <v>0.10225118645477595</v>
      </c>
      <c r="BL885" s="5">
        <f t="shared" si="110"/>
        <v>45987.999150150164</v>
      </c>
      <c r="BM885" s="11">
        <f t="shared" si="111"/>
        <v>0.14918915738125002</v>
      </c>
    </row>
    <row r="886" spans="1:65" ht="15" customHeight="1" x14ac:dyDescent="0.4">
      <c r="A886" s="2" t="s">
        <v>654</v>
      </c>
      <c r="B886" s="2" t="s">
        <v>655</v>
      </c>
      <c r="C886" s="2" t="s">
        <v>656</v>
      </c>
      <c r="D886" s="3" t="s">
        <v>68</v>
      </c>
      <c r="E886" s="3" t="s">
        <v>662</v>
      </c>
      <c r="F886" s="2" t="s">
        <v>83</v>
      </c>
      <c r="G886" s="4">
        <v>20</v>
      </c>
      <c r="H886" s="5">
        <v>3.17</v>
      </c>
      <c r="I886" s="5">
        <v>3.3043368014132048</v>
      </c>
      <c r="J886" s="6">
        <v>0</v>
      </c>
      <c r="K886" s="5">
        <v>0</v>
      </c>
      <c r="L886" s="6">
        <v>0</v>
      </c>
      <c r="M886" s="5">
        <v>0</v>
      </c>
      <c r="N886" s="6">
        <v>0</v>
      </c>
      <c r="O886" s="5">
        <v>0</v>
      </c>
      <c r="P886" s="6">
        <v>17093.992450058729</v>
      </c>
      <c r="Q886" s="5">
        <v>54187.956066686158</v>
      </c>
      <c r="R886" s="6">
        <v>0</v>
      </c>
      <c r="S886" s="5">
        <v>0</v>
      </c>
      <c r="T886" s="6">
        <v>0</v>
      </c>
      <c r="U886" s="5">
        <v>0</v>
      </c>
      <c r="V886" s="6">
        <v>0</v>
      </c>
      <c r="W886" s="5">
        <v>0</v>
      </c>
      <c r="X886" s="6">
        <v>0</v>
      </c>
      <c r="Y886" s="5">
        <v>0</v>
      </c>
      <c r="Z886" s="6">
        <v>0</v>
      </c>
      <c r="AA886" s="5">
        <v>0</v>
      </c>
      <c r="AB886" s="6">
        <v>0</v>
      </c>
      <c r="AC886" s="5">
        <v>0</v>
      </c>
      <c r="AD886" s="6">
        <v>0</v>
      </c>
      <c r="AE886" s="5">
        <v>0</v>
      </c>
      <c r="AF886" s="6">
        <v>0</v>
      </c>
      <c r="AG886" s="5">
        <v>0</v>
      </c>
      <c r="AH886" s="7">
        <f t="shared" si="104"/>
        <v>17093.992450058729</v>
      </c>
      <c r="AI886" s="8">
        <f t="shared" si="105"/>
        <v>54187.956066686158</v>
      </c>
      <c r="AJ886" s="6">
        <v>0</v>
      </c>
      <c r="AK886" s="5">
        <v>0</v>
      </c>
      <c r="AL886" s="6">
        <v>0</v>
      </c>
      <c r="AM886" s="5">
        <v>0</v>
      </c>
      <c r="AN886" s="6">
        <v>0</v>
      </c>
      <c r="AO886" s="5">
        <v>0</v>
      </c>
      <c r="AP886" s="6">
        <v>18840</v>
      </c>
      <c r="AQ886" s="5">
        <v>62253.705338624779</v>
      </c>
      <c r="AR886" s="6">
        <v>0</v>
      </c>
      <c r="AS886" s="5">
        <v>0</v>
      </c>
      <c r="AT886" s="6">
        <v>0</v>
      </c>
      <c r="AU886" s="5">
        <v>0</v>
      </c>
      <c r="AV886" s="6">
        <v>0</v>
      </c>
      <c r="AW886" s="5">
        <v>0</v>
      </c>
      <c r="AX886" s="6">
        <v>0</v>
      </c>
      <c r="AY886" s="5">
        <v>0</v>
      </c>
      <c r="AZ886" s="6">
        <v>0</v>
      </c>
      <c r="BA886" s="5">
        <v>0</v>
      </c>
      <c r="BB886" s="6">
        <v>0</v>
      </c>
      <c r="BC886" s="5">
        <v>0</v>
      </c>
      <c r="BD886" s="6">
        <v>0</v>
      </c>
      <c r="BE886" s="5">
        <v>0</v>
      </c>
      <c r="BF886" s="6">
        <v>0</v>
      </c>
      <c r="BG886" s="5">
        <v>0</v>
      </c>
      <c r="BH886" s="9">
        <f t="shared" si="106"/>
        <v>18840</v>
      </c>
      <c r="BI886" s="10">
        <f t="shared" si="107"/>
        <v>62253.705338624779</v>
      </c>
      <c r="BJ886" s="6">
        <f t="shared" si="108"/>
        <v>1746.0075499412706</v>
      </c>
      <c r="BK886" s="11">
        <f t="shared" si="109"/>
        <v>0.10214158892618862</v>
      </c>
      <c r="BL886" s="5">
        <f t="shared" si="110"/>
        <v>8065.749271938621</v>
      </c>
      <c r="BM886" s="11">
        <f t="shared" si="111"/>
        <v>0.14884763806209159</v>
      </c>
    </row>
    <row r="887" spans="1:65" ht="15" customHeight="1" x14ac:dyDescent="0.4">
      <c r="A887" s="2" t="s">
        <v>654</v>
      </c>
      <c r="B887" s="2" t="s">
        <v>655</v>
      </c>
      <c r="C887" s="2" t="s">
        <v>656</v>
      </c>
      <c r="D887" s="3" t="s">
        <v>68</v>
      </c>
      <c r="E887" s="3" t="s">
        <v>663</v>
      </c>
      <c r="F887" s="2" t="s">
        <v>664</v>
      </c>
      <c r="G887" s="4">
        <v>1</v>
      </c>
      <c r="H887" s="5">
        <v>6.37</v>
      </c>
      <c r="I887" s="5">
        <v>6.6399449290227492</v>
      </c>
      <c r="J887" s="6">
        <v>0</v>
      </c>
      <c r="K887" s="5">
        <v>0</v>
      </c>
      <c r="L887" s="6">
        <v>0</v>
      </c>
      <c r="M887" s="5">
        <v>0</v>
      </c>
      <c r="N887" s="6">
        <v>0</v>
      </c>
      <c r="O887" s="5">
        <v>0</v>
      </c>
      <c r="P887" s="6">
        <v>0</v>
      </c>
      <c r="Q887" s="5">
        <v>0</v>
      </c>
      <c r="R887" s="6">
        <v>0</v>
      </c>
      <c r="S887" s="5">
        <v>0</v>
      </c>
      <c r="T887" s="6">
        <v>783.47465396102484</v>
      </c>
      <c r="U887" s="5">
        <v>4990.7335457317286</v>
      </c>
      <c r="V887" s="6">
        <v>0</v>
      </c>
      <c r="W887" s="5">
        <v>0</v>
      </c>
      <c r="X887" s="6">
        <v>0</v>
      </c>
      <c r="Y887" s="5">
        <v>0</v>
      </c>
      <c r="Z887" s="6">
        <v>0</v>
      </c>
      <c r="AA887" s="5">
        <v>0</v>
      </c>
      <c r="AB887" s="6">
        <v>0</v>
      </c>
      <c r="AC887" s="5">
        <v>0</v>
      </c>
      <c r="AD887" s="6">
        <v>0</v>
      </c>
      <c r="AE887" s="5">
        <v>0</v>
      </c>
      <c r="AF887" s="6">
        <v>0</v>
      </c>
      <c r="AG887" s="5">
        <v>0</v>
      </c>
      <c r="AH887" s="7">
        <f t="shared" si="104"/>
        <v>783.47465396102484</v>
      </c>
      <c r="AI887" s="8">
        <f t="shared" si="105"/>
        <v>4990.7335457317286</v>
      </c>
      <c r="AJ887" s="6">
        <v>0</v>
      </c>
      <c r="AK887" s="5">
        <v>0</v>
      </c>
      <c r="AL887" s="6">
        <v>0</v>
      </c>
      <c r="AM887" s="5">
        <v>0</v>
      </c>
      <c r="AN887" s="6">
        <v>0</v>
      </c>
      <c r="AO887" s="5">
        <v>0</v>
      </c>
      <c r="AP887" s="6">
        <v>0</v>
      </c>
      <c r="AQ887" s="5">
        <v>0</v>
      </c>
      <c r="AR887" s="6">
        <v>0</v>
      </c>
      <c r="AS887" s="5">
        <v>0</v>
      </c>
      <c r="AT887" s="6">
        <v>851</v>
      </c>
      <c r="AU887" s="5">
        <v>5650.5931345983599</v>
      </c>
      <c r="AV887" s="6">
        <v>0</v>
      </c>
      <c r="AW887" s="5">
        <v>0</v>
      </c>
      <c r="AX887" s="6">
        <v>0</v>
      </c>
      <c r="AY887" s="5">
        <v>0</v>
      </c>
      <c r="AZ887" s="6">
        <v>0</v>
      </c>
      <c r="BA887" s="5">
        <v>0</v>
      </c>
      <c r="BB887" s="6">
        <v>0</v>
      </c>
      <c r="BC887" s="5">
        <v>0</v>
      </c>
      <c r="BD887" s="6">
        <v>0</v>
      </c>
      <c r="BE887" s="5">
        <v>0</v>
      </c>
      <c r="BF887" s="6">
        <v>0</v>
      </c>
      <c r="BG887" s="5">
        <v>0</v>
      </c>
      <c r="BH887" s="9">
        <f t="shared" si="106"/>
        <v>851</v>
      </c>
      <c r="BI887" s="10">
        <f t="shared" si="107"/>
        <v>5650.5931345983599</v>
      </c>
      <c r="BJ887" s="6">
        <f t="shared" si="108"/>
        <v>67.525346038975158</v>
      </c>
      <c r="BK887" s="11">
        <f t="shared" si="109"/>
        <v>8.618702047039585E-2</v>
      </c>
      <c r="BL887" s="5">
        <f t="shared" si="110"/>
        <v>659.85958886663138</v>
      </c>
      <c r="BM887" s="11">
        <f t="shared" si="111"/>
        <v>0.13221695424532717</v>
      </c>
    </row>
    <row r="888" spans="1:65" ht="15" customHeight="1" x14ac:dyDescent="0.4">
      <c r="A888" s="2" t="s">
        <v>654</v>
      </c>
      <c r="B888" s="2" t="s">
        <v>655</v>
      </c>
      <c r="C888" s="2" t="s">
        <v>656</v>
      </c>
      <c r="D888" s="3" t="s">
        <v>68</v>
      </c>
      <c r="E888" s="3" t="s">
        <v>665</v>
      </c>
      <c r="F888" s="2" t="s">
        <v>308</v>
      </c>
      <c r="G888" s="4">
        <v>20</v>
      </c>
      <c r="H888" s="5">
        <v>1.95</v>
      </c>
      <c r="I888" s="5">
        <v>2.0326362027620659</v>
      </c>
      <c r="J888" s="6">
        <v>7063.1427137395422</v>
      </c>
      <c r="K888" s="5">
        <v>13773.128291792111</v>
      </c>
      <c r="L888" s="6">
        <v>0</v>
      </c>
      <c r="M888" s="5">
        <v>0</v>
      </c>
      <c r="N888" s="6">
        <v>0</v>
      </c>
      <c r="O888" s="5">
        <v>0</v>
      </c>
      <c r="P888" s="6">
        <v>0</v>
      </c>
      <c r="Q888" s="5">
        <v>0</v>
      </c>
      <c r="R888" s="6">
        <v>10881.59241612535</v>
      </c>
      <c r="S888" s="5">
        <v>21219.105211444421</v>
      </c>
      <c r="T888" s="6">
        <v>15827.770787091409</v>
      </c>
      <c r="U888" s="5">
        <v>30864.15303482825</v>
      </c>
      <c r="V888" s="6">
        <v>0</v>
      </c>
      <c r="W888" s="5">
        <v>0</v>
      </c>
      <c r="X888" s="6">
        <v>0</v>
      </c>
      <c r="Y888" s="5">
        <v>0</v>
      </c>
      <c r="Z888" s="6">
        <v>0</v>
      </c>
      <c r="AA888" s="5">
        <v>0</v>
      </c>
      <c r="AB888" s="6">
        <v>0</v>
      </c>
      <c r="AC888" s="5">
        <v>0</v>
      </c>
      <c r="AD888" s="6">
        <v>0</v>
      </c>
      <c r="AE888" s="5">
        <v>0</v>
      </c>
      <c r="AF888" s="6">
        <v>0</v>
      </c>
      <c r="AG888" s="5">
        <v>0</v>
      </c>
      <c r="AH888" s="7">
        <f t="shared" si="104"/>
        <v>33772.505916956303</v>
      </c>
      <c r="AI888" s="8">
        <f t="shared" si="105"/>
        <v>65856.386538064777</v>
      </c>
      <c r="AJ888" s="6">
        <v>7780</v>
      </c>
      <c r="AK888" s="5">
        <v>15813.909657488881</v>
      </c>
      <c r="AL888" s="6">
        <v>0</v>
      </c>
      <c r="AM888" s="5">
        <v>0</v>
      </c>
      <c r="AN888" s="6">
        <v>0</v>
      </c>
      <c r="AO888" s="5">
        <v>0</v>
      </c>
      <c r="AP888" s="6">
        <v>0</v>
      </c>
      <c r="AQ888" s="5">
        <v>0</v>
      </c>
      <c r="AR888" s="6">
        <v>12000</v>
      </c>
      <c r="AS888" s="5">
        <v>24391.634433144791</v>
      </c>
      <c r="AT888" s="6">
        <v>17460</v>
      </c>
      <c r="AU888" s="5">
        <v>35489.828100225677</v>
      </c>
      <c r="AV888" s="6">
        <v>0</v>
      </c>
      <c r="AW888" s="5">
        <v>0</v>
      </c>
      <c r="AX888" s="6">
        <v>0</v>
      </c>
      <c r="AY888" s="5">
        <v>0</v>
      </c>
      <c r="AZ888" s="6">
        <v>0</v>
      </c>
      <c r="BA888" s="5">
        <v>0</v>
      </c>
      <c r="BB888" s="6">
        <v>0</v>
      </c>
      <c r="BC888" s="5">
        <v>0</v>
      </c>
      <c r="BD888" s="6">
        <v>0</v>
      </c>
      <c r="BE888" s="5">
        <v>0</v>
      </c>
      <c r="BF888" s="6">
        <v>0</v>
      </c>
      <c r="BG888" s="5">
        <v>0</v>
      </c>
      <c r="BH888" s="9">
        <f t="shared" si="106"/>
        <v>37240</v>
      </c>
      <c r="BI888" s="10">
        <f t="shared" si="107"/>
        <v>75695.372190859343</v>
      </c>
      <c r="BJ888" s="6">
        <f t="shared" si="108"/>
        <v>3467.4940830436972</v>
      </c>
      <c r="BK888" s="11">
        <f t="shared" si="109"/>
        <v>0.10267209935709147</v>
      </c>
      <c r="BL888" s="5">
        <f t="shared" si="110"/>
        <v>9838.9856527945667</v>
      </c>
      <c r="BM888" s="11">
        <f t="shared" si="111"/>
        <v>0.14940063021993569</v>
      </c>
    </row>
    <row r="889" spans="1:65" ht="15" customHeight="1" x14ac:dyDescent="0.4">
      <c r="A889" s="2" t="s">
        <v>654</v>
      </c>
      <c r="B889" s="2" t="s">
        <v>655</v>
      </c>
      <c r="C889" s="2" t="s">
        <v>656</v>
      </c>
      <c r="D889" s="3" t="s">
        <v>68</v>
      </c>
      <c r="E889" s="3" t="s">
        <v>665</v>
      </c>
      <c r="F889" s="2" t="s">
        <v>87</v>
      </c>
      <c r="G889" s="4">
        <v>20</v>
      </c>
      <c r="H889" s="5">
        <v>1.95</v>
      </c>
      <c r="I889" s="5">
        <v>2.0326362027620659</v>
      </c>
      <c r="J889" s="6">
        <v>0</v>
      </c>
      <c r="K889" s="5">
        <v>0</v>
      </c>
      <c r="L889" s="6">
        <v>0</v>
      </c>
      <c r="M889" s="5">
        <v>0</v>
      </c>
      <c r="N889" s="6">
        <v>0</v>
      </c>
      <c r="O889" s="5">
        <v>0</v>
      </c>
      <c r="P889" s="6">
        <v>5440.796208062673</v>
      </c>
      <c r="Q889" s="5">
        <v>10609.552605722211</v>
      </c>
      <c r="R889" s="6">
        <v>0</v>
      </c>
      <c r="S889" s="5">
        <v>0</v>
      </c>
      <c r="T889" s="6">
        <v>0</v>
      </c>
      <c r="U889" s="5">
        <v>0</v>
      </c>
      <c r="V889" s="6">
        <v>0</v>
      </c>
      <c r="W889" s="5">
        <v>0</v>
      </c>
      <c r="X889" s="6">
        <v>0</v>
      </c>
      <c r="Y889" s="5">
        <v>0</v>
      </c>
      <c r="Z889" s="6">
        <v>0</v>
      </c>
      <c r="AA889" s="5">
        <v>0</v>
      </c>
      <c r="AB889" s="6">
        <v>0</v>
      </c>
      <c r="AC889" s="5">
        <v>0</v>
      </c>
      <c r="AD889" s="6">
        <v>0</v>
      </c>
      <c r="AE889" s="5">
        <v>0</v>
      </c>
      <c r="AF889" s="6">
        <v>0</v>
      </c>
      <c r="AG889" s="5">
        <v>0</v>
      </c>
      <c r="AH889" s="7">
        <f t="shared" si="104"/>
        <v>5440.796208062673</v>
      </c>
      <c r="AI889" s="8">
        <f t="shared" si="105"/>
        <v>10609.552605722211</v>
      </c>
      <c r="AJ889" s="6">
        <v>0</v>
      </c>
      <c r="AK889" s="5">
        <v>0</v>
      </c>
      <c r="AL889" s="6">
        <v>0</v>
      </c>
      <c r="AM889" s="5">
        <v>0</v>
      </c>
      <c r="AN889" s="6">
        <v>0</v>
      </c>
      <c r="AO889" s="5">
        <v>0</v>
      </c>
      <c r="AP889" s="6">
        <v>6000</v>
      </c>
      <c r="AQ889" s="5">
        <v>12195.817216572401</v>
      </c>
      <c r="AR889" s="6">
        <v>0</v>
      </c>
      <c r="AS889" s="5">
        <v>0</v>
      </c>
      <c r="AT889" s="6">
        <v>0</v>
      </c>
      <c r="AU889" s="5">
        <v>0</v>
      </c>
      <c r="AV889" s="6">
        <v>0</v>
      </c>
      <c r="AW889" s="5">
        <v>0</v>
      </c>
      <c r="AX889" s="6">
        <v>0</v>
      </c>
      <c r="AY889" s="5">
        <v>0</v>
      </c>
      <c r="AZ889" s="6">
        <v>0</v>
      </c>
      <c r="BA889" s="5">
        <v>0</v>
      </c>
      <c r="BB889" s="6">
        <v>0</v>
      </c>
      <c r="BC889" s="5">
        <v>0</v>
      </c>
      <c r="BD889" s="6">
        <v>0</v>
      </c>
      <c r="BE889" s="5">
        <v>0</v>
      </c>
      <c r="BF889" s="6">
        <v>0</v>
      </c>
      <c r="BG889" s="5">
        <v>0</v>
      </c>
      <c r="BH889" s="9">
        <f t="shared" si="106"/>
        <v>6000</v>
      </c>
      <c r="BI889" s="10">
        <f t="shared" si="107"/>
        <v>12195.817216572401</v>
      </c>
      <c r="BJ889" s="6">
        <f t="shared" si="108"/>
        <v>559.20379193732697</v>
      </c>
      <c r="BK889" s="11">
        <f t="shared" si="109"/>
        <v>0.10277977166442059</v>
      </c>
      <c r="BL889" s="5">
        <f t="shared" si="110"/>
        <v>1586.2646108501904</v>
      </c>
      <c r="BM889" s="11">
        <f t="shared" si="111"/>
        <v>0.14951286541476275</v>
      </c>
    </row>
    <row r="890" spans="1:65" ht="15" customHeight="1" x14ac:dyDescent="0.4">
      <c r="A890" s="2" t="s">
        <v>654</v>
      </c>
      <c r="B890" s="2" t="s">
        <v>655</v>
      </c>
      <c r="C890" s="2" t="s">
        <v>656</v>
      </c>
      <c r="D890" s="3" t="s">
        <v>68</v>
      </c>
      <c r="E890" s="3" t="s">
        <v>666</v>
      </c>
      <c r="F890" s="2" t="s">
        <v>175</v>
      </c>
      <c r="G890" s="4">
        <v>5</v>
      </c>
      <c r="H890" s="5">
        <v>4.5683999999999996</v>
      </c>
      <c r="I890" s="5">
        <v>4.7619975531785768</v>
      </c>
      <c r="J890" s="6">
        <v>0</v>
      </c>
      <c r="K890" s="5">
        <v>0</v>
      </c>
      <c r="L890" s="6">
        <v>0</v>
      </c>
      <c r="M890" s="5">
        <v>0</v>
      </c>
      <c r="N890" s="6">
        <v>0</v>
      </c>
      <c r="O890" s="5">
        <v>0</v>
      </c>
      <c r="P890" s="6">
        <v>0</v>
      </c>
      <c r="Q890" s="5">
        <v>0</v>
      </c>
      <c r="R890" s="6">
        <v>0</v>
      </c>
      <c r="S890" s="5">
        <v>0</v>
      </c>
      <c r="T890" s="6">
        <v>0</v>
      </c>
      <c r="U890" s="5">
        <v>0</v>
      </c>
      <c r="V890" s="6">
        <v>0</v>
      </c>
      <c r="W890" s="5">
        <v>0</v>
      </c>
      <c r="X890" s="6">
        <v>0</v>
      </c>
      <c r="Y890" s="5">
        <v>0</v>
      </c>
      <c r="Z890" s="6">
        <v>0</v>
      </c>
      <c r="AA890" s="5">
        <v>0</v>
      </c>
      <c r="AB890" s="6">
        <v>0</v>
      </c>
      <c r="AC890" s="5">
        <v>0</v>
      </c>
      <c r="AD890" s="6">
        <v>0</v>
      </c>
      <c r="AE890" s="5">
        <v>0</v>
      </c>
      <c r="AF890" s="6">
        <v>2843.9884178951679</v>
      </c>
      <c r="AG890" s="5">
        <v>12992.476688312279</v>
      </c>
      <c r="AH890" s="7">
        <f t="shared" si="104"/>
        <v>2843.9884178951679</v>
      </c>
      <c r="AI890" s="8">
        <f t="shared" si="105"/>
        <v>12992.476688312279</v>
      </c>
      <c r="AJ890" s="6">
        <v>0</v>
      </c>
      <c r="AK890" s="5">
        <v>0</v>
      </c>
      <c r="AL890" s="6">
        <v>0</v>
      </c>
      <c r="AM890" s="5">
        <v>0</v>
      </c>
      <c r="AN890" s="6">
        <v>0</v>
      </c>
      <c r="AO890" s="5">
        <v>0</v>
      </c>
      <c r="AP890" s="6">
        <v>0</v>
      </c>
      <c r="AQ890" s="5">
        <v>0</v>
      </c>
      <c r="AR890" s="6">
        <v>0</v>
      </c>
      <c r="AS890" s="5">
        <v>0</v>
      </c>
      <c r="AT890" s="6">
        <v>0</v>
      </c>
      <c r="AU890" s="5">
        <v>0</v>
      </c>
      <c r="AV890" s="6">
        <v>0</v>
      </c>
      <c r="AW890" s="5">
        <v>0</v>
      </c>
      <c r="AX890" s="6">
        <v>0</v>
      </c>
      <c r="AY890" s="5">
        <v>0</v>
      </c>
      <c r="AZ890" s="6">
        <v>0</v>
      </c>
      <c r="BA890" s="5">
        <v>0</v>
      </c>
      <c r="BB890" s="6">
        <v>0</v>
      </c>
      <c r="BC890" s="5">
        <v>0</v>
      </c>
      <c r="BD890" s="6">
        <v>0</v>
      </c>
      <c r="BE890" s="5">
        <v>0</v>
      </c>
      <c r="BF890" s="6">
        <v>3135</v>
      </c>
      <c r="BG890" s="5">
        <v>14928.86232921484</v>
      </c>
      <c r="BH890" s="9">
        <f t="shared" si="106"/>
        <v>3135</v>
      </c>
      <c r="BI890" s="10">
        <f t="shared" si="107"/>
        <v>14928.86232921484</v>
      </c>
      <c r="BJ890" s="6">
        <f t="shared" si="108"/>
        <v>291.01158210483209</v>
      </c>
      <c r="BK890" s="11">
        <f t="shared" si="109"/>
        <v>0.102325164291706</v>
      </c>
      <c r="BL890" s="5">
        <f t="shared" si="110"/>
        <v>1936.3856409025611</v>
      </c>
      <c r="BM890" s="11">
        <f t="shared" si="111"/>
        <v>0.14903899289998243</v>
      </c>
    </row>
    <row r="891" spans="1:65" ht="15" customHeight="1" x14ac:dyDescent="0.4">
      <c r="A891" s="2" t="s">
        <v>654</v>
      </c>
      <c r="B891" s="2" t="s">
        <v>655</v>
      </c>
      <c r="C891" s="2" t="s">
        <v>656</v>
      </c>
      <c r="D891" s="3" t="s">
        <v>68</v>
      </c>
      <c r="E891" s="3" t="s">
        <v>667</v>
      </c>
      <c r="F891" s="2" t="s">
        <v>668</v>
      </c>
      <c r="G891" s="4">
        <v>20</v>
      </c>
      <c r="H891" s="5">
        <v>3.6180487804878041</v>
      </c>
      <c r="I891" s="5">
        <v>3.7713768528648379</v>
      </c>
      <c r="J891" s="6">
        <v>3798.6649889019391</v>
      </c>
      <c r="K891" s="5">
        <v>13713.180609936</v>
      </c>
      <c r="L891" s="6">
        <v>0</v>
      </c>
      <c r="M891" s="5">
        <v>0</v>
      </c>
      <c r="N891" s="6">
        <v>0</v>
      </c>
      <c r="O891" s="5">
        <v>0</v>
      </c>
      <c r="P891" s="6">
        <v>0</v>
      </c>
      <c r="Q891" s="5">
        <v>0</v>
      </c>
      <c r="R891" s="6">
        <v>4629.6229552242376</v>
      </c>
      <c r="S891" s="5">
        <v>16759.23509791174</v>
      </c>
      <c r="T891" s="6">
        <v>11039.870123996259</v>
      </c>
      <c r="U891" s="5">
        <v>39964.329848866459</v>
      </c>
      <c r="V891" s="6">
        <v>0</v>
      </c>
      <c r="W891" s="5">
        <v>0</v>
      </c>
      <c r="X891" s="6">
        <v>0</v>
      </c>
      <c r="Y891" s="5">
        <v>0</v>
      </c>
      <c r="Z891" s="6">
        <v>0</v>
      </c>
      <c r="AA891" s="5">
        <v>0</v>
      </c>
      <c r="AB891" s="6">
        <v>0</v>
      </c>
      <c r="AC891" s="5">
        <v>0</v>
      </c>
      <c r="AD891" s="6">
        <v>0</v>
      </c>
      <c r="AE891" s="5">
        <v>0</v>
      </c>
      <c r="AF891" s="6">
        <v>0</v>
      </c>
      <c r="AG891" s="5">
        <v>0</v>
      </c>
      <c r="AH891" s="7">
        <f t="shared" si="104"/>
        <v>19468.158068122437</v>
      </c>
      <c r="AI891" s="8">
        <f t="shared" si="105"/>
        <v>70436.745556714202</v>
      </c>
      <c r="AJ891" s="6">
        <v>4140</v>
      </c>
      <c r="AK891" s="5">
        <v>15578.7492844924</v>
      </c>
      <c r="AL891" s="6">
        <v>0</v>
      </c>
      <c r="AM891" s="5">
        <v>0</v>
      </c>
      <c r="AN891" s="6">
        <v>0</v>
      </c>
      <c r="AO891" s="5">
        <v>0</v>
      </c>
      <c r="AP891" s="6">
        <v>0</v>
      </c>
      <c r="AQ891" s="5">
        <v>0</v>
      </c>
      <c r="AR891" s="6">
        <v>5060</v>
      </c>
      <c r="AS891" s="5">
        <v>19093.437873452989</v>
      </c>
      <c r="AT891" s="6">
        <v>12060</v>
      </c>
      <c r="AU891" s="5">
        <v>45507.284733961067</v>
      </c>
      <c r="AV891" s="6">
        <v>0</v>
      </c>
      <c r="AW891" s="5">
        <v>0</v>
      </c>
      <c r="AX891" s="6">
        <v>0</v>
      </c>
      <c r="AY891" s="5">
        <v>0</v>
      </c>
      <c r="AZ891" s="6">
        <v>0</v>
      </c>
      <c r="BA891" s="5">
        <v>0</v>
      </c>
      <c r="BB891" s="6">
        <v>0</v>
      </c>
      <c r="BC891" s="5">
        <v>0</v>
      </c>
      <c r="BD891" s="6">
        <v>0</v>
      </c>
      <c r="BE891" s="5">
        <v>0</v>
      </c>
      <c r="BF891" s="6">
        <v>0</v>
      </c>
      <c r="BG891" s="5">
        <v>0</v>
      </c>
      <c r="BH891" s="9">
        <f t="shared" si="106"/>
        <v>21260</v>
      </c>
      <c r="BI891" s="10">
        <f t="shared" si="107"/>
        <v>80179.471891906462</v>
      </c>
      <c r="BJ891" s="6">
        <f t="shared" si="108"/>
        <v>1791.8419318775632</v>
      </c>
      <c r="BK891" s="11">
        <f t="shared" si="109"/>
        <v>9.2039623142959895E-2</v>
      </c>
      <c r="BL891" s="5">
        <f t="shared" si="110"/>
        <v>9742.7263351922593</v>
      </c>
      <c r="BM891" s="11">
        <f t="shared" si="111"/>
        <v>0.13831880303651478</v>
      </c>
    </row>
    <row r="892" spans="1:65" ht="15" customHeight="1" x14ac:dyDescent="0.4">
      <c r="A892" s="2" t="s">
        <v>654</v>
      </c>
      <c r="B892" s="2" t="s">
        <v>655</v>
      </c>
      <c r="C892" s="2" t="s">
        <v>656</v>
      </c>
      <c r="D892" s="3" t="s">
        <v>68</v>
      </c>
      <c r="E892" s="3" t="s">
        <v>667</v>
      </c>
      <c r="F892" s="2" t="s">
        <v>581</v>
      </c>
      <c r="G892" s="4">
        <v>20</v>
      </c>
      <c r="H892" s="5">
        <v>3.62</v>
      </c>
      <c r="I892" s="5">
        <v>3.7734066943582971</v>
      </c>
      <c r="J892" s="6">
        <v>0</v>
      </c>
      <c r="K892" s="5">
        <v>0</v>
      </c>
      <c r="L892" s="6">
        <v>0</v>
      </c>
      <c r="M892" s="5">
        <v>0</v>
      </c>
      <c r="N892" s="6">
        <v>0</v>
      </c>
      <c r="O892" s="5">
        <v>0</v>
      </c>
      <c r="P892" s="6">
        <v>0</v>
      </c>
      <c r="Q892" s="5">
        <v>0</v>
      </c>
      <c r="R892" s="6">
        <v>0</v>
      </c>
      <c r="S892" s="5">
        <v>0</v>
      </c>
      <c r="T892" s="6">
        <v>989.23567419321319</v>
      </c>
      <c r="U892" s="5">
        <v>3581.0331405794318</v>
      </c>
      <c r="V892" s="6">
        <v>0</v>
      </c>
      <c r="W892" s="5">
        <v>0</v>
      </c>
      <c r="X892" s="6">
        <v>0</v>
      </c>
      <c r="Y892" s="5">
        <v>0</v>
      </c>
      <c r="Z892" s="6">
        <v>0</v>
      </c>
      <c r="AA892" s="5">
        <v>0</v>
      </c>
      <c r="AB892" s="6">
        <v>0</v>
      </c>
      <c r="AC892" s="5">
        <v>0</v>
      </c>
      <c r="AD892" s="6">
        <v>0</v>
      </c>
      <c r="AE892" s="5">
        <v>0</v>
      </c>
      <c r="AF892" s="6">
        <v>0</v>
      </c>
      <c r="AG892" s="5">
        <v>0</v>
      </c>
      <c r="AH892" s="7">
        <f t="shared" si="104"/>
        <v>989.23567419321319</v>
      </c>
      <c r="AI892" s="8">
        <f t="shared" si="105"/>
        <v>3581.0331405794318</v>
      </c>
      <c r="AJ892" s="6">
        <v>0</v>
      </c>
      <c r="AK892" s="5">
        <v>0</v>
      </c>
      <c r="AL892" s="6">
        <v>0</v>
      </c>
      <c r="AM892" s="5">
        <v>0</v>
      </c>
      <c r="AN892" s="6">
        <v>0</v>
      </c>
      <c r="AO892" s="5">
        <v>0</v>
      </c>
      <c r="AP892" s="6">
        <v>0</v>
      </c>
      <c r="AQ892" s="5">
        <v>0</v>
      </c>
      <c r="AR892" s="6">
        <v>0</v>
      </c>
      <c r="AS892" s="5">
        <v>0</v>
      </c>
      <c r="AT892" s="6">
        <v>1080</v>
      </c>
      <c r="AU892" s="5">
        <v>4075.2792299069611</v>
      </c>
      <c r="AV892" s="6">
        <v>0</v>
      </c>
      <c r="AW892" s="5">
        <v>0</v>
      </c>
      <c r="AX892" s="6">
        <v>0</v>
      </c>
      <c r="AY892" s="5">
        <v>0</v>
      </c>
      <c r="AZ892" s="6">
        <v>0</v>
      </c>
      <c r="BA892" s="5">
        <v>0</v>
      </c>
      <c r="BB892" s="6">
        <v>0</v>
      </c>
      <c r="BC892" s="5">
        <v>0</v>
      </c>
      <c r="BD892" s="6">
        <v>0</v>
      </c>
      <c r="BE892" s="5">
        <v>0</v>
      </c>
      <c r="BF892" s="6">
        <v>0</v>
      </c>
      <c r="BG892" s="5">
        <v>0</v>
      </c>
      <c r="BH892" s="9">
        <f t="shared" si="106"/>
        <v>1080</v>
      </c>
      <c r="BI892" s="10">
        <f t="shared" si="107"/>
        <v>4075.2792299069611</v>
      </c>
      <c r="BJ892" s="6">
        <f t="shared" si="108"/>
        <v>90.764325806786815</v>
      </c>
      <c r="BK892" s="11">
        <f t="shared" si="109"/>
        <v>9.1751973947776497E-2</v>
      </c>
      <c r="BL892" s="5">
        <f t="shared" si="110"/>
        <v>494.24608932752926</v>
      </c>
      <c r="BM892" s="11">
        <f t="shared" si="111"/>
        <v>0.13801773676061468</v>
      </c>
    </row>
    <row r="893" spans="1:65" ht="15" customHeight="1" x14ac:dyDescent="0.4">
      <c r="A893" s="2" t="s">
        <v>654</v>
      </c>
      <c r="B893" s="2" t="s">
        <v>655</v>
      </c>
      <c r="C893" s="2" t="s">
        <v>656</v>
      </c>
      <c r="D893" s="3" t="s">
        <v>68</v>
      </c>
      <c r="E893" s="3" t="s">
        <v>669</v>
      </c>
      <c r="F893" s="2" t="s">
        <v>490</v>
      </c>
      <c r="G893" s="4">
        <v>20</v>
      </c>
      <c r="H893" s="5">
        <v>2.574054054054054</v>
      </c>
      <c r="I893" s="5">
        <v>2.6845831188998588</v>
      </c>
      <c r="J893" s="6">
        <v>9496.6624722548477</v>
      </c>
      <c r="K893" s="5">
        <v>26305.755048145929</v>
      </c>
      <c r="L893" s="6">
        <v>0</v>
      </c>
      <c r="M893" s="5">
        <v>0</v>
      </c>
      <c r="N893" s="6">
        <v>0</v>
      </c>
      <c r="O893" s="5">
        <v>0</v>
      </c>
      <c r="P893" s="6">
        <v>0</v>
      </c>
      <c r="Q893" s="5">
        <v>0</v>
      </c>
      <c r="R893" s="6">
        <v>0</v>
      </c>
      <c r="S893" s="5">
        <v>0</v>
      </c>
      <c r="T893" s="6">
        <v>19784.71348386426</v>
      </c>
      <c r="U893" s="5">
        <v>49066.089439983378</v>
      </c>
      <c r="V893" s="6">
        <v>0</v>
      </c>
      <c r="W893" s="5">
        <v>0</v>
      </c>
      <c r="X893" s="6">
        <v>0</v>
      </c>
      <c r="Y893" s="5">
        <v>0</v>
      </c>
      <c r="Z893" s="6">
        <v>0</v>
      </c>
      <c r="AA893" s="5">
        <v>0</v>
      </c>
      <c r="AB893" s="6">
        <v>0</v>
      </c>
      <c r="AC893" s="5">
        <v>0</v>
      </c>
      <c r="AD893" s="6">
        <v>0</v>
      </c>
      <c r="AE893" s="5">
        <v>0</v>
      </c>
      <c r="AF893" s="6">
        <v>0</v>
      </c>
      <c r="AG893" s="5">
        <v>0</v>
      </c>
      <c r="AH893" s="7">
        <f t="shared" si="104"/>
        <v>29281.375956119107</v>
      </c>
      <c r="AI893" s="8">
        <f t="shared" si="105"/>
        <v>75371.844488129311</v>
      </c>
      <c r="AJ893" s="6">
        <v>11960</v>
      </c>
      <c r="AK893" s="5">
        <v>34533.133994125659</v>
      </c>
      <c r="AL893" s="6">
        <v>0</v>
      </c>
      <c r="AM893" s="5">
        <v>0</v>
      </c>
      <c r="AN893" s="6">
        <v>0</v>
      </c>
      <c r="AO893" s="5">
        <v>0</v>
      </c>
      <c r="AP893" s="6">
        <v>0</v>
      </c>
      <c r="AQ893" s="5">
        <v>0</v>
      </c>
      <c r="AR893" s="6">
        <v>0</v>
      </c>
      <c r="AS893" s="5">
        <v>0</v>
      </c>
      <c r="AT893" s="6">
        <v>24900</v>
      </c>
      <c r="AU893" s="5">
        <v>64420.599768523141</v>
      </c>
      <c r="AV893" s="6">
        <v>0</v>
      </c>
      <c r="AW893" s="5">
        <v>0</v>
      </c>
      <c r="AX893" s="6">
        <v>0</v>
      </c>
      <c r="AY893" s="5">
        <v>0</v>
      </c>
      <c r="AZ893" s="6">
        <v>0</v>
      </c>
      <c r="BA893" s="5">
        <v>0</v>
      </c>
      <c r="BB893" s="6">
        <v>0</v>
      </c>
      <c r="BC893" s="5">
        <v>0</v>
      </c>
      <c r="BD893" s="6">
        <v>0</v>
      </c>
      <c r="BE893" s="5">
        <v>0</v>
      </c>
      <c r="BF893" s="6">
        <v>0</v>
      </c>
      <c r="BG893" s="5">
        <v>0</v>
      </c>
      <c r="BH893" s="9">
        <f t="shared" si="106"/>
        <v>36860</v>
      </c>
      <c r="BI893" s="10">
        <f t="shared" si="107"/>
        <v>98953.733762648801</v>
      </c>
      <c r="BJ893" s="6">
        <f t="shared" si="108"/>
        <v>7578.6240438808927</v>
      </c>
      <c r="BK893" s="11">
        <f t="shared" si="109"/>
        <v>0.25882062561671187</v>
      </c>
      <c r="BL893" s="5">
        <f t="shared" si="110"/>
        <v>23581.88927451949</v>
      </c>
      <c r="BM893" s="11">
        <f t="shared" si="111"/>
        <v>0.31287398410733491</v>
      </c>
    </row>
    <row r="894" spans="1:65" ht="15" customHeight="1" x14ac:dyDescent="0.4">
      <c r="A894" s="2" t="s">
        <v>654</v>
      </c>
      <c r="B894" s="2" t="s">
        <v>655</v>
      </c>
      <c r="C894" s="2" t="s">
        <v>656</v>
      </c>
      <c r="D894" s="3" t="s">
        <v>68</v>
      </c>
      <c r="E894" s="3" t="s">
        <v>669</v>
      </c>
      <c r="F894" s="2" t="s">
        <v>72</v>
      </c>
      <c r="G894" s="4">
        <v>20</v>
      </c>
      <c r="H894" s="5">
        <v>2.48</v>
      </c>
      <c r="I894" s="5">
        <v>2.5850962988973971</v>
      </c>
      <c r="J894" s="6">
        <v>0</v>
      </c>
      <c r="K894" s="5">
        <v>0</v>
      </c>
      <c r="L894" s="6">
        <v>0</v>
      </c>
      <c r="M894" s="5">
        <v>0</v>
      </c>
      <c r="N894" s="6">
        <v>0</v>
      </c>
      <c r="O894" s="5">
        <v>0</v>
      </c>
      <c r="P894" s="6">
        <v>7597.3299778038772</v>
      </c>
      <c r="Q894" s="5">
        <v>18841.37834495362</v>
      </c>
      <c r="R894" s="6">
        <v>0</v>
      </c>
      <c r="S894" s="5">
        <v>0</v>
      </c>
      <c r="T894" s="6">
        <v>0</v>
      </c>
      <c r="U894" s="5">
        <v>0</v>
      </c>
      <c r="V894" s="6">
        <v>0</v>
      </c>
      <c r="W894" s="5">
        <v>0</v>
      </c>
      <c r="X894" s="6">
        <v>0</v>
      </c>
      <c r="Y894" s="5">
        <v>0</v>
      </c>
      <c r="Z894" s="6">
        <v>0</v>
      </c>
      <c r="AA894" s="5">
        <v>0</v>
      </c>
      <c r="AB894" s="6">
        <v>0</v>
      </c>
      <c r="AC894" s="5">
        <v>0</v>
      </c>
      <c r="AD894" s="6">
        <v>0</v>
      </c>
      <c r="AE894" s="5">
        <v>0</v>
      </c>
      <c r="AF894" s="6">
        <v>0</v>
      </c>
      <c r="AG894" s="5">
        <v>0</v>
      </c>
      <c r="AH894" s="7">
        <f t="shared" si="104"/>
        <v>7597.3299778038772</v>
      </c>
      <c r="AI894" s="8">
        <f t="shared" si="105"/>
        <v>18841.37834495362</v>
      </c>
      <c r="AJ894" s="6">
        <v>0</v>
      </c>
      <c r="AK894" s="5">
        <v>0</v>
      </c>
      <c r="AL894" s="6">
        <v>0</v>
      </c>
      <c r="AM894" s="5">
        <v>0</v>
      </c>
      <c r="AN894" s="6">
        <v>0</v>
      </c>
      <c r="AO894" s="5">
        <v>0</v>
      </c>
      <c r="AP894" s="6">
        <v>9580</v>
      </c>
      <c r="AQ894" s="5">
        <v>24765.222543437059</v>
      </c>
      <c r="AR894" s="6">
        <v>0</v>
      </c>
      <c r="AS894" s="5">
        <v>0</v>
      </c>
      <c r="AT894" s="6">
        <v>0</v>
      </c>
      <c r="AU894" s="5">
        <v>0</v>
      </c>
      <c r="AV894" s="6">
        <v>0</v>
      </c>
      <c r="AW894" s="5">
        <v>0</v>
      </c>
      <c r="AX894" s="6">
        <v>0</v>
      </c>
      <c r="AY894" s="5">
        <v>0</v>
      </c>
      <c r="AZ894" s="6">
        <v>0</v>
      </c>
      <c r="BA894" s="5">
        <v>0</v>
      </c>
      <c r="BB894" s="6">
        <v>0</v>
      </c>
      <c r="BC894" s="5">
        <v>0</v>
      </c>
      <c r="BD894" s="6">
        <v>0</v>
      </c>
      <c r="BE894" s="5">
        <v>0</v>
      </c>
      <c r="BF894" s="6">
        <v>0</v>
      </c>
      <c r="BG894" s="5">
        <v>0</v>
      </c>
      <c r="BH894" s="9">
        <f t="shared" si="106"/>
        <v>9580</v>
      </c>
      <c r="BI894" s="10">
        <f t="shared" si="107"/>
        <v>24765.222543437059</v>
      </c>
      <c r="BJ894" s="6">
        <f t="shared" si="108"/>
        <v>1982.6700221961228</v>
      </c>
      <c r="BK894" s="11">
        <f t="shared" si="109"/>
        <v>0.26096931790360955</v>
      </c>
      <c r="BL894" s="5">
        <f t="shared" si="110"/>
        <v>5923.844198483439</v>
      </c>
      <c r="BM894" s="11">
        <f t="shared" si="111"/>
        <v>0.31440609545798182</v>
      </c>
    </row>
    <row r="895" spans="1:65" ht="15" customHeight="1" x14ac:dyDescent="0.4">
      <c r="A895" s="2" t="s">
        <v>654</v>
      </c>
      <c r="B895" s="2" t="s">
        <v>655</v>
      </c>
      <c r="C895" s="2" t="s">
        <v>656</v>
      </c>
      <c r="D895" s="3" t="s">
        <v>68</v>
      </c>
      <c r="E895" s="3" t="s">
        <v>670</v>
      </c>
      <c r="F895" s="2" t="s">
        <v>415</v>
      </c>
      <c r="G895" s="4">
        <v>5</v>
      </c>
      <c r="H895" s="5">
        <v>2.8</v>
      </c>
      <c r="I895" s="5">
        <v>2.918657111658352</v>
      </c>
      <c r="J895" s="6">
        <v>0</v>
      </c>
      <c r="K895" s="5">
        <v>0</v>
      </c>
      <c r="L895" s="6">
        <v>0</v>
      </c>
      <c r="M895" s="5">
        <v>0</v>
      </c>
      <c r="N895" s="6">
        <v>0</v>
      </c>
      <c r="O895" s="5">
        <v>0</v>
      </c>
      <c r="P895" s="6">
        <v>0</v>
      </c>
      <c r="Q895" s="5">
        <v>0</v>
      </c>
      <c r="R895" s="6">
        <v>0</v>
      </c>
      <c r="S895" s="5">
        <v>0</v>
      </c>
      <c r="T895" s="6">
        <v>1088.159241612535</v>
      </c>
      <c r="U895" s="5">
        <v>3046.8458765150972</v>
      </c>
      <c r="V895" s="6">
        <v>0</v>
      </c>
      <c r="W895" s="5">
        <v>0</v>
      </c>
      <c r="X895" s="6">
        <v>0</v>
      </c>
      <c r="Y895" s="5">
        <v>0</v>
      </c>
      <c r="Z895" s="6">
        <v>0</v>
      </c>
      <c r="AA895" s="5">
        <v>0</v>
      </c>
      <c r="AB895" s="6">
        <v>0</v>
      </c>
      <c r="AC895" s="5">
        <v>0</v>
      </c>
      <c r="AD895" s="6">
        <v>0</v>
      </c>
      <c r="AE895" s="5">
        <v>0</v>
      </c>
      <c r="AF895" s="6">
        <v>0</v>
      </c>
      <c r="AG895" s="5">
        <v>0</v>
      </c>
      <c r="AH895" s="7">
        <f t="shared" si="104"/>
        <v>1088.159241612535</v>
      </c>
      <c r="AI895" s="8">
        <f t="shared" si="105"/>
        <v>3046.8458765150972</v>
      </c>
      <c r="AJ895" s="6">
        <v>0</v>
      </c>
      <c r="AK895" s="5">
        <v>0</v>
      </c>
      <c r="AL895" s="6">
        <v>0</v>
      </c>
      <c r="AM895" s="5">
        <v>0</v>
      </c>
      <c r="AN895" s="6">
        <v>0</v>
      </c>
      <c r="AO895" s="5">
        <v>0</v>
      </c>
      <c r="AP895" s="6">
        <v>0</v>
      </c>
      <c r="AQ895" s="5">
        <v>0</v>
      </c>
      <c r="AR895" s="6">
        <v>0</v>
      </c>
      <c r="AS895" s="5">
        <v>0</v>
      </c>
      <c r="AT895" s="6">
        <v>1200</v>
      </c>
      <c r="AU895" s="5">
        <v>3502.3885339900221</v>
      </c>
      <c r="AV895" s="6">
        <v>0</v>
      </c>
      <c r="AW895" s="5">
        <v>0</v>
      </c>
      <c r="AX895" s="6">
        <v>0</v>
      </c>
      <c r="AY895" s="5">
        <v>0</v>
      </c>
      <c r="AZ895" s="6">
        <v>0</v>
      </c>
      <c r="BA895" s="5">
        <v>0</v>
      </c>
      <c r="BB895" s="6">
        <v>0</v>
      </c>
      <c r="BC895" s="5">
        <v>0</v>
      </c>
      <c r="BD895" s="6">
        <v>0</v>
      </c>
      <c r="BE895" s="5">
        <v>0</v>
      </c>
      <c r="BF895" s="6">
        <v>0</v>
      </c>
      <c r="BG895" s="5">
        <v>0</v>
      </c>
      <c r="BH895" s="9">
        <f t="shared" si="106"/>
        <v>1200</v>
      </c>
      <c r="BI895" s="10">
        <f t="shared" si="107"/>
        <v>3502.3885339900221</v>
      </c>
      <c r="BJ895" s="6">
        <f t="shared" si="108"/>
        <v>111.84075838746503</v>
      </c>
      <c r="BK895" s="11">
        <f t="shared" si="109"/>
        <v>0.10277977166442023</v>
      </c>
      <c r="BL895" s="5">
        <f t="shared" si="110"/>
        <v>455.54265747492491</v>
      </c>
      <c r="BM895" s="11">
        <f t="shared" si="111"/>
        <v>0.14951286541476219</v>
      </c>
    </row>
    <row r="896" spans="1:65" ht="15" customHeight="1" x14ac:dyDescent="0.4">
      <c r="A896" s="2" t="s">
        <v>654</v>
      </c>
      <c r="B896" s="2" t="s">
        <v>655</v>
      </c>
      <c r="C896" s="2" t="s">
        <v>656</v>
      </c>
      <c r="D896" s="3" t="s">
        <v>68</v>
      </c>
      <c r="E896" s="3" t="s">
        <v>671</v>
      </c>
      <c r="F896" s="2" t="s">
        <v>293</v>
      </c>
      <c r="G896" s="4">
        <v>5</v>
      </c>
      <c r="H896" s="5">
        <v>4.1000000000000014</v>
      </c>
      <c r="I896" s="5">
        <v>4.2737479134997294</v>
      </c>
      <c r="J896" s="6">
        <v>0</v>
      </c>
      <c r="K896" s="5">
        <v>0</v>
      </c>
      <c r="L896" s="6">
        <v>0</v>
      </c>
      <c r="M896" s="5">
        <v>0</v>
      </c>
      <c r="N896" s="6">
        <v>0</v>
      </c>
      <c r="O896" s="5">
        <v>0</v>
      </c>
      <c r="P896" s="6">
        <v>0</v>
      </c>
      <c r="Q896" s="5">
        <v>0</v>
      </c>
      <c r="R896" s="6">
        <v>0</v>
      </c>
      <c r="S896" s="5">
        <v>0</v>
      </c>
      <c r="T896" s="6">
        <v>3956.9426967728532</v>
      </c>
      <c r="U896" s="5">
        <v>16223.4650567687</v>
      </c>
      <c r="V896" s="6">
        <v>0</v>
      </c>
      <c r="W896" s="5">
        <v>0</v>
      </c>
      <c r="X896" s="6">
        <v>0</v>
      </c>
      <c r="Y896" s="5">
        <v>0</v>
      </c>
      <c r="Z896" s="6">
        <v>0</v>
      </c>
      <c r="AA896" s="5">
        <v>0</v>
      </c>
      <c r="AB896" s="6">
        <v>0</v>
      </c>
      <c r="AC896" s="5">
        <v>0</v>
      </c>
      <c r="AD896" s="6">
        <v>0</v>
      </c>
      <c r="AE896" s="5">
        <v>0</v>
      </c>
      <c r="AF896" s="6">
        <v>0</v>
      </c>
      <c r="AG896" s="5">
        <v>0</v>
      </c>
      <c r="AH896" s="7">
        <f t="shared" si="104"/>
        <v>3956.9426967728532</v>
      </c>
      <c r="AI896" s="8">
        <f t="shared" si="105"/>
        <v>16223.4650567687</v>
      </c>
      <c r="AJ896" s="6">
        <v>0</v>
      </c>
      <c r="AK896" s="5">
        <v>0</v>
      </c>
      <c r="AL896" s="6">
        <v>0</v>
      </c>
      <c r="AM896" s="5">
        <v>0</v>
      </c>
      <c r="AN896" s="6">
        <v>0</v>
      </c>
      <c r="AO896" s="5">
        <v>0</v>
      </c>
      <c r="AP896" s="6">
        <v>0</v>
      </c>
      <c r="AQ896" s="5">
        <v>0</v>
      </c>
      <c r="AR896" s="6">
        <v>0</v>
      </c>
      <c r="AS896" s="5">
        <v>0</v>
      </c>
      <c r="AT896" s="6">
        <v>4300</v>
      </c>
      <c r="AU896" s="5">
        <v>18377.11602804884</v>
      </c>
      <c r="AV896" s="6">
        <v>0</v>
      </c>
      <c r="AW896" s="5">
        <v>0</v>
      </c>
      <c r="AX896" s="6">
        <v>0</v>
      </c>
      <c r="AY896" s="5">
        <v>0</v>
      </c>
      <c r="AZ896" s="6">
        <v>0</v>
      </c>
      <c r="BA896" s="5">
        <v>0</v>
      </c>
      <c r="BB896" s="6">
        <v>0</v>
      </c>
      <c r="BC896" s="5">
        <v>0</v>
      </c>
      <c r="BD896" s="6">
        <v>0</v>
      </c>
      <c r="BE896" s="5">
        <v>0</v>
      </c>
      <c r="BF896" s="6">
        <v>0</v>
      </c>
      <c r="BG896" s="5">
        <v>0</v>
      </c>
      <c r="BH896" s="9">
        <f t="shared" si="106"/>
        <v>4300</v>
      </c>
      <c r="BI896" s="10">
        <f t="shared" si="107"/>
        <v>18377.11602804884</v>
      </c>
      <c r="BJ896" s="6">
        <f t="shared" si="108"/>
        <v>343.0573032271468</v>
      </c>
      <c r="BK896" s="11">
        <f t="shared" si="109"/>
        <v>8.6697566660981107E-2</v>
      </c>
      <c r="BL896" s="5">
        <f t="shared" si="110"/>
        <v>2153.6509712801399</v>
      </c>
      <c r="BM896" s="11">
        <f t="shared" si="111"/>
        <v>0.13274913612746375</v>
      </c>
    </row>
    <row r="897" spans="1:65" ht="15" customHeight="1" x14ac:dyDescent="0.4">
      <c r="A897" s="2" t="s">
        <v>654</v>
      </c>
      <c r="B897" s="2" t="s">
        <v>655</v>
      </c>
      <c r="C897" s="2" t="s">
        <v>656</v>
      </c>
      <c r="D897" s="3" t="s">
        <v>68</v>
      </c>
      <c r="E897" s="3" t="s">
        <v>672</v>
      </c>
      <c r="F897" s="2" t="s">
        <v>202</v>
      </c>
      <c r="G897" s="4">
        <v>5</v>
      </c>
      <c r="H897" s="5">
        <v>4.079600000000001</v>
      </c>
      <c r="I897" s="5">
        <v>4.2524834116862182</v>
      </c>
      <c r="J897" s="6">
        <v>0</v>
      </c>
      <c r="K897" s="5">
        <v>0</v>
      </c>
      <c r="L897" s="6">
        <v>0</v>
      </c>
      <c r="M897" s="5">
        <v>0</v>
      </c>
      <c r="N897" s="6">
        <v>0</v>
      </c>
      <c r="O897" s="5">
        <v>0</v>
      </c>
      <c r="P897" s="6">
        <v>0</v>
      </c>
      <c r="Q897" s="5">
        <v>0</v>
      </c>
      <c r="R897" s="6">
        <v>0</v>
      </c>
      <c r="S897" s="5">
        <v>0</v>
      </c>
      <c r="T897" s="6">
        <v>0</v>
      </c>
      <c r="U897" s="5">
        <v>0</v>
      </c>
      <c r="V897" s="6">
        <v>0</v>
      </c>
      <c r="W897" s="5">
        <v>0</v>
      </c>
      <c r="X897" s="6">
        <v>0</v>
      </c>
      <c r="Y897" s="5">
        <v>0</v>
      </c>
      <c r="Z897" s="6">
        <v>0</v>
      </c>
      <c r="AA897" s="5">
        <v>0</v>
      </c>
      <c r="AB897" s="6">
        <v>0</v>
      </c>
      <c r="AC897" s="5">
        <v>0</v>
      </c>
      <c r="AD897" s="6">
        <v>0</v>
      </c>
      <c r="AE897" s="5">
        <v>0</v>
      </c>
      <c r="AF897" s="6">
        <v>2843.9884178951679</v>
      </c>
      <c r="AG897" s="5">
        <v>11602.335149645131</v>
      </c>
      <c r="AH897" s="7">
        <f t="shared" si="104"/>
        <v>2843.9884178951679</v>
      </c>
      <c r="AI897" s="8">
        <f t="shared" si="105"/>
        <v>11602.335149645131</v>
      </c>
      <c r="AJ897" s="6">
        <v>0</v>
      </c>
      <c r="AK897" s="5">
        <v>0</v>
      </c>
      <c r="AL897" s="6">
        <v>0</v>
      </c>
      <c r="AM897" s="5">
        <v>0</v>
      </c>
      <c r="AN897" s="6">
        <v>0</v>
      </c>
      <c r="AO897" s="5">
        <v>0</v>
      </c>
      <c r="AP897" s="6">
        <v>0</v>
      </c>
      <c r="AQ897" s="5">
        <v>0</v>
      </c>
      <c r="AR897" s="6">
        <v>0</v>
      </c>
      <c r="AS897" s="5">
        <v>0</v>
      </c>
      <c r="AT897" s="6">
        <v>0</v>
      </c>
      <c r="AU897" s="5">
        <v>0</v>
      </c>
      <c r="AV897" s="6">
        <v>0</v>
      </c>
      <c r="AW897" s="5">
        <v>0</v>
      </c>
      <c r="AX897" s="6">
        <v>0</v>
      </c>
      <c r="AY897" s="5">
        <v>0</v>
      </c>
      <c r="AZ897" s="6">
        <v>0</v>
      </c>
      <c r="BA897" s="5">
        <v>0</v>
      </c>
      <c r="BB897" s="6">
        <v>0</v>
      </c>
      <c r="BC897" s="5">
        <v>0</v>
      </c>
      <c r="BD897" s="6">
        <v>0</v>
      </c>
      <c r="BE897" s="5">
        <v>0</v>
      </c>
      <c r="BF897" s="6">
        <v>3045</v>
      </c>
      <c r="BG897" s="5">
        <v>12948.81198858453</v>
      </c>
      <c r="BH897" s="9">
        <f t="shared" si="106"/>
        <v>3045</v>
      </c>
      <c r="BI897" s="10">
        <f t="shared" si="107"/>
        <v>12948.81198858453</v>
      </c>
      <c r="BJ897" s="6">
        <f t="shared" si="108"/>
        <v>201.01158210483209</v>
      </c>
      <c r="BK897" s="11">
        <f t="shared" si="109"/>
        <v>7.0679465795293397E-2</v>
      </c>
      <c r="BL897" s="5">
        <f t="shared" si="110"/>
        <v>1346.4768389393994</v>
      </c>
      <c r="BM897" s="11">
        <f t="shared" si="111"/>
        <v>0.11605222755356992</v>
      </c>
    </row>
    <row r="898" spans="1:65" ht="15" customHeight="1" x14ac:dyDescent="0.4">
      <c r="A898" s="2" t="s">
        <v>654</v>
      </c>
      <c r="B898" s="2" t="s">
        <v>655</v>
      </c>
      <c r="C898" s="2" t="s">
        <v>656</v>
      </c>
      <c r="D898" s="3" t="s">
        <v>68</v>
      </c>
      <c r="E898" s="3" t="s">
        <v>673</v>
      </c>
      <c r="F898" s="2" t="s">
        <v>93</v>
      </c>
      <c r="G898" s="4">
        <v>20</v>
      </c>
      <c r="H898" s="5">
        <v>3.99</v>
      </c>
      <c r="I898" s="5">
        <v>4.1590863841131513</v>
      </c>
      <c r="J898" s="6">
        <v>0</v>
      </c>
      <c r="K898" s="5">
        <v>0</v>
      </c>
      <c r="L898" s="6">
        <v>0</v>
      </c>
      <c r="M898" s="5">
        <v>0</v>
      </c>
      <c r="N898" s="6">
        <v>0</v>
      </c>
      <c r="O898" s="5">
        <v>0</v>
      </c>
      <c r="P898" s="6">
        <v>0</v>
      </c>
      <c r="Q898" s="5">
        <v>0</v>
      </c>
      <c r="R898" s="6">
        <v>0</v>
      </c>
      <c r="S898" s="5">
        <v>0</v>
      </c>
      <c r="T898" s="6">
        <v>0</v>
      </c>
      <c r="U898" s="5">
        <v>0</v>
      </c>
      <c r="V898" s="6">
        <v>0</v>
      </c>
      <c r="W898" s="5">
        <v>0</v>
      </c>
      <c r="X898" s="6">
        <v>0</v>
      </c>
      <c r="Y898" s="5">
        <v>0</v>
      </c>
      <c r="Z898" s="6">
        <v>0</v>
      </c>
      <c r="AA898" s="5">
        <v>0</v>
      </c>
      <c r="AB898" s="6">
        <v>0</v>
      </c>
      <c r="AC898" s="5">
        <v>0</v>
      </c>
      <c r="AD898" s="6">
        <v>0</v>
      </c>
      <c r="AE898" s="5">
        <v>0</v>
      </c>
      <c r="AF898" s="6">
        <v>1895.992278596779</v>
      </c>
      <c r="AG898" s="5">
        <v>7565.009191601147</v>
      </c>
      <c r="AH898" s="7">
        <f t="shared" ref="AH898:AH961" si="112">J898+L898+N898+P898+R898+T898+V898+X898+Z898+AB898+AD898+AF898</f>
        <v>1895.992278596779</v>
      </c>
      <c r="AI898" s="8">
        <f t="shared" ref="AI898:AI961" si="113">K898+M898+O898+Q898+S898+U898+W898+Y898+AA898+AC898+AE898+AG898</f>
        <v>7565.009191601147</v>
      </c>
      <c r="AJ898" s="6">
        <v>0</v>
      </c>
      <c r="AK898" s="5">
        <v>0</v>
      </c>
      <c r="AL898" s="6">
        <v>0</v>
      </c>
      <c r="AM898" s="5">
        <v>0</v>
      </c>
      <c r="AN898" s="6">
        <v>0</v>
      </c>
      <c r="AO898" s="5">
        <v>0</v>
      </c>
      <c r="AP898" s="6">
        <v>0</v>
      </c>
      <c r="AQ898" s="5">
        <v>0</v>
      </c>
      <c r="AR898" s="6">
        <v>0</v>
      </c>
      <c r="AS898" s="5">
        <v>0</v>
      </c>
      <c r="AT898" s="6">
        <v>0</v>
      </c>
      <c r="AU898" s="5">
        <v>0</v>
      </c>
      <c r="AV898" s="6">
        <v>0</v>
      </c>
      <c r="AW898" s="5">
        <v>0</v>
      </c>
      <c r="AX898" s="6">
        <v>0</v>
      </c>
      <c r="AY898" s="5">
        <v>0</v>
      </c>
      <c r="AZ898" s="6">
        <v>0</v>
      </c>
      <c r="BA898" s="5">
        <v>0</v>
      </c>
      <c r="BB898" s="6">
        <v>0</v>
      </c>
      <c r="BC898" s="5">
        <v>0</v>
      </c>
      <c r="BD898" s="6">
        <v>0</v>
      </c>
      <c r="BE898" s="5">
        <v>0</v>
      </c>
      <c r="BF898" s="6">
        <v>2040</v>
      </c>
      <c r="BG898" s="5">
        <v>8484.5362235908287</v>
      </c>
      <c r="BH898" s="9">
        <f t="shared" ref="BH898:BH961" si="114">AJ898+AL898+AN898+AP898+AR898+AT898+AV898+AX898+AZ898+BB898+BD898+BF898</f>
        <v>2040</v>
      </c>
      <c r="BI898" s="10">
        <f t="shared" ref="BI898:BI961" si="115">AK898+AM898+AO898+AQ898+AS898+AU898+AW898+AY898+BA898+BC898+BE898+BG898</f>
        <v>8484.5362235908287</v>
      </c>
      <c r="BJ898" s="6">
        <f t="shared" ref="BJ898:BJ961" si="116">BH898-AH898</f>
        <v>144.00772140322101</v>
      </c>
      <c r="BK898" s="11">
        <f t="shared" ref="BK898:BK961" si="117">IF(AH898&gt;0, BJ898/AH898, 0)</f>
        <v>7.595374887802861E-2</v>
      </c>
      <c r="BL898" s="5">
        <f t="shared" ref="BL898:BL961" si="118">BI898-AI898</f>
        <v>919.52703198968175</v>
      </c>
      <c r="BM898" s="11">
        <f t="shared" ref="BM898:BM961" si="119">IF(AI898&gt;0, BL898/AI898, 0)</f>
        <v>0.12155002177797253</v>
      </c>
    </row>
    <row r="899" spans="1:65" ht="15" customHeight="1" x14ac:dyDescent="0.4">
      <c r="A899" s="2" t="s">
        <v>654</v>
      </c>
      <c r="B899" s="2" t="s">
        <v>655</v>
      </c>
      <c r="C899" s="2" t="s">
        <v>656</v>
      </c>
      <c r="D899" s="3" t="s">
        <v>68</v>
      </c>
      <c r="E899" s="3" t="s">
        <v>674</v>
      </c>
      <c r="F899" s="2" t="s">
        <v>646</v>
      </c>
      <c r="G899" s="4">
        <v>20</v>
      </c>
      <c r="H899" s="5">
        <v>2.6414</v>
      </c>
      <c r="I899" s="5">
        <v>2.753336033833703</v>
      </c>
      <c r="J899" s="6">
        <v>0</v>
      </c>
      <c r="K899" s="5">
        <v>0</v>
      </c>
      <c r="L899" s="6">
        <v>0</v>
      </c>
      <c r="M899" s="5">
        <v>0</v>
      </c>
      <c r="N899" s="6">
        <v>0</v>
      </c>
      <c r="O899" s="5">
        <v>0</v>
      </c>
      <c r="P899" s="6">
        <v>0</v>
      </c>
      <c r="Q899" s="5">
        <v>0</v>
      </c>
      <c r="R899" s="6">
        <v>0</v>
      </c>
      <c r="S899" s="5">
        <v>0</v>
      </c>
      <c r="T899" s="6">
        <v>0</v>
      </c>
      <c r="U899" s="5">
        <v>0</v>
      </c>
      <c r="V899" s="6">
        <v>0</v>
      </c>
      <c r="W899" s="5">
        <v>0</v>
      </c>
      <c r="X899" s="6">
        <v>0</v>
      </c>
      <c r="Y899" s="5">
        <v>0</v>
      </c>
      <c r="Z899" s="6">
        <v>0</v>
      </c>
      <c r="AA899" s="5">
        <v>0</v>
      </c>
      <c r="AB899" s="6">
        <v>0</v>
      </c>
      <c r="AC899" s="5">
        <v>0</v>
      </c>
      <c r="AD899" s="6">
        <v>0</v>
      </c>
      <c r="AE899" s="5">
        <v>0</v>
      </c>
      <c r="AF899" s="6">
        <v>2843.9884178951679</v>
      </c>
      <c r="AG899" s="5">
        <v>7512.1110070282966</v>
      </c>
      <c r="AH899" s="7">
        <f t="shared" si="112"/>
        <v>2843.9884178951679</v>
      </c>
      <c r="AI899" s="8">
        <f t="shared" si="113"/>
        <v>7512.1110070282966</v>
      </c>
      <c r="AJ899" s="6">
        <v>0</v>
      </c>
      <c r="AK899" s="5">
        <v>0</v>
      </c>
      <c r="AL899" s="6">
        <v>0</v>
      </c>
      <c r="AM899" s="5">
        <v>0</v>
      </c>
      <c r="AN899" s="6">
        <v>0</v>
      </c>
      <c r="AO899" s="5">
        <v>0</v>
      </c>
      <c r="AP899" s="6">
        <v>0</v>
      </c>
      <c r="AQ899" s="5">
        <v>0</v>
      </c>
      <c r="AR899" s="6">
        <v>0</v>
      </c>
      <c r="AS899" s="5">
        <v>0</v>
      </c>
      <c r="AT899" s="6">
        <v>0</v>
      </c>
      <c r="AU899" s="5">
        <v>0</v>
      </c>
      <c r="AV899" s="6">
        <v>0</v>
      </c>
      <c r="AW899" s="5">
        <v>0</v>
      </c>
      <c r="AX899" s="6">
        <v>0</v>
      </c>
      <c r="AY899" s="5">
        <v>0</v>
      </c>
      <c r="AZ899" s="6">
        <v>0</v>
      </c>
      <c r="BA899" s="5">
        <v>0</v>
      </c>
      <c r="BB899" s="6">
        <v>0</v>
      </c>
      <c r="BC899" s="5">
        <v>0</v>
      </c>
      <c r="BD899" s="6">
        <v>0</v>
      </c>
      <c r="BE899" s="5">
        <v>0</v>
      </c>
      <c r="BF899" s="6">
        <v>3100</v>
      </c>
      <c r="BG899" s="5">
        <v>8535.3417048844804</v>
      </c>
      <c r="BH899" s="9">
        <f t="shared" si="114"/>
        <v>3100</v>
      </c>
      <c r="BI899" s="10">
        <f t="shared" si="115"/>
        <v>8535.3417048844804</v>
      </c>
      <c r="BJ899" s="6">
        <f t="shared" si="116"/>
        <v>256.01158210483209</v>
      </c>
      <c r="BK899" s="11">
        <f t="shared" si="117"/>
        <v>9.0018503765323318E-2</v>
      </c>
      <c r="BL899" s="5">
        <f t="shared" si="118"/>
        <v>1023.2306978561837</v>
      </c>
      <c r="BM899" s="11">
        <f t="shared" si="119"/>
        <v>0.13621080637637725</v>
      </c>
    </row>
    <row r="900" spans="1:65" ht="15" customHeight="1" x14ac:dyDescent="0.4">
      <c r="A900" s="2" t="s">
        <v>654</v>
      </c>
      <c r="B900" s="2" t="s">
        <v>655</v>
      </c>
      <c r="C900" s="2" t="s">
        <v>656</v>
      </c>
      <c r="D900" s="3" t="s">
        <v>68</v>
      </c>
      <c r="E900" s="3" t="s">
        <v>675</v>
      </c>
      <c r="F900" s="2" t="s">
        <v>676</v>
      </c>
      <c r="G900" s="4">
        <v>1</v>
      </c>
      <c r="H900" s="5">
        <v>4.7046766169154219</v>
      </c>
      <c r="I900" s="5">
        <v>4.9040492378617691</v>
      </c>
      <c r="J900" s="6">
        <v>0</v>
      </c>
      <c r="K900" s="5">
        <v>0</v>
      </c>
      <c r="L900" s="6">
        <v>0</v>
      </c>
      <c r="M900" s="5">
        <v>0</v>
      </c>
      <c r="N900" s="6">
        <v>0</v>
      </c>
      <c r="O900" s="5">
        <v>0</v>
      </c>
      <c r="P900" s="6">
        <v>0</v>
      </c>
      <c r="Q900" s="5">
        <v>0</v>
      </c>
      <c r="R900" s="6">
        <v>0</v>
      </c>
      <c r="S900" s="5">
        <v>0</v>
      </c>
      <c r="T900" s="6">
        <v>0</v>
      </c>
      <c r="U900" s="5">
        <v>0</v>
      </c>
      <c r="V900" s="6">
        <v>0</v>
      </c>
      <c r="W900" s="5">
        <v>0</v>
      </c>
      <c r="X900" s="6">
        <v>0</v>
      </c>
      <c r="Y900" s="5">
        <v>0</v>
      </c>
      <c r="Z900" s="6">
        <v>0</v>
      </c>
      <c r="AA900" s="5">
        <v>0</v>
      </c>
      <c r="AB900" s="6">
        <v>0</v>
      </c>
      <c r="AC900" s="5">
        <v>0</v>
      </c>
      <c r="AD900" s="6">
        <v>0</v>
      </c>
      <c r="AE900" s="5">
        <v>0</v>
      </c>
      <c r="AF900" s="6">
        <v>1895.992278596779</v>
      </c>
      <c r="AG900" s="5">
        <v>8920.0305389664554</v>
      </c>
      <c r="AH900" s="7">
        <f t="shared" si="112"/>
        <v>1895.992278596779</v>
      </c>
      <c r="AI900" s="8">
        <f t="shared" si="113"/>
        <v>8920.0305389664554</v>
      </c>
      <c r="AJ900" s="6">
        <v>0</v>
      </c>
      <c r="AK900" s="5">
        <v>0</v>
      </c>
      <c r="AL900" s="6">
        <v>0</v>
      </c>
      <c r="AM900" s="5">
        <v>0</v>
      </c>
      <c r="AN900" s="6">
        <v>0</v>
      </c>
      <c r="AO900" s="5">
        <v>0</v>
      </c>
      <c r="AP900" s="6">
        <v>0</v>
      </c>
      <c r="AQ900" s="5">
        <v>0</v>
      </c>
      <c r="AR900" s="6">
        <v>0</v>
      </c>
      <c r="AS900" s="5">
        <v>0</v>
      </c>
      <c r="AT900" s="6">
        <v>0</v>
      </c>
      <c r="AU900" s="5">
        <v>0</v>
      </c>
      <c r="AV900" s="6">
        <v>0</v>
      </c>
      <c r="AW900" s="5">
        <v>0</v>
      </c>
      <c r="AX900" s="6">
        <v>0</v>
      </c>
      <c r="AY900" s="5">
        <v>0</v>
      </c>
      <c r="AZ900" s="6">
        <v>0</v>
      </c>
      <c r="BA900" s="5">
        <v>0</v>
      </c>
      <c r="BB900" s="6">
        <v>0</v>
      </c>
      <c r="BC900" s="5">
        <v>0</v>
      </c>
      <c r="BD900" s="6">
        <v>0</v>
      </c>
      <c r="BE900" s="5">
        <v>0</v>
      </c>
      <c r="BF900" s="6">
        <v>2070</v>
      </c>
      <c r="BG900" s="5">
        <v>10151.381922373859</v>
      </c>
      <c r="BH900" s="9">
        <f t="shared" si="114"/>
        <v>2070</v>
      </c>
      <c r="BI900" s="10">
        <f t="shared" si="115"/>
        <v>10151.381922373859</v>
      </c>
      <c r="BJ900" s="6">
        <f t="shared" si="116"/>
        <v>174.00772140322101</v>
      </c>
      <c r="BK900" s="11">
        <f t="shared" si="117"/>
        <v>9.1776598126234912E-2</v>
      </c>
      <c r="BL900" s="5">
        <f t="shared" si="118"/>
        <v>1231.3513834074038</v>
      </c>
      <c r="BM900" s="11">
        <f t="shared" si="119"/>
        <v>0.1380434044511778</v>
      </c>
    </row>
    <row r="901" spans="1:65" ht="15" customHeight="1" x14ac:dyDescent="0.4">
      <c r="A901" s="2" t="s">
        <v>654</v>
      </c>
      <c r="B901" s="2" t="s">
        <v>655</v>
      </c>
      <c r="C901" s="2" t="s">
        <v>656</v>
      </c>
      <c r="D901" s="3" t="s">
        <v>68</v>
      </c>
      <c r="E901" s="3" t="s">
        <v>677</v>
      </c>
      <c r="F901" s="2" t="s">
        <v>678</v>
      </c>
      <c r="G901" s="4">
        <v>1</v>
      </c>
      <c r="H901" s="5">
        <v>4.6072038834951456</v>
      </c>
      <c r="I901" s="5">
        <v>4.8024458497939566</v>
      </c>
      <c r="J901" s="6">
        <v>0</v>
      </c>
      <c r="K901" s="5">
        <v>0</v>
      </c>
      <c r="L901" s="6">
        <v>0</v>
      </c>
      <c r="M901" s="5">
        <v>0</v>
      </c>
      <c r="N901" s="6">
        <v>0</v>
      </c>
      <c r="O901" s="5">
        <v>0</v>
      </c>
      <c r="P901" s="6">
        <v>0</v>
      </c>
      <c r="Q901" s="5">
        <v>0</v>
      </c>
      <c r="R901" s="6">
        <v>0</v>
      </c>
      <c r="S901" s="5">
        <v>0</v>
      </c>
      <c r="T901" s="6">
        <v>0</v>
      </c>
      <c r="U901" s="5">
        <v>0</v>
      </c>
      <c r="V901" s="6">
        <v>0</v>
      </c>
      <c r="W901" s="5">
        <v>0</v>
      </c>
      <c r="X901" s="6">
        <v>0</v>
      </c>
      <c r="Y901" s="5">
        <v>0</v>
      </c>
      <c r="Z901" s="6">
        <v>0</v>
      </c>
      <c r="AA901" s="5">
        <v>0</v>
      </c>
      <c r="AB901" s="6">
        <v>0</v>
      </c>
      <c r="AC901" s="5">
        <v>0</v>
      </c>
      <c r="AD901" s="6">
        <v>0</v>
      </c>
      <c r="AE901" s="5">
        <v>0</v>
      </c>
      <c r="AF901" s="6">
        <v>947.99613929838938</v>
      </c>
      <c r="AG901" s="5">
        <v>4367.6114945139443</v>
      </c>
      <c r="AH901" s="7">
        <f t="shared" si="112"/>
        <v>947.99613929838938</v>
      </c>
      <c r="AI901" s="8">
        <f t="shared" si="113"/>
        <v>4367.6114945139443</v>
      </c>
      <c r="AJ901" s="6">
        <v>0</v>
      </c>
      <c r="AK901" s="5">
        <v>0</v>
      </c>
      <c r="AL901" s="6">
        <v>0</v>
      </c>
      <c r="AM901" s="5">
        <v>0</v>
      </c>
      <c r="AN901" s="6">
        <v>0</v>
      </c>
      <c r="AO901" s="5">
        <v>0</v>
      </c>
      <c r="AP901" s="6">
        <v>0</v>
      </c>
      <c r="AQ901" s="5">
        <v>0</v>
      </c>
      <c r="AR901" s="6">
        <v>0</v>
      </c>
      <c r="AS901" s="5">
        <v>0</v>
      </c>
      <c r="AT901" s="6">
        <v>0</v>
      </c>
      <c r="AU901" s="5">
        <v>0</v>
      </c>
      <c r="AV901" s="6">
        <v>0</v>
      </c>
      <c r="AW901" s="5">
        <v>0</v>
      </c>
      <c r="AX901" s="6">
        <v>0</v>
      </c>
      <c r="AY901" s="5">
        <v>0</v>
      </c>
      <c r="AZ901" s="6">
        <v>0</v>
      </c>
      <c r="BA901" s="5">
        <v>0</v>
      </c>
      <c r="BB901" s="6">
        <v>0</v>
      </c>
      <c r="BC901" s="5">
        <v>0</v>
      </c>
      <c r="BD901" s="6">
        <v>0</v>
      </c>
      <c r="BE901" s="5">
        <v>0</v>
      </c>
      <c r="BF901" s="6">
        <v>1015</v>
      </c>
      <c r="BG901" s="5">
        <v>4874.4825375408673</v>
      </c>
      <c r="BH901" s="9">
        <f t="shared" si="114"/>
        <v>1015</v>
      </c>
      <c r="BI901" s="10">
        <f t="shared" si="115"/>
        <v>4874.4825375408673</v>
      </c>
      <c r="BJ901" s="6">
        <f t="shared" si="116"/>
        <v>67.00386070161062</v>
      </c>
      <c r="BK901" s="11">
        <f t="shared" si="117"/>
        <v>7.06794657952933E-2</v>
      </c>
      <c r="BL901" s="5">
        <f t="shared" si="118"/>
        <v>506.87104302692296</v>
      </c>
      <c r="BM901" s="11">
        <f t="shared" si="119"/>
        <v>0.11605222755357063</v>
      </c>
    </row>
    <row r="902" spans="1:65" ht="15" customHeight="1" x14ac:dyDescent="0.4">
      <c r="A902" s="2" t="s">
        <v>654</v>
      </c>
      <c r="B902" s="2" t="s">
        <v>655</v>
      </c>
      <c r="C902" s="2" t="s">
        <v>656</v>
      </c>
      <c r="D902" s="3" t="s">
        <v>68</v>
      </c>
      <c r="E902" s="3" t="s">
        <v>679</v>
      </c>
      <c r="F902" s="2" t="s">
        <v>327</v>
      </c>
      <c r="G902" s="4">
        <v>5</v>
      </c>
      <c r="H902" s="5">
        <v>4.1265999999999998</v>
      </c>
      <c r="I902" s="5">
        <v>4.3014751560604836</v>
      </c>
      <c r="J902" s="6">
        <v>0</v>
      </c>
      <c r="K902" s="5">
        <v>0</v>
      </c>
      <c r="L902" s="6">
        <v>0</v>
      </c>
      <c r="M902" s="5">
        <v>0</v>
      </c>
      <c r="N902" s="6">
        <v>0</v>
      </c>
      <c r="O902" s="5">
        <v>0</v>
      </c>
      <c r="P902" s="6">
        <v>0</v>
      </c>
      <c r="Q902" s="5">
        <v>0</v>
      </c>
      <c r="R902" s="6">
        <v>0</v>
      </c>
      <c r="S902" s="5">
        <v>0</v>
      </c>
      <c r="T902" s="6">
        <v>0</v>
      </c>
      <c r="U902" s="5">
        <v>0</v>
      </c>
      <c r="V902" s="6">
        <v>0</v>
      </c>
      <c r="W902" s="5">
        <v>0</v>
      </c>
      <c r="X902" s="6">
        <v>0</v>
      </c>
      <c r="Y902" s="5">
        <v>0</v>
      </c>
      <c r="Z902" s="6">
        <v>0</v>
      </c>
      <c r="AA902" s="5">
        <v>0</v>
      </c>
      <c r="AB902" s="6">
        <v>0</v>
      </c>
      <c r="AC902" s="5">
        <v>0</v>
      </c>
      <c r="AD902" s="6">
        <v>0</v>
      </c>
      <c r="AE902" s="5">
        <v>0</v>
      </c>
      <c r="AF902" s="6">
        <v>947.99613929838938</v>
      </c>
      <c r="AG902" s="5">
        <v>3912.0008684287341</v>
      </c>
      <c r="AH902" s="7">
        <f t="shared" si="112"/>
        <v>947.99613929838938</v>
      </c>
      <c r="AI902" s="8">
        <f t="shared" si="113"/>
        <v>3912.0008684287341</v>
      </c>
      <c r="AJ902" s="6">
        <v>0</v>
      </c>
      <c r="AK902" s="5">
        <v>0</v>
      </c>
      <c r="AL902" s="6">
        <v>0</v>
      </c>
      <c r="AM902" s="5">
        <v>0</v>
      </c>
      <c r="AN902" s="6">
        <v>0</v>
      </c>
      <c r="AO902" s="5">
        <v>0</v>
      </c>
      <c r="AP902" s="6">
        <v>0</v>
      </c>
      <c r="AQ902" s="5">
        <v>0</v>
      </c>
      <c r="AR902" s="6">
        <v>0</v>
      </c>
      <c r="AS902" s="5">
        <v>0</v>
      </c>
      <c r="AT902" s="6">
        <v>0</v>
      </c>
      <c r="AU902" s="5">
        <v>0</v>
      </c>
      <c r="AV902" s="6">
        <v>0</v>
      </c>
      <c r="AW902" s="5">
        <v>0</v>
      </c>
      <c r="AX902" s="6">
        <v>0</v>
      </c>
      <c r="AY902" s="5">
        <v>0</v>
      </c>
      <c r="AZ902" s="6">
        <v>0</v>
      </c>
      <c r="BA902" s="5">
        <v>0</v>
      </c>
      <c r="BB902" s="6">
        <v>0</v>
      </c>
      <c r="BC902" s="5">
        <v>0</v>
      </c>
      <c r="BD902" s="6">
        <v>0</v>
      </c>
      <c r="BE902" s="5">
        <v>0</v>
      </c>
      <c r="BF902" s="6">
        <v>1015</v>
      </c>
      <c r="BG902" s="5">
        <v>4365.9972834013906</v>
      </c>
      <c r="BH902" s="9">
        <f t="shared" si="114"/>
        <v>1015</v>
      </c>
      <c r="BI902" s="10">
        <f t="shared" si="115"/>
        <v>4365.9972834013906</v>
      </c>
      <c r="BJ902" s="6">
        <f t="shared" si="116"/>
        <v>67.00386070161062</v>
      </c>
      <c r="BK902" s="11">
        <f t="shared" si="117"/>
        <v>7.06794657952933E-2</v>
      </c>
      <c r="BL902" s="5">
        <f t="shared" si="118"/>
        <v>453.99641497265657</v>
      </c>
      <c r="BM902" s="11">
        <f t="shared" si="119"/>
        <v>0.11605222755357042</v>
      </c>
    </row>
    <row r="903" spans="1:65" ht="15" customHeight="1" x14ac:dyDescent="0.4">
      <c r="A903" s="2" t="s">
        <v>654</v>
      </c>
      <c r="B903" s="2" t="s">
        <v>655</v>
      </c>
      <c r="C903" s="2" t="s">
        <v>656</v>
      </c>
      <c r="D903" s="3" t="s">
        <v>68</v>
      </c>
      <c r="E903" s="3" t="s">
        <v>680</v>
      </c>
      <c r="F903" s="2" t="s">
        <v>431</v>
      </c>
      <c r="G903" s="4">
        <v>5</v>
      </c>
      <c r="H903" s="5">
        <v>2.8</v>
      </c>
      <c r="I903" s="5">
        <v>2.918657111658352</v>
      </c>
      <c r="J903" s="6">
        <v>5440.796208062673</v>
      </c>
      <c r="K903" s="5">
        <v>15234.22938257548</v>
      </c>
      <c r="L903" s="6">
        <v>0</v>
      </c>
      <c r="M903" s="5">
        <v>0</v>
      </c>
      <c r="N903" s="6">
        <v>0</v>
      </c>
      <c r="O903" s="5">
        <v>0</v>
      </c>
      <c r="P903" s="6">
        <v>0</v>
      </c>
      <c r="Q903" s="5">
        <v>0</v>
      </c>
      <c r="R903" s="6">
        <v>0</v>
      </c>
      <c r="S903" s="5">
        <v>0</v>
      </c>
      <c r="T903" s="6">
        <v>0</v>
      </c>
      <c r="U903" s="5">
        <v>0</v>
      </c>
      <c r="V903" s="6">
        <v>0</v>
      </c>
      <c r="W903" s="5">
        <v>0</v>
      </c>
      <c r="X903" s="6">
        <v>0</v>
      </c>
      <c r="Y903" s="5">
        <v>0</v>
      </c>
      <c r="Z903" s="6">
        <v>0</v>
      </c>
      <c r="AA903" s="5">
        <v>0</v>
      </c>
      <c r="AB903" s="6">
        <v>0</v>
      </c>
      <c r="AC903" s="5">
        <v>0</v>
      </c>
      <c r="AD903" s="6">
        <v>0</v>
      </c>
      <c r="AE903" s="5">
        <v>0</v>
      </c>
      <c r="AF903" s="6">
        <v>0</v>
      </c>
      <c r="AG903" s="5">
        <v>0</v>
      </c>
      <c r="AH903" s="7">
        <f t="shared" si="112"/>
        <v>5440.796208062673</v>
      </c>
      <c r="AI903" s="8">
        <f t="shared" si="113"/>
        <v>15234.22938257548</v>
      </c>
      <c r="AJ903" s="6">
        <v>6855</v>
      </c>
      <c r="AK903" s="5">
        <v>20007.394500417999</v>
      </c>
      <c r="AL903" s="6">
        <v>0</v>
      </c>
      <c r="AM903" s="5">
        <v>0</v>
      </c>
      <c r="AN903" s="6">
        <v>0</v>
      </c>
      <c r="AO903" s="5">
        <v>0</v>
      </c>
      <c r="AP903" s="6">
        <v>0</v>
      </c>
      <c r="AQ903" s="5">
        <v>0</v>
      </c>
      <c r="AR903" s="6">
        <v>0</v>
      </c>
      <c r="AS903" s="5">
        <v>0</v>
      </c>
      <c r="AT903" s="6">
        <v>0</v>
      </c>
      <c r="AU903" s="5">
        <v>0</v>
      </c>
      <c r="AV903" s="6">
        <v>0</v>
      </c>
      <c r="AW903" s="5">
        <v>0</v>
      </c>
      <c r="AX903" s="6">
        <v>0</v>
      </c>
      <c r="AY903" s="5">
        <v>0</v>
      </c>
      <c r="AZ903" s="6">
        <v>0</v>
      </c>
      <c r="BA903" s="5">
        <v>0</v>
      </c>
      <c r="BB903" s="6">
        <v>0</v>
      </c>
      <c r="BC903" s="5">
        <v>0</v>
      </c>
      <c r="BD903" s="6">
        <v>0</v>
      </c>
      <c r="BE903" s="5">
        <v>0</v>
      </c>
      <c r="BF903" s="6">
        <v>0</v>
      </c>
      <c r="BG903" s="5">
        <v>0</v>
      </c>
      <c r="BH903" s="9">
        <f t="shared" si="114"/>
        <v>6855</v>
      </c>
      <c r="BI903" s="10">
        <f t="shared" si="115"/>
        <v>20007.394500417999</v>
      </c>
      <c r="BJ903" s="6">
        <f t="shared" si="116"/>
        <v>1414.203791937327</v>
      </c>
      <c r="BK903" s="11">
        <f t="shared" si="117"/>
        <v>0.25992588912660053</v>
      </c>
      <c r="BL903" s="5">
        <f t="shared" si="118"/>
        <v>4773.1651178425182</v>
      </c>
      <c r="BM903" s="11">
        <f t="shared" si="119"/>
        <v>0.31331844873636611</v>
      </c>
    </row>
    <row r="904" spans="1:65" ht="15" customHeight="1" x14ac:dyDescent="0.4">
      <c r="A904" s="2" t="s">
        <v>654</v>
      </c>
      <c r="B904" s="2" t="s">
        <v>655</v>
      </c>
      <c r="C904" s="2" t="s">
        <v>656</v>
      </c>
      <c r="D904" s="3" t="s">
        <v>68</v>
      </c>
      <c r="E904" s="3" t="s">
        <v>681</v>
      </c>
      <c r="F904" s="2" t="s">
        <v>682</v>
      </c>
      <c r="G904" s="4">
        <v>1</v>
      </c>
      <c r="H904" s="5">
        <v>4.3099999999999996</v>
      </c>
      <c r="I904" s="5">
        <v>4.4926471968741062</v>
      </c>
      <c r="J904" s="6">
        <v>0</v>
      </c>
      <c r="K904" s="5">
        <v>0</v>
      </c>
      <c r="L904" s="6">
        <v>0</v>
      </c>
      <c r="M904" s="5">
        <v>0</v>
      </c>
      <c r="N904" s="6">
        <v>0</v>
      </c>
      <c r="O904" s="5">
        <v>0</v>
      </c>
      <c r="P904" s="6">
        <v>0</v>
      </c>
      <c r="Q904" s="5">
        <v>0</v>
      </c>
      <c r="R904" s="6">
        <v>0</v>
      </c>
      <c r="S904" s="5">
        <v>0</v>
      </c>
      <c r="T904" s="6">
        <v>985.2787314964404</v>
      </c>
      <c r="U904" s="5">
        <v>4246.5513327496583</v>
      </c>
      <c r="V904" s="6">
        <v>0</v>
      </c>
      <c r="W904" s="5">
        <v>0</v>
      </c>
      <c r="X904" s="6">
        <v>0</v>
      </c>
      <c r="Y904" s="5">
        <v>0</v>
      </c>
      <c r="Z904" s="6">
        <v>0</v>
      </c>
      <c r="AA904" s="5">
        <v>0</v>
      </c>
      <c r="AB904" s="6">
        <v>0</v>
      </c>
      <c r="AC904" s="5">
        <v>0</v>
      </c>
      <c r="AD904" s="6">
        <v>0</v>
      </c>
      <c r="AE904" s="5">
        <v>0</v>
      </c>
      <c r="AF904" s="6">
        <v>0</v>
      </c>
      <c r="AG904" s="5">
        <v>0</v>
      </c>
      <c r="AH904" s="7">
        <f t="shared" si="112"/>
        <v>985.2787314964404</v>
      </c>
      <c r="AI904" s="8">
        <f t="shared" si="113"/>
        <v>4246.5513327496583</v>
      </c>
      <c r="AJ904" s="6">
        <v>0</v>
      </c>
      <c r="AK904" s="5">
        <v>0</v>
      </c>
      <c r="AL904" s="6">
        <v>0</v>
      </c>
      <c r="AM904" s="5">
        <v>0</v>
      </c>
      <c r="AN904" s="6">
        <v>0</v>
      </c>
      <c r="AO904" s="5">
        <v>0</v>
      </c>
      <c r="AP904" s="6">
        <v>0</v>
      </c>
      <c r="AQ904" s="5">
        <v>0</v>
      </c>
      <c r="AR904" s="6">
        <v>0</v>
      </c>
      <c r="AS904" s="5">
        <v>0</v>
      </c>
      <c r="AT904" s="6">
        <v>1055</v>
      </c>
      <c r="AU904" s="5">
        <v>4739.7427927021818</v>
      </c>
      <c r="AV904" s="6">
        <v>0</v>
      </c>
      <c r="AW904" s="5">
        <v>0</v>
      </c>
      <c r="AX904" s="6">
        <v>0</v>
      </c>
      <c r="AY904" s="5">
        <v>0</v>
      </c>
      <c r="AZ904" s="6">
        <v>0</v>
      </c>
      <c r="BA904" s="5">
        <v>0</v>
      </c>
      <c r="BB904" s="6">
        <v>0</v>
      </c>
      <c r="BC904" s="5">
        <v>0</v>
      </c>
      <c r="BD904" s="6">
        <v>0</v>
      </c>
      <c r="BE904" s="5">
        <v>0</v>
      </c>
      <c r="BF904" s="6">
        <v>0</v>
      </c>
      <c r="BG904" s="5">
        <v>0</v>
      </c>
      <c r="BH904" s="9">
        <f t="shared" si="114"/>
        <v>1055</v>
      </c>
      <c r="BI904" s="10">
        <f t="shared" si="115"/>
        <v>4739.7427927021818</v>
      </c>
      <c r="BJ904" s="6">
        <f t="shared" si="116"/>
        <v>69.7212685035596</v>
      </c>
      <c r="BK904" s="11">
        <f t="shared" si="117"/>
        <v>7.0762989471686868E-2</v>
      </c>
      <c r="BL904" s="5">
        <f t="shared" si="118"/>
        <v>493.19145995252347</v>
      </c>
      <c r="BM904" s="11">
        <f t="shared" si="119"/>
        <v>0.11613929075789133</v>
      </c>
    </row>
    <row r="905" spans="1:65" ht="15" customHeight="1" x14ac:dyDescent="0.4">
      <c r="A905" s="2" t="s">
        <v>654</v>
      </c>
      <c r="B905" s="2" t="s">
        <v>655</v>
      </c>
      <c r="C905" s="2" t="s">
        <v>656</v>
      </c>
      <c r="D905" s="3" t="s">
        <v>68</v>
      </c>
      <c r="E905" s="3" t="s">
        <v>683</v>
      </c>
      <c r="F905" s="2" t="s">
        <v>150</v>
      </c>
      <c r="G905" s="4">
        <v>5</v>
      </c>
      <c r="H905" s="5">
        <v>3.08</v>
      </c>
      <c r="I905" s="5">
        <v>3.2105228228241862</v>
      </c>
      <c r="J905" s="6">
        <v>0</v>
      </c>
      <c r="K905" s="5">
        <v>0</v>
      </c>
      <c r="L905" s="6">
        <v>0</v>
      </c>
      <c r="M905" s="5">
        <v>0</v>
      </c>
      <c r="N905" s="6">
        <v>0</v>
      </c>
      <c r="O905" s="5">
        <v>0</v>
      </c>
      <c r="P905" s="6">
        <v>791.38853935457064</v>
      </c>
      <c r="Q905" s="5">
        <v>2437.4767012120769</v>
      </c>
      <c r="R905" s="6">
        <v>0</v>
      </c>
      <c r="S905" s="5">
        <v>0</v>
      </c>
      <c r="T905" s="6">
        <v>0</v>
      </c>
      <c r="U905" s="5">
        <v>0</v>
      </c>
      <c r="V905" s="6">
        <v>0</v>
      </c>
      <c r="W905" s="5">
        <v>0</v>
      </c>
      <c r="X905" s="6">
        <v>0</v>
      </c>
      <c r="Y905" s="5">
        <v>0</v>
      </c>
      <c r="Z905" s="6">
        <v>0</v>
      </c>
      <c r="AA905" s="5">
        <v>0</v>
      </c>
      <c r="AB905" s="6">
        <v>0</v>
      </c>
      <c r="AC905" s="5">
        <v>0</v>
      </c>
      <c r="AD905" s="6">
        <v>0</v>
      </c>
      <c r="AE905" s="5">
        <v>0</v>
      </c>
      <c r="AF905" s="6">
        <v>0</v>
      </c>
      <c r="AG905" s="5">
        <v>0</v>
      </c>
      <c r="AH905" s="7">
        <f t="shared" si="112"/>
        <v>791.38853935457064</v>
      </c>
      <c r="AI905" s="8">
        <f t="shared" si="113"/>
        <v>2437.4767012120769</v>
      </c>
      <c r="AJ905" s="6">
        <v>0</v>
      </c>
      <c r="AK905" s="5">
        <v>0</v>
      </c>
      <c r="AL905" s="6">
        <v>0</v>
      </c>
      <c r="AM905" s="5">
        <v>0</v>
      </c>
      <c r="AN905" s="6">
        <v>0</v>
      </c>
      <c r="AO905" s="5">
        <v>0</v>
      </c>
      <c r="AP905" s="6">
        <v>850</v>
      </c>
      <c r="AQ905" s="5">
        <v>2728.9443994005578</v>
      </c>
      <c r="AR905" s="6">
        <v>0</v>
      </c>
      <c r="AS905" s="5">
        <v>0</v>
      </c>
      <c r="AT905" s="6">
        <v>0</v>
      </c>
      <c r="AU905" s="5">
        <v>0</v>
      </c>
      <c r="AV905" s="6">
        <v>0</v>
      </c>
      <c r="AW905" s="5">
        <v>0</v>
      </c>
      <c r="AX905" s="6">
        <v>0</v>
      </c>
      <c r="AY905" s="5">
        <v>0</v>
      </c>
      <c r="AZ905" s="6">
        <v>0</v>
      </c>
      <c r="BA905" s="5">
        <v>0</v>
      </c>
      <c r="BB905" s="6">
        <v>0</v>
      </c>
      <c r="BC905" s="5">
        <v>0</v>
      </c>
      <c r="BD905" s="6">
        <v>0</v>
      </c>
      <c r="BE905" s="5">
        <v>0</v>
      </c>
      <c r="BF905" s="6">
        <v>0</v>
      </c>
      <c r="BG905" s="5">
        <v>0</v>
      </c>
      <c r="BH905" s="9">
        <f t="shared" si="114"/>
        <v>850</v>
      </c>
      <c r="BI905" s="10">
        <f t="shared" si="115"/>
        <v>2728.9443994005578</v>
      </c>
      <c r="BJ905" s="6">
        <f t="shared" si="116"/>
        <v>58.611460645429361</v>
      </c>
      <c r="BK905" s="11">
        <f t="shared" si="117"/>
        <v>7.4061548443992958E-2</v>
      </c>
      <c r="BL905" s="5">
        <f t="shared" si="118"/>
        <v>291.46769818848088</v>
      </c>
      <c r="BM905" s="11">
        <f t="shared" si="119"/>
        <v>0.11957763454458605</v>
      </c>
    </row>
    <row r="906" spans="1:65" ht="15" customHeight="1" x14ac:dyDescent="0.4">
      <c r="A906" s="2" t="s">
        <v>654</v>
      </c>
      <c r="B906" s="2" t="s">
        <v>655</v>
      </c>
      <c r="C906" s="2" t="s">
        <v>656</v>
      </c>
      <c r="D906" s="3" t="s">
        <v>68</v>
      </c>
      <c r="E906" s="3" t="s">
        <v>683</v>
      </c>
      <c r="F906" s="2" t="s">
        <v>682</v>
      </c>
      <c r="G906" s="4">
        <v>5</v>
      </c>
      <c r="H906" s="5">
        <v>3.08</v>
      </c>
      <c r="I906" s="5">
        <v>3.2105228228241862</v>
      </c>
      <c r="J906" s="6">
        <v>0</v>
      </c>
      <c r="K906" s="5">
        <v>0</v>
      </c>
      <c r="L906" s="6">
        <v>0</v>
      </c>
      <c r="M906" s="5">
        <v>0</v>
      </c>
      <c r="N906" s="6">
        <v>0</v>
      </c>
      <c r="O906" s="5">
        <v>0</v>
      </c>
      <c r="P906" s="6">
        <v>0</v>
      </c>
      <c r="Q906" s="5">
        <v>0</v>
      </c>
      <c r="R906" s="6">
        <v>0</v>
      </c>
      <c r="S906" s="5">
        <v>0</v>
      </c>
      <c r="T906" s="6">
        <v>1582.7770787091411</v>
      </c>
      <c r="U906" s="5">
        <v>4874.9534024241548</v>
      </c>
      <c r="V906" s="6">
        <v>0</v>
      </c>
      <c r="W906" s="5">
        <v>0</v>
      </c>
      <c r="X906" s="6">
        <v>0</v>
      </c>
      <c r="Y906" s="5">
        <v>0</v>
      </c>
      <c r="Z906" s="6">
        <v>0</v>
      </c>
      <c r="AA906" s="5">
        <v>0</v>
      </c>
      <c r="AB906" s="6">
        <v>0</v>
      </c>
      <c r="AC906" s="5">
        <v>0</v>
      </c>
      <c r="AD906" s="6">
        <v>0</v>
      </c>
      <c r="AE906" s="5">
        <v>0</v>
      </c>
      <c r="AF906" s="6">
        <v>0</v>
      </c>
      <c r="AG906" s="5">
        <v>0</v>
      </c>
      <c r="AH906" s="7">
        <f t="shared" si="112"/>
        <v>1582.7770787091411</v>
      </c>
      <c r="AI906" s="8">
        <f t="shared" si="113"/>
        <v>4874.9534024241548</v>
      </c>
      <c r="AJ906" s="6">
        <v>0</v>
      </c>
      <c r="AK906" s="5">
        <v>0</v>
      </c>
      <c r="AL906" s="6">
        <v>0</v>
      </c>
      <c r="AM906" s="5">
        <v>0</v>
      </c>
      <c r="AN906" s="6">
        <v>0</v>
      </c>
      <c r="AO906" s="5">
        <v>0</v>
      </c>
      <c r="AP906" s="6">
        <v>0</v>
      </c>
      <c r="AQ906" s="5">
        <v>0</v>
      </c>
      <c r="AR906" s="6">
        <v>0</v>
      </c>
      <c r="AS906" s="5">
        <v>0</v>
      </c>
      <c r="AT906" s="6">
        <v>1695</v>
      </c>
      <c r="AU906" s="5">
        <v>5441.8361846869957</v>
      </c>
      <c r="AV906" s="6">
        <v>0</v>
      </c>
      <c r="AW906" s="5">
        <v>0</v>
      </c>
      <c r="AX906" s="6">
        <v>0</v>
      </c>
      <c r="AY906" s="5">
        <v>0</v>
      </c>
      <c r="AZ906" s="6">
        <v>0</v>
      </c>
      <c r="BA906" s="5">
        <v>0</v>
      </c>
      <c r="BB906" s="6">
        <v>0</v>
      </c>
      <c r="BC906" s="5">
        <v>0</v>
      </c>
      <c r="BD906" s="6">
        <v>0</v>
      </c>
      <c r="BE906" s="5">
        <v>0</v>
      </c>
      <c r="BF906" s="6">
        <v>0</v>
      </c>
      <c r="BG906" s="5">
        <v>0</v>
      </c>
      <c r="BH906" s="9">
        <f t="shared" si="114"/>
        <v>1695</v>
      </c>
      <c r="BI906" s="10">
        <f t="shared" si="115"/>
        <v>5441.8361846869957</v>
      </c>
      <c r="BJ906" s="6">
        <f t="shared" si="116"/>
        <v>112.22292129085895</v>
      </c>
      <c r="BK906" s="11">
        <f t="shared" si="117"/>
        <v>7.0902543889746067E-2</v>
      </c>
      <c r="BL906" s="5">
        <f t="shared" si="118"/>
        <v>566.88278226284092</v>
      </c>
      <c r="BM906" s="11">
        <f t="shared" si="119"/>
        <v>0.11628475914886667</v>
      </c>
    </row>
    <row r="907" spans="1:65" ht="15" customHeight="1" x14ac:dyDescent="0.4">
      <c r="A907" s="2" t="s">
        <v>654</v>
      </c>
      <c r="B907" s="2" t="s">
        <v>655</v>
      </c>
      <c r="C907" s="2" t="s">
        <v>656</v>
      </c>
      <c r="D907" s="3" t="s">
        <v>68</v>
      </c>
      <c r="E907" s="3" t="s">
        <v>684</v>
      </c>
      <c r="F907" s="2" t="s">
        <v>76</v>
      </c>
      <c r="G907" s="4">
        <v>20</v>
      </c>
      <c r="H907" s="5">
        <v>2.8</v>
      </c>
      <c r="I907" s="5">
        <v>2.918657111658352</v>
      </c>
      <c r="J907" s="6">
        <v>0</v>
      </c>
      <c r="K907" s="5">
        <v>0</v>
      </c>
      <c r="L907" s="6">
        <v>0</v>
      </c>
      <c r="M907" s="5">
        <v>0</v>
      </c>
      <c r="N907" s="6">
        <v>0</v>
      </c>
      <c r="O907" s="5">
        <v>0</v>
      </c>
      <c r="P907" s="6">
        <v>1899.3324944509691</v>
      </c>
      <c r="Q907" s="5">
        <v>5318.130984462714</v>
      </c>
      <c r="R907" s="6">
        <v>0</v>
      </c>
      <c r="S907" s="5">
        <v>0</v>
      </c>
      <c r="T907" s="6">
        <v>0</v>
      </c>
      <c r="U907" s="5">
        <v>0</v>
      </c>
      <c r="V907" s="6">
        <v>0</v>
      </c>
      <c r="W907" s="5">
        <v>0</v>
      </c>
      <c r="X907" s="6">
        <v>0</v>
      </c>
      <c r="Y907" s="5">
        <v>0</v>
      </c>
      <c r="Z907" s="6">
        <v>0</v>
      </c>
      <c r="AA907" s="5">
        <v>0</v>
      </c>
      <c r="AB907" s="6">
        <v>0</v>
      </c>
      <c r="AC907" s="5">
        <v>0</v>
      </c>
      <c r="AD907" s="6">
        <v>0</v>
      </c>
      <c r="AE907" s="5">
        <v>0</v>
      </c>
      <c r="AF907" s="6">
        <v>0</v>
      </c>
      <c r="AG907" s="5">
        <v>0</v>
      </c>
      <c r="AH907" s="7">
        <f t="shared" si="112"/>
        <v>1899.3324944509691</v>
      </c>
      <c r="AI907" s="8">
        <f t="shared" si="113"/>
        <v>5318.130984462714</v>
      </c>
      <c r="AJ907" s="6">
        <v>0</v>
      </c>
      <c r="AK907" s="5">
        <v>0</v>
      </c>
      <c r="AL907" s="6">
        <v>0</v>
      </c>
      <c r="AM907" s="5">
        <v>0</v>
      </c>
      <c r="AN907" s="6">
        <v>0</v>
      </c>
      <c r="AO907" s="5">
        <v>0</v>
      </c>
      <c r="AP907" s="6">
        <v>2040</v>
      </c>
      <c r="AQ907" s="5">
        <v>5954.0605077830369</v>
      </c>
      <c r="AR907" s="6">
        <v>0</v>
      </c>
      <c r="AS907" s="5">
        <v>0</v>
      </c>
      <c r="AT907" s="6">
        <v>0</v>
      </c>
      <c r="AU907" s="5">
        <v>0</v>
      </c>
      <c r="AV907" s="6">
        <v>0</v>
      </c>
      <c r="AW907" s="5">
        <v>0</v>
      </c>
      <c r="AX907" s="6">
        <v>0</v>
      </c>
      <c r="AY907" s="5">
        <v>0</v>
      </c>
      <c r="AZ907" s="6">
        <v>0</v>
      </c>
      <c r="BA907" s="5">
        <v>0</v>
      </c>
      <c r="BB907" s="6">
        <v>0</v>
      </c>
      <c r="BC907" s="5">
        <v>0</v>
      </c>
      <c r="BD907" s="6">
        <v>0</v>
      </c>
      <c r="BE907" s="5">
        <v>0</v>
      </c>
      <c r="BF907" s="6">
        <v>0</v>
      </c>
      <c r="BG907" s="5">
        <v>0</v>
      </c>
      <c r="BH907" s="9">
        <f t="shared" si="114"/>
        <v>2040</v>
      </c>
      <c r="BI907" s="10">
        <f t="shared" si="115"/>
        <v>5954.0605077830369</v>
      </c>
      <c r="BJ907" s="6">
        <f t="shared" si="116"/>
        <v>140.66750554903092</v>
      </c>
      <c r="BK907" s="11">
        <f t="shared" si="117"/>
        <v>7.4061548443993208E-2</v>
      </c>
      <c r="BL907" s="5">
        <f t="shared" si="118"/>
        <v>635.92952332032291</v>
      </c>
      <c r="BM907" s="11">
        <f t="shared" si="119"/>
        <v>0.11957763454458621</v>
      </c>
    </row>
    <row r="908" spans="1:65" ht="15" customHeight="1" x14ac:dyDescent="0.4">
      <c r="A908" s="2" t="s">
        <v>654</v>
      </c>
      <c r="B908" s="2" t="s">
        <v>655</v>
      </c>
      <c r="C908" s="2" t="s">
        <v>656</v>
      </c>
      <c r="D908" s="3" t="s">
        <v>68</v>
      </c>
      <c r="E908" s="3" t="s">
        <v>684</v>
      </c>
      <c r="F908" s="2" t="s">
        <v>682</v>
      </c>
      <c r="G908" s="4">
        <v>20</v>
      </c>
      <c r="H908" s="5">
        <v>2.8</v>
      </c>
      <c r="I908" s="5">
        <v>2.918657111658352</v>
      </c>
      <c r="J908" s="6">
        <v>0</v>
      </c>
      <c r="K908" s="5">
        <v>0</v>
      </c>
      <c r="L908" s="6">
        <v>0</v>
      </c>
      <c r="M908" s="5">
        <v>0</v>
      </c>
      <c r="N908" s="6">
        <v>0</v>
      </c>
      <c r="O908" s="5">
        <v>0</v>
      </c>
      <c r="P908" s="6">
        <v>0</v>
      </c>
      <c r="Q908" s="5">
        <v>0</v>
      </c>
      <c r="R908" s="6">
        <v>0</v>
      </c>
      <c r="S908" s="5">
        <v>0</v>
      </c>
      <c r="T908" s="6">
        <v>3956.9426967728532</v>
      </c>
      <c r="U908" s="5">
        <v>11079.439550963991</v>
      </c>
      <c r="V908" s="6">
        <v>0</v>
      </c>
      <c r="W908" s="5">
        <v>0</v>
      </c>
      <c r="X908" s="6">
        <v>0</v>
      </c>
      <c r="Y908" s="5">
        <v>0</v>
      </c>
      <c r="Z908" s="6">
        <v>0</v>
      </c>
      <c r="AA908" s="5">
        <v>0</v>
      </c>
      <c r="AB908" s="6">
        <v>0</v>
      </c>
      <c r="AC908" s="5">
        <v>0</v>
      </c>
      <c r="AD908" s="6">
        <v>0</v>
      </c>
      <c r="AE908" s="5">
        <v>0</v>
      </c>
      <c r="AF908" s="6">
        <v>0</v>
      </c>
      <c r="AG908" s="5">
        <v>0</v>
      </c>
      <c r="AH908" s="7">
        <f t="shared" si="112"/>
        <v>3956.9426967728532</v>
      </c>
      <c r="AI908" s="8">
        <f t="shared" si="113"/>
        <v>11079.439550963991</v>
      </c>
      <c r="AJ908" s="6">
        <v>0</v>
      </c>
      <c r="AK908" s="5">
        <v>0</v>
      </c>
      <c r="AL908" s="6">
        <v>0</v>
      </c>
      <c r="AM908" s="5">
        <v>0</v>
      </c>
      <c r="AN908" s="6">
        <v>0</v>
      </c>
      <c r="AO908" s="5">
        <v>0</v>
      </c>
      <c r="AP908" s="6">
        <v>0</v>
      </c>
      <c r="AQ908" s="5">
        <v>0</v>
      </c>
      <c r="AR908" s="6">
        <v>0</v>
      </c>
      <c r="AS908" s="5">
        <v>0</v>
      </c>
      <c r="AT908" s="6">
        <v>4240</v>
      </c>
      <c r="AU908" s="5">
        <v>12375.10615343141</v>
      </c>
      <c r="AV908" s="6">
        <v>0</v>
      </c>
      <c r="AW908" s="5">
        <v>0</v>
      </c>
      <c r="AX908" s="6">
        <v>0</v>
      </c>
      <c r="AY908" s="5">
        <v>0</v>
      </c>
      <c r="AZ908" s="6">
        <v>0</v>
      </c>
      <c r="BA908" s="5">
        <v>0</v>
      </c>
      <c r="BB908" s="6">
        <v>0</v>
      </c>
      <c r="BC908" s="5">
        <v>0</v>
      </c>
      <c r="BD908" s="6">
        <v>0</v>
      </c>
      <c r="BE908" s="5">
        <v>0</v>
      </c>
      <c r="BF908" s="6">
        <v>0</v>
      </c>
      <c r="BG908" s="5">
        <v>0</v>
      </c>
      <c r="BH908" s="9">
        <f t="shared" si="114"/>
        <v>4240</v>
      </c>
      <c r="BI908" s="10">
        <f t="shared" si="115"/>
        <v>12375.10615343141</v>
      </c>
      <c r="BJ908" s="6">
        <f t="shared" si="116"/>
        <v>283.0573032271468</v>
      </c>
      <c r="BK908" s="11">
        <f t="shared" si="117"/>
        <v>7.1534344800595326E-2</v>
      </c>
      <c r="BL908" s="5">
        <f t="shared" si="118"/>
        <v>1295.6666024674196</v>
      </c>
      <c r="BM908" s="11">
        <f t="shared" si="119"/>
        <v>0.11694333422801041</v>
      </c>
    </row>
    <row r="909" spans="1:65" ht="15" customHeight="1" x14ac:dyDescent="0.4">
      <c r="A909" s="2" t="s">
        <v>654</v>
      </c>
      <c r="B909" s="2" t="s">
        <v>655</v>
      </c>
      <c r="C909" s="2" t="s">
        <v>656</v>
      </c>
      <c r="D909" s="3" t="s">
        <v>68</v>
      </c>
      <c r="E909" s="3" t="s">
        <v>685</v>
      </c>
      <c r="F909" s="2" t="s">
        <v>686</v>
      </c>
      <c r="G909" s="4">
        <v>5</v>
      </c>
      <c r="H909" s="5">
        <v>6.93</v>
      </c>
      <c r="I909" s="5">
        <v>7.2236763513544204</v>
      </c>
      <c r="J909" s="6">
        <v>0</v>
      </c>
      <c r="K909" s="5">
        <v>0</v>
      </c>
      <c r="L909" s="6">
        <v>0</v>
      </c>
      <c r="M909" s="5">
        <v>0</v>
      </c>
      <c r="N909" s="6">
        <v>0</v>
      </c>
      <c r="O909" s="5">
        <v>0</v>
      </c>
      <c r="P909" s="6">
        <v>0</v>
      </c>
      <c r="Q909" s="5">
        <v>0</v>
      </c>
      <c r="R909" s="6">
        <v>1582.7770787091411</v>
      </c>
      <c r="S909" s="5">
        <v>10968.645155454349</v>
      </c>
      <c r="T909" s="6">
        <v>2374.1656180637119</v>
      </c>
      <c r="U909" s="5">
        <v>16452.967733181518</v>
      </c>
      <c r="V909" s="6">
        <v>0</v>
      </c>
      <c r="W909" s="5">
        <v>0</v>
      </c>
      <c r="X909" s="6">
        <v>0</v>
      </c>
      <c r="Y909" s="5">
        <v>0</v>
      </c>
      <c r="Z909" s="6">
        <v>0</v>
      </c>
      <c r="AA909" s="5">
        <v>0</v>
      </c>
      <c r="AB909" s="6">
        <v>0</v>
      </c>
      <c r="AC909" s="5">
        <v>0</v>
      </c>
      <c r="AD909" s="6">
        <v>0</v>
      </c>
      <c r="AE909" s="5">
        <v>0</v>
      </c>
      <c r="AF909" s="6">
        <v>0</v>
      </c>
      <c r="AG909" s="5">
        <v>0</v>
      </c>
      <c r="AH909" s="7">
        <f t="shared" si="112"/>
        <v>3956.9426967728532</v>
      </c>
      <c r="AI909" s="8">
        <f t="shared" si="113"/>
        <v>27421.612888635867</v>
      </c>
      <c r="AJ909" s="6">
        <v>0</v>
      </c>
      <c r="AK909" s="5">
        <v>0</v>
      </c>
      <c r="AL909" s="6">
        <v>0</v>
      </c>
      <c r="AM909" s="5">
        <v>0</v>
      </c>
      <c r="AN909" s="6">
        <v>0</v>
      </c>
      <c r="AO909" s="5">
        <v>0</v>
      </c>
      <c r="AP909" s="6">
        <v>0</v>
      </c>
      <c r="AQ909" s="5">
        <v>0</v>
      </c>
      <c r="AR909" s="6">
        <v>1995</v>
      </c>
      <c r="AS909" s="5">
        <v>14411.23432095207</v>
      </c>
      <c r="AT909" s="6">
        <v>2990</v>
      </c>
      <c r="AU909" s="5">
        <v>21598.792290549722</v>
      </c>
      <c r="AV909" s="6">
        <v>0</v>
      </c>
      <c r="AW909" s="5">
        <v>0</v>
      </c>
      <c r="AX909" s="6">
        <v>0</v>
      </c>
      <c r="AY909" s="5">
        <v>0</v>
      </c>
      <c r="AZ909" s="6">
        <v>0</v>
      </c>
      <c r="BA909" s="5">
        <v>0</v>
      </c>
      <c r="BB909" s="6">
        <v>0</v>
      </c>
      <c r="BC909" s="5">
        <v>0</v>
      </c>
      <c r="BD909" s="6">
        <v>0</v>
      </c>
      <c r="BE909" s="5">
        <v>0</v>
      </c>
      <c r="BF909" s="6">
        <v>0</v>
      </c>
      <c r="BG909" s="5">
        <v>0</v>
      </c>
      <c r="BH909" s="9">
        <f t="shared" si="114"/>
        <v>4985</v>
      </c>
      <c r="BI909" s="10">
        <f t="shared" si="115"/>
        <v>36010.026611501788</v>
      </c>
      <c r="BJ909" s="6">
        <f t="shared" si="116"/>
        <v>1028.0573032271468</v>
      </c>
      <c r="BK909" s="11">
        <f t="shared" si="117"/>
        <v>0.25981101623371877</v>
      </c>
      <c r="BL909" s="5">
        <f t="shared" si="118"/>
        <v>8588.4137228659201</v>
      </c>
      <c r="BM909" s="11">
        <f t="shared" si="119"/>
        <v>0.3131987078128855</v>
      </c>
    </row>
    <row r="910" spans="1:65" ht="15" customHeight="1" x14ac:dyDescent="0.4">
      <c r="A910" s="2" t="s">
        <v>654</v>
      </c>
      <c r="B910" s="2" t="s">
        <v>655</v>
      </c>
      <c r="C910" s="2" t="s">
        <v>656</v>
      </c>
      <c r="D910" s="3" t="s">
        <v>68</v>
      </c>
      <c r="E910" s="3" t="s">
        <v>687</v>
      </c>
      <c r="F910" s="2" t="s">
        <v>688</v>
      </c>
      <c r="G910" s="4">
        <v>1</v>
      </c>
      <c r="H910" s="5">
        <v>5.8</v>
      </c>
      <c r="I910" s="5">
        <v>6.0457897312922988</v>
      </c>
      <c r="J910" s="6">
        <v>0</v>
      </c>
      <c r="K910" s="5">
        <v>0</v>
      </c>
      <c r="L910" s="6">
        <v>0</v>
      </c>
      <c r="M910" s="5">
        <v>0</v>
      </c>
      <c r="N910" s="6">
        <v>0</v>
      </c>
      <c r="O910" s="5">
        <v>0</v>
      </c>
      <c r="P910" s="6">
        <v>0</v>
      </c>
      <c r="Q910" s="5">
        <v>0</v>
      </c>
      <c r="R910" s="6">
        <v>0</v>
      </c>
      <c r="S910" s="5">
        <v>0</v>
      </c>
      <c r="T910" s="6">
        <v>0</v>
      </c>
      <c r="U910" s="5">
        <v>0</v>
      </c>
      <c r="V910" s="6">
        <v>0</v>
      </c>
      <c r="W910" s="5">
        <v>0</v>
      </c>
      <c r="X910" s="6">
        <v>0</v>
      </c>
      <c r="Y910" s="5">
        <v>0</v>
      </c>
      <c r="Z910" s="6">
        <v>0</v>
      </c>
      <c r="AA910" s="5">
        <v>0</v>
      </c>
      <c r="AB910" s="6">
        <v>0</v>
      </c>
      <c r="AC910" s="5">
        <v>0</v>
      </c>
      <c r="AD910" s="6">
        <v>0</v>
      </c>
      <c r="AE910" s="5">
        <v>0</v>
      </c>
      <c r="AF910" s="6">
        <v>1820.152587452907</v>
      </c>
      <c r="AG910" s="5">
        <v>10556.88500722686</v>
      </c>
      <c r="AH910" s="7">
        <f t="shared" si="112"/>
        <v>1820.152587452907</v>
      </c>
      <c r="AI910" s="8">
        <f t="shared" si="113"/>
        <v>10556.88500722686</v>
      </c>
      <c r="AJ910" s="6">
        <v>0</v>
      </c>
      <c r="AK910" s="5">
        <v>0</v>
      </c>
      <c r="AL910" s="6">
        <v>0</v>
      </c>
      <c r="AM910" s="5">
        <v>0</v>
      </c>
      <c r="AN910" s="6">
        <v>0</v>
      </c>
      <c r="AO910" s="5">
        <v>0</v>
      </c>
      <c r="AP910" s="6">
        <v>0</v>
      </c>
      <c r="AQ910" s="5">
        <v>0</v>
      </c>
      <c r="AR910" s="6">
        <v>0</v>
      </c>
      <c r="AS910" s="5">
        <v>0</v>
      </c>
      <c r="AT910" s="6">
        <v>0</v>
      </c>
      <c r="AU910" s="5">
        <v>0</v>
      </c>
      <c r="AV910" s="6">
        <v>0</v>
      </c>
      <c r="AW910" s="5">
        <v>0</v>
      </c>
      <c r="AX910" s="6">
        <v>0</v>
      </c>
      <c r="AY910" s="5">
        <v>0</v>
      </c>
      <c r="AZ910" s="6">
        <v>0</v>
      </c>
      <c r="BA910" s="5">
        <v>0</v>
      </c>
      <c r="BB910" s="6">
        <v>0</v>
      </c>
      <c r="BC910" s="5">
        <v>0</v>
      </c>
      <c r="BD910" s="6">
        <v>0</v>
      </c>
      <c r="BE910" s="5">
        <v>0</v>
      </c>
      <c r="BF910" s="6">
        <v>2007</v>
      </c>
      <c r="BG910" s="5">
        <v>12133.89999070364</v>
      </c>
      <c r="BH910" s="9">
        <f t="shared" si="114"/>
        <v>2007</v>
      </c>
      <c r="BI910" s="10">
        <f t="shared" si="115"/>
        <v>12133.89999070364</v>
      </c>
      <c r="BJ910" s="6">
        <f t="shared" si="116"/>
        <v>186.84741254709297</v>
      </c>
      <c r="BK910" s="11">
        <f t="shared" si="117"/>
        <v>0.10265480698437723</v>
      </c>
      <c r="BL910" s="5">
        <f t="shared" si="118"/>
        <v>1577.0149834767799</v>
      </c>
      <c r="BM910" s="11">
        <f t="shared" si="119"/>
        <v>0.14938260503900655</v>
      </c>
    </row>
    <row r="911" spans="1:65" ht="15" customHeight="1" x14ac:dyDescent="0.4">
      <c r="A911" s="2" t="s">
        <v>654</v>
      </c>
      <c r="B911" s="2" t="s">
        <v>655</v>
      </c>
      <c r="C911" s="2" t="s">
        <v>656</v>
      </c>
      <c r="D911" s="3" t="s">
        <v>68</v>
      </c>
      <c r="E911" s="3" t="s">
        <v>687</v>
      </c>
      <c r="F911" s="2" t="s">
        <v>689</v>
      </c>
      <c r="G911" s="4">
        <v>5</v>
      </c>
      <c r="H911" s="5">
        <v>12.9</v>
      </c>
      <c r="I911" s="5">
        <v>13.446670264425981</v>
      </c>
      <c r="J911" s="6">
        <v>0</v>
      </c>
      <c r="K911" s="5">
        <v>0</v>
      </c>
      <c r="L911" s="6">
        <v>0</v>
      </c>
      <c r="M911" s="5">
        <v>0</v>
      </c>
      <c r="N911" s="6">
        <v>0</v>
      </c>
      <c r="O911" s="5">
        <v>0</v>
      </c>
      <c r="P911" s="6">
        <v>0</v>
      </c>
      <c r="Q911" s="5">
        <v>0</v>
      </c>
      <c r="R911" s="6">
        <v>0</v>
      </c>
      <c r="S911" s="5">
        <v>0</v>
      </c>
      <c r="T911" s="6">
        <v>0</v>
      </c>
      <c r="U911" s="5">
        <v>0</v>
      </c>
      <c r="V911" s="6">
        <v>0</v>
      </c>
      <c r="W911" s="5">
        <v>0</v>
      </c>
      <c r="X911" s="6">
        <v>0</v>
      </c>
      <c r="Y911" s="5">
        <v>0</v>
      </c>
      <c r="Z911" s="6">
        <v>0</v>
      </c>
      <c r="AA911" s="5">
        <v>0</v>
      </c>
      <c r="AB911" s="6">
        <v>0</v>
      </c>
      <c r="AC911" s="5">
        <v>0</v>
      </c>
      <c r="AD911" s="6">
        <v>0</v>
      </c>
      <c r="AE911" s="5">
        <v>0</v>
      </c>
      <c r="AF911" s="6">
        <v>2843.9884178951679</v>
      </c>
      <c r="AG911" s="5">
        <v>36687.450590847657</v>
      </c>
      <c r="AH911" s="7">
        <f t="shared" si="112"/>
        <v>2843.9884178951679</v>
      </c>
      <c r="AI911" s="8">
        <f t="shared" si="113"/>
        <v>36687.450590847657</v>
      </c>
      <c r="AJ911" s="6">
        <v>0</v>
      </c>
      <c r="AK911" s="5">
        <v>0</v>
      </c>
      <c r="AL911" s="6">
        <v>0</v>
      </c>
      <c r="AM911" s="5">
        <v>0</v>
      </c>
      <c r="AN911" s="6">
        <v>0</v>
      </c>
      <c r="AO911" s="5">
        <v>0</v>
      </c>
      <c r="AP911" s="6">
        <v>0</v>
      </c>
      <c r="AQ911" s="5">
        <v>0</v>
      </c>
      <c r="AR911" s="6">
        <v>0</v>
      </c>
      <c r="AS911" s="5">
        <v>0</v>
      </c>
      <c r="AT911" s="6">
        <v>0</v>
      </c>
      <c r="AU911" s="5">
        <v>0</v>
      </c>
      <c r="AV911" s="6">
        <v>0</v>
      </c>
      <c r="AW911" s="5">
        <v>0</v>
      </c>
      <c r="AX911" s="6">
        <v>0</v>
      </c>
      <c r="AY911" s="5">
        <v>0</v>
      </c>
      <c r="AZ911" s="6">
        <v>0</v>
      </c>
      <c r="BA911" s="5">
        <v>0</v>
      </c>
      <c r="BB911" s="6">
        <v>0</v>
      </c>
      <c r="BC911" s="5">
        <v>0</v>
      </c>
      <c r="BD911" s="6">
        <v>0</v>
      </c>
      <c r="BE911" s="5">
        <v>0</v>
      </c>
      <c r="BF911" s="6">
        <v>3135</v>
      </c>
      <c r="BG911" s="5">
        <v>42155.311278975438</v>
      </c>
      <c r="BH911" s="9">
        <f t="shared" si="114"/>
        <v>3135</v>
      </c>
      <c r="BI911" s="10">
        <f t="shared" si="115"/>
        <v>42155.311278975438</v>
      </c>
      <c r="BJ911" s="6">
        <f t="shared" si="116"/>
        <v>291.01158210483209</v>
      </c>
      <c r="BK911" s="11">
        <f t="shared" si="117"/>
        <v>0.102325164291706</v>
      </c>
      <c r="BL911" s="5">
        <f t="shared" si="118"/>
        <v>5467.860688127781</v>
      </c>
      <c r="BM911" s="11">
        <f t="shared" si="119"/>
        <v>0.1490389928999819</v>
      </c>
    </row>
    <row r="912" spans="1:65" ht="15" customHeight="1" x14ac:dyDescent="0.4">
      <c r="A912" s="2" t="s">
        <v>654</v>
      </c>
      <c r="B912" s="2" t="s">
        <v>655</v>
      </c>
      <c r="C912" s="2" t="s">
        <v>656</v>
      </c>
      <c r="D912" s="3" t="s">
        <v>68</v>
      </c>
      <c r="E912" s="3" t="s">
        <v>690</v>
      </c>
      <c r="F912" s="2" t="s">
        <v>691</v>
      </c>
      <c r="G912" s="4">
        <v>1</v>
      </c>
      <c r="H912" s="5">
        <v>8.56</v>
      </c>
      <c r="I912" s="5">
        <v>8.9227517413555333</v>
      </c>
      <c r="J912" s="6">
        <v>1899.3324944509691</v>
      </c>
      <c r="K912" s="5">
        <v>16258.286152500301</v>
      </c>
      <c r="L912" s="6">
        <v>0</v>
      </c>
      <c r="M912" s="5">
        <v>0</v>
      </c>
      <c r="N912" s="6">
        <v>0</v>
      </c>
      <c r="O912" s="5">
        <v>0</v>
      </c>
      <c r="P912" s="6">
        <v>0</v>
      </c>
      <c r="Q912" s="5">
        <v>0</v>
      </c>
      <c r="R912" s="6">
        <v>0</v>
      </c>
      <c r="S912" s="5">
        <v>0</v>
      </c>
      <c r="T912" s="6">
        <v>0</v>
      </c>
      <c r="U912" s="5">
        <v>0</v>
      </c>
      <c r="V912" s="6">
        <v>0</v>
      </c>
      <c r="W912" s="5">
        <v>0</v>
      </c>
      <c r="X912" s="6">
        <v>0</v>
      </c>
      <c r="Y912" s="5">
        <v>0</v>
      </c>
      <c r="Z912" s="6">
        <v>0</v>
      </c>
      <c r="AA912" s="5">
        <v>0</v>
      </c>
      <c r="AB912" s="6">
        <v>0</v>
      </c>
      <c r="AC912" s="5">
        <v>0</v>
      </c>
      <c r="AD912" s="6">
        <v>0</v>
      </c>
      <c r="AE912" s="5">
        <v>0</v>
      </c>
      <c r="AF912" s="6">
        <v>0</v>
      </c>
      <c r="AG912" s="5">
        <v>0</v>
      </c>
      <c r="AH912" s="7">
        <f t="shared" si="112"/>
        <v>1899.3324944509691</v>
      </c>
      <c r="AI912" s="8">
        <f t="shared" si="113"/>
        <v>16258.286152500301</v>
      </c>
      <c r="AJ912" s="6">
        <v>2393</v>
      </c>
      <c r="AK912" s="5">
        <v>21352.14491706379</v>
      </c>
      <c r="AL912" s="6">
        <v>0</v>
      </c>
      <c r="AM912" s="5">
        <v>0</v>
      </c>
      <c r="AN912" s="6">
        <v>0</v>
      </c>
      <c r="AO912" s="5">
        <v>0</v>
      </c>
      <c r="AP912" s="6">
        <v>0</v>
      </c>
      <c r="AQ912" s="5">
        <v>0</v>
      </c>
      <c r="AR912" s="6">
        <v>0</v>
      </c>
      <c r="AS912" s="5">
        <v>0</v>
      </c>
      <c r="AT912" s="6">
        <v>0</v>
      </c>
      <c r="AU912" s="5">
        <v>0</v>
      </c>
      <c r="AV912" s="6">
        <v>0</v>
      </c>
      <c r="AW912" s="5">
        <v>0</v>
      </c>
      <c r="AX912" s="6">
        <v>0</v>
      </c>
      <c r="AY912" s="5">
        <v>0</v>
      </c>
      <c r="AZ912" s="6">
        <v>0</v>
      </c>
      <c r="BA912" s="5">
        <v>0</v>
      </c>
      <c r="BB912" s="6">
        <v>0</v>
      </c>
      <c r="BC912" s="5">
        <v>0</v>
      </c>
      <c r="BD912" s="6">
        <v>0</v>
      </c>
      <c r="BE912" s="5">
        <v>0</v>
      </c>
      <c r="BF912" s="6">
        <v>0</v>
      </c>
      <c r="BG912" s="5">
        <v>0</v>
      </c>
      <c r="BH912" s="9">
        <f t="shared" si="114"/>
        <v>2393</v>
      </c>
      <c r="BI912" s="10">
        <f t="shared" si="115"/>
        <v>21352.14491706379</v>
      </c>
      <c r="BJ912" s="6">
        <f t="shared" si="116"/>
        <v>493.66750554903092</v>
      </c>
      <c r="BK912" s="11">
        <f t="shared" si="117"/>
        <v>0.25991631638552731</v>
      </c>
      <c r="BL912" s="5">
        <f t="shared" si="118"/>
        <v>5093.8587645634889</v>
      </c>
      <c r="BM912" s="11">
        <f t="shared" si="119"/>
        <v>0.31330847032607573</v>
      </c>
    </row>
    <row r="913" spans="1:65" ht="15" customHeight="1" x14ac:dyDescent="0.4">
      <c r="A913" s="2" t="s">
        <v>654</v>
      </c>
      <c r="B913" s="2" t="s">
        <v>655</v>
      </c>
      <c r="C913" s="2" t="s">
        <v>656</v>
      </c>
      <c r="D913" s="3" t="s">
        <v>68</v>
      </c>
      <c r="E913" s="3" t="s">
        <v>690</v>
      </c>
      <c r="F913" s="2" t="s">
        <v>692</v>
      </c>
      <c r="G913" s="4">
        <v>1</v>
      </c>
      <c r="H913" s="5">
        <v>8.4</v>
      </c>
      <c r="I913" s="5">
        <v>8.7559713349750563</v>
      </c>
      <c r="J913" s="6">
        <v>0</v>
      </c>
      <c r="K913" s="5">
        <v>0</v>
      </c>
      <c r="L913" s="6">
        <v>0</v>
      </c>
      <c r="M913" s="5">
        <v>0</v>
      </c>
      <c r="N913" s="6">
        <v>0</v>
      </c>
      <c r="O913" s="5">
        <v>0</v>
      </c>
      <c r="P913" s="6">
        <v>783.47465396102484</v>
      </c>
      <c r="Q913" s="5">
        <v>6581.1870932726088</v>
      </c>
      <c r="R913" s="6">
        <v>0</v>
      </c>
      <c r="S913" s="5">
        <v>0</v>
      </c>
      <c r="T913" s="6">
        <v>0</v>
      </c>
      <c r="U913" s="5">
        <v>0</v>
      </c>
      <c r="V913" s="6">
        <v>0</v>
      </c>
      <c r="W913" s="5">
        <v>0</v>
      </c>
      <c r="X913" s="6">
        <v>0</v>
      </c>
      <c r="Y913" s="5">
        <v>0</v>
      </c>
      <c r="Z913" s="6">
        <v>0</v>
      </c>
      <c r="AA913" s="5">
        <v>0</v>
      </c>
      <c r="AB913" s="6">
        <v>0</v>
      </c>
      <c r="AC913" s="5">
        <v>0</v>
      </c>
      <c r="AD913" s="6">
        <v>0</v>
      </c>
      <c r="AE913" s="5">
        <v>0</v>
      </c>
      <c r="AF913" s="6">
        <v>0</v>
      </c>
      <c r="AG913" s="5">
        <v>0</v>
      </c>
      <c r="AH913" s="7">
        <f t="shared" si="112"/>
        <v>783.47465396102484</v>
      </c>
      <c r="AI913" s="8">
        <f t="shared" si="113"/>
        <v>6581.1870932726088</v>
      </c>
      <c r="AJ913" s="6">
        <v>0</v>
      </c>
      <c r="AK913" s="5">
        <v>0</v>
      </c>
      <c r="AL913" s="6">
        <v>0</v>
      </c>
      <c r="AM913" s="5">
        <v>0</v>
      </c>
      <c r="AN913" s="6">
        <v>0</v>
      </c>
      <c r="AO913" s="5">
        <v>0</v>
      </c>
      <c r="AP913" s="6">
        <v>987</v>
      </c>
      <c r="AQ913" s="5">
        <v>8642.1437076203802</v>
      </c>
      <c r="AR913" s="6">
        <v>0</v>
      </c>
      <c r="AS913" s="5">
        <v>0</v>
      </c>
      <c r="AT913" s="6">
        <v>0</v>
      </c>
      <c r="AU913" s="5">
        <v>0</v>
      </c>
      <c r="AV913" s="6">
        <v>0</v>
      </c>
      <c r="AW913" s="5">
        <v>0</v>
      </c>
      <c r="AX913" s="6">
        <v>0</v>
      </c>
      <c r="AY913" s="5">
        <v>0</v>
      </c>
      <c r="AZ913" s="6">
        <v>0</v>
      </c>
      <c r="BA913" s="5">
        <v>0</v>
      </c>
      <c r="BB913" s="6">
        <v>0</v>
      </c>
      <c r="BC913" s="5">
        <v>0</v>
      </c>
      <c r="BD913" s="6">
        <v>0</v>
      </c>
      <c r="BE913" s="5">
        <v>0</v>
      </c>
      <c r="BF913" s="6">
        <v>0</v>
      </c>
      <c r="BG913" s="5">
        <v>0</v>
      </c>
      <c r="BH913" s="9">
        <f t="shared" si="114"/>
        <v>987</v>
      </c>
      <c r="BI913" s="10">
        <f t="shared" si="115"/>
        <v>8642.1437076203802</v>
      </c>
      <c r="BJ913" s="6">
        <f t="shared" si="116"/>
        <v>203.52534603897516</v>
      </c>
      <c r="BK913" s="11">
        <f t="shared" si="117"/>
        <v>0.25977272526942502</v>
      </c>
      <c r="BL913" s="5">
        <f t="shared" si="118"/>
        <v>2060.9566143477714</v>
      </c>
      <c r="BM913" s="11">
        <f t="shared" si="119"/>
        <v>0.31315879417172521</v>
      </c>
    </row>
    <row r="914" spans="1:65" ht="15" customHeight="1" x14ac:dyDescent="0.4">
      <c r="A914" s="2" t="s">
        <v>654</v>
      </c>
      <c r="B914" s="2" t="s">
        <v>655</v>
      </c>
      <c r="C914" s="2" t="s">
        <v>656</v>
      </c>
      <c r="D914" s="3" t="s">
        <v>68</v>
      </c>
      <c r="E914" s="3" t="s">
        <v>693</v>
      </c>
      <c r="F914" s="2" t="s">
        <v>545</v>
      </c>
      <c r="G914" s="4">
        <v>20</v>
      </c>
      <c r="H914" s="5">
        <v>3.8</v>
      </c>
      <c r="I914" s="5">
        <v>3.9610346515363339</v>
      </c>
      <c r="J914" s="6">
        <v>0</v>
      </c>
      <c r="K914" s="5">
        <v>0</v>
      </c>
      <c r="L914" s="6">
        <v>0</v>
      </c>
      <c r="M914" s="5">
        <v>0</v>
      </c>
      <c r="N914" s="6">
        <v>0</v>
      </c>
      <c r="O914" s="5">
        <v>0</v>
      </c>
      <c r="P914" s="6">
        <v>0</v>
      </c>
      <c r="Q914" s="5">
        <v>0</v>
      </c>
      <c r="R914" s="6">
        <v>0</v>
      </c>
      <c r="S914" s="5">
        <v>0</v>
      </c>
      <c r="T914" s="6">
        <v>3956.9426967728532</v>
      </c>
      <c r="U914" s="5">
        <v>15036.382247736839</v>
      </c>
      <c r="V914" s="6">
        <v>0</v>
      </c>
      <c r="W914" s="5">
        <v>0</v>
      </c>
      <c r="X914" s="6">
        <v>0</v>
      </c>
      <c r="Y914" s="5">
        <v>0</v>
      </c>
      <c r="Z914" s="6">
        <v>0</v>
      </c>
      <c r="AA914" s="5">
        <v>0</v>
      </c>
      <c r="AB914" s="6">
        <v>0</v>
      </c>
      <c r="AC914" s="5">
        <v>0</v>
      </c>
      <c r="AD914" s="6">
        <v>0</v>
      </c>
      <c r="AE914" s="5">
        <v>0</v>
      </c>
      <c r="AF914" s="6">
        <v>0</v>
      </c>
      <c r="AG914" s="5">
        <v>0</v>
      </c>
      <c r="AH914" s="7">
        <f t="shared" si="112"/>
        <v>3956.9426967728532</v>
      </c>
      <c r="AI914" s="8">
        <f t="shared" si="113"/>
        <v>15036.382247736839</v>
      </c>
      <c r="AJ914" s="6">
        <v>0</v>
      </c>
      <c r="AK914" s="5">
        <v>0</v>
      </c>
      <c r="AL914" s="6">
        <v>0</v>
      </c>
      <c r="AM914" s="5">
        <v>0</v>
      </c>
      <c r="AN914" s="6">
        <v>0</v>
      </c>
      <c r="AO914" s="5">
        <v>0</v>
      </c>
      <c r="AP914" s="6">
        <v>0</v>
      </c>
      <c r="AQ914" s="5">
        <v>0</v>
      </c>
      <c r="AR914" s="6">
        <v>0</v>
      </c>
      <c r="AS914" s="5">
        <v>0</v>
      </c>
      <c r="AT914" s="6">
        <v>4300</v>
      </c>
      <c r="AU914" s="5">
        <v>17032.449001606241</v>
      </c>
      <c r="AV914" s="6">
        <v>0</v>
      </c>
      <c r="AW914" s="5">
        <v>0</v>
      </c>
      <c r="AX914" s="6">
        <v>0</v>
      </c>
      <c r="AY914" s="5">
        <v>0</v>
      </c>
      <c r="AZ914" s="6">
        <v>0</v>
      </c>
      <c r="BA914" s="5">
        <v>0</v>
      </c>
      <c r="BB914" s="6">
        <v>0</v>
      </c>
      <c r="BC914" s="5">
        <v>0</v>
      </c>
      <c r="BD914" s="6">
        <v>0</v>
      </c>
      <c r="BE914" s="5">
        <v>0</v>
      </c>
      <c r="BF914" s="6">
        <v>0</v>
      </c>
      <c r="BG914" s="5">
        <v>0</v>
      </c>
      <c r="BH914" s="9">
        <f t="shared" si="114"/>
        <v>4300</v>
      </c>
      <c r="BI914" s="10">
        <f t="shared" si="115"/>
        <v>17032.449001606241</v>
      </c>
      <c r="BJ914" s="6">
        <f t="shared" si="116"/>
        <v>343.0573032271468</v>
      </c>
      <c r="BK914" s="11">
        <f t="shared" si="117"/>
        <v>8.6697566660981107E-2</v>
      </c>
      <c r="BL914" s="5">
        <f t="shared" si="118"/>
        <v>1996.0667538694015</v>
      </c>
      <c r="BM914" s="11">
        <f t="shared" si="119"/>
        <v>0.13274913612746406</v>
      </c>
    </row>
    <row r="915" spans="1:65" ht="15" customHeight="1" x14ac:dyDescent="0.4">
      <c r="A915" s="2" t="s">
        <v>654</v>
      </c>
      <c r="B915" s="2" t="s">
        <v>694</v>
      </c>
      <c r="C915" s="2" t="s">
        <v>695</v>
      </c>
      <c r="D915" s="3" t="s">
        <v>101</v>
      </c>
      <c r="E915" s="3" t="s">
        <v>696</v>
      </c>
      <c r="F915" s="2" t="s">
        <v>454</v>
      </c>
      <c r="G915" s="4">
        <v>1</v>
      </c>
      <c r="H915" s="5">
        <v>5.1800000000000006</v>
      </c>
      <c r="I915" s="5">
        <v>5.3995156565679512</v>
      </c>
      <c r="J915" s="6">
        <v>0</v>
      </c>
      <c r="K915" s="5">
        <v>0</v>
      </c>
      <c r="L915" s="6">
        <v>1899.3324944509691</v>
      </c>
      <c r="M915" s="5">
        <v>9838.5423212560218</v>
      </c>
      <c r="N915" s="6">
        <v>0</v>
      </c>
      <c r="O915" s="5">
        <v>0</v>
      </c>
      <c r="P915" s="6">
        <v>0</v>
      </c>
      <c r="Q915" s="5">
        <v>0</v>
      </c>
      <c r="R915" s="6">
        <v>0</v>
      </c>
      <c r="S915" s="5">
        <v>0</v>
      </c>
      <c r="T915" s="6">
        <v>0</v>
      </c>
      <c r="U915" s="5">
        <v>0</v>
      </c>
      <c r="V915" s="6">
        <v>0</v>
      </c>
      <c r="W915" s="5">
        <v>0</v>
      </c>
      <c r="X915" s="6">
        <v>0</v>
      </c>
      <c r="Y915" s="5">
        <v>0</v>
      </c>
      <c r="Z915" s="6">
        <v>0</v>
      </c>
      <c r="AA915" s="5">
        <v>0</v>
      </c>
      <c r="AB915" s="6">
        <v>0</v>
      </c>
      <c r="AC915" s="5">
        <v>0</v>
      </c>
      <c r="AD915" s="6">
        <v>0</v>
      </c>
      <c r="AE915" s="5">
        <v>0</v>
      </c>
      <c r="AF915" s="6">
        <v>0</v>
      </c>
      <c r="AG915" s="5">
        <v>0</v>
      </c>
      <c r="AH915" s="7">
        <f t="shared" si="112"/>
        <v>1899.3324944509691</v>
      </c>
      <c r="AI915" s="8">
        <f t="shared" si="113"/>
        <v>9838.5423212560218</v>
      </c>
      <c r="AJ915" s="6">
        <v>0</v>
      </c>
      <c r="AK915" s="5">
        <v>0</v>
      </c>
      <c r="AL915" s="6">
        <v>2162</v>
      </c>
      <c r="AM915" s="5">
        <v>11673.75284949991</v>
      </c>
      <c r="AN915" s="6">
        <v>0</v>
      </c>
      <c r="AO915" s="5">
        <v>0</v>
      </c>
      <c r="AP915" s="6">
        <v>0</v>
      </c>
      <c r="AQ915" s="5">
        <v>0</v>
      </c>
      <c r="AR915" s="6">
        <v>0</v>
      </c>
      <c r="AS915" s="5">
        <v>0</v>
      </c>
      <c r="AT915" s="6">
        <v>0</v>
      </c>
      <c r="AU915" s="5">
        <v>0</v>
      </c>
      <c r="AV915" s="6">
        <v>0</v>
      </c>
      <c r="AW915" s="5">
        <v>0</v>
      </c>
      <c r="AX915" s="6">
        <v>0</v>
      </c>
      <c r="AY915" s="5">
        <v>0</v>
      </c>
      <c r="AZ915" s="6">
        <v>0</v>
      </c>
      <c r="BA915" s="5">
        <v>0</v>
      </c>
      <c r="BB915" s="6">
        <v>0</v>
      </c>
      <c r="BC915" s="5">
        <v>0</v>
      </c>
      <c r="BD915" s="6">
        <v>0</v>
      </c>
      <c r="BE915" s="5">
        <v>0</v>
      </c>
      <c r="BF915" s="6">
        <v>0</v>
      </c>
      <c r="BG915" s="5">
        <v>0</v>
      </c>
      <c r="BH915" s="9">
        <f t="shared" si="114"/>
        <v>2162</v>
      </c>
      <c r="BI915" s="10">
        <f t="shared" si="115"/>
        <v>11673.75284949991</v>
      </c>
      <c r="BJ915" s="6">
        <f t="shared" si="116"/>
        <v>262.66750554903092</v>
      </c>
      <c r="BK915" s="11">
        <f t="shared" si="117"/>
        <v>0.13829464104701633</v>
      </c>
      <c r="BL915" s="5">
        <f t="shared" si="118"/>
        <v>1835.2105282438879</v>
      </c>
      <c r="BM915" s="11">
        <f t="shared" si="119"/>
        <v>0.18653276759088014</v>
      </c>
    </row>
    <row r="916" spans="1:65" ht="15" customHeight="1" x14ac:dyDescent="0.4">
      <c r="A916" s="2" t="s">
        <v>654</v>
      </c>
      <c r="B916" s="2" t="s">
        <v>694</v>
      </c>
      <c r="C916" s="2" t="s">
        <v>695</v>
      </c>
      <c r="D916" s="3" t="s">
        <v>101</v>
      </c>
      <c r="E916" s="3" t="s">
        <v>696</v>
      </c>
      <c r="F916" s="2" t="s">
        <v>215</v>
      </c>
      <c r="G916" s="4">
        <v>1</v>
      </c>
      <c r="H916" s="5">
        <v>4.8691979166666668</v>
      </c>
      <c r="I916" s="5">
        <v>5.0755425455539989</v>
      </c>
      <c r="J916" s="6">
        <v>0</v>
      </c>
      <c r="K916" s="5">
        <v>0</v>
      </c>
      <c r="L916" s="6">
        <v>0</v>
      </c>
      <c r="M916" s="5">
        <v>0</v>
      </c>
      <c r="N916" s="6">
        <v>0</v>
      </c>
      <c r="O916" s="5">
        <v>0</v>
      </c>
      <c r="P916" s="6">
        <v>0</v>
      </c>
      <c r="Q916" s="5">
        <v>0</v>
      </c>
      <c r="R916" s="6">
        <v>0</v>
      </c>
      <c r="S916" s="5">
        <v>0</v>
      </c>
      <c r="T916" s="6">
        <v>0</v>
      </c>
      <c r="U916" s="5">
        <v>0</v>
      </c>
      <c r="V916" s="6">
        <v>0</v>
      </c>
      <c r="W916" s="5">
        <v>0</v>
      </c>
      <c r="X916" s="6">
        <v>0</v>
      </c>
      <c r="Y916" s="5">
        <v>0</v>
      </c>
      <c r="Z916" s="6">
        <v>0</v>
      </c>
      <c r="AA916" s="5">
        <v>0</v>
      </c>
      <c r="AB916" s="6">
        <v>0</v>
      </c>
      <c r="AC916" s="5">
        <v>0</v>
      </c>
      <c r="AD916" s="6">
        <v>0</v>
      </c>
      <c r="AE916" s="5">
        <v>0</v>
      </c>
      <c r="AF916" s="6">
        <v>1820.152587452907</v>
      </c>
      <c r="AG916" s="5">
        <v>8862.6831868411409</v>
      </c>
      <c r="AH916" s="7">
        <f t="shared" si="112"/>
        <v>1820.152587452907</v>
      </c>
      <c r="AI916" s="8">
        <f t="shared" si="113"/>
        <v>8862.6831868411409</v>
      </c>
      <c r="AJ916" s="6">
        <v>0</v>
      </c>
      <c r="AK916" s="5">
        <v>0</v>
      </c>
      <c r="AL916" s="6">
        <v>0</v>
      </c>
      <c r="AM916" s="5">
        <v>0</v>
      </c>
      <c r="AN916" s="6">
        <v>0</v>
      </c>
      <c r="AO916" s="5">
        <v>0</v>
      </c>
      <c r="AP916" s="6">
        <v>0</v>
      </c>
      <c r="AQ916" s="5">
        <v>0</v>
      </c>
      <c r="AR916" s="6">
        <v>0</v>
      </c>
      <c r="AS916" s="5">
        <v>0</v>
      </c>
      <c r="AT916" s="6">
        <v>0</v>
      </c>
      <c r="AU916" s="5">
        <v>0</v>
      </c>
      <c r="AV916" s="6">
        <v>0</v>
      </c>
      <c r="AW916" s="5">
        <v>0</v>
      </c>
      <c r="AX916" s="6">
        <v>0</v>
      </c>
      <c r="AY916" s="5">
        <v>0</v>
      </c>
      <c r="AZ916" s="6">
        <v>0</v>
      </c>
      <c r="BA916" s="5">
        <v>0</v>
      </c>
      <c r="BB916" s="6">
        <v>0</v>
      </c>
      <c r="BC916" s="5">
        <v>0</v>
      </c>
      <c r="BD916" s="6">
        <v>0</v>
      </c>
      <c r="BE916" s="5">
        <v>0</v>
      </c>
      <c r="BF916" s="6">
        <v>2072</v>
      </c>
      <c r="BG916" s="5">
        <v>10516.524154387889</v>
      </c>
      <c r="BH916" s="9">
        <f t="shared" si="114"/>
        <v>2072</v>
      </c>
      <c r="BI916" s="10">
        <f t="shared" si="115"/>
        <v>10516.524154387889</v>
      </c>
      <c r="BJ916" s="6">
        <f t="shared" si="116"/>
        <v>251.84741254709297</v>
      </c>
      <c r="BK916" s="11">
        <f t="shared" si="117"/>
        <v>0.13836609869039843</v>
      </c>
      <c r="BL916" s="5">
        <f t="shared" si="118"/>
        <v>1653.8409675467483</v>
      </c>
      <c r="BM916" s="11">
        <f t="shared" si="119"/>
        <v>0.1866072534333944</v>
      </c>
    </row>
    <row r="917" spans="1:65" ht="15" customHeight="1" x14ac:dyDescent="0.4">
      <c r="A917" s="2" t="s">
        <v>654</v>
      </c>
      <c r="B917" s="2" t="s">
        <v>694</v>
      </c>
      <c r="C917" s="2" t="s">
        <v>695</v>
      </c>
      <c r="D917" s="3" t="s">
        <v>101</v>
      </c>
      <c r="E917" s="3" t="s">
        <v>697</v>
      </c>
      <c r="F917" s="2" t="s">
        <v>454</v>
      </c>
      <c r="G917" s="4">
        <v>5</v>
      </c>
      <c r="H917" s="5">
        <v>4.4000000000000004</v>
      </c>
      <c r="I917" s="5">
        <v>4.5864611754631239</v>
      </c>
      <c r="J917" s="6">
        <v>0</v>
      </c>
      <c r="K917" s="5">
        <v>0</v>
      </c>
      <c r="L917" s="6">
        <v>989.23567419321319</v>
      </c>
      <c r="M917" s="5">
        <v>4352.6369664501381</v>
      </c>
      <c r="N917" s="6">
        <v>0</v>
      </c>
      <c r="O917" s="5">
        <v>0</v>
      </c>
      <c r="P917" s="6">
        <v>0</v>
      </c>
      <c r="Q917" s="5">
        <v>0</v>
      </c>
      <c r="R917" s="6">
        <v>0</v>
      </c>
      <c r="S917" s="5">
        <v>0</v>
      </c>
      <c r="T917" s="6">
        <v>0</v>
      </c>
      <c r="U917" s="5">
        <v>0</v>
      </c>
      <c r="V917" s="6">
        <v>0</v>
      </c>
      <c r="W917" s="5">
        <v>0</v>
      </c>
      <c r="X917" s="6">
        <v>0</v>
      </c>
      <c r="Y917" s="5">
        <v>0</v>
      </c>
      <c r="Z917" s="6">
        <v>0</v>
      </c>
      <c r="AA917" s="5">
        <v>0</v>
      </c>
      <c r="AB917" s="6">
        <v>0</v>
      </c>
      <c r="AC917" s="5">
        <v>0</v>
      </c>
      <c r="AD917" s="6">
        <v>0</v>
      </c>
      <c r="AE917" s="5">
        <v>0</v>
      </c>
      <c r="AF917" s="6">
        <v>0</v>
      </c>
      <c r="AG917" s="5">
        <v>0</v>
      </c>
      <c r="AH917" s="7">
        <f t="shared" si="112"/>
        <v>989.23567419321319</v>
      </c>
      <c r="AI917" s="8">
        <f t="shared" si="113"/>
        <v>4352.6369664501381</v>
      </c>
      <c r="AJ917" s="6">
        <v>0</v>
      </c>
      <c r="AK917" s="5">
        <v>0</v>
      </c>
      <c r="AL917" s="6">
        <v>1145</v>
      </c>
      <c r="AM917" s="5">
        <v>5251.4980459052767</v>
      </c>
      <c r="AN917" s="6">
        <v>0</v>
      </c>
      <c r="AO917" s="5">
        <v>0</v>
      </c>
      <c r="AP917" s="6">
        <v>0</v>
      </c>
      <c r="AQ917" s="5">
        <v>0</v>
      </c>
      <c r="AR917" s="6">
        <v>0</v>
      </c>
      <c r="AS917" s="5">
        <v>0</v>
      </c>
      <c r="AT917" s="6">
        <v>0</v>
      </c>
      <c r="AU917" s="5">
        <v>0</v>
      </c>
      <c r="AV917" s="6">
        <v>0</v>
      </c>
      <c r="AW917" s="5">
        <v>0</v>
      </c>
      <c r="AX917" s="6">
        <v>0</v>
      </c>
      <c r="AY917" s="5">
        <v>0</v>
      </c>
      <c r="AZ917" s="6">
        <v>0</v>
      </c>
      <c r="BA917" s="5">
        <v>0</v>
      </c>
      <c r="BB917" s="6">
        <v>0</v>
      </c>
      <c r="BC917" s="5">
        <v>0</v>
      </c>
      <c r="BD917" s="6">
        <v>0</v>
      </c>
      <c r="BE917" s="5">
        <v>0</v>
      </c>
      <c r="BF917" s="6">
        <v>0</v>
      </c>
      <c r="BG917" s="5">
        <v>0</v>
      </c>
      <c r="BH917" s="9">
        <f t="shared" si="114"/>
        <v>1145</v>
      </c>
      <c r="BI917" s="10">
        <f t="shared" si="115"/>
        <v>5251.4980459052767</v>
      </c>
      <c r="BJ917" s="6">
        <f t="shared" si="116"/>
        <v>155.76432580678681</v>
      </c>
      <c r="BK917" s="11">
        <f t="shared" si="117"/>
        <v>0.1574592686761149</v>
      </c>
      <c r="BL917" s="5">
        <f t="shared" si="118"/>
        <v>898.86107945513868</v>
      </c>
      <c r="BM917" s="11">
        <f t="shared" si="119"/>
        <v>0.20650954499157761</v>
      </c>
    </row>
    <row r="918" spans="1:65" ht="15" customHeight="1" x14ac:dyDescent="0.4">
      <c r="A918" s="2" t="s">
        <v>654</v>
      </c>
      <c r="B918" s="2" t="s">
        <v>694</v>
      </c>
      <c r="C918" s="2" t="s">
        <v>695</v>
      </c>
      <c r="D918" s="3" t="s">
        <v>101</v>
      </c>
      <c r="E918" s="3" t="s">
        <v>697</v>
      </c>
      <c r="F918" s="2" t="s">
        <v>103</v>
      </c>
      <c r="G918" s="4">
        <v>5</v>
      </c>
      <c r="H918" s="5">
        <v>4.1360000000000001</v>
      </c>
      <c r="I918" s="5">
        <v>4.311273504935337</v>
      </c>
      <c r="J918" s="6">
        <v>0</v>
      </c>
      <c r="K918" s="5">
        <v>0</v>
      </c>
      <c r="L918" s="6">
        <v>0</v>
      </c>
      <c r="M918" s="5">
        <v>0</v>
      </c>
      <c r="N918" s="6">
        <v>0</v>
      </c>
      <c r="O918" s="5">
        <v>0</v>
      </c>
      <c r="P918" s="6">
        <v>0</v>
      </c>
      <c r="Q918" s="5">
        <v>0</v>
      </c>
      <c r="R918" s="6">
        <v>0</v>
      </c>
      <c r="S918" s="5">
        <v>0</v>
      </c>
      <c r="T918" s="6">
        <v>0</v>
      </c>
      <c r="U918" s="5">
        <v>0</v>
      </c>
      <c r="V918" s="6">
        <v>0</v>
      </c>
      <c r="W918" s="5">
        <v>0</v>
      </c>
      <c r="X918" s="6">
        <v>0</v>
      </c>
      <c r="Y918" s="5">
        <v>0</v>
      </c>
      <c r="Z918" s="6">
        <v>0</v>
      </c>
      <c r="AA918" s="5">
        <v>0</v>
      </c>
      <c r="AB918" s="6">
        <v>0</v>
      </c>
      <c r="AC918" s="5">
        <v>0</v>
      </c>
      <c r="AD918" s="6">
        <v>0</v>
      </c>
      <c r="AE918" s="5">
        <v>0</v>
      </c>
      <c r="AF918" s="6">
        <v>947.99613929838938</v>
      </c>
      <c r="AG918" s="5">
        <v>3920.9120321381379</v>
      </c>
      <c r="AH918" s="7">
        <f t="shared" si="112"/>
        <v>947.99613929838938</v>
      </c>
      <c r="AI918" s="8">
        <f t="shared" si="113"/>
        <v>3920.9120321381379</v>
      </c>
      <c r="AJ918" s="6">
        <v>0</v>
      </c>
      <c r="AK918" s="5">
        <v>0</v>
      </c>
      <c r="AL918" s="6">
        <v>0</v>
      </c>
      <c r="AM918" s="5">
        <v>0</v>
      </c>
      <c r="AN918" s="6">
        <v>0</v>
      </c>
      <c r="AO918" s="5">
        <v>0</v>
      </c>
      <c r="AP918" s="6">
        <v>0</v>
      </c>
      <c r="AQ918" s="5">
        <v>0</v>
      </c>
      <c r="AR918" s="6">
        <v>0</v>
      </c>
      <c r="AS918" s="5">
        <v>0</v>
      </c>
      <c r="AT918" s="6">
        <v>0</v>
      </c>
      <c r="AU918" s="5">
        <v>0</v>
      </c>
      <c r="AV918" s="6">
        <v>0</v>
      </c>
      <c r="AW918" s="5">
        <v>0</v>
      </c>
      <c r="AX918" s="6">
        <v>0</v>
      </c>
      <c r="AY918" s="5">
        <v>0</v>
      </c>
      <c r="AZ918" s="6">
        <v>0</v>
      </c>
      <c r="BA918" s="5">
        <v>0</v>
      </c>
      <c r="BB918" s="6">
        <v>0</v>
      </c>
      <c r="BC918" s="5">
        <v>0</v>
      </c>
      <c r="BD918" s="6">
        <v>0</v>
      </c>
      <c r="BE918" s="5">
        <v>0</v>
      </c>
      <c r="BF918" s="6">
        <v>1095</v>
      </c>
      <c r="BG918" s="5">
        <v>4720.8444879041936</v>
      </c>
      <c r="BH918" s="9">
        <f t="shared" si="114"/>
        <v>1095</v>
      </c>
      <c r="BI918" s="10">
        <f t="shared" si="115"/>
        <v>4720.8444879041936</v>
      </c>
      <c r="BJ918" s="6">
        <f t="shared" si="116"/>
        <v>147.00386070161062</v>
      </c>
      <c r="BK918" s="11">
        <f t="shared" si="117"/>
        <v>0.15506799511906028</v>
      </c>
      <c r="BL918" s="5">
        <f t="shared" si="118"/>
        <v>799.93245576605568</v>
      </c>
      <c r="BM918" s="11">
        <f t="shared" si="119"/>
        <v>0.20401693514399999</v>
      </c>
    </row>
    <row r="919" spans="1:65" ht="15" customHeight="1" x14ac:dyDescent="0.4">
      <c r="A919" s="2" t="s">
        <v>654</v>
      </c>
      <c r="B919" s="2" t="s">
        <v>694</v>
      </c>
      <c r="C919" s="2" t="s">
        <v>695</v>
      </c>
      <c r="D919" s="3" t="s">
        <v>101</v>
      </c>
      <c r="E919" s="3" t="s">
        <v>698</v>
      </c>
      <c r="F919" s="2" t="s">
        <v>400</v>
      </c>
      <c r="G919" s="4">
        <v>1</v>
      </c>
      <c r="H919" s="5">
        <v>5.0000000000000009</v>
      </c>
      <c r="I919" s="5">
        <v>5.2118876993899139</v>
      </c>
      <c r="J919" s="6">
        <v>0</v>
      </c>
      <c r="K919" s="5">
        <v>0</v>
      </c>
      <c r="L919" s="6">
        <v>949.66624722548465</v>
      </c>
      <c r="M919" s="5">
        <v>4748.3312361274238</v>
      </c>
      <c r="N919" s="6">
        <v>0</v>
      </c>
      <c r="O919" s="5">
        <v>0</v>
      </c>
      <c r="P919" s="6">
        <v>0</v>
      </c>
      <c r="Q919" s="5">
        <v>0</v>
      </c>
      <c r="R919" s="6">
        <v>0</v>
      </c>
      <c r="S919" s="5">
        <v>0</v>
      </c>
      <c r="T919" s="6">
        <v>0</v>
      </c>
      <c r="U919" s="5">
        <v>0</v>
      </c>
      <c r="V919" s="6">
        <v>0</v>
      </c>
      <c r="W919" s="5">
        <v>0</v>
      </c>
      <c r="X919" s="6">
        <v>0</v>
      </c>
      <c r="Y919" s="5">
        <v>0</v>
      </c>
      <c r="Z919" s="6">
        <v>0</v>
      </c>
      <c r="AA919" s="5">
        <v>0</v>
      </c>
      <c r="AB919" s="6">
        <v>0</v>
      </c>
      <c r="AC919" s="5">
        <v>0</v>
      </c>
      <c r="AD919" s="6">
        <v>0</v>
      </c>
      <c r="AE919" s="5">
        <v>0</v>
      </c>
      <c r="AF919" s="6">
        <v>0</v>
      </c>
      <c r="AG919" s="5">
        <v>0</v>
      </c>
      <c r="AH919" s="7">
        <f t="shared" si="112"/>
        <v>949.66624722548465</v>
      </c>
      <c r="AI919" s="8">
        <f t="shared" si="113"/>
        <v>4748.3312361274238</v>
      </c>
      <c r="AJ919" s="6">
        <v>0</v>
      </c>
      <c r="AK919" s="5">
        <v>0</v>
      </c>
      <c r="AL919" s="6">
        <v>1086</v>
      </c>
      <c r="AM919" s="5">
        <v>5660.1100415374467</v>
      </c>
      <c r="AN919" s="6">
        <v>0</v>
      </c>
      <c r="AO919" s="5">
        <v>0</v>
      </c>
      <c r="AP919" s="6">
        <v>0</v>
      </c>
      <c r="AQ919" s="5">
        <v>0</v>
      </c>
      <c r="AR919" s="6">
        <v>0</v>
      </c>
      <c r="AS919" s="5">
        <v>0</v>
      </c>
      <c r="AT919" s="6">
        <v>0</v>
      </c>
      <c r="AU919" s="5">
        <v>0</v>
      </c>
      <c r="AV919" s="6">
        <v>0</v>
      </c>
      <c r="AW919" s="5">
        <v>0</v>
      </c>
      <c r="AX919" s="6">
        <v>0</v>
      </c>
      <c r="AY919" s="5">
        <v>0</v>
      </c>
      <c r="AZ919" s="6">
        <v>0</v>
      </c>
      <c r="BA919" s="5">
        <v>0</v>
      </c>
      <c r="BB919" s="6">
        <v>0</v>
      </c>
      <c r="BC919" s="5">
        <v>0</v>
      </c>
      <c r="BD919" s="6">
        <v>0</v>
      </c>
      <c r="BE919" s="5">
        <v>0</v>
      </c>
      <c r="BF919" s="6">
        <v>0</v>
      </c>
      <c r="BG919" s="5">
        <v>0</v>
      </c>
      <c r="BH919" s="9">
        <f t="shared" si="114"/>
        <v>1086</v>
      </c>
      <c r="BI919" s="10">
        <f t="shared" si="115"/>
        <v>5660.1100415374467</v>
      </c>
      <c r="BJ919" s="6">
        <f t="shared" si="116"/>
        <v>136.33375277451535</v>
      </c>
      <c r="BK919" s="11">
        <f t="shared" si="117"/>
        <v>0.14355964863742793</v>
      </c>
      <c r="BL919" s="5">
        <f t="shared" si="118"/>
        <v>911.77880541002287</v>
      </c>
      <c r="BM919" s="11">
        <f t="shared" si="119"/>
        <v>0.19202089325041241</v>
      </c>
    </row>
    <row r="920" spans="1:65" ht="15" customHeight="1" x14ac:dyDescent="0.4">
      <c r="A920" s="2" t="s">
        <v>654</v>
      </c>
      <c r="B920" s="2" t="s">
        <v>694</v>
      </c>
      <c r="C920" s="2" t="s">
        <v>695</v>
      </c>
      <c r="D920" s="3" t="s">
        <v>101</v>
      </c>
      <c r="E920" s="3" t="s">
        <v>699</v>
      </c>
      <c r="F920" s="2" t="s">
        <v>111</v>
      </c>
      <c r="G920" s="4">
        <v>5</v>
      </c>
      <c r="H920" s="5">
        <v>3.25</v>
      </c>
      <c r="I920" s="5">
        <v>3.3877270046034429</v>
      </c>
      <c r="J920" s="6">
        <v>0</v>
      </c>
      <c r="K920" s="5">
        <v>0</v>
      </c>
      <c r="L920" s="6">
        <v>0</v>
      </c>
      <c r="M920" s="5">
        <v>0</v>
      </c>
      <c r="N920" s="6">
        <v>0</v>
      </c>
      <c r="O920" s="5">
        <v>0</v>
      </c>
      <c r="P920" s="6">
        <v>0</v>
      </c>
      <c r="Q920" s="5">
        <v>0</v>
      </c>
      <c r="R920" s="6">
        <v>0</v>
      </c>
      <c r="S920" s="5">
        <v>0</v>
      </c>
      <c r="T920" s="6">
        <v>0</v>
      </c>
      <c r="U920" s="5">
        <v>0</v>
      </c>
      <c r="V920" s="6">
        <v>0</v>
      </c>
      <c r="W920" s="5">
        <v>0</v>
      </c>
      <c r="X920" s="6">
        <v>0</v>
      </c>
      <c r="Y920" s="5">
        <v>0</v>
      </c>
      <c r="Z920" s="6">
        <v>0</v>
      </c>
      <c r="AA920" s="5">
        <v>0</v>
      </c>
      <c r="AB920" s="6">
        <v>0</v>
      </c>
      <c r="AC920" s="5">
        <v>0</v>
      </c>
      <c r="AD920" s="6">
        <v>0</v>
      </c>
      <c r="AE920" s="5">
        <v>0</v>
      </c>
      <c r="AF920" s="6">
        <v>947.99613929838938</v>
      </c>
      <c r="AG920" s="5">
        <v>3080.9874527197649</v>
      </c>
      <c r="AH920" s="7">
        <f t="shared" si="112"/>
        <v>947.99613929838938</v>
      </c>
      <c r="AI920" s="8">
        <f t="shared" si="113"/>
        <v>3080.9874527197649</v>
      </c>
      <c r="AJ920" s="6">
        <v>0</v>
      </c>
      <c r="AK920" s="5">
        <v>0</v>
      </c>
      <c r="AL920" s="6">
        <v>0</v>
      </c>
      <c r="AM920" s="5">
        <v>0</v>
      </c>
      <c r="AN920" s="6">
        <v>0</v>
      </c>
      <c r="AO920" s="5">
        <v>0</v>
      </c>
      <c r="AP920" s="6">
        <v>0</v>
      </c>
      <c r="AQ920" s="5">
        <v>0</v>
      </c>
      <c r="AR920" s="6">
        <v>0</v>
      </c>
      <c r="AS920" s="5">
        <v>0</v>
      </c>
      <c r="AT920" s="6">
        <v>0</v>
      </c>
      <c r="AU920" s="5">
        <v>0</v>
      </c>
      <c r="AV920" s="6">
        <v>0</v>
      </c>
      <c r="AW920" s="5">
        <v>0</v>
      </c>
      <c r="AX920" s="6">
        <v>0</v>
      </c>
      <c r="AY920" s="5">
        <v>0</v>
      </c>
      <c r="AZ920" s="6">
        <v>0</v>
      </c>
      <c r="BA920" s="5">
        <v>0</v>
      </c>
      <c r="BB920" s="6">
        <v>0</v>
      </c>
      <c r="BC920" s="5">
        <v>0</v>
      </c>
      <c r="BD920" s="6">
        <v>0</v>
      </c>
      <c r="BE920" s="5">
        <v>0</v>
      </c>
      <c r="BF920" s="6">
        <v>1095</v>
      </c>
      <c r="BG920" s="5">
        <v>3709.561070040771</v>
      </c>
      <c r="BH920" s="9">
        <f t="shared" si="114"/>
        <v>1095</v>
      </c>
      <c r="BI920" s="10">
        <f t="shared" si="115"/>
        <v>3709.561070040771</v>
      </c>
      <c r="BJ920" s="6">
        <f t="shared" si="116"/>
        <v>147.00386070161062</v>
      </c>
      <c r="BK920" s="11">
        <f t="shared" si="117"/>
        <v>0.15506799511906028</v>
      </c>
      <c r="BL920" s="5">
        <f t="shared" si="118"/>
        <v>628.57361732100617</v>
      </c>
      <c r="BM920" s="11">
        <f t="shared" si="119"/>
        <v>0.20401693514400004</v>
      </c>
    </row>
    <row r="921" spans="1:65" ht="15" customHeight="1" x14ac:dyDescent="0.4">
      <c r="A921" s="2" t="s">
        <v>654</v>
      </c>
      <c r="B921" s="2" t="s">
        <v>694</v>
      </c>
      <c r="C921" s="2" t="s">
        <v>695</v>
      </c>
      <c r="D921" s="3" t="s">
        <v>101</v>
      </c>
      <c r="E921" s="3" t="s">
        <v>700</v>
      </c>
      <c r="F921" s="2" t="s">
        <v>308</v>
      </c>
      <c r="G921" s="4">
        <v>20</v>
      </c>
      <c r="H921" s="5">
        <v>1.95</v>
      </c>
      <c r="I921" s="5">
        <v>2.0326362027620659</v>
      </c>
      <c r="J921" s="6">
        <v>0</v>
      </c>
      <c r="K921" s="5">
        <v>0</v>
      </c>
      <c r="L921" s="6">
        <v>10881.59241612535</v>
      </c>
      <c r="M921" s="5">
        <v>21219.105211444421</v>
      </c>
      <c r="N921" s="6">
        <v>0</v>
      </c>
      <c r="O921" s="5">
        <v>0</v>
      </c>
      <c r="P921" s="6">
        <v>0</v>
      </c>
      <c r="Q921" s="5">
        <v>0</v>
      </c>
      <c r="R921" s="6">
        <v>0</v>
      </c>
      <c r="S921" s="5">
        <v>0</v>
      </c>
      <c r="T921" s="6">
        <v>0</v>
      </c>
      <c r="U921" s="5">
        <v>0</v>
      </c>
      <c r="V921" s="6">
        <v>0</v>
      </c>
      <c r="W921" s="5">
        <v>0</v>
      </c>
      <c r="X921" s="6">
        <v>0</v>
      </c>
      <c r="Y921" s="5">
        <v>0</v>
      </c>
      <c r="Z921" s="6">
        <v>0</v>
      </c>
      <c r="AA921" s="5">
        <v>0</v>
      </c>
      <c r="AB921" s="6">
        <v>0</v>
      </c>
      <c r="AC921" s="5">
        <v>0</v>
      </c>
      <c r="AD921" s="6">
        <v>0</v>
      </c>
      <c r="AE921" s="5">
        <v>0</v>
      </c>
      <c r="AF921" s="6">
        <v>0</v>
      </c>
      <c r="AG921" s="5">
        <v>0</v>
      </c>
      <c r="AH921" s="7">
        <f t="shared" si="112"/>
        <v>10881.59241612535</v>
      </c>
      <c r="AI921" s="8">
        <f t="shared" si="113"/>
        <v>21219.105211444421</v>
      </c>
      <c r="AJ921" s="6">
        <v>0</v>
      </c>
      <c r="AK921" s="5">
        <v>0</v>
      </c>
      <c r="AL921" s="6">
        <v>12560</v>
      </c>
      <c r="AM921" s="5">
        <v>25529.910706691549</v>
      </c>
      <c r="AN921" s="6">
        <v>0</v>
      </c>
      <c r="AO921" s="5">
        <v>0</v>
      </c>
      <c r="AP921" s="6">
        <v>0</v>
      </c>
      <c r="AQ921" s="5">
        <v>0</v>
      </c>
      <c r="AR921" s="6">
        <v>0</v>
      </c>
      <c r="AS921" s="5">
        <v>0</v>
      </c>
      <c r="AT921" s="6">
        <v>0</v>
      </c>
      <c r="AU921" s="5">
        <v>0</v>
      </c>
      <c r="AV921" s="6">
        <v>0</v>
      </c>
      <c r="AW921" s="5">
        <v>0</v>
      </c>
      <c r="AX921" s="6">
        <v>0</v>
      </c>
      <c r="AY921" s="5">
        <v>0</v>
      </c>
      <c r="AZ921" s="6">
        <v>0</v>
      </c>
      <c r="BA921" s="5">
        <v>0</v>
      </c>
      <c r="BB921" s="6">
        <v>0</v>
      </c>
      <c r="BC921" s="5">
        <v>0</v>
      </c>
      <c r="BD921" s="6">
        <v>0</v>
      </c>
      <c r="BE921" s="5">
        <v>0</v>
      </c>
      <c r="BF921" s="6">
        <v>0</v>
      </c>
      <c r="BG921" s="5">
        <v>0</v>
      </c>
      <c r="BH921" s="9">
        <f t="shared" si="114"/>
        <v>12560</v>
      </c>
      <c r="BI921" s="10">
        <f t="shared" si="115"/>
        <v>25529.910706691549</v>
      </c>
      <c r="BJ921" s="6">
        <f t="shared" si="116"/>
        <v>1678.4075838746503</v>
      </c>
      <c r="BK921" s="11">
        <f t="shared" si="117"/>
        <v>0.15424282767542652</v>
      </c>
      <c r="BL921" s="5">
        <f t="shared" si="118"/>
        <v>4310.8054952471284</v>
      </c>
      <c r="BM921" s="11">
        <f t="shared" si="119"/>
        <v>0.20315679913411788</v>
      </c>
    </row>
    <row r="922" spans="1:65" ht="15" customHeight="1" x14ac:dyDescent="0.4">
      <c r="A922" s="2" t="s">
        <v>654</v>
      </c>
      <c r="B922" s="2" t="s">
        <v>694</v>
      </c>
      <c r="C922" s="2" t="s">
        <v>695</v>
      </c>
      <c r="D922" s="3" t="s">
        <v>101</v>
      </c>
      <c r="E922" s="3" t="s">
        <v>700</v>
      </c>
      <c r="F922" s="2" t="s">
        <v>87</v>
      </c>
      <c r="G922" s="4">
        <v>20</v>
      </c>
      <c r="H922" s="5">
        <v>1.833</v>
      </c>
      <c r="I922" s="5">
        <v>1.910678030596342</v>
      </c>
      <c r="J922" s="6">
        <v>0</v>
      </c>
      <c r="K922" s="5">
        <v>0</v>
      </c>
      <c r="L922" s="6">
        <v>0</v>
      </c>
      <c r="M922" s="5">
        <v>0</v>
      </c>
      <c r="N922" s="6">
        <v>0</v>
      </c>
      <c r="O922" s="5">
        <v>0</v>
      </c>
      <c r="P922" s="6">
        <v>0</v>
      </c>
      <c r="Q922" s="5">
        <v>0</v>
      </c>
      <c r="R922" s="6">
        <v>0</v>
      </c>
      <c r="S922" s="5">
        <v>0</v>
      </c>
      <c r="T922" s="6">
        <v>0</v>
      </c>
      <c r="U922" s="5">
        <v>0</v>
      </c>
      <c r="V922" s="6">
        <v>0</v>
      </c>
      <c r="W922" s="5">
        <v>0</v>
      </c>
      <c r="X922" s="6">
        <v>0</v>
      </c>
      <c r="Y922" s="5">
        <v>0</v>
      </c>
      <c r="Z922" s="6">
        <v>0</v>
      </c>
      <c r="AA922" s="5">
        <v>0</v>
      </c>
      <c r="AB922" s="6">
        <v>0</v>
      </c>
      <c r="AC922" s="5">
        <v>0</v>
      </c>
      <c r="AD922" s="6">
        <v>0</v>
      </c>
      <c r="AE922" s="5">
        <v>0</v>
      </c>
      <c r="AF922" s="6">
        <v>5687.9768357903358</v>
      </c>
      <c r="AG922" s="5">
        <v>10426.06154000369</v>
      </c>
      <c r="AH922" s="7">
        <f t="shared" si="112"/>
        <v>5687.9768357903358</v>
      </c>
      <c r="AI922" s="8">
        <f t="shared" si="113"/>
        <v>10426.06154000369</v>
      </c>
      <c r="AJ922" s="6">
        <v>0</v>
      </c>
      <c r="AK922" s="5">
        <v>0</v>
      </c>
      <c r="AL922" s="6">
        <v>0</v>
      </c>
      <c r="AM922" s="5">
        <v>0</v>
      </c>
      <c r="AN922" s="6">
        <v>0</v>
      </c>
      <c r="AO922" s="5">
        <v>0</v>
      </c>
      <c r="AP922" s="6">
        <v>0</v>
      </c>
      <c r="AQ922" s="5">
        <v>0</v>
      </c>
      <c r="AR922" s="6">
        <v>0</v>
      </c>
      <c r="AS922" s="5">
        <v>0</v>
      </c>
      <c r="AT922" s="6">
        <v>0</v>
      </c>
      <c r="AU922" s="5">
        <v>0</v>
      </c>
      <c r="AV922" s="6">
        <v>0</v>
      </c>
      <c r="AW922" s="5">
        <v>0</v>
      </c>
      <c r="AX922" s="6">
        <v>0</v>
      </c>
      <c r="AY922" s="5">
        <v>0</v>
      </c>
      <c r="AZ922" s="6">
        <v>0</v>
      </c>
      <c r="BA922" s="5">
        <v>0</v>
      </c>
      <c r="BB922" s="6">
        <v>0</v>
      </c>
      <c r="BC922" s="5">
        <v>0</v>
      </c>
      <c r="BD922" s="6">
        <v>0</v>
      </c>
      <c r="BE922" s="5">
        <v>0</v>
      </c>
      <c r="BF922" s="6">
        <v>6560</v>
      </c>
      <c r="BG922" s="5">
        <v>12534.047880712011</v>
      </c>
      <c r="BH922" s="9">
        <f t="shared" si="114"/>
        <v>6560</v>
      </c>
      <c r="BI922" s="10">
        <f t="shared" si="115"/>
        <v>12534.047880712011</v>
      </c>
      <c r="BJ922" s="6">
        <f t="shared" si="116"/>
        <v>872.02316420966417</v>
      </c>
      <c r="BK922" s="11">
        <f t="shared" si="117"/>
        <v>0.15330990075814854</v>
      </c>
      <c r="BL922" s="5">
        <f t="shared" si="118"/>
        <v>2107.9863407083212</v>
      </c>
      <c r="BM922" s="11">
        <f t="shared" si="119"/>
        <v>0.2021843370691993</v>
      </c>
    </row>
    <row r="923" spans="1:65" ht="15" customHeight="1" x14ac:dyDescent="0.4">
      <c r="A923" s="2" t="s">
        <v>654</v>
      </c>
      <c r="B923" s="2" t="s">
        <v>694</v>
      </c>
      <c r="C923" s="2" t="s">
        <v>695</v>
      </c>
      <c r="D923" s="3" t="s">
        <v>101</v>
      </c>
      <c r="E923" s="3" t="s">
        <v>701</v>
      </c>
      <c r="F923" s="2" t="s">
        <v>490</v>
      </c>
      <c r="G923" s="4">
        <v>20</v>
      </c>
      <c r="H923" s="5">
        <v>2.77</v>
      </c>
      <c r="I923" s="5">
        <v>2.887385785462012</v>
      </c>
      <c r="J923" s="6">
        <v>0</v>
      </c>
      <c r="K923" s="5">
        <v>0</v>
      </c>
      <c r="L923" s="6">
        <v>14244.99370838227</v>
      </c>
      <c r="M923" s="5">
        <v>39458.632572218892</v>
      </c>
      <c r="N923" s="6">
        <v>0</v>
      </c>
      <c r="O923" s="5">
        <v>0</v>
      </c>
      <c r="P923" s="6">
        <v>0</v>
      </c>
      <c r="Q923" s="5">
        <v>0</v>
      </c>
      <c r="R923" s="6">
        <v>0</v>
      </c>
      <c r="S923" s="5">
        <v>0</v>
      </c>
      <c r="T923" s="6">
        <v>0</v>
      </c>
      <c r="U923" s="5">
        <v>0</v>
      </c>
      <c r="V923" s="6">
        <v>0</v>
      </c>
      <c r="W923" s="5">
        <v>0</v>
      </c>
      <c r="X923" s="6">
        <v>0</v>
      </c>
      <c r="Y923" s="5">
        <v>0</v>
      </c>
      <c r="Z923" s="6">
        <v>0</v>
      </c>
      <c r="AA923" s="5">
        <v>0</v>
      </c>
      <c r="AB923" s="6">
        <v>0</v>
      </c>
      <c r="AC923" s="5">
        <v>0</v>
      </c>
      <c r="AD923" s="6">
        <v>0</v>
      </c>
      <c r="AE923" s="5">
        <v>0</v>
      </c>
      <c r="AF923" s="6">
        <v>0</v>
      </c>
      <c r="AG923" s="5">
        <v>0</v>
      </c>
      <c r="AH923" s="7">
        <f t="shared" si="112"/>
        <v>14244.99370838227</v>
      </c>
      <c r="AI923" s="8">
        <f t="shared" si="113"/>
        <v>39458.632572218892</v>
      </c>
      <c r="AJ923" s="6">
        <v>0</v>
      </c>
      <c r="AK923" s="5">
        <v>0</v>
      </c>
      <c r="AL923" s="6">
        <v>18800</v>
      </c>
      <c r="AM923" s="5">
        <v>54282.852766685843</v>
      </c>
      <c r="AN923" s="6">
        <v>0</v>
      </c>
      <c r="AO923" s="5">
        <v>0</v>
      </c>
      <c r="AP923" s="6">
        <v>0</v>
      </c>
      <c r="AQ923" s="5">
        <v>0</v>
      </c>
      <c r="AR923" s="6">
        <v>0</v>
      </c>
      <c r="AS923" s="5">
        <v>0</v>
      </c>
      <c r="AT923" s="6">
        <v>0</v>
      </c>
      <c r="AU923" s="5">
        <v>0</v>
      </c>
      <c r="AV923" s="6">
        <v>0</v>
      </c>
      <c r="AW923" s="5">
        <v>0</v>
      </c>
      <c r="AX923" s="6">
        <v>0</v>
      </c>
      <c r="AY923" s="5">
        <v>0</v>
      </c>
      <c r="AZ923" s="6">
        <v>0</v>
      </c>
      <c r="BA923" s="5">
        <v>0</v>
      </c>
      <c r="BB923" s="6">
        <v>0</v>
      </c>
      <c r="BC923" s="5">
        <v>0</v>
      </c>
      <c r="BD923" s="6">
        <v>0</v>
      </c>
      <c r="BE923" s="5">
        <v>0</v>
      </c>
      <c r="BF923" s="6">
        <v>0</v>
      </c>
      <c r="BG923" s="5">
        <v>0</v>
      </c>
      <c r="BH923" s="9">
        <f t="shared" si="114"/>
        <v>18800</v>
      </c>
      <c r="BI923" s="10">
        <f t="shared" si="115"/>
        <v>54282.852766685843</v>
      </c>
      <c r="BJ923" s="6">
        <f t="shared" si="116"/>
        <v>4555.0062916177303</v>
      </c>
      <c r="BK923" s="11">
        <f t="shared" si="117"/>
        <v>0.3197619026632072</v>
      </c>
      <c r="BL923" s="5">
        <f t="shared" si="118"/>
        <v>14824.22019446695</v>
      </c>
      <c r="BM923" s="11">
        <f t="shared" si="119"/>
        <v>0.37569016532275978</v>
      </c>
    </row>
    <row r="924" spans="1:65" ht="15" customHeight="1" x14ac:dyDescent="0.4">
      <c r="A924" s="2" t="s">
        <v>654</v>
      </c>
      <c r="B924" s="2" t="s">
        <v>694</v>
      </c>
      <c r="C924" s="2" t="s">
        <v>695</v>
      </c>
      <c r="D924" s="3" t="s">
        <v>101</v>
      </c>
      <c r="E924" s="3" t="s">
        <v>701</v>
      </c>
      <c r="F924" s="2" t="s">
        <v>72</v>
      </c>
      <c r="G924" s="4">
        <v>20</v>
      </c>
      <c r="H924" s="5">
        <v>2.5484</v>
      </c>
      <c r="I924" s="5">
        <v>2.657810911389777</v>
      </c>
      <c r="J924" s="6">
        <v>0</v>
      </c>
      <c r="K924" s="5">
        <v>0</v>
      </c>
      <c r="L924" s="6">
        <v>0</v>
      </c>
      <c r="M924" s="5">
        <v>0</v>
      </c>
      <c r="N924" s="6">
        <v>0</v>
      </c>
      <c r="O924" s="5">
        <v>0</v>
      </c>
      <c r="P924" s="6">
        <v>0</v>
      </c>
      <c r="Q924" s="5">
        <v>0</v>
      </c>
      <c r="R924" s="6">
        <v>0</v>
      </c>
      <c r="S924" s="5">
        <v>0</v>
      </c>
      <c r="T924" s="6">
        <v>0</v>
      </c>
      <c r="U924" s="5">
        <v>0</v>
      </c>
      <c r="V924" s="6">
        <v>0</v>
      </c>
      <c r="W924" s="5">
        <v>0</v>
      </c>
      <c r="X924" s="6">
        <v>0</v>
      </c>
      <c r="Y924" s="5">
        <v>0</v>
      </c>
      <c r="Z924" s="6">
        <v>0</v>
      </c>
      <c r="AA924" s="5">
        <v>0</v>
      </c>
      <c r="AB924" s="6">
        <v>0</v>
      </c>
      <c r="AC924" s="5">
        <v>0</v>
      </c>
      <c r="AD924" s="6">
        <v>0</v>
      </c>
      <c r="AE924" s="5">
        <v>0</v>
      </c>
      <c r="AF924" s="6">
        <v>28439.884178951681</v>
      </c>
      <c r="AG924" s="5">
        <v>72476.200841640457</v>
      </c>
      <c r="AH924" s="7">
        <f t="shared" si="112"/>
        <v>28439.884178951681</v>
      </c>
      <c r="AI924" s="8">
        <f t="shared" si="113"/>
        <v>72476.200841640457</v>
      </c>
      <c r="AJ924" s="6">
        <v>0</v>
      </c>
      <c r="AK924" s="5">
        <v>0</v>
      </c>
      <c r="AL924" s="6">
        <v>0</v>
      </c>
      <c r="AM924" s="5">
        <v>0</v>
      </c>
      <c r="AN924" s="6">
        <v>0</v>
      </c>
      <c r="AO924" s="5">
        <v>0</v>
      </c>
      <c r="AP924" s="6">
        <v>0</v>
      </c>
      <c r="AQ924" s="5">
        <v>0</v>
      </c>
      <c r="AR924" s="6">
        <v>0</v>
      </c>
      <c r="AS924" s="5">
        <v>0</v>
      </c>
      <c r="AT924" s="6">
        <v>0</v>
      </c>
      <c r="AU924" s="5">
        <v>0</v>
      </c>
      <c r="AV924" s="6">
        <v>0</v>
      </c>
      <c r="AW924" s="5">
        <v>0</v>
      </c>
      <c r="AX924" s="6">
        <v>0</v>
      </c>
      <c r="AY924" s="5">
        <v>0</v>
      </c>
      <c r="AZ924" s="6">
        <v>0</v>
      </c>
      <c r="BA924" s="5">
        <v>0</v>
      </c>
      <c r="BB924" s="6">
        <v>0</v>
      </c>
      <c r="BC924" s="5">
        <v>0</v>
      </c>
      <c r="BD924" s="6">
        <v>0</v>
      </c>
      <c r="BE924" s="5">
        <v>0</v>
      </c>
      <c r="BF924" s="6">
        <v>37520</v>
      </c>
      <c r="BG924" s="5">
        <v>99721.065395344413</v>
      </c>
      <c r="BH924" s="9">
        <f t="shared" si="114"/>
        <v>37520</v>
      </c>
      <c r="BI924" s="10">
        <f t="shared" si="115"/>
        <v>99721.065395344413</v>
      </c>
      <c r="BJ924" s="6">
        <f t="shared" si="116"/>
        <v>9080.115821048319</v>
      </c>
      <c r="BK924" s="11">
        <f t="shared" si="117"/>
        <v>0.31927400842822351</v>
      </c>
      <c r="BL924" s="5">
        <f t="shared" si="118"/>
        <v>27244.864553703956</v>
      </c>
      <c r="BM924" s="11">
        <f t="shared" si="119"/>
        <v>0.37591463456029689</v>
      </c>
    </row>
    <row r="925" spans="1:65" ht="15" customHeight="1" x14ac:dyDescent="0.4">
      <c r="A925" s="2" t="s">
        <v>654</v>
      </c>
      <c r="B925" s="2" t="s">
        <v>694</v>
      </c>
      <c r="C925" s="2" t="s">
        <v>695</v>
      </c>
      <c r="D925" s="3" t="s">
        <v>101</v>
      </c>
      <c r="E925" s="3" t="s">
        <v>702</v>
      </c>
      <c r="F925" s="2" t="s">
        <v>293</v>
      </c>
      <c r="G925" s="4">
        <v>1</v>
      </c>
      <c r="H925" s="5">
        <v>4.5000000000000009</v>
      </c>
      <c r="I925" s="5">
        <v>4.6906989294509236</v>
      </c>
      <c r="J925" s="6">
        <v>0</v>
      </c>
      <c r="K925" s="5">
        <v>0</v>
      </c>
      <c r="L925" s="6">
        <v>949.66624722548465</v>
      </c>
      <c r="M925" s="5">
        <v>4273.4981125146815</v>
      </c>
      <c r="N925" s="6">
        <v>0</v>
      </c>
      <c r="O925" s="5">
        <v>0</v>
      </c>
      <c r="P925" s="6">
        <v>0</v>
      </c>
      <c r="Q925" s="5">
        <v>0</v>
      </c>
      <c r="R925" s="6">
        <v>0</v>
      </c>
      <c r="S925" s="5">
        <v>0</v>
      </c>
      <c r="T925" s="6">
        <v>0</v>
      </c>
      <c r="U925" s="5">
        <v>0</v>
      </c>
      <c r="V925" s="6">
        <v>0</v>
      </c>
      <c r="W925" s="5">
        <v>0</v>
      </c>
      <c r="X925" s="6">
        <v>0</v>
      </c>
      <c r="Y925" s="5">
        <v>0</v>
      </c>
      <c r="Z925" s="6">
        <v>0</v>
      </c>
      <c r="AA925" s="5">
        <v>0</v>
      </c>
      <c r="AB925" s="6">
        <v>0</v>
      </c>
      <c r="AC925" s="5">
        <v>0</v>
      </c>
      <c r="AD925" s="6">
        <v>0</v>
      </c>
      <c r="AE925" s="5">
        <v>0</v>
      </c>
      <c r="AF925" s="6">
        <v>0</v>
      </c>
      <c r="AG925" s="5">
        <v>0</v>
      </c>
      <c r="AH925" s="7">
        <f t="shared" si="112"/>
        <v>949.66624722548465</v>
      </c>
      <c r="AI925" s="8">
        <f t="shared" si="113"/>
        <v>4273.4981125146815</v>
      </c>
      <c r="AJ925" s="6">
        <v>0</v>
      </c>
      <c r="AK925" s="5">
        <v>0</v>
      </c>
      <c r="AL925" s="6">
        <v>1066</v>
      </c>
      <c r="AM925" s="5">
        <v>5000.2850587946841</v>
      </c>
      <c r="AN925" s="6">
        <v>0</v>
      </c>
      <c r="AO925" s="5">
        <v>0</v>
      </c>
      <c r="AP925" s="6">
        <v>0</v>
      </c>
      <c r="AQ925" s="5">
        <v>0</v>
      </c>
      <c r="AR925" s="6">
        <v>0</v>
      </c>
      <c r="AS925" s="5">
        <v>0</v>
      </c>
      <c r="AT925" s="6">
        <v>0</v>
      </c>
      <c r="AU925" s="5">
        <v>0</v>
      </c>
      <c r="AV925" s="6">
        <v>0</v>
      </c>
      <c r="AW925" s="5">
        <v>0</v>
      </c>
      <c r="AX925" s="6">
        <v>0</v>
      </c>
      <c r="AY925" s="5">
        <v>0</v>
      </c>
      <c r="AZ925" s="6">
        <v>0</v>
      </c>
      <c r="BA925" s="5">
        <v>0</v>
      </c>
      <c r="BB925" s="6">
        <v>0</v>
      </c>
      <c r="BC925" s="5">
        <v>0</v>
      </c>
      <c r="BD925" s="6">
        <v>0</v>
      </c>
      <c r="BE925" s="5">
        <v>0</v>
      </c>
      <c r="BF925" s="6">
        <v>0</v>
      </c>
      <c r="BG925" s="5">
        <v>0</v>
      </c>
      <c r="BH925" s="9">
        <f t="shared" si="114"/>
        <v>1066</v>
      </c>
      <c r="BI925" s="10">
        <f t="shared" si="115"/>
        <v>5000.2850587946841</v>
      </c>
      <c r="BJ925" s="6">
        <f t="shared" si="116"/>
        <v>116.33375277451535</v>
      </c>
      <c r="BK925" s="11">
        <f t="shared" si="117"/>
        <v>0.12249961827578101</v>
      </c>
      <c r="BL925" s="5">
        <f t="shared" si="118"/>
        <v>726.78694628000267</v>
      </c>
      <c r="BM925" s="11">
        <f t="shared" si="119"/>
        <v>0.1700683906122834</v>
      </c>
    </row>
    <row r="926" spans="1:65" ht="15" customHeight="1" x14ac:dyDescent="0.4">
      <c r="A926" s="2" t="s">
        <v>654</v>
      </c>
      <c r="B926" s="2" t="s">
        <v>694</v>
      </c>
      <c r="C926" s="2" t="s">
        <v>695</v>
      </c>
      <c r="D926" s="3" t="s">
        <v>101</v>
      </c>
      <c r="E926" s="3" t="s">
        <v>702</v>
      </c>
      <c r="F926" s="2" t="s">
        <v>676</v>
      </c>
      <c r="G926" s="4">
        <v>1</v>
      </c>
      <c r="H926" s="5">
        <v>4.2300000000000004</v>
      </c>
      <c r="I926" s="5">
        <v>4.4092569936838668</v>
      </c>
      <c r="J926" s="6">
        <v>0</v>
      </c>
      <c r="K926" s="5">
        <v>0</v>
      </c>
      <c r="L926" s="6">
        <v>0</v>
      </c>
      <c r="M926" s="5">
        <v>0</v>
      </c>
      <c r="N926" s="6">
        <v>0</v>
      </c>
      <c r="O926" s="5">
        <v>0</v>
      </c>
      <c r="P926" s="6">
        <v>0</v>
      </c>
      <c r="Q926" s="5">
        <v>0</v>
      </c>
      <c r="R926" s="6">
        <v>0</v>
      </c>
      <c r="S926" s="5">
        <v>0</v>
      </c>
      <c r="T926" s="6">
        <v>0</v>
      </c>
      <c r="U926" s="5">
        <v>0</v>
      </c>
      <c r="V926" s="6">
        <v>0</v>
      </c>
      <c r="W926" s="5">
        <v>0</v>
      </c>
      <c r="X926" s="6">
        <v>0</v>
      </c>
      <c r="Y926" s="5">
        <v>0</v>
      </c>
      <c r="Z926" s="6">
        <v>0</v>
      </c>
      <c r="AA926" s="5">
        <v>0</v>
      </c>
      <c r="AB926" s="6">
        <v>0</v>
      </c>
      <c r="AC926" s="5">
        <v>0</v>
      </c>
      <c r="AD926" s="6">
        <v>0</v>
      </c>
      <c r="AE926" s="5">
        <v>0</v>
      </c>
      <c r="AF926" s="6">
        <v>910.07629372645374</v>
      </c>
      <c r="AG926" s="5">
        <v>3849.6227224629001</v>
      </c>
      <c r="AH926" s="7">
        <f t="shared" si="112"/>
        <v>910.07629372645374</v>
      </c>
      <c r="AI926" s="8">
        <f t="shared" si="113"/>
        <v>3849.6227224629001</v>
      </c>
      <c r="AJ926" s="6">
        <v>0</v>
      </c>
      <c r="AK926" s="5">
        <v>0</v>
      </c>
      <c r="AL926" s="6">
        <v>0</v>
      </c>
      <c r="AM926" s="5">
        <v>0</v>
      </c>
      <c r="AN926" s="6">
        <v>0</v>
      </c>
      <c r="AO926" s="5">
        <v>0</v>
      </c>
      <c r="AP926" s="6">
        <v>0</v>
      </c>
      <c r="AQ926" s="5">
        <v>0</v>
      </c>
      <c r="AR926" s="6">
        <v>0</v>
      </c>
      <c r="AS926" s="5">
        <v>0</v>
      </c>
      <c r="AT926" s="6">
        <v>0</v>
      </c>
      <c r="AU926" s="5">
        <v>0</v>
      </c>
      <c r="AV926" s="6">
        <v>0</v>
      </c>
      <c r="AW926" s="5">
        <v>0</v>
      </c>
      <c r="AX926" s="6">
        <v>0</v>
      </c>
      <c r="AY926" s="5">
        <v>0</v>
      </c>
      <c r="AZ926" s="6">
        <v>0</v>
      </c>
      <c r="BA926" s="5">
        <v>0</v>
      </c>
      <c r="BB926" s="6">
        <v>0</v>
      </c>
      <c r="BC926" s="5">
        <v>0</v>
      </c>
      <c r="BD926" s="6">
        <v>0</v>
      </c>
      <c r="BE926" s="5">
        <v>0</v>
      </c>
      <c r="BF926" s="6">
        <v>1021</v>
      </c>
      <c r="BG926" s="5">
        <v>4501.8513905512282</v>
      </c>
      <c r="BH926" s="9">
        <f t="shared" si="114"/>
        <v>1021</v>
      </c>
      <c r="BI926" s="10">
        <f t="shared" si="115"/>
        <v>4501.8513905512282</v>
      </c>
      <c r="BJ926" s="6">
        <f t="shared" si="116"/>
        <v>110.92370627354626</v>
      </c>
      <c r="BK926" s="11">
        <f t="shared" si="117"/>
        <v>0.1218839640568499</v>
      </c>
      <c r="BL926" s="5">
        <f t="shared" si="118"/>
        <v>652.22866808832805</v>
      </c>
      <c r="BM926" s="11">
        <f t="shared" si="119"/>
        <v>0.16942664648213815</v>
      </c>
    </row>
    <row r="927" spans="1:65" ht="15" customHeight="1" x14ac:dyDescent="0.4">
      <c r="A927" s="2" t="s">
        <v>654</v>
      </c>
      <c r="B927" s="2" t="s">
        <v>694</v>
      </c>
      <c r="C927" s="2" t="s">
        <v>695</v>
      </c>
      <c r="D927" s="3" t="s">
        <v>101</v>
      </c>
      <c r="E927" s="3" t="s">
        <v>703</v>
      </c>
      <c r="F927" s="2" t="s">
        <v>121</v>
      </c>
      <c r="G927" s="4">
        <v>5</v>
      </c>
      <c r="H927" s="5">
        <v>3.8</v>
      </c>
      <c r="I927" s="5">
        <v>3.9610346515363339</v>
      </c>
      <c r="J927" s="6">
        <v>0</v>
      </c>
      <c r="K927" s="5">
        <v>0</v>
      </c>
      <c r="L927" s="6">
        <v>0</v>
      </c>
      <c r="M927" s="5">
        <v>0</v>
      </c>
      <c r="N927" s="6">
        <v>0</v>
      </c>
      <c r="O927" s="5">
        <v>0</v>
      </c>
      <c r="P927" s="6">
        <v>0</v>
      </c>
      <c r="Q927" s="5">
        <v>0</v>
      </c>
      <c r="R927" s="6">
        <v>0</v>
      </c>
      <c r="S927" s="5">
        <v>0</v>
      </c>
      <c r="T927" s="6">
        <v>0</v>
      </c>
      <c r="U927" s="5">
        <v>0</v>
      </c>
      <c r="V927" s="6">
        <v>0</v>
      </c>
      <c r="W927" s="5">
        <v>0</v>
      </c>
      <c r="X927" s="6">
        <v>0</v>
      </c>
      <c r="Y927" s="5">
        <v>0</v>
      </c>
      <c r="Z927" s="6">
        <v>0</v>
      </c>
      <c r="AA927" s="5">
        <v>0</v>
      </c>
      <c r="AB927" s="6">
        <v>0</v>
      </c>
      <c r="AC927" s="5">
        <v>0</v>
      </c>
      <c r="AD927" s="6">
        <v>0</v>
      </c>
      <c r="AE927" s="5">
        <v>0</v>
      </c>
      <c r="AF927" s="6">
        <v>947.99613929838938</v>
      </c>
      <c r="AG927" s="5">
        <v>3602.3853293338789</v>
      </c>
      <c r="AH927" s="7">
        <f t="shared" si="112"/>
        <v>947.99613929838938</v>
      </c>
      <c r="AI927" s="8">
        <f t="shared" si="113"/>
        <v>3602.3853293338789</v>
      </c>
      <c r="AJ927" s="6">
        <v>0</v>
      </c>
      <c r="AK927" s="5">
        <v>0</v>
      </c>
      <c r="AL927" s="6">
        <v>0</v>
      </c>
      <c r="AM927" s="5">
        <v>0</v>
      </c>
      <c r="AN927" s="6">
        <v>0</v>
      </c>
      <c r="AO927" s="5">
        <v>0</v>
      </c>
      <c r="AP927" s="6">
        <v>0</v>
      </c>
      <c r="AQ927" s="5">
        <v>0</v>
      </c>
      <c r="AR927" s="6">
        <v>0</v>
      </c>
      <c r="AS927" s="5">
        <v>0</v>
      </c>
      <c r="AT927" s="6">
        <v>0</v>
      </c>
      <c r="AU927" s="5">
        <v>0</v>
      </c>
      <c r="AV927" s="6">
        <v>0</v>
      </c>
      <c r="AW927" s="5">
        <v>0</v>
      </c>
      <c r="AX927" s="6">
        <v>0</v>
      </c>
      <c r="AY927" s="5">
        <v>0</v>
      </c>
      <c r="AZ927" s="6">
        <v>0</v>
      </c>
      <c r="BA927" s="5">
        <v>0</v>
      </c>
      <c r="BB927" s="6">
        <v>0</v>
      </c>
      <c r="BC927" s="5">
        <v>0</v>
      </c>
      <c r="BD927" s="6">
        <v>0</v>
      </c>
      <c r="BE927" s="5">
        <v>0</v>
      </c>
      <c r="BF927" s="6">
        <v>1080</v>
      </c>
      <c r="BG927" s="5">
        <v>4277.9174236592407</v>
      </c>
      <c r="BH927" s="9">
        <f t="shared" si="114"/>
        <v>1080</v>
      </c>
      <c r="BI927" s="10">
        <f t="shared" si="115"/>
        <v>4277.9174236592407</v>
      </c>
      <c r="BJ927" s="6">
        <f t="shared" si="116"/>
        <v>132.00386070161062</v>
      </c>
      <c r="BK927" s="11">
        <f t="shared" si="117"/>
        <v>0.13924514587085396</v>
      </c>
      <c r="BL927" s="5">
        <f t="shared" si="118"/>
        <v>675.53209432536187</v>
      </c>
      <c r="BM927" s="11">
        <f t="shared" si="119"/>
        <v>0.18752355247079447</v>
      </c>
    </row>
    <row r="928" spans="1:65" ht="15" customHeight="1" x14ac:dyDescent="0.4">
      <c r="A928" s="2" t="s">
        <v>654</v>
      </c>
      <c r="B928" s="2" t="s">
        <v>694</v>
      </c>
      <c r="C928" s="2" t="s">
        <v>695</v>
      </c>
      <c r="D928" s="3" t="s">
        <v>101</v>
      </c>
      <c r="E928" s="3" t="s">
        <v>704</v>
      </c>
      <c r="F928" s="2" t="s">
        <v>705</v>
      </c>
      <c r="G928" s="4">
        <v>5</v>
      </c>
      <c r="H928" s="5">
        <v>3.72</v>
      </c>
      <c r="I928" s="5">
        <v>3.8776444483460959</v>
      </c>
      <c r="J928" s="6">
        <v>0</v>
      </c>
      <c r="K928" s="5">
        <v>0</v>
      </c>
      <c r="L928" s="6">
        <v>0</v>
      </c>
      <c r="M928" s="5">
        <v>0</v>
      </c>
      <c r="N928" s="6">
        <v>0</v>
      </c>
      <c r="O928" s="5">
        <v>0</v>
      </c>
      <c r="P928" s="6">
        <v>0</v>
      </c>
      <c r="Q928" s="5">
        <v>0</v>
      </c>
      <c r="R928" s="6">
        <v>0</v>
      </c>
      <c r="S928" s="5">
        <v>0</v>
      </c>
      <c r="T928" s="6">
        <v>0</v>
      </c>
      <c r="U928" s="5">
        <v>0</v>
      </c>
      <c r="V928" s="6">
        <v>0</v>
      </c>
      <c r="W928" s="5">
        <v>0</v>
      </c>
      <c r="X928" s="6">
        <v>0</v>
      </c>
      <c r="Y928" s="5">
        <v>0</v>
      </c>
      <c r="Z928" s="6">
        <v>0</v>
      </c>
      <c r="AA928" s="5">
        <v>0</v>
      </c>
      <c r="AB928" s="6">
        <v>0</v>
      </c>
      <c r="AC928" s="5">
        <v>0</v>
      </c>
      <c r="AD928" s="6">
        <v>0</v>
      </c>
      <c r="AE928" s="5">
        <v>0</v>
      </c>
      <c r="AF928" s="6">
        <v>947.99613929838938</v>
      </c>
      <c r="AG928" s="5">
        <v>3526.545638190009</v>
      </c>
      <c r="AH928" s="7">
        <f t="shared" si="112"/>
        <v>947.99613929838938</v>
      </c>
      <c r="AI928" s="8">
        <f t="shared" si="113"/>
        <v>3526.545638190009</v>
      </c>
      <c r="AJ928" s="6">
        <v>0</v>
      </c>
      <c r="AK928" s="5">
        <v>0</v>
      </c>
      <c r="AL928" s="6">
        <v>0</v>
      </c>
      <c r="AM928" s="5">
        <v>0</v>
      </c>
      <c r="AN928" s="6">
        <v>0</v>
      </c>
      <c r="AO928" s="5">
        <v>0</v>
      </c>
      <c r="AP928" s="6">
        <v>0</v>
      </c>
      <c r="AQ928" s="5">
        <v>0</v>
      </c>
      <c r="AR928" s="6">
        <v>0</v>
      </c>
      <c r="AS928" s="5">
        <v>0</v>
      </c>
      <c r="AT928" s="6">
        <v>0</v>
      </c>
      <c r="AU928" s="5">
        <v>0</v>
      </c>
      <c r="AV928" s="6">
        <v>0</v>
      </c>
      <c r="AW928" s="5">
        <v>0</v>
      </c>
      <c r="AX928" s="6">
        <v>0</v>
      </c>
      <c r="AY928" s="5">
        <v>0</v>
      </c>
      <c r="AZ928" s="6">
        <v>0</v>
      </c>
      <c r="BA928" s="5">
        <v>0</v>
      </c>
      <c r="BB928" s="6">
        <v>0</v>
      </c>
      <c r="BC928" s="5">
        <v>0</v>
      </c>
      <c r="BD928" s="6">
        <v>0</v>
      </c>
      <c r="BE928" s="5">
        <v>0</v>
      </c>
      <c r="BF928" s="6">
        <v>1085</v>
      </c>
      <c r="BG928" s="5">
        <v>4207.2442264555139</v>
      </c>
      <c r="BH928" s="9">
        <f t="shared" si="114"/>
        <v>1085</v>
      </c>
      <c r="BI928" s="10">
        <f t="shared" si="115"/>
        <v>4207.2442264555139</v>
      </c>
      <c r="BJ928" s="6">
        <f t="shared" si="116"/>
        <v>137.00386070161062</v>
      </c>
      <c r="BK928" s="11">
        <f t="shared" si="117"/>
        <v>0.14451942895358941</v>
      </c>
      <c r="BL928" s="5">
        <f t="shared" si="118"/>
        <v>680.6985882655049</v>
      </c>
      <c r="BM928" s="11">
        <f t="shared" si="119"/>
        <v>0.19302134669519599</v>
      </c>
    </row>
    <row r="929" spans="1:65" ht="15" customHeight="1" x14ac:dyDescent="0.4">
      <c r="A929" s="2" t="s">
        <v>654</v>
      </c>
      <c r="B929" s="2" t="s">
        <v>694</v>
      </c>
      <c r="C929" s="2" t="s">
        <v>695</v>
      </c>
      <c r="D929" s="3" t="s">
        <v>101</v>
      </c>
      <c r="E929" s="3" t="s">
        <v>706</v>
      </c>
      <c r="F929" s="2" t="s">
        <v>678</v>
      </c>
      <c r="G929" s="4">
        <v>1</v>
      </c>
      <c r="H929" s="5">
        <v>4.3999999999999986</v>
      </c>
      <c r="I929" s="5">
        <v>4.5864611754631239</v>
      </c>
      <c r="J929" s="6">
        <v>0</v>
      </c>
      <c r="K929" s="5">
        <v>0</v>
      </c>
      <c r="L929" s="6">
        <v>0</v>
      </c>
      <c r="M929" s="5">
        <v>0</v>
      </c>
      <c r="N929" s="6">
        <v>0</v>
      </c>
      <c r="O929" s="5">
        <v>0</v>
      </c>
      <c r="P929" s="6">
        <v>0</v>
      </c>
      <c r="Q929" s="5">
        <v>0</v>
      </c>
      <c r="R929" s="6">
        <v>0</v>
      </c>
      <c r="S929" s="5">
        <v>0</v>
      </c>
      <c r="T929" s="6">
        <v>0</v>
      </c>
      <c r="U929" s="5">
        <v>0</v>
      </c>
      <c r="V929" s="6">
        <v>0</v>
      </c>
      <c r="W929" s="5">
        <v>0</v>
      </c>
      <c r="X929" s="6">
        <v>0</v>
      </c>
      <c r="Y929" s="5">
        <v>0</v>
      </c>
      <c r="Z929" s="6">
        <v>0</v>
      </c>
      <c r="AA929" s="5">
        <v>0</v>
      </c>
      <c r="AB929" s="6">
        <v>0</v>
      </c>
      <c r="AC929" s="5">
        <v>0</v>
      </c>
      <c r="AD929" s="6">
        <v>0</v>
      </c>
      <c r="AE929" s="5">
        <v>0</v>
      </c>
      <c r="AF929" s="6">
        <v>947.99613929838938</v>
      </c>
      <c r="AG929" s="5">
        <v>4171.183012912913</v>
      </c>
      <c r="AH929" s="7">
        <f t="shared" si="112"/>
        <v>947.99613929838938</v>
      </c>
      <c r="AI929" s="8">
        <f t="shared" si="113"/>
        <v>4171.183012912913</v>
      </c>
      <c r="AJ929" s="6">
        <v>0</v>
      </c>
      <c r="AK929" s="5">
        <v>0</v>
      </c>
      <c r="AL929" s="6">
        <v>0</v>
      </c>
      <c r="AM929" s="5">
        <v>0</v>
      </c>
      <c r="AN929" s="6">
        <v>0</v>
      </c>
      <c r="AO929" s="5">
        <v>0</v>
      </c>
      <c r="AP929" s="6">
        <v>0</v>
      </c>
      <c r="AQ929" s="5">
        <v>0</v>
      </c>
      <c r="AR929" s="6">
        <v>0</v>
      </c>
      <c r="AS929" s="5">
        <v>0</v>
      </c>
      <c r="AT929" s="6">
        <v>0</v>
      </c>
      <c r="AU929" s="5">
        <v>0</v>
      </c>
      <c r="AV929" s="6">
        <v>0</v>
      </c>
      <c r="AW929" s="5">
        <v>0</v>
      </c>
      <c r="AX929" s="6">
        <v>0</v>
      </c>
      <c r="AY929" s="5">
        <v>0</v>
      </c>
      <c r="AZ929" s="6">
        <v>0</v>
      </c>
      <c r="BA929" s="5">
        <v>0</v>
      </c>
      <c r="BB929" s="6">
        <v>0</v>
      </c>
      <c r="BC929" s="5">
        <v>0</v>
      </c>
      <c r="BD929" s="6">
        <v>0</v>
      </c>
      <c r="BE929" s="5">
        <v>0</v>
      </c>
      <c r="BF929" s="6">
        <v>1064</v>
      </c>
      <c r="BG929" s="5">
        <v>4879.9946906927626</v>
      </c>
      <c r="BH929" s="9">
        <f t="shared" si="114"/>
        <v>1064</v>
      </c>
      <c r="BI929" s="10">
        <f t="shared" si="115"/>
        <v>4879.9946906927626</v>
      </c>
      <c r="BJ929" s="6">
        <f t="shared" si="116"/>
        <v>116.00386070161062</v>
      </c>
      <c r="BK929" s="11">
        <f t="shared" si="117"/>
        <v>0.12236744000610057</v>
      </c>
      <c r="BL929" s="5">
        <f t="shared" si="118"/>
        <v>708.81167777984956</v>
      </c>
      <c r="BM929" s="11">
        <f t="shared" si="119"/>
        <v>0.16993061095270823</v>
      </c>
    </row>
    <row r="930" spans="1:65" ht="15" customHeight="1" x14ac:dyDescent="0.4">
      <c r="A930" s="2" t="s">
        <v>654</v>
      </c>
      <c r="B930" s="2" t="s">
        <v>694</v>
      </c>
      <c r="C930" s="2" t="s">
        <v>695</v>
      </c>
      <c r="D930" s="3" t="s">
        <v>101</v>
      </c>
      <c r="E930" s="3" t="s">
        <v>707</v>
      </c>
      <c r="F930" s="2" t="s">
        <v>425</v>
      </c>
      <c r="G930" s="4">
        <v>5</v>
      </c>
      <c r="H930" s="5">
        <v>4.43</v>
      </c>
      <c r="I930" s="5">
        <v>4.6177325016594626</v>
      </c>
      <c r="J930" s="6">
        <v>0</v>
      </c>
      <c r="K930" s="5">
        <v>0</v>
      </c>
      <c r="L930" s="6">
        <v>1978.4713483864259</v>
      </c>
      <c r="M930" s="5">
        <v>8764.6280733518688</v>
      </c>
      <c r="N930" s="6">
        <v>0</v>
      </c>
      <c r="O930" s="5">
        <v>0</v>
      </c>
      <c r="P930" s="6">
        <v>0</v>
      </c>
      <c r="Q930" s="5">
        <v>0</v>
      </c>
      <c r="R930" s="6">
        <v>0</v>
      </c>
      <c r="S930" s="5">
        <v>0</v>
      </c>
      <c r="T930" s="6">
        <v>0</v>
      </c>
      <c r="U930" s="5">
        <v>0</v>
      </c>
      <c r="V930" s="6">
        <v>0</v>
      </c>
      <c r="W930" s="5">
        <v>0</v>
      </c>
      <c r="X930" s="6">
        <v>0</v>
      </c>
      <c r="Y930" s="5">
        <v>0</v>
      </c>
      <c r="Z930" s="6">
        <v>0</v>
      </c>
      <c r="AA930" s="5">
        <v>0</v>
      </c>
      <c r="AB930" s="6">
        <v>0</v>
      </c>
      <c r="AC930" s="5">
        <v>0</v>
      </c>
      <c r="AD930" s="6">
        <v>0</v>
      </c>
      <c r="AE930" s="5">
        <v>0</v>
      </c>
      <c r="AF930" s="6">
        <v>0</v>
      </c>
      <c r="AG930" s="5">
        <v>0</v>
      </c>
      <c r="AH930" s="7">
        <f t="shared" si="112"/>
        <v>1978.4713483864259</v>
      </c>
      <c r="AI930" s="8">
        <f t="shared" si="113"/>
        <v>8764.6280733518688</v>
      </c>
      <c r="AJ930" s="6">
        <v>0</v>
      </c>
      <c r="AK930" s="5">
        <v>0</v>
      </c>
      <c r="AL930" s="6">
        <v>2220</v>
      </c>
      <c r="AM930" s="5">
        <v>10251.36615368401</v>
      </c>
      <c r="AN930" s="6">
        <v>0</v>
      </c>
      <c r="AO930" s="5">
        <v>0</v>
      </c>
      <c r="AP930" s="6">
        <v>0</v>
      </c>
      <c r="AQ930" s="5">
        <v>0</v>
      </c>
      <c r="AR930" s="6">
        <v>0</v>
      </c>
      <c r="AS930" s="5">
        <v>0</v>
      </c>
      <c r="AT930" s="6">
        <v>0</v>
      </c>
      <c r="AU930" s="5">
        <v>0</v>
      </c>
      <c r="AV930" s="6">
        <v>0</v>
      </c>
      <c r="AW930" s="5">
        <v>0</v>
      </c>
      <c r="AX930" s="6">
        <v>0</v>
      </c>
      <c r="AY930" s="5">
        <v>0</v>
      </c>
      <c r="AZ930" s="6">
        <v>0</v>
      </c>
      <c r="BA930" s="5">
        <v>0</v>
      </c>
      <c r="BB930" s="6">
        <v>0</v>
      </c>
      <c r="BC930" s="5">
        <v>0</v>
      </c>
      <c r="BD930" s="6">
        <v>0</v>
      </c>
      <c r="BE930" s="5">
        <v>0</v>
      </c>
      <c r="BF930" s="6">
        <v>0</v>
      </c>
      <c r="BG930" s="5">
        <v>0</v>
      </c>
      <c r="BH930" s="9">
        <f t="shared" si="114"/>
        <v>2220</v>
      </c>
      <c r="BI930" s="10">
        <f t="shared" si="115"/>
        <v>10251.36615368401</v>
      </c>
      <c r="BJ930" s="6">
        <f t="shared" si="116"/>
        <v>241.52865161357408</v>
      </c>
      <c r="BK930" s="11">
        <f t="shared" si="117"/>
        <v>0.12207841766854832</v>
      </c>
      <c r="BL930" s="5">
        <f t="shared" si="118"/>
        <v>1486.7380803321412</v>
      </c>
      <c r="BM930" s="11">
        <f t="shared" si="119"/>
        <v>0.16962934055952084</v>
      </c>
    </row>
    <row r="931" spans="1:65" ht="15" customHeight="1" x14ac:dyDescent="0.4">
      <c r="A931" s="2" t="s">
        <v>654</v>
      </c>
      <c r="B931" s="2" t="s">
        <v>694</v>
      </c>
      <c r="C931" s="2" t="s">
        <v>695</v>
      </c>
      <c r="D931" s="3" t="s">
        <v>101</v>
      </c>
      <c r="E931" s="3" t="s">
        <v>707</v>
      </c>
      <c r="F931" s="2" t="s">
        <v>327</v>
      </c>
      <c r="G931" s="4">
        <v>5</v>
      </c>
      <c r="H931" s="5">
        <v>4.1641999999999992</v>
      </c>
      <c r="I931" s="5">
        <v>4.3406685515598964</v>
      </c>
      <c r="J931" s="6">
        <v>0</v>
      </c>
      <c r="K931" s="5">
        <v>0</v>
      </c>
      <c r="L931" s="6">
        <v>0</v>
      </c>
      <c r="M931" s="5">
        <v>0</v>
      </c>
      <c r="N931" s="6">
        <v>0</v>
      </c>
      <c r="O931" s="5">
        <v>0</v>
      </c>
      <c r="P931" s="6">
        <v>0</v>
      </c>
      <c r="Q931" s="5">
        <v>0</v>
      </c>
      <c r="R931" s="6">
        <v>0</v>
      </c>
      <c r="S931" s="5">
        <v>0</v>
      </c>
      <c r="T931" s="6">
        <v>0</v>
      </c>
      <c r="U931" s="5">
        <v>0</v>
      </c>
      <c r="V931" s="6">
        <v>0</v>
      </c>
      <c r="W931" s="5">
        <v>0</v>
      </c>
      <c r="X931" s="6">
        <v>0</v>
      </c>
      <c r="Y931" s="5">
        <v>0</v>
      </c>
      <c r="Z931" s="6">
        <v>0</v>
      </c>
      <c r="AA931" s="5">
        <v>0</v>
      </c>
      <c r="AB931" s="6">
        <v>0</v>
      </c>
      <c r="AC931" s="5">
        <v>0</v>
      </c>
      <c r="AD931" s="6">
        <v>0</v>
      </c>
      <c r="AE931" s="5">
        <v>0</v>
      </c>
      <c r="AF931" s="6">
        <v>947.99613929838938</v>
      </c>
      <c r="AG931" s="5">
        <v>3947.645523266352</v>
      </c>
      <c r="AH931" s="7">
        <f t="shared" si="112"/>
        <v>947.99613929838938</v>
      </c>
      <c r="AI931" s="8">
        <f t="shared" si="113"/>
        <v>3947.645523266352</v>
      </c>
      <c r="AJ931" s="6">
        <v>0</v>
      </c>
      <c r="AK931" s="5">
        <v>0</v>
      </c>
      <c r="AL931" s="6">
        <v>0</v>
      </c>
      <c r="AM931" s="5">
        <v>0</v>
      </c>
      <c r="AN931" s="6">
        <v>0</v>
      </c>
      <c r="AO931" s="5">
        <v>0</v>
      </c>
      <c r="AP931" s="6">
        <v>0</v>
      </c>
      <c r="AQ931" s="5">
        <v>0</v>
      </c>
      <c r="AR931" s="6">
        <v>0</v>
      </c>
      <c r="AS931" s="5">
        <v>0</v>
      </c>
      <c r="AT931" s="6">
        <v>0</v>
      </c>
      <c r="AU931" s="5">
        <v>0</v>
      </c>
      <c r="AV931" s="6">
        <v>0</v>
      </c>
      <c r="AW931" s="5">
        <v>0</v>
      </c>
      <c r="AX931" s="6">
        <v>0</v>
      </c>
      <c r="AY931" s="5">
        <v>0</v>
      </c>
      <c r="AZ931" s="6">
        <v>0</v>
      </c>
      <c r="BA931" s="5">
        <v>0</v>
      </c>
      <c r="BB931" s="6">
        <v>0</v>
      </c>
      <c r="BC931" s="5">
        <v>0</v>
      </c>
      <c r="BD931" s="6">
        <v>0</v>
      </c>
      <c r="BE931" s="5">
        <v>0</v>
      </c>
      <c r="BF931" s="6">
        <v>1065</v>
      </c>
      <c r="BG931" s="5">
        <v>4622.8120074112894</v>
      </c>
      <c r="BH931" s="9">
        <f t="shared" si="114"/>
        <v>1065</v>
      </c>
      <c r="BI931" s="10">
        <f t="shared" si="115"/>
        <v>4622.8120074112894</v>
      </c>
      <c r="BJ931" s="6">
        <f t="shared" si="116"/>
        <v>117.00386070161062</v>
      </c>
      <c r="BK931" s="11">
        <f t="shared" si="117"/>
        <v>0.12342229662264766</v>
      </c>
      <c r="BL931" s="5">
        <f t="shared" si="118"/>
        <v>675.16648414493739</v>
      </c>
      <c r="BM931" s="11">
        <f t="shared" si="119"/>
        <v>0.17103016979758928</v>
      </c>
    </row>
    <row r="932" spans="1:65" ht="15" customHeight="1" x14ac:dyDescent="0.4">
      <c r="A932" s="2" t="s">
        <v>654</v>
      </c>
      <c r="B932" s="2" t="s">
        <v>694</v>
      </c>
      <c r="C932" s="2" t="s">
        <v>695</v>
      </c>
      <c r="D932" s="3" t="s">
        <v>101</v>
      </c>
      <c r="E932" s="3" t="s">
        <v>708</v>
      </c>
      <c r="F932" s="2" t="s">
        <v>691</v>
      </c>
      <c r="G932" s="4">
        <v>1</v>
      </c>
      <c r="H932" s="5">
        <v>8.56</v>
      </c>
      <c r="I932" s="5">
        <v>8.9227517413555333</v>
      </c>
      <c r="J932" s="6">
        <v>0</v>
      </c>
      <c r="K932" s="5">
        <v>0</v>
      </c>
      <c r="L932" s="6">
        <v>949.66624722548465</v>
      </c>
      <c r="M932" s="5">
        <v>8129.1430762501504</v>
      </c>
      <c r="N932" s="6">
        <v>0</v>
      </c>
      <c r="O932" s="5">
        <v>0</v>
      </c>
      <c r="P932" s="6">
        <v>0</v>
      </c>
      <c r="Q932" s="5">
        <v>0</v>
      </c>
      <c r="R932" s="6">
        <v>0</v>
      </c>
      <c r="S932" s="5">
        <v>0</v>
      </c>
      <c r="T932" s="6">
        <v>0</v>
      </c>
      <c r="U932" s="5">
        <v>0</v>
      </c>
      <c r="V932" s="6">
        <v>0</v>
      </c>
      <c r="W932" s="5">
        <v>0</v>
      </c>
      <c r="X932" s="6">
        <v>0</v>
      </c>
      <c r="Y932" s="5">
        <v>0</v>
      </c>
      <c r="Z932" s="6">
        <v>0</v>
      </c>
      <c r="AA932" s="5">
        <v>0</v>
      </c>
      <c r="AB932" s="6">
        <v>0</v>
      </c>
      <c r="AC932" s="5">
        <v>0</v>
      </c>
      <c r="AD932" s="6">
        <v>0</v>
      </c>
      <c r="AE932" s="5">
        <v>0</v>
      </c>
      <c r="AF932" s="6">
        <v>0</v>
      </c>
      <c r="AG932" s="5">
        <v>0</v>
      </c>
      <c r="AH932" s="7">
        <f t="shared" si="112"/>
        <v>949.66624722548465</v>
      </c>
      <c r="AI932" s="8">
        <f t="shared" si="113"/>
        <v>8129.1430762501504</v>
      </c>
      <c r="AJ932" s="6">
        <v>0</v>
      </c>
      <c r="AK932" s="5">
        <v>0</v>
      </c>
      <c r="AL932" s="6">
        <v>1254</v>
      </c>
      <c r="AM932" s="5">
        <v>11189.13068365984</v>
      </c>
      <c r="AN932" s="6">
        <v>0</v>
      </c>
      <c r="AO932" s="5">
        <v>0</v>
      </c>
      <c r="AP932" s="6">
        <v>0</v>
      </c>
      <c r="AQ932" s="5">
        <v>0</v>
      </c>
      <c r="AR932" s="6">
        <v>0</v>
      </c>
      <c r="AS932" s="5">
        <v>0</v>
      </c>
      <c r="AT932" s="6">
        <v>0</v>
      </c>
      <c r="AU932" s="5">
        <v>0</v>
      </c>
      <c r="AV932" s="6">
        <v>0</v>
      </c>
      <c r="AW932" s="5">
        <v>0</v>
      </c>
      <c r="AX932" s="6">
        <v>0</v>
      </c>
      <c r="AY932" s="5">
        <v>0</v>
      </c>
      <c r="AZ932" s="6">
        <v>0</v>
      </c>
      <c r="BA932" s="5">
        <v>0</v>
      </c>
      <c r="BB932" s="6">
        <v>0</v>
      </c>
      <c r="BC932" s="5">
        <v>0</v>
      </c>
      <c r="BD932" s="6">
        <v>0</v>
      </c>
      <c r="BE932" s="5">
        <v>0</v>
      </c>
      <c r="BF932" s="6">
        <v>0</v>
      </c>
      <c r="BG932" s="5">
        <v>0</v>
      </c>
      <c r="BH932" s="9">
        <f t="shared" si="114"/>
        <v>1254</v>
      </c>
      <c r="BI932" s="10">
        <f t="shared" si="115"/>
        <v>11189.13068365984</v>
      </c>
      <c r="BJ932" s="6">
        <f t="shared" si="116"/>
        <v>304.33375277451535</v>
      </c>
      <c r="BK932" s="11">
        <f t="shared" si="117"/>
        <v>0.32046390367526206</v>
      </c>
      <c r="BL932" s="5">
        <f t="shared" si="118"/>
        <v>3059.9876074096892</v>
      </c>
      <c r="BM932" s="11">
        <f t="shared" si="119"/>
        <v>0.37642191541069725</v>
      </c>
    </row>
    <row r="933" spans="1:65" ht="15" customHeight="1" x14ac:dyDescent="0.4">
      <c r="A933" s="2" t="s">
        <v>654</v>
      </c>
      <c r="B933" s="2" t="s">
        <v>694</v>
      </c>
      <c r="C933" s="2" t="s">
        <v>695</v>
      </c>
      <c r="D933" s="3" t="s">
        <v>101</v>
      </c>
      <c r="E933" s="3" t="s">
        <v>708</v>
      </c>
      <c r="F933" s="2" t="s">
        <v>692</v>
      </c>
      <c r="G933" s="4">
        <v>1</v>
      </c>
      <c r="H933" s="5">
        <v>8.0463958333333334</v>
      </c>
      <c r="I933" s="5">
        <v>8.3873822936344489</v>
      </c>
      <c r="J933" s="6">
        <v>0</v>
      </c>
      <c r="K933" s="5">
        <v>0</v>
      </c>
      <c r="L933" s="6">
        <v>0</v>
      </c>
      <c r="M933" s="5">
        <v>0</v>
      </c>
      <c r="N933" s="6">
        <v>0</v>
      </c>
      <c r="O933" s="5">
        <v>0</v>
      </c>
      <c r="P933" s="6">
        <v>0</v>
      </c>
      <c r="Q933" s="5">
        <v>0</v>
      </c>
      <c r="R933" s="6">
        <v>0</v>
      </c>
      <c r="S933" s="5">
        <v>0</v>
      </c>
      <c r="T933" s="6">
        <v>0</v>
      </c>
      <c r="U933" s="5">
        <v>0</v>
      </c>
      <c r="V933" s="6">
        <v>0</v>
      </c>
      <c r="W933" s="5">
        <v>0</v>
      </c>
      <c r="X933" s="6">
        <v>0</v>
      </c>
      <c r="Y933" s="5">
        <v>0</v>
      </c>
      <c r="Z933" s="6">
        <v>0</v>
      </c>
      <c r="AA933" s="5">
        <v>0</v>
      </c>
      <c r="AB933" s="6">
        <v>0</v>
      </c>
      <c r="AC933" s="5">
        <v>0</v>
      </c>
      <c r="AD933" s="6">
        <v>0</v>
      </c>
      <c r="AE933" s="5">
        <v>0</v>
      </c>
      <c r="AF933" s="6">
        <v>910.07629372645374</v>
      </c>
      <c r="AG933" s="5">
        <v>7322.83409785598</v>
      </c>
      <c r="AH933" s="7">
        <f t="shared" si="112"/>
        <v>910.07629372645374</v>
      </c>
      <c r="AI933" s="8">
        <f t="shared" si="113"/>
        <v>7322.83409785598</v>
      </c>
      <c r="AJ933" s="6">
        <v>0</v>
      </c>
      <c r="AK933" s="5">
        <v>0</v>
      </c>
      <c r="AL933" s="6">
        <v>0</v>
      </c>
      <c r="AM933" s="5">
        <v>0</v>
      </c>
      <c r="AN933" s="6">
        <v>0</v>
      </c>
      <c r="AO933" s="5">
        <v>0</v>
      </c>
      <c r="AP933" s="6">
        <v>0</v>
      </c>
      <c r="AQ933" s="5">
        <v>0</v>
      </c>
      <c r="AR933" s="6">
        <v>0</v>
      </c>
      <c r="AS933" s="5">
        <v>0</v>
      </c>
      <c r="AT933" s="6">
        <v>0</v>
      </c>
      <c r="AU933" s="5">
        <v>0</v>
      </c>
      <c r="AV933" s="6">
        <v>0</v>
      </c>
      <c r="AW933" s="5">
        <v>0</v>
      </c>
      <c r="AX933" s="6">
        <v>0</v>
      </c>
      <c r="AY933" s="5">
        <v>0</v>
      </c>
      <c r="AZ933" s="6">
        <v>0</v>
      </c>
      <c r="BA933" s="5">
        <v>0</v>
      </c>
      <c r="BB933" s="6">
        <v>0</v>
      </c>
      <c r="BC933" s="5">
        <v>0</v>
      </c>
      <c r="BD933" s="6">
        <v>0</v>
      </c>
      <c r="BE933" s="5">
        <v>0</v>
      </c>
      <c r="BF933" s="6">
        <v>1201</v>
      </c>
      <c r="BG933" s="5">
        <v>10073.24613465497</v>
      </c>
      <c r="BH933" s="9">
        <f t="shared" si="114"/>
        <v>1201</v>
      </c>
      <c r="BI933" s="10">
        <f t="shared" si="115"/>
        <v>10073.24613465497</v>
      </c>
      <c r="BJ933" s="6">
        <f t="shared" si="116"/>
        <v>290.92370627354626</v>
      </c>
      <c r="BK933" s="11">
        <f t="shared" si="117"/>
        <v>0.31966957965942872</v>
      </c>
      <c r="BL933" s="5">
        <f t="shared" si="118"/>
        <v>2750.4120367989899</v>
      </c>
      <c r="BM933" s="11">
        <f t="shared" si="119"/>
        <v>0.37559392989720619</v>
      </c>
    </row>
    <row r="934" spans="1:65" ht="15" customHeight="1" x14ac:dyDescent="0.4">
      <c r="A934" s="2" t="s">
        <v>654</v>
      </c>
      <c r="B934" s="2" t="s">
        <v>694</v>
      </c>
      <c r="C934" s="2" t="s">
        <v>695</v>
      </c>
      <c r="D934" s="3" t="s">
        <v>101</v>
      </c>
      <c r="E934" s="3" t="s">
        <v>709</v>
      </c>
      <c r="F934" s="2" t="s">
        <v>691</v>
      </c>
      <c r="G934" s="4">
        <v>5</v>
      </c>
      <c r="H934" s="5">
        <v>7.4</v>
      </c>
      <c r="I934" s="5">
        <v>7.7135937950970712</v>
      </c>
      <c r="J934" s="6">
        <v>0</v>
      </c>
      <c r="K934" s="5">
        <v>0</v>
      </c>
      <c r="L934" s="6">
        <v>989.23567419321319</v>
      </c>
      <c r="M934" s="5">
        <v>7320.3439890297777</v>
      </c>
      <c r="N934" s="6">
        <v>0</v>
      </c>
      <c r="O934" s="5">
        <v>0</v>
      </c>
      <c r="P934" s="6">
        <v>0</v>
      </c>
      <c r="Q934" s="5">
        <v>0</v>
      </c>
      <c r="R934" s="6">
        <v>0</v>
      </c>
      <c r="S934" s="5">
        <v>0</v>
      </c>
      <c r="T934" s="6">
        <v>0</v>
      </c>
      <c r="U934" s="5">
        <v>0</v>
      </c>
      <c r="V934" s="6">
        <v>0</v>
      </c>
      <c r="W934" s="5">
        <v>0</v>
      </c>
      <c r="X934" s="6">
        <v>0</v>
      </c>
      <c r="Y934" s="5">
        <v>0</v>
      </c>
      <c r="Z934" s="6">
        <v>0</v>
      </c>
      <c r="AA934" s="5">
        <v>0</v>
      </c>
      <c r="AB934" s="6">
        <v>0</v>
      </c>
      <c r="AC934" s="5">
        <v>0</v>
      </c>
      <c r="AD934" s="6">
        <v>0</v>
      </c>
      <c r="AE934" s="5">
        <v>0</v>
      </c>
      <c r="AF934" s="6">
        <v>0</v>
      </c>
      <c r="AG934" s="5">
        <v>0</v>
      </c>
      <c r="AH934" s="7">
        <f t="shared" si="112"/>
        <v>989.23567419321319</v>
      </c>
      <c r="AI934" s="8">
        <f t="shared" si="113"/>
        <v>7320.3439890297777</v>
      </c>
      <c r="AJ934" s="6">
        <v>0</v>
      </c>
      <c r="AK934" s="5">
        <v>0</v>
      </c>
      <c r="AL934" s="6">
        <v>1305</v>
      </c>
      <c r="AM934" s="5">
        <v>10066.239902601679</v>
      </c>
      <c r="AN934" s="6">
        <v>0</v>
      </c>
      <c r="AO934" s="5">
        <v>0</v>
      </c>
      <c r="AP934" s="6">
        <v>0</v>
      </c>
      <c r="AQ934" s="5">
        <v>0</v>
      </c>
      <c r="AR934" s="6">
        <v>0</v>
      </c>
      <c r="AS934" s="5">
        <v>0</v>
      </c>
      <c r="AT934" s="6">
        <v>0</v>
      </c>
      <c r="AU934" s="5">
        <v>0</v>
      </c>
      <c r="AV934" s="6">
        <v>0</v>
      </c>
      <c r="AW934" s="5">
        <v>0</v>
      </c>
      <c r="AX934" s="6">
        <v>0</v>
      </c>
      <c r="AY934" s="5">
        <v>0</v>
      </c>
      <c r="AZ934" s="6">
        <v>0</v>
      </c>
      <c r="BA934" s="5">
        <v>0</v>
      </c>
      <c r="BB934" s="6">
        <v>0</v>
      </c>
      <c r="BC934" s="5">
        <v>0</v>
      </c>
      <c r="BD934" s="6">
        <v>0</v>
      </c>
      <c r="BE934" s="5">
        <v>0</v>
      </c>
      <c r="BF934" s="6">
        <v>0</v>
      </c>
      <c r="BG934" s="5">
        <v>0</v>
      </c>
      <c r="BH934" s="9">
        <f t="shared" si="114"/>
        <v>1305</v>
      </c>
      <c r="BI934" s="10">
        <f t="shared" si="115"/>
        <v>10066.239902601679</v>
      </c>
      <c r="BJ934" s="6">
        <f t="shared" si="116"/>
        <v>315.76432580678681</v>
      </c>
      <c r="BK934" s="11">
        <f t="shared" si="117"/>
        <v>0.31920030185356324</v>
      </c>
      <c r="BL934" s="5">
        <f t="shared" si="118"/>
        <v>2745.8959135719015</v>
      </c>
      <c r="BM934" s="11">
        <f t="shared" si="119"/>
        <v>0.37510476525240949</v>
      </c>
    </row>
    <row r="935" spans="1:65" ht="15" customHeight="1" x14ac:dyDescent="0.4">
      <c r="A935" s="2" t="s">
        <v>654</v>
      </c>
      <c r="B935" s="2" t="s">
        <v>694</v>
      </c>
      <c r="C935" s="2" t="s">
        <v>695</v>
      </c>
      <c r="D935" s="3" t="s">
        <v>101</v>
      </c>
      <c r="E935" s="3" t="s">
        <v>709</v>
      </c>
      <c r="F935" s="2" t="s">
        <v>163</v>
      </c>
      <c r="G935" s="4">
        <v>5</v>
      </c>
      <c r="H935" s="5">
        <v>6.9560000000000004</v>
      </c>
      <c r="I935" s="5">
        <v>7.2507781673912479</v>
      </c>
      <c r="J935" s="6">
        <v>0</v>
      </c>
      <c r="K935" s="5">
        <v>0</v>
      </c>
      <c r="L935" s="6">
        <v>0</v>
      </c>
      <c r="M935" s="5">
        <v>0</v>
      </c>
      <c r="N935" s="6">
        <v>0</v>
      </c>
      <c r="O935" s="5">
        <v>0</v>
      </c>
      <c r="P935" s="6">
        <v>0</v>
      </c>
      <c r="Q935" s="5">
        <v>0</v>
      </c>
      <c r="R935" s="6">
        <v>0</v>
      </c>
      <c r="S935" s="5">
        <v>0</v>
      </c>
      <c r="T935" s="6">
        <v>0</v>
      </c>
      <c r="U935" s="5">
        <v>0</v>
      </c>
      <c r="V935" s="6">
        <v>0</v>
      </c>
      <c r="W935" s="5">
        <v>0</v>
      </c>
      <c r="X935" s="6">
        <v>0</v>
      </c>
      <c r="Y935" s="5">
        <v>0</v>
      </c>
      <c r="Z935" s="6">
        <v>0</v>
      </c>
      <c r="AA935" s="5">
        <v>0</v>
      </c>
      <c r="AB935" s="6">
        <v>0</v>
      </c>
      <c r="AC935" s="5">
        <v>0</v>
      </c>
      <c r="AD935" s="6">
        <v>0</v>
      </c>
      <c r="AE935" s="5">
        <v>0</v>
      </c>
      <c r="AF935" s="6">
        <v>947.99613929838938</v>
      </c>
      <c r="AG935" s="5">
        <v>6594.2611449595961</v>
      </c>
      <c r="AH935" s="7">
        <f t="shared" si="112"/>
        <v>947.99613929838938</v>
      </c>
      <c r="AI935" s="8">
        <f t="shared" si="113"/>
        <v>6594.2611449595961</v>
      </c>
      <c r="AJ935" s="6">
        <v>0</v>
      </c>
      <c r="AK935" s="5">
        <v>0</v>
      </c>
      <c r="AL935" s="6">
        <v>0</v>
      </c>
      <c r="AM935" s="5">
        <v>0</v>
      </c>
      <c r="AN935" s="6">
        <v>0</v>
      </c>
      <c r="AO935" s="5">
        <v>0</v>
      </c>
      <c r="AP935" s="6">
        <v>0</v>
      </c>
      <c r="AQ935" s="5">
        <v>0</v>
      </c>
      <c r="AR935" s="6">
        <v>0</v>
      </c>
      <c r="AS935" s="5">
        <v>0</v>
      </c>
      <c r="AT935" s="6">
        <v>0</v>
      </c>
      <c r="AU935" s="5">
        <v>0</v>
      </c>
      <c r="AV935" s="6">
        <v>0</v>
      </c>
      <c r="AW935" s="5">
        <v>0</v>
      </c>
      <c r="AX935" s="6">
        <v>0</v>
      </c>
      <c r="AY935" s="5">
        <v>0</v>
      </c>
      <c r="AZ935" s="6">
        <v>0</v>
      </c>
      <c r="BA935" s="5">
        <v>0</v>
      </c>
      <c r="BB935" s="6">
        <v>0</v>
      </c>
      <c r="BC935" s="5">
        <v>0</v>
      </c>
      <c r="BD935" s="6">
        <v>0</v>
      </c>
      <c r="BE935" s="5">
        <v>0</v>
      </c>
      <c r="BF935" s="6">
        <v>1250</v>
      </c>
      <c r="BG935" s="5">
        <v>9063.4727092390604</v>
      </c>
      <c r="BH935" s="9">
        <f t="shared" si="114"/>
        <v>1250</v>
      </c>
      <c r="BI935" s="10">
        <f t="shared" si="115"/>
        <v>9063.4727092390604</v>
      </c>
      <c r="BJ935" s="6">
        <f t="shared" si="116"/>
        <v>302.00386070161062</v>
      </c>
      <c r="BK935" s="11">
        <f t="shared" si="117"/>
        <v>0.31857077068385875</v>
      </c>
      <c r="BL935" s="5">
        <f t="shared" si="118"/>
        <v>2469.2115642794643</v>
      </c>
      <c r="BM935" s="11">
        <f t="shared" si="119"/>
        <v>0.37444855610045658</v>
      </c>
    </row>
    <row r="936" spans="1:65" ht="15" customHeight="1" x14ac:dyDescent="0.4">
      <c r="A936" s="2" t="s">
        <v>654</v>
      </c>
      <c r="B936" s="2" t="s">
        <v>694</v>
      </c>
      <c r="C936" s="2" t="s">
        <v>695</v>
      </c>
      <c r="D936" s="3" t="s">
        <v>101</v>
      </c>
      <c r="E936" s="3" t="s">
        <v>710</v>
      </c>
      <c r="F936" s="2" t="s">
        <v>450</v>
      </c>
      <c r="G936" s="4">
        <v>5</v>
      </c>
      <c r="H936" s="5">
        <v>2.08</v>
      </c>
      <c r="I936" s="5">
        <v>2.1681452829462038</v>
      </c>
      <c r="J936" s="6">
        <v>0</v>
      </c>
      <c r="K936" s="5">
        <v>0</v>
      </c>
      <c r="L936" s="6">
        <v>3264.477724837604</v>
      </c>
      <c r="M936" s="5">
        <v>6790.1136676622154</v>
      </c>
      <c r="N936" s="6">
        <v>0</v>
      </c>
      <c r="O936" s="5">
        <v>0</v>
      </c>
      <c r="P936" s="6">
        <v>0</v>
      </c>
      <c r="Q936" s="5">
        <v>0</v>
      </c>
      <c r="R936" s="6">
        <v>0</v>
      </c>
      <c r="S936" s="5">
        <v>0</v>
      </c>
      <c r="T936" s="6">
        <v>0</v>
      </c>
      <c r="U936" s="5">
        <v>0</v>
      </c>
      <c r="V936" s="6">
        <v>0</v>
      </c>
      <c r="W936" s="5">
        <v>0</v>
      </c>
      <c r="X936" s="6">
        <v>0</v>
      </c>
      <c r="Y936" s="5">
        <v>0</v>
      </c>
      <c r="Z936" s="6">
        <v>0</v>
      </c>
      <c r="AA936" s="5">
        <v>0</v>
      </c>
      <c r="AB936" s="6">
        <v>0</v>
      </c>
      <c r="AC936" s="5">
        <v>0</v>
      </c>
      <c r="AD936" s="6">
        <v>0</v>
      </c>
      <c r="AE936" s="5">
        <v>0</v>
      </c>
      <c r="AF936" s="6">
        <v>0</v>
      </c>
      <c r="AG936" s="5">
        <v>0</v>
      </c>
      <c r="AH936" s="7">
        <f t="shared" si="112"/>
        <v>3264.477724837604</v>
      </c>
      <c r="AI936" s="8">
        <f t="shared" si="113"/>
        <v>6790.1136676622154</v>
      </c>
      <c r="AJ936" s="6">
        <v>0</v>
      </c>
      <c r="AK936" s="5">
        <v>0</v>
      </c>
      <c r="AL936" s="6">
        <v>3715</v>
      </c>
      <c r="AM936" s="5">
        <v>8054.6597261451479</v>
      </c>
      <c r="AN936" s="6">
        <v>0</v>
      </c>
      <c r="AO936" s="5">
        <v>0</v>
      </c>
      <c r="AP936" s="6">
        <v>0</v>
      </c>
      <c r="AQ936" s="5">
        <v>0</v>
      </c>
      <c r="AR936" s="6">
        <v>0</v>
      </c>
      <c r="AS936" s="5">
        <v>0</v>
      </c>
      <c r="AT936" s="6">
        <v>0</v>
      </c>
      <c r="AU936" s="5">
        <v>0</v>
      </c>
      <c r="AV936" s="6">
        <v>0</v>
      </c>
      <c r="AW936" s="5">
        <v>0</v>
      </c>
      <c r="AX936" s="6">
        <v>0</v>
      </c>
      <c r="AY936" s="5">
        <v>0</v>
      </c>
      <c r="AZ936" s="6">
        <v>0</v>
      </c>
      <c r="BA936" s="5">
        <v>0</v>
      </c>
      <c r="BB936" s="6">
        <v>0</v>
      </c>
      <c r="BC936" s="5">
        <v>0</v>
      </c>
      <c r="BD936" s="6">
        <v>0</v>
      </c>
      <c r="BE936" s="5">
        <v>0</v>
      </c>
      <c r="BF936" s="6">
        <v>0</v>
      </c>
      <c r="BG936" s="5">
        <v>0</v>
      </c>
      <c r="BH936" s="9">
        <f t="shared" si="114"/>
        <v>3715</v>
      </c>
      <c r="BI936" s="10">
        <f t="shared" si="115"/>
        <v>8054.6597261451479</v>
      </c>
      <c r="BJ936" s="6">
        <f t="shared" si="116"/>
        <v>450.522275162396</v>
      </c>
      <c r="BK936" s="11">
        <f t="shared" si="117"/>
        <v>0.13800745881481175</v>
      </c>
      <c r="BL936" s="5">
        <f t="shared" si="118"/>
        <v>1264.5460584829325</v>
      </c>
      <c r="BM936" s="11">
        <f t="shared" si="119"/>
        <v>0.18623341528217835</v>
      </c>
    </row>
    <row r="937" spans="1:65" ht="15" customHeight="1" x14ac:dyDescent="0.4">
      <c r="A937" s="2" t="s">
        <v>654</v>
      </c>
      <c r="B937" s="2" t="s">
        <v>694</v>
      </c>
      <c r="C937" s="2" t="s">
        <v>695</v>
      </c>
      <c r="D937" s="3" t="s">
        <v>101</v>
      </c>
      <c r="E937" s="3" t="s">
        <v>711</v>
      </c>
      <c r="F937" s="2" t="s">
        <v>450</v>
      </c>
      <c r="G937" s="4">
        <v>20</v>
      </c>
      <c r="H937" s="5">
        <v>1.95</v>
      </c>
      <c r="I937" s="5">
        <v>2.0326362027620659</v>
      </c>
      <c r="J937" s="6">
        <v>0</v>
      </c>
      <c r="K937" s="5">
        <v>0</v>
      </c>
      <c r="L937" s="6">
        <v>2176.318483225069</v>
      </c>
      <c r="M937" s="5">
        <v>4243.8210422888851</v>
      </c>
      <c r="N937" s="6">
        <v>0</v>
      </c>
      <c r="O937" s="5">
        <v>0</v>
      </c>
      <c r="P937" s="6">
        <v>0</v>
      </c>
      <c r="Q937" s="5">
        <v>0</v>
      </c>
      <c r="R937" s="6">
        <v>0</v>
      </c>
      <c r="S937" s="5">
        <v>0</v>
      </c>
      <c r="T937" s="6">
        <v>0</v>
      </c>
      <c r="U937" s="5">
        <v>0</v>
      </c>
      <c r="V937" s="6">
        <v>0</v>
      </c>
      <c r="W937" s="5">
        <v>0</v>
      </c>
      <c r="X937" s="6">
        <v>0</v>
      </c>
      <c r="Y937" s="5">
        <v>0</v>
      </c>
      <c r="Z937" s="6">
        <v>0</v>
      </c>
      <c r="AA937" s="5">
        <v>0</v>
      </c>
      <c r="AB937" s="6">
        <v>0</v>
      </c>
      <c r="AC937" s="5">
        <v>0</v>
      </c>
      <c r="AD937" s="6">
        <v>0</v>
      </c>
      <c r="AE937" s="5">
        <v>0</v>
      </c>
      <c r="AF937" s="6">
        <v>0</v>
      </c>
      <c r="AG937" s="5">
        <v>0</v>
      </c>
      <c r="AH937" s="7">
        <f t="shared" si="112"/>
        <v>2176.318483225069</v>
      </c>
      <c r="AI937" s="8">
        <f t="shared" si="113"/>
        <v>4243.8210422888851</v>
      </c>
      <c r="AJ937" s="6">
        <v>0</v>
      </c>
      <c r="AK937" s="5">
        <v>0</v>
      </c>
      <c r="AL937" s="6">
        <v>2480</v>
      </c>
      <c r="AM937" s="5">
        <v>5040.9377828499246</v>
      </c>
      <c r="AN937" s="6">
        <v>0</v>
      </c>
      <c r="AO937" s="5">
        <v>0</v>
      </c>
      <c r="AP937" s="6">
        <v>0</v>
      </c>
      <c r="AQ937" s="5">
        <v>0</v>
      </c>
      <c r="AR937" s="6">
        <v>0</v>
      </c>
      <c r="AS937" s="5">
        <v>0</v>
      </c>
      <c r="AT937" s="6">
        <v>0</v>
      </c>
      <c r="AU937" s="5">
        <v>0</v>
      </c>
      <c r="AV937" s="6">
        <v>0</v>
      </c>
      <c r="AW937" s="5">
        <v>0</v>
      </c>
      <c r="AX937" s="6">
        <v>0</v>
      </c>
      <c r="AY937" s="5">
        <v>0</v>
      </c>
      <c r="AZ937" s="6">
        <v>0</v>
      </c>
      <c r="BA937" s="5">
        <v>0</v>
      </c>
      <c r="BB937" s="6">
        <v>0</v>
      </c>
      <c r="BC937" s="5">
        <v>0</v>
      </c>
      <c r="BD937" s="6">
        <v>0</v>
      </c>
      <c r="BE937" s="5">
        <v>0</v>
      </c>
      <c r="BF937" s="6">
        <v>0</v>
      </c>
      <c r="BG937" s="5">
        <v>0</v>
      </c>
      <c r="BH937" s="9">
        <f t="shared" si="114"/>
        <v>2480</v>
      </c>
      <c r="BI937" s="10">
        <f t="shared" si="115"/>
        <v>5040.9377828499246</v>
      </c>
      <c r="BJ937" s="6">
        <f t="shared" si="116"/>
        <v>303.68151677493097</v>
      </c>
      <c r="BK937" s="11">
        <f t="shared" si="117"/>
        <v>0.13953909738656806</v>
      </c>
      <c r="BL937" s="5">
        <f t="shared" si="118"/>
        <v>797.11674056103948</v>
      </c>
      <c r="BM937" s="11">
        <f t="shared" si="119"/>
        <v>0.18782996092858767</v>
      </c>
    </row>
    <row r="938" spans="1:65" ht="15" customHeight="1" x14ac:dyDescent="0.4">
      <c r="A938" s="2" t="s">
        <v>654</v>
      </c>
      <c r="B938" s="2" t="s">
        <v>712</v>
      </c>
      <c r="C938" s="2" t="s">
        <v>713</v>
      </c>
      <c r="D938" s="3" t="s">
        <v>101</v>
      </c>
      <c r="E938" s="3" t="s">
        <v>714</v>
      </c>
      <c r="F938" s="2" t="s">
        <v>283</v>
      </c>
      <c r="G938" s="4">
        <v>1</v>
      </c>
      <c r="H938" s="5">
        <v>5.57</v>
      </c>
      <c r="I938" s="5">
        <v>5.8060428971203626</v>
      </c>
      <c r="J938" s="6">
        <v>0</v>
      </c>
      <c r="K938" s="5">
        <v>0</v>
      </c>
      <c r="L938" s="6">
        <v>0</v>
      </c>
      <c r="M938" s="5">
        <v>0</v>
      </c>
      <c r="N938" s="6">
        <v>0</v>
      </c>
      <c r="O938" s="5">
        <v>0</v>
      </c>
      <c r="P938" s="6">
        <v>0</v>
      </c>
      <c r="Q938" s="5">
        <v>0</v>
      </c>
      <c r="R938" s="6">
        <v>1978.4713483864259</v>
      </c>
      <c r="S938" s="5">
        <v>11020.0854105124</v>
      </c>
      <c r="T938" s="6">
        <v>0</v>
      </c>
      <c r="U938" s="5">
        <v>0</v>
      </c>
      <c r="V938" s="6">
        <v>0</v>
      </c>
      <c r="W938" s="5">
        <v>0</v>
      </c>
      <c r="X938" s="6">
        <v>0</v>
      </c>
      <c r="Y938" s="5">
        <v>0</v>
      </c>
      <c r="Z938" s="6">
        <v>0</v>
      </c>
      <c r="AA938" s="5">
        <v>0</v>
      </c>
      <c r="AB938" s="6">
        <v>0</v>
      </c>
      <c r="AC938" s="5">
        <v>0</v>
      </c>
      <c r="AD938" s="6">
        <v>0</v>
      </c>
      <c r="AE938" s="5">
        <v>0</v>
      </c>
      <c r="AF938" s="6">
        <v>0</v>
      </c>
      <c r="AG938" s="5">
        <v>0</v>
      </c>
      <c r="AH938" s="7">
        <f t="shared" si="112"/>
        <v>1978.4713483864259</v>
      </c>
      <c r="AI938" s="8">
        <f t="shared" si="113"/>
        <v>11020.0854105124</v>
      </c>
      <c r="AJ938" s="6">
        <v>0</v>
      </c>
      <c r="AK938" s="5">
        <v>0</v>
      </c>
      <c r="AL938" s="6">
        <v>0</v>
      </c>
      <c r="AM938" s="5">
        <v>0</v>
      </c>
      <c r="AN938" s="6">
        <v>0</v>
      </c>
      <c r="AO938" s="5">
        <v>0</v>
      </c>
      <c r="AP938" s="6">
        <v>0</v>
      </c>
      <c r="AQ938" s="5">
        <v>0</v>
      </c>
      <c r="AR938" s="6">
        <v>2612</v>
      </c>
      <c r="AS938" s="5">
        <v>15165.38404727839</v>
      </c>
      <c r="AT938" s="6">
        <v>0</v>
      </c>
      <c r="AU938" s="5">
        <v>0</v>
      </c>
      <c r="AV938" s="6">
        <v>0</v>
      </c>
      <c r="AW938" s="5">
        <v>0</v>
      </c>
      <c r="AX938" s="6">
        <v>0</v>
      </c>
      <c r="AY938" s="5">
        <v>0</v>
      </c>
      <c r="AZ938" s="6">
        <v>0</v>
      </c>
      <c r="BA938" s="5">
        <v>0</v>
      </c>
      <c r="BB938" s="6">
        <v>0</v>
      </c>
      <c r="BC938" s="5">
        <v>0</v>
      </c>
      <c r="BD938" s="6">
        <v>0</v>
      </c>
      <c r="BE938" s="5">
        <v>0</v>
      </c>
      <c r="BF938" s="6">
        <v>0</v>
      </c>
      <c r="BG938" s="5">
        <v>0</v>
      </c>
      <c r="BH938" s="9">
        <f t="shared" si="114"/>
        <v>2612</v>
      </c>
      <c r="BI938" s="10">
        <f t="shared" si="115"/>
        <v>15165.38404727839</v>
      </c>
      <c r="BJ938" s="6">
        <f t="shared" si="116"/>
        <v>633.52865161357408</v>
      </c>
      <c r="BK938" s="11">
        <f t="shared" si="117"/>
        <v>0.32021118331092263</v>
      </c>
      <c r="BL938" s="5">
        <f t="shared" si="118"/>
        <v>4145.2986367659905</v>
      </c>
      <c r="BM938" s="11">
        <f t="shared" si="119"/>
        <v>0.37615848537903906</v>
      </c>
    </row>
    <row r="939" spans="1:65" ht="15" customHeight="1" x14ac:dyDescent="0.4">
      <c r="A939" s="2" t="s">
        <v>654</v>
      </c>
      <c r="B939" s="2" t="s">
        <v>712</v>
      </c>
      <c r="C939" s="2" t="s">
        <v>713</v>
      </c>
      <c r="D939" s="3" t="s">
        <v>101</v>
      </c>
      <c r="E939" s="3" t="s">
        <v>714</v>
      </c>
      <c r="F939" s="2" t="s">
        <v>215</v>
      </c>
      <c r="G939" s="4">
        <v>1</v>
      </c>
      <c r="H939" s="5">
        <v>5.57</v>
      </c>
      <c r="I939" s="5">
        <v>5.8060428971203626</v>
      </c>
      <c r="J939" s="6">
        <v>0</v>
      </c>
      <c r="K939" s="5">
        <v>0</v>
      </c>
      <c r="L939" s="6">
        <v>0</v>
      </c>
      <c r="M939" s="5">
        <v>0</v>
      </c>
      <c r="N939" s="6">
        <v>0</v>
      </c>
      <c r="O939" s="5">
        <v>0</v>
      </c>
      <c r="P939" s="6">
        <v>0</v>
      </c>
      <c r="Q939" s="5">
        <v>0</v>
      </c>
      <c r="R939" s="6">
        <v>0</v>
      </c>
      <c r="S939" s="5">
        <v>0</v>
      </c>
      <c r="T939" s="6">
        <v>0</v>
      </c>
      <c r="U939" s="5">
        <v>0</v>
      </c>
      <c r="V939" s="6">
        <v>0</v>
      </c>
      <c r="W939" s="5">
        <v>0</v>
      </c>
      <c r="X939" s="6">
        <v>0</v>
      </c>
      <c r="Y939" s="5">
        <v>0</v>
      </c>
      <c r="Z939" s="6">
        <v>0</v>
      </c>
      <c r="AA939" s="5">
        <v>0</v>
      </c>
      <c r="AB939" s="6">
        <v>0</v>
      </c>
      <c r="AC939" s="5">
        <v>0</v>
      </c>
      <c r="AD939" s="6">
        <v>0</v>
      </c>
      <c r="AE939" s="5">
        <v>0</v>
      </c>
      <c r="AF939" s="6">
        <v>1895.992278596779</v>
      </c>
      <c r="AG939" s="5">
        <v>10560.676991784059</v>
      </c>
      <c r="AH939" s="7">
        <f t="shared" si="112"/>
        <v>1895.992278596779</v>
      </c>
      <c r="AI939" s="8">
        <f t="shared" si="113"/>
        <v>10560.676991784059</v>
      </c>
      <c r="AJ939" s="6">
        <v>0</v>
      </c>
      <c r="AK939" s="5">
        <v>0</v>
      </c>
      <c r="AL939" s="6">
        <v>0</v>
      </c>
      <c r="AM939" s="5">
        <v>0</v>
      </c>
      <c r="AN939" s="6">
        <v>0</v>
      </c>
      <c r="AO939" s="5">
        <v>0</v>
      </c>
      <c r="AP939" s="6">
        <v>0</v>
      </c>
      <c r="AQ939" s="5">
        <v>0</v>
      </c>
      <c r="AR939" s="6">
        <v>0</v>
      </c>
      <c r="AS939" s="5">
        <v>0</v>
      </c>
      <c r="AT939" s="6">
        <v>0</v>
      </c>
      <c r="AU939" s="5">
        <v>0</v>
      </c>
      <c r="AV939" s="6">
        <v>0</v>
      </c>
      <c r="AW939" s="5">
        <v>0</v>
      </c>
      <c r="AX939" s="6">
        <v>0</v>
      </c>
      <c r="AY939" s="5">
        <v>0</v>
      </c>
      <c r="AZ939" s="6">
        <v>0</v>
      </c>
      <c r="BA939" s="5">
        <v>0</v>
      </c>
      <c r="BB939" s="6">
        <v>0</v>
      </c>
      <c r="BC939" s="5">
        <v>0</v>
      </c>
      <c r="BD939" s="6">
        <v>0</v>
      </c>
      <c r="BE939" s="5">
        <v>0</v>
      </c>
      <c r="BF939" s="6">
        <v>2503</v>
      </c>
      <c r="BG939" s="5">
        <v>14532.525371492269</v>
      </c>
      <c r="BH939" s="9">
        <f t="shared" si="114"/>
        <v>2503</v>
      </c>
      <c r="BI939" s="10">
        <f t="shared" si="115"/>
        <v>14532.525371492269</v>
      </c>
      <c r="BJ939" s="6">
        <f t="shared" si="116"/>
        <v>607.00772140322101</v>
      </c>
      <c r="BK939" s="11">
        <f t="shared" si="117"/>
        <v>0.32015305560867924</v>
      </c>
      <c r="BL939" s="5">
        <f t="shared" si="118"/>
        <v>3971.8483797082099</v>
      </c>
      <c r="BM939" s="11">
        <f t="shared" si="119"/>
        <v>0.37609789436777658</v>
      </c>
    </row>
    <row r="940" spans="1:65" ht="15" customHeight="1" x14ac:dyDescent="0.4">
      <c r="A940" s="2" t="s">
        <v>654</v>
      </c>
      <c r="B940" s="2" t="s">
        <v>712</v>
      </c>
      <c r="C940" s="2" t="s">
        <v>713</v>
      </c>
      <c r="D940" s="3" t="s">
        <v>101</v>
      </c>
      <c r="E940" s="3" t="s">
        <v>715</v>
      </c>
      <c r="F940" s="2" t="s">
        <v>115</v>
      </c>
      <c r="G940" s="4">
        <v>5</v>
      </c>
      <c r="H940" s="5">
        <v>1.9379999999999999</v>
      </c>
      <c r="I940" s="5">
        <v>2.0201276722835302</v>
      </c>
      <c r="J940" s="6">
        <v>0</v>
      </c>
      <c r="K940" s="5">
        <v>0</v>
      </c>
      <c r="L940" s="6">
        <v>0</v>
      </c>
      <c r="M940" s="5">
        <v>0</v>
      </c>
      <c r="N940" s="6">
        <v>0</v>
      </c>
      <c r="O940" s="5">
        <v>0</v>
      </c>
      <c r="P940" s="6">
        <v>0</v>
      </c>
      <c r="Q940" s="5">
        <v>0</v>
      </c>
      <c r="R940" s="6">
        <v>0</v>
      </c>
      <c r="S940" s="5">
        <v>0</v>
      </c>
      <c r="T940" s="6">
        <v>0</v>
      </c>
      <c r="U940" s="5">
        <v>0</v>
      </c>
      <c r="V940" s="6">
        <v>0</v>
      </c>
      <c r="W940" s="5">
        <v>0</v>
      </c>
      <c r="X940" s="6">
        <v>0</v>
      </c>
      <c r="Y940" s="5">
        <v>0</v>
      </c>
      <c r="Z940" s="6">
        <v>0</v>
      </c>
      <c r="AA940" s="5">
        <v>0</v>
      </c>
      <c r="AB940" s="6">
        <v>0</v>
      </c>
      <c r="AC940" s="5">
        <v>0</v>
      </c>
      <c r="AD940" s="6">
        <v>0</v>
      </c>
      <c r="AE940" s="5">
        <v>0</v>
      </c>
      <c r="AF940" s="6">
        <v>1042.795753228228</v>
      </c>
      <c r="AG940" s="5">
        <v>2020.938169756306</v>
      </c>
      <c r="AH940" s="7">
        <f t="shared" si="112"/>
        <v>1042.795753228228</v>
      </c>
      <c r="AI940" s="8">
        <f t="shared" si="113"/>
        <v>2020.938169756306</v>
      </c>
      <c r="AJ940" s="6">
        <v>0</v>
      </c>
      <c r="AK940" s="5">
        <v>0</v>
      </c>
      <c r="AL940" s="6">
        <v>0</v>
      </c>
      <c r="AM940" s="5">
        <v>0</v>
      </c>
      <c r="AN940" s="6">
        <v>0</v>
      </c>
      <c r="AO940" s="5">
        <v>0</v>
      </c>
      <c r="AP940" s="6">
        <v>0</v>
      </c>
      <c r="AQ940" s="5">
        <v>0</v>
      </c>
      <c r="AR940" s="6">
        <v>0</v>
      </c>
      <c r="AS940" s="5">
        <v>0</v>
      </c>
      <c r="AT940" s="6">
        <v>0</v>
      </c>
      <c r="AU940" s="5">
        <v>0</v>
      </c>
      <c r="AV940" s="6">
        <v>0</v>
      </c>
      <c r="AW940" s="5">
        <v>0</v>
      </c>
      <c r="AX940" s="6">
        <v>0</v>
      </c>
      <c r="AY940" s="5">
        <v>0</v>
      </c>
      <c r="AZ940" s="6">
        <v>0</v>
      </c>
      <c r="BA940" s="5">
        <v>0</v>
      </c>
      <c r="BB940" s="6">
        <v>0</v>
      </c>
      <c r="BC940" s="5">
        <v>0</v>
      </c>
      <c r="BD940" s="6">
        <v>0</v>
      </c>
      <c r="BE940" s="5">
        <v>0</v>
      </c>
      <c r="BF940" s="6">
        <v>1205</v>
      </c>
      <c r="BG940" s="5">
        <v>2434.253845101654</v>
      </c>
      <c r="BH940" s="9">
        <f t="shared" si="114"/>
        <v>1205</v>
      </c>
      <c r="BI940" s="10">
        <f t="shared" si="115"/>
        <v>2434.253845101654</v>
      </c>
      <c r="BJ940" s="6">
        <f t="shared" si="116"/>
        <v>162.20424677177198</v>
      </c>
      <c r="BK940" s="11">
        <f t="shared" si="117"/>
        <v>0.15554747539930927</v>
      </c>
      <c r="BL940" s="5">
        <f t="shared" si="118"/>
        <v>413.31567534534793</v>
      </c>
      <c r="BM940" s="11">
        <f t="shared" si="119"/>
        <v>0.20451673461894554</v>
      </c>
    </row>
    <row r="941" spans="1:65" ht="15" customHeight="1" x14ac:dyDescent="0.4">
      <c r="A941" s="2" t="s">
        <v>654</v>
      </c>
      <c r="B941" s="2" t="s">
        <v>712</v>
      </c>
      <c r="C941" s="2" t="s">
        <v>713</v>
      </c>
      <c r="D941" s="3" t="s">
        <v>101</v>
      </c>
      <c r="E941" s="3" t="s">
        <v>716</v>
      </c>
      <c r="F941" s="2" t="s">
        <v>291</v>
      </c>
      <c r="G941" s="4">
        <v>1</v>
      </c>
      <c r="H941" s="5">
        <v>5.8</v>
      </c>
      <c r="I941" s="5">
        <v>6.0457897312922988</v>
      </c>
      <c r="J941" s="6">
        <v>0</v>
      </c>
      <c r="K941" s="5">
        <v>0</v>
      </c>
      <c r="L941" s="6">
        <v>0</v>
      </c>
      <c r="M941" s="5">
        <v>0</v>
      </c>
      <c r="N941" s="6">
        <v>0</v>
      </c>
      <c r="O941" s="5">
        <v>0</v>
      </c>
      <c r="P941" s="6">
        <v>0</v>
      </c>
      <c r="Q941" s="5">
        <v>0</v>
      </c>
      <c r="R941" s="6">
        <v>1092.1161843093071</v>
      </c>
      <c r="S941" s="5">
        <v>6334.2738689939824</v>
      </c>
      <c r="T941" s="6">
        <v>0</v>
      </c>
      <c r="U941" s="5">
        <v>0</v>
      </c>
      <c r="V941" s="6">
        <v>0</v>
      </c>
      <c r="W941" s="5">
        <v>0</v>
      </c>
      <c r="X941" s="6">
        <v>0</v>
      </c>
      <c r="Y941" s="5">
        <v>0</v>
      </c>
      <c r="Z941" s="6">
        <v>0</v>
      </c>
      <c r="AA941" s="5">
        <v>0</v>
      </c>
      <c r="AB941" s="6">
        <v>0</v>
      </c>
      <c r="AC941" s="5">
        <v>0</v>
      </c>
      <c r="AD941" s="6">
        <v>0</v>
      </c>
      <c r="AE941" s="5">
        <v>0</v>
      </c>
      <c r="AF941" s="6">
        <v>0</v>
      </c>
      <c r="AG941" s="5">
        <v>0</v>
      </c>
      <c r="AH941" s="7">
        <f t="shared" si="112"/>
        <v>1092.1161843093071</v>
      </c>
      <c r="AI941" s="8">
        <f t="shared" si="113"/>
        <v>6334.2738689939824</v>
      </c>
      <c r="AJ941" s="6">
        <v>0</v>
      </c>
      <c r="AK941" s="5">
        <v>0</v>
      </c>
      <c r="AL941" s="6">
        <v>0</v>
      </c>
      <c r="AM941" s="5">
        <v>0</v>
      </c>
      <c r="AN941" s="6">
        <v>0</v>
      </c>
      <c r="AO941" s="5">
        <v>0</v>
      </c>
      <c r="AP941" s="6">
        <v>0</v>
      </c>
      <c r="AQ941" s="5">
        <v>0</v>
      </c>
      <c r="AR941" s="6">
        <v>1382</v>
      </c>
      <c r="AS941" s="5">
        <v>8355.2814086459566</v>
      </c>
      <c r="AT941" s="6">
        <v>0</v>
      </c>
      <c r="AU941" s="5">
        <v>0</v>
      </c>
      <c r="AV941" s="6">
        <v>0</v>
      </c>
      <c r="AW941" s="5">
        <v>0</v>
      </c>
      <c r="AX941" s="6">
        <v>0</v>
      </c>
      <c r="AY941" s="5">
        <v>0</v>
      </c>
      <c r="AZ941" s="6">
        <v>0</v>
      </c>
      <c r="BA941" s="5">
        <v>0</v>
      </c>
      <c r="BB941" s="6">
        <v>0</v>
      </c>
      <c r="BC941" s="5">
        <v>0</v>
      </c>
      <c r="BD941" s="6">
        <v>0</v>
      </c>
      <c r="BE941" s="5">
        <v>0</v>
      </c>
      <c r="BF941" s="6">
        <v>0</v>
      </c>
      <c r="BG941" s="5">
        <v>0</v>
      </c>
      <c r="BH941" s="9">
        <f t="shared" si="114"/>
        <v>1382</v>
      </c>
      <c r="BI941" s="10">
        <f t="shared" si="115"/>
        <v>8355.2814086459566</v>
      </c>
      <c r="BJ941" s="6">
        <f t="shared" si="116"/>
        <v>289.88381569069293</v>
      </c>
      <c r="BK941" s="11">
        <f t="shared" si="117"/>
        <v>0.26543312868678504</v>
      </c>
      <c r="BL941" s="5">
        <f t="shared" si="118"/>
        <v>2021.0075396519742</v>
      </c>
      <c r="BM941" s="11">
        <f t="shared" si="119"/>
        <v>0.31905907156062913</v>
      </c>
    </row>
    <row r="942" spans="1:65" ht="15" customHeight="1" x14ac:dyDescent="0.4">
      <c r="A942" s="2" t="s">
        <v>654</v>
      </c>
      <c r="B942" s="2" t="s">
        <v>712</v>
      </c>
      <c r="C942" s="2" t="s">
        <v>713</v>
      </c>
      <c r="D942" s="3" t="s">
        <v>101</v>
      </c>
      <c r="E942" s="3" t="s">
        <v>717</v>
      </c>
      <c r="F942" s="2" t="s">
        <v>293</v>
      </c>
      <c r="G942" s="4">
        <v>1</v>
      </c>
      <c r="H942" s="5">
        <v>5.0999999999999996</v>
      </c>
      <c r="I942" s="5">
        <v>5.3161254533777109</v>
      </c>
      <c r="J942" s="6">
        <v>0</v>
      </c>
      <c r="K942" s="5">
        <v>0</v>
      </c>
      <c r="L942" s="6">
        <v>0</v>
      </c>
      <c r="M942" s="5">
        <v>0</v>
      </c>
      <c r="N942" s="6">
        <v>0</v>
      </c>
      <c r="O942" s="5">
        <v>0</v>
      </c>
      <c r="P942" s="6">
        <v>0</v>
      </c>
      <c r="Q942" s="5">
        <v>0</v>
      </c>
      <c r="R942" s="6">
        <v>498.57477979337949</v>
      </c>
      <c r="S942" s="5">
        <v>2542.7313769462348</v>
      </c>
      <c r="T942" s="6">
        <v>0</v>
      </c>
      <c r="U942" s="5">
        <v>0</v>
      </c>
      <c r="V942" s="6">
        <v>0</v>
      </c>
      <c r="W942" s="5">
        <v>0</v>
      </c>
      <c r="X942" s="6">
        <v>0</v>
      </c>
      <c r="Y942" s="5">
        <v>0</v>
      </c>
      <c r="Z942" s="6">
        <v>0</v>
      </c>
      <c r="AA942" s="5">
        <v>0</v>
      </c>
      <c r="AB942" s="6">
        <v>0</v>
      </c>
      <c r="AC942" s="5">
        <v>0</v>
      </c>
      <c r="AD942" s="6">
        <v>0</v>
      </c>
      <c r="AE942" s="5">
        <v>0</v>
      </c>
      <c r="AF942" s="6">
        <v>0</v>
      </c>
      <c r="AG942" s="5">
        <v>0</v>
      </c>
      <c r="AH942" s="7">
        <f t="shared" si="112"/>
        <v>498.57477979337949</v>
      </c>
      <c r="AI942" s="8">
        <f t="shared" si="113"/>
        <v>2542.7313769462348</v>
      </c>
      <c r="AJ942" s="6">
        <v>0</v>
      </c>
      <c r="AK942" s="5">
        <v>0</v>
      </c>
      <c r="AL942" s="6">
        <v>0</v>
      </c>
      <c r="AM942" s="5">
        <v>0</v>
      </c>
      <c r="AN942" s="6">
        <v>0</v>
      </c>
      <c r="AO942" s="5">
        <v>0</v>
      </c>
      <c r="AP942" s="6">
        <v>0</v>
      </c>
      <c r="AQ942" s="5">
        <v>0</v>
      </c>
      <c r="AR942" s="6">
        <v>559</v>
      </c>
      <c r="AS942" s="5">
        <v>2971.714128438141</v>
      </c>
      <c r="AT942" s="6">
        <v>0</v>
      </c>
      <c r="AU942" s="5">
        <v>0</v>
      </c>
      <c r="AV942" s="6">
        <v>0</v>
      </c>
      <c r="AW942" s="5">
        <v>0</v>
      </c>
      <c r="AX942" s="6">
        <v>0</v>
      </c>
      <c r="AY942" s="5">
        <v>0</v>
      </c>
      <c r="AZ942" s="6">
        <v>0</v>
      </c>
      <c r="BA942" s="5">
        <v>0</v>
      </c>
      <c r="BB942" s="6">
        <v>0</v>
      </c>
      <c r="BC942" s="5">
        <v>0</v>
      </c>
      <c r="BD942" s="6">
        <v>0</v>
      </c>
      <c r="BE942" s="5">
        <v>0</v>
      </c>
      <c r="BF942" s="6">
        <v>0</v>
      </c>
      <c r="BG942" s="5">
        <v>0</v>
      </c>
      <c r="BH942" s="9">
        <f t="shared" si="114"/>
        <v>559</v>
      </c>
      <c r="BI942" s="10">
        <f t="shared" si="115"/>
        <v>2971.714128438141</v>
      </c>
      <c r="BJ942" s="6">
        <f t="shared" si="116"/>
        <v>60.425220206620509</v>
      </c>
      <c r="BK942" s="11">
        <f t="shared" si="117"/>
        <v>0.12119590211053609</v>
      </c>
      <c r="BL942" s="5">
        <f t="shared" si="118"/>
        <v>428.98275149190613</v>
      </c>
      <c r="BM942" s="11">
        <f t="shared" si="119"/>
        <v>0.16870942616325643</v>
      </c>
    </row>
    <row r="943" spans="1:65" ht="15" customHeight="1" x14ac:dyDescent="0.4">
      <c r="A943" s="2" t="s">
        <v>654</v>
      </c>
      <c r="B943" s="2" t="s">
        <v>712</v>
      </c>
      <c r="C943" s="2" t="s">
        <v>713</v>
      </c>
      <c r="D943" s="3" t="s">
        <v>101</v>
      </c>
      <c r="E943" s="3" t="s">
        <v>717</v>
      </c>
      <c r="F943" s="2" t="s">
        <v>494</v>
      </c>
      <c r="G943" s="4">
        <v>1</v>
      </c>
      <c r="H943" s="5">
        <v>5.1000000000000014</v>
      </c>
      <c r="I943" s="5">
        <v>5.3161254533777136</v>
      </c>
      <c r="J943" s="6">
        <v>0</v>
      </c>
      <c r="K943" s="5">
        <v>0</v>
      </c>
      <c r="L943" s="6">
        <v>0</v>
      </c>
      <c r="M943" s="5">
        <v>0</v>
      </c>
      <c r="N943" s="6">
        <v>0</v>
      </c>
      <c r="O943" s="5">
        <v>0</v>
      </c>
      <c r="P943" s="6">
        <v>0</v>
      </c>
      <c r="Q943" s="5">
        <v>0</v>
      </c>
      <c r="R943" s="6">
        <v>0</v>
      </c>
      <c r="S943" s="5">
        <v>0</v>
      </c>
      <c r="T943" s="6">
        <v>0</v>
      </c>
      <c r="U943" s="5">
        <v>0</v>
      </c>
      <c r="V943" s="6">
        <v>0</v>
      </c>
      <c r="W943" s="5">
        <v>0</v>
      </c>
      <c r="X943" s="6">
        <v>0</v>
      </c>
      <c r="Y943" s="5">
        <v>0</v>
      </c>
      <c r="Z943" s="6">
        <v>0</v>
      </c>
      <c r="AA943" s="5">
        <v>0</v>
      </c>
      <c r="AB943" s="6">
        <v>0</v>
      </c>
      <c r="AC943" s="5">
        <v>0</v>
      </c>
      <c r="AD943" s="6">
        <v>0</v>
      </c>
      <c r="AE943" s="5">
        <v>0</v>
      </c>
      <c r="AF943" s="6">
        <v>473.99806964919469</v>
      </c>
      <c r="AG943" s="5">
        <v>2417.3901552108941</v>
      </c>
      <c r="AH943" s="7">
        <f t="shared" si="112"/>
        <v>473.99806964919469</v>
      </c>
      <c r="AI943" s="8">
        <f t="shared" si="113"/>
        <v>2417.3901552108941</v>
      </c>
      <c r="AJ943" s="6">
        <v>0</v>
      </c>
      <c r="AK943" s="5">
        <v>0</v>
      </c>
      <c r="AL943" s="6">
        <v>0</v>
      </c>
      <c r="AM943" s="5">
        <v>0</v>
      </c>
      <c r="AN943" s="6">
        <v>0</v>
      </c>
      <c r="AO943" s="5">
        <v>0</v>
      </c>
      <c r="AP943" s="6">
        <v>0</v>
      </c>
      <c r="AQ943" s="5">
        <v>0</v>
      </c>
      <c r="AR943" s="6">
        <v>0</v>
      </c>
      <c r="AS943" s="5">
        <v>0</v>
      </c>
      <c r="AT943" s="6">
        <v>0</v>
      </c>
      <c r="AU943" s="5">
        <v>0</v>
      </c>
      <c r="AV943" s="6">
        <v>0</v>
      </c>
      <c r="AW943" s="5">
        <v>0</v>
      </c>
      <c r="AX943" s="6">
        <v>0</v>
      </c>
      <c r="AY943" s="5">
        <v>0</v>
      </c>
      <c r="AZ943" s="6">
        <v>0</v>
      </c>
      <c r="BA943" s="5">
        <v>0</v>
      </c>
      <c r="BB943" s="6">
        <v>0</v>
      </c>
      <c r="BC943" s="5">
        <v>0</v>
      </c>
      <c r="BD943" s="6">
        <v>0</v>
      </c>
      <c r="BE943" s="5">
        <v>0</v>
      </c>
      <c r="BF943" s="6">
        <v>532</v>
      </c>
      <c r="BG943" s="5">
        <v>2828.178741196944</v>
      </c>
      <c r="BH943" s="9">
        <f t="shared" si="114"/>
        <v>532</v>
      </c>
      <c r="BI943" s="10">
        <f t="shared" si="115"/>
        <v>2828.178741196944</v>
      </c>
      <c r="BJ943" s="6">
        <f t="shared" si="116"/>
        <v>58.00193035080531</v>
      </c>
      <c r="BK943" s="11">
        <f t="shared" si="117"/>
        <v>0.12236744000610057</v>
      </c>
      <c r="BL943" s="5">
        <f t="shared" si="118"/>
        <v>410.78858598604984</v>
      </c>
      <c r="BM943" s="11">
        <f t="shared" si="119"/>
        <v>0.16993061095270839</v>
      </c>
    </row>
    <row r="944" spans="1:65" ht="15" customHeight="1" x14ac:dyDescent="0.4">
      <c r="A944" s="2" t="s">
        <v>654</v>
      </c>
      <c r="B944" s="2" t="s">
        <v>712</v>
      </c>
      <c r="C944" s="2" t="s">
        <v>713</v>
      </c>
      <c r="D944" s="3" t="s">
        <v>101</v>
      </c>
      <c r="E944" s="3" t="s">
        <v>718</v>
      </c>
      <c r="F944" s="2" t="s">
        <v>431</v>
      </c>
      <c r="G944" s="4">
        <v>5</v>
      </c>
      <c r="H944" s="5">
        <v>2.8</v>
      </c>
      <c r="I944" s="5">
        <v>2.918657111658352</v>
      </c>
      <c r="J944" s="6">
        <v>0</v>
      </c>
      <c r="K944" s="5">
        <v>0</v>
      </c>
      <c r="L944" s="6">
        <v>0</v>
      </c>
      <c r="M944" s="5">
        <v>0</v>
      </c>
      <c r="N944" s="6">
        <v>0</v>
      </c>
      <c r="O944" s="5">
        <v>0</v>
      </c>
      <c r="P944" s="6">
        <v>0</v>
      </c>
      <c r="Q944" s="5">
        <v>0</v>
      </c>
      <c r="R944" s="6">
        <v>2967.7070225796401</v>
      </c>
      <c r="S944" s="5">
        <v>8309.5796632229903</v>
      </c>
      <c r="T944" s="6">
        <v>0</v>
      </c>
      <c r="U944" s="5">
        <v>0</v>
      </c>
      <c r="V944" s="6">
        <v>0</v>
      </c>
      <c r="W944" s="5">
        <v>0</v>
      </c>
      <c r="X944" s="6">
        <v>0</v>
      </c>
      <c r="Y944" s="5">
        <v>0</v>
      </c>
      <c r="Z944" s="6">
        <v>0</v>
      </c>
      <c r="AA944" s="5">
        <v>0</v>
      </c>
      <c r="AB944" s="6">
        <v>0</v>
      </c>
      <c r="AC944" s="5">
        <v>0</v>
      </c>
      <c r="AD944" s="6">
        <v>0</v>
      </c>
      <c r="AE944" s="5">
        <v>0</v>
      </c>
      <c r="AF944" s="6">
        <v>0</v>
      </c>
      <c r="AG944" s="5">
        <v>0</v>
      </c>
      <c r="AH944" s="7">
        <f t="shared" si="112"/>
        <v>2967.7070225796401</v>
      </c>
      <c r="AI944" s="8">
        <f t="shared" si="113"/>
        <v>8309.5796632229903</v>
      </c>
      <c r="AJ944" s="6">
        <v>0</v>
      </c>
      <c r="AK944" s="5">
        <v>0</v>
      </c>
      <c r="AL944" s="6">
        <v>0</v>
      </c>
      <c r="AM944" s="5">
        <v>0</v>
      </c>
      <c r="AN944" s="6">
        <v>0</v>
      </c>
      <c r="AO944" s="5">
        <v>0</v>
      </c>
      <c r="AP944" s="6">
        <v>0</v>
      </c>
      <c r="AQ944" s="5">
        <v>0</v>
      </c>
      <c r="AR944" s="6">
        <v>3915</v>
      </c>
      <c r="AS944" s="5">
        <v>11426.54259214245</v>
      </c>
      <c r="AT944" s="6">
        <v>0</v>
      </c>
      <c r="AU944" s="5">
        <v>0</v>
      </c>
      <c r="AV944" s="6">
        <v>0</v>
      </c>
      <c r="AW944" s="5">
        <v>0</v>
      </c>
      <c r="AX944" s="6">
        <v>0</v>
      </c>
      <c r="AY944" s="5">
        <v>0</v>
      </c>
      <c r="AZ944" s="6">
        <v>0</v>
      </c>
      <c r="BA944" s="5">
        <v>0</v>
      </c>
      <c r="BB944" s="6">
        <v>0</v>
      </c>
      <c r="BC944" s="5">
        <v>0</v>
      </c>
      <c r="BD944" s="6">
        <v>0</v>
      </c>
      <c r="BE944" s="5">
        <v>0</v>
      </c>
      <c r="BF944" s="6">
        <v>0</v>
      </c>
      <c r="BG944" s="5">
        <v>0</v>
      </c>
      <c r="BH944" s="9">
        <f t="shared" si="114"/>
        <v>3915</v>
      </c>
      <c r="BI944" s="10">
        <f t="shared" si="115"/>
        <v>11426.54259214245</v>
      </c>
      <c r="BJ944" s="6">
        <f t="shared" si="116"/>
        <v>947.29297742035988</v>
      </c>
      <c r="BK944" s="11">
        <f t="shared" si="117"/>
        <v>0.31920030185356302</v>
      </c>
      <c r="BL944" s="5">
        <f t="shared" si="118"/>
        <v>3116.96292891946</v>
      </c>
      <c r="BM944" s="11">
        <f t="shared" si="119"/>
        <v>0.37510476525240999</v>
      </c>
    </row>
    <row r="945" spans="1:65" ht="15" customHeight="1" x14ac:dyDescent="0.4">
      <c r="A945" s="2" t="s">
        <v>654</v>
      </c>
      <c r="B945" s="2" t="s">
        <v>712</v>
      </c>
      <c r="C945" s="2" t="s">
        <v>713</v>
      </c>
      <c r="D945" s="3" t="s">
        <v>101</v>
      </c>
      <c r="E945" s="3" t="s">
        <v>719</v>
      </c>
      <c r="F945" s="2" t="s">
        <v>720</v>
      </c>
      <c r="G945" s="4">
        <v>20</v>
      </c>
      <c r="H945" s="5">
        <v>2.6</v>
      </c>
      <c r="I945" s="5">
        <v>2.7101816036827548</v>
      </c>
      <c r="J945" s="6">
        <v>0</v>
      </c>
      <c r="K945" s="5">
        <v>0</v>
      </c>
      <c r="L945" s="6">
        <v>0</v>
      </c>
      <c r="M945" s="5">
        <v>0</v>
      </c>
      <c r="N945" s="6">
        <v>0</v>
      </c>
      <c r="O945" s="5">
        <v>0</v>
      </c>
      <c r="P945" s="6">
        <v>0</v>
      </c>
      <c r="Q945" s="5">
        <v>0</v>
      </c>
      <c r="R945" s="6">
        <v>0</v>
      </c>
      <c r="S945" s="5">
        <v>0</v>
      </c>
      <c r="T945" s="6">
        <v>0</v>
      </c>
      <c r="U945" s="5">
        <v>0</v>
      </c>
      <c r="V945" s="6">
        <v>0</v>
      </c>
      <c r="W945" s="5">
        <v>0</v>
      </c>
      <c r="X945" s="6">
        <v>0</v>
      </c>
      <c r="Y945" s="5">
        <v>0</v>
      </c>
      <c r="Z945" s="6">
        <v>0</v>
      </c>
      <c r="AA945" s="5">
        <v>0</v>
      </c>
      <c r="AB945" s="6">
        <v>0</v>
      </c>
      <c r="AC945" s="5">
        <v>0</v>
      </c>
      <c r="AD945" s="6">
        <v>0</v>
      </c>
      <c r="AE945" s="5">
        <v>0</v>
      </c>
      <c r="AF945" s="6">
        <v>2085.591506456457</v>
      </c>
      <c r="AG945" s="5">
        <v>5422.5379167867868</v>
      </c>
      <c r="AH945" s="7">
        <f t="shared" si="112"/>
        <v>2085.591506456457</v>
      </c>
      <c r="AI945" s="8">
        <f t="shared" si="113"/>
        <v>5422.5379167867868</v>
      </c>
      <c r="AJ945" s="6">
        <v>0</v>
      </c>
      <c r="AK945" s="5">
        <v>0</v>
      </c>
      <c r="AL945" s="6">
        <v>0</v>
      </c>
      <c r="AM945" s="5">
        <v>0</v>
      </c>
      <c r="AN945" s="6">
        <v>0</v>
      </c>
      <c r="AO945" s="5">
        <v>0</v>
      </c>
      <c r="AP945" s="6">
        <v>0</v>
      </c>
      <c r="AQ945" s="5">
        <v>0</v>
      </c>
      <c r="AR945" s="6">
        <v>0</v>
      </c>
      <c r="AS945" s="5">
        <v>0</v>
      </c>
      <c r="AT945" s="6">
        <v>0</v>
      </c>
      <c r="AU945" s="5">
        <v>0</v>
      </c>
      <c r="AV945" s="6">
        <v>0</v>
      </c>
      <c r="AW945" s="5">
        <v>0</v>
      </c>
      <c r="AX945" s="6">
        <v>0</v>
      </c>
      <c r="AY945" s="5">
        <v>0</v>
      </c>
      <c r="AZ945" s="6">
        <v>0</v>
      </c>
      <c r="BA945" s="5">
        <v>0</v>
      </c>
      <c r="BB945" s="6">
        <v>0</v>
      </c>
      <c r="BC945" s="5">
        <v>0</v>
      </c>
      <c r="BD945" s="6">
        <v>0</v>
      </c>
      <c r="BE945" s="5">
        <v>0</v>
      </c>
      <c r="BF945" s="6">
        <v>2760</v>
      </c>
      <c r="BG945" s="5">
        <v>7480.1012261644046</v>
      </c>
      <c r="BH945" s="9">
        <f t="shared" si="114"/>
        <v>2760</v>
      </c>
      <c r="BI945" s="10">
        <f t="shared" si="115"/>
        <v>7480.1012261644046</v>
      </c>
      <c r="BJ945" s="6">
        <f t="shared" si="116"/>
        <v>674.40849354354305</v>
      </c>
      <c r="BK945" s="11">
        <f t="shared" si="117"/>
        <v>0.32336557348634531</v>
      </c>
      <c r="BL945" s="5">
        <f t="shared" si="118"/>
        <v>2057.5633093776178</v>
      </c>
      <c r="BM945" s="11">
        <f t="shared" si="119"/>
        <v>0.3794465508499128</v>
      </c>
    </row>
    <row r="946" spans="1:65" ht="15" customHeight="1" x14ac:dyDescent="0.4">
      <c r="A946" s="2" t="s">
        <v>654</v>
      </c>
      <c r="B946" s="2" t="s">
        <v>712</v>
      </c>
      <c r="C946" s="2" t="s">
        <v>713</v>
      </c>
      <c r="D946" s="3" t="s">
        <v>101</v>
      </c>
      <c r="E946" s="3" t="s">
        <v>721</v>
      </c>
      <c r="F946" s="2" t="s">
        <v>682</v>
      </c>
      <c r="G946" s="4">
        <v>1</v>
      </c>
      <c r="H946" s="5">
        <v>4.3099999999999996</v>
      </c>
      <c r="I946" s="5">
        <v>4.4926471968741053</v>
      </c>
      <c r="J946" s="6">
        <v>0</v>
      </c>
      <c r="K946" s="5">
        <v>0</v>
      </c>
      <c r="L946" s="6">
        <v>0</v>
      </c>
      <c r="M946" s="5">
        <v>0</v>
      </c>
      <c r="N946" s="6">
        <v>0</v>
      </c>
      <c r="O946" s="5">
        <v>0</v>
      </c>
      <c r="P946" s="6">
        <v>0</v>
      </c>
      <c r="Q946" s="5">
        <v>0</v>
      </c>
      <c r="R946" s="6">
        <v>498.57477979337949</v>
      </c>
      <c r="S946" s="5">
        <v>2148.8573009094648</v>
      </c>
      <c r="T946" s="6">
        <v>0</v>
      </c>
      <c r="U946" s="5">
        <v>0</v>
      </c>
      <c r="V946" s="6">
        <v>0</v>
      </c>
      <c r="W946" s="5">
        <v>0</v>
      </c>
      <c r="X946" s="6">
        <v>0</v>
      </c>
      <c r="Y946" s="5">
        <v>0</v>
      </c>
      <c r="Z946" s="6">
        <v>0</v>
      </c>
      <c r="AA946" s="5">
        <v>0</v>
      </c>
      <c r="AB946" s="6">
        <v>0</v>
      </c>
      <c r="AC946" s="5">
        <v>0</v>
      </c>
      <c r="AD946" s="6">
        <v>0</v>
      </c>
      <c r="AE946" s="5">
        <v>0</v>
      </c>
      <c r="AF946" s="6">
        <v>0</v>
      </c>
      <c r="AG946" s="5">
        <v>0</v>
      </c>
      <c r="AH946" s="7">
        <f t="shared" si="112"/>
        <v>498.57477979337949</v>
      </c>
      <c r="AI946" s="8">
        <f t="shared" si="113"/>
        <v>2148.8573009094648</v>
      </c>
      <c r="AJ946" s="6">
        <v>0</v>
      </c>
      <c r="AK946" s="5">
        <v>0</v>
      </c>
      <c r="AL946" s="6">
        <v>0</v>
      </c>
      <c r="AM946" s="5">
        <v>0</v>
      </c>
      <c r="AN946" s="6">
        <v>0</v>
      </c>
      <c r="AO946" s="5">
        <v>0</v>
      </c>
      <c r="AP946" s="6">
        <v>0</v>
      </c>
      <c r="AQ946" s="5">
        <v>0</v>
      </c>
      <c r="AR946" s="6">
        <v>559</v>
      </c>
      <c r="AS946" s="5">
        <v>2511.3897830526248</v>
      </c>
      <c r="AT946" s="6">
        <v>0</v>
      </c>
      <c r="AU946" s="5">
        <v>0</v>
      </c>
      <c r="AV946" s="6">
        <v>0</v>
      </c>
      <c r="AW946" s="5">
        <v>0</v>
      </c>
      <c r="AX946" s="6">
        <v>0</v>
      </c>
      <c r="AY946" s="5">
        <v>0</v>
      </c>
      <c r="AZ946" s="6">
        <v>0</v>
      </c>
      <c r="BA946" s="5">
        <v>0</v>
      </c>
      <c r="BB946" s="6">
        <v>0</v>
      </c>
      <c r="BC946" s="5">
        <v>0</v>
      </c>
      <c r="BD946" s="6">
        <v>0</v>
      </c>
      <c r="BE946" s="5">
        <v>0</v>
      </c>
      <c r="BF946" s="6">
        <v>0</v>
      </c>
      <c r="BG946" s="5">
        <v>0</v>
      </c>
      <c r="BH946" s="9">
        <f t="shared" si="114"/>
        <v>559</v>
      </c>
      <c r="BI946" s="10">
        <f t="shared" si="115"/>
        <v>2511.3897830526248</v>
      </c>
      <c r="BJ946" s="6">
        <f t="shared" si="116"/>
        <v>60.425220206620509</v>
      </c>
      <c r="BK946" s="11">
        <f t="shared" si="117"/>
        <v>0.12119590211053609</v>
      </c>
      <c r="BL946" s="5">
        <f t="shared" si="118"/>
        <v>362.53248214316</v>
      </c>
      <c r="BM946" s="11">
        <f t="shared" si="119"/>
        <v>0.16870942616325649</v>
      </c>
    </row>
    <row r="947" spans="1:65" ht="15" customHeight="1" x14ac:dyDescent="0.4">
      <c r="A947" s="2" t="s">
        <v>654</v>
      </c>
      <c r="B947" s="2" t="s">
        <v>712</v>
      </c>
      <c r="C947" s="2" t="s">
        <v>713</v>
      </c>
      <c r="D947" s="3" t="s">
        <v>101</v>
      </c>
      <c r="E947" s="3" t="s">
        <v>722</v>
      </c>
      <c r="F947" s="2" t="s">
        <v>692</v>
      </c>
      <c r="G947" s="4">
        <v>1</v>
      </c>
      <c r="H947" s="5">
        <v>7.963409563409563</v>
      </c>
      <c r="I947" s="5">
        <v>8.3008792697476608</v>
      </c>
      <c r="J947" s="6">
        <v>0</v>
      </c>
      <c r="K947" s="5">
        <v>0</v>
      </c>
      <c r="L947" s="6">
        <v>0</v>
      </c>
      <c r="M947" s="5">
        <v>0</v>
      </c>
      <c r="N947" s="6">
        <v>0</v>
      </c>
      <c r="O947" s="5">
        <v>0</v>
      </c>
      <c r="P947" s="6">
        <v>0</v>
      </c>
      <c r="Q947" s="5">
        <v>0</v>
      </c>
      <c r="R947" s="6">
        <v>0</v>
      </c>
      <c r="S947" s="5">
        <v>0</v>
      </c>
      <c r="T947" s="6">
        <v>0</v>
      </c>
      <c r="U947" s="5">
        <v>0</v>
      </c>
      <c r="V947" s="6">
        <v>0</v>
      </c>
      <c r="W947" s="5">
        <v>0</v>
      </c>
      <c r="X947" s="6">
        <v>0</v>
      </c>
      <c r="Y947" s="5">
        <v>0</v>
      </c>
      <c r="Z947" s="6">
        <v>0</v>
      </c>
      <c r="AA947" s="5">
        <v>0</v>
      </c>
      <c r="AB947" s="6">
        <v>0</v>
      </c>
      <c r="AC947" s="5">
        <v>0</v>
      </c>
      <c r="AD947" s="6">
        <v>0</v>
      </c>
      <c r="AE947" s="5">
        <v>0</v>
      </c>
      <c r="AF947" s="6">
        <v>910.07629372645374</v>
      </c>
      <c r="AG947" s="5">
        <v>7247.3102608935724</v>
      </c>
      <c r="AH947" s="7">
        <f t="shared" si="112"/>
        <v>910.07629372645374</v>
      </c>
      <c r="AI947" s="8">
        <f t="shared" si="113"/>
        <v>7247.3102608935724</v>
      </c>
      <c r="AJ947" s="6">
        <v>0</v>
      </c>
      <c r="AK947" s="5">
        <v>0</v>
      </c>
      <c r="AL947" s="6">
        <v>0</v>
      </c>
      <c r="AM947" s="5">
        <v>0</v>
      </c>
      <c r="AN947" s="6">
        <v>0</v>
      </c>
      <c r="AO947" s="5">
        <v>0</v>
      </c>
      <c r="AP947" s="6">
        <v>0</v>
      </c>
      <c r="AQ947" s="5">
        <v>0</v>
      </c>
      <c r="AR947" s="6">
        <v>0</v>
      </c>
      <c r="AS947" s="5">
        <v>0</v>
      </c>
      <c r="AT947" s="6">
        <v>0</v>
      </c>
      <c r="AU947" s="5">
        <v>0</v>
      </c>
      <c r="AV947" s="6">
        <v>0</v>
      </c>
      <c r="AW947" s="5">
        <v>0</v>
      </c>
      <c r="AX947" s="6">
        <v>0</v>
      </c>
      <c r="AY947" s="5">
        <v>0</v>
      </c>
      <c r="AZ947" s="6">
        <v>0</v>
      </c>
      <c r="BA947" s="5">
        <v>0</v>
      </c>
      <c r="BB947" s="6">
        <v>0</v>
      </c>
      <c r="BC947" s="5">
        <v>0</v>
      </c>
      <c r="BD947" s="6">
        <v>0</v>
      </c>
      <c r="BE947" s="5">
        <v>0</v>
      </c>
      <c r="BF947" s="6">
        <v>1201</v>
      </c>
      <c r="BG947" s="5">
        <v>9969.3560029669407</v>
      </c>
      <c r="BH947" s="9">
        <f t="shared" si="114"/>
        <v>1201</v>
      </c>
      <c r="BI947" s="10">
        <f t="shared" si="115"/>
        <v>9969.3560029669407</v>
      </c>
      <c r="BJ947" s="6">
        <f t="shared" si="116"/>
        <v>290.92370627354626</v>
      </c>
      <c r="BK947" s="11">
        <f t="shared" si="117"/>
        <v>0.31966957965942872</v>
      </c>
      <c r="BL947" s="5">
        <f t="shared" si="118"/>
        <v>2722.0457420733683</v>
      </c>
      <c r="BM947" s="11">
        <f t="shared" si="119"/>
        <v>0.37559392989720686</v>
      </c>
    </row>
    <row r="948" spans="1:65" ht="15" customHeight="1" x14ac:dyDescent="0.4">
      <c r="A948" s="2" t="s">
        <v>654</v>
      </c>
      <c r="B948" s="2" t="s">
        <v>723</v>
      </c>
      <c r="C948" s="2" t="s">
        <v>724</v>
      </c>
      <c r="D948" s="3" t="s">
        <v>101</v>
      </c>
      <c r="E948" s="3" t="s">
        <v>725</v>
      </c>
      <c r="F948" s="2" t="s">
        <v>115</v>
      </c>
      <c r="G948" s="4">
        <v>5</v>
      </c>
      <c r="H948" s="5">
        <v>2.0499999999999989</v>
      </c>
      <c r="I948" s="5">
        <v>2.137350087310637</v>
      </c>
      <c r="J948" s="6">
        <v>0</v>
      </c>
      <c r="K948" s="5">
        <v>0</v>
      </c>
      <c r="L948" s="6">
        <v>0</v>
      </c>
      <c r="M948" s="5">
        <v>0</v>
      </c>
      <c r="N948" s="6">
        <v>0</v>
      </c>
      <c r="O948" s="5">
        <v>0</v>
      </c>
      <c r="P948" s="6">
        <v>0</v>
      </c>
      <c r="Q948" s="5">
        <v>0</v>
      </c>
      <c r="R948" s="6">
        <v>0</v>
      </c>
      <c r="S948" s="5">
        <v>0</v>
      </c>
      <c r="T948" s="6">
        <v>0</v>
      </c>
      <c r="U948" s="5">
        <v>0</v>
      </c>
      <c r="V948" s="6">
        <v>0</v>
      </c>
      <c r="W948" s="5">
        <v>0</v>
      </c>
      <c r="X948" s="6">
        <v>0</v>
      </c>
      <c r="Y948" s="5">
        <v>0</v>
      </c>
      <c r="Z948" s="6">
        <v>5213.978766141141</v>
      </c>
      <c r="AA948" s="5">
        <v>10688.65647058934</v>
      </c>
      <c r="AB948" s="6">
        <v>0</v>
      </c>
      <c r="AC948" s="5">
        <v>0</v>
      </c>
      <c r="AD948" s="6">
        <v>0</v>
      </c>
      <c r="AE948" s="5">
        <v>0</v>
      </c>
      <c r="AF948" s="6">
        <v>14219.94208947584</v>
      </c>
      <c r="AG948" s="5">
        <v>29150.881283425471</v>
      </c>
      <c r="AH948" s="7">
        <f t="shared" si="112"/>
        <v>19433.920855616983</v>
      </c>
      <c r="AI948" s="8">
        <f t="shared" si="113"/>
        <v>39839.537754014811</v>
      </c>
      <c r="AJ948" s="6">
        <v>0</v>
      </c>
      <c r="AK948" s="5">
        <v>0</v>
      </c>
      <c r="AL948" s="6">
        <v>0</v>
      </c>
      <c r="AM948" s="5">
        <v>0</v>
      </c>
      <c r="AN948" s="6">
        <v>0</v>
      </c>
      <c r="AO948" s="5">
        <v>0</v>
      </c>
      <c r="AP948" s="6">
        <v>0</v>
      </c>
      <c r="AQ948" s="5">
        <v>0</v>
      </c>
      <c r="AR948" s="6">
        <v>0</v>
      </c>
      <c r="AS948" s="5">
        <v>0</v>
      </c>
      <c r="AT948" s="6">
        <v>0</v>
      </c>
      <c r="AU948" s="5">
        <v>0</v>
      </c>
      <c r="AV948" s="6">
        <v>0</v>
      </c>
      <c r="AW948" s="5">
        <v>0</v>
      </c>
      <c r="AX948" s="6">
        <v>0</v>
      </c>
      <c r="AY948" s="5">
        <v>0</v>
      </c>
      <c r="AZ948" s="6">
        <v>6020</v>
      </c>
      <c r="BA948" s="5">
        <v>12863.981219634181</v>
      </c>
      <c r="BB948" s="6">
        <v>0</v>
      </c>
      <c r="BC948" s="5">
        <v>0</v>
      </c>
      <c r="BD948" s="6">
        <v>0</v>
      </c>
      <c r="BE948" s="5">
        <v>0</v>
      </c>
      <c r="BF948" s="6">
        <v>16420</v>
      </c>
      <c r="BG948" s="5">
        <v>35098.154739616519</v>
      </c>
      <c r="BH948" s="9">
        <f t="shared" si="114"/>
        <v>22440</v>
      </c>
      <c r="BI948" s="10">
        <f t="shared" si="115"/>
        <v>47962.1359592507</v>
      </c>
      <c r="BJ948" s="6">
        <f t="shared" si="116"/>
        <v>3006.0791443830167</v>
      </c>
      <c r="BK948" s="11">
        <f t="shared" si="117"/>
        <v>0.15468207196666492</v>
      </c>
      <c r="BL948" s="5">
        <f t="shared" si="118"/>
        <v>8122.5982052358886</v>
      </c>
      <c r="BM948" s="11">
        <f t="shared" si="119"/>
        <v>0.20388284260194103</v>
      </c>
    </row>
    <row r="949" spans="1:65" ht="15" customHeight="1" x14ac:dyDescent="0.4">
      <c r="A949" s="2" t="s">
        <v>654</v>
      </c>
      <c r="B949" s="2" t="s">
        <v>723</v>
      </c>
      <c r="C949" s="2" t="s">
        <v>724</v>
      </c>
      <c r="D949" s="3" t="s">
        <v>101</v>
      </c>
      <c r="E949" s="3" t="s">
        <v>726</v>
      </c>
      <c r="F949" s="2" t="s">
        <v>72</v>
      </c>
      <c r="G949" s="4">
        <v>20</v>
      </c>
      <c r="H949" s="5">
        <v>2.2400000000000011</v>
      </c>
      <c r="I949" s="5">
        <v>2.3349256893266821</v>
      </c>
      <c r="J949" s="6">
        <v>0</v>
      </c>
      <c r="K949" s="5">
        <v>0</v>
      </c>
      <c r="L949" s="6">
        <v>0</v>
      </c>
      <c r="M949" s="5">
        <v>0</v>
      </c>
      <c r="N949" s="6">
        <v>0</v>
      </c>
      <c r="O949" s="5">
        <v>0</v>
      </c>
      <c r="P949" s="6">
        <v>0</v>
      </c>
      <c r="Q949" s="5">
        <v>0</v>
      </c>
      <c r="R949" s="6">
        <v>0</v>
      </c>
      <c r="S949" s="5">
        <v>0</v>
      </c>
      <c r="T949" s="6">
        <v>0</v>
      </c>
      <c r="U949" s="5">
        <v>0</v>
      </c>
      <c r="V949" s="6">
        <v>0</v>
      </c>
      <c r="W949" s="5">
        <v>0</v>
      </c>
      <c r="X949" s="6">
        <v>0</v>
      </c>
      <c r="Y949" s="5">
        <v>0</v>
      </c>
      <c r="Z949" s="6">
        <v>9479.9613929838924</v>
      </c>
      <c r="AA949" s="5">
        <v>21235.113520283929</v>
      </c>
      <c r="AB949" s="6">
        <v>0</v>
      </c>
      <c r="AC949" s="5">
        <v>0</v>
      </c>
      <c r="AD949" s="6">
        <v>0</v>
      </c>
      <c r="AE949" s="5">
        <v>0</v>
      </c>
      <c r="AF949" s="6">
        <v>0</v>
      </c>
      <c r="AG949" s="5">
        <v>0</v>
      </c>
      <c r="AH949" s="7">
        <f t="shared" si="112"/>
        <v>9479.9613929838924</v>
      </c>
      <c r="AI949" s="8">
        <f t="shared" si="113"/>
        <v>21235.113520283929</v>
      </c>
      <c r="AJ949" s="6">
        <v>0</v>
      </c>
      <c r="AK949" s="5">
        <v>0</v>
      </c>
      <c r="AL949" s="6">
        <v>0</v>
      </c>
      <c r="AM949" s="5">
        <v>0</v>
      </c>
      <c r="AN949" s="6">
        <v>0</v>
      </c>
      <c r="AO949" s="5">
        <v>0</v>
      </c>
      <c r="AP949" s="6">
        <v>0</v>
      </c>
      <c r="AQ949" s="5">
        <v>0</v>
      </c>
      <c r="AR949" s="6">
        <v>0</v>
      </c>
      <c r="AS949" s="5">
        <v>0</v>
      </c>
      <c r="AT949" s="6">
        <v>0</v>
      </c>
      <c r="AU949" s="5">
        <v>0</v>
      </c>
      <c r="AV949" s="6">
        <v>0</v>
      </c>
      <c r="AW949" s="5">
        <v>0</v>
      </c>
      <c r="AX949" s="6">
        <v>0</v>
      </c>
      <c r="AY949" s="5">
        <v>0</v>
      </c>
      <c r="AZ949" s="6">
        <v>12520</v>
      </c>
      <c r="BA949" s="5">
        <v>29233.26963037005</v>
      </c>
      <c r="BB949" s="6">
        <v>0</v>
      </c>
      <c r="BC949" s="5">
        <v>0</v>
      </c>
      <c r="BD949" s="6">
        <v>0</v>
      </c>
      <c r="BE949" s="5">
        <v>0</v>
      </c>
      <c r="BF949" s="6">
        <v>0</v>
      </c>
      <c r="BG949" s="5">
        <v>0</v>
      </c>
      <c r="BH949" s="9">
        <f t="shared" si="114"/>
        <v>12520</v>
      </c>
      <c r="BI949" s="10">
        <f t="shared" si="115"/>
        <v>29233.26963037005</v>
      </c>
      <c r="BJ949" s="6">
        <f t="shared" si="116"/>
        <v>3040.0386070161076</v>
      </c>
      <c r="BK949" s="11">
        <f t="shared" si="117"/>
        <v>0.32068048391695314</v>
      </c>
      <c r="BL949" s="5">
        <f t="shared" si="118"/>
        <v>7998.1561100861218</v>
      </c>
      <c r="BM949" s="11">
        <f t="shared" si="119"/>
        <v>0.37664767379021674</v>
      </c>
    </row>
    <row r="950" spans="1:65" ht="15" customHeight="1" x14ac:dyDescent="0.4">
      <c r="A950" s="2" t="s">
        <v>654</v>
      </c>
      <c r="B950" s="2" t="s">
        <v>723</v>
      </c>
      <c r="C950" s="2" t="s">
        <v>724</v>
      </c>
      <c r="D950" s="3" t="s">
        <v>101</v>
      </c>
      <c r="E950" s="3" t="s">
        <v>727</v>
      </c>
      <c r="F950" s="2" t="s">
        <v>261</v>
      </c>
      <c r="G950" s="4">
        <v>1000</v>
      </c>
      <c r="H950" s="5">
        <v>1.87</v>
      </c>
      <c r="I950" s="5">
        <v>1.9492459995718281</v>
      </c>
      <c r="J950" s="6">
        <v>0</v>
      </c>
      <c r="K950" s="5">
        <v>0</v>
      </c>
      <c r="L950" s="6">
        <v>0</v>
      </c>
      <c r="M950" s="5">
        <v>0</v>
      </c>
      <c r="N950" s="6">
        <v>0</v>
      </c>
      <c r="O950" s="5">
        <v>0</v>
      </c>
      <c r="P950" s="6">
        <v>0</v>
      </c>
      <c r="Q950" s="5">
        <v>0</v>
      </c>
      <c r="R950" s="6">
        <v>0</v>
      </c>
      <c r="S950" s="5">
        <v>0</v>
      </c>
      <c r="T950" s="6">
        <v>0</v>
      </c>
      <c r="U950" s="5">
        <v>0</v>
      </c>
      <c r="V950" s="6">
        <v>0</v>
      </c>
      <c r="W950" s="5">
        <v>0</v>
      </c>
      <c r="X950" s="6">
        <v>0</v>
      </c>
      <c r="Y950" s="5">
        <v>0</v>
      </c>
      <c r="Z950" s="6">
        <v>9479.9613929838924</v>
      </c>
      <c r="AA950" s="5">
        <v>17727.527804879879</v>
      </c>
      <c r="AB950" s="6">
        <v>0</v>
      </c>
      <c r="AC950" s="5">
        <v>0</v>
      </c>
      <c r="AD950" s="6">
        <v>0</v>
      </c>
      <c r="AE950" s="5">
        <v>0</v>
      </c>
      <c r="AF950" s="6">
        <v>0</v>
      </c>
      <c r="AG950" s="5">
        <v>0</v>
      </c>
      <c r="AH950" s="7">
        <f t="shared" si="112"/>
        <v>9479.9613929838924</v>
      </c>
      <c r="AI950" s="8">
        <f t="shared" si="113"/>
        <v>17727.527804879879</v>
      </c>
      <c r="AJ950" s="6">
        <v>0</v>
      </c>
      <c r="AK950" s="5">
        <v>0</v>
      </c>
      <c r="AL950" s="6">
        <v>0</v>
      </c>
      <c r="AM950" s="5">
        <v>0</v>
      </c>
      <c r="AN950" s="6">
        <v>0</v>
      </c>
      <c r="AO950" s="5">
        <v>0</v>
      </c>
      <c r="AP950" s="6">
        <v>0</v>
      </c>
      <c r="AQ950" s="5">
        <v>0</v>
      </c>
      <c r="AR950" s="6">
        <v>0</v>
      </c>
      <c r="AS950" s="5">
        <v>0</v>
      </c>
      <c r="AT950" s="6">
        <v>0</v>
      </c>
      <c r="AU950" s="5">
        <v>0</v>
      </c>
      <c r="AV950" s="6">
        <v>0</v>
      </c>
      <c r="AW950" s="5">
        <v>0</v>
      </c>
      <c r="AX950" s="6">
        <v>0</v>
      </c>
      <c r="AY950" s="5">
        <v>0</v>
      </c>
      <c r="AZ950" s="6">
        <v>13000</v>
      </c>
      <c r="BA950" s="5">
        <v>25340.197994433762</v>
      </c>
      <c r="BB950" s="6">
        <v>0</v>
      </c>
      <c r="BC950" s="5">
        <v>0</v>
      </c>
      <c r="BD950" s="6">
        <v>0</v>
      </c>
      <c r="BE950" s="5">
        <v>0</v>
      </c>
      <c r="BF950" s="6">
        <v>0</v>
      </c>
      <c r="BG950" s="5">
        <v>0</v>
      </c>
      <c r="BH950" s="9">
        <f t="shared" si="114"/>
        <v>13000</v>
      </c>
      <c r="BI950" s="10">
        <f t="shared" si="115"/>
        <v>25340.197994433762</v>
      </c>
      <c r="BJ950" s="6">
        <f t="shared" si="116"/>
        <v>3520.0386070161076</v>
      </c>
      <c r="BK950" s="11">
        <f t="shared" si="117"/>
        <v>0.37131360151121329</v>
      </c>
      <c r="BL950" s="5">
        <f t="shared" si="118"/>
        <v>7612.6701895538827</v>
      </c>
      <c r="BM950" s="11">
        <f t="shared" si="119"/>
        <v>0.42942649834447494</v>
      </c>
    </row>
    <row r="951" spans="1:65" ht="15" customHeight="1" x14ac:dyDescent="0.4">
      <c r="A951" s="2" t="s">
        <v>654</v>
      </c>
      <c r="B951" s="2" t="s">
        <v>723</v>
      </c>
      <c r="C951" s="2" t="s">
        <v>724</v>
      </c>
      <c r="D951" s="3" t="s">
        <v>101</v>
      </c>
      <c r="E951" s="3" t="s">
        <v>728</v>
      </c>
      <c r="F951" s="2" t="s">
        <v>632</v>
      </c>
      <c r="G951" s="4">
        <v>1000</v>
      </c>
      <c r="H951" s="5">
        <v>3.1</v>
      </c>
      <c r="I951" s="5">
        <v>3.2313703736217469</v>
      </c>
      <c r="J951" s="6">
        <v>0</v>
      </c>
      <c r="K951" s="5">
        <v>0</v>
      </c>
      <c r="L951" s="6">
        <v>0</v>
      </c>
      <c r="M951" s="5">
        <v>0</v>
      </c>
      <c r="N951" s="6">
        <v>0</v>
      </c>
      <c r="O951" s="5">
        <v>0</v>
      </c>
      <c r="P951" s="6">
        <v>0</v>
      </c>
      <c r="Q951" s="5">
        <v>0</v>
      </c>
      <c r="R951" s="6">
        <v>0</v>
      </c>
      <c r="S951" s="5">
        <v>0</v>
      </c>
      <c r="T951" s="6">
        <v>0</v>
      </c>
      <c r="U951" s="5">
        <v>0</v>
      </c>
      <c r="V951" s="6">
        <v>0</v>
      </c>
      <c r="W951" s="5">
        <v>0</v>
      </c>
      <c r="X951" s="6">
        <v>0</v>
      </c>
      <c r="Y951" s="5">
        <v>0</v>
      </c>
      <c r="Z951" s="6">
        <v>1895.992278596779</v>
      </c>
      <c r="AA951" s="5">
        <v>5877.5760636500136</v>
      </c>
      <c r="AB951" s="6">
        <v>0</v>
      </c>
      <c r="AC951" s="5">
        <v>0</v>
      </c>
      <c r="AD951" s="6">
        <v>0</v>
      </c>
      <c r="AE951" s="5">
        <v>0</v>
      </c>
      <c r="AF951" s="6">
        <v>0</v>
      </c>
      <c r="AG951" s="5">
        <v>0</v>
      </c>
      <c r="AH951" s="7">
        <f t="shared" si="112"/>
        <v>1895.992278596779</v>
      </c>
      <c r="AI951" s="8">
        <f t="shared" si="113"/>
        <v>5877.5760636500136</v>
      </c>
      <c r="AJ951" s="6">
        <v>0</v>
      </c>
      <c r="AK951" s="5">
        <v>0</v>
      </c>
      <c r="AL951" s="6">
        <v>0</v>
      </c>
      <c r="AM951" s="5">
        <v>0</v>
      </c>
      <c r="AN951" s="6">
        <v>0</v>
      </c>
      <c r="AO951" s="5">
        <v>0</v>
      </c>
      <c r="AP951" s="6">
        <v>0</v>
      </c>
      <c r="AQ951" s="5">
        <v>0</v>
      </c>
      <c r="AR951" s="6">
        <v>0</v>
      </c>
      <c r="AS951" s="5">
        <v>0</v>
      </c>
      <c r="AT951" s="6">
        <v>0</v>
      </c>
      <c r="AU951" s="5">
        <v>0</v>
      </c>
      <c r="AV951" s="6">
        <v>0</v>
      </c>
      <c r="AW951" s="5">
        <v>0</v>
      </c>
      <c r="AX951" s="6">
        <v>0</v>
      </c>
      <c r="AY951" s="5">
        <v>0</v>
      </c>
      <c r="AZ951" s="6">
        <v>2000</v>
      </c>
      <c r="BA951" s="5">
        <v>6462.7407472434934</v>
      </c>
      <c r="BB951" s="6">
        <v>0</v>
      </c>
      <c r="BC951" s="5">
        <v>0</v>
      </c>
      <c r="BD951" s="6">
        <v>0</v>
      </c>
      <c r="BE951" s="5">
        <v>0</v>
      </c>
      <c r="BF951" s="6">
        <v>0</v>
      </c>
      <c r="BG951" s="5">
        <v>0</v>
      </c>
      <c r="BH951" s="9">
        <f t="shared" si="114"/>
        <v>2000</v>
      </c>
      <c r="BI951" s="10">
        <f t="shared" si="115"/>
        <v>6462.7407472434934</v>
      </c>
      <c r="BJ951" s="6">
        <f t="shared" si="116"/>
        <v>104.00772140322101</v>
      </c>
      <c r="BK951" s="11">
        <f t="shared" si="117"/>
        <v>5.4856616547086873E-2</v>
      </c>
      <c r="BL951" s="5">
        <f t="shared" si="118"/>
        <v>585.16468359347982</v>
      </c>
      <c r="BM951" s="11">
        <f t="shared" si="119"/>
        <v>9.9558844880365302E-2</v>
      </c>
    </row>
    <row r="952" spans="1:65" ht="15" customHeight="1" x14ac:dyDescent="0.4">
      <c r="A952" s="2" t="s">
        <v>654</v>
      </c>
      <c r="B952" s="2" t="s">
        <v>723</v>
      </c>
      <c r="C952" s="2" t="s">
        <v>724</v>
      </c>
      <c r="D952" s="3" t="s">
        <v>101</v>
      </c>
      <c r="E952" s="3" t="s">
        <v>729</v>
      </c>
      <c r="F952" s="2" t="s">
        <v>730</v>
      </c>
      <c r="G952" s="4">
        <v>1000</v>
      </c>
      <c r="H952" s="5">
        <v>3.899999999999999</v>
      </c>
      <c r="I952" s="5">
        <v>4.0652724055241327</v>
      </c>
      <c r="J952" s="6">
        <v>0</v>
      </c>
      <c r="K952" s="5">
        <v>0</v>
      </c>
      <c r="L952" s="6">
        <v>0</v>
      </c>
      <c r="M952" s="5">
        <v>0</v>
      </c>
      <c r="N952" s="6">
        <v>0</v>
      </c>
      <c r="O952" s="5">
        <v>0</v>
      </c>
      <c r="P952" s="6">
        <v>0</v>
      </c>
      <c r="Q952" s="5">
        <v>0</v>
      </c>
      <c r="R952" s="6">
        <v>0</v>
      </c>
      <c r="S952" s="5">
        <v>0</v>
      </c>
      <c r="T952" s="6">
        <v>0</v>
      </c>
      <c r="U952" s="5">
        <v>0</v>
      </c>
      <c r="V952" s="6">
        <v>0</v>
      </c>
      <c r="W952" s="5">
        <v>0</v>
      </c>
      <c r="X952" s="6">
        <v>0</v>
      </c>
      <c r="Y952" s="5">
        <v>0</v>
      </c>
      <c r="Z952" s="6">
        <v>0</v>
      </c>
      <c r="AA952" s="5">
        <v>0</v>
      </c>
      <c r="AB952" s="6">
        <v>0</v>
      </c>
      <c r="AC952" s="5">
        <v>0</v>
      </c>
      <c r="AD952" s="6">
        <v>0</v>
      </c>
      <c r="AE952" s="5">
        <v>0</v>
      </c>
      <c r="AF952" s="6">
        <v>1895.992278596779</v>
      </c>
      <c r="AG952" s="5">
        <v>7394.3698865274364</v>
      </c>
      <c r="AH952" s="7">
        <f t="shared" si="112"/>
        <v>1895.992278596779</v>
      </c>
      <c r="AI952" s="8">
        <f t="shared" si="113"/>
        <v>7394.3698865274364</v>
      </c>
      <c r="AJ952" s="6">
        <v>0</v>
      </c>
      <c r="AK952" s="5">
        <v>0</v>
      </c>
      <c r="AL952" s="6">
        <v>0</v>
      </c>
      <c r="AM952" s="5">
        <v>0</v>
      </c>
      <c r="AN952" s="6">
        <v>0</v>
      </c>
      <c r="AO952" s="5">
        <v>0</v>
      </c>
      <c r="AP952" s="6">
        <v>0</v>
      </c>
      <c r="AQ952" s="5">
        <v>0</v>
      </c>
      <c r="AR952" s="6">
        <v>0</v>
      </c>
      <c r="AS952" s="5">
        <v>0</v>
      </c>
      <c r="AT952" s="6">
        <v>0</v>
      </c>
      <c r="AU952" s="5">
        <v>0</v>
      </c>
      <c r="AV952" s="6">
        <v>0</v>
      </c>
      <c r="AW952" s="5">
        <v>0</v>
      </c>
      <c r="AX952" s="6">
        <v>0</v>
      </c>
      <c r="AY952" s="5">
        <v>0</v>
      </c>
      <c r="AZ952" s="6">
        <v>0</v>
      </c>
      <c r="BA952" s="5">
        <v>0</v>
      </c>
      <c r="BB952" s="6">
        <v>0</v>
      </c>
      <c r="BC952" s="5">
        <v>0</v>
      </c>
      <c r="BD952" s="6">
        <v>0</v>
      </c>
      <c r="BE952" s="5">
        <v>0</v>
      </c>
      <c r="BF952" s="6">
        <v>2000</v>
      </c>
      <c r="BG952" s="5">
        <v>8130.5448110482657</v>
      </c>
      <c r="BH952" s="9">
        <f t="shared" si="114"/>
        <v>2000</v>
      </c>
      <c r="BI952" s="10">
        <f t="shared" si="115"/>
        <v>8130.5448110482657</v>
      </c>
      <c r="BJ952" s="6">
        <f t="shared" si="116"/>
        <v>104.00772140322101</v>
      </c>
      <c r="BK952" s="11">
        <f t="shared" si="117"/>
        <v>5.4856616547086873E-2</v>
      </c>
      <c r="BL952" s="5">
        <f t="shared" si="118"/>
        <v>736.17492452082934</v>
      </c>
      <c r="BM952" s="11">
        <f t="shared" si="119"/>
        <v>9.9558844880365288E-2</v>
      </c>
    </row>
    <row r="953" spans="1:65" ht="15" customHeight="1" x14ac:dyDescent="0.4">
      <c r="A953" s="2" t="s">
        <v>654</v>
      </c>
      <c r="B953" s="2" t="s">
        <v>723</v>
      </c>
      <c r="C953" s="2" t="s">
        <v>731</v>
      </c>
      <c r="D953" s="3" t="s">
        <v>68</v>
      </c>
      <c r="E953" s="3" t="s">
        <v>732</v>
      </c>
      <c r="F953" s="2" t="s">
        <v>733</v>
      </c>
      <c r="G953" s="4">
        <v>1000</v>
      </c>
      <c r="H953" s="5">
        <v>4</v>
      </c>
      <c r="I953" s="5">
        <v>4.1695101595119306</v>
      </c>
      <c r="J953" s="6">
        <v>0</v>
      </c>
      <c r="K953" s="5">
        <v>0</v>
      </c>
      <c r="L953" s="6">
        <v>0</v>
      </c>
      <c r="M953" s="5">
        <v>0</v>
      </c>
      <c r="N953" s="6">
        <v>0</v>
      </c>
      <c r="O953" s="5">
        <v>0</v>
      </c>
      <c r="P953" s="6">
        <v>0</v>
      </c>
      <c r="Q953" s="5">
        <v>0</v>
      </c>
      <c r="R953" s="6">
        <v>0</v>
      </c>
      <c r="S953" s="5">
        <v>0</v>
      </c>
      <c r="T953" s="6">
        <v>0</v>
      </c>
      <c r="U953" s="5">
        <v>0</v>
      </c>
      <c r="V953" s="6">
        <v>0</v>
      </c>
      <c r="W953" s="5">
        <v>0</v>
      </c>
      <c r="X953" s="6">
        <v>0</v>
      </c>
      <c r="Y953" s="5">
        <v>0</v>
      </c>
      <c r="Z953" s="6">
        <v>0</v>
      </c>
      <c r="AA953" s="5">
        <v>0</v>
      </c>
      <c r="AB953" s="6">
        <v>0</v>
      </c>
      <c r="AC953" s="5">
        <v>0</v>
      </c>
      <c r="AD953" s="6">
        <v>0</v>
      </c>
      <c r="AE953" s="5">
        <v>0</v>
      </c>
      <c r="AF953" s="6">
        <v>1895.992278596779</v>
      </c>
      <c r="AG953" s="5">
        <v>7583.969114387115</v>
      </c>
      <c r="AH953" s="7">
        <f t="shared" si="112"/>
        <v>1895.992278596779</v>
      </c>
      <c r="AI953" s="8">
        <f t="shared" si="113"/>
        <v>7583.969114387115</v>
      </c>
      <c r="AJ953" s="6">
        <v>0</v>
      </c>
      <c r="AK953" s="5">
        <v>0</v>
      </c>
      <c r="AL953" s="6">
        <v>0</v>
      </c>
      <c r="AM953" s="5">
        <v>0</v>
      </c>
      <c r="AN953" s="6">
        <v>0</v>
      </c>
      <c r="AO953" s="5">
        <v>0</v>
      </c>
      <c r="AP953" s="6">
        <v>0</v>
      </c>
      <c r="AQ953" s="5">
        <v>0</v>
      </c>
      <c r="AR953" s="6">
        <v>0</v>
      </c>
      <c r="AS953" s="5">
        <v>0</v>
      </c>
      <c r="AT953" s="6">
        <v>0</v>
      </c>
      <c r="AU953" s="5">
        <v>0</v>
      </c>
      <c r="AV953" s="6">
        <v>0</v>
      </c>
      <c r="AW953" s="5">
        <v>0</v>
      </c>
      <c r="AX953" s="6">
        <v>0</v>
      </c>
      <c r="AY953" s="5">
        <v>0</v>
      </c>
      <c r="AZ953" s="6">
        <v>0</v>
      </c>
      <c r="BA953" s="5">
        <v>0</v>
      </c>
      <c r="BB953" s="6">
        <v>0</v>
      </c>
      <c r="BC953" s="5">
        <v>0</v>
      </c>
      <c r="BD953" s="6">
        <v>0</v>
      </c>
      <c r="BE953" s="5">
        <v>0</v>
      </c>
      <c r="BF953" s="6">
        <v>2000</v>
      </c>
      <c r="BG953" s="5">
        <v>8339.0203190238626</v>
      </c>
      <c r="BH953" s="9">
        <f t="shared" si="114"/>
        <v>2000</v>
      </c>
      <c r="BI953" s="10">
        <f t="shared" si="115"/>
        <v>8339.0203190238626</v>
      </c>
      <c r="BJ953" s="6">
        <f t="shared" si="116"/>
        <v>104.00772140322101</v>
      </c>
      <c r="BK953" s="11">
        <f t="shared" si="117"/>
        <v>5.4856616547086873E-2</v>
      </c>
      <c r="BL953" s="5">
        <f t="shared" si="118"/>
        <v>755.05120463674757</v>
      </c>
      <c r="BM953" s="11">
        <f t="shared" si="119"/>
        <v>9.9558844880365219E-2</v>
      </c>
    </row>
    <row r="954" spans="1:65" ht="15" customHeight="1" x14ac:dyDescent="0.4">
      <c r="A954" s="2" t="s">
        <v>654</v>
      </c>
      <c r="B954" s="2" t="s">
        <v>723</v>
      </c>
      <c r="C954" s="2" t="s">
        <v>731</v>
      </c>
      <c r="D954" s="3" t="s">
        <v>68</v>
      </c>
      <c r="E954" s="3" t="s">
        <v>734</v>
      </c>
      <c r="F954" s="2" t="s">
        <v>735</v>
      </c>
      <c r="G954" s="4">
        <v>1000</v>
      </c>
      <c r="H954" s="5">
        <v>4.37</v>
      </c>
      <c r="I954" s="5">
        <v>4.5551898492667853</v>
      </c>
      <c r="J954" s="6">
        <v>0</v>
      </c>
      <c r="K954" s="5">
        <v>0</v>
      </c>
      <c r="L954" s="6">
        <v>0</v>
      </c>
      <c r="M954" s="5">
        <v>0</v>
      </c>
      <c r="N954" s="6">
        <v>0</v>
      </c>
      <c r="O954" s="5">
        <v>0</v>
      </c>
      <c r="P954" s="6">
        <v>1978.4713483864259</v>
      </c>
      <c r="Q954" s="5">
        <v>8645.9197924486834</v>
      </c>
      <c r="R954" s="6">
        <v>0</v>
      </c>
      <c r="S954" s="5">
        <v>0</v>
      </c>
      <c r="T954" s="6">
        <v>0</v>
      </c>
      <c r="U954" s="5">
        <v>0</v>
      </c>
      <c r="V954" s="6">
        <v>1978.4713483864259</v>
      </c>
      <c r="W954" s="5">
        <v>8645.9197924486834</v>
      </c>
      <c r="X954" s="6">
        <v>0</v>
      </c>
      <c r="Y954" s="5">
        <v>0</v>
      </c>
      <c r="Z954" s="6">
        <v>0</v>
      </c>
      <c r="AA954" s="5">
        <v>0</v>
      </c>
      <c r="AB954" s="6">
        <v>0</v>
      </c>
      <c r="AC954" s="5">
        <v>0</v>
      </c>
      <c r="AD954" s="6">
        <v>0</v>
      </c>
      <c r="AE954" s="5">
        <v>0</v>
      </c>
      <c r="AF954" s="6">
        <v>0</v>
      </c>
      <c r="AG954" s="5">
        <v>0</v>
      </c>
      <c r="AH954" s="7">
        <f t="shared" si="112"/>
        <v>3956.9426967728518</v>
      </c>
      <c r="AI954" s="8">
        <f t="shared" si="113"/>
        <v>17291.839584897367</v>
      </c>
      <c r="AJ954" s="6">
        <v>0</v>
      </c>
      <c r="AK954" s="5">
        <v>0</v>
      </c>
      <c r="AL954" s="6">
        <v>0</v>
      </c>
      <c r="AM954" s="5">
        <v>0</v>
      </c>
      <c r="AN954" s="6">
        <v>0</v>
      </c>
      <c r="AO954" s="5">
        <v>0</v>
      </c>
      <c r="AP954" s="6">
        <v>2000</v>
      </c>
      <c r="AQ954" s="5">
        <v>9110.3796985335703</v>
      </c>
      <c r="AR954" s="6">
        <v>0</v>
      </c>
      <c r="AS954" s="5">
        <v>0</v>
      </c>
      <c r="AT954" s="6">
        <v>0</v>
      </c>
      <c r="AU954" s="5">
        <v>0</v>
      </c>
      <c r="AV954" s="6">
        <v>2000</v>
      </c>
      <c r="AW954" s="5">
        <v>9110.3796985335703</v>
      </c>
      <c r="AX954" s="6">
        <v>0</v>
      </c>
      <c r="AY954" s="5">
        <v>0</v>
      </c>
      <c r="AZ954" s="6">
        <v>0</v>
      </c>
      <c r="BA954" s="5">
        <v>0</v>
      </c>
      <c r="BB954" s="6">
        <v>0</v>
      </c>
      <c r="BC954" s="5">
        <v>0</v>
      </c>
      <c r="BD954" s="6">
        <v>0</v>
      </c>
      <c r="BE954" s="5">
        <v>0</v>
      </c>
      <c r="BF954" s="6">
        <v>0</v>
      </c>
      <c r="BG954" s="5">
        <v>0</v>
      </c>
      <c r="BH954" s="9">
        <f t="shared" si="114"/>
        <v>4000</v>
      </c>
      <c r="BI954" s="10">
        <f t="shared" si="115"/>
        <v>18220.759397067141</v>
      </c>
      <c r="BJ954" s="6">
        <f t="shared" si="116"/>
        <v>43.057303227148168</v>
      </c>
      <c r="BK954" s="11">
        <f t="shared" si="117"/>
        <v>1.0881457359052544E-2</v>
      </c>
      <c r="BL954" s="5">
        <f t="shared" si="118"/>
        <v>928.91981216977365</v>
      </c>
      <c r="BM954" s="11">
        <f t="shared" si="119"/>
        <v>5.3720126630198962E-2</v>
      </c>
    </row>
    <row r="955" spans="1:65" ht="15" customHeight="1" x14ac:dyDescent="0.4">
      <c r="A955" s="2" t="s">
        <v>654</v>
      </c>
      <c r="B955" s="2" t="s">
        <v>723</v>
      </c>
      <c r="C955" s="2" t="s">
        <v>731</v>
      </c>
      <c r="D955" s="3" t="s">
        <v>68</v>
      </c>
      <c r="E955" s="3" t="s">
        <v>725</v>
      </c>
      <c r="F955" s="2" t="s">
        <v>308</v>
      </c>
      <c r="G955" s="4">
        <v>5</v>
      </c>
      <c r="H955" s="5">
        <v>2.0499999999999998</v>
      </c>
      <c r="I955" s="5">
        <v>2.137559181683887</v>
      </c>
      <c r="J955" s="6">
        <v>0</v>
      </c>
      <c r="K955" s="5">
        <v>0</v>
      </c>
      <c r="L955" s="6">
        <v>19586.866349025619</v>
      </c>
      <c r="M955" s="5">
        <v>40153.076015502527</v>
      </c>
      <c r="N955" s="6">
        <v>0</v>
      </c>
      <c r="O955" s="5">
        <v>0</v>
      </c>
      <c r="P955" s="6">
        <v>0</v>
      </c>
      <c r="Q955" s="5">
        <v>0</v>
      </c>
      <c r="R955" s="6">
        <v>8705.2739329002761</v>
      </c>
      <c r="S955" s="5">
        <v>17845.811562445571</v>
      </c>
      <c r="T955" s="6">
        <v>0</v>
      </c>
      <c r="U955" s="5">
        <v>0</v>
      </c>
      <c r="V955" s="6">
        <v>0</v>
      </c>
      <c r="W955" s="5">
        <v>0</v>
      </c>
      <c r="X955" s="6">
        <v>0</v>
      </c>
      <c r="Y955" s="5">
        <v>0</v>
      </c>
      <c r="Z955" s="6">
        <v>0</v>
      </c>
      <c r="AA955" s="5">
        <v>0</v>
      </c>
      <c r="AB955" s="6">
        <v>0</v>
      </c>
      <c r="AC955" s="5">
        <v>0</v>
      </c>
      <c r="AD955" s="6">
        <v>0</v>
      </c>
      <c r="AE955" s="5">
        <v>0</v>
      </c>
      <c r="AF955" s="6">
        <v>0</v>
      </c>
      <c r="AG955" s="5">
        <v>0</v>
      </c>
      <c r="AH955" s="7">
        <f t="shared" si="112"/>
        <v>28292.140281925895</v>
      </c>
      <c r="AI955" s="8">
        <f t="shared" si="113"/>
        <v>57998.887577948102</v>
      </c>
      <c r="AJ955" s="6">
        <v>0</v>
      </c>
      <c r="AK955" s="5">
        <v>0</v>
      </c>
      <c r="AL955" s="6">
        <v>21585</v>
      </c>
      <c r="AM955" s="5">
        <v>46145.793096013331</v>
      </c>
      <c r="AN955" s="6">
        <v>0</v>
      </c>
      <c r="AO955" s="5">
        <v>0</v>
      </c>
      <c r="AP955" s="6">
        <v>0</v>
      </c>
      <c r="AQ955" s="5">
        <v>0</v>
      </c>
      <c r="AR955" s="6">
        <v>9600</v>
      </c>
      <c r="AS955" s="5">
        <v>20513.9899847987</v>
      </c>
      <c r="AT955" s="6">
        <v>0</v>
      </c>
      <c r="AU955" s="5">
        <v>0</v>
      </c>
      <c r="AV955" s="6">
        <v>0</v>
      </c>
      <c r="AW955" s="5">
        <v>0</v>
      </c>
      <c r="AX955" s="6">
        <v>0</v>
      </c>
      <c r="AY955" s="5">
        <v>0</v>
      </c>
      <c r="AZ955" s="6">
        <v>0</v>
      </c>
      <c r="BA955" s="5">
        <v>0</v>
      </c>
      <c r="BB955" s="6">
        <v>0</v>
      </c>
      <c r="BC955" s="5">
        <v>0</v>
      </c>
      <c r="BD955" s="6">
        <v>0</v>
      </c>
      <c r="BE955" s="5">
        <v>0</v>
      </c>
      <c r="BF955" s="6">
        <v>0</v>
      </c>
      <c r="BG955" s="5">
        <v>0</v>
      </c>
      <c r="BH955" s="9">
        <f t="shared" si="114"/>
        <v>31185</v>
      </c>
      <c r="BI955" s="10">
        <f t="shared" si="115"/>
        <v>66659.783080812034</v>
      </c>
      <c r="BJ955" s="6">
        <f t="shared" si="116"/>
        <v>2892.8597180741053</v>
      </c>
      <c r="BK955" s="11">
        <f t="shared" si="117"/>
        <v>0.10224958908188983</v>
      </c>
      <c r="BL955" s="5">
        <f t="shared" si="118"/>
        <v>8660.8955028639321</v>
      </c>
      <c r="BM955" s="11">
        <f t="shared" si="119"/>
        <v>0.14932864860940734</v>
      </c>
    </row>
    <row r="956" spans="1:65" ht="15" customHeight="1" x14ac:dyDescent="0.4">
      <c r="A956" s="2" t="s">
        <v>654</v>
      </c>
      <c r="B956" s="2" t="s">
        <v>723</v>
      </c>
      <c r="C956" s="2" t="s">
        <v>731</v>
      </c>
      <c r="D956" s="3" t="s">
        <v>68</v>
      </c>
      <c r="E956" s="3" t="s">
        <v>725</v>
      </c>
      <c r="F956" s="2" t="s">
        <v>115</v>
      </c>
      <c r="G956" s="4">
        <v>5</v>
      </c>
      <c r="H956" s="5">
        <v>2.0499999999999998</v>
      </c>
      <c r="I956" s="5">
        <v>2.1375866638145689</v>
      </c>
      <c r="J956" s="6">
        <v>0</v>
      </c>
      <c r="K956" s="5">
        <v>0</v>
      </c>
      <c r="L956" s="6">
        <v>0</v>
      </c>
      <c r="M956" s="5">
        <v>0</v>
      </c>
      <c r="N956" s="6">
        <v>0</v>
      </c>
      <c r="O956" s="5">
        <v>0</v>
      </c>
      <c r="P956" s="6">
        <v>10881.59241612535</v>
      </c>
      <c r="Q956" s="5">
        <v>22307.26445305696</v>
      </c>
      <c r="R956" s="6">
        <v>0</v>
      </c>
      <c r="S956" s="5">
        <v>0</v>
      </c>
      <c r="T956" s="6">
        <v>0</v>
      </c>
      <c r="U956" s="5">
        <v>0</v>
      </c>
      <c r="V956" s="6">
        <v>43526.369664501377</v>
      </c>
      <c r="W956" s="5">
        <v>89229.057812227838</v>
      </c>
      <c r="X956" s="6">
        <v>0</v>
      </c>
      <c r="Y956" s="5">
        <v>0</v>
      </c>
      <c r="Z956" s="6">
        <v>0</v>
      </c>
      <c r="AA956" s="5">
        <v>0</v>
      </c>
      <c r="AB956" s="6">
        <v>0</v>
      </c>
      <c r="AC956" s="5">
        <v>0</v>
      </c>
      <c r="AD956" s="6">
        <v>0</v>
      </c>
      <c r="AE956" s="5">
        <v>0</v>
      </c>
      <c r="AF956" s="6">
        <v>0</v>
      </c>
      <c r="AG956" s="5">
        <v>0</v>
      </c>
      <c r="AH956" s="7">
        <f t="shared" si="112"/>
        <v>54407.962080626727</v>
      </c>
      <c r="AI956" s="8">
        <f t="shared" si="113"/>
        <v>111536.32226528481</v>
      </c>
      <c r="AJ956" s="6">
        <v>0</v>
      </c>
      <c r="AK956" s="5">
        <v>0</v>
      </c>
      <c r="AL956" s="6">
        <v>0</v>
      </c>
      <c r="AM956" s="5">
        <v>0</v>
      </c>
      <c r="AN956" s="6">
        <v>0</v>
      </c>
      <c r="AO956" s="5">
        <v>0</v>
      </c>
      <c r="AP956" s="6">
        <v>11995</v>
      </c>
      <c r="AQ956" s="5">
        <v>25631.80311121462</v>
      </c>
      <c r="AR956" s="6">
        <v>0</v>
      </c>
      <c r="AS956" s="5">
        <v>0</v>
      </c>
      <c r="AT956" s="6">
        <v>0</v>
      </c>
      <c r="AU956" s="5">
        <v>0</v>
      </c>
      <c r="AV956" s="6">
        <v>47970</v>
      </c>
      <c r="AW956" s="5">
        <v>102548.581184426</v>
      </c>
      <c r="AX956" s="6">
        <v>0</v>
      </c>
      <c r="AY956" s="5">
        <v>0</v>
      </c>
      <c r="AZ956" s="6">
        <v>0</v>
      </c>
      <c r="BA956" s="5">
        <v>0</v>
      </c>
      <c r="BB956" s="6">
        <v>0</v>
      </c>
      <c r="BC956" s="5">
        <v>0</v>
      </c>
      <c r="BD956" s="6">
        <v>0</v>
      </c>
      <c r="BE956" s="5">
        <v>0</v>
      </c>
      <c r="BF956" s="6">
        <v>0</v>
      </c>
      <c r="BG956" s="5">
        <v>0</v>
      </c>
      <c r="BH956" s="9">
        <f t="shared" si="114"/>
        <v>59965</v>
      </c>
      <c r="BI956" s="10">
        <f t="shared" si="115"/>
        <v>128180.38429564063</v>
      </c>
      <c r="BJ956" s="6">
        <f t="shared" si="116"/>
        <v>5557.0379193732733</v>
      </c>
      <c r="BK956" s="11">
        <f t="shared" si="117"/>
        <v>0.1021364834642831</v>
      </c>
      <c r="BL956" s="5">
        <f t="shared" si="118"/>
        <v>16644.062030355824</v>
      </c>
      <c r="BM956" s="11">
        <f t="shared" si="119"/>
        <v>0.1492254871984085</v>
      </c>
    </row>
    <row r="957" spans="1:65" ht="15" customHeight="1" x14ac:dyDescent="0.4">
      <c r="A957" s="2" t="s">
        <v>654</v>
      </c>
      <c r="B957" s="2" t="s">
        <v>723</v>
      </c>
      <c r="C957" s="2" t="s">
        <v>731</v>
      </c>
      <c r="D957" s="3" t="s">
        <v>68</v>
      </c>
      <c r="E957" s="3" t="s">
        <v>736</v>
      </c>
      <c r="F957" s="2" t="s">
        <v>148</v>
      </c>
      <c r="G957" s="4">
        <v>5</v>
      </c>
      <c r="H957" s="5">
        <v>2.8</v>
      </c>
      <c r="I957" s="5">
        <v>2.918657111658352</v>
      </c>
      <c r="J957" s="6">
        <v>0</v>
      </c>
      <c r="K957" s="5">
        <v>0</v>
      </c>
      <c r="L957" s="6">
        <v>0</v>
      </c>
      <c r="M957" s="5">
        <v>0</v>
      </c>
      <c r="N957" s="6">
        <v>0</v>
      </c>
      <c r="O957" s="5">
        <v>0</v>
      </c>
      <c r="P957" s="6">
        <v>5440.796208062673</v>
      </c>
      <c r="Q957" s="5">
        <v>15234.22938257548</v>
      </c>
      <c r="R957" s="6">
        <v>0</v>
      </c>
      <c r="S957" s="5">
        <v>0</v>
      </c>
      <c r="T957" s="6">
        <v>0</v>
      </c>
      <c r="U957" s="5">
        <v>0</v>
      </c>
      <c r="V957" s="6">
        <v>0</v>
      </c>
      <c r="W957" s="5">
        <v>0</v>
      </c>
      <c r="X957" s="6">
        <v>0</v>
      </c>
      <c r="Y957" s="5">
        <v>0</v>
      </c>
      <c r="Z957" s="6">
        <v>9479.9613929838924</v>
      </c>
      <c r="AA957" s="5">
        <v>26543.891900354902</v>
      </c>
      <c r="AB957" s="6">
        <v>0</v>
      </c>
      <c r="AC957" s="5">
        <v>0</v>
      </c>
      <c r="AD957" s="6">
        <v>0</v>
      </c>
      <c r="AE957" s="5">
        <v>0</v>
      </c>
      <c r="AF957" s="6">
        <v>9479.9613929838924</v>
      </c>
      <c r="AG957" s="5">
        <v>26543.891900354902</v>
      </c>
      <c r="AH957" s="7">
        <f t="shared" si="112"/>
        <v>24400.71899403046</v>
      </c>
      <c r="AI957" s="8">
        <f t="shared" si="113"/>
        <v>68322.013183285279</v>
      </c>
      <c r="AJ957" s="6">
        <v>0</v>
      </c>
      <c r="AK957" s="5">
        <v>0</v>
      </c>
      <c r="AL957" s="6">
        <v>0</v>
      </c>
      <c r="AM957" s="5">
        <v>0</v>
      </c>
      <c r="AN957" s="6">
        <v>0</v>
      </c>
      <c r="AO957" s="5">
        <v>0</v>
      </c>
      <c r="AP957" s="6">
        <v>6855</v>
      </c>
      <c r="AQ957" s="5">
        <v>20007.394500417999</v>
      </c>
      <c r="AR957" s="6">
        <v>0</v>
      </c>
      <c r="AS957" s="5">
        <v>0</v>
      </c>
      <c r="AT957" s="6">
        <v>0</v>
      </c>
      <c r="AU957" s="5">
        <v>0</v>
      </c>
      <c r="AV957" s="6">
        <v>0</v>
      </c>
      <c r="AW957" s="5">
        <v>0</v>
      </c>
      <c r="AX957" s="6">
        <v>0</v>
      </c>
      <c r="AY957" s="5">
        <v>0</v>
      </c>
      <c r="AZ957" s="6">
        <v>11945</v>
      </c>
      <c r="BA957" s="5">
        <v>34863.359198759012</v>
      </c>
      <c r="BB957" s="6">
        <v>0</v>
      </c>
      <c r="BC957" s="5">
        <v>0</v>
      </c>
      <c r="BD957" s="6">
        <v>0</v>
      </c>
      <c r="BE957" s="5">
        <v>0</v>
      </c>
      <c r="BF957" s="6">
        <v>11945</v>
      </c>
      <c r="BG957" s="5">
        <v>34863.359198759012</v>
      </c>
      <c r="BH957" s="9">
        <f t="shared" si="114"/>
        <v>30745</v>
      </c>
      <c r="BI957" s="10">
        <f t="shared" si="115"/>
        <v>89734.112897936022</v>
      </c>
      <c r="BJ957" s="6">
        <f t="shared" si="116"/>
        <v>6344.2810059695403</v>
      </c>
      <c r="BK957" s="11">
        <f t="shared" si="117"/>
        <v>0.26000385511269747</v>
      </c>
      <c r="BL957" s="5">
        <f t="shared" si="118"/>
        <v>21412.099714650743</v>
      </c>
      <c r="BM957" s="11">
        <f t="shared" si="119"/>
        <v>0.31339971872914796</v>
      </c>
    </row>
    <row r="958" spans="1:65" ht="15" customHeight="1" x14ac:dyDescent="0.4">
      <c r="A958" s="2" t="s">
        <v>654</v>
      </c>
      <c r="B958" s="2" t="s">
        <v>723</v>
      </c>
      <c r="C958" s="2" t="s">
        <v>731</v>
      </c>
      <c r="D958" s="3" t="s">
        <v>68</v>
      </c>
      <c r="E958" s="3" t="s">
        <v>736</v>
      </c>
      <c r="F958" s="2" t="s">
        <v>737</v>
      </c>
      <c r="G958" s="4">
        <v>5</v>
      </c>
      <c r="H958" s="5">
        <v>2.8</v>
      </c>
      <c r="I958" s="5">
        <v>2.9195510342040349</v>
      </c>
      <c r="J958" s="6">
        <v>0</v>
      </c>
      <c r="K958" s="5">
        <v>0</v>
      </c>
      <c r="L958" s="6">
        <v>0</v>
      </c>
      <c r="M958" s="5">
        <v>0</v>
      </c>
      <c r="N958" s="6">
        <v>0</v>
      </c>
      <c r="O958" s="5">
        <v>0</v>
      </c>
      <c r="P958" s="6">
        <v>0</v>
      </c>
      <c r="Q958" s="5">
        <v>0</v>
      </c>
      <c r="R958" s="6">
        <v>12958.98733193109</v>
      </c>
      <c r="S958" s="5">
        <v>36285.164529407062</v>
      </c>
      <c r="T958" s="6">
        <v>0</v>
      </c>
      <c r="U958" s="5">
        <v>0</v>
      </c>
      <c r="V958" s="6">
        <v>0</v>
      </c>
      <c r="W958" s="5">
        <v>0</v>
      </c>
      <c r="X958" s="6">
        <v>0</v>
      </c>
      <c r="Y958" s="5">
        <v>0</v>
      </c>
      <c r="Z958" s="6">
        <v>0</v>
      </c>
      <c r="AA958" s="5">
        <v>0</v>
      </c>
      <c r="AB958" s="6">
        <v>0</v>
      </c>
      <c r="AC958" s="5">
        <v>0</v>
      </c>
      <c r="AD958" s="6">
        <v>0</v>
      </c>
      <c r="AE958" s="5">
        <v>0</v>
      </c>
      <c r="AF958" s="6">
        <v>0</v>
      </c>
      <c r="AG958" s="5">
        <v>0</v>
      </c>
      <c r="AH958" s="7">
        <f t="shared" si="112"/>
        <v>12958.98733193109</v>
      </c>
      <c r="AI958" s="8">
        <f t="shared" si="113"/>
        <v>36285.164529407062</v>
      </c>
      <c r="AJ958" s="6">
        <v>0</v>
      </c>
      <c r="AK958" s="5">
        <v>0</v>
      </c>
      <c r="AL958" s="6">
        <v>0</v>
      </c>
      <c r="AM958" s="5">
        <v>0</v>
      </c>
      <c r="AN958" s="6">
        <v>0</v>
      </c>
      <c r="AO958" s="5">
        <v>0</v>
      </c>
      <c r="AP958" s="6">
        <v>0</v>
      </c>
      <c r="AQ958" s="5">
        <v>0</v>
      </c>
      <c r="AR958" s="6">
        <v>16325</v>
      </c>
      <c r="AS958" s="5">
        <v>47661.670633380883</v>
      </c>
      <c r="AT958" s="6">
        <v>0</v>
      </c>
      <c r="AU958" s="5">
        <v>0</v>
      </c>
      <c r="AV958" s="6">
        <v>0</v>
      </c>
      <c r="AW958" s="5">
        <v>0</v>
      </c>
      <c r="AX958" s="6">
        <v>0</v>
      </c>
      <c r="AY958" s="5">
        <v>0</v>
      </c>
      <c r="AZ958" s="6">
        <v>0</v>
      </c>
      <c r="BA958" s="5">
        <v>0</v>
      </c>
      <c r="BB958" s="6">
        <v>0</v>
      </c>
      <c r="BC958" s="5">
        <v>0</v>
      </c>
      <c r="BD958" s="6">
        <v>0</v>
      </c>
      <c r="BE958" s="5">
        <v>0</v>
      </c>
      <c r="BF958" s="6">
        <v>0</v>
      </c>
      <c r="BG958" s="5">
        <v>0</v>
      </c>
      <c r="BH958" s="9">
        <f t="shared" si="114"/>
        <v>16325</v>
      </c>
      <c r="BI958" s="10">
        <f t="shared" si="115"/>
        <v>47661.670633380883</v>
      </c>
      <c r="BJ958" s="6">
        <f t="shared" si="116"/>
        <v>3366.01266806891</v>
      </c>
      <c r="BK958" s="11">
        <f t="shared" si="117"/>
        <v>0.25974349552568948</v>
      </c>
      <c r="BL958" s="5">
        <f t="shared" si="118"/>
        <v>11376.506103973821</v>
      </c>
      <c r="BM958" s="11">
        <f t="shared" si="119"/>
        <v>0.31353050899779744</v>
      </c>
    </row>
    <row r="959" spans="1:65" ht="15" customHeight="1" x14ac:dyDescent="0.4">
      <c r="A959" s="2" t="s">
        <v>654</v>
      </c>
      <c r="B959" s="2" t="s">
        <v>723</v>
      </c>
      <c r="C959" s="2" t="s">
        <v>731</v>
      </c>
      <c r="D959" s="3" t="s">
        <v>68</v>
      </c>
      <c r="E959" s="3" t="s">
        <v>738</v>
      </c>
      <c r="F959" s="2" t="s">
        <v>739</v>
      </c>
      <c r="G959" s="4">
        <v>1000</v>
      </c>
      <c r="H959" s="5">
        <v>2.4300000000000002</v>
      </c>
      <c r="I959" s="5">
        <v>2.5329774219034982</v>
      </c>
      <c r="J959" s="6">
        <v>0</v>
      </c>
      <c r="K959" s="5">
        <v>0</v>
      </c>
      <c r="L959" s="6">
        <v>0</v>
      </c>
      <c r="M959" s="5">
        <v>0</v>
      </c>
      <c r="N959" s="6">
        <v>0</v>
      </c>
      <c r="O959" s="5">
        <v>0</v>
      </c>
      <c r="P959" s="6">
        <v>0</v>
      </c>
      <c r="Q959" s="5">
        <v>0</v>
      </c>
      <c r="R959" s="6">
        <v>0</v>
      </c>
      <c r="S959" s="5">
        <v>0</v>
      </c>
      <c r="T959" s="6">
        <v>0</v>
      </c>
      <c r="U959" s="5">
        <v>0</v>
      </c>
      <c r="V959" s="6">
        <v>0</v>
      </c>
      <c r="W959" s="5">
        <v>0</v>
      </c>
      <c r="X959" s="6">
        <v>0</v>
      </c>
      <c r="Y959" s="5">
        <v>0</v>
      </c>
      <c r="Z959" s="6">
        <v>0</v>
      </c>
      <c r="AA959" s="5">
        <v>0</v>
      </c>
      <c r="AB959" s="6">
        <v>0</v>
      </c>
      <c r="AC959" s="5">
        <v>0</v>
      </c>
      <c r="AD959" s="6">
        <v>0</v>
      </c>
      <c r="AE959" s="5">
        <v>0</v>
      </c>
      <c r="AF959" s="6">
        <v>947.99613929838938</v>
      </c>
      <c r="AG959" s="5">
        <v>2303.6306184950859</v>
      </c>
      <c r="AH959" s="7">
        <f t="shared" si="112"/>
        <v>947.99613929838938</v>
      </c>
      <c r="AI959" s="8">
        <f t="shared" si="113"/>
        <v>2303.6306184950859</v>
      </c>
      <c r="AJ959" s="6">
        <v>0</v>
      </c>
      <c r="AK959" s="5">
        <v>0</v>
      </c>
      <c r="AL959" s="6">
        <v>0</v>
      </c>
      <c r="AM959" s="5">
        <v>0</v>
      </c>
      <c r="AN959" s="6">
        <v>0</v>
      </c>
      <c r="AO959" s="5">
        <v>0</v>
      </c>
      <c r="AP959" s="6">
        <v>0</v>
      </c>
      <c r="AQ959" s="5">
        <v>0</v>
      </c>
      <c r="AR959" s="6">
        <v>0</v>
      </c>
      <c r="AS959" s="5">
        <v>0</v>
      </c>
      <c r="AT959" s="6">
        <v>0</v>
      </c>
      <c r="AU959" s="5">
        <v>0</v>
      </c>
      <c r="AV959" s="6">
        <v>0</v>
      </c>
      <c r="AW959" s="5">
        <v>0</v>
      </c>
      <c r="AX959" s="6">
        <v>0</v>
      </c>
      <c r="AY959" s="5">
        <v>0</v>
      </c>
      <c r="AZ959" s="6">
        <v>0</v>
      </c>
      <c r="BA959" s="5">
        <v>0</v>
      </c>
      <c r="BB959" s="6">
        <v>0</v>
      </c>
      <c r="BC959" s="5">
        <v>0</v>
      </c>
      <c r="BD959" s="6">
        <v>0</v>
      </c>
      <c r="BE959" s="5">
        <v>0</v>
      </c>
      <c r="BF959" s="6">
        <v>1000</v>
      </c>
      <c r="BG959" s="5">
        <v>2532.977421903498</v>
      </c>
      <c r="BH959" s="9">
        <f t="shared" si="114"/>
        <v>1000</v>
      </c>
      <c r="BI959" s="10">
        <f t="shared" si="115"/>
        <v>2532.977421903498</v>
      </c>
      <c r="BJ959" s="6">
        <f t="shared" si="116"/>
        <v>52.00386070161062</v>
      </c>
      <c r="BK959" s="11">
        <f t="shared" si="117"/>
        <v>5.4856616547086998E-2</v>
      </c>
      <c r="BL959" s="5">
        <f t="shared" si="118"/>
        <v>229.34680340841214</v>
      </c>
      <c r="BM959" s="11">
        <f t="shared" si="119"/>
        <v>9.955884488036526E-2</v>
      </c>
    </row>
    <row r="960" spans="1:65" ht="15" customHeight="1" x14ac:dyDescent="0.4">
      <c r="A960" s="2" t="s">
        <v>654</v>
      </c>
      <c r="B960" s="2" t="s">
        <v>723</v>
      </c>
      <c r="C960" s="2" t="s">
        <v>731</v>
      </c>
      <c r="D960" s="3" t="s">
        <v>68</v>
      </c>
      <c r="E960" s="3" t="s">
        <v>740</v>
      </c>
      <c r="F960" s="2" t="s">
        <v>692</v>
      </c>
      <c r="G960" s="4">
        <v>1</v>
      </c>
      <c r="H960" s="5">
        <v>8.1</v>
      </c>
      <c r="I960" s="5">
        <v>8.4432580730116609</v>
      </c>
      <c r="J960" s="6">
        <v>0</v>
      </c>
      <c r="K960" s="5">
        <v>0</v>
      </c>
      <c r="L960" s="6">
        <v>0</v>
      </c>
      <c r="M960" s="5">
        <v>0</v>
      </c>
      <c r="N960" s="6">
        <v>0</v>
      </c>
      <c r="O960" s="5">
        <v>0</v>
      </c>
      <c r="P960" s="6">
        <v>0</v>
      </c>
      <c r="Q960" s="5">
        <v>0</v>
      </c>
      <c r="R960" s="6">
        <v>0</v>
      </c>
      <c r="S960" s="5">
        <v>0</v>
      </c>
      <c r="T960" s="6">
        <v>0</v>
      </c>
      <c r="U960" s="5">
        <v>0</v>
      </c>
      <c r="V960" s="6">
        <v>0</v>
      </c>
      <c r="W960" s="5">
        <v>0</v>
      </c>
      <c r="X960" s="6">
        <v>0</v>
      </c>
      <c r="Y960" s="5">
        <v>0</v>
      </c>
      <c r="Z960" s="6">
        <v>1858.0724330248429</v>
      </c>
      <c r="AA960" s="5">
        <v>15050.386707501229</v>
      </c>
      <c r="AB960" s="6">
        <v>0</v>
      </c>
      <c r="AC960" s="5">
        <v>0</v>
      </c>
      <c r="AD960" s="6">
        <v>0</v>
      </c>
      <c r="AE960" s="5">
        <v>0</v>
      </c>
      <c r="AF960" s="6">
        <v>0</v>
      </c>
      <c r="AG960" s="5">
        <v>0</v>
      </c>
      <c r="AH960" s="7">
        <f t="shared" si="112"/>
        <v>1858.0724330248429</v>
      </c>
      <c r="AI960" s="8">
        <f t="shared" si="113"/>
        <v>15050.386707501229</v>
      </c>
      <c r="AJ960" s="6">
        <v>0</v>
      </c>
      <c r="AK960" s="5">
        <v>0</v>
      </c>
      <c r="AL960" s="6">
        <v>0</v>
      </c>
      <c r="AM960" s="5">
        <v>0</v>
      </c>
      <c r="AN960" s="6">
        <v>0</v>
      </c>
      <c r="AO960" s="5">
        <v>0</v>
      </c>
      <c r="AP960" s="6">
        <v>0</v>
      </c>
      <c r="AQ960" s="5">
        <v>0</v>
      </c>
      <c r="AR960" s="6">
        <v>0</v>
      </c>
      <c r="AS960" s="5">
        <v>0</v>
      </c>
      <c r="AT960" s="6">
        <v>0</v>
      </c>
      <c r="AU960" s="5">
        <v>0</v>
      </c>
      <c r="AV960" s="6">
        <v>0</v>
      </c>
      <c r="AW960" s="5">
        <v>0</v>
      </c>
      <c r="AX960" s="6">
        <v>0</v>
      </c>
      <c r="AY960" s="5">
        <v>0</v>
      </c>
      <c r="AZ960" s="6">
        <v>2341</v>
      </c>
      <c r="BA960" s="5">
        <v>19765.6671489203</v>
      </c>
      <c r="BB960" s="6">
        <v>0</v>
      </c>
      <c r="BC960" s="5">
        <v>0</v>
      </c>
      <c r="BD960" s="6">
        <v>0</v>
      </c>
      <c r="BE960" s="5">
        <v>0</v>
      </c>
      <c r="BF960" s="6">
        <v>0</v>
      </c>
      <c r="BG960" s="5">
        <v>0</v>
      </c>
      <c r="BH960" s="9">
        <f t="shared" si="114"/>
        <v>2341</v>
      </c>
      <c r="BI960" s="10">
        <f t="shared" si="115"/>
        <v>19765.6671489203</v>
      </c>
      <c r="BJ960" s="6">
        <f t="shared" si="116"/>
        <v>482.92756697515711</v>
      </c>
      <c r="BK960" s="11">
        <f t="shared" si="117"/>
        <v>0.2599078261922097</v>
      </c>
      <c r="BL960" s="5">
        <f t="shared" si="118"/>
        <v>4715.2804414190705</v>
      </c>
      <c r="BM960" s="11">
        <f t="shared" si="119"/>
        <v>0.31329962033925268</v>
      </c>
    </row>
    <row r="961" spans="1:65" ht="15" customHeight="1" x14ac:dyDescent="0.4">
      <c r="A961" s="2" t="s">
        <v>654</v>
      </c>
      <c r="B961" s="2" t="s">
        <v>723</v>
      </c>
      <c r="C961" s="2" t="s">
        <v>731</v>
      </c>
      <c r="D961" s="3" t="s">
        <v>68</v>
      </c>
      <c r="E961" s="3" t="s">
        <v>741</v>
      </c>
      <c r="F961" s="2" t="s">
        <v>742</v>
      </c>
      <c r="G961" s="4">
        <v>1000</v>
      </c>
      <c r="H961" s="5">
        <v>7.04</v>
      </c>
      <c r="I961" s="5">
        <v>7.3383378807409994</v>
      </c>
      <c r="J961" s="6">
        <v>0</v>
      </c>
      <c r="K961" s="5">
        <v>0</v>
      </c>
      <c r="L961" s="6">
        <v>1978.4713483864259</v>
      </c>
      <c r="M961" s="5">
        <v>13928.43829264044</v>
      </c>
      <c r="N961" s="6">
        <v>0</v>
      </c>
      <c r="O961" s="5">
        <v>0</v>
      </c>
      <c r="P961" s="6">
        <v>0</v>
      </c>
      <c r="Q961" s="5">
        <v>0</v>
      </c>
      <c r="R961" s="6">
        <v>0</v>
      </c>
      <c r="S961" s="5">
        <v>0</v>
      </c>
      <c r="T961" s="6">
        <v>0</v>
      </c>
      <c r="U961" s="5">
        <v>0</v>
      </c>
      <c r="V961" s="6">
        <v>0</v>
      </c>
      <c r="W961" s="5">
        <v>0</v>
      </c>
      <c r="X961" s="6">
        <v>0</v>
      </c>
      <c r="Y961" s="5">
        <v>0</v>
      </c>
      <c r="Z961" s="6">
        <v>0</v>
      </c>
      <c r="AA961" s="5">
        <v>0</v>
      </c>
      <c r="AB961" s="6">
        <v>0</v>
      </c>
      <c r="AC961" s="5">
        <v>0</v>
      </c>
      <c r="AD961" s="6">
        <v>0</v>
      </c>
      <c r="AE961" s="5">
        <v>0</v>
      </c>
      <c r="AF961" s="6">
        <v>0</v>
      </c>
      <c r="AG961" s="5">
        <v>0</v>
      </c>
      <c r="AH961" s="7">
        <f t="shared" si="112"/>
        <v>1978.4713483864259</v>
      </c>
      <c r="AI961" s="8">
        <f t="shared" si="113"/>
        <v>13928.43829264044</v>
      </c>
      <c r="AJ961" s="6">
        <v>0</v>
      </c>
      <c r="AK961" s="5">
        <v>0</v>
      </c>
      <c r="AL961" s="6">
        <v>2000</v>
      </c>
      <c r="AM961" s="5">
        <v>14676.675761482</v>
      </c>
      <c r="AN961" s="6">
        <v>0</v>
      </c>
      <c r="AO961" s="5">
        <v>0</v>
      </c>
      <c r="AP961" s="6">
        <v>0</v>
      </c>
      <c r="AQ961" s="5">
        <v>0</v>
      </c>
      <c r="AR961" s="6">
        <v>0</v>
      </c>
      <c r="AS961" s="5">
        <v>0</v>
      </c>
      <c r="AT961" s="6">
        <v>0</v>
      </c>
      <c r="AU961" s="5">
        <v>0</v>
      </c>
      <c r="AV961" s="6">
        <v>0</v>
      </c>
      <c r="AW961" s="5">
        <v>0</v>
      </c>
      <c r="AX961" s="6">
        <v>0</v>
      </c>
      <c r="AY961" s="5">
        <v>0</v>
      </c>
      <c r="AZ961" s="6">
        <v>0</v>
      </c>
      <c r="BA961" s="5">
        <v>0</v>
      </c>
      <c r="BB961" s="6">
        <v>0</v>
      </c>
      <c r="BC961" s="5">
        <v>0</v>
      </c>
      <c r="BD961" s="6">
        <v>0</v>
      </c>
      <c r="BE961" s="5">
        <v>0</v>
      </c>
      <c r="BF961" s="6">
        <v>0</v>
      </c>
      <c r="BG961" s="5">
        <v>0</v>
      </c>
      <c r="BH961" s="9">
        <f t="shared" si="114"/>
        <v>2000</v>
      </c>
      <c r="BI961" s="10">
        <f t="shared" si="115"/>
        <v>14676.675761482</v>
      </c>
      <c r="BJ961" s="6">
        <f t="shared" si="116"/>
        <v>21.528651613574084</v>
      </c>
      <c r="BK961" s="11">
        <f t="shared" si="117"/>
        <v>1.0881457359052544E-2</v>
      </c>
      <c r="BL961" s="5">
        <f t="shared" si="118"/>
        <v>748.23746884156026</v>
      </c>
      <c r="BM961" s="11">
        <f t="shared" si="119"/>
        <v>5.3720126630199219E-2</v>
      </c>
    </row>
    <row r="962" spans="1:65" ht="15" customHeight="1" x14ac:dyDescent="0.4">
      <c r="A962" s="2" t="s">
        <v>654</v>
      </c>
      <c r="B962" s="2" t="s">
        <v>723</v>
      </c>
      <c r="C962" s="2" t="s">
        <v>731</v>
      </c>
      <c r="D962" s="3" t="s">
        <v>68</v>
      </c>
      <c r="E962" s="3" t="s">
        <v>741</v>
      </c>
      <c r="F962" s="2" t="s">
        <v>743</v>
      </c>
      <c r="G962" s="4">
        <v>1000</v>
      </c>
      <c r="H962" s="5">
        <v>7.08</v>
      </c>
      <c r="I962" s="5">
        <v>7.3800329823361173</v>
      </c>
      <c r="J962" s="6">
        <v>0</v>
      </c>
      <c r="K962" s="5">
        <v>0</v>
      </c>
      <c r="L962" s="6">
        <v>0</v>
      </c>
      <c r="M962" s="5">
        <v>0</v>
      </c>
      <c r="N962" s="6">
        <v>0</v>
      </c>
      <c r="O962" s="5">
        <v>0</v>
      </c>
      <c r="P962" s="6">
        <v>1978.4713483864259</v>
      </c>
      <c r="Q962" s="5">
        <v>14007.577146575901</v>
      </c>
      <c r="R962" s="6">
        <v>0</v>
      </c>
      <c r="S962" s="5">
        <v>0</v>
      </c>
      <c r="T962" s="6">
        <v>0</v>
      </c>
      <c r="U962" s="5">
        <v>0</v>
      </c>
      <c r="V962" s="6">
        <v>0</v>
      </c>
      <c r="W962" s="5">
        <v>0</v>
      </c>
      <c r="X962" s="6">
        <v>0</v>
      </c>
      <c r="Y962" s="5">
        <v>0</v>
      </c>
      <c r="Z962" s="6">
        <v>0</v>
      </c>
      <c r="AA962" s="5">
        <v>0</v>
      </c>
      <c r="AB962" s="6">
        <v>0</v>
      </c>
      <c r="AC962" s="5">
        <v>0</v>
      </c>
      <c r="AD962" s="6">
        <v>0</v>
      </c>
      <c r="AE962" s="5">
        <v>0</v>
      </c>
      <c r="AF962" s="6">
        <v>0</v>
      </c>
      <c r="AG962" s="5">
        <v>0</v>
      </c>
      <c r="AH962" s="7">
        <f t="shared" ref="AH962:AH1025" si="120">J962+L962+N962+P962+R962+T962+V962+X962+Z962+AB962+AD962+AF962</f>
        <v>1978.4713483864259</v>
      </c>
      <c r="AI962" s="8">
        <f t="shared" ref="AI962:AI1025" si="121">K962+M962+O962+Q962+S962+U962+W962+Y962+AA962+AC962+AE962+AG962</f>
        <v>14007.577146575901</v>
      </c>
      <c r="AJ962" s="6">
        <v>0</v>
      </c>
      <c r="AK962" s="5">
        <v>0</v>
      </c>
      <c r="AL962" s="6">
        <v>0</v>
      </c>
      <c r="AM962" s="5">
        <v>0</v>
      </c>
      <c r="AN962" s="6">
        <v>0</v>
      </c>
      <c r="AO962" s="5">
        <v>0</v>
      </c>
      <c r="AP962" s="6">
        <v>2000</v>
      </c>
      <c r="AQ962" s="5">
        <v>14760.065964672231</v>
      </c>
      <c r="AR962" s="6">
        <v>0</v>
      </c>
      <c r="AS962" s="5">
        <v>0</v>
      </c>
      <c r="AT962" s="6">
        <v>0</v>
      </c>
      <c r="AU962" s="5">
        <v>0</v>
      </c>
      <c r="AV962" s="6">
        <v>0</v>
      </c>
      <c r="AW962" s="5">
        <v>0</v>
      </c>
      <c r="AX962" s="6">
        <v>0</v>
      </c>
      <c r="AY962" s="5">
        <v>0</v>
      </c>
      <c r="AZ962" s="6">
        <v>0</v>
      </c>
      <c r="BA962" s="5">
        <v>0</v>
      </c>
      <c r="BB962" s="6">
        <v>0</v>
      </c>
      <c r="BC962" s="5">
        <v>0</v>
      </c>
      <c r="BD962" s="6">
        <v>0</v>
      </c>
      <c r="BE962" s="5">
        <v>0</v>
      </c>
      <c r="BF962" s="6">
        <v>0</v>
      </c>
      <c r="BG962" s="5">
        <v>0</v>
      </c>
      <c r="BH962" s="9">
        <f t="shared" ref="BH962:BH1025" si="122">AJ962+AL962+AN962+AP962+AR962+AT962+AV962+AX962+AZ962+BB962+BD962+BF962</f>
        <v>2000</v>
      </c>
      <c r="BI962" s="10">
        <f t="shared" ref="BI962:BI1025" si="123">AK962+AM962+AO962+AQ962+AS962+AU962+AW962+AY962+BA962+BC962+BE962+BG962</f>
        <v>14760.065964672231</v>
      </c>
      <c r="BJ962" s="6">
        <f t="shared" ref="BJ962:BJ1025" si="124">BH962-AH962</f>
        <v>21.528651613574084</v>
      </c>
      <c r="BK962" s="11">
        <f t="shared" ref="BK962:BK1025" si="125">IF(AH962&gt;0, BJ962/AH962, 0)</f>
        <v>1.0881457359052544E-2</v>
      </c>
      <c r="BL962" s="5">
        <f t="shared" ref="BL962:BL1025" si="126">BI962-AI962</f>
        <v>752.48881809632985</v>
      </c>
      <c r="BM962" s="11">
        <f t="shared" ref="BM962:BM1025" si="127">IF(AI962&gt;0, BL962/AI962, 0)</f>
        <v>5.3720126630198352E-2</v>
      </c>
    </row>
    <row r="963" spans="1:65" ht="15" customHeight="1" x14ac:dyDescent="0.4">
      <c r="A963" s="2" t="s">
        <v>654</v>
      </c>
      <c r="B963" s="2" t="s">
        <v>723</v>
      </c>
      <c r="C963" s="2" t="s">
        <v>731</v>
      </c>
      <c r="D963" s="3" t="s">
        <v>68</v>
      </c>
      <c r="E963" s="3" t="s">
        <v>744</v>
      </c>
      <c r="F963" s="2" t="s">
        <v>450</v>
      </c>
      <c r="G963" s="4">
        <v>5</v>
      </c>
      <c r="H963" s="5">
        <v>2.08</v>
      </c>
      <c r="I963" s="5">
        <v>2.1686037292281921</v>
      </c>
      <c r="J963" s="6">
        <v>0</v>
      </c>
      <c r="K963" s="5">
        <v>0</v>
      </c>
      <c r="L963" s="6">
        <v>0</v>
      </c>
      <c r="M963" s="5">
        <v>0</v>
      </c>
      <c r="N963" s="6">
        <v>0</v>
      </c>
      <c r="O963" s="5">
        <v>0</v>
      </c>
      <c r="P963" s="6">
        <v>0</v>
      </c>
      <c r="Q963" s="5">
        <v>0</v>
      </c>
      <c r="R963" s="6">
        <v>65289.554496752076</v>
      </c>
      <c r="S963" s="5">
        <v>135802.27335324429</v>
      </c>
      <c r="T963" s="6">
        <v>0</v>
      </c>
      <c r="U963" s="5">
        <v>0</v>
      </c>
      <c r="V963" s="6">
        <v>0</v>
      </c>
      <c r="W963" s="5">
        <v>0</v>
      </c>
      <c r="X963" s="6">
        <v>0</v>
      </c>
      <c r="Y963" s="5">
        <v>0</v>
      </c>
      <c r="Z963" s="6">
        <v>0</v>
      </c>
      <c r="AA963" s="5">
        <v>0</v>
      </c>
      <c r="AB963" s="6">
        <v>0</v>
      </c>
      <c r="AC963" s="5">
        <v>0</v>
      </c>
      <c r="AD963" s="6">
        <v>0</v>
      </c>
      <c r="AE963" s="5">
        <v>0</v>
      </c>
      <c r="AF963" s="6">
        <v>0</v>
      </c>
      <c r="AG963" s="5">
        <v>0</v>
      </c>
      <c r="AH963" s="7">
        <f t="shared" si="120"/>
        <v>65289.554496752076</v>
      </c>
      <c r="AI963" s="8">
        <f t="shared" si="121"/>
        <v>135802.27335324429</v>
      </c>
      <c r="AJ963" s="6">
        <v>0</v>
      </c>
      <c r="AK963" s="5">
        <v>0</v>
      </c>
      <c r="AL963" s="6">
        <v>0</v>
      </c>
      <c r="AM963" s="5">
        <v>0</v>
      </c>
      <c r="AN963" s="6">
        <v>0</v>
      </c>
      <c r="AO963" s="5">
        <v>0</v>
      </c>
      <c r="AP963" s="6">
        <v>0</v>
      </c>
      <c r="AQ963" s="5">
        <v>0</v>
      </c>
      <c r="AR963" s="6">
        <v>70940</v>
      </c>
      <c r="AS963" s="5">
        <v>153840.7485514479</v>
      </c>
      <c r="AT963" s="6">
        <v>0</v>
      </c>
      <c r="AU963" s="5">
        <v>0</v>
      </c>
      <c r="AV963" s="6">
        <v>0</v>
      </c>
      <c r="AW963" s="5">
        <v>0</v>
      </c>
      <c r="AX963" s="6">
        <v>0</v>
      </c>
      <c r="AY963" s="5">
        <v>0</v>
      </c>
      <c r="AZ963" s="6">
        <v>0</v>
      </c>
      <c r="BA963" s="5">
        <v>0</v>
      </c>
      <c r="BB963" s="6">
        <v>0</v>
      </c>
      <c r="BC963" s="5">
        <v>0</v>
      </c>
      <c r="BD963" s="6">
        <v>0</v>
      </c>
      <c r="BE963" s="5">
        <v>0</v>
      </c>
      <c r="BF963" s="6">
        <v>0</v>
      </c>
      <c r="BG963" s="5">
        <v>0</v>
      </c>
      <c r="BH963" s="9">
        <f t="shared" si="122"/>
        <v>70940</v>
      </c>
      <c r="BI963" s="10">
        <f t="shared" si="123"/>
        <v>153840.7485514479</v>
      </c>
      <c r="BJ963" s="6">
        <f t="shared" si="124"/>
        <v>5650.4455032479236</v>
      </c>
      <c r="BK963" s="11">
        <f t="shared" si="125"/>
        <v>8.6544402803805515E-2</v>
      </c>
      <c r="BL963" s="5">
        <f t="shared" si="126"/>
        <v>18038.47519820361</v>
      </c>
      <c r="BM963" s="11">
        <f t="shared" si="127"/>
        <v>0.13282896340978428</v>
      </c>
    </row>
    <row r="964" spans="1:65" ht="15" customHeight="1" x14ac:dyDescent="0.4">
      <c r="A964" s="2" t="s">
        <v>745</v>
      </c>
      <c r="B964" s="2" t="s">
        <v>66</v>
      </c>
      <c r="C964" s="2" t="s">
        <v>746</v>
      </c>
      <c r="D964" s="3" t="s">
        <v>68</v>
      </c>
      <c r="E964" s="3" t="s">
        <v>82</v>
      </c>
      <c r="F964" s="2" t="s">
        <v>83</v>
      </c>
      <c r="G964" s="4">
        <v>20</v>
      </c>
      <c r="H964" s="5">
        <v>3.04</v>
      </c>
      <c r="I964" s="5">
        <v>3.168827721229067</v>
      </c>
      <c r="J964" s="6">
        <v>0</v>
      </c>
      <c r="K964" s="5">
        <v>0</v>
      </c>
      <c r="L964" s="6">
        <v>0</v>
      </c>
      <c r="M964" s="5">
        <v>0</v>
      </c>
      <c r="N964" s="6">
        <v>0</v>
      </c>
      <c r="O964" s="5">
        <v>0</v>
      </c>
      <c r="P964" s="6">
        <v>0</v>
      </c>
      <c r="Q964" s="5">
        <v>0</v>
      </c>
      <c r="R964" s="6">
        <v>0</v>
      </c>
      <c r="S964" s="5">
        <v>0</v>
      </c>
      <c r="T964" s="6">
        <v>197.84713483864269</v>
      </c>
      <c r="U964" s="5">
        <v>601.45528990947366</v>
      </c>
      <c r="V964" s="6">
        <v>0</v>
      </c>
      <c r="W964" s="5">
        <v>0</v>
      </c>
      <c r="X964" s="6">
        <v>0</v>
      </c>
      <c r="Y964" s="5">
        <v>0</v>
      </c>
      <c r="Z964" s="6">
        <v>606.7175291509692</v>
      </c>
      <c r="AA964" s="5">
        <v>1844.4212886189459</v>
      </c>
      <c r="AB964" s="6">
        <v>606.7175291509692</v>
      </c>
      <c r="AC964" s="5">
        <v>1844.4212886189459</v>
      </c>
      <c r="AD964" s="6">
        <v>0</v>
      </c>
      <c r="AE964" s="5">
        <v>0</v>
      </c>
      <c r="AF964" s="6">
        <v>0</v>
      </c>
      <c r="AG964" s="5">
        <v>0</v>
      </c>
      <c r="AH964" s="7">
        <f t="shared" si="120"/>
        <v>1411.2821931405811</v>
      </c>
      <c r="AI964" s="8">
        <f t="shared" si="121"/>
        <v>4290.2978671473657</v>
      </c>
      <c r="AJ964" s="6">
        <v>0</v>
      </c>
      <c r="AK964" s="5">
        <v>0</v>
      </c>
      <c r="AL964" s="6">
        <v>0</v>
      </c>
      <c r="AM964" s="5">
        <v>0</v>
      </c>
      <c r="AN964" s="6">
        <v>0</v>
      </c>
      <c r="AO964" s="5">
        <v>0</v>
      </c>
      <c r="AP964" s="6">
        <v>0</v>
      </c>
      <c r="AQ964" s="5">
        <v>0</v>
      </c>
      <c r="AR964" s="6">
        <v>0</v>
      </c>
      <c r="AS964" s="5">
        <v>0</v>
      </c>
      <c r="AT964" s="6">
        <v>220</v>
      </c>
      <c r="AU964" s="5">
        <v>697.14209867039483</v>
      </c>
      <c r="AV964" s="6">
        <v>0</v>
      </c>
      <c r="AW964" s="5">
        <v>0</v>
      </c>
      <c r="AX964" s="6">
        <v>0</v>
      </c>
      <c r="AY964" s="5">
        <v>0</v>
      </c>
      <c r="AZ964" s="6">
        <v>660</v>
      </c>
      <c r="BA964" s="5">
        <v>2091.4262960111841</v>
      </c>
      <c r="BB964" s="6">
        <v>660</v>
      </c>
      <c r="BC964" s="5">
        <v>2091.4262960111841</v>
      </c>
      <c r="BD964" s="6">
        <v>0</v>
      </c>
      <c r="BE964" s="5">
        <v>0</v>
      </c>
      <c r="BF964" s="6">
        <v>0</v>
      </c>
      <c r="BG964" s="5">
        <v>0</v>
      </c>
      <c r="BH964" s="9">
        <f t="shared" si="122"/>
        <v>1540</v>
      </c>
      <c r="BI964" s="10">
        <f t="shared" si="123"/>
        <v>4879.9946906927635</v>
      </c>
      <c r="BJ964" s="6">
        <f t="shared" si="124"/>
        <v>128.71780685941894</v>
      </c>
      <c r="BK964" s="11">
        <f t="shared" si="125"/>
        <v>9.120628566352007E-2</v>
      </c>
      <c r="BL964" s="5">
        <f t="shared" si="126"/>
        <v>589.69682354539782</v>
      </c>
      <c r="BM964" s="11">
        <f t="shared" si="127"/>
        <v>0.13744892354933139</v>
      </c>
    </row>
    <row r="965" spans="1:65" ht="15" customHeight="1" x14ac:dyDescent="0.4">
      <c r="A965" s="2" t="s">
        <v>745</v>
      </c>
      <c r="B965" s="2" t="s">
        <v>66</v>
      </c>
      <c r="C965" s="2" t="s">
        <v>746</v>
      </c>
      <c r="D965" s="3" t="s">
        <v>68</v>
      </c>
      <c r="E965" s="3" t="s">
        <v>747</v>
      </c>
      <c r="F965" s="2" t="s">
        <v>748</v>
      </c>
      <c r="G965" s="4">
        <v>20</v>
      </c>
      <c r="H965" s="5">
        <v>3.42</v>
      </c>
      <c r="I965" s="5">
        <v>3.5649311863827009</v>
      </c>
      <c r="J965" s="6">
        <v>0</v>
      </c>
      <c r="K965" s="5">
        <v>0</v>
      </c>
      <c r="L965" s="6">
        <v>0</v>
      </c>
      <c r="M965" s="5">
        <v>0</v>
      </c>
      <c r="N965" s="6">
        <v>0</v>
      </c>
      <c r="O965" s="5">
        <v>0</v>
      </c>
      <c r="P965" s="6">
        <v>0</v>
      </c>
      <c r="Q965" s="5">
        <v>0</v>
      </c>
      <c r="R965" s="6">
        <v>0</v>
      </c>
      <c r="S965" s="5">
        <v>0</v>
      </c>
      <c r="T965" s="6">
        <v>0</v>
      </c>
      <c r="U965" s="5">
        <v>0</v>
      </c>
      <c r="V965" s="6">
        <v>652.89554496752078</v>
      </c>
      <c r="W965" s="5">
        <v>2232.9027637889212</v>
      </c>
      <c r="X965" s="6">
        <v>0</v>
      </c>
      <c r="Y965" s="5">
        <v>0</v>
      </c>
      <c r="Z965" s="6">
        <v>0</v>
      </c>
      <c r="AA965" s="5">
        <v>0</v>
      </c>
      <c r="AB965" s="6">
        <v>0</v>
      </c>
      <c r="AC965" s="5">
        <v>0</v>
      </c>
      <c r="AD965" s="6">
        <v>0</v>
      </c>
      <c r="AE965" s="5">
        <v>0</v>
      </c>
      <c r="AF965" s="6">
        <v>0</v>
      </c>
      <c r="AG965" s="5">
        <v>0</v>
      </c>
      <c r="AH965" s="7">
        <f t="shared" si="120"/>
        <v>652.89554496752078</v>
      </c>
      <c r="AI965" s="8">
        <f t="shared" si="121"/>
        <v>2232.9027637889212</v>
      </c>
      <c r="AJ965" s="6">
        <v>0</v>
      </c>
      <c r="AK965" s="5">
        <v>0</v>
      </c>
      <c r="AL965" s="6">
        <v>0</v>
      </c>
      <c r="AM965" s="5">
        <v>0</v>
      </c>
      <c r="AN965" s="6">
        <v>0</v>
      </c>
      <c r="AO965" s="5">
        <v>0</v>
      </c>
      <c r="AP965" s="6">
        <v>0</v>
      </c>
      <c r="AQ965" s="5">
        <v>0</v>
      </c>
      <c r="AR965" s="6">
        <v>0</v>
      </c>
      <c r="AS965" s="5">
        <v>0</v>
      </c>
      <c r="AT965" s="6">
        <v>0</v>
      </c>
      <c r="AU965" s="5">
        <v>0</v>
      </c>
      <c r="AV965" s="6">
        <v>820</v>
      </c>
      <c r="AW965" s="5">
        <v>2923.2435728338151</v>
      </c>
      <c r="AX965" s="6">
        <v>0</v>
      </c>
      <c r="AY965" s="5">
        <v>0</v>
      </c>
      <c r="AZ965" s="6">
        <v>0</v>
      </c>
      <c r="BA965" s="5">
        <v>0</v>
      </c>
      <c r="BB965" s="6">
        <v>0</v>
      </c>
      <c r="BC965" s="5">
        <v>0</v>
      </c>
      <c r="BD965" s="6">
        <v>0</v>
      </c>
      <c r="BE965" s="5">
        <v>0</v>
      </c>
      <c r="BF965" s="6">
        <v>0</v>
      </c>
      <c r="BG965" s="5">
        <v>0</v>
      </c>
      <c r="BH965" s="9">
        <f t="shared" si="122"/>
        <v>820</v>
      </c>
      <c r="BI965" s="10">
        <f t="shared" si="123"/>
        <v>2923.2435728338151</v>
      </c>
      <c r="BJ965" s="6">
        <f t="shared" si="124"/>
        <v>167.10445503247922</v>
      </c>
      <c r="BK965" s="11">
        <f t="shared" si="125"/>
        <v>0.25594362884003452</v>
      </c>
      <c r="BL965" s="5">
        <f t="shared" si="126"/>
        <v>690.34080904489383</v>
      </c>
      <c r="BM965" s="11">
        <f t="shared" si="127"/>
        <v>0.30916743005570146</v>
      </c>
    </row>
    <row r="966" spans="1:65" ht="15" customHeight="1" x14ac:dyDescent="0.4">
      <c r="A966" s="2" t="s">
        <v>745</v>
      </c>
      <c r="B966" s="2" t="s">
        <v>66</v>
      </c>
      <c r="C966" s="2" t="s">
        <v>746</v>
      </c>
      <c r="D966" s="3" t="s">
        <v>68</v>
      </c>
      <c r="E966" s="3" t="s">
        <v>174</v>
      </c>
      <c r="F966" s="2" t="s">
        <v>175</v>
      </c>
      <c r="G966" s="4">
        <v>5</v>
      </c>
      <c r="H966" s="5">
        <v>3.842222222222222</v>
      </c>
      <c r="I966" s="5">
        <v>4.0050461476645154</v>
      </c>
      <c r="J966" s="6">
        <v>0</v>
      </c>
      <c r="K966" s="5">
        <v>0</v>
      </c>
      <c r="L966" s="6">
        <v>0</v>
      </c>
      <c r="M966" s="5">
        <v>0</v>
      </c>
      <c r="N966" s="6">
        <v>0</v>
      </c>
      <c r="O966" s="5">
        <v>0</v>
      </c>
      <c r="P966" s="6">
        <v>0</v>
      </c>
      <c r="Q966" s="5">
        <v>0</v>
      </c>
      <c r="R966" s="6">
        <v>0</v>
      </c>
      <c r="S966" s="5">
        <v>0</v>
      </c>
      <c r="T966" s="6">
        <v>178.06242135477839</v>
      </c>
      <c r="U966" s="5">
        <v>684.15539227202635</v>
      </c>
      <c r="V966" s="6">
        <v>0</v>
      </c>
      <c r="W966" s="5">
        <v>0</v>
      </c>
      <c r="X966" s="6">
        <v>0</v>
      </c>
      <c r="Y966" s="5">
        <v>0</v>
      </c>
      <c r="Z966" s="6">
        <v>0</v>
      </c>
      <c r="AA966" s="5">
        <v>0</v>
      </c>
      <c r="AB966" s="6">
        <v>0</v>
      </c>
      <c r="AC966" s="5">
        <v>0</v>
      </c>
      <c r="AD966" s="6">
        <v>0</v>
      </c>
      <c r="AE966" s="5">
        <v>0</v>
      </c>
      <c r="AF966" s="6">
        <v>0</v>
      </c>
      <c r="AG966" s="5">
        <v>0</v>
      </c>
      <c r="AH966" s="7">
        <f t="shared" si="120"/>
        <v>178.06242135477839</v>
      </c>
      <c r="AI966" s="8">
        <f t="shared" si="121"/>
        <v>684.15539227202635</v>
      </c>
      <c r="AJ966" s="6">
        <v>0</v>
      </c>
      <c r="AK966" s="5">
        <v>0</v>
      </c>
      <c r="AL966" s="6">
        <v>0</v>
      </c>
      <c r="AM966" s="5">
        <v>0</v>
      </c>
      <c r="AN966" s="6">
        <v>0</v>
      </c>
      <c r="AO966" s="5">
        <v>0</v>
      </c>
      <c r="AP966" s="6">
        <v>0</v>
      </c>
      <c r="AQ966" s="5">
        <v>0</v>
      </c>
      <c r="AR966" s="6">
        <v>0</v>
      </c>
      <c r="AS966" s="5">
        <v>0</v>
      </c>
      <c r="AT966" s="6">
        <v>195</v>
      </c>
      <c r="AU966" s="5">
        <v>780.98399879458054</v>
      </c>
      <c r="AV966" s="6">
        <v>0</v>
      </c>
      <c r="AW966" s="5">
        <v>0</v>
      </c>
      <c r="AX966" s="6">
        <v>0</v>
      </c>
      <c r="AY966" s="5">
        <v>0</v>
      </c>
      <c r="AZ966" s="6">
        <v>0</v>
      </c>
      <c r="BA966" s="5">
        <v>0</v>
      </c>
      <c r="BB966" s="6">
        <v>0</v>
      </c>
      <c r="BC966" s="5">
        <v>0</v>
      </c>
      <c r="BD966" s="6">
        <v>0</v>
      </c>
      <c r="BE966" s="5">
        <v>0</v>
      </c>
      <c r="BF966" s="6">
        <v>0</v>
      </c>
      <c r="BG966" s="5">
        <v>0</v>
      </c>
      <c r="BH966" s="9">
        <f t="shared" si="122"/>
        <v>195</v>
      </c>
      <c r="BI966" s="10">
        <f t="shared" si="123"/>
        <v>780.98399879458054</v>
      </c>
      <c r="BJ966" s="6">
        <f t="shared" si="124"/>
        <v>16.937578645221606</v>
      </c>
      <c r="BK966" s="11">
        <f t="shared" si="125"/>
        <v>9.5121578805639873E-2</v>
      </c>
      <c r="BL966" s="5">
        <f t="shared" si="126"/>
        <v>96.828606522554196</v>
      </c>
      <c r="BM966" s="11">
        <f t="shared" si="127"/>
        <v>0.14153013718271518</v>
      </c>
    </row>
    <row r="967" spans="1:65" ht="15" customHeight="1" x14ac:dyDescent="0.4">
      <c r="A967" s="2" t="s">
        <v>745</v>
      </c>
      <c r="B967" s="2" t="s">
        <v>66</v>
      </c>
      <c r="C967" s="2" t="s">
        <v>746</v>
      </c>
      <c r="D967" s="3" t="s">
        <v>68</v>
      </c>
      <c r="E967" s="3" t="s">
        <v>136</v>
      </c>
      <c r="F967" s="2" t="s">
        <v>137</v>
      </c>
      <c r="G967" s="4">
        <v>20</v>
      </c>
      <c r="H967" s="5">
        <v>4.5299999999999994</v>
      </c>
      <c r="I967" s="5">
        <v>4.7219702556472614</v>
      </c>
      <c r="J967" s="6">
        <v>0</v>
      </c>
      <c r="K967" s="5">
        <v>0</v>
      </c>
      <c r="L967" s="6">
        <v>0</v>
      </c>
      <c r="M967" s="5">
        <v>0</v>
      </c>
      <c r="N967" s="6">
        <v>0</v>
      </c>
      <c r="O967" s="5">
        <v>0</v>
      </c>
      <c r="P967" s="6">
        <v>197.84713483864269</v>
      </c>
      <c r="Q967" s="5">
        <v>896.24752081905115</v>
      </c>
      <c r="R967" s="6">
        <v>197.84713483864269</v>
      </c>
      <c r="S967" s="5">
        <v>896.24752081905115</v>
      </c>
      <c r="T967" s="6">
        <v>0</v>
      </c>
      <c r="U967" s="5">
        <v>0</v>
      </c>
      <c r="V967" s="6">
        <v>0</v>
      </c>
      <c r="W967" s="5">
        <v>0</v>
      </c>
      <c r="X967" s="6">
        <v>0</v>
      </c>
      <c r="Y967" s="5">
        <v>0</v>
      </c>
      <c r="Z967" s="6">
        <v>0</v>
      </c>
      <c r="AA967" s="5">
        <v>0</v>
      </c>
      <c r="AB967" s="6">
        <v>0</v>
      </c>
      <c r="AC967" s="5">
        <v>0</v>
      </c>
      <c r="AD967" s="6">
        <v>0</v>
      </c>
      <c r="AE967" s="5">
        <v>0</v>
      </c>
      <c r="AF967" s="6">
        <v>0</v>
      </c>
      <c r="AG967" s="5">
        <v>0</v>
      </c>
      <c r="AH967" s="7">
        <f t="shared" si="120"/>
        <v>395.69426967728538</v>
      </c>
      <c r="AI967" s="8">
        <f t="shared" si="121"/>
        <v>1792.4950416381023</v>
      </c>
      <c r="AJ967" s="6">
        <v>0</v>
      </c>
      <c r="AK967" s="5">
        <v>0</v>
      </c>
      <c r="AL967" s="6">
        <v>0</v>
      </c>
      <c r="AM967" s="5">
        <v>0</v>
      </c>
      <c r="AN967" s="6">
        <v>0</v>
      </c>
      <c r="AO967" s="5">
        <v>0</v>
      </c>
      <c r="AP967" s="6">
        <v>220</v>
      </c>
      <c r="AQ967" s="5">
        <v>1038.833456242397</v>
      </c>
      <c r="AR967" s="6">
        <v>220</v>
      </c>
      <c r="AS967" s="5">
        <v>1038.833456242397</v>
      </c>
      <c r="AT967" s="6">
        <v>0</v>
      </c>
      <c r="AU967" s="5">
        <v>0</v>
      </c>
      <c r="AV967" s="6">
        <v>0</v>
      </c>
      <c r="AW967" s="5">
        <v>0</v>
      </c>
      <c r="AX967" s="6">
        <v>0</v>
      </c>
      <c r="AY967" s="5">
        <v>0</v>
      </c>
      <c r="AZ967" s="6">
        <v>0</v>
      </c>
      <c r="BA967" s="5">
        <v>0</v>
      </c>
      <c r="BB967" s="6">
        <v>0</v>
      </c>
      <c r="BC967" s="5">
        <v>0</v>
      </c>
      <c r="BD967" s="6">
        <v>0</v>
      </c>
      <c r="BE967" s="5">
        <v>0</v>
      </c>
      <c r="BF967" s="6">
        <v>0</v>
      </c>
      <c r="BG967" s="5">
        <v>0</v>
      </c>
      <c r="BH967" s="9">
        <f t="shared" si="122"/>
        <v>440</v>
      </c>
      <c r="BI967" s="10">
        <f t="shared" si="123"/>
        <v>2077.666912484794</v>
      </c>
      <c r="BJ967" s="6">
        <f t="shared" si="124"/>
        <v>44.305730322714624</v>
      </c>
      <c r="BK967" s="11">
        <f t="shared" si="125"/>
        <v>0.11196960309495725</v>
      </c>
      <c r="BL967" s="5">
        <f t="shared" si="126"/>
        <v>285.17187084669172</v>
      </c>
      <c r="BM967" s="11">
        <f t="shared" si="127"/>
        <v>0.15909213929321808</v>
      </c>
    </row>
    <row r="968" spans="1:65" ht="15" customHeight="1" x14ac:dyDescent="0.4">
      <c r="A968" s="2" t="s">
        <v>745</v>
      </c>
      <c r="B968" s="2" t="s">
        <v>66</v>
      </c>
      <c r="C968" s="2" t="s">
        <v>746</v>
      </c>
      <c r="D968" s="3" t="s">
        <v>68</v>
      </c>
      <c r="E968" s="3" t="s">
        <v>176</v>
      </c>
      <c r="F968" s="2" t="s">
        <v>177</v>
      </c>
      <c r="G968" s="4">
        <v>5</v>
      </c>
      <c r="H968" s="5">
        <v>3.19</v>
      </c>
      <c r="I968" s="5">
        <v>3.3251843522107651</v>
      </c>
      <c r="J968" s="6">
        <v>0</v>
      </c>
      <c r="K968" s="5">
        <v>0</v>
      </c>
      <c r="L968" s="6">
        <v>0</v>
      </c>
      <c r="M968" s="5">
        <v>0</v>
      </c>
      <c r="N968" s="6">
        <v>0</v>
      </c>
      <c r="O968" s="5">
        <v>0</v>
      </c>
      <c r="P968" s="6">
        <v>0</v>
      </c>
      <c r="Q968" s="5">
        <v>0</v>
      </c>
      <c r="R968" s="6">
        <v>593.54140451592798</v>
      </c>
      <c r="S968" s="5">
        <v>1893.3970804058099</v>
      </c>
      <c r="T968" s="6">
        <v>0</v>
      </c>
      <c r="U968" s="5">
        <v>0</v>
      </c>
      <c r="V968" s="6">
        <v>0</v>
      </c>
      <c r="W968" s="5">
        <v>0</v>
      </c>
      <c r="X968" s="6">
        <v>0</v>
      </c>
      <c r="Y968" s="5">
        <v>0</v>
      </c>
      <c r="Z968" s="6">
        <v>284.39884178951678</v>
      </c>
      <c r="AA968" s="5">
        <v>907.23230530855858</v>
      </c>
      <c r="AB968" s="6">
        <v>0</v>
      </c>
      <c r="AC968" s="5">
        <v>0</v>
      </c>
      <c r="AD968" s="6">
        <v>0</v>
      </c>
      <c r="AE968" s="5">
        <v>0</v>
      </c>
      <c r="AF968" s="6">
        <v>0</v>
      </c>
      <c r="AG968" s="5">
        <v>0</v>
      </c>
      <c r="AH968" s="7">
        <f t="shared" si="120"/>
        <v>877.94024630544482</v>
      </c>
      <c r="AI968" s="8">
        <f t="shared" si="121"/>
        <v>2800.6293857143683</v>
      </c>
      <c r="AJ968" s="6">
        <v>0</v>
      </c>
      <c r="AK968" s="5">
        <v>0</v>
      </c>
      <c r="AL968" s="6">
        <v>0</v>
      </c>
      <c r="AM968" s="5">
        <v>0</v>
      </c>
      <c r="AN968" s="6">
        <v>0</v>
      </c>
      <c r="AO968" s="5">
        <v>0</v>
      </c>
      <c r="AP968" s="6">
        <v>0</v>
      </c>
      <c r="AQ968" s="5">
        <v>0</v>
      </c>
      <c r="AR968" s="6">
        <v>645</v>
      </c>
      <c r="AS968" s="5">
        <v>2144.7439071759431</v>
      </c>
      <c r="AT968" s="6">
        <v>0</v>
      </c>
      <c r="AU968" s="5">
        <v>0</v>
      </c>
      <c r="AV968" s="6">
        <v>0</v>
      </c>
      <c r="AW968" s="5">
        <v>0</v>
      </c>
      <c r="AX968" s="6">
        <v>0</v>
      </c>
      <c r="AY968" s="5">
        <v>0</v>
      </c>
      <c r="AZ968" s="6">
        <v>310</v>
      </c>
      <c r="BA968" s="5">
        <v>1030.807149185337</v>
      </c>
      <c r="BB968" s="6">
        <v>0</v>
      </c>
      <c r="BC968" s="5">
        <v>0</v>
      </c>
      <c r="BD968" s="6">
        <v>0</v>
      </c>
      <c r="BE968" s="5">
        <v>0</v>
      </c>
      <c r="BF968" s="6">
        <v>0</v>
      </c>
      <c r="BG968" s="5">
        <v>0</v>
      </c>
      <c r="BH968" s="9">
        <f t="shared" si="122"/>
        <v>955</v>
      </c>
      <c r="BI968" s="10">
        <f t="shared" si="123"/>
        <v>3175.5510563612802</v>
      </c>
      <c r="BJ968" s="6">
        <f t="shared" si="124"/>
        <v>77.059753694555184</v>
      </c>
      <c r="BK968" s="11">
        <f t="shared" si="125"/>
        <v>8.7773346783951017E-2</v>
      </c>
      <c r="BL968" s="5">
        <f t="shared" si="126"/>
        <v>374.92167064691193</v>
      </c>
      <c r="BM968" s="11">
        <f t="shared" si="127"/>
        <v>0.13387050516549481</v>
      </c>
    </row>
    <row r="969" spans="1:65" ht="15" customHeight="1" x14ac:dyDescent="0.4">
      <c r="A969" s="2" t="s">
        <v>745</v>
      </c>
      <c r="B969" s="2" t="s">
        <v>66</v>
      </c>
      <c r="C969" s="2" t="s">
        <v>746</v>
      </c>
      <c r="D969" s="3" t="s">
        <v>68</v>
      </c>
      <c r="E969" s="3" t="s">
        <v>223</v>
      </c>
      <c r="F969" s="2" t="s">
        <v>224</v>
      </c>
      <c r="G969" s="4">
        <v>20</v>
      </c>
      <c r="H969" s="5">
        <v>2.87</v>
      </c>
      <c r="I969" s="5">
        <v>2.9916235394498099</v>
      </c>
      <c r="J969" s="6">
        <v>0</v>
      </c>
      <c r="K969" s="5">
        <v>0</v>
      </c>
      <c r="L969" s="6">
        <v>0</v>
      </c>
      <c r="M969" s="5">
        <v>0</v>
      </c>
      <c r="N969" s="6">
        <v>633.11083148365651</v>
      </c>
      <c r="O969" s="5">
        <v>1817.028086358094</v>
      </c>
      <c r="P969" s="6">
        <v>1266.221662967313</v>
      </c>
      <c r="Q969" s="5">
        <v>3634.056172716188</v>
      </c>
      <c r="R969" s="6">
        <v>1899.3324944509691</v>
      </c>
      <c r="S969" s="5">
        <v>5451.0842590742823</v>
      </c>
      <c r="T969" s="6">
        <v>0</v>
      </c>
      <c r="U969" s="5">
        <v>0</v>
      </c>
      <c r="V969" s="6">
        <v>0</v>
      </c>
      <c r="W969" s="5">
        <v>0</v>
      </c>
      <c r="X969" s="6">
        <v>0</v>
      </c>
      <c r="Y969" s="5">
        <v>0</v>
      </c>
      <c r="Z969" s="6">
        <v>1213.4350583019379</v>
      </c>
      <c r="AA969" s="5">
        <v>3482.5586173265629</v>
      </c>
      <c r="AB969" s="6">
        <v>606.7175291509692</v>
      </c>
      <c r="AC969" s="5">
        <v>1741.2793086632821</v>
      </c>
      <c r="AD969" s="6">
        <v>606.7175291509692</v>
      </c>
      <c r="AE969" s="5">
        <v>1741.2793086632821</v>
      </c>
      <c r="AF969" s="6">
        <v>0</v>
      </c>
      <c r="AG969" s="5">
        <v>0</v>
      </c>
      <c r="AH969" s="7">
        <f t="shared" si="120"/>
        <v>6225.5351055058154</v>
      </c>
      <c r="AI969" s="8">
        <f t="shared" si="121"/>
        <v>17867.285752801694</v>
      </c>
      <c r="AJ969" s="6">
        <v>0</v>
      </c>
      <c r="AK969" s="5">
        <v>0</v>
      </c>
      <c r="AL969" s="6">
        <v>0</v>
      </c>
      <c r="AM969" s="5">
        <v>0</v>
      </c>
      <c r="AN969" s="6">
        <v>680</v>
      </c>
      <c r="AO969" s="5">
        <v>2034.3040068258711</v>
      </c>
      <c r="AP969" s="6">
        <v>1380</v>
      </c>
      <c r="AQ969" s="5">
        <v>4128.4404844407381</v>
      </c>
      <c r="AR969" s="6">
        <v>2060</v>
      </c>
      <c r="AS969" s="5">
        <v>6162.7444912666097</v>
      </c>
      <c r="AT969" s="6">
        <v>0</v>
      </c>
      <c r="AU969" s="5">
        <v>0</v>
      </c>
      <c r="AV969" s="6">
        <v>0</v>
      </c>
      <c r="AW969" s="5">
        <v>0</v>
      </c>
      <c r="AX969" s="6">
        <v>0</v>
      </c>
      <c r="AY969" s="5">
        <v>0</v>
      </c>
      <c r="AZ969" s="6">
        <v>1320</v>
      </c>
      <c r="BA969" s="5">
        <v>3948.94307207375</v>
      </c>
      <c r="BB969" s="6">
        <v>660</v>
      </c>
      <c r="BC969" s="5">
        <v>1974.471536036875</v>
      </c>
      <c r="BD969" s="6">
        <v>660</v>
      </c>
      <c r="BE969" s="5">
        <v>1974.471536036875</v>
      </c>
      <c r="BF969" s="6">
        <v>0</v>
      </c>
      <c r="BG969" s="5">
        <v>0</v>
      </c>
      <c r="BH969" s="9">
        <f t="shared" si="122"/>
        <v>6760</v>
      </c>
      <c r="BI969" s="10">
        <f t="shared" si="123"/>
        <v>20223.375126680719</v>
      </c>
      <c r="BJ969" s="6">
        <f t="shared" si="124"/>
        <v>534.46489449418459</v>
      </c>
      <c r="BK969" s="11">
        <f t="shared" si="125"/>
        <v>8.5850434611075915E-2</v>
      </c>
      <c r="BL969" s="5">
        <f t="shared" si="126"/>
        <v>2356.0893738790255</v>
      </c>
      <c r="BM969" s="11">
        <f t="shared" si="127"/>
        <v>0.13186610470533147</v>
      </c>
    </row>
    <row r="970" spans="1:65" ht="15" customHeight="1" x14ac:dyDescent="0.4">
      <c r="A970" s="2" t="s">
        <v>745</v>
      </c>
      <c r="B970" s="2" t="s">
        <v>66</v>
      </c>
      <c r="C970" s="2" t="s">
        <v>746</v>
      </c>
      <c r="D970" s="3" t="s">
        <v>68</v>
      </c>
      <c r="E970" s="3" t="s">
        <v>138</v>
      </c>
      <c r="F970" s="2" t="s">
        <v>139</v>
      </c>
      <c r="G970" s="4">
        <v>5</v>
      </c>
      <c r="H970" s="5">
        <v>3.07</v>
      </c>
      <c r="I970" s="5">
        <v>3.200099047425407</v>
      </c>
      <c r="J970" s="6">
        <v>0</v>
      </c>
      <c r="K970" s="5">
        <v>0</v>
      </c>
      <c r="L970" s="6">
        <v>98.92356741932133</v>
      </c>
      <c r="M970" s="5">
        <v>303.69535197731648</v>
      </c>
      <c r="N970" s="6">
        <v>0</v>
      </c>
      <c r="O970" s="5">
        <v>0</v>
      </c>
      <c r="P970" s="6">
        <v>0</v>
      </c>
      <c r="Q970" s="5">
        <v>0</v>
      </c>
      <c r="R970" s="6">
        <v>692.46497193524931</v>
      </c>
      <c r="S970" s="5">
        <v>2125.8674638412149</v>
      </c>
      <c r="T970" s="6">
        <v>0</v>
      </c>
      <c r="U970" s="5">
        <v>0</v>
      </c>
      <c r="V970" s="6">
        <v>0</v>
      </c>
      <c r="W970" s="5">
        <v>0</v>
      </c>
      <c r="X970" s="6">
        <v>0</v>
      </c>
      <c r="Y970" s="5">
        <v>0</v>
      </c>
      <c r="Z970" s="6">
        <v>0</v>
      </c>
      <c r="AA970" s="5">
        <v>0</v>
      </c>
      <c r="AB970" s="6">
        <v>0</v>
      </c>
      <c r="AC970" s="5">
        <v>0</v>
      </c>
      <c r="AD970" s="6">
        <v>0</v>
      </c>
      <c r="AE970" s="5">
        <v>0</v>
      </c>
      <c r="AF970" s="6">
        <v>0</v>
      </c>
      <c r="AG970" s="5">
        <v>0</v>
      </c>
      <c r="AH970" s="7">
        <f t="shared" si="120"/>
        <v>791.38853935457064</v>
      </c>
      <c r="AI970" s="8">
        <f t="shared" si="121"/>
        <v>2429.5628158185314</v>
      </c>
      <c r="AJ970" s="6">
        <v>0</v>
      </c>
      <c r="AK970" s="5">
        <v>0</v>
      </c>
      <c r="AL970" s="6">
        <v>110</v>
      </c>
      <c r="AM970" s="5">
        <v>352.01089521679478</v>
      </c>
      <c r="AN970" s="6">
        <v>0</v>
      </c>
      <c r="AO970" s="5">
        <v>0</v>
      </c>
      <c r="AP970" s="6">
        <v>0</v>
      </c>
      <c r="AQ970" s="5">
        <v>0</v>
      </c>
      <c r="AR970" s="6">
        <v>755</v>
      </c>
      <c r="AS970" s="5">
        <v>2416.0747808061819</v>
      </c>
      <c r="AT970" s="6">
        <v>0</v>
      </c>
      <c r="AU970" s="5">
        <v>0</v>
      </c>
      <c r="AV970" s="6">
        <v>0</v>
      </c>
      <c r="AW970" s="5">
        <v>0</v>
      </c>
      <c r="AX970" s="6">
        <v>0</v>
      </c>
      <c r="AY970" s="5">
        <v>0</v>
      </c>
      <c r="AZ970" s="6">
        <v>0</v>
      </c>
      <c r="BA970" s="5">
        <v>0</v>
      </c>
      <c r="BB970" s="6">
        <v>0</v>
      </c>
      <c r="BC970" s="5">
        <v>0</v>
      </c>
      <c r="BD970" s="6">
        <v>0</v>
      </c>
      <c r="BE970" s="5">
        <v>0</v>
      </c>
      <c r="BF970" s="6">
        <v>0</v>
      </c>
      <c r="BG970" s="5">
        <v>0</v>
      </c>
      <c r="BH970" s="9">
        <f t="shared" si="122"/>
        <v>865</v>
      </c>
      <c r="BI970" s="10">
        <f t="shared" si="123"/>
        <v>2768.0856760229767</v>
      </c>
      <c r="BJ970" s="6">
        <f t="shared" si="124"/>
        <v>73.611460645429361</v>
      </c>
      <c r="BK970" s="11">
        <f t="shared" si="125"/>
        <v>9.3015575769475181E-2</v>
      </c>
      <c r="BL970" s="5">
        <f t="shared" si="126"/>
        <v>338.52286020444535</v>
      </c>
      <c r="BM970" s="11">
        <f t="shared" si="127"/>
        <v>0.13933488691890247</v>
      </c>
    </row>
    <row r="971" spans="1:65" ht="15" customHeight="1" x14ac:dyDescent="0.4">
      <c r="A971" s="2" t="s">
        <v>745</v>
      </c>
      <c r="B971" s="2" t="s">
        <v>66</v>
      </c>
      <c r="C971" s="2" t="s">
        <v>746</v>
      </c>
      <c r="D971" s="3" t="s">
        <v>68</v>
      </c>
      <c r="E971" s="3" t="s">
        <v>90</v>
      </c>
      <c r="F971" s="2" t="s">
        <v>91</v>
      </c>
      <c r="G971" s="4">
        <v>20</v>
      </c>
      <c r="H971" s="5">
        <v>3.5750000000000002</v>
      </c>
      <c r="I971" s="5">
        <v>3.7265859945952351</v>
      </c>
      <c r="J971" s="6">
        <v>0</v>
      </c>
      <c r="K971" s="5">
        <v>0</v>
      </c>
      <c r="L971" s="6">
        <v>633.11083148365651</v>
      </c>
      <c r="M971" s="5">
        <v>2247.543451766981</v>
      </c>
      <c r="N971" s="6">
        <v>633.11083148365651</v>
      </c>
      <c r="O971" s="5">
        <v>2247.543451766981</v>
      </c>
      <c r="P971" s="6">
        <v>0</v>
      </c>
      <c r="Q971" s="5">
        <v>0</v>
      </c>
      <c r="R971" s="6">
        <v>1266.221662967313</v>
      </c>
      <c r="S971" s="5">
        <v>4558.3979866823274</v>
      </c>
      <c r="T971" s="6">
        <v>0</v>
      </c>
      <c r="U971" s="5">
        <v>0</v>
      </c>
      <c r="V971" s="6">
        <v>0</v>
      </c>
      <c r="W971" s="5">
        <v>0</v>
      </c>
      <c r="X971" s="6">
        <v>0</v>
      </c>
      <c r="Y971" s="5">
        <v>0</v>
      </c>
      <c r="Z971" s="6">
        <v>1213.4350583019379</v>
      </c>
      <c r="AA971" s="5">
        <v>4338.0303334294294</v>
      </c>
      <c r="AB971" s="6">
        <v>606.7175291509692</v>
      </c>
      <c r="AC971" s="5">
        <v>2169.0151667147152</v>
      </c>
      <c r="AD971" s="6">
        <v>1213.4350583019379</v>
      </c>
      <c r="AE971" s="5">
        <v>4338.0303334294294</v>
      </c>
      <c r="AF971" s="6">
        <v>0</v>
      </c>
      <c r="AG971" s="5">
        <v>0</v>
      </c>
      <c r="AH971" s="7">
        <f t="shared" si="120"/>
        <v>5566.0309716894708</v>
      </c>
      <c r="AI971" s="8">
        <f t="shared" si="121"/>
        <v>19898.560723789862</v>
      </c>
      <c r="AJ971" s="6">
        <v>0</v>
      </c>
      <c r="AK971" s="5">
        <v>0</v>
      </c>
      <c r="AL971" s="6">
        <v>680</v>
      </c>
      <c r="AM971" s="5">
        <v>2516.2993812654499</v>
      </c>
      <c r="AN971" s="6">
        <v>680</v>
      </c>
      <c r="AO971" s="5">
        <v>2516.2993812654499</v>
      </c>
      <c r="AP971" s="6">
        <v>0</v>
      </c>
      <c r="AQ971" s="5">
        <v>0</v>
      </c>
      <c r="AR971" s="6">
        <v>1380</v>
      </c>
      <c r="AS971" s="5">
        <v>5178.5316181138178</v>
      </c>
      <c r="AT971" s="6">
        <v>0</v>
      </c>
      <c r="AU971" s="5">
        <v>0</v>
      </c>
      <c r="AV971" s="6">
        <v>0</v>
      </c>
      <c r="AW971" s="5">
        <v>0</v>
      </c>
      <c r="AX971" s="6">
        <v>0</v>
      </c>
      <c r="AY971" s="5">
        <v>0</v>
      </c>
      <c r="AZ971" s="6">
        <v>1320</v>
      </c>
      <c r="BA971" s="5">
        <v>4918.9796106842014</v>
      </c>
      <c r="BB971" s="6">
        <v>660</v>
      </c>
      <c r="BC971" s="5">
        <v>2459.4898053421011</v>
      </c>
      <c r="BD971" s="6">
        <v>1320</v>
      </c>
      <c r="BE971" s="5">
        <v>4918.9796106842014</v>
      </c>
      <c r="BF971" s="6">
        <v>0</v>
      </c>
      <c r="BG971" s="5">
        <v>0</v>
      </c>
      <c r="BH971" s="9">
        <f t="shared" si="122"/>
        <v>6040</v>
      </c>
      <c r="BI971" s="10">
        <f t="shared" si="123"/>
        <v>22508.579407355221</v>
      </c>
      <c r="BJ971" s="6">
        <f t="shared" si="124"/>
        <v>473.96902831052921</v>
      </c>
      <c r="BK971" s="11">
        <f t="shared" si="125"/>
        <v>8.5153861112394105E-2</v>
      </c>
      <c r="BL971" s="5">
        <f t="shared" si="126"/>
        <v>2610.0186835653585</v>
      </c>
      <c r="BM971" s="11">
        <f t="shared" si="127"/>
        <v>0.13116620442024898</v>
      </c>
    </row>
    <row r="972" spans="1:65" ht="15" customHeight="1" x14ac:dyDescent="0.4">
      <c r="A972" s="2" t="s">
        <v>745</v>
      </c>
      <c r="B972" s="2" t="s">
        <v>66</v>
      </c>
      <c r="C972" s="2" t="s">
        <v>746</v>
      </c>
      <c r="D972" s="3" t="s">
        <v>68</v>
      </c>
      <c r="E972" s="3" t="s">
        <v>563</v>
      </c>
      <c r="F972" s="2" t="s">
        <v>564</v>
      </c>
      <c r="G972" s="4">
        <v>5</v>
      </c>
      <c r="H972" s="5">
        <v>8.3699999999999992</v>
      </c>
      <c r="I972" s="5">
        <v>8.7247000087787132</v>
      </c>
      <c r="J972" s="6">
        <v>0</v>
      </c>
      <c r="K972" s="5">
        <v>0</v>
      </c>
      <c r="L972" s="6">
        <v>0</v>
      </c>
      <c r="M972" s="5">
        <v>0</v>
      </c>
      <c r="N972" s="6">
        <v>0</v>
      </c>
      <c r="O972" s="5">
        <v>0</v>
      </c>
      <c r="P972" s="6">
        <v>0</v>
      </c>
      <c r="Q972" s="5">
        <v>0</v>
      </c>
      <c r="R972" s="6">
        <v>98.92356741932133</v>
      </c>
      <c r="S972" s="5">
        <v>827.99025929971947</v>
      </c>
      <c r="T972" s="6">
        <v>197.84713483864269</v>
      </c>
      <c r="U972" s="5">
        <v>1655.9805185994389</v>
      </c>
      <c r="V972" s="6">
        <v>0</v>
      </c>
      <c r="W972" s="5">
        <v>0</v>
      </c>
      <c r="X972" s="6">
        <v>0</v>
      </c>
      <c r="Y972" s="5">
        <v>0</v>
      </c>
      <c r="Z972" s="6">
        <v>0</v>
      </c>
      <c r="AA972" s="5">
        <v>0</v>
      </c>
      <c r="AB972" s="6">
        <v>0</v>
      </c>
      <c r="AC972" s="5">
        <v>0</v>
      </c>
      <c r="AD972" s="6">
        <v>0</v>
      </c>
      <c r="AE972" s="5">
        <v>0</v>
      </c>
      <c r="AF972" s="6">
        <v>0</v>
      </c>
      <c r="AG972" s="5">
        <v>0</v>
      </c>
      <c r="AH972" s="7">
        <f t="shared" si="120"/>
        <v>296.77070225796399</v>
      </c>
      <c r="AI972" s="8">
        <f t="shared" si="121"/>
        <v>2483.9707778991583</v>
      </c>
      <c r="AJ972" s="6">
        <v>0</v>
      </c>
      <c r="AK972" s="5">
        <v>0</v>
      </c>
      <c r="AL972" s="6">
        <v>0</v>
      </c>
      <c r="AM972" s="5">
        <v>0</v>
      </c>
      <c r="AN972" s="6">
        <v>0</v>
      </c>
      <c r="AO972" s="5">
        <v>0</v>
      </c>
      <c r="AP972" s="6">
        <v>0</v>
      </c>
      <c r="AQ972" s="5">
        <v>0</v>
      </c>
      <c r="AR972" s="6">
        <v>105</v>
      </c>
      <c r="AS972" s="5">
        <v>916.09350092176498</v>
      </c>
      <c r="AT972" s="6">
        <v>210</v>
      </c>
      <c r="AU972" s="5">
        <v>1832.18700184353</v>
      </c>
      <c r="AV972" s="6">
        <v>0</v>
      </c>
      <c r="AW972" s="5">
        <v>0</v>
      </c>
      <c r="AX972" s="6">
        <v>0</v>
      </c>
      <c r="AY972" s="5">
        <v>0</v>
      </c>
      <c r="AZ972" s="6">
        <v>0</v>
      </c>
      <c r="BA972" s="5">
        <v>0</v>
      </c>
      <c r="BB972" s="6">
        <v>0</v>
      </c>
      <c r="BC972" s="5">
        <v>0</v>
      </c>
      <c r="BD972" s="6">
        <v>0</v>
      </c>
      <c r="BE972" s="5">
        <v>0</v>
      </c>
      <c r="BF972" s="6">
        <v>0</v>
      </c>
      <c r="BG972" s="5">
        <v>0</v>
      </c>
      <c r="BH972" s="9">
        <f t="shared" si="122"/>
        <v>315</v>
      </c>
      <c r="BI972" s="10">
        <f t="shared" si="123"/>
        <v>2748.2805027652948</v>
      </c>
      <c r="BJ972" s="6">
        <f t="shared" si="124"/>
        <v>18.22929774203601</v>
      </c>
      <c r="BK972" s="11">
        <f t="shared" si="125"/>
        <v>6.1425530227004803E-2</v>
      </c>
      <c r="BL972" s="5">
        <f t="shared" si="126"/>
        <v>264.30972486613655</v>
      </c>
      <c r="BM972" s="11">
        <f t="shared" si="127"/>
        <v>0.10640613296170859</v>
      </c>
    </row>
    <row r="973" spans="1:65" ht="15" customHeight="1" x14ac:dyDescent="0.4">
      <c r="A973" s="2" t="s">
        <v>745</v>
      </c>
      <c r="B973" s="2" t="s">
        <v>66</v>
      </c>
      <c r="C973" s="2" t="s">
        <v>746</v>
      </c>
      <c r="D973" s="3" t="s">
        <v>68</v>
      </c>
      <c r="E973" s="3" t="s">
        <v>203</v>
      </c>
      <c r="F973" s="2" t="s">
        <v>204</v>
      </c>
      <c r="G973" s="4">
        <v>5</v>
      </c>
      <c r="H973" s="5">
        <v>4.1879999999999997</v>
      </c>
      <c r="I973" s="5">
        <v>4.3646352166883204</v>
      </c>
      <c r="J973" s="6">
        <v>0</v>
      </c>
      <c r="K973" s="5">
        <v>0</v>
      </c>
      <c r="L973" s="6">
        <v>0</v>
      </c>
      <c r="M973" s="5">
        <v>0</v>
      </c>
      <c r="N973" s="6">
        <v>0</v>
      </c>
      <c r="O973" s="5">
        <v>0</v>
      </c>
      <c r="P973" s="6">
        <v>395.69426967728532</v>
      </c>
      <c r="Q973" s="5">
        <v>1590.6909641026871</v>
      </c>
      <c r="R973" s="6">
        <v>0</v>
      </c>
      <c r="S973" s="5">
        <v>0</v>
      </c>
      <c r="T973" s="6">
        <v>98.92356741932133</v>
      </c>
      <c r="U973" s="5">
        <v>480.76853765790162</v>
      </c>
      <c r="V973" s="6">
        <v>0</v>
      </c>
      <c r="W973" s="5">
        <v>0</v>
      </c>
      <c r="X973" s="6">
        <v>0</v>
      </c>
      <c r="Y973" s="5">
        <v>0</v>
      </c>
      <c r="Z973" s="6">
        <v>0</v>
      </c>
      <c r="AA973" s="5">
        <v>0</v>
      </c>
      <c r="AB973" s="6">
        <v>473.99806964919469</v>
      </c>
      <c r="AC973" s="5">
        <v>1985.1039156908271</v>
      </c>
      <c r="AD973" s="6">
        <v>0</v>
      </c>
      <c r="AE973" s="5">
        <v>0</v>
      </c>
      <c r="AF973" s="6">
        <v>0</v>
      </c>
      <c r="AG973" s="5">
        <v>0</v>
      </c>
      <c r="AH973" s="7">
        <f t="shared" si="120"/>
        <v>968.61590674580134</v>
      </c>
      <c r="AI973" s="8">
        <f t="shared" si="121"/>
        <v>4056.5634174514162</v>
      </c>
      <c r="AJ973" s="6">
        <v>0</v>
      </c>
      <c r="AK973" s="5">
        <v>0</v>
      </c>
      <c r="AL973" s="6">
        <v>0</v>
      </c>
      <c r="AM973" s="5">
        <v>0</v>
      </c>
      <c r="AN973" s="6">
        <v>0</v>
      </c>
      <c r="AO973" s="5">
        <v>0</v>
      </c>
      <c r="AP973" s="6">
        <v>425</v>
      </c>
      <c r="AQ973" s="5">
        <v>1780.9020268815329</v>
      </c>
      <c r="AR973" s="6">
        <v>0</v>
      </c>
      <c r="AS973" s="5">
        <v>0</v>
      </c>
      <c r="AT973" s="6">
        <v>105</v>
      </c>
      <c r="AU973" s="5">
        <v>531.92525859973455</v>
      </c>
      <c r="AV973" s="6">
        <v>0</v>
      </c>
      <c r="AW973" s="5">
        <v>0</v>
      </c>
      <c r="AX973" s="6">
        <v>0</v>
      </c>
      <c r="AY973" s="5">
        <v>0</v>
      </c>
      <c r="AZ973" s="6">
        <v>0</v>
      </c>
      <c r="BA973" s="5">
        <v>0</v>
      </c>
      <c r="BB973" s="6">
        <v>510</v>
      </c>
      <c r="BC973" s="5">
        <v>2226.3933398745862</v>
      </c>
      <c r="BD973" s="6">
        <v>0</v>
      </c>
      <c r="BE973" s="5">
        <v>0</v>
      </c>
      <c r="BF973" s="6">
        <v>0</v>
      </c>
      <c r="BG973" s="5">
        <v>0</v>
      </c>
      <c r="BH973" s="9">
        <f t="shared" si="122"/>
        <v>1040</v>
      </c>
      <c r="BI973" s="10">
        <f t="shared" si="123"/>
        <v>4539.2206253558543</v>
      </c>
      <c r="BJ973" s="6">
        <f t="shared" si="124"/>
        <v>71.38409325419866</v>
      </c>
      <c r="BK973" s="11">
        <f t="shared" si="125"/>
        <v>7.3697006994261904E-2</v>
      </c>
      <c r="BL973" s="5">
        <f t="shared" si="126"/>
        <v>482.65720790443811</v>
      </c>
      <c r="BM973" s="11">
        <f t="shared" si="127"/>
        <v>0.11898179770296138</v>
      </c>
    </row>
    <row r="974" spans="1:65" ht="15" customHeight="1" x14ac:dyDescent="0.4">
      <c r="A974" s="2" t="s">
        <v>745</v>
      </c>
      <c r="B974" s="2" t="s">
        <v>66</v>
      </c>
      <c r="C974" s="2" t="s">
        <v>746</v>
      </c>
      <c r="D974" s="3" t="s">
        <v>68</v>
      </c>
      <c r="E974" s="3" t="s">
        <v>128</v>
      </c>
      <c r="F974" s="2" t="s">
        <v>129</v>
      </c>
      <c r="G974" s="4">
        <v>5</v>
      </c>
      <c r="H974" s="5">
        <v>3.359999999999999</v>
      </c>
      <c r="I974" s="5">
        <v>3.5023885339900209</v>
      </c>
      <c r="J974" s="6">
        <v>0</v>
      </c>
      <c r="K974" s="5">
        <v>0</v>
      </c>
      <c r="L974" s="6">
        <v>0</v>
      </c>
      <c r="M974" s="5">
        <v>0</v>
      </c>
      <c r="N974" s="6">
        <v>0</v>
      </c>
      <c r="O974" s="5">
        <v>0</v>
      </c>
      <c r="P974" s="6">
        <v>197.84713483864269</v>
      </c>
      <c r="Q974" s="5">
        <v>664.76637305783925</v>
      </c>
      <c r="R974" s="6">
        <v>791.38853935457064</v>
      </c>
      <c r="S974" s="5">
        <v>2659.065492231357</v>
      </c>
      <c r="T974" s="6">
        <v>0</v>
      </c>
      <c r="U974" s="5">
        <v>0</v>
      </c>
      <c r="V974" s="6">
        <v>0</v>
      </c>
      <c r="W974" s="5">
        <v>0</v>
      </c>
      <c r="X974" s="6">
        <v>0</v>
      </c>
      <c r="Y974" s="5">
        <v>0</v>
      </c>
      <c r="Z974" s="6">
        <v>0</v>
      </c>
      <c r="AA974" s="5">
        <v>0</v>
      </c>
      <c r="AB974" s="6">
        <v>0</v>
      </c>
      <c r="AC974" s="5">
        <v>0</v>
      </c>
      <c r="AD974" s="6">
        <v>0</v>
      </c>
      <c r="AE974" s="5">
        <v>0</v>
      </c>
      <c r="AF974" s="6">
        <v>0</v>
      </c>
      <c r="AG974" s="5">
        <v>0</v>
      </c>
      <c r="AH974" s="7">
        <f t="shared" si="120"/>
        <v>989.2356741932133</v>
      </c>
      <c r="AI974" s="8">
        <f t="shared" si="121"/>
        <v>3323.8318652891962</v>
      </c>
      <c r="AJ974" s="6">
        <v>0</v>
      </c>
      <c r="AK974" s="5">
        <v>0</v>
      </c>
      <c r="AL974" s="6">
        <v>0</v>
      </c>
      <c r="AM974" s="5">
        <v>0</v>
      </c>
      <c r="AN974" s="6">
        <v>0</v>
      </c>
      <c r="AO974" s="5">
        <v>0</v>
      </c>
      <c r="AP974" s="6">
        <v>220</v>
      </c>
      <c r="AQ974" s="5">
        <v>770.52547747780466</v>
      </c>
      <c r="AR974" s="6">
        <v>875</v>
      </c>
      <c r="AS974" s="5">
        <v>3064.5899672412679</v>
      </c>
      <c r="AT974" s="6">
        <v>0</v>
      </c>
      <c r="AU974" s="5">
        <v>0</v>
      </c>
      <c r="AV974" s="6">
        <v>0</v>
      </c>
      <c r="AW974" s="5">
        <v>0</v>
      </c>
      <c r="AX974" s="6">
        <v>0</v>
      </c>
      <c r="AY974" s="5">
        <v>0</v>
      </c>
      <c r="AZ974" s="6">
        <v>0</v>
      </c>
      <c r="BA974" s="5">
        <v>0</v>
      </c>
      <c r="BB974" s="6">
        <v>0</v>
      </c>
      <c r="BC974" s="5">
        <v>0</v>
      </c>
      <c r="BD974" s="6">
        <v>0</v>
      </c>
      <c r="BE974" s="5">
        <v>0</v>
      </c>
      <c r="BF974" s="6">
        <v>0</v>
      </c>
      <c r="BG974" s="5">
        <v>0</v>
      </c>
      <c r="BH974" s="9">
        <f t="shared" si="122"/>
        <v>1095</v>
      </c>
      <c r="BI974" s="10">
        <f t="shared" si="123"/>
        <v>3835.1154447190725</v>
      </c>
      <c r="BJ974" s="6">
        <f t="shared" si="124"/>
        <v>105.7643258067867</v>
      </c>
      <c r="BK974" s="11">
        <f t="shared" si="125"/>
        <v>0.10691519580816215</v>
      </c>
      <c r="BL974" s="5">
        <f t="shared" si="126"/>
        <v>511.28357942987623</v>
      </c>
      <c r="BM974" s="11">
        <f t="shared" si="127"/>
        <v>0.15382353866006729</v>
      </c>
    </row>
    <row r="975" spans="1:65" ht="15" customHeight="1" x14ac:dyDescent="0.4">
      <c r="A975" s="2" t="s">
        <v>745</v>
      </c>
      <c r="B975" s="2" t="s">
        <v>66</v>
      </c>
      <c r="C975" s="2" t="s">
        <v>746</v>
      </c>
      <c r="D975" s="3" t="s">
        <v>68</v>
      </c>
      <c r="E975" s="3" t="s">
        <v>79</v>
      </c>
      <c r="F975" s="2" t="s">
        <v>80</v>
      </c>
      <c r="G975" s="4">
        <v>20</v>
      </c>
      <c r="H975" s="5">
        <v>3.1375000000000002</v>
      </c>
      <c r="I975" s="5">
        <v>3.27045953136717</v>
      </c>
      <c r="J975" s="6">
        <v>0</v>
      </c>
      <c r="K975" s="5">
        <v>0</v>
      </c>
      <c r="L975" s="6">
        <v>633.11083148365651</v>
      </c>
      <c r="M975" s="5">
        <v>1962.643577599335</v>
      </c>
      <c r="N975" s="6">
        <v>0</v>
      </c>
      <c r="O975" s="5">
        <v>0</v>
      </c>
      <c r="P975" s="6">
        <v>1266.221662967313</v>
      </c>
      <c r="Q975" s="5">
        <v>3925.28715519867</v>
      </c>
      <c r="R975" s="6">
        <v>1899.3324944509691</v>
      </c>
      <c r="S975" s="5">
        <v>5887.930732798005</v>
      </c>
      <c r="T975" s="6">
        <v>1899.3324944509691</v>
      </c>
      <c r="U975" s="5">
        <v>6001.890682465063</v>
      </c>
      <c r="V975" s="6">
        <v>633.11083148365651</v>
      </c>
      <c r="W975" s="5">
        <v>2019.623552432864</v>
      </c>
      <c r="X975" s="6">
        <v>1266.221662967313</v>
      </c>
      <c r="Y975" s="5">
        <v>4039.247104865728</v>
      </c>
      <c r="Z975" s="6">
        <v>2426.8701166038768</v>
      </c>
      <c r="AA975" s="5">
        <v>7614.3049908446628</v>
      </c>
      <c r="AB975" s="6">
        <v>1820.152587452907</v>
      </c>
      <c r="AC975" s="5">
        <v>5710.7287431334971</v>
      </c>
      <c r="AD975" s="6">
        <v>1820.152587452907</v>
      </c>
      <c r="AE975" s="5">
        <v>5710.7287431334971</v>
      </c>
      <c r="AF975" s="6">
        <v>0</v>
      </c>
      <c r="AG975" s="5">
        <v>0</v>
      </c>
      <c r="AH975" s="7">
        <f t="shared" si="120"/>
        <v>13664.505269313568</v>
      </c>
      <c r="AI975" s="8">
        <f t="shared" si="121"/>
        <v>42872.385282471325</v>
      </c>
      <c r="AJ975" s="6">
        <v>0</v>
      </c>
      <c r="AK975" s="5">
        <v>0</v>
      </c>
      <c r="AL975" s="6">
        <v>700</v>
      </c>
      <c r="AM975" s="5">
        <v>2261.9592615352221</v>
      </c>
      <c r="AN975" s="6">
        <v>0</v>
      </c>
      <c r="AO975" s="5">
        <v>0</v>
      </c>
      <c r="AP975" s="6">
        <v>1400</v>
      </c>
      <c r="AQ975" s="5">
        <v>4523.9185230704443</v>
      </c>
      <c r="AR975" s="6">
        <v>2100</v>
      </c>
      <c r="AS975" s="5">
        <v>6785.8777846056673</v>
      </c>
      <c r="AT975" s="6">
        <v>2100</v>
      </c>
      <c r="AU975" s="5">
        <v>6917.2173546302929</v>
      </c>
      <c r="AV975" s="6">
        <v>700</v>
      </c>
      <c r="AW975" s="5">
        <v>2327.6290465475349</v>
      </c>
      <c r="AX975" s="6">
        <v>1400</v>
      </c>
      <c r="AY975" s="5">
        <v>4655.2580930950699</v>
      </c>
      <c r="AZ975" s="6">
        <v>2680</v>
      </c>
      <c r="BA975" s="5">
        <v>8764.8315440640181</v>
      </c>
      <c r="BB975" s="6">
        <v>2000</v>
      </c>
      <c r="BC975" s="5">
        <v>6540.9190627343414</v>
      </c>
      <c r="BD975" s="6">
        <v>2000</v>
      </c>
      <c r="BE975" s="5">
        <v>6540.9190627343414</v>
      </c>
      <c r="BF975" s="6">
        <v>0</v>
      </c>
      <c r="BG975" s="5">
        <v>0</v>
      </c>
      <c r="BH975" s="9">
        <f t="shared" si="122"/>
        <v>15080</v>
      </c>
      <c r="BI975" s="10">
        <f t="shared" si="123"/>
        <v>49318.529733016927</v>
      </c>
      <c r="BJ975" s="6">
        <f t="shared" si="124"/>
        <v>1415.4947306864324</v>
      </c>
      <c r="BK975" s="11">
        <f t="shared" si="125"/>
        <v>0.10358916790534776</v>
      </c>
      <c r="BL975" s="5">
        <f t="shared" si="126"/>
        <v>6446.144450545602</v>
      </c>
      <c r="BM975" s="11">
        <f t="shared" si="127"/>
        <v>0.15035656187716603</v>
      </c>
    </row>
    <row r="976" spans="1:65" ht="15" customHeight="1" x14ac:dyDescent="0.4">
      <c r="A976" s="2" t="s">
        <v>745</v>
      </c>
      <c r="B976" s="2" t="s">
        <v>66</v>
      </c>
      <c r="C976" s="2" t="s">
        <v>746</v>
      </c>
      <c r="D976" s="3" t="s">
        <v>68</v>
      </c>
      <c r="E976" s="3" t="s">
        <v>233</v>
      </c>
      <c r="F976" s="2" t="s">
        <v>234</v>
      </c>
      <c r="G976" s="4">
        <v>1000</v>
      </c>
      <c r="H976" s="5">
        <v>2.84</v>
      </c>
      <c r="I976" s="5">
        <v>2.9603522132534712</v>
      </c>
      <c r="J976" s="6">
        <v>0</v>
      </c>
      <c r="K976" s="5">
        <v>0</v>
      </c>
      <c r="L976" s="6">
        <v>0</v>
      </c>
      <c r="M976" s="5">
        <v>0</v>
      </c>
      <c r="N976" s="6">
        <v>0</v>
      </c>
      <c r="O976" s="5">
        <v>0</v>
      </c>
      <c r="P976" s="6">
        <v>0</v>
      </c>
      <c r="Q976" s="5">
        <v>0</v>
      </c>
      <c r="R976" s="6">
        <v>989.23567419321319</v>
      </c>
      <c r="S976" s="5">
        <v>2809.429314708726</v>
      </c>
      <c r="T976" s="6">
        <v>0</v>
      </c>
      <c r="U976" s="5">
        <v>0</v>
      </c>
      <c r="V976" s="6">
        <v>989.23567419321319</v>
      </c>
      <c r="W976" s="5">
        <v>2809.429314708726</v>
      </c>
      <c r="X976" s="6">
        <v>0</v>
      </c>
      <c r="Y976" s="5">
        <v>0</v>
      </c>
      <c r="Z976" s="6">
        <v>0</v>
      </c>
      <c r="AA976" s="5">
        <v>0</v>
      </c>
      <c r="AB976" s="6">
        <v>0</v>
      </c>
      <c r="AC976" s="5">
        <v>0</v>
      </c>
      <c r="AD976" s="6">
        <v>0</v>
      </c>
      <c r="AE976" s="5">
        <v>0</v>
      </c>
      <c r="AF976" s="6">
        <v>0</v>
      </c>
      <c r="AG976" s="5">
        <v>0</v>
      </c>
      <c r="AH976" s="7">
        <f t="shared" si="120"/>
        <v>1978.4713483864264</v>
      </c>
      <c r="AI976" s="8">
        <f t="shared" si="121"/>
        <v>5618.858629417452</v>
      </c>
      <c r="AJ976" s="6">
        <v>0</v>
      </c>
      <c r="AK976" s="5">
        <v>0</v>
      </c>
      <c r="AL976" s="6">
        <v>0</v>
      </c>
      <c r="AM976" s="5">
        <v>0</v>
      </c>
      <c r="AN976" s="6">
        <v>0</v>
      </c>
      <c r="AO976" s="5">
        <v>0</v>
      </c>
      <c r="AP976" s="6">
        <v>0</v>
      </c>
      <c r="AQ976" s="5">
        <v>0</v>
      </c>
      <c r="AR976" s="6">
        <v>1000</v>
      </c>
      <c r="AS976" s="5">
        <v>2960.3522132534708</v>
      </c>
      <c r="AT976" s="6">
        <v>0</v>
      </c>
      <c r="AU976" s="5">
        <v>0</v>
      </c>
      <c r="AV976" s="6">
        <v>1000</v>
      </c>
      <c r="AW976" s="5">
        <v>2960.3522132534708</v>
      </c>
      <c r="AX976" s="6">
        <v>0</v>
      </c>
      <c r="AY976" s="5">
        <v>0</v>
      </c>
      <c r="AZ976" s="6">
        <v>0</v>
      </c>
      <c r="BA976" s="5">
        <v>0</v>
      </c>
      <c r="BB976" s="6">
        <v>0</v>
      </c>
      <c r="BC976" s="5">
        <v>0</v>
      </c>
      <c r="BD976" s="6">
        <v>0</v>
      </c>
      <c r="BE976" s="5">
        <v>0</v>
      </c>
      <c r="BF976" s="6">
        <v>0</v>
      </c>
      <c r="BG976" s="5">
        <v>0</v>
      </c>
      <c r="BH976" s="9">
        <f t="shared" si="122"/>
        <v>2000</v>
      </c>
      <c r="BI976" s="10">
        <f t="shared" si="123"/>
        <v>5920.7044265069417</v>
      </c>
      <c r="BJ976" s="6">
        <f t="shared" si="124"/>
        <v>21.528651613573629</v>
      </c>
      <c r="BK976" s="11">
        <f t="shared" si="125"/>
        <v>1.0881457359052311E-2</v>
      </c>
      <c r="BL976" s="5">
        <f t="shared" si="126"/>
        <v>301.84579708948968</v>
      </c>
      <c r="BM976" s="11">
        <f t="shared" si="127"/>
        <v>5.3720126630198602E-2</v>
      </c>
    </row>
    <row r="977" spans="1:65" ht="15" customHeight="1" x14ac:dyDescent="0.4">
      <c r="A977" s="2" t="s">
        <v>745</v>
      </c>
      <c r="B977" s="2" t="s">
        <v>66</v>
      </c>
      <c r="C977" s="2" t="s">
        <v>746</v>
      </c>
      <c r="D977" s="3" t="s">
        <v>68</v>
      </c>
      <c r="E977" s="3" t="s">
        <v>637</v>
      </c>
      <c r="F977" s="2" t="s">
        <v>638</v>
      </c>
      <c r="G977" s="4">
        <v>20</v>
      </c>
      <c r="H977" s="5">
        <v>11.12</v>
      </c>
      <c r="I977" s="5">
        <v>11.59123824344317</v>
      </c>
      <c r="J977" s="6">
        <v>0</v>
      </c>
      <c r="K977" s="5">
        <v>0</v>
      </c>
      <c r="L977" s="6">
        <v>0</v>
      </c>
      <c r="M977" s="5">
        <v>0</v>
      </c>
      <c r="N977" s="6">
        <v>0</v>
      </c>
      <c r="O977" s="5">
        <v>0</v>
      </c>
      <c r="P977" s="6">
        <v>0</v>
      </c>
      <c r="Q977" s="5">
        <v>0</v>
      </c>
      <c r="R977" s="6">
        <v>0</v>
      </c>
      <c r="S977" s="5">
        <v>0</v>
      </c>
      <c r="T977" s="6">
        <v>0</v>
      </c>
      <c r="U977" s="5">
        <v>0</v>
      </c>
      <c r="V977" s="6">
        <v>0</v>
      </c>
      <c r="W977" s="5">
        <v>0</v>
      </c>
      <c r="X977" s="6">
        <v>19.78471348386427</v>
      </c>
      <c r="Y977" s="5">
        <v>220.0060139405706</v>
      </c>
      <c r="Z977" s="6">
        <v>0</v>
      </c>
      <c r="AA977" s="5">
        <v>0</v>
      </c>
      <c r="AB977" s="6">
        <v>0</v>
      </c>
      <c r="AC977" s="5">
        <v>0</v>
      </c>
      <c r="AD977" s="6">
        <v>0</v>
      </c>
      <c r="AE977" s="5">
        <v>0</v>
      </c>
      <c r="AF977" s="6">
        <v>0</v>
      </c>
      <c r="AG977" s="5">
        <v>0</v>
      </c>
      <c r="AH977" s="7">
        <f t="shared" si="120"/>
        <v>19.78471348386427</v>
      </c>
      <c r="AI977" s="8">
        <f t="shared" si="121"/>
        <v>220.0060139405706</v>
      </c>
      <c r="AJ977" s="6">
        <v>0</v>
      </c>
      <c r="AK977" s="5">
        <v>0</v>
      </c>
      <c r="AL977" s="6">
        <v>0</v>
      </c>
      <c r="AM977" s="5">
        <v>0</v>
      </c>
      <c r="AN977" s="6">
        <v>0</v>
      </c>
      <c r="AO977" s="5">
        <v>0</v>
      </c>
      <c r="AP977" s="6">
        <v>0</v>
      </c>
      <c r="AQ977" s="5">
        <v>0</v>
      </c>
      <c r="AR977" s="6">
        <v>0</v>
      </c>
      <c r="AS977" s="5">
        <v>0</v>
      </c>
      <c r="AT977" s="6">
        <v>0</v>
      </c>
      <c r="AU977" s="5">
        <v>0</v>
      </c>
      <c r="AV977" s="6">
        <v>0</v>
      </c>
      <c r="AW977" s="5">
        <v>0</v>
      </c>
      <c r="AX977" s="6">
        <v>20</v>
      </c>
      <c r="AY977" s="5">
        <v>231.8247648688633</v>
      </c>
      <c r="AZ977" s="6">
        <v>0</v>
      </c>
      <c r="BA977" s="5">
        <v>0</v>
      </c>
      <c r="BB977" s="6">
        <v>0</v>
      </c>
      <c r="BC977" s="5">
        <v>0</v>
      </c>
      <c r="BD977" s="6">
        <v>0</v>
      </c>
      <c r="BE977" s="5">
        <v>0</v>
      </c>
      <c r="BF977" s="6">
        <v>0</v>
      </c>
      <c r="BG977" s="5">
        <v>0</v>
      </c>
      <c r="BH977" s="9">
        <f t="shared" si="122"/>
        <v>20</v>
      </c>
      <c r="BI977" s="10">
        <f t="shared" si="123"/>
        <v>231.8247648688633</v>
      </c>
      <c r="BJ977" s="6">
        <f t="shared" si="124"/>
        <v>0.21528651613573047</v>
      </c>
      <c r="BK977" s="11">
        <f t="shared" si="125"/>
        <v>1.0881457359052014E-2</v>
      </c>
      <c r="BL977" s="5">
        <f t="shared" si="126"/>
        <v>11.818750928292701</v>
      </c>
      <c r="BM977" s="11">
        <f t="shared" si="127"/>
        <v>5.3720126630198643E-2</v>
      </c>
    </row>
    <row r="978" spans="1:65" ht="15" customHeight="1" x14ac:dyDescent="0.4">
      <c r="A978" s="2" t="s">
        <v>745</v>
      </c>
      <c r="B978" s="2" t="s">
        <v>66</v>
      </c>
      <c r="C978" s="2" t="s">
        <v>749</v>
      </c>
      <c r="D978" s="3" t="s">
        <v>68</v>
      </c>
      <c r="E978" s="3" t="s">
        <v>154</v>
      </c>
      <c r="F978" s="2" t="s">
        <v>155</v>
      </c>
      <c r="G978" s="4">
        <v>20</v>
      </c>
      <c r="H978" s="5">
        <v>2.83</v>
      </c>
      <c r="I978" s="5">
        <v>2.9499284378546911</v>
      </c>
      <c r="J978" s="6">
        <v>0</v>
      </c>
      <c r="K978" s="5">
        <v>0</v>
      </c>
      <c r="L978" s="6">
        <v>0</v>
      </c>
      <c r="M978" s="5">
        <v>0</v>
      </c>
      <c r="N978" s="6">
        <v>0</v>
      </c>
      <c r="O978" s="5">
        <v>0</v>
      </c>
      <c r="P978" s="6">
        <v>0</v>
      </c>
      <c r="Q978" s="5">
        <v>0</v>
      </c>
      <c r="R978" s="6">
        <v>0</v>
      </c>
      <c r="S978" s="5">
        <v>0</v>
      </c>
      <c r="T978" s="6">
        <v>197.84713483864269</v>
      </c>
      <c r="U978" s="5">
        <v>559.90739159335874</v>
      </c>
      <c r="V978" s="6">
        <v>0</v>
      </c>
      <c r="W978" s="5">
        <v>0</v>
      </c>
      <c r="X978" s="6">
        <v>0</v>
      </c>
      <c r="Y978" s="5">
        <v>0</v>
      </c>
      <c r="Z978" s="6">
        <v>0</v>
      </c>
      <c r="AA978" s="5">
        <v>0</v>
      </c>
      <c r="AB978" s="6">
        <v>0</v>
      </c>
      <c r="AC978" s="5">
        <v>0</v>
      </c>
      <c r="AD978" s="6">
        <v>0</v>
      </c>
      <c r="AE978" s="5">
        <v>0</v>
      </c>
      <c r="AF978" s="6">
        <v>0</v>
      </c>
      <c r="AG978" s="5">
        <v>0</v>
      </c>
      <c r="AH978" s="7">
        <f t="shared" si="120"/>
        <v>197.84713483864269</v>
      </c>
      <c r="AI978" s="8">
        <f t="shared" si="121"/>
        <v>559.90739159335874</v>
      </c>
      <c r="AJ978" s="6">
        <v>0</v>
      </c>
      <c r="AK978" s="5">
        <v>0</v>
      </c>
      <c r="AL978" s="6">
        <v>0</v>
      </c>
      <c r="AM978" s="5">
        <v>0</v>
      </c>
      <c r="AN978" s="6">
        <v>0</v>
      </c>
      <c r="AO978" s="5">
        <v>0</v>
      </c>
      <c r="AP978" s="6">
        <v>0</v>
      </c>
      <c r="AQ978" s="5">
        <v>0</v>
      </c>
      <c r="AR978" s="6">
        <v>0</v>
      </c>
      <c r="AS978" s="5">
        <v>0</v>
      </c>
      <c r="AT978" s="6">
        <v>240</v>
      </c>
      <c r="AU978" s="5">
        <v>707.98282508512591</v>
      </c>
      <c r="AV978" s="6">
        <v>0</v>
      </c>
      <c r="AW978" s="5">
        <v>0</v>
      </c>
      <c r="AX978" s="6">
        <v>0</v>
      </c>
      <c r="AY978" s="5">
        <v>0</v>
      </c>
      <c r="AZ978" s="6">
        <v>0</v>
      </c>
      <c r="BA978" s="5">
        <v>0</v>
      </c>
      <c r="BB978" s="6">
        <v>0</v>
      </c>
      <c r="BC978" s="5">
        <v>0</v>
      </c>
      <c r="BD978" s="6">
        <v>0</v>
      </c>
      <c r="BE978" s="5">
        <v>0</v>
      </c>
      <c r="BF978" s="6">
        <v>0</v>
      </c>
      <c r="BG978" s="5">
        <v>0</v>
      </c>
      <c r="BH978" s="9">
        <f t="shared" si="122"/>
        <v>240</v>
      </c>
      <c r="BI978" s="10">
        <f t="shared" si="123"/>
        <v>707.98282508512591</v>
      </c>
      <c r="BJ978" s="6">
        <f t="shared" si="124"/>
        <v>42.152865161357312</v>
      </c>
      <c r="BK978" s="11">
        <f t="shared" si="125"/>
        <v>0.21305774883086245</v>
      </c>
      <c r="BL978" s="5">
        <f t="shared" si="126"/>
        <v>148.07543349176717</v>
      </c>
      <c r="BM978" s="11">
        <f t="shared" si="127"/>
        <v>0.26446415195623851</v>
      </c>
    </row>
    <row r="979" spans="1:65" ht="15" customHeight="1" x14ac:dyDescent="0.4">
      <c r="A979" s="2" t="s">
        <v>745</v>
      </c>
      <c r="B979" s="2" t="s">
        <v>66</v>
      </c>
      <c r="C979" s="2" t="s">
        <v>749</v>
      </c>
      <c r="D979" s="3" t="s">
        <v>68</v>
      </c>
      <c r="E979" s="3" t="s">
        <v>82</v>
      </c>
      <c r="F979" s="2" t="s">
        <v>83</v>
      </c>
      <c r="G979" s="4">
        <v>20</v>
      </c>
      <c r="H979" s="5">
        <v>2.8233333333333328</v>
      </c>
      <c r="I979" s="5">
        <v>2.942979254255504</v>
      </c>
      <c r="J979" s="6">
        <v>0</v>
      </c>
      <c r="K979" s="5">
        <v>0</v>
      </c>
      <c r="L979" s="6">
        <v>0</v>
      </c>
      <c r="M979" s="5">
        <v>0</v>
      </c>
      <c r="N979" s="6">
        <v>0</v>
      </c>
      <c r="O979" s="5">
        <v>0</v>
      </c>
      <c r="P979" s="6">
        <v>0</v>
      </c>
      <c r="Q979" s="5">
        <v>0</v>
      </c>
      <c r="R979" s="6">
        <v>1266.221662967313</v>
      </c>
      <c r="S979" s="5">
        <v>3494.7717897897842</v>
      </c>
      <c r="T979" s="6">
        <v>0</v>
      </c>
      <c r="U979" s="5">
        <v>0</v>
      </c>
      <c r="V979" s="6">
        <v>633.11083148365651</v>
      </c>
      <c r="W979" s="5">
        <v>1867.676952876787</v>
      </c>
      <c r="X979" s="6">
        <v>0</v>
      </c>
      <c r="Y979" s="5">
        <v>0</v>
      </c>
      <c r="Z979" s="6">
        <v>0</v>
      </c>
      <c r="AA979" s="5">
        <v>0</v>
      </c>
      <c r="AB979" s="6">
        <v>0</v>
      </c>
      <c r="AC979" s="5">
        <v>0</v>
      </c>
      <c r="AD979" s="6">
        <v>0</v>
      </c>
      <c r="AE979" s="5">
        <v>0</v>
      </c>
      <c r="AF979" s="6">
        <v>0</v>
      </c>
      <c r="AG979" s="5">
        <v>0</v>
      </c>
      <c r="AH979" s="7">
        <f t="shared" si="120"/>
        <v>1899.3324944509695</v>
      </c>
      <c r="AI979" s="8">
        <f t="shared" si="121"/>
        <v>5362.448742666571</v>
      </c>
      <c r="AJ979" s="6">
        <v>0</v>
      </c>
      <c r="AK979" s="5">
        <v>0</v>
      </c>
      <c r="AL979" s="6">
        <v>0</v>
      </c>
      <c r="AM979" s="5">
        <v>0</v>
      </c>
      <c r="AN979" s="6">
        <v>0</v>
      </c>
      <c r="AO979" s="5">
        <v>0</v>
      </c>
      <c r="AP979" s="6">
        <v>0</v>
      </c>
      <c r="AQ979" s="5">
        <v>0</v>
      </c>
      <c r="AR979" s="6">
        <v>1400</v>
      </c>
      <c r="AS979" s="5">
        <v>4027.7468140885239</v>
      </c>
      <c r="AT979" s="6">
        <v>0</v>
      </c>
      <c r="AU979" s="5">
        <v>0</v>
      </c>
      <c r="AV979" s="6">
        <v>700</v>
      </c>
      <c r="AW979" s="5">
        <v>2152.5096198480342</v>
      </c>
      <c r="AX979" s="6">
        <v>0</v>
      </c>
      <c r="AY979" s="5">
        <v>0</v>
      </c>
      <c r="AZ979" s="6">
        <v>0</v>
      </c>
      <c r="BA979" s="5">
        <v>0</v>
      </c>
      <c r="BB979" s="6">
        <v>0</v>
      </c>
      <c r="BC979" s="5">
        <v>0</v>
      </c>
      <c r="BD979" s="6">
        <v>0</v>
      </c>
      <c r="BE979" s="5">
        <v>0</v>
      </c>
      <c r="BF979" s="6">
        <v>0</v>
      </c>
      <c r="BG979" s="5">
        <v>0</v>
      </c>
      <c r="BH979" s="9">
        <f t="shared" si="122"/>
        <v>2100</v>
      </c>
      <c r="BI979" s="10">
        <f t="shared" si="123"/>
        <v>6180.2564339365581</v>
      </c>
      <c r="BJ979" s="6">
        <f t="shared" si="124"/>
        <v>200.66750554903047</v>
      </c>
      <c r="BK979" s="11">
        <f t="shared" si="125"/>
        <v>0.10565159398646334</v>
      </c>
      <c r="BL979" s="5">
        <f t="shared" si="126"/>
        <v>817.80769126998712</v>
      </c>
      <c r="BM979" s="11">
        <f t="shared" si="127"/>
        <v>0.1525063885017795</v>
      </c>
    </row>
    <row r="980" spans="1:65" ht="15" customHeight="1" x14ac:dyDescent="0.4">
      <c r="A980" s="2" t="s">
        <v>745</v>
      </c>
      <c r="B980" s="2" t="s">
        <v>66</v>
      </c>
      <c r="C980" s="2" t="s">
        <v>749</v>
      </c>
      <c r="D980" s="3" t="s">
        <v>68</v>
      </c>
      <c r="E980" s="3" t="s">
        <v>221</v>
      </c>
      <c r="F980" s="2" t="s">
        <v>222</v>
      </c>
      <c r="G980" s="4">
        <v>200</v>
      </c>
      <c r="H980" s="5">
        <v>2.68</v>
      </c>
      <c r="I980" s="5">
        <v>2.7935718068729938</v>
      </c>
      <c r="J980" s="6">
        <v>0</v>
      </c>
      <c r="K980" s="5">
        <v>0</v>
      </c>
      <c r="L980" s="6">
        <v>0</v>
      </c>
      <c r="M980" s="5">
        <v>0</v>
      </c>
      <c r="N980" s="6">
        <v>0</v>
      </c>
      <c r="O980" s="5">
        <v>0</v>
      </c>
      <c r="P980" s="6">
        <v>0</v>
      </c>
      <c r="Q980" s="5">
        <v>0</v>
      </c>
      <c r="R980" s="6">
        <v>0</v>
      </c>
      <c r="S980" s="5">
        <v>0</v>
      </c>
      <c r="T980" s="6">
        <v>0</v>
      </c>
      <c r="U980" s="5">
        <v>0</v>
      </c>
      <c r="V980" s="6">
        <v>0</v>
      </c>
      <c r="W980" s="5">
        <v>0</v>
      </c>
      <c r="X980" s="6">
        <v>0</v>
      </c>
      <c r="Y980" s="5">
        <v>0</v>
      </c>
      <c r="Z980" s="6">
        <v>379.19845571935571</v>
      </c>
      <c r="AA980" s="5">
        <v>1016.251861327873</v>
      </c>
      <c r="AB980" s="6">
        <v>758.39691143871141</v>
      </c>
      <c r="AC980" s="5">
        <v>2032.503722655747</v>
      </c>
      <c r="AD980" s="6">
        <v>0</v>
      </c>
      <c r="AE980" s="5">
        <v>0</v>
      </c>
      <c r="AF980" s="6">
        <v>0</v>
      </c>
      <c r="AG980" s="5">
        <v>0</v>
      </c>
      <c r="AH980" s="7">
        <f t="shared" si="120"/>
        <v>1137.5953671580671</v>
      </c>
      <c r="AI980" s="8">
        <f t="shared" si="121"/>
        <v>3048.75558398362</v>
      </c>
      <c r="AJ980" s="6">
        <v>0</v>
      </c>
      <c r="AK980" s="5">
        <v>0</v>
      </c>
      <c r="AL980" s="6">
        <v>0</v>
      </c>
      <c r="AM980" s="5">
        <v>0</v>
      </c>
      <c r="AN980" s="6">
        <v>0</v>
      </c>
      <c r="AO980" s="5">
        <v>0</v>
      </c>
      <c r="AP980" s="6">
        <v>0</v>
      </c>
      <c r="AQ980" s="5">
        <v>0</v>
      </c>
      <c r="AR980" s="6">
        <v>0</v>
      </c>
      <c r="AS980" s="5">
        <v>0</v>
      </c>
      <c r="AT980" s="6">
        <v>0</v>
      </c>
      <c r="AU980" s="5">
        <v>0</v>
      </c>
      <c r="AV980" s="6">
        <v>0</v>
      </c>
      <c r="AW980" s="5">
        <v>0</v>
      </c>
      <c r="AX980" s="6">
        <v>0</v>
      </c>
      <c r="AY980" s="5">
        <v>0</v>
      </c>
      <c r="AZ980" s="6">
        <v>400</v>
      </c>
      <c r="BA980" s="5">
        <v>1117.428722749198</v>
      </c>
      <c r="BB980" s="6">
        <v>800</v>
      </c>
      <c r="BC980" s="5">
        <v>2234.857445498395</v>
      </c>
      <c r="BD980" s="6">
        <v>0</v>
      </c>
      <c r="BE980" s="5">
        <v>0</v>
      </c>
      <c r="BF980" s="6">
        <v>0</v>
      </c>
      <c r="BG980" s="5">
        <v>0</v>
      </c>
      <c r="BH980" s="9">
        <f t="shared" si="122"/>
        <v>1200</v>
      </c>
      <c r="BI980" s="10">
        <f t="shared" si="123"/>
        <v>3352.2861682475932</v>
      </c>
      <c r="BJ980" s="6">
        <f t="shared" si="124"/>
        <v>62.40463284193288</v>
      </c>
      <c r="BK980" s="11">
        <f t="shared" si="125"/>
        <v>5.4856616547087129E-2</v>
      </c>
      <c r="BL980" s="5">
        <f t="shared" si="126"/>
        <v>303.5305842639732</v>
      </c>
      <c r="BM980" s="11">
        <f t="shared" si="127"/>
        <v>9.9558844880365441E-2</v>
      </c>
    </row>
    <row r="981" spans="1:65" ht="15" customHeight="1" x14ac:dyDescent="0.4">
      <c r="A981" s="2" t="s">
        <v>745</v>
      </c>
      <c r="B981" s="2" t="s">
        <v>66</v>
      </c>
      <c r="C981" s="2" t="s">
        <v>749</v>
      </c>
      <c r="D981" s="3" t="s">
        <v>68</v>
      </c>
      <c r="E981" s="3" t="s">
        <v>318</v>
      </c>
      <c r="F981" s="2" t="s">
        <v>319</v>
      </c>
      <c r="G981" s="4">
        <v>1000</v>
      </c>
      <c r="H981" s="5">
        <v>2.4300000000000002</v>
      </c>
      <c r="I981" s="5">
        <v>2.5329774219034982</v>
      </c>
      <c r="J981" s="6">
        <v>0</v>
      </c>
      <c r="K981" s="5">
        <v>0</v>
      </c>
      <c r="L981" s="6">
        <v>0</v>
      </c>
      <c r="M981" s="5">
        <v>0</v>
      </c>
      <c r="N981" s="6">
        <v>0</v>
      </c>
      <c r="O981" s="5">
        <v>0</v>
      </c>
      <c r="P981" s="6">
        <v>0</v>
      </c>
      <c r="Q981" s="5">
        <v>0</v>
      </c>
      <c r="R981" s="6">
        <v>0</v>
      </c>
      <c r="S981" s="5">
        <v>0</v>
      </c>
      <c r="T981" s="6">
        <v>989.23567419321319</v>
      </c>
      <c r="U981" s="5">
        <v>2403.8426882895078</v>
      </c>
      <c r="V981" s="6">
        <v>0</v>
      </c>
      <c r="W981" s="5">
        <v>0</v>
      </c>
      <c r="X981" s="6">
        <v>0</v>
      </c>
      <c r="Y981" s="5">
        <v>0</v>
      </c>
      <c r="Z981" s="6">
        <v>1895.992278596779</v>
      </c>
      <c r="AA981" s="5">
        <v>4607.2612369901717</v>
      </c>
      <c r="AB981" s="6">
        <v>2843.9884178951679</v>
      </c>
      <c r="AC981" s="5">
        <v>6910.8918554852589</v>
      </c>
      <c r="AD981" s="6">
        <v>947.99613929838938</v>
      </c>
      <c r="AE981" s="5">
        <v>2303.6306184950859</v>
      </c>
      <c r="AF981" s="6">
        <v>0</v>
      </c>
      <c r="AG981" s="5">
        <v>0</v>
      </c>
      <c r="AH981" s="7">
        <f t="shared" si="120"/>
        <v>6677.2125099835503</v>
      </c>
      <c r="AI981" s="8">
        <f t="shared" si="121"/>
        <v>16225.626399260025</v>
      </c>
      <c r="AJ981" s="6">
        <v>0</v>
      </c>
      <c r="AK981" s="5">
        <v>0</v>
      </c>
      <c r="AL981" s="6">
        <v>0</v>
      </c>
      <c r="AM981" s="5">
        <v>0</v>
      </c>
      <c r="AN981" s="6">
        <v>0</v>
      </c>
      <c r="AO981" s="5">
        <v>0</v>
      </c>
      <c r="AP981" s="6">
        <v>0</v>
      </c>
      <c r="AQ981" s="5">
        <v>0</v>
      </c>
      <c r="AR981" s="6">
        <v>0</v>
      </c>
      <c r="AS981" s="5">
        <v>0</v>
      </c>
      <c r="AT981" s="6">
        <v>1000</v>
      </c>
      <c r="AU981" s="5">
        <v>2532.977421903498</v>
      </c>
      <c r="AV981" s="6">
        <v>0</v>
      </c>
      <c r="AW981" s="5">
        <v>0</v>
      </c>
      <c r="AX981" s="6">
        <v>0</v>
      </c>
      <c r="AY981" s="5">
        <v>0</v>
      </c>
      <c r="AZ981" s="6">
        <v>2000</v>
      </c>
      <c r="BA981" s="5">
        <v>5065.954843806996</v>
      </c>
      <c r="BB981" s="6">
        <v>3000</v>
      </c>
      <c r="BC981" s="5">
        <v>7598.9322657104931</v>
      </c>
      <c r="BD981" s="6">
        <v>1000</v>
      </c>
      <c r="BE981" s="5">
        <v>2532.977421903498</v>
      </c>
      <c r="BF981" s="6">
        <v>0</v>
      </c>
      <c r="BG981" s="5">
        <v>0</v>
      </c>
      <c r="BH981" s="9">
        <f t="shared" si="122"/>
        <v>7000</v>
      </c>
      <c r="BI981" s="10">
        <f t="shared" si="123"/>
        <v>17730.841953324485</v>
      </c>
      <c r="BJ981" s="6">
        <f t="shared" si="124"/>
        <v>322.78749001644974</v>
      </c>
      <c r="BK981" s="11">
        <f t="shared" si="125"/>
        <v>4.8341652977770051E-2</v>
      </c>
      <c r="BL981" s="5">
        <f t="shared" si="126"/>
        <v>1505.2155540644599</v>
      </c>
      <c r="BM981" s="11">
        <f t="shared" si="127"/>
        <v>9.2767793182585892E-2</v>
      </c>
    </row>
    <row r="982" spans="1:65" ht="15" customHeight="1" x14ac:dyDescent="0.4">
      <c r="A982" s="2" t="s">
        <v>745</v>
      </c>
      <c r="B982" s="2" t="s">
        <v>66</v>
      </c>
      <c r="C982" s="2" t="s">
        <v>749</v>
      </c>
      <c r="D982" s="3" t="s">
        <v>68</v>
      </c>
      <c r="E982" s="3" t="s">
        <v>747</v>
      </c>
      <c r="F982" s="2" t="s">
        <v>748</v>
      </c>
      <c r="G982" s="4">
        <v>20</v>
      </c>
      <c r="H982" s="5">
        <v>3.35</v>
      </c>
      <c r="I982" s="5">
        <v>3.491964758591243</v>
      </c>
      <c r="J982" s="6">
        <v>0</v>
      </c>
      <c r="K982" s="5">
        <v>0</v>
      </c>
      <c r="L982" s="6">
        <v>0</v>
      </c>
      <c r="M982" s="5">
        <v>0</v>
      </c>
      <c r="N982" s="6">
        <v>0</v>
      </c>
      <c r="O982" s="5">
        <v>0</v>
      </c>
      <c r="P982" s="6">
        <v>0</v>
      </c>
      <c r="Q982" s="5">
        <v>0</v>
      </c>
      <c r="R982" s="6">
        <v>0</v>
      </c>
      <c r="S982" s="5">
        <v>0</v>
      </c>
      <c r="T982" s="6">
        <v>949.66624722548465</v>
      </c>
      <c r="U982" s="5">
        <v>3105.4086284273349</v>
      </c>
      <c r="V982" s="6">
        <v>0</v>
      </c>
      <c r="W982" s="5">
        <v>0</v>
      </c>
      <c r="X982" s="6">
        <v>633.11083148365651</v>
      </c>
      <c r="Y982" s="5">
        <v>2196.894585248288</v>
      </c>
      <c r="Z982" s="6">
        <v>0</v>
      </c>
      <c r="AA982" s="5">
        <v>0</v>
      </c>
      <c r="AB982" s="6">
        <v>0</v>
      </c>
      <c r="AC982" s="5">
        <v>0</v>
      </c>
      <c r="AD982" s="6">
        <v>0</v>
      </c>
      <c r="AE982" s="5">
        <v>0</v>
      </c>
      <c r="AF982" s="6">
        <v>0</v>
      </c>
      <c r="AG982" s="5">
        <v>0</v>
      </c>
      <c r="AH982" s="7">
        <f t="shared" si="120"/>
        <v>1582.7770787091413</v>
      </c>
      <c r="AI982" s="8">
        <f t="shared" si="121"/>
        <v>5302.3032136756228</v>
      </c>
      <c r="AJ982" s="6">
        <v>0</v>
      </c>
      <c r="AK982" s="5">
        <v>0</v>
      </c>
      <c r="AL982" s="6">
        <v>0</v>
      </c>
      <c r="AM982" s="5">
        <v>0</v>
      </c>
      <c r="AN982" s="6">
        <v>0</v>
      </c>
      <c r="AO982" s="5">
        <v>0</v>
      </c>
      <c r="AP982" s="6">
        <v>0</v>
      </c>
      <c r="AQ982" s="5">
        <v>0</v>
      </c>
      <c r="AR982" s="6">
        <v>0</v>
      </c>
      <c r="AS982" s="5">
        <v>0</v>
      </c>
      <c r="AT982" s="6">
        <v>1200</v>
      </c>
      <c r="AU982" s="5">
        <v>4090.2894664812052</v>
      </c>
      <c r="AV982" s="6">
        <v>0</v>
      </c>
      <c r="AW982" s="5">
        <v>0</v>
      </c>
      <c r="AX982" s="6">
        <v>800</v>
      </c>
      <c r="AY982" s="5">
        <v>2893.64005070128</v>
      </c>
      <c r="AZ982" s="6">
        <v>0</v>
      </c>
      <c r="BA982" s="5">
        <v>0</v>
      </c>
      <c r="BB982" s="6">
        <v>0</v>
      </c>
      <c r="BC982" s="5">
        <v>0</v>
      </c>
      <c r="BD982" s="6">
        <v>0</v>
      </c>
      <c r="BE982" s="5">
        <v>0</v>
      </c>
      <c r="BF982" s="6">
        <v>0</v>
      </c>
      <c r="BG982" s="5">
        <v>0</v>
      </c>
      <c r="BH982" s="9">
        <f t="shared" si="122"/>
        <v>2000</v>
      </c>
      <c r="BI982" s="10">
        <f t="shared" si="123"/>
        <v>6983.9295171824851</v>
      </c>
      <c r="BJ982" s="6">
        <f t="shared" si="124"/>
        <v>417.22292129085872</v>
      </c>
      <c r="BK982" s="11">
        <f t="shared" si="125"/>
        <v>0.26360182169881524</v>
      </c>
      <c r="BL982" s="5">
        <f t="shared" si="126"/>
        <v>1681.6263035068623</v>
      </c>
      <c r="BM982" s="11">
        <f t="shared" si="127"/>
        <v>0.31715015828774867</v>
      </c>
    </row>
    <row r="983" spans="1:65" ht="15" customHeight="1" x14ac:dyDescent="0.4">
      <c r="A983" s="2" t="s">
        <v>745</v>
      </c>
      <c r="B983" s="2" t="s">
        <v>66</v>
      </c>
      <c r="C983" s="2" t="s">
        <v>749</v>
      </c>
      <c r="D983" s="3" t="s">
        <v>68</v>
      </c>
      <c r="E983" s="3" t="s">
        <v>86</v>
      </c>
      <c r="F983" s="2" t="s">
        <v>87</v>
      </c>
      <c r="G983" s="4">
        <v>20</v>
      </c>
      <c r="H983" s="5">
        <v>1.5784210526315789</v>
      </c>
      <c r="I983" s="5">
        <v>1.645310653733721</v>
      </c>
      <c r="J983" s="6">
        <v>0</v>
      </c>
      <c r="K983" s="5">
        <v>0</v>
      </c>
      <c r="L983" s="6">
        <v>0</v>
      </c>
      <c r="M983" s="5">
        <v>0</v>
      </c>
      <c r="N983" s="6">
        <v>4352.6369664501381</v>
      </c>
      <c r="O983" s="5">
        <v>6877.1664069912194</v>
      </c>
      <c r="P983" s="6">
        <v>4352.6369664501381</v>
      </c>
      <c r="Q983" s="5">
        <v>6877.1664069912194</v>
      </c>
      <c r="R983" s="6">
        <v>1088.159241612535</v>
      </c>
      <c r="S983" s="5">
        <v>1719.2916017478051</v>
      </c>
      <c r="T983" s="6">
        <v>10881.59241612535</v>
      </c>
      <c r="U983" s="5">
        <v>17160.271240229671</v>
      </c>
      <c r="V983" s="6">
        <v>0</v>
      </c>
      <c r="W983" s="5">
        <v>0</v>
      </c>
      <c r="X983" s="6">
        <v>0</v>
      </c>
      <c r="Y983" s="5">
        <v>0</v>
      </c>
      <c r="Z983" s="6">
        <v>2085.591506456457</v>
      </c>
      <c r="AA983" s="5">
        <v>3291.941540980481</v>
      </c>
      <c r="AB983" s="6">
        <v>6161.9749054395306</v>
      </c>
      <c r="AC983" s="5">
        <v>9726.1909165332381</v>
      </c>
      <c r="AD983" s="6">
        <v>6161.9749054395306</v>
      </c>
      <c r="AE983" s="5">
        <v>9726.1909165332381</v>
      </c>
      <c r="AF983" s="6">
        <v>0</v>
      </c>
      <c r="AG983" s="5">
        <v>0</v>
      </c>
      <c r="AH983" s="7">
        <f t="shared" si="120"/>
        <v>35084.566907973676</v>
      </c>
      <c r="AI983" s="8">
        <f t="shared" si="121"/>
        <v>55378.219030006876</v>
      </c>
      <c r="AJ983" s="6">
        <v>0</v>
      </c>
      <c r="AK983" s="5">
        <v>0</v>
      </c>
      <c r="AL983" s="6">
        <v>0</v>
      </c>
      <c r="AM983" s="5">
        <v>0</v>
      </c>
      <c r="AN983" s="6">
        <v>4800</v>
      </c>
      <c r="AO983" s="5">
        <v>7905.3912624346212</v>
      </c>
      <c r="AP983" s="6">
        <v>4800</v>
      </c>
      <c r="AQ983" s="5">
        <v>7905.3912624346212</v>
      </c>
      <c r="AR983" s="6">
        <v>1200</v>
      </c>
      <c r="AS983" s="5">
        <v>1976.3478156086551</v>
      </c>
      <c r="AT983" s="6">
        <v>12000</v>
      </c>
      <c r="AU983" s="5">
        <v>19725.952564650939</v>
      </c>
      <c r="AV983" s="6">
        <v>0</v>
      </c>
      <c r="AW983" s="5">
        <v>0</v>
      </c>
      <c r="AX983" s="6">
        <v>0</v>
      </c>
      <c r="AY983" s="5">
        <v>0</v>
      </c>
      <c r="AZ983" s="6">
        <v>2300</v>
      </c>
      <c r="BA983" s="5">
        <v>3784.2145035875578</v>
      </c>
      <c r="BB983" s="6">
        <v>6800</v>
      </c>
      <c r="BC983" s="5">
        <v>11188.112445389301</v>
      </c>
      <c r="BD983" s="6">
        <v>6800</v>
      </c>
      <c r="BE983" s="5">
        <v>11188.112445389301</v>
      </c>
      <c r="BF983" s="6">
        <v>0</v>
      </c>
      <c r="BG983" s="5">
        <v>0</v>
      </c>
      <c r="BH983" s="9">
        <f t="shared" si="122"/>
        <v>38700</v>
      </c>
      <c r="BI983" s="10">
        <f t="shared" si="123"/>
        <v>63673.522299494995</v>
      </c>
      <c r="BJ983" s="6">
        <f t="shared" si="124"/>
        <v>3615.4330920263237</v>
      </c>
      <c r="BK983" s="11">
        <f t="shared" si="125"/>
        <v>0.10304910137581444</v>
      </c>
      <c r="BL983" s="5">
        <f t="shared" si="126"/>
        <v>8295.3032694881185</v>
      </c>
      <c r="BM983" s="11">
        <f t="shared" si="127"/>
        <v>0.14979360865674066</v>
      </c>
    </row>
    <row r="984" spans="1:65" ht="15" customHeight="1" x14ac:dyDescent="0.4">
      <c r="A984" s="2" t="s">
        <v>745</v>
      </c>
      <c r="B984" s="2" t="s">
        <v>66</v>
      </c>
      <c r="C984" s="2" t="s">
        <v>749</v>
      </c>
      <c r="D984" s="3" t="s">
        <v>68</v>
      </c>
      <c r="E984" s="3" t="s">
        <v>322</v>
      </c>
      <c r="F984" s="2" t="s">
        <v>323</v>
      </c>
      <c r="G984" s="4">
        <v>20</v>
      </c>
      <c r="H984" s="5">
        <v>1.73</v>
      </c>
      <c r="I984" s="5">
        <v>1.8033131439889101</v>
      </c>
      <c r="J984" s="6">
        <v>0</v>
      </c>
      <c r="K984" s="5">
        <v>0</v>
      </c>
      <c r="L984" s="6">
        <v>0</v>
      </c>
      <c r="M984" s="5">
        <v>0</v>
      </c>
      <c r="N984" s="6">
        <v>0</v>
      </c>
      <c r="O984" s="5">
        <v>0</v>
      </c>
      <c r="P984" s="6">
        <v>1088.159241612535</v>
      </c>
      <c r="Q984" s="5">
        <v>1882.515487989685</v>
      </c>
      <c r="R984" s="6">
        <v>0</v>
      </c>
      <c r="S984" s="5">
        <v>0</v>
      </c>
      <c r="T984" s="6">
        <v>0</v>
      </c>
      <c r="U984" s="5">
        <v>0</v>
      </c>
      <c r="V984" s="6">
        <v>0</v>
      </c>
      <c r="W984" s="5">
        <v>0</v>
      </c>
      <c r="X984" s="6">
        <v>0</v>
      </c>
      <c r="Y984" s="5">
        <v>0</v>
      </c>
      <c r="Z984" s="6">
        <v>0</v>
      </c>
      <c r="AA984" s="5">
        <v>0</v>
      </c>
      <c r="AB984" s="6">
        <v>2085.591506456457</v>
      </c>
      <c r="AC984" s="5">
        <v>3608.0733061696701</v>
      </c>
      <c r="AD984" s="6">
        <v>2085.591506456457</v>
      </c>
      <c r="AE984" s="5">
        <v>3608.0733061696701</v>
      </c>
      <c r="AF984" s="6">
        <v>0</v>
      </c>
      <c r="AG984" s="5">
        <v>0</v>
      </c>
      <c r="AH984" s="7">
        <f t="shared" si="120"/>
        <v>5259.3422545254489</v>
      </c>
      <c r="AI984" s="8">
        <f t="shared" si="121"/>
        <v>9098.6621003290256</v>
      </c>
      <c r="AJ984" s="6">
        <v>0</v>
      </c>
      <c r="AK984" s="5">
        <v>0</v>
      </c>
      <c r="AL984" s="6">
        <v>0</v>
      </c>
      <c r="AM984" s="5">
        <v>0</v>
      </c>
      <c r="AN984" s="6">
        <v>0</v>
      </c>
      <c r="AO984" s="5">
        <v>0</v>
      </c>
      <c r="AP984" s="6">
        <v>1200</v>
      </c>
      <c r="AQ984" s="5">
        <v>2163.9757727866918</v>
      </c>
      <c r="AR984" s="6">
        <v>0</v>
      </c>
      <c r="AS984" s="5">
        <v>0</v>
      </c>
      <c r="AT984" s="6">
        <v>0</v>
      </c>
      <c r="AU984" s="5">
        <v>0</v>
      </c>
      <c r="AV984" s="6">
        <v>0</v>
      </c>
      <c r="AW984" s="5">
        <v>0</v>
      </c>
      <c r="AX984" s="6">
        <v>0</v>
      </c>
      <c r="AY984" s="5">
        <v>0</v>
      </c>
      <c r="AZ984" s="6">
        <v>0</v>
      </c>
      <c r="BA984" s="5">
        <v>0</v>
      </c>
      <c r="BB984" s="6">
        <v>2300</v>
      </c>
      <c r="BC984" s="5">
        <v>4147.6202311744937</v>
      </c>
      <c r="BD984" s="6">
        <v>2300</v>
      </c>
      <c r="BE984" s="5">
        <v>4147.6202311744937</v>
      </c>
      <c r="BF984" s="6">
        <v>0</v>
      </c>
      <c r="BG984" s="5">
        <v>0</v>
      </c>
      <c r="BH984" s="9">
        <f t="shared" si="122"/>
        <v>5800</v>
      </c>
      <c r="BI984" s="10">
        <f t="shared" si="123"/>
        <v>10459.216235135678</v>
      </c>
      <c r="BJ984" s="6">
        <f t="shared" si="124"/>
        <v>540.65774547455112</v>
      </c>
      <c r="BK984" s="11">
        <f t="shared" si="125"/>
        <v>0.10279949836109967</v>
      </c>
      <c r="BL984" s="5">
        <f t="shared" si="126"/>
        <v>1360.5541348066527</v>
      </c>
      <c r="BM984" s="11">
        <f t="shared" si="127"/>
        <v>0.14953342808031658</v>
      </c>
    </row>
    <row r="985" spans="1:65" ht="15" customHeight="1" x14ac:dyDescent="0.4">
      <c r="A985" s="2" t="s">
        <v>745</v>
      </c>
      <c r="B985" s="2" t="s">
        <v>66</v>
      </c>
      <c r="C985" s="2" t="s">
        <v>749</v>
      </c>
      <c r="D985" s="3" t="s">
        <v>68</v>
      </c>
      <c r="E985" s="3" t="s">
        <v>156</v>
      </c>
      <c r="F985" s="2" t="s">
        <v>157</v>
      </c>
      <c r="G985" s="4">
        <v>20</v>
      </c>
      <c r="H985" s="5">
        <v>8.2800000000000011</v>
      </c>
      <c r="I985" s="5">
        <v>8.6308860301896964</v>
      </c>
      <c r="J985" s="6">
        <v>0</v>
      </c>
      <c r="K985" s="5">
        <v>0</v>
      </c>
      <c r="L985" s="6">
        <v>0</v>
      </c>
      <c r="M985" s="5">
        <v>0</v>
      </c>
      <c r="N985" s="6">
        <v>0</v>
      </c>
      <c r="O985" s="5">
        <v>0</v>
      </c>
      <c r="P985" s="6">
        <v>0</v>
      </c>
      <c r="Q985" s="5">
        <v>0</v>
      </c>
      <c r="R985" s="6">
        <v>0</v>
      </c>
      <c r="S985" s="5">
        <v>0</v>
      </c>
      <c r="T985" s="6">
        <v>0</v>
      </c>
      <c r="U985" s="5">
        <v>0</v>
      </c>
      <c r="V985" s="6">
        <v>98.92356741932133</v>
      </c>
      <c r="W985" s="5">
        <v>819.08713823198059</v>
      </c>
      <c r="X985" s="6">
        <v>0</v>
      </c>
      <c r="Y985" s="5">
        <v>0</v>
      </c>
      <c r="Z985" s="6">
        <v>0</v>
      </c>
      <c r="AA985" s="5">
        <v>0</v>
      </c>
      <c r="AB985" s="6">
        <v>94.799613929838927</v>
      </c>
      <c r="AC985" s="5">
        <v>784.94080333906629</v>
      </c>
      <c r="AD985" s="6">
        <v>94.799613929838927</v>
      </c>
      <c r="AE985" s="5">
        <v>784.94080333906629</v>
      </c>
      <c r="AF985" s="6">
        <v>0</v>
      </c>
      <c r="AG985" s="5">
        <v>0</v>
      </c>
      <c r="AH985" s="7">
        <f t="shared" si="120"/>
        <v>288.52279527899918</v>
      </c>
      <c r="AI985" s="8">
        <f t="shared" si="121"/>
        <v>2388.9687449101134</v>
      </c>
      <c r="AJ985" s="6">
        <v>0</v>
      </c>
      <c r="AK985" s="5">
        <v>0</v>
      </c>
      <c r="AL985" s="6">
        <v>0</v>
      </c>
      <c r="AM985" s="5">
        <v>0</v>
      </c>
      <c r="AN985" s="6">
        <v>0</v>
      </c>
      <c r="AO985" s="5">
        <v>0</v>
      </c>
      <c r="AP985" s="6">
        <v>0</v>
      </c>
      <c r="AQ985" s="5">
        <v>0</v>
      </c>
      <c r="AR985" s="6">
        <v>0</v>
      </c>
      <c r="AS985" s="5">
        <v>0</v>
      </c>
      <c r="AT985" s="6">
        <v>0</v>
      </c>
      <c r="AU985" s="5">
        <v>0</v>
      </c>
      <c r="AV985" s="6">
        <v>120</v>
      </c>
      <c r="AW985" s="5">
        <v>1035.7063236227641</v>
      </c>
      <c r="AX985" s="6">
        <v>0</v>
      </c>
      <c r="AY985" s="5">
        <v>0</v>
      </c>
      <c r="AZ985" s="6">
        <v>0</v>
      </c>
      <c r="BA985" s="5">
        <v>0</v>
      </c>
      <c r="BB985" s="6">
        <v>120</v>
      </c>
      <c r="BC985" s="5">
        <v>1035.7063236227641</v>
      </c>
      <c r="BD985" s="6">
        <v>120</v>
      </c>
      <c r="BE985" s="5">
        <v>1035.7063236227641</v>
      </c>
      <c r="BF985" s="6">
        <v>0</v>
      </c>
      <c r="BG985" s="5">
        <v>0</v>
      </c>
      <c r="BH985" s="9">
        <f t="shared" si="122"/>
        <v>360</v>
      </c>
      <c r="BI985" s="10">
        <f t="shared" si="123"/>
        <v>3107.1189708682923</v>
      </c>
      <c r="BJ985" s="6">
        <f t="shared" si="124"/>
        <v>71.477204721000817</v>
      </c>
      <c r="BK985" s="11">
        <f t="shared" si="125"/>
        <v>0.24773503477215014</v>
      </c>
      <c r="BL985" s="5">
        <f t="shared" si="126"/>
        <v>718.15022595817891</v>
      </c>
      <c r="BM985" s="11">
        <f t="shared" si="127"/>
        <v>0.30061097596536357</v>
      </c>
    </row>
    <row r="986" spans="1:65" ht="15" customHeight="1" x14ac:dyDescent="0.4">
      <c r="A986" s="2" t="s">
        <v>745</v>
      </c>
      <c r="B986" s="2" t="s">
        <v>66</v>
      </c>
      <c r="C986" s="2" t="s">
        <v>749</v>
      </c>
      <c r="D986" s="3" t="s">
        <v>68</v>
      </c>
      <c r="E986" s="3" t="s">
        <v>136</v>
      </c>
      <c r="F986" s="2" t="s">
        <v>137</v>
      </c>
      <c r="G986" s="4">
        <v>20</v>
      </c>
      <c r="H986" s="5">
        <v>4.2300000000000004</v>
      </c>
      <c r="I986" s="5">
        <v>4.4092569936838659</v>
      </c>
      <c r="J986" s="6">
        <v>0</v>
      </c>
      <c r="K986" s="5">
        <v>0</v>
      </c>
      <c r="L986" s="6">
        <v>0</v>
      </c>
      <c r="M986" s="5">
        <v>0</v>
      </c>
      <c r="N986" s="6">
        <v>0</v>
      </c>
      <c r="O986" s="5">
        <v>0</v>
      </c>
      <c r="P986" s="6">
        <v>633.11083148365651</v>
      </c>
      <c r="Q986" s="5">
        <v>2678.0588171758668</v>
      </c>
      <c r="R986" s="6">
        <v>316.55541574182831</v>
      </c>
      <c r="S986" s="5">
        <v>1339.0294085879329</v>
      </c>
      <c r="T986" s="6">
        <v>316.55541574182831</v>
      </c>
      <c r="U986" s="5">
        <v>1339.0294085879329</v>
      </c>
      <c r="V986" s="6">
        <v>0</v>
      </c>
      <c r="W986" s="5">
        <v>0</v>
      </c>
      <c r="X986" s="6">
        <v>0</v>
      </c>
      <c r="Y986" s="5">
        <v>0</v>
      </c>
      <c r="Z986" s="6">
        <v>0</v>
      </c>
      <c r="AA986" s="5">
        <v>0</v>
      </c>
      <c r="AB986" s="6">
        <v>0</v>
      </c>
      <c r="AC986" s="5">
        <v>0</v>
      </c>
      <c r="AD986" s="6">
        <v>0</v>
      </c>
      <c r="AE986" s="5">
        <v>0</v>
      </c>
      <c r="AF986" s="6">
        <v>0</v>
      </c>
      <c r="AG986" s="5">
        <v>0</v>
      </c>
      <c r="AH986" s="7">
        <f t="shared" si="120"/>
        <v>1266.221662967313</v>
      </c>
      <c r="AI986" s="8">
        <f t="shared" si="121"/>
        <v>5356.1176343517327</v>
      </c>
      <c r="AJ986" s="6">
        <v>0</v>
      </c>
      <c r="AK986" s="5">
        <v>0</v>
      </c>
      <c r="AL986" s="6">
        <v>0</v>
      </c>
      <c r="AM986" s="5">
        <v>0</v>
      </c>
      <c r="AN986" s="6">
        <v>0</v>
      </c>
      <c r="AO986" s="5">
        <v>0</v>
      </c>
      <c r="AP986" s="6">
        <v>700</v>
      </c>
      <c r="AQ986" s="5">
        <v>3086.479895578706</v>
      </c>
      <c r="AR986" s="6">
        <v>340</v>
      </c>
      <c r="AS986" s="5">
        <v>1499.147377852514</v>
      </c>
      <c r="AT986" s="6">
        <v>340</v>
      </c>
      <c r="AU986" s="5">
        <v>1499.147377852514</v>
      </c>
      <c r="AV986" s="6">
        <v>0</v>
      </c>
      <c r="AW986" s="5">
        <v>0</v>
      </c>
      <c r="AX986" s="6">
        <v>0</v>
      </c>
      <c r="AY986" s="5">
        <v>0</v>
      </c>
      <c r="AZ986" s="6">
        <v>0</v>
      </c>
      <c r="BA986" s="5">
        <v>0</v>
      </c>
      <c r="BB986" s="6">
        <v>0</v>
      </c>
      <c r="BC986" s="5">
        <v>0</v>
      </c>
      <c r="BD986" s="6">
        <v>0</v>
      </c>
      <c r="BE986" s="5">
        <v>0</v>
      </c>
      <c r="BF986" s="6">
        <v>0</v>
      </c>
      <c r="BG986" s="5">
        <v>0</v>
      </c>
      <c r="BH986" s="9">
        <f t="shared" si="122"/>
        <v>1380</v>
      </c>
      <c r="BI986" s="10">
        <f t="shared" si="123"/>
        <v>6084.7746512837339</v>
      </c>
      <c r="BJ986" s="6">
        <f t="shared" si="124"/>
        <v>113.77833703268698</v>
      </c>
      <c r="BK986" s="11">
        <f t="shared" si="125"/>
        <v>8.9856571215228151E-2</v>
      </c>
      <c r="BL986" s="5">
        <f t="shared" si="126"/>
        <v>728.65701693200117</v>
      </c>
      <c r="BM986" s="11">
        <f t="shared" si="127"/>
        <v>0.13604201152318282</v>
      </c>
    </row>
    <row r="987" spans="1:65" ht="15" customHeight="1" x14ac:dyDescent="0.4">
      <c r="A987" s="2" t="s">
        <v>745</v>
      </c>
      <c r="B987" s="2" t="s">
        <v>66</v>
      </c>
      <c r="C987" s="2" t="s">
        <v>749</v>
      </c>
      <c r="D987" s="3" t="s">
        <v>68</v>
      </c>
      <c r="E987" s="3" t="s">
        <v>176</v>
      </c>
      <c r="F987" s="2" t="s">
        <v>177</v>
      </c>
      <c r="G987" s="4">
        <v>5</v>
      </c>
      <c r="H987" s="5">
        <v>3.34</v>
      </c>
      <c r="I987" s="5">
        <v>3.481540983192462</v>
      </c>
      <c r="J987" s="6">
        <v>0</v>
      </c>
      <c r="K987" s="5">
        <v>0</v>
      </c>
      <c r="L987" s="6">
        <v>0</v>
      </c>
      <c r="M987" s="5">
        <v>0</v>
      </c>
      <c r="N987" s="6">
        <v>0</v>
      </c>
      <c r="O987" s="5">
        <v>0</v>
      </c>
      <c r="P987" s="6">
        <v>0</v>
      </c>
      <c r="Q987" s="5">
        <v>0</v>
      </c>
      <c r="R987" s="6">
        <v>0</v>
      </c>
      <c r="S987" s="5">
        <v>0</v>
      </c>
      <c r="T987" s="6">
        <v>0</v>
      </c>
      <c r="U987" s="5">
        <v>0</v>
      </c>
      <c r="V987" s="6">
        <v>39.569426967728532</v>
      </c>
      <c r="W987" s="5">
        <v>132.16188607221329</v>
      </c>
      <c r="X987" s="6">
        <v>0</v>
      </c>
      <c r="Y987" s="5">
        <v>0</v>
      </c>
      <c r="Z987" s="6">
        <v>0</v>
      </c>
      <c r="AA987" s="5">
        <v>0</v>
      </c>
      <c r="AB987" s="6">
        <v>0</v>
      </c>
      <c r="AC987" s="5">
        <v>0</v>
      </c>
      <c r="AD987" s="6">
        <v>0</v>
      </c>
      <c r="AE987" s="5">
        <v>0</v>
      </c>
      <c r="AF987" s="6">
        <v>0</v>
      </c>
      <c r="AG987" s="5">
        <v>0</v>
      </c>
      <c r="AH987" s="7">
        <f t="shared" si="120"/>
        <v>39.569426967728532</v>
      </c>
      <c r="AI987" s="8">
        <f t="shared" si="121"/>
        <v>132.16188607221329</v>
      </c>
      <c r="AJ987" s="6">
        <v>0</v>
      </c>
      <c r="AK987" s="5">
        <v>0</v>
      </c>
      <c r="AL987" s="6">
        <v>0</v>
      </c>
      <c r="AM987" s="5">
        <v>0</v>
      </c>
      <c r="AN987" s="6">
        <v>0</v>
      </c>
      <c r="AO987" s="5">
        <v>0</v>
      </c>
      <c r="AP987" s="6">
        <v>0</v>
      </c>
      <c r="AQ987" s="5">
        <v>0</v>
      </c>
      <c r="AR987" s="6">
        <v>0</v>
      </c>
      <c r="AS987" s="5">
        <v>0</v>
      </c>
      <c r="AT987" s="6">
        <v>0</v>
      </c>
      <c r="AU987" s="5">
        <v>0</v>
      </c>
      <c r="AV987" s="6">
        <v>45</v>
      </c>
      <c r="AW987" s="5">
        <v>156.66934424366079</v>
      </c>
      <c r="AX987" s="6">
        <v>0</v>
      </c>
      <c r="AY987" s="5">
        <v>0</v>
      </c>
      <c r="AZ987" s="6">
        <v>0</v>
      </c>
      <c r="BA987" s="5">
        <v>0</v>
      </c>
      <c r="BB987" s="6">
        <v>0</v>
      </c>
      <c r="BC987" s="5">
        <v>0</v>
      </c>
      <c r="BD987" s="6">
        <v>0</v>
      </c>
      <c r="BE987" s="5">
        <v>0</v>
      </c>
      <c r="BF987" s="6">
        <v>0</v>
      </c>
      <c r="BG987" s="5">
        <v>0</v>
      </c>
      <c r="BH987" s="9">
        <f t="shared" si="122"/>
        <v>45</v>
      </c>
      <c r="BI987" s="10">
        <f t="shared" si="123"/>
        <v>156.66934424366079</v>
      </c>
      <c r="BJ987" s="6">
        <f t="shared" si="124"/>
        <v>5.430573032271468</v>
      </c>
      <c r="BK987" s="11">
        <f t="shared" si="125"/>
        <v>0.13724163952893373</v>
      </c>
      <c r="BL987" s="5">
        <f t="shared" si="126"/>
        <v>24.507458171447496</v>
      </c>
      <c r="BM987" s="11">
        <f t="shared" si="127"/>
        <v>0.1854351424589735</v>
      </c>
    </row>
    <row r="988" spans="1:65" ht="15" customHeight="1" x14ac:dyDescent="0.4">
      <c r="A988" s="2" t="s">
        <v>745</v>
      </c>
      <c r="B988" s="2" t="s">
        <v>66</v>
      </c>
      <c r="C988" s="2" t="s">
        <v>749</v>
      </c>
      <c r="D988" s="3" t="s">
        <v>68</v>
      </c>
      <c r="E988" s="3" t="s">
        <v>223</v>
      </c>
      <c r="F988" s="2" t="s">
        <v>224</v>
      </c>
      <c r="G988" s="4">
        <v>20</v>
      </c>
      <c r="H988" s="5">
        <v>2.8939024390243899</v>
      </c>
      <c r="I988" s="5">
        <v>3.015077034097065</v>
      </c>
      <c r="J988" s="6">
        <v>98.92356741932133</v>
      </c>
      <c r="K988" s="5">
        <v>285.8891098418386</v>
      </c>
      <c r="L988" s="6">
        <v>197.84713483864269</v>
      </c>
      <c r="M988" s="5">
        <v>555.95044889658584</v>
      </c>
      <c r="N988" s="6">
        <v>0</v>
      </c>
      <c r="O988" s="5">
        <v>0</v>
      </c>
      <c r="P988" s="6">
        <v>197.84713483864269</v>
      </c>
      <c r="Q988" s="5">
        <v>555.95044889658584</v>
      </c>
      <c r="R988" s="6">
        <v>0</v>
      </c>
      <c r="S988" s="5">
        <v>0</v>
      </c>
      <c r="T988" s="6">
        <v>0</v>
      </c>
      <c r="U988" s="5">
        <v>0</v>
      </c>
      <c r="V988" s="6">
        <v>316.55541574182831</v>
      </c>
      <c r="W988" s="5">
        <v>949.66624722548465</v>
      </c>
      <c r="X988" s="6">
        <v>0</v>
      </c>
      <c r="Y988" s="5">
        <v>0</v>
      </c>
      <c r="Z988" s="6">
        <v>0</v>
      </c>
      <c r="AA988" s="5">
        <v>0</v>
      </c>
      <c r="AB988" s="6">
        <v>0</v>
      </c>
      <c r="AC988" s="5">
        <v>0</v>
      </c>
      <c r="AD988" s="6">
        <v>0</v>
      </c>
      <c r="AE988" s="5">
        <v>0</v>
      </c>
      <c r="AF988" s="6">
        <v>0</v>
      </c>
      <c r="AG988" s="5">
        <v>0</v>
      </c>
      <c r="AH988" s="7">
        <f t="shared" si="120"/>
        <v>811.17325283843502</v>
      </c>
      <c r="AI988" s="8">
        <f t="shared" si="121"/>
        <v>2347.4562548604949</v>
      </c>
      <c r="AJ988" s="6">
        <v>100</v>
      </c>
      <c r="AK988" s="5">
        <v>301.24710902473697</v>
      </c>
      <c r="AL988" s="6">
        <v>220</v>
      </c>
      <c r="AM988" s="5">
        <v>644.39779515256885</v>
      </c>
      <c r="AN988" s="6">
        <v>0</v>
      </c>
      <c r="AO988" s="5">
        <v>0</v>
      </c>
      <c r="AP988" s="6">
        <v>220</v>
      </c>
      <c r="AQ988" s="5">
        <v>644.39779515256885</v>
      </c>
      <c r="AR988" s="6">
        <v>0</v>
      </c>
      <c r="AS988" s="5">
        <v>0</v>
      </c>
      <c r="AT988" s="6">
        <v>0</v>
      </c>
      <c r="AU988" s="5">
        <v>0</v>
      </c>
      <c r="AV988" s="6">
        <v>340</v>
      </c>
      <c r="AW988" s="5">
        <v>1063.2250906755421</v>
      </c>
      <c r="AX988" s="6">
        <v>0</v>
      </c>
      <c r="AY988" s="5">
        <v>0</v>
      </c>
      <c r="AZ988" s="6">
        <v>0</v>
      </c>
      <c r="BA988" s="5">
        <v>0</v>
      </c>
      <c r="BB988" s="6">
        <v>0</v>
      </c>
      <c r="BC988" s="5">
        <v>0</v>
      </c>
      <c r="BD988" s="6">
        <v>0</v>
      </c>
      <c r="BE988" s="5">
        <v>0</v>
      </c>
      <c r="BF988" s="6">
        <v>0</v>
      </c>
      <c r="BG988" s="5">
        <v>0</v>
      </c>
      <c r="BH988" s="9">
        <f t="shared" si="122"/>
        <v>880</v>
      </c>
      <c r="BI988" s="10">
        <f t="shared" si="123"/>
        <v>2653.2677900054168</v>
      </c>
      <c r="BJ988" s="6">
        <f t="shared" si="124"/>
        <v>68.826747161564981</v>
      </c>
      <c r="BK988" s="11">
        <f t="shared" si="125"/>
        <v>8.4848393263372943E-2</v>
      </c>
      <c r="BL988" s="5">
        <f t="shared" si="126"/>
        <v>305.81153514492189</v>
      </c>
      <c r="BM988" s="11">
        <f t="shared" si="127"/>
        <v>0.13027358210050893</v>
      </c>
    </row>
    <row r="989" spans="1:65" ht="15" customHeight="1" x14ac:dyDescent="0.4">
      <c r="A989" s="2" t="s">
        <v>745</v>
      </c>
      <c r="B989" s="2" t="s">
        <v>66</v>
      </c>
      <c r="C989" s="2" t="s">
        <v>749</v>
      </c>
      <c r="D989" s="3" t="s">
        <v>68</v>
      </c>
      <c r="E989" s="3" t="s">
        <v>750</v>
      </c>
      <c r="F989" s="2" t="s">
        <v>751</v>
      </c>
      <c r="G989" s="4">
        <v>20</v>
      </c>
      <c r="H989" s="5">
        <v>2.66</v>
      </c>
      <c r="I989" s="5">
        <v>2.772724256075433</v>
      </c>
      <c r="J989" s="6">
        <v>0</v>
      </c>
      <c r="K989" s="5">
        <v>0</v>
      </c>
      <c r="L989" s="6">
        <v>98.92356741932133</v>
      </c>
      <c r="M989" s="5">
        <v>263.13668933539469</v>
      </c>
      <c r="N989" s="6">
        <v>0</v>
      </c>
      <c r="O989" s="5">
        <v>0</v>
      </c>
      <c r="P989" s="6">
        <v>0</v>
      </c>
      <c r="Q989" s="5">
        <v>0</v>
      </c>
      <c r="R989" s="6">
        <v>0</v>
      </c>
      <c r="S989" s="5">
        <v>0</v>
      </c>
      <c r="T989" s="6">
        <v>98.92356741932133</v>
      </c>
      <c r="U989" s="5">
        <v>263.13668933539469</v>
      </c>
      <c r="V989" s="6">
        <v>0</v>
      </c>
      <c r="W989" s="5">
        <v>0</v>
      </c>
      <c r="X989" s="6">
        <v>0</v>
      </c>
      <c r="Y989" s="5">
        <v>0</v>
      </c>
      <c r="Z989" s="6">
        <v>0</v>
      </c>
      <c r="AA989" s="5">
        <v>0</v>
      </c>
      <c r="AB989" s="6">
        <v>0</v>
      </c>
      <c r="AC989" s="5">
        <v>0</v>
      </c>
      <c r="AD989" s="6">
        <v>0</v>
      </c>
      <c r="AE989" s="5">
        <v>0</v>
      </c>
      <c r="AF989" s="6">
        <v>0</v>
      </c>
      <c r="AG989" s="5">
        <v>0</v>
      </c>
      <c r="AH989" s="7">
        <f t="shared" si="120"/>
        <v>197.84713483864266</v>
      </c>
      <c r="AI989" s="8">
        <f t="shared" si="121"/>
        <v>526.27337867078938</v>
      </c>
      <c r="AJ989" s="6">
        <v>0</v>
      </c>
      <c r="AK989" s="5">
        <v>0</v>
      </c>
      <c r="AL989" s="6">
        <v>100</v>
      </c>
      <c r="AM989" s="5">
        <v>277.27242560754343</v>
      </c>
      <c r="AN989" s="6">
        <v>0</v>
      </c>
      <c r="AO989" s="5">
        <v>0</v>
      </c>
      <c r="AP989" s="6">
        <v>0</v>
      </c>
      <c r="AQ989" s="5">
        <v>0</v>
      </c>
      <c r="AR989" s="6">
        <v>0</v>
      </c>
      <c r="AS989" s="5">
        <v>0</v>
      </c>
      <c r="AT989" s="6">
        <v>100</v>
      </c>
      <c r="AU989" s="5">
        <v>277.27242560754343</v>
      </c>
      <c r="AV989" s="6">
        <v>0</v>
      </c>
      <c r="AW989" s="5">
        <v>0</v>
      </c>
      <c r="AX989" s="6">
        <v>0</v>
      </c>
      <c r="AY989" s="5">
        <v>0</v>
      </c>
      <c r="AZ989" s="6">
        <v>0</v>
      </c>
      <c r="BA989" s="5">
        <v>0</v>
      </c>
      <c r="BB989" s="6">
        <v>0</v>
      </c>
      <c r="BC989" s="5">
        <v>0</v>
      </c>
      <c r="BD989" s="6">
        <v>0</v>
      </c>
      <c r="BE989" s="5">
        <v>0</v>
      </c>
      <c r="BF989" s="6">
        <v>0</v>
      </c>
      <c r="BG989" s="5">
        <v>0</v>
      </c>
      <c r="BH989" s="9">
        <f t="shared" si="122"/>
        <v>200</v>
      </c>
      <c r="BI989" s="10">
        <f t="shared" si="123"/>
        <v>554.54485121508685</v>
      </c>
      <c r="BJ989" s="6">
        <f t="shared" si="124"/>
        <v>2.1528651613573402</v>
      </c>
      <c r="BK989" s="11">
        <f t="shared" si="125"/>
        <v>1.0881457359052195E-2</v>
      </c>
      <c r="BL989" s="5">
        <f t="shared" si="126"/>
        <v>28.271472544297467</v>
      </c>
      <c r="BM989" s="11">
        <f t="shared" si="127"/>
        <v>5.3720126630198983E-2</v>
      </c>
    </row>
    <row r="990" spans="1:65" ht="15" customHeight="1" x14ac:dyDescent="0.4">
      <c r="A990" s="2" t="s">
        <v>745</v>
      </c>
      <c r="B990" s="2" t="s">
        <v>66</v>
      </c>
      <c r="C990" s="2" t="s">
        <v>749</v>
      </c>
      <c r="D990" s="3" t="s">
        <v>68</v>
      </c>
      <c r="E990" s="3" t="s">
        <v>90</v>
      </c>
      <c r="F990" s="2" t="s">
        <v>91</v>
      </c>
      <c r="G990" s="4">
        <v>20</v>
      </c>
      <c r="H990" s="5">
        <v>3.46</v>
      </c>
      <c r="I990" s="5">
        <v>3.607494935927718</v>
      </c>
      <c r="J990" s="6">
        <v>98.92356741932133</v>
      </c>
      <c r="K990" s="5">
        <v>336.34012922569252</v>
      </c>
      <c r="L990" s="6">
        <v>0</v>
      </c>
      <c r="M990" s="5">
        <v>0</v>
      </c>
      <c r="N990" s="6">
        <v>0</v>
      </c>
      <c r="O990" s="5">
        <v>0</v>
      </c>
      <c r="P990" s="6">
        <v>197.84713483864269</v>
      </c>
      <c r="Q990" s="5">
        <v>690.4865005868628</v>
      </c>
      <c r="R990" s="6">
        <v>0</v>
      </c>
      <c r="S990" s="5">
        <v>0</v>
      </c>
      <c r="T990" s="6">
        <v>0</v>
      </c>
      <c r="U990" s="5">
        <v>0</v>
      </c>
      <c r="V990" s="6">
        <v>0</v>
      </c>
      <c r="W990" s="5">
        <v>0</v>
      </c>
      <c r="X990" s="6">
        <v>0</v>
      </c>
      <c r="Y990" s="5">
        <v>0</v>
      </c>
      <c r="Z990" s="6">
        <v>0</v>
      </c>
      <c r="AA990" s="5">
        <v>0</v>
      </c>
      <c r="AB990" s="6">
        <v>189.59922785967791</v>
      </c>
      <c r="AC990" s="5">
        <v>656.01332839448537</v>
      </c>
      <c r="AD990" s="6">
        <v>189.59922785967791</v>
      </c>
      <c r="AE990" s="5">
        <v>656.01332839448537</v>
      </c>
      <c r="AF990" s="6">
        <v>0</v>
      </c>
      <c r="AG990" s="5">
        <v>0</v>
      </c>
      <c r="AH990" s="7">
        <f t="shared" si="120"/>
        <v>675.96915797731981</v>
      </c>
      <c r="AI990" s="8">
        <f t="shared" si="121"/>
        <v>2338.8532866015262</v>
      </c>
      <c r="AJ990" s="6">
        <v>100</v>
      </c>
      <c r="AK990" s="5">
        <v>354.40836355851411</v>
      </c>
      <c r="AL990" s="6">
        <v>0</v>
      </c>
      <c r="AM990" s="5">
        <v>0</v>
      </c>
      <c r="AN990" s="6">
        <v>0</v>
      </c>
      <c r="AO990" s="5">
        <v>0</v>
      </c>
      <c r="AP990" s="6">
        <v>220</v>
      </c>
      <c r="AQ990" s="5">
        <v>800.33747511831507</v>
      </c>
      <c r="AR990" s="6">
        <v>0</v>
      </c>
      <c r="AS990" s="5">
        <v>0</v>
      </c>
      <c r="AT990" s="6">
        <v>0</v>
      </c>
      <c r="AU990" s="5">
        <v>0</v>
      </c>
      <c r="AV990" s="6">
        <v>0</v>
      </c>
      <c r="AW990" s="5">
        <v>0</v>
      </c>
      <c r="AX990" s="6">
        <v>0</v>
      </c>
      <c r="AY990" s="5">
        <v>0</v>
      </c>
      <c r="AZ990" s="6">
        <v>0</v>
      </c>
      <c r="BA990" s="5">
        <v>0</v>
      </c>
      <c r="BB990" s="6">
        <v>200</v>
      </c>
      <c r="BC990" s="5">
        <v>721.32525759556404</v>
      </c>
      <c r="BD990" s="6">
        <v>200</v>
      </c>
      <c r="BE990" s="5">
        <v>721.32525759556404</v>
      </c>
      <c r="BF990" s="6">
        <v>0</v>
      </c>
      <c r="BG990" s="5">
        <v>0</v>
      </c>
      <c r="BH990" s="9">
        <f t="shared" si="122"/>
        <v>720</v>
      </c>
      <c r="BI990" s="10">
        <f t="shared" si="123"/>
        <v>2597.3963538679573</v>
      </c>
      <c r="BJ990" s="6">
        <f t="shared" si="124"/>
        <v>44.03084202268019</v>
      </c>
      <c r="BK990" s="11">
        <f t="shared" si="125"/>
        <v>6.5137353536117271E-2</v>
      </c>
      <c r="BL990" s="5">
        <f t="shared" si="126"/>
        <v>258.54306726643108</v>
      </c>
      <c r="BM990" s="11">
        <f t="shared" si="127"/>
        <v>0.11054266154595246</v>
      </c>
    </row>
    <row r="991" spans="1:65" ht="15" customHeight="1" x14ac:dyDescent="0.4">
      <c r="A991" s="2" t="s">
        <v>745</v>
      </c>
      <c r="B991" s="2" t="s">
        <v>66</v>
      </c>
      <c r="C991" s="2" t="s">
        <v>749</v>
      </c>
      <c r="D991" s="3" t="s">
        <v>68</v>
      </c>
      <c r="E991" s="3" t="s">
        <v>124</v>
      </c>
      <c r="F991" s="2" t="s">
        <v>125</v>
      </c>
      <c r="G991" s="4">
        <v>20</v>
      </c>
      <c r="H991" s="5">
        <v>3.84</v>
      </c>
      <c r="I991" s="5">
        <v>4.0027297531314536</v>
      </c>
      <c r="J991" s="6">
        <v>0</v>
      </c>
      <c r="K991" s="5">
        <v>0</v>
      </c>
      <c r="L991" s="6">
        <v>0</v>
      </c>
      <c r="M991" s="5">
        <v>0</v>
      </c>
      <c r="N991" s="6">
        <v>0</v>
      </c>
      <c r="O991" s="5">
        <v>0</v>
      </c>
      <c r="P991" s="6">
        <v>0</v>
      </c>
      <c r="Q991" s="5">
        <v>0</v>
      </c>
      <c r="R991" s="6">
        <v>0</v>
      </c>
      <c r="S991" s="5">
        <v>0</v>
      </c>
      <c r="T991" s="6">
        <v>0</v>
      </c>
      <c r="U991" s="5">
        <v>0</v>
      </c>
      <c r="V991" s="6">
        <v>0</v>
      </c>
      <c r="W991" s="5">
        <v>0</v>
      </c>
      <c r="X991" s="6">
        <v>0</v>
      </c>
      <c r="Y991" s="5">
        <v>0</v>
      </c>
      <c r="Z991" s="6">
        <v>0</v>
      </c>
      <c r="AA991" s="5">
        <v>0</v>
      </c>
      <c r="AB991" s="6">
        <v>0</v>
      </c>
      <c r="AC991" s="5">
        <v>0</v>
      </c>
      <c r="AD991" s="6">
        <v>94.799613929838927</v>
      </c>
      <c r="AE991" s="5">
        <v>364.03051749058147</v>
      </c>
      <c r="AF991" s="6">
        <v>0</v>
      </c>
      <c r="AG991" s="5">
        <v>0</v>
      </c>
      <c r="AH991" s="7">
        <f t="shared" si="120"/>
        <v>94.799613929838927</v>
      </c>
      <c r="AI991" s="8">
        <f t="shared" si="121"/>
        <v>364.03051749058147</v>
      </c>
      <c r="AJ991" s="6">
        <v>0</v>
      </c>
      <c r="AK991" s="5">
        <v>0</v>
      </c>
      <c r="AL991" s="6">
        <v>0</v>
      </c>
      <c r="AM991" s="5">
        <v>0</v>
      </c>
      <c r="AN991" s="6">
        <v>0</v>
      </c>
      <c r="AO991" s="5">
        <v>0</v>
      </c>
      <c r="AP991" s="6">
        <v>0</v>
      </c>
      <c r="AQ991" s="5">
        <v>0</v>
      </c>
      <c r="AR991" s="6">
        <v>0</v>
      </c>
      <c r="AS991" s="5">
        <v>0</v>
      </c>
      <c r="AT991" s="6">
        <v>0</v>
      </c>
      <c r="AU991" s="5">
        <v>0</v>
      </c>
      <c r="AV991" s="6">
        <v>0</v>
      </c>
      <c r="AW991" s="5">
        <v>0</v>
      </c>
      <c r="AX991" s="6">
        <v>0</v>
      </c>
      <c r="AY991" s="5">
        <v>0</v>
      </c>
      <c r="AZ991" s="6">
        <v>0</v>
      </c>
      <c r="BA991" s="5">
        <v>0</v>
      </c>
      <c r="BB991" s="6">
        <v>0</v>
      </c>
      <c r="BC991" s="5">
        <v>0</v>
      </c>
      <c r="BD991" s="6">
        <v>100</v>
      </c>
      <c r="BE991" s="5">
        <v>400.27297531314542</v>
      </c>
      <c r="BF991" s="6">
        <v>0</v>
      </c>
      <c r="BG991" s="5">
        <v>0</v>
      </c>
      <c r="BH991" s="9">
        <f t="shared" si="122"/>
        <v>100</v>
      </c>
      <c r="BI991" s="10">
        <f t="shared" si="123"/>
        <v>400.27297531314542</v>
      </c>
      <c r="BJ991" s="6">
        <f t="shared" si="124"/>
        <v>5.2003860701610733</v>
      </c>
      <c r="BK991" s="11">
        <f t="shared" si="125"/>
        <v>5.4856616547087129E-2</v>
      </c>
      <c r="BL991" s="5">
        <f t="shared" si="126"/>
        <v>36.242457822563949</v>
      </c>
      <c r="BM991" s="11">
        <f t="shared" si="127"/>
        <v>9.9558844880365413E-2</v>
      </c>
    </row>
    <row r="992" spans="1:65" ht="15" customHeight="1" x14ac:dyDescent="0.4">
      <c r="A992" s="2" t="s">
        <v>745</v>
      </c>
      <c r="B992" s="2" t="s">
        <v>66</v>
      </c>
      <c r="C992" s="2" t="s">
        <v>749</v>
      </c>
      <c r="D992" s="3" t="s">
        <v>68</v>
      </c>
      <c r="E992" s="3" t="s">
        <v>149</v>
      </c>
      <c r="F992" s="2" t="s">
        <v>150</v>
      </c>
      <c r="G992" s="4">
        <v>5</v>
      </c>
      <c r="H992" s="5">
        <v>2.94</v>
      </c>
      <c r="I992" s="5">
        <v>3.0645899672412691</v>
      </c>
      <c r="J992" s="6">
        <v>0</v>
      </c>
      <c r="K992" s="5">
        <v>0</v>
      </c>
      <c r="L992" s="6">
        <v>19.78471348386427</v>
      </c>
      <c r="M992" s="5">
        <v>58.167057642560927</v>
      </c>
      <c r="N992" s="6">
        <v>0</v>
      </c>
      <c r="O992" s="5">
        <v>0</v>
      </c>
      <c r="P992" s="6">
        <v>0</v>
      </c>
      <c r="Q992" s="5">
        <v>0</v>
      </c>
      <c r="R992" s="6">
        <v>0</v>
      </c>
      <c r="S992" s="5">
        <v>0</v>
      </c>
      <c r="T992" s="6">
        <v>0</v>
      </c>
      <c r="U992" s="5">
        <v>0</v>
      </c>
      <c r="V992" s="6">
        <v>0</v>
      </c>
      <c r="W992" s="5">
        <v>0</v>
      </c>
      <c r="X992" s="6">
        <v>0</v>
      </c>
      <c r="Y992" s="5">
        <v>0</v>
      </c>
      <c r="Z992" s="6">
        <v>0</v>
      </c>
      <c r="AA992" s="5">
        <v>0</v>
      </c>
      <c r="AB992" s="6">
        <v>0</v>
      </c>
      <c r="AC992" s="5">
        <v>0</v>
      </c>
      <c r="AD992" s="6">
        <v>0</v>
      </c>
      <c r="AE992" s="5">
        <v>0</v>
      </c>
      <c r="AF992" s="6">
        <v>0</v>
      </c>
      <c r="AG992" s="5">
        <v>0</v>
      </c>
      <c r="AH992" s="7">
        <f t="shared" si="120"/>
        <v>19.78471348386427</v>
      </c>
      <c r="AI992" s="8">
        <f t="shared" si="121"/>
        <v>58.167057642560927</v>
      </c>
      <c r="AJ992" s="6">
        <v>0</v>
      </c>
      <c r="AK992" s="5">
        <v>0</v>
      </c>
      <c r="AL992" s="6">
        <v>20</v>
      </c>
      <c r="AM992" s="5">
        <v>61.291799344825371</v>
      </c>
      <c r="AN992" s="6">
        <v>0</v>
      </c>
      <c r="AO992" s="5">
        <v>0</v>
      </c>
      <c r="AP992" s="6">
        <v>0</v>
      </c>
      <c r="AQ992" s="5">
        <v>0</v>
      </c>
      <c r="AR992" s="6">
        <v>0</v>
      </c>
      <c r="AS992" s="5">
        <v>0</v>
      </c>
      <c r="AT992" s="6">
        <v>0</v>
      </c>
      <c r="AU992" s="5">
        <v>0</v>
      </c>
      <c r="AV992" s="6">
        <v>0</v>
      </c>
      <c r="AW992" s="5">
        <v>0</v>
      </c>
      <c r="AX992" s="6">
        <v>0</v>
      </c>
      <c r="AY992" s="5">
        <v>0</v>
      </c>
      <c r="AZ992" s="6">
        <v>0</v>
      </c>
      <c r="BA992" s="5">
        <v>0</v>
      </c>
      <c r="BB992" s="6">
        <v>0</v>
      </c>
      <c r="BC992" s="5">
        <v>0</v>
      </c>
      <c r="BD992" s="6">
        <v>0</v>
      </c>
      <c r="BE992" s="5">
        <v>0</v>
      </c>
      <c r="BF992" s="6">
        <v>0</v>
      </c>
      <c r="BG992" s="5">
        <v>0</v>
      </c>
      <c r="BH992" s="9">
        <f t="shared" si="122"/>
        <v>20</v>
      </c>
      <c r="BI992" s="10">
        <f t="shared" si="123"/>
        <v>61.291799344825371</v>
      </c>
      <c r="BJ992" s="6">
        <f t="shared" si="124"/>
        <v>0.21528651613573047</v>
      </c>
      <c r="BK992" s="11">
        <f t="shared" si="125"/>
        <v>1.0881457359052014E-2</v>
      </c>
      <c r="BL992" s="5">
        <f t="shared" si="126"/>
        <v>3.1247417022644441</v>
      </c>
      <c r="BM992" s="11">
        <f t="shared" si="127"/>
        <v>5.3720126630198768E-2</v>
      </c>
    </row>
    <row r="993" spans="1:65" ht="15" customHeight="1" x14ac:dyDescent="0.4">
      <c r="A993" s="2" t="s">
        <v>745</v>
      </c>
      <c r="B993" s="2" t="s">
        <v>66</v>
      </c>
      <c r="C993" s="2" t="s">
        <v>749</v>
      </c>
      <c r="D993" s="3" t="s">
        <v>68</v>
      </c>
      <c r="E993" s="3" t="s">
        <v>75</v>
      </c>
      <c r="F993" s="2" t="s">
        <v>76</v>
      </c>
      <c r="G993" s="4">
        <v>20</v>
      </c>
      <c r="H993" s="5">
        <v>2.6485714285714281</v>
      </c>
      <c r="I993" s="5">
        <v>2.761826672703982</v>
      </c>
      <c r="J993" s="6">
        <v>98.92356741932133</v>
      </c>
      <c r="K993" s="5">
        <v>255.22280394184901</v>
      </c>
      <c r="L993" s="6">
        <v>316.55541574182831</v>
      </c>
      <c r="M993" s="5">
        <v>845.20296003068131</v>
      </c>
      <c r="N993" s="6">
        <v>0</v>
      </c>
      <c r="O993" s="5">
        <v>0</v>
      </c>
      <c r="P993" s="6">
        <v>0</v>
      </c>
      <c r="Q993" s="5">
        <v>0</v>
      </c>
      <c r="R993" s="6">
        <v>0</v>
      </c>
      <c r="S993" s="5">
        <v>0</v>
      </c>
      <c r="T993" s="6">
        <v>0</v>
      </c>
      <c r="U993" s="5">
        <v>0</v>
      </c>
      <c r="V993" s="6">
        <v>0</v>
      </c>
      <c r="W993" s="5">
        <v>0</v>
      </c>
      <c r="X993" s="6">
        <v>0</v>
      </c>
      <c r="Y993" s="5">
        <v>0</v>
      </c>
      <c r="Z993" s="6">
        <v>0</v>
      </c>
      <c r="AA993" s="5">
        <v>0</v>
      </c>
      <c r="AB993" s="6">
        <v>0</v>
      </c>
      <c r="AC993" s="5">
        <v>0</v>
      </c>
      <c r="AD993" s="6">
        <v>0</v>
      </c>
      <c r="AE993" s="5">
        <v>0</v>
      </c>
      <c r="AF993" s="6">
        <v>0</v>
      </c>
      <c r="AG993" s="5">
        <v>0</v>
      </c>
      <c r="AH993" s="7">
        <f t="shared" si="120"/>
        <v>415.47898316114964</v>
      </c>
      <c r="AI993" s="8">
        <f t="shared" si="121"/>
        <v>1100.4257639725304</v>
      </c>
      <c r="AJ993" s="6">
        <v>100</v>
      </c>
      <c r="AK993" s="5">
        <v>268.93340528851951</v>
      </c>
      <c r="AL993" s="6">
        <v>340</v>
      </c>
      <c r="AM993" s="5">
        <v>946.27033070123241</v>
      </c>
      <c r="AN993" s="6">
        <v>0</v>
      </c>
      <c r="AO993" s="5">
        <v>0</v>
      </c>
      <c r="AP993" s="6">
        <v>0</v>
      </c>
      <c r="AQ993" s="5">
        <v>0</v>
      </c>
      <c r="AR993" s="6">
        <v>0</v>
      </c>
      <c r="AS993" s="5">
        <v>0</v>
      </c>
      <c r="AT993" s="6">
        <v>0</v>
      </c>
      <c r="AU993" s="5">
        <v>0</v>
      </c>
      <c r="AV993" s="6">
        <v>0</v>
      </c>
      <c r="AW993" s="5">
        <v>0</v>
      </c>
      <c r="AX993" s="6">
        <v>0</v>
      </c>
      <c r="AY993" s="5">
        <v>0</v>
      </c>
      <c r="AZ993" s="6">
        <v>0</v>
      </c>
      <c r="BA993" s="5">
        <v>0</v>
      </c>
      <c r="BB993" s="6">
        <v>0</v>
      </c>
      <c r="BC993" s="5">
        <v>0</v>
      </c>
      <c r="BD993" s="6">
        <v>0</v>
      </c>
      <c r="BE993" s="5">
        <v>0</v>
      </c>
      <c r="BF993" s="6">
        <v>0</v>
      </c>
      <c r="BG993" s="5">
        <v>0</v>
      </c>
      <c r="BH993" s="9">
        <f t="shared" si="122"/>
        <v>440</v>
      </c>
      <c r="BI993" s="10">
        <f t="shared" si="123"/>
        <v>1215.203735989752</v>
      </c>
      <c r="BJ993" s="6">
        <f t="shared" si="124"/>
        <v>24.521016838850358</v>
      </c>
      <c r="BK993" s="11">
        <f t="shared" si="125"/>
        <v>5.9018669614245012E-2</v>
      </c>
      <c r="BL993" s="5">
        <f t="shared" si="126"/>
        <v>114.7779720172216</v>
      </c>
      <c r="BM993" s="11">
        <f t="shared" si="127"/>
        <v>0.10430323950511101</v>
      </c>
    </row>
    <row r="994" spans="1:65" ht="15" customHeight="1" x14ac:dyDescent="0.4">
      <c r="A994" s="2" t="s">
        <v>745</v>
      </c>
      <c r="B994" s="2" t="s">
        <v>66</v>
      </c>
      <c r="C994" s="2" t="s">
        <v>749</v>
      </c>
      <c r="D994" s="3" t="s">
        <v>68</v>
      </c>
      <c r="E994" s="3" t="s">
        <v>229</v>
      </c>
      <c r="F994" s="2" t="s">
        <v>230</v>
      </c>
      <c r="G994" s="4">
        <v>20</v>
      </c>
      <c r="H994" s="5">
        <v>2.44</v>
      </c>
      <c r="I994" s="5">
        <v>2.543401197302277</v>
      </c>
      <c r="J994" s="6">
        <v>0</v>
      </c>
      <c r="K994" s="5">
        <v>0</v>
      </c>
      <c r="L994" s="6">
        <v>0</v>
      </c>
      <c r="M994" s="5">
        <v>0</v>
      </c>
      <c r="N994" s="6">
        <v>0</v>
      </c>
      <c r="O994" s="5">
        <v>0</v>
      </c>
      <c r="P994" s="6">
        <v>0</v>
      </c>
      <c r="Q994" s="5">
        <v>0</v>
      </c>
      <c r="R994" s="6">
        <v>0</v>
      </c>
      <c r="S994" s="5">
        <v>0</v>
      </c>
      <c r="T994" s="6">
        <v>0</v>
      </c>
      <c r="U994" s="5">
        <v>0</v>
      </c>
      <c r="V994" s="6">
        <v>316.55541574182831</v>
      </c>
      <c r="W994" s="5">
        <v>772.39521441006082</v>
      </c>
      <c r="X994" s="6">
        <v>0</v>
      </c>
      <c r="Y994" s="5">
        <v>0</v>
      </c>
      <c r="Z994" s="6">
        <v>0</v>
      </c>
      <c r="AA994" s="5">
        <v>0</v>
      </c>
      <c r="AB994" s="6">
        <v>0</v>
      </c>
      <c r="AC994" s="5">
        <v>0</v>
      </c>
      <c r="AD994" s="6">
        <v>0</v>
      </c>
      <c r="AE994" s="5">
        <v>0</v>
      </c>
      <c r="AF994" s="6">
        <v>0</v>
      </c>
      <c r="AG994" s="5">
        <v>0</v>
      </c>
      <c r="AH994" s="7">
        <f t="shared" si="120"/>
        <v>316.55541574182831</v>
      </c>
      <c r="AI994" s="8">
        <f t="shared" si="121"/>
        <v>772.39521441006082</v>
      </c>
      <c r="AJ994" s="6">
        <v>0</v>
      </c>
      <c r="AK994" s="5">
        <v>0</v>
      </c>
      <c r="AL994" s="6">
        <v>0</v>
      </c>
      <c r="AM994" s="5">
        <v>0</v>
      </c>
      <c r="AN994" s="6">
        <v>0</v>
      </c>
      <c r="AO994" s="5">
        <v>0</v>
      </c>
      <c r="AP994" s="6">
        <v>0</v>
      </c>
      <c r="AQ994" s="5">
        <v>0</v>
      </c>
      <c r="AR994" s="6">
        <v>0</v>
      </c>
      <c r="AS994" s="5">
        <v>0</v>
      </c>
      <c r="AT994" s="6">
        <v>0</v>
      </c>
      <c r="AU994" s="5">
        <v>0</v>
      </c>
      <c r="AV994" s="6">
        <v>340</v>
      </c>
      <c r="AW994" s="5">
        <v>864.75640708277422</v>
      </c>
      <c r="AX994" s="6">
        <v>0</v>
      </c>
      <c r="AY994" s="5">
        <v>0</v>
      </c>
      <c r="AZ994" s="6">
        <v>0</v>
      </c>
      <c r="BA994" s="5">
        <v>0</v>
      </c>
      <c r="BB994" s="6">
        <v>0</v>
      </c>
      <c r="BC994" s="5">
        <v>0</v>
      </c>
      <c r="BD994" s="6">
        <v>0</v>
      </c>
      <c r="BE994" s="5">
        <v>0</v>
      </c>
      <c r="BF994" s="6">
        <v>0</v>
      </c>
      <c r="BG994" s="5">
        <v>0</v>
      </c>
      <c r="BH994" s="9">
        <f t="shared" si="122"/>
        <v>340</v>
      </c>
      <c r="BI994" s="10">
        <f t="shared" si="123"/>
        <v>864.75640708277422</v>
      </c>
      <c r="BJ994" s="6">
        <f t="shared" si="124"/>
        <v>23.444584258171687</v>
      </c>
      <c r="BK994" s="11">
        <f t="shared" si="125"/>
        <v>7.4061548443992764E-2</v>
      </c>
      <c r="BL994" s="5">
        <f t="shared" si="126"/>
        <v>92.3611926727134</v>
      </c>
      <c r="BM994" s="11">
        <f t="shared" si="127"/>
        <v>0.119577634544586</v>
      </c>
    </row>
    <row r="995" spans="1:65" ht="15" customHeight="1" x14ac:dyDescent="0.4">
      <c r="A995" s="2" t="s">
        <v>745</v>
      </c>
      <c r="B995" s="2" t="s">
        <v>66</v>
      </c>
      <c r="C995" s="2" t="s">
        <v>749</v>
      </c>
      <c r="D995" s="3" t="s">
        <v>68</v>
      </c>
      <c r="E995" s="3" t="s">
        <v>338</v>
      </c>
      <c r="F995" s="2" t="s">
        <v>339</v>
      </c>
      <c r="G995" s="4">
        <v>20</v>
      </c>
      <c r="H995" s="5">
        <v>2.5644444444444439</v>
      </c>
      <c r="I995" s="5">
        <v>2.672829741837127</v>
      </c>
      <c r="J995" s="6">
        <v>0</v>
      </c>
      <c r="K995" s="5">
        <v>0</v>
      </c>
      <c r="L995" s="6">
        <v>0</v>
      </c>
      <c r="M995" s="5">
        <v>0</v>
      </c>
      <c r="N995" s="6">
        <v>316.55541574182831</v>
      </c>
      <c r="O995" s="5">
        <v>800.88520182682532</v>
      </c>
      <c r="P995" s="6">
        <v>633.11083148365651</v>
      </c>
      <c r="Q995" s="5">
        <v>1601.7704036536511</v>
      </c>
      <c r="R995" s="6">
        <v>1266.221662967313</v>
      </c>
      <c r="S995" s="5">
        <v>3241.5274571963209</v>
      </c>
      <c r="T995" s="6">
        <v>316.55541574182831</v>
      </c>
      <c r="U995" s="5">
        <v>800.88520182682544</v>
      </c>
      <c r="V995" s="6">
        <v>316.55541574182831</v>
      </c>
      <c r="W995" s="5">
        <v>861.03073081777279</v>
      </c>
      <c r="X995" s="6">
        <v>0</v>
      </c>
      <c r="Y995" s="5">
        <v>0</v>
      </c>
      <c r="Z995" s="6">
        <v>0</v>
      </c>
      <c r="AA995" s="5">
        <v>0</v>
      </c>
      <c r="AB995" s="6">
        <v>0</v>
      </c>
      <c r="AC995" s="5">
        <v>0</v>
      </c>
      <c r="AD995" s="6">
        <v>0</v>
      </c>
      <c r="AE995" s="5">
        <v>0</v>
      </c>
      <c r="AF995" s="6">
        <v>0</v>
      </c>
      <c r="AG995" s="5">
        <v>0</v>
      </c>
      <c r="AH995" s="7">
        <f t="shared" si="120"/>
        <v>2848.9987416764543</v>
      </c>
      <c r="AI995" s="8">
        <f t="shared" si="121"/>
        <v>7306.0989953213948</v>
      </c>
      <c r="AJ995" s="6">
        <v>0</v>
      </c>
      <c r="AK995" s="5">
        <v>0</v>
      </c>
      <c r="AL995" s="6">
        <v>0</v>
      </c>
      <c r="AM995" s="5">
        <v>0</v>
      </c>
      <c r="AN995" s="6">
        <v>340</v>
      </c>
      <c r="AO995" s="5">
        <v>896.65315980304047</v>
      </c>
      <c r="AP995" s="6">
        <v>700</v>
      </c>
      <c r="AQ995" s="5">
        <v>1846.0506231239069</v>
      </c>
      <c r="AR995" s="6">
        <v>1400</v>
      </c>
      <c r="AS995" s="5">
        <v>3735.8811029226899</v>
      </c>
      <c r="AT995" s="6">
        <v>340</v>
      </c>
      <c r="AU995" s="5">
        <v>896.65315980304058</v>
      </c>
      <c r="AV995" s="6">
        <v>340</v>
      </c>
      <c r="AW995" s="5">
        <v>963.99074887915822</v>
      </c>
      <c r="AX995" s="6">
        <v>0</v>
      </c>
      <c r="AY995" s="5">
        <v>0</v>
      </c>
      <c r="AZ995" s="6">
        <v>0</v>
      </c>
      <c r="BA995" s="5">
        <v>0</v>
      </c>
      <c r="BB995" s="6">
        <v>0</v>
      </c>
      <c r="BC995" s="5">
        <v>0</v>
      </c>
      <c r="BD995" s="6">
        <v>0</v>
      </c>
      <c r="BE995" s="5">
        <v>0</v>
      </c>
      <c r="BF995" s="6">
        <v>0</v>
      </c>
      <c r="BG995" s="5">
        <v>0</v>
      </c>
      <c r="BH995" s="9">
        <f t="shared" si="122"/>
        <v>3120</v>
      </c>
      <c r="BI995" s="10">
        <f t="shared" si="123"/>
        <v>8339.2287945318367</v>
      </c>
      <c r="BJ995" s="6">
        <f t="shared" si="124"/>
        <v>271.0012583235457</v>
      </c>
      <c r="BK995" s="11">
        <f t="shared" si="125"/>
        <v>9.5121578805639873E-2</v>
      </c>
      <c r="BL995" s="5">
        <f t="shared" si="126"/>
        <v>1033.1297992104419</v>
      </c>
      <c r="BM995" s="11">
        <f t="shared" si="127"/>
        <v>0.14140648790442437</v>
      </c>
    </row>
    <row r="996" spans="1:65" ht="15" customHeight="1" x14ac:dyDescent="0.4">
      <c r="A996" s="2" t="s">
        <v>745</v>
      </c>
      <c r="B996" s="2" t="s">
        <v>66</v>
      </c>
      <c r="C996" s="2" t="s">
        <v>749</v>
      </c>
      <c r="D996" s="3" t="s">
        <v>68</v>
      </c>
      <c r="E996" s="3" t="s">
        <v>79</v>
      </c>
      <c r="F996" s="2" t="s">
        <v>80</v>
      </c>
      <c r="G996" s="4">
        <v>20</v>
      </c>
      <c r="H996" s="5">
        <v>3.05</v>
      </c>
      <c r="I996" s="5">
        <v>3.179251496627848</v>
      </c>
      <c r="J996" s="6">
        <v>633.11083148365651</v>
      </c>
      <c r="K996" s="5">
        <v>1930.988036025152</v>
      </c>
      <c r="L996" s="6">
        <v>0</v>
      </c>
      <c r="M996" s="5">
        <v>0</v>
      </c>
      <c r="N996" s="6">
        <v>316.55541574182831</v>
      </c>
      <c r="O996" s="5">
        <v>965.49401801257613</v>
      </c>
      <c r="P996" s="6">
        <v>633.11083148365651</v>
      </c>
      <c r="Q996" s="5">
        <v>1930.988036025152</v>
      </c>
      <c r="R996" s="6">
        <v>633.11083148365651</v>
      </c>
      <c r="S996" s="5">
        <v>1930.988036025152</v>
      </c>
      <c r="T996" s="6">
        <v>1266.221662967313</v>
      </c>
      <c r="U996" s="5">
        <v>3861.976072050305</v>
      </c>
      <c r="V996" s="6">
        <v>0</v>
      </c>
      <c r="W996" s="5">
        <v>0</v>
      </c>
      <c r="X996" s="6">
        <v>0</v>
      </c>
      <c r="Y996" s="5">
        <v>0</v>
      </c>
      <c r="Z996" s="6">
        <v>0</v>
      </c>
      <c r="AA996" s="5">
        <v>0</v>
      </c>
      <c r="AB996" s="6">
        <v>606.7175291509692</v>
      </c>
      <c r="AC996" s="5">
        <v>1850.4884639104559</v>
      </c>
      <c r="AD996" s="6">
        <v>606.7175291509692</v>
      </c>
      <c r="AE996" s="5">
        <v>1850.4884639104559</v>
      </c>
      <c r="AF996" s="6">
        <v>0</v>
      </c>
      <c r="AG996" s="5">
        <v>0</v>
      </c>
      <c r="AH996" s="7">
        <f t="shared" si="120"/>
        <v>4695.5446314620494</v>
      </c>
      <c r="AI996" s="8">
        <f t="shared" si="121"/>
        <v>14321.41112595925</v>
      </c>
      <c r="AJ996" s="6">
        <v>700</v>
      </c>
      <c r="AK996" s="5">
        <v>2225.4760476394931</v>
      </c>
      <c r="AL996" s="6">
        <v>0</v>
      </c>
      <c r="AM996" s="5">
        <v>0</v>
      </c>
      <c r="AN996" s="6">
        <v>340</v>
      </c>
      <c r="AO996" s="5">
        <v>1080.945508853468</v>
      </c>
      <c r="AP996" s="6">
        <v>700</v>
      </c>
      <c r="AQ996" s="5">
        <v>2225.4760476394931</v>
      </c>
      <c r="AR996" s="6">
        <v>700</v>
      </c>
      <c r="AS996" s="5">
        <v>2225.4760476394931</v>
      </c>
      <c r="AT996" s="6">
        <v>1400</v>
      </c>
      <c r="AU996" s="5">
        <v>4450.9520952789862</v>
      </c>
      <c r="AV996" s="6">
        <v>0</v>
      </c>
      <c r="AW996" s="5">
        <v>0</v>
      </c>
      <c r="AX996" s="6">
        <v>0</v>
      </c>
      <c r="AY996" s="5">
        <v>0</v>
      </c>
      <c r="AZ996" s="6">
        <v>0</v>
      </c>
      <c r="BA996" s="5">
        <v>0</v>
      </c>
      <c r="BB996" s="6">
        <v>660</v>
      </c>
      <c r="BC996" s="5">
        <v>2098.305987774379</v>
      </c>
      <c r="BD996" s="6">
        <v>660</v>
      </c>
      <c r="BE996" s="5">
        <v>2098.305987774379</v>
      </c>
      <c r="BF996" s="6">
        <v>0</v>
      </c>
      <c r="BG996" s="5">
        <v>0</v>
      </c>
      <c r="BH996" s="9">
        <f t="shared" si="122"/>
        <v>5160</v>
      </c>
      <c r="BI996" s="10">
        <f t="shared" si="123"/>
        <v>16404.937722599694</v>
      </c>
      <c r="BJ996" s="6">
        <f t="shared" si="124"/>
        <v>464.45536853795056</v>
      </c>
      <c r="BK996" s="11">
        <f t="shared" si="125"/>
        <v>9.8914056832920219E-2</v>
      </c>
      <c r="BL996" s="5">
        <f t="shared" si="126"/>
        <v>2083.526596640444</v>
      </c>
      <c r="BM996" s="11">
        <f t="shared" si="127"/>
        <v>0.14548333109883327</v>
      </c>
    </row>
    <row r="997" spans="1:65" ht="15" customHeight="1" x14ac:dyDescent="0.4">
      <c r="A997" s="2" t="s">
        <v>745</v>
      </c>
      <c r="B997" s="2" t="s">
        <v>66</v>
      </c>
      <c r="C997" s="2" t="s">
        <v>749</v>
      </c>
      <c r="D997" s="3" t="s">
        <v>68</v>
      </c>
      <c r="E997" s="3" t="s">
        <v>231</v>
      </c>
      <c r="F997" s="2" t="s">
        <v>232</v>
      </c>
      <c r="G997" s="4">
        <v>200</v>
      </c>
      <c r="H997" s="5">
        <v>2.96</v>
      </c>
      <c r="I997" s="5">
        <v>3.085437518038828</v>
      </c>
      <c r="J997" s="6">
        <v>0</v>
      </c>
      <c r="K997" s="5">
        <v>0</v>
      </c>
      <c r="L997" s="6">
        <v>0</v>
      </c>
      <c r="M997" s="5">
        <v>0</v>
      </c>
      <c r="N997" s="6">
        <v>0</v>
      </c>
      <c r="O997" s="5">
        <v>0</v>
      </c>
      <c r="P997" s="6">
        <v>0</v>
      </c>
      <c r="Q997" s="5">
        <v>0</v>
      </c>
      <c r="R997" s="6">
        <v>0</v>
      </c>
      <c r="S997" s="5">
        <v>0</v>
      </c>
      <c r="T997" s="6">
        <v>1187.082809031856</v>
      </c>
      <c r="U997" s="5">
        <v>3513.765114734294</v>
      </c>
      <c r="V997" s="6">
        <v>0</v>
      </c>
      <c r="W997" s="5">
        <v>0</v>
      </c>
      <c r="X997" s="6">
        <v>0</v>
      </c>
      <c r="Y997" s="5">
        <v>0</v>
      </c>
      <c r="Z997" s="6">
        <v>0</v>
      </c>
      <c r="AA997" s="5">
        <v>0</v>
      </c>
      <c r="AB997" s="6">
        <v>0</v>
      </c>
      <c r="AC997" s="5">
        <v>0</v>
      </c>
      <c r="AD997" s="6">
        <v>0</v>
      </c>
      <c r="AE997" s="5">
        <v>0</v>
      </c>
      <c r="AF997" s="6">
        <v>0</v>
      </c>
      <c r="AG997" s="5">
        <v>0</v>
      </c>
      <c r="AH997" s="7">
        <f t="shared" si="120"/>
        <v>1187.082809031856</v>
      </c>
      <c r="AI997" s="8">
        <f t="shared" si="121"/>
        <v>3513.765114734294</v>
      </c>
      <c r="AJ997" s="6">
        <v>0</v>
      </c>
      <c r="AK997" s="5">
        <v>0</v>
      </c>
      <c r="AL997" s="6">
        <v>0</v>
      </c>
      <c r="AM997" s="5">
        <v>0</v>
      </c>
      <c r="AN997" s="6">
        <v>0</v>
      </c>
      <c r="AO997" s="5">
        <v>0</v>
      </c>
      <c r="AP997" s="6">
        <v>0</v>
      </c>
      <c r="AQ997" s="5">
        <v>0</v>
      </c>
      <c r="AR997" s="6">
        <v>0</v>
      </c>
      <c r="AS997" s="5">
        <v>0</v>
      </c>
      <c r="AT997" s="6">
        <v>1400</v>
      </c>
      <c r="AU997" s="5">
        <v>4319.6125252543598</v>
      </c>
      <c r="AV997" s="6">
        <v>0</v>
      </c>
      <c r="AW997" s="5">
        <v>0</v>
      </c>
      <c r="AX997" s="6">
        <v>0</v>
      </c>
      <c r="AY997" s="5">
        <v>0</v>
      </c>
      <c r="AZ997" s="6">
        <v>0</v>
      </c>
      <c r="BA997" s="5">
        <v>0</v>
      </c>
      <c r="BB997" s="6">
        <v>0</v>
      </c>
      <c r="BC997" s="5">
        <v>0</v>
      </c>
      <c r="BD997" s="6">
        <v>0</v>
      </c>
      <c r="BE997" s="5">
        <v>0</v>
      </c>
      <c r="BF997" s="6">
        <v>0</v>
      </c>
      <c r="BG997" s="5">
        <v>0</v>
      </c>
      <c r="BH997" s="9">
        <f t="shared" si="122"/>
        <v>1400</v>
      </c>
      <c r="BI997" s="10">
        <f t="shared" si="123"/>
        <v>4319.6125252543598</v>
      </c>
      <c r="BJ997" s="6">
        <f t="shared" si="124"/>
        <v>212.91719096814404</v>
      </c>
      <c r="BK997" s="11">
        <f t="shared" si="125"/>
        <v>0.17936170025222756</v>
      </c>
      <c r="BL997" s="5">
        <f t="shared" si="126"/>
        <v>805.84741052006575</v>
      </c>
      <c r="BM997" s="11">
        <f t="shared" si="127"/>
        <v>0.22934014773523154</v>
      </c>
    </row>
    <row r="998" spans="1:65" ht="15" customHeight="1" x14ac:dyDescent="0.4">
      <c r="A998" s="2" t="s">
        <v>745</v>
      </c>
      <c r="B998" s="2" t="s">
        <v>66</v>
      </c>
      <c r="C998" s="2" t="s">
        <v>749</v>
      </c>
      <c r="D998" s="3" t="s">
        <v>68</v>
      </c>
      <c r="E998" s="3" t="s">
        <v>94</v>
      </c>
      <c r="F998" s="2" t="s">
        <v>130</v>
      </c>
      <c r="G998" s="4">
        <v>20</v>
      </c>
      <c r="H998" s="5">
        <v>1.95875</v>
      </c>
      <c r="I998" s="5">
        <v>2.0418849343886198</v>
      </c>
      <c r="J998" s="6">
        <v>633.11083148365651</v>
      </c>
      <c r="K998" s="5">
        <v>1190.248363189274</v>
      </c>
      <c r="L998" s="6">
        <v>1899.3324944509691</v>
      </c>
      <c r="M998" s="5">
        <v>3741.6850140684091</v>
      </c>
      <c r="N998" s="6">
        <v>2532.443325934626</v>
      </c>
      <c r="O998" s="5">
        <v>4988.9133520912128</v>
      </c>
      <c r="P998" s="6">
        <v>0</v>
      </c>
      <c r="Q998" s="5">
        <v>0</v>
      </c>
      <c r="R998" s="6">
        <v>0</v>
      </c>
      <c r="S998" s="5">
        <v>0</v>
      </c>
      <c r="T998" s="6">
        <v>0</v>
      </c>
      <c r="U998" s="5">
        <v>0</v>
      </c>
      <c r="V998" s="6">
        <v>0</v>
      </c>
      <c r="W998" s="5">
        <v>0</v>
      </c>
      <c r="X998" s="6">
        <v>0</v>
      </c>
      <c r="Y998" s="5">
        <v>0</v>
      </c>
      <c r="Z998" s="6">
        <v>0</v>
      </c>
      <c r="AA998" s="5">
        <v>0</v>
      </c>
      <c r="AB998" s="6">
        <v>0</v>
      </c>
      <c r="AC998" s="5">
        <v>0</v>
      </c>
      <c r="AD998" s="6">
        <v>0</v>
      </c>
      <c r="AE998" s="5">
        <v>0</v>
      </c>
      <c r="AF998" s="6">
        <v>0</v>
      </c>
      <c r="AG998" s="5">
        <v>0</v>
      </c>
      <c r="AH998" s="7">
        <f t="shared" si="120"/>
        <v>5064.8866518692521</v>
      </c>
      <c r="AI998" s="8">
        <f t="shared" si="121"/>
        <v>9920.8467293488957</v>
      </c>
      <c r="AJ998" s="6">
        <v>680</v>
      </c>
      <c r="AK998" s="5">
        <v>1332.5754469800131</v>
      </c>
      <c r="AL998" s="6">
        <v>2060</v>
      </c>
      <c r="AM998" s="5">
        <v>4230.1765323328291</v>
      </c>
      <c r="AN998" s="6">
        <v>2760</v>
      </c>
      <c r="AO998" s="5">
        <v>5667.6151598245669</v>
      </c>
      <c r="AP998" s="6">
        <v>0</v>
      </c>
      <c r="AQ998" s="5">
        <v>0</v>
      </c>
      <c r="AR998" s="6">
        <v>0</v>
      </c>
      <c r="AS998" s="5">
        <v>0</v>
      </c>
      <c r="AT998" s="6">
        <v>0</v>
      </c>
      <c r="AU998" s="5">
        <v>0</v>
      </c>
      <c r="AV998" s="6">
        <v>0</v>
      </c>
      <c r="AW998" s="5">
        <v>0</v>
      </c>
      <c r="AX998" s="6">
        <v>0</v>
      </c>
      <c r="AY998" s="5">
        <v>0</v>
      </c>
      <c r="AZ998" s="6">
        <v>0</v>
      </c>
      <c r="BA998" s="5">
        <v>0</v>
      </c>
      <c r="BB998" s="6">
        <v>0</v>
      </c>
      <c r="BC998" s="5">
        <v>0</v>
      </c>
      <c r="BD998" s="6">
        <v>0</v>
      </c>
      <c r="BE998" s="5">
        <v>0</v>
      </c>
      <c r="BF998" s="6">
        <v>0</v>
      </c>
      <c r="BG998" s="5">
        <v>0</v>
      </c>
      <c r="BH998" s="9">
        <f t="shared" si="122"/>
        <v>5500</v>
      </c>
      <c r="BI998" s="10">
        <f t="shared" si="123"/>
        <v>11230.367139137408</v>
      </c>
      <c r="BJ998" s="6">
        <f t="shared" si="124"/>
        <v>435.11334813074791</v>
      </c>
      <c r="BK998" s="11">
        <f t="shared" si="125"/>
        <v>8.5907815522419356E-2</v>
      </c>
      <c r="BL998" s="5">
        <f t="shared" si="126"/>
        <v>1309.5204097885126</v>
      </c>
      <c r="BM998" s="11">
        <f t="shared" si="127"/>
        <v>0.13199683913214294</v>
      </c>
    </row>
    <row r="999" spans="1:65" ht="15" customHeight="1" x14ac:dyDescent="0.4">
      <c r="A999" s="2" t="s">
        <v>745</v>
      </c>
      <c r="B999" s="2" t="s">
        <v>66</v>
      </c>
      <c r="C999" s="2" t="s">
        <v>749</v>
      </c>
      <c r="D999" s="3" t="s">
        <v>68</v>
      </c>
      <c r="E999" s="3" t="s">
        <v>94</v>
      </c>
      <c r="F999" s="2" t="s">
        <v>95</v>
      </c>
      <c r="G999" s="4">
        <v>20</v>
      </c>
      <c r="H999" s="5">
        <v>1.990637014483621</v>
      </c>
      <c r="I999" s="5">
        <v>2.0750870964710728</v>
      </c>
      <c r="J999" s="6">
        <v>0</v>
      </c>
      <c r="K999" s="5">
        <v>0</v>
      </c>
      <c r="L999" s="6">
        <v>0</v>
      </c>
      <c r="M999" s="5">
        <v>0</v>
      </c>
      <c r="N999" s="6">
        <v>0</v>
      </c>
      <c r="O999" s="5">
        <v>0</v>
      </c>
      <c r="P999" s="6">
        <v>633.11083148365651</v>
      </c>
      <c r="Q999" s="5">
        <v>1247.228338022803</v>
      </c>
      <c r="R999" s="6">
        <v>633.11083148365651</v>
      </c>
      <c r="S999" s="5">
        <v>1247.228338022803</v>
      </c>
      <c r="T999" s="6">
        <v>3798.6649889019391</v>
      </c>
      <c r="U999" s="5">
        <v>7483.3700281368192</v>
      </c>
      <c r="V999" s="6">
        <v>0</v>
      </c>
      <c r="W999" s="5">
        <v>0</v>
      </c>
      <c r="X999" s="6">
        <v>1266.221662967313</v>
      </c>
      <c r="Y999" s="5">
        <v>2659.065492231357</v>
      </c>
      <c r="Z999" s="6">
        <v>606.7175291509692</v>
      </c>
      <c r="AA999" s="5">
        <v>1200.963642424947</v>
      </c>
      <c r="AB999" s="6">
        <v>1213.4350583019379</v>
      </c>
      <c r="AC999" s="5">
        <v>2401.9272848498931</v>
      </c>
      <c r="AD999" s="6">
        <v>1213.4350583019379</v>
      </c>
      <c r="AE999" s="5">
        <v>2401.9272848498931</v>
      </c>
      <c r="AF999" s="6">
        <v>0</v>
      </c>
      <c r="AG999" s="5">
        <v>0</v>
      </c>
      <c r="AH999" s="7">
        <f t="shared" si="120"/>
        <v>9364.6959605914108</v>
      </c>
      <c r="AI999" s="8">
        <f t="shared" si="121"/>
        <v>18641.710408538514</v>
      </c>
      <c r="AJ999" s="6">
        <v>0</v>
      </c>
      <c r="AK999" s="5">
        <v>0</v>
      </c>
      <c r="AL999" s="6">
        <v>0</v>
      </c>
      <c r="AM999" s="5">
        <v>0</v>
      </c>
      <c r="AN999" s="6">
        <v>0</v>
      </c>
      <c r="AO999" s="5">
        <v>0</v>
      </c>
      <c r="AP999" s="6">
        <v>680</v>
      </c>
      <c r="AQ999" s="5">
        <v>1396.3689524205461</v>
      </c>
      <c r="AR999" s="6">
        <v>680</v>
      </c>
      <c r="AS999" s="5">
        <v>1396.3689524205461</v>
      </c>
      <c r="AT999" s="6">
        <v>4120</v>
      </c>
      <c r="AU999" s="5">
        <v>8460.3530646656582</v>
      </c>
      <c r="AV999" s="6">
        <v>0</v>
      </c>
      <c r="AW999" s="5">
        <v>0</v>
      </c>
      <c r="AX999" s="6">
        <v>1380</v>
      </c>
      <c r="AY999" s="5">
        <v>3020.8101105663932</v>
      </c>
      <c r="AZ999" s="6">
        <v>660</v>
      </c>
      <c r="BA999" s="5">
        <v>1361.796764014593</v>
      </c>
      <c r="BB999" s="6">
        <v>1320</v>
      </c>
      <c r="BC999" s="5">
        <v>2723.593528029186</v>
      </c>
      <c r="BD999" s="6">
        <v>1320</v>
      </c>
      <c r="BE999" s="5">
        <v>2723.593528029186</v>
      </c>
      <c r="BF999" s="6">
        <v>0</v>
      </c>
      <c r="BG999" s="5">
        <v>0</v>
      </c>
      <c r="BH999" s="9">
        <f t="shared" si="122"/>
        <v>10160</v>
      </c>
      <c r="BI999" s="10">
        <f t="shared" si="123"/>
        <v>21082.884900146106</v>
      </c>
      <c r="BJ999" s="6">
        <f t="shared" si="124"/>
        <v>795.30403940858923</v>
      </c>
      <c r="BK999" s="11">
        <f t="shared" si="125"/>
        <v>8.492577257771039E-2</v>
      </c>
      <c r="BL999" s="5">
        <f t="shared" si="126"/>
        <v>2441.1744916075913</v>
      </c>
      <c r="BM999" s="11">
        <f t="shared" si="127"/>
        <v>0.13095228056377559</v>
      </c>
    </row>
    <row r="1000" spans="1:65" ht="15" customHeight="1" x14ac:dyDescent="0.4">
      <c r="A1000" s="2" t="s">
        <v>745</v>
      </c>
      <c r="B1000" s="2" t="s">
        <v>66</v>
      </c>
      <c r="C1000" s="2" t="s">
        <v>749</v>
      </c>
      <c r="D1000" s="3" t="s">
        <v>68</v>
      </c>
      <c r="E1000" s="3" t="s">
        <v>235</v>
      </c>
      <c r="F1000" s="2" t="s">
        <v>236</v>
      </c>
      <c r="G1000" s="4">
        <v>200</v>
      </c>
      <c r="H1000" s="5">
        <v>1.89</v>
      </c>
      <c r="I1000" s="5">
        <v>1.970093550369387</v>
      </c>
      <c r="J1000" s="6">
        <v>0</v>
      </c>
      <c r="K1000" s="5">
        <v>0</v>
      </c>
      <c r="L1000" s="6">
        <v>791.38853935457064</v>
      </c>
      <c r="M1000" s="5">
        <v>1495.724339380138</v>
      </c>
      <c r="N1000" s="6">
        <v>0</v>
      </c>
      <c r="O1000" s="5">
        <v>0</v>
      </c>
      <c r="P1000" s="6">
        <v>0</v>
      </c>
      <c r="Q1000" s="5">
        <v>0</v>
      </c>
      <c r="R1000" s="6">
        <v>0</v>
      </c>
      <c r="S1000" s="5">
        <v>0</v>
      </c>
      <c r="T1000" s="6">
        <v>0</v>
      </c>
      <c r="U1000" s="5">
        <v>0</v>
      </c>
      <c r="V1000" s="6">
        <v>0</v>
      </c>
      <c r="W1000" s="5">
        <v>0</v>
      </c>
      <c r="X1000" s="6">
        <v>0</v>
      </c>
      <c r="Y1000" s="5">
        <v>0</v>
      </c>
      <c r="Z1000" s="6">
        <v>0</v>
      </c>
      <c r="AA1000" s="5">
        <v>0</v>
      </c>
      <c r="AB1000" s="6">
        <v>0</v>
      </c>
      <c r="AC1000" s="5">
        <v>0</v>
      </c>
      <c r="AD1000" s="6">
        <v>0</v>
      </c>
      <c r="AE1000" s="5">
        <v>0</v>
      </c>
      <c r="AF1000" s="6">
        <v>0</v>
      </c>
      <c r="AG1000" s="5">
        <v>0</v>
      </c>
      <c r="AH1000" s="7">
        <f t="shared" si="120"/>
        <v>791.38853935457064</v>
      </c>
      <c r="AI1000" s="8">
        <f t="shared" si="121"/>
        <v>1495.724339380138</v>
      </c>
      <c r="AJ1000" s="6">
        <v>0</v>
      </c>
      <c r="AK1000" s="5">
        <v>0</v>
      </c>
      <c r="AL1000" s="6">
        <v>800</v>
      </c>
      <c r="AM1000" s="5">
        <v>1576.0748402955101</v>
      </c>
      <c r="AN1000" s="6">
        <v>0</v>
      </c>
      <c r="AO1000" s="5">
        <v>0</v>
      </c>
      <c r="AP1000" s="6">
        <v>0</v>
      </c>
      <c r="AQ1000" s="5">
        <v>0</v>
      </c>
      <c r="AR1000" s="6">
        <v>0</v>
      </c>
      <c r="AS1000" s="5">
        <v>0</v>
      </c>
      <c r="AT1000" s="6">
        <v>0</v>
      </c>
      <c r="AU1000" s="5">
        <v>0</v>
      </c>
      <c r="AV1000" s="6">
        <v>0</v>
      </c>
      <c r="AW1000" s="5">
        <v>0</v>
      </c>
      <c r="AX1000" s="6">
        <v>0</v>
      </c>
      <c r="AY1000" s="5">
        <v>0</v>
      </c>
      <c r="AZ1000" s="6">
        <v>0</v>
      </c>
      <c r="BA1000" s="5">
        <v>0</v>
      </c>
      <c r="BB1000" s="6">
        <v>0</v>
      </c>
      <c r="BC1000" s="5">
        <v>0</v>
      </c>
      <c r="BD1000" s="6">
        <v>0</v>
      </c>
      <c r="BE1000" s="5">
        <v>0</v>
      </c>
      <c r="BF1000" s="6">
        <v>0</v>
      </c>
      <c r="BG1000" s="5">
        <v>0</v>
      </c>
      <c r="BH1000" s="9">
        <f t="shared" si="122"/>
        <v>800</v>
      </c>
      <c r="BI1000" s="10">
        <f t="shared" si="123"/>
        <v>1576.0748402955101</v>
      </c>
      <c r="BJ1000" s="6">
        <f t="shared" si="124"/>
        <v>8.6114606454293607</v>
      </c>
      <c r="BK1000" s="11">
        <f t="shared" si="125"/>
        <v>1.0881457359052195E-2</v>
      </c>
      <c r="BL1000" s="5">
        <f t="shared" si="126"/>
        <v>80.350500915372095</v>
      </c>
      <c r="BM1000" s="11">
        <f t="shared" si="127"/>
        <v>5.3720126630199226E-2</v>
      </c>
    </row>
    <row r="1001" spans="1:65" ht="15" customHeight="1" x14ac:dyDescent="0.4">
      <c r="A1001" s="2" t="s">
        <v>745</v>
      </c>
      <c r="B1001" s="2" t="s">
        <v>66</v>
      </c>
      <c r="C1001" s="2" t="s">
        <v>749</v>
      </c>
      <c r="D1001" s="3" t="s">
        <v>68</v>
      </c>
      <c r="E1001" s="3" t="s">
        <v>235</v>
      </c>
      <c r="F1001" s="2" t="s">
        <v>619</v>
      </c>
      <c r="G1001" s="4">
        <v>200</v>
      </c>
      <c r="H1001" s="5">
        <v>1.89</v>
      </c>
      <c r="I1001" s="5">
        <v>1.970093550369387</v>
      </c>
      <c r="J1001" s="6">
        <v>0</v>
      </c>
      <c r="K1001" s="5">
        <v>0</v>
      </c>
      <c r="L1001" s="6">
        <v>0</v>
      </c>
      <c r="M1001" s="5">
        <v>0</v>
      </c>
      <c r="N1001" s="6">
        <v>0</v>
      </c>
      <c r="O1001" s="5">
        <v>0</v>
      </c>
      <c r="P1001" s="6">
        <v>0</v>
      </c>
      <c r="Q1001" s="5">
        <v>0</v>
      </c>
      <c r="R1001" s="6">
        <v>791.38853935457064</v>
      </c>
      <c r="S1001" s="5">
        <v>1495.724339380138</v>
      </c>
      <c r="T1001" s="6">
        <v>7913.8853935457046</v>
      </c>
      <c r="U1001" s="5">
        <v>14957.24339380138</v>
      </c>
      <c r="V1001" s="6">
        <v>0</v>
      </c>
      <c r="W1001" s="5">
        <v>0</v>
      </c>
      <c r="X1001" s="6">
        <v>0</v>
      </c>
      <c r="Y1001" s="5">
        <v>0</v>
      </c>
      <c r="Z1001" s="6">
        <v>379.19845571935571</v>
      </c>
      <c r="AA1001" s="5">
        <v>716.6850813095823</v>
      </c>
      <c r="AB1001" s="6">
        <v>1516.7938228774231</v>
      </c>
      <c r="AC1001" s="5">
        <v>2866.7403252383292</v>
      </c>
      <c r="AD1001" s="6">
        <v>1516.7938228774231</v>
      </c>
      <c r="AE1001" s="5">
        <v>2866.7403252383292</v>
      </c>
      <c r="AF1001" s="6">
        <v>0</v>
      </c>
      <c r="AG1001" s="5">
        <v>0</v>
      </c>
      <c r="AH1001" s="7">
        <f t="shared" si="120"/>
        <v>12118.060034374479</v>
      </c>
      <c r="AI1001" s="8">
        <f t="shared" si="121"/>
        <v>22903.133464967759</v>
      </c>
      <c r="AJ1001" s="6">
        <v>0</v>
      </c>
      <c r="AK1001" s="5">
        <v>0</v>
      </c>
      <c r="AL1001" s="6">
        <v>0</v>
      </c>
      <c r="AM1001" s="5">
        <v>0</v>
      </c>
      <c r="AN1001" s="6">
        <v>0</v>
      </c>
      <c r="AO1001" s="5">
        <v>0</v>
      </c>
      <c r="AP1001" s="6">
        <v>0</v>
      </c>
      <c r="AQ1001" s="5">
        <v>0</v>
      </c>
      <c r="AR1001" s="6">
        <v>800</v>
      </c>
      <c r="AS1001" s="5">
        <v>1576.0748402955101</v>
      </c>
      <c r="AT1001" s="6">
        <v>8600</v>
      </c>
      <c r="AU1001" s="5">
        <v>16942.804533176732</v>
      </c>
      <c r="AV1001" s="6">
        <v>0</v>
      </c>
      <c r="AW1001" s="5">
        <v>0</v>
      </c>
      <c r="AX1001" s="6">
        <v>0</v>
      </c>
      <c r="AY1001" s="5">
        <v>0</v>
      </c>
      <c r="AZ1001" s="6">
        <v>400</v>
      </c>
      <c r="BA1001" s="5">
        <v>788.0374201477548</v>
      </c>
      <c r="BB1001" s="6">
        <v>1600</v>
      </c>
      <c r="BC1001" s="5">
        <v>3152.1496805910192</v>
      </c>
      <c r="BD1001" s="6">
        <v>1600</v>
      </c>
      <c r="BE1001" s="5">
        <v>3152.1496805910192</v>
      </c>
      <c r="BF1001" s="6">
        <v>0</v>
      </c>
      <c r="BG1001" s="5">
        <v>0</v>
      </c>
      <c r="BH1001" s="9">
        <f t="shared" si="122"/>
        <v>13000</v>
      </c>
      <c r="BI1001" s="10">
        <f t="shared" si="123"/>
        <v>25611.216154802038</v>
      </c>
      <c r="BJ1001" s="6">
        <f t="shared" si="124"/>
        <v>881.93996562552093</v>
      </c>
      <c r="BK1001" s="11">
        <f t="shared" si="125"/>
        <v>7.2778973129674351E-2</v>
      </c>
      <c r="BL1001" s="5">
        <f t="shared" si="126"/>
        <v>2708.0826898342784</v>
      </c>
      <c r="BM1001" s="11">
        <f t="shared" si="127"/>
        <v>0.11824070684373889</v>
      </c>
    </row>
    <row r="1002" spans="1:65" ht="15" customHeight="1" x14ac:dyDescent="0.4">
      <c r="A1002" s="2" t="s">
        <v>745</v>
      </c>
      <c r="B1002" s="2" t="s">
        <v>66</v>
      </c>
      <c r="C1002" s="2" t="s">
        <v>749</v>
      </c>
      <c r="D1002" s="3" t="s">
        <v>68</v>
      </c>
      <c r="E1002" s="3" t="s">
        <v>96</v>
      </c>
      <c r="F1002" s="2" t="s">
        <v>97</v>
      </c>
      <c r="G1002" s="4">
        <v>1000</v>
      </c>
      <c r="H1002" s="5">
        <v>1.4273666666666669</v>
      </c>
      <c r="I1002" s="5">
        <v>1.4878549545038371</v>
      </c>
      <c r="J1002" s="6">
        <v>1978.4713483864259</v>
      </c>
      <c r="K1002" s="5">
        <v>3363.401292256925</v>
      </c>
      <c r="L1002" s="6">
        <v>1978.4713483864259</v>
      </c>
      <c r="M1002" s="5">
        <v>3383.1860057407889</v>
      </c>
      <c r="N1002" s="6">
        <v>1978.4713483864259</v>
      </c>
      <c r="O1002" s="5">
        <v>1725.4248629278029</v>
      </c>
      <c r="P1002" s="6">
        <v>0</v>
      </c>
      <c r="Q1002" s="5">
        <v>0</v>
      </c>
      <c r="R1002" s="6">
        <v>0</v>
      </c>
      <c r="S1002" s="5">
        <v>0</v>
      </c>
      <c r="T1002" s="6">
        <v>0</v>
      </c>
      <c r="U1002" s="5">
        <v>0</v>
      </c>
      <c r="V1002" s="6">
        <v>0</v>
      </c>
      <c r="W1002" s="5">
        <v>0</v>
      </c>
      <c r="X1002" s="6">
        <v>0</v>
      </c>
      <c r="Y1002" s="5">
        <v>0</v>
      </c>
      <c r="Z1002" s="6">
        <v>0</v>
      </c>
      <c r="AA1002" s="5">
        <v>0</v>
      </c>
      <c r="AB1002" s="6">
        <v>0</v>
      </c>
      <c r="AC1002" s="5">
        <v>0</v>
      </c>
      <c r="AD1002" s="6">
        <v>0</v>
      </c>
      <c r="AE1002" s="5">
        <v>0</v>
      </c>
      <c r="AF1002" s="6">
        <v>0</v>
      </c>
      <c r="AG1002" s="5">
        <v>0</v>
      </c>
      <c r="AH1002" s="7">
        <f t="shared" si="120"/>
        <v>5935.4140451592775</v>
      </c>
      <c r="AI1002" s="8">
        <f t="shared" si="121"/>
        <v>8472.0121609255166</v>
      </c>
      <c r="AJ1002" s="6">
        <v>2000</v>
      </c>
      <c r="AK1002" s="5">
        <v>3544.0836355851411</v>
      </c>
      <c r="AL1002" s="6">
        <v>2000</v>
      </c>
      <c r="AM1002" s="5">
        <v>3564.9311863827011</v>
      </c>
      <c r="AN1002" s="6">
        <v>2000</v>
      </c>
      <c r="AO1002" s="5">
        <v>1818.114905055178</v>
      </c>
      <c r="AP1002" s="6">
        <v>0</v>
      </c>
      <c r="AQ1002" s="5">
        <v>0</v>
      </c>
      <c r="AR1002" s="6">
        <v>0</v>
      </c>
      <c r="AS1002" s="5">
        <v>0</v>
      </c>
      <c r="AT1002" s="6">
        <v>0</v>
      </c>
      <c r="AU1002" s="5">
        <v>0</v>
      </c>
      <c r="AV1002" s="6">
        <v>0</v>
      </c>
      <c r="AW1002" s="5">
        <v>0</v>
      </c>
      <c r="AX1002" s="6">
        <v>0</v>
      </c>
      <c r="AY1002" s="5">
        <v>0</v>
      </c>
      <c r="AZ1002" s="6">
        <v>0</v>
      </c>
      <c r="BA1002" s="5">
        <v>0</v>
      </c>
      <c r="BB1002" s="6">
        <v>0</v>
      </c>
      <c r="BC1002" s="5">
        <v>0</v>
      </c>
      <c r="BD1002" s="6">
        <v>0</v>
      </c>
      <c r="BE1002" s="5">
        <v>0</v>
      </c>
      <c r="BF1002" s="6">
        <v>0</v>
      </c>
      <c r="BG1002" s="5">
        <v>0</v>
      </c>
      <c r="BH1002" s="9">
        <f t="shared" si="122"/>
        <v>6000</v>
      </c>
      <c r="BI1002" s="10">
        <f t="shared" si="123"/>
        <v>8927.1297270230207</v>
      </c>
      <c r="BJ1002" s="6">
        <f t="shared" si="124"/>
        <v>64.585954840722479</v>
      </c>
      <c r="BK1002" s="11">
        <f t="shared" si="125"/>
        <v>1.0881457359052583E-2</v>
      </c>
      <c r="BL1002" s="5">
        <f t="shared" si="126"/>
        <v>455.1175660975041</v>
      </c>
      <c r="BM1002" s="11">
        <f t="shared" si="127"/>
        <v>5.3720126630198942E-2</v>
      </c>
    </row>
    <row r="1003" spans="1:65" ht="15" customHeight="1" x14ac:dyDescent="0.4">
      <c r="A1003" s="2" t="s">
        <v>745</v>
      </c>
      <c r="B1003" s="2" t="s">
        <v>66</v>
      </c>
      <c r="C1003" s="2" t="s">
        <v>749</v>
      </c>
      <c r="D1003" s="3" t="s">
        <v>68</v>
      </c>
      <c r="E1003" s="3" t="s">
        <v>96</v>
      </c>
      <c r="F1003" s="2" t="s">
        <v>268</v>
      </c>
      <c r="G1003" s="4">
        <v>1000</v>
      </c>
      <c r="H1003" s="5">
        <v>1.621416992080428</v>
      </c>
      <c r="I1003" s="5">
        <v>1.6887897144353841</v>
      </c>
      <c r="J1003" s="6">
        <v>0</v>
      </c>
      <c r="K1003" s="5">
        <v>0</v>
      </c>
      <c r="L1003" s="6">
        <v>0</v>
      </c>
      <c r="M1003" s="5">
        <v>0</v>
      </c>
      <c r="N1003" s="6">
        <v>0</v>
      </c>
      <c r="O1003" s="5">
        <v>0</v>
      </c>
      <c r="P1003" s="6">
        <v>989.23567419321319</v>
      </c>
      <c r="Q1003" s="5">
        <v>1691.5930028703949</v>
      </c>
      <c r="R1003" s="6">
        <v>0</v>
      </c>
      <c r="S1003" s="5">
        <v>0</v>
      </c>
      <c r="T1003" s="6">
        <v>5935.4140451592793</v>
      </c>
      <c r="U1003" s="5">
        <v>10149.558017222371</v>
      </c>
      <c r="V1003" s="6">
        <v>0</v>
      </c>
      <c r="W1003" s="5">
        <v>0</v>
      </c>
      <c r="X1003" s="6">
        <v>0</v>
      </c>
      <c r="Y1003" s="5">
        <v>0</v>
      </c>
      <c r="Z1003" s="6">
        <v>4739.9806964919462</v>
      </c>
      <c r="AA1003" s="5">
        <v>7466.4115645218153</v>
      </c>
      <c r="AB1003" s="6">
        <v>4739.9806964919462</v>
      </c>
      <c r="AC1003" s="5">
        <v>7466.4115645218153</v>
      </c>
      <c r="AD1003" s="6">
        <v>3791.984557193558</v>
      </c>
      <c r="AE1003" s="5">
        <v>5973.1292516174517</v>
      </c>
      <c r="AF1003" s="6">
        <v>0</v>
      </c>
      <c r="AG1003" s="5">
        <v>0</v>
      </c>
      <c r="AH1003" s="7">
        <f t="shared" si="120"/>
        <v>20196.595669529946</v>
      </c>
      <c r="AI1003" s="8">
        <f t="shared" si="121"/>
        <v>32747.103400753847</v>
      </c>
      <c r="AJ1003" s="6">
        <v>0</v>
      </c>
      <c r="AK1003" s="5">
        <v>0</v>
      </c>
      <c r="AL1003" s="6">
        <v>0</v>
      </c>
      <c r="AM1003" s="5">
        <v>0</v>
      </c>
      <c r="AN1003" s="6">
        <v>0</v>
      </c>
      <c r="AO1003" s="5">
        <v>0</v>
      </c>
      <c r="AP1003" s="6">
        <v>1000</v>
      </c>
      <c r="AQ1003" s="5">
        <v>1782.465593191351</v>
      </c>
      <c r="AR1003" s="6">
        <v>0</v>
      </c>
      <c r="AS1003" s="5">
        <v>0</v>
      </c>
      <c r="AT1003" s="6">
        <v>6000</v>
      </c>
      <c r="AU1003" s="5">
        <v>10694.7935591481</v>
      </c>
      <c r="AV1003" s="6">
        <v>0</v>
      </c>
      <c r="AW1003" s="5">
        <v>0</v>
      </c>
      <c r="AX1003" s="6">
        <v>0</v>
      </c>
      <c r="AY1003" s="5">
        <v>0</v>
      </c>
      <c r="AZ1003" s="6">
        <v>5000</v>
      </c>
      <c r="BA1003" s="5">
        <v>8209.7588752870051</v>
      </c>
      <c r="BB1003" s="6">
        <v>5000</v>
      </c>
      <c r="BC1003" s="5">
        <v>8209.7588752870051</v>
      </c>
      <c r="BD1003" s="6">
        <v>4000</v>
      </c>
      <c r="BE1003" s="5">
        <v>6567.8071002296056</v>
      </c>
      <c r="BF1003" s="6">
        <v>0</v>
      </c>
      <c r="BG1003" s="5">
        <v>0</v>
      </c>
      <c r="BH1003" s="9">
        <f t="shared" si="122"/>
        <v>21000</v>
      </c>
      <c r="BI1003" s="10">
        <f t="shared" si="123"/>
        <v>35464.584003143071</v>
      </c>
      <c r="BJ1003" s="6">
        <f t="shared" si="124"/>
        <v>803.40433047005354</v>
      </c>
      <c r="BK1003" s="11">
        <f t="shared" si="125"/>
        <v>3.9779195643458255E-2</v>
      </c>
      <c r="BL1003" s="5">
        <f t="shared" si="126"/>
        <v>2717.4806023892233</v>
      </c>
      <c r="BM1003" s="11">
        <f t="shared" si="127"/>
        <v>8.2983846514090964E-2</v>
      </c>
    </row>
    <row r="1004" spans="1:65" ht="15" customHeight="1" x14ac:dyDescent="0.4">
      <c r="A1004" s="2" t="s">
        <v>745</v>
      </c>
      <c r="B1004" s="2" t="s">
        <v>66</v>
      </c>
      <c r="C1004" s="2" t="s">
        <v>749</v>
      </c>
      <c r="D1004" s="3" t="s">
        <v>68</v>
      </c>
      <c r="E1004" s="3" t="s">
        <v>637</v>
      </c>
      <c r="F1004" s="2" t="s">
        <v>638</v>
      </c>
      <c r="G1004" s="4">
        <v>20</v>
      </c>
      <c r="H1004" s="5">
        <v>10.11</v>
      </c>
      <c r="I1004" s="5">
        <v>10.5384369281664</v>
      </c>
      <c r="J1004" s="6">
        <v>0</v>
      </c>
      <c r="K1004" s="5">
        <v>0</v>
      </c>
      <c r="L1004" s="6">
        <v>949.66624722548465</v>
      </c>
      <c r="M1004" s="5">
        <v>9601.1257594496492</v>
      </c>
      <c r="N1004" s="6">
        <v>316.55541574182831</v>
      </c>
      <c r="O1004" s="5">
        <v>3200.3752531498831</v>
      </c>
      <c r="P1004" s="6">
        <v>0</v>
      </c>
      <c r="Q1004" s="5">
        <v>0</v>
      </c>
      <c r="R1004" s="6">
        <v>633.11083148365651</v>
      </c>
      <c r="S1004" s="5">
        <v>6400.7505062997661</v>
      </c>
      <c r="T1004" s="6">
        <v>0</v>
      </c>
      <c r="U1004" s="5">
        <v>0</v>
      </c>
      <c r="V1004" s="6">
        <v>0</v>
      </c>
      <c r="W1004" s="5">
        <v>0</v>
      </c>
      <c r="X1004" s="6">
        <v>0</v>
      </c>
      <c r="Y1004" s="5">
        <v>0</v>
      </c>
      <c r="Z1004" s="6">
        <v>606.7175291509692</v>
      </c>
      <c r="AA1004" s="5">
        <v>6133.9142197162982</v>
      </c>
      <c r="AB1004" s="6">
        <v>1213.4350583019379</v>
      </c>
      <c r="AC1004" s="5">
        <v>12267.8284394326</v>
      </c>
      <c r="AD1004" s="6">
        <v>0</v>
      </c>
      <c r="AE1004" s="5">
        <v>0</v>
      </c>
      <c r="AF1004" s="6">
        <v>0</v>
      </c>
      <c r="AG1004" s="5">
        <v>0</v>
      </c>
      <c r="AH1004" s="7">
        <f t="shared" si="120"/>
        <v>3719.4850819038766</v>
      </c>
      <c r="AI1004" s="8">
        <f t="shared" si="121"/>
        <v>37603.994178048197</v>
      </c>
      <c r="AJ1004" s="6">
        <v>0</v>
      </c>
      <c r="AK1004" s="5">
        <v>0</v>
      </c>
      <c r="AL1004" s="6">
        <v>1040</v>
      </c>
      <c r="AM1004" s="5">
        <v>10959.97440529306</v>
      </c>
      <c r="AN1004" s="6">
        <v>340</v>
      </c>
      <c r="AO1004" s="5">
        <v>3583.0685555765772</v>
      </c>
      <c r="AP1004" s="6">
        <v>0</v>
      </c>
      <c r="AQ1004" s="5">
        <v>0</v>
      </c>
      <c r="AR1004" s="6">
        <v>680</v>
      </c>
      <c r="AS1004" s="5">
        <v>7166.1371111531525</v>
      </c>
      <c r="AT1004" s="6">
        <v>0</v>
      </c>
      <c r="AU1004" s="5">
        <v>0</v>
      </c>
      <c r="AV1004" s="6">
        <v>0</v>
      </c>
      <c r="AW1004" s="5">
        <v>0</v>
      </c>
      <c r="AX1004" s="6">
        <v>0</v>
      </c>
      <c r="AY1004" s="5">
        <v>0</v>
      </c>
      <c r="AZ1004" s="6">
        <v>660</v>
      </c>
      <c r="BA1004" s="5">
        <v>6955.3683725898263</v>
      </c>
      <c r="BB1004" s="6">
        <v>1320</v>
      </c>
      <c r="BC1004" s="5">
        <v>13910.736745179651</v>
      </c>
      <c r="BD1004" s="6">
        <v>0</v>
      </c>
      <c r="BE1004" s="5">
        <v>0</v>
      </c>
      <c r="BF1004" s="6">
        <v>0</v>
      </c>
      <c r="BG1004" s="5">
        <v>0</v>
      </c>
      <c r="BH1004" s="9">
        <f t="shared" si="122"/>
        <v>4040</v>
      </c>
      <c r="BI1004" s="10">
        <f t="shared" si="123"/>
        <v>42575.285189792266</v>
      </c>
      <c r="BJ1004" s="6">
        <f t="shared" si="124"/>
        <v>320.51491809612344</v>
      </c>
      <c r="BK1004" s="11">
        <f t="shared" si="125"/>
        <v>8.617185202744862E-2</v>
      </c>
      <c r="BL1004" s="5">
        <f t="shared" si="126"/>
        <v>4971.2910117440697</v>
      </c>
      <c r="BM1004" s="11">
        <f t="shared" si="127"/>
        <v>0.13220114300108374</v>
      </c>
    </row>
    <row r="1005" spans="1:65" ht="15" customHeight="1" x14ac:dyDescent="0.4">
      <c r="A1005" s="2" t="s">
        <v>745</v>
      </c>
      <c r="B1005" s="2" t="s">
        <v>66</v>
      </c>
      <c r="C1005" s="2" t="s">
        <v>749</v>
      </c>
      <c r="D1005" s="3" t="s">
        <v>68</v>
      </c>
      <c r="E1005" s="3" t="s">
        <v>253</v>
      </c>
      <c r="F1005" s="2" t="s">
        <v>254</v>
      </c>
      <c r="G1005" s="4">
        <v>20</v>
      </c>
      <c r="H1005" s="5">
        <v>3.5966666666666671</v>
      </c>
      <c r="I1005" s="5">
        <v>3.7490845517611442</v>
      </c>
      <c r="J1005" s="6">
        <v>791.38853935457064</v>
      </c>
      <c r="K1005" s="5">
        <v>2920.2237102183649</v>
      </c>
      <c r="L1005" s="6">
        <v>0</v>
      </c>
      <c r="M1005" s="5">
        <v>0</v>
      </c>
      <c r="N1005" s="6">
        <v>1582.7770787091411</v>
      </c>
      <c r="O1005" s="5">
        <v>5618.8586294174511</v>
      </c>
      <c r="P1005" s="6">
        <v>0</v>
      </c>
      <c r="Q1005" s="5">
        <v>0</v>
      </c>
      <c r="R1005" s="6">
        <v>0</v>
      </c>
      <c r="S1005" s="5">
        <v>0</v>
      </c>
      <c r="T1005" s="6">
        <v>0</v>
      </c>
      <c r="U1005" s="5">
        <v>0</v>
      </c>
      <c r="V1005" s="6">
        <v>0</v>
      </c>
      <c r="W1005" s="5">
        <v>0</v>
      </c>
      <c r="X1005" s="6">
        <v>0</v>
      </c>
      <c r="Y1005" s="5">
        <v>0</v>
      </c>
      <c r="Z1005" s="6">
        <v>0</v>
      </c>
      <c r="AA1005" s="5">
        <v>0</v>
      </c>
      <c r="AB1005" s="6">
        <v>0</v>
      </c>
      <c r="AC1005" s="5">
        <v>0</v>
      </c>
      <c r="AD1005" s="6">
        <v>0</v>
      </c>
      <c r="AE1005" s="5">
        <v>0</v>
      </c>
      <c r="AF1005" s="6">
        <v>0</v>
      </c>
      <c r="AG1005" s="5">
        <v>0</v>
      </c>
      <c r="AH1005" s="7">
        <f t="shared" si="120"/>
        <v>2374.1656180637119</v>
      </c>
      <c r="AI1005" s="8">
        <f t="shared" si="121"/>
        <v>8539.0823396358155</v>
      </c>
      <c r="AJ1005" s="6">
        <v>860</v>
      </c>
      <c r="AK1005" s="5">
        <v>3307.8808850487899</v>
      </c>
      <c r="AL1005" s="6">
        <v>0</v>
      </c>
      <c r="AM1005" s="5">
        <v>0</v>
      </c>
      <c r="AN1005" s="6">
        <v>1720</v>
      </c>
      <c r="AO1005" s="5">
        <v>6364.7572584949621</v>
      </c>
      <c r="AP1005" s="6">
        <v>0</v>
      </c>
      <c r="AQ1005" s="5">
        <v>0</v>
      </c>
      <c r="AR1005" s="6">
        <v>0</v>
      </c>
      <c r="AS1005" s="5">
        <v>0</v>
      </c>
      <c r="AT1005" s="6">
        <v>0</v>
      </c>
      <c r="AU1005" s="5">
        <v>0</v>
      </c>
      <c r="AV1005" s="6">
        <v>0</v>
      </c>
      <c r="AW1005" s="5">
        <v>0</v>
      </c>
      <c r="AX1005" s="6">
        <v>0</v>
      </c>
      <c r="AY1005" s="5">
        <v>0</v>
      </c>
      <c r="AZ1005" s="6">
        <v>0</v>
      </c>
      <c r="BA1005" s="5">
        <v>0</v>
      </c>
      <c r="BB1005" s="6">
        <v>0</v>
      </c>
      <c r="BC1005" s="5">
        <v>0</v>
      </c>
      <c r="BD1005" s="6">
        <v>0</v>
      </c>
      <c r="BE1005" s="5">
        <v>0</v>
      </c>
      <c r="BF1005" s="6">
        <v>0</v>
      </c>
      <c r="BG1005" s="5">
        <v>0</v>
      </c>
      <c r="BH1005" s="9">
        <f t="shared" si="122"/>
        <v>2580</v>
      </c>
      <c r="BI1005" s="10">
        <f t="shared" si="123"/>
        <v>9672.6381435437524</v>
      </c>
      <c r="BJ1005" s="6">
        <f t="shared" si="124"/>
        <v>205.83438193628808</v>
      </c>
      <c r="BK1005" s="11">
        <f t="shared" si="125"/>
        <v>8.6697566660981107E-2</v>
      </c>
      <c r="BL1005" s="5">
        <f t="shared" si="126"/>
        <v>1133.5558039079369</v>
      </c>
      <c r="BM1005" s="11">
        <f t="shared" si="127"/>
        <v>0.13274913612746381</v>
      </c>
    </row>
    <row r="1006" spans="1:65" ht="15" customHeight="1" x14ac:dyDescent="0.4">
      <c r="A1006" s="2" t="s">
        <v>745</v>
      </c>
      <c r="B1006" s="2" t="s">
        <v>66</v>
      </c>
      <c r="C1006" s="2" t="s">
        <v>749</v>
      </c>
      <c r="D1006" s="3" t="s">
        <v>68</v>
      </c>
      <c r="E1006" s="3" t="s">
        <v>253</v>
      </c>
      <c r="F1006" s="2" t="s">
        <v>548</v>
      </c>
      <c r="G1006" s="4">
        <v>20</v>
      </c>
      <c r="H1006" s="5">
        <v>3.5801584073477901</v>
      </c>
      <c r="I1006" s="5">
        <v>3.7318791775766629</v>
      </c>
      <c r="J1006" s="6">
        <v>0</v>
      </c>
      <c r="K1006" s="5">
        <v>0</v>
      </c>
      <c r="L1006" s="6">
        <v>0</v>
      </c>
      <c r="M1006" s="5">
        <v>0</v>
      </c>
      <c r="N1006" s="6">
        <v>0</v>
      </c>
      <c r="O1006" s="5">
        <v>0</v>
      </c>
      <c r="P1006" s="6">
        <v>0</v>
      </c>
      <c r="Q1006" s="5">
        <v>0</v>
      </c>
      <c r="R1006" s="6">
        <v>0</v>
      </c>
      <c r="S1006" s="5">
        <v>0</v>
      </c>
      <c r="T1006" s="6">
        <v>791.38853935457064</v>
      </c>
      <c r="U1006" s="5">
        <v>2809.429314708726</v>
      </c>
      <c r="V1006" s="6">
        <v>0</v>
      </c>
      <c r="W1006" s="5">
        <v>0</v>
      </c>
      <c r="X1006" s="6">
        <v>0</v>
      </c>
      <c r="Y1006" s="5">
        <v>0</v>
      </c>
      <c r="Z1006" s="6">
        <v>0</v>
      </c>
      <c r="AA1006" s="5">
        <v>0</v>
      </c>
      <c r="AB1006" s="6">
        <v>2654.3891900354902</v>
      </c>
      <c r="AC1006" s="5">
        <v>9515.9852462772324</v>
      </c>
      <c r="AD1006" s="6">
        <v>2275.1907343161338</v>
      </c>
      <c r="AE1006" s="5">
        <v>8156.5587825233424</v>
      </c>
      <c r="AF1006" s="6">
        <v>0</v>
      </c>
      <c r="AG1006" s="5">
        <v>0</v>
      </c>
      <c r="AH1006" s="7">
        <f t="shared" si="120"/>
        <v>5720.9684637061946</v>
      </c>
      <c r="AI1006" s="8">
        <f t="shared" si="121"/>
        <v>20481.9733435093</v>
      </c>
      <c r="AJ1006" s="6">
        <v>0</v>
      </c>
      <c r="AK1006" s="5">
        <v>0</v>
      </c>
      <c r="AL1006" s="6">
        <v>0</v>
      </c>
      <c r="AM1006" s="5">
        <v>0</v>
      </c>
      <c r="AN1006" s="6">
        <v>0</v>
      </c>
      <c r="AO1006" s="5">
        <v>0</v>
      </c>
      <c r="AP1006" s="6">
        <v>0</v>
      </c>
      <c r="AQ1006" s="5">
        <v>0</v>
      </c>
      <c r="AR1006" s="6">
        <v>0</v>
      </c>
      <c r="AS1006" s="5">
        <v>0</v>
      </c>
      <c r="AT1006" s="6">
        <v>860</v>
      </c>
      <c r="AU1006" s="5">
        <v>3182.3786292474811</v>
      </c>
      <c r="AV1006" s="6">
        <v>0</v>
      </c>
      <c r="AW1006" s="5">
        <v>0</v>
      </c>
      <c r="AX1006" s="6">
        <v>0</v>
      </c>
      <c r="AY1006" s="5">
        <v>0</v>
      </c>
      <c r="AZ1006" s="6">
        <v>0</v>
      </c>
      <c r="BA1006" s="5">
        <v>0</v>
      </c>
      <c r="BB1006" s="6">
        <v>2880</v>
      </c>
      <c r="BC1006" s="5">
        <v>10762.339623732199</v>
      </c>
      <c r="BD1006" s="6">
        <v>2480</v>
      </c>
      <c r="BE1006" s="5">
        <v>9267.5702315471681</v>
      </c>
      <c r="BF1006" s="6">
        <v>0</v>
      </c>
      <c r="BG1006" s="5">
        <v>0</v>
      </c>
      <c r="BH1006" s="9">
        <f t="shared" si="122"/>
        <v>6220</v>
      </c>
      <c r="BI1006" s="10">
        <f t="shared" si="123"/>
        <v>23212.288484526849</v>
      </c>
      <c r="BJ1006" s="6">
        <f t="shared" si="124"/>
        <v>499.0315362938054</v>
      </c>
      <c r="BK1006" s="11">
        <f t="shared" si="125"/>
        <v>8.7228506757144331E-2</v>
      </c>
      <c r="BL1006" s="5">
        <f t="shared" si="126"/>
        <v>2730.3151410175487</v>
      </c>
      <c r="BM1006" s="11">
        <f t="shared" si="127"/>
        <v>0.13330332459800709</v>
      </c>
    </row>
    <row r="1007" spans="1:65" ht="15" customHeight="1" x14ac:dyDescent="0.4">
      <c r="A1007" s="2" t="s">
        <v>745</v>
      </c>
      <c r="B1007" s="2" t="s">
        <v>66</v>
      </c>
      <c r="C1007" s="2" t="s">
        <v>749</v>
      </c>
      <c r="D1007" s="3" t="s">
        <v>68</v>
      </c>
      <c r="E1007" s="3" t="s">
        <v>140</v>
      </c>
      <c r="F1007" s="2" t="s">
        <v>141</v>
      </c>
      <c r="G1007" s="4">
        <v>5</v>
      </c>
      <c r="H1007" s="5">
        <v>9.3766666666666669</v>
      </c>
      <c r="I1007" s="5">
        <v>9.7702289226144678</v>
      </c>
      <c r="J1007" s="6">
        <v>237.41656180637119</v>
      </c>
      <c r="K1007" s="5">
        <v>2412.1522679527311</v>
      </c>
      <c r="L1007" s="6">
        <v>296.77070225796399</v>
      </c>
      <c r="M1007" s="5">
        <v>2596.7436447571849</v>
      </c>
      <c r="N1007" s="6">
        <v>0</v>
      </c>
      <c r="O1007" s="5">
        <v>0</v>
      </c>
      <c r="P1007" s="6">
        <v>0</v>
      </c>
      <c r="Q1007" s="5">
        <v>0</v>
      </c>
      <c r="R1007" s="6">
        <v>0</v>
      </c>
      <c r="S1007" s="5">
        <v>0</v>
      </c>
      <c r="T1007" s="6">
        <v>0</v>
      </c>
      <c r="U1007" s="5">
        <v>0</v>
      </c>
      <c r="V1007" s="6">
        <v>0</v>
      </c>
      <c r="W1007" s="5">
        <v>0</v>
      </c>
      <c r="X1007" s="6">
        <v>0</v>
      </c>
      <c r="Y1007" s="5">
        <v>0</v>
      </c>
      <c r="Z1007" s="6">
        <v>0</v>
      </c>
      <c r="AA1007" s="5">
        <v>0</v>
      </c>
      <c r="AB1007" s="6">
        <v>0</v>
      </c>
      <c r="AC1007" s="5">
        <v>0</v>
      </c>
      <c r="AD1007" s="6">
        <v>0</v>
      </c>
      <c r="AE1007" s="5">
        <v>0</v>
      </c>
      <c r="AF1007" s="6">
        <v>0</v>
      </c>
      <c r="AG1007" s="5">
        <v>0</v>
      </c>
      <c r="AH1007" s="7">
        <f t="shared" si="120"/>
        <v>534.18726406433518</v>
      </c>
      <c r="AI1007" s="8">
        <f t="shared" si="121"/>
        <v>5008.895912709916</v>
      </c>
      <c r="AJ1007" s="6">
        <v>285</v>
      </c>
      <c r="AK1007" s="5">
        <v>3018.308404470687</v>
      </c>
      <c r="AL1007" s="6">
        <v>360</v>
      </c>
      <c r="AM1007" s="5">
        <v>3283.4892506156448</v>
      </c>
      <c r="AN1007" s="6">
        <v>0</v>
      </c>
      <c r="AO1007" s="5">
        <v>0</v>
      </c>
      <c r="AP1007" s="6">
        <v>0</v>
      </c>
      <c r="AQ1007" s="5">
        <v>0</v>
      </c>
      <c r="AR1007" s="6">
        <v>0</v>
      </c>
      <c r="AS1007" s="5">
        <v>0</v>
      </c>
      <c r="AT1007" s="6">
        <v>0</v>
      </c>
      <c r="AU1007" s="5">
        <v>0</v>
      </c>
      <c r="AV1007" s="6">
        <v>0</v>
      </c>
      <c r="AW1007" s="5">
        <v>0</v>
      </c>
      <c r="AX1007" s="6">
        <v>0</v>
      </c>
      <c r="AY1007" s="5">
        <v>0</v>
      </c>
      <c r="AZ1007" s="6">
        <v>0</v>
      </c>
      <c r="BA1007" s="5">
        <v>0</v>
      </c>
      <c r="BB1007" s="6">
        <v>0</v>
      </c>
      <c r="BC1007" s="5">
        <v>0</v>
      </c>
      <c r="BD1007" s="6">
        <v>0</v>
      </c>
      <c r="BE1007" s="5">
        <v>0</v>
      </c>
      <c r="BF1007" s="6">
        <v>0</v>
      </c>
      <c r="BG1007" s="5">
        <v>0</v>
      </c>
      <c r="BH1007" s="9">
        <f t="shared" si="122"/>
        <v>645</v>
      </c>
      <c r="BI1007" s="10">
        <f t="shared" si="123"/>
        <v>6301.7976550863314</v>
      </c>
      <c r="BJ1007" s="6">
        <f t="shared" si="124"/>
        <v>110.81273593566482</v>
      </c>
      <c r="BK1007" s="11">
        <f t="shared" si="125"/>
        <v>0.20744174073442345</v>
      </c>
      <c r="BL1007" s="5">
        <f t="shared" si="126"/>
        <v>1292.9017423764153</v>
      </c>
      <c r="BM1007" s="11">
        <f t="shared" si="127"/>
        <v>0.25812110391348275</v>
      </c>
    </row>
    <row r="1008" spans="1:65" ht="15" customHeight="1" x14ac:dyDescent="0.4">
      <c r="A1008" s="2" t="s">
        <v>745</v>
      </c>
      <c r="B1008" s="2" t="s">
        <v>66</v>
      </c>
      <c r="C1008" s="2" t="s">
        <v>749</v>
      </c>
      <c r="D1008" s="3" t="s">
        <v>68</v>
      </c>
      <c r="E1008" s="3" t="s">
        <v>131</v>
      </c>
      <c r="F1008" s="2" t="s">
        <v>132</v>
      </c>
      <c r="G1008" s="4">
        <v>20</v>
      </c>
      <c r="H1008" s="5">
        <v>1.65</v>
      </c>
      <c r="I1008" s="5">
        <v>1.719922940798672</v>
      </c>
      <c r="J1008" s="6">
        <v>0</v>
      </c>
      <c r="K1008" s="5">
        <v>0</v>
      </c>
      <c r="L1008" s="6">
        <v>0</v>
      </c>
      <c r="M1008" s="5">
        <v>0</v>
      </c>
      <c r="N1008" s="6">
        <v>0</v>
      </c>
      <c r="O1008" s="5">
        <v>0</v>
      </c>
      <c r="P1008" s="6">
        <v>0</v>
      </c>
      <c r="Q1008" s="5">
        <v>0</v>
      </c>
      <c r="R1008" s="6">
        <v>0</v>
      </c>
      <c r="S1008" s="5">
        <v>0</v>
      </c>
      <c r="T1008" s="6">
        <v>8705.2739329002761</v>
      </c>
      <c r="U1008" s="5">
        <v>14363.701989285461</v>
      </c>
      <c r="V1008" s="6">
        <v>0</v>
      </c>
      <c r="W1008" s="5">
        <v>0</v>
      </c>
      <c r="X1008" s="6">
        <v>0</v>
      </c>
      <c r="Y1008" s="5">
        <v>0</v>
      </c>
      <c r="Z1008" s="6">
        <v>0</v>
      </c>
      <c r="AA1008" s="5">
        <v>0</v>
      </c>
      <c r="AB1008" s="6">
        <v>0</v>
      </c>
      <c r="AC1008" s="5">
        <v>0</v>
      </c>
      <c r="AD1008" s="6">
        <v>0</v>
      </c>
      <c r="AE1008" s="5">
        <v>0</v>
      </c>
      <c r="AF1008" s="6">
        <v>0</v>
      </c>
      <c r="AG1008" s="5">
        <v>0</v>
      </c>
      <c r="AH1008" s="7">
        <f t="shared" si="120"/>
        <v>8705.2739329002761</v>
      </c>
      <c r="AI1008" s="8">
        <f t="shared" si="121"/>
        <v>14363.701989285461</v>
      </c>
      <c r="AJ1008" s="6">
        <v>0</v>
      </c>
      <c r="AK1008" s="5">
        <v>0</v>
      </c>
      <c r="AL1008" s="6">
        <v>0</v>
      </c>
      <c r="AM1008" s="5">
        <v>0</v>
      </c>
      <c r="AN1008" s="6">
        <v>0</v>
      </c>
      <c r="AO1008" s="5">
        <v>0</v>
      </c>
      <c r="AP1008" s="6">
        <v>0</v>
      </c>
      <c r="AQ1008" s="5">
        <v>0</v>
      </c>
      <c r="AR1008" s="6">
        <v>0</v>
      </c>
      <c r="AS1008" s="5">
        <v>0</v>
      </c>
      <c r="AT1008" s="6">
        <v>9460</v>
      </c>
      <c r="AU1008" s="5">
        <v>16270.47101995543</v>
      </c>
      <c r="AV1008" s="6">
        <v>0</v>
      </c>
      <c r="AW1008" s="5">
        <v>0</v>
      </c>
      <c r="AX1008" s="6">
        <v>0</v>
      </c>
      <c r="AY1008" s="5">
        <v>0</v>
      </c>
      <c r="AZ1008" s="6">
        <v>0</v>
      </c>
      <c r="BA1008" s="5">
        <v>0</v>
      </c>
      <c r="BB1008" s="6">
        <v>0</v>
      </c>
      <c r="BC1008" s="5">
        <v>0</v>
      </c>
      <c r="BD1008" s="6">
        <v>0</v>
      </c>
      <c r="BE1008" s="5">
        <v>0</v>
      </c>
      <c r="BF1008" s="6">
        <v>0</v>
      </c>
      <c r="BG1008" s="5">
        <v>0</v>
      </c>
      <c r="BH1008" s="9">
        <f t="shared" si="122"/>
        <v>9460</v>
      </c>
      <c r="BI1008" s="10">
        <f t="shared" si="123"/>
        <v>16270.47101995543</v>
      </c>
      <c r="BJ1008" s="6">
        <f t="shared" si="124"/>
        <v>754.72606709972388</v>
      </c>
      <c r="BK1008" s="11">
        <f t="shared" si="125"/>
        <v>8.6697566660981218E-2</v>
      </c>
      <c r="BL1008" s="5">
        <f t="shared" si="126"/>
        <v>1906.7690306699697</v>
      </c>
      <c r="BM1008" s="11">
        <f t="shared" si="127"/>
        <v>0.1327491361274632</v>
      </c>
    </row>
    <row r="1009" spans="1:65" ht="15" customHeight="1" x14ac:dyDescent="0.4">
      <c r="A1009" s="2" t="s">
        <v>745</v>
      </c>
      <c r="B1009" s="2" t="s">
        <v>66</v>
      </c>
      <c r="C1009" s="2" t="s">
        <v>752</v>
      </c>
      <c r="D1009" s="3" t="s">
        <v>68</v>
      </c>
      <c r="E1009" s="3" t="s">
        <v>102</v>
      </c>
      <c r="F1009" s="2" t="s">
        <v>171</v>
      </c>
      <c r="G1009" s="4">
        <v>5</v>
      </c>
      <c r="H1009" s="5">
        <v>4.3400000000000007</v>
      </c>
      <c r="I1009" s="5">
        <v>4.5239185230704448</v>
      </c>
      <c r="J1009" s="6">
        <v>0</v>
      </c>
      <c r="K1009" s="5">
        <v>0</v>
      </c>
      <c r="L1009" s="6">
        <v>791.38853935457064</v>
      </c>
      <c r="M1009" s="5">
        <v>3434.626260798836</v>
      </c>
      <c r="N1009" s="6">
        <v>296.77070225796399</v>
      </c>
      <c r="O1009" s="5">
        <v>1287.984847799564</v>
      </c>
      <c r="P1009" s="6">
        <v>0</v>
      </c>
      <c r="Q1009" s="5">
        <v>0</v>
      </c>
      <c r="R1009" s="6">
        <v>0</v>
      </c>
      <c r="S1009" s="5">
        <v>0</v>
      </c>
      <c r="T1009" s="6">
        <v>0</v>
      </c>
      <c r="U1009" s="5">
        <v>0</v>
      </c>
      <c r="V1009" s="6">
        <v>0</v>
      </c>
      <c r="W1009" s="5">
        <v>0</v>
      </c>
      <c r="X1009" s="6">
        <v>0</v>
      </c>
      <c r="Y1009" s="5">
        <v>0</v>
      </c>
      <c r="Z1009" s="6">
        <v>0</v>
      </c>
      <c r="AA1009" s="5">
        <v>0</v>
      </c>
      <c r="AB1009" s="6">
        <v>0</v>
      </c>
      <c r="AC1009" s="5">
        <v>0</v>
      </c>
      <c r="AD1009" s="6">
        <v>0</v>
      </c>
      <c r="AE1009" s="5">
        <v>0</v>
      </c>
      <c r="AF1009" s="6">
        <v>0</v>
      </c>
      <c r="AG1009" s="5">
        <v>0</v>
      </c>
      <c r="AH1009" s="7">
        <f t="shared" si="120"/>
        <v>1088.1592416125345</v>
      </c>
      <c r="AI1009" s="8">
        <f t="shared" si="121"/>
        <v>4722.6111085984003</v>
      </c>
      <c r="AJ1009" s="6">
        <v>0</v>
      </c>
      <c r="AK1009" s="5">
        <v>0</v>
      </c>
      <c r="AL1009" s="6">
        <v>995</v>
      </c>
      <c r="AM1009" s="5">
        <v>4501.2989304550929</v>
      </c>
      <c r="AN1009" s="6">
        <v>375</v>
      </c>
      <c r="AO1009" s="5">
        <v>1696.4694461514171</v>
      </c>
      <c r="AP1009" s="6">
        <v>0</v>
      </c>
      <c r="AQ1009" s="5">
        <v>0</v>
      </c>
      <c r="AR1009" s="6">
        <v>0</v>
      </c>
      <c r="AS1009" s="5">
        <v>0</v>
      </c>
      <c r="AT1009" s="6">
        <v>0</v>
      </c>
      <c r="AU1009" s="5">
        <v>0</v>
      </c>
      <c r="AV1009" s="6">
        <v>0</v>
      </c>
      <c r="AW1009" s="5">
        <v>0</v>
      </c>
      <c r="AX1009" s="6">
        <v>0</v>
      </c>
      <c r="AY1009" s="5">
        <v>0</v>
      </c>
      <c r="AZ1009" s="6">
        <v>0</v>
      </c>
      <c r="BA1009" s="5">
        <v>0</v>
      </c>
      <c r="BB1009" s="6">
        <v>0</v>
      </c>
      <c r="BC1009" s="5">
        <v>0</v>
      </c>
      <c r="BD1009" s="6">
        <v>0</v>
      </c>
      <c r="BE1009" s="5">
        <v>0</v>
      </c>
      <c r="BF1009" s="6">
        <v>0</v>
      </c>
      <c r="BG1009" s="5">
        <v>0</v>
      </c>
      <c r="BH1009" s="9">
        <f t="shared" si="122"/>
        <v>1370</v>
      </c>
      <c r="BI1009" s="10">
        <f t="shared" si="123"/>
        <v>6197.7683766065102</v>
      </c>
      <c r="BJ1009" s="6">
        <f t="shared" si="124"/>
        <v>281.84075838746548</v>
      </c>
      <c r="BK1009" s="11">
        <f t="shared" si="125"/>
        <v>0.25900690598354698</v>
      </c>
      <c r="BL1009" s="5">
        <f t="shared" si="126"/>
        <v>1475.1572680081099</v>
      </c>
      <c r="BM1009" s="11">
        <f t="shared" si="127"/>
        <v>0.31236052134852033</v>
      </c>
    </row>
    <row r="1010" spans="1:65" ht="15" customHeight="1" x14ac:dyDescent="0.4">
      <c r="A1010" s="2" t="s">
        <v>745</v>
      </c>
      <c r="B1010" s="2" t="s">
        <v>66</v>
      </c>
      <c r="C1010" s="2" t="s">
        <v>752</v>
      </c>
      <c r="D1010" s="3" t="s">
        <v>68</v>
      </c>
      <c r="E1010" s="3" t="s">
        <v>102</v>
      </c>
      <c r="F1010" s="2" t="s">
        <v>103</v>
      </c>
      <c r="G1010" s="4">
        <v>5</v>
      </c>
      <c r="H1010" s="5">
        <v>4.4488815023412354</v>
      </c>
      <c r="I1010" s="5">
        <v>4.637323236150932</v>
      </c>
      <c r="J1010" s="6">
        <v>0</v>
      </c>
      <c r="K1010" s="5">
        <v>0</v>
      </c>
      <c r="L1010" s="6">
        <v>0</v>
      </c>
      <c r="M1010" s="5">
        <v>0</v>
      </c>
      <c r="N1010" s="6">
        <v>0</v>
      </c>
      <c r="O1010" s="5">
        <v>0</v>
      </c>
      <c r="P1010" s="6">
        <v>395.69426967728532</v>
      </c>
      <c r="Q1010" s="5">
        <v>1717.313130399418</v>
      </c>
      <c r="R1010" s="6">
        <v>0</v>
      </c>
      <c r="S1010" s="5">
        <v>0</v>
      </c>
      <c r="T1010" s="6">
        <v>791.38853935457064</v>
      </c>
      <c r="U1010" s="5">
        <v>3608.7317394568422</v>
      </c>
      <c r="V1010" s="6">
        <v>0</v>
      </c>
      <c r="W1010" s="5">
        <v>0</v>
      </c>
      <c r="X1010" s="6">
        <v>0</v>
      </c>
      <c r="Y1010" s="5">
        <v>0</v>
      </c>
      <c r="Z1010" s="6">
        <v>0</v>
      </c>
      <c r="AA1010" s="5">
        <v>0</v>
      </c>
      <c r="AB1010" s="6">
        <v>0</v>
      </c>
      <c r="AC1010" s="5">
        <v>0</v>
      </c>
      <c r="AD1010" s="6">
        <v>473.99806964919469</v>
      </c>
      <c r="AE1010" s="5">
        <v>2063.907125200592</v>
      </c>
      <c r="AF1010" s="6">
        <v>0</v>
      </c>
      <c r="AG1010" s="5">
        <v>0</v>
      </c>
      <c r="AH1010" s="7">
        <f t="shared" si="120"/>
        <v>1661.0808786810508</v>
      </c>
      <c r="AI1010" s="8">
        <f t="shared" si="121"/>
        <v>7389.951995056852</v>
      </c>
      <c r="AJ1010" s="6">
        <v>0</v>
      </c>
      <c r="AK1010" s="5">
        <v>0</v>
      </c>
      <c r="AL1010" s="6">
        <v>0</v>
      </c>
      <c r="AM1010" s="5">
        <v>0</v>
      </c>
      <c r="AN1010" s="6">
        <v>0</v>
      </c>
      <c r="AO1010" s="5">
        <v>0</v>
      </c>
      <c r="AP1010" s="6">
        <v>500</v>
      </c>
      <c r="AQ1010" s="5">
        <v>2261.9592615352221</v>
      </c>
      <c r="AR1010" s="6">
        <v>0</v>
      </c>
      <c r="AS1010" s="5">
        <v>0</v>
      </c>
      <c r="AT1010" s="6">
        <v>995</v>
      </c>
      <c r="AU1010" s="5">
        <v>4729.4753739343823</v>
      </c>
      <c r="AV1010" s="6">
        <v>0</v>
      </c>
      <c r="AW1010" s="5">
        <v>0</v>
      </c>
      <c r="AX1010" s="6">
        <v>0</v>
      </c>
      <c r="AY1010" s="5">
        <v>0</v>
      </c>
      <c r="AZ1010" s="6">
        <v>0</v>
      </c>
      <c r="BA1010" s="5">
        <v>0</v>
      </c>
      <c r="BB1010" s="6">
        <v>0</v>
      </c>
      <c r="BC1010" s="5">
        <v>0</v>
      </c>
      <c r="BD1010" s="6">
        <v>595</v>
      </c>
      <c r="BE1010" s="5">
        <v>2700.5709280858418</v>
      </c>
      <c r="BF1010" s="6">
        <v>0</v>
      </c>
      <c r="BG1010" s="5">
        <v>0</v>
      </c>
      <c r="BH1010" s="9">
        <f t="shared" si="122"/>
        <v>2090</v>
      </c>
      <c r="BI1010" s="10">
        <f t="shared" si="123"/>
        <v>9692.0055635554454</v>
      </c>
      <c r="BJ1010" s="6">
        <f t="shared" si="124"/>
        <v>428.91912131894924</v>
      </c>
      <c r="BK1010" s="11">
        <f t="shared" si="125"/>
        <v>0.25821687963774781</v>
      </c>
      <c r="BL1010" s="5">
        <f t="shared" si="126"/>
        <v>2302.0535684985934</v>
      </c>
      <c r="BM1010" s="11">
        <f t="shared" si="127"/>
        <v>0.31151130210838174</v>
      </c>
    </row>
    <row r="1011" spans="1:65" ht="15" customHeight="1" x14ac:dyDescent="0.4">
      <c r="A1011" s="2" t="s">
        <v>745</v>
      </c>
      <c r="B1011" s="2" t="s">
        <v>66</v>
      </c>
      <c r="C1011" s="2" t="s">
        <v>752</v>
      </c>
      <c r="D1011" s="3" t="s">
        <v>68</v>
      </c>
      <c r="E1011" s="3" t="s">
        <v>209</v>
      </c>
      <c r="F1011" s="2" t="s">
        <v>210</v>
      </c>
      <c r="G1011" s="4">
        <v>1</v>
      </c>
      <c r="H1011" s="5">
        <v>10.17</v>
      </c>
      <c r="I1011" s="5">
        <v>10.600979580559081</v>
      </c>
      <c r="J1011" s="6">
        <v>0</v>
      </c>
      <c r="K1011" s="5">
        <v>0</v>
      </c>
      <c r="L1011" s="6">
        <v>0</v>
      </c>
      <c r="M1011" s="5">
        <v>0</v>
      </c>
      <c r="N1011" s="6">
        <v>0</v>
      </c>
      <c r="O1011" s="5">
        <v>0</v>
      </c>
      <c r="P1011" s="6">
        <v>0</v>
      </c>
      <c r="Q1011" s="5">
        <v>0</v>
      </c>
      <c r="R1011" s="6">
        <v>31.65554157418282</v>
      </c>
      <c r="S1011" s="5">
        <v>321.93685780943929</v>
      </c>
      <c r="T1011" s="6">
        <v>0</v>
      </c>
      <c r="U1011" s="5">
        <v>0</v>
      </c>
      <c r="V1011" s="6">
        <v>0</v>
      </c>
      <c r="W1011" s="5">
        <v>0</v>
      </c>
      <c r="X1011" s="6">
        <v>0</v>
      </c>
      <c r="Y1011" s="5">
        <v>0</v>
      </c>
      <c r="Z1011" s="6">
        <v>0</v>
      </c>
      <c r="AA1011" s="5">
        <v>0</v>
      </c>
      <c r="AB1011" s="6">
        <v>0</v>
      </c>
      <c r="AC1011" s="5">
        <v>0</v>
      </c>
      <c r="AD1011" s="6">
        <v>0</v>
      </c>
      <c r="AE1011" s="5">
        <v>0</v>
      </c>
      <c r="AF1011" s="6">
        <v>0</v>
      </c>
      <c r="AG1011" s="5">
        <v>0</v>
      </c>
      <c r="AH1011" s="7">
        <f t="shared" si="120"/>
        <v>31.65554157418282</v>
      </c>
      <c r="AI1011" s="8">
        <f t="shared" si="121"/>
        <v>321.93685780943929</v>
      </c>
      <c r="AJ1011" s="6">
        <v>0</v>
      </c>
      <c r="AK1011" s="5">
        <v>0</v>
      </c>
      <c r="AL1011" s="6">
        <v>0</v>
      </c>
      <c r="AM1011" s="5">
        <v>0</v>
      </c>
      <c r="AN1011" s="6">
        <v>0</v>
      </c>
      <c r="AO1011" s="5">
        <v>0</v>
      </c>
      <c r="AP1011" s="6">
        <v>0</v>
      </c>
      <c r="AQ1011" s="5">
        <v>0</v>
      </c>
      <c r="AR1011" s="6">
        <v>35</v>
      </c>
      <c r="AS1011" s="5">
        <v>371.03428531956791</v>
      </c>
      <c r="AT1011" s="6">
        <v>0</v>
      </c>
      <c r="AU1011" s="5">
        <v>0</v>
      </c>
      <c r="AV1011" s="6">
        <v>0</v>
      </c>
      <c r="AW1011" s="5">
        <v>0</v>
      </c>
      <c r="AX1011" s="6">
        <v>0</v>
      </c>
      <c r="AY1011" s="5">
        <v>0</v>
      </c>
      <c r="AZ1011" s="6">
        <v>0</v>
      </c>
      <c r="BA1011" s="5">
        <v>0</v>
      </c>
      <c r="BB1011" s="6">
        <v>0</v>
      </c>
      <c r="BC1011" s="5">
        <v>0</v>
      </c>
      <c r="BD1011" s="6">
        <v>0</v>
      </c>
      <c r="BE1011" s="5">
        <v>0</v>
      </c>
      <c r="BF1011" s="6">
        <v>0</v>
      </c>
      <c r="BG1011" s="5">
        <v>0</v>
      </c>
      <c r="BH1011" s="9">
        <f t="shared" si="122"/>
        <v>35</v>
      </c>
      <c r="BI1011" s="10">
        <f t="shared" si="123"/>
        <v>371.03428531956791</v>
      </c>
      <c r="BJ1011" s="6">
        <f t="shared" si="124"/>
        <v>3.3444584258171801</v>
      </c>
      <c r="BK1011" s="11">
        <f t="shared" si="125"/>
        <v>0.10565159398646354</v>
      </c>
      <c r="BL1011" s="5">
        <f t="shared" si="126"/>
        <v>49.097427510128625</v>
      </c>
      <c r="BM1011" s="11">
        <f t="shared" si="127"/>
        <v>0.15250638850177992</v>
      </c>
    </row>
    <row r="1012" spans="1:65" ht="15" customHeight="1" x14ac:dyDescent="0.4">
      <c r="A1012" s="2" t="s">
        <v>745</v>
      </c>
      <c r="B1012" s="2" t="s">
        <v>66</v>
      </c>
      <c r="C1012" s="2" t="s">
        <v>752</v>
      </c>
      <c r="D1012" s="3" t="s">
        <v>68</v>
      </c>
      <c r="E1012" s="3" t="s">
        <v>106</v>
      </c>
      <c r="F1012" s="2" t="s">
        <v>107</v>
      </c>
      <c r="G1012" s="4">
        <v>5</v>
      </c>
      <c r="H1012" s="5">
        <v>4.0066666666666668</v>
      </c>
      <c r="I1012" s="5">
        <v>4.1764593431111168</v>
      </c>
      <c r="J1012" s="6">
        <v>0</v>
      </c>
      <c r="K1012" s="5">
        <v>0</v>
      </c>
      <c r="L1012" s="6">
        <v>0</v>
      </c>
      <c r="M1012" s="5">
        <v>0</v>
      </c>
      <c r="N1012" s="6">
        <v>39.569426967728532</v>
      </c>
      <c r="O1012" s="5">
        <v>154.32076517414129</v>
      </c>
      <c r="P1012" s="6">
        <v>0</v>
      </c>
      <c r="Q1012" s="5">
        <v>0</v>
      </c>
      <c r="R1012" s="6">
        <v>0</v>
      </c>
      <c r="S1012" s="5">
        <v>0</v>
      </c>
      <c r="T1012" s="6">
        <v>0</v>
      </c>
      <c r="U1012" s="5">
        <v>0</v>
      </c>
      <c r="V1012" s="6">
        <v>79.138853935457064</v>
      </c>
      <c r="W1012" s="5">
        <v>321.30374697795571</v>
      </c>
      <c r="X1012" s="6">
        <v>0</v>
      </c>
      <c r="Y1012" s="5">
        <v>0</v>
      </c>
      <c r="Z1012" s="6">
        <v>0</v>
      </c>
      <c r="AA1012" s="5">
        <v>0</v>
      </c>
      <c r="AB1012" s="6">
        <v>0</v>
      </c>
      <c r="AC1012" s="5">
        <v>0</v>
      </c>
      <c r="AD1012" s="6">
        <v>0</v>
      </c>
      <c r="AE1012" s="5">
        <v>0</v>
      </c>
      <c r="AF1012" s="6">
        <v>0</v>
      </c>
      <c r="AG1012" s="5">
        <v>0</v>
      </c>
      <c r="AH1012" s="7">
        <f t="shared" si="120"/>
        <v>118.7082809031856</v>
      </c>
      <c r="AI1012" s="8">
        <f t="shared" si="121"/>
        <v>475.624512152097</v>
      </c>
      <c r="AJ1012" s="6">
        <v>0</v>
      </c>
      <c r="AK1012" s="5">
        <v>0</v>
      </c>
      <c r="AL1012" s="6">
        <v>0</v>
      </c>
      <c r="AM1012" s="5">
        <v>0</v>
      </c>
      <c r="AN1012" s="6">
        <v>45</v>
      </c>
      <c r="AO1012" s="5">
        <v>182.93725824858589</v>
      </c>
      <c r="AP1012" s="6">
        <v>0</v>
      </c>
      <c r="AQ1012" s="5">
        <v>0</v>
      </c>
      <c r="AR1012" s="6">
        <v>0</v>
      </c>
      <c r="AS1012" s="5">
        <v>0</v>
      </c>
      <c r="AT1012" s="6">
        <v>0</v>
      </c>
      <c r="AU1012" s="5">
        <v>0</v>
      </c>
      <c r="AV1012" s="6">
        <v>90</v>
      </c>
      <c r="AW1012" s="5">
        <v>380.88475307141488</v>
      </c>
      <c r="AX1012" s="6">
        <v>0</v>
      </c>
      <c r="AY1012" s="5">
        <v>0</v>
      </c>
      <c r="AZ1012" s="6">
        <v>0</v>
      </c>
      <c r="BA1012" s="5">
        <v>0</v>
      </c>
      <c r="BB1012" s="6">
        <v>0</v>
      </c>
      <c r="BC1012" s="5">
        <v>0</v>
      </c>
      <c r="BD1012" s="6">
        <v>0</v>
      </c>
      <c r="BE1012" s="5">
        <v>0</v>
      </c>
      <c r="BF1012" s="6">
        <v>0</v>
      </c>
      <c r="BG1012" s="5">
        <v>0</v>
      </c>
      <c r="BH1012" s="9">
        <f t="shared" si="122"/>
        <v>135</v>
      </c>
      <c r="BI1012" s="10">
        <f t="shared" si="123"/>
        <v>563.8220113200008</v>
      </c>
      <c r="BJ1012" s="6">
        <f t="shared" si="124"/>
        <v>16.291719096814404</v>
      </c>
      <c r="BK1012" s="11">
        <f t="shared" si="125"/>
        <v>0.13724163952893373</v>
      </c>
      <c r="BL1012" s="5">
        <f t="shared" si="126"/>
        <v>88.1974991679038</v>
      </c>
      <c r="BM1012" s="11">
        <f t="shared" si="127"/>
        <v>0.18543514245897333</v>
      </c>
    </row>
    <row r="1013" spans="1:65" ht="15" customHeight="1" x14ac:dyDescent="0.4">
      <c r="A1013" s="2" t="s">
        <v>745</v>
      </c>
      <c r="B1013" s="2" t="s">
        <v>66</v>
      </c>
      <c r="C1013" s="2" t="s">
        <v>752</v>
      </c>
      <c r="D1013" s="3" t="s">
        <v>68</v>
      </c>
      <c r="E1013" s="3" t="s">
        <v>753</v>
      </c>
      <c r="F1013" s="2" t="s">
        <v>754</v>
      </c>
      <c r="G1013" s="4">
        <v>1000</v>
      </c>
      <c r="H1013" s="5">
        <v>2.58</v>
      </c>
      <c r="I1013" s="5">
        <v>2.689334052885195</v>
      </c>
      <c r="J1013" s="6">
        <v>0</v>
      </c>
      <c r="K1013" s="5">
        <v>0</v>
      </c>
      <c r="L1013" s="6">
        <v>0</v>
      </c>
      <c r="M1013" s="5">
        <v>0</v>
      </c>
      <c r="N1013" s="6">
        <v>0</v>
      </c>
      <c r="O1013" s="5">
        <v>0</v>
      </c>
      <c r="P1013" s="6">
        <v>0</v>
      </c>
      <c r="Q1013" s="5">
        <v>0</v>
      </c>
      <c r="R1013" s="6">
        <v>989.23567419321319</v>
      </c>
      <c r="S1013" s="5">
        <v>2552.22803941849</v>
      </c>
      <c r="T1013" s="6">
        <v>0</v>
      </c>
      <c r="U1013" s="5">
        <v>0</v>
      </c>
      <c r="V1013" s="6">
        <v>0</v>
      </c>
      <c r="W1013" s="5">
        <v>0</v>
      </c>
      <c r="X1013" s="6">
        <v>0</v>
      </c>
      <c r="Y1013" s="5">
        <v>0</v>
      </c>
      <c r="Z1013" s="6">
        <v>0</v>
      </c>
      <c r="AA1013" s="5">
        <v>0</v>
      </c>
      <c r="AB1013" s="6">
        <v>0</v>
      </c>
      <c r="AC1013" s="5">
        <v>0</v>
      </c>
      <c r="AD1013" s="6">
        <v>0</v>
      </c>
      <c r="AE1013" s="5">
        <v>0</v>
      </c>
      <c r="AF1013" s="6">
        <v>0</v>
      </c>
      <c r="AG1013" s="5">
        <v>0</v>
      </c>
      <c r="AH1013" s="7">
        <f t="shared" si="120"/>
        <v>989.23567419321319</v>
      </c>
      <c r="AI1013" s="8">
        <f t="shared" si="121"/>
        <v>2552.22803941849</v>
      </c>
      <c r="AJ1013" s="6">
        <v>0</v>
      </c>
      <c r="AK1013" s="5">
        <v>0</v>
      </c>
      <c r="AL1013" s="6">
        <v>0</v>
      </c>
      <c r="AM1013" s="5">
        <v>0</v>
      </c>
      <c r="AN1013" s="6">
        <v>0</v>
      </c>
      <c r="AO1013" s="5">
        <v>0</v>
      </c>
      <c r="AP1013" s="6">
        <v>0</v>
      </c>
      <c r="AQ1013" s="5">
        <v>0</v>
      </c>
      <c r="AR1013" s="6">
        <v>1000</v>
      </c>
      <c r="AS1013" s="5">
        <v>2689.334052885195</v>
      </c>
      <c r="AT1013" s="6">
        <v>0</v>
      </c>
      <c r="AU1013" s="5">
        <v>0</v>
      </c>
      <c r="AV1013" s="6">
        <v>0</v>
      </c>
      <c r="AW1013" s="5">
        <v>0</v>
      </c>
      <c r="AX1013" s="6">
        <v>0</v>
      </c>
      <c r="AY1013" s="5">
        <v>0</v>
      </c>
      <c r="AZ1013" s="6">
        <v>0</v>
      </c>
      <c r="BA1013" s="5">
        <v>0</v>
      </c>
      <c r="BB1013" s="6">
        <v>0</v>
      </c>
      <c r="BC1013" s="5">
        <v>0</v>
      </c>
      <c r="BD1013" s="6">
        <v>0</v>
      </c>
      <c r="BE1013" s="5">
        <v>0</v>
      </c>
      <c r="BF1013" s="6">
        <v>0</v>
      </c>
      <c r="BG1013" s="5">
        <v>0</v>
      </c>
      <c r="BH1013" s="9">
        <f t="shared" si="122"/>
        <v>1000</v>
      </c>
      <c r="BI1013" s="10">
        <f t="shared" si="123"/>
        <v>2689.334052885195</v>
      </c>
      <c r="BJ1013" s="6">
        <f t="shared" si="124"/>
        <v>10.764325806786815</v>
      </c>
      <c r="BK1013" s="11">
        <f t="shared" si="125"/>
        <v>1.0881457359052311E-2</v>
      </c>
      <c r="BL1013" s="5">
        <f t="shared" si="126"/>
        <v>137.10601346670501</v>
      </c>
      <c r="BM1013" s="11">
        <f t="shared" si="127"/>
        <v>5.3720126630198685E-2</v>
      </c>
    </row>
    <row r="1014" spans="1:65" ht="15" customHeight="1" x14ac:dyDescent="0.4">
      <c r="A1014" s="2" t="s">
        <v>745</v>
      </c>
      <c r="B1014" s="2" t="s">
        <v>66</v>
      </c>
      <c r="C1014" s="2" t="s">
        <v>752</v>
      </c>
      <c r="D1014" s="3" t="s">
        <v>68</v>
      </c>
      <c r="E1014" s="3" t="s">
        <v>82</v>
      </c>
      <c r="F1014" s="2" t="s">
        <v>83</v>
      </c>
      <c r="G1014" s="4">
        <v>20</v>
      </c>
      <c r="H1014" s="5">
        <v>2.7874999999999992</v>
      </c>
      <c r="I1014" s="5">
        <v>2.905627392409877</v>
      </c>
      <c r="J1014" s="6">
        <v>0</v>
      </c>
      <c r="K1014" s="5">
        <v>0</v>
      </c>
      <c r="L1014" s="6">
        <v>633.11083148365651</v>
      </c>
      <c r="M1014" s="5">
        <v>1747.3858948948921</v>
      </c>
      <c r="N1014" s="6">
        <v>2532.443325934626</v>
      </c>
      <c r="O1014" s="5">
        <v>6989.5435795795674</v>
      </c>
      <c r="P1014" s="6">
        <v>633.11083148365651</v>
      </c>
      <c r="Q1014" s="5">
        <v>1747.3858948948921</v>
      </c>
      <c r="R1014" s="6">
        <v>0</v>
      </c>
      <c r="S1014" s="5">
        <v>0</v>
      </c>
      <c r="T1014" s="6">
        <v>633.11083148365651</v>
      </c>
      <c r="U1014" s="5">
        <v>1817.028086358094</v>
      </c>
      <c r="V1014" s="6">
        <v>633.11083148365651</v>
      </c>
      <c r="W1014" s="5">
        <v>1817.028086358094</v>
      </c>
      <c r="X1014" s="6">
        <v>0</v>
      </c>
      <c r="Y1014" s="5">
        <v>0</v>
      </c>
      <c r="Z1014" s="6">
        <v>0</v>
      </c>
      <c r="AA1014" s="5">
        <v>0</v>
      </c>
      <c r="AB1014" s="6">
        <v>0</v>
      </c>
      <c r="AC1014" s="5">
        <v>0</v>
      </c>
      <c r="AD1014" s="6">
        <v>0</v>
      </c>
      <c r="AE1014" s="5">
        <v>0</v>
      </c>
      <c r="AF1014" s="6">
        <v>0</v>
      </c>
      <c r="AG1014" s="5">
        <v>0</v>
      </c>
      <c r="AH1014" s="7">
        <f t="shared" si="120"/>
        <v>5064.8866518692521</v>
      </c>
      <c r="AI1014" s="8">
        <f t="shared" si="121"/>
        <v>14118.371542085541</v>
      </c>
      <c r="AJ1014" s="6">
        <v>0</v>
      </c>
      <c r="AK1014" s="5">
        <v>0</v>
      </c>
      <c r="AL1014" s="6">
        <v>700</v>
      </c>
      <c r="AM1014" s="5">
        <v>2013.873407044262</v>
      </c>
      <c r="AN1014" s="6">
        <v>2800</v>
      </c>
      <c r="AO1014" s="5">
        <v>8055.4936281770488</v>
      </c>
      <c r="AP1014" s="6">
        <v>700</v>
      </c>
      <c r="AQ1014" s="5">
        <v>2013.873407044262</v>
      </c>
      <c r="AR1014" s="6">
        <v>0</v>
      </c>
      <c r="AS1014" s="5">
        <v>0</v>
      </c>
      <c r="AT1014" s="6">
        <v>700</v>
      </c>
      <c r="AU1014" s="5">
        <v>2094.1364776148671</v>
      </c>
      <c r="AV1014" s="6">
        <v>700</v>
      </c>
      <c r="AW1014" s="5">
        <v>2094.1364776148671</v>
      </c>
      <c r="AX1014" s="6">
        <v>0</v>
      </c>
      <c r="AY1014" s="5">
        <v>0</v>
      </c>
      <c r="AZ1014" s="6">
        <v>0</v>
      </c>
      <c r="BA1014" s="5">
        <v>0</v>
      </c>
      <c r="BB1014" s="6">
        <v>0</v>
      </c>
      <c r="BC1014" s="5">
        <v>0</v>
      </c>
      <c r="BD1014" s="6">
        <v>0</v>
      </c>
      <c r="BE1014" s="5">
        <v>0</v>
      </c>
      <c r="BF1014" s="6">
        <v>0</v>
      </c>
      <c r="BG1014" s="5">
        <v>0</v>
      </c>
      <c r="BH1014" s="9">
        <f t="shared" si="122"/>
        <v>5600</v>
      </c>
      <c r="BI1014" s="10">
        <f t="shared" si="123"/>
        <v>16271.513397495308</v>
      </c>
      <c r="BJ1014" s="6">
        <f t="shared" si="124"/>
        <v>535.11334813074791</v>
      </c>
      <c r="BK1014" s="11">
        <f t="shared" si="125"/>
        <v>0.10565159398646334</v>
      </c>
      <c r="BL1014" s="5">
        <f t="shared" si="126"/>
        <v>2153.1418554097672</v>
      </c>
      <c r="BM1014" s="11">
        <f t="shared" si="127"/>
        <v>0.15250638850177964</v>
      </c>
    </row>
    <row r="1015" spans="1:65" ht="15" customHeight="1" x14ac:dyDescent="0.4">
      <c r="A1015" s="2" t="s">
        <v>745</v>
      </c>
      <c r="B1015" s="2" t="s">
        <v>66</v>
      </c>
      <c r="C1015" s="2" t="s">
        <v>752</v>
      </c>
      <c r="D1015" s="3" t="s">
        <v>68</v>
      </c>
      <c r="E1015" s="3" t="s">
        <v>221</v>
      </c>
      <c r="F1015" s="2" t="s">
        <v>222</v>
      </c>
      <c r="G1015" s="4">
        <v>200</v>
      </c>
      <c r="H1015" s="5">
        <v>2.7349999999999999</v>
      </c>
      <c r="I1015" s="5">
        <v>2.8509025715662819</v>
      </c>
      <c r="J1015" s="6">
        <v>0</v>
      </c>
      <c r="K1015" s="5">
        <v>0</v>
      </c>
      <c r="L1015" s="6">
        <v>0</v>
      </c>
      <c r="M1015" s="5">
        <v>0</v>
      </c>
      <c r="N1015" s="6">
        <v>791.38853935457064</v>
      </c>
      <c r="O1015" s="5">
        <v>2120.9212854702491</v>
      </c>
      <c r="P1015" s="6">
        <v>0</v>
      </c>
      <c r="Q1015" s="5">
        <v>0</v>
      </c>
      <c r="R1015" s="6">
        <v>0</v>
      </c>
      <c r="S1015" s="5">
        <v>0</v>
      </c>
      <c r="T1015" s="6">
        <v>791.38853935457064</v>
      </c>
      <c r="U1015" s="5">
        <v>2207.9740247992522</v>
      </c>
      <c r="V1015" s="6">
        <v>0</v>
      </c>
      <c r="W1015" s="5">
        <v>0</v>
      </c>
      <c r="X1015" s="6">
        <v>0</v>
      </c>
      <c r="Y1015" s="5">
        <v>0</v>
      </c>
      <c r="Z1015" s="6">
        <v>0</v>
      </c>
      <c r="AA1015" s="5">
        <v>0</v>
      </c>
      <c r="AB1015" s="6">
        <v>0</v>
      </c>
      <c r="AC1015" s="5">
        <v>0</v>
      </c>
      <c r="AD1015" s="6">
        <v>0</v>
      </c>
      <c r="AE1015" s="5">
        <v>0</v>
      </c>
      <c r="AF1015" s="6">
        <v>0</v>
      </c>
      <c r="AG1015" s="5">
        <v>0</v>
      </c>
      <c r="AH1015" s="7">
        <f t="shared" si="120"/>
        <v>1582.7770787091413</v>
      </c>
      <c r="AI1015" s="8">
        <f t="shared" si="121"/>
        <v>4328.8953102695014</v>
      </c>
      <c r="AJ1015" s="6">
        <v>0</v>
      </c>
      <c r="AK1015" s="5">
        <v>0</v>
      </c>
      <c r="AL1015" s="6">
        <v>0</v>
      </c>
      <c r="AM1015" s="5">
        <v>0</v>
      </c>
      <c r="AN1015" s="6">
        <v>800</v>
      </c>
      <c r="AO1015" s="5">
        <v>2234.857445498395</v>
      </c>
      <c r="AP1015" s="6">
        <v>0</v>
      </c>
      <c r="AQ1015" s="5">
        <v>0</v>
      </c>
      <c r="AR1015" s="6">
        <v>0</v>
      </c>
      <c r="AS1015" s="5">
        <v>0</v>
      </c>
      <c r="AT1015" s="6">
        <v>800</v>
      </c>
      <c r="AU1015" s="5">
        <v>2326.5866690076568</v>
      </c>
      <c r="AV1015" s="6">
        <v>0</v>
      </c>
      <c r="AW1015" s="5">
        <v>0</v>
      </c>
      <c r="AX1015" s="6">
        <v>0</v>
      </c>
      <c r="AY1015" s="5">
        <v>0</v>
      </c>
      <c r="AZ1015" s="6">
        <v>0</v>
      </c>
      <c r="BA1015" s="5">
        <v>0</v>
      </c>
      <c r="BB1015" s="6">
        <v>0</v>
      </c>
      <c r="BC1015" s="5">
        <v>0</v>
      </c>
      <c r="BD1015" s="6">
        <v>0</v>
      </c>
      <c r="BE1015" s="5">
        <v>0</v>
      </c>
      <c r="BF1015" s="6">
        <v>0</v>
      </c>
      <c r="BG1015" s="5">
        <v>0</v>
      </c>
      <c r="BH1015" s="9">
        <f t="shared" si="122"/>
        <v>1600</v>
      </c>
      <c r="BI1015" s="10">
        <f t="shared" si="123"/>
        <v>4561.4441145060518</v>
      </c>
      <c r="BJ1015" s="6">
        <f t="shared" si="124"/>
        <v>17.222921290858721</v>
      </c>
      <c r="BK1015" s="11">
        <f t="shared" si="125"/>
        <v>1.0881457359052195E-2</v>
      </c>
      <c r="BL1015" s="5">
        <f t="shared" si="126"/>
        <v>232.5488042365505</v>
      </c>
      <c r="BM1015" s="11">
        <f t="shared" si="127"/>
        <v>5.3720126630198609E-2</v>
      </c>
    </row>
    <row r="1016" spans="1:65" ht="15" customHeight="1" x14ac:dyDescent="0.4">
      <c r="A1016" s="2" t="s">
        <v>745</v>
      </c>
      <c r="B1016" s="2" t="s">
        <v>66</v>
      </c>
      <c r="C1016" s="2" t="s">
        <v>752</v>
      </c>
      <c r="D1016" s="3" t="s">
        <v>68</v>
      </c>
      <c r="E1016" s="3" t="s">
        <v>318</v>
      </c>
      <c r="F1016" s="2" t="s">
        <v>319</v>
      </c>
      <c r="G1016" s="4">
        <v>1000</v>
      </c>
      <c r="H1016" s="5">
        <v>2.5299999999999998</v>
      </c>
      <c r="I1016" s="5">
        <v>2.6372151758912969</v>
      </c>
      <c r="J1016" s="6">
        <v>0</v>
      </c>
      <c r="K1016" s="5">
        <v>0</v>
      </c>
      <c r="L1016" s="6">
        <v>0</v>
      </c>
      <c r="M1016" s="5">
        <v>0</v>
      </c>
      <c r="N1016" s="6">
        <v>0</v>
      </c>
      <c r="O1016" s="5">
        <v>0</v>
      </c>
      <c r="P1016" s="6">
        <v>0</v>
      </c>
      <c r="Q1016" s="5">
        <v>0</v>
      </c>
      <c r="R1016" s="6">
        <v>0</v>
      </c>
      <c r="S1016" s="5">
        <v>0</v>
      </c>
      <c r="T1016" s="6">
        <v>0</v>
      </c>
      <c r="U1016" s="5">
        <v>0</v>
      </c>
      <c r="V1016" s="6">
        <v>0</v>
      </c>
      <c r="W1016" s="5">
        <v>0</v>
      </c>
      <c r="X1016" s="6">
        <v>989.23567419321319</v>
      </c>
      <c r="Y1016" s="5">
        <v>2502.7662557088302</v>
      </c>
      <c r="Z1016" s="6">
        <v>0</v>
      </c>
      <c r="AA1016" s="5">
        <v>0</v>
      </c>
      <c r="AB1016" s="6">
        <v>0</v>
      </c>
      <c r="AC1016" s="5">
        <v>0</v>
      </c>
      <c r="AD1016" s="6">
        <v>0</v>
      </c>
      <c r="AE1016" s="5">
        <v>0</v>
      </c>
      <c r="AF1016" s="6">
        <v>0</v>
      </c>
      <c r="AG1016" s="5">
        <v>0</v>
      </c>
      <c r="AH1016" s="7">
        <f t="shared" si="120"/>
        <v>989.23567419321319</v>
      </c>
      <c r="AI1016" s="8">
        <f t="shared" si="121"/>
        <v>2502.7662557088302</v>
      </c>
      <c r="AJ1016" s="6">
        <v>0</v>
      </c>
      <c r="AK1016" s="5">
        <v>0</v>
      </c>
      <c r="AL1016" s="6">
        <v>0</v>
      </c>
      <c r="AM1016" s="5">
        <v>0</v>
      </c>
      <c r="AN1016" s="6">
        <v>0</v>
      </c>
      <c r="AO1016" s="5">
        <v>0</v>
      </c>
      <c r="AP1016" s="6">
        <v>0</v>
      </c>
      <c r="AQ1016" s="5">
        <v>0</v>
      </c>
      <c r="AR1016" s="6">
        <v>0</v>
      </c>
      <c r="AS1016" s="5">
        <v>0</v>
      </c>
      <c r="AT1016" s="6">
        <v>0</v>
      </c>
      <c r="AU1016" s="5">
        <v>0</v>
      </c>
      <c r="AV1016" s="6">
        <v>0</v>
      </c>
      <c r="AW1016" s="5">
        <v>0</v>
      </c>
      <c r="AX1016" s="6">
        <v>1000</v>
      </c>
      <c r="AY1016" s="5">
        <v>2637.215175891296</v>
      </c>
      <c r="AZ1016" s="6">
        <v>0</v>
      </c>
      <c r="BA1016" s="5">
        <v>0</v>
      </c>
      <c r="BB1016" s="6">
        <v>0</v>
      </c>
      <c r="BC1016" s="5">
        <v>0</v>
      </c>
      <c r="BD1016" s="6">
        <v>0</v>
      </c>
      <c r="BE1016" s="5">
        <v>0</v>
      </c>
      <c r="BF1016" s="6">
        <v>0</v>
      </c>
      <c r="BG1016" s="5">
        <v>0</v>
      </c>
      <c r="BH1016" s="9">
        <f t="shared" si="122"/>
        <v>1000</v>
      </c>
      <c r="BI1016" s="10">
        <f t="shared" si="123"/>
        <v>2637.215175891296</v>
      </c>
      <c r="BJ1016" s="6">
        <f t="shared" si="124"/>
        <v>10.764325806786815</v>
      </c>
      <c r="BK1016" s="11">
        <f t="shared" si="125"/>
        <v>1.0881457359052311E-2</v>
      </c>
      <c r="BL1016" s="5">
        <f t="shared" si="126"/>
        <v>134.44892018246583</v>
      </c>
      <c r="BM1016" s="11">
        <f t="shared" si="127"/>
        <v>5.3720126630198387E-2</v>
      </c>
    </row>
    <row r="1017" spans="1:65" ht="15" customHeight="1" x14ac:dyDescent="0.4">
      <c r="A1017" s="2" t="s">
        <v>745</v>
      </c>
      <c r="B1017" s="2" t="s">
        <v>66</v>
      </c>
      <c r="C1017" s="2" t="s">
        <v>752</v>
      </c>
      <c r="D1017" s="3" t="s">
        <v>68</v>
      </c>
      <c r="E1017" s="3" t="s">
        <v>342</v>
      </c>
      <c r="F1017" s="2" t="s">
        <v>343</v>
      </c>
      <c r="G1017" s="4">
        <v>20</v>
      </c>
      <c r="H1017" s="5">
        <v>3.5</v>
      </c>
      <c r="I1017" s="5">
        <v>3.6483213895729389</v>
      </c>
      <c r="J1017" s="6">
        <v>0</v>
      </c>
      <c r="K1017" s="5">
        <v>0</v>
      </c>
      <c r="L1017" s="6">
        <v>0</v>
      </c>
      <c r="M1017" s="5">
        <v>0</v>
      </c>
      <c r="N1017" s="6">
        <v>0</v>
      </c>
      <c r="O1017" s="5">
        <v>0</v>
      </c>
      <c r="P1017" s="6">
        <v>0</v>
      </c>
      <c r="Q1017" s="5">
        <v>0</v>
      </c>
      <c r="R1017" s="6">
        <v>633.11083148365651</v>
      </c>
      <c r="S1017" s="5">
        <v>2215.8879101927978</v>
      </c>
      <c r="T1017" s="6">
        <v>633.11083148365651</v>
      </c>
      <c r="U1017" s="5">
        <v>2215.8879101927978</v>
      </c>
      <c r="V1017" s="6">
        <v>633.11083148365651</v>
      </c>
      <c r="W1017" s="5">
        <v>2215.8879101927978</v>
      </c>
      <c r="X1017" s="6">
        <v>1266.221662967313</v>
      </c>
      <c r="Y1017" s="5">
        <v>4431.7758203855956</v>
      </c>
      <c r="Z1017" s="6">
        <v>0</v>
      </c>
      <c r="AA1017" s="5">
        <v>0</v>
      </c>
      <c r="AB1017" s="6">
        <v>0</v>
      </c>
      <c r="AC1017" s="5">
        <v>0</v>
      </c>
      <c r="AD1017" s="6">
        <v>0</v>
      </c>
      <c r="AE1017" s="5">
        <v>0</v>
      </c>
      <c r="AF1017" s="6">
        <v>0</v>
      </c>
      <c r="AG1017" s="5">
        <v>0</v>
      </c>
      <c r="AH1017" s="7">
        <f t="shared" si="120"/>
        <v>3165.5541574182826</v>
      </c>
      <c r="AI1017" s="8">
        <f t="shared" si="121"/>
        <v>11079.439550963989</v>
      </c>
      <c r="AJ1017" s="6">
        <v>0</v>
      </c>
      <c r="AK1017" s="5">
        <v>0</v>
      </c>
      <c r="AL1017" s="6">
        <v>0</v>
      </c>
      <c r="AM1017" s="5">
        <v>0</v>
      </c>
      <c r="AN1017" s="6">
        <v>0</v>
      </c>
      <c r="AO1017" s="5">
        <v>0</v>
      </c>
      <c r="AP1017" s="6">
        <v>0</v>
      </c>
      <c r="AQ1017" s="5">
        <v>0</v>
      </c>
      <c r="AR1017" s="6">
        <v>700</v>
      </c>
      <c r="AS1017" s="5">
        <v>2553.824972701058</v>
      </c>
      <c r="AT1017" s="6">
        <v>700</v>
      </c>
      <c r="AU1017" s="5">
        <v>2553.824972701058</v>
      </c>
      <c r="AV1017" s="6">
        <v>700</v>
      </c>
      <c r="AW1017" s="5">
        <v>2553.824972701058</v>
      </c>
      <c r="AX1017" s="6">
        <v>1380</v>
      </c>
      <c r="AY1017" s="5">
        <v>5034.6835176106561</v>
      </c>
      <c r="AZ1017" s="6">
        <v>0</v>
      </c>
      <c r="BA1017" s="5">
        <v>0</v>
      </c>
      <c r="BB1017" s="6">
        <v>0</v>
      </c>
      <c r="BC1017" s="5">
        <v>0</v>
      </c>
      <c r="BD1017" s="6">
        <v>0</v>
      </c>
      <c r="BE1017" s="5">
        <v>0</v>
      </c>
      <c r="BF1017" s="6">
        <v>0</v>
      </c>
      <c r="BG1017" s="5">
        <v>0</v>
      </c>
      <c r="BH1017" s="9">
        <f t="shared" si="122"/>
        <v>3480</v>
      </c>
      <c r="BI1017" s="10">
        <f t="shared" si="123"/>
        <v>12696.158435713831</v>
      </c>
      <c r="BJ1017" s="6">
        <f t="shared" si="124"/>
        <v>314.44584258171744</v>
      </c>
      <c r="BK1017" s="11">
        <f t="shared" si="125"/>
        <v>9.9333584877969269E-2</v>
      </c>
      <c r="BL1017" s="5">
        <f t="shared" si="126"/>
        <v>1616.7188847498419</v>
      </c>
      <c r="BM1017" s="11">
        <f t="shared" si="127"/>
        <v>0.14592063771034122</v>
      </c>
    </row>
    <row r="1018" spans="1:65" ht="15" customHeight="1" x14ac:dyDescent="0.4">
      <c r="A1018" s="2" t="s">
        <v>745</v>
      </c>
      <c r="B1018" s="2" t="s">
        <v>66</v>
      </c>
      <c r="C1018" s="2" t="s">
        <v>752</v>
      </c>
      <c r="D1018" s="3" t="s">
        <v>68</v>
      </c>
      <c r="E1018" s="3" t="s">
        <v>755</v>
      </c>
      <c r="F1018" s="2" t="s">
        <v>756</v>
      </c>
      <c r="G1018" s="4">
        <v>5</v>
      </c>
      <c r="H1018" s="5">
        <v>4.17</v>
      </c>
      <c r="I1018" s="5">
        <v>4.3467143412911877</v>
      </c>
      <c r="J1018" s="6">
        <v>0</v>
      </c>
      <c r="K1018" s="5">
        <v>0</v>
      </c>
      <c r="L1018" s="6">
        <v>0</v>
      </c>
      <c r="M1018" s="5">
        <v>0</v>
      </c>
      <c r="N1018" s="6">
        <v>98.92356741932133</v>
      </c>
      <c r="O1018" s="5">
        <v>402.61891939663781</v>
      </c>
      <c r="P1018" s="6">
        <v>0</v>
      </c>
      <c r="Q1018" s="5">
        <v>0</v>
      </c>
      <c r="R1018" s="6">
        <v>98.92356741932133</v>
      </c>
      <c r="S1018" s="5">
        <v>422.40363288050207</v>
      </c>
      <c r="T1018" s="6">
        <v>0</v>
      </c>
      <c r="U1018" s="5">
        <v>0</v>
      </c>
      <c r="V1018" s="6">
        <v>0</v>
      </c>
      <c r="W1018" s="5">
        <v>0</v>
      </c>
      <c r="X1018" s="6">
        <v>0</v>
      </c>
      <c r="Y1018" s="5">
        <v>0</v>
      </c>
      <c r="Z1018" s="6">
        <v>0</v>
      </c>
      <c r="AA1018" s="5">
        <v>0</v>
      </c>
      <c r="AB1018" s="6">
        <v>0</v>
      </c>
      <c r="AC1018" s="5">
        <v>0</v>
      </c>
      <c r="AD1018" s="6">
        <v>0</v>
      </c>
      <c r="AE1018" s="5">
        <v>0</v>
      </c>
      <c r="AF1018" s="6">
        <v>0</v>
      </c>
      <c r="AG1018" s="5">
        <v>0</v>
      </c>
      <c r="AH1018" s="7">
        <f t="shared" si="120"/>
        <v>197.84713483864266</v>
      </c>
      <c r="AI1018" s="8">
        <f t="shared" si="121"/>
        <v>825.02255227713988</v>
      </c>
      <c r="AJ1018" s="6">
        <v>0</v>
      </c>
      <c r="AK1018" s="5">
        <v>0</v>
      </c>
      <c r="AL1018" s="6">
        <v>0</v>
      </c>
      <c r="AM1018" s="5">
        <v>0</v>
      </c>
      <c r="AN1018" s="6">
        <v>110</v>
      </c>
      <c r="AO1018" s="5">
        <v>466.67242460337292</v>
      </c>
      <c r="AP1018" s="6">
        <v>0</v>
      </c>
      <c r="AQ1018" s="5">
        <v>0</v>
      </c>
      <c r="AR1018" s="6">
        <v>110</v>
      </c>
      <c r="AS1018" s="5">
        <v>489.60473048068837</v>
      </c>
      <c r="AT1018" s="6">
        <v>0</v>
      </c>
      <c r="AU1018" s="5">
        <v>0</v>
      </c>
      <c r="AV1018" s="6">
        <v>0</v>
      </c>
      <c r="AW1018" s="5">
        <v>0</v>
      </c>
      <c r="AX1018" s="6">
        <v>0</v>
      </c>
      <c r="AY1018" s="5">
        <v>0</v>
      </c>
      <c r="AZ1018" s="6">
        <v>0</v>
      </c>
      <c r="BA1018" s="5">
        <v>0</v>
      </c>
      <c r="BB1018" s="6">
        <v>0</v>
      </c>
      <c r="BC1018" s="5">
        <v>0</v>
      </c>
      <c r="BD1018" s="6">
        <v>0</v>
      </c>
      <c r="BE1018" s="5">
        <v>0</v>
      </c>
      <c r="BF1018" s="6">
        <v>0</v>
      </c>
      <c r="BG1018" s="5">
        <v>0</v>
      </c>
      <c r="BH1018" s="9">
        <f t="shared" si="122"/>
        <v>220</v>
      </c>
      <c r="BI1018" s="10">
        <f t="shared" si="123"/>
        <v>956.27715508406129</v>
      </c>
      <c r="BJ1018" s="6">
        <f t="shared" si="124"/>
        <v>22.15286516135734</v>
      </c>
      <c r="BK1018" s="11">
        <f t="shared" si="125"/>
        <v>0.11196960309495742</v>
      </c>
      <c r="BL1018" s="5">
        <f t="shared" si="126"/>
        <v>131.25460280692141</v>
      </c>
      <c r="BM1018" s="11">
        <f t="shared" si="127"/>
        <v>0.15909213929321853</v>
      </c>
    </row>
    <row r="1019" spans="1:65" ht="15" customHeight="1" x14ac:dyDescent="0.4">
      <c r="A1019" s="2" t="s">
        <v>745</v>
      </c>
      <c r="B1019" s="2" t="s">
        <v>66</v>
      </c>
      <c r="C1019" s="2" t="s">
        <v>752</v>
      </c>
      <c r="D1019" s="3" t="s">
        <v>68</v>
      </c>
      <c r="E1019" s="3" t="s">
        <v>757</v>
      </c>
      <c r="F1019" s="2" t="s">
        <v>758</v>
      </c>
      <c r="G1019" s="4">
        <v>20</v>
      </c>
      <c r="H1019" s="5">
        <v>3.68</v>
      </c>
      <c r="I1019" s="5">
        <v>3.8359493467509762</v>
      </c>
      <c r="J1019" s="6">
        <v>0</v>
      </c>
      <c r="K1019" s="5">
        <v>0</v>
      </c>
      <c r="L1019" s="6">
        <v>0</v>
      </c>
      <c r="M1019" s="5">
        <v>0</v>
      </c>
      <c r="N1019" s="6">
        <v>316.55541574182831</v>
      </c>
      <c r="O1019" s="5">
        <v>1164.9239299299279</v>
      </c>
      <c r="P1019" s="6">
        <v>0</v>
      </c>
      <c r="Q1019" s="5">
        <v>0</v>
      </c>
      <c r="R1019" s="6">
        <v>0</v>
      </c>
      <c r="S1019" s="5">
        <v>0</v>
      </c>
      <c r="T1019" s="6">
        <v>0</v>
      </c>
      <c r="U1019" s="5">
        <v>0</v>
      </c>
      <c r="V1019" s="6">
        <v>0</v>
      </c>
      <c r="W1019" s="5">
        <v>0</v>
      </c>
      <c r="X1019" s="6">
        <v>0</v>
      </c>
      <c r="Y1019" s="5">
        <v>0</v>
      </c>
      <c r="Z1019" s="6">
        <v>0</v>
      </c>
      <c r="AA1019" s="5">
        <v>0</v>
      </c>
      <c r="AB1019" s="6">
        <v>0</v>
      </c>
      <c r="AC1019" s="5">
        <v>0</v>
      </c>
      <c r="AD1019" s="6">
        <v>0</v>
      </c>
      <c r="AE1019" s="5">
        <v>0</v>
      </c>
      <c r="AF1019" s="6">
        <v>0</v>
      </c>
      <c r="AG1019" s="5">
        <v>0</v>
      </c>
      <c r="AH1019" s="7">
        <f t="shared" si="120"/>
        <v>316.55541574182831</v>
      </c>
      <c r="AI1019" s="8">
        <f t="shared" si="121"/>
        <v>1164.9239299299279</v>
      </c>
      <c r="AJ1019" s="6">
        <v>0</v>
      </c>
      <c r="AK1019" s="5">
        <v>0</v>
      </c>
      <c r="AL1019" s="6">
        <v>0</v>
      </c>
      <c r="AM1019" s="5">
        <v>0</v>
      </c>
      <c r="AN1019" s="6">
        <v>340</v>
      </c>
      <c r="AO1019" s="5">
        <v>1304.222777895332</v>
      </c>
      <c r="AP1019" s="6">
        <v>0</v>
      </c>
      <c r="AQ1019" s="5">
        <v>0</v>
      </c>
      <c r="AR1019" s="6">
        <v>0</v>
      </c>
      <c r="AS1019" s="5">
        <v>0</v>
      </c>
      <c r="AT1019" s="6">
        <v>0</v>
      </c>
      <c r="AU1019" s="5">
        <v>0</v>
      </c>
      <c r="AV1019" s="6">
        <v>0</v>
      </c>
      <c r="AW1019" s="5">
        <v>0</v>
      </c>
      <c r="AX1019" s="6">
        <v>0</v>
      </c>
      <c r="AY1019" s="5">
        <v>0</v>
      </c>
      <c r="AZ1019" s="6">
        <v>0</v>
      </c>
      <c r="BA1019" s="5">
        <v>0</v>
      </c>
      <c r="BB1019" s="6">
        <v>0</v>
      </c>
      <c r="BC1019" s="5">
        <v>0</v>
      </c>
      <c r="BD1019" s="6">
        <v>0</v>
      </c>
      <c r="BE1019" s="5">
        <v>0</v>
      </c>
      <c r="BF1019" s="6">
        <v>0</v>
      </c>
      <c r="BG1019" s="5">
        <v>0</v>
      </c>
      <c r="BH1019" s="9">
        <f t="shared" si="122"/>
        <v>340</v>
      </c>
      <c r="BI1019" s="10">
        <f t="shared" si="123"/>
        <v>1304.222777895332</v>
      </c>
      <c r="BJ1019" s="6">
        <f t="shared" si="124"/>
        <v>23.444584258171687</v>
      </c>
      <c r="BK1019" s="11">
        <f t="shared" si="125"/>
        <v>7.4061548443992764E-2</v>
      </c>
      <c r="BL1019" s="5">
        <f t="shared" si="126"/>
        <v>139.29884796540409</v>
      </c>
      <c r="BM1019" s="11">
        <f t="shared" si="127"/>
        <v>0.11957763454458623</v>
      </c>
    </row>
    <row r="1020" spans="1:65" ht="15" customHeight="1" x14ac:dyDescent="0.4">
      <c r="A1020" s="2" t="s">
        <v>745</v>
      </c>
      <c r="B1020" s="2" t="s">
        <v>66</v>
      </c>
      <c r="C1020" s="2" t="s">
        <v>752</v>
      </c>
      <c r="D1020" s="3" t="s">
        <v>68</v>
      </c>
      <c r="E1020" s="3" t="s">
        <v>747</v>
      </c>
      <c r="F1020" s="2" t="s">
        <v>748</v>
      </c>
      <c r="G1020" s="4">
        <v>20</v>
      </c>
      <c r="H1020" s="5">
        <v>2.9945654508055748</v>
      </c>
      <c r="I1020" s="5">
        <v>3.1216421156007428</v>
      </c>
      <c r="J1020" s="6">
        <v>0</v>
      </c>
      <c r="K1020" s="5">
        <v>0</v>
      </c>
      <c r="L1020" s="6">
        <v>633.11083148365651</v>
      </c>
      <c r="M1020" s="5">
        <v>1880.3391695064599</v>
      </c>
      <c r="N1020" s="6">
        <v>0</v>
      </c>
      <c r="O1020" s="5">
        <v>0</v>
      </c>
      <c r="P1020" s="6">
        <v>3165.554157418283</v>
      </c>
      <c r="Q1020" s="5">
        <v>9401.695847532299</v>
      </c>
      <c r="R1020" s="6">
        <v>1266.221662967313</v>
      </c>
      <c r="S1020" s="5">
        <v>3912.6249385689971</v>
      </c>
      <c r="T1020" s="6">
        <v>633.11083148365651</v>
      </c>
      <c r="U1020" s="5">
        <v>1956.3124692844981</v>
      </c>
      <c r="V1020" s="6">
        <v>0</v>
      </c>
      <c r="W1020" s="5">
        <v>0</v>
      </c>
      <c r="X1020" s="6">
        <v>0</v>
      </c>
      <c r="Y1020" s="5">
        <v>0</v>
      </c>
      <c r="Z1020" s="6">
        <v>0</v>
      </c>
      <c r="AA1020" s="5">
        <v>0</v>
      </c>
      <c r="AB1020" s="6">
        <v>0</v>
      </c>
      <c r="AC1020" s="5">
        <v>0</v>
      </c>
      <c r="AD1020" s="6">
        <v>1213.4350583019379</v>
      </c>
      <c r="AE1020" s="5">
        <v>3545.7646799207182</v>
      </c>
      <c r="AF1020" s="6">
        <v>0</v>
      </c>
      <c r="AG1020" s="5">
        <v>0</v>
      </c>
      <c r="AH1020" s="7">
        <f t="shared" si="120"/>
        <v>6911.4325416548463</v>
      </c>
      <c r="AI1020" s="8">
        <f t="shared" si="121"/>
        <v>20696.737104812972</v>
      </c>
      <c r="AJ1020" s="6">
        <v>0</v>
      </c>
      <c r="AK1020" s="5">
        <v>0</v>
      </c>
      <c r="AL1020" s="6">
        <v>800</v>
      </c>
      <c r="AM1020" s="5">
        <v>2476.6890347500871</v>
      </c>
      <c r="AN1020" s="6">
        <v>0</v>
      </c>
      <c r="AO1020" s="5">
        <v>0</v>
      </c>
      <c r="AP1020" s="6">
        <v>3980</v>
      </c>
      <c r="AQ1020" s="5">
        <v>12321.527947881679</v>
      </c>
      <c r="AR1020" s="6">
        <v>1600</v>
      </c>
      <c r="AS1020" s="5">
        <v>5153.5145571567446</v>
      </c>
      <c r="AT1020" s="6">
        <v>800</v>
      </c>
      <c r="AU1020" s="5">
        <v>2576.7572785783732</v>
      </c>
      <c r="AV1020" s="6">
        <v>0</v>
      </c>
      <c r="AW1020" s="5">
        <v>0</v>
      </c>
      <c r="AX1020" s="6">
        <v>0</v>
      </c>
      <c r="AY1020" s="5">
        <v>0</v>
      </c>
      <c r="AZ1020" s="6">
        <v>0</v>
      </c>
      <c r="BA1020" s="5">
        <v>0</v>
      </c>
      <c r="BB1020" s="6">
        <v>0</v>
      </c>
      <c r="BC1020" s="5">
        <v>0</v>
      </c>
      <c r="BD1020" s="6">
        <v>1520</v>
      </c>
      <c r="BE1020" s="5">
        <v>4629.7975873595769</v>
      </c>
      <c r="BF1020" s="6">
        <v>0</v>
      </c>
      <c r="BG1020" s="5">
        <v>0</v>
      </c>
      <c r="BH1020" s="9">
        <f t="shared" si="122"/>
        <v>8700</v>
      </c>
      <c r="BI1020" s="10">
        <f t="shared" si="123"/>
        <v>27158.28640572646</v>
      </c>
      <c r="BJ1020" s="6">
        <f t="shared" si="124"/>
        <v>1788.5674583451537</v>
      </c>
      <c r="BK1020" s="11">
        <f t="shared" si="125"/>
        <v>0.25878389864410167</v>
      </c>
      <c r="BL1020" s="5">
        <f t="shared" si="126"/>
        <v>6461.549300913488</v>
      </c>
      <c r="BM1020" s="11">
        <f t="shared" si="127"/>
        <v>0.31220135174886438</v>
      </c>
    </row>
    <row r="1021" spans="1:65" ht="15" customHeight="1" x14ac:dyDescent="0.4">
      <c r="A1021" s="2" t="s">
        <v>745</v>
      </c>
      <c r="B1021" s="2" t="s">
        <v>66</v>
      </c>
      <c r="C1021" s="2" t="s">
        <v>752</v>
      </c>
      <c r="D1021" s="3" t="s">
        <v>68</v>
      </c>
      <c r="E1021" s="3" t="s">
        <v>759</v>
      </c>
      <c r="F1021" s="2" t="s">
        <v>760</v>
      </c>
      <c r="G1021" s="4">
        <v>200</v>
      </c>
      <c r="H1021" s="5">
        <v>2.93</v>
      </c>
      <c r="I1021" s="5">
        <v>3.048209748757472</v>
      </c>
      <c r="J1021" s="6">
        <v>0</v>
      </c>
      <c r="K1021" s="5">
        <v>0</v>
      </c>
      <c r="L1021" s="6">
        <v>0</v>
      </c>
      <c r="M1021" s="5">
        <v>0</v>
      </c>
      <c r="N1021" s="6">
        <v>791.38853935457064</v>
      </c>
      <c r="O1021" s="5">
        <v>2287.1128787347088</v>
      </c>
      <c r="P1021" s="6">
        <v>0</v>
      </c>
      <c r="Q1021" s="5">
        <v>0</v>
      </c>
      <c r="R1021" s="6">
        <v>395.69426967728532</v>
      </c>
      <c r="S1021" s="5">
        <v>1191.039751728629</v>
      </c>
      <c r="T1021" s="6">
        <v>0</v>
      </c>
      <c r="U1021" s="5">
        <v>0</v>
      </c>
      <c r="V1021" s="6">
        <v>0</v>
      </c>
      <c r="W1021" s="5">
        <v>0</v>
      </c>
      <c r="X1021" s="6">
        <v>0</v>
      </c>
      <c r="Y1021" s="5">
        <v>0</v>
      </c>
      <c r="Z1021" s="6">
        <v>0</v>
      </c>
      <c r="AA1021" s="5">
        <v>0</v>
      </c>
      <c r="AB1021" s="6">
        <v>0</v>
      </c>
      <c r="AC1021" s="5">
        <v>0</v>
      </c>
      <c r="AD1021" s="6">
        <v>0</v>
      </c>
      <c r="AE1021" s="5">
        <v>0</v>
      </c>
      <c r="AF1021" s="6">
        <v>0</v>
      </c>
      <c r="AG1021" s="5">
        <v>0</v>
      </c>
      <c r="AH1021" s="7">
        <f t="shared" si="120"/>
        <v>1187.082809031856</v>
      </c>
      <c r="AI1021" s="8">
        <f t="shared" si="121"/>
        <v>3478.152630463338</v>
      </c>
      <c r="AJ1021" s="6">
        <v>0</v>
      </c>
      <c r="AK1021" s="5">
        <v>0</v>
      </c>
      <c r="AL1021" s="6">
        <v>0</v>
      </c>
      <c r="AM1021" s="5">
        <v>0</v>
      </c>
      <c r="AN1021" s="6">
        <v>1000</v>
      </c>
      <c r="AO1021" s="5">
        <v>3012.4710902473689</v>
      </c>
      <c r="AP1021" s="6">
        <v>0</v>
      </c>
      <c r="AQ1021" s="5">
        <v>0</v>
      </c>
      <c r="AR1021" s="6">
        <v>400</v>
      </c>
      <c r="AS1021" s="5">
        <v>1255.0225580130909</v>
      </c>
      <c r="AT1021" s="6">
        <v>0</v>
      </c>
      <c r="AU1021" s="5">
        <v>0</v>
      </c>
      <c r="AV1021" s="6">
        <v>0</v>
      </c>
      <c r="AW1021" s="5">
        <v>0</v>
      </c>
      <c r="AX1021" s="6">
        <v>0</v>
      </c>
      <c r="AY1021" s="5">
        <v>0</v>
      </c>
      <c r="AZ1021" s="6">
        <v>0</v>
      </c>
      <c r="BA1021" s="5">
        <v>0</v>
      </c>
      <c r="BB1021" s="6">
        <v>0</v>
      </c>
      <c r="BC1021" s="5">
        <v>0</v>
      </c>
      <c r="BD1021" s="6">
        <v>0</v>
      </c>
      <c r="BE1021" s="5">
        <v>0</v>
      </c>
      <c r="BF1021" s="6">
        <v>0</v>
      </c>
      <c r="BG1021" s="5">
        <v>0</v>
      </c>
      <c r="BH1021" s="9">
        <f t="shared" si="122"/>
        <v>1400</v>
      </c>
      <c r="BI1021" s="10">
        <f t="shared" si="123"/>
        <v>4267.4936482604598</v>
      </c>
      <c r="BJ1021" s="6">
        <f t="shared" si="124"/>
        <v>212.91719096814404</v>
      </c>
      <c r="BK1021" s="11">
        <f t="shared" si="125"/>
        <v>0.17936170025222756</v>
      </c>
      <c r="BL1021" s="5">
        <f t="shared" si="126"/>
        <v>789.34101779712182</v>
      </c>
      <c r="BM1021" s="11">
        <f t="shared" si="127"/>
        <v>0.22694260478499206</v>
      </c>
    </row>
    <row r="1022" spans="1:65" ht="15" customHeight="1" x14ac:dyDescent="0.4">
      <c r="A1022" s="2" t="s">
        <v>745</v>
      </c>
      <c r="B1022" s="2" t="s">
        <v>66</v>
      </c>
      <c r="C1022" s="2" t="s">
        <v>752</v>
      </c>
      <c r="D1022" s="3" t="s">
        <v>68</v>
      </c>
      <c r="E1022" s="3" t="s">
        <v>761</v>
      </c>
      <c r="F1022" s="2" t="s">
        <v>762</v>
      </c>
      <c r="G1022" s="4">
        <v>1000</v>
      </c>
      <c r="H1022" s="5">
        <v>2.710305379281329</v>
      </c>
      <c r="I1022" s="5">
        <v>2.820802182806406</v>
      </c>
      <c r="J1022" s="6">
        <v>0</v>
      </c>
      <c r="K1022" s="5">
        <v>0</v>
      </c>
      <c r="L1022" s="6">
        <v>0</v>
      </c>
      <c r="M1022" s="5">
        <v>0</v>
      </c>
      <c r="N1022" s="6">
        <v>2967.7070225796401</v>
      </c>
      <c r="O1022" s="5">
        <v>7983.1318907392306</v>
      </c>
      <c r="P1022" s="6">
        <v>0</v>
      </c>
      <c r="Q1022" s="5">
        <v>0</v>
      </c>
      <c r="R1022" s="6">
        <v>0</v>
      </c>
      <c r="S1022" s="5">
        <v>0</v>
      </c>
      <c r="T1022" s="6">
        <v>1978.4713483864259</v>
      </c>
      <c r="U1022" s="5">
        <v>5539.7197754819936</v>
      </c>
      <c r="V1022" s="6">
        <v>0</v>
      </c>
      <c r="W1022" s="5">
        <v>0</v>
      </c>
      <c r="X1022" s="6">
        <v>0</v>
      </c>
      <c r="Y1022" s="5">
        <v>0</v>
      </c>
      <c r="Z1022" s="6">
        <v>0</v>
      </c>
      <c r="AA1022" s="5">
        <v>0</v>
      </c>
      <c r="AB1022" s="6">
        <v>0</v>
      </c>
      <c r="AC1022" s="5">
        <v>0</v>
      </c>
      <c r="AD1022" s="6">
        <v>4739.9806964919462</v>
      </c>
      <c r="AE1022" s="5">
        <v>12729.597358884839</v>
      </c>
      <c r="AF1022" s="6">
        <v>0</v>
      </c>
      <c r="AG1022" s="5">
        <v>0</v>
      </c>
      <c r="AH1022" s="7">
        <f t="shared" si="120"/>
        <v>9686.1590674580111</v>
      </c>
      <c r="AI1022" s="8">
        <f t="shared" si="121"/>
        <v>26252.449025106063</v>
      </c>
      <c r="AJ1022" s="6">
        <v>0</v>
      </c>
      <c r="AK1022" s="5">
        <v>0</v>
      </c>
      <c r="AL1022" s="6">
        <v>0</v>
      </c>
      <c r="AM1022" s="5">
        <v>0</v>
      </c>
      <c r="AN1022" s="6">
        <v>4000</v>
      </c>
      <c r="AO1022" s="5">
        <v>11215.98232908709</v>
      </c>
      <c r="AP1022" s="6">
        <v>0</v>
      </c>
      <c r="AQ1022" s="5">
        <v>0</v>
      </c>
      <c r="AR1022" s="6">
        <v>0</v>
      </c>
      <c r="AS1022" s="5">
        <v>0</v>
      </c>
      <c r="AT1022" s="6">
        <v>2000</v>
      </c>
      <c r="AU1022" s="5">
        <v>5837.3142233167036</v>
      </c>
      <c r="AV1022" s="6">
        <v>0</v>
      </c>
      <c r="AW1022" s="5">
        <v>0</v>
      </c>
      <c r="AX1022" s="6">
        <v>0</v>
      </c>
      <c r="AY1022" s="5">
        <v>0</v>
      </c>
      <c r="AZ1022" s="6">
        <v>0</v>
      </c>
      <c r="BA1022" s="5">
        <v>0</v>
      </c>
      <c r="BB1022" s="6">
        <v>0</v>
      </c>
      <c r="BC1022" s="5">
        <v>0</v>
      </c>
      <c r="BD1022" s="6">
        <v>6000</v>
      </c>
      <c r="BE1022" s="5">
        <v>16796.329641273071</v>
      </c>
      <c r="BF1022" s="6">
        <v>0</v>
      </c>
      <c r="BG1022" s="5">
        <v>0</v>
      </c>
      <c r="BH1022" s="9">
        <f t="shared" si="122"/>
        <v>12000</v>
      </c>
      <c r="BI1022" s="10">
        <f t="shared" si="123"/>
        <v>33849.626193676864</v>
      </c>
      <c r="BJ1022" s="6">
        <f t="shared" si="124"/>
        <v>2313.8409325419889</v>
      </c>
      <c r="BK1022" s="11">
        <f t="shared" si="125"/>
        <v>0.23888116191645634</v>
      </c>
      <c r="BL1022" s="5">
        <f t="shared" si="126"/>
        <v>7597.1771685708009</v>
      </c>
      <c r="BM1022" s="11">
        <f t="shared" si="127"/>
        <v>0.28938927417039739</v>
      </c>
    </row>
    <row r="1023" spans="1:65" ht="15" customHeight="1" x14ac:dyDescent="0.4">
      <c r="A1023" s="2" t="s">
        <v>745</v>
      </c>
      <c r="B1023" s="2" t="s">
        <v>66</v>
      </c>
      <c r="C1023" s="2" t="s">
        <v>752</v>
      </c>
      <c r="D1023" s="3" t="s">
        <v>68</v>
      </c>
      <c r="E1023" s="3" t="s">
        <v>320</v>
      </c>
      <c r="F1023" s="2" t="s">
        <v>626</v>
      </c>
      <c r="G1023" s="4">
        <v>5</v>
      </c>
      <c r="H1023" s="5">
        <v>4.21</v>
      </c>
      <c r="I1023" s="5">
        <v>4.3884094428863074</v>
      </c>
      <c r="J1023" s="6">
        <v>0</v>
      </c>
      <c r="K1023" s="5">
        <v>0</v>
      </c>
      <c r="L1023" s="6">
        <v>0</v>
      </c>
      <c r="M1023" s="5">
        <v>0</v>
      </c>
      <c r="N1023" s="6">
        <v>370.96337782245502</v>
      </c>
      <c r="O1023" s="5">
        <v>1561.755820632535</v>
      </c>
      <c r="P1023" s="6">
        <v>0</v>
      </c>
      <c r="Q1023" s="5">
        <v>0</v>
      </c>
      <c r="R1023" s="6">
        <v>0</v>
      </c>
      <c r="S1023" s="5">
        <v>0</v>
      </c>
      <c r="T1023" s="6">
        <v>0</v>
      </c>
      <c r="U1023" s="5">
        <v>0</v>
      </c>
      <c r="V1023" s="6">
        <v>0</v>
      </c>
      <c r="W1023" s="5">
        <v>0</v>
      </c>
      <c r="X1023" s="6">
        <v>0</v>
      </c>
      <c r="Y1023" s="5">
        <v>0</v>
      </c>
      <c r="Z1023" s="6">
        <v>0</v>
      </c>
      <c r="AA1023" s="5">
        <v>0</v>
      </c>
      <c r="AB1023" s="6">
        <v>0</v>
      </c>
      <c r="AC1023" s="5">
        <v>0</v>
      </c>
      <c r="AD1023" s="6">
        <v>0</v>
      </c>
      <c r="AE1023" s="5">
        <v>0</v>
      </c>
      <c r="AF1023" s="6">
        <v>0</v>
      </c>
      <c r="AG1023" s="5">
        <v>0</v>
      </c>
      <c r="AH1023" s="7">
        <f t="shared" si="120"/>
        <v>370.96337782245502</v>
      </c>
      <c r="AI1023" s="8">
        <f t="shared" si="121"/>
        <v>1561.755820632535</v>
      </c>
      <c r="AJ1023" s="6">
        <v>0</v>
      </c>
      <c r="AK1023" s="5">
        <v>0</v>
      </c>
      <c r="AL1023" s="6">
        <v>0</v>
      </c>
      <c r="AM1023" s="5">
        <v>0</v>
      </c>
      <c r="AN1023" s="6">
        <v>395</v>
      </c>
      <c r="AO1023" s="5">
        <v>1733.4217299400909</v>
      </c>
      <c r="AP1023" s="6">
        <v>0</v>
      </c>
      <c r="AQ1023" s="5">
        <v>0</v>
      </c>
      <c r="AR1023" s="6">
        <v>0</v>
      </c>
      <c r="AS1023" s="5">
        <v>0</v>
      </c>
      <c r="AT1023" s="6">
        <v>0</v>
      </c>
      <c r="AU1023" s="5">
        <v>0</v>
      </c>
      <c r="AV1023" s="6">
        <v>0</v>
      </c>
      <c r="AW1023" s="5">
        <v>0</v>
      </c>
      <c r="AX1023" s="6">
        <v>0</v>
      </c>
      <c r="AY1023" s="5">
        <v>0</v>
      </c>
      <c r="AZ1023" s="6">
        <v>0</v>
      </c>
      <c r="BA1023" s="5">
        <v>0</v>
      </c>
      <c r="BB1023" s="6">
        <v>0</v>
      </c>
      <c r="BC1023" s="5">
        <v>0</v>
      </c>
      <c r="BD1023" s="6">
        <v>0</v>
      </c>
      <c r="BE1023" s="5">
        <v>0</v>
      </c>
      <c r="BF1023" s="6">
        <v>0</v>
      </c>
      <c r="BG1023" s="5">
        <v>0</v>
      </c>
      <c r="BH1023" s="9">
        <f t="shared" si="122"/>
        <v>395</v>
      </c>
      <c r="BI1023" s="10">
        <f t="shared" si="123"/>
        <v>1733.4217299400909</v>
      </c>
      <c r="BJ1023" s="6">
        <f t="shared" si="124"/>
        <v>24.036622177544984</v>
      </c>
      <c r="BK1023" s="11">
        <f t="shared" si="125"/>
        <v>6.4795135084868227E-2</v>
      </c>
      <c r="BL1023" s="5">
        <f t="shared" si="126"/>
        <v>171.66590930755592</v>
      </c>
      <c r="BM1023" s="11">
        <f t="shared" si="127"/>
        <v>0.10991853338380939</v>
      </c>
    </row>
    <row r="1024" spans="1:65" ht="15" customHeight="1" x14ac:dyDescent="0.4">
      <c r="A1024" s="2" t="s">
        <v>745</v>
      </c>
      <c r="B1024" s="2" t="s">
        <v>66</v>
      </c>
      <c r="C1024" s="2" t="s">
        <v>752</v>
      </c>
      <c r="D1024" s="3" t="s">
        <v>68</v>
      </c>
      <c r="E1024" s="3" t="s">
        <v>320</v>
      </c>
      <c r="F1024" s="2" t="s">
        <v>321</v>
      </c>
      <c r="G1024" s="4">
        <v>5</v>
      </c>
      <c r="H1024" s="5">
        <v>5.6499999999999986</v>
      </c>
      <c r="I1024" s="5">
        <v>5.889433100310602</v>
      </c>
      <c r="J1024" s="6">
        <v>0</v>
      </c>
      <c r="K1024" s="5">
        <v>0</v>
      </c>
      <c r="L1024" s="6">
        <v>0</v>
      </c>
      <c r="M1024" s="5">
        <v>0</v>
      </c>
      <c r="N1024" s="6">
        <v>0</v>
      </c>
      <c r="O1024" s="5">
        <v>0</v>
      </c>
      <c r="P1024" s="6">
        <v>197.84713483864269</v>
      </c>
      <c r="Q1024" s="5">
        <v>1117.8363118383311</v>
      </c>
      <c r="R1024" s="6">
        <v>0</v>
      </c>
      <c r="S1024" s="5">
        <v>0</v>
      </c>
      <c r="T1024" s="6">
        <v>0</v>
      </c>
      <c r="U1024" s="5">
        <v>0</v>
      </c>
      <c r="V1024" s="6">
        <v>0</v>
      </c>
      <c r="W1024" s="5">
        <v>0</v>
      </c>
      <c r="X1024" s="6">
        <v>0</v>
      </c>
      <c r="Y1024" s="5">
        <v>0</v>
      </c>
      <c r="Z1024" s="6">
        <v>0</v>
      </c>
      <c r="AA1024" s="5">
        <v>0</v>
      </c>
      <c r="AB1024" s="6">
        <v>0</v>
      </c>
      <c r="AC1024" s="5">
        <v>0</v>
      </c>
      <c r="AD1024" s="6">
        <v>0</v>
      </c>
      <c r="AE1024" s="5">
        <v>0</v>
      </c>
      <c r="AF1024" s="6">
        <v>0</v>
      </c>
      <c r="AG1024" s="5">
        <v>0</v>
      </c>
      <c r="AH1024" s="7">
        <f t="shared" si="120"/>
        <v>197.84713483864269</v>
      </c>
      <c r="AI1024" s="8">
        <f t="shared" si="121"/>
        <v>1117.8363118383311</v>
      </c>
      <c r="AJ1024" s="6">
        <v>0</v>
      </c>
      <c r="AK1024" s="5">
        <v>0</v>
      </c>
      <c r="AL1024" s="6">
        <v>0</v>
      </c>
      <c r="AM1024" s="5">
        <v>0</v>
      </c>
      <c r="AN1024" s="6">
        <v>0</v>
      </c>
      <c r="AO1024" s="5">
        <v>0</v>
      </c>
      <c r="AP1024" s="6">
        <v>210</v>
      </c>
      <c r="AQ1024" s="5">
        <v>1236.780951065226</v>
      </c>
      <c r="AR1024" s="6">
        <v>0</v>
      </c>
      <c r="AS1024" s="5">
        <v>0</v>
      </c>
      <c r="AT1024" s="6">
        <v>0</v>
      </c>
      <c r="AU1024" s="5">
        <v>0</v>
      </c>
      <c r="AV1024" s="6">
        <v>0</v>
      </c>
      <c r="AW1024" s="5">
        <v>0</v>
      </c>
      <c r="AX1024" s="6">
        <v>0</v>
      </c>
      <c r="AY1024" s="5">
        <v>0</v>
      </c>
      <c r="AZ1024" s="6">
        <v>0</v>
      </c>
      <c r="BA1024" s="5">
        <v>0</v>
      </c>
      <c r="BB1024" s="6">
        <v>0</v>
      </c>
      <c r="BC1024" s="5">
        <v>0</v>
      </c>
      <c r="BD1024" s="6">
        <v>0</v>
      </c>
      <c r="BE1024" s="5">
        <v>0</v>
      </c>
      <c r="BF1024" s="6">
        <v>0</v>
      </c>
      <c r="BG1024" s="5">
        <v>0</v>
      </c>
      <c r="BH1024" s="9">
        <f t="shared" si="122"/>
        <v>210</v>
      </c>
      <c r="BI1024" s="10">
        <f t="shared" si="123"/>
        <v>1236.780951065226</v>
      </c>
      <c r="BJ1024" s="6">
        <f t="shared" si="124"/>
        <v>12.152865161357312</v>
      </c>
      <c r="BK1024" s="11">
        <f t="shared" si="125"/>
        <v>6.142553022700465E-2</v>
      </c>
      <c r="BL1024" s="5">
        <f t="shared" si="126"/>
        <v>118.94463922689488</v>
      </c>
      <c r="BM1024" s="11">
        <f t="shared" si="127"/>
        <v>0.10640613296170812</v>
      </c>
    </row>
    <row r="1025" spans="1:65" ht="15" customHeight="1" x14ac:dyDescent="0.4">
      <c r="A1025" s="2" t="s">
        <v>745</v>
      </c>
      <c r="B1025" s="2" t="s">
        <v>66</v>
      </c>
      <c r="C1025" s="2" t="s">
        <v>752</v>
      </c>
      <c r="D1025" s="3" t="s">
        <v>68</v>
      </c>
      <c r="E1025" s="3" t="s">
        <v>86</v>
      </c>
      <c r="F1025" s="2" t="s">
        <v>87</v>
      </c>
      <c r="G1025" s="4">
        <v>20</v>
      </c>
      <c r="H1025" s="5">
        <v>1.518614842147388</v>
      </c>
      <c r="I1025" s="5">
        <v>1.582970388643107</v>
      </c>
      <c r="J1025" s="6">
        <v>5440.796208062673</v>
      </c>
      <c r="K1025" s="5">
        <v>8052.3783879327557</v>
      </c>
      <c r="L1025" s="6">
        <v>14146.070140962949</v>
      </c>
      <c r="M1025" s="5">
        <v>21219.105211444421</v>
      </c>
      <c r="N1025" s="6">
        <v>7617.1146912877421</v>
      </c>
      <c r="O1025" s="5">
        <v>11425.67203693161</v>
      </c>
      <c r="P1025" s="6">
        <v>5440.796208062673</v>
      </c>
      <c r="Q1025" s="5">
        <v>8161.1943120940095</v>
      </c>
      <c r="R1025" s="6">
        <v>8705.2739329002761</v>
      </c>
      <c r="S1025" s="5">
        <v>13329.95070975355</v>
      </c>
      <c r="T1025" s="6">
        <v>5440.796208062673</v>
      </c>
      <c r="U1025" s="5">
        <v>8433.2341224971424</v>
      </c>
      <c r="V1025" s="6">
        <v>2176.318483225069</v>
      </c>
      <c r="W1025" s="5">
        <v>3373.293648998857</v>
      </c>
      <c r="X1025" s="6">
        <v>11969.751657737879</v>
      </c>
      <c r="Y1025" s="5">
        <v>18553.11506949371</v>
      </c>
      <c r="Z1025" s="6">
        <v>0</v>
      </c>
      <c r="AA1025" s="5">
        <v>0</v>
      </c>
      <c r="AB1025" s="6">
        <v>0</v>
      </c>
      <c r="AC1025" s="5">
        <v>0</v>
      </c>
      <c r="AD1025" s="6">
        <v>3128.387259684685</v>
      </c>
      <c r="AE1025" s="5">
        <v>4742.5792216237733</v>
      </c>
      <c r="AF1025" s="6">
        <v>0</v>
      </c>
      <c r="AG1025" s="5">
        <v>0</v>
      </c>
      <c r="AH1025" s="7">
        <f t="shared" si="120"/>
        <v>64065.304789986621</v>
      </c>
      <c r="AI1025" s="8">
        <f t="shared" si="121"/>
        <v>97290.522720769834</v>
      </c>
      <c r="AJ1025" s="6">
        <v>6000</v>
      </c>
      <c r="AK1025" s="5">
        <v>9256.3125541164864</v>
      </c>
      <c r="AL1025" s="6">
        <v>15600</v>
      </c>
      <c r="AM1025" s="5">
        <v>24391.634433144791</v>
      </c>
      <c r="AN1025" s="6">
        <v>8400</v>
      </c>
      <c r="AO1025" s="5">
        <v>13133.957002462579</v>
      </c>
      <c r="AP1025" s="6">
        <v>6000</v>
      </c>
      <c r="AQ1025" s="5">
        <v>9381.3978589018443</v>
      </c>
      <c r="AR1025" s="6">
        <v>9600</v>
      </c>
      <c r="AS1025" s="5">
        <v>15322.94983620635</v>
      </c>
      <c r="AT1025" s="6">
        <v>6000</v>
      </c>
      <c r="AU1025" s="5">
        <v>9694.1111208652383</v>
      </c>
      <c r="AV1025" s="6">
        <v>2400</v>
      </c>
      <c r="AW1025" s="5">
        <v>3877.6444483460959</v>
      </c>
      <c r="AX1025" s="6">
        <v>13200</v>
      </c>
      <c r="AY1025" s="5">
        <v>21327.044465903531</v>
      </c>
      <c r="AZ1025" s="6">
        <v>0</v>
      </c>
      <c r="BA1025" s="5">
        <v>0</v>
      </c>
      <c r="BB1025" s="6">
        <v>0</v>
      </c>
      <c r="BC1025" s="5">
        <v>0</v>
      </c>
      <c r="BD1025" s="6">
        <v>3440</v>
      </c>
      <c r="BE1025" s="5">
        <v>5435.9765338021107</v>
      </c>
      <c r="BF1025" s="6">
        <v>0</v>
      </c>
      <c r="BG1025" s="5">
        <v>0</v>
      </c>
      <c r="BH1025" s="9">
        <f t="shared" si="122"/>
        <v>70640</v>
      </c>
      <c r="BI1025" s="10">
        <f t="shared" si="123"/>
        <v>111821.02825374903</v>
      </c>
      <c r="BJ1025" s="6">
        <f t="shared" si="124"/>
        <v>6574.6952100133785</v>
      </c>
      <c r="BK1025" s="11">
        <f t="shared" si="125"/>
        <v>0.10262489551194644</v>
      </c>
      <c r="BL1025" s="5">
        <f t="shared" si="126"/>
        <v>14530.505532979194</v>
      </c>
      <c r="BM1025" s="11">
        <f t="shared" si="127"/>
        <v>0.1493517058663843</v>
      </c>
    </row>
    <row r="1026" spans="1:65" ht="15" customHeight="1" x14ac:dyDescent="0.4">
      <c r="A1026" s="2" t="s">
        <v>745</v>
      </c>
      <c r="B1026" s="2" t="s">
        <v>66</v>
      </c>
      <c r="C1026" s="2" t="s">
        <v>752</v>
      </c>
      <c r="D1026" s="3" t="s">
        <v>68</v>
      </c>
      <c r="E1026" s="3" t="s">
        <v>176</v>
      </c>
      <c r="F1026" s="2" t="s">
        <v>177</v>
      </c>
      <c r="G1026" s="4">
        <v>5</v>
      </c>
      <c r="H1026" s="5">
        <v>2.98</v>
      </c>
      <c r="I1026" s="5">
        <v>3.1062850688363892</v>
      </c>
      <c r="J1026" s="6">
        <v>0</v>
      </c>
      <c r="K1026" s="5">
        <v>0</v>
      </c>
      <c r="L1026" s="6">
        <v>0</v>
      </c>
      <c r="M1026" s="5">
        <v>0</v>
      </c>
      <c r="N1026" s="6">
        <v>98.92356741932133</v>
      </c>
      <c r="O1026" s="5">
        <v>294.79223090957748</v>
      </c>
      <c r="P1026" s="6">
        <v>0</v>
      </c>
      <c r="Q1026" s="5">
        <v>0</v>
      </c>
      <c r="R1026" s="6">
        <v>0</v>
      </c>
      <c r="S1026" s="5">
        <v>0</v>
      </c>
      <c r="T1026" s="6">
        <v>0</v>
      </c>
      <c r="U1026" s="5">
        <v>0</v>
      </c>
      <c r="V1026" s="6">
        <v>0</v>
      </c>
      <c r="W1026" s="5">
        <v>0</v>
      </c>
      <c r="X1026" s="6">
        <v>0</v>
      </c>
      <c r="Y1026" s="5">
        <v>0</v>
      </c>
      <c r="Z1026" s="6">
        <v>0</v>
      </c>
      <c r="AA1026" s="5">
        <v>0</v>
      </c>
      <c r="AB1026" s="6">
        <v>0</v>
      </c>
      <c r="AC1026" s="5">
        <v>0</v>
      </c>
      <c r="AD1026" s="6">
        <v>0</v>
      </c>
      <c r="AE1026" s="5">
        <v>0</v>
      </c>
      <c r="AF1026" s="6">
        <v>0</v>
      </c>
      <c r="AG1026" s="5">
        <v>0</v>
      </c>
      <c r="AH1026" s="7">
        <f t="shared" ref="AH1026:AH1089" si="128">J1026+L1026+N1026+P1026+R1026+T1026+V1026+X1026+Z1026+AB1026+AD1026+AF1026</f>
        <v>98.92356741932133</v>
      </c>
      <c r="AI1026" s="8">
        <f t="shared" ref="AI1026:AI1089" si="129">K1026+M1026+O1026+Q1026+S1026+U1026+W1026+Y1026+AA1026+AC1026+AE1026+AG1026</f>
        <v>294.79223090957748</v>
      </c>
      <c r="AJ1026" s="6">
        <v>0</v>
      </c>
      <c r="AK1026" s="5">
        <v>0</v>
      </c>
      <c r="AL1026" s="6">
        <v>0</v>
      </c>
      <c r="AM1026" s="5">
        <v>0</v>
      </c>
      <c r="AN1026" s="6">
        <v>110</v>
      </c>
      <c r="AO1026" s="5">
        <v>341.69135757200269</v>
      </c>
      <c r="AP1026" s="6">
        <v>0</v>
      </c>
      <c r="AQ1026" s="5">
        <v>0</v>
      </c>
      <c r="AR1026" s="6">
        <v>0</v>
      </c>
      <c r="AS1026" s="5">
        <v>0</v>
      </c>
      <c r="AT1026" s="6">
        <v>0</v>
      </c>
      <c r="AU1026" s="5">
        <v>0</v>
      </c>
      <c r="AV1026" s="6">
        <v>0</v>
      </c>
      <c r="AW1026" s="5">
        <v>0</v>
      </c>
      <c r="AX1026" s="6">
        <v>0</v>
      </c>
      <c r="AY1026" s="5">
        <v>0</v>
      </c>
      <c r="AZ1026" s="6">
        <v>0</v>
      </c>
      <c r="BA1026" s="5">
        <v>0</v>
      </c>
      <c r="BB1026" s="6">
        <v>0</v>
      </c>
      <c r="BC1026" s="5">
        <v>0</v>
      </c>
      <c r="BD1026" s="6">
        <v>0</v>
      </c>
      <c r="BE1026" s="5">
        <v>0</v>
      </c>
      <c r="BF1026" s="6">
        <v>0</v>
      </c>
      <c r="BG1026" s="5">
        <v>0</v>
      </c>
      <c r="BH1026" s="9">
        <f t="shared" ref="BH1026:BH1089" si="130">AJ1026+AL1026+AN1026+AP1026+AR1026+AT1026+AV1026+AX1026+AZ1026+BB1026+BD1026+BF1026</f>
        <v>110</v>
      </c>
      <c r="BI1026" s="10">
        <f t="shared" ref="BI1026:BI1089" si="131">AK1026+AM1026+AO1026+AQ1026+AS1026+AU1026+AW1026+AY1026+BA1026+BC1026+BE1026+BG1026</f>
        <v>341.69135757200269</v>
      </c>
      <c r="BJ1026" s="6">
        <f t="shared" ref="BJ1026:BJ1089" si="132">BH1026-AH1026</f>
        <v>11.07643258067867</v>
      </c>
      <c r="BK1026" s="11">
        <f t="shared" ref="BK1026:BK1089" si="133">IF(AH1026&gt;0, BJ1026/AH1026, 0)</f>
        <v>0.11196960309495742</v>
      </c>
      <c r="BL1026" s="5">
        <f t="shared" ref="BL1026:BL1089" si="134">BI1026-AI1026</f>
        <v>46.899126662425203</v>
      </c>
      <c r="BM1026" s="11">
        <f t="shared" ref="BM1026:BM1089" si="135">IF(AI1026&gt;0, BL1026/AI1026, 0)</f>
        <v>0.15909213929321875</v>
      </c>
    </row>
    <row r="1027" spans="1:65" ht="15" customHeight="1" x14ac:dyDescent="0.4">
      <c r="A1027" s="2" t="s">
        <v>745</v>
      </c>
      <c r="B1027" s="2" t="s">
        <v>66</v>
      </c>
      <c r="C1027" s="2" t="s">
        <v>752</v>
      </c>
      <c r="D1027" s="3" t="s">
        <v>68</v>
      </c>
      <c r="E1027" s="3" t="s">
        <v>223</v>
      </c>
      <c r="F1027" s="2" t="s">
        <v>224</v>
      </c>
      <c r="G1027" s="4">
        <v>20</v>
      </c>
      <c r="H1027" s="5">
        <v>2.6828716350702981</v>
      </c>
      <c r="I1027" s="5">
        <v>2.7964539459935782</v>
      </c>
      <c r="J1027" s="6">
        <v>0</v>
      </c>
      <c r="K1027" s="5">
        <v>0</v>
      </c>
      <c r="L1027" s="6">
        <v>2532.443325934626</v>
      </c>
      <c r="M1027" s="5">
        <v>6786.9481135047972</v>
      </c>
      <c r="N1027" s="6">
        <v>3798.6649889019391</v>
      </c>
      <c r="O1027" s="5">
        <v>10180.422170257199</v>
      </c>
      <c r="P1027" s="6">
        <v>1266.221662967313</v>
      </c>
      <c r="Q1027" s="5">
        <v>3393.4740567523991</v>
      </c>
      <c r="R1027" s="6">
        <v>0</v>
      </c>
      <c r="S1027" s="5">
        <v>0</v>
      </c>
      <c r="T1027" s="6">
        <v>633.11083148365651</v>
      </c>
      <c r="U1027" s="5">
        <v>1779.0414364690751</v>
      </c>
      <c r="V1027" s="6">
        <v>0</v>
      </c>
      <c r="W1027" s="5">
        <v>0</v>
      </c>
      <c r="X1027" s="6">
        <v>0</v>
      </c>
      <c r="Y1027" s="5">
        <v>0</v>
      </c>
      <c r="Z1027" s="6">
        <v>0</v>
      </c>
      <c r="AA1027" s="5">
        <v>0</v>
      </c>
      <c r="AB1027" s="6">
        <v>0</v>
      </c>
      <c r="AC1027" s="5">
        <v>0</v>
      </c>
      <c r="AD1027" s="6">
        <v>1213.4350583019379</v>
      </c>
      <c r="AE1027" s="5">
        <v>3196.8209132972379</v>
      </c>
      <c r="AF1027" s="6">
        <v>0</v>
      </c>
      <c r="AG1027" s="5">
        <v>0</v>
      </c>
      <c r="AH1027" s="7">
        <f t="shared" si="128"/>
        <v>9443.8758675894733</v>
      </c>
      <c r="AI1027" s="8">
        <f t="shared" si="129"/>
        <v>25336.706690280709</v>
      </c>
      <c r="AJ1027" s="6">
        <v>0</v>
      </c>
      <c r="AK1027" s="5">
        <v>0</v>
      </c>
      <c r="AL1027" s="6">
        <v>2760</v>
      </c>
      <c r="AM1027" s="5">
        <v>7710.2581869694604</v>
      </c>
      <c r="AN1027" s="6">
        <v>4120</v>
      </c>
      <c r="AO1027" s="5">
        <v>11509.515844316729</v>
      </c>
      <c r="AP1027" s="6">
        <v>1380</v>
      </c>
      <c r="AQ1027" s="5">
        <v>3855.1290934847302</v>
      </c>
      <c r="AR1027" s="6">
        <v>0</v>
      </c>
      <c r="AS1027" s="5">
        <v>0</v>
      </c>
      <c r="AT1027" s="6">
        <v>680</v>
      </c>
      <c r="AU1027" s="5">
        <v>1991.7750031988489</v>
      </c>
      <c r="AV1027" s="6">
        <v>0</v>
      </c>
      <c r="AW1027" s="5">
        <v>0</v>
      </c>
      <c r="AX1027" s="6">
        <v>0</v>
      </c>
      <c r="AY1027" s="5">
        <v>0</v>
      </c>
      <c r="AZ1027" s="6">
        <v>0</v>
      </c>
      <c r="BA1027" s="5">
        <v>0</v>
      </c>
      <c r="BB1027" s="6">
        <v>0</v>
      </c>
      <c r="BC1027" s="5">
        <v>0</v>
      </c>
      <c r="BD1027" s="6">
        <v>1320</v>
      </c>
      <c r="BE1027" s="5">
        <v>3624.9393579243329</v>
      </c>
      <c r="BF1027" s="6">
        <v>0</v>
      </c>
      <c r="BG1027" s="5">
        <v>0</v>
      </c>
      <c r="BH1027" s="9">
        <f t="shared" si="130"/>
        <v>10260</v>
      </c>
      <c r="BI1027" s="10">
        <f t="shared" si="131"/>
        <v>28691.617485894101</v>
      </c>
      <c r="BJ1027" s="6">
        <f t="shared" si="132"/>
        <v>816.12413241052673</v>
      </c>
      <c r="BK1027" s="11">
        <f t="shared" si="133"/>
        <v>8.6418346011026131E-2</v>
      </c>
      <c r="BL1027" s="5">
        <f t="shared" si="134"/>
        <v>3354.9107956133921</v>
      </c>
      <c r="BM1027" s="11">
        <f t="shared" si="135"/>
        <v>0.13241305733315187</v>
      </c>
    </row>
    <row r="1028" spans="1:65" ht="15" customHeight="1" x14ac:dyDescent="0.4">
      <c r="A1028" s="2" t="s">
        <v>745</v>
      </c>
      <c r="B1028" s="2" t="s">
        <v>66</v>
      </c>
      <c r="C1028" s="2" t="s">
        <v>752</v>
      </c>
      <c r="D1028" s="3" t="s">
        <v>68</v>
      </c>
      <c r="E1028" s="3" t="s">
        <v>627</v>
      </c>
      <c r="F1028" s="2" t="s">
        <v>486</v>
      </c>
      <c r="G1028" s="4">
        <v>200</v>
      </c>
      <c r="H1028" s="5">
        <v>2.68</v>
      </c>
      <c r="I1028" s="5">
        <v>2.7935718068729938</v>
      </c>
      <c r="J1028" s="6">
        <v>0</v>
      </c>
      <c r="K1028" s="5">
        <v>0</v>
      </c>
      <c r="L1028" s="6">
        <v>395.69426967728532</v>
      </c>
      <c r="M1028" s="5">
        <v>1080.2453562189889</v>
      </c>
      <c r="N1028" s="6">
        <v>0</v>
      </c>
      <c r="O1028" s="5">
        <v>0</v>
      </c>
      <c r="P1028" s="6">
        <v>197.84713483864269</v>
      </c>
      <c r="Q1028" s="5">
        <v>510.44560788369802</v>
      </c>
      <c r="R1028" s="6">
        <v>0</v>
      </c>
      <c r="S1028" s="5">
        <v>0</v>
      </c>
      <c r="T1028" s="6">
        <v>0</v>
      </c>
      <c r="U1028" s="5">
        <v>0</v>
      </c>
      <c r="V1028" s="6">
        <v>0</v>
      </c>
      <c r="W1028" s="5">
        <v>0</v>
      </c>
      <c r="X1028" s="6">
        <v>0</v>
      </c>
      <c r="Y1028" s="5">
        <v>0</v>
      </c>
      <c r="Z1028" s="6">
        <v>0</v>
      </c>
      <c r="AA1028" s="5">
        <v>0</v>
      </c>
      <c r="AB1028" s="6">
        <v>0</v>
      </c>
      <c r="AC1028" s="5">
        <v>0</v>
      </c>
      <c r="AD1028" s="6">
        <v>0</v>
      </c>
      <c r="AE1028" s="5">
        <v>0</v>
      </c>
      <c r="AF1028" s="6">
        <v>0</v>
      </c>
      <c r="AG1028" s="5">
        <v>0</v>
      </c>
      <c r="AH1028" s="7">
        <f t="shared" si="128"/>
        <v>593.54140451592798</v>
      </c>
      <c r="AI1028" s="8">
        <f t="shared" si="129"/>
        <v>1590.6909641026868</v>
      </c>
      <c r="AJ1028" s="6">
        <v>0</v>
      </c>
      <c r="AK1028" s="5">
        <v>0</v>
      </c>
      <c r="AL1028" s="6">
        <v>400</v>
      </c>
      <c r="AM1028" s="5">
        <v>1138.276273546757</v>
      </c>
      <c r="AN1028" s="6">
        <v>0</v>
      </c>
      <c r="AO1028" s="5">
        <v>0</v>
      </c>
      <c r="AP1028" s="6">
        <v>200</v>
      </c>
      <c r="AQ1028" s="5">
        <v>537.86681057703902</v>
      </c>
      <c r="AR1028" s="6">
        <v>0</v>
      </c>
      <c r="AS1028" s="5">
        <v>0</v>
      </c>
      <c r="AT1028" s="6">
        <v>0</v>
      </c>
      <c r="AU1028" s="5">
        <v>0</v>
      </c>
      <c r="AV1028" s="6">
        <v>0</v>
      </c>
      <c r="AW1028" s="5">
        <v>0</v>
      </c>
      <c r="AX1028" s="6">
        <v>0</v>
      </c>
      <c r="AY1028" s="5">
        <v>0</v>
      </c>
      <c r="AZ1028" s="6">
        <v>0</v>
      </c>
      <c r="BA1028" s="5">
        <v>0</v>
      </c>
      <c r="BB1028" s="6">
        <v>0</v>
      </c>
      <c r="BC1028" s="5">
        <v>0</v>
      </c>
      <c r="BD1028" s="6">
        <v>0</v>
      </c>
      <c r="BE1028" s="5">
        <v>0</v>
      </c>
      <c r="BF1028" s="6">
        <v>0</v>
      </c>
      <c r="BG1028" s="5">
        <v>0</v>
      </c>
      <c r="BH1028" s="9">
        <f t="shared" si="130"/>
        <v>600</v>
      </c>
      <c r="BI1028" s="10">
        <f t="shared" si="131"/>
        <v>1676.1430841237961</v>
      </c>
      <c r="BJ1028" s="6">
        <f t="shared" si="132"/>
        <v>6.4585954840720206</v>
      </c>
      <c r="BK1028" s="11">
        <f t="shared" si="133"/>
        <v>1.0881457359052195E-2</v>
      </c>
      <c r="BL1028" s="5">
        <f t="shared" si="134"/>
        <v>85.452120021109295</v>
      </c>
      <c r="BM1028" s="11">
        <f t="shared" si="135"/>
        <v>5.3720126630198761E-2</v>
      </c>
    </row>
    <row r="1029" spans="1:65" ht="15" customHeight="1" x14ac:dyDescent="0.4">
      <c r="A1029" s="2" t="s">
        <v>745</v>
      </c>
      <c r="B1029" s="2" t="s">
        <v>66</v>
      </c>
      <c r="C1029" s="2" t="s">
        <v>752</v>
      </c>
      <c r="D1029" s="3" t="s">
        <v>68</v>
      </c>
      <c r="E1029" s="3" t="s">
        <v>71</v>
      </c>
      <c r="F1029" s="2" t="s">
        <v>72</v>
      </c>
      <c r="G1029" s="4">
        <v>20</v>
      </c>
      <c r="H1029" s="5">
        <v>2.164218266869534</v>
      </c>
      <c r="I1029" s="5">
        <v>2.2560056821247652</v>
      </c>
      <c r="J1029" s="6">
        <v>0</v>
      </c>
      <c r="K1029" s="5">
        <v>0</v>
      </c>
      <c r="L1029" s="6">
        <v>633.11083148365651</v>
      </c>
      <c r="M1029" s="5">
        <v>1361.188287689861</v>
      </c>
      <c r="N1029" s="6">
        <v>0</v>
      </c>
      <c r="O1029" s="5">
        <v>0</v>
      </c>
      <c r="P1029" s="6">
        <v>0</v>
      </c>
      <c r="Q1029" s="5">
        <v>0</v>
      </c>
      <c r="R1029" s="6">
        <v>0</v>
      </c>
      <c r="S1029" s="5">
        <v>0</v>
      </c>
      <c r="T1029" s="6">
        <v>633.11083148365651</v>
      </c>
      <c r="U1029" s="5">
        <v>1399.1749375788811</v>
      </c>
      <c r="V1029" s="6">
        <v>0</v>
      </c>
      <c r="W1029" s="5">
        <v>0</v>
      </c>
      <c r="X1029" s="6">
        <v>0</v>
      </c>
      <c r="Y1029" s="5">
        <v>0</v>
      </c>
      <c r="Z1029" s="6">
        <v>0</v>
      </c>
      <c r="AA1029" s="5">
        <v>0</v>
      </c>
      <c r="AB1029" s="6">
        <v>0</v>
      </c>
      <c r="AC1029" s="5">
        <v>0</v>
      </c>
      <c r="AD1029" s="6">
        <v>1213.4350583019379</v>
      </c>
      <c r="AE1029" s="5">
        <v>2606.1551464679878</v>
      </c>
      <c r="AF1029" s="6">
        <v>0</v>
      </c>
      <c r="AG1029" s="5">
        <v>0</v>
      </c>
      <c r="AH1029" s="7">
        <f t="shared" si="128"/>
        <v>2479.6567212692507</v>
      </c>
      <c r="AI1029" s="8">
        <f t="shared" si="129"/>
        <v>5366.5183717367299</v>
      </c>
      <c r="AJ1029" s="6">
        <v>0</v>
      </c>
      <c r="AK1029" s="5">
        <v>0</v>
      </c>
      <c r="AL1029" s="6">
        <v>800</v>
      </c>
      <c r="AM1029" s="5">
        <v>1792.8893685901301</v>
      </c>
      <c r="AN1029" s="6">
        <v>0</v>
      </c>
      <c r="AO1029" s="5">
        <v>0</v>
      </c>
      <c r="AP1029" s="6">
        <v>0</v>
      </c>
      <c r="AQ1029" s="5">
        <v>0</v>
      </c>
      <c r="AR1029" s="6">
        <v>0</v>
      </c>
      <c r="AS1029" s="5">
        <v>0</v>
      </c>
      <c r="AT1029" s="6">
        <v>800</v>
      </c>
      <c r="AU1029" s="5">
        <v>1842.9234905042731</v>
      </c>
      <c r="AV1029" s="6">
        <v>0</v>
      </c>
      <c r="AW1029" s="5">
        <v>0</v>
      </c>
      <c r="AX1029" s="6">
        <v>0</v>
      </c>
      <c r="AY1029" s="5">
        <v>0</v>
      </c>
      <c r="AZ1029" s="6">
        <v>0</v>
      </c>
      <c r="BA1029" s="5">
        <v>0</v>
      </c>
      <c r="BB1029" s="6">
        <v>0</v>
      </c>
      <c r="BC1029" s="5">
        <v>0</v>
      </c>
      <c r="BD1029" s="6">
        <v>1520</v>
      </c>
      <c r="BE1029" s="5">
        <v>3402.9248691348639</v>
      </c>
      <c r="BF1029" s="6">
        <v>0</v>
      </c>
      <c r="BG1029" s="5">
        <v>0</v>
      </c>
      <c r="BH1029" s="9">
        <f t="shared" si="130"/>
        <v>3120</v>
      </c>
      <c r="BI1029" s="10">
        <f t="shared" si="131"/>
        <v>7038.7377282292673</v>
      </c>
      <c r="BJ1029" s="6">
        <f t="shared" si="132"/>
        <v>640.34327873074926</v>
      </c>
      <c r="BK1029" s="11">
        <f t="shared" si="133"/>
        <v>0.25823868007140105</v>
      </c>
      <c r="BL1029" s="5">
        <f t="shared" si="134"/>
        <v>1672.2193564925374</v>
      </c>
      <c r="BM1029" s="11">
        <f t="shared" si="135"/>
        <v>0.31160227929143719</v>
      </c>
    </row>
    <row r="1030" spans="1:65" ht="15" customHeight="1" x14ac:dyDescent="0.4">
      <c r="A1030" s="2" t="s">
        <v>745</v>
      </c>
      <c r="B1030" s="2" t="s">
        <v>66</v>
      </c>
      <c r="C1030" s="2" t="s">
        <v>752</v>
      </c>
      <c r="D1030" s="3" t="s">
        <v>68</v>
      </c>
      <c r="E1030" s="3" t="s">
        <v>629</v>
      </c>
      <c r="F1030" s="2" t="s">
        <v>411</v>
      </c>
      <c r="G1030" s="4">
        <v>200</v>
      </c>
      <c r="H1030" s="5">
        <v>2.0499999999999998</v>
      </c>
      <c r="I1030" s="5">
        <v>2.1368739567498638</v>
      </c>
      <c r="J1030" s="6">
        <v>395.69426967728532</v>
      </c>
      <c r="K1030" s="5">
        <v>811.17325283843491</v>
      </c>
      <c r="L1030" s="6">
        <v>0</v>
      </c>
      <c r="M1030" s="5">
        <v>0</v>
      </c>
      <c r="N1030" s="6">
        <v>0</v>
      </c>
      <c r="O1030" s="5">
        <v>0</v>
      </c>
      <c r="P1030" s="6">
        <v>0</v>
      </c>
      <c r="Q1030" s="5">
        <v>0</v>
      </c>
      <c r="R1030" s="6">
        <v>0</v>
      </c>
      <c r="S1030" s="5">
        <v>0</v>
      </c>
      <c r="T1030" s="6">
        <v>0</v>
      </c>
      <c r="U1030" s="5">
        <v>0</v>
      </c>
      <c r="V1030" s="6">
        <v>0</v>
      </c>
      <c r="W1030" s="5">
        <v>0</v>
      </c>
      <c r="X1030" s="6">
        <v>0</v>
      </c>
      <c r="Y1030" s="5">
        <v>0</v>
      </c>
      <c r="Z1030" s="6">
        <v>0</v>
      </c>
      <c r="AA1030" s="5">
        <v>0</v>
      </c>
      <c r="AB1030" s="6">
        <v>0</v>
      </c>
      <c r="AC1030" s="5">
        <v>0</v>
      </c>
      <c r="AD1030" s="6">
        <v>0</v>
      </c>
      <c r="AE1030" s="5">
        <v>0</v>
      </c>
      <c r="AF1030" s="6">
        <v>0</v>
      </c>
      <c r="AG1030" s="5">
        <v>0</v>
      </c>
      <c r="AH1030" s="7">
        <f t="shared" si="128"/>
        <v>395.69426967728532</v>
      </c>
      <c r="AI1030" s="8">
        <f t="shared" si="129"/>
        <v>811.17325283843491</v>
      </c>
      <c r="AJ1030" s="6">
        <v>400</v>
      </c>
      <c r="AK1030" s="5">
        <v>854.74958269994568</v>
      </c>
      <c r="AL1030" s="6">
        <v>0</v>
      </c>
      <c r="AM1030" s="5">
        <v>0</v>
      </c>
      <c r="AN1030" s="6">
        <v>0</v>
      </c>
      <c r="AO1030" s="5">
        <v>0</v>
      </c>
      <c r="AP1030" s="6">
        <v>0</v>
      </c>
      <c r="AQ1030" s="5">
        <v>0</v>
      </c>
      <c r="AR1030" s="6">
        <v>0</v>
      </c>
      <c r="AS1030" s="5">
        <v>0</v>
      </c>
      <c r="AT1030" s="6">
        <v>0</v>
      </c>
      <c r="AU1030" s="5">
        <v>0</v>
      </c>
      <c r="AV1030" s="6">
        <v>0</v>
      </c>
      <c r="AW1030" s="5">
        <v>0</v>
      </c>
      <c r="AX1030" s="6">
        <v>0</v>
      </c>
      <c r="AY1030" s="5">
        <v>0</v>
      </c>
      <c r="AZ1030" s="6">
        <v>0</v>
      </c>
      <c r="BA1030" s="5">
        <v>0</v>
      </c>
      <c r="BB1030" s="6">
        <v>0</v>
      </c>
      <c r="BC1030" s="5">
        <v>0</v>
      </c>
      <c r="BD1030" s="6">
        <v>0</v>
      </c>
      <c r="BE1030" s="5">
        <v>0</v>
      </c>
      <c r="BF1030" s="6">
        <v>0</v>
      </c>
      <c r="BG1030" s="5">
        <v>0</v>
      </c>
      <c r="BH1030" s="9">
        <f t="shared" si="130"/>
        <v>400</v>
      </c>
      <c r="BI1030" s="10">
        <f t="shared" si="131"/>
        <v>854.74958269994568</v>
      </c>
      <c r="BJ1030" s="6">
        <f t="shared" si="132"/>
        <v>4.3057303227146804</v>
      </c>
      <c r="BK1030" s="11">
        <f t="shared" si="133"/>
        <v>1.0881457359052195E-2</v>
      </c>
      <c r="BL1030" s="5">
        <f t="shared" si="134"/>
        <v>43.576329861510771</v>
      </c>
      <c r="BM1030" s="11">
        <f t="shared" si="135"/>
        <v>5.3720126630198532E-2</v>
      </c>
    </row>
    <row r="1031" spans="1:65" ht="15" customHeight="1" x14ac:dyDescent="0.4">
      <c r="A1031" s="2" t="s">
        <v>745</v>
      </c>
      <c r="B1031" s="2" t="s">
        <v>66</v>
      </c>
      <c r="C1031" s="2" t="s">
        <v>752</v>
      </c>
      <c r="D1031" s="3" t="s">
        <v>68</v>
      </c>
      <c r="E1031" s="3" t="s">
        <v>260</v>
      </c>
      <c r="F1031" s="2" t="s">
        <v>261</v>
      </c>
      <c r="G1031" s="4">
        <v>1000</v>
      </c>
      <c r="H1031" s="5">
        <v>1.97</v>
      </c>
      <c r="I1031" s="5">
        <v>2.0534837535596249</v>
      </c>
      <c r="J1031" s="6">
        <v>0</v>
      </c>
      <c r="K1031" s="5">
        <v>0</v>
      </c>
      <c r="L1031" s="6">
        <v>0</v>
      </c>
      <c r="M1031" s="5">
        <v>0</v>
      </c>
      <c r="N1031" s="6">
        <v>0</v>
      </c>
      <c r="O1031" s="5">
        <v>0</v>
      </c>
      <c r="P1031" s="6">
        <v>0</v>
      </c>
      <c r="Q1031" s="5">
        <v>0</v>
      </c>
      <c r="R1031" s="6">
        <v>0</v>
      </c>
      <c r="S1031" s="5">
        <v>0</v>
      </c>
      <c r="T1031" s="6">
        <v>0</v>
      </c>
      <c r="U1031" s="5">
        <v>0</v>
      </c>
      <c r="V1031" s="6">
        <v>989.23567419321319</v>
      </c>
      <c r="W1031" s="5">
        <v>1948.79427816063</v>
      </c>
      <c r="X1031" s="6">
        <v>989.23567419321319</v>
      </c>
      <c r="Y1031" s="5">
        <v>1948.79427816063</v>
      </c>
      <c r="Z1031" s="6">
        <v>0</v>
      </c>
      <c r="AA1031" s="5">
        <v>0</v>
      </c>
      <c r="AB1031" s="6">
        <v>0</v>
      </c>
      <c r="AC1031" s="5">
        <v>0</v>
      </c>
      <c r="AD1031" s="6">
        <v>3791.984557193558</v>
      </c>
      <c r="AE1031" s="5">
        <v>7470.2095776713077</v>
      </c>
      <c r="AF1031" s="6">
        <v>0</v>
      </c>
      <c r="AG1031" s="5">
        <v>0</v>
      </c>
      <c r="AH1031" s="7">
        <f t="shared" si="128"/>
        <v>5770.4559055799846</v>
      </c>
      <c r="AI1031" s="8">
        <f t="shared" si="129"/>
        <v>11367.798133992568</v>
      </c>
      <c r="AJ1031" s="6">
        <v>0</v>
      </c>
      <c r="AK1031" s="5">
        <v>0</v>
      </c>
      <c r="AL1031" s="6">
        <v>0</v>
      </c>
      <c r="AM1031" s="5">
        <v>0</v>
      </c>
      <c r="AN1031" s="6">
        <v>0</v>
      </c>
      <c r="AO1031" s="5">
        <v>0</v>
      </c>
      <c r="AP1031" s="6">
        <v>0</v>
      </c>
      <c r="AQ1031" s="5">
        <v>0</v>
      </c>
      <c r="AR1031" s="6">
        <v>0</v>
      </c>
      <c r="AS1031" s="5">
        <v>0</v>
      </c>
      <c r="AT1031" s="6">
        <v>0</v>
      </c>
      <c r="AU1031" s="5">
        <v>0</v>
      </c>
      <c r="AV1031" s="6">
        <v>1000</v>
      </c>
      <c r="AW1031" s="5">
        <v>2053.4837535596262</v>
      </c>
      <c r="AX1031" s="6">
        <v>1000</v>
      </c>
      <c r="AY1031" s="5">
        <v>2053.4837535596262</v>
      </c>
      <c r="AZ1031" s="6">
        <v>0</v>
      </c>
      <c r="BA1031" s="5">
        <v>0</v>
      </c>
      <c r="BB1031" s="6">
        <v>0</v>
      </c>
      <c r="BC1031" s="5">
        <v>0</v>
      </c>
      <c r="BD1031" s="6">
        <v>5000</v>
      </c>
      <c r="BE1031" s="5">
        <v>10267.41876779813</v>
      </c>
      <c r="BF1031" s="6">
        <v>0</v>
      </c>
      <c r="BG1031" s="5">
        <v>0</v>
      </c>
      <c r="BH1031" s="9">
        <f t="shared" si="130"/>
        <v>7000</v>
      </c>
      <c r="BI1031" s="10">
        <f t="shared" si="131"/>
        <v>14374.386274917382</v>
      </c>
      <c r="BJ1031" s="6">
        <f t="shared" si="132"/>
        <v>1229.5440944200154</v>
      </c>
      <c r="BK1031" s="11">
        <f t="shared" si="133"/>
        <v>0.21307572825070131</v>
      </c>
      <c r="BL1031" s="5">
        <f t="shared" si="134"/>
        <v>3006.5881409248141</v>
      </c>
      <c r="BM1031" s="11">
        <f t="shared" si="135"/>
        <v>0.26448289329965857</v>
      </c>
    </row>
    <row r="1032" spans="1:65" ht="15" customHeight="1" x14ac:dyDescent="0.4">
      <c r="A1032" s="2" t="s">
        <v>745</v>
      </c>
      <c r="B1032" s="2" t="s">
        <v>66</v>
      </c>
      <c r="C1032" s="2" t="s">
        <v>752</v>
      </c>
      <c r="D1032" s="3" t="s">
        <v>68</v>
      </c>
      <c r="E1032" s="3" t="s">
        <v>73</v>
      </c>
      <c r="F1032" s="2" t="s">
        <v>74</v>
      </c>
      <c r="G1032" s="4">
        <v>20</v>
      </c>
      <c r="H1032" s="5">
        <v>2.69</v>
      </c>
      <c r="I1032" s="5">
        <v>2.803995582271773</v>
      </c>
      <c r="J1032" s="6">
        <v>0</v>
      </c>
      <c r="K1032" s="5">
        <v>0</v>
      </c>
      <c r="L1032" s="6">
        <v>0</v>
      </c>
      <c r="M1032" s="5">
        <v>0</v>
      </c>
      <c r="N1032" s="6">
        <v>0</v>
      </c>
      <c r="O1032" s="5">
        <v>0</v>
      </c>
      <c r="P1032" s="6">
        <v>0</v>
      </c>
      <c r="Q1032" s="5">
        <v>0</v>
      </c>
      <c r="R1032" s="6">
        <v>98.92356741932133</v>
      </c>
      <c r="S1032" s="5">
        <v>266.10439635797428</v>
      </c>
      <c r="T1032" s="6">
        <v>0</v>
      </c>
      <c r="U1032" s="5">
        <v>0</v>
      </c>
      <c r="V1032" s="6">
        <v>0</v>
      </c>
      <c r="W1032" s="5">
        <v>0</v>
      </c>
      <c r="X1032" s="6">
        <v>0</v>
      </c>
      <c r="Y1032" s="5">
        <v>0</v>
      </c>
      <c r="Z1032" s="6">
        <v>0</v>
      </c>
      <c r="AA1032" s="5">
        <v>0</v>
      </c>
      <c r="AB1032" s="6">
        <v>0</v>
      </c>
      <c r="AC1032" s="5">
        <v>0</v>
      </c>
      <c r="AD1032" s="6">
        <v>0</v>
      </c>
      <c r="AE1032" s="5">
        <v>0</v>
      </c>
      <c r="AF1032" s="6">
        <v>0</v>
      </c>
      <c r="AG1032" s="5">
        <v>0</v>
      </c>
      <c r="AH1032" s="7">
        <f t="shared" si="128"/>
        <v>98.92356741932133</v>
      </c>
      <c r="AI1032" s="8">
        <f t="shared" si="129"/>
        <v>266.10439635797428</v>
      </c>
      <c r="AJ1032" s="6">
        <v>0</v>
      </c>
      <c r="AK1032" s="5">
        <v>0</v>
      </c>
      <c r="AL1032" s="6">
        <v>0</v>
      </c>
      <c r="AM1032" s="5">
        <v>0</v>
      </c>
      <c r="AN1032" s="6">
        <v>0</v>
      </c>
      <c r="AO1032" s="5">
        <v>0</v>
      </c>
      <c r="AP1032" s="6">
        <v>0</v>
      </c>
      <c r="AQ1032" s="5">
        <v>0</v>
      </c>
      <c r="AR1032" s="6">
        <v>100</v>
      </c>
      <c r="AS1032" s="5">
        <v>280.39955822717729</v>
      </c>
      <c r="AT1032" s="6">
        <v>0</v>
      </c>
      <c r="AU1032" s="5">
        <v>0</v>
      </c>
      <c r="AV1032" s="6">
        <v>0</v>
      </c>
      <c r="AW1032" s="5">
        <v>0</v>
      </c>
      <c r="AX1032" s="6">
        <v>0</v>
      </c>
      <c r="AY1032" s="5">
        <v>0</v>
      </c>
      <c r="AZ1032" s="6">
        <v>0</v>
      </c>
      <c r="BA1032" s="5">
        <v>0</v>
      </c>
      <c r="BB1032" s="6">
        <v>0</v>
      </c>
      <c r="BC1032" s="5">
        <v>0</v>
      </c>
      <c r="BD1032" s="6">
        <v>0</v>
      </c>
      <c r="BE1032" s="5">
        <v>0</v>
      </c>
      <c r="BF1032" s="6">
        <v>0</v>
      </c>
      <c r="BG1032" s="5">
        <v>0</v>
      </c>
      <c r="BH1032" s="9">
        <f t="shared" si="130"/>
        <v>100</v>
      </c>
      <c r="BI1032" s="10">
        <f t="shared" si="131"/>
        <v>280.39955822717729</v>
      </c>
      <c r="BJ1032" s="6">
        <f t="shared" si="132"/>
        <v>1.0764325806786701</v>
      </c>
      <c r="BK1032" s="11">
        <f t="shared" si="133"/>
        <v>1.0881457359052195E-2</v>
      </c>
      <c r="BL1032" s="5">
        <f t="shared" si="134"/>
        <v>14.295161869203014</v>
      </c>
      <c r="BM1032" s="11">
        <f t="shared" si="135"/>
        <v>5.3720126630198886E-2</v>
      </c>
    </row>
    <row r="1033" spans="1:65" ht="15" customHeight="1" x14ac:dyDescent="0.4">
      <c r="A1033" s="2" t="s">
        <v>745</v>
      </c>
      <c r="B1033" s="2" t="s">
        <v>66</v>
      </c>
      <c r="C1033" s="2" t="s">
        <v>752</v>
      </c>
      <c r="D1033" s="3" t="s">
        <v>68</v>
      </c>
      <c r="E1033" s="3" t="s">
        <v>120</v>
      </c>
      <c r="F1033" s="2" t="s">
        <v>121</v>
      </c>
      <c r="G1033" s="4">
        <v>5</v>
      </c>
      <c r="H1033" s="5">
        <v>3.57</v>
      </c>
      <c r="I1033" s="5">
        <v>3.7212878173643982</v>
      </c>
      <c r="J1033" s="6">
        <v>0</v>
      </c>
      <c r="K1033" s="5">
        <v>0</v>
      </c>
      <c r="L1033" s="6">
        <v>0</v>
      </c>
      <c r="M1033" s="5">
        <v>0</v>
      </c>
      <c r="N1033" s="6">
        <v>98.92356741932133</v>
      </c>
      <c r="O1033" s="5">
        <v>353.15713568697709</v>
      </c>
      <c r="P1033" s="6">
        <v>0</v>
      </c>
      <c r="Q1033" s="5">
        <v>0</v>
      </c>
      <c r="R1033" s="6">
        <v>0</v>
      </c>
      <c r="S1033" s="5">
        <v>0</v>
      </c>
      <c r="T1033" s="6">
        <v>0</v>
      </c>
      <c r="U1033" s="5">
        <v>0</v>
      </c>
      <c r="V1033" s="6">
        <v>0</v>
      </c>
      <c r="W1033" s="5">
        <v>0</v>
      </c>
      <c r="X1033" s="6">
        <v>0</v>
      </c>
      <c r="Y1033" s="5">
        <v>0</v>
      </c>
      <c r="Z1033" s="6">
        <v>0</v>
      </c>
      <c r="AA1033" s="5">
        <v>0</v>
      </c>
      <c r="AB1033" s="6">
        <v>0</v>
      </c>
      <c r="AC1033" s="5">
        <v>0</v>
      </c>
      <c r="AD1033" s="6">
        <v>0</v>
      </c>
      <c r="AE1033" s="5">
        <v>0</v>
      </c>
      <c r="AF1033" s="6">
        <v>0</v>
      </c>
      <c r="AG1033" s="5">
        <v>0</v>
      </c>
      <c r="AH1033" s="7">
        <f t="shared" si="128"/>
        <v>98.92356741932133</v>
      </c>
      <c r="AI1033" s="8">
        <f t="shared" si="129"/>
        <v>353.15713568697709</v>
      </c>
      <c r="AJ1033" s="6">
        <v>0</v>
      </c>
      <c r="AK1033" s="5">
        <v>0</v>
      </c>
      <c r="AL1033" s="6">
        <v>0</v>
      </c>
      <c r="AM1033" s="5">
        <v>0</v>
      </c>
      <c r="AN1033" s="6">
        <v>110</v>
      </c>
      <c r="AO1033" s="5">
        <v>409.34165991008382</v>
      </c>
      <c r="AP1033" s="6">
        <v>0</v>
      </c>
      <c r="AQ1033" s="5">
        <v>0</v>
      </c>
      <c r="AR1033" s="6">
        <v>0</v>
      </c>
      <c r="AS1033" s="5">
        <v>0</v>
      </c>
      <c r="AT1033" s="6">
        <v>0</v>
      </c>
      <c r="AU1033" s="5">
        <v>0</v>
      </c>
      <c r="AV1033" s="6">
        <v>0</v>
      </c>
      <c r="AW1033" s="5">
        <v>0</v>
      </c>
      <c r="AX1033" s="6">
        <v>0</v>
      </c>
      <c r="AY1033" s="5">
        <v>0</v>
      </c>
      <c r="AZ1033" s="6">
        <v>0</v>
      </c>
      <c r="BA1033" s="5">
        <v>0</v>
      </c>
      <c r="BB1033" s="6">
        <v>0</v>
      </c>
      <c r="BC1033" s="5">
        <v>0</v>
      </c>
      <c r="BD1033" s="6">
        <v>0</v>
      </c>
      <c r="BE1033" s="5">
        <v>0</v>
      </c>
      <c r="BF1033" s="6">
        <v>0</v>
      </c>
      <c r="BG1033" s="5">
        <v>0</v>
      </c>
      <c r="BH1033" s="9">
        <f t="shared" si="130"/>
        <v>110</v>
      </c>
      <c r="BI1033" s="10">
        <f t="shared" si="131"/>
        <v>409.34165991008382</v>
      </c>
      <c r="BJ1033" s="6">
        <f t="shared" si="132"/>
        <v>11.07643258067867</v>
      </c>
      <c r="BK1033" s="11">
        <f t="shared" si="133"/>
        <v>0.11196960309495742</v>
      </c>
      <c r="BL1033" s="5">
        <f t="shared" si="134"/>
        <v>56.184524223106735</v>
      </c>
      <c r="BM1033" s="11">
        <f t="shared" si="135"/>
        <v>0.1590921392932188</v>
      </c>
    </row>
    <row r="1034" spans="1:65" ht="15" customHeight="1" x14ac:dyDescent="0.4">
      <c r="A1034" s="2" t="s">
        <v>745</v>
      </c>
      <c r="B1034" s="2" t="s">
        <v>66</v>
      </c>
      <c r="C1034" s="2" t="s">
        <v>752</v>
      </c>
      <c r="D1034" s="3" t="s">
        <v>68</v>
      </c>
      <c r="E1034" s="3" t="s">
        <v>90</v>
      </c>
      <c r="F1034" s="2" t="s">
        <v>91</v>
      </c>
      <c r="G1034" s="4">
        <v>20</v>
      </c>
      <c r="H1034" s="5">
        <v>3.3200000000000012</v>
      </c>
      <c r="I1034" s="5">
        <v>3.4606934323949039</v>
      </c>
      <c r="J1034" s="6">
        <v>0</v>
      </c>
      <c r="K1034" s="5">
        <v>0</v>
      </c>
      <c r="L1034" s="6">
        <v>0</v>
      </c>
      <c r="M1034" s="5">
        <v>0</v>
      </c>
      <c r="N1034" s="6">
        <v>949.66624722548465</v>
      </c>
      <c r="O1034" s="5">
        <v>3152.8919407886101</v>
      </c>
      <c r="P1034" s="6">
        <v>0</v>
      </c>
      <c r="Q1034" s="5">
        <v>0</v>
      </c>
      <c r="R1034" s="6">
        <v>0</v>
      </c>
      <c r="S1034" s="5">
        <v>0</v>
      </c>
      <c r="T1034" s="6">
        <v>0</v>
      </c>
      <c r="U1034" s="5">
        <v>0</v>
      </c>
      <c r="V1034" s="6">
        <v>0</v>
      </c>
      <c r="W1034" s="5">
        <v>0</v>
      </c>
      <c r="X1034" s="6">
        <v>0</v>
      </c>
      <c r="Y1034" s="5">
        <v>0</v>
      </c>
      <c r="Z1034" s="6">
        <v>0</v>
      </c>
      <c r="AA1034" s="5">
        <v>0</v>
      </c>
      <c r="AB1034" s="6">
        <v>0</v>
      </c>
      <c r="AC1034" s="5">
        <v>0</v>
      </c>
      <c r="AD1034" s="6">
        <v>0</v>
      </c>
      <c r="AE1034" s="5">
        <v>0</v>
      </c>
      <c r="AF1034" s="6">
        <v>0</v>
      </c>
      <c r="AG1034" s="5">
        <v>0</v>
      </c>
      <c r="AH1034" s="7">
        <f t="shared" si="128"/>
        <v>949.66624722548465</v>
      </c>
      <c r="AI1034" s="8">
        <f t="shared" si="129"/>
        <v>3152.8919407886101</v>
      </c>
      <c r="AJ1034" s="6">
        <v>0</v>
      </c>
      <c r="AK1034" s="5">
        <v>0</v>
      </c>
      <c r="AL1034" s="6">
        <v>0</v>
      </c>
      <c r="AM1034" s="5">
        <v>0</v>
      </c>
      <c r="AN1034" s="6">
        <v>1040</v>
      </c>
      <c r="AO1034" s="5">
        <v>3599.1211696906998</v>
      </c>
      <c r="AP1034" s="6">
        <v>0</v>
      </c>
      <c r="AQ1034" s="5">
        <v>0</v>
      </c>
      <c r="AR1034" s="6">
        <v>0</v>
      </c>
      <c r="AS1034" s="5">
        <v>0</v>
      </c>
      <c r="AT1034" s="6">
        <v>0</v>
      </c>
      <c r="AU1034" s="5">
        <v>0</v>
      </c>
      <c r="AV1034" s="6">
        <v>0</v>
      </c>
      <c r="AW1034" s="5">
        <v>0</v>
      </c>
      <c r="AX1034" s="6">
        <v>0</v>
      </c>
      <c r="AY1034" s="5">
        <v>0</v>
      </c>
      <c r="AZ1034" s="6">
        <v>0</v>
      </c>
      <c r="BA1034" s="5">
        <v>0</v>
      </c>
      <c r="BB1034" s="6">
        <v>0</v>
      </c>
      <c r="BC1034" s="5">
        <v>0</v>
      </c>
      <c r="BD1034" s="6">
        <v>0</v>
      </c>
      <c r="BE1034" s="5">
        <v>0</v>
      </c>
      <c r="BF1034" s="6">
        <v>0</v>
      </c>
      <c r="BG1034" s="5">
        <v>0</v>
      </c>
      <c r="BH1034" s="9">
        <f t="shared" si="130"/>
        <v>1040</v>
      </c>
      <c r="BI1034" s="10">
        <f t="shared" si="131"/>
        <v>3599.1211696906998</v>
      </c>
      <c r="BJ1034" s="6">
        <f t="shared" si="132"/>
        <v>90.333752774515347</v>
      </c>
      <c r="BK1034" s="11">
        <f t="shared" si="133"/>
        <v>9.5121578805640011E-2</v>
      </c>
      <c r="BL1034" s="5">
        <f t="shared" si="134"/>
        <v>446.22922890208974</v>
      </c>
      <c r="BM1034" s="11">
        <f t="shared" si="135"/>
        <v>0.1415301371827154</v>
      </c>
    </row>
    <row r="1035" spans="1:65" ht="15" customHeight="1" x14ac:dyDescent="0.4">
      <c r="A1035" s="2" t="s">
        <v>745</v>
      </c>
      <c r="B1035" s="2" t="s">
        <v>66</v>
      </c>
      <c r="C1035" s="2" t="s">
        <v>752</v>
      </c>
      <c r="D1035" s="3" t="s">
        <v>68</v>
      </c>
      <c r="E1035" s="3" t="s">
        <v>122</v>
      </c>
      <c r="F1035" s="2" t="s">
        <v>123</v>
      </c>
      <c r="G1035" s="4">
        <v>5</v>
      </c>
      <c r="H1035" s="5">
        <v>4.083846153846153</v>
      </c>
      <c r="I1035" s="5">
        <v>4.2579441249919006</v>
      </c>
      <c r="J1035" s="6">
        <v>0</v>
      </c>
      <c r="K1035" s="5">
        <v>0</v>
      </c>
      <c r="L1035" s="6">
        <v>0</v>
      </c>
      <c r="M1035" s="5">
        <v>0</v>
      </c>
      <c r="N1035" s="6">
        <v>59.354140451592791</v>
      </c>
      <c r="O1035" s="5">
        <v>233.26177197475971</v>
      </c>
      <c r="P1035" s="6">
        <v>0</v>
      </c>
      <c r="Q1035" s="5">
        <v>0</v>
      </c>
      <c r="R1035" s="6">
        <v>197.84713483864269</v>
      </c>
      <c r="S1035" s="5">
        <v>817.10866688359408</v>
      </c>
      <c r="T1035" s="6">
        <v>0</v>
      </c>
      <c r="U1035" s="5">
        <v>0</v>
      </c>
      <c r="V1035" s="6">
        <v>0</v>
      </c>
      <c r="W1035" s="5">
        <v>0</v>
      </c>
      <c r="X1035" s="6">
        <v>0</v>
      </c>
      <c r="Y1035" s="5">
        <v>0</v>
      </c>
      <c r="Z1035" s="6">
        <v>0</v>
      </c>
      <c r="AA1035" s="5">
        <v>0</v>
      </c>
      <c r="AB1035" s="6">
        <v>0</v>
      </c>
      <c r="AC1035" s="5">
        <v>0</v>
      </c>
      <c r="AD1035" s="6">
        <v>0</v>
      </c>
      <c r="AE1035" s="5">
        <v>0</v>
      </c>
      <c r="AF1035" s="6">
        <v>0</v>
      </c>
      <c r="AG1035" s="5">
        <v>0</v>
      </c>
      <c r="AH1035" s="7">
        <f t="shared" si="128"/>
        <v>257.20127529023546</v>
      </c>
      <c r="AI1035" s="8">
        <f t="shared" si="129"/>
        <v>1050.3704388583537</v>
      </c>
      <c r="AJ1035" s="6">
        <v>0</v>
      </c>
      <c r="AK1035" s="5">
        <v>0</v>
      </c>
      <c r="AL1035" s="6">
        <v>0</v>
      </c>
      <c r="AM1035" s="5">
        <v>0</v>
      </c>
      <c r="AN1035" s="6">
        <v>70</v>
      </c>
      <c r="AO1035" s="5">
        <v>286.75806122043298</v>
      </c>
      <c r="AP1035" s="6">
        <v>0</v>
      </c>
      <c r="AQ1035" s="5">
        <v>0</v>
      </c>
      <c r="AR1035" s="6">
        <v>240</v>
      </c>
      <c r="AS1035" s="5">
        <v>1033.2046175270559</v>
      </c>
      <c r="AT1035" s="6">
        <v>0</v>
      </c>
      <c r="AU1035" s="5">
        <v>0</v>
      </c>
      <c r="AV1035" s="6">
        <v>0</v>
      </c>
      <c r="AW1035" s="5">
        <v>0</v>
      </c>
      <c r="AX1035" s="6">
        <v>0</v>
      </c>
      <c r="AY1035" s="5">
        <v>0</v>
      </c>
      <c r="AZ1035" s="6">
        <v>0</v>
      </c>
      <c r="BA1035" s="5">
        <v>0</v>
      </c>
      <c r="BB1035" s="6">
        <v>0</v>
      </c>
      <c r="BC1035" s="5">
        <v>0</v>
      </c>
      <c r="BD1035" s="6">
        <v>0</v>
      </c>
      <c r="BE1035" s="5">
        <v>0</v>
      </c>
      <c r="BF1035" s="6">
        <v>0</v>
      </c>
      <c r="BG1035" s="5">
        <v>0</v>
      </c>
      <c r="BH1035" s="9">
        <f t="shared" si="130"/>
        <v>310</v>
      </c>
      <c r="BI1035" s="10">
        <f t="shared" si="131"/>
        <v>1319.962678747489</v>
      </c>
      <c r="BJ1035" s="6">
        <f t="shared" si="132"/>
        <v>52.798724709764542</v>
      </c>
      <c r="BK1035" s="11">
        <f t="shared" si="133"/>
        <v>0.20528173762040838</v>
      </c>
      <c r="BL1035" s="5">
        <f t="shared" si="134"/>
        <v>269.59223988913527</v>
      </c>
      <c r="BM1035" s="11">
        <f t="shared" si="135"/>
        <v>0.25666396341290293</v>
      </c>
    </row>
    <row r="1036" spans="1:65" ht="15" customHeight="1" x14ac:dyDescent="0.4">
      <c r="A1036" s="2" t="s">
        <v>745</v>
      </c>
      <c r="B1036" s="2" t="s">
        <v>66</v>
      </c>
      <c r="C1036" s="2" t="s">
        <v>752</v>
      </c>
      <c r="D1036" s="3" t="s">
        <v>68</v>
      </c>
      <c r="E1036" s="3" t="s">
        <v>158</v>
      </c>
      <c r="F1036" s="2" t="s">
        <v>159</v>
      </c>
      <c r="G1036" s="4">
        <v>20</v>
      </c>
      <c r="H1036" s="5">
        <v>3.65</v>
      </c>
      <c r="I1036" s="5">
        <v>3.8046780205546371</v>
      </c>
      <c r="J1036" s="6">
        <v>0</v>
      </c>
      <c r="K1036" s="5">
        <v>0</v>
      </c>
      <c r="L1036" s="6">
        <v>0</v>
      </c>
      <c r="M1036" s="5">
        <v>0</v>
      </c>
      <c r="N1036" s="6">
        <v>197.84713483864269</v>
      </c>
      <c r="O1036" s="5">
        <v>722.14204216104565</v>
      </c>
      <c r="P1036" s="6">
        <v>0</v>
      </c>
      <c r="Q1036" s="5">
        <v>0</v>
      </c>
      <c r="R1036" s="6">
        <v>0</v>
      </c>
      <c r="S1036" s="5">
        <v>0</v>
      </c>
      <c r="T1036" s="6">
        <v>0</v>
      </c>
      <c r="U1036" s="5">
        <v>0</v>
      </c>
      <c r="V1036" s="6">
        <v>0</v>
      </c>
      <c r="W1036" s="5">
        <v>0</v>
      </c>
      <c r="X1036" s="6">
        <v>0</v>
      </c>
      <c r="Y1036" s="5">
        <v>0</v>
      </c>
      <c r="Z1036" s="6">
        <v>0</v>
      </c>
      <c r="AA1036" s="5">
        <v>0</v>
      </c>
      <c r="AB1036" s="6">
        <v>0</v>
      </c>
      <c r="AC1036" s="5">
        <v>0</v>
      </c>
      <c r="AD1036" s="6">
        <v>0</v>
      </c>
      <c r="AE1036" s="5">
        <v>0</v>
      </c>
      <c r="AF1036" s="6">
        <v>0</v>
      </c>
      <c r="AG1036" s="5">
        <v>0</v>
      </c>
      <c r="AH1036" s="7">
        <f t="shared" si="128"/>
        <v>197.84713483864269</v>
      </c>
      <c r="AI1036" s="8">
        <f t="shared" si="129"/>
        <v>722.14204216104565</v>
      </c>
      <c r="AJ1036" s="6">
        <v>0</v>
      </c>
      <c r="AK1036" s="5">
        <v>0</v>
      </c>
      <c r="AL1036" s="6">
        <v>0</v>
      </c>
      <c r="AM1036" s="5">
        <v>0</v>
      </c>
      <c r="AN1036" s="6">
        <v>240</v>
      </c>
      <c r="AO1036" s="5">
        <v>913.12272493311275</v>
      </c>
      <c r="AP1036" s="6">
        <v>0</v>
      </c>
      <c r="AQ1036" s="5">
        <v>0</v>
      </c>
      <c r="AR1036" s="6">
        <v>0</v>
      </c>
      <c r="AS1036" s="5">
        <v>0</v>
      </c>
      <c r="AT1036" s="6">
        <v>0</v>
      </c>
      <c r="AU1036" s="5">
        <v>0</v>
      </c>
      <c r="AV1036" s="6">
        <v>0</v>
      </c>
      <c r="AW1036" s="5">
        <v>0</v>
      </c>
      <c r="AX1036" s="6">
        <v>0</v>
      </c>
      <c r="AY1036" s="5">
        <v>0</v>
      </c>
      <c r="AZ1036" s="6">
        <v>0</v>
      </c>
      <c r="BA1036" s="5">
        <v>0</v>
      </c>
      <c r="BB1036" s="6">
        <v>0</v>
      </c>
      <c r="BC1036" s="5">
        <v>0</v>
      </c>
      <c r="BD1036" s="6">
        <v>0</v>
      </c>
      <c r="BE1036" s="5">
        <v>0</v>
      </c>
      <c r="BF1036" s="6">
        <v>0</v>
      </c>
      <c r="BG1036" s="5">
        <v>0</v>
      </c>
      <c r="BH1036" s="9">
        <f t="shared" si="130"/>
        <v>240</v>
      </c>
      <c r="BI1036" s="10">
        <f t="shared" si="131"/>
        <v>913.12272493311275</v>
      </c>
      <c r="BJ1036" s="6">
        <f t="shared" si="132"/>
        <v>42.152865161357312</v>
      </c>
      <c r="BK1036" s="11">
        <f t="shared" si="133"/>
        <v>0.21305774883086245</v>
      </c>
      <c r="BL1036" s="5">
        <f t="shared" si="134"/>
        <v>190.9806827720671</v>
      </c>
      <c r="BM1036" s="11">
        <f t="shared" si="135"/>
        <v>0.2644641519562384</v>
      </c>
    </row>
    <row r="1037" spans="1:65" ht="15" customHeight="1" x14ac:dyDescent="0.4">
      <c r="A1037" s="2" t="s">
        <v>745</v>
      </c>
      <c r="B1037" s="2" t="s">
        <v>66</v>
      </c>
      <c r="C1037" s="2" t="s">
        <v>752</v>
      </c>
      <c r="D1037" s="3" t="s">
        <v>68</v>
      </c>
      <c r="E1037" s="3" t="s">
        <v>201</v>
      </c>
      <c r="F1037" s="2" t="s">
        <v>202</v>
      </c>
      <c r="G1037" s="4">
        <v>5</v>
      </c>
      <c r="H1037" s="5">
        <v>3.98</v>
      </c>
      <c r="I1037" s="5">
        <v>4.1486626087143712</v>
      </c>
      <c r="J1037" s="6">
        <v>0</v>
      </c>
      <c r="K1037" s="5">
        <v>0</v>
      </c>
      <c r="L1037" s="6">
        <v>98.92356741932133</v>
      </c>
      <c r="M1037" s="5">
        <v>393.71579832889893</v>
      </c>
      <c r="N1037" s="6">
        <v>0</v>
      </c>
      <c r="O1037" s="5">
        <v>0</v>
      </c>
      <c r="P1037" s="6">
        <v>0</v>
      </c>
      <c r="Q1037" s="5">
        <v>0</v>
      </c>
      <c r="R1037" s="6">
        <v>0</v>
      </c>
      <c r="S1037" s="5">
        <v>0</v>
      </c>
      <c r="T1037" s="6">
        <v>0</v>
      </c>
      <c r="U1037" s="5">
        <v>0</v>
      </c>
      <c r="V1037" s="6">
        <v>0</v>
      </c>
      <c r="W1037" s="5">
        <v>0</v>
      </c>
      <c r="X1037" s="6">
        <v>0</v>
      </c>
      <c r="Y1037" s="5">
        <v>0</v>
      </c>
      <c r="Z1037" s="6">
        <v>0</v>
      </c>
      <c r="AA1037" s="5">
        <v>0</v>
      </c>
      <c r="AB1037" s="6">
        <v>0</v>
      </c>
      <c r="AC1037" s="5">
        <v>0</v>
      </c>
      <c r="AD1037" s="6">
        <v>0</v>
      </c>
      <c r="AE1037" s="5">
        <v>0</v>
      </c>
      <c r="AF1037" s="6">
        <v>0</v>
      </c>
      <c r="AG1037" s="5">
        <v>0</v>
      </c>
      <c r="AH1037" s="7">
        <f t="shared" si="128"/>
        <v>98.92356741932133</v>
      </c>
      <c r="AI1037" s="8">
        <f t="shared" si="129"/>
        <v>393.71579832889893</v>
      </c>
      <c r="AJ1037" s="6">
        <v>0</v>
      </c>
      <c r="AK1037" s="5">
        <v>0</v>
      </c>
      <c r="AL1037" s="6">
        <v>105</v>
      </c>
      <c r="AM1037" s="5">
        <v>435.60957391500898</v>
      </c>
      <c r="AN1037" s="6">
        <v>0</v>
      </c>
      <c r="AO1037" s="5">
        <v>0</v>
      </c>
      <c r="AP1037" s="6">
        <v>0</v>
      </c>
      <c r="AQ1037" s="5">
        <v>0</v>
      </c>
      <c r="AR1037" s="6">
        <v>0</v>
      </c>
      <c r="AS1037" s="5">
        <v>0</v>
      </c>
      <c r="AT1037" s="6">
        <v>0</v>
      </c>
      <c r="AU1037" s="5">
        <v>0</v>
      </c>
      <c r="AV1037" s="6">
        <v>0</v>
      </c>
      <c r="AW1037" s="5">
        <v>0</v>
      </c>
      <c r="AX1037" s="6">
        <v>0</v>
      </c>
      <c r="AY1037" s="5">
        <v>0</v>
      </c>
      <c r="AZ1037" s="6">
        <v>0</v>
      </c>
      <c r="BA1037" s="5">
        <v>0</v>
      </c>
      <c r="BB1037" s="6">
        <v>0</v>
      </c>
      <c r="BC1037" s="5">
        <v>0</v>
      </c>
      <c r="BD1037" s="6">
        <v>0</v>
      </c>
      <c r="BE1037" s="5">
        <v>0</v>
      </c>
      <c r="BF1037" s="6">
        <v>0</v>
      </c>
      <c r="BG1037" s="5">
        <v>0</v>
      </c>
      <c r="BH1037" s="9">
        <f t="shared" si="130"/>
        <v>105</v>
      </c>
      <c r="BI1037" s="10">
        <f t="shared" si="131"/>
        <v>435.60957391500898</v>
      </c>
      <c r="BJ1037" s="6">
        <f t="shared" si="132"/>
        <v>6.0764325806786701</v>
      </c>
      <c r="BK1037" s="11">
        <f t="shared" si="133"/>
        <v>6.1425530227004803E-2</v>
      </c>
      <c r="BL1037" s="5">
        <f t="shared" si="134"/>
        <v>41.893775586110053</v>
      </c>
      <c r="BM1037" s="11">
        <f t="shared" si="135"/>
        <v>0.10640613296170856</v>
      </c>
    </row>
    <row r="1038" spans="1:65" ht="15" customHeight="1" x14ac:dyDescent="0.4">
      <c r="A1038" s="2" t="s">
        <v>745</v>
      </c>
      <c r="B1038" s="2" t="s">
        <v>66</v>
      </c>
      <c r="C1038" s="2" t="s">
        <v>752</v>
      </c>
      <c r="D1038" s="3" t="s">
        <v>68</v>
      </c>
      <c r="E1038" s="3" t="s">
        <v>92</v>
      </c>
      <c r="F1038" s="2" t="s">
        <v>93</v>
      </c>
      <c r="G1038" s="4">
        <v>20</v>
      </c>
      <c r="H1038" s="5">
        <v>3.93</v>
      </c>
      <c r="I1038" s="5">
        <v>4.0965437317204723</v>
      </c>
      <c r="J1038" s="6">
        <v>0</v>
      </c>
      <c r="K1038" s="5">
        <v>0</v>
      </c>
      <c r="L1038" s="6">
        <v>0</v>
      </c>
      <c r="M1038" s="5">
        <v>0</v>
      </c>
      <c r="N1038" s="6">
        <v>0</v>
      </c>
      <c r="O1038" s="5">
        <v>0</v>
      </c>
      <c r="P1038" s="6">
        <v>0</v>
      </c>
      <c r="Q1038" s="5">
        <v>0</v>
      </c>
      <c r="R1038" s="6">
        <v>0</v>
      </c>
      <c r="S1038" s="5">
        <v>0</v>
      </c>
      <c r="T1038" s="6">
        <v>633.11083148365651</v>
      </c>
      <c r="U1038" s="5">
        <v>2488.1255677307699</v>
      </c>
      <c r="V1038" s="6">
        <v>0</v>
      </c>
      <c r="W1038" s="5">
        <v>0</v>
      </c>
      <c r="X1038" s="6">
        <v>0</v>
      </c>
      <c r="Y1038" s="5">
        <v>0</v>
      </c>
      <c r="Z1038" s="6">
        <v>0</v>
      </c>
      <c r="AA1038" s="5">
        <v>0</v>
      </c>
      <c r="AB1038" s="6">
        <v>0</v>
      </c>
      <c r="AC1038" s="5">
        <v>0</v>
      </c>
      <c r="AD1038" s="6">
        <v>0</v>
      </c>
      <c r="AE1038" s="5">
        <v>0</v>
      </c>
      <c r="AF1038" s="6">
        <v>0</v>
      </c>
      <c r="AG1038" s="5">
        <v>0</v>
      </c>
      <c r="AH1038" s="7">
        <f t="shared" si="128"/>
        <v>633.11083148365651</v>
      </c>
      <c r="AI1038" s="8">
        <f t="shared" si="129"/>
        <v>2488.1255677307699</v>
      </c>
      <c r="AJ1038" s="6">
        <v>0</v>
      </c>
      <c r="AK1038" s="5">
        <v>0</v>
      </c>
      <c r="AL1038" s="6">
        <v>0</v>
      </c>
      <c r="AM1038" s="5">
        <v>0</v>
      </c>
      <c r="AN1038" s="6">
        <v>0</v>
      </c>
      <c r="AO1038" s="5">
        <v>0</v>
      </c>
      <c r="AP1038" s="6">
        <v>0</v>
      </c>
      <c r="AQ1038" s="5">
        <v>0</v>
      </c>
      <c r="AR1038" s="6">
        <v>0</v>
      </c>
      <c r="AS1038" s="5">
        <v>0</v>
      </c>
      <c r="AT1038" s="6">
        <v>680</v>
      </c>
      <c r="AU1038" s="5">
        <v>2785.6497375699209</v>
      </c>
      <c r="AV1038" s="6">
        <v>0</v>
      </c>
      <c r="AW1038" s="5">
        <v>0</v>
      </c>
      <c r="AX1038" s="6">
        <v>0</v>
      </c>
      <c r="AY1038" s="5">
        <v>0</v>
      </c>
      <c r="AZ1038" s="6">
        <v>0</v>
      </c>
      <c r="BA1038" s="5">
        <v>0</v>
      </c>
      <c r="BB1038" s="6">
        <v>0</v>
      </c>
      <c r="BC1038" s="5">
        <v>0</v>
      </c>
      <c r="BD1038" s="6">
        <v>0</v>
      </c>
      <c r="BE1038" s="5">
        <v>0</v>
      </c>
      <c r="BF1038" s="6">
        <v>0</v>
      </c>
      <c r="BG1038" s="5">
        <v>0</v>
      </c>
      <c r="BH1038" s="9">
        <f t="shared" si="130"/>
        <v>680</v>
      </c>
      <c r="BI1038" s="10">
        <f t="shared" si="131"/>
        <v>2785.6497375699209</v>
      </c>
      <c r="BJ1038" s="6">
        <f t="shared" si="132"/>
        <v>46.889168516343489</v>
      </c>
      <c r="BK1038" s="11">
        <f t="shared" si="133"/>
        <v>7.4061548443992958E-2</v>
      </c>
      <c r="BL1038" s="5">
        <f t="shared" si="134"/>
        <v>297.524169839151</v>
      </c>
      <c r="BM1038" s="11">
        <f t="shared" si="135"/>
        <v>0.11957763454458617</v>
      </c>
    </row>
    <row r="1039" spans="1:65" ht="15" customHeight="1" x14ac:dyDescent="0.4">
      <c r="A1039" s="2" t="s">
        <v>745</v>
      </c>
      <c r="B1039" s="2" t="s">
        <v>66</v>
      </c>
      <c r="C1039" s="2" t="s">
        <v>752</v>
      </c>
      <c r="D1039" s="3" t="s">
        <v>68</v>
      </c>
      <c r="E1039" s="3" t="s">
        <v>595</v>
      </c>
      <c r="F1039" s="2" t="s">
        <v>596</v>
      </c>
      <c r="G1039" s="4">
        <v>5</v>
      </c>
      <c r="H1039" s="5">
        <v>12.88</v>
      </c>
      <c r="I1039" s="5">
        <v>13.425822713628421</v>
      </c>
      <c r="J1039" s="6">
        <v>0</v>
      </c>
      <c r="K1039" s="5">
        <v>0</v>
      </c>
      <c r="L1039" s="6">
        <v>0</v>
      </c>
      <c r="M1039" s="5">
        <v>0</v>
      </c>
      <c r="N1039" s="6">
        <v>59.354140451592791</v>
      </c>
      <c r="O1039" s="5">
        <v>764.48132901651525</v>
      </c>
      <c r="P1039" s="6">
        <v>0</v>
      </c>
      <c r="Q1039" s="5">
        <v>0</v>
      </c>
      <c r="R1039" s="6">
        <v>0</v>
      </c>
      <c r="S1039" s="5">
        <v>0</v>
      </c>
      <c r="T1039" s="6">
        <v>0</v>
      </c>
      <c r="U1039" s="5">
        <v>0</v>
      </c>
      <c r="V1039" s="6">
        <v>0</v>
      </c>
      <c r="W1039" s="5">
        <v>0</v>
      </c>
      <c r="X1039" s="6">
        <v>0</v>
      </c>
      <c r="Y1039" s="5">
        <v>0</v>
      </c>
      <c r="Z1039" s="6">
        <v>0</v>
      </c>
      <c r="AA1039" s="5">
        <v>0</v>
      </c>
      <c r="AB1039" s="6">
        <v>0</v>
      </c>
      <c r="AC1039" s="5">
        <v>0</v>
      </c>
      <c r="AD1039" s="6">
        <v>0</v>
      </c>
      <c r="AE1039" s="5">
        <v>0</v>
      </c>
      <c r="AF1039" s="6">
        <v>0</v>
      </c>
      <c r="AG1039" s="5">
        <v>0</v>
      </c>
      <c r="AH1039" s="7">
        <f t="shared" si="128"/>
        <v>59.354140451592791</v>
      </c>
      <c r="AI1039" s="8">
        <f t="shared" si="129"/>
        <v>764.48132901651525</v>
      </c>
      <c r="AJ1039" s="6">
        <v>0</v>
      </c>
      <c r="AK1039" s="5">
        <v>0</v>
      </c>
      <c r="AL1039" s="6">
        <v>0</v>
      </c>
      <c r="AM1039" s="5">
        <v>0</v>
      </c>
      <c r="AN1039" s="6">
        <v>65</v>
      </c>
      <c r="AO1039" s="5">
        <v>872.67847638584726</v>
      </c>
      <c r="AP1039" s="6">
        <v>0</v>
      </c>
      <c r="AQ1039" s="5">
        <v>0</v>
      </c>
      <c r="AR1039" s="6">
        <v>0</v>
      </c>
      <c r="AS1039" s="5">
        <v>0</v>
      </c>
      <c r="AT1039" s="6">
        <v>0</v>
      </c>
      <c r="AU1039" s="5">
        <v>0</v>
      </c>
      <c r="AV1039" s="6">
        <v>0</v>
      </c>
      <c r="AW1039" s="5">
        <v>0</v>
      </c>
      <c r="AX1039" s="6">
        <v>0</v>
      </c>
      <c r="AY1039" s="5">
        <v>0</v>
      </c>
      <c r="AZ1039" s="6">
        <v>0</v>
      </c>
      <c r="BA1039" s="5">
        <v>0</v>
      </c>
      <c r="BB1039" s="6">
        <v>0</v>
      </c>
      <c r="BC1039" s="5">
        <v>0</v>
      </c>
      <c r="BD1039" s="6">
        <v>0</v>
      </c>
      <c r="BE1039" s="5">
        <v>0</v>
      </c>
      <c r="BF1039" s="6">
        <v>0</v>
      </c>
      <c r="BG1039" s="5">
        <v>0</v>
      </c>
      <c r="BH1039" s="9">
        <f t="shared" si="130"/>
        <v>65</v>
      </c>
      <c r="BI1039" s="10">
        <f t="shared" si="131"/>
        <v>872.67847638584726</v>
      </c>
      <c r="BJ1039" s="6">
        <f t="shared" si="132"/>
        <v>5.6458595484072092</v>
      </c>
      <c r="BK1039" s="11">
        <f t="shared" si="133"/>
        <v>9.5121578805640011E-2</v>
      </c>
      <c r="BL1039" s="5">
        <f t="shared" si="134"/>
        <v>108.19714736933201</v>
      </c>
      <c r="BM1039" s="11">
        <f t="shared" si="135"/>
        <v>0.14153013718271543</v>
      </c>
    </row>
    <row r="1040" spans="1:65" ht="15" customHeight="1" x14ac:dyDescent="0.4">
      <c r="A1040" s="2" t="s">
        <v>745</v>
      </c>
      <c r="B1040" s="2" t="s">
        <v>66</v>
      </c>
      <c r="C1040" s="2" t="s">
        <v>752</v>
      </c>
      <c r="D1040" s="3" t="s">
        <v>68</v>
      </c>
      <c r="E1040" s="3" t="s">
        <v>595</v>
      </c>
      <c r="F1040" s="2" t="s">
        <v>419</v>
      </c>
      <c r="G1040" s="4">
        <v>5</v>
      </c>
      <c r="H1040" s="5">
        <v>12.88</v>
      </c>
      <c r="I1040" s="5">
        <v>13.425822713628421</v>
      </c>
      <c r="J1040" s="6">
        <v>0</v>
      </c>
      <c r="K1040" s="5">
        <v>0</v>
      </c>
      <c r="L1040" s="6">
        <v>0</v>
      </c>
      <c r="M1040" s="5">
        <v>0</v>
      </c>
      <c r="N1040" s="6">
        <v>0</v>
      </c>
      <c r="O1040" s="5">
        <v>0</v>
      </c>
      <c r="P1040" s="6">
        <v>59.354140451592791</v>
      </c>
      <c r="Q1040" s="5">
        <v>764.48132901651513</v>
      </c>
      <c r="R1040" s="6">
        <v>0</v>
      </c>
      <c r="S1040" s="5">
        <v>0</v>
      </c>
      <c r="T1040" s="6">
        <v>0</v>
      </c>
      <c r="U1040" s="5">
        <v>0</v>
      </c>
      <c r="V1040" s="6">
        <v>0</v>
      </c>
      <c r="W1040" s="5">
        <v>0</v>
      </c>
      <c r="X1040" s="6">
        <v>0</v>
      </c>
      <c r="Y1040" s="5">
        <v>0</v>
      </c>
      <c r="Z1040" s="6">
        <v>0</v>
      </c>
      <c r="AA1040" s="5">
        <v>0</v>
      </c>
      <c r="AB1040" s="6">
        <v>0</v>
      </c>
      <c r="AC1040" s="5">
        <v>0</v>
      </c>
      <c r="AD1040" s="6">
        <v>0</v>
      </c>
      <c r="AE1040" s="5">
        <v>0</v>
      </c>
      <c r="AF1040" s="6">
        <v>0</v>
      </c>
      <c r="AG1040" s="5">
        <v>0</v>
      </c>
      <c r="AH1040" s="7">
        <f t="shared" si="128"/>
        <v>59.354140451592791</v>
      </c>
      <c r="AI1040" s="8">
        <f t="shared" si="129"/>
        <v>764.48132901651513</v>
      </c>
      <c r="AJ1040" s="6">
        <v>0</v>
      </c>
      <c r="AK1040" s="5">
        <v>0</v>
      </c>
      <c r="AL1040" s="6">
        <v>0</v>
      </c>
      <c r="AM1040" s="5">
        <v>0</v>
      </c>
      <c r="AN1040" s="6">
        <v>0</v>
      </c>
      <c r="AO1040" s="5">
        <v>0</v>
      </c>
      <c r="AP1040" s="6">
        <v>65</v>
      </c>
      <c r="AQ1040" s="5">
        <v>872.67847638584703</v>
      </c>
      <c r="AR1040" s="6">
        <v>0</v>
      </c>
      <c r="AS1040" s="5">
        <v>0</v>
      </c>
      <c r="AT1040" s="6">
        <v>0</v>
      </c>
      <c r="AU1040" s="5">
        <v>0</v>
      </c>
      <c r="AV1040" s="6">
        <v>0</v>
      </c>
      <c r="AW1040" s="5">
        <v>0</v>
      </c>
      <c r="AX1040" s="6">
        <v>0</v>
      </c>
      <c r="AY1040" s="5">
        <v>0</v>
      </c>
      <c r="AZ1040" s="6">
        <v>0</v>
      </c>
      <c r="BA1040" s="5">
        <v>0</v>
      </c>
      <c r="BB1040" s="6">
        <v>0</v>
      </c>
      <c r="BC1040" s="5">
        <v>0</v>
      </c>
      <c r="BD1040" s="6">
        <v>0</v>
      </c>
      <c r="BE1040" s="5">
        <v>0</v>
      </c>
      <c r="BF1040" s="6">
        <v>0</v>
      </c>
      <c r="BG1040" s="5">
        <v>0</v>
      </c>
      <c r="BH1040" s="9">
        <f t="shared" si="130"/>
        <v>65</v>
      </c>
      <c r="BI1040" s="10">
        <f t="shared" si="131"/>
        <v>872.67847638584703</v>
      </c>
      <c r="BJ1040" s="6">
        <f t="shared" si="132"/>
        <v>5.6458595484072092</v>
      </c>
      <c r="BK1040" s="11">
        <f t="shared" si="133"/>
        <v>9.5121578805640011E-2</v>
      </c>
      <c r="BL1040" s="5">
        <f t="shared" si="134"/>
        <v>108.1971473693319</v>
      </c>
      <c r="BM1040" s="11">
        <f t="shared" si="135"/>
        <v>0.14153013718271532</v>
      </c>
    </row>
    <row r="1041" spans="1:65" ht="15" customHeight="1" x14ac:dyDescent="0.4">
      <c r="A1041" s="2" t="s">
        <v>745</v>
      </c>
      <c r="B1041" s="2" t="s">
        <v>66</v>
      </c>
      <c r="C1041" s="2" t="s">
        <v>752</v>
      </c>
      <c r="D1041" s="3" t="s">
        <v>68</v>
      </c>
      <c r="E1041" s="3" t="s">
        <v>763</v>
      </c>
      <c r="F1041" s="2" t="s">
        <v>764</v>
      </c>
      <c r="G1041" s="4">
        <v>20</v>
      </c>
      <c r="H1041" s="5">
        <v>12.55</v>
      </c>
      <c r="I1041" s="5">
        <v>13.08183812546868</v>
      </c>
      <c r="J1041" s="6">
        <v>0</v>
      </c>
      <c r="K1041" s="5">
        <v>0</v>
      </c>
      <c r="L1041" s="6">
        <v>0</v>
      </c>
      <c r="M1041" s="5">
        <v>0</v>
      </c>
      <c r="N1041" s="6">
        <v>19.78471348386427</v>
      </c>
      <c r="O1041" s="5">
        <v>248.29815422249649</v>
      </c>
      <c r="P1041" s="6">
        <v>0</v>
      </c>
      <c r="Q1041" s="5">
        <v>0</v>
      </c>
      <c r="R1041" s="6">
        <v>0</v>
      </c>
      <c r="S1041" s="5">
        <v>0</v>
      </c>
      <c r="T1041" s="6">
        <v>0</v>
      </c>
      <c r="U1041" s="5">
        <v>0</v>
      </c>
      <c r="V1041" s="6">
        <v>0</v>
      </c>
      <c r="W1041" s="5">
        <v>0</v>
      </c>
      <c r="X1041" s="6">
        <v>0</v>
      </c>
      <c r="Y1041" s="5">
        <v>0</v>
      </c>
      <c r="Z1041" s="6">
        <v>0</v>
      </c>
      <c r="AA1041" s="5">
        <v>0</v>
      </c>
      <c r="AB1041" s="6">
        <v>0</v>
      </c>
      <c r="AC1041" s="5">
        <v>0</v>
      </c>
      <c r="AD1041" s="6">
        <v>0</v>
      </c>
      <c r="AE1041" s="5">
        <v>0</v>
      </c>
      <c r="AF1041" s="6">
        <v>0</v>
      </c>
      <c r="AG1041" s="5">
        <v>0</v>
      </c>
      <c r="AH1041" s="7">
        <f t="shared" si="128"/>
        <v>19.78471348386427</v>
      </c>
      <c r="AI1041" s="8">
        <f t="shared" si="129"/>
        <v>248.29815422249649</v>
      </c>
      <c r="AJ1041" s="6">
        <v>0</v>
      </c>
      <c r="AK1041" s="5">
        <v>0</v>
      </c>
      <c r="AL1041" s="6">
        <v>0</v>
      </c>
      <c r="AM1041" s="5">
        <v>0</v>
      </c>
      <c r="AN1041" s="6">
        <v>20</v>
      </c>
      <c r="AO1041" s="5">
        <v>261.63676250937363</v>
      </c>
      <c r="AP1041" s="6">
        <v>0</v>
      </c>
      <c r="AQ1041" s="5">
        <v>0</v>
      </c>
      <c r="AR1041" s="6">
        <v>0</v>
      </c>
      <c r="AS1041" s="5">
        <v>0</v>
      </c>
      <c r="AT1041" s="6">
        <v>0</v>
      </c>
      <c r="AU1041" s="5">
        <v>0</v>
      </c>
      <c r="AV1041" s="6">
        <v>0</v>
      </c>
      <c r="AW1041" s="5">
        <v>0</v>
      </c>
      <c r="AX1041" s="6">
        <v>0</v>
      </c>
      <c r="AY1041" s="5">
        <v>0</v>
      </c>
      <c r="AZ1041" s="6">
        <v>0</v>
      </c>
      <c r="BA1041" s="5">
        <v>0</v>
      </c>
      <c r="BB1041" s="6">
        <v>0</v>
      </c>
      <c r="BC1041" s="5">
        <v>0</v>
      </c>
      <c r="BD1041" s="6">
        <v>0</v>
      </c>
      <c r="BE1041" s="5">
        <v>0</v>
      </c>
      <c r="BF1041" s="6">
        <v>0</v>
      </c>
      <c r="BG1041" s="5">
        <v>0</v>
      </c>
      <c r="BH1041" s="9">
        <f t="shared" si="130"/>
        <v>20</v>
      </c>
      <c r="BI1041" s="10">
        <f t="shared" si="131"/>
        <v>261.63676250937363</v>
      </c>
      <c r="BJ1041" s="6">
        <f t="shared" si="132"/>
        <v>0.21528651613573047</v>
      </c>
      <c r="BK1041" s="11">
        <f t="shared" si="133"/>
        <v>1.0881457359052014E-2</v>
      </c>
      <c r="BL1041" s="5">
        <f t="shared" si="134"/>
        <v>13.338608286877133</v>
      </c>
      <c r="BM1041" s="11">
        <f t="shared" si="135"/>
        <v>5.3720126630198761E-2</v>
      </c>
    </row>
    <row r="1042" spans="1:65" ht="15" customHeight="1" x14ac:dyDescent="0.4">
      <c r="A1042" s="2" t="s">
        <v>745</v>
      </c>
      <c r="B1042" s="2" t="s">
        <v>66</v>
      </c>
      <c r="C1042" s="2" t="s">
        <v>752</v>
      </c>
      <c r="D1042" s="3" t="s">
        <v>68</v>
      </c>
      <c r="E1042" s="3" t="s">
        <v>563</v>
      </c>
      <c r="F1042" s="2" t="s">
        <v>564</v>
      </c>
      <c r="G1042" s="4">
        <v>5</v>
      </c>
      <c r="H1042" s="5">
        <v>7</v>
      </c>
      <c r="I1042" s="5">
        <v>7.2966427791458797</v>
      </c>
      <c r="J1042" s="6">
        <v>0</v>
      </c>
      <c r="K1042" s="5">
        <v>0</v>
      </c>
      <c r="L1042" s="6">
        <v>98.92356741932133</v>
      </c>
      <c r="M1042" s="5">
        <v>692.46497193524931</v>
      </c>
      <c r="N1042" s="6">
        <v>59.354140451592791</v>
      </c>
      <c r="O1042" s="5">
        <v>415.47898316114959</v>
      </c>
      <c r="P1042" s="6">
        <v>0</v>
      </c>
      <c r="Q1042" s="5">
        <v>0</v>
      </c>
      <c r="R1042" s="6">
        <v>0</v>
      </c>
      <c r="S1042" s="5">
        <v>0</v>
      </c>
      <c r="T1042" s="6">
        <v>0</v>
      </c>
      <c r="U1042" s="5">
        <v>0</v>
      </c>
      <c r="V1042" s="6">
        <v>0</v>
      </c>
      <c r="W1042" s="5">
        <v>0</v>
      </c>
      <c r="X1042" s="6">
        <v>0</v>
      </c>
      <c r="Y1042" s="5">
        <v>0</v>
      </c>
      <c r="Z1042" s="6">
        <v>0</v>
      </c>
      <c r="AA1042" s="5">
        <v>0</v>
      </c>
      <c r="AB1042" s="6">
        <v>0</v>
      </c>
      <c r="AC1042" s="5">
        <v>0</v>
      </c>
      <c r="AD1042" s="6">
        <v>0</v>
      </c>
      <c r="AE1042" s="5">
        <v>0</v>
      </c>
      <c r="AF1042" s="6">
        <v>0</v>
      </c>
      <c r="AG1042" s="5">
        <v>0</v>
      </c>
      <c r="AH1042" s="7">
        <f t="shared" si="128"/>
        <v>158.27770787091413</v>
      </c>
      <c r="AI1042" s="8">
        <f t="shared" si="129"/>
        <v>1107.9439550963989</v>
      </c>
      <c r="AJ1042" s="6">
        <v>0</v>
      </c>
      <c r="AK1042" s="5">
        <v>0</v>
      </c>
      <c r="AL1042" s="6">
        <v>105</v>
      </c>
      <c r="AM1042" s="5">
        <v>766.14749181031721</v>
      </c>
      <c r="AN1042" s="6">
        <v>65</v>
      </c>
      <c r="AO1042" s="5">
        <v>474.28178064448218</v>
      </c>
      <c r="AP1042" s="6">
        <v>0</v>
      </c>
      <c r="AQ1042" s="5">
        <v>0</v>
      </c>
      <c r="AR1042" s="6">
        <v>0</v>
      </c>
      <c r="AS1042" s="5">
        <v>0</v>
      </c>
      <c r="AT1042" s="6">
        <v>0</v>
      </c>
      <c r="AU1042" s="5">
        <v>0</v>
      </c>
      <c r="AV1042" s="6">
        <v>0</v>
      </c>
      <c r="AW1042" s="5">
        <v>0</v>
      </c>
      <c r="AX1042" s="6">
        <v>0</v>
      </c>
      <c r="AY1042" s="5">
        <v>0</v>
      </c>
      <c r="AZ1042" s="6">
        <v>0</v>
      </c>
      <c r="BA1042" s="5">
        <v>0</v>
      </c>
      <c r="BB1042" s="6">
        <v>0</v>
      </c>
      <c r="BC1042" s="5">
        <v>0</v>
      </c>
      <c r="BD1042" s="6">
        <v>0</v>
      </c>
      <c r="BE1042" s="5">
        <v>0</v>
      </c>
      <c r="BF1042" s="6">
        <v>0</v>
      </c>
      <c r="BG1042" s="5">
        <v>0</v>
      </c>
      <c r="BH1042" s="9">
        <f t="shared" si="130"/>
        <v>170</v>
      </c>
      <c r="BI1042" s="10">
        <f t="shared" si="131"/>
        <v>1240.4292724547995</v>
      </c>
      <c r="BJ1042" s="6">
        <f t="shared" si="132"/>
        <v>11.722292129085872</v>
      </c>
      <c r="BK1042" s="11">
        <f t="shared" si="133"/>
        <v>7.4061548443992958E-2</v>
      </c>
      <c r="BL1042" s="5">
        <f t="shared" si="134"/>
        <v>132.48531735840061</v>
      </c>
      <c r="BM1042" s="11">
        <f t="shared" si="135"/>
        <v>0.1195776345445862</v>
      </c>
    </row>
    <row r="1043" spans="1:65" ht="15" customHeight="1" x14ac:dyDescent="0.4">
      <c r="A1043" s="2" t="s">
        <v>745</v>
      </c>
      <c r="B1043" s="2" t="s">
        <v>66</v>
      </c>
      <c r="C1043" s="2" t="s">
        <v>752</v>
      </c>
      <c r="D1043" s="3" t="s">
        <v>68</v>
      </c>
      <c r="E1043" s="3" t="s">
        <v>324</v>
      </c>
      <c r="F1043" s="2" t="s">
        <v>325</v>
      </c>
      <c r="G1043" s="4">
        <v>20</v>
      </c>
      <c r="H1043" s="5">
        <v>6.74</v>
      </c>
      <c r="I1043" s="5">
        <v>7.025624618777603</v>
      </c>
      <c r="J1043" s="6">
        <v>0</v>
      </c>
      <c r="K1043" s="5">
        <v>0</v>
      </c>
      <c r="L1043" s="6">
        <v>633.11083148365651</v>
      </c>
      <c r="M1043" s="5">
        <v>4267.167004199845</v>
      </c>
      <c r="N1043" s="6">
        <v>0</v>
      </c>
      <c r="O1043" s="5">
        <v>0</v>
      </c>
      <c r="P1043" s="6">
        <v>0</v>
      </c>
      <c r="Q1043" s="5">
        <v>0</v>
      </c>
      <c r="R1043" s="6">
        <v>0</v>
      </c>
      <c r="S1043" s="5">
        <v>0</v>
      </c>
      <c r="T1043" s="6">
        <v>0</v>
      </c>
      <c r="U1043" s="5">
        <v>0</v>
      </c>
      <c r="V1043" s="6">
        <v>0</v>
      </c>
      <c r="W1043" s="5">
        <v>0</v>
      </c>
      <c r="X1043" s="6">
        <v>0</v>
      </c>
      <c r="Y1043" s="5">
        <v>0</v>
      </c>
      <c r="Z1043" s="6">
        <v>0</v>
      </c>
      <c r="AA1043" s="5">
        <v>0</v>
      </c>
      <c r="AB1043" s="6">
        <v>0</v>
      </c>
      <c r="AC1043" s="5">
        <v>0</v>
      </c>
      <c r="AD1043" s="6">
        <v>0</v>
      </c>
      <c r="AE1043" s="5">
        <v>0</v>
      </c>
      <c r="AF1043" s="6">
        <v>0</v>
      </c>
      <c r="AG1043" s="5">
        <v>0</v>
      </c>
      <c r="AH1043" s="7">
        <f t="shared" si="128"/>
        <v>633.11083148365651</v>
      </c>
      <c r="AI1043" s="8">
        <f t="shared" si="129"/>
        <v>4267.167004199845</v>
      </c>
      <c r="AJ1043" s="6">
        <v>0</v>
      </c>
      <c r="AK1043" s="5">
        <v>0</v>
      </c>
      <c r="AL1043" s="6">
        <v>680</v>
      </c>
      <c r="AM1043" s="5">
        <v>4777.4247407687699</v>
      </c>
      <c r="AN1043" s="6">
        <v>0</v>
      </c>
      <c r="AO1043" s="5">
        <v>0</v>
      </c>
      <c r="AP1043" s="6">
        <v>0</v>
      </c>
      <c r="AQ1043" s="5">
        <v>0</v>
      </c>
      <c r="AR1043" s="6">
        <v>0</v>
      </c>
      <c r="AS1043" s="5">
        <v>0</v>
      </c>
      <c r="AT1043" s="6">
        <v>0</v>
      </c>
      <c r="AU1043" s="5">
        <v>0</v>
      </c>
      <c r="AV1043" s="6">
        <v>0</v>
      </c>
      <c r="AW1043" s="5">
        <v>0</v>
      </c>
      <c r="AX1043" s="6">
        <v>0</v>
      </c>
      <c r="AY1043" s="5">
        <v>0</v>
      </c>
      <c r="AZ1043" s="6">
        <v>0</v>
      </c>
      <c r="BA1043" s="5">
        <v>0</v>
      </c>
      <c r="BB1043" s="6">
        <v>0</v>
      </c>
      <c r="BC1043" s="5">
        <v>0</v>
      </c>
      <c r="BD1043" s="6">
        <v>0</v>
      </c>
      <c r="BE1043" s="5">
        <v>0</v>
      </c>
      <c r="BF1043" s="6">
        <v>0</v>
      </c>
      <c r="BG1043" s="5">
        <v>0</v>
      </c>
      <c r="BH1043" s="9">
        <f t="shared" si="130"/>
        <v>680</v>
      </c>
      <c r="BI1043" s="10">
        <f t="shared" si="131"/>
        <v>4777.4247407687699</v>
      </c>
      <c r="BJ1043" s="6">
        <f t="shared" si="132"/>
        <v>46.889168516343489</v>
      </c>
      <c r="BK1043" s="11">
        <f t="shared" si="133"/>
        <v>7.4061548443992958E-2</v>
      </c>
      <c r="BL1043" s="5">
        <f t="shared" si="134"/>
        <v>510.25773656892488</v>
      </c>
      <c r="BM1043" s="11">
        <f t="shared" si="135"/>
        <v>0.11957763454458599</v>
      </c>
    </row>
    <row r="1044" spans="1:65" ht="15" customHeight="1" x14ac:dyDescent="0.4">
      <c r="A1044" s="2" t="s">
        <v>745</v>
      </c>
      <c r="B1044" s="2" t="s">
        <v>66</v>
      </c>
      <c r="C1044" s="2" t="s">
        <v>752</v>
      </c>
      <c r="D1044" s="3" t="s">
        <v>68</v>
      </c>
      <c r="E1044" s="3" t="s">
        <v>203</v>
      </c>
      <c r="F1044" s="2" t="s">
        <v>204</v>
      </c>
      <c r="G1044" s="4">
        <v>5</v>
      </c>
      <c r="H1044" s="5">
        <v>3.895714285714285</v>
      </c>
      <c r="I1044" s="5">
        <v>4.0611874124624494</v>
      </c>
      <c r="J1044" s="6">
        <v>0</v>
      </c>
      <c r="K1044" s="5">
        <v>0</v>
      </c>
      <c r="L1044" s="6">
        <v>0</v>
      </c>
      <c r="M1044" s="5">
        <v>0</v>
      </c>
      <c r="N1044" s="6">
        <v>0</v>
      </c>
      <c r="O1044" s="5">
        <v>0</v>
      </c>
      <c r="P1044" s="6">
        <v>197.84713483864269</v>
      </c>
      <c r="Q1044" s="5">
        <v>743.90522699329631</v>
      </c>
      <c r="R1044" s="6">
        <v>0</v>
      </c>
      <c r="S1044" s="5">
        <v>0</v>
      </c>
      <c r="T1044" s="6">
        <v>0</v>
      </c>
      <c r="U1044" s="5">
        <v>0</v>
      </c>
      <c r="V1044" s="6">
        <v>98.92356741932133</v>
      </c>
      <c r="W1044" s="5">
        <v>390.74809130631922</v>
      </c>
      <c r="X1044" s="6">
        <v>395.69426967728532</v>
      </c>
      <c r="Y1044" s="5">
        <v>1562.9923652252769</v>
      </c>
      <c r="Z1044" s="6">
        <v>0</v>
      </c>
      <c r="AA1044" s="5">
        <v>0</v>
      </c>
      <c r="AB1044" s="6">
        <v>0</v>
      </c>
      <c r="AC1044" s="5">
        <v>0</v>
      </c>
      <c r="AD1044" s="6">
        <v>0</v>
      </c>
      <c r="AE1044" s="5">
        <v>0</v>
      </c>
      <c r="AF1044" s="6">
        <v>0</v>
      </c>
      <c r="AG1044" s="5">
        <v>0</v>
      </c>
      <c r="AH1044" s="7">
        <f t="shared" si="128"/>
        <v>692.46497193524931</v>
      </c>
      <c r="AI1044" s="8">
        <f t="shared" si="129"/>
        <v>2697.6456835248923</v>
      </c>
      <c r="AJ1044" s="6">
        <v>0</v>
      </c>
      <c r="AK1044" s="5">
        <v>0</v>
      </c>
      <c r="AL1044" s="6">
        <v>0</v>
      </c>
      <c r="AM1044" s="5">
        <v>0</v>
      </c>
      <c r="AN1044" s="6">
        <v>0</v>
      </c>
      <c r="AO1044" s="5">
        <v>0</v>
      </c>
      <c r="AP1044" s="6">
        <v>210</v>
      </c>
      <c r="AQ1044" s="5">
        <v>823.06130548765486</v>
      </c>
      <c r="AR1044" s="6">
        <v>0</v>
      </c>
      <c r="AS1044" s="5">
        <v>0</v>
      </c>
      <c r="AT1044" s="6">
        <v>0</v>
      </c>
      <c r="AU1044" s="5">
        <v>0</v>
      </c>
      <c r="AV1044" s="6">
        <v>105</v>
      </c>
      <c r="AW1044" s="5">
        <v>432.32608466439331</v>
      </c>
      <c r="AX1044" s="6">
        <v>425</v>
      </c>
      <c r="AY1044" s="5">
        <v>1749.891295070164</v>
      </c>
      <c r="AZ1044" s="6">
        <v>0</v>
      </c>
      <c r="BA1044" s="5">
        <v>0</v>
      </c>
      <c r="BB1044" s="6">
        <v>0</v>
      </c>
      <c r="BC1044" s="5">
        <v>0</v>
      </c>
      <c r="BD1044" s="6">
        <v>0</v>
      </c>
      <c r="BE1044" s="5">
        <v>0</v>
      </c>
      <c r="BF1044" s="6">
        <v>0</v>
      </c>
      <c r="BG1044" s="5">
        <v>0</v>
      </c>
      <c r="BH1044" s="9">
        <f t="shared" si="130"/>
        <v>740</v>
      </c>
      <c r="BI1044" s="10">
        <f t="shared" si="131"/>
        <v>3005.2786852222125</v>
      </c>
      <c r="BJ1044" s="6">
        <f t="shared" si="132"/>
        <v>47.535028064750691</v>
      </c>
      <c r="BK1044" s="11">
        <f t="shared" si="133"/>
        <v>6.8646112065283746E-2</v>
      </c>
      <c r="BL1044" s="5">
        <f t="shared" si="134"/>
        <v>307.6330016973202</v>
      </c>
      <c r="BM1044" s="11">
        <f t="shared" si="135"/>
        <v>0.11403758602402891</v>
      </c>
    </row>
    <row r="1045" spans="1:65" ht="15" customHeight="1" x14ac:dyDescent="0.4">
      <c r="A1045" s="2" t="s">
        <v>745</v>
      </c>
      <c r="B1045" s="2" t="s">
        <v>66</v>
      </c>
      <c r="C1045" s="2" t="s">
        <v>752</v>
      </c>
      <c r="D1045" s="3" t="s">
        <v>68</v>
      </c>
      <c r="E1045" s="3" t="s">
        <v>124</v>
      </c>
      <c r="F1045" s="2" t="s">
        <v>125</v>
      </c>
      <c r="G1045" s="4">
        <v>20</v>
      </c>
      <c r="H1045" s="5">
        <v>3.5</v>
      </c>
      <c r="I1045" s="5">
        <v>3.6483213895729389</v>
      </c>
      <c r="J1045" s="6">
        <v>0</v>
      </c>
      <c r="K1045" s="5">
        <v>0</v>
      </c>
      <c r="L1045" s="6">
        <v>0</v>
      </c>
      <c r="M1045" s="5">
        <v>0</v>
      </c>
      <c r="N1045" s="6">
        <v>395.69426967728532</v>
      </c>
      <c r="O1045" s="5">
        <v>1384.9299438704991</v>
      </c>
      <c r="P1045" s="6">
        <v>0</v>
      </c>
      <c r="Q1045" s="5">
        <v>0</v>
      </c>
      <c r="R1045" s="6">
        <v>0</v>
      </c>
      <c r="S1045" s="5">
        <v>0</v>
      </c>
      <c r="T1045" s="6">
        <v>0</v>
      </c>
      <c r="U1045" s="5">
        <v>0</v>
      </c>
      <c r="V1045" s="6">
        <v>0</v>
      </c>
      <c r="W1045" s="5">
        <v>0</v>
      </c>
      <c r="X1045" s="6">
        <v>0</v>
      </c>
      <c r="Y1045" s="5">
        <v>0</v>
      </c>
      <c r="Z1045" s="6">
        <v>0</v>
      </c>
      <c r="AA1045" s="5">
        <v>0</v>
      </c>
      <c r="AB1045" s="6">
        <v>0</v>
      </c>
      <c r="AC1045" s="5">
        <v>0</v>
      </c>
      <c r="AD1045" s="6">
        <v>1213.4350583019379</v>
      </c>
      <c r="AE1045" s="5">
        <v>4247.0227040567843</v>
      </c>
      <c r="AF1045" s="6">
        <v>0</v>
      </c>
      <c r="AG1045" s="5">
        <v>0</v>
      </c>
      <c r="AH1045" s="7">
        <f t="shared" si="128"/>
        <v>1609.1293279792233</v>
      </c>
      <c r="AI1045" s="8">
        <f t="shared" si="129"/>
        <v>5631.9526479272836</v>
      </c>
      <c r="AJ1045" s="6">
        <v>0</v>
      </c>
      <c r="AK1045" s="5">
        <v>0</v>
      </c>
      <c r="AL1045" s="6">
        <v>0</v>
      </c>
      <c r="AM1045" s="5">
        <v>0</v>
      </c>
      <c r="AN1045" s="6">
        <v>440</v>
      </c>
      <c r="AO1045" s="5">
        <v>1605.2614114120929</v>
      </c>
      <c r="AP1045" s="6">
        <v>0</v>
      </c>
      <c r="AQ1045" s="5">
        <v>0</v>
      </c>
      <c r="AR1045" s="6">
        <v>0</v>
      </c>
      <c r="AS1045" s="5">
        <v>0</v>
      </c>
      <c r="AT1045" s="6">
        <v>0</v>
      </c>
      <c r="AU1045" s="5">
        <v>0</v>
      </c>
      <c r="AV1045" s="6">
        <v>0</v>
      </c>
      <c r="AW1045" s="5">
        <v>0</v>
      </c>
      <c r="AX1045" s="6">
        <v>0</v>
      </c>
      <c r="AY1045" s="5">
        <v>0</v>
      </c>
      <c r="AZ1045" s="6">
        <v>0</v>
      </c>
      <c r="BA1045" s="5">
        <v>0</v>
      </c>
      <c r="BB1045" s="6">
        <v>0</v>
      </c>
      <c r="BC1045" s="5">
        <v>0</v>
      </c>
      <c r="BD1045" s="6">
        <v>1340</v>
      </c>
      <c r="BE1045" s="5">
        <v>4888.7506620277381</v>
      </c>
      <c r="BF1045" s="6">
        <v>0</v>
      </c>
      <c r="BG1045" s="5">
        <v>0</v>
      </c>
      <c r="BH1045" s="9">
        <f t="shared" si="130"/>
        <v>1780</v>
      </c>
      <c r="BI1045" s="10">
        <f t="shared" si="131"/>
        <v>6494.0120734398315</v>
      </c>
      <c r="BJ1045" s="6">
        <f t="shared" si="132"/>
        <v>170.87067202077674</v>
      </c>
      <c r="BK1045" s="11">
        <f t="shared" si="133"/>
        <v>0.10618827775351006</v>
      </c>
      <c r="BL1045" s="5">
        <f t="shared" si="134"/>
        <v>862.05942551254793</v>
      </c>
      <c r="BM1045" s="11">
        <f t="shared" si="135"/>
        <v>0.15306581560656587</v>
      </c>
    </row>
    <row r="1046" spans="1:65" ht="15" customHeight="1" x14ac:dyDescent="0.4">
      <c r="A1046" s="2" t="s">
        <v>745</v>
      </c>
      <c r="B1046" s="2" t="s">
        <v>66</v>
      </c>
      <c r="C1046" s="2" t="s">
        <v>752</v>
      </c>
      <c r="D1046" s="3" t="s">
        <v>68</v>
      </c>
      <c r="E1046" s="3" t="s">
        <v>147</v>
      </c>
      <c r="F1046" s="2" t="s">
        <v>148</v>
      </c>
      <c r="G1046" s="4">
        <v>5</v>
      </c>
      <c r="H1046" s="5">
        <v>2.37</v>
      </c>
      <c r="I1046" s="5">
        <v>2.4704347695108191</v>
      </c>
      <c r="J1046" s="6">
        <v>0</v>
      </c>
      <c r="K1046" s="5">
        <v>0</v>
      </c>
      <c r="L1046" s="6">
        <v>0</v>
      </c>
      <c r="M1046" s="5">
        <v>0</v>
      </c>
      <c r="N1046" s="6">
        <v>0</v>
      </c>
      <c r="O1046" s="5">
        <v>0</v>
      </c>
      <c r="P1046" s="6">
        <v>98.92356741932133</v>
      </c>
      <c r="Q1046" s="5">
        <v>234.44885478379149</v>
      </c>
      <c r="R1046" s="6">
        <v>0</v>
      </c>
      <c r="S1046" s="5">
        <v>0</v>
      </c>
      <c r="T1046" s="6">
        <v>0</v>
      </c>
      <c r="U1046" s="5">
        <v>0</v>
      </c>
      <c r="V1046" s="6">
        <v>0</v>
      </c>
      <c r="W1046" s="5">
        <v>0</v>
      </c>
      <c r="X1046" s="6">
        <v>0</v>
      </c>
      <c r="Y1046" s="5">
        <v>0</v>
      </c>
      <c r="Z1046" s="6">
        <v>0</v>
      </c>
      <c r="AA1046" s="5">
        <v>0</v>
      </c>
      <c r="AB1046" s="6">
        <v>0</v>
      </c>
      <c r="AC1046" s="5">
        <v>0</v>
      </c>
      <c r="AD1046" s="6">
        <v>0</v>
      </c>
      <c r="AE1046" s="5">
        <v>0</v>
      </c>
      <c r="AF1046" s="6">
        <v>0</v>
      </c>
      <c r="AG1046" s="5">
        <v>0</v>
      </c>
      <c r="AH1046" s="7">
        <f t="shared" si="128"/>
        <v>98.92356741932133</v>
      </c>
      <c r="AI1046" s="8">
        <f t="shared" si="129"/>
        <v>234.44885478379149</v>
      </c>
      <c r="AJ1046" s="6">
        <v>0</v>
      </c>
      <c r="AK1046" s="5">
        <v>0</v>
      </c>
      <c r="AL1046" s="6">
        <v>0</v>
      </c>
      <c r="AM1046" s="5">
        <v>0</v>
      </c>
      <c r="AN1046" s="6">
        <v>0</v>
      </c>
      <c r="AO1046" s="5">
        <v>0</v>
      </c>
      <c r="AP1046" s="6">
        <v>125</v>
      </c>
      <c r="AQ1046" s="5">
        <v>308.80434618885232</v>
      </c>
      <c r="AR1046" s="6">
        <v>0</v>
      </c>
      <c r="AS1046" s="5">
        <v>0</v>
      </c>
      <c r="AT1046" s="6">
        <v>0</v>
      </c>
      <c r="AU1046" s="5">
        <v>0</v>
      </c>
      <c r="AV1046" s="6">
        <v>0</v>
      </c>
      <c r="AW1046" s="5">
        <v>0</v>
      </c>
      <c r="AX1046" s="6">
        <v>0</v>
      </c>
      <c r="AY1046" s="5">
        <v>0</v>
      </c>
      <c r="AZ1046" s="6">
        <v>0</v>
      </c>
      <c r="BA1046" s="5">
        <v>0</v>
      </c>
      <c r="BB1046" s="6">
        <v>0</v>
      </c>
      <c r="BC1046" s="5">
        <v>0</v>
      </c>
      <c r="BD1046" s="6">
        <v>0</v>
      </c>
      <c r="BE1046" s="5">
        <v>0</v>
      </c>
      <c r="BF1046" s="6">
        <v>0</v>
      </c>
      <c r="BG1046" s="5">
        <v>0</v>
      </c>
      <c r="BH1046" s="9">
        <f t="shared" si="130"/>
        <v>125</v>
      </c>
      <c r="BI1046" s="10">
        <f t="shared" si="131"/>
        <v>308.80434618885232</v>
      </c>
      <c r="BJ1046" s="6">
        <f t="shared" si="132"/>
        <v>26.07643258067867</v>
      </c>
      <c r="BK1046" s="11">
        <f t="shared" si="133"/>
        <v>0.26360182169881524</v>
      </c>
      <c r="BL1046" s="5">
        <f t="shared" si="134"/>
        <v>74.355491405060832</v>
      </c>
      <c r="BM1046" s="11">
        <f t="shared" si="135"/>
        <v>0.31715015828774851</v>
      </c>
    </row>
    <row r="1047" spans="1:65" ht="15" customHeight="1" x14ac:dyDescent="0.4">
      <c r="A1047" s="2" t="s">
        <v>745</v>
      </c>
      <c r="B1047" s="2" t="s">
        <v>66</v>
      </c>
      <c r="C1047" s="2" t="s">
        <v>752</v>
      </c>
      <c r="D1047" s="3" t="s">
        <v>68</v>
      </c>
      <c r="E1047" s="3" t="s">
        <v>75</v>
      </c>
      <c r="F1047" s="2" t="s">
        <v>76</v>
      </c>
      <c r="G1047" s="4">
        <v>20</v>
      </c>
      <c r="H1047" s="5">
        <v>2.54</v>
      </c>
      <c r="I1047" s="5">
        <v>2.6476389512900749</v>
      </c>
      <c r="J1047" s="6">
        <v>0</v>
      </c>
      <c r="K1047" s="5">
        <v>0</v>
      </c>
      <c r="L1047" s="6">
        <v>633.11083148365651</v>
      </c>
      <c r="M1047" s="5">
        <v>1608.1015119684871</v>
      </c>
      <c r="N1047" s="6">
        <v>316.55541574182831</v>
      </c>
      <c r="O1047" s="5">
        <v>804.05075598424366</v>
      </c>
      <c r="P1047" s="6">
        <v>0</v>
      </c>
      <c r="Q1047" s="5">
        <v>0</v>
      </c>
      <c r="R1047" s="6">
        <v>0</v>
      </c>
      <c r="S1047" s="5">
        <v>0</v>
      </c>
      <c r="T1047" s="6">
        <v>0</v>
      </c>
      <c r="U1047" s="5">
        <v>0</v>
      </c>
      <c r="V1047" s="6">
        <v>0</v>
      </c>
      <c r="W1047" s="5">
        <v>0</v>
      </c>
      <c r="X1047" s="6">
        <v>0</v>
      </c>
      <c r="Y1047" s="5">
        <v>0</v>
      </c>
      <c r="Z1047" s="6">
        <v>0</v>
      </c>
      <c r="AA1047" s="5">
        <v>0</v>
      </c>
      <c r="AB1047" s="6">
        <v>0</v>
      </c>
      <c r="AC1047" s="5">
        <v>0</v>
      </c>
      <c r="AD1047" s="6">
        <v>0</v>
      </c>
      <c r="AE1047" s="5">
        <v>0</v>
      </c>
      <c r="AF1047" s="6">
        <v>0</v>
      </c>
      <c r="AG1047" s="5">
        <v>0</v>
      </c>
      <c r="AH1047" s="7">
        <f t="shared" si="128"/>
        <v>949.66624722548477</v>
      </c>
      <c r="AI1047" s="8">
        <f t="shared" si="129"/>
        <v>2412.1522679527307</v>
      </c>
      <c r="AJ1047" s="6">
        <v>0</v>
      </c>
      <c r="AK1047" s="5">
        <v>0</v>
      </c>
      <c r="AL1047" s="6">
        <v>680</v>
      </c>
      <c r="AM1047" s="5">
        <v>1800.394486877251</v>
      </c>
      <c r="AN1047" s="6">
        <v>340</v>
      </c>
      <c r="AO1047" s="5">
        <v>900.19724343862561</v>
      </c>
      <c r="AP1047" s="6">
        <v>0</v>
      </c>
      <c r="AQ1047" s="5">
        <v>0</v>
      </c>
      <c r="AR1047" s="6">
        <v>0</v>
      </c>
      <c r="AS1047" s="5">
        <v>0</v>
      </c>
      <c r="AT1047" s="6">
        <v>0</v>
      </c>
      <c r="AU1047" s="5">
        <v>0</v>
      </c>
      <c r="AV1047" s="6">
        <v>0</v>
      </c>
      <c r="AW1047" s="5">
        <v>0</v>
      </c>
      <c r="AX1047" s="6">
        <v>0</v>
      </c>
      <c r="AY1047" s="5">
        <v>0</v>
      </c>
      <c r="AZ1047" s="6">
        <v>0</v>
      </c>
      <c r="BA1047" s="5">
        <v>0</v>
      </c>
      <c r="BB1047" s="6">
        <v>0</v>
      </c>
      <c r="BC1047" s="5">
        <v>0</v>
      </c>
      <c r="BD1047" s="6">
        <v>0</v>
      </c>
      <c r="BE1047" s="5">
        <v>0</v>
      </c>
      <c r="BF1047" s="6">
        <v>0</v>
      </c>
      <c r="BG1047" s="5">
        <v>0</v>
      </c>
      <c r="BH1047" s="9">
        <f t="shared" si="130"/>
        <v>1020</v>
      </c>
      <c r="BI1047" s="10">
        <f t="shared" si="131"/>
        <v>2700.5917303158767</v>
      </c>
      <c r="BJ1047" s="6">
        <f t="shared" si="132"/>
        <v>70.333752774515233</v>
      </c>
      <c r="BK1047" s="11">
        <f t="shared" si="133"/>
        <v>7.4061548443992958E-2</v>
      </c>
      <c r="BL1047" s="5">
        <f t="shared" si="134"/>
        <v>288.43946236314605</v>
      </c>
      <c r="BM1047" s="11">
        <f t="shared" si="135"/>
        <v>0.11957763454458606</v>
      </c>
    </row>
    <row r="1048" spans="1:65" ht="15" customHeight="1" x14ac:dyDescent="0.4">
      <c r="A1048" s="2" t="s">
        <v>745</v>
      </c>
      <c r="B1048" s="2" t="s">
        <v>66</v>
      </c>
      <c r="C1048" s="2" t="s">
        <v>752</v>
      </c>
      <c r="D1048" s="3" t="s">
        <v>68</v>
      </c>
      <c r="E1048" s="3" t="s">
        <v>193</v>
      </c>
      <c r="F1048" s="2" t="s">
        <v>194</v>
      </c>
      <c r="G1048" s="4">
        <v>20</v>
      </c>
      <c r="H1048" s="5">
        <v>4.6302563594259061</v>
      </c>
      <c r="I1048" s="5">
        <v>4.826491602146664</v>
      </c>
      <c r="J1048" s="6">
        <v>0</v>
      </c>
      <c r="K1048" s="5">
        <v>0</v>
      </c>
      <c r="L1048" s="6">
        <v>633.11083148365651</v>
      </c>
      <c r="M1048" s="5">
        <v>2893.3164998803099</v>
      </c>
      <c r="N1048" s="6">
        <v>1266.221662967313</v>
      </c>
      <c r="O1048" s="5">
        <v>5786.6329997606208</v>
      </c>
      <c r="P1048" s="6">
        <v>2532.443325934626</v>
      </c>
      <c r="Q1048" s="5">
        <v>11674.563732558619</v>
      </c>
      <c r="R1048" s="6">
        <v>633.11083148365651</v>
      </c>
      <c r="S1048" s="5">
        <v>2981.9520162880222</v>
      </c>
      <c r="T1048" s="6">
        <v>1266.221662967313</v>
      </c>
      <c r="U1048" s="5">
        <v>5963.9040325760443</v>
      </c>
      <c r="V1048" s="6">
        <v>633.11083148365651</v>
      </c>
      <c r="W1048" s="5">
        <v>2981.9520162880222</v>
      </c>
      <c r="X1048" s="6">
        <v>1266.221662967313</v>
      </c>
      <c r="Y1048" s="5">
        <v>5963.9040325760443</v>
      </c>
      <c r="Z1048" s="6">
        <v>0</v>
      </c>
      <c r="AA1048" s="5">
        <v>0</v>
      </c>
      <c r="AB1048" s="6">
        <v>1213.4350583019379</v>
      </c>
      <c r="AC1048" s="5">
        <v>5549.9281795301058</v>
      </c>
      <c r="AD1048" s="6">
        <v>1213.4350583019379</v>
      </c>
      <c r="AE1048" s="5">
        <v>5549.9281795301058</v>
      </c>
      <c r="AF1048" s="6">
        <v>0</v>
      </c>
      <c r="AG1048" s="5">
        <v>0</v>
      </c>
      <c r="AH1048" s="7">
        <f t="shared" si="128"/>
        <v>10657.310925891412</v>
      </c>
      <c r="AI1048" s="8">
        <f t="shared" si="129"/>
        <v>49346.081688987892</v>
      </c>
      <c r="AJ1048" s="6">
        <v>0</v>
      </c>
      <c r="AK1048" s="5">
        <v>0</v>
      </c>
      <c r="AL1048" s="6">
        <v>700</v>
      </c>
      <c r="AM1048" s="5">
        <v>3334.565750069667</v>
      </c>
      <c r="AN1048" s="6">
        <v>1400</v>
      </c>
      <c r="AO1048" s="5">
        <v>6669.1315001393332</v>
      </c>
      <c r="AP1048" s="6">
        <v>2800</v>
      </c>
      <c r="AQ1048" s="5">
        <v>13455.009284745</v>
      </c>
      <c r="AR1048" s="6">
        <v>700</v>
      </c>
      <c r="AS1048" s="5">
        <v>3436.7187489777089</v>
      </c>
      <c r="AT1048" s="6">
        <v>1400</v>
      </c>
      <c r="AU1048" s="5">
        <v>6873.4374979554177</v>
      </c>
      <c r="AV1048" s="6">
        <v>700</v>
      </c>
      <c r="AW1048" s="5">
        <v>3436.7187489777089</v>
      </c>
      <c r="AX1048" s="6">
        <v>1400</v>
      </c>
      <c r="AY1048" s="5">
        <v>6873.4374979554177</v>
      </c>
      <c r="AZ1048" s="6">
        <v>0</v>
      </c>
      <c r="BA1048" s="5">
        <v>0</v>
      </c>
      <c r="BB1048" s="6">
        <v>1340</v>
      </c>
      <c r="BC1048" s="5">
        <v>6388.5260222337247</v>
      </c>
      <c r="BD1048" s="6">
        <v>1340</v>
      </c>
      <c r="BE1048" s="5">
        <v>6388.5260222337247</v>
      </c>
      <c r="BF1048" s="6">
        <v>0</v>
      </c>
      <c r="BG1048" s="5">
        <v>0</v>
      </c>
      <c r="BH1048" s="9">
        <f t="shared" si="130"/>
        <v>11780</v>
      </c>
      <c r="BI1048" s="10">
        <f t="shared" si="131"/>
        <v>56856.071073287698</v>
      </c>
      <c r="BJ1048" s="6">
        <f t="shared" si="132"/>
        <v>1122.6890741085881</v>
      </c>
      <c r="BK1048" s="11">
        <f t="shared" si="133"/>
        <v>0.10534449843075051</v>
      </c>
      <c r="BL1048" s="5">
        <f t="shared" si="134"/>
        <v>7509.9893842998063</v>
      </c>
      <c r="BM1048" s="11">
        <f t="shared" si="135"/>
        <v>0.15219018668255763</v>
      </c>
    </row>
    <row r="1049" spans="1:65" ht="15" customHeight="1" x14ac:dyDescent="0.4">
      <c r="A1049" s="2" t="s">
        <v>745</v>
      </c>
      <c r="B1049" s="2" t="s">
        <v>66</v>
      </c>
      <c r="C1049" s="2" t="s">
        <v>752</v>
      </c>
      <c r="D1049" s="3" t="s">
        <v>68</v>
      </c>
      <c r="E1049" s="3" t="s">
        <v>227</v>
      </c>
      <c r="F1049" s="2" t="s">
        <v>228</v>
      </c>
      <c r="G1049" s="4">
        <v>200</v>
      </c>
      <c r="H1049" s="5">
        <v>4.6099999999999994</v>
      </c>
      <c r="I1049" s="5">
        <v>4.805360458837499</v>
      </c>
      <c r="J1049" s="6">
        <v>0</v>
      </c>
      <c r="K1049" s="5">
        <v>0</v>
      </c>
      <c r="L1049" s="6">
        <v>0</v>
      </c>
      <c r="M1049" s="5">
        <v>0</v>
      </c>
      <c r="N1049" s="6">
        <v>0</v>
      </c>
      <c r="O1049" s="5">
        <v>0</v>
      </c>
      <c r="P1049" s="6">
        <v>0</v>
      </c>
      <c r="Q1049" s="5">
        <v>0</v>
      </c>
      <c r="R1049" s="6">
        <v>593.54140451592798</v>
      </c>
      <c r="S1049" s="5">
        <v>2736.2258748184281</v>
      </c>
      <c r="T1049" s="6">
        <v>0</v>
      </c>
      <c r="U1049" s="5">
        <v>0</v>
      </c>
      <c r="V1049" s="6">
        <v>0</v>
      </c>
      <c r="W1049" s="5">
        <v>0</v>
      </c>
      <c r="X1049" s="6">
        <v>0</v>
      </c>
      <c r="Y1049" s="5">
        <v>0</v>
      </c>
      <c r="Z1049" s="6">
        <v>0</v>
      </c>
      <c r="AA1049" s="5">
        <v>0</v>
      </c>
      <c r="AB1049" s="6">
        <v>0</v>
      </c>
      <c r="AC1049" s="5">
        <v>0</v>
      </c>
      <c r="AD1049" s="6">
        <v>0</v>
      </c>
      <c r="AE1049" s="5">
        <v>0</v>
      </c>
      <c r="AF1049" s="6">
        <v>0</v>
      </c>
      <c r="AG1049" s="5">
        <v>0</v>
      </c>
      <c r="AH1049" s="7">
        <f t="shared" si="128"/>
        <v>593.54140451592798</v>
      </c>
      <c r="AI1049" s="8">
        <f t="shared" si="129"/>
        <v>2736.2258748184281</v>
      </c>
      <c r="AJ1049" s="6">
        <v>0</v>
      </c>
      <c r="AK1049" s="5">
        <v>0</v>
      </c>
      <c r="AL1049" s="6">
        <v>0</v>
      </c>
      <c r="AM1049" s="5">
        <v>0</v>
      </c>
      <c r="AN1049" s="6">
        <v>0</v>
      </c>
      <c r="AO1049" s="5">
        <v>0</v>
      </c>
      <c r="AP1049" s="6">
        <v>0</v>
      </c>
      <c r="AQ1049" s="5">
        <v>0</v>
      </c>
      <c r="AR1049" s="6">
        <v>600</v>
      </c>
      <c r="AS1049" s="5">
        <v>2883.2162753025</v>
      </c>
      <c r="AT1049" s="6">
        <v>0</v>
      </c>
      <c r="AU1049" s="5">
        <v>0</v>
      </c>
      <c r="AV1049" s="6">
        <v>0</v>
      </c>
      <c r="AW1049" s="5">
        <v>0</v>
      </c>
      <c r="AX1049" s="6">
        <v>0</v>
      </c>
      <c r="AY1049" s="5">
        <v>0</v>
      </c>
      <c r="AZ1049" s="6">
        <v>0</v>
      </c>
      <c r="BA1049" s="5">
        <v>0</v>
      </c>
      <c r="BB1049" s="6">
        <v>0</v>
      </c>
      <c r="BC1049" s="5">
        <v>0</v>
      </c>
      <c r="BD1049" s="6">
        <v>0</v>
      </c>
      <c r="BE1049" s="5">
        <v>0</v>
      </c>
      <c r="BF1049" s="6">
        <v>0</v>
      </c>
      <c r="BG1049" s="5">
        <v>0</v>
      </c>
      <c r="BH1049" s="9">
        <f t="shared" si="130"/>
        <v>600</v>
      </c>
      <c r="BI1049" s="10">
        <f t="shared" si="131"/>
        <v>2883.2162753025</v>
      </c>
      <c r="BJ1049" s="6">
        <f t="shared" si="132"/>
        <v>6.4585954840720206</v>
      </c>
      <c r="BK1049" s="11">
        <f t="shared" si="133"/>
        <v>1.0881457359052195E-2</v>
      </c>
      <c r="BL1049" s="5">
        <f t="shared" si="134"/>
        <v>146.99040048407187</v>
      </c>
      <c r="BM1049" s="11">
        <f t="shared" si="135"/>
        <v>5.3720126630198588E-2</v>
      </c>
    </row>
    <row r="1050" spans="1:65" ht="15" customHeight="1" x14ac:dyDescent="0.4">
      <c r="A1050" s="2" t="s">
        <v>745</v>
      </c>
      <c r="B1050" s="2" t="s">
        <v>66</v>
      </c>
      <c r="C1050" s="2" t="s">
        <v>752</v>
      </c>
      <c r="D1050" s="3" t="s">
        <v>68</v>
      </c>
      <c r="E1050" s="3" t="s">
        <v>182</v>
      </c>
      <c r="F1050" s="2" t="s">
        <v>183</v>
      </c>
      <c r="G1050" s="4">
        <v>5</v>
      </c>
      <c r="H1050" s="5">
        <v>5.8500000000000014</v>
      </c>
      <c r="I1050" s="5">
        <v>6.0979086082861986</v>
      </c>
      <c r="J1050" s="6">
        <v>0</v>
      </c>
      <c r="K1050" s="5">
        <v>0</v>
      </c>
      <c r="L1050" s="6">
        <v>0</v>
      </c>
      <c r="M1050" s="5">
        <v>0</v>
      </c>
      <c r="N1050" s="6">
        <v>0</v>
      </c>
      <c r="O1050" s="5">
        <v>0</v>
      </c>
      <c r="P1050" s="6">
        <v>0</v>
      </c>
      <c r="Q1050" s="5">
        <v>0</v>
      </c>
      <c r="R1050" s="6">
        <v>59.354140451592791</v>
      </c>
      <c r="S1050" s="5">
        <v>347.22172164181791</v>
      </c>
      <c r="T1050" s="6">
        <v>0</v>
      </c>
      <c r="U1050" s="5">
        <v>0</v>
      </c>
      <c r="V1050" s="6">
        <v>0</v>
      </c>
      <c r="W1050" s="5">
        <v>0</v>
      </c>
      <c r="X1050" s="6">
        <v>0</v>
      </c>
      <c r="Y1050" s="5">
        <v>0</v>
      </c>
      <c r="Z1050" s="6">
        <v>0</v>
      </c>
      <c r="AA1050" s="5">
        <v>0</v>
      </c>
      <c r="AB1050" s="6">
        <v>0</v>
      </c>
      <c r="AC1050" s="5">
        <v>0</v>
      </c>
      <c r="AD1050" s="6">
        <v>0</v>
      </c>
      <c r="AE1050" s="5">
        <v>0</v>
      </c>
      <c r="AF1050" s="6">
        <v>0</v>
      </c>
      <c r="AG1050" s="5">
        <v>0</v>
      </c>
      <c r="AH1050" s="7">
        <f t="shared" si="128"/>
        <v>59.354140451592791</v>
      </c>
      <c r="AI1050" s="8">
        <f t="shared" si="129"/>
        <v>347.22172164181791</v>
      </c>
      <c r="AJ1050" s="6">
        <v>0</v>
      </c>
      <c r="AK1050" s="5">
        <v>0</v>
      </c>
      <c r="AL1050" s="6">
        <v>0</v>
      </c>
      <c r="AM1050" s="5">
        <v>0</v>
      </c>
      <c r="AN1050" s="6">
        <v>0</v>
      </c>
      <c r="AO1050" s="5">
        <v>0</v>
      </c>
      <c r="AP1050" s="6">
        <v>0</v>
      </c>
      <c r="AQ1050" s="5">
        <v>0</v>
      </c>
      <c r="AR1050" s="6">
        <v>75</v>
      </c>
      <c r="AS1050" s="5">
        <v>457.34314562146488</v>
      </c>
      <c r="AT1050" s="6">
        <v>0</v>
      </c>
      <c r="AU1050" s="5">
        <v>0</v>
      </c>
      <c r="AV1050" s="6">
        <v>0</v>
      </c>
      <c r="AW1050" s="5">
        <v>0</v>
      </c>
      <c r="AX1050" s="6">
        <v>0</v>
      </c>
      <c r="AY1050" s="5">
        <v>0</v>
      </c>
      <c r="AZ1050" s="6">
        <v>0</v>
      </c>
      <c r="BA1050" s="5">
        <v>0</v>
      </c>
      <c r="BB1050" s="6">
        <v>0</v>
      </c>
      <c r="BC1050" s="5">
        <v>0</v>
      </c>
      <c r="BD1050" s="6">
        <v>0</v>
      </c>
      <c r="BE1050" s="5">
        <v>0</v>
      </c>
      <c r="BF1050" s="6">
        <v>0</v>
      </c>
      <c r="BG1050" s="5">
        <v>0</v>
      </c>
      <c r="BH1050" s="9">
        <f t="shared" si="130"/>
        <v>75</v>
      </c>
      <c r="BI1050" s="10">
        <f t="shared" si="131"/>
        <v>457.34314562146488</v>
      </c>
      <c r="BJ1050" s="6">
        <f t="shared" si="132"/>
        <v>15.645859548407209</v>
      </c>
      <c r="BK1050" s="11">
        <f t="shared" si="133"/>
        <v>0.26360182169881541</v>
      </c>
      <c r="BL1050" s="5">
        <f t="shared" si="134"/>
        <v>110.12142397964698</v>
      </c>
      <c r="BM1050" s="11">
        <f t="shared" si="135"/>
        <v>0.31715015828774817</v>
      </c>
    </row>
    <row r="1051" spans="1:65" ht="15" customHeight="1" x14ac:dyDescent="0.4">
      <c r="A1051" s="2" t="s">
        <v>745</v>
      </c>
      <c r="B1051" s="2" t="s">
        <v>66</v>
      </c>
      <c r="C1051" s="2" t="s">
        <v>752</v>
      </c>
      <c r="D1051" s="3" t="s">
        <v>68</v>
      </c>
      <c r="E1051" s="3" t="s">
        <v>126</v>
      </c>
      <c r="F1051" s="2" t="s">
        <v>649</v>
      </c>
      <c r="G1051" s="4">
        <v>20</v>
      </c>
      <c r="H1051" s="5">
        <v>5.39</v>
      </c>
      <c r="I1051" s="5">
        <v>5.6184149399423253</v>
      </c>
      <c r="J1051" s="6">
        <v>0</v>
      </c>
      <c r="K1051" s="5">
        <v>0</v>
      </c>
      <c r="L1051" s="6">
        <v>633.11083148365651</v>
      </c>
      <c r="M1051" s="5">
        <v>3412.467381696908</v>
      </c>
      <c r="N1051" s="6">
        <v>1266.221662967313</v>
      </c>
      <c r="O1051" s="5">
        <v>6824.9347633938169</v>
      </c>
      <c r="P1051" s="6">
        <v>0</v>
      </c>
      <c r="Q1051" s="5">
        <v>0</v>
      </c>
      <c r="R1051" s="6">
        <v>0</v>
      </c>
      <c r="S1051" s="5">
        <v>0</v>
      </c>
      <c r="T1051" s="6">
        <v>0</v>
      </c>
      <c r="U1051" s="5">
        <v>0</v>
      </c>
      <c r="V1051" s="6">
        <v>0</v>
      </c>
      <c r="W1051" s="5">
        <v>0</v>
      </c>
      <c r="X1051" s="6">
        <v>0</v>
      </c>
      <c r="Y1051" s="5">
        <v>0</v>
      </c>
      <c r="Z1051" s="6">
        <v>0</v>
      </c>
      <c r="AA1051" s="5">
        <v>0</v>
      </c>
      <c r="AB1051" s="6">
        <v>0</v>
      </c>
      <c r="AC1051" s="5">
        <v>0</v>
      </c>
      <c r="AD1051" s="6">
        <v>0</v>
      </c>
      <c r="AE1051" s="5">
        <v>0</v>
      </c>
      <c r="AF1051" s="6">
        <v>0</v>
      </c>
      <c r="AG1051" s="5">
        <v>0</v>
      </c>
      <c r="AH1051" s="7">
        <f t="shared" si="128"/>
        <v>1899.3324944509695</v>
      </c>
      <c r="AI1051" s="8">
        <f t="shared" si="129"/>
        <v>10237.402145090724</v>
      </c>
      <c r="AJ1051" s="6">
        <v>0</v>
      </c>
      <c r="AK1051" s="5">
        <v>0</v>
      </c>
      <c r="AL1051" s="6">
        <v>800</v>
      </c>
      <c r="AM1051" s="5">
        <v>4494.7319519538614</v>
      </c>
      <c r="AN1051" s="6">
        <v>1600</v>
      </c>
      <c r="AO1051" s="5">
        <v>8989.463903907721</v>
      </c>
      <c r="AP1051" s="6">
        <v>0</v>
      </c>
      <c r="AQ1051" s="5">
        <v>0</v>
      </c>
      <c r="AR1051" s="6">
        <v>0</v>
      </c>
      <c r="AS1051" s="5">
        <v>0</v>
      </c>
      <c r="AT1051" s="6">
        <v>0</v>
      </c>
      <c r="AU1051" s="5">
        <v>0</v>
      </c>
      <c r="AV1051" s="6">
        <v>0</v>
      </c>
      <c r="AW1051" s="5">
        <v>0</v>
      </c>
      <c r="AX1051" s="6">
        <v>0</v>
      </c>
      <c r="AY1051" s="5">
        <v>0</v>
      </c>
      <c r="AZ1051" s="6">
        <v>0</v>
      </c>
      <c r="BA1051" s="5">
        <v>0</v>
      </c>
      <c r="BB1051" s="6">
        <v>0</v>
      </c>
      <c r="BC1051" s="5">
        <v>0</v>
      </c>
      <c r="BD1051" s="6">
        <v>0</v>
      </c>
      <c r="BE1051" s="5">
        <v>0</v>
      </c>
      <c r="BF1051" s="6">
        <v>0</v>
      </c>
      <c r="BG1051" s="5">
        <v>0</v>
      </c>
      <c r="BH1051" s="9">
        <f t="shared" si="130"/>
        <v>2400</v>
      </c>
      <c r="BI1051" s="10">
        <f t="shared" si="131"/>
        <v>13484.195855861582</v>
      </c>
      <c r="BJ1051" s="6">
        <f t="shared" si="132"/>
        <v>500.66750554903047</v>
      </c>
      <c r="BK1051" s="11">
        <f t="shared" si="133"/>
        <v>0.26360182169881524</v>
      </c>
      <c r="BL1051" s="5">
        <f t="shared" si="134"/>
        <v>3246.7937107708585</v>
      </c>
      <c r="BM1051" s="11">
        <f t="shared" si="135"/>
        <v>0.31715015828774845</v>
      </c>
    </row>
    <row r="1052" spans="1:65" ht="15" customHeight="1" x14ac:dyDescent="0.4">
      <c r="A1052" s="2" t="s">
        <v>745</v>
      </c>
      <c r="B1052" s="2" t="s">
        <v>66</v>
      </c>
      <c r="C1052" s="2" t="s">
        <v>752</v>
      </c>
      <c r="D1052" s="3" t="s">
        <v>68</v>
      </c>
      <c r="E1052" s="3" t="s">
        <v>126</v>
      </c>
      <c r="F1052" s="2" t="s">
        <v>127</v>
      </c>
      <c r="G1052" s="4">
        <v>20</v>
      </c>
      <c r="H1052" s="5">
        <v>5.4694390895795522</v>
      </c>
      <c r="I1052" s="5">
        <v>5.7014246572336766</v>
      </c>
      <c r="J1052" s="6">
        <v>0</v>
      </c>
      <c r="K1052" s="5">
        <v>0</v>
      </c>
      <c r="L1052" s="6">
        <v>0</v>
      </c>
      <c r="M1052" s="5">
        <v>0</v>
      </c>
      <c r="N1052" s="6">
        <v>0</v>
      </c>
      <c r="O1052" s="5">
        <v>0</v>
      </c>
      <c r="P1052" s="6">
        <v>1266.221662967313</v>
      </c>
      <c r="Q1052" s="5">
        <v>6824.9347633938169</v>
      </c>
      <c r="R1052" s="6">
        <v>633.11083148365651</v>
      </c>
      <c r="S1052" s="5">
        <v>3513.765114734294</v>
      </c>
      <c r="T1052" s="6">
        <v>2532.443325934626</v>
      </c>
      <c r="U1052" s="5">
        <v>14055.060458937171</v>
      </c>
      <c r="V1052" s="6">
        <v>0</v>
      </c>
      <c r="W1052" s="5">
        <v>0</v>
      </c>
      <c r="X1052" s="6">
        <v>0</v>
      </c>
      <c r="Y1052" s="5">
        <v>0</v>
      </c>
      <c r="Z1052" s="6">
        <v>0</v>
      </c>
      <c r="AA1052" s="5">
        <v>0</v>
      </c>
      <c r="AB1052" s="6">
        <v>1213.4350583019379</v>
      </c>
      <c r="AC1052" s="5">
        <v>6559.5929261454539</v>
      </c>
      <c r="AD1052" s="6">
        <v>1213.4350583019379</v>
      </c>
      <c r="AE1052" s="5">
        <v>6559.5929261454539</v>
      </c>
      <c r="AF1052" s="6">
        <v>0</v>
      </c>
      <c r="AG1052" s="5">
        <v>0</v>
      </c>
      <c r="AH1052" s="7">
        <f t="shared" si="128"/>
        <v>6858.645936989471</v>
      </c>
      <c r="AI1052" s="8">
        <f t="shared" si="129"/>
        <v>37512.946189356189</v>
      </c>
      <c r="AJ1052" s="6">
        <v>0</v>
      </c>
      <c r="AK1052" s="5">
        <v>0</v>
      </c>
      <c r="AL1052" s="6">
        <v>0</v>
      </c>
      <c r="AM1052" s="5">
        <v>0</v>
      </c>
      <c r="AN1052" s="6">
        <v>0</v>
      </c>
      <c r="AO1052" s="5">
        <v>0</v>
      </c>
      <c r="AP1052" s="6">
        <v>1600</v>
      </c>
      <c r="AQ1052" s="5">
        <v>8989.463903907721</v>
      </c>
      <c r="AR1052" s="6">
        <v>800</v>
      </c>
      <c r="AS1052" s="5">
        <v>4628.1562770582423</v>
      </c>
      <c r="AT1052" s="6">
        <v>3200</v>
      </c>
      <c r="AU1052" s="5">
        <v>18512.625108232969</v>
      </c>
      <c r="AV1052" s="6">
        <v>0</v>
      </c>
      <c r="AW1052" s="5">
        <v>0</v>
      </c>
      <c r="AX1052" s="6">
        <v>0</v>
      </c>
      <c r="AY1052" s="5">
        <v>0</v>
      </c>
      <c r="AZ1052" s="6">
        <v>0</v>
      </c>
      <c r="BA1052" s="5">
        <v>0</v>
      </c>
      <c r="BB1052" s="6">
        <v>1520</v>
      </c>
      <c r="BC1052" s="5">
        <v>8565.0318746500161</v>
      </c>
      <c r="BD1052" s="6">
        <v>1520</v>
      </c>
      <c r="BE1052" s="5">
        <v>8565.0318746500161</v>
      </c>
      <c r="BF1052" s="6">
        <v>0</v>
      </c>
      <c r="BG1052" s="5">
        <v>0</v>
      </c>
      <c r="BH1052" s="9">
        <f t="shared" si="130"/>
        <v>8640</v>
      </c>
      <c r="BI1052" s="10">
        <f t="shared" si="131"/>
        <v>49260.309038498963</v>
      </c>
      <c r="BJ1052" s="6">
        <f t="shared" si="132"/>
        <v>1781.354063010529</v>
      </c>
      <c r="BK1052" s="11">
        <f t="shared" si="133"/>
        <v>0.25972386960573085</v>
      </c>
      <c r="BL1052" s="5">
        <f t="shared" si="134"/>
        <v>11747.362849142773</v>
      </c>
      <c r="BM1052" s="11">
        <f t="shared" si="135"/>
        <v>0.31315489830750576</v>
      </c>
    </row>
    <row r="1053" spans="1:65" ht="15" customHeight="1" x14ac:dyDescent="0.4">
      <c r="A1053" s="2" t="s">
        <v>745</v>
      </c>
      <c r="B1053" s="2" t="s">
        <v>66</v>
      </c>
      <c r="C1053" s="2" t="s">
        <v>752</v>
      </c>
      <c r="D1053" s="3" t="s">
        <v>68</v>
      </c>
      <c r="E1053" s="3" t="s">
        <v>229</v>
      </c>
      <c r="F1053" s="2" t="s">
        <v>230</v>
      </c>
      <c r="G1053" s="4">
        <v>20</v>
      </c>
      <c r="H1053" s="5">
        <v>2.1174195257056199</v>
      </c>
      <c r="I1053" s="5">
        <v>2.2071790157664668</v>
      </c>
      <c r="J1053" s="6">
        <v>0</v>
      </c>
      <c r="K1053" s="5">
        <v>0</v>
      </c>
      <c r="L1053" s="6">
        <v>0</v>
      </c>
      <c r="M1053" s="5">
        <v>0</v>
      </c>
      <c r="N1053" s="6">
        <v>1266.221662967313</v>
      </c>
      <c r="O1053" s="5">
        <v>2735.0387920093958</v>
      </c>
      <c r="P1053" s="6">
        <v>0</v>
      </c>
      <c r="Q1053" s="5">
        <v>0</v>
      </c>
      <c r="R1053" s="6">
        <v>0</v>
      </c>
      <c r="S1053" s="5">
        <v>0</v>
      </c>
      <c r="T1053" s="6">
        <v>0</v>
      </c>
      <c r="U1053" s="5">
        <v>0</v>
      </c>
      <c r="V1053" s="6">
        <v>0</v>
      </c>
      <c r="W1053" s="5">
        <v>0</v>
      </c>
      <c r="X1053" s="6">
        <v>0</v>
      </c>
      <c r="Y1053" s="5">
        <v>0</v>
      </c>
      <c r="Z1053" s="6">
        <v>0</v>
      </c>
      <c r="AA1053" s="5">
        <v>0</v>
      </c>
      <c r="AB1053" s="6">
        <v>1213.4350583019379</v>
      </c>
      <c r="AC1053" s="5">
        <v>2542.392926138778</v>
      </c>
      <c r="AD1053" s="6">
        <v>1213.4350583019379</v>
      </c>
      <c r="AE1053" s="5">
        <v>2542.392926138778</v>
      </c>
      <c r="AF1053" s="6">
        <v>0</v>
      </c>
      <c r="AG1053" s="5">
        <v>0</v>
      </c>
      <c r="AH1053" s="7">
        <f t="shared" si="128"/>
        <v>3693.0917795711885</v>
      </c>
      <c r="AI1053" s="8">
        <f t="shared" si="129"/>
        <v>7819.8246442869513</v>
      </c>
      <c r="AJ1053" s="6">
        <v>0</v>
      </c>
      <c r="AK1053" s="5">
        <v>0</v>
      </c>
      <c r="AL1053" s="6">
        <v>0</v>
      </c>
      <c r="AM1053" s="5">
        <v>0</v>
      </c>
      <c r="AN1053" s="6">
        <v>1380</v>
      </c>
      <c r="AO1053" s="5">
        <v>3107.1189708682909</v>
      </c>
      <c r="AP1053" s="6">
        <v>0</v>
      </c>
      <c r="AQ1053" s="5">
        <v>0</v>
      </c>
      <c r="AR1053" s="6">
        <v>0</v>
      </c>
      <c r="AS1053" s="5">
        <v>0</v>
      </c>
      <c r="AT1053" s="6">
        <v>0</v>
      </c>
      <c r="AU1053" s="5">
        <v>0</v>
      </c>
      <c r="AV1053" s="6">
        <v>0</v>
      </c>
      <c r="AW1053" s="5">
        <v>0</v>
      </c>
      <c r="AX1053" s="6">
        <v>0</v>
      </c>
      <c r="AY1053" s="5">
        <v>0</v>
      </c>
      <c r="AZ1053" s="6">
        <v>0</v>
      </c>
      <c r="BA1053" s="5">
        <v>0</v>
      </c>
      <c r="BB1053" s="6">
        <v>1320</v>
      </c>
      <c r="BC1053" s="5">
        <v>2882.8703362564529</v>
      </c>
      <c r="BD1053" s="6">
        <v>1320</v>
      </c>
      <c r="BE1053" s="5">
        <v>2882.8703362564529</v>
      </c>
      <c r="BF1053" s="6">
        <v>0</v>
      </c>
      <c r="BG1053" s="5">
        <v>0</v>
      </c>
      <c r="BH1053" s="9">
        <f t="shared" si="130"/>
        <v>4020</v>
      </c>
      <c r="BI1053" s="10">
        <f t="shared" si="131"/>
        <v>8872.8596433811981</v>
      </c>
      <c r="BJ1053" s="6">
        <f t="shared" si="132"/>
        <v>326.90822042881155</v>
      </c>
      <c r="BK1053" s="11">
        <f t="shared" si="133"/>
        <v>8.8518845439245875E-2</v>
      </c>
      <c r="BL1053" s="5">
        <f t="shared" si="134"/>
        <v>1053.0349990942468</v>
      </c>
      <c r="BM1053" s="11">
        <f t="shared" si="135"/>
        <v>0.13466222671164099</v>
      </c>
    </row>
    <row r="1054" spans="1:65" ht="15" customHeight="1" x14ac:dyDescent="0.4">
      <c r="A1054" s="2" t="s">
        <v>745</v>
      </c>
      <c r="B1054" s="2" t="s">
        <v>66</v>
      </c>
      <c r="C1054" s="2" t="s">
        <v>752</v>
      </c>
      <c r="D1054" s="3" t="s">
        <v>68</v>
      </c>
      <c r="E1054" s="3" t="s">
        <v>336</v>
      </c>
      <c r="F1054" s="2" t="s">
        <v>337</v>
      </c>
      <c r="G1054" s="4">
        <v>5</v>
      </c>
      <c r="H1054" s="5">
        <v>2.67</v>
      </c>
      <c r="I1054" s="5">
        <v>2.7831480314742141</v>
      </c>
      <c r="J1054" s="6">
        <v>0</v>
      </c>
      <c r="K1054" s="5">
        <v>0</v>
      </c>
      <c r="L1054" s="6">
        <v>0</v>
      </c>
      <c r="M1054" s="5">
        <v>0</v>
      </c>
      <c r="N1054" s="6">
        <v>98.92356741932133</v>
      </c>
      <c r="O1054" s="5">
        <v>264.12592500958789</v>
      </c>
      <c r="P1054" s="6">
        <v>0</v>
      </c>
      <c r="Q1054" s="5">
        <v>0</v>
      </c>
      <c r="R1054" s="6">
        <v>0</v>
      </c>
      <c r="S1054" s="5">
        <v>0</v>
      </c>
      <c r="T1054" s="6">
        <v>0</v>
      </c>
      <c r="U1054" s="5">
        <v>0</v>
      </c>
      <c r="V1054" s="6">
        <v>0</v>
      </c>
      <c r="W1054" s="5">
        <v>0</v>
      </c>
      <c r="X1054" s="6">
        <v>0</v>
      </c>
      <c r="Y1054" s="5">
        <v>0</v>
      </c>
      <c r="Z1054" s="6">
        <v>0</v>
      </c>
      <c r="AA1054" s="5">
        <v>0</v>
      </c>
      <c r="AB1054" s="6">
        <v>0</v>
      </c>
      <c r="AC1054" s="5">
        <v>0</v>
      </c>
      <c r="AD1054" s="6">
        <v>0</v>
      </c>
      <c r="AE1054" s="5">
        <v>0</v>
      </c>
      <c r="AF1054" s="6">
        <v>0</v>
      </c>
      <c r="AG1054" s="5">
        <v>0</v>
      </c>
      <c r="AH1054" s="7">
        <f t="shared" si="128"/>
        <v>98.92356741932133</v>
      </c>
      <c r="AI1054" s="8">
        <f t="shared" si="129"/>
        <v>264.12592500958789</v>
      </c>
      <c r="AJ1054" s="6">
        <v>0</v>
      </c>
      <c r="AK1054" s="5">
        <v>0</v>
      </c>
      <c r="AL1054" s="6">
        <v>0</v>
      </c>
      <c r="AM1054" s="5">
        <v>0</v>
      </c>
      <c r="AN1054" s="6">
        <v>110</v>
      </c>
      <c r="AO1054" s="5">
        <v>306.14628346216352</v>
      </c>
      <c r="AP1054" s="6">
        <v>0</v>
      </c>
      <c r="AQ1054" s="5">
        <v>0</v>
      </c>
      <c r="AR1054" s="6">
        <v>0</v>
      </c>
      <c r="AS1054" s="5">
        <v>0</v>
      </c>
      <c r="AT1054" s="6">
        <v>0</v>
      </c>
      <c r="AU1054" s="5">
        <v>0</v>
      </c>
      <c r="AV1054" s="6">
        <v>0</v>
      </c>
      <c r="AW1054" s="5">
        <v>0</v>
      </c>
      <c r="AX1054" s="6">
        <v>0</v>
      </c>
      <c r="AY1054" s="5">
        <v>0</v>
      </c>
      <c r="AZ1054" s="6">
        <v>0</v>
      </c>
      <c r="BA1054" s="5">
        <v>0</v>
      </c>
      <c r="BB1054" s="6">
        <v>0</v>
      </c>
      <c r="BC1054" s="5">
        <v>0</v>
      </c>
      <c r="BD1054" s="6">
        <v>0</v>
      </c>
      <c r="BE1054" s="5">
        <v>0</v>
      </c>
      <c r="BF1054" s="6">
        <v>0</v>
      </c>
      <c r="BG1054" s="5">
        <v>0</v>
      </c>
      <c r="BH1054" s="9">
        <f t="shared" si="130"/>
        <v>110</v>
      </c>
      <c r="BI1054" s="10">
        <f t="shared" si="131"/>
        <v>306.14628346216352</v>
      </c>
      <c r="BJ1054" s="6">
        <f t="shared" si="132"/>
        <v>11.07643258067867</v>
      </c>
      <c r="BK1054" s="11">
        <f t="shared" si="133"/>
        <v>0.11196960309495742</v>
      </c>
      <c r="BL1054" s="5">
        <f t="shared" si="134"/>
        <v>42.020358452575636</v>
      </c>
      <c r="BM1054" s="11">
        <f t="shared" si="135"/>
        <v>0.15909213929321886</v>
      </c>
    </row>
    <row r="1055" spans="1:65" ht="15" customHeight="1" x14ac:dyDescent="0.4">
      <c r="A1055" s="2" t="s">
        <v>745</v>
      </c>
      <c r="B1055" s="2" t="s">
        <v>66</v>
      </c>
      <c r="C1055" s="2" t="s">
        <v>752</v>
      </c>
      <c r="D1055" s="3" t="s">
        <v>68</v>
      </c>
      <c r="E1055" s="3" t="s">
        <v>338</v>
      </c>
      <c r="F1055" s="2" t="s">
        <v>339</v>
      </c>
      <c r="G1055" s="4">
        <v>20</v>
      </c>
      <c r="H1055" s="5">
        <v>2.4300000000000002</v>
      </c>
      <c r="I1055" s="5">
        <v>2.5329774219034982</v>
      </c>
      <c r="J1055" s="6">
        <v>0</v>
      </c>
      <c r="K1055" s="5">
        <v>0</v>
      </c>
      <c r="L1055" s="6">
        <v>0</v>
      </c>
      <c r="M1055" s="5">
        <v>0</v>
      </c>
      <c r="N1055" s="6">
        <v>1899.3324944509691</v>
      </c>
      <c r="O1055" s="5">
        <v>4539.4046617378162</v>
      </c>
      <c r="P1055" s="6">
        <v>633.11083148365651</v>
      </c>
      <c r="Q1055" s="5">
        <v>1513.1348872459389</v>
      </c>
      <c r="R1055" s="6">
        <v>0</v>
      </c>
      <c r="S1055" s="5">
        <v>0</v>
      </c>
      <c r="T1055" s="6">
        <v>1266.221662967313</v>
      </c>
      <c r="U1055" s="5">
        <v>3178.216374047955</v>
      </c>
      <c r="V1055" s="6">
        <v>0</v>
      </c>
      <c r="W1055" s="5">
        <v>0</v>
      </c>
      <c r="X1055" s="6">
        <v>0</v>
      </c>
      <c r="Y1055" s="5">
        <v>0</v>
      </c>
      <c r="Z1055" s="6">
        <v>0</v>
      </c>
      <c r="AA1055" s="5">
        <v>0</v>
      </c>
      <c r="AB1055" s="6">
        <v>0</v>
      </c>
      <c r="AC1055" s="5">
        <v>0</v>
      </c>
      <c r="AD1055" s="6">
        <v>0</v>
      </c>
      <c r="AE1055" s="5">
        <v>0</v>
      </c>
      <c r="AF1055" s="6">
        <v>0</v>
      </c>
      <c r="AG1055" s="5">
        <v>0</v>
      </c>
      <c r="AH1055" s="7">
        <f t="shared" si="128"/>
        <v>3798.6649889019386</v>
      </c>
      <c r="AI1055" s="8">
        <f t="shared" si="129"/>
        <v>9230.7559230317111</v>
      </c>
      <c r="AJ1055" s="6">
        <v>0</v>
      </c>
      <c r="AK1055" s="5">
        <v>0</v>
      </c>
      <c r="AL1055" s="6">
        <v>0</v>
      </c>
      <c r="AM1055" s="5">
        <v>0</v>
      </c>
      <c r="AN1055" s="6">
        <v>2100</v>
      </c>
      <c r="AO1055" s="5">
        <v>5231.6928726475944</v>
      </c>
      <c r="AP1055" s="6">
        <v>700</v>
      </c>
      <c r="AQ1055" s="5">
        <v>1743.8976242158651</v>
      </c>
      <c r="AR1055" s="6">
        <v>0</v>
      </c>
      <c r="AS1055" s="5">
        <v>0</v>
      </c>
      <c r="AT1055" s="6">
        <v>1400</v>
      </c>
      <c r="AU1055" s="5">
        <v>3662.914675131231</v>
      </c>
      <c r="AV1055" s="6">
        <v>0</v>
      </c>
      <c r="AW1055" s="5">
        <v>0</v>
      </c>
      <c r="AX1055" s="6">
        <v>0</v>
      </c>
      <c r="AY1055" s="5">
        <v>0</v>
      </c>
      <c r="AZ1055" s="6">
        <v>0</v>
      </c>
      <c r="BA1055" s="5">
        <v>0</v>
      </c>
      <c r="BB1055" s="6">
        <v>0</v>
      </c>
      <c r="BC1055" s="5">
        <v>0</v>
      </c>
      <c r="BD1055" s="6">
        <v>0</v>
      </c>
      <c r="BE1055" s="5">
        <v>0</v>
      </c>
      <c r="BF1055" s="6">
        <v>0</v>
      </c>
      <c r="BG1055" s="5">
        <v>0</v>
      </c>
      <c r="BH1055" s="9">
        <f t="shared" si="130"/>
        <v>4200</v>
      </c>
      <c r="BI1055" s="10">
        <f t="shared" si="131"/>
        <v>10638.50517199469</v>
      </c>
      <c r="BJ1055" s="6">
        <f t="shared" si="132"/>
        <v>401.33501109806139</v>
      </c>
      <c r="BK1055" s="11">
        <f t="shared" si="133"/>
        <v>0.10565159398646347</v>
      </c>
      <c r="BL1055" s="5">
        <f t="shared" si="134"/>
        <v>1407.7492489629785</v>
      </c>
      <c r="BM1055" s="11">
        <f t="shared" si="135"/>
        <v>0.15250638850177972</v>
      </c>
    </row>
    <row r="1056" spans="1:65" ht="15" customHeight="1" x14ac:dyDescent="0.4">
      <c r="A1056" s="2" t="s">
        <v>745</v>
      </c>
      <c r="B1056" s="2" t="s">
        <v>66</v>
      </c>
      <c r="C1056" s="2" t="s">
        <v>752</v>
      </c>
      <c r="D1056" s="3" t="s">
        <v>68</v>
      </c>
      <c r="E1056" s="3" t="s">
        <v>765</v>
      </c>
      <c r="F1056" s="2" t="s">
        <v>766</v>
      </c>
      <c r="G1056" s="4">
        <v>1000</v>
      </c>
      <c r="H1056" s="5">
        <v>2.165</v>
      </c>
      <c r="I1056" s="5">
        <v>2.2567473738358328</v>
      </c>
      <c r="J1056" s="6">
        <v>0</v>
      </c>
      <c r="K1056" s="5">
        <v>0</v>
      </c>
      <c r="L1056" s="6">
        <v>989.23567419321319</v>
      </c>
      <c r="M1056" s="5">
        <v>2087.28727254768</v>
      </c>
      <c r="N1056" s="6">
        <v>0</v>
      </c>
      <c r="O1056" s="5">
        <v>0</v>
      </c>
      <c r="P1056" s="6">
        <v>0</v>
      </c>
      <c r="Q1056" s="5">
        <v>0</v>
      </c>
      <c r="R1056" s="6">
        <v>0</v>
      </c>
      <c r="S1056" s="5">
        <v>0</v>
      </c>
      <c r="T1056" s="6">
        <v>0</v>
      </c>
      <c r="U1056" s="5">
        <v>0</v>
      </c>
      <c r="V1056" s="6">
        <v>0</v>
      </c>
      <c r="W1056" s="5">
        <v>0</v>
      </c>
      <c r="X1056" s="6">
        <v>989.23567419321319</v>
      </c>
      <c r="Y1056" s="5">
        <v>2196.103196708933</v>
      </c>
      <c r="Z1056" s="6">
        <v>0</v>
      </c>
      <c r="AA1056" s="5">
        <v>0</v>
      </c>
      <c r="AB1056" s="6">
        <v>0</v>
      </c>
      <c r="AC1056" s="5">
        <v>0</v>
      </c>
      <c r="AD1056" s="6">
        <v>0</v>
      </c>
      <c r="AE1056" s="5">
        <v>0</v>
      </c>
      <c r="AF1056" s="6">
        <v>0</v>
      </c>
      <c r="AG1056" s="5">
        <v>0</v>
      </c>
      <c r="AH1056" s="7">
        <f t="shared" si="128"/>
        <v>1978.4713483864264</v>
      </c>
      <c r="AI1056" s="8">
        <f t="shared" si="129"/>
        <v>4283.390469256613</v>
      </c>
      <c r="AJ1056" s="6">
        <v>0</v>
      </c>
      <c r="AK1056" s="5">
        <v>0</v>
      </c>
      <c r="AL1056" s="6">
        <v>1000</v>
      </c>
      <c r="AM1056" s="5">
        <v>2199.4166091425441</v>
      </c>
      <c r="AN1056" s="6">
        <v>0</v>
      </c>
      <c r="AO1056" s="5">
        <v>0</v>
      </c>
      <c r="AP1056" s="6">
        <v>0</v>
      </c>
      <c r="AQ1056" s="5">
        <v>0</v>
      </c>
      <c r="AR1056" s="6">
        <v>0</v>
      </c>
      <c r="AS1056" s="5">
        <v>0</v>
      </c>
      <c r="AT1056" s="6">
        <v>0</v>
      </c>
      <c r="AU1056" s="5">
        <v>0</v>
      </c>
      <c r="AV1056" s="6">
        <v>0</v>
      </c>
      <c r="AW1056" s="5">
        <v>0</v>
      </c>
      <c r="AX1056" s="6">
        <v>1000</v>
      </c>
      <c r="AY1056" s="5">
        <v>2314.078138529122</v>
      </c>
      <c r="AZ1056" s="6">
        <v>0</v>
      </c>
      <c r="BA1056" s="5">
        <v>0</v>
      </c>
      <c r="BB1056" s="6">
        <v>0</v>
      </c>
      <c r="BC1056" s="5">
        <v>0</v>
      </c>
      <c r="BD1056" s="6">
        <v>0</v>
      </c>
      <c r="BE1056" s="5">
        <v>0</v>
      </c>
      <c r="BF1056" s="6">
        <v>0</v>
      </c>
      <c r="BG1056" s="5">
        <v>0</v>
      </c>
      <c r="BH1056" s="9">
        <f t="shared" si="130"/>
        <v>2000</v>
      </c>
      <c r="BI1056" s="10">
        <f t="shared" si="131"/>
        <v>4513.4947476716661</v>
      </c>
      <c r="BJ1056" s="6">
        <f t="shared" si="132"/>
        <v>21.528651613573629</v>
      </c>
      <c r="BK1056" s="11">
        <f t="shared" si="133"/>
        <v>1.0881457359052311E-2</v>
      </c>
      <c r="BL1056" s="5">
        <f t="shared" si="134"/>
        <v>230.10427841505316</v>
      </c>
      <c r="BM1056" s="11">
        <f t="shared" si="135"/>
        <v>5.3720126630199094E-2</v>
      </c>
    </row>
    <row r="1057" spans="1:65" ht="15" customHeight="1" x14ac:dyDescent="0.4">
      <c r="A1057" s="2" t="s">
        <v>745</v>
      </c>
      <c r="B1057" s="2" t="s">
        <v>66</v>
      </c>
      <c r="C1057" s="2" t="s">
        <v>752</v>
      </c>
      <c r="D1057" s="3" t="s">
        <v>68</v>
      </c>
      <c r="E1057" s="3" t="s">
        <v>767</v>
      </c>
      <c r="F1057" s="2" t="s">
        <v>768</v>
      </c>
      <c r="G1057" s="4">
        <v>5</v>
      </c>
      <c r="H1057" s="5">
        <v>2.27</v>
      </c>
      <c r="I1057" s="5">
        <v>2.3661970155230212</v>
      </c>
      <c r="J1057" s="6">
        <v>0</v>
      </c>
      <c r="K1057" s="5">
        <v>0</v>
      </c>
      <c r="L1057" s="6">
        <v>791.38853935457064</v>
      </c>
      <c r="M1057" s="5">
        <v>1796.4519843348751</v>
      </c>
      <c r="N1057" s="6">
        <v>0</v>
      </c>
      <c r="O1057" s="5">
        <v>0</v>
      </c>
      <c r="P1057" s="6">
        <v>0</v>
      </c>
      <c r="Q1057" s="5">
        <v>0</v>
      </c>
      <c r="R1057" s="6">
        <v>0</v>
      </c>
      <c r="S1057" s="5">
        <v>0</v>
      </c>
      <c r="T1057" s="6">
        <v>0</v>
      </c>
      <c r="U1057" s="5">
        <v>0</v>
      </c>
      <c r="V1057" s="6">
        <v>0</v>
      </c>
      <c r="W1057" s="5">
        <v>0</v>
      </c>
      <c r="X1057" s="6">
        <v>0</v>
      </c>
      <c r="Y1057" s="5">
        <v>0</v>
      </c>
      <c r="Z1057" s="6">
        <v>0</v>
      </c>
      <c r="AA1057" s="5">
        <v>0</v>
      </c>
      <c r="AB1057" s="6">
        <v>0</v>
      </c>
      <c r="AC1057" s="5">
        <v>0</v>
      </c>
      <c r="AD1057" s="6">
        <v>0</v>
      </c>
      <c r="AE1057" s="5">
        <v>0</v>
      </c>
      <c r="AF1057" s="6">
        <v>0</v>
      </c>
      <c r="AG1057" s="5">
        <v>0</v>
      </c>
      <c r="AH1057" s="7">
        <f t="shared" si="128"/>
        <v>791.38853935457064</v>
      </c>
      <c r="AI1057" s="8">
        <f t="shared" si="129"/>
        <v>1796.4519843348751</v>
      </c>
      <c r="AJ1057" s="6">
        <v>0</v>
      </c>
      <c r="AK1057" s="5">
        <v>0</v>
      </c>
      <c r="AL1057" s="6">
        <v>850</v>
      </c>
      <c r="AM1057" s="5">
        <v>2011.2674631945681</v>
      </c>
      <c r="AN1057" s="6">
        <v>0</v>
      </c>
      <c r="AO1057" s="5">
        <v>0</v>
      </c>
      <c r="AP1057" s="6">
        <v>0</v>
      </c>
      <c r="AQ1057" s="5">
        <v>0</v>
      </c>
      <c r="AR1057" s="6">
        <v>0</v>
      </c>
      <c r="AS1057" s="5">
        <v>0</v>
      </c>
      <c r="AT1057" s="6">
        <v>0</v>
      </c>
      <c r="AU1057" s="5">
        <v>0</v>
      </c>
      <c r="AV1057" s="6">
        <v>0</v>
      </c>
      <c r="AW1057" s="5">
        <v>0</v>
      </c>
      <c r="AX1057" s="6">
        <v>0</v>
      </c>
      <c r="AY1057" s="5">
        <v>0</v>
      </c>
      <c r="AZ1057" s="6">
        <v>0</v>
      </c>
      <c r="BA1057" s="5">
        <v>0</v>
      </c>
      <c r="BB1057" s="6">
        <v>0</v>
      </c>
      <c r="BC1057" s="5">
        <v>0</v>
      </c>
      <c r="BD1057" s="6">
        <v>0</v>
      </c>
      <c r="BE1057" s="5">
        <v>0</v>
      </c>
      <c r="BF1057" s="6">
        <v>0</v>
      </c>
      <c r="BG1057" s="5">
        <v>0</v>
      </c>
      <c r="BH1057" s="9">
        <f t="shared" si="130"/>
        <v>850</v>
      </c>
      <c r="BI1057" s="10">
        <f t="shared" si="131"/>
        <v>2011.2674631945681</v>
      </c>
      <c r="BJ1057" s="6">
        <f t="shared" si="132"/>
        <v>58.611460645429361</v>
      </c>
      <c r="BK1057" s="11">
        <f t="shared" si="133"/>
        <v>7.4061548443992958E-2</v>
      </c>
      <c r="BL1057" s="5">
        <f t="shared" si="134"/>
        <v>214.81547885969303</v>
      </c>
      <c r="BM1057" s="11">
        <f t="shared" si="135"/>
        <v>0.11957763454458656</v>
      </c>
    </row>
    <row r="1058" spans="1:65" ht="15" customHeight="1" x14ac:dyDescent="0.4">
      <c r="A1058" s="2" t="s">
        <v>745</v>
      </c>
      <c r="B1058" s="2" t="s">
        <v>66</v>
      </c>
      <c r="C1058" s="2" t="s">
        <v>752</v>
      </c>
      <c r="D1058" s="3" t="s">
        <v>68</v>
      </c>
      <c r="E1058" s="3" t="s">
        <v>652</v>
      </c>
      <c r="F1058" s="2" t="s">
        <v>769</v>
      </c>
      <c r="G1058" s="4">
        <v>20</v>
      </c>
      <c r="H1058" s="5">
        <v>1.89</v>
      </c>
      <c r="I1058" s="5">
        <v>1.970093550369387</v>
      </c>
      <c r="J1058" s="6">
        <v>0</v>
      </c>
      <c r="K1058" s="5">
        <v>0</v>
      </c>
      <c r="L1058" s="6">
        <v>633.11083148365651</v>
      </c>
      <c r="M1058" s="5">
        <v>1196.5794715041111</v>
      </c>
      <c r="N1058" s="6">
        <v>633.11083148365651</v>
      </c>
      <c r="O1058" s="5">
        <v>1196.5794715041111</v>
      </c>
      <c r="P1058" s="6">
        <v>0</v>
      </c>
      <c r="Q1058" s="5">
        <v>0</v>
      </c>
      <c r="R1058" s="6">
        <v>0</v>
      </c>
      <c r="S1058" s="5">
        <v>0</v>
      </c>
      <c r="T1058" s="6">
        <v>0</v>
      </c>
      <c r="U1058" s="5">
        <v>0</v>
      </c>
      <c r="V1058" s="6">
        <v>0</v>
      </c>
      <c r="W1058" s="5">
        <v>0</v>
      </c>
      <c r="X1058" s="6">
        <v>0</v>
      </c>
      <c r="Y1058" s="5">
        <v>0</v>
      </c>
      <c r="Z1058" s="6">
        <v>0</v>
      </c>
      <c r="AA1058" s="5">
        <v>0</v>
      </c>
      <c r="AB1058" s="6">
        <v>0</v>
      </c>
      <c r="AC1058" s="5">
        <v>0</v>
      </c>
      <c r="AD1058" s="6">
        <v>0</v>
      </c>
      <c r="AE1058" s="5">
        <v>0</v>
      </c>
      <c r="AF1058" s="6">
        <v>0</v>
      </c>
      <c r="AG1058" s="5">
        <v>0</v>
      </c>
      <c r="AH1058" s="7">
        <f t="shared" si="128"/>
        <v>1266.221662967313</v>
      </c>
      <c r="AI1058" s="8">
        <f t="shared" si="129"/>
        <v>2393.1589430082222</v>
      </c>
      <c r="AJ1058" s="6">
        <v>0</v>
      </c>
      <c r="AK1058" s="5">
        <v>0</v>
      </c>
      <c r="AL1058" s="6">
        <v>680</v>
      </c>
      <c r="AM1058" s="5">
        <v>1339.6636142511829</v>
      </c>
      <c r="AN1058" s="6">
        <v>680</v>
      </c>
      <c r="AO1058" s="5">
        <v>1339.6636142511829</v>
      </c>
      <c r="AP1058" s="6">
        <v>0</v>
      </c>
      <c r="AQ1058" s="5">
        <v>0</v>
      </c>
      <c r="AR1058" s="6">
        <v>0</v>
      </c>
      <c r="AS1058" s="5">
        <v>0</v>
      </c>
      <c r="AT1058" s="6">
        <v>0</v>
      </c>
      <c r="AU1058" s="5">
        <v>0</v>
      </c>
      <c r="AV1058" s="6">
        <v>0</v>
      </c>
      <c r="AW1058" s="5">
        <v>0</v>
      </c>
      <c r="AX1058" s="6">
        <v>0</v>
      </c>
      <c r="AY1058" s="5">
        <v>0</v>
      </c>
      <c r="AZ1058" s="6">
        <v>0</v>
      </c>
      <c r="BA1058" s="5">
        <v>0</v>
      </c>
      <c r="BB1058" s="6">
        <v>0</v>
      </c>
      <c r="BC1058" s="5">
        <v>0</v>
      </c>
      <c r="BD1058" s="6">
        <v>0</v>
      </c>
      <c r="BE1058" s="5">
        <v>0</v>
      </c>
      <c r="BF1058" s="6">
        <v>0</v>
      </c>
      <c r="BG1058" s="5">
        <v>0</v>
      </c>
      <c r="BH1058" s="9">
        <f t="shared" si="130"/>
        <v>1360</v>
      </c>
      <c r="BI1058" s="10">
        <f t="shared" si="131"/>
        <v>2679.3272285023659</v>
      </c>
      <c r="BJ1058" s="6">
        <f t="shared" si="132"/>
        <v>93.778337032686977</v>
      </c>
      <c r="BK1058" s="11">
        <f t="shared" si="133"/>
        <v>7.4061548443992958E-2</v>
      </c>
      <c r="BL1058" s="5">
        <f t="shared" si="134"/>
        <v>286.16828549414367</v>
      </c>
      <c r="BM1058" s="11">
        <f t="shared" si="135"/>
        <v>0.11957763454458549</v>
      </c>
    </row>
    <row r="1059" spans="1:65" ht="15" customHeight="1" x14ac:dyDescent="0.4">
      <c r="A1059" s="2" t="s">
        <v>745</v>
      </c>
      <c r="B1059" s="2" t="s">
        <v>66</v>
      </c>
      <c r="C1059" s="2" t="s">
        <v>752</v>
      </c>
      <c r="D1059" s="3" t="s">
        <v>68</v>
      </c>
      <c r="E1059" s="3" t="s">
        <v>652</v>
      </c>
      <c r="F1059" s="2" t="s">
        <v>653</v>
      </c>
      <c r="G1059" s="4">
        <v>20</v>
      </c>
      <c r="H1059" s="5">
        <v>1.89</v>
      </c>
      <c r="I1059" s="5">
        <v>1.970093550369387</v>
      </c>
      <c r="J1059" s="6">
        <v>0</v>
      </c>
      <c r="K1059" s="5">
        <v>0</v>
      </c>
      <c r="L1059" s="6">
        <v>0</v>
      </c>
      <c r="M1059" s="5">
        <v>0</v>
      </c>
      <c r="N1059" s="6">
        <v>0</v>
      </c>
      <c r="O1059" s="5">
        <v>0</v>
      </c>
      <c r="P1059" s="6">
        <v>0</v>
      </c>
      <c r="Q1059" s="5">
        <v>0</v>
      </c>
      <c r="R1059" s="6">
        <v>633.11083148365651</v>
      </c>
      <c r="S1059" s="5">
        <v>1196.5794715041111</v>
      </c>
      <c r="T1059" s="6">
        <v>0</v>
      </c>
      <c r="U1059" s="5">
        <v>0</v>
      </c>
      <c r="V1059" s="6">
        <v>0</v>
      </c>
      <c r="W1059" s="5">
        <v>0</v>
      </c>
      <c r="X1059" s="6">
        <v>0</v>
      </c>
      <c r="Y1059" s="5">
        <v>0</v>
      </c>
      <c r="Z1059" s="6">
        <v>0</v>
      </c>
      <c r="AA1059" s="5">
        <v>0</v>
      </c>
      <c r="AB1059" s="6">
        <v>0</v>
      </c>
      <c r="AC1059" s="5">
        <v>0</v>
      </c>
      <c r="AD1059" s="6">
        <v>0</v>
      </c>
      <c r="AE1059" s="5">
        <v>0</v>
      </c>
      <c r="AF1059" s="6">
        <v>0</v>
      </c>
      <c r="AG1059" s="5">
        <v>0</v>
      </c>
      <c r="AH1059" s="7">
        <f t="shared" si="128"/>
        <v>633.11083148365651</v>
      </c>
      <c r="AI1059" s="8">
        <f t="shared" si="129"/>
        <v>1196.5794715041111</v>
      </c>
      <c r="AJ1059" s="6">
        <v>0</v>
      </c>
      <c r="AK1059" s="5">
        <v>0</v>
      </c>
      <c r="AL1059" s="6">
        <v>0</v>
      </c>
      <c r="AM1059" s="5">
        <v>0</v>
      </c>
      <c r="AN1059" s="6">
        <v>0</v>
      </c>
      <c r="AO1059" s="5">
        <v>0</v>
      </c>
      <c r="AP1059" s="6">
        <v>0</v>
      </c>
      <c r="AQ1059" s="5">
        <v>0</v>
      </c>
      <c r="AR1059" s="6">
        <v>680</v>
      </c>
      <c r="AS1059" s="5">
        <v>1339.6636142511829</v>
      </c>
      <c r="AT1059" s="6">
        <v>0</v>
      </c>
      <c r="AU1059" s="5">
        <v>0</v>
      </c>
      <c r="AV1059" s="6">
        <v>0</v>
      </c>
      <c r="AW1059" s="5">
        <v>0</v>
      </c>
      <c r="AX1059" s="6">
        <v>0</v>
      </c>
      <c r="AY1059" s="5">
        <v>0</v>
      </c>
      <c r="AZ1059" s="6">
        <v>0</v>
      </c>
      <c r="BA1059" s="5">
        <v>0</v>
      </c>
      <c r="BB1059" s="6">
        <v>0</v>
      </c>
      <c r="BC1059" s="5">
        <v>0</v>
      </c>
      <c r="BD1059" s="6">
        <v>0</v>
      </c>
      <c r="BE1059" s="5">
        <v>0</v>
      </c>
      <c r="BF1059" s="6">
        <v>0</v>
      </c>
      <c r="BG1059" s="5">
        <v>0</v>
      </c>
      <c r="BH1059" s="9">
        <f t="shared" si="130"/>
        <v>680</v>
      </c>
      <c r="BI1059" s="10">
        <f t="shared" si="131"/>
        <v>1339.6636142511829</v>
      </c>
      <c r="BJ1059" s="6">
        <f t="shared" si="132"/>
        <v>46.889168516343489</v>
      </c>
      <c r="BK1059" s="11">
        <f t="shared" si="133"/>
        <v>7.4061548443992958E-2</v>
      </c>
      <c r="BL1059" s="5">
        <f t="shared" si="134"/>
        <v>143.08414274707184</v>
      </c>
      <c r="BM1059" s="11">
        <f t="shared" si="135"/>
        <v>0.11957763454458549</v>
      </c>
    </row>
    <row r="1060" spans="1:65" ht="15" customHeight="1" x14ac:dyDescent="0.4">
      <c r="A1060" s="2" t="s">
        <v>745</v>
      </c>
      <c r="B1060" s="2" t="s">
        <v>66</v>
      </c>
      <c r="C1060" s="2" t="s">
        <v>752</v>
      </c>
      <c r="D1060" s="3" t="s">
        <v>68</v>
      </c>
      <c r="E1060" s="3" t="s">
        <v>770</v>
      </c>
      <c r="F1060" s="2" t="s">
        <v>771</v>
      </c>
      <c r="G1060" s="4">
        <v>1000</v>
      </c>
      <c r="H1060" s="5">
        <v>1.65</v>
      </c>
      <c r="I1060" s="5">
        <v>1.7199229407986709</v>
      </c>
      <c r="J1060" s="6">
        <v>0</v>
      </c>
      <c r="K1060" s="5">
        <v>0</v>
      </c>
      <c r="L1060" s="6">
        <v>0</v>
      </c>
      <c r="M1060" s="5">
        <v>0</v>
      </c>
      <c r="N1060" s="6">
        <v>989.23567419321319</v>
      </c>
      <c r="O1060" s="5">
        <v>1632.238862418802</v>
      </c>
      <c r="P1060" s="6">
        <v>0</v>
      </c>
      <c r="Q1060" s="5">
        <v>0</v>
      </c>
      <c r="R1060" s="6">
        <v>0</v>
      </c>
      <c r="S1060" s="5">
        <v>0</v>
      </c>
      <c r="T1060" s="6">
        <v>0</v>
      </c>
      <c r="U1060" s="5">
        <v>0</v>
      </c>
      <c r="V1060" s="6">
        <v>0</v>
      </c>
      <c r="W1060" s="5">
        <v>0</v>
      </c>
      <c r="X1060" s="6">
        <v>0</v>
      </c>
      <c r="Y1060" s="5">
        <v>0</v>
      </c>
      <c r="Z1060" s="6">
        <v>0</v>
      </c>
      <c r="AA1060" s="5">
        <v>0</v>
      </c>
      <c r="AB1060" s="6">
        <v>0</v>
      </c>
      <c r="AC1060" s="5">
        <v>0</v>
      </c>
      <c r="AD1060" s="6">
        <v>0</v>
      </c>
      <c r="AE1060" s="5">
        <v>0</v>
      </c>
      <c r="AF1060" s="6">
        <v>0</v>
      </c>
      <c r="AG1060" s="5">
        <v>0</v>
      </c>
      <c r="AH1060" s="7">
        <f t="shared" si="128"/>
        <v>989.23567419321319</v>
      </c>
      <c r="AI1060" s="8">
        <f t="shared" si="129"/>
        <v>1632.238862418802</v>
      </c>
      <c r="AJ1060" s="6">
        <v>0</v>
      </c>
      <c r="AK1060" s="5">
        <v>0</v>
      </c>
      <c r="AL1060" s="6">
        <v>0</v>
      </c>
      <c r="AM1060" s="5">
        <v>0</v>
      </c>
      <c r="AN1060" s="6">
        <v>1000</v>
      </c>
      <c r="AO1060" s="5">
        <v>1719.9229407986711</v>
      </c>
      <c r="AP1060" s="6">
        <v>0</v>
      </c>
      <c r="AQ1060" s="5">
        <v>0</v>
      </c>
      <c r="AR1060" s="6">
        <v>0</v>
      </c>
      <c r="AS1060" s="5">
        <v>0</v>
      </c>
      <c r="AT1060" s="6">
        <v>0</v>
      </c>
      <c r="AU1060" s="5">
        <v>0</v>
      </c>
      <c r="AV1060" s="6">
        <v>0</v>
      </c>
      <c r="AW1060" s="5">
        <v>0</v>
      </c>
      <c r="AX1060" s="6">
        <v>0</v>
      </c>
      <c r="AY1060" s="5">
        <v>0</v>
      </c>
      <c r="AZ1060" s="6">
        <v>0</v>
      </c>
      <c r="BA1060" s="5">
        <v>0</v>
      </c>
      <c r="BB1060" s="6">
        <v>0</v>
      </c>
      <c r="BC1060" s="5">
        <v>0</v>
      </c>
      <c r="BD1060" s="6">
        <v>0</v>
      </c>
      <c r="BE1060" s="5">
        <v>0</v>
      </c>
      <c r="BF1060" s="6">
        <v>0</v>
      </c>
      <c r="BG1060" s="5">
        <v>0</v>
      </c>
      <c r="BH1060" s="9">
        <f t="shared" si="130"/>
        <v>1000</v>
      </c>
      <c r="BI1060" s="10">
        <f t="shared" si="131"/>
        <v>1719.9229407986711</v>
      </c>
      <c r="BJ1060" s="6">
        <f t="shared" si="132"/>
        <v>10.764325806786815</v>
      </c>
      <c r="BK1060" s="11">
        <f t="shared" si="133"/>
        <v>1.0881457359052311E-2</v>
      </c>
      <c r="BL1060" s="5">
        <f t="shared" si="134"/>
        <v>87.684078379869106</v>
      </c>
      <c r="BM1060" s="11">
        <f t="shared" si="135"/>
        <v>5.3720126630198449E-2</v>
      </c>
    </row>
    <row r="1061" spans="1:65" ht="15" customHeight="1" x14ac:dyDescent="0.4">
      <c r="A1061" s="2" t="s">
        <v>745</v>
      </c>
      <c r="B1061" s="2" t="s">
        <v>66</v>
      </c>
      <c r="C1061" s="2" t="s">
        <v>752</v>
      </c>
      <c r="D1061" s="3" t="s">
        <v>68</v>
      </c>
      <c r="E1061" s="3" t="s">
        <v>770</v>
      </c>
      <c r="F1061" s="2" t="s">
        <v>772</v>
      </c>
      <c r="G1061" s="4">
        <v>1000</v>
      </c>
      <c r="H1061" s="5">
        <v>1.65</v>
      </c>
      <c r="I1061" s="5">
        <v>1.7199229407986709</v>
      </c>
      <c r="J1061" s="6">
        <v>0</v>
      </c>
      <c r="K1061" s="5">
        <v>0</v>
      </c>
      <c r="L1061" s="6">
        <v>0</v>
      </c>
      <c r="M1061" s="5">
        <v>0</v>
      </c>
      <c r="N1061" s="6">
        <v>0</v>
      </c>
      <c r="O1061" s="5">
        <v>0</v>
      </c>
      <c r="P1061" s="6">
        <v>989.23567419321319</v>
      </c>
      <c r="Q1061" s="5">
        <v>1632.238862418802</v>
      </c>
      <c r="R1061" s="6">
        <v>0</v>
      </c>
      <c r="S1061" s="5">
        <v>0</v>
      </c>
      <c r="T1061" s="6">
        <v>0</v>
      </c>
      <c r="U1061" s="5">
        <v>0</v>
      </c>
      <c r="V1061" s="6">
        <v>0</v>
      </c>
      <c r="W1061" s="5">
        <v>0</v>
      </c>
      <c r="X1061" s="6">
        <v>0</v>
      </c>
      <c r="Y1061" s="5">
        <v>0</v>
      </c>
      <c r="Z1061" s="6">
        <v>0</v>
      </c>
      <c r="AA1061" s="5">
        <v>0</v>
      </c>
      <c r="AB1061" s="6">
        <v>0</v>
      </c>
      <c r="AC1061" s="5">
        <v>0</v>
      </c>
      <c r="AD1061" s="6">
        <v>0</v>
      </c>
      <c r="AE1061" s="5">
        <v>0</v>
      </c>
      <c r="AF1061" s="6">
        <v>0</v>
      </c>
      <c r="AG1061" s="5">
        <v>0</v>
      </c>
      <c r="AH1061" s="7">
        <f t="shared" si="128"/>
        <v>989.23567419321319</v>
      </c>
      <c r="AI1061" s="8">
        <f t="shared" si="129"/>
        <v>1632.238862418802</v>
      </c>
      <c r="AJ1061" s="6">
        <v>0</v>
      </c>
      <c r="AK1061" s="5">
        <v>0</v>
      </c>
      <c r="AL1061" s="6">
        <v>0</v>
      </c>
      <c r="AM1061" s="5">
        <v>0</v>
      </c>
      <c r="AN1061" s="6">
        <v>0</v>
      </c>
      <c r="AO1061" s="5">
        <v>0</v>
      </c>
      <c r="AP1061" s="6">
        <v>1000</v>
      </c>
      <c r="AQ1061" s="5">
        <v>1719.9229407986711</v>
      </c>
      <c r="AR1061" s="6">
        <v>0</v>
      </c>
      <c r="AS1061" s="5">
        <v>0</v>
      </c>
      <c r="AT1061" s="6">
        <v>0</v>
      </c>
      <c r="AU1061" s="5">
        <v>0</v>
      </c>
      <c r="AV1061" s="6">
        <v>0</v>
      </c>
      <c r="AW1061" s="5">
        <v>0</v>
      </c>
      <c r="AX1061" s="6">
        <v>0</v>
      </c>
      <c r="AY1061" s="5">
        <v>0</v>
      </c>
      <c r="AZ1061" s="6">
        <v>0</v>
      </c>
      <c r="BA1061" s="5">
        <v>0</v>
      </c>
      <c r="BB1061" s="6">
        <v>0</v>
      </c>
      <c r="BC1061" s="5">
        <v>0</v>
      </c>
      <c r="BD1061" s="6">
        <v>0</v>
      </c>
      <c r="BE1061" s="5">
        <v>0</v>
      </c>
      <c r="BF1061" s="6">
        <v>0</v>
      </c>
      <c r="BG1061" s="5">
        <v>0</v>
      </c>
      <c r="BH1061" s="9">
        <f t="shared" si="130"/>
        <v>1000</v>
      </c>
      <c r="BI1061" s="10">
        <f t="shared" si="131"/>
        <v>1719.9229407986711</v>
      </c>
      <c r="BJ1061" s="6">
        <f t="shared" si="132"/>
        <v>10.764325806786815</v>
      </c>
      <c r="BK1061" s="11">
        <f t="shared" si="133"/>
        <v>1.0881457359052311E-2</v>
      </c>
      <c r="BL1061" s="5">
        <f t="shared" si="134"/>
        <v>87.684078379869106</v>
      </c>
      <c r="BM1061" s="11">
        <f t="shared" si="135"/>
        <v>5.3720126630198449E-2</v>
      </c>
    </row>
    <row r="1062" spans="1:65" ht="15" customHeight="1" x14ac:dyDescent="0.4">
      <c r="A1062" s="2" t="s">
        <v>745</v>
      </c>
      <c r="B1062" s="2" t="s">
        <v>66</v>
      </c>
      <c r="C1062" s="2" t="s">
        <v>752</v>
      </c>
      <c r="D1062" s="3" t="s">
        <v>68</v>
      </c>
      <c r="E1062" s="3" t="s">
        <v>128</v>
      </c>
      <c r="F1062" s="2" t="s">
        <v>129</v>
      </c>
      <c r="G1062" s="4">
        <v>5</v>
      </c>
      <c r="H1062" s="5">
        <v>3.27</v>
      </c>
      <c r="I1062" s="5">
        <v>3.4085745554010041</v>
      </c>
      <c r="J1062" s="6">
        <v>0</v>
      </c>
      <c r="K1062" s="5">
        <v>0</v>
      </c>
      <c r="L1062" s="6">
        <v>0</v>
      </c>
      <c r="M1062" s="5">
        <v>0</v>
      </c>
      <c r="N1062" s="6">
        <v>0</v>
      </c>
      <c r="O1062" s="5">
        <v>0</v>
      </c>
      <c r="P1062" s="6">
        <v>0</v>
      </c>
      <c r="Q1062" s="5">
        <v>0</v>
      </c>
      <c r="R1062" s="6">
        <v>98.92356741932133</v>
      </c>
      <c r="S1062" s="5">
        <v>323.48006546118069</v>
      </c>
      <c r="T1062" s="6">
        <v>0</v>
      </c>
      <c r="U1062" s="5">
        <v>0</v>
      </c>
      <c r="V1062" s="6">
        <v>0</v>
      </c>
      <c r="W1062" s="5">
        <v>0</v>
      </c>
      <c r="X1062" s="6">
        <v>0</v>
      </c>
      <c r="Y1062" s="5">
        <v>0</v>
      </c>
      <c r="Z1062" s="6">
        <v>0</v>
      </c>
      <c r="AA1062" s="5">
        <v>0</v>
      </c>
      <c r="AB1062" s="6">
        <v>0</v>
      </c>
      <c r="AC1062" s="5">
        <v>0</v>
      </c>
      <c r="AD1062" s="6">
        <v>0</v>
      </c>
      <c r="AE1062" s="5">
        <v>0</v>
      </c>
      <c r="AF1062" s="6">
        <v>0</v>
      </c>
      <c r="AG1062" s="5">
        <v>0</v>
      </c>
      <c r="AH1062" s="7">
        <f t="shared" si="128"/>
        <v>98.92356741932133</v>
      </c>
      <c r="AI1062" s="8">
        <f t="shared" si="129"/>
        <v>323.48006546118069</v>
      </c>
      <c r="AJ1062" s="6">
        <v>0</v>
      </c>
      <c r="AK1062" s="5">
        <v>0</v>
      </c>
      <c r="AL1062" s="6">
        <v>0</v>
      </c>
      <c r="AM1062" s="5">
        <v>0</v>
      </c>
      <c r="AN1062" s="6">
        <v>0</v>
      </c>
      <c r="AO1062" s="5">
        <v>0</v>
      </c>
      <c r="AP1062" s="6">
        <v>0</v>
      </c>
      <c r="AQ1062" s="5">
        <v>0</v>
      </c>
      <c r="AR1062" s="6">
        <v>110</v>
      </c>
      <c r="AS1062" s="5">
        <v>374.94320109411041</v>
      </c>
      <c r="AT1062" s="6">
        <v>0</v>
      </c>
      <c r="AU1062" s="5">
        <v>0</v>
      </c>
      <c r="AV1062" s="6">
        <v>0</v>
      </c>
      <c r="AW1062" s="5">
        <v>0</v>
      </c>
      <c r="AX1062" s="6">
        <v>0</v>
      </c>
      <c r="AY1062" s="5">
        <v>0</v>
      </c>
      <c r="AZ1062" s="6">
        <v>0</v>
      </c>
      <c r="BA1062" s="5">
        <v>0</v>
      </c>
      <c r="BB1062" s="6">
        <v>0</v>
      </c>
      <c r="BC1062" s="5">
        <v>0</v>
      </c>
      <c r="BD1062" s="6">
        <v>0</v>
      </c>
      <c r="BE1062" s="5">
        <v>0</v>
      </c>
      <c r="BF1062" s="6">
        <v>0</v>
      </c>
      <c r="BG1062" s="5">
        <v>0</v>
      </c>
      <c r="BH1062" s="9">
        <f t="shared" si="130"/>
        <v>110</v>
      </c>
      <c r="BI1062" s="10">
        <f t="shared" si="131"/>
        <v>374.94320109411041</v>
      </c>
      <c r="BJ1062" s="6">
        <f t="shared" si="132"/>
        <v>11.07643258067867</v>
      </c>
      <c r="BK1062" s="11">
        <f t="shared" si="133"/>
        <v>0.11196960309495742</v>
      </c>
      <c r="BL1062" s="5">
        <f t="shared" si="134"/>
        <v>51.46313563292972</v>
      </c>
      <c r="BM1062" s="11">
        <f t="shared" si="135"/>
        <v>0.15909213929321889</v>
      </c>
    </row>
    <row r="1063" spans="1:65" ht="15" customHeight="1" x14ac:dyDescent="0.4">
      <c r="A1063" s="2" t="s">
        <v>745</v>
      </c>
      <c r="B1063" s="2" t="s">
        <v>66</v>
      </c>
      <c r="C1063" s="2" t="s">
        <v>752</v>
      </c>
      <c r="D1063" s="3" t="s">
        <v>68</v>
      </c>
      <c r="E1063" s="3" t="s">
        <v>79</v>
      </c>
      <c r="F1063" s="2" t="s">
        <v>80</v>
      </c>
      <c r="G1063" s="4">
        <v>20</v>
      </c>
      <c r="H1063" s="5">
        <v>2.9196942465148341</v>
      </c>
      <c r="I1063" s="5">
        <v>3.0434488450996811</v>
      </c>
      <c r="J1063" s="6">
        <v>633.11083148365651</v>
      </c>
      <c r="K1063" s="5">
        <v>1836.0214113026041</v>
      </c>
      <c r="L1063" s="6">
        <v>4431.7758203855956</v>
      </c>
      <c r="M1063" s="5">
        <v>12852.149879118229</v>
      </c>
      <c r="N1063" s="6">
        <v>7597.3299778038772</v>
      </c>
      <c r="O1063" s="5">
        <v>22032.256935631249</v>
      </c>
      <c r="P1063" s="6">
        <v>6647.6637305783934</v>
      </c>
      <c r="Q1063" s="5">
        <v>19278.224818677339</v>
      </c>
      <c r="R1063" s="6">
        <v>3798.6649889019391</v>
      </c>
      <c r="S1063" s="5">
        <v>11244.04836714974</v>
      </c>
      <c r="T1063" s="6">
        <v>3165.554157418283</v>
      </c>
      <c r="U1063" s="5">
        <v>9559.9735554032122</v>
      </c>
      <c r="V1063" s="6">
        <v>0</v>
      </c>
      <c r="W1063" s="5">
        <v>0</v>
      </c>
      <c r="X1063" s="6">
        <v>633.11083148365651</v>
      </c>
      <c r="Y1063" s="5">
        <v>1911.994711080642</v>
      </c>
      <c r="Z1063" s="6">
        <v>0</v>
      </c>
      <c r="AA1063" s="5">
        <v>0</v>
      </c>
      <c r="AB1063" s="6">
        <v>1213.4350583019379</v>
      </c>
      <c r="AC1063" s="5">
        <v>3465.9381259544689</v>
      </c>
      <c r="AD1063" s="6">
        <v>1213.4350583019379</v>
      </c>
      <c r="AE1063" s="5">
        <v>3465.9381259544689</v>
      </c>
      <c r="AF1063" s="6">
        <v>0</v>
      </c>
      <c r="AG1063" s="5">
        <v>0</v>
      </c>
      <c r="AH1063" s="7">
        <f t="shared" si="128"/>
        <v>29334.080454659277</v>
      </c>
      <c r="AI1063" s="8">
        <f t="shared" si="129"/>
        <v>85646.545930271954</v>
      </c>
      <c r="AJ1063" s="6">
        <v>700</v>
      </c>
      <c r="AK1063" s="5">
        <v>2116.0264059523038</v>
      </c>
      <c r="AL1063" s="6">
        <v>4880</v>
      </c>
      <c r="AM1063" s="5">
        <v>14751.72694435321</v>
      </c>
      <c r="AN1063" s="6">
        <v>8380</v>
      </c>
      <c r="AO1063" s="5">
        <v>25331.858974114741</v>
      </c>
      <c r="AP1063" s="6">
        <v>7320</v>
      </c>
      <c r="AQ1063" s="5">
        <v>22127.590416529809</v>
      </c>
      <c r="AR1063" s="6">
        <v>4180</v>
      </c>
      <c r="AS1063" s="5">
        <v>12897.1288254023</v>
      </c>
      <c r="AT1063" s="6">
        <v>3500</v>
      </c>
      <c r="AU1063" s="5">
        <v>11017.930596510279</v>
      </c>
      <c r="AV1063" s="6">
        <v>0</v>
      </c>
      <c r="AW1063" s="5">
        <v>0</v>
      </c>
      <c r="AX1063" s="6">
        <v>700</v>
      </c>
      <c r="AY1063" s="5">
        <v>2203.5861193020551</v>
      </c>
      <c r="AZ1063" s="6">
        <v>0</v>
      </c>
      <c r="BA1063" s="5">
        <v>0</v>
      </c>
      <c r="BB1063" s="6">
        <v>1340</v>
      </c>
      <c r="BC1063" s="5">
        <v>3989.6436841794998</v>
      </c>
      <c r="BD1063" s="6">
        <v>1340</v>
      </c>
      <c r="BE1063" s="5">
        <v>3989.6436841794998</v>
      </c>
      <c r="BF1063" s="6">
        <v>0</v>
      </c>
      <c r="BG1063" s="5">
        <v>0</v>
      </c>
      <c r="BH1063" s="9">
        <f t="shared" si="130"/>
        <v>32340</v>
      </c>
      <c r="BI1063" s="10">
        <f t="shared" si="131"/>
        <v>98425.135650523676</v>
      </c>
      <c r="BJ1063" s="6">
        <f t="shared" si="132"/>
        <v>3005.9195453407228</v>
      </c>
      <c r="BK1063" s="11">
        <f t="shared" si="133"/>
        <v>0.10247191999036322</v>
      </c>
      <c r="BL1063" s="5">
        <f t="shared" si="134"/>
        <v>12778.589720251723</v>
      </c>
      <c r="BM1063" s="11">
        <f t="shared" si="135"/>
        <v>0.14920146027436121</v>
      </c>
    </row>
    <row r="1064" spans="1:65" ht="15" customHeight="1" x14ac:dyDescent="0.4">
      <c r="A1064" s="2" t="s">
        <v>745</v>
      </c>
      <c r="B1064" s="2" t="s">
        <v>66</v>
      </c>
      <c r="C1064" s="2" t="s">
        <v>752</v>
      </c>
      <c r="D1064" s="3" t="s">
        <v>68</v>
      </c>
      <c r="E1064" s="3" t="s">
        <v>231</v>
      </c>
      <c r="F1064" s="2" t="s">
        <v>232</v>
      </c>
      <c r="G1064" s="4">
        <v>200</v>
      </c>
      <c r="H1064" s="5">
        <v>2.93</v>
      </c>
      <c r="I1064" s="5">
        <v>3.0541661918424889</v>
      </c>
      <c r="J1064" s="6">
        <v>0</v>
      </c>
      <c r="K1064" s="5">
        <v>0</v>
      </c>
      <c r="L1064" s="6">
        <v>0</v>
      </c>
      <c r="M1064" s="5">
        <v>0</v>
      </c>
      <c r="N1064" s="6">
        <v>0</v>
      </c>
      <c r="O1064" s="5">
        <v>0</v>
      </c>
      <c r="P1064" s="6">
        <v>0</v>
      </c>
      <c r="Q1064" s="5">
        <v>0</v>
      </c>
      <c r="R1064" s="6">
        <v>593.54140451592798</v>
      </c>
      <c r="S1064" s="5">
        <v>1739.076315231669</v>
      </c>
      <c r="T1064" s="6">
        <v>0</v>
      </c>
      <c r="U1064" s="5">
        <v>0</v>
      </c>
      <c r="V1064" s="6">
        <v>0</v>
      </c>
      <c r="W1064" s="5">
        <v>0</v>
      </c>
      <c r="X1064" s="6">
        <v>0</v>
      </c>
      <c r="Y1064" s="5">
        <v>0</v>
      </c>
      <c r="Z1064" s="6">
        <v>0</v>
      </c>
      <c r="AA1064" s="5">
        <v>0</v>
      </c>
      <c r="AB1064" s="6">
        <v>0</v>
      </c>
      <c r="AC1064" s="5">
        <v>0</v>
      </c>
      <c r="AD1064" s="6">
        <v>0</v>
      </c>
      <c r="AE1064" s="5">
        <v>0</v>
      </c>
      <c r="AF1064" s="6">
        <v>0</v>
      </c>
      <c r="AG1064" s="5">
        <v>0</v>
      </c>
      <c r="AH1064" s="7">
        <f t="shared" si="128"/>
        <v>593.54140451592798</v>
      </c>
      <c r="AI1064" s="8">
        <f t="shared" si="129"/>
        <v>1739.076315231669</v>
      </c>
      <c r="AJ1064" s="6">
        <v>0</v>
      </c>
      <c r="AK1064" s="5">
        <v>0</v>
      </c>
      <c r="AL1064" s="6">
        <v>0</v>
      </c>
      <c r="AM1064" s="5">
        <v>0</v>
      </c>
      <c r="AN1064" s="6">
        <v>0</v>
      </c>
      <c r="AO1064" s="5">
        <v>0</v>
      </c>
      <c r="AP1064" s="6">
        <v>0</v>
      </c>
      <c r="AQ1064" s="5">
        <v>0</v>
      </c>
      <c r="AR1064" s="6">
        <v>600</v>
      </c>
      <c r="AS1064" s="5">
        <v>1832.4997151054929</v>
      </c>
      <c r="AT1064" s="6">
        <v>0</v>
      </c>
      <c r="AU1064" s="5">
        <v>0</v>
      </c>
      <c r="AV1064" s="6">
        <v>0</v>
      </c>
      <c r="AW1064" s="5">
        <v>0</v>
      </c>
      <c r="AX1064" s="6">
        <v>0</v>
      </c>
      <c r="AY1064" s="5">
        <v>0</v>
      </c>
      <c r="AZ1064" s="6">
        <v>0</v>
      </c>
      <c r="BA1064" s="5">
        <v>0</v>
      </c>
      <c r="BB1064" s="6">
        <v>0</v>
      </c>
      <c r="BC1064" s="5">
        <v>0</v>
      </c>
      <c r="BD1064" s="6">
        <v>0</v>
      </c>
      <c r="BE1064" s="5">
        <v>0</v>
      </c>
      <c r="BF1064" s="6">
        <v>0</v>
      </c>
      <c r="BG1064" s="5">
        <v>0</v>
      </c>
      <c r="BH1064" s="9">
        <f t="shared" si="130"/>
        <v>600</v>
      </c>
      <c r="BI1064" s="10">
        <f t="shared" si="131"/>
        <v>1832.4997151054929</v>
      </c>
      <c r="BJ1064" s="6">
        <f t="shared" si="132"/>
        <v>6.4585954840720206</v>
      </c>
      <c r="BK1064" s="11">
        <f t="shared" si="133"/>
        <v>1.0881457359052195E-2</v>
      </c>
      <c r="BL1064" s="5">
        <f t="shared" si="134"/>
        <v>93.423399873823882</v>
      </c>
      <c r="BM1064" s="11">
        <f t="shared" si="135"/>
        <v>5.3720126630198282E-2</v>
      </c>
    </row>
    <row r="1065" spans="1:65" ht="15" customHeight="1" x14ac:dyDescent="0.4">
      <c r="A1065" s="2" t="s">
        <v>745</v>
      </c>
      <c r="B1065" s="2" t="s">
        <v>66</v>
      </c>
      <c r="C1065" s="2" t="s">
        <v>752</v>
      </c>
      <c r="D1065" s="3" t="s">
        <v>68</v>
      </c>
      <c r="E1065" s="3" t="s">
        <v>164</v>
      </c>
      <c r="F1065" s="2" t="s">
        <v>165</v>
      </c>
      <c r="G1065" s="4">
        <v>20</v>
      </c>
      <c r="H1065" s="5">
        <v>6.37</v>
      </c>
      <c r="I1065" s="5">
        <v>6.6399449290227492</v>
      </c>
      <c r="J1065" s="6">
        <v>0</v>
      </c>
      <c r="K1065" s="5">
        <v>0</v>
      </c>
      <c r="L1065" s="6">
        <v>0</v>
      </c>
      <c r="M1065" s="5">
        <v>0</v>
      </c>
      <c r="N1065" s="6">
        <v>0</v>
      </c>
      <c r="O1065" s="5">
        <v>0</v>
      </c>
      <c r="P1065" s="6">
        <v>633.11083148365651</v>
      </c>
      <c r="Q1065" s="5">
        <v>4032.915996550892</v>
      </c>
      <c r="R1065" s="6">
        <v>0</v>
      </c>
      <c r="S1065" s="5">
        <v>0</v>
      </c>
      <c r="T1065" s="6">
        <v>0</v>
      </c>
      <c r="U1065" s="5">
        <v>0</v>
      </c>
      <c r="V1065" s="6">
        <v>0</v>
      </c>
      <c r="W1065" s="5">
        <v>0</v>
      </c>
      <c r="X1065" s="6">
        <v>0</v>
      </c>
      <c r="Y1065" s="5">
        <v>0</v>
      </c>
      <c r="Z1065" s="6">
        <v>0</v>
      </c>
      <c r="AA1065" s="5">
        <v>0</v>
      </c>
      <c r="AB1065" s="6">
        <v>0</v>
      </c>
      <c r="AC1065" s="5">
        <v>0</v>
      </c>
      <c r="AD1065" s="6">
        <v>0</v>
      </c>
      <c r="AE1065" s="5">
        <v>0</v>
      </c>
      <c r="AF1065" s="6">
        <v>0</v>
      </c>
      <c r="AG1065" s="5">
        <v>0</v>
      </c>
      <c r="AH1065" s="7">
        <f t="shared" si="128"/>
        <v>633.11083148365651</v>
      </c>
      <c r="AI1065" s="8">
        <f t="shared" si="129"/>
        <v>4032.915996550892</v>
      </c>
      <c r="AJ1065" s="6">
        <v>0</v>
      </c>
      <c r="AK1065" s="5">
        <v>0</v>
      </c>
      <c r="AL1065" s="6">
        <v>0</v>
      </c>
      <c r="AM1065" s="5">
        <v>0</v>
      </c>
      <c r="AN1065" s="6">
        <v>0</v>
      </c>
      <c r="AO1065" s="5">
        <v>0</v>
      </c>
      <c r="AP1065" s="6">
        <v>800</v>
      </c>
      <c r="AQ1065" s="5">
        <v>5311.9559432182004</v>
      </c>
      <c r="AR1065" s="6">
        <v>0</v>
      </c>
      <c r="AS1065" s="5">
        <v>0</v>
      </c>
      <c r="AT1065" s="6">
        <v>0</v>
      </c>
      <c r="AU1065" s="5">
        <v>0</v>
      </c>
      <c r="AV1065" s="6">
        <v>0</v>
      </c>
      <c r="AW1065" s="5">
        <v>0</v>
      </c>
      <c r="AX1065" s="6">
        <v>0</v>
      </c>
      <c r="AY1065" s="5">
        <v>0</v>
      </c>
      <c r="AZ1065" s="6">
        <v>0</v>
      </c>
      <c r="BA1065" s="5">
        <v>0</v>
      </c>
      <c r="BB1065" s="6">
        <v>0</v>
      </c>
      <c r="BC1065" s="5">
        <v>0</v>
      </c>
      <c r="BD1065" s="6">
        <v>0</v>
      </c>
      <c r="BE1065" s="5">
        <v>0</v>
      </c>
      <c r="BF1065" s="6">
        <v>0</v>
      </c>
      <c r="BG1065" s="5">
        <v>0</v>
      </c>
      <c r="BH1065" s="9">
        <f t="shared" si="130"/>
        <v>800</v>
      </c>
      <c r="BI1065" s="10">
        <f t="shared" si="131"/>
        <v>5311.9559432182004</v>
      </c>
      <c r="BJ1065" s="6">
        <f t="shared" si="132"/>
        <v>166.88916851634349</v>
      </c>
      <c r="BK1065" s="11">
        <f t="shared" si="133"/>
        <v>0.26360182169881524</v>
      </c>
      <c r="BL1065" s="5">
        <f t="shared" si="134"/>
        <v>1279.0399466673084</v>
      </c>
      <c r="BM1065" s="11">
        <f t="shared" si="135"/>
        <v>0.31715015828774851</v>
      </c>
    </row>
    <row r="1066" spans="1:65" ht="15" customHeight="1" x14ac:dyDescent="0.4">
      <c r="A1066" s="2" t="s">
        <v>745</v>
      </c>
      <c r="B1066" s="2" t="s">
        <v>66</v>
      </c>
      <c r="C1066" s="2" t="s">
        <v>752</v>
      </c>
      <c r="D1066" s="3" t="s">
        <v>68</v>
      </c>
      <c r="E1066" s="3" t="s">
        <v>94</v>
      </c>
      <c r="F1066" s="2" t="s">
        <v>130</v>
      </c>
      <c r="G1066" s="4">
        <v>20</v>
      </c>
      <c r="H1066" s="5">
        <v>1.845</v>
      </c>
      <c r="I1066" s="5">
        <v>1.9233383636292289</v>
      </c>
      <c r="J1066" s="6">
        <v>633.11083148365651</v>
      </c>
      <c r="K1066" s="5">
        <v>1120.606171726072</v>
      </c>
      <c r="L1066" s="6">
        <v>1899.3324944509691</v>
      </c>
      <c r="M1066" s="5">
        <v>3532.7584396788029</v>
      </c>
      <c r="N1066" s="6">
        <v>1266.221662967313</v>
      </c>
      <c r="O1066" s="5">
        <v>2355.1722931192021</v>
      </c>
      <c r="P1066" s="6">
        <v>0</v>
      </c>
      <c r="Q1066" s="5">
        <v>0</v>
      </c>
      <c r="R1066" s="6">
        <v>0</v>
      </c>
      <c r="S1066" s="5">
        <v>0</v>
      </c>
      <c r="T1066" s="6">
        <v>0</v>
      </c>
      <c r="U1066" s="5">
        <v>0</v>
      </c>
      <c r="V1066" s="6">
        <v>0</v>
      </c>
      <c r="W1066" s="5">
        <v>0</v>
      </c>
      <c r="X1066" s="6">
        <v>0</v>
      </c>
      <c r="Y1066" s="5">
        <v>0</v>
      </c>
      <c r="Z1066" s="6">
        <v>0</v>
      </c>
      <c r="AA1066" s="5">
        <v>0</v>
      </c>
      <c r="AB1066" s="6">
        <v>0</v>
      </c>
      <c r="AC1066" s="5">
        <v>0</v>
      </c>
      <c r="AD1066" s="6">
        <v>0</v>
      </c>
      <c r="AE1066" s="5">
        <v>0</v>
      </c>
      <c r="AF1066" s="6">
        <v>0</v>
      </c>
      <c r="AG1066" s="5">
        <v>0</v>
      </c>
      <c r="AH1066" s="7">
        <f t="shared" si="128"/>
        <v>3798.6649889019386</v>
      </c>
      <c r="AI1066" s="8">
        <f t="shared" si="129"/>
        <v>7008.5369045240768</v>
      </c>
      <c r="AJ1066" s="6">
        <v>680</v>
      </c>
      <c r="AK1066" s="5">
        <v>1254.6056069971401</v>
      </c>
      <c r="AL1066" s="6">
        <v>2060</v>
      </c>
      <c r="AM1066" s="5">
        <v>3993.9737817964792</v>
      </c>
      <c r="AN1066" s="6">
        <v>1380</v>
      </c>
      <c r="AO1066" s="5">
        <v>2675.5746693588062</v>
      </c>
      <c r="AP1066" s="6">
        <v>0</v>
      </c>
      <c r="AQ1066" s="5">
        <v>0</v>
      </c>
      <c r="AR1066" s="6">
        <v>0</v>
      </c>
      <c r="AS1066" s="5">
        <v>0</v>
      </c>
      <c r="AT1066" s="6">
        <v>0</v>
      </c>
      <c r="AU1066" s="5">
        <v>0</v>
      </c>
      <c r="AV1066" s="6">
        <v>0</v>
      </c>
      <c r="AW1066" s="5">
        <v>0</v>
      </c>
      <c r="AX1066" s="6">
        <v>0</v>
      </c>
      <c r="AY1066" s="5">
        <v>0</v>
      </c>
      <c r="AZ1066" s="6">
        <v>0</v>
      </c>
      <c r="BA1066" s="5">
        <v>0</v>
      </c>
      <c r="BB1066" s="6">
        <v>0</v>
      </c>
      <c r="BC1066" s="5">
        <v>0</v>
      </c>
      <c r="BD1066" s="6">
        <v>0</v>
      </c>
      <c r="BE1066" s="5">
        <v>0</v>
      </c>
      <c r="BF1066" s="6">
        <v>0</v>
      </c>
      <c r="BG1066" s="5">
        <v>0</v>
      </c>
      <c r="BH1066" s="9">
        <f t="shared" si="130"/>
        <v>4120</v>
      </c>
      <c r="BI1066" s="10">
        <f t="shared" si="131"/>
        <v>7924.1540581524259</v>
      </c>
      <c r="BJ1066" s="6">
        <f t="shared" si="132"/>
        <v>321.33501109806139</v>
      </c>
      <c r="BK1066" s="11">
        <f t="shared" si="133"/>
        <v>8.4591563624816554E-2</v>
      </c>
      <c r="BL1066" s="5">
        <f t="shared" si="134"/>
        <v>915.61715362834912</v>
      </c>
      <c r="BM1066" s="11">
        <f t="shared" si="135"/>
        <v>0.13064312367925315</v>
      </c>
    </row>
    <row r="1067" spans="1:65" ht="15" customHeight="1" x14ac:dyDescent="0.4">
      <c r="A1067" s="2" t="s">
        <v>745</v>
      </c>
      <c r="B1067" s="2" t="s">
        <v>66</v>
      </c>
      <c r="C1067" s="2" t="s">
        <v>752</v>
      </c>
      <c r="D1067" s="3" t="s">
        <v>68</v>
      </c>
      <c r="E1067" s="3" t="s">
        <v>94</v>
      </c>
      <c r="F1067" s="2" t="s">
        <v>95</v>
      </c>
      <c r="G1067" s="4">
        <v>20</v>
      </c>
      <c r="H1067" s="5">
        <v>1.89375</v>
      </c>
      <c r="I1067" s="5">
        <v>1.973859804984275</v>
      </c>
      <c r="J1067" s="6">
        <v>0</v>
      </c>
      <c r="K1067" s="5">
        <v>0</v>
      </c>
      <c r="L1067" s="6">
        <v>0</v>
      </c>
      <c r="M1067" s="5">
        <v>0</v>
      </c>
      <c r="N1067" s="6">
        <v>0</v>
      </c>
      <c r="O1067" s="5">
        <v>0</v>
      </c>
      <c r="P1067" s="6">
        <v>1899.3324944509691</v>
      </c>
      <c r="Q1067" s="5">
        <v>3532.7584396788029</v>
      </c>
      <c r="R1067" s="6">
        <v>1899.3324944509691</v>
      </c>
      <c r="S1067" s="5">
        <v>3589.7384145123319</v>
      </c>
      <c r="T1067" s="6">
        <v>633.11083148365651</v>
      </c>
      <c r="U1067" s="5">
        <v>1234.5661213931301</v>
      </c>
      <c r="V1067" s="6">
        <v>633.11083148365651</v>
      </c>
      <c r="W1067" s="5">
        <v>1234.5661213931301</v>
      </c>
      <c r="X1067" s="6">
        <v>0</v>
      </c>
      <c r="Y1067" s="5">
        <v>0</v>
      </c>
      <c r="Z1067" s="6">
        <v>0</v>
      </c>
      <c r="AA1067" s="5">
        <v>0</v>
      </c>
      <c r="AB1067" s="6">
        <v>0</v>
      </c>
      <c r="AC1067" s="5">
        <v>0</v>
      </c>
      <c r="AD1067" s="6">
        <v>0</v>
      </c>
      <c r="AE1067" s="5">
        <v>0</v>
      </c>
      <c r="AF1067" s="6">
        <v>0</v>
      </c>
      <c r="AG1067" s="5">
        <v>0</v>
      </c>
      <c r="AH1067" s="7">
        <f t="shared" si="128"/>
        <v>5064.8866518692512</v>
      </c>
      <c r="AI1067" s="8">
        <f t="shared" si="129"/>
        <v>9591.6290969773963</v>
      </c>
      <c r="AJ1067" s="6">
        <v>0</v>
      </c>
      <c r="AK1067" s="5">
        <v>0</v>
      </c>
      <c r="AL1067" s="6">
        <v>0</v>
      </c>
      <c r="AM1067" s="5">
        <v>0</v>
      </c>
      <c r="AN1067" s="6">
        <v>0</v>
      </c>
      <c r="AO1067" s="5">
        <v>0</v>
      </c>
      <c r="AP1067" s="6">
        <v>2060</v>
      </c>
      <c r="AQ1067" s="5">
        <v>3993.9737817964792</v>
      </c>
      <c r="AR1067" s="6">
        <v>2060</v>
      </c>
      <c r="AS1067" s="5">
        <v>4058.392713760938</v>
      </c>
      <c r="AT1067" s="6">
        <v>680</v>
      </c>
      <c r="AU1067" s="5">
        <v>1382.1926178782051</v>
      </c>
      <c r="AV1067" s="6">
        <v>680</v>
      </c>
      <c r="AW1067" s="5">
        <v>1382.1926178782051</v>
      </c>
      <c r="AX1067" s="6">
        <v>0</v>
      </c>
      <c r="AY1067" s="5">
        <v>0</v>
      </c>
      <c r="AZ1067" s="6">
        <v>0</v>
      </c>
      <c r="BA1067" s="5">
        <v>0</v>
      </c>
      <c r="BB1067" s="6">
        <v>0</v>
      </c>
      <c r="BC1067" s="5">
        <v>0</v>
      </c>
      <c r="BD1067" s="6">
        <v>0</v>
      </c>
      <c r="BE1067" s="5">
        <v>0</v>
      </c>
      <c r="BF1067" s="6">
        <v>0</v>
      </c>
      <c r="BG1067" s="5">
        <v>0</v>
      </c>
      <c r="BH1067" s="9">
        <f t="shared" si="130"/>
        <v>5480</v>
      </c>
      <c r="BI1067" s="10">
        <f t="shared" si="131"/>
        <v>10816.751731313827</v>
      </c>
      <c r="BJ1067" s="6">
        <f t="shared" si="132"/>
        <v>415.11334813074882</v>
      </c>
      <c r="BK1067" s="11">
        <f t="shared" si="133"/>
        <v>8.1959059829610742E-2</v>
      </c>
      <c r="BL1067" s="5">
        <f t="shared" si="134"/>
        <v>1225.1226343364306</v>
      </c>
      <c r="BM1067" s="11">
        <f t="shared" si="135"/>
        <v>0.12772831621715883</v>
      </c>
    </row>
    <row r="1068" spans="1:65" ht="15" customHeight="1" x14ac:dyDescent="0.4">
      <c r="A1068" s="2" t="s">
        <v>745</v>
      </c>
      <c r="B1068" s="2" t="s">
        <v>66</v>
      </c>
      <c r="C1068" s="2" t="s">
        <v>752</v>
      </c>
      <c r="D1068" s="3" t="s">
        <v>68</v>
      </c>
      <c r="E1068" s="3" t="s">
        <v>235</v>
      </c>
      <c r="F1068" s="2" t="s">
        <v>236</v>
      </c>
      <c r="G1068" s="4">
        <v>200</v>
      </c>
      <c r="H1068" s="5">
        <v>1.764</v>
      </c>
      <c r="I1068" s="5">
        <v>1.8402701658573111</v>
      </c>
      <c r="J1068" s="6">
        <v>395.69426967728532</v>
      </c>
      <c r="K1068" s="5">
        <v>672.68025845138504</v>
      </c>
      <c r="L1068" s="6">
        <v>0</v>
      </c>
      <c r="M1068" s="5">
        <v>0</v>
      </c>
      <c r="N1068" s="6">
        <v>1582.7770787091411</v>
      </c>
      <c r="O1068" s="5">
        <v>2817.3432001022711</v>
      </c>
      <c r="P1068" s="6">
        <v>0</v>
      </c>
      <c r="Q1068" s="5">
        <v>0</v>
      </c>
      <c r="R1068" s="6">
        <v>0</v>
      </c>
      <c r="S1068" s="5">
        <v>0</v>
      </c>
      <c r="T1068" s="6">
        <v>0</v>
      </c>
      <c r="U1068" s="5">
        <v>0</v>
      </c>
      <c r="V1068" s="6">
        <v>0</v>
      </c>
      <c r="W1068" s="5">
        <v>0</v>
      </c>
      <c r="X1068" s="6">
        <v>0</v>
      </c>
      <c r="Y1068" s="5">
        <v>0</v>
      </c>
      <c r="Z1068" s="6">
        <v>0</v>
      </c>
      <c r="AA1068" s="5">
        <v>0</v>
      </c>
      <c r="AB1068" s="6">
        <v>0</v>
      </c>
      <c r="AC1068" s="5">
        <v>0</v>
      </c>
      <c r="AD1068" s="6">
        <v>0</v>
      </c>
      <c r="AE1068" s="5">
        <v>0</v>
      </c>
      <c r="AF1068" s="6">
        <v>0</v>
      </c>
      <c r="AG1068" s="5">
        <v>0</v>
      </c>
      <c r="AH1068" s="7">
        <f t="shared" si="128"/>
        <v>1978.4713483864264</v>
      </c>
      <c r="AI1068" s="8">
        <f t="shared" si="129"/>
        <v>3490.0234585536564</v>
      </c>
      <c r="AJ1068" s="6">
        <v>400</v>
      </c>
      <c r="AK1068" s="5">
        <v>708.81672711702822</v>
      </c>
      <c r="AL1068" s="6">
        <v>0</v>
      </c>
      <c r="AM1068" s="5">
        <v>0</v>
      </c>
      <c r="AN1068" s="6">
        <v>1800</v>
      </c>
      <c r="AO1068" s="5">
        <v>3339.7776377690561</v>
      </c>
      <c r="AP1068" s="6">
        <v>0</v>
      </c>
      <c r="AQ1068" s="5">
        <v>0</v>
      </c>
      <c r="AR1068" s="6">
        <v>0</v>
      </c>
      <c r="AS1068" s="5">
        <v>0</v>
      </c>
      <c r="AT1068" s="6">
        <v>0</v>
      </c>
      <c r="AU1068" s="5">
        <v>0</v>
      </c>
      <c r="AV1068" s="6">
        <v>0</v>
      </c>
      <c r="AW1068" s="5">
        <v>0</v>
      </c>
      <c r="AX1068" s="6">
        <v>0</v>
      </c>
      <c r="AY1068" s="5">
        <v>0</v>
      </c>
      <c r="AZ1068" s="6">
        <v>0</v>
      </c>
      <c r="BA1068" s="5">
        <v>0</v>
      </c>
      <c r="BB1068" s="6">
        <v>0</v>
      </c>
      <c r="BC1068" s="5">
        <v>0</v>
      </c>
      <c r="BD1068" s="6">
        <v>0</v>
      </c>
      <c r="BE1068" s="5">
        <v>0</v>
      </c>
      <c r="BF1068" s="6">
        <v>0</v>
      </c>
      <c r="BG1068" s="5">
        <v>0</v>
      </c>
      <c r="BH1068" s="9">
        <f t="shared" si="130"/>
        <v>2200</v>
      </c>
      <c r="BI1068" s="10">
        <f t="shared" si="131"/>
        <v>4048.5943648860843</v>
      </c>
      <c r="BJ1068" s="6">
        <f t="shared" si="132"/>
        <v>221.52865161357363</v>
      </c>
      <c r="BK1068" s="11">
        <f t="shared" si="133"/>
        <v>0.11196960309495754</v>
      </c>
      <c r="BL1068" s="5">
        <f t="shared" si="134"/>
        <v>558.57090633242797</v>
      </c>
      <c r="BM1068" s="11">
        <f t="shared" si="135"/>
        <v>0.16004789451011661</v>
      </c>
    </row>
    <row r="1069" spans="1:65" ht="15" customHeight="1" x14ac:dyDescent="0.4">
      <c r="A1069" s="2" t="s">
        <v>745</v>
      </c>
      <c r="B1069" s="2" t="s">
        <v>66</v>
      </c>
      <c r="C1069" s="2" t="s">
        <v>752</v>
      </c>
      <c r="D1069" s="3" t="s">
        <v>68</v>
      </c>
      <c r="E1069" s="3" t="s">
        <v>235</v>
      </c>
      <c r="F1069" s="2" t="s">
        <v>619</v>
      </c>
      <c r="G1069" s="4">
        <v>200</v>
      </c>
      <c r="H1069" s="5">
        <v>1.798</v>
      </c>
      <c r="I1069" s="5">
        <v>1.8744181833163009</v>
      </c>
      <c r="J1069" s="6">
        <v>0</v>
      </c>
      <c r="K1069" s="5">
        <v>0</v>
      </c>
      <c r="L1069" s="6">
        <v>0</v>
      </c>
      <c r="M1069" s="5">
        <v>0</v>
      </c>
      <c r="N1069" s="6">
        <v>0</v>
      </c>
      <c r="O1069" s="5">
        <v>0</v>
      </c>
      <c r="P1069" s="6">
        <v>791.38853935457064</v>
      </c>
      <c r="Q1069" s="5">
        <v>1408.671600051136</v>
      </c>
      <c r="R1069" s="6">
        <v>3165.554157418283</v>
      </c>
      <c r="S1069" s="5">
        <v>5705.9113687464542</v>
      </c>
      <c r="T1069" s="6">
        <v>0</v>
      </c>
      <c r="U1069" s="5">
        <v>0</v>
      </c>
      <c r="V1069" s="6">
        <v>0</v>
      </c>
      <c r="W1069" s="5">
        <v>0</v>
      </c>
      <c r="X1069" s="6">
        <v>0</v>
      </c>
      <c r="Y1069" s="5">
        <v>0</v>
      </c>
      <c r="Z1069" s="6">
        <v>0</v>
      </c>
      <c r="AA1069" s="5">
        <v>0</v>
      </c>
      <c r="AB1069" s="6">
        <v>0</v>
      </c>
      <c r="AC1069" s="5">
        <v>0</v>
      </c>
      <c r="AD1069" s="6">
        <v>0</v>
      </c>
      <c r="AE1069" s="5">
        <v>0</v>
      </c>
      <c r="AF1069" s="6">
        <v>0</v>
      </c>
      <c r="AG1069" s="5">
        <v>0</v>
      </c>
      <c r="AH1069" s="7">
        <f t="shared" si="128"/>
        <v>3956.9426967728537</v>
      </c>
      <c r="AI1069" s="8">
        <f t="shared" si="129"/>
        <v>7114.5829687975902</v>
      </c>
      <c r="AJ1069" s="6">
        <v>0</v>
      </c>
      <c r="AK1069" s="5">
        <v>0</v>
      </c>
      <c r="AL1069" s="6">
        <v>0</v>
      </c>
      <c r="AM1069" s="5">
        <v>0</v>
      </c>
      <c r="AN1069" s="6">
        <v>0</v>
      </c>
      <c r="AO1069" s="5">
        <v>0</v>
      </c>
      <c r="AP1069" s="6">
        <v>800</v>
      </c>
      <c r="AQ1069" s="5">
        <v>1484.3456167862471</v>
      </c>
      <c r="AR1069" s="6">
        <v>3400</v>
      </c>
      <c r="AS1069" s="5">
        <v>6388.2107531422162</v>
      </c>
      <c r="AT1069" s="6">
        <v>0</v>
      </c>
      <c r="AU1069" s="5">
        <v>0</v>
      </c>
      <c r="AV1069" s="6">
        <v>0</v>
      </c>
      <c r="AW1069" s="5">
        <v>0</v>
      </c>
      <c r="AX1069" s="6">
        <v>0</v>
      </c>
      <c r="AY1069" s="5">
        <v>0</v>
      </c>
      <c r="AZ1069" s="6">
        <v>0</v>
      </c>
      <c r="BA1069" s="5">
        <v>0</v>
      </c>
      <c r="BB1069" s="6">
        <v>0</v>
      </c>
      <c r="BC1069" s="5">
        <v>0</v>
      </c>
      <c r="BD1069" s="6">
        <v>0</v>
      </c>
      <c r="BE1069" s="5">
        <v>0</v>
      </c>
      <c r="BF1069" s="6">
        <v>0</v>
      </c>
      <c r="BG1069" s="5">
        <v>0</v>
      </c>
      <c r="BH1069" s="9">
        <f t="shared" si="130"/>
        <v>4200</v>
      </c>
      <c r="BI1069" s="10">
        <f t="shared" si="131"/>
        <v>7872.556369928463</v>
      </c>
      <c r="BJ1069" s="6">
        <f t="shared" si="132"/>
        <v>243.05730322714635</v>
      </c>
      <c r="BK1069" s="11">
        <f t="shared" si="133"/>
        <v>6.1425530227004685E-2</v>
      </c>
      <c r="BL1069" s="5">
        <f t="shared" si="134"/>
        <v>757.97340113087284</v>
      </c>
      <c r="BM1069" s="11">
        <f t="shared" si="135"/>
        <v>0.1065379944903468</v>
      </c>
    </row>
    <row r="1070" spans="1:65" ht="15" customHeight="1" x14ac:dyDescent="0.4">
      <c r="A1070" s="2" t="s">
        <v>745</v>
      </c>
      <c r="B1070" s="2" t="s">
        <v>66</v>
      </c>
      <c r="C1070" s="2" t="s">
        <v>752</v>
      </c>
      <c r="D1070" s="3" t="s">
        <v>68</v>
      </c>
      <c r="E1070" s="3" t="s">
        <v>96</v>
      </c>
      <c r="F1070" s="2" t="s">
        <v>97</v>
      </c>
      <c r="G1070" s="4">
        <v>1000</v>
      </c>
      <c r="H1070" s="5">
        <v>1.499090909090909</v>
      </c>
      <c r="I1070" s="5">
        <v>1.5616663734499621</v>
      </c>
      <c r="J1070" s="6">
        <v>4946.1783709660658</v>
      </c>
      <c r="K1070" s="5">
        <v>7913.8853935457046</v>
      </c>
      <c r="L1070" s="6">
        <v>23741.656180637121</v>
      </c>
      <c r="M1070" s="5">
        <v>35038.727579923623</v>
      </c>
      <c r="N1070" s="6">
        <v>14838.5351128982</v>
      </c>
      <c r="O1070" s="5">
        <v>22297.37209631503</v>
      </c>
      <c r="P1070" s="6">
        <v>0</v>
      </c>
      <c r="Q1070" s="5">
        <v>0</v>
      </c>
      <c r="R1070" s="6">
        <v>0</v>
      </c>
      <c r="S1070" s="5">
        <v>0</v>
      </c>
      <c r="T1070" s="6">
        <v>0</v>
      </c>
      <c r="U1070" s="5">
        <v>0</v>
      </c>
      <c r="V1070" s="6">
        <v>0</v>
      </c>
      <c r="W1070" s="5">
        <v>0</v>
      </c>
      <c r="X1070" s="6">
        <v>0</v>
      </c>
      <c r="Y1070" s="5">
        <v>0</v>
      </c>
      <c r="Z1070" s="6">
        <v>0</v>
      </c>
      <c r="AA1070" s="5">
        <v>0</v>
      </c>
      <c r="AB1070" s="6">
        <v>0</v>
      </c>
      <c r="AC1070" s="5">
        <v>0</v>
      </c>
      <c r="AD1070" s="6">
        <v>0</v>
      </c>
      <c r="AE1070" s="5">
        <v>0</v>
      </c>
      <c r="AF1070" s="6">
        <v>0</v>
      </c>
      <c r="AG1070" s="5">
        <v>0</v>
      </c>
      <c r="AH1070" s="7">
        <f t="shared" si="128"/>
        <v>43526.369664501384</v>
      </c>
      <c r="AI1070" s="8">
        <f t="shared" si="129"/>
        <v>65249.98506978435</v>
      </c>
      <c r="AJ1070" s="6">
        <v>5000</v>
      </c>
      <c r="AK1070" s="5">
        <v>8339.0203190238626</v>
      </c>
      <c r="AL1070" s="6">
        <v>26000</v>
      </c>
      <c r="AM1070" s="5">
        <v>39997.763501017987</v>
      </c>
      <c r="AN1070" s="6">
        <v>16000</v>
      </c>
      <c r="AO1070" s="5">
        <v>25061.535732106371</v>
      </c>
      <c r="AP1070" s="6">
        <v>0</v>
      </c>
      <c r="AQ1070" s="5">
        <v>0</v>
      </c>
      <c r="AR1070" s="6">
        <v>0</v>
      </c>
      <c r="AS1070" s="5">
        <v>0</v>
      </c>
      <c r="AT1070" s="6">
        <v>0</v>
      </c>
      <c r="AU1070" s="5">
        <v>0</v>
      </c>
      <c r="AV1070" s="6">
        <v>0</v>
      </c>
      <c r="AW1070" s="5">
        <v>0</v>
      </c>
      <c r="AX1070" s="6">
        <v>0</v>
      </c>
      <c r="AY1070" s="5">
        <v>0</v>
      </c>
      <c r="AZ1070" s="6">
        <v>0</v>
      </c>
      <c r="BA1070" s="5">
        <v>0</v>
      </c>
      <c r="BB1070" s="6">
        <v>0</v>
      </c>
      <c r="BC1070" s="5">
        <v>0</v>
      </c>
      <c r="BD1070" s="6">
        <v>0</v>
      </c>
      <c r="BE1070" s="5">
        <v>0</v>
      </c>
      <c r="BF1070" s="6">
        <v>0</v>
      </c>
      <c r="BG1070" s="5">
        <v>0</v>
      </c>
      <c r="BH1070" s="9">
        <f t="shared" si="130"/>
        <v>47000</v>
      </c>
      <c r="BI1070" s="10">
        <f t="shared" si="131"/>
        <v>73398.319552148227</v>
      </c>
      <c r="BJ1070" s="6">
        <f t="shared" si="132"/>
        <v>3473.6303354986158</v>
      </c>
      <c r="BK1070" s="11">
        <f t="shared" si="133"/>
        <v>7.9805193088078499E-2</v>
      </c>
      <c r="BL1070" s="5">
        <f t="shared" si="134"/>
        <v>8148.3344823638763</v>
      </c>
      <c r="BM1070" s="11">
        <f t="shared" si="135"/>
        <v>0.12487871795908147</v>
      </c>
    </row>
    <row r="1071" spans="1:65" ht="15" customHeight="1" x14ac:dyDescent="0.4">
      <c r="A1071" s="2" t="s">
        <v>745</v>
      </c>
      <c r="B1071" s="2" t="s">
        <v>66</v>
      </c>
      <c r="C1071" s="2" t="s">
        <v>752</v>
      </c>
      <c r="D1071" s="3" t="s">
        <v>68</v>
      </c>
      <c r="E1071" s="3" t="s">
        <v>96</v>
      </c>
      <c r="F1071" s="2" t="s">
        <v>268</v>
      </c>
      <c r="G1071" s="4">
        <v>1000</v>
      </c>
      <c r="H1071" s="5">
        <v>1.5751739587205471</v>
      </c>
      <c r="I1071" s="5">
        <v>1.6411769388107329</v>
      </c>
      <c r="J1071" s="6">
        <v>0</v>
      </c>
      <c r="K1071" s="5">
        <v>0</v>
      </c>
      <c r="L1071" s="6">
        <v>0</v>
      </c>
      <c r="M1071" s="5">
        <v>0</v>
      </c>
      <c r="N1071" s="6">
        <v>0</v>
      </c>
      <c r="O1071" s="5">
        <v>0</v>
      </c>
      <c r="P1071" s="6">
        <v>16817.006461284629</v>
      </c>
      <c r="Q1071" s="5">
        <v>23810.90267783064</v>
      </c>
      <c r="R1071" s="6">
        <v>11870.82809031856</v>
      </c>
      <c r="S1071" s="5">
        <v>14492.30262693057</v>
      </c>
      <c r="T1071" s="6">
        <v>8903.121067738919</v>
      </c>
      <c r="U1071" s="5">
        <v>15046.274604478769</v>
      </c>
      <c r="V1071" s="6">
        <v>15827.770787091409</v>
      </c>
      <c r="W1071" s="5">
        <v>26748.932630184481</v>
      </c>
      <c r="X1071" s="6">
        <v>41547.898316114952</v>
      </c>
      <c r="Y1071" s="5">
        <v>70215.948154234269</v>
      </c>
      <c r="Z1071" s="6">
        <v>0</v>
      </c>
      <c r="AA1071" s="5">
        <v>0</v>
      </c>
      <c r="AB1071" s="6">
        <v>8531.9652536855046</v>
      </c>
      <c r="AC1071" s="5">
        <v>13076.626242757209</v>
      </c>
      <c r="AD1071" s="6">
        <v>8531.9652536855046</v>
      </c>
      <c r="AE1071" s="5">
        <v>13076.626242757209</v>
      </c>
      <c r="AF1071" s="6">
        <v>0</v>
      </c>
      <c r="AG1071" s="5">
        <v>0</v>
      </c>
      <c r="AH1071" s="7">
        <f t="shared" si="128"/>
        <v>112030.55522991947</v>
      </c>
      <c r="AI1071" s="8">
        <f t="shared" si="129"/>
        <v>176467.61317917318</v>
      </c>
      <c r="AJ1071" s="6">
        <v>0</v>
      </c>
      <c r="AK1071" s="5">
        <v>0</v>
      </c>
      <c r="AL1071" s="6">
        <v>0</v>
      </c>
      <c r="AM1071" s="5">
        <v>0</v>
      </c>
      <c r="AN1071" s="6">
        <v>0</v>
      </c>
      <c r="AO1071" s="5">
        <v>0</v>
      </c>
      <c r="AP1071" s="6">
        <v>18000</v>
      </c>
      <c r="AQ1071" s="5">
        <v>26565.911348678521</v>
      </c>
      <c r="AR1071" s="6">
        <v>13000</v>
      </c>
      <c r="AS1071" s="5">
        <v>16543.400205813479</v>
      </c>
      <c r="AT1071" s="6">
        <v>10000</v>
      </c>
      <c r="AU1071" s="5">
        <v>17616.180423937909</v>
      </c>
      <c r="AV1071" s="6">
        <v>17000</v>
      </c>
      <c r="AW1071" s="5">
        <v>29947.50672069444</v>
      </c>
      <c r="AX1071" s="6">
        <v>44000</v>
      </c>
      <c r="AY1071" s="5">
        <v>77511.193865326801</v>
      </c>
      <c r="AZ1071" s="6">
        <v>0</v>
      </c>
      <c r="BA1071" s="5">
        <v>0</v>
      </c>
      <c r="BB1071" s="6">
        <v>9000</v>
      </c>
      <c r="BC1071" s="5">
        <v>14378.52004641838</v>
      </c>
      <c r="BD1071" s="6">
        <v>9000</v>
      </c>
      <c r="BE1071" s="5">
        <v>14378.52004641838</v>
      </c>
      <c r="BF1071" s="6">
        <v>0</v>
      </c>
      <c r="BG1071" s="5">
        <v>0</v>
      </c>
      <c r="BH1071" s="9">
        <f t="shared" si="130"/>
        <v>120000</v>
      </c>
      <c r="BI1071" s="10">
        <f t="shared" si="131"/>
        <v>196941.23265728791</v>
      </c>
      <c r="BJ1071" s="6">
        <f t="shared" si="132"/>
        <v>7969.4447700805322</v>
      </c>
      <c r="BK1071" s="11">
        <f t="shared" si="133"/>
        <v>7.1136349844244731E-2</v>
      </c>
      <c r="BL1071" s="5">
        <f t="shared" si="134"/>
        <v>20473.619478114735</v>
      </c>
      <c r="BM1071" s="11">
        <f t="shared" si="135"/>
        <v>0.11601913296876305</v>
      </c>
    </row>
    <row r="1072" spans="1:65" ht="15" customHeight="1" x14ac:dyDescent="0.4">
      <c r="A1072" s="2" t="s">
        <v>745</v>
      </c>
      <c r="B1072" s="2" t="s">
        <v>66</v>
      </c>
      <c r="C1072" s="2" t="s">
        <v>752</v>
      </c>
      <c r="D1072" s="3" t="s">
        <v>68</v>
      </c>
      <c r="E1072" s="3" t="s">
        <v>205</v>
      </c>
      <c r="F1072" s="2" t="s">
        <v>206</v>
      </c>
      <c r="G1072" s="4">
        <v>1</v>
      </c>
      <c r="H1072" s="5">
        <v>11.83</v>
      </c>
      <c r="I1072" s="5">
        <v>12.331326296756529</v>
      </c>
      <c r="J1072" s="6">
        <v>0</v>
      </c>
      <c r="K1072" s="5">
        <v>0</v>
      </c>
      <c r="L1072" s="6">
        <v>11.870828090318559</v>
      </c>
      <c r="M1072" s="5">
        <v>140.43189630846859</v>
      </c>
      <c r="N1072" s="6">
        <v>23.741656180637118</v>
      </c>
      <c r="O1072" s="5">
        <v>280.86379261693708</v>
      </c>
      <c r="P1072" s="6">
        <v>0</v>
      </c>
      <c r="Q1072" s="5">
        <v>0</v>
      </c>
      <c r="R1072" s="6">
        <v>0</v>
      </c>
      <c r="S1072" s="5">
        <v>0</v>
      </c>
      <c r="T1072" s="6">
        <v>0</v>
      </c>
      <c r="U1072" s="5">
        <v>0</v>
      </c>
      <c r="V1072" s="6">
        <v>0</v>
      </c>
      <c r="W1072" s="5">
        <v>0</v>
      </c>
      <c r="X1072" s="6">
        <v>0</v>
      </c>
      <c r="Y1072" s="5">
        <v>0</v>
      </c>
      <c r="Z1072" s="6">
        <v>0</v>
      </c>
      <c r="AA1072" s="5">
        <v>0</v>
      </c>
      <c r="AB1072" s="6">
        <v>0</v>
      </c>
      <c r="AC1072" s="5">
        <v>0</v>
      </c>
      <c r="AD1072" s="6">
        <v>0</v>
      </c>
      <c r="AE1072" s="5">
        <v>0</v>
      </c>
      <c r="AF1072" s="6">
        <v>0</v>
      </c>
      <c r="AG1072" s="5">
        <v>0</v>
      </c>
      <c r="AH1072" s="7">
        <f t="shared" si="128"/>
        <v>35.612484270955676</v>
      </c>
      <c r="AI1072" s="8">
        <f t="shared" si="129"/>
        <v>421.29568892540567</v>
      </c>
      <c r="AJ1072" s="6">
        <v>0</v>
      </c>
      <c r="AK1072" s="5">
        <v>0</v>
      </c>
      <c r="AL1072" s="6">
        <v>13</v>
      </c>
      <c r="AM1072" s="5">
        <v>160.30724185783501</v>
      </c>
      <c r="AN1072" s="6">
        <v>26</v>
      </c>
      <c r="AO1072" s="5">
        <v>320.61448371566991</v>
      </c>
      <c r="AP1072" s="6">
        <v>0</v>
      </c>
      <c r="AQ1072" s="5">
        <v>0</v>
      </c>
      <c r="AR1072" s="6">
        <v>0</v>
      </c>
      <c r="AS1072" s="5">
        <v>0</v>
      </c>
      <c r="AT1072" s="6">
        <v>0</v>
      </c>
      <c r="AU1072" s="5">
        <v>0</v>
      </c>
      <c r="AV1072" s="6">
        <v>0</v>
      </c>
      <c r="AW1072" s="5">
        <v>0</v>
      </c>
      <c r="AX1072" s="6">
        <v>0</v>
      </c>
      <c r="AY1072" s="5">
        <v>0</v>
      </c>
      <c r="AZ1072" s="6">
        <v>0</v>
      </c>
      <c r="BA1072" s="5">
        <v>0</v>
      </c>
      <c r="BB1072" s="6">
        <v>0</v>
      </c>
      <c r="BC1072" s="5">
        <v>0</v>
      </c>
      <c r="BD1072" s="6">
        <v>0</v>
      </c>
      <c r="BE1072" s="5">
        <v>0</v>
      </c>
      <c r="BF1072" s="6">
        <v>0</v>
      </c>
      <c r="BG1072" s="5">
        <v>0</v>
      </c>
      <c r="BH1072" s="9">
        <f t="shared" si="130"/>
        <v>39</v>
      </c>
      <c r="BI1072" s="10">
        <f t="shared" si="131"/>
        <v>480.92172557350489</v>
      </c>
      <c r="BJ1072" s="6">
        <f t="shared" si="132"/>
        <v>3.3875157290443241</v>
      </c>
      <c r="BK1072" s="11">
        <f t="shared" si="133"/>
        <v>9.512157880563997E-2</v>
      </c>
      <c r="BL1072" s="5">
        <f t="shared" si="134"/>
        <v>59.626036648099216</v>
      </c>
      <c r="BM1072" s="11">
        <f t="shared" si="135"/>
        <v>0.14153013718271529</v>
      </c>
    </row>
    <row r="1073" spans="1:65" ht="15" customHeight="1" x14ac:dyDescent="0.4">
      <c r="A1073" s="2" t="s">
        <v>745</v>
      </c>
      <c r="B1073" s="2" t="s">
        <v>66</v>
      </c>
      <c r="C1073" s="2" t="s">
        <v>752</v>
      </c>
      <c r="D1073" s="3" t="s">
        <v>68</v>
      </c>
      <c r="E1073" s="3" t="s">
        <v>773</v>
      </c>
      <c r="F1073" s="2" t="s">
        <v>774</v>
      </c>
      <c r="G1073" s="4">
        <v>5</v>
      </c>
      <c r="H1073" s="5">
        <v>10.42</v>
      </c>
      <c r="I1073" s="5">
        <v>10.86157396552858</v>
      </c>
      <c r="J1073" s="6">
        <v>0</v>
      </c>
      <c r="K1073" s="5">
        <v>0</v>
      </c>
      <c r="L1073" s="6">
        <v>39.569426967728532</v>
      </c>
      <c r="M1073" s="5">
        <v>412.3134290037313</v>
      </c>
      <c r="N1073" s="6">
        <v>0</v>
      </c>
      <c r="O1073" s="5">
        <v>0</v>
      </c>
      <c r="P1073" s="6">
        <v>0</v>
      </c>
      <c r="Q1073" s="5">
        <v>0</v>
      </c>
      <c r="R1073" s="6">
        <v>0</v>
      </c>
      <c r="S1073" s="5">
        <v>0</v>
      </c>
      <c r="T1073" s="6">
        <v>0</v>
      </c>
      <c r="U1073" s="5">
        <v>0</v>
      </c>
      <c r="V1073" s="6">
        <v>0</v>
      </c>
      <c r="W1073" s="5">
        <v>0</v>
      </c>
      <c r="X1073" s="6">
        <v>0</v>
      </c>
      <c r="Y1073" s="5">
        <v>0</v>
      </c>
      <c r="Z1073" s="6">
        <v>0</v>
      </c>
      <c r="AA1073" s="5">
        <v>0</v>
      </c>
      <c r="AB1073" s="6">
        <v>0</v>
      </c>
      <c r="AC1073" s="5">
        <v>0</v>
      </c>
      <c r="AD1073" s="6">
        <v>0</v>
      </c>
      <c r="AE1073" s="5">
        <v>0</v>
      </c>
      <c r="AF1073" s="6">
        <v>0</v>
      </c>
      <c r="AG1073" s="5">
        <v>0</v>
      </c>
      <c r="AH1073" s="7">
        <f t="shared" si="128"/>
        <v>39.569426967728532</v>
      </c>
      <c r="AI1073" s="8">
        <f t="shared" si="129"/>
        <v>412.3134290037313</v>
      </c>
      <c r="AJ1073" s="6">
        <v>0</v>
      </c>
      <c r="AK1073" s="5">
        <v>0</v>
      </c>
      <c r="AL1073" s="6">
        <v>45</v>
      </c>
      <c r="AM1073" s="5">
        <v>488.77082844878612</v>
      </c>
      <c r="AN1073" s="6">
        <v>0</v>
      </c>
      <c r="AO1073" s="5">
        <v>0</v>
      </c>
      <c r="AP1073" s="6">
        <v>0</v>
      </c>
      <c r="AQ1073" s="5">
        <v>0</v>
      </c>
      <c r="AR1073" s="6">
        <v>0</v>
      </c>
      <c r="AS1073" s="5">
        <v>0</v>
      </c>
      <c r="AT1073" s="6">
        <v>0</v>
      </c>
      <c r="AU1073" s="5">
        <v>0</v>
      </c>
      <c r="AV1073" s="6">
        <v>0</v>
      </c>
      <c r="AW1073" s="5">
        <v>0</v>
      </c>
      <c r="AX1073" s="6">
        <v>0</v>
      </c>
      <c r="AY1073" s="5">
        <v>0</v>
      </c>
      <c r="AZ1073" s="6">
        <v>0</v>
      </c>
      <c r="BA1073" s="5">
        <v>0</v>
      </c>
      <c r="BB1073" s="6">
        <v>0</v>
      </c>
      <c r="BC1073" s="5">
        <v>0</v>
      </c>
      <c r="BD1073" s="6">
        <v>0</v>
      </c>
      <c r="BE1073" s="5">
        <v>0</v>
      </c>
      <c r="BF1073" s="6">
        <v>0</v>
      </c>
      <c r="BG1073" s="5">
        <v>0</v>
      </c>
      <c r="BH1073" s="9">
        <f t="shared" si="130"/>
        <v>45</v>
      </c>
      <c r="BI1073" s="10">
        <f t="shared" si="131"/>
        <v>488.77082844878612</v>
      </c>
      <c r="BJ1073" s="6">
        <f t="shared" si="132"/>
        <v>5.430573032271468</v>
      </c>
      <c r="BK1073" s="11">
        <f t="shared" si="133"/>
        <v>0.13724163952893373</v>
      </c>
      <c r="BL1073" s="5">
        <f t="shared" si="134"/>
        <v>76.457399445054818</v>
      </c>
      <c r="BM1073" s="11">
        <f t="shared" si="135"/>
        <v>0.18543514245897361</v>
      </c>
    </row>
    <row r="1074" spans="1:65" ht="15" customHeight="1" x14ac:dyDescent="0.4">
      <c r="A1074" s="2" t="s">
        <v>745</v>
      </c>
      <c r="B1074" s="2" t="s">
        <v>66</v>
      </c>
      <c r="C1074" s="2" t="s">
        <v>752</v>
      </c>
      <c r="D1074" s="3" t="s">
        <v>68</v>
      </c>
      <c r="E1074" s="3" t="s">
        <v>637</v>
      </c>
      <c r="F1074" s="2" t="s">
        <v>638</v>
      </c>
      <c r="G1074" s="4">
        <v>20</v>
      </c>
      <c r="H1074" s="5">
        <v>10.11</v>
      </c>
      <c r="I1074" s="5">
        <v>10.5384369281664</v>
      </c>
      <c r="J1074" s="6">
        <v>0</v>
      </c>
      <c r="K1074" s="5">
        <v>0</v>
      </c>
      <c r="L1074" s="6">
        <v>0</v>
      </c>
      <c r="M1074" s="5">
        <v>0</v>
      </c>
      <c r="N1074" s="6">
        <v>197.84713483864269</v>
      </c>
      <c r="O1074" s="5">
        <v>2000.2345332186769</v>
      </c>
      <c r="P1074" s="6">
        <v>0</v>
      </c>
      <c r="Q1074" s="5">
        <v>0</v>
      </c>
      <c r="R1074" s="6">
        <v>0</v>
      </c>
      <c r="S1074" s="5">
        <v>0</v>
      </c>
      <c r="T1074" s="6">
        <v>0</v>
      </c>
      <c r="U1074" s="5">
        <v>0</v>
      </c>
      <c r="V1074" s="6">
        <v>0</v>
      </c>
      <c r="W1074" s="5">
        <v>0</v>
      </c>
      <c r="X1074" s="6">
        <v>0</v>
      </c>
      <c r="Y1074" s="5">
        <v>0</v>
      </c>
      <c r="Z1074" s="6">
        <v>0</v>
      </c>
      <c r="AA1074" s="5">
        <v>0</v>
      </c>
      <c r="AB1074" s="6">
        <v>0</v>
      </c>
      <c r="AC1074" s="5">
        <v>0</v>
      </c>
      <c r="AD1074" s="6">
        <v>0</v>
      </c>
      <c r="AE1074" s="5">
        <v>0</v>
      </c>
      <c r="AF1074" s="6">
        <v>0</v>
      </c>
      <c r="AG1074" s="5">
        <v>0</v>
      </c>
      <c r="AH1074" s="7">
        <f t="shared" si="128"/>
        <v>197.84713483864269</v>
      </c>
      <c r="AI1074" s="8">
        <f t="shared" si="129"/>
        <v>2000.2345332186769</v>
      </c>
      <c r="AJ1074" s="6">
        <v>0</v>
      </c>
      <c r="AK1074" s="5">
        <v>0</v>
      </c>
      <c r="AL1074" s="6">
        <v>0</v>
      </c>
      <c r="AM1074" s="5">
        <v>0</v>
      </c>
      <c r="AN1074" s="6">
        <v>220</v>
      </c>
      <c r="AO1074" s="5">
        <v>2318.456124196608</v>
      </c>
      <c r="AP1074" s="6">
        <v>0</v>
      </c>
      <c r="AQ1074" s="5">
        <v>0</v>
      </c>
      <c r="AR1074" s="6">
        <v>0</v>
      </c>
      <c r="AS1074" s="5">
        <v>0</v>
      </c>
      <c r="AT1074" s="6">
        <v>0</v>
      </c>
      <c r="AU1074" s="5">
        <v>0</v>
      </c>
      <c r="AV1074" s="6">
        <v>0</v>
      </c>
      <c r="AW1074" s="5">
        <v>0</v>
      </c>
      <c r="AX1074" s="6">
        <v>0</v>
      </c>
      <c r="AY1074" s="5">
        <v>0</v>
      </c>
      <c r="AZ1074" s="6">
        <v>0</v>
      </c>
      <c r="BA1074" s="5">
        <v>0</v>
      </c>
      <c r="BB1074" s="6">
        <v>0</v>
      </c>
      <c r="BC1074" s="5">
        <v>0</v>
      </c>
      <c r="BD1074" s="6">
        <v>0</v>
      </c>
      <c r="BE1074" s="5">
        <v>0</v>
      </c>
      <c r="BF1074" s="6">
        <v>0</v>
      </c>
      <c r="BG1074" s="5">
        <v>0</v>
      </c>
      <c r="BH1074" s="9">
        <f t="shared" si="130"/>
        <v>220</v>
      </c>
      <c r="BI1074" s="10">
        <f t="shared" si="131"/>
        <v>2318.456124196608</v>
      </c>
      <c r="BJ1074" s="6">
        <f t="shared" si="132"/>
        <v>22.152865161357312</v>
      </c>
      <c r="BK1074" s="11">
        <f t="shared" si="133"/>
        <v>0.11196960309495725</v>
      </c>
      <c r="BL1074" s="5">
        <f t="shared" si="134"/>
        <v>318.2215909779311</v>
      </c>
      <c r="BM1074" s="11">
        <f t="shared" si="135"/>
        <v>0.15909213929321822</v>
      </c>
    </row>
    <row r="1075" spans="1:65" ht="15" customHeight="1" x14ac:dyDescent="0.4">
      <c r="A1075" s="2" t="s">
        <v>745</v>
      </c>
      <c r="B1075" s="2" t="s">
        <v>66</v>
      </c>
      <c r="C1075" s="2" t="s">
        <v>752</v>
      </c>
      <c r="D1075" s="3" t="s">
        <v>68</v>
      </c>
      <c r="E1075" s="3" t="s">
        <v>218</v>
      </c>
      <c r="F1075" s="2" t="s">
        <v>621</v>
      </c>
      <c r="G1075" s="4">
        <v>5</v>
      </c>
      <c r="H1075" s="5">
        <v>3.52</v>
      </c>
      <c r="I1075" s="5">
        <v>3.6691689403704988</v>
      </c>
      <c r="J1075" s="6">
        <v>0</v>
      </c>
      <c r="K1075" s="5">
        <v>0</v>
      </c>
      <c r="L1075" s="6">
        <v>0</v>
      </c>
      <c r="M1075" s="5">
        <v>0</v>
      </c>
      <c r="N1075" s="6">
        <v>98.92356741932133</v>
      </c>
      <c r="O1075" s="5">
        <v>348.21095731601099</v>
      </c>
      <c r="P1075" s="6">
        <v>0</v>
      </c>
      <c r="Q1075" s="5">
        <v>0</v>
      </c>
      <c r="R1075" s="6">
        <v>0</v>
      </c>
      <c r="S1075" s="5">
        <v>0</v>
      </c>
      <c r="T1075" s="6">
        <v>0</v>
      </c>
      <c r="U1075" s="5">
        <v>0</v>
      </c>
      <c r="V1075" s="6">
        <v>0</v>
      </c>
      <c r="W1075" s="5">
        <v>0</v>
      </c>
      <c r="X1075" s="6">
        <v>0</v>
      </c>
      <c r="Y1075" s="5">
        <v>0</v>
      </c>
      <c r="Z1075" s="6">
        <v>0</v>
      </c>
      <c r="AA1075" s="5">
        <v>0</v>
      </c>
      <c r="AB1075" s="6">
        <v>0</v>
      </c>
      <c r="AC1075" s="5">
        <v>0</v>
      </c>
      <c r="AD1075" s="6">
        <v>0</v>
      </c>
      <c r="AE1075" s="5">
        <v>0</v>
      </c>
      <c r="AF1075" s="6">
        <v>0</v>
      </c>
      <c r="AG1075" s="5">
        <v>0</v>
      </c>
      <c r="AH1075" s="7">
        <f t="shared" si="128"/>
        <v>98.92356741932133</v>
      </c>
      <c r="AI1075" s="8">
        <f t="shared" si="129"/>
        <v>348.21095731601099</v>
      </c>
      <c r="AJ1075" s="6">
        <v>0</v>
      </c>
      <c r="AK1075" s="5">
        <v>0</v>
      </c>
      <c r="AL1075" s="6">
        <v>0</v>
      </c>
      <c r="AM1075" s="5">
        <v>0</v>
      </c>
      <c r="AN1075" s="6">
        <v>110</v>
      </c>
      <c r="AO1075" s="5">
        <v>403.6085834407549</v>
      </c>
      <c r="AP1075" s="6">
        <v>0</v>
      </c>
      <c r="AQ1075" s="5">
        <v>0</v>
      </c>
      <c r="AR1075" s="6">
        <v>0</v>
      </c>
      <c r="AS1075" s="5">
        <v>0</v>
      </c>
      <c r="AT1075" s="6">
        <v>0</v>
      </c>
      <c r="AU1075" s="5">
        <v>0</v>
      </c>
      <c r="AV1075" s="6">
        <v>0</v>
      </c>
      <c r="AW1075" s="5">
        <v>0</v>
      </c>
      <c r="AX1075" s="6">
        <v>0</v>
      </c>
      <c r="AY1075" s="5">
        <v>0</v>
      </c>
      <c r="AZ1075" s="6">
        <v>0</v>
      </c>
      <c r="BA1075" s="5">
        <v>0</v>
      </c>
      <c r="BB1075" s="6">
        <v>0</v>
      </c>
      <c r="BC1075" s="5">
        <v>0</v>
      </c>
      <c r="BD1075" s="6">
        <v>0</v>
      </c>
      <c r="BE1075" s="5">
        <v>0</v>
      </c>
      <c r="BF1075" s="6">
        <v>0</v>
      </c>
      <c r="BG1075" s="5">
        <v>0</v>
      </c>
      <c r="BH1075" s="9">
        <f t="shared" si="130"/>
        <v>110</v>
      </c>
      <c r="BI1075" s="10">
        <f t="shared" si="131"/>
        <v>403.6085834407549</v>
      </c>
      <c r="BJ1075" s="6">
        <f t="shared" si="132"/>
        <v>11.07643258067867</v>
      </c>
      <c r="BK1075" s="11">
        <f t="shared" si="133"/>
        <v>0.11196960309495742</v>
      </c>
      <c r="BL1075" s="5">
        <f t="shared" si="134"/>
        <v>55.397626124743908</v>
      </c>
      <c r="BM1075" s="11">
        <f t="shared" si="135"/>
        <v>0.15909213929321886</v>
      </c>
    </row>
    <row r="1076" spans="1:65" ht="15" customHeight="1" x14ac:dyDescent="0.4">
      <c r="A1076" s="2" t="s">
        <v>745</v>
      </c>
      <c r="B1076" s="2" t="s">
        <v>66</v>
      </c>
      <c r="C1076" s="2" t="s">
        <v>752</v>
      </c>
      <c r="D1076" s="3" t="s">
        <v>68</v>
      </c>
      <c r="E1076" s="3" t="s">
        <v>218</v>
      </c>
      <c r="F1076" s="2" t="s">
        <v>219</v>
      </c>
      <c r="G1076" s="4">
        <v>5</v>
      </c>
      <c r="H1076" s="5">
        <v>3.7</v>
      </c>
      <c r="I1076" s="5">
        <v>3.8567968975485352</v>
      </c>
      <c r="J1076" s="6">
        <v>0</v>
      </c>
      <c r="K1076" s="5">
        <v>0</v>
      </c>
      <c r="L1076" s="6">
        <v>0</v>
      </c>
      <c r="M1076" s="5">
        <v>0</v>
      </c>
      <c r="N1076" s="6">
        <v>0</v>
      </c>
      <c r="O1076" s="5">
        <v>0</v>
      </c>
      <c r="P1076" s="6">
        <v>0</v>
      </c>
      <c r="Q1076" s="5">
        <v>0</v>
      </c>
      <c r="R1076" s="6">
        <v>0</v>
      </c>
      <c r="S1076" s="5">
        <v>0</v>
      </c>
      <c r="T1076" s="6">
        <v>0</v>
      </c>
      <c r="U1076" s="5">
        <v>0</v>
      </c>
      <c r="V1076" s="6">
        <v>370.96337782245502</v>
      </c>
      <c r="W1076" s="5">
        <v>1372.5644979430831</v>
      </c>
      <c r="X1076" s="6">
        <v>0</v>
      </c>
      <c r="Y1076" s="5">
        <v>0</v>
      </c>
      <c r="Z1076" s="6">
        <v>0</v>
      </c>
      <c r="AA1076" s="5">
        <v>0</v>
      </c>
      <c r="AB1076" s="6">
        <v>0</v>
      </c>
      <c r="AC1076" s="5">
        <v>0</v>
      </c>
      <c r="AD1076" s="6">
        <v>0</v>
      </c>
      <c r="AE1076" s="5">
        <v>0</v>
      </c>
      <c r="AF1076" s="6">
        <v>0</v>
      </c>
      <c r="AG1076" s="5">
        <v>0</v>
      </c>
      <c r="AH1076" s="7">
        <f t="shared" si="128"/>
        <v>370.96337782245502</v>
      </c>
      <c r="AI1076" s="8">
        <f t="shared" si="129"/>
        <v>1372.5644979430831</v>
      </c>
      <c r="AJ1076" s="6">
        <v>0</v>
      </c>
      <c r="AK1076" s="5">
        <v>0</v>
      </c>
      <c r="AL1076" s="6">
        <v>0</v>
      </c>
      <c r="AM1076" s="5">
        <v>0</v>
      </c>
      <c r="AN1076" s="6">
        <v>0</v>
      </c>
      <c r="AO1076" s="5">
        <v>0</v>
      </c>
      <c r="AP1076" s="6">
        <v>0</v>
      </c>
      <c r="AQ1076" s="5">
        <v>0</v>
      </c>
      <c r="AR1076" s="6">
        <v>0</v>
      </c>
      <c r="AS1076" s="5">
        <v>0</v>
      </c>
      <c r="AT1076" s="6">
        <v>0</v>
      </c>
      <c r="AU1076" s="5">
        <v>0</v>
      </c>
      <c r="AV1076" s="6">
        <v>405</v>
      </c>
      <c r="AW1076" s="5">
        <v>1562.002743507157</v>
      </c>
      <c r="AX1076" s="6">
        <v>0</v>
      </c>
      <c r="AY1076" s="5">
        <v>0</v>
      </c>
      <c r="AZ1076" s="6">
        <v>0</v>
      </c>
      <c r="BA1076" s="5">
        <v>0</v>
      </c>
      <c r="BB1076" s="6">
        <v>0</v>
      </c>
      <c r="BC1076" s="5">
        <v>0</v>
      </c>
      <c r="BD1076" s="6">
        <v>0</v>
      </c>
      <c r="BE1076" s="5">
        <v>0</v>
      </c>
      <c r="BF1076" s="6">
        <v>0</v>
      </c>
      <c r="BG1076" s="5">
        <v>0</v>
      </c>
      <c r="BH1076" s="9">
        <f t="shared" si="130"/>
        <v>405</v>
      </c>
      <c r="BI1076" s="10">
        <f t="shared" si="131"/>
        <v>1562.002743507157</v>
      </c>
      <c r="BJ1076" s="6">
        <f t="shared" si="132"/>
        <v>34.036622177544984</v>
      </c>
      <c r="BK1076" s="11">
        <f t="shared" si="133"/>
        <v>9.1751973947776289E-2</v>
      </c>
      <c r="BL1076" s="5">
        <f t="shared" si="134"/>
        <v>189.4382455640739</v>
      </c>
      <c r="BM1076" s="11">
        <f t="shared" si="135"/>
        <v>0.13801773676061482</v>
      </c>
    </row>
    <row r="1077" spans="1:65" ht="15" customHeight="1" x14ac:dyDescent="0.4">
      <c r="A1077" s="2" t="s">
        <v>745</v>
      </c>
      <c r="B1077" s="2" t="s">
        <v>66</v>
      </c>
      <c r="C1077" s="2" t="s">
        <v>752</v>
      </c>
      <c r="D1077" s="3" t="s">
        <v>68</v>
      </c>
      <c r="E1077" s="3" t="s">
        <v>253</v>
      </c>
      <c r="F1077" s="2" t="s">
        <v>254</v>
      </c>
      <c r="G1077" s="4">
        <v>20</v>
      </c>
      <c r="H1077" s="5">
        <v>3.38</v>
      </c>
      <c r="I1077" s="5">
        <v>3.5232360847875821</v>
      </c>
      <c r="J1077" s="6">
        <v>0</v>
      </c>
      <c r="K1077" s="5">
        <v>0</v>
      </c>
      <c r="L1077" s="6">
        <v>1582.7770787091411</v>
      </c>
      <c r="M1077" s="5">
        <v>5349.7865260368972</v>
      </c>
      <c r="N1077" s="6">
        <v>3956.9426967728532</v>
      </c>
      <c r="O1077" s="5">
        <v>13374.466315092241</v>
      </c>
      <c r="P1077" s="6">
        <v>0</v>
      </c>
      <c r="Q1077" s="5">
        <v>0</v>
      </c>
      <c r="R1077" s="6">
        <v>0</v>
      </c>
      <c r="S1077" s="5">
        <v>0</v>
      </c>
      <c r="T1077" s="6">
        <v>0</v>
      </c>
      <c r="U1077" s="5">
        <v>0</v>
      </c>
      <c r="V1077" s="6">
        <v>0</v>
      </c>
      <c r="W1077" s="5">
        <v>0</v>
      </c>
      <c r="X1077" s="6">
        <v>0</v>
      </c>
      <c r="Y1077" s="5">
        <v>0</v>
      </c>
      <c r="Z1077" s="6">
        <v>0</v>
      </c>
      <c r="AA1077" s="5">
        <v>0</v>
      </c>
      <c r="AB1077" s="6">
        <v>0</v>
      </c>
      <c r="AC1077" s="5">
        <v>0</v>
      </c>
      <c r="AD1077" s="6">
        <v>0</v>
      </c>
      <c r="AE1077" s="5">
        <v>0</v>
      </c>
      <c r="AF1077" s="6">
        <v>0</v>
      </c>
      <c r="AG1077" s="5">
        <v>0</v>
      </c>
      <c r="AH1077" s="7">
        <f t="shared" si="128"/>
        <v>5539.7197754819945</v>
      </c>
      <c r="AI1077" s="8">
        <f t="shared" si="129"/>
        <v>18724.252841129139</v>
      </c>
      <c r="AJ1077" s="6">
        <v>0</v>
      </c>
      <c r="AK1077" s="5">
        <v>0</v>
      </c>
      <c r="AL1077" s="6">
        <v>1720</v>
      </c>
      <c r="AM1077" s="5">
        <v>6059.9660658346402</v>
      </c>
      <c r="AN1077" s="6">
        <v>4300</v>
      </c>
      <c r="AO1077" s="5">
        <v>15149.9151645866</v>
      </c>
      <c r="AP1077" s="6">
        <v>0</v>
      </c>
      <c r="AQ1077" s="5">
        <v>0</v>
      </c>
      <c r="AR1077" s="6">
        <v>0</v>
      </c>
      <c r="AS1077" s="5">
        <v>0</v>
      </c>
      <c r="AT1077" s="6">
        <v>0</v>
      </c>
      <c r="AU1077" s="5">
        <v>0</v>
      </c>
      <c r="AV1077" s="6">
        <v>0</v>
      </c>
      <c r="AW1077" s="5">
        <v>0</v>
      </c>
      <c r="AX1077" s="6">
        <v>0</v>
      </c>
      <c r="AY1077" s="5">
        <v>0</v>
      </c>
      <c r="AZ1077" s="6">
        <v>0</v>
      </c>
      <c r="BA1077" s="5">
        <v>0</v>
      </c>
      <c r="BB1077" s="6">
        <v>0</v>
      </c>
      <c r="BC1077" s="5">
        <v>0</v>
      </c>
      <c r="BD1077" s="6">
        <v>0</v>
      </c>
      <c r="BE1077" s="5">
        <v>0</v>
      </c>
      <c r="BF1077" s="6">
        <v>0</v>
      </c>
      <c r="BG1077" s="5">
        <v>0</v>
      </c>
      <c r="BH1077" s="9">
        <f t="shared" si="130"/>
        <v>6020</v>
      </c>
      <c r="BI1077" s="10">
        <f t="shared" si="131"/>
        <v>21209.881230421241</v>
      </c>
      <c r="BJ1077" s="6">
        <f t="shared" si="132"/>
        <v>480.28022451800553</v>
      </c>
      <c r="BK1077" s="11">
        <f t="shared" si="133"/>
        <v>8.6697566660981107E-2</v>
      </c>
      <c r="BL1077" s="5">
        <f t="shared" si="134"/>
        <v>2485.6283892921019</v>
      </c>
      <c r="BM1077" s="11">
        <f t="shared" si="135"/>
        <v>0.13274913612746375</v>
      </c>
    </row>
    <row r="1078" spans="1:65" ht="15" customHeight="1" x14ac:dyDescent="0.4">
      <c r="A1078" s="2" t="s">
        <v>745</v>
      </c>
      <c r="B1078" s="2" t="s">
        <v>66</v>
      </c>
      <c r="C1078" s="2" t="s">
        <v>752</v>
      </c>
      <c r="D1078" s="3" t="s">
        <v>68</v>
      </c>
      <c r="E1078" s="3" t="s">
        <v>253</v>
      </c>
      <c r="F1078" s="2" t="s">
        <v>548</v>
      </c>
      <c r="G1078" s="4">
        <v>20</v>
      </c>
      <c r="H1078" s="5">
        <v>3.4120873168084098</v>
      </c>
      <c r="I1078" s="5">
        <v>3.5573171169097382</v>
      </c>
      <c r="J1078" s="6">
        <v>0</v>
      </c>
      <c r="K1078" s="5">
        <v>0</v>
      </c>
      <c r="L1078" s="6">
        <v>0</v>
      </c>
      <c r="M1078" s="5">
        <v>0</v>
      </c>
      <c r="N1078" s="6">
        <v>0</v>
      </c>
      <c r="O1078" s="5">
        <v>0</v>
      </c>
      <c r="P1078" s="6">
        <v>395.69426967728532</v>
      </c>
      <c r="Q1078" s="5">
        <v>1388.8868865672709</v>
      </c>
      <c r="R1078" s="6">
        <v>0</v>
      </c>
      <c r="S1078" s="5">
        <v>0</v>
      </c>
      <c r="T1078" s="6">
        <v>0</v>
      </c>
      <c r="U1078" s="5">
        <v>0</v>
      </c>
      <c r="V1078" s="6">
        <v>791.38853935457064</v>
      </c>
      <c r="W1078" s="5">
        <v>2809.429314708726</v>
      </c>
      <c r="X1078" s="6">
        <v>0</v>
      </c>
      <c r="Y1078" s="5">
        <v>0</v>
      </c>
      <c r="Z1078" s="6">
        <v>0</v>
      </c>
      <c r="AA1078" s="5">
        <v>0</v>
      </c>
      <c r="AB1078" s="6">
        <v>758.39691143871141</v>
      </c>
      <c r="AC1078" s="5">
        <v>2513.7734803381468</v>
      </c>
      <c r="AD1078" s="6">
        <v>758.39691143871141</v>
      </c>
      <c r="AE1078" s="5">
        <v>2513.7734803381468</v>
      </c>
      <c r="AF1078" s="6">
        <v>0</v>
      </c>
      <c r="AG1078" s="5">
        <v>0</v>
      </c>
      <c r="AH1078" s="7">
        <f t="shared" si="128"/>
        <v>2703.8766319092788</v>
      </c>
      <c r="AI1078" s="8">
        <f t="shared" si="129"/>
        <v>9225.8631619522894</v>
      </c>
      <c r="AJ1078" s="6">
        <v>0</v>
      </c>
      <c r="AK1078" s="5">
        <v>0</v>
      </c>
      <c r="AL1078" s="6">
        <v>0</v>
      </c>
      <c r="AM1078" s="5">
        <v>0</v>
      </c>
      <c r="AN1078" s="6">
        <v>0</v>
      </c>
      <c r="AO1078" s="5">
        <v>0</v>
      </c>
      <c r="AP1078" s="6">
        <v>440</v>
      </c>
      <c r="AQ1078" s="5">
        <v>1609.8478725875559</v>
      </c>
      <c r="AR1078" s="6">
        <v>0</v>
      </c>
      <c r="AS1078" s="5">
        <v>0</v>
      </c>
      <c r="AT1078" s="6">
        <v>0</v>
      </c>
      <c r="AU1078" s="5">
        <v>0</v>
      </c>
      <c r="AV1078" s="6">
        <v>860</v>
      </c>
      <c r="AW1078" s="5">
        <v>3182.3786292474811</v>
      </c>
      <c r="AX1078" s="6">
        <v>0</v>
      </c>
      <c r="AY1078" s="5">
        <v>0</v>
      </c>
      <c r="AZ1078" s="6">
        <v>0</v>
      </c>
      <c r="BA1078" s="5">
        <v>0</v>
      </c>
      <c r="BB1078" s="6">
        <v>820</v>
      </c>
      <c r="BC1078" s="5">
        <v>2833.1429109397959</v>
      </c>
      <c r="BD1078" s="6">
        <v>820</v>
      </c>
      <c r="BE1078" s="5">
        <v>2833.1429109397959</v>
      </c>
      <c r="BF1078" s="6">
        <v>0</v>
      </c>
      <c r="BG1078" s="5">
        <v>0</v>
      </c>
      <c r="BH1078" s="9">
        <f t="shared" si="130"/>
        <v>2940</v>
      </c>
      <c r="BI1078" s="10">
        <f t="shared" si="131"/>
        <v>10458.512323714629</v>
      </c>
      <c r="BJ1078" s="6">
        <f t="shared" si="132"/>
        <v>236.12336809072121</v>
      </c>
      <c r="BK1078" s="11">
        <f t="shared" si="133"/>
        <v>8.7327715068119899E-2</v>
      </c>
      <c r="BL1078" s="5">
        <f t="shared" si="134"/>
        <v>1232.6491617623396</v>
      </c>
      <c r="BM1078" s="11">
        <f t="shared" si="135"/>
        <v>0.13360800394762176</v>
      </c>
    </row>
    <row r="1079" spans="1:65" ht="15" customHeight="1" x14ac:dyDescent="0.4">
      <c r="A1079" s="2" t="s">
        <v>745</v>
      </c>
      <c r="B1079" s="2" t="s">
        <v>66</v>
      </c>
      <c r="C1079" s="2" t="s">
        <v>752</v>
      </c>
      <c r="D1079" s="3" t="s">
        <v>68</v>
      </c>
      <c r="E1079" s="3" t="s">
        <v>571</v>
      </c>
      <c r="F1079" s="2" t="s">
        <v>572</v>
      </c>
      <c r="G1079" s="4">
        <v>1</v>
      </c>
      <c r="H1079" s="5">
        <v>11.41</v>
      </c>
      <c r="I1079" s="5">
        <v>11.893527730007779</v>
      </c>
      <c r="J1079" s="6">
        <v>0</v>
      </c>
      <c r="K1079" s="5">
        <v>0</v>
      </c>
      <c r="L1079" s="6">
        <v>0</v>
      </c>
      <c r="M1079" s="5">
        <v>0</v>
      </c>
      <c r="N1079" s="6">
        <v>23.741656180637118</v>
      </c>
      <c r="O1079" s="5">
        <v>264.24463329049121</v>
      </c>
      <c r="P1079" s="6">
        <v>0</v>
      </c>
      <c r="Q1079" s="5">
        <v>0</v>
      </c>
      <c r="R1079" s="6">
        <v>23.741656180637118</v>
      </c>
      <c r="S1079" s="5">
        <v>277.53996075164793</v>
      </c>
      <c r="T1079" s="6">
        <v>0</v>
      </c>
      <c r="U1079" s="5">
        <v>0</v>
      </c>
      <c r="V1079" s="6">
        <v>0</v>
      </c>
      <c r="W1079" s="5">
        <v>0</v>
      </c>
      <c r="X1079" s="6">
        <v>0</v>
      </c>
      <c r="Y1079" s="5">
        <v>0</v>
      </c>
      <c r="Z1079" s="6">
        <v>0</v>
      </c>
      <c r="AA1079" s="5">
        <v>0</v>
      </c>
      <c r="AB1079" s="6">
        <v>0</v>
      </c>
      <c r="AC1079" s="5">
        <v>0</v>
      </c>
      <c r="AD1079" s="6">
        <v>0</v>
      </c>
      <c r="AE1079" s="5">
        <v>0</v>
      </c>
      <c r="AF1079" s="6">
        <v>0</v>
      </c>
      <c r="AG1079" s="5">
        <v>0</v>
      </c>
      <c r="AH1079" s="7">
        <f t="shared" si="128"/>
        <v>47.483312361274237</v>
      </c>
      <c r="AI1079" s="8">
        <f t="shared" si="129"/>
        <v>541.78459404213913</v>
      </c>
      <c r="AJ1079" s="6">
        <v>0</v>
      </c>
      <c r="AK1079" s="5">
        <v>0</v>
      </c>
      <c r="AL1079" s="6">
        <v>0</v>
      </c>
      <c r="AM1079" s="5">
        <v>0</v>
      </c>
      <c r="AN1079" s="6">
        <v>29</v>
      </c>
      <c r="AO1079" s="5">
        <v>336.44819854641639</v>
      </c>
      <c r="AP1079" s="6">
        <v>0</v>
      </c>
      <c r="AQ1079" s="5">
        <v>0</v>
      </c>
      <c r="AR1079" s="6">
        <v>29</v>
      </c>
      <c r="AS1079" s="5">
        <v>353.376409794035</v>
      </c>
      <c r="AT1079" s="6">
        <v>0</v>
      </c>
      <c r="AU1079" s="5">
        <v>0</v>
      </c>
      <c r="AV1079" s="6">
        <v>0</v>
      </c>
      <c r="AW1079" s="5">
        <v>0</v>
      </c>
      <c r="AX1079" s="6">
        <v>0</v>
      </c>
      <c r="AY1079" s="5">
        <v>0</v>
      </c>
      <c r="AZ1079" s="6">
        <v>0</v>
      </c>
      <c r="BA1079" s="5">
        <v>0</v>
      </c>
      <c r="BB1079" s="6">
        <v>0</v>
      </c>
      <c r="BC1079" s="5">
        <v>0</v>
      </c>
      <c r="BD1079" s="6">
        <v>0</v>
      </c>
      <c r="BE1079" s="5">
        <v>0</v>
      </c>
      <c r="BF1079" s="6">
        <v>0</v>
      </c>
      <c r="BG1079" s="5">
        <v>0</v>
      </c>
      <c r="BH1079" s="9">
        <f t="shared" si="130"/>
        <v>58</v>
      </c>
      <c r="BI1079" s="10">
        <f t="shared" si="131"/>
        <v>689.82460834045139</v>
      </c>
      <c r="BJ1079" s="6">
        <f t="shared" si="132"/>
        <v>10.516687638725763</v>
      </c>
      <c r="BK1079" s="11">
        <f t="shared" si="133"/>
        <v>0.22148176097552144</v>
      </c>
      <c r="BL1079" s="5">
        <f t="shared" si="134"/>
        <v>148.04001429831226</v>
      </c>
      <c r="BM1079" s="11">
        <f t="shared" si="135"/>
        <v>0.27324515301148994</v>
      </c>
    </row>
    <row r="1080" spans="1:65" ht="15" customHeight="1" x14ac:dyDescent="0.4">
      <c r="A1080" s="2" t="s">
        <v>745</v>
      </c>
      <c r="B1080" s="2" t="s">
        <v>66</v>
      </c>
      <c r="C1080" s="2" t="s">
        <v>752</v>
      </c>
      <c r="D1080" s="3" t="s">
        <v>68</v>
      </c>
      <c r="E1080" s="3" t="s">
        <v>140</v>
      </c>
      <c r="F1080" s="2" t="s">
        <v>141</v>
      </c>
      <c r="G1080" s="4">
        <v>5</v>
      </c>
      <c r="H1080" s="5">
        <v>8.9944444444444436</v>
      </c>
      <c r="I1080" s="5">
        <v>9.3767920046558704</v>
      </c>
      <c r="J1080" s="6">
        <v>0</v>
      </c>
      <c r="K1080" s="5">
        <v>0</v>
      </c>
      <c r="L1080" s="6">
        <v>19.78471348386427</v>
      </c>
      <c r="M1080" s="5">
        <v>173.1162429838123</v>
      </c>
      <c r="N1080" s="6">
        <v>59.354140451592791</v>
      </c>
      <c r="O1080" s="5">
        <v>519.3487289514369</v>
      </c>
      <c r="P1080" s="6">
        <v>0</v>
      </c>
      <c r="Q1080" s="5">
        <v>0</v>
      </c>
      <c r="R1080" s="6">
        <v>59.354140451592791</v>
      </c>
      <c r="S1080" s="5">
        <v>545.46455075013773</v>
      </c>
      <c r="T1080" s="6">
        <v>0</v>
      </c>
      <c r="U1080" s="5">
        <v>0</v>
      </c>
      <c r="V1080" s="6">
        <v>39.569426967728532</v>
      </c>
      <c r="W1080" s="5">
        <v>363.64303383342519</v>
      </c>
      <c r="X1080" s="6">
        <v>0</v>
      </c>
      <c r="Y1080" s="5">
        <v>0</v>
      </c>
      <c r="Z1080" s="6">
        <v>0</v>
      </c>
      <c r="AA1080" s="5">
        <v>0</v>
      </c>
      <c r="AB1080" s="6">
        <v>0</v>
      </c>
      <c r="AC1080" s="5">
        <v>0</v>
      </c>
      <c r="AD1080" s="6">
        <v>0</v>
      </c>
      <c r="AE1080" s="5">
        <v>0</v>
      </c>
      <c r="AF1080" s="6">
        <v>0</v>
      </c>
      <c r="AG1080" s="5">
        <v>0</v>
      </c>
      <c r="AH1080" s="7">
        <f t="shared" si="128"/>
        <v>178.06242135477839</v>
      </c>
      <c r="AI1080" s="8">
        <f t="shared" si="129"/>
        <v>1601.5725565188122</v>
      </c>
      <c r="AJ1080" s="6">
        <v>0</v>
      </c>
      <c r="AK1080" s="5">
        <v>0</v>
      </c>
      <c r="AL1080" s="6">
        <v>25</v>
      </c>
      <c r="AM1080" s="5">
        <v>228.02008684830869</v>
      </c>
      <c r="AN1080" s="6">
        <v>70</v>
      </c>
      <c r="AO1080" s="5">
        <v>638.45624317526426</v>
      </c>
      <c r="AP1080" s="6">
        <v>0</v>
      </c>
      <c r="AQ1080" s="5">
        <v>0</v>
      </c>
      <c r="AR1080" s="6">
        <v>70</v>
      </c>
      <c r="AS1080" s="5">
        <v>670.56147140350618</v>
      </c>
      <c r="AT1080" s="6">
        <v>0</v>
      </c>
      <c r="AU1080" s="5">
        <v>0</v>
      </c>
      <c r="AV1080" s="6">
        <v>50</v>
      </c>
      <c r="AW1080" s="5">
        <v>478.97247957393301</v>
      </c>
      <c r="AX1080" s="6">
        <v>0</v>
      </c>
      <c r="AY1080" s="5">
        <v>0</v>
      </c>
      <c r="AZ1080" s="6">
        <v>0</v>
      </c>
      <c r="BA1080" s="5">
        <v>0</v>
      </c>
      <c r="BB1080" s="6">
        <v>0</v>
      </c>
      <c r="BC1080" s="5">
        <v>0</v>
      </c>
      <c r="BD1080" s="6">
        <v>0</v>
      </c>
      <c r="BE1080" s="5">
        <v>0</v>
      </c>
      <c r="BF1080" s="6">
        <v>0</v>
      </c>
      <c r="BG1080" s="5">
        <v>0</v>
      </c>
      <c r="BH1080" s="9">
        <f t="shared" si="130"/>
        <v>215</v>
      </c>
      <c r="BI1080" s="10">
        <f t="shared" si="131"/>
        <v>2016.0102810010121</v>
      </c>
      <c r="BJ1080" s="6">
        <f t="shared" si="132"/>
        <v>36.937578645221606</v>
      </c>
      <c r="BK1080" s="11">
        <f t="shared" si="133"/>
        <v>0.20744174073442345</v>
      </c>
      <c r="BL1080" s="5">
        <f t="shared" si="134"/>
        <v>414.43772448219988</v>
      </c>
      <c r="BM1080" s="11">
        <f t="shared" si="135"/>
        <v>0.2587692470099664</v>
      </c>
    </row>
    <row r="1081" spans="1:65" ht="15" customHeight="1" x14ac:dyDescent="0.4">
      <c r="A1081" s="2" t="s">
        <v>745</v>
      </c>
      <c r="B1081" s="2" t="s">
        <v>66</v>
      </c>
      <c r="C1081" s="2" t="s">
        <v>752</v>
      </c>
      <c r="D1081" s="3" t="s">
        <v>68</v>
      </c>
      <c r="E1081" s="3" t="s">
        <v>131</v>
      </c>
      <c r="F1081" s="2" t="s">
        <v>132</v>
      </c>
      <c r="G1081" s="4">
        <v>20</v>
      </c>
      <c r="H1081" s="5">
        <v>1.66</v>
      </c>
      <c r="I1081" s="5">
        <v>1.7303467161974511</v>
      </c>
      <c r="J1081" s="6">
        <v>0</v>
      </c>
      <c r="K1081" s="5">
        <v>0</v>
      </c>
      <c r="L1081" s="6">
        <v>0</v>
      </c>
      <c r="M1081" s="5">
        <v>0</v>
      </c>
      <c r="N1081" s="6">
        <v>0</v>
      </c>
      <c r="O1081" s="5">
        <v>0</v>
      </c>
      <c r="P1081" s="6">
        <v>0</v>
      </c>
      <c r="Q1081" s="5">
        <v>0</v>
      </c>
      <c r="R1081" s="6">
        <v>0</v>
      </c>
      <c r="S1081" s="5">
        <v>0</v>
      </c>
      <c r="T1081" s="6">
        <v>633.11083148365651</v>
      </c>
      <c r="U1081" s="5">
        <v>1050.9639802628701</v>
      </c>
      <c r="V1081" s="6">
        <v>2176.318483225069</v>
      </c>
      <c r="W1081" s="5">
        <v>3612.688682153615</v>
      </c>
      <c r="X1081" s="6">
        <v>0</v>
      </c>
      <c r="Y1081" s="5">
        <v>0</v>
      </c>
      <c r="Z1081" s="6">
        <v>0</v>
      </c>
      <c r="AA1081" s="5">
        <v>0</v>
      </c>
      <c r="AB1081" s="6">
        <v>0</v>
      </c>
      <c r="AC1081" s="5">
        <v>0</v>
      </c>
      <c r="AD1081" s="6">
        <v>0</v>
      </c>
      <c r="AE1081" s="5">
        <v>0</v>
      </c>
      <c r="AF1081" s="6">
        <v>0</v>
      </c>
      <c r="AG1081" s="5">
        <v>0</v>
      </c>
      <c r="AH1081" s="7">
        <f t="shared" si="128"/>
        <v>2809.4293147087255</v>
      </c>
      <c r="AI1081" s="8">
        <f t="shared" si="129"/>
        <v>4663.6526624164853</v>
      </c>
      <c r="AJ1081" s="6">
        <v>0</v>
      </c>
      <c r="AK1081" s="5">
        <v>0</v>
      </c>
      <c r="AL1081" s="6">
        <v>0</v>
      </c>
      <c r="AM1081" s="5">
        <v>0</v>
      </c>
      <c r="AN1081" s="6">
        <v>0</v>
      </c>
      <c r="AO1081" s="5">
        <v>0</v>
      </c>
      <c r="AP1081" s="6">
        <v>0</v>
      </c>
      <c r="AQ1081" s="5">
        <v>0</v>
      </c>
      <c r="AR1081" s="6">
        <v>0</v>
      </c>
      <c r="AS1081" s="5">
        <v>0</v>
      </c>
      <c r="AT1081" s="6">
        <v>680</v>
      </c>
      <c r="AU1081" s="5">
        <v>1176.635767014267</v>
      </c>
      <c r="AV1081" s="6">
        <v>2360</v>
      </c>
      <c r="AW1081" s="5">
        <v>4083.6182502259849</v>
      </c>
      <c r="AX1081" s="6">
        <v>0</v>
      </c>
      <c r="AY1081" s="5">
        <v>0</v>
      </c>
      <c r="AZ1081" s="6">
        <v>0</v>
      </c>
      <c r="BA1081" s="5">
        <v>0</v>
      </c>
      <c r="BB1081" s="6">
        <v>0</v>
      </c>
      <c r="BC1081" s="5">
        <v>0</v>
      </c>
      <c r="BD1081" s="6">
        <v>0</v>
      </c>
      <c r="BE1081" s="5">
        <v>0</v>
      </c>
      <c r="BF1081" s="6">
        <v>0</v>
      </c>
      <c r="BG1081" s="5">
        <v>0</v>
      </c>
      <c r="BH1081" s="9">
        <f t="shared" si="130"/>
        <v>3040</v>
      </c>
      <c r="BI1081" s="10">
        <f t="shared" si="131"/>
        <v>5260.2540172402514</v>
      </c>
      <c r="BJ1081" s="6">
        <f t="shared" si="132"/>
        <v>230.57068529127446</v>
      </c>
      <c r="BK1081" s="11">
        <f t="shared" si="133"/>
        <v>8.2070292384337648E-2</v>
      </c>
      <c r="BL1081" s="5">
        <f t="shared" si="134"/>
        <v>596.60135482376609</v>
      </c>
      <c r="BM1081" s="11">
        <f t="shared" si="135"/>
        <v>0.12792576935063499</v>
      </c>
    </row>
    <row r="1082" spans="1:65" ht="15" customHeight="1" x14ac:dyDescent="0.4">
      <c r="A1082" s="2" t="s">
        <v>775</v>
      </c>
      <c r="B1082" s="2" t="s">
        <v>776</v>
      </c>
      <c r="C1082" s="2" t="s">
        <v>777</v>
      </c>
      <c r="D1082" s="3" t="s">
        <v>68</v>
      </c>
      <c r="E1082" s="3" t="s">
        <v>778</v>
      </c>
      <c r="F1082" s="2" t="s">
        <v>779</v>
      </c>
      <c r="G1082" s="4">
        <v>20</v>
      </c>
      <c r="H1082" s="5">
        <v>1</v>
      </c>
      <c r="I1082" s="5">
        <v>1.042653447114583</v>
      </c>
      <c r="J1082" s="6">
        <v>0</v>
      </c>
      <c r="K1082" s="5">
        <v>0</v>
      </c>
      <c r="L1082" s="6">
        <v>0</v>
      </c>
      <c r="M1082" s="5">
        <v>0</v>
      </c>
      <c r="N1082" s="6">
        <v>274216.1288863587</v>
      </c>
      <c r="O1082" s="5">
        <v>274216.1288863587</v>
      </c>
      <c r="P1082" s="6">
        <v>0</v>
      </c>
      <c r="Q1082" s="5">
        <v>0</v>
      </c>
      <c r="R1082" s="6">
        <v>0</v>
      </c>
      <c r="S1082" s="5">
        <v>0</v>
      </c>
      <c r="T1082" s="6">
        <v>0</v>
      </c>
      <c r="U1082" s="5">
        <v>0</v>
      </c>
      <c r="V1082" s="6">
        <v>0</v>
      </c>
      <c r="W1082" s="5">
        <v>0</v>
      </c>
      <c r="X1082" s="6">
        <v>0</v>
      </c>
      <c r="Y1082" s="5">
        <v>0</v>
      </c>
      <c r="Z1082" s="6">
        <v>0</v>
      </c>
      <c r="AA1082" s="5">
        <v>0</v>
      </c>
      <c r="AB1082" s="6">
        <v>0</v>
      </c>
      <c r="AC1082" s="5">
        <v>0</v>
      </c>
      <c r="AD1082" s="6">
        <v>0</v>
      </c>
      <c r="AE1082" s="5">
        <v>0</v>
      </c>
      <c r="AF1082" s="6">
        <v>0</v>
      </c>
      <c r="AG1082" s="5">
        <v>0</v>
      </c>
      <c r="AH1082" s="7">
        <f t="shared" si="128"/>
        <v>274216.1288863587</v>
      </c>
      <c r="AI1082" s="8">
        <f t="shared" si="129"/>
        <v>274216.1288863587</v>
      </c>
      <c r="AJ1082" s="6">
        <v>0</v>
      </c>
      <c r="AK1082" s="5">
        <v>0</v>
      </c>
      <c r="AL1082" s="6">
        <v>0</v>
      </c>
      <c r="AM1082" s="5">
        <v>0</v>
      </c>
      <c r="AN1082" s="6">
        <v>302240</v>
      </c>
      <c r="AO1082" s="5">
        <v>315131.57785591169</v>
      </c>
      <c r="AP1082" s="6">
        <v>0</v>
      </c>
      <c r="AQ1082" s="5">
        <v>0</v>
      </c>
      <c r="AR1082" s="6">
        <v>0</v>
      </c>
      <c r="AS1082" s="5">
        <v>0</v>
      </c>
      <c r="AT1082" s="6">
        <v>0</v>
      </c>
      <c r="AU1082" s="5">
        <v>0</v>
      </c>
      <c r="AV1082" s="6">
        <v>0</v>
      </c>
      <c r="AW1082" s="5">
        <v>0</v>
      </c>
      <c r="AX1082" s="6">
        <v>0</v>
      </c>
      <c r="AY1082" s="5">
        <v>0</v>
      </c>
      <c r="AZ1082" s="6">
        <v>0</v>
      </c>
      <c r="BA1082" s="5">
        <v>0</v>
      </c>
      <c r="BB1082" s="6">
        <v>0</v>
      </c>
      <c r="BC1082" s="5">
        <v>0</v>
      </c>
      <c r="BD1082" s="6">
        <v>0</v>
      </c>
      <c r="BE1082" s="5">
        <v>0</v>
      </c>
      <c r="BF1082" s="6">
        <v>0</v>
      </c>
      <c r="BG1082" s="5">
        <v>0</v>
      </c>
      <c r="BH1082" s="9">
        <f t="shared" si="130"/>
        <v>302240</v>
      </c>
      <c r="BI1082" s="10">
        <f t="shared" si="131"/>
        <v>315131.57785591169</v>
      </c>
      <c r="BJ1082" s="6">
        <f t="shared" si="132"/>
        <v>28023.871113641304</v>
      </c>
      <c r="BK1082" s="11">
        <f t="shared" si="133"/>
        <v>0.1021962903037517</v>
      </c>
      <c r="BL1082" s="5">
        <f t="shared" si="134"/>
        <v>40915.448969552992</v>
      </c>
      <c r="BM1082" s="11">
        <f t="shared" si="135"/>
        <v>0.14920876148211279</v>
      </c>
    </row>
    <row r="1083" spans="1:65" ht="15" customHeight="1" x14ac:dyDescent="0.4">
      <c r="A1083" s="2" t="s">
        <v>775</v>
      </c>
      <c r="B1083" s="2" t="s">
        <v>776</v>
      </c>
      <c r="C1083" s="2" t="s">
        <v>777</v>
      </c>
      <c r="D1083" s="3" t="s">
        <v>68</v>
      </c>
      <c r="E1083" s="3" t="s">
        <v>778</v>
      </c>
      <c r="F1083" s="2" t="s">
        <v>87</v>
      </c>
      <c r="G1083" s="4">
        <v>20</v>
      </c>
      <c r="H1083" s="5">
        <v>1</v>
      </c>
      <c r="I1083" s="5">
        <v>1.0427914281209361</v>
      </c>
      <c r="J1083" s="6">
        <v>0</v>
      </c>
      <c r="K1083" s="5">
        <v>0</v>
      </c>
      <c r="L1083" s="6">
        <v>0</v>
      </c>
      <c r="M1083" s="5">
        <v>0</v>
      </c>
      <c r="N1083" s="6">
        <v>0</v>
      </c>
      <c r="O1083" s="5">
        <v>0</v>
      </c>
      <c r="P1083" s="6">
        <v>91405.376295452908</v>
      </c>
      <c r="Q1083" s="5">
        <v>91405.376295452908</v>
      </c>
      <c r="R1083" s="6">
        <v>0</v>
      </c>
      <c r="S1083" s="5">
        <v>0</v>
      </c>
      <c r="T1083" s="6">
        <v>0</v>
      </c>
      <c r="U1083" s="5">
        <v>0</v>
      </c>
      <c r="V1083" s="6">
        <v>0</v>
      </c>
      <c r="W1083" s="5">
        <v>0</v>
      </c>
      <c r="X1083" s="6">
        <v>0</v>
      </c>
      <c r="Y1083" s="5">
        <v>0</v>
      </c>
      <c r="Z1083" s="6">
        <v>0</v>
      </c>
      <c r="AA1083" s="5">
        <v>0</v>
      </c>
      <c r="AB1083" s="6">
        <v>0</v>
      </c>
      <c r="AC1083" s="5">
        <v>0</v>
      </c>
      <c r="AD1083" s="6">
        <v>0</v>
      </c>
      <c r="AE1083" s="5">
        <v>0</v>
      </c>
      <c r="AF1083" s="6">
        <v>0</v>
      </c>
      <c r="AG1083" s="5">
        <v>0</v>
      </c>
      <c r="AH1083" s="7">
        <f t="shared" si="128"/>
        <v>91405.376295452908</v>
      </c>
      <c r="AI1083" s="8">
        <f t="shared" si="129"/>
        <v>91405.376295452908</v>
      </c>
      <c r="AJ1083" s="6">
        <v>0</v>
      </c>
      <c r="AK1083" s="5">
        <v>0</v>
      </c>
      <c r="AL1083" s="6">
        <v>0</v>
      </c>
      <c r="AM1083" s="5">
        <v>0</v>
      </c>
      <c r="AN1083" s="6">
        <v>0</v>
      </c>
      <c r="AO1083" s="5">
        <v>0</v>
      </c>
      <c r="AP1083" s="6">
        <v>100740</v>
      </c>
      <c r="AQ1083" s="5">
        <v>105050.80846890309</v>
      </c>
      <c r="AR1083" s="6">
        <v>0</v>
      </c>
      <c r="AS1083" s="5">
        <v>0</v>
      </c>
      <c r="AT1083" s="6">
        <v>0</v>
      </c>
      <c r="AU1083" s="5">
        <v>0</v>
      </c>
      <c r="AV1083" s="6">
        <v>0</v>
      </c>
      <c r="AW1083" s="5">
        <v>0</v>
      </c>
      <c r="AX1083" s="6">
        <v>0</v>
      </c>
      <c r="AY1083" s="5">
        <v>0</v>
      </c>
      <c r="AZ1083" s="6">
        <v>0</v>
      </c>
      <c r="BA1083" s="5">
        <v>0</v>
      </c>
      <c r="BB1083" s="6">
        <v>0</v>
      </c>
      <c r="BC1083" s="5">
        <v>0</v>
      </c>
      <c r="BD1083" s="6">
        <v>0</v>
      </c>
      <c r="BE1083" s="5">
        <v>0</v>
      </c>
      <c r="BF1083" s="6">
        <v>0</v>
      </c>
      <c r="BG1083" s="5">
        <v>0</v>
      </c>
      <c r="BH1083" s="9">
        <f t="shared" si="130"/>
        <v>100740</v>
      </c>
      <c r="BI1083" s="10">
        <f t="shared" si="131"/>
        <v>105050.80846890309</v>
      </c>
      <c r="BJ1083" s="6">
        <f t="shared" si="132"/>
        <v>9334.6237045470916</v>
      </c>
      <c r="BK1083" s="11">
        <f t="shared" si="133"/>
        <v>0.10212335513366795</v>
      </c>
      <c r="BL1083" s="5">
        <f t="shared" si="134"/>
        <v>13645.432173450186</v>
      </c>
      <c r="BM1083" s="11">
        <f t="shared" si="135"/>
        <v>0.14928478746527515</v>
      </c>
    </row>
    <row r="1084" spans="1:65" ht="15" customHeight="1" x14ac:dyDescent="0.4">
      <c r="A1084" s="2" t="s">
        <v>775</v>
      </c>
      <c r="B1084" s="2" t="s">
        <v>776</v>
      </c>
      <c r="C1084" s="2" t="s">
        <v>777</v>
      </c>
      <c r="D1084" s="3" t="s">
        <v>68</v>
      </c>
      <c r="E1084" s="3" t="s">
        <v>778</v>
      </c>
      <c r="F1084" s="2" t="s">
        <v>780</v>
      </c>
      <c r="G1084" s="4">
        <v>20</v>
      </c>
      <c r="H1084" s="5">
        <v>0.98709677419354835</v>
      </c>
      <c r="I1084" s="5">
        <v>1.0293201169971169</v>
      </c>
      <c r="J1084" s="6">
        <v>0</v>
      </c>
      <c r="K1084" s="5">
        <v>0</v>
      </c>
      <c r="L1084" s="6">
        <v>0</v>
      </c>
      <c r="M1084" s="5">
        <v>0</v>
      </c>
      <c r="N1084" s="6">
        <v>0</v>
      </c>
      <c r="O1084" s="5">
        <v>0</v>
      </c>
      <c r="P1084" s="6">
        <v>0</v>
      </c>
      <c r="Q1084" s="5">
        <v>0</v>
      </c>
      <c r="R1084" s="6">
        <v>274216.1288863587</v>
      </c>
      <c r="S1084" s="5">
        <v>274216.1288863587</v>
      </c>
      <c r="T1084" s="6">
        <v>251364.78481249549</v>
      </c>
      <c r="U1084" s="5">
        <v>251364.78481249549</v>
      </c>
      <c r="V1084" s="6">
        <v>182810.75259090579</v>
      </c>
      <c r="W1084" s="5">
        <v>173670.2149613605</v>
      </c>
      <c r="X1084" s="6">
        <v>0</v>
      </c>
      <c r="Y1084" s="5">
        <v>0</v>
      </c>
      <c r="Z1084" s="6">
        <v>0</v>
      </c>
      <c r="AA1084" s="5">
        <v>0</v>
      </c>
      <c r="AB1084" s="6">
        <v>0</v>
      </c>
      <c r="AC1084" s="5">
        <v>0</v>
      </c>
      <c r="AD1084" s="6">
        <v>0</v>
      </c>
      <c r="AE1084" s="5">
        <v>0</v>
      </c>
      <c r="AF1084" s="6">
        <v>0</v>
      </c>
      <c r="AG1084" s="5">
        <v>0</v>
      </c>
      <c r="AH1084" s="7">
        <f t="shared" si="128"/>
        <v>708391.66628975992</v>
      </c>
      <c r="AI1084" s="8">
        <f t="shared" si="129"/>
        <v>699251.1286602146</v>
      </c>
      <c r="AJ1084" s="6">
        <v>0</v>
      </c>
      <c r="AK1084" s="5">
        <v>0</v>
      </c>
      <c r="AL1084" s="6">
        <v>0</v>
      </c>
      <c r="AM1084" s="5">
        <v>0</v>
      </c>
      <c r="AN1084" s="6">
        <v>0</v>
      </c>
      <c r="AO1084" s="5">
        <v>0</v>
      </c>
      <c r="AP1084" s="6">
        <v>0</v>
      </c>
      <c r="AQ1084" s="5">
        <v>0</v>
      </c>
      <c r="AR1084" s="6">
        <v>302240</v>
      </c>
      <c r="AS1084" s="5">
        <v>315131.57785591169</v>
      </c>
      <c r="AT1084" s="6">
        <v>277060</v>
      </c>
      <c r="AU1084" s="5">
        <v>288863.66385098652</v>
      </c>
      <c r="AV1084" s="6">
        <v>201440</v>
      </c>
      <c r="AW1084" s="5">
        <v>199636.14643743119</v>
      </c>
      <c r="AX1084" s="6">
        <v>0</v>
      </c>
      <c r="AY1084" s="5">
        <v>0</v>
      </c>
      <c r="AZ1084" s="6">
        <v>0</v>
      </c>
      <c r="BA1084" s="5">
        <v>0</v>
      </c>
      <c r="BB1084" s="6">
        <v>0</v>
      </c>
      <c r="BC1084" s="5">
        <v>0</v>
      </c>
      <c r="BD1084" s="6">
        <v>0</v>
      </c>
      <c r="BE1084" s="5">
        <v>0</v>
      </c>
      <c r="BF1084" s="6">
        <v>0</v>
      </c>
      <c r="BG1084" s="5">
        <v>0</v>
      </c>
      <c r="BH1084" s="9">
        <f t="shared" si="130"/>
        <v>780740</v>
      </c>
      <c r="BI1084" s="10">
        <f t="shared" si="131"/>
        <v>803631.38814432942</v>
      </c>
      <c r="BJ1084" s="6">
        <f t="shared" si="132"/>
        <v>72348.333710240084</v>
      </c>
      <c r="BK1084" s="11">
        <f t="shared" si="133"/>
        <v>0.1021304133759343</v>
      </c>
      <c r="BL1084" s="5">
        <f t="shared" si="134"/>
        <v>104380.25948411482</v>
      </c>
      <c r="BM1084" s="11">
        <f t="shared" si="135"/>
        <v>0.14927435252640983</v>
      </c>
    </row>
    <row r="1085" spans="1:65" ht="15" customHeight="1" x14ac:dyDescent="0.4">
      <c r="A1085" s="2" t="s">
        <v>775</v>
      </c>
      <c r="B1085" s="2" t="s">
        <v>776</v>
      </c>
      <c r="C1085" s="2" t="s">
        <v>777</v>
      </c>
      <c r="D1085" s="3" t="s">
        <v>68</v>
      </c>
      <c r="E1085" s="3" t="s">
        <v>781</v>
      </c>
      <c r="F1085" s="2" t="s">
        <v>782</v>
      </c>
      <c r="G1085" s="4">
        <v>20</v>
      </c>
      <c r="H1085" s="5">
        <v>1.54</v>
      </c>
      <c r="I1085" s="5">
        <v>1.6059044591132861</v>
      </c>
      <c r="J1085" s="6">
        <v>0</v>
      </c>
      <c r="K1085" s="5">
        <v>0</v>
      </c>
      <c r="L1085" s="6">
        <v>0</v>
      </c>
      <c r="M1085" s="5">
        <v>0</v>
      </c>
      <c r="N1085" s="6">
        <v>106362.61968925429</v>
      </c>
      <c r="O1085" s="5">
        <v>163798.43432145161</v>
      </c>
      <c r="P1085" s="6">
        <v>0</v>
      </c>
      <c r="Q1085" s="5">
        <v>0</v>
      </c>
      <c r="R1085" s="6">
        <v>17727.103281542379</v>
      </c>
      <c r="S1085" s="5">
        <v>27299.739053575271</v>
      </c>
      <c r="T1085" s="6">
        <v>0</v>
      </c>
      <c r="U1085" s="5">
        <v>0</v>
      </c>
      <c r="V1085" s="6">
        <v>0</v>
      </c>
      <c r="W1085" s="5">
        <v>0</v>
      </c>
      <c r="X1085" s="6">
        <v>0</v>
      </c>
      <c r="Y1085" s="5">
        <v>0</v>
      </c>
      <c r="Z1085" s="6">
        <v>0</v>
      </c>
      <c r="AA1085" s="5">
        <v>0</v>
      </c>
      <c r="AB1085" s="6">
        <v>0</v>
      </c>
      <c r="AC1085" s="5">
        <v>0</v>
      </c>
      <c r="AD1085" s="6">
        <v>0</v>
      </c>
      <c r="AE1085" s="5">
        <v>0</v>
      </c>
      <c r="AF1085" s="6">
        <v>0</v>
      </c>
      <c r="AG1085" s="5">
        <v>0</v>
      </c>
      <c r="AH1085" s="7">
        <f t="shared" si="128"/>
        <v>124089.72297079668</v>
      </c>
      <c r="AI1085" s="8">
        <f t="shared" si="129"/>
        <v>191098.17337502688</v>
      </c>
      <c r="AJ1085" s="6">
        <v>0</v>
      </c>
      <c r="AK1085" s="5">
        <v>0</v>
      </c>
      <c r="AL1085" s="6">
        <v>0</v>
      </c>
      <c r="AM1085" s="5">
        <v>0</v>
      </c>
      <c r="AN1085" s="6">
        <v>128400</v>
      </c>
      <c r="AO1085" s="5">
        <v>206179.77568176921</v>
      </c>
      <c r="AP1085" s="6">
        <v>0</v>
      </c>
      <c r="AQ1085" s="5">
        <v>0</v>
      </c>
      <c r="AR1085" s="6">
        <v>21380</v>
      </c>
      <c r="AS1085" s="5">
        <v>34352.594204218803</v>
      </c>
      <c r="AT1085" s="6">
        <v>0</v>
      </c>
      <c r="AU1085" s="5">
        <v>0</v>
      </c>
      <c r="AV1085" s="6">
        <v>0</v>
      </c>
      <c r="AW1085" s="5">
        <v>0</v>
      </c>
      <c r="AX1085" s="6">
        <v>0</v>
      </c>
      <c r="AY1085" s="5">
        <v>0</v>
      </c>
      <c r="AZ1085" s="6">
        <v>0</v>
      </c>
      <c r="BA1085" s="5">
        <v>0</v>
      </c>
      <c r="BB1085" s="6">
        <v>0</v>
      </c>
      <c r="BC1085" s="5">
        <v>0</v>
      </c>
      <c r="BD1085" s="6">
        <v>0</v>
      </c>
      <c r="BE1085" s="5">
        <v>0</v>
      </c>
      <c r="BF1085" s="6">
        <v>0</v>
      </c>
      <c r="BG1085" s="5">
        <v>0</v>
      </c>
      <c r="BH1085" s="9">
        <f t="shared" si="130"/>
        <v>149780</v>
      </c>
      <c r="BI1085" s="10">
        <f t="shared" si="131"/>
        <v>240532.36988598801</v>
      </c>
      <c r="BJ1085" s="6">
        <f t="shared" si="132"/>
        <v>25690.277029203324</v>
      </c>
      <c r="BK1085" s="11">
        <f t="shared" si="133"/>
        <v>0.20702985238551369</v>
      </c>
      <c r="BL1085" s="5">
        <f t="shared" si="134"/>
        <v>49434.196510961134</v>
      </c>
      <c r="BM1085" s="11">
        <f t="shared" si="135"/>
        <v>0.25868481962905721</v>
      </c>
    </row>
    <row r="1086" spans="1:65" ht="15" customHeight="1" x14ac:dyDescent="0.4">
      <c r="A1086" s="2" t="s">
        <v>775</v>
      </c>
      <c r="B1086" s="2" t="s">
        <v>776</v>
      </c>
      <c r="C1086" s="2" t="s">
        <v>777</v>
      </c>
      <c r="D1086" s="3" t="s">
        <v>68</v>
      </c>
      <c r="E1086" s="3" t="s">
        <v>781</v>
      </c>
      <c r="F1086" s="2" t="s">
        <v>783</v>
      </c>
      <c r="G1086" s="4">
        <v>20</v>
      </c>
      <c r="H1086" s="5">
        <v>1.54</v>
      </c>
      <c r="I1086" s="5">
        <v>1.6060117088701029</v>
      </c>
      <c r="J1086" s="6">
        <v>0</v>
      </c>
      <c r="K1086" s="5">
        <v>0</v>
      </c>
      <c r="L1086" s="6">
        <v>0</v>
      </c>
      <c r="M1086" s="5">
        <v>0</v>
      </c>
      <c r="N1086" s="6">
        <v>0</v>
      </c>
      <c r="O1086" s="5">
        <v>0</v>
      </c>
      <c r="P1086" s="6">
        <v>70908.413126169529</v>
      </c>
      <c r="Q1086" s="5">
        <v>109198.9562143011</v>
      </c>
      <c r="R1086" s="6">
        <v>0</v>
      </c>
      <c r="S1086" s="5">
        <v>0</v>
      </c>
      <c r="T1086" s="6">
        <v>0</v>
      </c>
      <c r="U1086" s="5">
        <v>0</v>
      </c>
      <c r="V1086" s="6">
        <v>0</v>
      </c>
      <c r="W1086" s="5">
        <v>0</v>
      </c>
      <c r="X1086" s="6">
        <v>0</v>
      </c>
      <c r="Y1086" s="5">
        <v>0</v>
      </c>
      <c r="Z1086" s="6">
        <v>0</v>
      </c>
      <c r="AA1086" s="5">
        <v>0</v>
      </c>
      <c r="AB1086" s="6">
        <v>0</v>
      </c>
      <c r="AC1086" s="5">
        <v>0</v>
      </c>
      <c r="AD1086" s="6">
        <v>0</v>
      </c>
      <c r="AE1086" s="5">
        <v>0</v>
      </c>
      <c r="AF1086" s="6">
        <v>0</v>
      </c>
      <c r="AG1086" s="5">
        <v>0</v>
      </c>
      <c r="AH1086" s="7">
        <f t="shared" si="128"/>
        <v>70908.413126169529</v>
      </c>
      <c r="AI1086" s="8">
        <f t="shared" si="129"/>
        <v>109198.9562143011</v>
      </c>
      <c r="AJ1086" s="6">
        <v>0</v>
      </c>
      <c r="AK1086" s="5">
        <v>0</v>
      </c>
      <c r="AL1086" s="6">
        <v>0</v>
      </c>
      <c r="AM1086" s="5">
        <v>0</v>
      </c>
      <c r="AN1086" s="6">
        <v>0</v>
      </c>
      <c r="AO1086" s="5">
        <v>0</v>
      </c>
      <c r="AP1086" s="6">
        <v>85580</v>
      </c>
      <c r="AQ1086" s="5">
        <v>137442.48204510339</v>
      </c>
      <c r="AR1086" s="6">
        <v>0</v>
      </c>
      <c r="AS1086" s="5">
        <v>0</v>
      </c>
      <c r="AT1086" s="6">
        <v>0</v>
      </c>
      <c r="AU1086" s="5">
        <v>0</v>
      </c>
      <c r="AV1086" s="6">
        <v>0</v>
      </c>
      <c r="AW1086" s="5">
        <v>0</v>
      </c>
      <c r="AX1086" s="6">
        <v>0</v>
      </c>
      <c r="AY1086" s="5">
        <v>0</v>
      </c>
      <c r="AZ1086" s="6">
        <v>0</v>
      </c>
      <c r="BA1086" s="5">
        <v>0</v>
      </c>
      <c r="BB1086" s="6">
        <v>0</v>
      </c>
      <c r="BC1086" s="5">
        <v>0</v>
      </c>
      <c r="BD1086" s="6">
        <v>0</v>
      </c>
      <c r="BE1086" s="5">
        <v>0</v>
      </c>
      <c r="BF1086" s="6">
        <v>0</v>
      </c>
      <c r="BG1086" s="5">
        <v>0</v>
      </c>
      <c r="BH1086" s="9">
        <f t="shared" si="130"/>
        <v>85580</v>
      </c>
      <c r="BI1086" s="10">
        <f t="shared" si="131"/>
        <v>137442.48204510339</v>
      </c>
      <c r="BJ1086" s="6">
        <f t="shared" si="132"/>
        <v>14671.586873830471</v>
      </c>
      <c r="BK1086" s="11">
        <f t="shared" si="133"/>
        <v>0.20690897210920323</v>
      </c>
      <c r="BL1086" s="5">
        <f t="shared" si="134"/>
        <v>28243.525830802289</v>
      </c>
      <c r="BM1086" s="11">
        <f t="shared" si="135"/>
        <v>0.25864281866737671</v>
      </c>
    </row>
    <row r="1087" spans="1:65" ht="15" customHeight="1" x14ac:dyDescent="0.4">
      <c r="A1087" s="2" t="s">
        <v>775</v>
      </c>
      <c r="B1087" s="2" t="s">
        <v>776</v>
      </c>
      <c r="C1087" s="2" t="s">
        <v>777</v>
      </c>
      <c r="D1087" s="3" t="s">
        <v>68</v>
      </c>
      <c r="E1087" s="3" t="s">
        <v>784</v>
      </c>
      <c r="F1087" s="2" t="s">
        <v>785</v>
      </c>
      <c r="G1087" s="4">
        <v>20</v>
      </c>
      <c r="H1087" s="5">
        <v>1.4</v>
      </c>
      <c r="I1087" s="5">
        <v>1.45970058044402</v>
      </c>
      <c r="J1087" s="6">
        <v>0</v>
      </c>
      <c r="K1087" s="5">
        <v>0</v>
      </c>
      <c r="L1087" s="6">
        <v>0</v>
      </c>
      <c r="M1087" s="5">
        <v>0</v>
      </c>
      <c r="N1087" s="6">
        <v>0</v>
      </c>
      <c r="O1087" s="5">
        <v>0</v>
      </c>
      <c r="P1087" s="6">
        <v>0</v>
      </c>
      <c r="Q1087" s="5">
        <v>0</v>
      </c>
      <c r="R1087" s="6">
        <v>0</v>
      </c>
      <c r="S1087" s="5">
        <v>0</v>
      </c>
      <c r="T1087" s="6">
        <v>0</v>
      </c>
      <c r="U1087" s="5">
        <v>0</v>
      </c>
      <c r="V1087" s="6">
        <v>0</v>
      </c>
      <c r="W1087" s="5">
        <v>0</v>
      </c>
      <c r="X1087" s="6">
        <v>0</v>
      </c>
      <c r="Y1087" s="5">
        <v>0</v>
      </c>
      <c r="Z1087" s="6">
        <v>0</v>
      </c>
      <c r="AA1087" s="5">
        <v>0</v>
      </c>
      <c r="AB1087" s="6">
        <v>0</v>
      </c>
      <c r="AC1087" s="5">
        <v>0</v>
      </c>
      <c r="AD1087" s="6">
        <v>0</v>
      </c>
      <c r="AE1087" s="5">
        <v>0</v>
      </c>
      <c r="AF1087" s="6">
        <v>208559.15064564571</v>
      </c>
      <c r="AG1087" s="5">
        <v>291982.81090390391</v>
      </c>
      <c r="AH1087" s="7">
        <f t="shared" si="128"/>
        <v>208559.15064564571</v>
      </c>
      <c r="AI1087" s="8">
        <f t="shared" si="129"/>
        <v>291982.81090390391</v>
      </c>
      <c r="AJ1087" s="6">
        <v>0</v>
      </c>
      <c r="AK1087" s="5">
        <v>0</v>
      </c>
      <c r="AL1087" s="6">
        <v>0</v>
      </c>
      <c r="AM1087" s="5">
        <v>0</v>
      </c>
      <c r="AN1087" s="6">
        <v>0</v>
      </c>
      <c r="AO1087" s="5">
        <v>0</v>
      </c>
      <c r="AP1087" s="6">
        <v>0</v>
      </c>
      <c r="AQ1087" s="5">
        <v>0</v>
      </c>
      <c r="AR1087" s="6">
        <v>0</v>
      </c>
      <c r="AS1087" s="5">
        <v>0</v>
      </c>
      <c r="AT1087" s="6">
        <v>0</v>
      </c>
      <c r="AU1087" s="5">
        <v>0</v>
      </c>
      <c r="AV1087" s="6">
        <v>0</v>
      </c>
      <c r="AW1087" s="5">
        <v>0</v>
      </c>
      <c r="AX1087" s="6">
        <v>0</v>
      </c>
      <c r="AY1087" s="5">
        <v>0</v>
      </c>
      <c r="AZ1087" s="6">
        <v>0</v>
      </c>
      <c r="BA1087" s="5">
        <v>0</v>
      </c>
      <c r="BB1087" s="6">
        <v>0</v>
      </c>
      <c r="BC1087" s="5">
        <v>0</v>
      </c>
      <c r="BD1087" s="6">
        <v>0</v>
      </c>
      <c r="BE1087" s="5">
        <v>0</v>
      </c>
      <c r="BF1087" s="6">
        <v>235360</v>
      </c>
      <c r="BG1087" s="5">
        <v>343555.12861330452</v>
      </c>
      <c r="BH1087" s="9">
        <f t="shared" si="130"/>
        <v>235360</v>
      </c>
      <c r="BI1087" s="10">
        <f t="shared" si="131"/>
        <v>343555.12861330452</v>
      </c>
      <c r="BJ1087" s="6">
        <f t="shared" si="132"/>
        <v>26800.849354354286</v>
      </c>
      <c r="BK1087" s="11">
        <f t="shared" si="133"/>
        <v>0.12850478759328335</v>
      </c>
      <c r="BL1087" s="5">
        <f t="shared" si="134"/>
        <v>51572.31770940061</v>
      </c>
      <c r="BM1087" s="11">
        <f t="shared" si="135"/>
        <v>0.17662792391697971</v>
      </c>
    </row>
    <row r="1088" spans="1:65" ht="15" customHeight="1" x14ac:dyDescent="0.4">
      <c r="A1088" s="2" t="s">
        <v>775</v>
      </c>
      <c r="B1088" s="2" t="s">
        <v>786</v>
      </c>
      <c r="C1088" s="2" t="s">
        <v>787</v>
      </c>
      <c r="D1088" s="3" t="s">
        <v>272</v>
      </c>
      <c r="E1088" s="3" t="s">
        <v>788</v>
      </c>
      <c r="F1088" s="2" t="s">
        <v>400</v>
      </c>
      <c r="G1088" s="4">
        <v>1</v>
      </c>
      <c r="H1088" s="5">
        <v>4.129999999999999</v>
      </c>
      <c r="I1088" s="5">
        <v>4.3050192396960671</v>
      </c>
      <c r="J1088" s="6">
        <v>0</v>
      </c>
      <c r="K1088" s="5">
        <v>0</v>
      </c>
      <c r="L1088" s="6">
        <v>0</v>
      </c>
      <c r="M1088" s="5">
        <v>0</v>
      </c>
      <c r="N1088" s="6">
        <v>0</v>
      </c>
      <c r="O1088" s="5">
        <v>0</v>
      </c>
      <c r="P1088" s="6">
        <v>0</v>
      </c>
      <c r="Q1088" s="5">
        <v>0</v>
      </c>
      <c r="R1088" s="6">
        <v>415.47898316114959</v>
      </c>
      <c r="S1088" s="5">
        <v>1715.928200455548</v>
      </c>
      <c r="T1088" s="6">
        <v>0</v>
      </c>
      <c r="U1088" s="5">
        <v>0</v>
      </c>
      <c r="V1088" s="6">
        <v>0</v>
      </c>
      <c r="W1088" s="5">
        <v>0</v>
      </c>
      <c r="X1088" s="6">
        <v>0</v>
      </c>
      <c r="Y1088" s="5">
        <v>0</v>
      </c>
      <c r="Z1088" s="6">
        <v>0</v>
      </c>
      <c r="AA1088" s="5">
        <v>0</v>
      </c>
      <c r="AB1088" s="6">
        <v>0</v>
      </c>
      <c r="AC1088" s="5">
        <v>0</v>
      </c>
      <c r="AD1088" s="6">
        <v>0</v>
      </c>
      <c r="AE1088" s="5">
        <v>0</v>
      </c>
      <c r="AF1088" s="6">
        <v>0</v>
      </c>
      <c r="AG1088" s="5">
        <v>0</v>
      </c>
      <c r="AH1088" s="7">
        <f t="shared" si="128"/>
        <v>415.47898316114959</v>
      </c>
      <c r="AI1088" s="8">
        <f t="shared" si="129"/>
        <v>1715.928200455548</v>
      </c>
      <c r="AJ1088" s="6">
        <v>0</v>
      </c>
      <c r="AK1088" s="5">
        <v>0</v>
      </c>
      <c r="AL1088" s="6">
        <v>0</v>
      </c>
      <c r="AM1088" s="5">
        <v>0</v>
      </c>
      <c r="AN1088" s="6">
        <v>0</v>
      </c>
      <c r="AO1088" s="5">
        <v>0</v>
      </c>
      <c r="AP1088" s="6">
        <v>0</v>
      </c>
      <c r="AQ1088" s="5">
        <v>0</v>
      </c>
      <c r="AR1088" s="6">
        <v>524</v>
      </c>
      <c r="AS1088" s="5">
        <v>2255.830081600739</v>
      </c>
      <c r="AT1088" s="6">
        <v>0</v>
      </c>
      <c r="AU1088" s="5">
        <v>0</v>
      </c>
      <c r="AV1088" s="6">
        <v>0</v>
      </c>
      <c r="AW1088" s="5">
        <v>0</v>
      </c>
      <c r="AX1088" s="6">
        <v>0</v>
      </c>
      <c r="AY1088" s="5">
        <v>0</v>
      </c>
      <c r="AZ1088" s="6">
        <v>0</v>
      </c>
      <c r="BA1088" s="5">
        <v>0</v>
      </c>
      <c r="BB1088" s="6">
        <v>0</v>
      </c>
      <c r="BC1088" s="5">
        <v>0</v>
      </c>
      <c r="BD1088" s="6">
        <v>0</v>
      </c>
      <c r="BE1088" s="5">
        <v>0</v>
      </c>
      <c r="BF1088" s="6">
        <v>0</v>
      </c>
      <c r="BG1088" s="5">
        <v>0</v>
      </c>
      <c r="BH1088" s="9">
        <f t="shared" si="130"/>
        <v>524</v>
      </c>
      <c r="BI1088" s="10">
        <f t="shared" si="131"/>
        <v>2255.830081600739</v>
      </c>
      <c r="BJ1088" s="6">
        <f t="shared" si="132"/>
        <v>108.52101683885041</v>
      </c>
      <c r="BK1088" s="11">
        <f t="shared" si="133"/>
        <v>0.26119496108605561</v>
      </c>
      <c r="BL1088" s="5">
        <f t="shared" si="134"/>
        <v>539.90188114519106</v>
      </c>
      <c r="BM1088" s="11">
        <f t="shared" si="135"/>
        <v>0.31464130084339009</v>
      </c>
    </row>
    <row r="1089" spans="1:65" ht="15" customHeight="1" x14ac:dyDescent="0.4">
      <c r="A1089" s="2" t="s">
        <v>775</v>
      </c>
      <c r="B1089" s="2" t="s">
        <v>786</v>
      </c>
      <c r="C1089" s="2" t="s">
        <v>787</v>
      </c>
      <c r="D1089" s="3" t="s">
        <v>272</v>
      </c>
      <c r="E1089" s="3" t="s">
        <v>788</v>
      </c>
      <c r="F1089" s="2" t="s">
        <v>789</v>
      </c>
      <c r="G1089" s="4">
        <v>1</v>
      </c>
      <c r="H1089" s="5">
        <v>4.1300000000000008</v>
      </c>
      <c r="I1089" s="5">
        <v>4.305019239696068</v>
      </c>
      <c r="J1089" s="6">
        <v>0</v>
      </c>
      <c r="K1089" s="5">
        <v>0</v>
      </c>
      <c r="L1089" s="6">
        <v>0</v>
      </c>
      <c r="M1089" s="5">
        <v>0</v>
      </c>
      <c r="N1089" s="6">
        <v>0</v>
      </c>
      <c r="O1089" s="5">
        <v>0</v>
      </c>
      <c r="P1089" s="6">
        <v>0</v>
      </c>
      <c r="Q1089" s="5">
        <v>0</v>
      </c>
      <c r="R1089" s="6">
        <v>0</v>
      </c>
      <c r="S1089" s="5">
        <v>0</v>
      </c>
      <c r="T1089" s="6">
        <v>0</v>
      </c>
      <c r="U1089" s="5">
        <v>0</v>
      </c>
      <c r="V1089" s="6">
        <v>0</v>
      </c>
      <c r="W1089" s="5">
        <v>0</v>
      </c>
      <c r="X1089" s="6">
        <v>0</v>
      </c>
      <c r="Y1089" s="5">
        <v>0</v>
      </c>
      <c r="Z1089" s="6">
        <v>0</v>
      </c>
      <c r="AA1089" s="5">
        <v>0</v>
      </c>
      <c r="AB1089" s="6">
        <v>0</v>
      </c>
      <c r="AC1089" s="5">
        <v>0</v>
      </c>
      <c r="AD1089" s="6">
        <v>568.79768357903356</v>
      </c>
      <c r="AE1089" s="5">
        <v>2349.1344331814089</v>
      </c>
      <c r="AF1089" s="6">
        <v>0</v>
      </c>
      <c r="AG1089" s="5">
        <v>0</v>
      </c>
      <c r="AH1089" s="7">
        <f t="shared" si="128"/>
        <v>568.79768357903356</v>
      </c>
      <c r="AI1089" s="8">
        <f t="shared" si="129"/>
        <v>2349.1344331814089</v>
      </c>
      <c r="AJ1089" s="6">
        <v>0</v>
      </c>
      <c r="AK1089" s="5">
        <v>0</v>
      </c>
      <c r="AL1089" s="6">
        <v>0</v>
      </c>
      <c r="AM1089" s="5">
        <v>0</v>
      </c>
      <c r="AN1089" s="6">
        <v>0</v>
      </c>
      <c r="AO1089" s="5">
        <v>0</v>
      </c>
      <c r="AP1089" s="6">
        <v>0</v>
      </c>
      <c r="AQ1089" s="5">
        <v>0</v>
      </c>
      <c r="AR1089" s="6">
        <v>0</v>
      </c>
      <c r="AS1089" s="5">
        <v>0</v>
      </c>
      <c r="AT1089" s="6">
        <v>0</v>
      </c>
      <c r="AU1089" s="5">
        <v>0</v>
      </c>
      <c r="AV1089" s="6">
        <v>0</v>
      </c>
      <c r="AW1089" s="5">
        <v>0</v>
      </c>
      <c r="AX1089" s="6">
        <v>0</v>
      </c>
      <c r="AY1089" s="5">
        <v>0</v>
      </c>
      <c r="AZ1089" s="6">
        <v>0</v>
      </c>
      <c r="BA1089" s="5">
        <v>0</v>
      </c>
      <c r="BB1089" s="6">
        <v>0</v>
      </c>
      <c r="BC1089" s="5">
        <v>0</v>
      </c>
      <c r="BD1089" s="6">
        <v>717</v>
      </c>
      <c r="BE1089" s="5">
        <v>3086.6987948620808</v>
      </c>
      <c r="BF1089" s="6">
        <v>0</v>
      </c>
      <c r="BG1089" s="5">
        <v>0</v>
      </c>
      <c r="BH1089" s="9">
        <f t="shared" si="130"/>
        <v>717</v>
      </c>
      <c r="BI1089" s="10">
        <f t="shared" si="131"/>
        <v>3086.6987948620808</v>
      </c>
      <c r="BJ1089" s="6">
        <f t="shared" si="132"/>
        <v>148.20231642096644</v>
      </c>
      <c r="BK1089" s="11">
        <f t="shared" si="133"/>
        <v>0.26055365677376913</v>
      </c>
      <c r="BL1089" s="5">
        <f t="shared" si="134"/>
        <v>737.56436168067194</v>
      </c>
      <c r="BM1089" s="11">
        <f t="shared" si="135"/>
        <v>0.31397281963203616</v>
      </c>
    </row>
    <row r="1090" spans="1:65" ht="15" customHeight="1" x14ac:dyDescent="0.4">
      <c r="A1090" s="2" t="s">
        <v>775</v>
      </c>
      <c r="B1090" s="2" t="s">
        <v>786</v>
      </c>
      <c r="C1090" s="2" t="s">
        <v>787</v>
      </c>
      <c r="D1090" s="3" t="s">
        <v>272</v>
      </c>
      <c r="E1090" s="3" t="s">
        <v>790</v>
      </c>
      <c r="F1090" s="2" t="s">
        <v>400</v>
      </c>
      <c r="G1090" s="4">
        <v>5</v>
      </c>
      <c r="H1090" s="5">
        <v>3.14</v>
      </c>
      <c r="I1090" s="5">
        <v>3.2730654752168662</v>
      </c>
      <c r="J1090" s="6">
        <v>0</v>
      </c>
      <c r="K1090" s="5">
        <v>0</v>
      </c>
      <c r="L1090" s="6">
        <v>0</v>
      </c>
      <c r="M1090" s="5">
        <v>0</v>
      </c>
      <c r="N1090" s="6">
        <v>0</v>
      </c>
      <c r="O1090" s="5">
        <v>0</v>
      </c>
      <c r="P1090" s="6">
        <v>0</v>
      </c>
      <c r="Q1090" s="5">
        <v>0</v>
      </c>
      <c r="R1090" s="6">
        <v>989.23567419321319</v>
      </c>
      <c r="S1090" s="5">
        <v>3106.200016966689</v>
      </c>
      <c r="T1090" s="6">
        <v>0</v>
      </c>
      <c r="U1090" s="5">
        <v>0</v>
      </c>
      <c r="V1090" s="6">
        <v>0</v>
      </c>
      <c r="W1090" s="5">
        <v>0</v>
      </c>
      <c r="X1090" s="6">
        <v>0</v>
      </c>
      <c r="Y1090" s="5">
        <v>0</v>
      </c>
      <c r="Z1090" s="6">
        <v>0</v>
      </c>
      <c r="AA1090" s="5">
        <v>0</v>
      </c>
      <c r="AB1090" s="6">
        <v>0</v>
      </c>
      <c r="AC1090" s="5">
        <v>0</v>
      </c>
      <c r="AD1090" s="6">
        <v>0</v>
      </c>
      <c r="AE1090" s="5">
        <v>0</v>
      </c>
      <c r="AF1090" s="6">
        <v>0</v>
      </c>
      <c r="AG1090" s="5">
        <v>0</v>
      </c>
      <c r="AH1090" s="7">
        <f t="shared" ref="AH1090:AH1153" si="136">J1090+L1090+N1090+P1090+R1090+T1090+V1090+X1090+Z1090+AB1090+AD1090+AF1090</f>
        <v>989.23567419321319</v>
      </c>
      <c r="AI1090" s="8">
        <f t="shared" ref="AI1090:AI1153" si="137">K1090+M1090+O1090+Q1090+S1090+U1090+W1090+Y1090+AA1090+AC1090+AE1090+AG1090</f>
        <v>3106.200016966689</v>
      </c>
      <c r="AJ1090" s="6">
        <v>0</v>
      </c>
      <c r="AK1090" s="5">
        <v>0</v>
      </c>
      <c r="AL1090" s="6">
        <v>0</v>
      </c>
      <c r="AM1090" s="5">
        <v>0</v>
      </c>
      <c r="AN1090" s="6">
        <v>0</v>
      </c>
      <c r="AO1090" s="5">
        <v>0</v>
      </c>
      <c r="AP1090" s="6">
        <v>0</v>
      </c>
      <c r="AQ1090" s="5">
        <v>0</v>
      </c>
      <c r="AR1090" s="6">
        <v>1245</v>
      </c>
      <c r="AS1090" s="5">
        <v>4074.9665166449981</v>
      </c>
      <c r="AT1090" s="6">
        <v>0</v>
      </c>
      <c r="AU1090" s="5">
        <v>0</v>
      </c>
      <c r="AV1090" s="6">
        <v>0</v>
      </c>
      <c r="AW1090" s="5">
        <v>0</v>
      </c>
      <c r="AX1090" s="6">
        <v>0</v>
      </c>
      <c r="AY1090" s="5">
        <v>0</v>
      </c>
      <c r="AZ1090" s="6">
        <v>0</v>
      </c>
      <c r="BA1090" s="5">
        <v>0</v>
      </c>
      <c r="BB1090" s="6">
        <v>0</v>
      </c>
      <c r="BC1090" s="5">
        <v>0</v>
      </c>
      <c r="BD1090" s="6">
        <v>0</v>
      </c>
      <c r="BE1090" s="5">
        <v>0</v>
      </c>
      <c r="BF1090" s="6">
        <v>0</v>
      </c>
      <c r="BG1090" s="5">
        <v>0</v>
      </c>
      <c r="BH1090" s="9">
        <f t="shared" ref="BH1090:BH1153" si="138">AJ1090+AL1090+AN1090+AP1090+AR1090+AT1090+AV1090+AX1090+AZ1090+BB1090+BD1090+BF1090</f>
        <v>1245</v>
      </c>
      <c r="BI1090" s="10">
        <f t="shared" ref="BI1090:BI1153" si="139">AK1090+AM1090+AO1090+AQ1090+AS1090+AU1090+AW1090+AY1090+BA1090+BC1090+BE1090+BG1090</f>
        <v>4074.9665166449981</v>
      </c>
      <c r="BJ1090" s="6">
        <f t="shared" ref="BJ1090:BJ1153" si="140">BH1090-AH1090</f>
        <v>255.76432580678681</v>
      </c>
      <c r="BK1090" s="11">
        <f t="shared" ref="BK1090:BK1153" si="141">IF(AH1090&gt;0, BJ1090/AH1090, 0)</f>
        <v>0.25854741441202012</v>
      </c>
      <c r="BL1090" s="5">
        <f t="shared" ref="BL1090:BL1153" si="142">BI1090-AI1090</f>
        <v>968.76649967830917</v>
      </c>
      <c r="BM1090" s="11">
        <f t="shared" ref="BM1090:BM1153" si="143">IF(AI1090&gt;0, BL1090/AI1090, 0)</f>
        <v>0.31188155765459785</v>
      </c>
    </row>
    <row r="1091" spans="1:65" ht="15" customHeight="1" x14ac:dyDescent="0.4">
      <c r="A1091" s="2" t="s">
        <v>775</v>
      </c>
      <c r="B1091" s="2" t="s">
        <v>786</v>
      </c>
      <c r="C1091" s="2" t="s">
        <v>787</v>
      </c>
      <c r="D1091" s="3" t="s">
        <v>272</v>
      </c>
      <c r="E1091" s="3" t="s">
        <v>790</v>
      </c>
      <c r="F1091" s="2" t="s">
        <v>791</v>
      </c>
      <c r="G1091" s="4">
        <v>5</v>
      </c>
      <c r="H1091" s="5">
        <v>3.14</v>
      </c>
      <c r="I1091" s="5">
        <v>3.2730654752168662</v>
      </c>
      <c r="J1091" s="6">
        <v>0</v>
      </c>
      <c r="K1091" s="5">
        <v>0</v>
      </c>
      <c r="L1091" s="6">
        <v>0</v>
      </c>
      <c r="M1091" s="5">
        <v>0</v>
      </c>
      <c r="N1091" s="6">
        <v>0</v>
      </c>
      <c r="O1091" s="5">
        <v>0</v>
      </c>
      <c r="P1091" s="6">
        <v>0</v>
      </c>
      <c r="Q1091" s="5">
        <v>0</v>
      </c>
      <c r="R1091" s="6">
        <v>0</v>
      </c>
      <c r="S1091" s="5">
        <v>0</v>
      </c>
      <c r="T1091" s="6">
        <v>0</v>
      </c>
      <c r="U1091" s="5">
        <v>0</v>
      </c>
      <c r="V1091" s="6">
        <v>0</v>
      </c>
      <c r="W1091" s="5">
        <v>0</v>
      </c>
      <c r="X1091" s="6">
        <v>0</v>
      </c>
      <c r="Y1091" s="5">
        <v>0</v>
      </c>
      <c r="Z1091" s="6">
        <v>0</v>
      </c>
      <c r="AA1091" s="5">
        <v>0</v>
      </c>
      <c r="AB1091" s="6">
        <v>0</v>
      </c>
      <c r="AC1091" s="5">
        <v>0</v>
      </c>
      <c r="AD1091" s="6">
        <v>947.99613929838938</v>
      </c>
      <c r="AE1091" s="5">
        <v>2976.707877396942</v>
      </c>
      <c r="AF1091" s="6">
        <v>0</v>
      </c>
      <c r="AG1091" s="5">
        <v>0</v>
      </c>
      <c r="AH1091" s="7">
        <f t="shared" si="136"/>
        <v>947.99613929838938</v>
      </c>
      <c r="AI1091" s="8">
        <f t="shared" si="137"/>
        <v>2976.707877396942</v>
      </c>
      <c r="AJ1091" s="6">
        <v>0</v>
      </c>
      <c r="AK1091" s="5">
        <v>0</v>
      </c>
      <c r="AL1091" s="6">
        <v>0</v>
      </c>
      <c r="AM1091" s="5">
        <v>0</v>
      </c>
      <c r="AN1091" s="6">
        <v>0</v>
      </c>
      <c r="AO1091" s="5">
        <v>0</v>
      </c>
      <c r="AP1091" s="6">
        <v>0</v>
      </c>
      <c r="AQ1091" s="5">
        <v>0</v>
      </c>
      <c r="AR1091" s="6">
        <v>0</v>
      </c>
      <c r="AS1091" s="5">
        <v>0</v>
      </c>
      <c r="AT1091" s="6">
        <v>0</v>
      </c>
      <c r="AU1091" s="5">
        <v>0</v>
      </c>
      <c r="AV1091" s="6">
        <v>0</v>
      </c>
      <c r="AW1091" s="5">
        <v>0</v>
      </c>
      <c r="AX1091" s="6">
        <v>0</v>
      </c>
      <c r="AY1091" s="5">
        <v>0</v>
      </c>
      <c r="AZ1091" s="6">
        <v>0</v>
      </c>
      <c r="BA1091" s="5">
        <v>0</v>
      </c>
      <c r="BB1091" s="6">
        <v>0</v>
      </c>
      <c r="BC1091" s="5">
        <v>0</v>
      </c>
      <c r="BD1091" s="6">
        <v>1195</v>
      </c>
      <c r="BE1091" s="5">
        <v>3911.313242884155</v>
      </c>
      <c r="BF1091" s="6">
        <v>0</v>
      </c>
      <c r="BG1091" s="5">
        <v>0</v>
      </c>
      <c r="BH1091" s="9">
        <f t="shared" si="138"/>
        <v>1195</v>
      </c>
      <c r="BI1091" s="10">
        <f t="shared" si="139"/>
        <v>3911.313242884155</v>
      </c>
      <c r="BJ1091" s="6">
        <f t="shared" si="140"/>
        <v>247.00386070161062</v>
      </c>
      <c r="BK1091" s="11">
        <f t="shared" si="141"/>
        <v>0.26055365677376896</v>
      </c>
      <c r="BL1091" s="5">
        <f t="shared" si="142"/>
        <v>934.60536548721302</v>
      </c>
      <c r="BM1091" s="11">
        <f t="shared" si="143"/>
        <v>0.31397281963203677</v>
      </c>
    </row>
    <row r="1092" spans="1:65" ht="15" customHeight="1" x14ac:dyDescent="0.4">
      <c r="A1092" s="2" t="s">
        <v>775</v>
      </c>
      <c r="B1092" s="2" t="s">
        <v>786</v>
      </c>
      <c r="C1092" s="2" t="s">
        <v>787</v>
      </c>
      <c r="D1092" s="3" t="s">
        <v>272</v>
      </c>
      <c r="E1092" s="3" t="s">
        <v>792</v>
      </c>
      <c r="F1092" s="2" t="s">
        <v>400</v>
      </c>
      <c r="G1092" s="4">
        <v>20</v>
      </c>
      <c r="H1092" s="5">
        <v>2.9</v>
      </c>
      <c r="I1092" s="5">
        <v>3.022894865646149</v>
      </c>
      <c r="J1092" s="6">
        <v>0</v>
      </c>
      <c r="K1092" s="5">
        <v>0</v>
      </c>
      <c r="L1092" s="6">
        <v>0</v>
      </c>
      <c r="M1092" s="5">
        <v>0</v>
      </c>
      <c r="N1092" s="6">
        <v>0</v>
      </c>
      <c r="O1092" s="5">
        <v>0</v>
      </c>
      <c r="P1092" s="6">
        <v>0</v>
      </c>
      <c r="Q1092" s="5">
        <v>0</v>
      </c>
      <c r="R1092" s="6">
        <v>1187.082809031856</v>
      </c>
      <c r="S1092" s="5">
        <v>3442.5401461923821</v>
      </c>
      <c r="T1092" s="6">
        <v>0</v>
      </c>
      <c r="U1092" s="5">
        <v>0</v>
      </c>
      <c r="V1092" s="6">
        <v>0</v>
      </c>
      <c r="W1092" s="5">
        <v>0</v>
      </c>
      <c r="X1092" s="6">
        <v>0</v>
      </c>
      <c r="Y1092" s="5">
        <v>0</v>
      </c>
      <c r="Z1092" s="6">
        <v>0</v>
      </c>
      <c r="AA1092" s="5">
        <v>0</v>
      </c>
      <c r="AB1092" s="6">
        <v>0</v>
      </c>
      <c r="AC1092" s="5">
        <v>0</v>
      </c>
      <c r="AD1092" s="6">
        <v>0</v>
      </c>
      <c r="AE1092" s="5">
        <v>0</v>
      </c>
      <c r="AF1092" s="6">
        <v>0</v>
      </c>
      <c r="AG1092" s="5">
        <v>0</v>
      </c>
      <c r="AH1092" s="7">
        <f t="shared" si="136"/>
        <v>1187.082809031856</v>
      </c>
      <c r="AI1092" s="8">
        <f t="shared" si="137"/>
        <v>3442.5401461923821</v>
      </c>
      <c r="AJ1092" s="6">
        <v>0</v>
      </c>
      <c r="AK1092" s="5">
        <v>0</v>
      </c>
      <c r="AL1092" s="6">
        <v>0</v>
      </c>
      <c r="AM1092" s="5">
        <v>0</v>
      </c>
      <c r="AN1092" s="6">
        <v>0</v>
      </c>
      <c r="AO1092" s="5">
        <v>0</v>
      </c>
      <c r="AP1092" s="6">
        <v>0</v>
      </c>
      <c r="AQ1092" s="5">
        <v>0</v>
      </c>
      <c r="AR1092" s="6">
        <v>1500</v>
      </c>
      <c r="AS1092" s="5">
        <v>4534.3422984692243</v>
      </c>
      <c r="AT1092" s="6">
        <v>0</v>
      </c>
      <c r="AU1092" s="5">
        <v>0</v>
      </c>
      <c r="AV1092" s="6">
        <v>0</v>
      </c>
      <c r="AW1092" s="5">
        <v>0</v>
      </c>
      <c r="AX1092" s="6">
        <v>0</v>
      </c>
      <c r="AY1092" s="5">
        <v>0</v>
      </c>
      <c r="AZ1092" s="6">
        <v>0</v>
      </c>
      <c r="BA1092" s="5">
        <v>0</v>
      </c>
      <c r="BB1092" s="6">
        <v>0</v>
      </c>
      <c r="BC1092" s="5">
        <v>0</v>
      </c>
      <c r="BD1092" s="6">
        <v>0</v>
      </c>
      <c r="BE1092" s="5">
        <v>0</v>
      </c>
      <c r="BF1092" s="6">
        <v>0</v>
      </c>
      <c r="BG1092" s="5">
        <v>0</v>
      </c>
      <c r="BH1092" s="9">
        <f t="shared" si="138"/>
        <v>1500</v>
      </c>
      <c r="BI1092" s="10">
        <f t="shared" si="139"/>
        <v>4534.3422984692243</v>
      </c>
      <c r="BJ1092" s="6">
        <f t="shared" si="140"/>
        <v>312.91719096814404</v>
      </c>
      <c r="BK1092" s="11">
        <f t="shared" si="141"/>
        <v>0.26360182169881524</v>
      </c>
      <c r="BL1092" s="5">
        <f t="shared" si="142"/>
        <v>1091.8021522768422</v>
      </c>
      <c r="BM1092" s="11">
        <f t="shared" si="143"/>
        <v>0.31715015828774834</v>
      </c>
    </row>
    <row r="1093" spans="1:65" ht="15" customHeight="1" x14ac:dyDescent="0.4">
      <c r="A1093" s="2" t="s">
        <v>775</v>
      </c>
      <c r="B1093" s="2" t="s">
        <v>786</v>
      </c>
      <c r="C1093" s="2" t="s">
        <v>787</v>
      </c>
      <c r="D1093" s="3" t="s">
        <v>272</v>
      </c>
      <c r="E1093" s="3" t="s">
        <v>792</v>
      </c>
      <c r="F1093" s="2" t="s">
        <v>217</v>
      </c>
      <c r="G1093" s="4">
        <v>20</v>
      </c>
      <c r="H1093" s="5">
        <v>2.9</v>
      </c>
      <c r="I1093" s="5">
        <v>3.0228948656461498</v>
      </c>
      <c r="J1093" s="6">
        <v>0</v>
      </c>
      <c r="K1093" s="5">
        <v>0</v>
      </c>
      <c r="L1093" s="6">
        <v>0</v>
      </c>
      <c r="M1093" s="5">
        <v>0</v>
      </c>
      <c r="N1093" s="6">
        <v>0</v>
      </c>
      <c r="O1093" s="5">
        <v>0</v>
      </c>
      <c r="P1093" s="6">
        <v>0</v>
      </c>
      <c r="Q1093" s="5">
        <v>0</v>
      </c>
      <c r="R1093" s="6">
        <v>0</v>
      </c>
      <c r="S1093" s="5">
        <v>0</v>
      </c>
      <c r="T1093" s="6">
        <v>0</v>
      </c>
      <c r="U1093" s="5">
        <v>0</v>
      </c>
      <c r="V1093" s="6">
        <v>0</v>
      </c>
      <c r="W1093" s="5">
        <v>0</v>
      </c>
      <c r="X1093" s="6">
        <v>989.23567419321319</v>
      </c>
      <c r="Y1093" s="5">
        <v>2868.7834551603182</v>
      </c>
      <c r="Z1093" s="6">
        <v>0</v>
      </c>
      <c r="AA1093" s="5">
        <v>0</v>
      </c>
      <c r="AB1093" s="6">
        <v>0</v>
      </c>
      <c r="AC1093" s="5">
        <v>0</v>
      </c>
      <c r="AD1093" s="6">
        <v>758.39691143871141</v>
      </c>
      <c r="AE1093" s="5">
        <v>2199.351043172263</v>
      </c>
      <c r="AF1093" s="6">
        <v>0</v>
      </c>
      <c r="AG1093" s="5">
        <v>0</v>
      </c>
      <c r="AH1093" s="7">
        <f t="shared" si="136"/>
        <v>1747.6325856319245</v>
      </c>
      <c r="AI1093" s="8">
        <f t="shared" si="137"/>
        <v>5068.1344983325816</v>
      </c>
      <c r="AJ1093" s="6">
        <v>0</v>
      </c>
      <c r="AK1093" s="5">
        <v>0</v>
      </c>
      <c r="AL1093" s="6">
        <v>0</v>
      </c>
      <c r="AM1093" s="5">
        <v>0</v>
      </c>
      <c r="AN1093" s="6">
        <v>0</v>
      </c>
      <c r="AO1093" s="5">
        <v>0</v>
      </c>
      <c r="AP1093" s="6">
        <v>0</v>
      </c>
      <c r="AQ1093" s="5">
        <v>0</v>
      </c>
      <c r="AR1093" s="6">
        <v>0</v>
      </c>
      <c r="AS1093" s="5">
        <v>0</v>
      </c>
      <c r="AT1093" s="6">
        <v>0</v>
      </c>
      <c r="AU1093" s="5">
        <v>0</v>
      </c>
      <c r="AV1093" s="6">
        <v>0</v>
      </c>
      <c r="AW1093" s="5">
        <v>0</v>
      </c>
      <c r="AX1093" s="6">
        <v>1240</v>
      </c>
      <c r="AY1093" s="5">
        <v>3748.3896334012252</v>
      </c>
      <c r="AZ1093" s="6">
        <v>0</v>
      </c>
      <c r="BA1093" s="5">
        <v>0</v>
      </c>
      <c r="BB1093" s="6">
        <v>0</v>
      </c>
      <c r="BC1093" s="5">
        <v>0</v>
      </c>
      <c r="BD1093" s="6">
        <v>960</v>
      </c>
      <c r="BE1093" s="5">
        <v>2901.9790710203042</v>
      </c>
      <c r="BF1093" s="6">
        <v>0</v>
      </c>
      <c r="BG1093" s="5">
        <v>0</v>
      </c>
      <c r="BH1093" s="9">
        <f t="shared" si="138"/>
        <v>2200</v>
      </c>
      <c r="BI1093" s="10">
        <f t="shared" si="139"/>
        <v>6650.3687044215294</v>
      </c>
      <c r="BJ1093" s="6">
        <f t="shared" si="140"/>
        <v>452.36741436807552</v>
      </c>
      <c r="BK1093" s="11">
        <f t="shared" si="141"/>
        <v>0.25884583412279677</v>
      </c>
      <c r="BL1093" s="5">
        <f t="shared" si="142"/>
        <v>1582.2342060889478</v>
      </c>
      <c r="BM1093" s="11">
        <f t="shared" si="143"/>
        <v>0.31219262365856776</v>
      </c>
    </row>
    <row r="1094" spans="1:65" ht="15" customHeight="1" x14ac:dyDescent="0.4">
      <c r="A1094" s="2" t="s">
        <v>775</v>
      </c>
      <c r="B1094" s="2" t="s">
        <v>786</v>
      </c>
      <c r="C1094" s="2" t="s">
        <v>787</v>
      </c>
      <c r="D1094" s="3" t="s">
        <v>272</v>
      </c>
      <c r="E1094" s="3" t="s">
        <v>793</v>
      </c>
      <c r="F1094" s="2" t="s">
        <v>308</v>
      </c>
      <c r="G1094" s="4">
        <v>5</v>
      </c>
      <c r="H1094" s="5">
        <v>1.83</v>
      </c>
      <c r="I1094" s="5">
        <v>1.908139648253862</v>
      </c>
      <c r="J1094" s="6">
        <v>0</v>
      </c>
      <c r="K1094" s="5">
        <v>0</v>
      </c>
      <c r="L1094" s="6">
        <v>0</v>
      </c>
      <c r="M1094" s="5">
        <v>0</v>
      </c>
      <c r="N1094" s="6">
        <v>0</v>
      </c>
      <c r="O1094" s="5">
        <v>0</v>
      </c>
      <c r="P1094" s="6">
        <v>0</v>
      </c>
      <c r="Q1094" s="5">
        <v>0</v>
      </c>
      <c r="R1094" s="6">
        <v>12860.063764511769</v>
      </c>
      <c r="S1094" s="5">
        <v>23533.916689056539</v>
      </c>
      <c r="T1094" s="6">
        <v>0</v>
      </c>
      <c r="U1094" s="5">
        <v>0</v>
      </c>
      <c r="V1094" s="6">
        <v>0</v>
      </c>
      <c r="W1094" s="5">
        <v>0</v>
      </c>
      <c r="X1094" s="6">
        <v>0</v>
      </c>
      <c r="Y1094" s="5">
        <v>0</v>
      </c>
      <c r="Z1094" s="6">
        <v>0</v>
      </c>
      <c r="AA1094" s="5">
        <v>0</v>
      </c>
      <c r="AB1094" s="6">
        <v>0</v>
      </c>
      <c r="AC1094" s="5">
        <v>0</v>
      </c>
      <c r="AD1094" s="6">
        <v>0</v>
      </c>
      <c r="AE1094" s="5">
        <v>0</v>
      </c>
      <c r="AF1094" s="6">
        <v>0</v>
      </c>
      <c r="AG1094" s="5">
        <v>0</v>
      </c>
      <c r="AH1094" s="7">
        <f t="shared" si="136"/>
        <v>12860.063764511769</v>
      </c>
      <c r="AI1094" s="8">
        <f t="shared" si="137"/>
        <v>23533.916689056539</v>
      </c>
      <c r="AJ1094" s="6">
        <v>0</v>
      </c>
      <c r="AK1094" s="5">
        <v>0</v>
      </c>
      <c r="AL1094" s="6">
        <v>0</v>
      </c>
      <c r="AM1094" s="5">
        <v>0</v>
      </c>
      <c r="AN1094" s="6">
        <v>0</v>
      </c>
      <c r="AO1094" s="5">
        <v>0</v>
      </c>
      <c r="AP1094" s="6">
        <v>0</v>
      </c>
      <c r="AQ1094" s="5">
        <v>0</v>
      </c>
      <c r="AR1094" s="6">
        <v>16200</v>
      </c>
      <c r="AS1094" s="5">
        <v>30911.862301712561</v>
      </c>
      <c r="AT1094" s="6">
        <v>0</v>
      </c>
      <c r="AU1094" s="5">
        <v>0</v>
      </c>
      <c r="AV1094" s="6">
        <v>0</v>
      </c>
      <c r="AW1094" s="5">
        <v>0</v>
      </c>
      <c r="AX1094" s="6">
        <v>0</v>
      </c>
      <c r="AY1094" s="5">
        <v>0</v>
      </c>
      <c r="AZ1094" s="6">
        <v>0</v>
      </c>
      <c r="BA1094" s="5">
        <v>0</v>
      </c>
      <c r="BB1094" s="6">
        <v>0</v>
      </c>
      <c r="BC1094" s="5">
        <v>0</v>
      </c>
      <c r="BD1094" s="6">
        <v>0</v>
      </c>
      <c r="BE1094" s="5">
        <v>0</v>
      </c>
      <c r="BF1094" s="6">
        <v>0</v>
      </c>
      <c r="BG1094" s="5">
        <v>0</v>
      </c>
      <c r="BH1094" s="9">
        <f t="shared" si="138"/>
        <v>16200</v>
      </c>
      <c r="BI1094" s="10">
        <f t="shared" si="139"/>
        <v>30911.862301712561</v>
      </c>
      <c r="BJ1094" s="6">
        <f t="shared" si="140"/>
        <v>3339.9362354882305</v>
      </c>
      <c r="BK1094" s="11">
        <f t="shared" si="141"/>
        <v>0.25971381609358846</v>
      </c>
      <c r="BL1094" s="5">
        <f t="shared" si="142"/>
        <v>7377.9456126560217</v>
      </c>
      <c r="BM1094" s="11">
        <f t="shared" si="143"/>
        <v>0.31350266554172113</v>
      </c>
    </row>
    <row r="1095" spans="1:65" ht="15" customHeight="1" x14ac:dyDescent="0.4">
      <c r="A1095" s="2" t="s">
        <v>775</v>
      </c>
      <c r="B1095" s="2" t="s">
        <v>786</v>
      </c>
      <c r="C1095" s="2" t="s">
        <v>787</v>
      </c>
      <c r="D1095" s="3" t="s">
        <v>272</v>
      </c>
      <c r="E1095" s="3" t="s">
        <v>793</v>
      </c>
      <c r="F1095" s="2" t="s">
        <v>115</v>
      </c>
      <c r="G1095" s="4">
        <v>5</v>
      </c>
      <c r="H1095" s="5">
        <v>1.83</v>
      </c>
      <c r="I1095" s="5">
        <v>1.907861270722881</v>
      </c>
      <c r="J1095" s="6">
        <v>0</v>
      </c>
      <c r="K1095" s="5">
        <v>0</v>
      </c>
      <c r="L1095" s="6">
        <v>0</v>
      </c>
      <c r="M1095" s="5">
        <v>0</v>
      </c>
      <c r="N1095" s="6">
        <v>0</v>
      </c>
      <c r="O1095" s="5">
        <v>0</v>
      </c>
      <c r="P1095" s="6">
        <v>0</v>
      </c>
      <c r="Q1095" s="5">
        <v>0</v>
      </c>
      <c r="R1095" s="6">
        <v>0</v>
      </c>
      <c r="S1095" s="5">
        <v>0</v>
      </c>
      <c r="T1095" s="6">
        <v>0</v>
      </c>
      <c r="U1095" s="5">
        <v>0</v>
      </c>
      <c r="V1095" s="6">
        <v>0</v>
      </c>
      <c r="W1095" s="5">
        <v>0</v>
      </c>
      <c r="X1095" s="6">
        <v>9793.4331745128111</v>
      </c>
      <c r="Y1095" s="5">
        <v>17921.982709358439</v>
      </c>
      <c r="Z1095" s="6">
        <v>0</v>
      </c>
      <c r="AA1095" s="5">
        <v>0</v>
      </c>
      <c r="AB1095" s="6">
        <v>0</v>
      </c>
      <c r="AC1095" s="5">
        <v>0</v>
      </c>
      <c r="AD1095" s="6">
        <v>14599.1405451952</v>
      </c>
      <c r="AE1095" s="5">
        <v>26716.427197707209</v>
      </c>
      <c r="AF1095" s="6">
        <v>0</v>
      </c>
      <c r="AG1095" s="5">
        <v>0</v>
      </c>
      <c r="AH1095" s="7">
        <f t="shared" si="136"/>
        <v>24392.573719708009</v>
      </c>
      <c r="AI1095" s="8">
        <f t="shared" si="137"/>
        <v>44638.409907065652</v>
      </c>
      <c r="AJ1095" s="6">
        <v>0</v>
      </c>
      <c r="AK1095" s="5">
        <v>0</v>
      </c>
      <c r="AL1095" s="6">
        <v>0</v>
      </c>
      <c r="AM1095" s="5">
        <v>0</v>
      </c>
      <c r="AN1095" s="6">
        <v>0</v>
      </c>
      <c r="AO1095" s="5">
        <v>0</v>
      </c>
      <c r="AP1095" s="6">
        <v>0</v>
      </c>
      <c r="AQ1095" s="5">
        <v>0</v>
      </c>
      <c r="AR1095" s="6">
        <v>0</v>
      </c>
      <c r="AS1095" s="5">
        <v>0</v>
      </c>
      <c r="AT1095" s="6">
        <v>0</v>
      </c>
      <c r="AU1095" s="5">
        <v>0</v>
      </c>
      <c r="AV1095" s="6">
        <v>0</v>
      </c>
      <c r="AW1095" s="5">
        <v>0</v>
      </c>
      <c r="AX1095" s="6">
        <v>12340</v>
      </c>
      <c r="AY1095" s="5">
        <v>23539.17808103258</v>
      </c>
      <c r="AZ1095" s="6">
        <v>0</v>
      </c>
      <c r="BA1095" s="5">
        <v>0</v>
      </c>
      <c r="BB1095" s="6">
        <v>0</v>
      </c>
      <c r="BC1095" s="5">
        <v>0</v>
      </c>
      <c r="BD1095" s="6">
        <v>18390</v>
      </c>
      <c r="BE1095" s="5">
        <v>35089.39876828155</v>
      </c>
      <c r="BF1095" s="6">
        <v>0</v>
      </c>
      <c r="BG1095" s="5">
        <v>0</v>
      </c>
      <c r="BH1095" s="9">
        <f t="shared" si="138"/>
        <v>30730</v>
      </c>
      <c r="BI1095" s="10">
        <f t="shared" si="139"/>
        <v>58628.57684931413</v>
      </c>
      <c r="BJ1095" s="6">
        <f t="shared" si="140"/>
        <v>6337.4262802919911</v>
      </c>
      <c r="BK1095" s="11">
        <f t="shared" si="141"/>
        <v>0.25980965982165549</v>
      </c>
      <c r="BL1095" s="5">
        <f t="shared" si="142"/>
        <v>13990.166942248477</v>
      </c>
      <c r="BM1095" s="11">
        <f t="shared" si="143"/>
        <v>0.31341096090508425</v>
      </c>
    </row>
    <row r="1096" spans="1:65" ht="15" customHeight="1" x14ac:dyDescent="0.4">
      <c r="A1096" s="2" t="s">
        <v>775</v>
      </c>
      <c r="B1096" s="2" t="s">
        <v>786</v>
      </c>
      <c r="C1096" s="2" t="s">
        <v>787</v>
      </c>
      <c r="D1096" s="3" t="s">
        <v>272</v>
      </c>
      <c r="E1096" s="3" t="s">
        <v>794</v>
      </c>
      <c r="F1096" s="2" t="s">
        <v>308</v>
      </c>
      <c r="G1096" s="4">
        <v>20</v>
      </c>
      <c r="H1096" s="5">
        <v>1.65</v>
      </c>
      <c r="I1096" s="5">
        <v>1.7199229407986709</v>
      </c>
      <c r="J1096" s="6">
        <v>0</v>
      </c>
      <c r="K1096" s="5">
        <v>0</v>
      </c>
      <c r="L1096" s="6">
        <v>0</v>
      </c>
      <c r="M1096" s="5">
        <v>0</v>
      </c>
      <c r="N1096" s="6">
        <v>0</v>
      </c>
      <c r="O1096" s="5">
        <v>0</v>
      </c>
      <c r="P1096" s="6">
        <v>0</v>
      </c>
      <c r="Q1096" s="5">
        <v>0</v>
      </c>
      <c r="R1096" s="6">
        <v>1978.4713483864259</v>
      </c>
      <c r="S1096" s="5">
        <v>3264.477724837604</v>
      </c>
      <c r="T1096" s="6">
        <v>0</v>
      </c>
      <c r="U1096" s="5">
        <v>0</v>
      </c>
      <c r="V1096" s="6">
        <v>0</v>
      </c>
      <c r="W1096" s="5">
        <v>0</v>
      </c>
      <c r="X1096" s="6">
        <v>0</v>
      </c>
      <c r="Y1096" s="5">
        <v>0</v>
      </c>
      <c r="Z1096" s="6">
        <v>0</v>
      </c>
      <c r="AA1096" s="5">
        <v>0</v>
      </c>
      <c r="AB1096" s="6">
        <v>0</v>
      </c>
      <c r="AC1096" s="5">
        <v>0</v>
      </c>
      <c r="AD1096" s="6">
        <v>0</v>
      </c>
      <c r="AE1096" s="5">
        <v>0</v>
      </c>
      <c r="AF1096" s="6">
        <v>0</v>
      </c>
      <c r="AG1096" s="5">
        <v>0</v>
      </c>
      <c r="AH1096" s="7">
        <f t="shared" si="136"/>
        <v>1978.4713483864259</v>
      </c>
      <c r="AI1096" s="8">
        <f t="shared" si="137"/>
        <v>3264.477724837604</v>
      </c>
      <c r="AJ1096" s="6">
        <v>0</v>
      </c>
      <c r="AK1096" s="5">
        <v>0</v>
      </c>
      <c r="AL1096" s="6">
        <v>0</v>
      </c>
      <c r="AM1096" s="5">
        <v>0</v>
      </c>
      <c r="AN1096" s="6">
        <v>0</v>
      </c>
      <c r="AO1096" s="5">
        <v>0</v>
      </c>
      <c r="AP1096" s="6">
        <v>0</v>
      </c>
      <c r="AQ1096" s="5">
        <v>0</v>
      </c>
      <c r="AR1096" s="6">
        <v>2500</v>
      </c>
      <c r="AS1096" s="5">
        <v>4299.8073519966783</v>
      </c>
      <c r="AT1096" s="6">
        <v>0</v>
      </c>
      <c r="AU1096" s="5">
        <v>0</v>
      </c>
      <c r="AV1096" s="6">
        <v>0</v>
      </c>
      <c r="AW1096" s="5">
        <v>0</v>
      </c>
      <c r="AX1096" s="6">
        <v>0</v>
      </c>
      <c r="AY1096" s="5">
        <v>0</v>
      </c>
      <c r="AZ1096" s="6">
        <v>0</v>
      </c>
      <c r="BA1096" s="5">
        <v>0</v>
      </c>
      <c r="BB1096" s="6">
        <v>0</v>
      </c>
      <c r="BC1096" s="5">
        <v>0</v>
      </c>
      <c r="BD1096" s="6">
        <v>0</v>
      </c>
      <c r="BE1096" s="5">
        <v>0</v>
      </c>
      <c r="BF1096" s="6">
        <v>0</v>
      </c>
      <c r="BG1096" s="5">
        <v>0</v>
      </c>
      <c r="BH1096" s="9">
        <f t="shared" si="138"/>
        <v>2500</v>
      </c>
      <c r="BI1096" s="10">
        <f t="shared" si="139"/>
        <v>4299.8073519966783</v>
      </c>
      <c r="BJ1096" s="6">
        <f t="shared" si="140"/>
        <v>521.52865161357408</v>
      </c>
      <c r="BK1096" s="11">
        <f t="shared" si="141"/>
        <v>0.26360182169881569</v>
      </c>
      <c r="BL1096" s="5">
        <f t="shared" si="142"/>
        <v>1035.3296271590743</v>
      </c>
      <c r="BM1096" s="11">
        <f t="shared" si="143"/>
        <v>0.31715015828774823</v>
      </c>
    </row>
    <row r="1097" spans="1:65" ht="15" customHeight="1" x14ac:dyDescent="0.4">
      <c r="A1097" s="2" t="s">
        <v>775</v>
      </c>
      <c r="B1097" s="2" t="s">
        <v>786</v>
      </c>
      <c r="C1097" s="2" t="s">
        <v>787</v>
      </c>
      <c r="D1097" s="3" t="s">
        <v>272</v>
      </c>
      <c r="E1097" s="3" t="s">
        <v>794</v>
      </c>
      <c r="F1097" s="2" t="s">
        <v>87</v>
      </c>
      <c r="G1097" s="4">
        <v>20</v>
      </c>
      <c r="H1097" s="5">
        <v>1.65</v>
      </c>
      <c r="I1097" s="5">
        <v>1.7199229407986709</v>
      </c>
      <c r="J1097" s="6">
        <v>0</v>
      </c>
      <c r="K1097" s="5">
        <v>0</v>
      </c>
      <c r="L1097" s="6">
        <v>0</v>
      </c>
      <c r="M1097" s="5">
        <v>0</v>
      </c>
      <c r="N1097" s="6">
        <v>0</v>
      </c>
      <c r="O1097" s="5">
        <v>0</v>
      </c>
      <c r="P1097" s="6">
        <v>0</v>
      </c>
      <c r="Q1097" s="5">
        <v>0</v>
      </c>
      <c r="R1097" s="6">
        <v>0</v>
      </c>
      <c r="S1097" s="5">
        <v>0</v>
      </c>
      <c r="T1097" s="6">
        <v>0</v>
      </c>
      <c r="U1097" s="5">
        <v>0</v>
      </c>
      <c r="V1097" s="6">
        <v>0</v>
      </c>
      <c r="W1097" s="5">
        <v>0</v>
      </c>
      <c r="X1097" s="6">
        <v>10881.59241612535</v>
      </c>
      <c r="Y1097" s="5">
        <v>17954.62748660682</v>
      </c>
      <c r="Z1097" s="6">
        <v>0</v>
      </c>
      <c r="AA1097" s="5">
        <v>0</v>
      </c>
      <c r="AB1097" s="6">
        <v>0</v>
      </c>
      <c r="AC1097" s="5">
        <v>0</v>
      </c>
      <c r="AD1097" s="6">
        <v>6635.9729750887254</v>
      </c>
      <c r="AE1097" s="5">
        <v>10949.355408896399</v>
      </c>
      <c r="AF1097" s="6">
        <v>0</v>
      </c>
      <c r="AG1097" s="5">
        <v>0</v>
      </c>
      <c r="AH1097" s="7">
        <f t="shared" si="136"/>
        <v>17517.565391214077</v>
      </c>
      <c r="AI1097" s="8">
        <f t="shared" si="137"/>
        <v>28903.982895503221</v>
      </c>
      <c r="AJ1097" s="6">
        <v>0</v>
      </c>
      <c r="AK1097" s="5">
        <v>0</v>
      </c>
      <c r="AL1097" s="6">
        <v>0</v>
      </c>
      <c r="AM1097" s="5">
        <v>0</v>
      </c>
      <c r="AN1097" s="6">
        <v>0</v>
      </c>
      <c r="AO1097" s="5">
        <v>0</v>
      </c>
      <c r="AP1097" s="6">
        <v>0</v>
      </c>
      <c r="AQ1097" s="5">
        <v>0</v>
      </c>
      <c r="AR1097" s="6">
        <v>0</v>
      </c>
      <c r="AS1097" s="5">
        <v>0</v>
      </c>
      <c r="AT1097" s="6">
        <v>0</v>
      </c>
      <c r="AU1097" s="5">
        <v>0</v>
      </c>
      <c r="AV1097" s="6">
        <v>0</v>
      </c>
      <c r="AW1097" s="5">
        <v>0</v>
      </c>
      <c r="AX1097" s="6">
        <v>13720</v>
      </c>
      <c r="AY1097" s="5">
        <v>23597.342747757772</v>
      </c>
      <c r="AZ1097" s="6">
        <v>0</v>
      </c>
      <c r="BA1097" s="5">
        <v>0</v>
      </c>
      <c r="BB1097" s="6">
        <v>0</v>
      </c>
      <c r="BC1097" s="5">
        <v>0</v>
      </c>
      <c r="BD1097" s="6">
        <v>8360</v>
      </c>
      <c r="BE1097" s="5">
        <v>14378.555785076889</v>
      </c>
      <c r="BF1097" s="6">
        <v>0</v>
      </c>
      <c r="BG1097" s="5">
        <v>0</v>
      </c>
      <c r="BH1097" s="9">
        <f t="shared" si="138"/>
        <v>22080</v>
      </c>
      <c r="BI1097" s="10">
        <f t="shared" si="139"/>
        <v>37975.898532834661</v>
      </c>
      <c r="BJ1097" s="6">
        <f t="shared" si="140"/>
        <v>4562.434608785923</v>
      </c>
      <c r="BK1097" s="11">
        <f t="shared" si="141"/>
        <v>0.26044912674190496</v>
      </c>
      <c r="BL1097" s="5">
        <f t="shared" si="142"/>
        <v>9071.9156373314399</v>
      </c>
      <c r="BM1097" s="11">
        <f t="shared" si="143"/>
        <v>0.3138638598745786</v>
      </c>
    </row>
    <row r="1098" spans="1:65" ht="15" customHeight="1" x14ac:dyDescent="0.4">
      <c r="A1098" s="2" t="s">
        <v>775</v>
      </c>
      <c r="B1098" s="2" t="s">
        <v>786</v>
      </c>
      <c r="C1098" s="2" t="s">
        <v>787</v>
      </c>
      <c r="D1098" s="3" t="s">
        <v>272</v>
      </c>
      <c r="E1098" s="3" t="s">
        <v>795</v>
      </c>
      <c r="F1098" s="2" t="s">
        <v>796</v>
      </c>
      <c r="G1098" s="4">
        <v>1</v>
      </c>
      <c r="H1098" s="5">
        <v>5.2448936170212752</v>
      </c>
      <c r="I1098" s="5">
        <v>5.4671593054323706</v>
      </c>
      <c r="J1098" s="6">
        <v>0</v>
      </c>
      <c r="K1098" s="5">
        <v>0</v>
      </c>
      <c r="L1098" s="6">
        <v>0</v>
      </c>
      <c r="M1098" s="5">
        <v>0</v>
      </c>
      <c r="N1098" s="6">
        <v>0</v>
      </c>
      <c r="O1098" s="5">
        <v>0</v>
      </c>
      <c r="P1098" s="6">
        <v>0</v>
      </c>
      <c r="Q1098" s="5">
        <v>0</v>
      </c>
      <c r="R1098" s="6">
        <v>0</v>
      </c>
      <c r="S1098" s="5">
        <v>0</v>
      </c>
      <c r="T1098" s="6">
        <v>0</v>
      </c>
      <c r="U1098" s="5">
        <v>0</v>
      </c>
      <c r="V1098" s="6">
        <v>0</v>
      </c>
      <c r="W1098" s="5">
        <v>0</v>
      </c>
      <c r="X1098" s="6">
        <v>0</v>
      </c>
      <c r="Y1098" s="5">
        <v>0</v>
      </c>
      <c r="Z1098" s="6">
        <v>0</v>
      </c>
      <c r="AA1098" s="5">
        <v>0</v>
      </c>
      <c r="AB1098" s="6">
        <v>0</v>
      </c>
      <c r="AC1098" s="5">
        <v>0</v>
      </c>
      <c r="AD1098" s="6">
        <v>303.3587645754846</v>
      </c>
      <c r="AE1098" s="5">
        <v>1591.084447989419</v>
      </c>
      <c r="AF1098" s="6">
        <v>0</v>
      </c>
      <c r="AG1098" s="5">
        <v>0</v>
      </c>
      <c r="AH1098" s="7">
        <f t="shared" si="136"/>
        <v>303.3587645754846</v>
      </c>
      <c r="AI1098" s="8">
        <f t="shared" si="137"/>
        <v>1591.084447989419</v>
      </c>
      <c r="AJ1098" s="6">
        <v>0</v>
      </c>
      <c r="AK1098" s="5">
        <v>0</v>
      </c>
      <c r="AL1098" s="6">
        <v>0</v>
      </c>
      <c r="AM1098" s="5">
        <v>0</v>
      </c>
      <c r="AN1098" s="6">
        <v>0</v>
      </c>
      <c r="AO1098" s="5">
        <v>0</v>
      </c>
      <c r="AP1098" s="6">
        <v>0</v>
      </c>
      <c r="AQ1098" s="5">
        <v>0</v>
      </c>
      <c r="AR1098" s="6">
        <v>0</v>
      </c>
      <c r="AS1098" s="5">
        <v>0</v>
      </c>
      <c r="AT1098" s="6">
        <v>0</v>
      </c>
      <c r="AU1098" s="5">
        <v>0</v>
      </c>
      <c r="AV1098" s="6">
        <v>0</v>
      </c>
      <c r="AW1098" s="5">
        <v>0</v>
      </c>
      <c r="AX1098" s="6">
        <v>0</v>
      </c>
      <c r="AY1098" s="5">
        <v>0</v>
      </c>
      <c r="AZ1098" s="6">
        <v>0</v>
      </c>
      <c r="BA1098" s="5">
        <v>0</v>
      </c>
      <c r="BB1098" s="6">
        <v>0</v>
      </c>
      <c r="BC1098" s="5">
        <v>0</v>
      </c>
      <c r="BD1098" s="6">
        <v>377</v>
      </c>
      <c r="BE1098" s="5">
        <v>2061.1190581480041</v>
      </c>
      <c r="BF1098" s="6">
        <v>0</v>
      </c>
      <c r="BG1098" s="5">
        <v>0</v>
      </c>
      <c r="BH1098" s="9">
        <f t="shared" si="138"/>
        <v>377</v>
      </c>
      <c r="BI1098" s="10">
        <f t="shared" si="139"/>
        <v>2061.1190581480041</v>
      </c>
      <c r="BJ1098" s="6">
        <f t="shared" si="140"/>
        <v>73.641235424515401</v>
      </c>
      <c r="BK1098" s="11">
        <f t="shared" si="141"/>
        <v>0.24275295136953687</v>
      </c>
      <c r="BL1098" s="5">
        <f t="shared" si="142"/>
        <v>470.03461015858511</v>
      </c>
      <c r="BM1098" s="11">
        <f t="shared" si="143"/>
        <v>0.29541776412468013</v>
      </c>
    </row>
    <row r="1099" spans="1:65" ht="15" customHeight="1" x14ac:dyDescent="0.4">
      <c r="A1099" s="2" t="s">
        <v>775</v>
      </c>
      <c r="B1099" s="2" t="s">
        <v>786</v>
      </c>
      <c r="C1099" s="2" t="s">
        <v>787</v>
      </c>
      <c r="D1099" s="3" t="s">
        <v>272</v>
      </c>
      <c r="E1099" s="3" t="s">
        <v>797</v>
      </c>
      <c r="F1099" s="2" t="s">
        <v>415</v>
      </c>
      <c r="G1099" s="4">
        <v>5</v>
      </c>
      <c r="H1099" s="5">
        <v>2.23</v>
      </c>
      <c r="I1099" s="5">
        <v>2.3245019139279011</v>
      </c>
      <c r="J1099" s="6">
        <v>0</v>
      </c>
      <c r="K1099" s="5">
        <v>0</v>
      </c>
      <c r="L1099" s="6">
        <v>0</v>
      </c>
      <c r="M1099" s="5">
        <v>0</v>
      </c>
      <c r="N1099" s="6">
        <v>0</v>
      </c>
      <c r="O1099" s="5">
        <v>0</v>
      </c>
      <c r="P1099" s="6">
        <v>0</v>
      </c>
      <c r="Q1099" s="5">
        <v>0</v>
      </c>
      <c r="R1099" s="6">
        <v>989.23567419321319</v>
      </c>
      <c r="S1099" s="5">
        <v>2205.9955534508649</v>
      </c>
      <c r="T1099" s="6">
        <v>0</v>
      </c>
      <c r="U1099" s="5">
        <v>0</v>
      </c>
      <c r="V1099" s="6">
        <v>0</v>
      </c>
      <c r="W1099" s="5">
        <v>0</v>
      </c>
      <c r="X1099" s="6">
        <v>0</v>
      </c>
      <c r="Y1099" s="5">
        <v>0</v>
      </c>
      <c r="Z1099" s="6">
        <v>0</v>
      </c>
      <c r="AA1099" s="5">
        <v>0</v>
      </c>
      <c r="AB1099" s="6">
        <v>0</v>
      </c>
      <c r="AC1099" s="5">
        <v>0</v>
      </c>
      <c r="AD1099" s="6">
        <v>0</v>
      </c>
      <c r="AE1099" s="5">
        <v>0</v>
      </c>
      <c r="AF1099" s="6">
        <v>0</v>
      </c>
      <c r="AG1099" s="5">
        <v>0</v>
      </c>
      <c r="AH1099" s="7">
        <f t="shared" si="136"/>
        <v>989.23567419321319</v>
      </c>
      <c r="AI1099" s="8">
        <f t="shared" si="137"/>
        <v>2205.9955534508649</v>
      </c>
      <c r="AJ1099" s="6">
        <v>0</v>
      </c>
      <c r="AK1099" s="5">
        <v>0</v>
      </c>
      <c r="AL1099" s="6">
        <v>0</v>
      </c>
      <c r="AM1099" s="5">
        <v>0</v>
      </c>
      <c r="AN1099" s="6">
        <v>0</v>
      </c>
      <c r="AO1099" s="5">
        <v>0</v>
      </c>
      <c r="AP1099" s="6">
        <v>0</v>
      </c>
      <c r="AQ1099" s="5">
        <v>0</v>
      </c>
      <c r="AR1099" s="6">
        <v>1245</v>
      </c>
      <c r="AS1099" s="5">
        <v>2894.0048828402369</v>
      </c>
      <c r="AT1099" s="6">
        <v>0</v>
      </c>
      <c r="AU1099" s="5">
        <v>0</v>
      </c>
      <c r="AV1099" s="6">
        <v>0</v>
      </c>
      <c r="AW1099" s="5">
        <v>0</v>
      </c>
      <c r="AX1099" s="6">
        <v>0</v>
      </c>
      <c r="AY1099" s="5">
        <v>0</v>
      </c>
      <c r="AZ1099" s="6">
        <v>0</v>
      </c>
      <c r="BA1099" s="5">
        <v>0</v>
      </c>
      <c r="BB1099" s="6">
        <v>0</v>
      </c>
      <c r="BC1099" s="5">
        <v>0</v>
      </c>
      <c r="BD1099" s="6">
        <v>0</v>
      </c>
      <c r="BE1099" s="5">
        <v>0</v>
      </c>
      <c r="BF1099" s="6">
        <v>0</v>
      </c>
      <c r="BG1099" s="5">
        <v>0</v>
      </c>
      <c r="BH1099" s="9">
        <f t="shared" si="138"/>
        <v>1245</v>
      </c>
      <c r="BI1099" s="10">
        <f t="shared" si="139"/>
        <v>2894.0048828402369</v>
      </c>
      <c r="BJ1099" s="6">
        <f t="shared" si="140"/>
        <v>255.76432580678681</v>
      </c>
      <c r="BK1099" s="11">
        <f t="shared" si="141"/>
        <v>0.25854741441202012</v>
      </c>
      <c r="BL1099" s="5">
        <f t="shared" si="142"/>
        <v>688.00932938937194</v>
      </c>
      <c r="BM1099" s="11">
        <f t="shared" si="143"/>
        <v>0.31188155765459763</v>
      </c>
    </row>
    <row r="1100" spans="1:65" ht="15" customHeight="1" x14ac:dyDescent="0.4">
      <c r="A1100" s="2" t="s">
        <v>775</v>
      </c>
      <c r="B1100" s="2" t="s">
        <v>786</v>
      </c>
      <c r="C1100" s="2" t="s">
        <v>787</v>
      </c>
      <c r="D1100" s="3" t="s">
        <v>272</v>
      </c>
      <c r="E1100" s="3" t="s">
        <v>797</v>
      </c>
      <c r="F1100" s="2" t="s">
        <v>89</v>
      </c>
      <c r="G1100" s="4">
        <v>5</v>
      </c>
      <c r="H1100" s="5">
        <v>2.23</v>
      </c>
      <c r="I1100" s="5">
        <v>2.3245019139279011</v>
      </c>
      <c r="J1100" s="6">
        <v>0</v>
      </c>
      <c r="K1100" s="5">
        <v>0</v>
      </c>
      <c r="L1100" s="6">
        <v>0</v>
      </c>
      <c r="M1100" s="5">
        <v>0</v>
      </c>
      <c r="N1100" s="6">
        <v>0</v>
      </c>
      <c r="O1100" s="5">
        <v>0</v>
      </c>
      <c r="P1100" s="6">
        <v>0</v>
      </c>
      <c r="Q1100" s="5">
        <v>0</v>
      </c>
      <c r="R1100" s="6">
        <v>0</v>
      </c>
      <c r="S1100" s="5">
        <v>0</v>
      </c>
      <c r="T1100" s="6">
        <v>0</v>
      </c>
      <c r="U1100" s="5">
        <v>0</v>
      </c>
      <c r="V1100" s="6">
        <v>0</v>
      </c>
      <c r="W1100" s="5">
        <v>0</v>
      </c>
      <c r="X1100" s="6">
        <v>0</v>
      </c>
      <c r="Y1100" s="5">
        <v>0</v>
      </c>
      <c r="Z1100" s="6">
        <v>0</v>
      </c>
      <c r="AA1100" s="5">
        <v>0</v>
      </c>
      <c r="AB1100" s="6">
        <v>0</v>
      </c>
      <c r="AC1100" s="5">
        <v>0</v>
      </c>
      <c r="AD1100" s="6">
        <v>284.39884178951678</v>
      </c>
      <c r="AE1100" s="5">
        <v>634.2094171906225</v>
      </c>
      <c r="AF1100" s="6">
        <v>0</v>
      </c>
      <c r="AG1100" s="5">
        <v>0</v>
      </c>
      <c r="AH1100" s="7">
        <f t="shared" si="136"/>
        <v>284.39884178951678</v>
      </c>
      <c r="AI1100" s="8">
        <f t="shared" si="137"/>
        <v>634.2094171906225</v>
      </c>
      <c r="AJ1100" s="6">
        <v>0</v>
      </c>
      <c r="AK1100" s="5">
        <v>0</v>
      </c>
      <c r="AL1100" s="6">
        <v>0</v>
      </c>
      <c r="AM1100" s="5">
        <v>0</v>
      </c>
      <c r="AN1100" s="6">
        <v>0</v>
      </c>
      <c r="AO1100" s="5">
        <v>0</v>
      </c>
      <c r="AP1100" s="6">
        <v>0</v>
      </c>
      <c r="AQ1100" s="5">
        <v>0</v>
      </c>
      <c r="AR1100" s="6">
        <v>0</v>
      </c>
      <c r="AS1100" s="5">
        <v>0</v>
      </c>
      <c r="AT1100" s="6">
        <v>0</v>
      </c>
      <c r="AU1100" s="5">
        <v>0</v>
      </c>
      <c r="AV1100" s="6">
        <v>0</v>
      </c>
      <c r="AW1100" s="5">
        <v>0</v>
      </c>
      <c r="AX1100" s="6">
        <v>0</v>
      </c>
      <c r="AY1100" s="5">
        <v>0</v>
      </c>
      <c r="AZ1100" s="6">
        <v>0</v>
      </c>
      <c r="BA1100" s="5">
        <v>0</v>
      </c>
      <c r="BB1100" s="6">
        <v>0</v>
      </c>
      <c r="BC1100" s="5">
        <v>0</v>
      </c>
      <c r="BD1100" s="6">
        <v>360</v>
      </c>
      <c r="BE1100" s="5">
        <v>836.82068901404443</v>
      </c>
      <c r="BF1100" s="6">
        <v>0</v>
      </c>
      <c r="BG1100" s="5">
        <v>0</v>
      </c>
      <c r="BH1100" s="9">
        <f t="shared" si="138"/>
        <v>360</v>
      </c>
      <c r="BI1100" s="10">
        <f t="shared" si="139"/>
        <v>836.82068901404443</v>
      </c>
      <c r="BJ1100" s="6">
        <f t="shared" si="140"/>
        <v>75.60115821048322</v>
      </c>
      <c r="BK1100" s="11">
        <f t="shared" si="141"/>
        <v>0.26582793985650455</v>
      </c>
      <c r="BL1100" s="5">
        <f t="shared" si="142"/>
        <v>202.61127182342193</v>
      </c>
      <c r="BM1100" s="11">
        <f t="shared" si="143"/>
        <v>0.31947061385643799</v>
      </c>
    </row>
    <row r="1101" spans="1:65" ht="15" customHeight="1" x14ac:dyDescent="0.4">
      <c r="A1101" s="2" t="s">
        <v>775</v>
      </c>
      <c r="B1101" s="2" t="s">
        <v>786</v>
      </c>
      <c r="C1101" s="2" t="s">
        <v>787</v>
      </c>
      <c r="D1101" s="3" t="s">
        <v>272</v>
      </c>
      <c r="E1101" s="3" t="s">
        <v>798</v>
      </c>
      <c r="F1101" s="2" t="s">
        <v>293</v>
      </c>
      <c r="G1101" s="4">
        <v>1</v>
      </c>
      <c r="H1101" s="5">
        <v>4.9800000000000004</v>
      </c>
      <c r="I1101" s="5">
        <v>5.1910401485923554</v>
      </c>
      <c r="J1101" s="6">
        <v>0</v>
      </c>
      <c r="K1101" s="5">
        <v>0</v>
      </c>
      <c r="L1101" s="6">
        <v>0</v>
      </c>
      <c r="M1101" s="5">
        <v>0</v>
      </c>
      <c r="N1101" s="6">
        <v>0</v>
      </c>
      <c r="O1101" s="5">
        <v>0</v>
      </c>
      <c r="P1101" s="6">
        <v>0</v>
      </c>
      <c r="Q1101" s="5">
        <v>0</v>
      </c>
      <c r="R1101" s="6">
        <v>949.66624722548465</v>
      </c>
      <c r="S1101" s="5">
        <v>4729.3379111829136</v>
      </c>
      <c r="T1101" s="6">
        <v>0</v>
      </c>
      <c r="U1101" s="5">
        <v>0</v>
      </c>
      <c r="V1101" s="6">
        <v>0</v>
      </c>
      <c r="W1101" s="5">
        <v>0</v>
      </c>
      <c r="X1101" s="6">
        <v>0</v>
      </c>
      <c r="Y1101" s="5">
        <v>0</v>
      </c>
      <c r="Z1101" s="6">
        <v>0</v>
      </c>
      <c r="AA1101" s="5">
        <v>0</v>
      </c>
      <c r="AB1101" s="6">
        <v>0</v>
      </c>
      <c r="AC1101" s="5">
        <v>0</v>
      </c>
      <c r="AD1101" s="6">
        <v>0</v>
      </c>
      <c r="AE1101" s="5">
        <v>0</v>
      </c>
      <c r="AF1101" s="6">
        <v>0</v>
      </c>
      <c r="AG1101" s="5">
        <v>0</v>
      </c>
      <c r="AH1101" s="7">
        <f t="shared" si="136"/>
        <v>949.66624722548465</v>
      </c>
      <c r="AI1101" s="8">
        <f t="shared" si="137"/>
        <v>4729.3379111829136</v>
      </c>
      <c r="AJ1101" s="6">
        <v>0</v>
      </c>
      <c r="AK1101" s="5">
        <v>0</v>
      </c>
      <c r="AL1101" s="6">
        <v>0</v>
      </c>
      <c r="AM1101" s="5">
        <v>0</v>
      </c>
      <c r="AN1101" s="6">
        <v>0</v>
      </c>
      <c r="AO1101" s="5">
        <v>0</v>
      </c>
      <c r="AP1101" s="6">
        <v>0</v>
      </c>
      <c r="AQ1101" s="5">
        <v>0</v>
      </c>
      <c r="AR1101" s="6">
        <v>1162</v>
      </c>
      <c r="AS1101" s="5">
        <v>6031.9886526643159</v>
      </c>
      <c r="AT1101" s="6">
        <v>0</v>
      </c>
      <c r="AU1101" s="5">
        <v>0</v>
      </c>
      <c r="AV1101" s="6">
        <v>0</v>
      </c>
      <c r="AW1101" s="5">
        <v>0</v>
      </c>
      <c r="AX1101" s="6">
        <v>0</v>
      </c>
      <c r="AY1101" s="5">
        <v>0</v>
      </c>
      <c r="AZ1101" s="6">
        <v>0</v>
      </c>
      <c r="BA1101" s="5">
        <v>0</v>
      </c>
      <c r="BB1101" s="6">
        <v>0</v>
      </c>
      <c r="BC1101" s="5">
        <v>0</v>
      </c>
      <c r="BD1101" s="6">
        <v>0</v>
      </c>
      <c r="BE1101" s="5">
        <v>0</v>
      </c>
      <c r="BF1101" s="6">
        <v>0</v>
      </c>
      <c r="BG1101" s="5">
        <v>0</v>
      </c>
      <c r="BH1101" s="9">
        <f t="shared" si="138"/>
        <v>1162</v>
      </c>
      <c r="BI1101" s="10">
        <f t="shared" si="139"/>
        <v>6031.9886526643159</v>
      </c>
      <c r="BJ1101" s="6">
        <f t="shared" si="140"/>
        <v>212.33375277451535</v>
      </c>
      <c r="BK1101" s="11">
        <f t="shared" si="141"/>
        <v>0.22358776401168623</v>
      </c>
      <c r="BL1101" s="5">
        <f t="shared" si="142"/>
        <v>1302.6507414814023</v>
      </c>
      <c r="BM1101" s="11">
        <f t="shared" si="143"/>
        <v>0.27544040327530334</v>
      </c>
    </row>
    <row r="1102" spans="1:65" ht="15" customHeight="1" x14ac:dyDescent="0.4">
      <c r="A1102" s="2" t="s">
        <v>775</v>
      </c>
      <c r="B1102" s="2" t="s">
        <v>786</v>
      </c>
      <c r="C1102" s="2" t="s">
        <v>787</v>
      </c>
      <c r="D1102" s="3" t="s">
        <v>272</v>
      </c>
      <c r="E1102" s="3" t="s">
        <v>799</v>
      </c>
      <c r="F1102" s="2" t="s">
        <v>293</v>
      </c>
      <c r="G1102" s="4">
        <v>5</v>
      </c>
      <c r="H1102" s="5">
        <v>3.84</v>
      </c>
      <c r="I1102" s="5">
        <v>4.0027297531314536</v>
      </c>
      <c r="J1102" s="6">
        <v>0</v>
      </c>
      <c r="K1102" s="5">
        <v>0</v>
      </c>
      <c r="L1102" s="6">
        <v>0</v>
      </c>
      <c r="M1102" s="5">
        <v>0</v>
      </c>
      <c r="N1102" s="6">
        <v>0</v>
      </c>
      <c r="O1102" s="5">
        <v>0</v>
      </c>
      <c r="P1102" s="6">
        <v>0</v>
      </c>
      <c r="Q1102" s="5">
        <v>0</v>
      </c>
      <c r="R1102" s="6">
        <v>395.69426967728532</v>
      </c>
      <c r="S1102" s="5">
        <v>1519.465995560776</v>
      </c>
      <c r="T1102" s="6">
        <v>0</v>
      </c>
      <c r="U1102" s="5">
        <v>0</v>
      </c>
      <c r="V1102" s="6">
        <v>0</v>
      </c>
      <c r="W1102" s="5">
        <v>0</v>
      </c>
      <c r="X1102" s="6">
        <v>0</v>
      </c>
      <c r="Y1102" s="5">
        <v>0</v>
      </c>
      <c r="Z1102" s="6">
        <v>0</v>
      </c>
      <c r="AA1102" s="5">
        <v>0</v>
      </c>
      <c r="AB1102" s="6">
        <v>0</v>
      </c>
      <c r="AC1102" s="5">
        <v>0</v>
      </c>
      <c r="AD1102" s="6">
        <v>0</v>
      </c>
      <c r="AE1102" s="5">
        <v>0</v>
      </c>
      <c r="AF1102" s="6">
        <v>0</v>
      </c>
      <c r="AG1102" s="5">
        <v>0</v>
      </c>
      <c r="AH1102" s="7">
        <f t="shared" si="136"/>
        <v>395.69426967728532</v>
      </c>
      <c r="AI1102" s="8">
        <f t="shared" si="137"/>
        <v>1519.465995560776</v>
      </c>
      <c r="AJ1102" s="6">
        <v>0</v>
      </c>
      <c r="AK1102" s="5">
        <v>0</v>
      </c>
      <c r="AL1102" s="6">
        <v>0</v>
      </c>
      <c r="AM1102" s="5">
        <v>0</v>
      </c>
      <c r="AN1102" s="6">
        <v>0</v>
      </c>
      <c r="AO1102" s="5">
        <v>0</v>
      </c>
      <c r="AP1102" s="6">
        <v>0</v>
      </c>
      <c r="AQ1102" s="5">
        <v>0</v>
      </c>
      <c r="AR1102" s="6">
        <v>490</v>
      </c>
      <c r="AS1102" s="5">
        <v>1961.3375790344121</v>
      </c>
      <c r="AT1102" s="6">
        <v>0</v>
      </c>
      <c r="AU1102" s="5">
        <v>0</v>
      </c>
      <c r="AV1102" s="6">
        <v>0</v>
      </c>
      <c r="AW1102" s="5">
        <v>0</v>
      </c>
      <c r="AX1102" s="6">
        <v>0</v>
      </c>
      <c r="AY1102" s="5">
        <v>0</v>
      </c>
      <c r="AZ1102" s="6">
        <v>0</v>
      </c>
      <c r="BA1102" s="5">
        <v>0</v>
      </c>
      <c r="BB1102" s="6">
        <v>0</v>
      </c>
      <c r="BC1102" s="5">
        <v>0</v>
      </c>
      <c r="BD1102" s="6">
        <v>0</v>
      </c>
      <c r="BE1102" s="5">
        <v>0</v>
      </c>
      <c r="BF1102" s="6">
        <v>0</v>
      </c>
      <c r="BG1102" s="5">
        <v>0</v>
      </c>
      <c r="BH1102" s="9">
        <f t="shared" si="138"/>
        <v>490</v>
      </c>
      <c r="BI1102" s="10">
        <f t="shared" si="139"/>
        <v>1961.3375790344121</v>
      </c>
      <c r="BJ1102" s="6">
        <f t="shared" si="140"/>
        <v>94.30573032271468</v>
      </c>
      <c r="BK1102" s="11">
        <f t="shared" si="141"/>
        <v>0.23832978526483894</v>
      </c>
      <c r="BL1102" s="5">
        <f t="shared" si="142"/>
        <v>441.87158347363606</v>
      </c>
      <c r="BM1102" s="11">
        <f t="shared" si="143"/>
        <v>0.29080715512199296</v>
      </c>
    </row>
    <row r="1103" spans="1:65" ht="15" customHeight="1" x14ac:dyDescent="0.4">
      <c r="A1103" s="2" t="s">
        <v>775</v>
      </c>
      <c r="B1103" s="2" t="s">
        <v>786</v>
      </c>
      <c r="C1103" s="2" t="s">
        <v>787</v>
      </c>
      <c r="D1103" s="3" t="s">
        <v>272</v>
      </c>
      <c r="E1103" s="3" t="s">
        <v>800</v>
      </c>
      <c r="F1103" s="2" t="s">
        <v>293</v>
      </c>
      <c r="G1103" s="4">
        <v>20</v>
      </c>
      <c r="H1103" s="5">
        <v>3.58</v>
      </c>
      <c r="I1103" s="5">
        <v>3.731711592763177</v>
      </c>
      <c r="J1103" s="6">
        <v>0</v>
      </c>
      <c r="K1103" s="5">
        <v>0</v>
      </c>
      <c r="L1103" s="6">
        <v>0</v>
      </c>
      <c r="M1103" s="5">
        <v>0</v>
      </c>
      <c r="N1103" s="6">
        <v>0</v>
      </c>
      <c r="O1103" s="5">
        <v>0</v>
      </c>
      <c r="P1103" s="6">
        <v>0</v>
      </c>
      <c r="Q1103" s="5">
        <v>0</v>
      </c>
      <c r="R1103" s="6">
        <v>791.38853935457064</v>
      </c>
      <c r="S1103" s="5">
        <v>2833.1709708893632</v>
      </c>
      <c r="T1103" s="6">
        <v>0</v>
      </c>
      <c r="U1103" s="5">
        <v>0</v>
      </c>
      <c r="V1103" s="6">
        <v>0</v>
      </c>
      <c r="W1103" s="5">
        <v>0</v>
      </c>
      <c r="X1103" s="6">
        <v>0</v>
      </c>
      <c r="Y1103" s="5">
        <v>0</v>
      </c>
      <c r="Z1103" s="6">
        <v>0</v>
      </c>
      <c r="AA1103" s="5">
        <v>0</v>
      </c>
      <c r="AB1103" s="6">
        <v>0</v>
      </c>
      <c r="AC1103" s="5">
        <v>0</v>
      </c>
      <c r="AD1103" s="6">
        <v>0</v>
      </c>
      <c r="AE1103" s="5">
        <v>0</v>
      </c>
      <c r="AF1103" s="6">
        <v>0</v>
      </c>
      <c r="AG1103" s="5">
        <v>0</v>
      </c>
      <c r="AH1103" s="7">
        <f t="shared" si="136"/>
        <v>791.38853935457064</v>
      </c>
      <c r="AI1103" s="8">
        <f t="shared" si="137"/>
        <v>2833.1709708893632</v>
      </c>
      <c r="AJ1103" s="6">
        <v>0</v>
      </c>
      <c r="AK1103" s="5">
        <v>0</v>
      </c>
      <c r="AL1103" s="6">
        <v>0</v>
      </c>
      <c r="AM1103" s="5">
        <v>0</v>
      </c>
      <c r="AN1103" s="6">
        <v>0</v>
      </c>
      <c r="AO1103" s="5">
        <v>0</v>
      </c>
      <c r="AP1103" s="6">
        <v>0</v>
      </c>
      <c r="AQ1103" s="5">
        <v>0</v>
      </c>
      <c r="AR1103" s="6">
        <v>980</v>
      </c>
      <c r="AS1103" s="5">
        <v>3657.0773609079142</v>
      </c>
      <c r="AT1103" s="6">
        <v>0</v>
      </c>
      <c r="AU1103" s="5">
        <v>0</v>
      </c>
      <c r="AV1103" s="6">
        <v>0</v>
      </c>
      <c r="AW1103" s="5">
        <v>0</v>
      </c>
      <c r="AX1103" s="6">
        <v>0</v>
      </c>
      <c r="AY1103" s="5">
        <v>0</v>
      </c>
      <c r="AZ1103" s="6">
        <v>0</v>
      </c>
      <c r="BA1103" s="5">
        <v>0</v>
      </c>
      <c r="BB1103" s="6">
        <v>0</v>
      </c>
      <c r="BC1103" s="5">
        <v>0</v>
      </c>
      <c r="BD1103" s="6">
        <v>0</v>
      </c>
      <c r="BE1103" s="5">
        <v>0</v>
      </c>
      <c r="BF1103" s="6">
        <v>0</v>
      </c>
      <c r="BG1103" s="5">
        <v>0</v>
      </c>
      <c r="BH1103" s="9">
        <f t="shared" si="138"/>
        <v>980</v>
      </c>
      <c r="BI1103" s="10">
        <f t="shared" si="139"/>
        <v>3657.0773609079142</v>
      </c>
      <c r="BJ1103" s="6">
        <f t="shared" si="140"/>
        <v>188.61146064542936</v>
      </c>
      <c r="BK1103" s="11">
        <f t="shared" si="141"/>
        <v>0.23832978526483894</v>
      </c>
      <c r="BL1103" s="5">
        <f t="shared" si="142"/>
        <v>823.90639001855106</v>
      </c>
      <c r="BM1103" s="11">
        <f t="shared" si="143"/>
        <v>0.29080715512199318</v>
      </c>
    </row>
    <row r="1104" spans="1:65" ht="15" customHeight="1" x14ac:dyDescent="0.4">
      <c r="A1104" s="2" t="s">
        <v>775</v>
      </c>
      <c r="B1104" s="2" t="s">
        <v>786</v>
      </c>
      <c r="C1104" s="2" t="s">
        <v>787</v>
      </c>
      <c r="D1104" s="3" t="s">
        <v>272</v>
      </c>
      <c r="E1104" s="3" t="s">
        <v>801</v>
      </c>
      <c r="F1104" s="2" t="s">
        <v>802</v>
      </c>
      <c r="G1104" s="4">
        <v>1</v>
      </c>
      <c r="H1104" s="5">
        <v>4.99</v>
      </c>
      <c r="I1104" s="5">
        <v>5.2014639239911329</v>
      </c>
      <c r="J1104" s="6">
        <v>0</v>
      </c>
      <c r="K1104" s="5">
        <v>0</v>
      </c>
      <c r="L1104" s="6">
        <v>0</v>
      </c>
      <c r="M1104" s="5">
        <v>0</v>
      </c>
      <c r="N1104" s="6">
        <v>0</v>
      </c>
      <c r="O1104" s="5">
        <v>0</v>
      </c>
      <c r="P1104" s="6">
        <v>0</v>
      </c>
      <c r="Q1104" s="5">
        <v>0</v>
      </c>
      <c r="R1104" s="6">
        <v>0</v>
      </c>
      <c r="S1104" s="5">
        <v>0</v>
      </c>
      <c r="T1104" s="6">
        <v>0</v>
      </c>
      <c r="U1104" s="5">
        <v>0</v>
      </c>
      <c r="V1104" s="6">
        <v>0</v>
      </c>
      <c r="W1104" s="5">
        <v>0</v>
      </c>
      <c r="X1104" s="6">
        <v>0</v>
      </c>
      <c r="Y1104" s="5">
        <v>0</v>
      </c>
      <c r="Z1104" s="6">
        <v>0</v>
      </c>
      <c r="AA1104" s="5">
        <v>0</v>
      </c>
      <c r="AB1104" s="6">
        <v>0</v>
      </c>
      <c r="AC1104" s="5">
        <v>0</v>
      </c>
      <c r="AD1104" s="6">
        <v>227.51907343161341</v>
      </c>
      <c r="AE1104" s="5">
        <v>1135.320176423751</v>
      </c>
      <c r="AF1104" s="6">
        <v>0</v>
      </c>
      <c r="AG1104" s="5">
        <v>0</v>
      </c>
      <c r="AH1104" s="7">
        <f t="shared" si="136"/>
        <v>227.51907343161341</v>
      </c>
      <c r="AI1104" s="8">
        <f t="shared" si="137"/>
        <v>1135.320176423751</v>
      </c>
      <c r="AJ1104" s="6">
        <v>0</v>
      </c>
      <c r="AK1104" s="5">
        <v>0</v>
      </c>
      <c r="AL1104" s="6">
        <v>0</v>
      </c>
      <c r="AM1104" s="5">
        <v>0</v>
      </c>
      <c r="AN1104" s="6">
        <v>0</v>
      </c>
      <c r="AO1104" s="5">
        <v>0</v>
      </c>
      <c r="AP1104" s="6">
        <v>0</v>
      </c>
      <c r="AQ1104" s="5">
        <v>0</v>
      </c>
      <c r="AR1104" s="6">
        <v>0</v>
      </c>
      <c r="AS1104" s="5">
        <v>0</v>
      </c>
      <c r="AT1104" s="6">
        <v>0</v>
      </c>
      <c r="AU1104" s="5">
        <v>0</v>
      </c>
      <c r="AV1104" s="6">
        <v>0</v>
      </c>
      <c r="AW1104" s="5">
        <v>0</v>
      </c>
      <c r="AX1104" s="6">
        <v>0</v>
      </c>
      <c r="AY1104" s="5">
        <v>0</v>
      </c>
      <c r="AZ1104" s="6">
        <v>0</v>
      </c>
      <c r="BA1104" s="5">
        <v>0</v>
      </c>
      <c r="BB1104" s="6">
        <v>0</v>
      </c>
      <c r="BC1104" s="5">
        <v>0</v>
      </c>
      <c r="BD1104" s="6">
        <v>278</v>
      </c>
      <c r="BE1104" s="5">
        <v>1446.0069708695351</v>
      </c>
      <c r="BF1104" s="6">
        <v>0</v>
      </c>
      <c r="BG1104" s="5">
        <v>0</v>
      </c>
      <c r="BH1104" s="9">
        <f t="shared" si="138"/>
        <v>278</v>
      </c>
      <c r="BI1104" s="10">
        <f t="shared" si="139"/>
        <v>1446.0069708695351</v>
      </c>
      <c r="BJ1104" s="6">
        <f t="shared" si="140"/>
        <v>50.480926568386593</v>
      </c>
      <c r="BK1104" s="11">
        <f t="shared" si="141"/>
        <v>0.22187558083370934</v>
      </c>
      <c r="BL1104" s="5">
        <f t="shared" si="142"/>
        <v>310.68679444578402</v>
      </c>
      <c r="BM1104" s="11">
        <f t="shared" si="143"/>
        <v>0.27365566198642288</v>
      </c>
    </row>
    <row r="1105" spans="1:65" ht="15" customHeight="1" x14ac:dyDescent="0.4">
      <c r="A1105" s="2" t="s">
        <v>775</v>
      </c>
      <c r="B1105" s="2" t="s">
        <v>786</v>
      </c>
      <c r="C1105" s="2" t="s">
        <v>787</v>
      </c>
      <c r="D1105" s="3" t="s">
        <v>272</v>
      </c>
      <c r="E1105" s="3" t="s">
        <v>803</v>
      </c>
      <c r="F1105" s="2" t="s">
        <v>804</v>
      </c>
      <c r="G1105" s="4">
        <v>5</v>
      </c>
      <c r="H1105" s="5">
        <v>4.16</v>
      </c>
      <c r="I1105" s="5">
        <v>4.3362905658924076</v>
      </c>
      <c r="J1105" s="6">
        <v>0</v>
      </c>
      <c r="K1105" s="5">
        <v>0</v>
      </c>
      <c r="L1105" s="6">
        <v>0</v>
      </c>
      <c r="M1105" s="5">
        <v>0</v>
      </c>
      <c r="N1105" s="6">
        <v>0</v>
      </c>
      <c r="O1105" s="5">
        <v>0</v>
      </c>
      <c r="P1105" s="6">
        <v>0</v>
      </c>
      <c r="Q1105" s="5">
        <v>0</v>
      </c>
      <c r="R1105" s="6">
        <v>0</v>
      </c>
      <c r="S1105" s="5">
        <v>0</v>
      </c>
      <c r="T1105" s="6">
        <v>0</v>
      </c>
      <c r="U1105" s="5">
        <v>0</v>
      </c>
      <c r="V1105" s="6">
        <v>0</v>
      </c>
      <c r="W1105" s="5">
        <v>0</v>
      </c>
      <c r="X1105" s="6">
        <v>0</v>
      </c>
      <c r="Y1105" s="5">
        <v>0</v>
      </c>
      <c r="Z1105" s="6">
        <v>0</v>
      </c>
      <c r="AA1105" s="5">
        <v>0</v>
      </c>
      <c r="AB1105" s="6">
        <v>0</v>
      </c>
      <c r="AC1105" s="5">
        <v>0</v>
      </c>
      <c r="AD1105" s="6">
        <v>189.59922785967791</v>
      </c>
      <c r="AE1105" s="5">
        <v>788.73278789625988</v>
      </c>
      <c r="AF1105" s="6">
        <v>0</v>
      </c>
      <c r="AG1105" s="5">
        <v>0</v>
      </c>
      <c r="AH1105" s="7">
        <f t="shared" si="136"/>
        <v>189.59922785967791</v>
      </c>
      <c r="AI1105" s="8">
        <f t="shared" si="137"/>
        <v>788.73278789625988</v>
      </c>
      <c r="AJ1105" s="6">
        <v>0</v>
      </c>
      <c r="AK1105" s="5">
        <v>0</v>
      </c>
      <c r="AL1105" s="6">
        <v>0</v>
      </c>
      <c r="AM1105" s="5">
        <v>0</v>
      </c>
      <c r="AN1105" s="6">
        <v>0</v>
      </c>
      <c r="AO1105" s="5">
        <v>0</v>
      </c>
      <c r="AP1105" s="6">
        <v>0</v>
      </c>
      <c r="AQ1105" s="5">
        <v>0</v>
      </c>
      <c r="AR1105" s="6">
        <v>0</v>
      </c>
      <c r="AS1105" s="5">
        <v>0</v>
      </c>
      <c r="AT1105" s="6">
        <v>0</v>
      </c>
      <c r="AU1105" s="5">
        <v>0</v>
      </c>
      <c r="AV1105" s="6">
        <v>0</v>
      </c>
      <c r="AW1105" s="5">
        <v>0</v>
      </c>
      <c r="AX1105" s="6">
        <v>0</v>
      </c>
      <c r="AY1105" s="5">
        <v>0</v>
      </c>
      <c r="AZ1105" s="6">
        <v>0</v>
      </c>
      <c r="BA1105" s="5">
        <v>0</v>
      </c>
      <c r="BB1105" s="6">
        <v>0</v>
      </c>
      <c r="BC1105" s="5">
        <v>0</v>
      </c>
      <c r="BD1105" s="6">
        <v>230</v>
      </c>
      <c r="BE1105" s="5">
        <v>997.34683015525388</v>
      </c>
      <c r="BF1105" s="6">
        <v>0</v>
      </c>
      <c r="BG1105" s="5">
        <v>0</v>
      </c>
      <c r="BH1105" s="9">
        <f t="shared" si="138"/>
        <v>230</v>
      </c>
      <c r="BI1105" s="10">
        <f t="shared" si="139"/>
        <v>997.34683015525388</v>
      </c>
      <c r="BJ1105" s="6">
        <f t="shared" si="140"/>
        <v>40.40077214032209</v>
      </c>
      <c r="BK1105" s="11">
        <f t="shared" si="141"/>
        <v>0.21308510902914984</v>
      </c>
      <c r="BL1105" s="5">
        <f t="shared" si="142"/>
        <v>208.614042258994</v>
      </c>
      <c r="BM1105" s="11">
        <f t="shared" si="143"/>
        <v>0.26449267161242002</v>
      </c>
    </row>
    <row r="1106" spans="1:65" ht="15" customHeight="1" x14ac:dyDescent="0.4">
      <c r="A1106" s="2" t="s">
        <v>775</v>
      </c>
      <c r="B1106" s="2" t="s">
        <v>786</v>
      </c>
      <c r="C1106" s="2" t="s">
        <v>787</v>
      </c>
      <c r="D1106" s="3" t="s">
        <v>272</v>
      </c>
      <c r="E1106" s="3" t="s">
        <v>805</v>
      </c>
      <c r="F1106" s="2" t="s">
        <v>806</v>
      </c>
      <c r="G1106" s="4">
        <v>1</v>
      </c>
      <c r="H1106" s="5">
        <v>3.45</v>
      </c>
      <c r="I1106" s="5">
        <v>3.59620251257904</v>
      </c>
      <c r="J1106" s="6">
        <v>0</v>
      </c>
      <c r="K1106" s="5">
        <v>0</v>
      </c>
      <c r="L1106" s="6">
        <v>0</v>
      </c>
      <c r="M1106" s="5">
        <v>0</v>
      </c>
      <c r="N1106" s="6">
        <v>0</v>
      </c>
      <c r="O1106" s="5">
        <v>0</v>
      </c>
      <c r="P1106" s="6">
        <v>0</v>
      </c>
      <c r="Q1106" s="5">
        <v>0</v>
      </c>
      <c r="R1106" s="6">
        <v>0</v>
      </c>
      <c r="S1106" s="5">
        <v>0</v>
      </c>
      <c r="T1106" s="6">
        <v>0</v>
      </c>
      <c r="U1106" s="5">
        <v>0</v>
      </c>
      <c r="V1106" s="6">
        <v>0</v>
      </c>
      <c r="W1106" s="5">
        <v>0</v>
      </c>
      <c r="X1106" s="6">
        <v>0</v>
      </c>
      <c r="Y1106" s="5">
        <v>0</v>
      </c>
      <c r="Z1106" s="6">
        <v>0</v>
      </c>
      <c r="AA1106" s="5">
        <v>0</v>
      </c>
      <c r="AB1106" s="6">
        <v>0</v>
      </c>
      <c r="AC1106" s="5">
        <v>0</v>
      </c>
      <c r="AD1106" s="6">
        <v>189.59922785967791</v>
      </c>
      <c r="AE1106" s="5">
        <v>654.11733611588863</v>
      </c>
      <c r="AF1106" s="6">
        <v>0</v>
      </c>
      <c r="AG1106" s="5">
        <v>0</v>
      </c>
      <c r="AH1106" s="7">
        <f t="shared" si="136"/>
        <v>189.59922785967791</v>
      </c>
      <c r="AI1106" s="8">
        <f t="shared" si="137"/>
        <v>654.11733611588863</v>
      </c>
      <c r="AJ1106" s="6">
        <v>0</v>
      </c>
      <c r="AK1106" s="5">
        <v>0</v>
      </c>
      <c r="AL1106" s="6">
        <v>0</v>
      </c>
      <c r="AM1106" s="5">
        <v>0</v>
      </c>
      <c r="AN1106" s="6">
        <v>0</v>
      </c>
      <c r="AO1106" s="5">
        <v>0</v>
      </c>
      <c r="AP1106" s="6">
        <v>0</v>
      </c>
      <c r="AQ1106" s="5">
        <v>0</v>
      </c>
      <c r="AR1106" s="6">
        <v>0</v>
      </c>
      <c r="AS1106" s="5">
        <v>0</v>
      </c>
      <c r="AT1106" s="6">
        <v>0</v>
      </c>
      <c r="AU1106" s="5">
        <v>0</v>
      </c>
      <c r="AV1106" s="6">
        <v>0</v>
      </c>
      <c r="AW1106" s="5">
        <v>0</v>
      </c>
      <c r="AX1106" s="6">
        <v>0</v>
      </c>
      <c r="AY1106" s="5">
        <v>0</v>
      </c>
      <c r="AZ1106" s="6">
        <v>0</v>
      </c>
      <c r="BA1106" s="5">
        <v>0</v>
      </c>
      <c r="BB1106" s="6">
        <v>0</v>
      </c>
      <c r="BC1106" s="5">
        <v>0</v>
      </c>
      <c r="BD1106" s="6">
        <v>235</v>
      </c>
      <c r="BE1106" s="5">
        <v>845.10759045607449</v>
      </c>
      <c r="BF1106" s="6">
        <v>0</v>
      </c>
      <c r="BG1106" s="5">
        <v>0</v>
      </c>
      <c r="BH1106" s="9">
        <f t="shared" si="138"/>
        <v>235</v>
      </c>
      <c r="BI1106" s="10">
        <f t="shared" si="139"/>
        <v>845.10759045607449</v>
      </c>
      <c r="BJ1106" s="6">
        <f t="shared" si="140"/>
        <v>45.40077214032209</v>
      </c>
      <c r="BK1106" s="11">
        <f t="shared" si="141"/>
        <v>0.239456524442827</v>
      </c>
      <c r="BL1106" s="5">
        <f t="shared" si="142"/>
        <v>190.99025434018586</v>
      </c>
      <c r="BM1106" s="11">
        <f t="shared" si="143"/>
        <v>0.29198164273442906</v>
      </c>
    </row>
    <row r="1107" spans="1:65" ht="15" customHeight="1" x14ac:dyDescent="0.4">
      <c r="A1107" s="2" t="s">
        <v>775</v>
      </c>
      <c r="B1107" s="2" t="s">
        <v>786</v>
      </c>
      <c r="C1107" s="2" t="s">
        <v>787</v>
      </c>
      <c r="D1107" s="3" t="s">
        <v>272</v>
      </c>
      <c r="E1107" s="3" t="s">
        <v>807</v>
      </c>
      <c r="F1107" s="2" t="s">
        <v>508</v>
      </c>
      <c r="G1107" s="4">
        <v>5</v>
      </c>
      <c r="H1107" s="5">
        <v>2.62</v>
      </c>
      <c r="I1107" s="5">
        <v>2.7310291544803138</v>
      </c>
      <c r="J1107" s="6">
        <v>0</v>
      </c>
      <c r="K1107" s="5">
        <v>0</v>
      </c>
      <c r="L1107" s="6">
        <v>0</v>
      </c>
      <c r="M1107" s="5">
        <v>0</v>
      </c>
      <c r="N1107" s="6">
        <v>0</v>
      </c>
      <c r="O1107" s="5">
        <v>0</v>
      </c>
      <c r="P1107" s="6">
        <v>0</v>
      </c>
      <c r="Q1107" s="5">
        <v>0</v>
      </c>
      <c r="R1107" s="6">
        <v>395.69426967728532</v>
      </c>
      <c r="S1107" s="5">
        <v>1036.7189865544869</v>
      </c>
      <c r="T1107" s="6">
        <v>0</v>
      </c>
      <c r="U1107" s="5">
        <v>0</v>
      </c>
      <c r="V1107" s="6">
        <v>0</v>
      </c>
      <c r="W1107" s="5">
        <v>0</v>
      </c>
      <c r="X1107" s="6">
        <v>0</v>
      </c>
      <c r="Y1107" s="5">
        <v>0</v>
      </c>
      <c r="Z1107" s="6">
        <v>0</v>
      </c>
      <c r="AA1107" s="5">
        <v>0</v>
      </c>
      <c r="AB1107" s="6">
        <v>0</v>
      </c>
      <c r="AC1107" s="5">
        <v>0</v>
      </c>
      <c r="AD1107" s="6">
        <v>0</v>
      </c>
      <c r="AE1107" s="5">
        <v>0</v>
      </c>
      <c r="AF1107" s="6">
        <v>0</v>
      </c>
      <c r="AG1107" s="5">
        <v>0</v>
      </c>
      <c r="AH1107" s="7">
        <f t="shared" si="136"/>
        <v>395.69426967728532</v>
      </c>
      <c r="AI1107" s="8">
        <f t="shared" si="137"/>
        <v>1036.7189865544869</v>
      </c>
      <c r="AJ1107" s="6">
        <v>0</v>
      </c>
      <c r="AK1107" s="5">
        <v>0</v>
      </c>
      <c r="AL1107" s="6">
        <v>0</v>
      </c>
      <c r="AM1107" s="5">
        <v>0</v>
      </c>
      <c r="AN1107" s="6">
        <v>0</v>
      </c>
      <c r="AO1107" s="5">
        <v>0</v>
      </c>
      <c r="AP1107" s="6">
        <v>0</v>
      </c>
      <c r="AQ1107" s="5">
        <v>0</v>
      </c>
      <c r="AR1107" s="6">
        <v>495</v>
      </c>
      <c r="AS1107" s="5">
        <v>1351.859431467755</v>
      </c>
      <c r="AT1107" s="6">
        <v>0</v>
      </c>
      <c r="AU1107" s="5">
        <v>0</v>
      </c>
      <c r="AV1107" s="6">
        <v>0</v>
      </c>
      <c r="AW1107" s="5">
        <v>0</v>
      </c>
      <c r="AX1107" s="6">
        <v>0</v>
      </c>
      <c r="AY1107" s="5">
        <v>0</v>
      </c>
      <c r="AZ1107" s="6">
        <v>0</v>
      </c>
      <c r="BA1107" s="5">
        <v>0</v>
      </c>
      <c r="BB1107" s="6">
        <v>0</v>
      </c>
      <c r="BC1107" s="5">
        <v>0</v>
      </c>
      <c r="BD1107" s="6">
        <v>0</v>
      </c>
      <c r="BE1107" s="5">
        <v>0</v>
      </c>
      <c r="BF1107" s="6">
        <v>0</v>
      </c>
      <c r="BG1107" s="5">
        <v>0</v>
      </c>
      <c r="BH1107" s="9">
        <f t="shared" si="138"/>
        <v>495</v>
      </c>
      <c r="BI1107" s="10">
        <f t="shared" si="139"/>
        <v>1351.859431467755</v>
      </c>
      <c r="BJ1107" s="6">
        <f t="shared" si="140"/>
        <v>99.30573032271468</v>
      </c>
      <c r="BK1107" s="11">
        <f t="shared" si="141"/>
        <v>0.25096580348182707</v>
      </c>
      <c r="BL1107" s="5">
        <f t="shared" si="142"/>
        <v>315.14044491326808</v>
      </c>
      <c r="BM1107" s="11">
        <f t="shared" si="143"/>
        <v>0.3039786567048709</v>
      </c>
    </row>
    <row r="1108" spans="1:65" ht="15" customHeight="1" x14ac:dyDescent="0.4">
      <c r="A1108" s="2" t="s">
        <v>775</v>
      </c>
      <c r="B1108" s="2" t="s">
        <v>786</v>
      </c>
      <c r="C1108" s="2" t="s">
        <v>787</v>
      </c>
      <c r="D1108" s="3" t="s">
        <v>272</v>
      </c>
      <c r="E1108" s="3" t="s">
        <v>807</v>
      </c>
      <c r="F1108" s="2" t="s">
        <v>808</v>
      </c>
      <c r="G1108" s="4">
        <v>5</v>
      </c>
      <c r="H1108" s="5">
        <v>2.62</v>
      </c>
      <c r="I1108" s="5">
        <v>2.7310291544803138</v>
      </c>
      <c r="J1108" s="6">
        <v>0</v>
      </c>
      <c r="K1108" s="5">
        <v>0</v>
      </c>
      <c r="L1108" s="6">
        <v>0</v>
      </c>
      <c r="M1108" s="5">
        <v>0</v>
      </c>
      <c r="N1108" s="6">
        <v>0</v>
      </c>
      <c r="O1108" s="5">
        <v>0</v>
      </c>
      <c r="P1108" s="6">
        <v>0</v>
      </c>
      <c r="Q1108" s="5">
        <v>0</v>
      </c>
      <c r="R1108" s="6">
        <v>0</v>
      </c>
      <c r="S1108" s="5">
        <v>0</v>
      </c>
      <c r="T1108" s="6">
        <v>0</v>
      </c>
      <c r="U1108" s="5">
        <v>0</v>
      </c>
      <c r="V1108" s="6">
        <v>0</v>
      </c>
      <c r="W1108" s="5">
        <v>0</v>
      </c>
      <c r="X1108" s="6">
        <v>0</v>
      </c>
      <c r="Y1108" s="5">
        <v>0</v>
      </c>
      <c r="Z1108" s="6">
        <v>0</v>
      </c>
      <c r="AA1108" s="5">
        <v>0</v>
      </c>
      <c r="AB1108" s="6">
        <v>0</v>
      </c>
      <c r="AC1108" s="5">
        <v>0</v>
      </c>
      <c r="AD1108" s="6">
        <v>189.59922785967791</v>
      </c>
      <c r="AE1108" s="5">
        <v>496.74997699235598</v>
      </c>
      <c r="AF1108" s="6">
        <v>0</v>
      </c>
      <c r="AG1108" s="5">
        <v>0</v>
      </c>
      <c r="AH1108" s="7">
        <f t="shared" si="136"/>
        <v>189.59922785967791</v>
      </c>
      <c r="AI1108" s="8">
        <f t="shared" si="137"/>
        <v>496.74997699235598</v>
      </c>
      <c r="AJ1108" s="6">
        <v>0</v>
      </c>
      <c r="AK1108" s="5">
        <v>0</v>
      </c>
      <c r="AL1108" s="6">
        <v>0</v>
      </c>
      <c r="AM1108" s="5">
        <v>0</v>
      </c>
      <c r="AN1108" s="6">
        <v>0</v>
      </c>
      <c r="AO1108" s="5">
        <v>0</v>
      </c>
      <c r="AP1108" s="6">
        <v>0</v>
      </c>
      <c r="AQ1108" s="5">
        <v>0</v>
      </c>
      <c r="AR1108" s="6">
        <v>0</v>
      </c>
      <c r="AS1108" s="5">
        <v>0</v>
      </c>
      <c r="AT1108" s="6">
        <v>0</v>
      </c>
      <c r="AU1108" s="5">
        <v>0</v>
      </c>
      <c r="AV1108" s="6">
        <v>0</v>
      </c>
      <c r="AW1108" s="5">
        <v>0</v>
      </c>
      <c r="AX1108" s="6">
        <v>0</v>
      </c>
      <c r="AY1108" s="5">
        <v>0</v>
      </c>
      <c r="AZ1108" s="6">
        <v>0</v>
      </c>
      <c r="BA1108" s="5">
        <v>0</v>
      </c>
      <c r="BB1108" s="6">
        <v>0</v>
      </c>
      <c r="BC1108" s="5">
        <v>0</v>
      </c>
      <c r="BD1108" s="6">
        <v>235</v>
      </c>
      <c r="BE1108" s="5">
        <v>641.79185130287385</v>
      </c>
      <c r="BF1108" s="6">
        <v>0</v>
      </c>
      <c r="BG1108" s="5">
        <v>0</v>
      </c>
      <c r="BH1108" s="9">
        <f t="shared" si="138"/>
        <v>235</v>
      </c>
      <c r="BI1108" s="10">
        <f t="shared" si="139"/>
        <v>641.79185130287385</v>
      </c>
      <c r="BJ1108" s="6">
        <f t="shared" si="140"/>
        <v>45.40077214032209</v>
      </c>
      <c r="BK1108" s="11">
        <f t="shared" si="141"/>
        <v>0.239456524442827</v>
      </c>
      <c r="BL1108" s="5">
        <f t="shared" si="142"/>
        <v>145.04187431051787</v>
      </c>
      <c r="BM1108" s="11">
        <f t="shared" si="143"/>
        <v>0.29198164273442889</v>
      </c>
    </row>
    <row r="1109" spans="1:65" ht="15" customHeight="1" x14ac:dyDescent="0.4">
      <c r="A1109" s="2" t="s">
        <v>775</v>
      </c>
      <c r="B1109" s="2" t="s">
        <v>786</v>
      </c>
      <c r="C1109" s="2" t="s">
        <v>787</v>
      </c>
      <c r="D1109" s="3" t="s">
        <v>272</v>
      </c>
      <c r="E1109" s="3" t="s">
        <v>809</v>
      </c>
      <c r="F1109" s="2" t="s">
        <v>508</v>
      </c>
      <c r="G1109" s="4">
        <v>20</v>
      </c>
      <c r="H1109" s="5">
        <v>2.35</v>
      </c>
      <c r="I1109" s="5">
        <v>2.4495872187132588</v>
      </c>
      <c r="J1109" s="6">
        <v>0</v>
      </c>
      <c r="K1109" s="5">
        <v>0</v>
      </c>
      <c r="L1109" s="6">
        <v>0</v>
      </c>
      <c r="M1109" s="5">
        <v>0</v>
      </c>
      <c r="N1109" s="6">
        <v>0</v>
      </c>
      <c r="O1109" s="5">
        <v>0</v>
      </c>
      <c r="P1109" s="6">
        <v>0</v>
      </c>
      <c r="Q1109" s="5">
        <v>0</v>
      </c>
      <c r="R1109" s="6">
        <v>395.69426967728532</v>
      </c>
      <c r="S1109" s="5">
        <v>929.88153374162039</v>
      </c>
      <c r="T1109" s="6">
        <v>0</v>
      </c>
      <c r="U1109" s="5">
        <v>0</v>
      </c>
      <c r="V1109" s="6">
        <v>0</v>
      </c>
      <c r="W1109" s="5">
        <v>0</v>
      </c>
      <c r="X1109" s="6">
        <v>0</v>
      </c>
      <c r="Y1109" s="5">
        <v>0</v>
      </c>
      <c r="Z1109" s="6">
        <v>0</v>
      </c>
      <c r="AA1109" s="5">
        <v>0</v>
      </c>
      <c r="AB1109" s="6">
        <v>0</v>
      </c>
      <c r="AC1109" s="5">
        <v>0</v>
      </c>
      <c r="AD1109" s="6">
        <v>0</v>
      </c>
      <c r="AE1109" s="5">
        <v>0</v>
      </c>
      <c r="AF1109" s="6">
        <v>0</v>
      </c>
      <c r="AG1109" s="5">
        <v>0</v>
      </c>
      <c r="AH1109" s="7">
        <f t="shared" si="136"/>
        <v>395.69426967728532</v>
      </c>
      <c r="AI1109" s="8">
        <f t="shared" si="137"/>
        <v>929.88153374162039</v>
      </c>
      <c r="AJ1109" s="6">
        <v>0</v>
      </c>
      <c r="AK1109" s="5">
        <v>0</v>
      </c>
      <c r="AL1109" s="6">
        <v>0</v>
      </c>
      <c r="AM1109" s="5">
        <v>0</v>
      </c>
      <c r="AN1109" s="6">
        <v>0</v>
      </c>
      <c r="AO1109" s="5">
        <v>0</v>
      </c>
      <c r="AP1109" s="6">
        <v>0</v>
      </c>
      <c r="AQ1109" s="5">
        <v>0</v>
      </c>
      <c r="AR1109" s="6">
        <v>500</v>
      </c>
      <c r="AS1109" s="5">
        <v>1224.79360935663</v>
      </c>
      <c r="AT1109" s="6">
        <v>0</v>
      </c>
      <c r="AU1109" s="5">
        <v>0</v>
      </c>
      <c r="AV1109" s="6">
        <v>0</v>
      </c>
      <c r="AW1109" s="5">
        <v>0</v>
      </c>
      <c r="AX1109" s="6">
        <v>0</v>
      </c>
      <c r="AY1109" s="5">
        <v>0</v>
      </c>
      <c r="AZ1109" s="6">
        <v>0</v>
      </c>
      <c r="BA1109" s="5">
        <v>0</v>
      </c>
      <c r="BB1109" s="6">
        <v>0</v>
      </c>
      <c r="BC1109" s="5">
        <v>0</v>
      </c>
      <c r="BD1109" s="6">
        <v>0</v>
      </c>
      <c r="BE1109" s="5">
        <v>0</v>
      </c>
      <c r="BF1109" s="6">
        <v>0</v>
      </c>
      <c r="BG1109" s="5">
        <v>0</v>
      </c>
      <c r="BH1109" s="9">
        <f t="shared" si="138"/>
        <v>500</v>
      </c>
      <c r="BI1109" s="10">
        <f t="shared" si="139"/>
        <v>1224.79360935663</v>
      </c>
      <c r="BJ1109" s="6">
        <f t="shared" si="140"/>
        <v>104.30573032271468</v>
      </c>
      <c r="BK1109" s="11">
        <f t="shared" si="141"/>
        <v>0.26360182169881524</v>
      </c>
      <c r="BL1109" s="5">
        <f t="shared" si="142"/>
        <v>294.9120756150096</v>
      </c>
      <c r="BM1109" s="11">
        <f t="shared" si="143"/>
        <v>0.3171501582877489</v>
      </c>
    </row>
    <row r="1110" spans="1:65" ht="15" customHeight="1" x14ac:dyDescent="0.4">
      <c r="A1110" s="2" t="s">
        <v>775</v>
      </c>
      <c r="B1110" s="2" t="s">
        <v>786</v>
      </c>
      <c r="C1110" s="2" t="s">
        <v>787</v>
      </c>
      <c r="D1110" s="3" t="s">
        <v>272</v>
      </c>
      <c r="E1110" s="3" t="s">
        <v>810</v>
      </c>
      <c r="F1110" s="2" t="s">
        <v>608</v>
      </c>
      <c r="G1110" s="4">
        <v>1</v>
      </c>
      <c r="H1110" s="5">
        <v>5.65</v>
      </c>
      <c r="I1110" s="5">
        <v>5.8894331003106029</v>
      </c>
      <c r="J1110" s="6">
        <v>0</v>
      </c>
      <c r="K1110" s="5">
        <v>0</v>
      </c>
      <c r="L1110" s="6">
        <v>0</v>
      </c>
      <c r="M1110" s="5">
        <v>0</v>
      </c>
      <c r="N1110" s="6">
        <v>0</v>
      </c>
      <c r="O1110" s="5">
        <v>0</v>
      </c>
      <c r="P1110" s="6">
        <v>0</v>
      </c>
      <c r="Q1110" s="5">
        <v>0</v>
      </c>
      <c r="R1110" s="6">
        <v>0</v>
      </c>
      <c r="S1110" s="5">
        <v>0</v>
      </c>
      <c r="T1110" s="6">
        <v>0</v>
      </c>
      <c r="U1110" s="5">
        <v>0</v>
      </c>
      <c r="V1110" s="6">
        <v>0</v>
      </c>
      <c r="W1110" s="5">
        <v>0</v>
      </c>
      <c r="X1110" s="6">
        <v>0</v>
      </c>
      <c r="Y1110" s="5">
        <v>0</v>
      </c>
      <c r="Z1110" s="6">
        <v>0</v>
      </c>
      <c r="AA1110" s="5">
        <v>0</v>
      </c>
      <c r="AB1110" s="6">
        <v>0</v>
      </c>
      <c r="AC1110" s="5">
        <v>0</v>
      </c>
      <c r="AD1110" s="6">
        <v>227.51907343161341</v>
      </c>
      <c r="AE1110" s="5">
        <v>1285.482764888616</v>
      </c>
      <c r="AF1110" s="6">
        <v>0</v>
      </c>
      <c r="AG1110" s="5">
        <v>0</v>
      </c>
      <c r="AH1110" s="7">
        <f t="shared" si="136"/>
        <v>227.51907343161341</v>
      </c>
      <c r="AI1110" s="8">
        <f t="shared" si="137"/>
        <v>1285.482764888616</v>
      </c>
      <c r="AJ1110" s="6">
        <v>0</v>
      </c>
      <c r="AK1110" s="5">
        <v>0</v>
      </c>
      <c r="AL1110" s="6">
        <v>0</v>
      </c>
      <c r="AM1110" s="5">
        <v>0</v>
      </c>
      <c r="AN1110" s="6">
        <v>0</v>
      </c>
      <c r="AO1110" s="5">
        <v>0</v>
      </c>
      <c r="AP1110" s="6">
        <v>0</v>
      </c>
      <c r="AQ1110" s="5">
        <v>0</v>
      </c>
      <c r="AR1110" s="6">
        <v>0</v>
      </c>
      <c r="AS1110" s="5">
        <v>0</v>
      </c>
      <c r="AT1110" s="6">
        <v>0</v>
      </c>
      <c r="AU1110" s="5">
        <v>0</v>
      </c>
      <c r="AV1110" s="6">
        <v>0</v>
      </c>
      <c r="AW1110" s="5">
        <v>0</v>
      </c>
      <c r="AX1110" s="6">
        <v>0</v>
      </c>
      <c r="AY1110" s="5">
        <v>0</v>
      </c>
      <c r="AZ1110" s="6">
        <v>0</v>
      </c>
      <c r="BA1110" s="5">
        <v>0</v>
      </c>
      <c r="BB1110" s="6">
        <v>0</v>
      </c>
      <c r="BC1110" s="5">
        <v>0</v>
      </c>
      <c r="BD1110" s="6">
        <v>287</v>
      </c>
      <c r="BE1110" s="5">
        <v>1690.267299789143</v>
      </c>
      <c r="BF1110" s="6">
        <v>0</v>
      </c>
      <c r="BG1110" s="5">
        <v>0</v>
      </c>
      <c r="BH1110" s="9">
        <f t="shared" si="138"/>
        <v>287</v>
      </c>
      <c r="BI1110" s="10">
        <f t="shared" si="139"/>
        <v>1690.267299789143</v>
      </c>
      <c r="BJ1110" s="6">
        <f t="shared" si="140"/>
        <v>59.480926568386593</v>
      </c>
      <c r="BK1110" s="11">
        <f t="shared" si="141"/>
        <v>0.26143270395422513</v>
      </c>
      <c r="BL1110" s="5">
        <f t="shared" si="142"/>
        <v>404.78453490052698</v>
      </c>
      <c r="BM1110" s="11">
        <f t="shared" si="143"/>
        <v>0.3148891186694367</v>
      </c>
    </row>
    <row r="1111" spans="1:65" ht="15" customHeight="1" x14ac:dyDescent="0.4">
      <c r="A1111" s="2" t="s">
        <v>775</v>
      </c>
      <c r="B1111" s="2" t="s">
        <v>786</v>
      </c>
      <c r="C1111" s="2" t="s">
        <v>787</v>
      </c>
      <c r="D1111" s="3" t="s">
        <v>272</v>
      </c>
      <c r="E1111" s="3" t="s">
        <v>811</v>
      </c>
      <c r="F1111" s="2" t="s">
        <v>226</v>
      </c>
      <c r="G1111" s="4">
        <v>5</v>
      </c>
      <c r="H1111" s="5">
        <v>4.6799999999999988</v>
      </c>
      <c r="I1111" s="5">
        <v>4.8783268866289582</v>
      </c>
      <c r="J1111" s="6">
        <v>0</v>
      </c>
      <c r="K1111" s="5">
        <v>0</v>
      </c>
      <c r="L1111" s="6">
        <v>0</v>
      </c>
      <c r="M1111" s="5">
        <v>0</v>
      </c>
      <c r="N1111" s="6">
        <v>0</v>
      </c>
      <c r="O1111" s="5">
        <v>0</v>
      </c>
      <c r="P1111" s="6">
        <v>0</v>
      </c>
      <c r="Q1111" s="5">
        <v>0</v>
      </c>
      <c r="R1111" s="6">
        <v>0</v>
      </c>
      <c r="S1111" s="5">
        <v>0</v>
      </c>
      <c r="T1111" s="6">
        <v>0</v>
      </c>
      <c r="U1111" s="5">
        <v>0</v>
      </c>
      <c r="V1111" s="6">
        <v>0</v>
      </c>
      <c r="W1111" s="5">
        <v>0</v>
      </c>
      <c r="X1111" s="6">
        <v>0</v>
      </c>
      <c r="Y1111" s="5">
        <v>0</v>
      </c>
      <c r="Z1111" s="6">
        <v>0</v>
      </c>
      <c r="AA1111" s="5">
        <v>0</v>
      </c>
      <c r="AB1111" s="6">
        <v>0</v>
      </c>
      <c r="AC1111" s="5">
        <v>0</v>
      </c>
      <c r="AD1111" s="6">
        <v>227.51907343161341</v>
      </c>
      <c r="AE1111" s="5">
        <v>1064.7892636599511</v>
      </c>
      <c r="AF1111" s="6">
        <v>0</v>
      </c>
      <c r="AG1111" s="5">
        <v>0</v>
      </c>
      <c r="AH1111" s="7">
        <f t="shared" si="136"/>
        <v>227.51907343161341</v>
      </c>
      <c r="AI1111" s="8">
        <f t="shared" si="137"/>
        <v>1064.7892636599511</v>
      </c>
      <c r="AJ1111" s="6">
        <v>0</v>
      </c>
      <c r="AK1111" s="5">
        <v>0</v>
      </c>
      <c r="AL1111" s="6">
        <v>0</v>
      </c>
      <c r="AM1111" s="5">
        <v>0</v>
      </c>
      <c r="AN1111" s="6">
        <v>0</v>
      </c>
      <c r="AO1111" s="5">
        <v>0</v>
      </c>
      <c r="AP1111" s="6">
        <v>0</v>
      </c>
      <c r="AQ1111" s="5">
        <v>0</v>
      </c>
      <c r="AR1111" s="6">
        <v>0</v>
      </c>
      <c r="AS1111" s="5">
        <v>0</v>
      </c>
      <c r="AT1111" s="6">
        <v>0</v>
      </c>
      <c r="AU1111" s="5">
        <v>0</v>
      </c>
      <c r="AV1111" s="6">
        <v>0</v>
      </c>
      <c r="AW1111" s="5">
        <v>0</v>
      </c>
      <c r="AX1111" s="6">
        <v>0</v>
      </c>
      <c r="AY1111" s="5">
        <v>0</v>
      </c>
      <c r="AZ1111" s="6">
        <v>0</v>
      </c>
      <c r="BA1111" s="5">
        <v>0</v>
      </c>
      <c r="BB1111" s="6">
        <v>0</v>
      </c>
      <c r="BC1111" s="5">
        <v>0</v>
      </c>
      <c r="BD1111" s="6">
        <v>285</v>
      </c>
      <c r="BE1111" s="5">
        <v>1390.323162689253</v>
      </c>
      <c r="BF1111" s="6">
        <v>0</v>
      </c>
      <c r="BG1111" s="5">
        <v>0</v>
      </c>
      <c r="BH1111" s="9">
        <f t="shared" si="138"/>
        <v>285</v>
      </c>
      <c r="BI1111" s="10">
        <f t="shared" si="139"/>
        <v>1390.323162689253</v>
      </c>
      <c r="BJ1111" s="6">
        <f t="shared" si="140"/>
        <v>57.480926568386593</v>
      </c>
      <c r="BK1111" s="11">
        <f t="shared" si="141"/>
        <v>0.25264223214966608</v>
      </c>
      <c r="BL1111" s="5">
        <f t="shared" si="142"/>
        <v>325.53389902930189</v>
      </c>
      <c r="BM1111" s="11">
        <f t="shared" si="143"/>
        <v>0.30572612829543305</v>
      </c>
    </row>
    <row r="1112" spans="1:65" ht="15" customHeight="1" x14ac:dyDescent="0.4">
      <c r="A1112" s="2" t="s">
        <v>775</v>
      </c>
      <c r="B1112" s="2" t="s">
        <v>786</v>
      </c>
      <c r="C1112" s="2" t="s">
        <v>787</v>
      </c>
      <c r="D1112" s="3" t="s">
        <v>272</v>
      </c>
      <c r="E1112" s="3" t="s">
        <v>812</v>
      </c>
      <c r="F1112" s="2" t="s">
        <v>813</v>
      </c>
      <c r="G1112" s="4">
        <v>1</v>
      </c>
      <c r="H1112" s="5">
        <v>4.3199999999999994</v>
      </c>
      <c r="I1112" s="5">
        <v>4.5030709722728854</v>
      </c>
      <c r="J1112" s="6">
        <v>0</v>
      </c>
      <c r="K1112" s="5">
        <v>0</v>
      </c>
      <c r="L1112" s="6">
        <v>0</v>
      </c>
      <c r="M1112" s="5">
        <v>0</v>
      </c>
      <c r="N1112" s="6">
        <v>0</v>
      </c>
      <c r="O1112" s="5">
        <v>0</v>
      </c>
      <c r="P1112" s="6">
        <v>0</v>
      </c>
      <c r="Q1112" s="5">
        <v>0</v>
      </c>
      <c r="R1112" s="6">
        <v>237.41656180637119</v>
      </c>
      <c r="S1112" s="5">
        <v>1025.6395470035229</v>
      </c>
      <c r="T1112" s="6">
        <v>0</v>
      </c>
      <c r="U1112" s="5">
        <v>0</v>
      </c>
      <c r="V1112" s="6">
        <v>0</v>
      </c>
      <c r="W1112" s="5">
        <v>0</v>
      </c>
      <c r="X1112" s="6">
        <v>0</v>
      </c>
      <c r="Y1112" s="5">
        <v>0</v>
      </c>
      <c r="Z1112" s="6">
        <v>0</v>
      </c>
      <c r="AA1112" s="5">
        <v>0</v>
      </c>
      <c r="AB1112" s="6">
        <v>0</v>
      </c>
      <c r="AC1112" s="5">
        <v>0</v>
      </c>
      <c r="AD1112" s="6">
        <v>0</v>
      </c>
      <c r="AE1112" s="5">
        <v>0</v>
      </c>
      <c r="AF1112" s="6">
        <v>0</v>
      </c>
      <c r="AG1112" s="5">
        <v>0</v>
      </c>
      <c r="AH1112" s="7">
        <f t="shared" si="136"/>
        <v>237.41656180637119</v>
      </c>
      <c r="AI1112" s="8">
        <f t="shared" si="137"/>
        <v>1025.6395470035229</v>
      </c>
      <c r="AJ1112" s="6">
        <v>0</v>
      </c>
      <c r="AK1112" s="5">
        <v>0</v>
      </c>
      <c r="AL1112" s="6">
        <v>0</v>
      </c>
      <c r="AM1112" s="5">
        <v>0</v>
      </c>
      <c r="AN1112" s="6">
        <v>0</v>
      </c>
      <c r="AO1112" s="5">
        <v>0</v>
      </c>
      <c r="AP1112" s="6">
        <v>0</v>
      </c>
      <c r="AQ1112" s="5">
        <v>0</v>
      </c>
      <c r="AR1112" s="6">
        <v>295</v>
      </c>
      <c r="AS1112" s="5">
        <v>1328.405936820501</v>
      </c>
      <c r="AT1112" s="6">
        <v>0</v>
      </c>
      <c r="AU1112" s="5">
        <v>0</v>
      </c>
      <c r="AV1112" s="6">
        <v>0</v>
      </c>
      <c r="AW1112" s="5">
        <v>0</v>
      </c>
      <c r="AX1112" s="6">
        <v>0</v>
      </c>
      <c r="AY1112" s="5">
        <v>0</v>
      </c>
      <c r="AZ1112" s="6">
        <v>0</v>
      </c>
      <c r="BA1112" s="5">
        <v>0</v>
      </c>
      <c r="BB1112" s="6">
        <v>0</v>
      </c>
      <c r="BC1112" s="5">
        <v>0</v>
      </c>
      <c r="BD1112" s="6">
        <v>0</v>
      </c>
      <c r="BE1112" s="5">
        <v>0</v>
      </c>
      <c r="BF1112" s="6">
        <v>0</v>
      </c>
      <c r="BG1112" s="5">
        <v>0</v>
      </c>
      <c r="BH1112" s="9">
        <f t="shared" si="138"/>
        <v>295</v>
      </c>
      <c r="BI1112" s="10">
        <f t="shared" si="139"/>
        <v>1328.405936820501</v>
      </c>
      <c r="BJ1112" s="6">
        <f t="shared" si="140"/>
        <v>57.583438193628808</v>
      </c>
      <c r="BK1112" s="11">
        <f t="shared" si="141"/>
        <v>0.24254179133716833</v>
      </c>
      <c r="BL1112" s="5">
        <f t="shared" si="142"/>
        <v>302.76638981697806</v>
      </c>
      <c r="BM1112" s="11">
        <f t="shared" si="143"/>
        <v>0.29519765564961986</v>
      </c>
    </row>
    <row r="1113" spans="1:65" ht="15" customHeight="1" x14ac:dyDescent="0.4">
      <c r="A1113" s="2" t="s">
        <v>775</v>
      </c>
      <c r="B1113" s="2" t="s">
        <v>786</v>
      </c>
      <c r="C1113" s="2" t="s">
        <v>787</v>
      </c>
      <c r="D1113" s="3" t="s">
        <v>272</v>
      </c>
      <c r="E1113" s="3" t="s">
        <v>812</v>
      </c>
      <c r="F1113" s="2" t="s">
        <v>814</v>
      </c>
      <c r="G1113" s="4">
        <v>1</v>
      </c>
      <c r="H1113" s="5">
        <v>4.32</v>
      </c>
      <c r="I1113" s="5">
        <v>4.5030709722728854</v>
      </c>
      <c r="J1113" s="6">
        <v>0</v>
      </c>
      <c r="K1113" s="5">
        <v>0</v>
      </c>
      <c r="L1113" s="6">
        <v>0</v>
      </c>
      <c r="M1113" s="5">
        <v>0</v>
      </c>
      <c r="N1113" s="6">
        <v>0</v>
      </c>
      <c r="O1113" s="5">
        <v>0</v>
      </c>
      <c r="P1113" s="6">
        <v>0</v>
      </c>
      <c r="Q1113" s="5">
        <v>0</v>
      </c>
      <c r="R1113" s="6">
        <v>0</v>
      </c>
      <c r="S1113" s="5">
        <v>0</v>
      </c>
      <c r="T1113" s="6">
        <v>0</v>
      </c>
      <c r="U1113" s="5">
        <v>0</v>
      </c>
      <c r="V1113" s="6">
        <v>0</v>
      </c>
      <c r="W1113" s="5">
        <v>0</v>
      </c>
      <c r="X1113" s="6">
        <v>0</v>
      </c>
      <c r="Y1113" s="5">
        <v>0</v>
      </c>
      <c r="Z1113" s="6">
        <v>0</v>
      </c>
      <c r="AA1113" s="5">
        <v>0</v>
      </c>
      <c r="AB1113" s="6">
        <v>0</v>
      </c>
      <c r="AC1113" s="5">
        <v>0</v>
      </c>
      <c r="AD1113" s="6">
        <v>227.51907343161341</v>
      </c>
      <c r="AE1113" s="5">
        <v>982.88239722457001</v>
      </c>
      <c r="AF1113" s="6">
        <v>0</v>
      </c>
      <c r="AG1113" s="5">
        <v>0</v>
      </c>
      <c r="AH1113" s="7">
        <f t="shared" si="136"/>
        <v>227.51907343161341</v>
      </c>
      <c r="AI1113" s="8">
        <f t="shared" si="137"/>
        <v>982.88239722457001</v>
      </c>
      <c r="AJ1113" s="6">
        <v>0</v>
      </c>
      <c r="AK1113" s="5">
        <v>0</v>
      </c>
      <c r="AL1113" s="6">
        <v>0</v>
      </c>
      <c r="AM1113" s="5">
        <v>0</v>
      </c>
      <c r="AN1113" s="6">
        <v>0</v>
      </c>
      <c r="AO1113" s="5">
        <v>0</v>
      </c>
      <c r="AP1113" s="6">
        <v>0</v>
      </c>
      <c r="AQ1113" s="5">
        <v>0</v>
      </c>
      <c r="AR1113" s="6">
        <v>0</v>
      </c>
      <c r="AS1113" s="5">
        <v>0</v>
      </c>
      <c r="AT1113" s="6">
        <v>0</v>
      </c>
      <c r="AU1113" s="5">
        <v>0</v>
      </c>
      <c r="AV1113" s="6">
        <v>0</v>
      </c>
      <c r="AW1113" s="5">
        <v>0</v>
      </c>
      <c r="AX1113" s="6">
        <v>0</v>
      </c>
      <c r="AY1113" s="5">
        <v>0</v>
      </c>
      <c r="AZ1113" s="6">
        <v>0</v>
      </c>
      <c r="BA1113" s="5">
        <v>0</v>
      </c>
      <c r="BB1113" s="6">
        <v>0</v>
      </c>
      <c r="BC1113" s="5">
        <v>0</v>
      </c>
      <c r="BD1113" s="6">
        <v>283</v>
      </c>
      <c r="BE1113" s="5">
        <v>1274.369085153226</v>
      </c>
      <c r="BF1113" s="6">
        <v>0</v>
      </c>
      <c r="BG1113" s="5">
        <v>0</v>
      </c>
      <c r="BH1113" s="9">
        <f t="shared" si="138"/>
        <v>283</v>
      </c>
      <c r="BI1113" s="10">
        <f t="shared" si="139"/>
        <v>1274.369085153226</v>
      </c>
      <c r="BJ1113" s="6">
        <f t="shared" si="140"/>
        <v>55.480926568386593</v>
      </c>
      <c r="BK1113" s="11">
        <f t="shared" si="141"/>
        <v>0.243851760345107</v>
      </c>
      <c r="BL1113" s="5">
        <f t="shared" si="142"/>
        <v>291.48668792865601</v>
      </c>
      <c r="BM1113" s="11">
        <f t="shared" si="143"/>
        <v>0.29656313792143013</v>
      </c>
    </row>
    <row r="1114" spans="1:65" ht="15" customHeight="1" x14ac:dyDescent="0.4">
      <c r="A1114" s="2" t="s">
        <v>775</v>
      </c>
      <c r="B1114" s="2" t="s">
        <v>786</v>
      </c>
      <c r="C1114" s="2" t="s">
        <v>787</v>
      </c>
      <c r="D1114" s="3" t="s">
        <v>272</v>
      </c>
      <c r="E1114" s="3" t="s">
        <v>815</v>
      </c>
      <c r="F1114" s="2" t="s">
        <v>279</v>
      </c>
      <c r="G1114" s="4">
        <v>5</v>
      </c>
      <c r="H1114" s="5">
        <v>3.35</v>
      </c>
      <c r="I1114" s="5">
        <v>3.4919647585912421</v>
      </c>
      <c r="J1114" s="6">
        <v>0</v>
      </c>
      <c r="K1114" s="5">
        <v>0</v>
      </c>
      <c r="L1114" s="6">
        <v>0</v>
      </c>
      <c r="M1114" s="5">
        <v>0</v>
      </c>
      <c r="N1114" s="6">
        <v>0</v>
      </c>
      <c r="O1114" s="5">
        <v>0</v>
      </c>
      <c r="P1114" s="6">
        <v>0</v>
      </c>
      <c r="Q1114" s="5">
        <v>0</v>
      </c>
      <c r="R1114" s="6">
        <v>0</v>
      </c>
      <c r="S1114" s="5">
        <v>0</v>
      </c>
      <c r="T1114" s="6">
        <v>0</v>
      </c>
      <c r="U1114" s="5">
        <v>0</v>
      </c>
      <c r="V1114" s="6">
        <v>0</v>
      </c>
      <c r="W1114" s="5">
        <v>0</v>
      </c>
      <c r="X1114" s="6">
        <v>98.92356741932133</v>
      </c>
      <c r="Y1114" s="5">
        <v>331.39395085472643</v>
      </c>
      <c r="Z1114" s="6">
        <v>0</v>
      </c>
      <c r="AA1114" s="5">
        <v>0</v>
      </c>
      <c r="AB1114" s="6">
        <v>0</v>
      </c>
      <c r="AC1114" s="5">
        <v>0</v>
      </c>
      <c r="AD1114" s="6">
        <v>94.799613929838927</v>
      </c>
      <c r="AE1114" s="5">
        <v>317.57870666496041</v>
      </c>
      <c r="AF1114" s="6">
        <v>0</v>
      </c>
      <c r="AG1114" s="5">
        <v>0</v>
      </c>
      <c r="AH1114" s="7">
        <f t="shared" si="136"/>
        <v>193.72318134916026</v>
      </c>
      <c r="AI1114" s="8">
        <f t="shared" si="137"/>
        <v>648.97265751968689</v>
      </c>
      <c r="AJ1114" s="6">
        <v>0</v>
      </c>
      <c r="AK1114" s="5">
        <v>0</v>
      </c>
      <c r="AL1114" s="6">
        <v>0</v>
      </c>
      <c r="AM1114" s="5">
        <v>0</v>
      </c>
      <c r="AN1114" s="6">
        <v>0</v>
      </c>
      <c r="AO1114" s="5">
        <v>0</v>
      </c>
      <c r="AP1114" s="6">
        <v>0</v>
      </c>
      <c r="AQ1114" s="5">
        <v>0</v>
      </c>
      <c r="AR1114" s="6">
        <v>0</v>
      </c>
      <c r="AS1114" s="5">
        <v>0</v>
      </c>
      <c r="AT1114" s="6">
        <v>0</v>
      </c>
      <c r="AU1114" s="5">
        <v>0</v>
      </c>
      <c r="AV1114" s="6">
        <v>0</v>
      </c>
      <c r="AW1114" s="5">
        <v>0</v>
      </c>
      <c r="AX1114" s="6">
        <v>125</v>
      </c>
      <c r="AY1114" s="5">
        <v>436.49559482390521</v>
      </c>
      <c r="AZ1114" s="6">
        <v>0</v>
      </c>
      <c r="BA1114" s="5">
        <v>0</v>
      </c>
      <c r="BB1114" s="6">
        <v>0</v>
      </c>
      <c r="BC1114" s="5">
        <v>0</v>
      </c>
      <c r="BD1114" s="6">
        <v>120</v>
      </c>
      <c r="BE1114" s="5">
        <v>419.03577103094909</v>
      </c>
      <c r="BF1114" s="6">
        <v>0</v>
      </c>
      <c r="BG1114" s="5">
        <v>0</v>
      </c>
      <c r="BH1114" s="9">
        <f t="shared" si="138"/>
        <v>245</v>
      </c>
      <c r="BI1114" s="10">
        <f t="shared" si="139"/>
        <v>855.53136585485436</v>
      </c>
      <c r="BJ1114" s="6">
        <f t="shared" si="140"/>
        <v>51.276818650839743</v>
      </c>
      <c r="BK1114" s="11">
        <f t="shared" si="141"/>
        <v>0.26469118612304898</v>
      </c>
      <c r="BL1114" s="5">
        <f t="shared" si="142"/>
        <v>206.55870833516747</v>
      </c>
      <c r="BM1114" s="11">
        <f t="shared" si="143"/>
        <v>0.31828568729631174</v>
      </c>
    </row>
    <row r="1115" spans="1:65" ht="15" customHeight="1" x14ac:dyDescent="0.4">
      <c r="A1115" s="2" t="s">
        <v>775</v>
      </c>
      <c r="B1115" s="2" t="s">
        <v>816</v>
      </c>
      <c r="C1115" s="2" t="s">
        <v>817</v>
      </c>
      <c r="D1115" s="3" t="s">
        <v>68</v>
      </c>
      <c r="E1115" s="3" t="s">
        <v>818</v>
      </c>
      <c r="F1115" s="2" t="s">
        <v>103</v>
      </c>
      <c r="G1115" s="4">
        <v>5</v>
      </c>
      <c r="H1115" s="5">
        <v>4.5699999999999994</v>
      </c>
      <c r="I1115" s="5">
        <v>4.763665357242381</v>
      </c>
      <c r="J1115" s="6">
        <v>0</v>
      </c>
      <c r="K1115" s="5">
        <v>0</v>
      </c>
      <c r="L1115" s="6">
        <v>0</v>
      </c>
      <c r="M1115" s="5">
        <v>0</v>
      </c>
      <c r="N1115" s="6">
        <v>0</v>
      </c>
      <c r="O1115" s="5">
        <v>0</v>
      </c>
      <c r="P1115" s="6">
        <v>0</v>
      </c>
      <c r="Q1115" s="5">
        <v>0</v>
      </c>
      <c r="R1115" s="6">
        <v>0</v>
      </c>
      <c r="S1115" s="5">
        <v>0</v>
      </c>
      <c r="T1115" s="6">
        <v>0</v>
      </c>
      <c r="U1115" s="5">
        <v>0</v>
      </c>
      <c r="V1115" s="6">
        <v>0</v>
      </c>
      <c r="W1115" s="5">
        <v>0</v>
      </c>
      <c r="X1115" s="6">
        <v>0</v>
      </c>
      <c r="Y1115" s="5">
        <v>0</v>
      </c>
      <c r="Z1115" s="6">
        <v>0</v>
      </c>
      <c r="AA1115" s="5">
        <v>0</v>
      </c>
      <c r="AB1115" s="6">
        <v>947.99613929838938</v>
      </c>
      <c r="AC1115" s="5">
        <v>4332.3423565936391</v>
      </c>
      <c r="AD1115" s="6">
        <v>947.99613929838938</v>
      </c>
      <c r="AE1115" s="5">
        <v>4332.3423565936391</v>
      </c>
      <c r="AF1115" s="6">
        <v>0</v>
      </c>
      <c r="AG1115" s="5">
        <v>0</v>
      </c>
      <c r="AH1115" s="7">
        <f t="shared" si="136"/>
        <v>1895.9922785967788</v>
      </c>
      <c r="AI1115" s="8">
        <f t="shared" si="137"/>
        <v>8664.6847131872782</v>
      </c>
      <c r="AJ1115" s="6">
        <v>0</v>
      </c>
      <c r="AK1115" s="5">
        <v>0</v>
      </c>
      <c r="AL1115" s="6">
        <v>0</v>
      </c>
      <c r="AM1115" s="5">
        <v>0</v>
      </c>
      <c r="AN1115" s="6">
        <v>0</v>
      </c>
      <c r="AO1115" s="5">
        <v>0</v>
      </c>
      <c r="AP1115" s="6">
        <v>0</v>
      </c>
      <c r="AQ1115" s="5">
        <v>0</v>
      </c>
      <c r="AR1115" s="6">
        <v>0</v>
      </c>
      <c r="AS1115" s="5">
        <v>0</v>
      </c>
      <c r="AT1115" s="6">
        <v>0</v>
      </c>
      <c r="AU1115" s="5">
        <v>0</v>
      </c>
      <c r="AV1115" s="6">
        <v>0</v>
      </c>
      <c r="AW1115" s="5">
        <v>0</v>
      </c>
      <c r="AX1115" s="6">
        <v>0</v>
      </c>
      <c r="AY1115" s="5">
        <v>0</v>
      </c>
      <c r="AZ1115" s="6">
        <v>0</v>
      </c>
      <c r="BA1115" s="5">
        <v>0</v>
      </c>
      <c r="BB1115" s="6">
        <v>1045</v>
      </c>
      <c r="BC1115" s="5">
        <v>4978.0302983182883</v>
      </c>
      <c r="BD1115" s="6">
        <v>1045</v>
      </c>
      <c r="BE1115" s="5">
        <v>4978.0302983182883</v>
      </c>
      <c r="BF1115" s="6">
        <v>0</v>
      </c>
      <c r="BG1115" s="5">
        <v>0</v>
      </c>
      <c r="BH1115" s="9">
        <f t="shared" si="138"/>
        <v>2090</v>
      </c>
      <c r="BI1115" s="10">
        <f t="shared" si="139"/>
        <v>9956.0605966365765</v>
      </c>
      <c r="BJ1115" s="6">
        <f t="shared" si="140"/>
        <v>194.00772140322124</v>
      </c>
      <c r="BK1115" s="11">
        <f t="shared" si="141"/>
        <v>0.10232516429170592</v>
      </c>
      <c r="BL1115" s="5">
        <f t="shared" si="142"/>
        <v>1291.3758834492983</v>
      </c>
      <c r="BM1115" s="11">
        <f t="shared" si="143"/>
        <v>0.14903899289998165</v>
      </c>
    </row>
    <row r="1116" spans="1:65" ht="15" customHeight="1" x14ac:dyDescent="0.4">
      <c r="A1116" s="2" t="s">
        <v>775</v>
      </c>
      <c r="B1116" s="2" t="s">
        <v>816</v>
      </c>
      <c r="C1116" s="2" t="s">
        <v>817</v>
      </c>
      <c r="D1116" s="3" t="s">
        <v>68</v>
      </c>
      <c r="E1116" s="3" t="s">
        <v>819</v>
      </c>
      <c r="F1116" s="2" t="s">
        <v>454</v>
      </c>
      <c r="G1116" s="4">
        <v>20</v>
      </c>
      <c r="H1116" s="5">
        <v>4.6499999999999986</v>
      </c>
      <c r="I1116" s="5">
        <v>4.8470555604326204</v>
      </c>
      <c r="J1116" s="6">
        <v>0</v>
      </c>
      <c r="K1116" s="5">
        <v>0</v>
      </c>
      <c r="L1116" s="6">
        <v>0</v>
      </c>
      <c r="M1116" s="5">
        <v>0</v>
      </c>
      <c r="N1116" s="6">
        <v>791.38853935457064</v>
      </c>
      <c r="O1116" s="5">
        <v>3679.9567079987528</v>
      </c>
      <c r="P1116" s="6">
        <v>0</v>
      </c>
      <c r="Q1116" s="5">
        <v>0</v>
      </c>
      <c r="R1116" s="6">
        <v>0</v>
      </c>
      <c r="S1116" s="5">
        <v>0</v>
      </c>
      <c r="T1116" s="6">
        <v>0</v>
      </c>
      <c r="U1116" s="5">
        <v>0</v>
      </c>
      <c r="V1116" s="6">
        <v>0</v>
      </c>
      <c r="W1116" s="5">
        <v>0</v>
      </c>
      <c r="X1116" s="6">
        <v>0</v>
      </c>
      <c r="Y1116" s="5">
        <v>0</v>
      </c>
      <c r="Z1116" s="6">
        <v>0</v>
      </c>
      <c r="AA1116" s="5">
        <v>0</v>
      </c>
      <c r="AB1116" s="6">
        <v>0</v>
      </c>
      <c r="AC1116" s="5">
        <v>0</v>
      </c>
      <c r="AD1116" s="6">
        <v>0</v>
      </c>
      <c r="AE1116" s="5">
        <v>0</v>
      </c>
      <c r="AF1116" s="6">
        <v>0</v>
      </c>
      <c r="AG1116" s="5">
        <v>0</v>
      </c>
      <c r="AH1116" s="7">
        <f t="shared" si="136"/>
        <v>791.38853935457064</v>
      </c>
      <c r="AI1116" s="8">
        <f t="shared" si="137"/>
        <v>3679.9567079987528</v>
      </c>
      <c r="AJ1116" s="6">
        <v>0</v>
      </c>
      <c r="AK1116" s="5">
        <v>0</v>
      </c>
      <c r="AL1116" s="6">
        <v>0</v>
      </c>
      <c r="AM1116" s="5">
        <v>0</v>
      </c>
      <c r="AN1116" s="6">
        <v>860</v>
      </c>
      <c r="AO1116" s="5">
        <v>4168.4677819720528</v>
      </c>
      <c r="AP1116" s="6">
        <v>0</v>
      </c>
      <c r="AQ1116" s="5">
        <v>0</v>
      </c>
      <c r="AR1116" s="6">
        <v>0</v>
      </c>
      <c r="AS1116" s="5">
        <v>0</v>
      </c>
      <c r="AT1116" s="6">
        <v>0</v>
      </c>
      <c r="AU1116" s="5">
        <v>0</v>
      </c>
      <c r="AV1116" s="6">
        <v>0</v>
      </c>
      <c r="AW1116" s="5">
        <v>0</v>
      </c>
      <c r="AX1116" s="6">
        <v>0</v>
      </c>
      <c r="AY1116" s="5">
        <v>0</v>
      </c>
      <c r="AZ1116" s="6">
        <v>0</v>
      </c>
      <c r="BA1116" s="5">
        <v>0</v>
      </c>
      <c r="BB1116" s="6">
        <v>0</v>
      </c>
      <c r="BC1116" s="5">
        <v>0</v>
      </c>
      <c r="BD1116" s="6">
        <v>0</v>
      </c>
      <c r="BE1116" s="5">
        <v>0</v>
      </c>
      <c r="BF1116" s="6">
        <v>0</v>
      </c>
      <c r="BG1116" s="5">
        <v>0</v>
      </c>
      <c r="BH1116" s="9">
        <f t="shared" si="138"/>
        <v>860</v>
      </c>
      <c r="BI1116" s="10">
        <f t="shared" si="139"/>
        <v>4168.4677819720528</v>
      </c>
      <c r="BJ1116" s="6">
        <f t="shared" si="140"/>
        <v>68.611460645429361</v>
      </c>
      <c r="BK1116" s="11">
        <f t="shared" si="141"/>
        <v>8.6697566660981107E-2</v>
      </c>
      <c r="BL1116" s="5">
        <f t="shared" si="142"/>
        <v>488.51107397329997</v>
      </c>
      <c r="BM1116" s="11">
        <f t="shared" si="143"/>
        <v>0.13274913612746381</v>
      </c>
    </row>
    <row r="1117" spans="1:65" ht="15" customHeight="1" x14ac:dyDescent="0.4">
      <c r="A1117" s="2" t="s">
        <v>775</v>
      </c>
      <c r="B1117" s="2" t="s">
        <v>816</v>
      </c>
      <c r="C1117" s="2" t="s">
        <v>817</v>
      </c>
      <c r="D1117" s="3" t="s">
        <v>68</v>
      </c>
      <c r="E1117" s="3" t="s">
        <v>819</v>
      </c>
      <c r="F1117" s="2" t="s">
        <v>283</v>
      </c>
      <c r="G1117" s="4">
        <v>20</v>
      </c>
      <c r="H1117" s="5">
        <v>4.6499999999999986</v>
      </c>
      <c r="I1117" s="5">
        <v>4.8470555604326204</v>
      </c>
      <c r="J1117" s="6">
        <v>0</v>
      </c>
      <c r="K1117" s="5">
        <v>0</v>
      </c>
      <c r="L1117" s="6">
        <v>0</v>
      </c>
      <c r="M1117" s="5">
        <v>0</v>
      </c>
      <c r="N1117" s="6">
        <v>0</v>
      </c>
      <c r="O1117" s="5">
        <v>0</v>
      </c>
      <c r="P1117" s="6">
        <v>0</v>
      </c>
      <c r="Q1117" s="5">
        <v>0</v>
      </c>
      <c r="R1117" s="6">
        <v>791.38853935457064</v>
      </c>
      <c r="S1117" s="5">
        <v>3679.9567079987528</v>
      </c>
      <c r="T1117" s="6">
        <v>1582.7770787091411</v>
      </c>
      <c r="U1117" s="5">
        <v>7359.9134159975056</v>
      </c>
      <c r="V1117" s="6">
        <v>0</v>
      </c>
      <c r="W1117" s="5">
        <v>0</v>
      </c>
      <c r="X1117" s="6">
        <v>0</v>
      </c>
      <c r="Y1117" s="5">
        <v>0</v>
      </c>
      <c r="Z1117" s="6">
        <v>0</v>
      </c>
      <c r="AA1117" s="5">
        <v>0</v>
      </c>
      <c r="AB1117" s="6">
        <v>0</v>
      </c>
      <c r="AC1117" s="5">
        <v>0</v>
      </c>
      <c r="AD1117" s="6">
        <v>0</v>
      </c>
      <c r="AE1117" s="5">
        <v>0</v>
      </c>
      <c r="AF1117" s="6">
        <v>0</v>
      </c>
      <c r="AG1117" s="5">
        <v>0</v>
      </c>
      <c r="AH1117" s="7">
        <f t="shared" si="136"/>
        <v>2374.1656180637119</v>
      </c>
      <c r="AI1117" s="8">
        <f t="shared" si="137"/>
        <v>11039.870123996257</v>
      </c>
      <c r="AJ1117" s="6">
        <v>0</v>
      </c>
      <c r="AK1117" s="5">
        <v>0</v>
      </c>
      <c r="AL1117" s="6">
        <v>0</v>
      </c>
      <c r="AM1117" s="5">
        <v>0</v>
      </c>
      <c r="AN1117" s="6">
        <v>0</v>
      </c>
      <c r="AO1117" s="5">
        <v>0</v>
      </c>
      <c r="AP1117" s="6">
        <v>0</v>
      </c>
      <c r="AQ1117" s="5">
        <v>0</v>
      </c>
      <c r="AR1117" s="6">
        <v>860</v>
      </c>
      <c r="AS1117" s="5">
        <v>4168.4677819720528</v>
      </c>
      <c r="AT1117" s="6">
        <v>1720</v>
      </c>
      <c r="AU1117" s="5">
        <v>8336.9355639441055</v>
      </c>
      <c r="AV1117" s="6">
        <v>0</v>
      </c>
      <c r="AW1117" s="5">
        <v>0</v>
      </c>
      <c r="AX1117" s="6">
        <v>0</v>
      </c>
      <c r="AY1117" s="5">
        <v>0</v>
      </c>
      <c r="AZ1117" s="6">
        <v>0</v>
      </c>
      <c r="BA1117" s="5">
        <v>0</v>
      </c>
      <c r="BB1117" s="6">
        <v>0</v>
      </c>
      <c r="BC1117" s="5">
        <v>0</v>
      </c>
      <c r="BD1117" s="6">
        <v>0</v>
      </c>
      <c r="BE1117" s="5">
        <v>0</v>
      </c>
      <c r="BF1117" s="6">
        <v>0</v>
      </c>
      <c r="BG1117" s="5">
        <v>0</v>
      </c>
      <c r="BH1117" s="9">
        <f t="shared" si="138"/>
        <v>2580</v>
      </c>
      <c r="BI1117" s="10">
        <f t="shared" si="139"/>
        <v>12505.403345916158</v>
      </c>
      <c r="BJ1117" s="6">
        <f t="shared" si="140"/>
        <v>205.83438193628808</v>
      </c>
      <c r="BK1117" s="11">
        <f t="shared" si="141"/>
        <v>8.6697566660981107E-2</v>
      </c>
      <c r="BL1117" s="5">
        <f t="shared" si="142"/>
        <v>1465.5332219199008</v>
      </c>
      <c r="BM1117" s="11">
        <f t="shared" si="143"/>
        <v>0.13274913612746389</v>
      </c>
    </row>
    <row r="1118" spans="1:65" ht="15" customHeight="1" x14ac:dyDescent="0.4">
      <c r="A1118" s="2" t="s">
        <v>775</v>
      </c>
      <c r="B1118" s="2" t="s">
        <v>816</v>
      </c>
      <c r="C1118" s="2" t="s">
        <v>817</v>
      </c>
      <c r="D1118" s="3" t="s">
        <v>68</v>
      </c>
      <c r="E1118" s="3" t="s">
        <v>819</v>
      </c>
      <c r="F1118" s="2" t="s">
        <v>192</v>
      </c>
      <c r="G1118" s="4">
        <v>20</v>
      </c>
      <c r="H1118" s="5">
        <v>4.6499999999999986</v>
      </c>
      <c r="I1118" s="5">
        <v>4.8470555604326204</v>
      </c>
      <c r="J1118" s="6">
        <v>0</v>
      </c>
      <c r="K1118" s="5">
        <v>0</v>
      </c>
      <c r="L1118" s="6">
        <v>0</v>
      </c>
      <c r="M1118" s="5">
        <v>0</v>
      </c>
      <c r="N1118" s="6">
        <v>0</v>
      </c>
      <c r="O1118" s="5">
        <v>0</v>
      </c>
      <c r="P1118" s="6">
        <v>0</v>
      </c>
      <c r="Q1118" s="5">
        <v>0</v>
      </c>
      <c r="R1118" s="6">
        <v>0</v>
      </c>
      <c r="S1118" s="5">
        <v>0</v>
      </c>
      <c r="T1118" s="6">
        <v>0</v>
      </c>
      <c r="U1118" s="5">
        <v>0</v>
      </c>
      <c r="V1118" s="6">
        <v>0</v>
      </c>
      <c r="W1118" s="5">
        <v>0</v>
      </c>
      <c r="X1118" s="6">
        <v>0</v>
      </c>
      <c r="Y1118" s="5">
        <v>0</v>
      </c>
      <c r="Z1118" s="6">
        <v>0</v>
      </c>
      <c r="AA1118" s="5">
        <v>0</v>
      </c>
      <c r="AB1118" s="6">
        <v>0</v>
      </c>
      <c r="AC1118" s="5">
        <v>0</v>
      </c>
      <c r="AD1118" s="6">
        <v>947.99613929838938</v>
      </c>
      <c r="AE1118" s="5">
        <v>4408.1820477375104</v>
      </c>
      <c r="AF1118" s="6">
        <v>0</v>
      </c>
      <c r="AG1118" s="5">
        <v>0</v>
      </c>
      <c r="AH1118" s="7">
        <f t="shared" si="136"/>
        <v>947.99613929838938</v>
      </c>
      <c r="AI1118" s="8">
        <f t="shared" si="137"/>
        <v>4408.1820477375104</v>
      </c>
      <c r="AJ1118" s="6">
        <v>0</v>
      </c>
      <c r="AK1118" s="5">
        <v>0</v>
      </c>
      <c r="AL1118" s="6">
        <v>0</v>
      </c>
      <c r="AM1118" s="5">
        <v>0</v>
      </c>
      <c r="AN1118" s="6">
        <v>0</v>
      </c>
      <c r="AO1118" s="5">
        <v>0</v>
      </c>
      <c r="AP1118" s="6">
        <v>0</v>
      </c>
      <c r="AQ1118" s="5">
        <v>0</v>
      </c>
      <c r="AR1118" s="6">
        <v>0</v>
      </c>
      <c r="AS1118" s="5">
        <v>0</v>
      </c>
      <c r="AT1118" s="6">
        <v>0</v>
      </c>
      <c r="AU1118" s="5">
        <v>0</v>
      </c>
      <c r="AV1118" s="6">
        <v>0</v>
      </c>
      <c r="AW1118" s="5">
        <v>0</v>
      </c>
      <c r="AX1118" s="6">
        <v>0</v>
      </c>
      <c r="AY1118" s="5">
        <v>0</v>
      </c>
      <c r="AZ1118" s="6">
        <v>0</v>
      </c>
      <c r="BA1118" s="5">
        <v>0</v>
      </c>
      <c r="BB1118" s="6">
        <v>0</v>
      </c>
      <c r="BC1118" s="5">
        <v>0</v>
      </c>
      <c r="BD1118" s="6">
        <v>1040</v>
      </c>
      <c r="BE1118" s="5">
        <v>5040.9377828499246</v>
      </c>
      <c r="BF1118" s="6">
        <v>0</v>
      </c>
      <c r="BG1118" s="5">
        <v>0</v>
      </c>
      <c r="BH1118" s="9">
        <f t="shared" si="138"/>
        <v>1040</v>
      </c>
      <c r="BI1118" s="10">
        <f t="shared" si="139"/>
        <v>5040.9377828499246</v>
      </c>
      <c r="BJ1118" s="6">
        <f t="shared" si="140"/>
        <v>92.00386070161062</v>
      </c>
      <c r="BK1118" s="11">
        <f t="shared" si="141"/>
        <v>9.7050881208970485E-2</v>
      </c>
      <c r="BL1118" s="5">
        <f t="shared" si="142"/>
        <v>632.75573511241419</v>
      </c>
      <c r="BM1118" s="11">
        <f t="shared" si="143"/>
        <v>0.1435411986755798</v>
      </c>
    </row>
    <row r="1119" spans="1:65" ht="15" customHeight="1" x14ac:dyDescent="0.4">
      <c r="A1119" s="2" t="s">
        <v>775</v>
      </c>
      <c r="B1119" s="2" t="s">
        <v>816</v>
      </c>
      <c r="C1119" s="2" t="s">
        <v>817</v>
      </c>
      <c r="D1119" s="3" t="s">
        <v>68</v>
      </c>
      <c r="E1119" s="3" t="s">
        <v>820</v>
      </c>
      <c r="F1119" s="2" t="s">
        <v>381</v>
      </c>
      <c r="G1119" s="4">
        <v>5</v>
      </c>
      <c r="H1119" s="5">
        <v>5.23</v>
      </c>
      <c r="I1119" s="5">
        <v>5.4516345335618501</v>
      </c>
      <c r="J1119" s="6">
        <v>0</v>
      </c>
      <c r="K1119" s="5">
        <v>0</v>
      </c>
      <c r="L1119" s="6">
        <v>0</v>
      </c>
      <c r="M1119" s="5">
        <v>0</v>
      </c>
      <c r="N1119" s="6">
        <v>0</v>
      </c>
      <c r="O1119" s="5">
        <v>0</v>
      </c>
      <c r="P1119" s="6">
        <v>0</v>
      </c>
      <c r="Q1119" s="5">
        <v>0</v>
      </c>
      <c r="R1119" s="6">
        <v>0</v>
      </c>
      <c r="S1119" s="5">
        <v>0</v>
      </c>
      <c r="T1119" s="6">
        <v>0</v>
      </c>
      <c r="U1119" s="5">
        <v>0</v>
      </c>
      <c r="V1119" s="6">
        <v>0</v>
      </c>
      <c r="W1119" s="5">
        <v>0</v>
      </c>
      <c r="X1119" s="6">
        <v>0</v>
      </c>
      <c r="Y1119" s="5">
        <v>0</v>
      </c>
      <c r="Z1119" s="6">
        <v>0</v>
      </c>
      <c r="AA1119" s="5">
        <v>0</v>
      </c>
      <c r="AB1119" s="6">
        <v>473.99806964919469</v>
      </c>
      <c r="AC1119" s="5">
        <v>2479.0099042652878</v>
      </c>
      <c r="AD1119" s="6">
        <v>0</v>
      </c>
      <c r="AE1119" s="5">
        <v>0</v>
      </c>
      <c r="AF1119" s="6">
        <v>473.99806964919469</v>
      </c>
      <c r="AG1119" s="5">
        <v>2479.0099042652878</v>
      </c>
      <c r="AH1119" s="7">
        <f t="shared" si="136"/>
        <v>947.99613929838938</v>
      </c>
      <c r="AI1119" s="8">
        <f t="shared" si="137"/>
        <v>4958.0198085305756</v>
      </c>
      <c r="AJ1119" s="6">
        <v>0</v>
      </c>
      <c r="AK1119" s="5">
        <v>0</v>
      </c>
      <c r="AL1119" s="6">
        <v>0</v>
      </c>
      <c r="AM1119" s="5">
        <v>0</v>
      </c>
      <c r="AN1119" s="6">
        <v>0</v>
      </c>
      <c r="AO1119" s="5">
        <v>0</v>
      </c>
      <c r="AP1119" s="6">
        <v>0</v>
      </c>
      <c r="AQ1119" s="5">
        <v>0</v>
      </c>
      <c r="AR1119" s="6">
        <v>0</v>
      </c>
      <c r="AS1119" s="5">
        <v>0</v>
      </c>
      <c r="AT1119" s="6">
        <v>0</v>
      </c>
      <c r="AU1119" s="5">
        <v>0</v>
      </c>
      <c r="AV1119" s="6">
        <v>0</v>
      </c>
      <c r="AW1119" s="5">
        <v>0</v>
      </c>
      <c r="AX1119" s="6">
        <v>0</v>
      </c>
      <c r="AY1119" s="5">
        <v>0</v>
      </c>
      <c r="AZ1119" s="6">
        <v>0</v>
      </c>
      <c r="BA1119" s="5">
        <v>0</v>
      </c>
      <c r="BB1119" s="6">
        <v>510</v>
      </c>
      <c r="BC1119" s="5">
        <v>2780.333612116543</v>
      </c>
      <c r="BD1119" s="6">
        <v>0</v>
      </c>
      <c r="BE1119" s="5">
        <v>0</v>
      </c>
      <c r="BF1119" s="6">
        <v>510</v>
      </c>
      <c r="BG1119" s="5">
        <v>2780.333612116543</v>
      </c>
      <c r="BH1119" s="9">
        <f t="shared" si="138"/>
        <v>1020</v>
      </c>
      <c r="BI1119" s="10">
        <f t="shared" si="139"/>
        <v>5560.667224233086</v>
      </c>
      <c r="BJ1119" s="6">
        <f t="shared" si="140"/>
        <v>72.00386070161062</v>
      </c>
      <c r="BK1119" s="11">
        <f t="shared" si="141"/>
        <v>7.5953748878028735E-2</v>
      </c>
      <c r="BL1119" s="5">
        <f t="shared" si="142"/>
        <v>602.64741570251044</v>
      </c>
      <c r="BM1119" s="11">
        <f t="shared" si="143"/>
        <v>0.12155002177797249</v>
      </c>
    </row>
    <row r="1120" spans="1:65" ht="15" customHeight="1" x14ac:dyDescent="0.4">
      <c r="A1120" s="2" t="s">
        <v>775</v>
      </c>
      <c r="B1120" s="2" t="s">
        <v>816</v>
      </c>
      <c r="C1120" s="2" t="s">
        <v>817</v>
      </c>
      <c r="D1120" s="3" t="s">
        <v>68</v>
      </c>
      <c r="E1120" s="3" t="s">
        <v>821</v>
      </c>
      <c r="F1120" s="2" t="s">
        <v>822</v>
      </c>
      <c r="G1120" s="4">
        <v>20</v>
      </c>
      <c r="H1120" s="5">
        <v>5.080000000000001</v>
      </c>
      <c r="I1120" s="5">
        <v>5.2952779025801524</v>
      </c>
      <c r="J1120" s="6">
        <v>0</v>
      </c>
      <c r="K1120" s="5">
        <v>0</v>
      </c>
      <c r="L1120" s="6">
        <v>0</v>
      </c>
      <c r="M1120" s="5">
        <v>0</v>
      </c>
      <c r="N1120" s="6">
        <v>0</v>
      </c>
      <c r="O1120" s="5">
        <v>0</v>
      </c>
      <c r="P1120" s="6">
        <v>0</v>
      </c>
      <c r="Q1120" s="5">
        <v>0</v>
      </c>
      <c r="R1120" s="6">
        <v>0</v>
      </c>
      <c r="S1120" s="5">
        <v>0</v>
      </c>
      <c r="T1120" s="6">
        <v>0</v>
      </c>
      <c r="U1120" s="5">
        <v>0</v>
      </c>
      <c r="V1120" s="6">
        <v>0</v>
      </c>
      <c r="W1120" s="5">
        <v>0</v>
      </c>
      <c r="X1120" s="6">
        <v>0</v>
      </c>
      <c r="Y1120" s="5">
        <v>0</v>
      </c>
      <c r="Z1120" s="6">
        <v>0</v>
      </c>
      <c r="AA1120" s="5">
        <v>0</v>
      </c>
      <c r="AB1120" s="6">
        <v>0</v>
      </c>
      <c r="AC1120" s="5">
        <v>0</v>
      </c>
      <c r="AD1120" s="6">
        <v>758.39691143871141</v>
      </c>
      <c r="AE1120" s="5">
        <v>3852.656310108654</v>
      </c>
      <c r="AF1120" s="6">
        <v>0</v>
      </c>
      <c r="AG1120" s="5">
        <v>0</v>
      </c>
      <c r="AH1120" s="7">
        <f t="shared" si="136"/>
        <v>758.39691143871141</v>
      </c>
      <c r="AI1120" s="8">
        <f t="shared" si="137"/>
        <v>3852.656310108654</v>
      </c>
      <c r="AJ1120" s="6">
        <v>0</v>
      </c>
      <c r="AK1120" s="5">
        <v>0</v>
      </c>
      <c r="AL1120" s="6">
        <v>0</v>
      </c>
      <c r="AM1120" s="5">
        <v>0</v>
      </c>
      <c r="AN1120" s="6">
        <v>0</v>
      </c>
      <c r="AO1120" s="5">
        <v>0</v>
      </c>
      <c r="AP1120" s="6">
        <v>0</v>
      </c>
      <c r="AQ1120" s="5">
        <v>0</v>
      </c>
      <c r="AR1120" s="6">
        <v>0</v>
      </c>
      <c r="AS1120" s="5">
        <v>0</v>
      </c>
      <c r="AT1120" s="6">
        <v>0</v>
      </c>
      <c r="AU1120" s="5">
        <v>0</v>
      </c>
      <c r="AV1120" s="6">
        <v>0</v>
      </c>
      <c r="AW1120" s="5">
        <v>0</v>
      </c>
      <c r="AX1120" s="6">
        <v>0</v>
      </c>
      <c r="AY1120" s="5">
        <v>0</v>
      </c>
      <c r="AZ1120" s="6">
        <v>0</v>
      </c>
      <c r="BA1120" s="5">
        <v>0</v>
      </c>
      <c r="BB1120" s="6">
        <v>0</v>
      </c>
      <c r="BC1120" s="5">
        <v>0</v>
      </c>
      <c r="BD1120" s="6">
        <v>820</v>
      </c>
      <c r="BE1120" s="5">
        <v>4342.127880115725</v>
      </c>
      <c r="BF1120" s="6">
        <v>0</v>
      </c>
      <c r="BG1120" s="5">
        <v>0</v>
      </c>
      <c r="BH1120" s="9">
        <f t="shared" si="138"/>
        <v>820</v>
      </c>
      <c r="BI1120" s="10">
        <f t="shared" si="139"/>
        <v>4342.127880115725</v>
      </c>
      <c r="BJ1120" s="6">
        <f t="shared" si="140"/>
        <v>61.603088561288587</v>
      </c>
      <c r="BK1120" s="11">
        <f t="shared" si="141"/>
        <v>8.1228031960764308E-2</v>
      </c>
      <c r="BL1120" s="5">
        <f t="shared" si="142"/>
        <v>489.47157000707102</v>
      </c>
      <c r="BM1120" s="11">
        <f t="shared" si="143"/>
        <v>0.12704781600237441</v>
      </c>
    </row>
    <row r="1121" spans="1:65" ht="15" customHeight="1" x14ac:dyDescent="0.4">
      <c r="A1121" s="2" t="s">
        <v>775</v>
      </c>
      <c r="B1121" s="2" t="s">
        <v>816</v>
      </c>
      <c r="C1121" s="2" t="s">
        <v>817</v>
      </c>
      <c r="D1121" s="3" t="s">
        <v>68</v>
      </c>
      <c r="E1121" s="3" t="s">
        <v>823</v>
      </c>
      <c r="F1121" s="2" t="s">
        <v>400</v>
      </c>
      <c r="G1121" s="4">
        <v>1000</v>
      </c>
      <c r="H1121" s="5">
        <v>2.92</v>
      </c>
      <c r="I1121" s="5">
        <v>3.0437424164437088</v>
      </c>
      <c r="J1121" s="6">
        <v>0</v>
      </c>
      <c r="K1121" s="5">
        <v>0</v>
      </c>
      <c r="L1121" s="6">
        <v>0</v>
      </c>
      <c r="M1121" s="5">
        <v>0</v>
      </c>
      <c r="N1121" s="6">
        <v>2967.7070225796401</v>
      </c>
      <c r="O1121" s="5">
        <v>8665.7045059325483</v>
      </c>
      <c r="P1121" s="6">
        <v>0</v>
      </c>
      <c r="Q1121" s="5">
        <v>0</v>
      </c>
      <c r="R1121" s="6">
        <v>0</v>
      </c>
      <c r="S1121" s="5">
        <v>0</v>
      </c>
      <c r="T1121" s="6">
        <v>989.23567419321319</v>
      </c>
      <c r="U1121" s="5">
        <v>2888.5681686441831</v>
      </c>
      <c r="V1121" s="6">
        <v>0</v>
      </c>
      <c r="W1121" s="5">
        <v>0</v>
      </c>
      <c r="X1121" s="6">
        <v>0</v>
      </c>
      <c r="Y1121" s="5">
        <v>0</v>
      </c>
      <c r="Z1121" s="6">
        <v>0</v>
      </c>
      <c r="AA1121" s="5">
        <v>0</v>
      </c>
      <c r="AB1121" s="6">
        <v>0</v>
      </c>
      <c r="AC1121" s="5">
        <v>0</v>
      </c>
      <c r="AD1121" s="6">
        <v>0</v>
      </c>
      <c r="AE1121" s="5">
        <v>0</v>
      </c>
      <c r="AF1121" s="6">
        <v>0</v>
      </c>
      <c r="AG1121" s="5">
        <v>0</v>
      </c>
      <c r="AH1121" s="7">
        <f t="shared" si="136"/>
        <v>3956.9426967728532</v>
      </c>
      <c r="AI1121" s="8">
        <f t="shared" si="137"/>
        <v>11554.272674576732</v>
      </c>
      <c r="AJ1121" s="6">
        <v>0</v>
      </c>
      <c r="AK1121" s="5">
        <v>0</v>
      </c>
      <c r="AL1121" s="6">
        <v>0</v>
      </c>
      <c r="AM1121" s="5">
        <v>0</v>
      </c>
      <c r="AN1121" s="6">
        <v>3000</v>
      </c>
      <c r="AO1121" s="5">
        <v>9131.2272493311284</v>
      </c>
      <c r="AP1121" s="6">
        <v>0</v>
      </c>
      <c r="AQ1121" s="5">
        <v>0</v>
      </c>
      <c r="AR1121" s="6">
        <v>0</v>
      </c>
      <c r="AS1121" s="5">
        <v>0</v>
      </c>
      <c r="AT1121" s="6">
        <v>1000</v>
      </c>
      <c r="AU1121" s="5">
        <v>3043.7424164437089</v>
      </c>
      <c r="AV1121" s="6">
        <v>0</v>
      </c>
      <c r="AW1121" s="5">
        <v>0</v>
      </c>
      <c r="AX1121" s="6">
        <v>0</v>
      </c>
      <c r="AY1121" s="5">
        <v>0</v>
      </c>
      <c r="AZ1121" s="6">
        <v>0</v>
      </c>
      <c r="BA1121" s="5">
        <v>0</v>
      </c>
      <c r="BB1121" s="6">
        <v>0</v>
      </c>
      <c r="BC1121" s="5">
        <v>0</v>
      </c>
      <c r="BD1121" s="6">
        <v>0</v>
      </c>
      <c r="BE1121" s="5">
        <v>0</v>
      </c>
      <c r="BF1121" s="6">
        <v>0</v>
      </c>
      <c r="BG1121" s="5">
        <v>0</v>
      </c>
      <c r="BH1121" s="9">
        <f t="shared" si="138"/>
        <v>4000</v>
      </c>
      <c r="BI1121" s="10">
        <f t="shared" si="139"/>
        <v>12174.969665774837</v>
      </c>
      <c r="BJ1121" s="6">
        <f t="shared" si="140"/>
        <v>43.057303227146804</v>
      </c>
      <c r="BK1121" s="11">
        <f t="shared" si="141"/>
        <v>1.0881457359052195E-2</v>
      </c>
      <c r="BL1121" s="5">
        <f t="shared" si="142"/>
        <v>620.69699119810502</v>
      </c>
      <c r="BM1121" s="11">
        <f t="shared" si="143"/>
        <v>5.372012663019856E-2</v>
      </c>
    </row>
    <row r="1122" spans="1:65" ht="15" customHeight="1" x14ac:dyDescent="0.4">
      <c r="A1122" s="2" t="s">
        <v>775</v>
      </c>
      <c r="B1122" s="2" t="s">
        <v>816</v>
      </c>
      <c r="C1122" s="2" t="s">
        <v>817</v>
      </c>
      <c r="D1122" s="3" t="s">
        <v>68</v>
      </c>
      <c r="E1122" s="3" t="s">
        <v>823</v>
      </c>
      <c r="F1122" s="2" t="s">
        <v>473</v>
      </c>
      <c r="G1122" s="4">
        <v>1000</v>
      </c>
      <c r="H1122" s="5">
        <v>2.92</v>
      </c>
      <c r="I1122" s="5">
        <v>3.0437424164437101</v>
      </c>
      <c r="J1122" s="6">
        <v>0</v>
      </c>
      <c r="K1122" s="5">
        <v>0</v>
      </c>
      <c r="L1122" s="6">
        <v>0</v>
      </c>
      <c r="M1122" s="5">
        <v>0</v>
      </c>
      <c r="N1122" s="6">
        <v>0</v>
      </c>
      <c r="O1122" s="5">
        <v>0</v>
      </c>
      <c r="P1122" s="6">
        <v>0</v>
      </c>
      <c r="Q1122" s="5">
        <v>0</v>
      </c>
      <c r="R1122" s="6">
        <v>0</v>
      </c>
      <c r="S1122" s="5">
        <v>0</v>
      </c>
      <c r="T1122" s="6">
        <v>0</v>
      </c>
      <c r="U1122" s="5">
        <v>0</v>
      </c>
      <c r="V1122" s="6">
        <v>0</v>
      </c>
      <c r="W1122" s="5">
        <v>0</v>
      </c>
      <c r="X1122" s="6">
        <v>0</v>
      </c>
      <c r="Y1122" s="5">
        <v>0</v>
      </c>
      <c r="Z1122" s="6">
        <v>0</v>
      </c>
      <c r="AA1122" s="5">
        <v>0</v>
      </c>
      <c r="AB1122" s="6">
        <v>3791.984557193558</v>
      </c>
      <c r="AC1122" s="5">
        <v>11072.59490700519</v>
      </c>
      <c r="AD1122" s="6">
        <v>3791.984557193558</v>
      </c>
      <c r="AE1122" s="5">
        <v>11072.59490700519</v>
      </c>
      <c r="AF1122" s="6">
        <v>3791.984557193558</v>
      </c>
      <c r="AG1122" s="5">
        <v>11072.59490700519</v>
      </c>
      <c r="AH1122" s="7">
        <f t="shared" si="136"/>
        <v>11375.953671580673</v>
      </c>
      <c r="AI1122" s="8">
        <f t="shared" si="137"/>
        <v>33217.784721015574</v>
      </c>
      <c r="AJ1122" s="6">
        <v>0</v>
      </c>
      <c r="AK1122" s="5">
        <v>0</v>
      </c>
      <c r="AL1122" s="6">
        <v>0</v>
      </c>
      <c r="AM1122" s="5">
        <v>0</v>
      </c>
      <c r="AN1122" s="6">
        <v>0</v>
      </c>
      <c r="AO1122" s="5">
        <v>0</v>
      </c>
      <c r="AP1122" s="6">
        <v>0</v>
      </c>
      <c r="AQ1122" s="5">
        <v>0</v>
      </c>
      <c r="AR1122" s="6">
        <v>0</v>
      </c>
      <c r="AS1122" s="5">
        <v>0</v>
      </c>
      <c r="AT1122" s="6">
        <v>0</v>
      </c>
      <c r="AU1122" s="5">
        <v>0</v>
      </c>
      <c r="AV1122" s="6">
        <v>0</v>
      </c>
      <c r="AW1122" s="5">
        <v>0</v>
      </c>
      <c r="AX1122" s="6">
        <v>0</v>
      </c>
      <c r="AY1122" s="5">
        <v>0</v>
      </c>
      <c r="AZ1122" s="6">
        <v>0</v>
      </c>
      <c r="BA1122" s="5">
        <v>0</v>
      </c>
      <c r="BB1122" s="6">
        <v>4000</v>
      </c>
      <c r="BC1122" s="5">
        <v>12174.969665774841</v>
      </c>
      <c r="BD1122" s="6">
        <v>4000</v>
      </c>
      <c r="BE1122" s="5">
        <v>12174.969665774841</v>
      </c>
      <c r="BF1122" s="6">
        <v>4000</v>
      </c>
      <c r="BG1122" s="5">
        <v>12174.969665774841</v>
      </c>
      <c r="BH1122" s="9">
        <f t="shared" si="138"/>
        <v>12000</v>
      </c>
      <c r="BI1122" s="10">
        <f t="shared" si="139"/>
        <v>36524.908997324521</v>
      </c>
      <c r="BJ1122" s="6">
        <f t="shared" si="140"/>
        <v>624.04632841932653</v>
      </c>
      <c r="BK1122" s="11">
        <f t="shared" si="141"/>
        <v>5.4856616547086914E-2</v>
      </c>
      <c r="BL1122" s="5">
        <f t="shared" si="142"/>
        <v>3307.1242763089467</v>
      </c>
      <c r="BM1122" s="11">
        <f t="shared" si="143"/>
        <v>9.9558844880364955E-2</v>
      </c>
    </row>
    <row r="1123" spans="1:65" ht="15" customHeight="1" x14ac:dyDescent="0.4">
      <c r="A1123" s="2" t="s">
        <v>775</v>
      </c>
      <c r="B1123" s="2" t="s">
        <v>816</v>
      </c>
      <c r="C1123" s="2" t="s">
        <v>817</v>
      </c>
      <c r="D1123" s="3" t="s">
        <v>68</v>
      </c>
      <c r="E1123" s="3" t="s">
        <v>824</v>
      </c>
      <c r="F1123" s="2" t="s">
        <v>825</v>
      </c>
      <c r="G1123" s="4">
        <v>1</v>
      </c>
      <c r="H1123" s="5">
        <v>5.19</v>
      </c>
      <c r="I1123" s="5">
        <v>5.4099394319667304</v>
      </c>
      <c r="J1123" s="6">
        <v>0</v>
      </c>
      <c r="K1123" s="5">
        <v>0</v>
      </c>
      <c r="L1123" s="6">
        <v>0</v>
      </c>
      <c r="M1123" s="5">
        <v>0</v>
      </c>
      <c r="N1123" s="6">
        <v>0</v>
      </c>
      <c r="O1123" s="5">
        <v>0</v>
      </c>
      <c r="P1123" s="6">
        <v>0</v>
      </c>
      <c r="Q1123" s="5">
        <v>0</v>
      </c>
      <c r="R1123" s="6">
        <v>0</v>
      </c>
      <c r="S1123" s="5">
        <v>0</v>
      </c>
      <c r="T1123" s="6">
        <v>1044.632871948033</v>
      </c>
      <c r="U1123" s="5">
        <v>5421.6446054102926</v>
      </c>
      <c r="V1123" s="6">
        <v>0</v>
      </c>
      <c r="W1123" s="5">
        <v>0</v>
      </c>
      <c r="X1123" s="6">
        <v>0</v>
      </c>
      <c r="Y1123" s="5">
        <v>0</v>
      </c>
      <c r="Z1123" s="6">
        <v>0</v>
      </c>
      <c r="AA1123" s="5">
        <v>0</v>
      </c>
      <c r="AB1123" s="6">
        <v>0</v>
      </c>
      <c r="AC1123" s="5">
        <v>0</v>
      </c>
      <c r="AD1123" s="6">
        <v>0</v>
      </c>
      <c r="AE1123" s="5">
        <v>0</v>
      </c>
      <c r="AF1123" s="6">
        <v>0</v>
      </c>
      <c r="AG1123" s="5">
        <v>0</v>
      </c>
      <c r="AH1123" s="7">
        <f t="shared" si="136"/>
        <v>1044.632871948033</v>
      </c>
      <c r="AI1123" s="8">
        <f t="shared" si="137"/>
        <v>5421.6446054102926</v>
      </c>
      <c r="AJ1123" s="6">
        <v>0</v>
      </c>
      <c r="AK1123" s="5">
        <v>0</v>
      </c>
      <c r="AL1123" s="6">
        <v>0</v>
      </c>
      <c r="AM1123" s="5">
        <v>0</v>
      </c>
      <c r="AN1123" s="6">
        <v>0</v>
      </c>
      <c r="AO1123" s="5">
        <v>0</v>
      </c>
      <c r="AP1123" s="6">
        <v>0</v>
      </c>
      <c r="AQ1123" s="5">
        <v>0</v>
      </c>
      <c r="AR1123" s="6">
        <v>0</v>
      </c>
      <c r="AS1123" s="5">
        <v>0</v>
      </c>
      <c r="AT1123" s="6">
        <v>1119</v>
      </c>
      <c r="AU1123" s="5">
        <v>6053.7222243707711</v>
      </c>
      <c r="AV1123" s="6">
        <v>0</v>
      </c>
      <c r="AW1123" s="5">
        <v>0</v>
      </c>
      <c r="AX1123" s="6">
        <v>0</v>
      </c>
      <c r="AY1123" s="5">
        <v>0</v>
      </c>
      <c r="AZ1123" s="6">
        <v>0</v>
      </c>
      <c r="BA1123" s="5">
        <v>0</v>
      </c>
      <c r="BB1123" s="6">
        <v>0</v>
      </c>
      <c r="BC1123" s="5">
        <v>0</v>
      </c>
      <c r="BD1123" s="6">
        <v>0</v>
      </c>
      <c r="BE1123" s="5">
        <v>0</v>
      </c>
      <c r="BF1123" s="6">
        <v>0</v>
      </c>
      <c r="BG1123" s="5">
        <v>0</v>
      </c>
      <c r="BH1123" s="9">
        <f t="shared" si="138"/>
        <v>1119</v>
      </c>
      <c r="BI1123" s="10">
        <f t="shared" si="139"/>
        <v>6053.7222243707711</v>
      </c>
      <c r="BJ1123" s="6">
        <f t="shared" si="140"/>
        <v>74.367128051967029</v>
      </c>
      <c r="BK1123" s="11">
        <f t="shared" si="141"/>
        <v>7.1189726121950472E-2</v>
      </c>
      <c r="BL1123" s="5">
        <f t="shared" si="142"/>
        <v>632.0776189604785</v>
      </c>
      <c r="BM1123" s="11">
        <f t="shared" si="143"/>
        <v>0.11658411145756849</v>
      </c>
    </row>
    <row r="1124" spans="1:65" ht="15" customHeight="1" x14ac:dyDescent="0.4">
      <c r="A1124" s="2" t="s">
        <v>775</v>
      </c>
      <c r="B1124" s="2" t="s">
        <v>816</v>
      </c>
      <c r="C1124" s="2" t="s">
        <v>817</v>
      </c>
      <c r="D1124" s="3" t="s">
        <v>68</v>
      </c>
      <c r="E1124" s="3" t="s">
        <v>824</v>
      </c>
      <c r="F1124" s="2" t="s">
        <v>826</v>
      </c>
      <c r="G1124" s="4">
        <v>1</v>
      </c>
      <c r="H1124" s="5">
        <v>5.19</v>
      </c>
      <c r="I1124" s="5">
        <v>5.4099394319667304</v>
      </c>
      <c r="J1124" s="6">
        <v>0</v>
      </c>
      <c r="K1124" s="5">
        <v>0</v>
      </c>
      <c r="L1124" s="6">
        <v>0</v>
      </c>
      <c r="M1124" s="5">
        <v>0</v>
      </c>
      <c r="N1124" s="6">
        <v>0</v>
      </c>
      <c r="O1124" s="5">
        <v>0</v>
      </c>
      <c r="P1124" s="6">
        <v>0</v>
      </c>
      <c r="Q1124" s="5">
        <v>0</v>
      </c>
      <c r="R1124" s="6">
        <v>0</v>
      </c>
      <c r="S1124" s="5">
        <v>0</v>
      </c>
      <c r="T1124" s="6">
        <v>0</v>
      </c>
      <c r="U1124" s="5">
        <v>0</v>
      </c>
      <c r="V1124" s="6">
        <v>0</v>
      </c>
      <c r="W1124" s="5">
        <v>0</v>
      </c>
      <c r="X1124" s="6">
        <v>0</v>
      </c>
      <c r="Y1124" s="5">
        <v>0</v>
      </c>
      <c r="Z1124" s="6">
        <v>0</v>
      </c>
      <c r="AA1124" s="5">
        <v>0</v>
      </c>
      <c r="AB1124" s="6">
        <v>0</v>
      </c>
      <c r="AC1124" s="5">
        <v>0</v>
      </c>
      <c r="AD1124" s="6">
        <v>1001.083923099099</v>
      </c>
      <c r="AE1124" s="5">
        <v>5195.6255608843248</v>
      </c>
      <c r="AF1124" s="6">
        <v>0</v>
      </c>
      <c r="AG1124" s="5">
        <v>0</v>
      </c>
      <c r="AH1124" s="7">
        <f t="shared" si="136"/>
        <v>1001.083923099099</v>
      </c>
      <c r="AI1124" s="8">
        <f t="shared" si="137"/>
        <v>5195.6255608843248</v>
      </c>
      <c r="AJ1124" s="6">
        <v>0</v>
      </c>
      <c r="AK1124" s="5">
        <v>0</v>
      </c>
      <c r="AL1124" s="6">
        <v>0</v>
      </c>
      <c r="AM1124" s="5">
        <v>0</v>
      </c>
      <c r="AN1124" s="6">
        <v>0</v>
      </c>
      <c r="AO1124" s="5">
        <v>0</v>
      </c>
      <c r="AP1124" s="6">
        <v>0</v>
      </c>
      <c r="AQ1124" s="5">
        <v>0</v>
      </c>
      <c r="AR1124" s="6">
        <v>0</v>
      </c>
      <c r="AS1124" s="5">
        <v>0</v>
      </c>
      <c r="AT1124" s="6">
        <v>0</v>
      </c>
      <c r="AU1124" s="5">
        <v>0</v>
      </c>
      <c r="AV1124" s="6">
        <v>0</v>
      </c>
      <c r="AW1124" s="5">
        <v>0</v>
      </c>
      <c r="AX1124" s="6">
        <v>0</v>
      </c>
      <c r="AY1124" s="5">
        <v>0</v>
      </c>
      <c r="AZ1124" s="6">
        <v>0</v>
      </c>
      <c r="BA1124" s="5">
        <v>0</v>
      </c>
      <c r="BB1124" s="6">
        <v>0</v>
      </c>
      <c r="BC1124" s="5">
        <v>0</v>
      </c>
      <c r="BD1124" s="6">
        <v>1072</v>
      </c>
      <c r="BE1124" s="5">
        <v>5799.4550710683343</v>
      </c>
      <c r="BF1124" s="6">
        <v>0</v>
      </c>
      <c r="BG1124" s="5">
        <v>0</v>
      </c>
      <c r="BH1124" s="9">
        <f t="shared" si="138"/>
        <v>1072</v>
      </c>
      <c r="BI1124" s="10">
        <f t="shared" si="139"/>
        <v>5799.4550710683343</v>
      </c>
      <c r="BJ1124" s="6">
        <f t="shared" si="140"/>
        <v>70.916076900900975</v>
      </c>
      <c r="BK1124" s="11">
        <f t="shared" si="141"/>
        <v>7.0839292555376368E-2</v>
      </c>
      <c r="BL1124" s="5">
        <f t="shared" si="142"/>
        <v>603.82951018400945</v>
      </c>
      <c r="BM1124" s="11">
        <f t="shared" si="143"/>
        <v>0.11621882737855233</v>
      </c>
    </row>
    <row r="1125" spans="1:65" ht="15" customHeight="1" x14ac:dyDescent="0.4">
      <c r="A1125" s="2" t="s">
        <v>775</v>
      </c>
      <c r="B1125" s="2" t="s">
        <v>816</v>
      </c>
      <c r="C1125" s="2" t="s">
        <v>817</v>
      </c>
      <c r="D1125" s="3" t="s">
        <v>68</v>
      </c>
      <c r="E1125" s="3" t="s">
        <v>827</v>
      </c>
      <c r="F1125" s="2" t="s">
        <v>828</v>
      </c>
      <c r="G1125" s="4">
        <v>5</v>
      </c>
      <c r="H1125" s="5">
        <v>5.61</v>
      </c>
      <c r="I1125" s="5">
        <v>5.8477379987154823</v>
      </c>
      <c r="J1125" s="6">
        <v>0</v>
      </c>
      <c r="K1125" s="5">
        <v>0</v>
      </c>
      <c r="L1125" s="6">
        <v>0</v>
      </c>
      <c r="M1125" s="5">
        <v>0</v>
      </c>
      <c r="N1125" s="6">
        <v>0</v>
      </c>
      <c r="O1125" s="5">
        <v>0</v>
      </c>
      <c r="P1125" s="6">
        <v>0</v>
      </c>
      <c r="Q1125" s="5">
        <v>0</v>
      </c>
      <c r="R1125" s="6">
        <v>0</v>
      </c>
      <c r="S1125" s="5">
        <v>0</v>
      </c>
      <c r="T1125" s="6">
        <v>0</v>
      </c>
      <c r="U1125" s="5">
        <v>0</v>
      </c>
      <c r="V1125" s="6">
        <v>0</v>
      </c>
      <c r="W1125" s="5">
        <v>0</v>
      </c>
      <c r="X1125" s="6">
        <v>0</v>
      </c>
      <c r="Y1125" s="5">
        <v>0</v>
      </c>
      <c r="Z1125" s="6">
        <v>0</v>
      </c>
      <c r="AA1125" s="5">
        <v>0</v>
      </c>
      <c r="AB1125" s="6">
        <v>947.99613929838938</v>
      </c>
      <c r="AC1125" s="5">
        <v>5318.2583414639639</v>
      </c>
      <c r="AD1125" s="6">
        <v>0</v>
      </c>
      <c r="AE1125" s="5">
        <v>0</v>
      </c>
      <c r="AF1125" s="6">
        <v>473.99806964919469</v>
      </c>
      <c r="AG1125" s="5">
        <v>2659.129170731982</v>
      </c>
      <c r="AH1125" s="7">
        <f t="shared" si="136"/>
        <v>1421.994208947584</v>
      </c>
      <c r="AI1125" s="8">
        <f t="shared" si="137"/>
        <v>7977.3875121959463</v>
      </c>
      <c r="AJ1125" s="6">
        <v>0</v>
      </c>
      <c r="AK1125" s="5">
        <v>0</v>
      </c>
      <c r="AL1125" s="6">
        <v>0</v>
      </c>
      <c r="AM1125" s="5">
        <v>0</v>
      </c>
      <c r="AN1125" s="6">
        <v>0</v>
      </c>
      <c r="AO1125" s="5">
        <v>0</v>
      </c>
      <c r="AP1125" s="6">
        <v>0</v>
      </c>
      <c r="AQ1125" s="5">
        <v>0</v>
      </c>
      <c r="AR1125" s="6">
        <v>0</v>
      </c>
      <c r="AS1125" s="5">
        <v>0</v>
      </c>
      <c r="AT1125" s="6">
        <v>0</v>
      </c>
      <c r="AU1125" s="5">
        <v>0</v>
      </c>
      <c r="AV1125" s="6">
        <v>0</v>
      </c>
      <c r="AW1125" s="5">
        <v>0</v>
      </c>
      <c r="AX1125" s="6">
        <v>0</v>
      </c>
      <c r="AY1125" s="5">
        <v>0</v>
      </c>
      <c r="AZ1125" s="6">
        <v>0</v>
      </c>
      <c r="BA1125" s="5">
        <v>0</v>
      </c>
      <c r="BB1125" s="6">
        <v>1015</v>
      </c>
      <c r="BC1125" s="5">
        <v>5935.4540686962146</v>
      </c>
      <c r="BD1125" s="6">
        <v>0</v>
      </c>
      <c r="BE1125" s="5">
        <v>0</v>
      </c>
      <c r="BF1125" s="6">
        <v>510</v>
      </c>
      <c r="BG1125" s="5">
        <v>2982.3463793448959</v>
      </c>
      <c r="BH1125" s="9">
        <f t="shared" si="138"/>
        <v>1525</v>
      </c>
      <c r="BI1125" s="10">
        <f t="shared" si="139"/>
        <v>8917.8004480411109</v>
      </c>
      <c r="BJ1125" s="6">
        <f t="shared" si="140"/>
        <v>103.00579105241604</v>
      </c>
      <c r="BK1125" s="11">
        <f t="shared" si="141"/>
        <v>7.24375601562052E-2</v>
      </c>
      <c r="BL1125" s="5">
        <f t="shared" si="142"/>
        <v>940.41293584516461</v>
      </c>
      <c r="BM1125" s="11">
        <f t="shared" si="143"/>
        <v>0.11788482562837115</v>
      </c>
    </row>
    <row r="1126" spans="1:65" ht="15" customHeight="1" x14ac:dyDescent="0.4">
      <c r="A1126" s="2" t="s">
        <v>775</v>
      </c>
      <c r="B1126" s="2" t="s">
        <v>816</v>
      </c>
      <c r="C1126" s="2" t="s">
        <v>817</v>
      </c>
      <c r="D1126" s="3" t="s">
        <v>68</v>
      </c>
      <c r="E1126" s="3" t="s">
        <v>829</v>
      </c>
      <c r="F1126" s="2" t="s">
        <v>830</v>
      </c>
      <c r="G1126" s="4">
        <v>5</v>
      </c>
      <c r="H1126" s="5">
        <v>1.84</v>
      </c>
      <c r="I1126" s="5">
        <v>1.9179746733754881</v>
      </c>
      <c r="J1126" s="6">
        <v>0</v>
      </c>
      <c r="K1126" s="5">
        <v>0</v>
      </c>
      <c r="L1126" s="6">
        <v>0</v>
      </c>
      <c r="M1126" s="5">
        <v>0</v>
      </c>
      <c r="N1126" s="6">
        <v>5440.796208062673</v>
      </c>
      <c r="O1126" s="5">
        <v>10011.065022835321</v>
      </c>
      <c r="P1126" s="6">
        <v>0</v>
      </c>
      <c r="Q1126" s="5">
        <v>0</v>
      </c>
      <c r="R1126" s="6">
        <v>0</v>
      </c>
      <c r="S1126" s="5">
        <v>0</v>
      </c>
      <c r="T1126" s="6">
        <v>9793.4331745128111</v>
      </c>
      <c r="U1126" s="5">
        <v>18019.91704110357</v>
      </c>
      <c r="V1126" s="6">
        <v>0</v>
      </c>
      <c r="W1126" s="5">
        <v>0</v>
      </c>
      <c r="X1126" s="6">
        <v>0</v>
      </c>
      <c r="Y1126" s="5">
        <v>0</v>
      </c>
      <c r="Z1126" s="6">
        <v>0</v>
      </c>
      <c r="AA1126" s="5">
        <v>0</v>
      </c>
      <c r="AB1126" s="6">
        <v>0</v>
      </c>
      <c r="AC1126" s="5">
        <v>0</v>
      </c>
      <c r="AD1126" s="6">
        <v>0</v>
      </c>
      <c r="AE1126" s="5">
        <v>0</v>
      </c>
      <c r="AF1126" s="6">
        <v>0</v>
      </c>
      <c r="AG1126" s="5">
        <v>0</v>
      </c>
      <c r="AH1126" s="7">
        <f t="shared" si="136"/>
        <v>15234.229382575484</v>
      </c>
      <c r="AI1126" s="8">
        <f t="shared" si="137"/>
        <v>28030.982063938893</v>
      </c>
      <c r="AJ1126" s="6">
        <v>0</v>
      </c>
      <c r="AK1126" s="5">
        <v>0</v>
      </c>
      <c r="AL1126" s="6">
        <v>0</v>
      </c>
      <c r="AM1126" s="5">
        <v>0</v>
      </c>
      <c r="AN1126" s="6">
        <v>6000</v>
      </c>
      <c r="AO1126" s="5">
        <v>11507.848040252929</v>
      </c>
      <c r="AP1126" s="6">
        <v>0</v>
      </c>
      <c r="AQ1126" s="5">
        <v>0</v>
      </c>
      <c r="AR1126" s="6">
        <v>0</v>
      </c>
      <c r="AS1126" s="5">
        <v>0</v>
      </c>
      <c r="AT1126" s="6">
        <v>10795</v>
      </c>
      <c r="AU1126" s="5">
        <v>20704.536599088391</v>
      </c>
      <c r="AV1126" s="6">
        <v>0</v>
      </c>
      <c r="AW1126" s="5">
        <v>0</v>
      </c>
      <c r="AX1126" s="6">
        <v>0</v>
      </c>
      <c r="AY1126" s="5">
        <v>0</v>
      </c>
      <c r="AZ1126" s="6">
        <v>0</v>
      </c>
      <c r="BA1126" s="5">
        <v>0</v>
      </c>
      <c r="BB1126" s="6">
        <v>0</v>
      </c>
      <c r="BC1126" s="5">
        <v>0</v>
      </c>
      <c r="BD1126" s="6">
        <v>0</v>
      </c>
      <c r="BE1126" s="5">
        <v>0</v>
      </c>
      <c r="BF1126" s="6">
        <v>0</v>
      </c>
      <c r="BG1126" s="5">
        <v>0</v>
      </c>
      <c r="BH1126" s="9">
        <f t="shared" si="138"/>
        <v>16795</v>
      </c>
      <c r="BI1126" s="10">
        <f t="shared" si="139"/>
        <v>32212.384639341319</v>
      </c>
      <c r="BJ1126" s="6">
        <f t="shared" si="140"/>
        <v>1560.7706174245159</v>
      </c>
      <c r="BK1126" s="11">
        <f t="shared" si="141"/>
        <v>0.10245156339904431</v>
      </c>
      <c r="BL1126" s="5">
        <f t="shared" si="142"/>
        <v>4181.402575402426</v>
      </c>
      <c r="BM1126" s="11">
        <f t="shared" si="143"/>
        <v>0.14917074849053141</v>
      </c>
    </row>
    <row r="1127" spans="1:65" ht="15" customHeight="1" x14ac:dyDescent="0.4">
      <c r="A1127" s="2" t="s">
        <v>775</v>
      </c>
      <c r="B1127" s="2" t="s">
        <v>816</v>
      </c>
      <c r="C1127" s="2" t="s">
        <v>817</v>
      </c>
      <c r="D1127" s="3" t="s">
        <v>68</v>
      </c>
      <c r="E1127" s="3" t="s">
        <v>829</v>
      </c>
      <c r="F1127" s="2" t="s">
        <v>115</v>
      </c>
      <c r="G1127" s="4">
        <v>5</v>
      </c>
      <c r="H1127" s="5">
        <v>1.84</v>
      </c>
      <c r="I1127" s="5">
        <v>1.9179746733754881</v>
      </c>
      <c r="J1127" s="6">
        <v>0</v>
      </c>
      <c r="K1127" s="5">
        <v>0</v>
      </c>
      <c r="L1127" s="6">
        <v>0</v>
      </c>
      <c r="M1127" s="5">
        <v>0</v>
      </c>
      <c r="N1127" s="6">
        <v>0</v>
      </c>
      <c r="O1127" s="5">
        <v>0</v>
      </c>
      <c r="P1127" s="6">
        <v>0</v>
      </c>
      <c r="Q1127" s="5">
        <v>0</v>
      </c>
      <c r="R1127" s="6">
        <v>0</v>
      </c>
      <c r="S1127" s="5">
        <v>0</v>
      </c>
      <c r="T1127" s="6">
        <v>0</v>
      </c>
      <c r="U1127" s="5">
        <v>0</v>
      </c>
      <c r="V1127" s="6">
        <v>0</v>
      </c>
      <c r="W1127" s="5">
        <v>0</v>
      </c>
      <c r="X1127" s="6">
        <v>0</v>
      </c>
      <c r="Y1127" s="5">
        <v>0</v>
      </c>
      <c r="Z1127" s="6">
        <v>0</v>
      </c>
      <c r="AA1127" s="5">
        <v>0</v>
      </c>
      <c r="AB1127" s="6">
        <v>10427.95753228228</v>
      </c>
      <c r="AC1127" s="5">
        <v>19187.441859399401</v>
      </c>
      <c r="AD1127" s="6">
        <v>0</v>
      </c>
      <c r="AE1127" s="5">
        <v>0</v>
      </c>
      <c r="AF1127" s="6">
        <v>6635.9729750887254</v>
      </c>
      <c r="AG1127" s="5">
        <v>12210.190274163249</v>
      </c>
      <c r="AH1127" s="7">
        <f t="shared" si="136"/>
        <v>17063.930507371006</v>
      </c>
      <c r="AI1127" s="8">
        <f t="shared" si="137"/>
        <v>31397.632133562649</v>
      </c>
      <c r="AJ1127" s="6">
        <v>0</v>
      </c>
      <c r="AK1127" s="5">
        <v>0</v>
      </c>
      <c r="AL1127" s="6">
        <v>0</v>
      </c>
      <c r="AM1127" s="5">
        <v>0</v>
      </c>
      <c r="AN1127" s="6">
        <v>0</v>
      </c>
      <c r="AO1127" s="5">
        <v>0</v>
      </c>
      <c r="AP1127" s="6">
        <v>0</v>
      </c>
      <c r="AQ1127" s="5">
        <v>0</v>
      </c>
      <c r="AR1127" s="6">
        <v>0</v>
      </c>
      <c r="AS1127" s="5">
        <v>0</v>
      </c>
      <c r="AT1127" s="6">
        <v>0</v>
      </c>
      <c r="AU1127" s="5">
        <v>0</v>
      </c>
      <c r="AV1127" s="6">
        <v>0</v>
      </c>
      <c r="AW1127" s="5">
        <v>0</v>
      </c>
      <c r="AX1127" s="6">
        <v>0</v>
      </c>
      <c r="AY1127" s="5">
        <v>0</v>
      </c>
      <c r="AZ1127" s="6">
        <v>0</v>
      </c>
      <c r="BA1127" s="5">
        <v>0</v>
      </c>
      <c r="BB1127" s="6">
        <v>11495</v>
      </c>
      <c r="BC1127" s="5">
        <v>22047.118870451239</v>
      </c>
      <c r="BD1127" s="6">
        <v>0</v>
      </c>
      <c r="BE1127" s="5">
        <v>0</v>
      </c>
      <c r="BF1127" s="6">
        <v>7315</v>
      </c>
      <c r="BG1127" s="5">
        <v>14029.9847357417</v>
      </c>
      <c r="BH1127" s="9">
        <f t="shared" si="138"/>
        <v>18810</v>
      </c>
      <c r="BI1127" s="10">
        <f t="shared" si="139"/>
        <v>36077.103606192941</v>
      </c>
      <c r="BJ1127" s="6">
        <f t="shared" si="140"/>
        <v>1746.0694926289943</v>
      </c>
      <c r="BK1127" s="11">
        <f t="shared" si="141"/>
        <v>0.10232516429170613</v>
      </c>
      <c r="BL1127" s="5">
        <f t="shared" si="142"/>
        <v>4679.4714726302918</v>
      </c>
      <c r="BM1127" s="11">
        <f t="shared" si="143"/>
        <v>0.14903899289998204</v>
      </c>
    </row>
    <row r="1128" spans="1:65" ht="15" customHeight="1" x14ac:dyDescent="0.4">
      <c r="A1128" s="2" t="s">
        <v>775</v>
      </c>
      <c r="B1128" s="2" t="s">
        <v>816</v>
      </c>
      <c r="C1128" s="2" t="s">
        <v>817</v>
      </c>
      <c r="D1128" s="3" t="s">
        <v>68</v>
      </c>
      <c r="E1128" s="3" t="s">
        <v>831</v>
      </c>
      <c r="F1128" s="2" t="s">
        <v>830</v>
      </c>
      <c r="G1128" s="4">
        <v>20</v>
      </c>
      <c r="H1128" s="5">
        <v>1.65</v>
      </c>
      <c r="I1128" s="5">
        <v>1.7199229407986709</v>
      </c>
      <c r="J1128" s="6">
        <v>14146.070140962949</v>
      </c>
      <c r="K1128" s="5">
        <v>23341.015732588861</v>
      </c>
      <c r="L1128" s="6">
        <v>0</v>
      </c>
      <c r="M1128" s="5">
        <v>0</v>
      </c>
      <c r="N1128" s="6">
        <v>5440.796208062673</v>
      </c>
      <c r="O1128" s="5">
        <v>8977.3137433034099</v>
      </c>
      <c r="P1128" s="6">
        <v>0</v>
      </c>
      <c r="Q1128" s="5">
        <v>0</v>
      </c>
      <c r="R1128" s="6">
        <v>10881.59241612535</v>
      </c>
      <c r="S1128" s="5">
        <v>17954.62748660682</v>
      </c>
      <c r="T1128" s="6">
        <v>0</v>
      </c>
      <c r="U1128" s="5">
        <v>0</v>
      </c>
      <c r="V1128" s="6">
        <v>0</v>
      </c>
      <c r="W1128" s="5">
        <v>0</v>
      </c>
      <c r="X1128" s="6">
        <v>0</v>
      </c>
      <c r="Y1128" s="5">
        <v>0</v>
      </c>
      <c r="Z1128" s="6">
        <v>0</v>
      </c>
      <c r="AA1128" s="5">
        <v>0</v>
      </c>
      <c r="AB1128" s="6">
        <v>0</v>
      </c>
      <c r="AC1128" s="5">
        <v>0</v>
      </c>
      <c r="AD1128" s="6">
        <v>0</v>
      </c>
      <c r="AE1128" s="5">
        <v>0</v>
      </c>
      <c r="AF1128" s="6">
        <v>0</v>
      </c>
      <c r="AG1128" s="5">
        <v>0</v>
      </c>
      <c r="AH1128" s="7">
        <f t="shared" si="136"/>
        <v>30468.458765150972</v>
      </c>
      <c r="AI1128" s="8">
        <f t="shared" si="137"/>
        <v>50272.956962499091</v>
      </c>
      <c r="AJ1128" s="6">
        <v>15600</v>
      </c>
      <c r="AK1128" s="5">
        <v>26830.79787645927</v>
      </c>
      <c r="AL1128" s="6">
        <v>0</v>
      </c>
      <c r="AM1128" s="5">
        <v>0</v>
      </c>
      <c r="AN1128" s="6">
        <v>6000</v>
      </c>
      <c r="AO1128" s="5">
        <v>10319.53764479203</v>
      </c>
      <c r="AP1128" s="6">
        <v>0</v>
      </c>
      <c r="AQ1128" s="5">
        <v>0</v>
      </c>
      <c r="AR1128" s="6">
        <v>12000</v>
      </c>
      <c r="AS1128" s="5">
        <v>20639.07528958406</v>
      </c>
      <c r="AT1128" s="6">
        <v>0</v>
      </c>
      <c r="AU1128" s="5">
        <v>0</v>
      </c>
      <c r="AV1128" s="6">
        <v>0</v>
      </c>
      <c r="AW1128" s="5">
        <v>0</v>
      </c>
      <c r="AX1128" s="6">
        <v>0</v>
      </c>
      <c r="AY1128" s="5">
        <v>0</v>
      </c>
      <c r="AZ1128" s="6">
        <v>0</v>
      </c>
      <c r="BA1128" s="5">
        <v>0</v>
      </c>
      <c r="BB1128" s="6">
        <v>0</v>
      </c>
      <c r="BC1128" s="5">
        <v>0</v>
      </c>
      <c r="BD1128" s="6">
        <v>0</v>
      </c>
      <c r="BE1128" s="5">
        <v>0</v>
      </c>
      <c r="BF1128" s="6">
        <v>0</v>
      </c>
      <c r="BG1128" s="5">
        <v>0</v>
      </c>
      <c r="BH1128" s="9">
        <f t="shared" si="138"/>
        <v>33600</v>
      </c>
      <c r="BI1128" s="10">
        <f t="shared" si="139"/>
        <v>57789.410810835354</v>
      </c>
      <c r="BJ1128" s="6">
        <f t="shared" si="140"/>
        <v>3131.5412348490281</v>
      </c>
      <c r="BK1128" s="11">
        <f t="shared" si="141"/>
        <v>0.1027797716644205</v>
      </c>
      <c r="BL1128" s="5">
        <f t="shared" si="142"/>
        <v>7516.453848336263</v>
      </c>
      <c r="BM1128" s="11">
        <f t="shared" si="143"/>
        <v>0.14951286541476227</v>
      </c>
    </row>
    <row r="1129" spans="1:65" ht="15" customHeight="1" x14ac:dyDescent="0.4">
      <c r="A1129" s="2" t="s">
        <v>775</v>
      </c>
      <c r="B1129" s="2" t="s">
        <v>816</v>
      </c>
      <c r="C1129" s="2" t="s">
        <v>817</v>
      </c>
      <c r="D1129" s="3" t="s">
        <v>68</v>
      </c>
      <c r="E1129" s="3" t="s">
        <v>831</v>
      </c>
      <c r="F1129" s="2" t="s">
        <v>87</v>
      </c>
      <c r="G1129" s="4">
        <v>20</v>
      </c>
      <c r="H1129" s="5">
        <v>1.65</v>
      </c>
      <c r="I1129" s="5">
        <v>1.7199229407986709</v>
      </c>
      <c r="J1129" s="6">
        <v>0</v>
      </c>
      <c r="K1129" s="5">
        <v>0</v>
      </c>
      <c r="L1129" s="6">
        <v>0</v>
      </c>
      <c r="M1129" s="5">
        <v>0</v>
      </c>
      <c r="N1129" s="6">
        <v>0</v>
      </c>
      <c r="O1129" s="5">
        <v>0</v>
      </c>
      <c r="P1129" s="6">
        <v>0</v>
      </c>
      <c r="Q1129" s="5">
        <v>0</v>
      </c>
      <c r="R1129" s="6">
        <v>0</v>
      </c>
      <c r="S1129" s="5">
        <v>0</v>
      </c>
      <c r="T1129" s="6">
        <v>0</v>
      </c>
      <c r="U1129" s="5">
        <v>0</v>
      </c>
      <c r="V1129" s="6">
        <v>0</v>
      </c>
      <c r="W1129" s="5">
        <v>0</v>
      </c>
      <c r="X1129" s="6">
        <v>0</v>
      </c>
      <c r="Y1129" s="5">
        <v>0</v>
      </c>
      <c r="Z1129" s="6">
        <v>0</v>
      </c>
      <c r="AA1129" s="5">
        <v>0</v>
      </c>
      <c r="AB1129" s="6">
        <v>10427.95753228228</v>
      </c>
      <c r="AC1129" s="5">
        <v>17206.129928265771</v>
      </c>
      <c r="AD1129" s="6">
        <v>14599.1405451952</v>
      </c>
      <c r="AE1129" s="5">
        <v>24088.581899572069</v>
      </c>
      <c r="AF1129" s="6">
        <v>0</v>
      </c>
      <c r="AG1129" s="5">
        <v>0</v>
      </c>
      <c r="AH1129" s="7">
        <f t="shared" si="136"/>
        <v>25027.09807747748</v>
      </c>
      <c r="AI1129" s="8">
        <f t="shared" si="137"/>
        <v>41294.71182783784</v>
      </c>
      <c r="AJ1129" s="6">
        <v>0</v>
      </c>
      <c r="AK1129" s="5">
        <v>0</v>
      </c>
      <c r="AL1129" s="6">
        <v>0</v>
      </c>
      <c r="AM1129" s="5">
        <v>0</v>
      </c>
      <c r="AN1129" s="6">
        <v>0</v>
      </c>
      <c r="AO1129" s="5">
        <v>0</v>
      </c>
      <c r="AP1129" s="6">
        <v>0</v>
      </c>
      <c r="AQ1129" s="5">
        <v>0</v>
      </c>
      <c r="AR1129" s="6">
        <v>0</v>
      </c>
      <c r="AS1129" s="5">
        <v>0</v>
      </c>
      <c r="AT1129" s="6">
        <v>0</v>
      </c>
      <c r="AU1129" s="5">
        <v>0</v>
      </c>
      <c r="AV1129" s="6">
        <v>0</v>
      </c>
      <c r="AW1129" s="5">
        <v>0</v>
      </c>
      <c r="AX1129" s="6">
        <v>0</v>
      </c>
      <c r="AY1129" s="5">
        <v>0</v>
      </c>
      <c r="AZ1129" s="6">
        <v>0</v>
      </c>
      <c r="BA1129" s="5">
        <v>0</v>
      </c>
      <c r="BB1129" s="6">
        <v>11500</v>
      </c>
      <c r="BC1129" s="5">
        <v>19779.11381918472</v>
      </c>
      <c r="BD1129" s="6">
        <v>16100</v>
      </c>
      <c r="BE1129" s="5">
        <v>27690.759346858609</v>
      </c>
      <c r="BF1129" s="6">
        <v>0</v>
      </c>
      <c r="BG1129" s="5">
        <v>0</v>
      </c>
      <c r="BH1129" s="9">
        <f t="shared" si="138"/>
        <v>27600</v>
      </c>
      <c r="BI1129" s="10">
        <f t="shared" si="139"/>
        <v>47469.873166043326</v>
      </c>
      <c r="BJ1129" s="6">
        <f t="shared" si="140"/>
        <v>2572.9019225225202</v>
      </c>
      <c r="BK1129" s="11">
        <f t="shared" si="141"/>
        <v>0.10280464457195458</v>
      </c>
      <c r="BL1129" s="5">
        <f t="shared" si="142"/>
        <v>6175.1613382054857</v>
      </c>
      <c r="BM1129" s="11">
        <f t="shared" si="143"/>
        <v>0.14953879237492701</v>
      </c>
    </row>
    <row r="1130" spans="1:65" ht="15" customHeight="1" x14ac:dyDescent="0.4">
      <c r="A1130" s="2" t="s">
        <v>775</v>
      </c>
      <c r="B1130" s="2" t="s">
        <v>816</v>
      </c>
      <c r="C1130" s="2" t="s">
        <v>817</v>
      </c>
      <c r="D1130" s="3" t="s">
        <v>68</v>
      </c>
      <c r="E1130" s="3" t="s">
        <v>832</v>
      </c>
      <c r="F1130" s="2" t="s">
        <v>488</v>
      </c>
      <c r="G1130" s="4">
        <v>1000</v>
      </c>
      <c r="H1130" s="5">
        <v>3.456</v>
      </c>
      <c r="I1130" s="5">
        <v>3.6024567778183081</v>
      </c>
      <c r="J1130" s="6">
        <v>0</v>
      </c>
      <c r="K1130" s="5">
        <v>0</v>
      </c>
      <c r="L1130" s="6">
        <v>0</v>
      </c>
      <c r="M1130" s="5">
        <v>0</v>
      </c>
      <c r="N1130" s="6">
        <v>0</v>
      </c>
      <c r="O1130" s="5">
        <v>0</v>
      </c>
      <c r="P1130" s="6">
        <v>0</v>
      </c>
      <c r="Q1130" s="5">
        <v>0</v>
      </c>
      <c r="R1130" s="6">
        <v>0</v>
      </c>
      <c r="S1130" s="5">
        <v>0</v>
      </c>
      <c r="T1130" s="6">
        <v>0</v>
      </c>
      <c r="U1130" s="5">
        <v>0</v>
      </c>
      <c r="V1130" s="6">
        <v>0</v>
      </c>
      <c r="W1130" s="5">
        <v>0</v>
      </c>
      <c r="X1130" s="6">
        <v>0</v>
      </c>
      <c r="Y1130" s="5">
        <v>0</v>
      </c>
      <c r="Z1130" s="6">
        <v>0</v>
      </c>
      <c r="AA1130" s="5">
        <v>0</v>
      </c>
      <c r="AB1130" s="6">
        <v>2843.9884178951679</v>
      </c>
      <c r="AC1130" s="5">
        <v>9828.8239722457001</v>
      </c>
      <c r="AD1130" s="6">
        <v>0</v>
      </c>
      <c r="AE1130" s="5">
        <v>0</v>
      </c>
      <c r="AF1130" s="6">
        <v>2843.9884178951679</v>
      </c>
      <c r="AG1130" s="5">
        <v>9828.8239722457001</v>
      </c>
      <c r="AH1130" s="7">
        <f t="shared" si="136"/>
        <v>5687.9768357903358</v>
      </c>
      <c r="AI1130" s="8">
        <f t="shared" si="137"/>
        <v>19657.6479444914</v>
      </c>
      <c r="AJ1130" s="6">
        <v>0</v>
      </c>
      <c r="AK1130" s="5">
        <v>0</v>
      </c>
      <c r="AL1130" s="6">
        <v>0</v>
      </c>
      <c r="AM1130" s="5">
        <v>0</v>
      </c>
      <c r="AN1130" s="6">
        <v>0</v>
      </c>
      <c r="AO1130" s="5">
        <v>0</v>
      </c>
      <c r="AP1130" s="6">
        <v>0</v>
      </c>
      <c r="AQ1130" s="5">
        <v>0</v>
      </c>
      <c r="AR1130" s="6">
        <v>0</v>
      </c>
      <c r="AS1130" s="5">
        <v>0</v>
      </c>
      <c r="AT1130" s="6">
        <v>0</v>
      </c>
      <c r="AU1130" s="5">
        <v>0</v>
      </c>
      <c r="AV1130" s="6">
        <v>0</v>
      </c>
      <c r="AW1130" s="5">
        <v>0</v>
      </c>
      <c r="AX1130" s="6">
        <v>0</v>
      </c>
      <c r="AY1130" s="5">
        <v>0</v>
      </c>
      <c r="AZ1130" s="6">
        <v>0</v>
      </c>
      <c r="BA1130" s="5">
        <v>0</v>
      </c>
      <c r="BB1130" s="6">
        <v>3000</v>
      </c>
      <c r="BC1130" s="5">
        <v>10807.370333454919</v>
      </c>
      <c r="BD1130" s="6">
        <v>0</v>
      </c>
      <c r="BE1130" s="5">
        <v>0</v>
      </c>
      <c r="BF1130" s="6">
        <v>3000</v>
      </c>
      <c r="BG1130" s="5">
        <v>10807.370333454919</v>
      </c>
      <c r="BH1130" s="9">
        <f t="shared" si="138"/>
        <v>6000</v>
      </c>
      <c r="BI1130" s="10">
        <f t="shared" si="139"/>
        <v>21614.740666909838</v>
      </c>
      <c r="BJ1130" s="6">
        <f t="shared" si="140"/>
        <v>312.02316420966417</v>
      </c>
      <c r="BK1130" s="11">
        <f t="shared" si="141"/>
        <v>5.4856616547087088E-2</v>
      </c>
      <c r="BL1130" s="5">
        <f t="shared" si="142"/>
        <v>1957.0927224184379</v>
      </c>
      <c r="BM1130" s="11">
        <f t="shared" si="143"/>
        <v>9.9558844880364622E-2</v>
      </c>
    </row>
    <row r="1131" spans="1:65" ht="15" customHeight="1" x14ac:dyDescent="0.4">
      <c r="A1131" s="2" t="s">
        <v>775</v>
      </c>
      <c r="B1131" s="2" t="s">
        <v>816</v>
      </c>
      <c r="C1131" s="2" t="s">
        <v>817</v>
      </c>
      <c r="D1131" s="3" t="s">
        <v>68</v>
      </c>
      <c r="E1131" s="3" t="s">
        <v>833</v>
      </c>
      <c r="F1131" s="2" t="s">
        <v>293</v>
      </c>
      <c r="G1131" s="4">
        <v>1000</v>
      </c>
      <c r="H1131" s="5">
        <v>3.37</v>
      </c>
      <c r="I1131" s="5">
        <v>3.512812309388802</v>
      </c>
      <c r="J1131" s="6">
        <v>1978.4713483864259</v>
      </c>
      <c r="K1131" s="5">
        <v>6667.4484440622573</v>
      </c>
      <c r="L1131" s="6">
        <v>0</v>
      </c>
      <c r="M1131" s="5">
        <v>0</v>
      </c>
      <c r="N1131" s="6">
        <v>0</v>
      </c>
      <c r="O1131" s="5">
        <v>0</v>
      </c>
      <c r="P1131" s="6">
        <v>0</v>
      </c>
      <c r="Q1131" s="5">
        <v>0</v>
      </c>
      <c r="R1131" s="6">
        <v>1978.4713483864259</v>
      </c>
      <c r="S1131" s="5">
        <v>6667.4484440622573</v>
      </c>
      <c r="T1131" s="6">
        <v>0</v>
      </c>
      <c r="U1131" s="5">
        <v>0</v>
      </c>
      <c r="V1131" s="6">
        <v>0</v>
      </c>
      <c r="W1131" s="5">
        <v>0</v>
      </c>
      <c r="X1131" s="6">
        <v>0</v>
      </c>
      <c r="Y1131" s="5">
        <v>0</v>
      </c>
      <c r="Z1131" s="6">
        <v>0</v>
      </c>
      <c r="AA1131" s="5">
        <v>0</v>
      </c>
      <c r="AB1131" s="6">
        <v>0</v>
      </c>
      <c r="AC1131" s="5">
        <v>0</v>
      </c>
      <c r="AD1131" s="6">
        <v>0</v>
      </c>
      <c r="AE1131" s="5">
        <v>0</v>
      </c>
      <c r="AF1131" s="6">
        <v>0</v>
      </c>
      <c r="AG1131" s="5">
        <v>0</v>
      </c>
      <c r="AH1131" s="7">
        <f t="shared" si="136"/>
        <v>3956.9426967728518</v>
      </c>
      <c r="AI1131" s="8">
        <f t="shared" si="137"/>
        <v>13334.896888124515</v>
      </c>
      <c r="AJ1131" s="6">
        <v>2000</v>
      </c>
      <c r="AK1131" s="5">
        <v>7025.6246187776032</v>
      </c>
      <c r="AL1131" s="6">
        <v>0</v>
      </c>
      <c r="AM1131" s="5">
        <v>0</v>
      </c>
      <c r="AN1131" s="6">
        <v>0</v>
      </c>
      <c r="AO1131" s="5">
        <v>0</v>
      </c>
      <c r="AP1131" s="6">
        <v>0</v>
      </c>
      <c r="AQ1131" s="5">
        <v>0</v>
      </c>
      <c r="AR1131" s="6">
        <v>2000</v>
      </c>
      <c r="AS1131" s="5">
        <v>7025.6246187776032</v>
      </c>
      <c r="AT1131" s="6">
        <v>0</v>
      </c>
      <c r="AU1131" s="5">
        <v>0</v>
      </c>
      <c r="AV1131" s="6">
        <v>0</v>
      </c>
      <c r="AW1131" s="5">
        <v>0</v>
      </c>
      <c r="AX1131" s="6">
        <v>0</v>
      </c>
      <c r="AY1131" s="5">
        <v>0</v>
      </c>
      <c r="AZ1131" s="6">
        <v>0</v>
      </c>
      <c r="BA1131" s="5">
        <v>0</v>
      </c>
      <c r="BB1131" s="6">
        <v>0</v>
      </c>
      <c r="BC1131" s="5">
        <v>0</v>
      </c>
      <c r="BD1131" s="6">
        <v>0</v>
      </c>
      <c r="BE1131" s="5">
        <v>0</v>
      </c>
      <c r="BF1131" s="6">
        <v>0</v>
      </c>
      <c r="BG1131" s="5">
        <v>0</v>
      </c>
      <c r="BH1131" s="9">
        <f t="shared" si="138"/>
        <v>4000</v>
      </c>
      <c r="BI1131" s="10">
        <f t="shared" si="139"/>
        <v>14051.249237555206</v>
      </c>
      <c r="BJ1131" s="6">
        <f t="shared" si="140"/>
        <v>43.057303227148168</v>
      </c>
      <c r="BK1131" s="11">
        <f t="shared" si="141"/>
        <v>1.0881457359052544E-2</v>
      </c>
      <c r="BL1131" s="5">
        <f t="shared" si="142"/>
        <v>716.3523494306919</v>
      </c>
      <c r="BM1131" s="11">
        <f t="shared" si="143"/>
        <v>5.3720126630198727E-2</v>
      </c>
    </row>
    <row r="1132" spans="1:65" ht="15" customHeight="1" x14ac:dyDescent="0.4">
      <c r="A1132" s="2" t="s">
        <v>775</v>
      </c>
      <c r="B1132" s="2" t="s">
        <v>816</v>
      </c>
      <c r="C1132" s="2" t="s">
        <v>817</v>
      </c>
      <c r="D1132" s="3" t="s">
        <v>68</v>
      </c>
      <c r="E1132" s="3" t="s">
        <v>833</v>
      </c>
      <c r="F1132" s="2" t="s">
        <v>632</v>
      </c>
      <c r="G1132" s="4">
        <v>1000</v>
      </c>
      <c r="H1132" s="5">
        <v>3.37</v>
      </c>
      <c r="I1132" s="5">
        <v>3.512812309388802</v>
      </c>
      <c r="J1132" s="6">
        <v>0</v>
      </c>
      <c r="K1132" s="5">
        <v>0</v>
      </c>
      <c r="L1132" s="6">
        <v>0</v>
      </c>
      <c r="M1132" s="5">
        <v>0</v>
      </c>
      <c r="N1132" s="6">
        <v>0</v>
      </c>
      <c r="O1132" s="5">
        <v>0</v>
      </c>
      <c r="P1132" s="6">
        <v>0</v>
      </c>
      <c r="Q1132" s="5">
        <v>0</v>
      </c>
      <c r="R1132" s="6">
        <v>0</v>
      </c>
      <c r="S1132" s="5">
        <v>0</v>
      </c>
      <c r="T1132" s="6">
        <v>0</v>
      </c>
      <c r="U1132" s="5">
        <v>0</v>
      </c>
      <c r="V1132" s="6">
        <v>0</v>
      </c>
      <c r="W1132" s="5">
        <v>0</v>
      </c>
      <c r="X1132" s="6">
        <v>0</v>
      </c>
      <c r="Y1132" s="5">
        <v>0</v>
      </c>
      <c r="Z1132" s="6">
        <v>0</v>
      </c>
      <c r="AA1132" s="5">
        <v>0</v>
      </c>
      <c r="AB1132" s="6">
        <v>0</v>
      </c>
      <c r="AC1132" s="5">
        <v>0</v>
      </c>
      <c r="AD1132" s="6">
        <v>1895.992278596779</v>
      </c>
      <c r="AE1132" s="5">
        <v>6389.4939788711436</v>
      </c>
      <c r="AF1132" s="6">
        <v>0</v>
      </c>
      <c r="AG1132" s="5">
        <v>0</v>
      </c>
      <c r="AH1132" s="7">
        <f t="shared" si="136"/>
        <v>1895.992278596779</v>
      </c>
      <c r="AI1132" s="8">
        <f t="shared" si="137"/>
        <v>6389.4939788711436</v>
      </c>
      <c r="AJ1132" s="6">
        <v>0</v>
      </c>
      <c r="AK1132" s="5">
        <v>0</v>
      </c>
      <c r="AL1132" s="6">
        <v>0</v>
      </c>
      <c r="AM1132" s="5">
        <v>0</v>
      </c>
      <c r="AN1132" s="6">
        <v>0</v>
      </c>
      <c r="AO1132" s="5">
        <v>0</v>
      </c>
      <c r="AP1132" s="6">
        <v>0</v>
      </c>
      <c r="AQ1132" s="5">
        <v>0</v>
      </c>
      <c r="AR1132" s="6">
        <v>0</v>
      </c>
      <c r="AS1132" s="5">
        <v>0</v>
      </c>
      <c r="AT1132" s="6">
        <v>0</v>
      </c>
      <c r="AU1132" s="5">
        <v>0</v>
      </c>
      <c r="AV1132" s="6">
        <v>0</v>
      </c>
      <c r="AW1132" s="5">
        <v>0</v>
      </c>
      <c r="AX1132" s="6">
        <v>0</v>
      </c>
      <c r="AY1132" s="5">
        <v>0</v>
      </c>
      <c r="AZ1132" s="6">
        <v>0</v>
      </c>
      <c r="BA1132" s="5">
        <v>0</v>
      </c>
      <c r="BB1132" s="6">
        <v>0</v>
      </c>
      <c r="BC1132" s="5">
        <v>0</v>
      </c>
      <c r="BD1132" s="6">
        <v>2000</v>
      </c>
      <c r="BE1132" s="5">
        <v>7025.6246187776032</v>
      </c>
      <c r="BF1132" s="6">
        <v>0</v>
      </c>
      <c r="BG1132" s="5">
        <v>0</v>
      </c>
      <c r="BH1132" s="9">
        <f t="shared" si="138"/>
        <v>2000</v>
      </c>
      <c r="BI1132" s="10">
        <f t="shared" si="139"/>
        <v>7025.6246187776032</v>
      </c>
      <c r="BJ1132" s="6">
        <f t="shared" si="140"/>
        <v>104.00772140322101</v>
      </c>
      <c r="BK1132" s="11">
        <f t="shared" si="141"/>
        <v>5.4856616547086873E-2</v>
      </c>
      <c r="BL1132" s="5">
        <f t="shared" si="142"/>
        <v>636.13063990645969</v>
      </c>
      <c r="BM1132" s="11">
        <f t="shared" si="143"/>
        <v>9.9558844880365205E-2</v>
      </c>
    </row>
    <row r="1133" spans="1:65" ht="15" customHeight="1" x14ac:dyDescent="0.4">
      <c r="A1133" s="2" t="s">
        <v>775</v>
      </c>
      <c r="B1133" s="2" t="s">
        <v>816</v>
      </c>
      <c r="C1133" s="2" t="s">
        <v>817</v>
      </c>
      <c r="D1133" s="3" t="s">
        <v>68</v>
      </c>
      <c r="E1133" s="3" t="s">
        <v>834</v>
      </c>
      <c r="F1133" s="2" t="s">
        <v>835</v>
      </c>
      <c r="G1133" s="4">
        <v>1000</v>
      </c>
      <c r="H1133" s="5">
        <v>2.92</v>
      </c>
      <c r="I1133" s="5">
        <v>3.0437424164437088</v>
      </c>
      <c r="J1133" s="6">
        <v>0</v>
      </c>
      <c r="K1133" s="5">
        <v>0</v>
      </c>
      <c r="L1133" s="6">
        <v>0</v>
      </c>
      <c r="M1133" s="5">
        <v>0</v>
      </c>
      <c r="N1133" s="6">
        <v>0</v>
      </c>
      <c r="O1133" s="5">
        <v>0</v>
      </c>
      <c r="P1133" s="6">
        <v>0</v>
      </c>
      <c r="Q1133" s="5">
        <v>0</v>
      </c>
      <c r="R1133" s="6">
        <v>989.23567419321319</v>
      </c>
      <c r="S1133" s="5">
        <v>2888.5681686441831</v>
      </c>
      <c r="T1133" s="6">
        <v>0</v>
      </c>
      <c r="U1133" s="5">
        <v>0</v>
      </c>
      <c r="V1133" s="6">
        <v>0</v>
      </c>
      <c r="W1133" s="5">
        <v>0</v>
      </c>
      <c r="X1133" s="6">
        <v>0</v>
      </c>
      <c r="Y1133" s="5">
        <v>0</v>
      </c>
      <c r="Z1133" s="6">
        <v>0</v>
      </c>
      <c r="AA1133" s="5">
        <v>0</v>
      </c>
      <c r="AB1133" s="6">
        <v>0</v>
      </c>
      <c r="AC1133" s="5">
        <v>0</v>
      </c>
      <c r="AD1133" s="6">
        <v>0</v>
      </c>
      <c r="AE1133" s="5">
        <v>0</v>
      </c>
      <c r="AF1133" s="6">
        <v>0</v>
      </c>
      <c r="AG1133" s="5">
        <v>0</v>
      </c>
      <c r="AH1133" s="7">
        <f t="shared" si="136"/>
        <v>989.23567419321319</v>
      </c>
      <c r="AI1133" s="8">
        <f t="shared" si="137"/>
        <v>2888.5681686441831</v>
      </c>
      <c r="AJ1133" s="6">
        <v>0</v>
      </c>
      <c r="AK1133" s="5">
        <v>0</v>
      </c>
      <c r="AL1133" s="6">
        <v>0</v>
      </c>
      <c r="AM1133" s="5">
        <v>0</v>
      </c>
      <c r="AN1133" s="6">
        <v>0</v>
      </c>
      <c r="AO1133" s="5">
        <v>0</v>
      </c>
      <c r="AP1133" s="6">
        <v>0</v>
      </c>
      <c r="AQ1133" s="5">
        <v>0</v>
      </c>
      <c r="AR1133" s="6">
        <v>1000</v>
      </c>
      <c r="AS1133" s="5">
        <v>3043.7424164437089</v>
      </c>
      <c r="AT1133" s="6">
        <v>0</v>
      </c>
      <c r="AU1133" s="5">
        <v>0</v>
      </c>
      <c r="AV1133" s="6">
        <v>0</v>
      </c>
      <c r="AW1133" s="5">
        <v>0</v>
      </c>
      <c r="AX1133" s="6">
        <v>0</v>
      </c>
      <c r="AY1133" s="5">
        <v>0</v>
      </c>
      <c r="AZ1133" s="6">
        <v>0</v>
      </c>
      <c r="BA1133" s="5">
        <v>0</v>
      </c>
      <c r="BB1133" s="6">
        <v>0</v>
      </c>
      <c r="BC1133" s="5">
        <v>0</v>
      </c>
      <c r="BD1133" s="6">
        <v>0</v>
      </c>
      <c r="BE1133" s="5">
        <v>0</v>
      </c>
      <c r="BF1133" s="6">
        <v>0</v>
      </c>
      <c r="BG1133" s="5">
        <v>0</v>
      </c>
      <c r="BH1133" s="9">
        <f t="shared" si="138"/>
        <v>1000</v>
      </c>
      <c r="BI1133" s="10">
        <f t="shared" si="139"/>
        <v>3043.7424164437089</v>
      </c>
      <c r="BJ1133" s="6">
        <f t="shared" si="140"/>
        <v>10.764325806786815</v>
      </c>
      <c r="BK1133" s="11">
        <f t="shared" si="141"/>
        <v>1.0881457359052311E-2</v>
      </c>
      <c r="BL1133" s="5">
        <f t="shared" si="142"/>
        <v>155.1742477995258</v>
      </c>
      <c r="BM1133" s="11">
        <f t="shared" si="143"/>
        <v>5.37201266301984E-2</v>
      </c>
    </row>
    <row r="1134" spans="1:65" ht="15" customHeight="1" x14ac:dyDescent="0.4">
      <c r="A1134" s="2" t="s">
        <v>775</v>
      </c>
      <c r="B1134" s="2" t="s">
        <v>816</v>
      </c>
      <c r="C1134" s="2" t="s">
        <v>817</v>
      </c>
      <c r="D1134" s="3" t="s">
        <v>68</v>
      </c>
      <c r="E1134" s="3" t="s">
        <v>834</v>
      </c>
      <c r="F1134" s="2" t="s">
        <v>836</v>
      </c>
      <c r="G1134" s="4">
        <v>1000</v>
      </c>
      <c r="H1134" s="5">
        <v>2.92</v>
      </c>
      <c r="I1134" s="5">
        <v>3.0437424164437101</v>
      </c>
      <c r="J1134" s="6">
        <v>0</v>
      </c>
      <c r="K1134" s="5">
        <v>0</v>
      </c>
      <c r="L1134" s="6">
        <v>0</v>
      </c>
      <c r="M1134" s="5">
        <v>0</v>
      </c>
      <c r="N1134" s="6">
        <v>0</v>
      </c>
      <c r="O1134" s="5">
        <v>0</v>
      </c>
      <c r="P1134" s="6">
        <v>0</v>
      </c>
      <c r="Q1134" s="5">
        <v>0</v>
      </c>
      <c r="R1134" s="6">
        <v>0</v>
      </c>
      <c r="S1134" s="5">
        <v>0</v>
      </c>
      <c r="T1134" s="6">
        <v>0</v>
      </c>
      <c r="U1134" s="5">
        <v>0</v>
      </c>
      <c r="V1134" s="6">
        <v>0</v>
      </c>
      <c r="W1134" s="5">
        <v>0</v>
      </c>
      <c r="X1134" s="6">
        <v>0</v>
      </c>
      <c r="Y1134" s="5">
        <v>0</v>
      </c>
      <c r="Z1134" s="6">
        <v>0</v>
      </c>
      <c r="AA1134" s="5">
        <v>0</v>
      </c>
      <c r="AB1134" s="6">
        <v>947.99613929838938</v>
      </c>
      <c r="AC1134" s="5">
        <v>2768.1487267512971</v>
      </c>
      <c r="AD1134" s="6">
        <v>947.99613929838938</v>
      </c>
      <c r="AE1134" s="5">
        <v>2768.1487267512971</v>
      </c>
      <c r="AF1134" s="6">
        <v>947.99613929838938</v>
      </c>
      <c r="AG1134" s="5">
        <v>2768.1487267512971</v>
      </c>
      <c r="AH1134" s="7">
        <f t="shared" si="136"/>
        <v>2843.9884178951679</v>
      </c>
      <c r="AI1134" s="8">
        <f t="shared" si="137"/>
        <v>8304.4461802538917</v>
      </c>
      <c r="AJ1134" s="6">
        <v>0</v>
      </c>
      <c r="AK1134" s="5">
        <v>0</v>
      </c>
      <c r="AL1134" s="6">
        <v>0</v>
      </c>
      <c r="AM1134" s="5">
        <v>0</v>
      </c>
      <c r="AN1134" s="6">
        <v>0</v>
      </c>
      <c r="AO1134" s="5">
        <v>0</v>
      </c>
      <c r="AP1134" s="6">
        <v>0</v>
      </c>
      <c r="AQ1134" s="5">
        <v>0</v>
      </c>
      <c r="AR1134" s="6">
        <v>0</v>
      </c>
      <c r="AS1134" s="5">
        <v>0</v>
      </c>
      <c r="AT1134" s="6">
        <v>0</v>
      </c>
      <c r="AU1134" s="5">
        <v>0</v>
      </c>
      <c r="AV1134" s="6">
        <v>0</v>
      </c>
      <c r="AW1134" s="5">
        <v>0</v>
      </c>
      <c r="AX1134" s="6">
        <v>0</v>
      </c>
      <c r="AY1134" s="5">
        <v>0</v>
      </c>
      <c r="AZ1134" s="6">
        <v>0</v>
      </c>
      <c r="BA1134" s="5">
        <v>0</v>
      </c>
      <c r="BB1134" s="6">
        <v>1000</v>
      </c>
      <c r="BC1134" s="5">
        <v>3043.7424164437089</v>
      </c>
      <c r="BD1134" s="6">
        <v>1000</v>
      </c>
      <c r="BE1134" s="5">
        <v>3043.7424164437089</v>
      </c>
      <c r="BF1134" s="6">
        <v>1000</v>
      </c>
      <c r="BG1134" s="5">
        <v>3043.7424164437089</v>
      </c>
      <c r="BH1134" s="9">
        <f t="shared" si="138"/>
        <v>3000</v>
      </c>
      <c r="BI1134" s="10">
        <f t="shared" si="139"/>
        <v>9131.2272493311266</v>
      </c>
      <c r="BJ1134" s="6">
        <f t="shared" si="140"/>
        <v>156.01158210483209</v>
      </c>
      <c r="BK1134" s="11">
        <f t="shared" si="141"/>
        <v>5.4856616547087088E-2</v>
      </c>
      <c r="BL1134" s="5">
        <f t="shared" si="142"/>
        <v>826.78106907723486</v>
      </c>
      <c r="BM1134" s="11">
        <f t="shared" si="143"/>
        <v>9.9558844880364761E-2</v>
      </c>
    </row>
    <row r="1135" spans="1:65" ht="15" customHeight="1" x14ac:dyDescent="0.4">
      <c r="A1135" s="2" t="s">
        <v>775</v>
      </c>
      <c r="B1135" s="2" t="s">
        <v>816</v>
      </c>
      <c r="C1135" s="2" t="s">
        <v>817</v>
      </c>
      <c r="D1135" s="3" t="s">
        <v>68</v>
      </c>
      <c r="E1135" s="3" t="s">
        <v>837</v>
      </c>
      <c r="F1135" s="2" t="s">
        <v>838</v>
      </c>
      <c r="G1135" s="4">
        <v>5</v>
      </c>
      <c r="H1135" s="5">
        <v>2.5299999999999998</v>
      </c>
      <c r="I1135" s="5">
        <v>2.6372151758912961</v>
      </c>
      <c r="J1135" s="6">
        <v>1088.159241612535</v>
      </c>
      <c r="K1135" s="5">
        <v>2753.0428812797122</v>
      </c>
      <c r="L1135" s="6">
        <v>0</v>
      </c>
      <c r="M1135" s="5">
        <v>0</v>
      </c>
      <c r="N1135" s="6">
        <v>0</v>
      </c>
      <c r="O1135" s="5">
        <v>0</v>
      </c>
      <c r="P1135" s="6">
        <v>0</v>
      </c>
      <c r="Q1135" s="5">
        <v>0</v>
      </c>
      <c r="R1135" s="6">
        <v>1088.159241612535</v>
      </c>
      <c r="S1135" s="5">
        <v>2753.0428812797122</v>
      </c>
      <c r="T1135" s="6">
        <v>1088.159241612535</v>
      </c>
      <c r="U1135" s="5">
        <v>2753.0428812797122</v>
      </c>
      <c r="V1135" s="6">
        <v>0</v>
      </c>
      <c r="W1135" s="5">
        <v>0</v>
      </c>
      <c r="X1135" s="6">
        <v>0</v>
      </c>
      <c r="Y1135" s="5">
        <v>0</v>
      </c>
      <c r="Z1135" s="6">
        <v>0</v>
      </c>
      <c r="AA1135" s="5">
        <v>0</v>
      </c>
      <c r="AB1135" s="6">
        <v>0</v>
      </c>
      <c r="AC1135" s="5">
        <v>0</v>
      </c>
      <c r="AD1135" s="6">
        <v>0</v>
      </c>
      <c r="AE1135" s="5">
        <v>0</v>
      </c>
      <c r="AF1135" s="6">
        <v>0</v>
      </c>
      <c r="AG1135" s="5">
        <v>0</v>
      </c>
      <c r="AH1135" s="7">
        <f t="shared" si="136"/>
        <v>3264.4777248376049</v>
      </c>
      <c r="AI1135" s="8">
        <f t="shared" si="137"/>
        <v>8259.1286438391362</v>
      </c>
      <c r="AJ1135" s="6">
        <v>1200</v>
      </c>
      <c r="AK1135" s="5">
        <v>3164.6582110695549</v>
      </c>
      <c r="AL1135" s="6">
        <v>0</v>
      </c>
      <c r="AM1135" s="5">
        <v>0</v>
      </c>
      <c r="AN1135" s="6">
        <v>0</v>
      </c>
      <c r="AO1135" s="5">
        <v>0</v>
      </c>
      <c r="AP1135" s="6">
        <v>0</v>
      </c>
      <c r="AQ1135" s="5">
        <v>0</v>
      </c>
      <c r="AR1135" s="6">
        <v>1200</v>
      </c>
      <c r="AS1135" s="5">
        <v>3164.6582110695549</v>
      </c>
      <c r="AT1135" s="6">
        <v>1200</v>
      </c>
      <c r="AU1135" s="5">
        <v>3164.6582110695549</v>
      </c>
      <c r="AV1135" s="6">
        <v>0</v>
      </c>
      <c r="AW1135" s="5">
        <v>0</v>
      </c>
      <c r="AX1135" s="6">
        <v>0</v>
      </c>
      <c r="AY1135" s="5">
        <v>0</v>
      </c>
      <c r="AZ1135" s="6">
        <v>0</v>
      </c>
      <c r="BA1135" s="5">
        <v>0</v>
      </c>
      <c r="BB1135" s="6">
        <v>0</v>
      </c>
      <c r="BC1135" s="5">
        <v>0</v>
      </c>
      <c r="BD1135" s="6">
        <v>0</v>
      </c>
      <c r="BE1135" s="5">
        <v>0</v>
      </c>
      <c r="BF1135" s="6">
        <v>0</v>
      </c>
      <c r="BG1135" s="5">
        <v>0</v>
      </c>
      <c r="BH1135" s="9">
        <f t="shared" si="138"/>
        <v>3600</v>
      </c>
      <c r="BI1135" s="10">
        <f t="shared" si="139"/>
        <v>9493.9746332086652</v>
      </c>
      <c r="BJ1135" s="6">
        <f t="shared" si="140"/>
        <v>335.52227516239509</v>
      </c>
      <c r="BK1135" s="11">
        <f t="shared" si="141"/>
        <v>0.10277977166442023</v>
      </c>
      <c r="BL1135" s="5">
        <f t="shared" si="142"/>
        <v>1234.845989369529</v>
      </c>
      <c r="BM1135" s="11">
        <f t="shared" si="143"/>
        <v>0.1495128654147623</v>
      </c>
    </row>
    <row r="1136" spans="1:65" ht="15" customHeight="1" x14ac:dyDescent="0.4">
      <c r="A1136" s="2" t="s">
        <v>775</v>
      </c>
      <c r="B1136" s="2" t="s">
        <v>816</v>
      </c>
      <c r="C1136" s="2" t="s">
        <v>817</v>
      </c>
      <c r="D1136" s="3" t="s">
        <v>68</v>
      </c>
      <c r="E1136" s="3" t="s">
        <v>837</v>
      </c>
      <c r="F1136" s="2" t="s">
        <v>839</v>
      </c>
      <c r="G1136" s="4">
        <v>5</v>
      </c>
      <c r="H1136" s="5">
        <v>2.5299999999999998</v>
      </c>
      <c r="I1136" s="5">
        <v>2.6372151758912961</v>
      </c>
      <c r="J1136" s="6">
        <v>0</v>
      </c>
      <c r="K1136" s="5">
        <v>0</v>
      </c>
      <c r="L1136" s="6">
        <v>0</v>
      </c>
      <c r="M1136" s="5">
        <v>0</v>
      </c>
      <c r="N1136" s="6">
        <v>0</v>
      </c>
      <c r="O1136" s="5">
        <v>0</v>
      </c>
      <c r="P1136" s="6">
        <v>0</v>
      </c>
      <c r="Q1136" s="5">
        <v>0</v>
      </c>
      <c r="R1136" s="6">
        <v>0</v>
      </c>
      <c r="S1136" s="5">
        <v>0</v>
      </c>
      <c r="T1136" s="6">
        <v>0</v>
      </c>
      <c r="U1136" s="5">
        <v>0</v>
      </c>
      <c r="V1136" s="6">
        <v>0</v>
      </c>
      <c r="W1136" s="5">
        <v>0</v>
      </c>
      <c r="X1136" s="6">
        <v>0</v>
      </c>
      <c r="Y1136" s="5">
        <v>0</v>
      </c>
      <c r="Z1136" s="6">
        <v>0</v>
      </c>
      <c r="AA1136" s="5">
        <v>0</v>
      </c>
      <c r="AB1136" s="6">
        <v>1042.795753228228</v>
      </c>
      <c r="AC1136" s="5">
        <v>2638.2732556674168</v>
      </c>
      <c r="AD1136" s="6">
        <v>1042.795753228228</v>
      </c>
      <c r="AE1136" s="5">
        <v>2638.2732556674168</v>
      </c>
      <c r="AF1136" s="6">
        <v>1042.795753228228</v>
      </c>
      <c r="AG1136" s="5">
        <v>2638.2732556674168</v>
      </c>
      <c r="AH1136" s="7">
        <f t="shared" si="136"/>
        <v>3128.3872596846841</v>
      </c>
      <c r="AI1136" s="8">
        <f t="shared" si="137"/>
        <v>7914.819767002251</v>
      </c>
      <c r="AJ1136" s="6">
        <v>0</v>
      </c>
      <c r="AK1136" s="5">
        <v>0</v>
      </c>
      <c r="AL1136" s="6">
        <v>0</v>
      </c>
      <c r="AM1136" s="5">
        <v>0</v>
      </c>
      <c r="AN1136" s="6">
        <v>0</v>
      </c>
      <c r="AO1136" s="5">
        <v>0</v>
      </c>
      <c r="AP1136" s="6">
        <v>0</v>
      </c>
      <c r="AQ1136" s="5">
        <v>0</v>
      </c>
      <c r="AR1136" s="6">
        <v>0</v>
      </c>
      <c r="AS1136" s="5">
        <v>0</v>
      </c>
      <c r="AT1136" s="6">
        <v>0</v>
      </c>
      <c r="AU1136" s="5">
        <v>0</v>
      </c>
      <c r="AV1136" s="6">
        <v>0</v>
      </c>
      <c r="AW1136" s="5">
        <v>0</v>
      </c>
      <c r="AX1136" s="6">
        <v>0</v>
      </c>
      <c r="AY1136" s="5">
        <v>0</v>
      </c>
      <c r="AZ1136" s="6">
        <v>0</v>
      </c>
      <c r="BA1136" s="5">
        <v>0</v>
      </c>
      <c r="BB1136" s="6">
        <v>1150</v>
      </c>
      <c r="BC1136" s="5">
        <v>3032.7974522749901</v>
      </c>
      <c r="BD1136" s="6">
        <v>1150</v>
      </c>
      <c r="BE1136" s="5">
        <v>3032.7974522749901</v>
      </c>
      <c r="BF1136" s="6">
        <v>1150</v>
      </c>
      <c r="BG1136" s="5">
        <v>3032.7974522749901</v>
      </c>
      <c r="BH1136" s="9">
        <f t="shared" si="138"/>
        <v>3450</v>
      </c>
      <c r="BI1136" s="10">
        <f t="shared" si="139"/>
        <v>9098.3923568249702</v>
      </c>
      <c r="BJ1136" s="6">
        <f t="shared" si="140"/>
        <v>321.61274031531593</v>
      </c>
      <c r="BK1136" s="11">
        <f t="shared" si="141"/>
        <v>0.1028046445719549</v>
      </c>
      <c r="BL1136" s="5">
        <f t="shared" si="142"/>
        <v>1183.5725898227192</v>
      </c>
      <c r="BM1136" s="11">
        <f t="shared" si="143"/>
        <v>0.1495387923749272</v>
      </c>
    </row>
    <row r="1137" spans="1:65" ht="15" customHeight="1" x14ac:dyDescent="0.4">
      <c r="A1137" s="2" t="s">
        <v>775</v>
      </c>
      <c r="B1137" s="2" t="s">
        <v>816</v>
      </c>
      <c r="C1137" s="2" t="s">
        <v>817</v>
      </c>
      <c r="D1137" s="3" t="s">
        <v>68</v>
      </c>
      <c r="E1137" s="3" t="s">
        <v>840</v>
      </c>
      <c r="F1137" s="2" t="s">
        <v>841</v>
      </c>
      <c r="G1137" s="4">
        <v>1000</v>
      </c>
      <c r="H1137" s="5">
        <v>4.0199999999999996</v>
      </c>
      <c r="I1137" s="5">
        <v>4.19035771030949</v>
      </c>
      <c r="J1137" s="6">
        <v>0</v>
      </c>
      <c r="K1137" s="5">
        <v>0</v>
      </c>
      <c r="L1137" s="6">
        <v>0</v>
      </c>
      <c r="M1137" s="5">
        <v>0</v>
      </c>
      <c r="N1137" s="6">
        <v>1978.4713483864259</v>
      </c>
      <c r="O1137" s="5">
        <v>7953.4548205134342</v>
      </c>
      <c r="P1137" s="6">
        <v>0</v>
      </c>
      <c r="Q1137" s="5">
        <v>0</v>
      </c>
      <c r="R1137" s="6">
        <v>1978.4713483864259</v>
      </c>
      <c r="S1137" s="5">
        <v>7953.4548205134342</v>
      </c>
      <c r="T1137" s="6">
        <v>989.23567419321319</v>
      </c>
      <c r="U1137" s="5">
        <v>3976.7274102567171</v>
      </c>
      <c r="V1137" s="6">
        <v>0</v>
      </c>
      <c r="W1137" s="5">
        <v>0</v>
      </c>
      <c r="X1137" s="6">
        <v>0</v>
      </c>
      <c r="Y1137" s="5">
        <v>0</v>
      </c>
      <c r="Z1137" s="6">
        <v>0</v>
      </c>
      <c r="AA1137" s="5">
        <v>0</v>
      </c>
      <c r="AB1137" s="6">
        <v>0</v>
      </c>
      <c r="AC1137" s="5">
        <v>0</v>
      </c>
      <c r="AD1137" s="6">
        <v>0</v>
      </c>
      <c r="AE1137" s="5">
        <v>0</v>
      </c>
      <c r="AF1137" s="6">
        <v>0</v>
      </c>
      <c r="AG1137" s="5">
        <v>0</v>
      </c>
      <c r="AH1137" s="7">
        <f t="shared" si="136"/>
        <v>4946.1783709660649</v>
      </c>
      <c r="AI1137" s="8">
        <f t="shared" si="137"/>
        <v>19883.637051283586</v>
      </c>
      <c r="AJ1137" s="6">
        <v>0</v>
      </c>
      <c r="AK1137" s="5">
        <v>0</v>
      </c>
      <c r="AL1137" s="6">
        <v>0</v>
      </c>
      <c r="AM1137" s="5">
        <v>0</v>
      </c>
      <c r="AN1137" s="6">
        <v>2000</v>
      </c>
      <c r="AO1137" s="5">
        <v>8380.7154206189807</v>
      </c>
      <c r="AP1137" s="6">
        <v>0</v>
      </c>
      <c r="AQ1137" s="5">
        <v>0</v>
      </c>
      <c r="AR1137" s="6">
        <v>2000</v>
      </c>
      <c r="AS1137" s="5">
        <v>8380.7154206189807</v>
      </c>
      <c r="AT1137" s="6">
        <v>1000</v>
      </c>
      <c r="AU1137" s="5">
        <v>4190.3577103094904</v>
      </c>
      <c r="AV1137" s="6">
        <v>0</v>
      </c>
      <c r="AW1137" s="5">
        <v>0</v>
      </c>
      <c r="AX1137" s="6">
        <v>0</v>
      </c>
      <c r="AY1137" s="5">
        <v>0</v>
      </c>
      <c r="AZ1137" s="6">
        <v>0</v>
      </c>
      <c r="BA1137" s="5">
        <v>0</v>
      </c>
      <c r="BB1137" s="6">
        <v>0</v>
      </c>
      <c r="BC1137" s="5">
        <v>0</v>
      </c>
      <c r="BD1137" s="6">
        <v>0</v>
      </c>
      <c r="BE1137" s="5">
        <v>0</v>
      </c>
      <c r="BF1137" s="6">
        <v>0</v>
      </c>
      <c r="BG1137" s="5">
        <v>0</v>
      </c>
      <c r="BH1137" s="9">
        <f t="shared" si="138"/>
        <v>5000</v>
      </c>
      <c r="BI1137" s="10">
        <f t="shared" si="139"/>
        <v>20951.788551547452</v>
      </c>
      <c r="BJ1137" s="6">
        <f t="shared" si="140"/>
        <v>53.821629033935096</v>
      </c>
      <c r="BK1137" s="11">
        <f t="shared" si="141"/>
        <v>1.0881457359052521E-2</v>
      </c>
      <c r="BL1137" s="5">
        <f t="shared" si="142"/>
        <v>1068.1515002638662</v>
      </c>
      <c r="BM1137" s="11">
        <f t="shared" si="143"/>
        <v>5.3720126630198761E-2</v>
      </c>
    </row>
    <row r="1138" spans="1:65" ht="15" customHeight="1" x14ac:dyDescent="0.4">
      <c r="A1138" s="2" t="s">
        <v>775</v>
      </c>
      <c r="B1138" s="2" t="s">
        <v>816</v>
      </c>
      <c r="C1138" s="2" t="s">
        <v>817</v>
      </c>
      <c r="D1138" s="3" t="s">
        <v>68</v>
      </c>
      <c r="E1138" s="3" t="s">
        <v>840</v>
      </c>
      <c r="F1138" s="2" t="s">
        <v>842</v>
      </c>
      <c r="G1138" s="4">
        <v>1000</v>
      </c>
      <c r="H1138" s="5">
        <v>4.0199999999999996</v>
      </c>
      <c r="I1138" s="5">
        <v>4.1903577103094891</v>
      </c>
      <c r="J1138" s="6">
        <v>0</v>
      </c>
      <c r="K1138" s="5">
        <v>0</v>
      </c>
      <c r="L1138" s="6">
        <v>0</v>
      </c>
      <c r="M1138" s="5">
        <v>0</v>
      </c>
      <c r="N1138" s="6">
        <v>0</v>
      </c>
      <c r="O1138" s="5">
        <v>0</v>
      </c>
      <c r="P1138" s="6">
        <v>0</v>
      </c>
      <c r="Q1138" s="5">
        <v>0</v>
      </c>
      <c r="R1138" s="6">
        <v>0</v>
      </c>
      <c r="S1138" s="5">
        <v>0</v>
      </c>
      <c r="T1138" s="6">
        <v>0</v>
      </c>
      <c r="U1138" s="5">
        <v>0</v>
      </c>
      <c r="V1138" s="6">
        <v>0</v>
      </c>
      <c r="W1138" s="5">
        <v>0</v>
      </c>
      <c r="X1138" s="6">
        <v>0</v>
      </c>
      <c r="Y1138" s="5">
        <v>0</v>
      </c>
      <c r="Z1138" s="6">
        <v>1895.992278596779</v>
      </c>
      <c r="AA1138" s="5">
        <v>7621.8889599590493</v>
      </c>
      <c r="AB1138" s="6">
        <v>0</v>
      </c>
      <c r="AC1138" s="5">
        <v>0</v>
      </c>
      <c r="AD1138" s="6">
        <v>947.99613929838938</v>
      </c>
      <c r="AE1138" s="5">
        <v>3810.9444799795251</v>
      </c>
      <c r="AF1138" s="6">
        <v>947.99613929838938</v>
      </c>
      <c r="AG1138" s="5">
        <v>3810.9444799795251</v>
      </c>
      <c r="AH1138" s="7">
        <f t="shared" si="136"/>
        <v>3791.9845571935575</v>
      </c>
      <c r="AI1138" s="8">
        <f t="shared" si="137"/>
        <v>15243.7779199181</v>
      </c>
      <c r="AJ1138" s="6">
        <v>0</v>
      </c>
      <c r="AK1138" s="5">
        <v>0</v>
      </c>
      <c r="AL1138" s="6">
        <v>0</v>
      </c>
      <c r="AM1138" s="5">
        <v>0</v>
      </c>
      <c r="AN1138" s="6">
        <v>0</v>
      </c>
      <c r="AO1138" s="5">
        <v>0</v>
      </c>
      <c r="AP1138" s="6">
        <v>0</v>
      </c>
      <c r="AQ1138" s="5">
        <v>0</v>
      </c>
      <c r="AR1138" s="6">
        <v>0</v>
      </c>
      <c r="AS1138" s="5">
        <v>0</v>
      </c>
      <c r="AT1138" s="6">
        <v>0</v>
      </c>
      <c r="AU1138" s="5">
        <v>0</v>
      </c>
      <c r="AV1138" s="6">
        <v>0</v>
      </c>
      <c r="AW1138" s="5">
        <v>0</v>
      </c>
      <c r="AX1138" s="6">
        <v>0</v>
      </c>
      <c r="AY1138" s="5">
        <v>0</v>
      </c>
      <c r="AZ1138" s="6">
        <v>2000</v>
      </c>
      <c r="BA1138" s="5">
        <v>8380.7154206189789</v>
      </c>
      <c r="BB1138" s="6">
        <v>0</v>
      </c>
      <c r="BC1138" s="5">
        <v>0</v>
      </c>
      <c r="BD1138" s="6">
        <v>1000</v>
      </c>
      <c r="BE1138" s="5">
        <v>4190.3577103094894</v>
      </c>
      <c r="BF1138" s="6">
        <v>1000</v>
      </c>
      <c r="BG1138" s="5">
        <v>4190.3577103094894</v>
      </c>
      <c r="BH1138" s="9">
        <f t="shared" si="138"/>
        <v>4000</v>
      </c>
      <c r="BI1138" s="10">
        <f t="shared" si="139"/>
        <v>16761.430841237958</v>
      </c>
      <c r="BJ1138" s="6">
        <f t="shared" si="140"/>
        <v>208.01544280644248</v>
      </c>
      <c r="BK1138" s="11">
        <f t="shared" si="141"/>
        <v>5.4856616547086998E-2</v>
      </c>
      <c r="BL1138" s="5">
        <f t="shared" si="142"/>
        <v>1517.6529213198573</v>
      </c>
      <c r="BM1138" s="11">
        <f t="shared" si="143"/>
        <v>9.9558844880364872E-2</v>
      </c>
    </row>
    <row r="1139" spans="1:65" ht="15" customHeight="1" x14ac:dyDescent="0.4">
      <c r="A1139" s="2" t="s">
        <v>775</v>
      </c>
      <c r="B1139" s="2" t="s">
        <v>816</v>
      </c>
      <c r="C1139" s="2" t="s">
        <v>817</v>
      </c>
      <c r="D1139" s="3" t="s">
        <v>68</v>
      </c>
      <c r="E1139" s="3" t="s">
        <v>843</v>
      </c>
      <c r="F1139" s="2" t="s">
        <v>508</v>
      </c>
      <c r="G1139" s="4">
        <v>1000</v>
      </c>
      <c r="H1139" s="5">
        <v>2.27</v>
      </c>
      <c r="I1139" s="5">
        <v>2.3661970155230212</v>
      </c>
      <c r="J1139" s="6">
        <v>1978.4713483864259</v>
      </c>
      <c r="K1139" s="5">
        <v>4491.1299608371883</v>
      </c>
      <c r="L1139" s="6">
        <v>0</v>
      </c>
      <c r="M1139" s="5">
        <v>0</v>
      </c>
      <c r="N1139" s="6">
        <v>0</v>
      </c>
      <c r="O1139" s="5">
        <v>0</v>
      </c>
      <c r="P1139" s="6">
        <v>0</v>
      </c>
      <c r="Q1139" s="5">
        <v>0</v>
      </c>
      <c r="R1139" s="6">
        <v>0</v>
      </c>
      <c r="S1139" s="5">
        <v>0</v>
      </c>
      <c r="T1139" s="6">
        <v>0</v>
      </c>
      <c r="U1139" s="5">
        <v>0</v>
      </c>
      <c r="V1139" s="6">
        <v>0</v>
      </c>
      <c r="W1139" s="5">
        <v>0</v>
      </c>
      <c r="X1139" s="6">
        <v>0</v>
      </c>
      <c r="Y1139" s="5">
        <v>0</v>
      </c>
      <c r="Z1139" s="6">
        <v>0</v>
      </c>
      <c r="AA1139" s="5">
        <v>0</v>
      </c>
      <c r="AB1139" s="6">
        <v>0</v>
      </c>
      <c r="AC1139" s="5">
        <v>0</v>
      </c>
      <c r="AD1139" s="6">
        <v>0</v>
      </c>
      <c r="AE1139" s="5">
        <v>0</v>
      </c>
      <c r="AF1139" s="6">
        <v>0</v>
      </c>
      <c r="AG1139" s="5">
        <v>0</v>
      </c>
      <c r="AH1139" s="7">
        <f t="shared" si="136"/>
        <v>1978.4713483864259</v>
      </c>
      <c r="AI1139" s="8">
        <f t="shared" si="137"/>
        <v>4491.1299608371883</v>
      </c>
      <c r="AJ1139" s="6">
        <v>2000</v>
      </c>
      <c r="AK1139" s="5">
        <v>4732.3940310460421</v>
      </c>
      <c r="AL1139" s="6">
        <v>0</v>
      </c>
      <c r="AM1139" s="5">
        <v>0</v>
      </c>
      <c r="AN1139" s="6">
        <v>0</v>
      </c>
      <c r="AO1139" s="5">
        <v>0</v>
      </c>
      <c r="AP1139" s="6">
        <v>0</v>
      </c>
      <c r="AQ1139" s="5">
        <v>0</v>
      </c>
      <c r="AR1139" s="6">
        <v>0</v>
      </c>
      <c r="AS1139" s="5">
        <v>0</v>
      </c>
      <c r="AT1139" s="6">
        <v>0</v>
      </c>
      <c r="AU1139" s="5">
        <v>0</v>
      </c>
      <c r="AV1139" s="6">
        <v>0</v>
      </c>
      <c r="AW1139" s="5">
        <v>0</v>
      </c>
      <c r="AX1139" s="6">
        <v>0</v>
      </c>
      <c r="AY1139" s="5">
        <v>0</v>
      </c>
      <c r="AZ1139" s="6">
        <v>0</v>
      </c>
      <c r="BA1139" s="5">
        <v>0</v>
      </c>
      <c r="BB1139" s="6">
        <v>0</v>
      </c>
      <c r="BC1139" s="5">
        <v>0</v>
      </c>
      <c r="BD1139" s="6">
        <v>0</v>
      </c>
      <c r="BE1139" s="5">
        <v>0</v>
      </c>
      <c r="BF1139" s="6">
        <v>0</v>
      </c>
      <c r="BG1139" s="5">
        <v>0</v>
      </c>
      <c r="BH1139" s="9">
        <f t="shared" si="138"/>
        <v>2000</v>
      </c>
      <c r="BI1139" s="10">
        <f t="shared" si="139"/>
        <v>4732.3940310460421</v>
      </c>
      <c r="BJ1139" s="6">
        <f t="shared" si="140"/>
        <v>21.528651613574084</v>
      </c>
      <c r="BK1139" s="11">
        <f t="shared" si="141"/>
        <v>1.0881457359052544E-2</v>
      </c>
      <c r="BL1139" s="5">
        <f t="shared" si="142"/>
        <v>241.26407020885381</v>
      </c>
      <c r="BM1139" s="11">
        <f t="shared" si="143"/>
        <v>5.3720126630198865E-2</v>
      </c>
    </row>
    <row r="1140" spans="1:65" ht="15" customHeight="1" x14ac:dyDescent="0.4">
      <c r="A1140" s="2" t="s">
        <v>775</v>
      </c>
      <c r="B1140" s="2" t="s">
        <v>816</v>
      </c>
      <c r="C1140" s="2" t="s">
        <v>817</v>
      </c>
      <c r="D1140" s="3" t="s">
        <v>68</v>
      </c>
      <c r="E1140" s="3" t="s">
        <v>843</v>
      </c>
      <c r="F1140" s="2" t="s">
        <v>844</v>
      </c>
      <c r="G1140" s="4">
        <v>1000</v>
      </c>
      <c r="H1140" s="5">
        <v>2.27</v>
      </c>
      <c r="I1140" s="5">
        <v>2.3661970155230212</v>
      </c>
      <c r="J1140" s="6">
        <v>0</v>
      </c>
      <c r="K1140" s="5">
        <v>0</v>
      </c>
      <c r="L1140" s="6">
        <v>0</v>
      </c>
      <c r="M1140" s="5">
        <v>0</v>
      </c>
      <c r="N1140" s="6">
        <v>0</v>
      </c>
      <c r="O1140" s="5">
        <v>0</v>
      </c>
      <c r="P1140" s="6">
        <v>0</v>
      </c>
      <c r="Q1140" s="5">
        <v>0</v>
      </c>
      <c r="R1140" s="6">
        <v>0</v>
      </c>
      <c r="S1140" s="5">
        <v>0</v>
      </c>
      <c r="T1140" s="6">
        <v>0</v>
      </c>
      <c r="U1140" s="5">
        <v>0</v>
      </c>
      <c r="V1140" s="6">
        <v>0</v>
      </c>
      <c r="W1140" s="5">
        <v>0</v>
      </c>
      <c r="X1140" s="6">
        <v>0</v>
      </c>
      <c r="Y1140" s="5">
        <v>0</v>
      </c>
      <c r="Z1140" s="6">
        <v>0</v>
      </c>
      <c r="AA1140" s="5">
        <v>0</v>
      </c>
      <c r="AB1140" s="6">
        <v>2843.9884178951679</v>
      </c>
      <c r="AC1140" s="5">
        <v>6455.8537086220313</v>
      </c>
      <c r="AD1140" s="6">
        <v>2843.9884178951679</v>
      </c>
      <c r="AE1140" s="5">
        <v>6455.8537086220313</v>
      </c>
      <c r="AF1140" s="6">
        <v>0</v>
      </c>
      <c r="AG1140" s="5">
        <v>0</v>
      </c>
      <c r="AH1140" s="7">
        <f t="shared" si="136"/>
        <v>5687.9768357903358</v>
      </c>
      <c r="AI1140" s="8">
        <f t="shared" si="137"/>
        <v>12911.707417244063</v>
      </c>
      <c r="AJ1140" s="6">
        <v>0</v>
      </c>
      <c r="AK1140" s="5">
        <v>0</v>
      </c>
      <c r="AL1140" s="6">
        <v>0</v>
      </c>
      <c r="AM1140" s="5">
        <v>0</v>
      </c>
      <c r="AN1140" s="6">
        <v>0</v>
      </c>
      <c r="AO1140" s="5">
        <v>0</v>
      </c>
      <c r="AP1140" s="6">
        <v>0</v>
      </c>
      <c r="AQ1140" s="5">
        <v>0</v>
      </c>
      <c r="AR1140" s="6">
        <v>0</v>
      </c>
      <c r="AS1140" s="5">
        <v>0</v>
      </c>
      <c r="AT1140" s="6">
        <v>0</v>
      </c>
      <c r="AU1140" s="5">
        <v>0</v>
      </c>
      <c r="AV1140" s="6">
        <v>0</v>
      </c>
      <c r="AW1140" s="5">
        <v>0</v>
      </c>
      <c r="AX1140" s="6">
        <v>0</v>
      </c>
      <c r="AY1140" s="5">
        <v>0</v>
      </c>
      <c r="AZ1140" s="6">
        <v>0</v>
      </c>
      <c r="BA1140" s="5">
        <v>0</v>
      </c>
      <c r="BB1140" s="6">
        <v>3000</v>
      </c>
      <c r="BC1140" s="5">
        <v>7098.5910465690622</v>
      </c>
      <c r="BD1140" s="6">
        <v>3000</v>
      </c>
      <c r="BE1140" s="5">
        <v>7098.5910465690622</v>
      </c>
      <c r="BF1140" s="6">
        <v>0</v>
      </c>
      <c r="BG1140" s="5">
        <v>0</v>
      </c>
      <c r="BH1140" s="9">
        <f t="shared" si="138"/>
        <v>6000</v>
      </c>
      <c r="BI1140" s="10">
        <f t="shared" si="139"/>
        <v>14197.182093138124</v>
      </c>
      <c r="BJ1140" s="6">
        <f t="shared" si="140"/>
        <v>312.02316420966417</v>
      </c>
      <c r="BK1140" s="11">
        <f t="shared" si="141"/>
        <v>5.4856616547087088E-2</v>
      </c>
      <c r="BL1140" s="5">
        <f t="shared" si="142"/>
        <v>1285.4746758940619</v>
      </c>
      <c r="BM1140" s="11">
        <f t="shared" si="143"/>
        <v>9.9558844880365163E-2</v>
      </c>
    </row>
    <row r="1141" spans="1:65" ht="15" customHeight="1" x14ac:dyDescent="0.4">
      <c r="A1141" s="2" t="s">
        <v>775</v>
      </c>
      <c r="B1141" s="2" t="s">
        <v>816</v>
      </c>
      <c r="C1141" s="2" t="s">
        <v>817</v>
      </c>
      <c r="D1141" s="3" t="s">
        <v>68</v>
      </c>
      <c r="E1141" s="3" t="s">
        <v>845</v>
      </c>
      <c r="F1141" s="2" t="s">
        <v>846</v>
      </c>
      <c r="G1141" s="4">
        <v>1000</v>
      </c>
      <c r="H1141" s="5">
        <v>4.6900000000000004</v>
      </c>
      <c r="I1141" s="5">
        <v>4.8887506620277383</v>
      </c>
      <c r="J1141" s="6">
        <v>0</v>
      </c>
      <c r="K1141" s="5">
        <v>0</v>
      </c>
      <c r="L1141" s="6">
        <v>0</v>
      </c>
      <c r="M1141" s="5">
        <v>0</v>
      </c>
      <c r="N1141" s="6">
        <v>0</v>
      </c>
      <c r="O1141" s="5">
        <v>0</v>
      </c>
      <c r="P1141" s="6">
        <v>0</v>
      </c>
      <c r="Q1141" s="5">
        <v>0</v>
      </c>
      <c r="R1141" s="6">
        <v>0</v>
      </c>
      <c r="S1141" s="5">
        <v>0</v>
      </c>
      <c r="T1141" s="6">
        <v>989.23567419321319</v>
      </c>
      <c r="U1141" s="5">
        <v>4639.51531196617</v>
      </c>
      <c r="V1141" s="6">
        <v>0</v>
      </c>
      <c r="W1141" s="5">
        <v>0</v>
      </c>
      <c r="X1141" s="6">
        <v>0</v>
      </c>
      <c r="Y1141" s="5">
        <v>0</v>
      </c>
      <c r="Z1141" s="6">
        <v>0</v>
      </c>
      <c r="AA1141" s="5">
        <v>0</v>
      </c>
      <c r="AB1141" s="6">
        <v>0</v>
      </c>
      <c r="AC1141" s="5">
        <v>0</v>
      </c>
      <c r="AD1141" s="6">
        <v>0</v>
      </c>
      <c r="AE1141" s="5">
        <v>0</v>
      </c>
      <c r="AF1141" s="6">
        <v>0</v>
      </c>
      <c r="AG1141" s="5">
        <v>0</v>
      </c>
      <c r="AH1141" s="7">
        <f t="shared" si="136"/>
        <v>989.23567419321319</v>
      </c>
      <c r="AI1141" s="8">
        <f t="shared" si="137"/>
        <v>4639.51531196617</v>
      </c>
      <c r="AJ1141" s="6">
        <v>0</v>
      </c>
      <c r="AK1141" s="5">
        <v>0</v>
      </c>
      <c r="AL1141" s="6">
        <v>0</v>
      </c>
      <c r="AM1141" s="5">
        <v>0</v>
      </c>
      <c r="AN1141" s="6">
        <v>0</v>
      </c>
      <c r="AO1141" s="5">
        <v>0</v>
      </c>
      <c r="AP1141" s="6">
        <v>0</v>
      </c>
      <c r="AQ1141" s="5">
        <v>0</v>
      </c>
      <c r="AR1141" s="6">
        <v>0</v>
      </c>
      <c r="AS1141" s="5">
        <v>0</v>
      </c>
      <c r="AT1141" s="6">
        <v>1000</v>
      </c>
      <c r="AU1141" s="5">
        <v>4888.7506620277381</v>
      </c>
      <c r="AV1141" s="6">
        <v>0</v>
      </c>
      <c r="AW1141" s="5">
        <v>0</v>
      </c>
      <c r="AX1141" s="6">
        <v>0</v>
      </c>
      <c r="AY1141" s="5">
        <v>0</v>
      </c>
      <c r="AZ1141" s="6">
        <v>0</v>
      </c>
      <c r="BA1141" s="5">
        <v>0</v>
      </c>
      <c r="BB1141" s="6">
        <v>0</v>
      </c>
      <c r="BC1141" s="5">
        <v>0</v>
      </c>
      <c r="BD1141" s="6">
        <v>0</v>
      </c>
      <c r="BE1141" s="5">
        <v>0</v>
      </c>
      <c r="BF1141" s="6">
        <v>0</v>
      </c>
      <c r="BG1141" s="5">
        <v>0</v>
      </c>
      <c r="BH1141" s="9">
        <f t="shared" si="138"/>
        <v>1000</v>
      </c>
      <c r="BI1141" s="10">
        <f t="shared" si="139"/>
        <v>4888.7506620277381</v>
      </c>
      <c r="BJ1141" s="6">
        <f t="shared" si="140"/>
        <v>10.764325806786815</v>
      </c>
      <c r="BK1141" s="11">
        <f t="shared" si="141"/>
        <v>1.0881457359052311E-2</v>
      </c>
      <c r="BL1141" s="5">
        <f t="shared" si="142"/>
        <v>249.23535006156817</v>
      </c>
      <c r="BM1141" s="11">
        <f t="shared" si="143"/>
        <v>5.3720126630198636E-2</v>
      </c>
    </row>
    <row r="1142" spans="1:65" ht="15" customHeight="1" x14ac:dyDescent="0.4">
      <c r="A1142" s="2" t="s">
        <v>775</v>
      </c>
      <c r="B1142" s="2" t="s">
        <v>816</v>
      </c>
      <c r="C1142" s="2" t="s">
        <v>817</v>
      </c>
      <c r="D1142" s="3" t="s">
        <v>68</v>
      </c>
      <c r="E1142" s="3" t="s">
        <v>845</v>
      </c>
      <c r="F1142" s="2" t="s">
        <v>847</v>
      </c>
      <c r="G1142" s="4">
        <v>1000</v>
      </c>
      <c r="H1142" s="5">
        <v>4.6900000000000004</v>
      </c>
      <c r="I1142" s="5">
        <v>4.8887506620277383</v>
      </c>
      <c r="J1142" s="6">
        <v>0</v>
      </c>
      <c r="K1142" s="5">
        <v>0</v>
      </c>
      <c r="L1142" s="6">
        <v>0</v>
      </c>
      <c r="M1142" s="5">
        <v>0</v>
      </c>
      <c r="N1142" s="6">
        <v>0</v>
      </c>
      <c r="O1142" s="5">
        <v>0</v>
      </c>
      <c r="P1142" s="6">
        <v>0</v>
      </c>
      <c r="Q1142" s="5">
        <v>0</v>
      </c>
      <c r="R1142" s="6">
        <v>0</v>
      </c>
      <c r="S1142" s="5">
        <v>0</v>
      </c>
      <c r="T1142" s="6">
        <v>0</v>
      </c>
      <c r="U1142" s="5">
        <v>0</v>
      </c>
      <c r="V1142" s="6">
        <v>0</v>
      </c>
      <c r="W1142" s="5">
        <v>0</v>
      </c>
      <c r="X1142" s="6">
        <v>0</v>
      </c>
      <c r="Y1142" s="5">
        <v>0</v>
      </c>
      <c r="Z1142" s="6">
        <v>0</v>
      </c>
      <c r="AA1142" s="5">
        <v>0</v>
      </c>
      <c r="AB1142" s="6">
        <v>947.99613929838938</v>
      </c>
      <c r="AC1142" s="5">
        <v>4446.1018933094456</v>
      </c>
      <c r="AD1142" s="6">
        <v>0</v>
      </c>
      <c r="AE1142" s="5">
        <v>0</v>
      </c>
      <c r="AF1142" s="6">
        <v>473.99806964919469</v>
      </c>
      <c r="AG1142" s="5">
        <v>2223.0509466547228</v>
      </c>
      <c r="AH1142" s="7">
        <f t="shared" si="136"/>
        <v>1421.994208947584</v>
      </c>
      <c r="AI1142" s="8">
        <f t="shared" si="137"/>
        <v>6669.1528399641684</v>
      </c>
      <c r="AJ1142" s="6">
        <v>0</v>
      </c>
      <c r="AK1142" s="5">
        <v>0</v>
      </c>
      <c r="AL1142" s="6">
        <v>0</v>
      </c>
      <c r="AM1142" s="5">
        <v>0</v>
      </c>
      <c r="AN1142" s="6">
        <v>0</v>
      </c>
      <c r="AO1142" s="5">
        <v>0</v>
      </c>
      <c r="AP1142" s="6">
        <v>0</v>
      </c>
      <c r="AQ1142" s="5">
        <v>0</v>
      </c>
      <c r="AR1142" s="6">
        <v>0</v>
      </c>
      <c r="AS1142" s="5">
        <v>0</v>
      </c>
      <c r="AT1142" s="6">
        <v>0</v>
      </c>
      <c r="AU1142" s="5">
        <v>0</v>
      </c>
      <c r="AV1142" s="6">
        <v>0</v>
      </c>
      <c r="AW1142" s="5">
        <v>0</v>
      </c>
      <c r="AX1142" s="6">
        <v>0</v>
      </c>
      <c r="AY1142" s="5">
        <v>0</v>
      </c>
      <c r="AZ1142" s="6">
        <v>0</v>
      </c>
      <c r="BA1142" s="5">
        <v>0</v>
      </c>
      <c r="BB1142" s="6">
        <v>1000</v>
      </c>
      <c r="BC1142" s="5">
        <v>4888.7506620277381</v>
      </c>
      <c r="BD1142" s="6">
        <v>0</v>
      </c>
      <c r="BE1142" s="5">
        <v>0</v>
      </c>
      <c r="BF1142" s="6">
        <v>1000</v>
      </c>
      <c r="BG1142" s="5">
        <v>4888.7506620277381</v>
      </c>
      <c r="BH1142" s="9">
        <f t="shared" si="138"/>
        <v>2000</v>
      </c>
      <c r="BI1142" s="10">
        <f t="shared" si="139"/>
        <v>9777.5013240554763</v>
      </c>
      <c r="BJ1142" s="6">
        <f t="shared" si="140"/>
        <v>578.00579105241604</v>
      </c>
      <c r="BK1142" s="11">
        <f t="shared" si="141"/>
        <v>0.40647548872944944</v>
      </c>
      <c r="BL1142" s="5">
        <f t="shared" si="142"/>
        <v>3108.3484840913079</v>
      </c>
      <c r="BM1142" s="11">
        <f t="shared" si="143"/>
        <v>0.46607845984048679</v>
      </c>
    </row>
    <row r="1143" spans="1:65" ht="15" customHeight="1" x14ac:dyDescent="0.4">
      <c r="A1143" s="2" t="s">
        <v>775</v>
      </c>
      <c r="B1143" s="2" t="s">
        <v>816</v>
      </c>
      <c r="C1143" s="2" t="s">
        <v>817</v>
      </c>
      <c r="D1143" s="3" t="s">
        <v>68</v>
      </c>
      <c r="E1143" s="3" t="s">
        <v>848</v>
      </c>
      <c r="F1143" s="2" t="s">
        <v>849</v>
      </c>
      <c r="G1143" s="4">
        <v>1000</v>
      </c>
      <c r="H1143" s="5">
        <v>5.96</v>
      </c>
      <c r="I1143" s="5">
        <v>6.2125701376727758</v>
      </c>
      <c r="J1143" s="6">
        <v>0</v>
      </c>
      <c r="K1143" s="5">
        <v>0</v>
      </c>
      <c r="L1143" s="6">
        <v>0</v>
      </c>
      <c r="M1143" s="5">
        <v>0</v>
      </c>
      <c r="N1143" s="6">
        <v>989.23567419321319</v>
      </c>
      <c r="O1143" s="5">
        <v>5895.8446181915506</v>
      </c>
      <c r="P1143" s="6">
        <v>0</v>
      </c>
      <c r="Q1143" s="5">
        <v>0</v>
      </c>
      <c r="R1143" s="6">
        <v>0</v>
      </c>
      <c r="S1143" s="5">
        <v>0</v>
      </c>
      <c r="T1143" s="6">
        <v>0</v>
      </c>
      <c r="U1143" s="5">
        <v>0</v>
      </c>
      <c r="V1143" s="6">
        <v>0</v>
      </c>
      <c r="W1143" s="5">
        <v>0</v>
      </c>
      <c r="X1143" s="6">
        <v>0</v>
      </c>
      <c r="Y1143" s="5">
        <v>0</v>
      </c>
      <c r="Z1143" s="6">
        <v>0</v>
      </c>
      <c r="AA1143" s="5">
        <v>0</v>
      </c>
      <c r="AB1143" s="6">
        <v>0</v>
      </c>
      <c r="AC1143" s="5">
        <v>0</v>
      </c>
      <c r="AD1143" s="6">
        <v>0</v>
      </c>
      <c r="AE1143" s="5">
        <v>0</v>
      </c>
      <c r="AF1143" s="6">
        <v>0</v>
      </c>
      <c r="AG1143" s="5">
        <v>0</v>
      </c>
      <c r="AH1143" s="7">
        <f t="shared" si="136"/>
        <v>989.23567419321319</v>
      </c>
      <c r="AI1143" s="8">
        <f t="shared" si="137"/>
        <v>5895.8446181915506</v>
      </c>
      <c r="AJ1143" s="6">
        <v>0</v>
      </c>
      <c r="AK1143" s="5">
        <v>0</v>
      </c>
      <c r="AL1143" s="6">
        <v>0</v>
      </c>
      <c r="AM1143" s="5">
        <v>0</v>
      </c>
      <c r="AN1143" s="6">
        <v>1000</v>
      </c>
      <c r="AO1143" s="5">
        <v>6212.5701376727757</v>
      </c>
      <c r="AP1143" s="6">
        <v>0</v>
      </c>
      <c r="AQ1143" s="5">
        <v>0</v>
      </c>
      <c r="AR1143" s="6">
        <v>0</v>
      </c>
      <c r="AS1143" s="5">
        <v>0</v>
      </c>
      <c r="AT1143" s="6">
        <v>0</v>
      </c>
      <c r="AU1143" s="5">
        <v>0</v>
      </c>
      <c r="AV1143" s="6">
        <v>0</v>
      </c>
      <c r="AW1143" s="5">
        <v>0</v>
      </c>
      <c r="AX1143" s="6">
        <v>0</v>
      </c>
      <c r="AY1143" s="5">
        <v>0</v>
      </c>
      <c r="AZ1143" s="6">
        <v>0</v>
      </c>
      <c r="BA1143" s="5">
        <v>0</v>
      </c>
      <c r="BB1143" s="6">
        <v>0</v>
      </c>
      <c r="BC1143" s="5">
        <v>0</v>
      </c>
      <c r="BD1143" s="6">
        <v>0</v>
      </c>
      <c r="BE1143" s="5">
        <v>0</v>
      </c>
      <c r="BF1143" s="6">
        <v>0</v>
      </c>
      <c r="BG1143" s="5">
        <v>0</v>
      </c>
      <c r="BH1143" s="9">
        <f t="shared" si="138"/>
        <v>1000</v>
      </c>
      <c r="BI1143" s="10">
        <f t="shared" si="139"/>
        <v>6212.5701376727757</v>
      </c>
      <c r="BJ1143" s="6">
        <f t="shared" si="140"/>
        <v>10.764325806786815</v>
      </c>
      <c r="BK1143" s="11">
        <f t="shared" si="141"/>
        <v>1.0881457359052311E-2</v>
      </c>
      <c r="BL1143" s="5">
        <f t="shared" si="142"/>
        <v>316.72551948122509</v>
      </c>
      <c r="BM1143" s="11">
        <f t="shared" si="143"/>
        <v>5.3720126630198616E-2</v>
      </c>
    </row>
    <row r="1144" spans="1:65" ht="15" customHeight="1" x14ac:dyDescent="0.4">
      <c r="A1144" s="2" t="s">
        <v>775</v>
      </c>
      <c r="B1144" s="2" t="s">
        <v>816</v>
      </c>
      <c r="C1144" s="2" t="s">
        <v>817</v>
      </c>
      <c r="D1144" s="3" t="s">
        <v>68</v>
      </c>
      <c r="E1144" s="3" t="s">
        <v>848</v>
      </c>
      <c r="F1144" s="2" t="s">
        <v>850</v>
      </c>
      <c r="G1144" s="4">
        <v>1000</v>
      </c>
      <c r="H1144" s="5">
        <v>6.1000000000000014</v>
      </c>
      <c r="I1144" s="5">
        <v>6.3585029932556942</v>
      </c>
      <c r="J1144" s="6">
        <v>0</v>
      </c>
      <c r="K1144" s="5">
        <v>0</v>
      </c>
      <c r="L1144" s="6">
        <v>0</v>
      </c>
      <c r="M1144" s="5">
        <v>0</v>
      </c>
      <c r="N1144" s="6">
        <v>0</v>
      </c>
      <c r="O1144" s="5">
        <v>0</v>
      </c>
      <c r="P1144" s="6">
        <v>0</v>
      </c>
      <c r="Q1144" s="5">
        <v>0</v>
      </c>
      <c r="R1144" s="6">
        <v>0</v>
      </c>
      <c r="S1144" s="5">
        <v>0</v>
      </c>
      <c r="T1144" s="6">
        <v>989.23567419321319</v>
      </c>
      <c r="U1144" s="5">
        <v>6034.3376125786008</v>
      </c>
      <c r="V1144" s="6">
        <v>0</v>
      </c>
      <c r="W1144" s="5">
        <v>0</v>
      </c>
      <c r="X1144" s="6">
        <v>0</v>
      </c>
      <c r="Y1144" s="5">
        <v>0</v>
      </c>
      <c r="Z1144" s="6">
        <v>0</v>
      </c>
      <c r="AA1144" s="5">
        <v>0</v>
      </c>
      <c r="AB1144" s="6">
        <v>0</v>
      </c>
      <c r="AC1144" s="5">
        <v>0</v>
      </c>
      <c r="AD1144" s="6">
        <v>0</v>
      </c>
      <c r="AE1144" s="5">
        <v>0</v>
      </c>
      <c r="AF1144" s="6">
        <v>0</v>
      </c>
      <c r="AG1144" s="5">
        <v>0</v>
      </c>
      <c r="AH1144" s="7">
        <f t="shared" si="136"/>
        <v>989.23567419321319</v>
      </c>
      <c r="AI1144" s="8">
        <f t="shared" si="137"/>
        <v>6034.3376125786008</v>
      </c>
      <c r="AJ1144" s="6">
        <v>0</v>
      </c>
      <c r="AK1144" s="5">
        <v>0</v>
      </c>
      <c r="AL1144" s="6">
        <v>0</v>
      </c>
      <c r="AM1144" s="5">
        <v>0</v>
      </c>
      <c r="AN1144" s="6">
        <v>0</v>
      </c>
      <c r="AO1144" s="5">
        <v>0</v>
      </c>
      <c r="AP1144" s="6">
        <v>0</v>
      </c>
      <c r="AQ1144" s="5">
        <v>0</v>
      </c>
      <c r="AR1144" s="6">
        <v>0</v>
      </c>
      <c r="AS1144" s="5">
        <v>0</v>
      </c>
      <c r="AT1144" s="6">
        <v>1000</v>
      </c>
      <c r="AU1144" s="5">
        <v>6358.5029932556936</v>
      </c>
      <c r="AV1144" s="6">
        <v>0</v>
      </c>
      <c r="AW1144" s="5">
        <v>0</v>
      </c>
      <c r="AX1144" s="6">
        <v>0</v>
      </c>
      <c r="AY1144" s="5">
        <v>0</v>
      </c>
      <c r="AZ1144" s="6">
        <v>0</v>
      </c>
      <c r="BA1144" s="5">
        <v>0</v>
      </c>
      <c r="BB1144" s="6">
        <v>0</v>
      </c>
      <c r="BC1144" s="5">
        <v>0</v>
      </c>
      <c r="BD1144" s="6">
        <v>0</v>
      </c>
      <c r="BE1144" s="5">
        <v>0</v>
      </c>
      <c r="BF1144" s="6">
        <v>0</v>
      </c>
      <c r="BG1144" s="5">
        <v>0</v>
      </c>
      <c r="BH1144" s="9">
        <f t="shared" si="138"/>
        <v>1000</v>
      </c>
      <c r="BI1144" s="10">
        <f t="shared" si="139"/>
        <v>6358.5029932556936</v>
      </c>
      <c r="BJ1144" s="6">
        <f t="shared" si="140"/>
        <v>10.764325806786815</v>
      </c>
      <c r="BK1144" s="11">
        <f t="shared" si="141"/>
        <v>1.0881457359052311E-2</v>
      </c>
      <c r="BL1144" s="5">
        <f t="shared" si="142"/>
        <v>324.1653806770928</v>
      </c>
      <c r="BM1144" s="11">
        <f t="shared" si="143"/>
        <v>5.3720126630198609E-2</v>
      </c>
    </row>
    <row r="1145" spans="1:65" ht="15" customHeight="1" x14ac:dyDescent="0.4">
      <c r="A1145" s="2" t="s">
        <v>775</v>
      </c>
      <c r="B1145" s="2" t="s">
        <v>816</v>
      </c>
      <c r="C1145" s="2" t="s">
        <v>817</v>
      </c>
      <c r="D1145" s="3" t="s">
        <v>68</v>
      </c>
      <c r="E1145" s="3" t="s">
        <v>851</v>
      </c>
      <c r="F1145" s="2" t="s">
        <v>852</v>
      </c>
      <c r="G1145" s="4">
        <v>1000</v>
      </c>
      <c r="H1145" s="5">
        <v>3.36</v>
      </c>
      <c r="I1145" s="5">
        <v>3.5023885339900218</v>
      </c>
      <c r="J1145" s="6">
        <v>0</v>
      </c>
      <c r="K1145" s="5">
        <v>0</v>
      </c>
      <c r="L1145" s="6">
        <v>0</v>
      </c>
      <c r="M1145" s="5">
        <v>0</v>
      </c>
      <c r="N1145" s="6">
        <v>1978.4713483864259</v>
      </c>
      <c r="O1145" s="5">
        <v>6647.6637305783934</v>
      </c>
      <c r="P1145" s="6">
        <v>0</v>
      </c>
      <c r="Q1145" s="5">
        <v>0</v>
      </c>
      <c r="R1145" s="6">
        <v>0</v>
      </c>
      <c r="S1145" s="5">
        <v>0</v>
      </c>
      <c r="T1145" s="6">
        <v>1978.4713483864259</v>
      </c>
      <c r="U1145" s="5">
        <v>6647.6637305783934</v>
      </c>
      <c r="V1145" s="6">
        <v>0</v>
      </c>
      <c r="W1145" s="5">
        <v>0</v>
      </c>
      <c r="X1145" s="6">
        <v>0</v>
      </c>
      <c r="Y1145" s="5">
        <v>0</v>
      </c>
      <c r="Z1145" s="6">
        <v>0</v>
      </c>
      <c r="AA1145" s="5">
        <v>0</v>
      </c>
      <c r="AB1145" s="6">
        <v>0</v>
      </c>
      <c r="AC1145" s="5">
        <v>0</v>
      </c>
      <c r="AD1145" s="6">
        <v>0</v>
      </c>
      <c r="AE1145" s="5">
        <v>0</v>
      </c>
      <c r="AF1145" s="6">
        <v>0</v>
      </c>
      <c r="AG1145" s="5">
        <v>0</v>
      </c>
      <c r="AH1145" s="7">
        <f t="shared" si="136"/>
        <v>3956.9426967728518</v>
      </c>
      <c r="AI1145" s="8">
        <f t="shared" si="137"/>
        <v>13295.327461156787</v>
      </c>
      <c r="AJ1145" s="6">
        <v>0</v>
      </c>
      <c r="AK1145" s="5">
        <v>0</v>
      </c>
      <c r="AL1145" s="6">
        <v>0</v>
      </c>
      <c r="AM1145" s="5">
        <v>0</v>
      </c>
      <c r="AN1145" s="6">
        <v>2000</v>
      </c>
      <c r="AO1145" s="5">
        <v>7004.7770679800442</v>
      </c>
      <c r="AP1145" s="6">
        <v>0</v>
      </c>
      <c r="AQ1145" s="5">
        <v>0</v>
      </c>
      <c r="AR1145" s="6">
        <v>0</v>
      </c>
      <c r="AS1145" s="5">
        <v>0</v>
      </c>
      <c r="AT1145" s="6">
        <v>2000</v>
      </c>
      <c r="AU1145" s="5">
        <v>7004.7770679800442</v>
      </c>
      <c r="AV1145" s="6">
        <v>0</v>
      </c>
      <c r="AW1145" s="5">
        <v>0</v>
      </c>
      <c r="AX1145" s="6">
        <v>0</v>
      </c>
      <c r="AY1145" s="5">
        <v>0</v>
      </c>
      <c r="AZ1145" s="6">
        <v>0</v>
      </c>
      <c r="BA1145" s="5">
        <v>0</v>
      </c>
      <c r="BB1145" s="6">
        <v>0</v>
      </c>
      <c r="BC1145" s="5">
        <v>0</v>
      </c>
      <c r="BD1145" s="6">
        <v>0</v>
      </c>
      <c r="BE1145" s="5">
        <v>0</v>
      </c>
      <c r="BF1145" s="6">
        <v>0</v>
      </c>
      <c r="BG1145" s="5">
        <v>0</v>
      </c>
      <c r="BH1145" s="9">
        <f t="shared" si="138"/>
        <v>4000</v>
      </c>
      <c r="BI1145" s="10">
        <f t="shared" si="139"/>
        <v>14009.554135960088</v>
      </c>
      <c r="BJ1145" s="6">
        <f t="shared" si="140"/>
        <v>43.057303227148168</v>
      </c>
      <c r="BK1145" s="11">
        <f t="shared" si="141"/>
        <v>1.0881457359052544E-2</v>
      </c>
      <c r="BL1145" s="5">
        <f t="shared" si="142"/>
        <v>714.22667480330165</v>
      </c>
      <c r="BM1145" s="11">
        <f t="shared" si="143"/>
        <v>5.3720126630198768E-2</v>
      </c>
    </row>
    <row r="1146" spans="1:65" ht="15" customHeight="1" x14ac:dyDescent="0.4">
      <c r="A1146" s="2" t="s">
        <v>775</v>
      </c>
      <c r="B1146" s="2" t="s">
        <v>816</v>
      </c>
      <c r="C1146" s="2" t="s">
        <v>817</v>
      </c>
      <c r="D1146" s="3" t="s">
        <v>68</v>
      </c>
      <c r="E1146" s="3" t="s">
        <v>851</v>
      </c>
      <c r="F1146" s="2" t="s">
        <v>234</v>
      </c>
      <c r="G1146" s="4">
        <v>1000</v>
      </c>
      <c r="H1146" s="5">
        <v>3.36</v>
      </c>
      <c r="I1146" s="5">
        <v>3.5023885339900209</v>
      </c>
      <c r="J1146" s="6">
        <v>0</v>
      </c>
      <c r="K1146" s="5">
        <v>0</v>
      </c>
      <c r="L1146" s="6">
        <v>0</v>
      </c>
      <c r="M1146" s="5">
        <v>0</v>
      </c>
      <c r="N1146" s="6">
        <v>0</v>
      </c>
      <c r="O1146" s="5">
        <v>0</v>
      </c>
      <c r="P1146" s="6">
        <v>0</v>
      </c>
      <c r="Q1146" s="5">
        <v>0</v>
      </c>
      <c r="R1146" s="6">
        <v>0</v>
      </c>
      <c r="S1146" s="5">
        <v>0</v>
      </c>
      <c r="T1146" s="6">
        <v>0</v>
      </c>
      <c r="U1146" s="5">
        <v>0</v>
      </c>
      <c r="V1146" s="6">
        <v>0</v>
      </c>
      <c r="W1146" s="5">
        <v>0</v>
      </c>
      <c r="X1146" s="6">
        <v>0</v>
      </c>
      <c r="Y1146" s="5">
        <v>0</v>
      </c>
      <c r="Z1146" s="6">
        <v>0</v>
      </c>
      <c r="AA1146" s="5">
        <v>0</v>
      </c>
      <c r="AB1146" s="6">
        <v>3791.984557193558</v>
      </c>
      <c r="AC1146" s="5">
        <v>12741.068112170349</v>
      </c>
      <c r="AD1146" s="6">
        <v>0</v>
      </c>
      <c r="AE1146" s="5">
        <v>0</v>
      </c>
      <c r="AF1146" s="6">
        <v>1895.992278596779</v>
      </c>
      <c r="AG1146" s="5">
        <v>6370.5340560851764</v>
      </c>
      <c r="AH1146" s="7">
        <f t="shared" si="136"/>
        <v>5687.9768357903367</v>
      </c>
      <c r="AI1146" s="8">
        <f t="shared" si="137"/>
        <v>19111.602168255526</v>
      </c>
      <c r="AJ1146" s="6">
        <v>0</v>
      </c>
      <c r="AK1146" s="5">
        <v>0</v>
      </c>
      <c r="AL1146" s="6">
        <v>0</v>
      </c>
      <c r="AM1146" s="5">
        <v>0</v>
      </c>
      <c r="AN1146" s="6">
        <v>0</v>
      </c>
      <c r="AO1146" s="5">
        <v>0</v>
      </c>
      <c r="AP1146" s="6">
        <v>0</v>
      </c>
      <c r="AQ1146" s="5">
        <v>0</v>
      </c>
      <c r="AR1146" s="6">
        <v>0</v>
      </c>
      <c r="AS1146" s="5">
        <v>0</v>
      </c>
      <c r="AT1146" s="6">
        <v>0</v>
      </c>
      <c r="AU1146" s="5">
        <v>0</v>
      </c>
      <c r="AV1146" s="6">
        <v>0</v>
      </c>
      <c r="AW1146" s="5">
        <v>0</v>
      </c>
      <c r="AX1146" s="6">
        <v>0</v>
      </c>
      <c r="AY1146" s="5">
        <v>0</v>
      </c>
      <c r="AZ1146" s="6">
        <v>0</v>
      </c>
      <c r="BA1146" s="5">
        <v>0</v>
      </c>
      <c r="BB1146" s="6">
        <v>4000</v>
      </c>
      <c r="BC1146" s="5">
        <v>14009.55413596009</v>
      </c>
      <c r="BD1146" s="6">
        <v>0</v>
      </c>
      <c r="BE1146" s="5">
        <v>0</v>
      </c>
      <c r="BF1146" s="6">
        <v>2000</v>
      </c>
      <c r="BG1146" s="5">
        <v>7004.7770679800433</v>
      </c>
      <c r="BH1146" s="9">
        <f t="shared" si="138"/>
        <v>6000</v>
      </c>
      <c r="BI1146" s="10">
        <f t="shared" si="139"/>
        <v>21014.331203940135</v>
      </c>
      <c r="BJ1146" s="6">
        <f t="shared" si="140"/>
        <v>312.02316420966326</v>
      </c>
      <c r="BK1146" s="11">
        <f t="shared" si="141"/>
        <v>5.4856616547086914E-2</v>
      </c>
      <c r="BL1146" s="5">
        <f t="shared" si="142"/>
        <v>1902.7290356846097</v>
      </c>
      <c r="BM1146" s="11">
        <f t="shared" si="143"/>
        <v>9.9558844880365552E-2</v>
      </c>
    </row>
    <row r="1147" spans="1:65" ht="15" customHeight="1" x14ac:dyDescent="0.4">
      <c r="A1147" s="2" t="s">
        <v>775</v>
      </c>
      <c r="B1147" s="2" t="s">
        <v>816</v>
      </c>
      <c r="C1147" s="2" t="s">
        <v>817</v>
      </c>
      <c r="D1147" s="3" t="s">
        <v>68</v>
      </c>
      <c r="E1147" s="3" t="s">
        <v>853</v>
      </c>
      <c r="F1147" s="2" t="s">
        <v>535</v>
      </c>
      <c r="G1147" s="4">
        <v>1</v>
      </c>
      <c r="H1147" s="5">
        <v>12.493333333333339</v>
      </c>
      <c r="I1147" s="5">
        <v>13.0227700648756</v>
      </c>
      <c r="J1147" s="6">
        <v>783.47465396102484</v>
      </c>
      <c r="K1147" s="5">
        <v>8978.619534393345</v>
      </c>
      <c r="L1147" s="6">
        <v>0</v>
      </c>
      <c r="M1147" s="5">
        <v>0</v>
      </c>
      <c r="N1147" s="6">
        <v>0</v>
      </c>
      <c r="O1147" s="5">
        <v>0</v>
      </c>
      <c r="P1147" s="6">
        <v>0</v>
      </c>
      <c r="Q1147" s="5">
        <v>0</v>
      </c>
      <c r="R1147" s="6">
        <v>1566.9493079220499</v>
      </c>
      <c r="S1147" s="5">
        <v>20386.010496065868</v>
      </c>
      <c r="T1147" s="6">
        <v>0</v>
      </c>
      <c r="U1147" s="5">
        <v>0</v>
      </c>
      <c r="V1147" s="6">
        <v>0</v>
      </c>
      <c r="W1147" s="5">
        <v>0</v>
      </c>
      <c r="X1147" s="6">
        <v>0</v>
      </c>
      <c r="Y1147" s="5">
        <v>0</v>
      </c>
      <c r="Z1147" s="6">
        <v>0</v>
      </c>
      <c r="AA1147" s="5">
        <v>0</v>
      </c>
      <c r="AB1147" s="6">
        <v>0</v>
      </c>
      <c r="AC1147" s="5">
        <v>0</v>
      </c>
      <c r="AD1147" s="6">
        <v>0</v>
      </c>
      <c r="AE1147" s="5">
        <v>0</v>
      </c>
      <c r="AF1147" s="6">
        <v>0</v>
      </c>
      <c r="AG1147" s="5">
        <v>0</v>
      </c>
      <c r="AH1147" s="7">
        <f t="shared" si="136"/>
        <v>2350.4239618830748</v>
      </c>
      <c r="AI1147" s="8">
        <f t="shared" si="137"/>
        <v>29364.630030459215</v>
      </c>
      <c r="AJ1147" s="6">
        <v>864</v>
      </c>
      <c r="AK1147" s="5">
        <v>10321.03866844945</v>
      </c>
      <c r="AL1147" s="6">
        <v>0</v>
      </c>
      <c r="AM1147" s="5">
        <v>0</v>
      </c>
      <c r="AN1147" s="6">
        <v>0</v>
      </c>
      <c r="AO1147" s="5">
        <v>0</v>
      </c>
      <c r="AP1147" s="6">
        <v>0</v>
      </c>
      <c r="AQ1147" s="5">
        <v>0</v>
      </c>
      <c r="AR1147" s="6">
        <v>1728</v>
      </c>
      <c r="AS1147" s="5">
        <v>23433.981339708102</v>
      </c>
      <c r="AT1147" s="6">
        <v>0</v>
      </c>
      <c r="AU1147" s="5">
        <v>0</v>
      </c>
      <c r="AV1147" s="6">
        <v>0</v>
      </c>
      <c r="AW1147" s="5">
        <v>0</v>
      </c>
      <c r="AX1147" s="6">
        <v>0</v>
      </c>
      <c r="AY1147" s="5">
        <v>0</v>
      </c>
      <c r="AZ1147" s="6">
        <v>0</v>
      </c>
      <c r="BA1147" s="5">
        <v>0</v>
      </c>
      <c r="BB1147" s="6">
        <v>0</v>
      </c>
      <c r="BC1147" s="5">
        <v>0</v>
      </c>
      <c r="BD1147" s="6">
        <v>0</v>
      </c>
      <c r="BE1147" s="5">
        <v>0</v>
      </c>
      <c r="BF1147" s="6">
        <v>0</v>
      </c>
      <c r="BG1147" s="5">
        <v>0</v>
      </c>
      <c r="BH1147" s="9">
        <f t="shared" si="138"/>
        <v>2592</v>
      </c>
      <c r="BI1147" s="10">
        <f t="shared" si="139"/>
        <v>33755.020008157553</v>
      </c>
      <c r="BJ1147" s="6">
        <f t="shared" si="140"/>
        <v>241.57603811692525</v>
      </c>
      <c r="BK1147" s="11">
        <f t="shared" si="141"/>
        <v>0.10277977166442059</v>
      </c>
      <c r="BL1147" s="5">
        <f t="shared" si="142"/>
        <v>4390.389977698338</v>
      </c>
      <c r="BM1147" s="11">
        <f t="shared" si="143"/>
        <v>0.14951286541476236</v>
      </c>
    </row>
    <row r="1148" spans="1:65" ht="15" customHeight="1" x14ac:dyDescent="0.4">
      <c r="A1148" s="2" t="s">
        <v>775</v>
      </c>
      <c r="B1148" s="2" t="s">
        <v>816</v>
      </c>
      <c r="C1148" s="2" t="s">
        <v>817</v>
      </c>
      <c r="D1148" s="3" t="s">
        <v>68</v>
      </c>
      <c r="E1148" s="3" t="s">
        <v>854</v>
      </c>
      <c r="F1148" s="2" t="s">
        <v>535</v>
      </c>
      <c r="G1148" s="4">
        <v>5</v>
      </c>
      <c r="H1148" s="5">
        <v>11.46</v>
      </c>
      <c r="I1148" s="5">
        <v>11.945646607001679</v>
      </c>
      <c r="J1148" s="6">
        <v>0</v>
      </c>
      <c r="K1148" s="5">
        <v>0</v>
      </c>
      <c r="L1148" s="6">
        <v>0</v>
      </c>
      <c r="M1148" s="5">
        <v>0</v>
      </c>
      <c r="N1148" s="6">
        <v>395.69426967728532</v>
      </c>
      <c r="O1148" s="5">
        <v>4534.6563305016898</v>
      </c>
      <c r="P1148" s="6">
        <v>0</v>
      </c>
      <c r="Q1148" s="5">
        <v>0</v>
      </c>
      <c r="R1148" s="6">
        <v>0</v>
      </c>
      <c r="S1148" s="5">
        <v>0</v>
      </c>
      <c r="T1148" s="6">
        <v>0</v>
      </c>
      <c r="U1148" s="5">
        <v>0</v>
      </c>
      <c r="V1148" s="6">
        <v>0</v>
      </c>
      <c r="W1148" s="5">
        <v>0</v>
      </c>
      <c r="X1148" s="6">
        <v>0</v>
      </c>
      <c r="Y1148" s="5">
        <v>0</v>
      </c>
      <c r="Z1148" s="6">
        <v>0</v>
      </c>
      <c r="AA1148" s="5">
        <v>0</v>
      </c>
      <c r="AB1148" s="6">
        <v>0</v>
      </c>
      <c r="AC1148" s="5">
        <v>0</v>
      </c>
      <c r="AD1148" s="6">
        <v>0</v>
      </c>
      <c r="AE1148" s="5">
        <v>0</v>
      </c>
      <c r="AF1148" s="6">
        <v>0</v>
      </c>
      <c r="AG1148" s="5">
        <v>0</v>
      </c>
      <c r="AH1148" s="7">
        <f t="shared" si="136"/>
        <v>395.69426967728532</v>
      </c>
      <c r="AI1148" s="8">
        <f t="shared" si="137"/>
        <v>4534.6563305016898</v>
      </c>
      <c r="AJ1148" s="6">
        <v>0</v>
      </c>
      <c r="AK1148" s="5">
        <v>0</v>
      </c>
      <c r="AL1148" s="6">
        <v>0</v>
      </c>
      <c r="AM1148" s="5">
        <v>0</v>
      </c>
      <c r="AN1148" s="6">
        <v>430</v>
      </c>
      <c r="AO1148" s="5">
        <v>5136.6280410107229</v>
      </c>
      <c r="AP1148" s="6">
        <v>0</v>
      </c>
      <c r="AQ1148" s="5">
        <v>0</v>
      </c>
      <c r="AR1148" s="6">
        <v>0</v>
      </c>
      <c r="AS1148" s="5">
        <v>0</v>
      </c>
      <c r="AT1148" s="6">
        <v>0</v>
      </c>
      <c r="AU1148" s="5">
        <v>0</v>
      </c>
      <c r="AV1148" s="6">
        <v>0</v>
      </c>
      <c r="AW1148" s="5">
        <v>0</v>
      </c>
      <c r="AX1148" s="6">
        <v>0</v>
      </c>
      <c r="AY1148" s="5">
        <v>0</v>
      </c>
      <c r="AZ1148" s="6">
        <v>0</v>
      </c>
      <c r="BA1148" s="5">
        <v>0</v>
      </c>
      <c r="BB1148" s="6">
        <v>0</v>
      </c>
      <c r="BC1148" s="5">
        <v>0</v>
      </c>
      <c r="BD1148" s="6">
        <v>0</v>
      </c>
      <c r="BE1148" s="5">
        <v>0</v>
      </c>
      <c r="BF1148" s="6">
        <v>0</v>
      </c>
      <c r="BG1148" s="5">
        <v>0</v>
      </c>
      <c r="BH1148" s="9">
        <f t="shared" si="138"/>
        <v>430</v>
      </c>
      <c r="BI1148" s="10">
        <f t="shared" si="139"/>
        <v>5136.6280410107229</v>
      </c>
      <c r="BJ1148" s="6">
        <f t="shared" si="140"/>
        <v>34.30573032271468</v>
      </c>
      <c r="BK1148" s="11">
        <f t="shared" si="141"/>
        <v>8.6697566660981107E-2</v>
      </c>
      <c r="BL1148" s="5">
        <f t="shared" si="142"/>
        <v>601.97171050903307</v>
      </c>
      <c r="BM1148" s="11">
        <f t="shared" si="143"/>
        <v>0.13274913612746353</v>
      </c>
    </row>
    <row r="1149" spans="1:65" ht="15" customHeight="1" x14ac:dyDescent="0.4">
      <c r="A1149" s="2" t="s">
        <v>775</v>
      </c>
      <c r="B1149" s="2" t="s">
        <v>816</v>
      </c>
      <c r="C1149" s="2" t="s">
        <v>817</v>
      </c>
      <c r="D1149" s="3" t="s">
        <v>68</v>
      </c>
      <c r="E1149" s="3" t="s">
        <v>855</v>
      </c>
      <c r="F1149" s="2" t="s">
        <v>535</v>
      </c>
      <c r="G1149" s="4">
        <v>20</v>
      </c>
      <c r="H1149" s="5">
        <v>11.15</v>
      </c>
      <c r="I1149" s="5">
        <v>11.62250956963951</v>
      </c>
      <c r="J1149" s="6">
        <v>0</v>
      </c>
      <c r="K1149" s="5">
        <v>0</v>
      </c>
      <c r="L1149" s="6">
        <v>0</v>
      </c>
      <c r="M1149" s="5">
        <v>0</v>
      </c>
      <c r="N1149" s="6">
        <v>316.55541574182831</v>
      </c>
      <c r="O1149" s="5">
        <v>3529.5928855213851</v>
      </c>
      <c r="P1149" s="6">
        <v>0</v>
      </c>
      <c r="Q1149" s="5">
        <v>0</v>
      </c>
      <c r="R1149" s="6">
        <v>0</v>
      </c>
      <c r="S1149" s="5">
        <v>0</v>
      </c>
      <c r="T1149" s="6">
        <v>0</v>
      </c>
      <c r="U1149" s="5">
        <v>0</v>
      </c>
      <c r="V1149" s="6">
        <v>0</v>
      </c>
      <c r="W1149" s="5">
        <v>0</v>
      </c>
      <c r="X1149" s="6">
        <v>0</v>
      </c>
      <c r="Y1149" s="5">
        <v>0</v>
      </c>
      <c r="Z1149" s="6">
        <v>0</v>
      </c>
      <c r="AA1149" s="5">
        <v>0</v>
      </c>
      <c r="AB1149" s="6">
        <v>0</v>
      </c>
      <c r="AC1149" s="5">
        <v>0</v>
      </c>
      <c r="AD1149" s="6">
        <v>0</v>
      </c>
      <c r="AE1149" s="5">
        <v>0</v>
      </c>
      <c r="AF1149" s="6">
        <v>0</v>
      </c>
      <c r="AG1149" s="5">
        <v>0</v>
      </c>
      <c r="AH1149" s="7">
        <f t="shared" si="136"/>
        <v>316.55541574182831</v>
      </c>
      <c r="AI1149" s="8">
        <f t="shared" si="137"/>
        <v>3529.5928855213851</v>
      </c>
      <c r="AJ1149" s="6">
        <v>0</v>
      </c>
      <c r="AK1149" s="5">
        <v>0</v>
      </c>
      <c r="AL1149" s="6">
        <v>0</v>
      </c>
      <c r="AM1149" s="5">
        <v>0</v>
      </c>
      <c r="AN1149" s="6">
        <v>340</v>
      </c>
      <c r="AO1149" s="5">
        <v>3951.6532536774321</v>
      </c>
      <c r="AP1149" s="6">
        <v>0</v>
      </c>
      <c r="AQ1149" s="5">
        <v>0</v>
      </c>
      <c r="AR1149" s="6">
        <v>0</v>
      </c>
      <c r="AS1149" s="5">
        <v>0</v>
      </c>
      <c r="AT1149" s="6">
        <v>0</v>
      </c>
      <c r="AU1149" s="5">
        <v>0</v>
      </c>
      <c r="AV1149" s="6">
        <v>0</v>
      </c>
      <c r="AW1149" s="5">
        <v>0</v>
      </c>
      <c r="AX1149" s="6">
        <v>0</v>
      </c>
      <c r="AY1149" s="5">
        <v>0</v>
      </c>
      <c r="AZ1149" s="6">
        <v>0</v>
      </c>
      <c r="BA1149" s="5">
        <v>0</v>
      </c>
      <c r="BB1149" s="6">
        <v>0</v>
      </c>
      <c r="BC1149" s="5">
        <v>0</v>
      </c>
      <c r="BD1149" s="6">
        <v>0</v>
      </c>
      <c r="BE1149" s="5">
        <v>0</v>
      </c>
      <c r="BF1149" s="6">
        <v>0</v>
      </c>
      <c r="BG1149" s="5">
        <v>0</v>
      </c>
      <c r="BH1149" s="9">
        <f t="shared" si="138"/>
        <v>340</v>
      </c>
      <c r="BI1149" s="10">
        <f t="shared" si="139"/>
        <v>3951.6532536774321</v>
      </c>
      <c r="BJ1149" s="6">
        <f t="shared" si="140"/>
        <v>23.444584258171687</v>
      </c>
      <c r="BK1149" s="11">
        <f t="shared" si="141"/>
        <v>7.4061548443992764E-2</v>
      </c>
      <c r="BL1149" s="5">
        <f t="shared" si="142"/>
        <v>422.06036815604693</v>
      </c>
      <c r="BM1149" s="11">
        <f t="shared" si="143"/>
        <v>0.11957763454458599</v>
      </c>
    </row>
    <row r="1150" spans="1:65" ht="15" customHeight="1" x14ac:dyDescent="0.4">
      <c r="A1150" s="2" t="s">
        <v>775</v>
      </c>
      <c r="B1150" s="2" t="s">
        <v>816</v>
      </c>
      <c r="C1150" s="2" t="s">
        <v>817</v>
      </c>
      <c r="D1150" s="3" t="s">
        <v>68</v>
      </c>
      <c r="E1150" s="3" t="s">
        <v>856</v>
      </c>
      <c r="F1150" s="2" t="s">
        <v>857</v>
      </c>
      <c r="G1150" s="4">
        <v>1</v>
      </c>
      <c r="H1150" s="5">
        <v>12</v>
      </c>
      <c r="I1150" s="5">
        <v>12.508530478535789</v>
      </c>
      <c r="J1150" s="6">
        <v>0</v>
      </c>
      <c r="K1150" s="5">
        <v>0</v>
      </c>
      <c r="L1150" s="6">
        <v>0</v>
      </c>
      <c r="M1150" s="5">
        <v>0</v>
      </c>
      <c r="N1150" s="6">
        <v>0</v>
      </c>
      <c r="O1150" s="5">
        <v>0</v>
      </c>
      <c r="P1150" s="6">
        <v>0</v>
      </c>
      <c r="Q1150" s="5">
        <v>0</v>
      </c>
      <c r="R1150" s="6">
        <v>0</v>
      </c>
      <c r="S1150" s="5">
        <v>0</v>
      </c>
      <c r="T1150" s="6">
        <v>0</v>
      </c>
      <c r="U1150" s="5">
        <v>0</v>
      </c>
      <c r="V1150" s="6">
        <v>0</v>
      </c>
      <c r="W1150" s="5">
        <v>0</v>
      </c>
      <c r="X1150" s="6">
        <v>0</v>
      </c>
      <c r="Y1150" s="5">
        <v>0</v>
      </c>
      <c r="Z1150" s="6">
        <v>0</v>
      </c>
      <c r="AA1150" s="5">
        <v>0</v>
      </c>
      <c r="AB1150" s="6">
        <v>0</v>
      </c>
      <c r="AC1150" s="5">
        <v>0</v>
      </c>
      <c r="AD1150" s="6">
        <v>473.99806964919469</v>
      </c>
      <c r="AE1150" s="5">
        <v>5687.9768357903358</v>
      </c>
      <c r="AF1150" s="6">
        <v>0</v>
      </c>
      <c r="AG1150" s="5">
        <v>0</v>
      </c>
      <c r="AH1150" s="7">
        <f t="shared" si="136"/>
        <v>473.99806964919469</v>
      </c>
      <c r="AI1150" s="8">
        <f t="shared" si="137"/>
        <v>5687.9768357903358</v>
      </c>
      <c r="AJ1150" s="6">
        <v>0</v>
      </c>
      <c r="AK1150" s="5">
        <v>0</v>
      </c>
      <c r="AL1150" s="6">
        <v>0</v>
      </c>
      <c r="AM1150" s="5">
        <v>0</v>
      </c>
      <c r="AN1150" s="6">
        <v>0</v>
      </c>
      <c r="AO1150" s="5">
        <v>0</v>
      </c>
      <c r="AP1150" s="6">
        <v>0</v>
      </c>
      <c r="AQ1150" s="5">
        <v>0</v>
      </c>
      <c r="AR1150" s="6">
        <v>0</v>
      </c>
      <c r="AS1150" s="5">
        <v>0</v>
      </c>
      <c r="AT1150" s="6">
        <v>0</v>
      </c>
      <c r="AU1150" s="5">
        <v>0</v>
      </c>
      <c r="AV1150" s="6">
        <v>0</v>
      </c>
      <c r="AW1150" s="5">
        <v>0</v>
      </c>
      <c r="AX1150" s="6">
        <v>0</v>
      </c>
      <c r="AY1150" s="5">
        <v>0</v>
      </c>
      <c r="AZ1150" s="6">
        <v>0</v>
      </c>
      <c r="BA1150" s="5">
        <v>0</v>
      </c>
      <c r="BB1150" s="6">
        <v>0</v>
      </c>
      <c r="BC1150" s="5">
        <v>0</v>
      </c>
      <c r="BD1150" s="6">
        <v>515</v>
      </c>
      <c r="BE1150" s="5">
        <v>6441.8931964459334</v>
      </c>
      <c r="BF1150" s="6">
        <v>0</v>
      </c>
      <c r="BG1150" s="5">
        <v>0</v>
      </c>
      <c r="BH1150" s="9">
        <f t="shared" si="138"/>
        <v>515</v>
      </c>
      <c r="BI1150" s="10">
        <f t="shared" si="139"/>
        <v>6441.8931964459334</v>
      </c>
      <c r="BJ1150" s="6">
        <f t="shared" si="140"/>
        <v>41.00193035080531</v>
      </c>
      <c r="BK1150" s="11">
        <f t="shared" si="141"/>
        <v>8.6502315043499617E-2</v>
      </c>
      <c r="BL1150" s="5">
        <f t="shared" si="142"/>
        <v>753.9163606555976</v>
      </c>
      <c r="BM1150" s="11">
        <f t="shared" si="143"/>
        <v>0.13254561022677619</v>
      </c>
    </row>
    <row r="1151" spans="1:65" ht="15" customHeight="1" x14ac:dyDescent="0.4">
      <c r="A1151" s="2" t="s">
        <v>775</v>
      </c>
      <c r="B1151" s="2" t="s">
        <v>816</v>
      </c>
      <c r="C1151" s="2" t="s">
        <v>817</v>
      </c>
      <c r="D1151" s="3" t="s">
        <v>68</v>
      </c>
      <c r="E1151" s="3" t="s">
        <v>858</v>
      </c>
      <c r="F1151" s="2" t="s">
        <v>859</v>
      </c>
      <c r="G1151" s="4">
        <v>5</v>
      </c>
      <c r="H1151" s="5">
        <v>12</v>
      </c>
      <c r="I1151" s="5">
        <v>12.508530478535789</v>
      </c>
      <c r="J1151" s="6">
        <v>0</v>
      </c>
      <c r="K1151" s="5">
        <v>0</v>
      </c>
      <c r="L1151" s="6">
        <v>0</v>
      </c>
      <c r="M1151" s="5">
        <v>0</v>
      </c>
      <c r="N1151" s="6">
        <v>0</v>
      </c>
      <c r="O1151" s="5">
        <v>0</v>
      </c>
      <c r="P1151" s="6">
        <v>0</v>
      </c>
      <c r="Q1151" s="5">
        <v>0</v>
      </c>
      <c r="R1151" s="6">
        <v>0</v>
      </c>
      <c r="S1151" s="5">
        <v>0</v>
      </c>
      <c r="T1151" s="6">
        <v>0</v>
      </c>
      <c r="U1151" s="5">
        <v>0</v>
      </c>
      <c r="V1151" s="6">
        <v>0</v>
      </c>
      <c r="W1151" s="5">
        <v>0</v>
      </c>
      <c r="X1151" s="6">
        <v>0</v>
      </c>
      <c r="Y1151" s="5">
        <v>0</v>
      </c>
      <c r="Z1151" s="6">
        <v>0</v>
      </c>
      <c r="AA1151" s="5">
        <v>0</v>
      </c>
      <c r="AB1151" s="6">
        <v>379.19845571935571</v>
      </c>
      <c r="AC1151" s="5">
        <v>4550.3814686322676</v>
      </c>
      <c r="AD1151" s="6">
        <v>0</v>
      </c>
      <c r="AE1151" s="5">
        <v>0</v>
      </c>
      <c r="AF1151" s="6">
        <v>0</v>
      </c>
      <c r="AG1151" s="5">
        <v>0</v>
      </c>
      <c r="AH1151" s="7">
        <f t="shared" si="136"/>
        <v>379.19845571935571</v>
      </c>
      <c r="AI1151" s="8">
        <f t="shared" si="137"/>
        <v>4550.3814686322676</v>
      </c>
      <c r="AJ1151" s="6">
        <v>0</v>
      </c>
      <c r="AK1151" s="5">
        <v>0</v>
      </c>
      <c r="AL1151" s="6">
        <v>0</v>
      </c>
      <c r="AM1151" s="5">
        <v>0</v>
      </c>
      <c r="AN1151" s="6">
        <v>0</v>
      </c>
      <c r="AO1151" s="5">
        <v>0</v>
      </c>
      <c r="AP1151" s="6">
        <v>0</v>
      </c>
      <c r="AQ1151" s="5">
        <v>0</v>
      </c>
      <c r="AR1151" s="6">
        <v>0</v>
      </c>
      <c r="AS1151" s="5">
        <v>0</v>
      </c>
      <c r="AT1151" s="6">
        <v>0</v>
      </c>
      <c r="AU1151" s="5">
        <v>0</v>
      </c>
      <c r="AV1151" s="6">
        <v>0</v>
      </c>
      <c r="AW1151" s="5">
        <v>0</v>
      </c>
      <c r="AX1151" s="6">
        <v>0</v>
      </c>
      <c r="AY1151" s="5">
        <v>0</v>
      </c>
      <c r="AZ1151" s="6">
        <v>0</v>
      </c>
      <c r="BA1151" s="5">
        <v>0</v>
      </c>
      <c r="BB1151" s="6">
        <v>410</v>
      </c>
      <c r="BC1151" s="5">
        <v>5128.497496199675</v>
      </c>
      <c r="BD1151" s="6">
        <v>0</v>
      </c>
      <c r="BE1151" s="5">
        <v>0</v>
      </c>
      <c r="BF1151" s="6">
        <v>0</v>
      </c>
      <c r="BG1151" s="5">
        <v>0</v>
      </c>
      <c r="BH1151" s="9">
        <f t="shared" si="138"/>
        <v>410</v>
      </c>
      <c r="BI1151" s="10">
        <f t="shared" si="139"/>
        <v>5128.497496199675</v>
      </c>
      <c r="BJ1151" s="6">
        <f t="shared" si="140"/>
        <v>30.801544280644293</v>
      </c>
      <c r="BK1151" s="11">
        <f t="shared" si="141"/>
        <v>8.1228031960764308E-2</v>
      </c>
      <c r="BL1151" s="5">
        <f t="shared" si="142"/>
        <v>578.1160275674074</v>
      </c>
      <c r="BM1151" s="11">
        <f t="shared" si="143"/>
        <v>0.12704781600237458</v>
      </c>
    </row>
    <row r="1152" spans="1:65" ht="15" customHeight="1" x14ac:dyDescent="0.4">
      <c r="A1152" s="2" t="s">
        <v>775</v>
      </c>
      <c r="B1152" s="2" t="s">
        <v>816</v>
      </c>
      <c r="C1152" s="2" t="s">
        <v>817</v>
      </c>
      <c r="D1152" s="3" t="s">
        <v>68</v>
      </c>
      <c r="E1152" s="3" t="s">
        <v>858</v>
      </c>
      <c r="F1152" s="2" t="s">
        <v>857</v>
      </c>
      <c r="G1152" s="4">
        <v>5</v>
      </c>
      <c r="H1152" s="5">
        <v>12</v>
      </c>
      <c r="I1152" s="5">
        <v>12.508530478535789</v>
      </c>
      <c r="J1152" s="6">
        <v>0</v>
      </c>
      <c r="K1152" s="5">
        <v>0</v>
      </c>
      <c r="L1152" s="6">
        <v>0</v>
      </c>
      <c r="M1152" s="5">
        <v>0</v>
      </c>
      <c r="N1152" s="6">
        <v>0</v>
      </c>
      <c r="O1152" s="5">
        <v>0</v>
      </c>
      <c r="P1152" s="6">
        <v>0</v>
      </c>
      <c r="Q1152" s="5">
        <v>0</v>
      </c>
      <c r="R1152" s="6">
        <v>0</v>
      </c>
      <c r="S1152" s="5">
        <v>0</v>
      </c>
      <c r="T1152" s="6">
        <v>0</v>
      </c>
      <c r="U1152" s="5">
        <v>0</v>
      </c>
      <c r="V1152" s="6">
        <v>0</v>
      </c>
      <c r="W1152" s="5">
        <v>0</v>
      </c>
      <c r="X1152" s="6">
        <v>0</v>
      </c>
      <c r="Y1152" s="5">
        <v>0</v>
      </c>
      <c r="Z1152" s="6">
        <v>0</v>
      </c>
      <c r="AA1152" s="5">
        <v>0</v>
      </c>
      <c r="AB1152" s="6">
        <v>0</v>
      </c>
      <c r="AC1152" s="5">
        <v>0</v>
      </c>
      <c r="AD1152" s="6">
        <v>379.19845571935571</v>
      </c>
      <c r="AE1152" s="5">
        <v>4550.3814686322676</v>
      </c>
      <c r="AF1152" s="6">
        <v>0</v>
      </c>
      <c r="AG1152" s="5">
        <v>0</v>
      </c>
      <c r="AH1152" s="7">
        <f t="shared" si="136"/>
        <v>379.19845571935571</v>
      </c>
      <c r="AI1152" s="8">
        <f t="shared" si="137"/>
        <v>4550.3814686322676</v>
      </c>
      <c r="AJ1152" s="6">
        <v>0</v>
      </c>
      <c r="AK1152" s="5">
        <v>0</v>
      </c>
      <c r="AL1152" s="6">
        <v>0</v>
      </c>
      <c r="AM1152" s="5">
        <v>0</v>
      </c>
      <c r="AN1152" s="6">
        <v>0</v>
      </c>
      <c r="AO1152" s="5">
        <v>0</v>
      </c>
      <c r="AP1152" s="6">
        <v>0</v>
      </c>
      <c r="AQ1152" s="5">
        <v>0</v>
      </c>
      <c r="AR1152" s="6">
        <v>0</v>
      </c>
      <c r="AS1152" s="5">
        <v>0</v>
      </c>
      <c r="AT1152" s="6">
        <v>0</v>
      </c>
      <c r="AU1152" s="5">
        <v>0</v>
      </c>
      <c r="AV1152" s="6">
        <v>0</v>
      </c>
      <c r="AW1152" s="5">
        <v>0</v>
      </c>
      <c r="AX1152" s="6">
        <v>0</v>
      </c>
      <c r="AY1152" s="5">
        <v>0</v>
      </c>
      <c r="AZ1152" s="6">
        <v>0</v>
      </c>
      <c r="BA1152" s="5">
        <v>0</v>
      </c>
      <c r="BB1152" s="6">
        <v>0</v>
      </c>
      <c r="BC1152" s="5">
        <v>0</v>
      </c>
      <c r="BD1152" s="6">
        <v>410</v>
      </c>
      <c r="BE1152" s="5">
        <v>5128.497496199675</v>
      </c>
      <c r="BF1152" s="6">
        <v>0</v>
      </c>
      <c r="BG1152" s="5">
        <v>0</v>
      </c>
      <c r="BH1152" s="9">
        <f t="shared" si="138"/>
        <v>410</v>
      </c>
      <c r="BI1152" s="10">
        <f t="shared" si="139"/>
        <v>5128.497496199675</v>
      </c>
      <c r="BJ1152" s="6">
        <f t="shared" si="140"/>
        <v>30.801544280644293</v>
      </c>
      <c r="BK1152" s="11">
        <f t="shared" si="141"/>
        <v>8.1228031960764308E-2</v>
      </c>
      <c r="BL1152" s="5">
        <f t="shared" si="142"/>
        <v>578.1160275674074</v>
      </c>
      <c r="BM1152" s="11">
        <f t="shared" si="143"/>
        <v>0.12704781600237458</v>
      </c>
    </row>
    <row r="1153" spans="1:65" ht="15" customHeight="1" x14ac:dyDescent="0.4">
      <c r="A1153" s="2" t="s">
        <v>775</v>
      </c>
      <c r="B1153" s="2" t="s">
        <v>816</v>
      </c>
      <c r="C1153" s="2" t="s">
        <v>817</v>
      </c>
      <c r="D1153" s="3" t="s">
        <v>68</v>
      </c>
      <c r="E1153" s="3" t="s">
        <v>860</v>
      </c>
      <c r="F1153" s="2" t="s">
        <v>546</v>
      </c>
      <c r="G1153" s="4">
        <v>1</v>
      </c>
      <c r="H1153" s="5">
        <v>4.4499999999999993</v>
      </c>
      <c r="I1153" s="5">
        <v>4.6385800524570229</v>
      </c>
      <c r="J1153" s="6">
        <v>0</v>
      </c>
      <c r="K1153" s="5">
        <v>0</v>
      </c>
      <c r="L1153" s="6">
        <v>0</v>
      </c>
      <c r="M1153" s="5">
        <v>0</v>
      </c>
      <c r="N1153" s="6">
        <v>0</v>
      </c>
      <c r="O1153" s="5">
        <v>0</v>
      </c>
      <c r="P1153" s="6">
        <v>0</v>
      </c>
      <c r="Q1153" s="5">
        <v>0</v>
      </c>
      <c r="R1153" s="6">
        <v>0</v>
      </c>
      <c r="S1153" s="5">
        <v>0</v>
      </c>
      <c r="T1153" s="6">
        <v>0</v>
      </c>
      <c r="U1153" s="5">
        <v>0</v>
      </c>
      <c r="V1153" s="6">
        <v>0</v>
      </c>
      <c r="W1153" s="5">
        <v>0</v>
      </c>
      <c r="X1153" s="6">
        <v>0</v>
      </c>
      <c r="Y1153" s="5">
        <v>0</v>
      </c>
      <c r="Z1153" s="6">
        <v>0</v>
      </c>
      <c r="AA1153" s="5">
        <v>0</v>
      </c>
      <c r="AB1153" s="6">
        <v>1001.083923099099</v>
      </c>
      <c r="AC1153" s="5">
        <v>4454.8234577909907</v>
      </c>
      <c r="AD1153" s="6">
        <v>0</v>
      </c>
      <c r="AE1153" s="5">
        <v>0</v>
      </c>
      <c r="AF1153" s="6">
        <v>379.19845571935571</v>
      </c>
      <c r="AG1153" s="5">
        <v>1687.433127951133</v>
      </c>
      <c r="AH1153" s="7">
        <f t="shared" si="136"/>
        <v>1380.2823788184546</v>
      </c>
      <c r="AI1153" s="8">
        <f t="shared" si="137"/>
        <v>6142.2565857421232</v>
      </c>
      <c r="AJ1153" s="6">
        <v>0</v>
      </c>
      <c r="AK1153" s="5">
        <v>0</v>
      </c>
      <c r="AL1153" s="6">
        <v>0</v>
      </c>
      <c r="AM1153" s="5">
        <v>0</v>
      </c>
      <c r="AN1153" s="6">
        <v>0</v>
      </c>
      <c r="AO1153" s="5">
        <v>0</v>
      </c>
      <c r="AP1153" s="6">
        <v>0</v>
      </c>
      <c r="AQ1153" s="5">
        <v>0</v>
      </c>
      <c r="AR1153" s="6">
        <v>0</v>
      </c>
      <c r="AS1153" s="5">
        <v>0</v>
      </c>
      <c r="AT1153" s="6">
        <v>0</v>
      </c>
      <c r="AU1153" s="5">
        <v>0</v>
      </c>
      <c r="AV1153" s="6">
        <v>0</v>
      </c>
      <c r="AW1153" s="5">
        <v>0</v>
      </c>
      <c r="AX1153" s="6">
        <v>0</v>
      </c>
      <c r="AY1153" s="5">
        <v>0</v>
      </c>
      <c r="AZ1153" s="6">
        <v>0</v>
      </c>
      <c r="BA1153" s="5">
        <v>0</v>
      </c>
      <c r="BB1153" s="6">
        <v>1104</v>
      </c>
      <c r="BC1153" s="5">
        <v>5120.9923779125538</v>
      </c>
      <c r="BD1153" s="6">
        <v>0</v>
      </c>
      <c r="BE1153" s="5">
        <v>0</v>
      </c>
      <c r="BF1153" s="6">
        <v>418</v>
      </c>
      <c r="BG1153" s="5">
        <v>1938.9264619270359</v>
      </c>
      <c r="BH1153" s="9">
        <f t="shared" si="138"/>
        <v>1522</v>
      </c>
      <c r="BI1153" s="10">
        <f t="shared" si="139"/>
        <v>7059.91883983959</v>
      </c>
      <c r="BJ1153" s="6">
        <f t="shared" si="140"/>
        <v>141.71762118154538</v>
      </c>
      <c r="BK1153" s="11">
        <f t="shared" si="141"/>
        <v>0.10267291922023818</v>
      </c>
      <c r="BL1153" s="5">
        <f t="shared" si="142"/>
        <v>917.66225409746676</v>
      </c>
      <c r="BM1153" s="11">
        <f t="shared" si="143"/>
        <v>0.14940148482686555</v>
      </c>
    </row>
    <row r="1154" spans="1:65" ht="15" customHeight="1" x14ac:dyDescent="0.4">
      <c r="A1154" s="2" t="s">
        <v>775</v>
      </c>
      <c r="B1154" s="2" t="s">
        <v>816</v>
      </c>
      <c r="C1154" s="2" t="s">
        <v>817</v>
      </c>
      <c r="D1154" s="3" t="s">
        <v>68</v>
      </c>
      <c r="E1154" s="3" t="s">
        <v>861</v>
      </c>
      <c r="F1154" s="2" t="s">
        <v>219</v>
      </c>
      <c r="G1154" s="4">
        <v>5</v>
      </c>
      <c r="H1154" s="5">
        <v>3.68</v>
      </c>
      <c r="I1154" s="5">
        <v>3.8359493467509771</v>
      </c>
      <c r="J1154" s="6">
        <v>0</v>
      </c>
      <c r="K1154" s="5">
        <v>0</v>
      </c>
      <c r="L1154" s="6">
        <v>0</v>
      </c>
      <c r="M1154" s="5">
        <v>0</v>
      </c>
      <c r="N1154" s="6">
        <v>0</v>
      </c>
      <c r="O1154" s="5">
        <v>0</v>
      </c>
      <c r="P1154" s="6">
        <v>0</v>
      </c>
      <c r="Q1154" s="5">
        <v>0</v>
      </c>
      <c r="R1154" s="6">
        <v>0</v>
      </c>
      <c r="S1154" s="5">
        <v>0</v>
      </c>
      <c r="T1154" s="6">
        <v>0</v>
      </c>
      <c r="U1154" s="5">
        <v>0</v>
      </c>
      <c r="V1154" s="6">
        <v>0</v>
      </c>
      <c r="W1154" s="5">
        <v>0</v>
      </c>
      <c r="X1154" s="6">
        <v>0</v>
      </c>
      <c r="Y1154" s="5">
        <v>0</v>
      </c>
      <c r="Z1154" s="6">
        <v>0</v>
      </c>
      <c r="AA1154" s="5">
        <v>0</v>
      </c>
      <c r="AB1154" s="6">
        <v>947.99613929838938</v>
      </c>
      <c r="AC1154" s="5">
        <v>3488.6257926180729</v>
      </c>
      <c r="AD1154" s="6">
        <v>0</v>
      </c>
      <c r="AE1154" s="5">
        <v>0</v>
      </c>
      <c r="AF1154" s="6">
        <v>379.19845571935571</v>
      </c>
      <c r="AG1154" s="5">
        <v>1395.450317047229</v>
      </c>
      <c r="AH1154" s="7">
        <f t="shared" ref="AH1154:AH1217" si="144">J1154+L1154+N1154+P1154+R1154+T1154+V1154+X1154+Z1154+AB1154+AD1154+AF1154</f>
        <v>1327.1945950177451</v>
      </c>
      <c r="AI1154" s="8">
        <f t="shared" ref="AI1154:AI1217" si="145">K1154+M1154+O1154+Q1154+S1154+U1154+W1154+Y1154+AA1154+AC1154+AE1154+AG1154</f>
        <v>4884.0761096653023</v>
      </c>
      <c r="AJ1154" s="6">
        <v>0</v>
      </c>
      <c r="AK1154" s="5">
        <v>0</v>
      </c>
      <c r="AL1154" s="6">
        <v>0</v>
      </c>
      <c r="AM1154" s="5">
        <v>0</v>
      </c>
      <c r="AN1154" s="6">
        <v>0</v>
      </c>
      <c r="AO1154" s="5">
        <v>0</v>
      </c>
      <c r="AP1154" s="6">
        <v>0</v>
      </c>
      <c r="AQ1154" s="5">
        <v>0</v>
      </c>
      <c r="AR1154" s="6">
        <v>0</v>
      </c>
      <c r="AS1154" s="5">
        <v>0</v>
      </c>
      <c r="AT1154" s="6">
        <v>0</v>
      </c>
      <c r="AU1154" s="5">
        <v>0</v>
      </c>
      <c r="AV1154" s="6">
        <v>0</v>
      </c>
      <c r="AW1154" s="5">
        <v>0</v>
      </c>
      <c r="AX1154" s="6">
        <v>0</v>
      </c>
      <c r="AY1154" s="5">
        <v>0</v>
      </c>
      <c r="AZ1154" s="6">
        <v>0</v>
      </c>
      <c r="BA1154" s="5">
        <v>0</v>
      </c>
      <c r="BB1154" s="6">
        <v>1030</v>
      </c>
      <c r="BC1154" s="5">
        <v>3951.0278271535062</v>
      </c>
      <c r="BD1154" s="6">
        <v>0</v>
      </c>
      <c r="BE1154" s="5">
        <v>0</v>
      </c>
      <c r="BF1154" s="6">
        <v>410</v>
      </c>
      <c r="BG1154" s="5">
        <v>1572.7392321678999</v>
      </c>
      <c r="BH1154" s="9">
        <f t="shared" ref="BH1154:BH1217" si="146">AJ1154+AL1154+AN1154+AP1154+AR1154+AT1154+AV1154+AX1154+AZ1154+BB1154+BD1154+BF1154</f>
        <v>1440</v>
      </c>
      <c r="BI1154" s="10">
        <f t="shared" ref="BI1154:BI1217" si="147">AK1154+AM1154+AO1154+AQ1154+AS1154+AU1154+AW1154+AY1154+BA1154+BC1154+BE1154+BG1154</f>
        <v>5523.7670593214061</v>
      </c>
      <c r="BJ1154" s="6">
        <f t="shared" ref="BJ1154:BJ1217" si="148">BH1154-AH1154</f>
        <v>112.80540498225491</v>
      </c>
      <c r="BK1154" s="11">
        <f t="shared" ref="BK1154:BK1217" si="149">IF(AH1154&gt;0, BJ1154/AH1154, 0)</f>
        <v>8.4995377019860957E-2</v>
      </c>
      <c r="BL1154" s="5">
        <f t="shared" ref="BL1154:BL1217" si="150">BI1154-AI1154</f>
        <v>639.69094965610384</v>
      </c>
      <c r="BM1154" s="11">
        <f t="shared" ref="BM1154:BM1217" si="151">IF(AI1154&gt;0, BL1154/AI1154, 0)</f>
        <v>0.13097481187694693</v>
      </c>
    </row>
    <row r="1155" spans="1:65" ht="15" customHeight="1" x14ac:dyDescent="0.4">
      <c r="A1155" s="2" t="s">
        <v>775</v>
      </c>
      <c r="B1155" s="2" t="s">
        <v>816</v>
      </c>
      <c r="C1155" s="2" t="s">
        <v>817</v>
      </c>
      <c r="D1155" s="3" t="s">
        <v>68</v>
      </c>
      <c r="E1155" s="3" t="s">
        <v>862</v>
      </c>
      <c r="F1155" s="2" t="s">
        <v>863</v>
      </c>
      <c r="G1155" s="4">
        <v>20</v>
      </c>
      <c r="H1155" s="5">
        <v>3.72</v>
      </c>
      <c r="I1155" s="5">
        <v>3.877644448346095</v>
      </c>
      <c r="J1155" s="6">
        <v>989.23567419321319</v>
      </c>
      <c r="K1155" s="5">
        <v>3679.9567079987528</v>
      </c>
      <c r="L1155" s="6">
        <v>0</v>
      </c>
      <c r="M1155" s="5">
        <v>0</v>
      </c>
      <c r="N1155" s="6">
        <v>0</v>
      </c>
      <c r="O1155" s="5">
        <v>0</v>
      </c>
      <c r="P1155" s="6">
        <v>0</v>
      </c>
      <c r="Q1155" s="5">
        <v>0</v>
      </c>
      <c r="R1155" s="6">
        <v>791.38853935457064</v>
      </c>
      <c r="S1155" s="5">
        <v>2943.965366399003</v>
      </c>
      <c r="T1155" s="6">
        <v>0</v>
      </c>
      <c r="U1155" s="5">
        <v>0</v>
      </c>
      <c r="V1155" s="6">
        <v>0</v>
      </c>
      <c r="W1155" s="5">
        <v>0</v>
      </c>
      <c r="X1155" s="6">
        <v>0</v>
      </c>
      <c r="Y1155" s="5">
        <v>0</v>
      </c>
      <c r="Z1155" s="6">
        <v>0</v>
      </c>
      <c r="AA1155" s="5">
        <v>0</v>
      </c>
      <c r="AB1155" s="6">
        <v>0</v>
      </c>
      <c r="AC1155" s="5">
        <v>0</v>
      </c>
      <c r="AD1155" s="6">
        <v>0</v>
      </c>
      <c r="AE1155" s="5">
        <v>0</v>
      </c>
      <c r="AF1155" s="6">
        <v>0</v>
      </c>
      <c r="AG1155" s="5">
        <v>0</v>
      </c>
      <c r="AH1155" s="7">
        <f t="shared" si="144"/>
        <v>1780.6242135477837</v>
      </c>
      <c r="AI1155" s="8">
        <f t="shared" si="145"/>
        <v>6623.9220743977558</v>
      </c>
      <c r="AJ1155" s="6">
        <v>1080</v>
      </c>
      <c r="AK1155" s="5">
        <v>4187.8560042137833</v>
      </c>
      <c r="AL1155" s="6">
        <v>0</v>
      </c>
      <c r="AM1155" s="5">
        <v>0</v>
      </c>
      <c r="AN1155" s="6">
        <v>0</v>
      </c>
      <c r="AO1155" s="5">
        <v>0</v>
      </c>
      <c r="AP1155" s="6">
        <v>0</v>
      </c>
      <c r="AQ1155" s="5">
        <v>0</v>
      </c>
      <c r="AR1155" s="6">
        <v>860</v>
      </c>
      <c r="AS1155" s="5">
        <v>3334.774225577642</v>
      </c>
      <c r="AT1155" s="6">
        <v>0</v>
      </c>
      <c r="AU1155" s="5">
        <v>0</v>
      </c>
      <c r="AV1155" s="6">
        <v>0</v>
      </c>
      <c r="AW1155" s="5">
        <v>0</v>
      </c>
      <c r="AX1155" s="6">
        <v>0</v>
      </c>
      <c r="AY1155" s="5">
        <v>0</v>
      </c>
      <c r="AZ1155" s="6">
        <v>0</v>
      </c>
      <c r="BA1155" s="5">
        <v>0</v>
      </c>
      <c r="BB1155" s="6">
        <v>0</v>
      </c>
      <c r="BC1155" s="5">
        <v>0</v>
      </c>
      <c r="BD1155" s="6">
        <v>0</v>
      </c>
      <c r="BE1155" s="5">
        <v>0</v>
      </c>
      <c r="BF1155" s="6">
        <v>0</v>
      </c>
      <c r="BG1155" s="5">
        <v>0</v>
      </c>
      <c r="BH1155" s="9">
        <f t="shared" si="146"/>
        <v>1940</v>
      </c>
      <c r="BI1155" s="10">
        <f t="shared" si="147"/>
        <v>7522.6302297914253</v>
      </c>
      <c r="BJ1155" s="6">
        <f t="shared" si="148"/>
        <v>159.37578645221629</v>
      </c>
      <c r="BK1155" s="11">
        <f t="shared" si="149"/>
        <v>8.9505570709200843E-2</v>
      </c>
      <c r="BL1155" s="5">
        <f t="shared" si="150"/>
        <v>898.70815539366959</v>
      </c>
      <c r="BM1155" s="11">
        <f t="shared" si="151"/>
        <v>0.1356761364792142</v>
      </c>
    </row>
    <row r="1156" spans="1:65" ht="15" customHeight="1" x14ac:dyDescent="0.4">
      <c r="A1156" s="2" t="s">
        <v>775</v>
      </c>
      <c r="B1156" s="2" t="s">
        <v>816</v>
      </c>
      <c r="C1156" s="2" t="s">
        <v>817</v>
      </c>
      <c r="D1156" s="3" t="s">
        <v>68</v>
      </c>
      <c r="E1156" s="3" t="s">
        <v>862</v>
      </c>
      <c r="F1156" s="2" t="s">
        <v>864</v>
      </c>
      <c r="G1156" s="4">
        <v>20</v>
      </c>
      <c r="H1156" s="5">
        <v>3.72</v>
      </c>
      <c r="I1156" s="5">
        <v>3.8776444483460959</v>
      </c>
      <c r="J1156" s="6">
        <v>0</v>
      </c>
      <c r="K1156" s="5">
        <v>0</v>
      </c>
      <c r="L1156" s="6">
        <v>0</v>
      </c>
      <c r="M1156" s="5">
        <v>0</v>
      </c>
      <c r="N1156" s="6">
        <v>0</v>
      </c>
      <c r="O1156" s="5">
        <v>0</v>
      </c>
      <c r="P1156" s="6">
        <v>0</v>
      </c>
      <c r="Q1156" s="5">
        <v>0</v>
      </c>
      <c r="R1156" s="6">
        <v>0</v>
      </c>
      <c r="S1156" s="5">
        <v>0</v>
      </c>
      <c r="T1156" s="6">
        <v>949.66624722548465</v>
      </c>
      <c r="U1156" s="5">
        <v>3532.7584396788029</v>
      </c>
      <c r="V1156" s="6">
        <v>0</v>
      </c>
      <c r="W1156" s="5">
        <v>0</v>
      </c>
      <c r="X1156" s="6">
        <v>0</v>
      </c>
      <c r="Y1156" s="5">
        <v>0</v>
      </c>
      <c r="Z1156" s="6">
        <v>0</v>
      </c>
      <c r="AA1156" s="5">
        <v>0</v>
      </c>
      <c r="AB1156" s="6">
        <v>0</v>
      </c>
      <c r="AC1156" s="5">
        <v>0</v>
      </c>
      <c r="AD1156" s="6">
        <v>0</v>
      </c>
      <c r="AE1156" s="5">
        <v>0</v>
      </c>
      <c r="AF1156" s="6">
        <v>0</v>
      </c>
      <c r="AG1156" s="5">
        <v>0</v>
      </c>
      <c r="AH1156" s="7">
        <f t="shared" si="144"/>
        <v>949.66624722548465</v>
      </c>
      <c r="AI1156" s="8">
        <f t="shared" si="145"/>
        <v>3532.7584396788029</v>
      </c>
      <c r="AJ1156" s="6">
        <v>0</v>
      </c>
      <c r="AK1156" s="5">
        <v>0</v>
      </c>
      <c r="AL1156" s="6">
        <v>0</v>
      </c>
      <c r="AM1156" s="5">
        <v>0</v>
      </c>
      <c r="AN1156" s="6">
        <v>0</v>
      </c>
      <c r="AO1156" s="5">
        <v>0</v>
      </c>
      <c r="AP1156" s="6">
        <v>0</v>
      </c>
      <c r="AQ1156" s="5">
        <v>0</v>
      </c>
      <c r="AR1156" s="6">
        <v>0</v>
      </c>
      <c r="AS1156" s="5">
        <v>0</v>
      </c>
      <c r="AT1156" s="6">
        <v>1040</v>
      </c>
      <c r="AU1156" s="5">
        <v>4032.7502262799399</v>
      </c>
      <c r="AV1156" s="6">
        <v>0</v>
      </c>
      <c r="AW1156" s="5">
        <v>0</v>
      </c>
      <c r="AX1156" s="6">
        <v>0</v>
      </c>
      <c r="AY1156" s="5">
        <v>0</v>
      </c>
      <c r="AZ1156" s="6">
        <v>0</v>
      </c>
      <c r="BA1156" s="5">
        <v>0</v>
      </c>
      <c r="BB1156" s="6">
        <v>0</v>
      </c>
      <c r="BC1156" s="5">
        <v>0</v>
      </c>
      <c r="BD1156" s="6">
        <v>0</v>
      </c>
      <c r="BE1156" s="5">
        <v>0</v>
      </c>
      <c r="BF1156" s="6">
        <v>0</v>
      </c>
      <c r="BG1156" s="5">
        <v>0</v>
      </c>
      <c r="BH1156" s="9">
        <f t="shared" si="146"/>
        <v>1040</v>
      </c>
      <c r="BI1156" s="10">
        <f t="shared" si="147"/>
        <v>4032.7502262799399</v>
      </c>
      <c r="BJ1156" s="6">
        <f t="shared" si="148"/>
        <v>90.333752774515347</v>
      </c>
      <c r="BK1156" s="11">
        <f t="shared" si="149"/>
        <v>9.5121578805640011E-2</v>
      </c>
      <c r="BL1156" s="5">
        <f t="shared" si="150"/>
        <v>499.99178660113694</v>
      </c>
      <c r="BM1156" s="11">
        <f t="shared" si="151"/>
        <v>0.14153013718271551</v>
      </c>
    </row>
    <row r="1157" spans="1:65" ht="15" customHeight="1" x14ac:dyDescent="0.4">
      <c r="A1157" s="2" t="s">
        <v>775</v>
      </c>
      <c r="B1157" s="2" t="s">
        <v>816</v>
      </c>
      <c r="C1157" s="2" t="s">
        <v>817</v>
      </c>
      <c r="D1157" s="3" t="s">
        <v>68</v>
      </c>
      <c r="E1157" s="3" t="s">
        <v>862</v>
      </c>
      <c r="F1157" s="2" t="s">
        <v>548</v>
      </c>
      <c r="G1157" s="4">
        <v>20</v>
      </c>
      <c r="H1157" s="5">
        <v>3.7200000000000011</v>
      </c>
      <c r="I1157" s="5">
        <v>3.8776444483460959</v>
      </c>
      <c r="J1157" s="6">
        <v>0</v>
      </c>
      <c r="K1157" s="5">
        <v>0</v>
      </c>
      <c r="L1157" s="6">
        <v>0</v>
      </c>
      <c r="M1157" s="5">
        <v>0</v>
      </c>
      <c r="N1157" s="6">
        <v>0</v>
      </c>
      <c r="O1157" s="5">
        <v>0</v>
      </c>
      <c r="P1157" s="6">
        <v>0</v>
      </c>
      <c r="Q1157" s="5">
        <v>0</v>
      </c>
      <c r="R1157" s="6">
        <v>0</v>
      </c>
      <c r="S1157" s="5">
        <v>0</v>
      </c>
      <c r="T1157" s="6">
        <v>0</v>
      </c>
      <c r="U1157" s="5">
        <v>0</v>
      </c>
      <c r="V1157" s="6">
        <v>0</v>
      </c>
      <c r="W1157" s="5">
        <v>0</v>
      </c>
      <c r="X1157" s="6">
        <v>0</v>
      </c>
      <c r="Y1157" s="5">
        <v>0</v>
      </c>
      <c r="Z1157" s="6">
        <v>0</v>
      </c>
      <c r="AA1157" s="5">
        <v>0</v>
      </c>
      <c r="AB1157" s="6">
        <v>2616.469344463555</v>
      </c>
      <c r="AC1157" s="5">
        <v>9733.2659614044242</v>
      </c>
      <c r="AD1157" s="6">
        <v>0</v>
      </c>
      <c r="AE1157" s="5">
        <v>0</v>
      </c>
      <c r="AF1157" s="6">
        <v>758.39691143871141</v>
      </c>
      <c r="AG1157" s="5">
        <v>2821.2365105520071</v>
      </c>
      <c r="AH1157" s="7">
        <f t="shared" si="144"/>
        <v>3374.8662559022664</v>
      </c>
      <c r="AI1157" s="8">
        <f t="shared" si="145"/>
        <v>12554.502471956432</v>
      </c>
      <c r="AJ1157" s="6">
        <v>0</v>
      </c>
      <c r="AK1157" s="5">
        <v>0</v>
      </c>
      <c r="AL1157" s="6">
        <v>0</v>
      </c>
      <c r="AM1157" s="5">
        <v>0</v>
      </c>
      <c r="AN1157" s="6">
        <v>0</v>
      </c>
      <c r="AO1157" s="5">
        <v>0</v>
      </c>
      <c r="AP1157" s="6">
        <v>0</v>
      </c>
      <c r="AQ1157" s="5">
        <v>0</v>
      </c>
      <c r="AR1157" s="6">
        <v>0</v>
      </c>
      <c r="AS1157" s="5">
        <v>0</v>
      </c>
      <c r="AT1157" s="6">
        <v>0</v>
      </c>
      <c r="AU1157" s="5">
        <v>0</v>
      </c>
      <c r="AV1157" s="6">
        <v>0</v>
      </c>
      <c r="AW1157" s="5">
        <v>0</v>
      </c>
      <c r="AX1157" s="6">
        <v>0</v>
      </c>
      <c r="AY1157" s="5">
        <v>0</v>
      </c>
      <c r="AZ1157" s="6">
        <v>0</v>
      </c>
      <c r="BA1157" s="5">
        <v>0</v>
      </c>
      <c r="BB1157" s="6">
        <v>2840</v>
      </c>
      <c r="BC1157" s="5">
        <v>11012.51023330291</v>
      </c>
      <c r="BD1157" s="6">
        <v>0</v>
      </c>
      <c r="BE1157" s="5">
        <v>0</v>
      </c>
      <c r="BF1157" s="6">
        <v>820</v>
      </c>
      <c r="BG1157" s="5">
        <v>3179.668447643799</v>
      </c>
      <c r="BH1157" s="9">
        <f t="shared" si="146"/>
        <v>3660</v>
      </c>
      <c r="BI1157" s="10">
        <f t="shared" si="147"/>
        <v>14192.178680946708</v>
      </c>
      <c r="BJ1157" s="6">
        <f t="shared" si="148"/>
        <v>285.1337440977336</v>
      </c>
      <c r="BK1157" s="11">
        <f t="shared" si="149"/>
        <v>8.4487420382679271E-2</v>
      </c>
      <c r="BL1157" s="5">
        <f t="shared" si="150"/>
        <v>1637.6762089902768</v>
      </c>
      <c r="BM1157" s="11">
        <f t="shared" si="151"/>
        <v>0.13044532928711666</v>
      </c>
    </row>
    <row r="1158" spans="1:65" ht="15" customHeight="1" x14ac:dyDescent="0.4">
      <c r="A1158" s="2" t="s">
        <v>775</v>
      </c>
      <c r="B1158" s="2" t="s">
        <v>865</v>
      </c>
      <c r="C1158" s="2" t="s">
        <v>866</v>
      </c>
      <c r="D1158" s="3" t="s">
        <v>68</v>
      </c>
      <c r="E1158" s="3" t="s">
        <v>867</v>
      </c>
      <c r="F1158" s="2" t="s">
        <v>392</v>
      </c>
      <c r="G1158" s="4">
        <v>1</v>
      </c>
      <c r="H1158" s="5">
        <v>5.31</v>
      </c>
      <c r="I1158" s="5">
        <v>5.5350247367520886</v>
      </c>
      <c r="J1158" s="6">
        <v>0</v>
      </c>
      <c r="K1158" s="5">
        <v>0</v>
      </c>
      <c r="L1158" s="6">
        <v>1551.1215371349581</v>
      </c>
      <c r="M1158" s="5">
        <v>8236.4553621866289</v>
      </c>
      <c r="N1158" s="6">
        <v>0</v>
      </c>
      <c r="O1158" s="5">
        <v>0</v>
      </c>
      <c r="P1158" s="6">
        <v>0</v>
      </c>
      <c r="Q1158" s="5">
        <v>0</v>
      </c>
      <c r="R1158" s="6">
        <v>0</v>
      </c>
      <c r="S1158" s="5">
        <v>0</v>
      </c>
      <c r="T1158" s="6">
        <v>0</v>
      </c>
      <c r="U1158" s="5">
        <v>0</v>
      </c>
      <c r="V1158" s="6">
        <v>0</v>
      </c>
      <c r="W1158" s="5">
        <v>0</v>
      </c>
      <c r="X1158" s="6">
        <v>0</v>
      </c>
      <c r="Y1158" s="5">
        <v>0</v>
      </c>
      <c r="Z1158" s="6">
        <v>0</v>
      </c>
      <c r="AA1158" s="5">
        <v>0</v>
      </c>
      <c r="AB1158" s="6">
        <v>0</v>
      </c>
      <c r="AC1158" s="5">
        <v>0</v>
      </c>
      <c r="AD1158" s="6">
        <v>758.39691143871141</v>
      </c>
      <c r="AE1158" s="5">
        <v>4027.0875997395578</v>
      </c>
      <c r="AF1158" s="6">
        <v>0</v>
      </c>
      <c r="AG1158" s="5">
        <v>0</v>
      </c>
      <c r="AH1158" s="7">
        <f t="shared" si="144"/>
        <v>2309.5184485736695</v>
      </c>
      <c r="AI1158" s="8">
        <f t="shared" si="145"/>
        <v>12263.542961926187</v>
      </c>
      <c r="AJ1158" s="6">
        <v>0</v>
      </c>
      <c r="AK1158" s="5">
        <v>0</v>
      </c>
      <c r="AL1158" s="6">
        <v>1954</v>
      </c>
      <c r="AM1158" s="5">
        <v>10815.43833561358</v>
      </c>
      <c r="AN1158" s="6">
        <v>0</v>
      </c>
      <c r="AO1158" s="5">
        <v>0</v>
      </c>
      <c r="AP1158" s="6">
        <v>0</v>
      </c>
      <c r="AQ1158" s="5">
        <v>0</v>
      </c>
      <c r="AR1158" s="6">
        <v>0</v>
      </c>
      <c r="AS1158" s="5">
        <v>0</v>
      </c>
      <c r="AT1158" s="6">
        <v>0</v>
      </c>
      <c r="AU1158" s="5">
        <v>0</v>
      </c>
      <c r="AV1158" s="6">
        <v>0</v>
      </c>
      <c r="AW1158" s="5">
        <v>0</v>
      </c>
      <c r="AX1158" s="6">
        <v>0</v>
      </c>
      <c r="AY1158" s="5">
        <v>0</v>
      </c>
      <c r="AZ1158" s="6">
        <v>0</v>
      </c>
      <c r="BA1158" s="5">
        <v>0</v>
      </c>
      <c r="BB1158" s="6">
        <v>0</v>
      </c>
      <c r="BC1158" s="5">
        <v>0</v>
      </c>
      <c r="BD1158" s="6">
        <v>956</v>
      </c>
      <c r="BE1158" s="5">
        <v>5291.4836483349964</v>
      </c>
      <c r="BF1158" s="6">
        <v>0</v>
      </c>
      <c r="BG1158" s="5">
        <v>0</v>
      </c>
      <c r="BH1158" s="9">
        <f t="shared" si="146"/>
        <v>2910</v>
      </c>
      <c r="BI1158" s="10">
        <f t="shared" si="147"/>
        <v>16106.921983948578</v>
      </c>
      <c r="BJ1158" s="6">
        <f t="shared" si="148"/>
        <v>600.4815514263305</v>
      </c>
      <c r="BK1158" s="11">
        <f t="shared" si="149"/>
        <v>0.2600029247643294</v>
      </c>
      <c r="BL1158" s="5">
        <f t="shared" si="150"/>
        <v>3843.3790220223909</v>
      </c>
      <c r="BM1158" s="11">
        <f t="shared" si="151"/>
        <v>0.31339874895490449</v>
      </c>
    </row>
    <row r="1159" spans="1:65" ht="15" customHeight="1" x14ac:dyDescent="0.4">
      <c r="A1159" s="2" t="s">
        <v>775</v>
      </c>
      <c r="B1159" s="2" t="s">
        <v>865</v>
      </c>
      <c r="C1159" s="2" t="s">
        <v>866</v>
      </c>
      <c r="D1159" s="3" t="s">
        <v>68</v>
      </c>
      <c r="E1159" s="3" t="s">
        <v>867</v>
      </c>
      <c r="F1159" s="2" t="s">
        <v>215</v>
      </c>
      <c r="G1159" s="4">
        <v>1</v>
      </c>
      <c r="H1159" s="5">
        <v>5.31</v>
      </c>
      <c r="I1159" s="5">
        <v>5.5350247367520877</v>
      </c>
      <c r="J1159" s="6">
        <v>0</v>
      </c>
      <c r="K1159" s="5">
        <v>0</v>
      </c>
      <c r="L1159" s="6">
        <v>0</v>
      </c>
      <c r="M1159" s="5">
        <v>0</v>
      </c>
      <c r="N1159" s="6">
        <v>0</v>
      </c>
      <c r="O1159" s="5">
        <v>0</v>
      </c>
      <c r="P1159" s="6">
        <v>0</v>
      </c>
      <c r="Q1159" s="5">
        <v>0</v>
      </c>
      <c r="R1159" s="6">
        <v>0</v>
      </c>
      <c r="S1159" s="5">
        <v>0</v>
      </c>
      <c r="T1159" s="6">
        <v>0</v>
      </c>
      <c r="U1159" s="5">
        <v>0</v>
      </c>
      <c r="V1159" s="6">
        <v>0</v>
      </c>
      <c r="W1159" s="5">
        <v>0</v>
      </c>
      <c r="X1159" s="6">
        <v>1377.016058476953</v>
      </c>
      <c r="Y1159" s="5">
        <v>7311.9552705126189</v>
      </c>
      <c r="Z1159" s="6">
        <v>0</v>
      </c>
      <c r="AA1159" s="5">
        <v>0</v>
      </c>
      <c r="AB1159" s="6">
        <v>0</v>
      </c>
      <c r="AC1159" s="5">
        <v>0</v>
      </c>
      <c r="AD1159" s="6">
        <v>0</v>
      </c>
      <c r="AE1159" s="5">
        <v>0</v>
      </c>
      <c r="AF1159" s="6">
        <v>0</v>
      </c>
      <c r="AG1159" s="5">
        <v>0</v>
      </c>
      <c r="AH1159" s="7">
        <f t="shared" si="144"/>
        <v>1377.016058476953</v>
      </c>
      <c r="AI1159" s="8">
        <f t="shared" si="145"/>
        <v>7311.9552705126189</v>
      </c>
      <c r="AJ1159" s="6">
        <v>0</v>
      </c>
      <c r="AK1159" s="5">
        <v>0</v>
      </c>
      <c r="AL1159" s="6">
        <v>0</v>
      </c>
      <c r="AM1159" s="5">
        <v>0</v>
      </c>
      <c r="AN1159" s="6">
        <v>0</v>
      </c>
      <c r="AO1159" s="5">
        <v>0</v>
      </c>
      <c r="AP1159" s="6">
        <v>0</v>
      </c>
      <c r="AQ1159" s="5">
        <v>0</v>
      </c>
      <c r="AR1159" s="6">
        <v>0</v>
      </c>
      <c r="AS1159" s="5">
        <v>0</v>
      </c>
      <c r="AT1159" s="6">
        <v>0</v>
      </c>
      <c r="AU1159" s="5">
        <v>0</v>
      </c>
      <c r="AV1159" s="6">
        <v>0</v>
      </c>
      <c r="AW1159" s="5">
        <v>0</v>
      </c>
      <c r="AX1159" s="6">
        <v>1735</v>
      </c>
      <c r="AY1159" s="5">
        <v>9603.2679182648717</v>
      </c>
      <c r="AZ1159" s="6">
        <v>0</v>
      </c>
      <c r="BA1159" s="5">
        <v>0</v>
      </c>
      <c r="BB1159" s="6">
        <v>0</v>
      </c>
      <c r="BC1159" s="5">
        <v>0</v>
      </c>
      <c r="BD1159" s="6">
        <v>0</v>
      </c>
      <c r="BE1159" s="5">
        <v>0</v>
      </c>
      <c r="BF1159" s="6">
        <v>0</v>
      </c>
      <c r="BG1159" s="5">
        <v>0</v>
      </c>
      <c r="BH1159" s="9">
        <f t="shared" si="146"/>
        <v>1735</v>
      </c>
      <c r="BI1159" s="10">
        <f t="shared" si="147"/>
        <v>9603.2679182648717</v>
      </c>
      <c r="BJ1159" s="6">
        <f t="shared" si="148"/>
        <v>357.98394152304695</v>
      </c>
      <c r="BK1159" s="11">
        <f t="shared" si="149"/>
        <v>0.25997078198128981</v>
      </c>
      <c r="BL1159" s="5">
        <f t="shared" si="150"/>
        <v>2291.3126477522528</v>
      </c>
      <c r="BM1159" s="11">
        <f t="shared" si="151"/>
        <v>0.3133652440397951</v>
      </c>
    </row>
    <row r="1160" spans="1:65" ht="15" customHeight="1" x14ac:dyDescent="0.4">
      <c r="A1160" s="2" t="s">
        <v>775</v>
      </c>
      <c r="B1160" s="2" t="s">
        <v>865</v>
      </c>
      <c r="C1160" s="2" t="s">
        <v>866</v>
      </c>
      <c r="D1160" s="3" t="s">
        <v>68</v>
      </c>
      <c r="E1160" s="3" t="s">
        <v>868</v>
      </c>
      <c r="F1160" s="2" t="s">
        <v>400</v>
      </c>
      <c r="G1160" s="4">
        <v>1</v>
      </c>
      <c r="H1160" s="5">
        <v>3.9899999999999989</v>
      </c>
      <c r="I1160" s="5">
        <v>4.1590863841131496</v>
      </c>
      <c r="J1160" s="6">
        <v>0</v>
      </c>
      <c r="K1160" s="5">
        <v>0</v>
      </c>
      <c r="L1160" s="6">
        <v>2053.6532596251109</v>
      </c>
      <c r="M1160" s="5">
        <v>8194.0765059041914</v>
      </c>
      <c r="N1160" s="6">
        <v>0</v>
      </c>
      <c r="O1160" s="5">
        <v>0</v>
      </c>
      <c r="P1160" s="6">
        <v>0</v>
      </c>
      <c r="Q1160" s="5">
        <v>0</v>
      </c>
      <c r="R1160" s="6">
        <v>0</v>
      </c>
      <c r="S1160" s="5">
        <v>0</v>
      </c>
      <c r="T1160" s="6">
        <v>0</v>
      </c>
      <c r="U1160" s="5">
        <v>0</v>
      </c>
      <c r="V1160" s="6">
        <v>0</v>
      </c>
      <c r="W1160" s="5">
        <v>0</v>
      </c>
      <c r="X1160" s="6">
        <v>0</v>
      </c>
      <c r="Y1160" s="5">
        <v>0</v>
      </c>
      <c r="Z1160" s="6">
        <v>0</v>
      </c>
      <c r="AA1160" s="5">
        <v>0</v>
      </c>
      <c r="AB1160" s="6">
        <v>0</v>
      </c>
      <c r="AC1160" s="5">
        <v>0</v>
      </c>
      <c r="AD1160" s="6">
        <v>947.99613929838938</v>
      </c>
      <c r="AE1160" s="5">
        <v>3782.504595800573</v>
      </c>
      <c r="AF1160" s="6">
        <v>0</v>
      </c>
      <c r="AG1160" s="5">
        <v>0</v>
      </c>
      <c r="AH1160" s="7">
        <f t="shared" si="144"/>
        <v>3001.6493989235005</v>
      </c>
      <c r="AI1160" s="8">
        <f t="shared" si="145"/>
        <v>11976.581101704764</v>
      </c>
      <c r="AJ1160" s="6">
        <v>0</v>
      </c>
      <c r="AK1160" s="5">
        <v>0</v>
      </c>
      <c r="AL1160" s="6">
        <v>2243</v>
      </c>
      <c r="AM1160" s="5">
        <v>9328.8307595657952</v>
      </c>
      <c r="AN1160" s="6">
        <v>0</v>
      </c>
      <c r="AO1160" s="5">
        <v>0</v>
      </c>
      <c r="AP1160" s="6">
        <v>0</v>
      </c>
      <c r="AQ1160" s="5">
        <v>0</v>
      </c>
      <c r="AR1160" s="6">
        <v>0</v>
      </c>
      <c r="AS1160" s="5">
        <v>0</v>
      </c>
      <c r="AT1160" s="6">
        <v>0</v>
      </c>
      <c r="AU1160" s="5">
        <v>0</v>
      </c>
      <c r="AV1160" s="6">
        <v>0</v>
      </c>
      <c r="AW1160" s="5">
        <v>0</v>
      </c>
      <c r="AX1160" s="6">
        <v>0</v>
      </c>
      <c r="AY1160" s="5">
        <v>0</v>
      </c>
      <c r="AZ1160" s="6">
        <v>0</v>
      </c>
      <c r="BA1160" s="5">
        <v>0</v>
      </c>
      <c r="BB1160" s="6">
        <v>0</v>
      </c>
      <c r="BC1160" s="5">
        <v>0</v>
      </c>
      <c r="BD1160" s="6">
        <v>1035</v>
      </c>
      <c r="BE1160" s="5">
        <v>4304.6544075571119</v>
      </c>
      <c r="BF1160" s="6">
        <v>0</v>
      </c>
      <c r="BG1160" s="5">
        <v>0</v>
      </c>
      <c r="BH1160" s="9">
        <f t="shared" si="146"/>
        <v>3278</v>
      </c>
      <c r="BI1160" s="10">
        <f t="shared" si="147"/>
        <v>13633.485167122908</v>
      </c>
      <c r="BJ1160" s="6">
        <f t="shared" si="148"/>
        <v>276.35060107649952</v>
      </c>
      <c r="BK1160" s="11">
        <f t="shared" si="149"/>
        <v>9.2066249034816916E-2</v>
      </c>
      <c r="BL1160" s="5">
        <f t="shared" si="150"/>
        <v>1656.9040654181445</v>
      </c>
      <c r="BM1160" s="11">
        <f t="shared" si="151"/>
        <v>0.13834533005268912</v>
      </c>
    </row>
    <row r="1161" spans="1:65" ht="15" customHeight="1" x14ac:dyDescent="0.4">
      <c r="A1161" s="2" t="s">
        <v>775</v>
      </c>
      <c r="B1161" s="2" t="s">
        <v>865</v>
      </c>
      <c r="C1161" s="2" t="s">
        <v>866</v>
      </c>
      <c r="D1161" s="3" t="s">
        <v>68</v>
      </c>
      <c r="E1161" s="3" t="s">
        <v>868</v>
      </c>
      <c r="F1161" s="2" t="s">
        <v>869</v>
      </c>
      <c r="G1161" s="4">
        <v>1</v>
      </c>
      <c r="H1161" s="5">
        <v>3.99</v>
      </c>
      <c r="I1161" s="5">
        <v>4.1590863841131513</v>
      </c>
      <c r="J1161" s="6">
        <v>0</v>
      </c>
      <c r="K1161" s="5">
        <v>0</v>
      </c>
      <c r="L1161" s="6">
        <v>0</v>
      </c>
      <c r="M1161" s="5">
        <v>0</v>
      </c>
      <c r="N1161" s="6">
        <v>0</v>
      </c>
      <c r="O1161" s="5">
        <v>0</v>
      </c>
      <c r="P1161" s="6">
        <v>0</v>
      </c>
      <c r="Q1161" s="5">
        <v>0</v>
      </c>
      <c r="R1161" s="6">
        <v>0</v>
      </c>
      <c r="S1161" s="5">
        <v>0</v>
      </c>
      <c r="T1161" s="6">
        <v>0</v>
      </c>
      <c r="U1161" s="5">
        <v>0</v>
      </c>
      <c r="V1161" s="6">
        <v>0</v>
      </c>
      <c r="W1161" s="5">
        <v>0</v>
      </c>
      <c r="X1161" s="6">
        <v>961.53707531580324</v>
      </c>
      <c r="Y1161" s="5">
        <v>3836.5329305100549</v>
      </c>
      <c r="Z1161" s="6">
        <v>0</v>
      </c>
      <c r="AA1161" s="5">
        <v>0</v>
      </c>
      <c r="AB1161" s="6">
        <v>0</v>
      </c>
      <c r="AC1161" s="5">
        <v>0</v>
      </c>
      <c r="AD1161" s="6">
        <v>0</v>
      </c>
      <c r="AE1161" s="5">
        <v>0</v>
      </c>
      <c r="AF1161" s="6">
        <v>0</v>
      </c>
      <c r="AG1161" s="5">
        <v>0</v>
      </c>
      <c r="AH1161" s="7">
        <f t="shared" si="144"/>
        <v>961.53707531580324</v>
      </c>
      <c r="AI1161" s="8">
        <f t="shared" si="145"/>
        <v>3836.5329305100549</v>
      </c>
      <c r="AJ1161" s="6">
        <v>0</v>
      </c>
      <c r="AK1161" s="5">
        <v>0</v>
      </c>
      <c r="AL1161" s="6">
        <v>0</v>
      </c>
      <c r="AM1161" s="5">
        <v>0</v>
      </c>
      <c r="AN1161" s="6">
        <v>0</v>
      </c>
      <c r="AO1161" s="5">
        <v>0</v>
      </c>
      <c r="AP1161" s="6">
        <v>0</v>
      </c>
      <c r="AQ1161" s="5">
        <v>0</v>
      </c>
      <c r="AR1161" s="6">
        <v>0</v>
      </c>
      <c r="AS1161" s="5">
        <v>0</v>
      </c>
      <c r="AT1161" s="6">
        <v>0</v>
      </c>
      <c r="AU1161" s="5">
        <v>0</v>
      </c>
      <c r="AV1161" s="6">
        <v>0</v>
      </c>
      <c r="AW1161" s="5">
        <v>0</v>
      </c>
      <c r="AX1161" s="6">
        <v>1050</v>
      </c>
      <c r="AY1161" s="5">
        <v>4367.0407033188076</v>
      </c>
      <c r="AZ1161" s="6">
        <v>0</v>
      </c>
      <c r="BA1161" s="5">
        <v>0</v>
      </c>
      <c r="BB1161" s="6">
        <v>0</v>
      </c>
      <c r="BC1161" s="5">
        <v>0</v>
      </c>
      <c r="BD1161" s="6">
        <v>0</v>
      </c>
      <c r="BE1161" s="5">
        <v>0</v>
      </c>
      <c r="BF1161" s="6">
        <v>0</v>
      </c>
      <c r="BG1161" s="5">
        <v>0</v>
      </c>
      <c r="BH1161" s="9">
        <f t="shared" si="146"/>
        <v>1050</v>
      </c>
      <c r="BI1161" s="10">
        <f t="shared" si="147"/>
        <v>4367.0407033188076</v>
      </c>
      <c r="BJ1161" s="6">
        <f t="shared" si="148"/>
        <v>88.462924684196764</v>
      </c>
      <c r="BK1161" s="11">
        <f t="shared" si="149"/>
        <v>9.2001574307618211E-2</v>
      </c>
      <c r="BL1161" s="5">
        <f t="shared" si="150"/>
        <v>530.50777280875263</v>
      </c>
      <c r="BM1161" s="11">
        <f t="shared" si="151"/>
        <v>0.13827791456965893</v>
      </c>
    </row>
    <row r="1162" spans="1:65" ht="15" customHeight="1" x14ac:dyDescent="0.4">
      <c r="A1162" s="2" t="s">
        <v>775</v>
      </c>
      <c r="B1162" s="2" t="s">
        <v>865</v>
      </c>
      <c r="C1162" s="2" t="s">
        <v>866</v>
      </c>
      <c r="D1162" s="3" t="s">
        <v>68</v>
      </c>
      <c r="E1162" s="3" t="s">
        <v>870</v>
      </c>
      <c r="F1162" s="2" t="s">
        <v>308</v>
      </c>
      <c r="G1162" s="4">
        <v>5</v>
      </c>
      <c r="H1162" s="5">
        <v>1.88</v>
      </c>
      <c r="I1162" s="5">
        <v>1.959669774970608</v>
      </c>
      <c r="J1162" s="6">
        <v>0</v>
      </c>
      <c r="K1162" s="5">
        <v>0</v>
      </c>
      <c r="L1162" s="6">
        <v>474.83312361274233</v>
      </c>
      <c r="M1162" s="5">
        <v>892.68627239195564</v>
      </c>
      <c r="N1162" s="6">
        <v>0</v>
      </c>
      <c r="O1162" s="5">
        <v>0</v>
      </c>
      <c r="P1162" s="6">
        <v>0</v>
      </c>
      <c r="Q1162" s="5">
        <v>0</v>
      </c>
      <c r="R1162" s="6">
        <v>0</v>
      </c>
      <c r="S1162" s="5">
        <v>0</v>
      </c>
      <c r="T1162" s="6">
        <v>0</v>
      </c>
      <c r="U1162" s="5">
        <v>0</v>
      </c>
      <c r="V1162" s="6">
        <v>0</v>
      </c>
      <c r="W1162" s="5">
        <v>0</v>
      </c>
      <c r="X1162" s="6">
        <v>0</v>
      </c>
      <c r="Y1162" s="5">
        <v>0</v>
      </c>
      <c r="Z1162" s="6">
        <v>0</v>
      </c>
      <c r="AA1162" s="5">
        <v>0</v>
      </c>
      <c r="AB1162" s="6">
        <v>0</v>
      </c>
      <c r="AC1162" s="5">
        <v>0</v>
      </c>
      <c r="AD1162" s="6">
        <v>0</v>
      </c>
      <c r="AE1162" s="5">
        <v>0</v>
      </c>
      <c r="AF1162" s="6">
        <v>0</v>
      </c>
      <c r="AG1162" s="5">
        <v>0</v>
      </c>
      <c r="AH1162" s="7">
        <f t="shared" si="144"/>
        <v>474.83312361274233</v>
      </c>
      <c r="AI1162" s="8">
        <f t="shared" si="145"/>
        <v>892.68627239195564</v>
      </c>
      <c r="AJ1162" s="6">
        <v>0</v>
      </c>
      <c r="AK1162" s="5">
        <v>0</v>
      </c>
      <c r="AL1162" s="6">
        <v>525</v>
      </c>
      <c r="AM1162" s="5">
        <v>1028.826631859569</v>
      </c>
      <c r="AN1162" s="6">
        <v>0</v>
      </c>
      <c r="AO1162" s="5">
        <v>0</v>
      </c>
      <c r="AP1162" s="6">
        <v>0</v>
      </c>
      <c r="AQ1162" s="5">
        <v>0</v>
      </c>
      <c r="AR1162" s="6">
        <v>0</v>
      </c>
      <c r="AS1162" s="5">
        <v>0</v>
      </c>
      <c r="AT1162" s="6">
        <v>0</v>
      </c>
      <c r="AU1162" s="5">
        <v>0</v>
      </c>
      <c r="AV1162" s="6">
        <v>0</v>
      </c>
      <c r="AW1162" s="5">
        <v>0</v>
      </c>
      <c r="AX1162" s="6">
        <v>0</v>
      </c>
      <c r="AY1162" s="5">
        <v>0</v>
      </c>
      <c r="AZ1162" s="6">
        <v>0</v>
      </c>
      <c r="BA1162" s="5">
        <v>0</v>
      </c>
      <c r="BB1162" s="6">
        <v>0</v>
      </c>
      <c r="BC1162" s="5">
        <v>0</v>
      </c>
      <c r="BD1162" s="6">
        <v>0</v>
      </c>
      <c r="BE1162" s="5">
        <v>0</v>
      </c>
      <c r="BF1162" s="6">
        <v>0</v>
      </c>
      <c r="BG1162" s="5">
        <v>0</v>
      </c>
      <c r="BH1162" s="9">
        <f t="shared" si="146"/>
        <v>525</v>
      </c>
      <c r="BI1162" s="10">
        <f t="shared" si="147"/>
        <v>1028.826631859569</v>
      </c>
      <c r="BJ1162" s="6">
        <f t="shared" si="148"/>
        <v>50.166876387257673</v>
      </c>
      <c r="BK1162" s="11">
        <f t="shared" si="149"/>
        <v>0.10565159398646347</v>
      </c>
      <c r="BL1162" s="5">
        <f t="shared" si="150"/>
        <v>136.14035946761339</v>
      </c>
      <c r="BM1162" s="11">
        <f t="shared" si="151"/>
        <v>0.15250638850178</v>
      </c>
    </row>
    <row r="1163" spans="1:65" ht="15" customHeight="1" x14ac:dyDescent="0.4">
      <c r="A1163" s="2" t="s">
        <v>775</v>
      </c>
      <c r="B1163" s="2" t="s">
        <v>865</v>
      </c>
      <c r="C1163" s="2" t="s">
        <v>866</v>
      </c>
      <c r="D1163" s="3" t="s">
        <v>68</v>
      </c>
      <c r="E1163" s="3" t="s">
        <v>870</v>
      </c>
      <c r="F1163" s="2" t="s">
        <v>830</v>
      </c>
      <c r="G1163" s="4">
        <v>5</v>
      </c>
      <c r="H1163" s="5">
        <v>1.88</v>
      </c>
      <c r="I1163" s="5">
        <v>1.9596697749706069</v>
      </c>
      <c r="J1163" s="6">
        <v>0</v>
      </c>
      <c r="K1163" s="5">
        <v>0</v>
      </c>
      <c r="L1163" s="6">
        <v>0</v>
      </c>
      <c r="M1163" s="5">
        <v>0</v>
      </c>
      <c r="N1163" s="6">
        <v>0</v>
      </c>
      <c r="O1163" s="5">
        <v>0</v>
      </c>
      <c r="P1163" s="6">
        <v>0</v>
      </c>
      <c r="Q1163" s="5">
        <v>0</v>
      </c>
      <c r="R1163" s="6">
        <v>0</v>
      </c>
      <c r="S1163" s="5">
        <v>0</v>
      </c>
      <c r="T1163" s="6">
        <v>0</v>
      </c>
      <c r="U1163" s="5">
        <v>0</v>
      </c>
      <c r="V1163" s="6">
        <v>0</v>
      </c>
      <c r="W1163" s="5">
        <v>0</v>
      </c>
      <c r="X1163" s="6">
        <v>0</v>
      </c>
      <c r="Y1163" s="5">
        <v>0</v>
      </c>
      <c r="Z1163" s="6">
        <v>0</v>
      </c>
      <c r="AA1163" s="5">
        <v>0</v>
      </c>
      <c r="AB1163" s="6">
        <v>0</v>
      </c>
      <c r="AC1163" s="5">
        <v>0</v>
      </c>
      <c r="AD1163" s="6">
        <v>3128.387259684685</v>
      </c>
      <c r="AE1163" s="5">
        <v>5881.3680482072077</v>
      </c>
      <c r="AF1163" s="6">
        <v>0</v>
      </c>
      <c r="AG1163" s="5">
        <v>0</v>
      </c>
      <c r="AH1163" s="7">
        <f t="shared" si="144"/>
        <v>3128.387259684685</v>
      </c>
      <c r="AI1163" s="8">
        <f t="shared" si="145"/>
        <v>5881.3680482072077</v>
      </c>
      <c r="AJ1163" s="6">
        <v>0</v>
      </c>
      <c r="AK1163" s="5">
        <v>0</v>
      </c>
      <c r="AL1163" s="6">
        <v>0</v>
      </c>
      <c r="AM1163" s="5">
        <v>0</v>
      </c>
      <c r="AN1163" s="6">
        <v>0</v>
      </c>
      <c r="AO1163" s="5">
        <v>0</v>
      </c>
      <c r="AP1163" s="6">
        <v>0</v>
      </c>
      <c r="AQ1163" s="5">
        <v>0</v>
      </c>
      <c r="AR1163" s="6">
        <v>0</v>
      </c>
      <c r="AS1163" s="5">
        <v>0</v>
      </c>
      <c r="AT1163" s="6">
        <v>0</v>
      </c>
      <c r="AU1163" s="5">
        <v>0</v>
      </c>
      <c r="AV1163" s="6">
        <v>0</v>
      </c>
      <c r="AW1163" s="5">
        <v>0</v>
      </c>
      <c r="AX1163" s="6">
        <v>0</v>
      </c>
      <c r="AY1163" s="5">
        <v>0</v>
      </c>
      <c r="AZ1163" s="6">
        <v>0</v>
      </c>
      <c r="BA1163" s="5">
        <v>0</v>
      </c>
      <c r="BB1163" s="6">
        <v>0</v>
      </c>
      <c r="BC1163" s="5">
        <v>0</v>
      </c>
      <c r="BD1163" s="6">
        <v>3450</v>
      </c>
      <c r="BE1163" s="5">
        <v>6760.860723648595</v>
      </c>
      <c r="BF1163" s="6">
        <v>0</v>
      </c>
      <c r="BG1163" s="5">
        <v>0</v>
      </c>
      <c r="BH1163" s="9">
        <f t="shared" si="146"/>
        <v>3450</v>
      </c>
      <c r="BI1163" s="10">
        <f t="shared" si="147"/>
        <v>6760.860723648595</v>
      </c>
      <c r="BJ1163" s="6">
        <f t="shared" si="148"/>
        <v>321.61274031531502</v>
      </c>
      <c r="BK1163" s="11">
        <f t="shared" si="149"/>
        <v>0.10280464457195458</v>
      </c>
      <c r="BL1163" s="5">
        <f t="shared" si="150"/>
        <v>879.49267544138729</v>
      </c>
      <c r="BM1163" s="11">
        <f t="shared" si="151"/>
        <v>0.14953879237492701</v>
      </c>
    </row>
    <row r="1164" spans="1:65" ht="15" customHeight="1" x14ac:dyDescent="0.4">
      <c r="A1164" s="2" t="s">
        <v>775</v>
      </c>
      <c r="B1164" s="2" t="s">
        <v>865</v>
      </c>
      <c r="C1164" s="2" t="s">
        <v>866</v>
      </c>
      <c r="D1164" s="3" t="s">
        <v>68</v>
      </c>
      <c r="E1164" s="3" t="s">
        <v>871</v>
      </c>
      <c r="F1164" s="2" t="s">
        <v>483</v>
      </c>
      <c r="G1164" s="4">
        <v>1</v>
      </c>
      <c r="H1164" s="5">
        <v>4.75</v>
      </c>
      <c r="I1164" s="5">
        <v>4.9512933144204183</v>
      </c>
      <c r="J1164" s="6">
        <v>0</v>
      </c>
      <c r="K1164" s="5">
        <v>0</v>
      </c>
      <c r="L1164" s="6">
        <v>2231.7156809798889</v>
      </c>
      <c r="M1164" s="5">
        <v>10600.64948465447</v>
      </c>
      <c r="N1164" s="6">
        <v>0</v>
      </c>
      <c r="O1164" s="5">
        <v>0</v>
      </c>
      <c r="P1164" s="6">
        <v>0</v>
      </c>
      <c r="Q1164" s="5">
        <v>0</v>
      </c>
      <c r="R1164" s="6">
        <v>0</v>
      </c>
      <c r="S1164" s="5">
        <v>0</v>
      </c>
      <c r="T1164" s="6">
        <v>0</v>
      </c>
      <c r="U1164" s="5">
        <v>0</v>
      </c>
      <c r="V1164" s="6">
        <v>0</v>
      </c>
      <c r="W1164" s="5">
        <v>0</v>
      </c>
      <c r="X1164" s="6">
        <v>0</v>
      </c>
      <c r="Y1164" s="5">
        <v>0</v>
      </c>
      <c r="Z1164" s="6">
        <v>0</v>
      </c>
      <c r="AA1164" s="5">
        <v>0</v>
      </c>
      <c r="AB1164" s="6">
        <v>0</v>
      </c>
      <c r="AC1164" s="5">
        <v>0</v>
      </c>
      <c r="AD1164" s="6">
        <v>947.99613929838938</v>
      </c>
      <c r="AE1164" s="5">
        <v>4502.9816616673497</v>
      </c>
      <c r="AF1164" s="6">
        <v>0</v>
      </c>
      <c r="AG1164" s="5">
        <v>0</v>
      </c>
      <c r="AH1164" s="7">
        <f t="shared" si="144"/>
        <v>3179.7118202782785</v>
      </c>
      <c r="AI1164" s="8">
        <f t="shared" si="145"/>
        <v>15103.631146321819</v>
      </c>
      <c r="AJ1164" s="6">
        <v>0</v>
      </c>
      <c r="AK1164" s="5">
        <v>0</v>
      </c>
      <c r="AL1164" s="6">
        <v>2390</v>
      </c>
      <c r="AM1164" s="5">
        <v>11833.591021464799</v>
      </c>
      <c r="AN1164" s="6">
        <v>0</v>
      </c>
      <c r="AO1164" s="5">
        <v>0</v>
      </c>
      <c r="AP1164" s="6">
        <v>0</v>
      </c>
      <c r="AQ1164" s="5">
        <v>0</v>
      </c>
      <c r="AR1164" s="6">
        <v>0</v>
      </c>
      <c r="AS1164" s="5">
        <v>0</v>
      </c>
      <c r="AT1164" s="6">
        <v>0</v>
      </c>
      <c r="AU1164" s="5">
        <v>0</v>
      </c>
      <c r="AV1164" s="6">
        <v>0</v>
      </c>
      <c r="AW1164" s="5">
        <v>0</v>
      </c>
      <c r="AX1164" s="6">
        <v>0</v>
      </c>
      <c r="AY1164" s="5">
        <v>0</v>
      </c>
      <c r="AZ1164" s="6">
        <v>0</v>
      </c>
      <c r="BA1164" s="5">
        <v>0</v>
      </c>
      <c r="BB1164" s="6">
        <v>0</v>
      </c>
      <c r="BC1164" s="5">
        <v>0</v>
      </c>
      <c r="BD1164" s="6">
        <v>1015</v>
      </c>
      <c r="BE1164" s="5">
        <v>5025.5627141367231</v>
      </c>
      <c r="BF1164" s="6">
        <v>0</v>
      </c>
      <c r="BG1164" s="5">
        <v>0</v>
      </c>
      <c r="BH1164" s="9">
        <f t="shared" si="146"/>
        <v>3405</v>
      </c>
      <c r="BI1164" s="10">
        <f t="shared" si="147"/>
        <v>16859.153735601521</v>
      </c>
      <c r="BJ1164" s="6">
        <f t="shared" si="148"/>
        <v>225.28817972172146</v>
      </c>
      <c r="BK1164" s="11">
        <f t="shared" si="149"/>
        <v>7.0851760302606592E-2</v>
      </c>
      <c r="BL1164" s="5">
        <f t="shared" si="150"/>
        <v>1755.5225892797025</v>
      </c>
      <c r="BM1164" s="11">
        <f t="shared" si="151"/>
        <v>0.11623182347823849</v>
      </c>
    </row>
    <row r="1165" spans="1:65" ht="15" customHeight="1" x14ac:dyDescent="0.4">
      <c r="A1165" s="2" t="s">
        <v>775</v>
      </c>
      <c r="B1165" s="2" t="s">
        <v>865</v>
      </c>
      <c r="C1165" s="2" t="s">
        <v>866</v>
      </c>
      <c r="D1165" s="3" t="s">
        <v>68</v>
      </c>
      <c r="E1165" s="3" t="s">
        <v>871</v>
      </c>
      <c r="F1165" s="2" t="s">
        <v>242</v>
      </c>
      <c r="G1165" s="4">
        <v>1</v>
      </c>
      <c r="H1165" s="5">
        <v>4.7499999999999991</v>
      </c>
      <c r="I1165" s="5">
        <v>4.9512933144204174</v>
      </c>
      <c r="J1165" s="6">
        <v>0</v>
      </c>
      <c r="K1165" s="5">
        <v>0</v>
      </c>
      <c r="L1165" s="6">
        <v>0</v>
      </c>
      <c r="M1165" s="5">
        <v>0</v>
      </c>
      <c r="N1165" s="6">
        <v>0</v>
      </c>
      <c r="O1165" s="5">
        <v>0</v>
      </c>
      <c r="P1165" s="6">
        <v>0</v>
      </c>
      <c r="Q1165" s="5">
        <v>0</v>
      </c>
      <c r="R1165" s="6">
        <v>0</v>
      </c>
      <c r="S1165" s="5">
        <v>0</v>
      </c>
      <c r="T1165" s="6">
        <v>0</v>
      </c>
      <c r="U1165" s="5">
        <v>0</v>
      </c>
      <c r="V1165" s="6">
        <v>0</v>
      </c>
      <c r="W1165" s="5">
        <v>0</v>
      </c>
      <c r="X1165" s="6">
        <v>3228.865240566648</v>
      </c>
      <c r="Y1165" s="5">
        <v>15337.10989269158</v>
      </c>
      <c r="Z1165" s="6">
        <v>0</v>
      </c>
      <c r="AA1165" s="5">
        <v>0</v>
      </c>
      <c r="AB1165" s="6">
        <v>0</v>
      </c>
      <c r="AC1165" s="5">
        <v>0</v>
      </c>
      <c r="AD1165" s="6">
        <v>0</v>
      </c>
      <c r="AE1165" s="5">
        <v>0</v>
      </c>
      <c r="AF1165" s="6">
        <v>0</v>
      </c>
      <c r="AG1165" s="5">
        <v>0</v>
      </c>
      <c r="AH1165" s="7">
        <f t="shared" si="144"/>
        <v>3228.865240566648</v>
      </c>
      <c r="AI1165" s="8">
        <f t="shared" si="145"/>
        <v>15337.10989269158</v>
      </c>
      <c r="AJ1165" s="6">
        <v>0</v>
      </c>
      <c r="AK1165" s="5">
        <v>0</v>
      </c>
      <c r="AL1165" s="6">
        <v>0</v>
      </c>
      <c r="AM1165" s="5">
        <v>0</v>
      </c>
      <c r="AN1165" s="6">
        <v>0</v>
      </c>
      <c r="AO1165" s="5">
        <v>0</v>
      </c>
      <c r="AP1165" s="6">
        <v>0</v>
      </c>
      <c r="AQ1165" s="5">
        <v>0</v>
      </c>
      <c r="AR1165" s="6">
        <v>0</v>
      </c>
      <c r="AS1165" s="5">
        <v>0</v>
      </c>
      <c r="AT1165" s="6">
        <v>0</v>
      </c>
      <c r="AU1165" s="5">
        <v>0</v>
      </c>
      <c r="AV1165" s="6">
        <v>0</v>
      </c>
      <c r="AW1165" s="5">
        <v>0</v>
      </c>
      <c r="AX1165" s="6">
        <v>3458</v>
      </c>
      <c r="AY1165" s="5">
        <v>17121.572281265799</v>
      </c>
      <c r="AZ1165" s="6">
        <v>0</v>
      </c>
      <c r="BA1165" s="5">
        <v>0</v>
      </c>
      <c r="BB1165" s="6">
        <v>0</v>
      </c>
      <c r="BC1165" s="5">
        <v>0</v>
      </c>
      <c r="BD1165" s="6">
        <v>0</v>
      </c>
      <c r="BE1165" s="5">
        <v>0</v>
      </c>
      <c r="BF1165" s="6">
        <v>0</v>
      </c>
      <c r="BG1165" s="5">
        <v>0</v>
      </c>
      <c r="BH1165" s="9">
        <f t="shared" si="146"/>
        <v>3458</v>
      </c>
      <c r="BI1165" s="10">
        <f t="shared" si="147"/>
        <v>17121.572281265799</v>
      </c>
      <c r="BJ1165" s="6">
        <f t="shared" si="148"/>
        <v>229.13475943335197</v>
      </c>
      <c r="BK1165" s="11">
        <f t="shared" si="149"/>
        <v>7.0964485155515525E-2</v>
      </c>
      <c r="BL1165" s="5">
        <f t="shared" si="150"/>
        <v>1784.4623885742185</v>
      </c>
      <c r="BM1165" s="11">
        <f t="shared" si="151"/>
        <v>0.11634932533309605</v>
      </c>
    </row>
    <row r="1166" spans="1:65" ht="15" customHeight="1" x14ac:dyDescent="0.4">
      <c r="A1166" s="2" t="s">
        <v>775</v>
      </c>
      <c r="B1166" s="2" t="s">
        <v>865</v>
      </c>
      <c r="C1166" s="2" t="s">
        <v>866</v>
      </c>
      <c r="D1166" s="3" t="s">
        <v>68</v>
      </c>
      <c r="E1166" s="3" t="s">
        <v>872</v>
      </c>
      <c r="F1166" s="2" t="s">
        <v>873</v>
      </c>
      <c r="G1166" s="4">
        <v>1</v>
      </c>
      <c r="H1166" s="5">
        <v>4.7399999999999993</v>
      </c>
      <c r="I1166" s="5">
        <v>4.9408695390216373</v>
      </c>
      <c r="J1166" s="6">
        <v>0</v>
      </c>
      <c r="K1166" s="5">
        <v>0</v>
      </c>
      <c r="L1166" s="6">
        <v>0</v>
      </c>
      <c r="M1166" s="5">
        <v>0</v>
      </c>
      <c r="N1166" s="6">
        <v>0</v>
      </c>
      <c r="O1166" s="5">
        <v>0</v>
      </c>
      <c r="P1166" s="6">
        <v>0</v>
      </c>
      <c r="Q1166" s="5">
        <v>0</v>
      </c>
      <c r="R1166" s="6">
        <v>0</v>
      </c>
      <c r="S1166" s="5">
        <v>0</v>
      </c>
      <c r="T1166" s="6">
        <v>0</v>
      </c>
      <c r="U1166" s="5">
        <v>0</v>
      </c>
      <c r="V1166" s="6">
        <v>0</v>
      </c>
      <c r="W1166" s="5">
        <v>0</v>
      </c>
      <c r="X1166" s="6">
        <v>71.224968541911352</v>
      </c>
      <c r="Y1166" s="5">
        <v>337.60635088865979</v>
      </c>
      <c r="Z1166" s="6">
        <v>0</v>
      </c>
      <c r="AA1166" s="5">
        <v>0</v>
      </c>
      <c r="AB1166" s="6">
        <v>0</v>
      </c>
      <c r="AC1166" s="5">
        <v>0</v>
      </c>
      <c r="AD1166" s="6">
        <v>0</v>
      </c>
      <c r="AE1166" s="5">
        <v>0</v>
      </c>
      <c r="AF1166" s="6">
        <v>0</v>
      </c>
      <c r="AG1166" s="5">
        <v>0</v>
      </c>
      <c r="AH1166" s="7">
        <f t="shared" si="144"/>
        <v>71.224968541911352</v>
      </c>
      <c r="AI1166" s="8">
        <f t="shared" si="145"/>
        <v>337.60635088865979</v>
      </c>
      <c r="AJ1166" s="6">
        <v>0</v>
      </c>
      <c r="AK1166" s="5">
        <v>0</v>
      </c>
      <c r="AL1166" s="6">
        <v>0</v>
      </c>
      <c r="AM1166" s="5">
        <v>0</v>
      </c>
      <c r="AN1166" s="6">
        <v>0</v>
      </c>
      <c r="AO1166" s="5">
        <v>0</v>
      </c>
      <c r="AP1166" s="6">
        <v>0</v>
      </c>
      <c r="AQ1166" s="5">
        <v>0</v>
      </c>
      <c r="AR1166" s="6">
        <v>0</v>
      </c>
      <c r="AS1166" s="5">
        <v>0</v>
      </c>
      <c r="AT1166" s="6">
        <v>0</v>
      </c>
      <c r="AU1166" s="5">
        <v>0</v>
      </c>
      <c r="AV1166" s="6">
        <v>0</v>
      </c>
      <c r="AW1166" s="5">
        <v>0</v>
      </c>
      <c r="AX1166" s="6">
        <v>77</v>
      </c>
      <c r="AY1166" s="5">
        <v>380.44695450466611</v>
      </c>
      <c r="AZ1166" s="6">
        <v>0</v>
      </c>
      <c r="BA1166" s="5">
        <v>0</v>
      </c>
      <c r="BB1166" s="6">
        <v>0</v>
      </c>
      <c r="BC1166" s="5">
        <v>0</v>
      </c>
      <c r="BD1166" s="6">
        <v>0</v>
      </c>
      <c r="BE1166" s="5">
        <v>0</v>
      </c>
      <c r="BF1166" s="6">
        <v>0</v>
      </c>
      <c r="BG1166" s="5">
        <v>0</v>
      </c>
      <c r="BH1166" s="9">
        <f t="shared" si="146"/>
        <v>77</v>
      </c>
      <c r="BI1166" s="10">
        <f t="shared" si="147"/>
        <v>380.44695450466611</v>
      </c>
      <c r="BJ1166" s="6">
        <f t="shared" si="148"/>
        <v>5.7750314580886482</v>
      </c>
      <c r="BK1166" s="11">
        <f t="shared" si="149"/>
        <v>8.1081558564542022E-2</v>
      </c>
      <c r="BL1166" s="5">
        <f t="shared" si="150"/>
        <v>42.840603616006319</v>
      </c>
      <c r="BM1166" s="11">
        <f t="shared" si="151"/>
        <v>0.12689513542396261</v>
      </c>
    </row>
    <row r="1167" spans="1:65" ht="15" customHeight="1" x14ac:dyDescent="0.4">
      <c r="A1167" s="2" t="s">
        <v>775</v>
      </c>
      <c r="B1167" s="2" t="s">
        <v>865</v>
      </c>
      <c r="C1167" s="2" t="s">
        <v>866</v>
      </c>
      <c r="D1167" s="3" t="s">
        <v>68</v>
      </c>
      <c r="E1167" s="3" t="s">
        <v>874</v>
      </c>
      <c r="F1167" s="2" t="s">
        <v>490</v>
      </c>
      <c r="G1167" s="4">
        <v>1</v>
      </c>
      <c r="H1167" s="5">
        <v>3.5</v>
      </c>
      <c r="I1167" s="5">
        <v>3.6483213895729389</v>
      </c>
      <c r="J1167" s="6">
        <v>0</v>
      </c>
      <c r="K1167" s="5">
        <v>0</v>
      </c>
      <c r="L1167" s="6">
        <v>1329.532746115678</v>
      </c>
      <c r="M1167" s="5">
        <v>4653.3646114048752</v>
      </c>
      <c r="N1167" s="6">
        <v>0</v>
      </c>
      <c r="O1167" s="5">
        <v>0</v>
      </c>
      <c r="P1167" s="6">
        <v>0</v>
      </c>
      <c r="Q1167" s="5">
        <v>0</v>
      </c>
      <c r="R1167" s="6">
        <v>0</v>
      </c>
      <c r="S1167" s="5">
        <v>0</v>
      </c>
      <c r="T1167" s="6">
        <v>0</v>
      </c>
      <c r="U1167" s="5">
        <v>0</v>
      </c>
      <c r="V1167" s="6">
        <v>0</v>
      </c>
      <c r="W1167" s="5">
        <v>0</v>
      </c>
      <c r="X1167" s="6">
        <v>0</v>
      </c>
      <c r="Y1167" s="5">
        <v>0</v>
      </c>
      <c r="Z1167" s="6">
        <v>0</v>
      </c>
      <c r="AA1167" s="5">
        <v>0</v>
      </c>
      <c r="AB1167" s="6">
        <v>0</v>
      </c>
      <c r="AC1167" s="5">
        <v>0</v>
      </c>
      <c r="AD1167" s="6">
        <v>1160.3472745012291</v>
      </c>
      <c r="AE1167" s="5">
        <v>4061.2154607542998</v>
      </c>
      <c r="AF1167" s="6">
        <v>0</v>
      </c>
      <c r="AG1167" s="5">
        <v>0</v>
      </c>
      <c r="AH1167" s="7">
        <f t="shared" si="144"/>
        <v>2489.8800206169071</v>
      </c>
      <c r="AI1167" s="8">
        <f t="shared" si="145"/>
        <v>8714.580072159175</v>
      </c>
      <c r="AJ1167" s="6">
        <v>0</v>
      </c>
      <c r="AK1167" s="5">
        <v>0</v>
      </c>
      <c r="AL1167" s="6">
        <v>1675</v>
      </c>
      <c r="AM1167" s="5">
        <v>6110.9383275346736</v>
      </c>
      <c r="AN1167" s="6">
        <v>0</v>
      </c>
      <c r="AO1167" s="5">
        <v>0</v>
      </c>
      <c r="AP1167" s="6">
        <v>0</v>
      </c>
      <c r="AQ1167" s="5">
        <v>0</v>
      </c>
      <c r="AR1167" s="6">
        <v>0</v>
      </c>
      <c r="AS1167" s="5">
        <v>0</v>
      </c>
      <c r="AT1167" s="6">
        <v>0</v>
      </c>
      <c r="AU1167" s="5">
        <v>0</v>
      </c>
      <c r="AV1167" s="6">
        <v>0</v>
      </c>
      <c r="AW1167" s="5">
        <v>0</v>
      </c>
      <c r="AX1167" s="6">
        <v>0</v>
      </c>
      <c r="AY1167" s="5">
        <v>0</v>
      </c>
      <c r="AZ1167" s="6">
        <v>0</v>
      </c>
      <c r="BA1167" s="5">
        <v>0</v>
      </c>
      <c r="BB1167" s="6">
        <v>0</v>
      </c>
      <c r="BC1167" s="5">
        <v>0</v>
      </c>
      <c r="BD1167" s="6">
        <v>1462</v>
      </c>
      <c r="BE1167" s="5">
        <v>5333.8458715556371</v>
      </c>
      <c r="BF1167" s="6">
        <v>0</v>
      </c>
      <c r="BG1167" s="5">
        <v>0</v>
      </c>
      <c r="BH1167" s="9">
        <f t="shared" si="146"/>
        <v>3137</v>
      </c>
      <c r="BI1167" s="10">
        <f t="shared" si="147"/>
        <v>11444.784199090311</v>
      </c>
      <c r="BJ1167" s="6">
        <f t="shared" si="148"/>
        <v>647.11997938309287</v>
      </c>
      <c r="BK1167" s="11">
        <f t="shared" si="149"/>
        <v>0.25990006507331975</v>
      </c>
      <c r="BL1167" s="5">
        <f t="shared" si="150"/>
        <v>2730.2041269311358</v>
      </c>
      <c r="BM1167" s="11">
        <f t="shared" si="151"/>
        <v>0.31329153032323731</v>
      </c>
    </row>
    <row r="1168" spans="1:65" ht="15" customHeight="1" x14ac:dyDescent="0.4">
      <c r="A1168" s="2" t="s">
        <v>775</v>
      </c>
      <c r="B1168" s="2" t="s">
        <v>865</v>
      </c>
      <c r="C1168" s="2" t="s">
        <v>866</v>
      </c>
      <c r="D1168" s="3" t="s">
        <v>68</v>
      </c>
      <c r="E1168" s="3" t="s">
        <v>874</v>
      </c>
      <c r="F1168" s="2" t="s">
        <v>875</v>
      </c>
      <c r="G1168" s="4">
        <v>1</v>
      </c>
      <c r="H1168" s="5">
        <v>3.5</v>
      </c>
      <c r="I1168" s="5">
        <v>3.6483213895729398</v>
      </c>
      <c r="J1168" s="6">
        <v>0</v>
      </c>
      <c r="K1168" s="5">
        <v>0</v>
      </c>
      <c r="L1168" s="6">
        <v>0</v>
      </c>
      <c r="M1168" s="5">
        <v>0</v>
      </c>
      <c r="N1168" s="6">
        <v>0</v>
      </c>
      <c r="O1168" s="5">
        <v>0</v>
      </c>
      <c r="P1168" s="6">
        <v>0</v>
      </c>
      <c r="Q1168" s="5">
        <v>0</v>
      </c>
      <c r="R1168" s="6">
        <v>0</v>
      </c>
      <c r="S1168" s="5">
        <v>0</v>
      </c>
      <c r="T1168" s="6">
        <v>0</v>
      </c>
      <c r="U1168" s="5">
        <v>0</v>
      </c>
      <c r="V1168" s="6">
        <v>0</v>
      </c>
      <c r="W1168" s="5">
        <v>0</v>
      </c>
      <c r="X1168" s="6">
        <v>783.47465396102484</v>
      </c>
      <c r="Y1168" s="5">
        <v>2742.1612888635868</v>
      </c>
      <c r="Z1168" s="6">
        <v>0</v>
      </c>
      <c r="AA1168" s="5">
        <v>0</v>
      </c>
      <c r="AB1168" s="6">
        <v>0</v>
      </c>
      <c r="AC1168" s="5">
        <v>0</v>
      </c>
      <c r="AD1168" s="6">
        <v>0</v>
      </c>
      <c r="AE1168" s="5">
        <v>0</v>
      </c>
      <c r="AF1168" s="6">
        <v>0</v>
      </c>
      <c r="AG1168" s="5">
        <v>0</v>
      </c>
      <c r="AH1168" s="7">
        <f t="shared" si="144"/>
        <v>783.47465396102484</v>
      </c>
      <c r="AI1168" s="8">
        <f t="shared" si="145"/>
        <v>2742.1612888635868</v>
      </c>
      <c r="AJ1168" s="6">
        <v>0</v>
      </c>
      <c r="AK1168" s="5">
        <v>0</v>
      </c>
      <c r="AL1168" s="6">
        <v>0</v>
      </c>
      <c r="AM1168" s="5">
        <v>0</v>
      </c>
      <c r="AN1168" s="6">
        <v>0</v>
      </c>
      <c r="AO1168" s="5">
        <v>0</v>
      </c>
      <c r="AP1168" s="6">
        <v>0</v>
      </c>
      <c r="AQ1168" s="5">
        <v>0</v>
      </c>
      <c r="AR1168" s="6">
        <v>0</v>
      </c>
      <c r="AS1168" s="5">
        <v>0</v>
      </c>
      <c r="AT1168" s="6">
        <v>0</v>
      </c>
      <c r="AU1168" s="5">
        <v>0</v>
      </c>
      <c r="AV1168" s="6">
        <v>0</v>
      </c>
      <c r="AW1168" s="5">
        <v>0</v>
      </c>
      <c r="AX1168" s="6">
        <v>987</v>
      </c>
      <c r="AY1168" s="5">
        <v>3600.8932115084922</v>
      </c>
      <c r="AZ1168" s="6">
        <v>0</v>
      </c>
      <c r="BA1168" s="5">
        <v>0</v>
      </c>
      <c r="BB1168" s="6">
        <v>0</v>
      </c>
      <c r="BC1168" s="5">
        <v>0</v>
      </c>
      <c r="BD1168" s="6">
        <v>0</v>
      </c>
      <c r="BE1168" s="5">
        <v>0</v>
      </c>
      <c r="BF1168" s="6">
        <v>0</v>
      </c>
      <c r="BG1168" s="5">
        <v>0</v>
      </c>
      <c r="BH1168" s="9">
        <f t="shared" si="146"/>
        <v>987</v>
      </c>
      <c r="BI1168" s="10">
        <f t="shared" si="147"/>
        <v>3600.8932115084922</v>
      </c>
      <c r="BJ1168" s="6">
        <f t="shared" si="148"/>
        <v>203.52534603897516</v>
      </c>
      <c r="BK1168" s="11">
        <f t="shared" si="149"/>
        <v>0.25977272526942502</v>
      </c>
      <c r="BL1168" s="5">
        <f t="shared" si="150"/>
        <v>858.73192264490535</v>
      </c>
      <c r="BM1168" s="11">
        <f t="shared" si="151"/>
        <v>0.31315879417172543</v>
      </c>
    </row>
    <row r="1169" spans="1:65" ht="15" customHeight="1" x14ac:dyDescent="0.4">
      <c r="A1169" s="2" t="s">
        <v>775</v>
      </c>
      <c r="B1169" s="2" t="s">
        <v>865</v>
      </c>
      <c r="C1169" s="2" t="s">
        <v>866</v>
      </c>
      <c r="D1169" s="3" t="s">
        <v>68</v>
      </c>
      <c r="E1169" s="3" t="s">
        <v>876</v>
      </c>
      <c r="F1169" s="2" t="s">
        <v>490</v>
      </c>
      <c r="G1169" s="4">
        <v>5</v>
      </c>
      <c r="H1169" s="5">
        <v>2.4700000000000002</v>
      </c>
      <c r="I1169" s="5">
        <v>2.574672523498617</v>
      </c>
      <c r="J1169" s="6">
        <v>0</v>
      </c>
      <c r="K1169" s="5">
        <v>0</v>
      </c>
      <c r="L1169" s="6">
        <v>1424.4993708382269</v>
      </c>
      <c r="M1169" s="5">
        <v>3518.5134459704209</v>
      </c>
      <c r="N1169" s="6">
        <v>0</v>
      </c>
      <c r="O1169" s="5">
        <v>0</v>
      </c>
      <c r="P1169" s="6">
        <v>0</v>
      </c>
      <c r="Q1169" s="5">
        <v>0</v>
      </c>
      <c r="R1169" s="6">
        <v>0</v>
      </c>
      <c r="S1169" s="5">
        <v>0</v>
      </c>
      <c r="T1169" s="6">
        <v>0</v>
      </c>
      <c r="U1169" s="5">
        <v>0</v>
      </c>
      <c r="V1169" s="6">
        <v>0</v>
      </c>
      <c r="W1169" s="5">
        <v>0</v>
      </c>
      <c r="X1169" s="6">
        <v>0</v>
      </c>
      <c r="Y1169" s="5">
        <v>0</v>
      </c>
      <c r="Z1169" s="6">
        <v>0</v>
      </c>
      <c r="AA1169" s="5">
        <v>0</v>
      </c>
      <c r="AB1169" s="6">
        <v>0</v>
      </c>
      <c r="AC1169" s="5">
        <v>0</v>
      </c>
      <c r="AD1169" s="6">
        <v>0</v>
      </c>
      <c r="AE1169" s="5">
        <v>0</v>
      </c>
      <c r="AF1169" s="6">
        <v>0</v>
      </c>
      <c r="AG1169" s="5">
        <v>0</v>
      </c>
      <c r="AH1169" s="7">
        <f t="shared" si="144"/>
        <v>1424.4993708382269</v>
      </c>
      <c r="AI1169" s="8">
        <f t="shared" si="145"/>
        <v>3518.5134459704209</v>
      </c>
      <c r="AJ1169" s="6">
        <v>0</v>
      </c>
      <c r="AK1169" s="5">
        <v>0</v>
      </c>
      <c r="AL1169" s="6">
        <v>1795</v>
      </c>
      <c r="AM1169" s="5">
        <v>4621.5371796800173</v>
      </c>
      <c r="AN1169" s="6">
        <v>0</v>
      </c>
      <c r="AO1169" s="5">
        <v>0</v>
      </c>
      <c r="AP1169" s="6">
        <v>0</v>
      </c>
      <c r="AQ1169" s="5">
        <v>0</v>
      </c>
      <c r="AR1169" s="6">
        <v>0</v>
      </c>
      <c r="AS1169" s="5">
        <v>0</v>
      </c>
      <c r="AT1169" s="6">
        <v>0</v>
      </c>
      <c r="AU1169" s="5">
        <v>0</v>
      </c>
      <c r="AV1169" s="6">
        <v>0</v>
      </c>
      <c r="AW1169" s="5">
        <v>0</v>
      </c>
      <c r="AX1169" s="6">
        <v>0</v>
      </c>
      <c r="AY1169" s="5">
        <v>0</v>
      </c>
      <c r="AZ1169" s="6">
        <v>0</v>
      </c>
      <c r="BA1169" s="5">
        <v>0</v>
      </c>
      <c r="BB1169" s="6">
        <v>0</v>
      </c>
      <c r="BC1169" s="5">
        <v>0</v>
      </c>
      <c r="BD1169" s="6">
        <v>0</v>
      </c>
      <c r="BE1169" s="5">
        <v>0</v>
      </c>
      <c r="BF1169" s="6">
        <v>0</v>
      </c>
      <c r="BG1169" s="5">
        <v>0</v>
      </c>
      <c r="BH1169" s="9">
        <f t="shared" si="146"/>
        <v>1795</v>
      </c>
      <c r="BI1169" s="10">
        <f t="shared" si="147"/>
        <v>4621.5371796800173</v>
      </c>
      <c r="BJ1169" s="6">
        <f t="shared" si="148"/>
        <v>370.50062916177308</v>
      </c>
      <c r="BK1169" s="11">
        <f t="shared" si="149"/>
        <v>0.26009181663854097</v>
      </c>
      <c r="BL1169" s="5">
        <f t="shared" si="150"/>
        <v>1103.0237337095964</v>
      </c>
      <c r="BM1169" s="11">
        <f t="shared" si="151"/>
        <v>0.31349140784806007</v>
      </c>
    </row>
    <row r="1170" spans="1:65" ht="15" customHeight="1" x14ac:dyDescent="0.4">
      <c r="A1170" s="2" t="s">
        <v>775</v>
      </c>
      <c r="B1170" s="2" t="s">
        <v>865</v>
      </c>
      <c r="C1170" s="2" t="s">
        <v>866</v>
      </c>
      <c r="D1170" s="3" t="s">
        <v>68</v>
      </c>
      <c r="E1170" s="3" t="s">
        <v>876</v>
      </c>
      <c r="F1170" s="2" t="s">
        <v>179</v>
      </c>
      <c r="G1170" s="4">
        <v>5</v>
      </c>
      <c r="H1170" s="5">
        <v>2.4700000000000002</v>
      </c>
      <c r="I1170" s="5">
        <v>2.574672523498617</v>
      </c>
      <c r="J1170" s="6">
        <v>0</v>
      </c>
      <c r="K1170" s="5">
        <v>0</v>
      </c>
      <c r="L1170" s="6">
        <v>0</v>
      </c>
      <c r="M1170" s="5">
        <v>0</v>
      </c>
      <c r="N1170" s="6">
        <v>0</v>
      </c>
      <c r="O1170" s="5">
        <v>0</v>
      </c>
      <c r="P1170" s="6">
        <v>0</v>
      </c>
      <c r="Q1170" s="5">
        <v>0</v>
      </c>
      <c r="R1170" s="6">
        <v>0</v>
      </c>
      <c r="S1170" s="5">
        <v>0</v>
      </c>
      <c r="T1170" s="6">
        <v>0</v>
      </c>
      <c r="U1170" s="5">
        <v>0</v>
      </c>
      <c r="V1170" s="6">
        <v>0</v>
      </c>
      <c r="W1170" s="5">
        <v>0</v>
      </c>
      <c r="X1170" s="6">
        <v>3561.2484270955679</v>
      </c>
      <c r="Y1170" s="5">
        <v>8796.2836149260529</v>
      </c>
      <c r="Z1170" s="6">
        <v>0</v>
      </c>
      <c r="AA1170" s="5">
        <v>0</v>
      </c>
      <c r="AB1170" s="6">
        <v>0</v>
      </c>
      <c r="AC1170" s="5">
        <v>0</v>
      </c>
      <c r="AD1170" s="6">
        <v>0</v>
      </c>
      <c r="AE1170" s="5">
        <v>0</v>
      </c>
      <c r="AF1170" s="6">
        <v>0</v>
      </c>
      <c r="AG1170" s="5">
        <v>0</v>
      </c>
      <c r="AH1170" s="7">
        <f t="shared" si="144"/>
        <v>3561.2484270955679</v>
      </c>
      <c r="AI1170" s="8">
        <f t="shared" si="145"/>
        <v>8796.2836149260529</v>
      </c>
      <c r="AJ1170" s="6">
        <v>0</v>
      </c>
      <c r="AK1170" s="5">
        <v>0</v>
      </c>
      <c r="AL1170" s="6">
        <v>0</v>
      </c>
      <c r="AM1170" s="5">
        <v>0</v>
      </c>
      <c r="AN1170" s="6">
        <v>0</v>
      </c>
      <c r="AO1170" s="5">
        <v>0</v>
      </c>
      <c r="AP1170" s="6">
        <v>0</v>
      </c>
      <c r="AQ1170" s="5">
        <v>0</v>
      </c>
      <c r="AR1170" s="6">
        <v>0</v>
      </c>
      <c r="AS1170" s="5">
        <v>0</v>
      </c>
      <c r="AT1170" s="6">
        <v>0</v>
      </c>
      <c r="AU1170" s="5">
        <v>0</v>
      </c>
      <c r="AV1170" s="6">
        <v>0</v>
      </c>
      <c r="AW1170" s="5">
        <v>0</v>
      </c>
      <c r="AX1170" s="6">
        <v>4490</v>
      </c>
      <c r="AY1170" s="5">
        <v>11560.27963050879</v>
      </c>
      <c r="AZ1170" s="6">
        <v>0</v>
      </c>
      <c r="BA1170" s="5">
        <v>0</v>
      </c>
      <c r="BB1170" s="6">
        <v>0</v>
      </c>
      <c r="BC1170" s="5">
        <v>0</v>
      </c>
      <c r="BD1170" s="6">
        <v>0</v>
      </c>
      <c r="BE1170" s="5">
        <v>0</v>
      </c>
      <c r="BF1170" s="6">
        <v>0</v>
      </c>
      <c r="BG1170" s="5">
        <v>0</v>
      </c>
      <c r="BH1170" s="9">
        <f t="shared" si="146"/>
        <v>4490</v>
      </c>
      <c r="BI1170" s="10">
        <f t="shared" si="147"/>
        <v>11560.27963050879</v>
      </c>
      <c r="BJ1170" s="6">
        <f t="shared" si="148"/>
        <v>928.75157290443212</v>
      </c>
      <c r="BK1170" s="11">
        <f t="shared" si="149"/>
        <v>0.26079381765059567</v>
      </c>
      <c r="BL1170" s="5">
        <f t="shared" si="150"/>
        <v>2763.9960155827375</v>
      </c>
      <c r="BM1170" s="11">
        <f t="shared" si="151"/>
        <v>0.31422315793599764</v>
      </c>
    </row>
    <row r="1171" spans="1:65" ht="15" customHeight="1" x14ac:dyDescent="0.4">
      <c r="A1171" s="2" t="s">
        <v>775</v>
      </c>
      <c r="B1171" s="2" t="s">
        <v>865</v>
      </c>
      <c r="C1171" s="2" t="s">
        <v>866</v>
      </c>
      <c r="D1171" s="3" t="s">
        <v>68</v>
      </c>
      <c r="E1171" s="3" t="s">
        <v>876</v>
      </c>
      <c r="F1171" s="2" t="s">
        <v>877</v>
      </c>
      <c r="G1171" s="4">
        <v>5</v>
      </c>
      <c r="H1171" s="5">
        <v>2.4700000000000011</v>
      </c>
      <c r="I1171" s="5">
        <v>2.5746725234986179</v>
      </c>
      <c r="J1171" s="6">
        <v>0</v>
      </c>
      <c r="K1171" s="5">
        <v>0</v>
      </c>
      <c r="L1171" s="6">
        <v>0</v>
      </c>
      <c r="M1171" s="5">
        <v>0</v>
      </c>
      <c r="N1171" s="6">
        <v>0</v>
      </c>
      <c r="O1171" s="5">
        <v>0</v>
      </c>
      <c r="P1171" s="6">
        <v>0</v>
      </c>
      <c r="Q1171" s="5">
        <v>0</v>
      </c>
      <c r="R1171" s="6">
        <v>0</v>
      </c>
      <c r="S1171" s="5">
        <v>0</v>
      </c>
      <c r="T1171" s="6">
        <v>0</v>
      </c>
      <c r="U1171" s="5">
        <v>0</v>
      </c>
      <c r="V1171" s="6">
        <v>0</v>
      </c>
      <c r="W1171" s="5">
        <v>0</v>
      </c>
      <c r="X1171" s="6">
        <v>0</v>
      </c>
      <c r="Y1171" s="5">
        <v>0</v>
      </c>
      <c r="Z1171" s="6">
        <v>0</v>
      </c>
      <c r="AA1171" s="5">
        <v>0</v>
      </c>
      <c r="AB1171" s="6">
        <v>0</v>
      </c>
      <c r="AC1171" s="5">
        <v>0</v>
      </c>
      <c r="AD1171" s="6">
        <v>3431.7460242601692</v>
      </c>
      <c r="AE1171" s="5">
        <v>8476.4126799226196</v>
      </c>
      <c r="AF1171" s="6">
        <v>0</v>
      </c>
      <c r="AG1171" s="5">
        <v>0</v>
      </c>
      <c r="AH1171" s="7">
        <f t="shared" si="144"/>
        <v>3431.7460242601692</v>
      </c>
      <c r="AI1171" s="8">
        <f t="shared" si="145"/>
        <v>8476.4126799226196</v>
      </c>
      <c r="AJ1171" s="6">
        <v>0</v>
      </c>
      <c r="AK1171" s="5">
        <v>0</v>
      </c>
      <c r="AL1171" s="6">
        <v>0</v>
      </c>
      <c r="AM1171" s="5">
        <v>0</v>
      </c>
      <c r="AN1171" s="6">
        <v>0</v>
      </c>
      <c r="AO1171" s="5">
        <v>0</v>
      </c>
      <c r="AP1171" s="6">
        <v>0</v>
      </c>
      <c r="AQ1171" s="5">
        <v>0</v>
      </c>
      <c r="AR1171" s="6">
        <v>0</v>
      </c>
      <c r="AS1171" s="5">
        <v>0</v>
      </c>
      <c r="AT1171" s="6">
        <v>0</v>
      </c>
      <c r="AU1171" s="5">
        <v>0</v>
      </c>
      <c r="AV1171" s="6">
        <v>0</v>
      </c>
      <c r="AW1171" s="5">
        <v>0</v>
      </c>
      <c r="AX1171" s="6">
        <v>0</v>
      </c>
      <c r="AY1171" s="5">
        <v>0</v>
      </c>
      <c r="AZ1171" s="6">
        <v>0</v>
      </c>
      <c r="BA1171" s="5">
        <v>0</v>
      </c>
      <c r="BB1171" s="6">
        <v>0</v>
      </c>
      <c r="BC1171" s="5">
        <v>0</v>
      </c>
      <c r="BD1171" s="6">
        <v>4325</v>
      </c>
      <c r="BE1171" s="5">
        <v>11135.45866413152</v>
      </c>
      <c r="BF1171" s="6">
        <v>0</v>
      </c>
      <c r="BG1171" s="5">
        <v>0</v>
      </c>
      <c r="BH1171" s="9">
        <f t="shared" si="146"/>
        <v>4325</v>
      </c>
      <c r="BI1171" s="10">
        <f t="shared" si="147"/>
        <v>11135.45866413152</v>
      </c>
      <c r="BJ1171" s="6">
        <f t="shared" si="148"/>
        <v>893.25397573983082</v>
      </c>
      <c r="BK1171" s="11">
        <f t="shared" si="149"/>
        <v>0.26029139960390935</v>
      </c>
      <c r="BL1171" s="5">
        <f t="shared" si="150"/>
        <v>2659.0459842089003</v>
      </c>
      <c r="BM1171" s="11">
        <f t="shared" si="151"/>
        <v>0.31369944864850241</v>
      </c>
    </row>
    <row r="1172" spans="1:65" ht="15" customHeight="1" x14ac:dyDescent="0.4">
      <c r="A1172" s="2" t="s">
        <v>775</v>
      </c>
      <c r="B1172" s="2" t="s">
        <v>865</v>
      </c>
      <c r="C1172" s="2" t="s">
        <v>866</v>
      </c>
      <c r="D1172" s="3" t="s">
        <v>68</v>
      </c>
      <c r="E1172" s="3" t="s">
        <v>878</v>
      </c>
      <c r="F1172" s="2" t="s">
        <v>490</v>
      </c>
      <c r="G1172" s="4">
        <v>20</v>
      </c>
      <c r="H1172" s="5">
        <v>2.39</v>
      </c>
      <c r="I1172" s="5">
        <v>2.4912823203083789</v>
      </c>
      <c r="J1172" s="6">
        <v>0</v>
      </c>
      <c r="K1172" s="5">
        <v>0</v>
      </c>
      <c r="L1172" s="6">
        <v>949.66624722548465</v>
      </c>
      <c r="M1172" s="5">
        <v>2269.702330868909</v>
      </c>
      <c r="N1172" s="6">
        <v>0</v>
      </c>
      <c r="O1172" s="5">
        <v>0</v>
      </c>
      <c r="P1172" s="6">
        <v>0</v>
      </c>
      <c r="Q1172" s="5">
        <v>0</v>
      </c>
      <c r="R1172" s="6">
        <v>0</v>
      </c>
      <c r="S1172" s="5">
        <v>0</v>
      </c>
      <c r="T1172" s="6">
        <v>0</v>
      </c>
      <c r="U1172" s="5">
        <v>0</v>
      </c>
      <c r="V1172" s="6">
        <v>0</v>
      </c>
      <c r="W1172" s="5">
        <v>0</v>
      </c>
      <c r="X1172" s="6">
        <v>0</v>
      </c>
      <c r="Y1172" s="5">
        <v>0</v>
      </c>
      <c r="Z1172" s="6">
        <v>0</v>
      </c>
      <c r="AA1172" s="5">
        <v>0</v>
      </c>
      <c r="AB1172" s="6">
        <v>0</v>
      </c>
      <c r="AC1172" s="5">
        <v>0</v>
      </c>
      <c r="AD1172" s="6">
        <v>0</v>
      </c>
      <c r="AE1172" s="5">
        <v>0</v>
      </c>
      <c r="AF1172" s="6">
        <v>0</v>
      </c>
      <c r="AG1172" s="5">
        <v>0</v>
      </c>
      <c r="AH1172" s="7">
        <f t="shared" si="144"/>
        <v>949.66624722548465</v>
      </c>
      <c r="AI1172" s="8">
        <f t="shared" si="145"/>
        <v>2269.702330868909</v>
      </c>
      <c r="AJ1172" s="6">
        <v>0</v>
      </c>
      <c r="AK1172" s="5">
        <v>0</v>
      </c>
      <c r="AL1172" s="6">
        <v>1200</v>
      </c>
      <c r="AM1172" s="5">
        <v>2989.5387843700551</v>
      </c>
      <c r="AN1172" s="6">
        <v>0</v>
      </c>
      <c r="AO1172" s="5">
        <v>0</v>
      </c>
      <c r="AP1172" s="6">
        <v>0</v>
      </c>
      <c r="AQ1172" s="5">
        <v>0</v>
      </c>
      <c r="AR1172" s="6">
        <v>0</v>
      </c>
      <c r="AS1172" s="5">
        <v>0</v>
      </c>
      <c r="AT1172" s="6">
        <v>0</v>
      </c>
      <c r="AU1172" s="5">
        <v>0</v>
      </c>
      <c r="AV1172" s="6">
        <v>0</v>
      </c>
      <c r="AW1172" s="5">
        <v>0</v>
      </c>
      <c r="AX1172" s="6">
        <v>0</v>
      </c>
      <c r="AY1172" s="5">
        <v>0</v>
      </c>
      <c r="AZ1172" s="6">
        <v>0</v>
      </c>
      <c r="BA1172" s="5">
        <v>0</v>
      </c>
      <c r="BB1172" s="6">
        <v>0</v>
      </c>
      <c r="BC1172" s="5">
        <v>0</v>
      </c>
      <c r="BD1172" s="6">
        <v>0</v>
      </c>
      <c r="BE1172" s="5">
        <v>0</v>
      </c>
      <c r="BF1172" s="6">
        <v>0</v>
      </c>
      <c r="BG1172" s="5">
        <v>0</v>
      </c>
      <c r="BH1172" s="9">
        <f t="shared" si="146"/>
        <v>1200</v>
      </c>
      <c r="BI1172" s="10">
        <f t="shared" si="147"/>
        <v>2989.5387843700551</v>
      </c>
      <c r="BJ1172" s="6">
        <f t="shared" si="148"/>
        <v>250.33375277451535</v>
      </c>
      <c r="BK1172" s="11">
        <f t="shared" si="149"/>
        <v>0.26360182169881541</v>
      </c>
      <c r="BL1172" s="5">
        <f t="shared" si="150"/>
        <v>719.83645350114602</v>
      </c>
      <c r="BM1172" s="11">
        <f t="shared" si="151"/>
        <v>0.3171501582877484</v>
      </c>
    </row>
    <row r="1173" spans="1:65" ht="15" customHeight="1" x14ac:dyDescent="0.4">
      <c r="A1173" s="2" t="s">
        <v>775</v>
      </c>
      <c r="B1173" s="2" t="s">
        <v>865</v>
      </c>
      <c r="C1173" s="2" t="s">
        <v>866</v>
      </c>
      <c r="D1173" s="3" t="s">
        <v>68</v>
      </c>
      <c r="E1173" s="3" t="s">
        <v>878</v>
      </c>
      <c r="F1173" s="2" t="s">
        <v>72</v>
      </c>
      <c r="G1173" s="4">
        <v>20</v>
      </c>
      <c r="H1173" s="5">
        <v>2.39</v>
      </c>
      <c r="I1173" s="5">
        <v>2.491282320308378</v>
      </c>
      <c r="J1173" s="6">
        <v>0</v>
      </c>
      <c r="K1173" s="5">
        <v>0</v>
      </c>
      <c r="L1173" s="6">
        <v>0</v>
      </c>
      <c r="M1173" s="5">
        <v>0</v>
      </c>
      <c r="N1173" s="6">
        <v>0</v>
      </c>
      <c r="O1173" s="5">
        <v>0</v>
      </c>
      <c r="P1173" s="6">
        <v>0</v>
      </c>
      <c r="Q1173" s="5">
        <v>0</v>
      </c>
      <c r="R1173" s="6">
        <v>0</v>
      </c>
      <c r="S1173" s="5">
        <v>0</v>
      </c>
      <c r="T1173" s="6">
        <v>0</v>
      </c>
      <c r="U1173" s="5">
        <v>0</v>
      </c>
      <c r="V1173" s="6">
        <v>0</v>
      </c>
      <c r="W1173" s="5">
        <v>0</v>
      </c>
      <c r="X1173" s="6">
        <v>553.97197754819945</v>
      </c>
      <c r="Y1173" s="5">
        <v>1323.993026340197</v>
      </c>
      <c r="Z1173" s="6">
        <v>0</v>
      </c>
      <c r="AA1173" s="5">
        <v>0</v>
      </c>
      <c r="AB1173" s="6">
        <v>0</v>
      </c>
      <c r="AC1173" s="5">
        <v>0</v>
      </c>
      <c r="AD1173" s="6">
        <v>0</v>
      </c>
      <c r="AE1173" s="5">
        <v>0</v>
      </c>
      <c r="AF1173" s="6">
        <v>0</v>
      </c>
      <c r="AG1173" s="5">
        <v>0</v>
      </c>
      <c r="AH1173" s="7">
        <f t="shared" si="144"/>
        <v>553.97197754819945</v>
      </c>
      <c r="AI1173" s="8">
        <f t="shared" si="145"/>
        <v>1323.993026340197</v>
      </c>
      <c r="AJ1173" s="6">
        <v>0</v>
      </c>
      <c r="AK1173" s="5">
        <v>0</v>
      </c>
      <c r="AL1173" s="6">
        <v>0</v>
      </c>
      <c r="AM1173" s="5">
        <v>0</v>
      </c>
      <c r="AN1173" s="6">
        <v>0</v>
      </c>
      <c r="AO1173" s="5">
        <v>0</v>
      </c>
      <c r="AP1173" s="6">
        <v>0</v>
      </c>
      <c r="AQ1173" s="5">
        <v>0</v>
      </c>
      <c r="AR1173" s="6">
        <v>0</v>
      </c>
      <c r="AS1173" s="5">
        <v>0</v>
      </c>
      <c r="AT1173" s="6">
        <v>0</v>
      </c>
      <c r="AU1173" s="5">
        <v>0</v>
      </c>
      <c r="AV1173" s="6">
        <v>0</v>
      </c>
      <c r="AW1173" s="5">
        <v>0</v>
      </c>
      <c r="AX1173" s="6">
        <v>700</v>
      </c>
      <c r="AY1173" s="5">
        <v>1743.8976242158651</v>
      </c>
      <c r="AZ1173" s="6">
        <v>0</v>
      </c>
      <c r="BA1173" s="5">
        <v>0</v>
      </c>
      <c r="BB1173" s="6">
        <v>0</v>
      </c>
      <c r="BC1173" s="5">
        <v>0</v>
      </c>
      <c r="BD1173" s="6">
        <v>0</v>
      </c>
      <c r="BE1173" s="5">
        <v>0</v>
      </c>
      <c r="BF1173" s="6">
        <v>0</v>
      </c>
      <c r="BG1173" s="5">
        <v>0</v>
      </c>
      <c r="BH1173" s="9">
        <f t="shared" si="146"/>
        <v>700</v>
      </c>
      <c r="BI1173" s="10">
        <f t="shared" si="147"/>
        <v>1743.8976242158651</v>
      </c>
      <c r="BJ1173" s="6">
        <f t="shared" si="148"/>
        <v>146.02802245180055</v>
      </c>
      <c r="BK1173" s="11">
        <f t="shared" si="149"/>
        <v>0.26360182169881524</v>
      </c>
      <c r="BL1173" s="5">
        <f t="shared" si="150"/>
        <v>419.90459787566806</v>
      </c>
      <c r="BM1173" s="11">
        <f t="shared" si="151"/>
        <v>0.31715015828774806</v>
      </c>
    </row>
    <row r="1174" spans="1:65" ht="15" customHeight="1" x14ac:dyDescent="0.4">
      <c r="A1174" s="2" t="s">
        <v>775</v>
      </c>
      <c r="B1174" s="2" t="s">
        <v>865</v>
      </c>
      <c r="C1174" s="2" t="s">
        <v>866</v>
      </c>
      <c r="D1174" s="3" t="s">
        <v>68</v>
      </c>
      <c r="E1174" s="3" t="s">
        <v>878</v>
      </c>
      <c r="F1174" s="2" t="s">
        <v>877</v>
      </c>
      <c r="G1174" s="4">
        <v>20</v>
      </c>
      <c r="H1174" s="5">
        <v>2.39</v>
      </c>
      <c r="I1174" s="5">
        <v>2.491282320308378</v>
      </c>
      <c r="J1174" s="6">
        <v>0</v>
      </c>
      <c r="K1174" s="5">
        <v>0</v>
      </c>
      <c r="L1174" s="6">
        <v>0</v>
      </c>
      <c r="M1174" s="5">
        <v>0</v>
      </c>
      <c r="N1174" s="6">
        <v>0</v>
      </c>
      <c r="O1174" s="5">
        <v>0</v>
      </c>
      <c r="P1174" s="6">
        <v>0</v>
      </c>
      <c r="Q1174" s="5">
        <v>0</v>
      </c>
      <c r="R1174" s="6">
        <v>0</v>
      </c>
      <c r="S1174" s="5">
        <v>0</v>
      </c>
      <c r="T1174" s="6">
        <v>0</v>
      </c>
      <c r="U1174" s="5">
        <v>0</v>
      </c>
      <c r="V1174" s="6">
        <v>0</v>
      </c>
      <c r="W1174" s="5">
        <v>0</v>
      </c>
      <c r="X1174" s="6">
        <v>0</v>
      </c>
      <c r="Y1174" s="5">
        <v>0</v>
      </c>
      <c r="Z1174" s="6">
        <v>0</v>
      </c>
      <c r="AA1174" s="5">
        <v>0</v>
      </c>
      <c r="AB1174" s="6">
        <v>0</v>
      </c>
      <c r="AC1174" s="5">
        <v>0</v>
      </c>
      <c r="AD1174" s="6">
        <v>2369.9903482459731</v>
      </c>
      <c r="AE1174" s="5">
        <v>5664.2769323078765</v>
      </c>
      <c r="AF1174" s="6">
        <v>0</v>
      </c>
      <c r="AG1174" s="5">
        <v>0</v>
      </c>
      <c r="AH1174" s="7">
        <f t="shared" si="144"/>
        <v>2369.9903482459731</v>
      </c>
      <c r="AI1174" s="8">
        <f t="shared" si="145"/>
        <v>5664.2769323078765</v>
      </c>
      <c r="AJ1174" s="6">
        <v>0</v>
      </c>
      <c r="AK1174" s="5">
        <v>0</v>
      </c>
      <c r="AL1174" s="6">
        <v>0</v>
      </c>
      <c r="AM1174" s="5">
        <v>0</v>
      </c>
      <c r="AN1174" s="6">
        <v>0</v>
      </c>
      <c r="AO1174" s="5">
        <v>0</v>
      </c>
      <c r="AP1174" s="6">
        <v>0</v>
      </c>
      <c r="AQ1174" s="5">
        <v>0</v>
      </c>
      <c r="AR1174" s="6">
        <v>0</v>
      </c>
      <c r="AS1174" s="5">
        <v>0</v>
      </c>
      <c r="AT1174" s="6">
        <v>0</v>
      </c>
      <c r="AU1174" s="5">
        <v>0</v>
      </c>
      <c r="AV1174" s="6">
        <v>0</v>
      </c>
      <c r="AW1174" s="5">
        <v>0</v>
      </c>
      <c r="AX1174" s="6">
        <v>0</v>
      </c>
      <c r="AY1174" s="5">
        <v>0</v>
      </c>
      <c r="AZ1174" s="6">
        <v>0</v>
      </c>
      <c r="BA1174" s="5">
        <v>0</v>
      </c>
      <c r="BB1174" s="6">
        <v>0</v>
      </c>
      <c r="BC1174" s="5">
        <v>0</v>
      </c>
      <c r="BD1174" s="6">
        <v>2980</v>
      </c>
      <c r="BE1174" s="5">
        <v>7424.0213145189682</v>
      </c>
      <c r="BF1174" s="6">
        <v>0</v>
      </c>
      <c r="BG1174" s="5">
        <v>0</v>
      </c>
      <c r="BH1174" s="9">
        <f t="shared" si="146"/>
        <v>2980</v>
      </c>
      <c r="BI1174" s="10">
        <f t="shared" si="147"/>
        <v>7424.0213145189682</v>
      </c>
      <c r="BJ1174" s="6">
        <f t="shared" si="148"/>
        <v>610.00965175402689</v>
      </c>
      <c r="BK1174" s="11">
        <f t="shared" si="149"/>
        <v>0.25738908692412787</v>
      </c>
      <c r="BL1174" s="5">
        <f t="shared" si="150"/>
        <v>1759.7443822110918</v>
      </c>
      <c r="BM1174" s="11">
        <f t="shared" si="151"/>
        <v>0.31067414309739516</v>
      </c>
    </row>
    <row r="1175" spans="1:65" ht="15" customHeight="1" x14ac:dyDescent="0.4">
      <c r="A1175" s="2" t="s">
        <v>775</v>
      </c>
      <c r="B1175" s="2" t="s">
        <v>865</v>
      </c>
      <c r="C1175" s="2" t="s">
        <v>866</v>
      </c>
      <c r="D1175" s="3" t="s">
        <v>68</v>
      </c>
      <c r="E1175" s="3" t="s">
        <v>879</v>
      </c>
      <c r="F1175" s="2" t="s">
        <v>293</v>
      </c>
      <c r="G1175" s="4">
        <v>1</v>
      </c>
      <c r="H1175" s="5">
        <v>4.830000000000001</v>
      </c>
      <c r="I1175" s="5">
        <v>5.0346835176106577</v>
      </c>
      <c r="J1175" s="6">
        <v>0</v>
      </c>
      <c r="K1175" s="5">
        <v>0</v>
      </c>
      <c r="L1175" s="6">
        <v>783.47465396102484</v>
      </c>
      <c r="M1175" s="5">
        <v>3784.1825786317499</v>
      </c>
      <c r="N1175" s="6">
        <v>0</v>
      </c>
      <c r="O1175" s="5">
        <v>0</v>
      </c>
      <c r="P1175" s="6">
        <v>0</v>
      </c>
      <c r="Q1175" s="5">
        <v>0</v>
      </c>
      <c r="R1175" s="6">
        <v>0</v>
      </c>
      <c r="S1175" s="5">
        <v>0</v>
      </c>
      <c r="T1175" s="6">
        <v>0</v>
      </c>
      <c r="U1175" s="5">
        <v>0</v>
      </c>
      <c r="V1175" s="6">
        <v>0</v>
      </c>
      <c r="W1175" s="5">
        <v>0</v>
      </c>
      <c r="X1175" s="6">
        <v>0</v>
      </c>
      <c r="Y1175" s="5">
        <v>0</v>
      </c>
      <c r="Z1175" s="6">
        <v>0</v>
      </c>
      <c r="AA1175" s="5">
        <v>0</v>
      </c>
      <c r="AB1175" s="6">
        <v>0</v>
      </c>
      <c r="AC1175" s="5">
        <v>0</v>
      </c>
      <c r="AD1175" s="6">
        <v>0</v>
      </c>
      <c r="AE1175" s="5">
        <v>0</v>
      </c>
      <c r="AF1175" s="6">
        <v>0</v>
      </c>
      <c r="AG1175" s="5">
        <v>0</v>
      </c>
      <c r="AH1175" s="7">
        <f t="shared" si="144"/>
        <v>783.47465396102484</v>
      </c>
      <c r="AI1175" s="8">
        <f t="shared" si="145"/>
        <v>3784.1825786317499</v>
      </c>
      <c r="AJ1175" s="6">
        <v>0</v>
      </c>
      <c r="AK1175" s="5">
        <v>0</v>
      </c>
      <c r="AL1175" s="6">
        <v>839</v>
      </c>
      <c r="AM1175" s="5">
        <v>4224.0994712753418</v>
      </c>
      <c r="AN1175" s="6">
        <v>0</v>
      </c>
      <c r="AO1175" s="5">
        <v>0</v>
      </c>
      <c r="AP1175" s="6">
        <v>0</v>
      </c>
      <c r="AQ1175" s="5">
        <v>0</v>
      </c>
      <c r="AR1175" s="6">
        <v>0</v>
      </c>
      <c r="AS1175" s="5">
        <v>0</v>
      </c>
      <c r="AT1175" s="6">
        <v>0</v>
      </c>
      <c r="AU1175" s="5">
        <v>0</v>
      </c>
      <c r="AV1175" s="6">
        <v>0</v>
      </c>
      <c r="AW1175" s="5">
        <v>0</v>
      </c>
      <c r="AX1175" s="6">
        <v>0</v>
      </c>
      <c r="AY1175" s="5">
        <v>0</v>
      </c>
      <c r="AZ1175" s="6">
        <v>0</v>
      </c>
      <c r="BA1175" s="5">
        <v>0</v>
      </c>
      <c r="BB1175" s="6">
        <v>0</v>
      </c>
      <c r="BC1175" s="5">
        <v>0</v>
      </c>
      <c r="BD1175" s="6">
        <v>0</v>
      </c>
      <c r="BE1175" s="5">
        <v>0</v>
      </c>
      <c r="BF1175" s="6">
        <v>0</v>
      </c>
      <c r="BG1175" s="5">
        <v>0</v>
      </c>
      <c r="BH1175" s="9">
        <f t="shared" si="146"/>
        <v>839</v>
      </c>
      <c r="BI1175" s="10">
        <f t="shared" si="147"/>
        <v>4224.0994712753418</v>
      </c>
      <c r="BJ1175" s="6">
        <f t="shared" si="148"/>
        <v>55.525346038975158</v>
      </c>
      <c r="BK1175" s="11">
        <f t="shared" si="149"/>
        <v>7.0870634752834463E-2</v>
      </c>
      <c r="BL1175" s="5">
        <f t="shared" si="150"/>
        <v>439.91689264359184</v>
      </c>
      <c r="BM1175" s="11">
        <f t="shared" si="151"/>
        <v>0.11625149778123363</v>
      </c>
    </row>
    <row r="1176" spans="1:65" ht="15" customHeight="1" x14ac:dyDescent="0.4">
      <c r="A1176" s="2" t="s">
        <v>775</v>
      </c>
      <c r="B1176" s="2" t="s">
        <v>865</v>
      </c>
      <c r="C1176" s="2" t="s">
        <v>866</v>
      </c>
      <c r="D1176" s="3" t="s">
        <v>68</v>
      </c>
      <c r="E1176" s="3" t="s">
        <v>879</v>
      </c>
      <c r="F1176" s="2" t="s">
        <v>494</v>
      </c>
      <c r="G1176" s="4">
        <v>1</v>
      </c>
      <c r="H1176" s="5">
        <v>4.830000000000001</v>
      </c>
      <c r="I1176" s="5">
        <v>5.0346835176106568</v>
      </c>
      <c r="J1176" s="6">
        <v>0</v>
      </c>
      <c r="K1176" s="5">
        <v>0</v>
      </c>
      <c r="L1176" s="6">
        <v>0</v>
      </c>
      <c r="M1176" s="5">
        <v>0</v>
      </c>
      <c r="N1176" s="6">
        <v>0</v>
      </c>
      <c r="O1176" s="5">
        <v>0</v>
      </c>
      <c r="P1176" s="6">
        <v>0</v>
      </c>
      <c r="Q1176" s="5">
        <v>0</v>
      </c>
      <c r="R1176" s="6">
        <v>0</v>
      </c>
      <c r="S1176" s="5">
        <v>0</v>
      </c>
      <c r="T1176" s="6">
        <v>0</v>
      </c>
      <c r="U1176" s="5">
        <v>0</v>
      </c>
      <c r="V1176" s="6">
        <v>0</v>
      </c>
      <c r="W1176" s="5">
        <v>0</v>
      </c>
      <c r="X1176" s="6">
        <v>783.47465396102484</v>
      </c>
      <c r="Y1176" s="5">
        <v>3784.1825786317499</v>
      </c>
      <c r="Z1176" s="6">
        <v>0</v>
      </c>
      <c r="AA1176" s="5">
        <v>0</v>
      </c>
      <c r="AB1176" s="6">
        <v>0</v>
      </c>
      <c r="AC1176" s="5">
        <v>0</v>
      </c>
      <c r="AD1176" s="6">
        <v>0</v>
      </c>
      <c r="AE1176" s="5">
        <v>0</v>
      </c>
      <c r="AF1176" s="6">
        <v>0</v>
      </c>
      <c r="AG1176" s="5">
        <v>0</v>
      </c>
      <c r="AH1176" s="7">
        <f t="shared" si="144"/>
        <v>783.47465396102484</v>
      </c>
      <c r="AI1176" s="8">
        <f t="shared" si="145"/>
        <v>3784.1825786317499</v>
      </c>
      <c r="AJ1176" s="6">
        <v>0</v>
      </c>
      <c r="AK1176" s="5">
        <v>0</v>
      </c>
      <c r="AL1176" s="6">
        <v>0</v>
      </c>
      <c r="AM1176" s="5">
        <v>0</v>
      </c>
      <c r="AN1176" s="6">
        <v>0</v>
      </c>
      <c r="AO1176" s="5">
        <v>0</v>
      </c>
      <c r="AP1176" s="6">
        <v>0</v>
      </c>
      <c r="AQ1176" s="5">
        <v>0</v>
      </c>
      <c r="AR1176" s="6">
        <v>0</v>
      </c>
      <c r="AS1176" s="5">
        <v>0</v>
      </c>
      <c r="AT1176" s="6">
        <v>0</v>
      </c>
      <c r="AU1176" s="5">
        <v>0</v>
      </c>
      <c r="AV1176" s="6">
        <v>0</v>
      </c>
      <c r="AW1176" s="5">
        <v>0</v>
      </c>
      <c r="AX1176" s="6">
        <v>839</v>
      </c>
      <c r="AY1176" s="5">
        <v>4224.0994712753409</v>
      </c>
      <c r="AZ1176" s="6">
        <v>0</v>
      </c>
      <c r="BA1176" s="5">
        <v>0</v>
      </c>
      <c r="BB1176" s="6">
        <v>0</v>
      </c>
      <c r="BC1176" s="5">
        <v>0</v>
      </c>
      <c r="BD1176" s="6">
        <v>0</v>
      </c>
      <c r="BE1176" s="5">
        <v>0</v>
      </c>
      <c r="BF1176" s="6">
        <v>0</v>
      </c>
      <c r="BG1176" s="5">
        <v>0</v>
      </c>
      <c r="BH1176" s="9">
        <f t="shared" si="146"/>
        <v>839</v>
      </c>
      <c r="BI1176" s="10">
        <f t="shared" si="147"/>
        <v>4224.0994712753409</v>
      </c>
      <c r="BJ1176" s="6">
        <f t="shared" si="148"/>
        <v>55.525346038975158</v>
      </c>
      <c r="BK1176" s="11">
        <f t="shared" si="149"/>
        <v>7.0870634752834463E-2</v>
      </c>
      <c r="BL1176" s="5">
        <f t="shared" si="150"/>
        <v>439.91689264359093</v>
      </c>
      <c r="BM1176" s="11">
        <f t="shared" si="151"/>
        <v>0.11625149778123339</v>
      </c>
    </row>
    <row r="1177" spans="1:65" ht="15" customHeight="1" x14ac:dyDescent="0.4">
      <c r="A1177" s="2" t="s">
        <v>775</v>
      </c>
      <c r="B1177" s="2" t="s">
        <v>865</v>
      </c>
      <c r="C1177" s="2" t="s">
        <v>866</v>
      </c>
      <c r="D1177" s="3" t="s">
        <v>68</v>
      </c>
      <c r="E1177" s="3" t="s">
        <v>880</v>
      </c>
      <c r="F1177" s="2" t="s">
        <v>263</v>
      </c>
      <c r="G1177" s="4">
        <v>1</v>
      </c>
      <c r="H1177" s="5">
        <v>5.58</v>
      </c>
      <c r="I1177" s="5">
        <v>5.8164666725191436</v>
      </c>
      <c r="J1177" s="6">
        <v>0</v>
      </c>
      <c r="K1177" s="5">
        <v>0</v>
      </c>
      <c r="L1177" s="6">
        <v>0</v>
      </c>
      <c r="M1177" s="5">
        <v>0</v>
      </c>
      <c r="N1177" s="6">
        <v>0</v>
      </c>
      <c r="O1177" s="5">
        <v>0</v>
      </c>
      <c r="P1177" s="6">
        <v>0</v>
      </c>
      <c r="Q1177" s="5">
        <v>0</v>
      </c>
      <c r="R1177" s="6">
        <v>0</v>
      </c>
      <c r="S1177" s="5">
        <v>0</v>
      </c>
      <c r="T1177" s="6">
        <v>0</v>
      </c>
      <c r="U1177" s="5">
        <v>0</v>
      </c>
      <c r="V1177" s="6">
        <v>0</v>
      </c>
      <c r="W1177" s="5">
        <v>0</v>
      </c>
      <c r="X1177" s="6">
        <v>783.47465396102484</v>
      </c>
      <c r="Y1177" s="5">
        <v>4371.7885691025194</v>
      </c>
      <c r="Z1177" s="6">
        <v>0</v>
      </c>
      <c r="AA1177" s="5">
        <v>0</v>
      </c>
      <c r="AB1177" s="6">
        <v>0</v>
      </c>
      <c r="AC1177" s="5">
        <v>0</v>
      </c>
      <c r="AD1177" s="6">
        <v>0</v>
      </c>
      <c r="AE1177" s="5">
        <v>0</v>
      </c>
      <c r="AF1177" s="6">
        <v>0</v>
      </c>
      <c r="AG1177" s="5">
        <v>0</v>
      </c>
      <c r="AH1177" s="7">
        <f t="shared" si="144"/>
        <v>783.47465396102484</v>
      </c>
      <c r="AI1177" s="8">
        <f t="shared" si="145"/>
        <v>4371.7885691025194</v>
      </c>
      <c r="AJ1177" s="6">
        <v>0</v>
      </c>
      <c r="AK1177" s="5">
        <v>0</v>
      </c>
      <c r="AL1177" s="6">
        <v>0</v>
      </c>
      <c r="AM1177" s="5">
        <v>0</v>
      </c>
      <c r="AN1177" s="6">
        <v>0</v>
      </c>
      <c r="AO1177" s="5">
        <v>0</v>
      </c>
      <c r="AP1177" s="6">
        <v>0</v>
      </c>
      <c r="AQ1177" s="5">
        <v>0</v>
      </c>
      <c r="AR1177" s="6">
        <v>0</v>
      </c>
      <c r="AS1177" s="5">
        <v>0</v>
      </c>
      <c r="AT1177" s="6">
        <v>0</v>
      </c>
      <c r="AU1177" s="5">
        <v>0</v>
      </c>
      <c r="AV1177" s="6">
        <v>0</v>
      </c>
      <c r="AW1177" s="5">
        <v>0</v>
      </c>
      <c r="AX1177" s="6">
        <v>839</v>
      </c>
      <c r="AY1177" s="5">
        <v>4880.0155382435614</v>
      </c>
      <c r="AZ1177" s="6">
        <v>0</v>
      </c>
      <c r="BA1177" s="5">
        <v>0</v>
      </c>
      <c r="BB1177" s="6">
        <v>0</v>
      </c>
      <c r="BC1177" s="5">
        <v>0</v>
      </c>
      <c r="BD1177" s="6">
        <v>0</v>
      </c>
      <c r="BE1177" s="5">
        <v>0</v>
      </c>
      <c r="BF1177" s="6">
        <v>0</v>
      </c>
      <c r="BG1177" s="5">
        <v>0</v>
      </c>
      <c r="BH1177" s="9">
        <f t="shared" si="146"/>
        <v>839</v>
      </c>
      <c r="BI1177" s="10">
        <f t="shared" si="147"/>
        <v>4880.0155382435614</v>
      </c>
      <c r="BJ1177" s="6">
        <f t="shared" si="148"/>
        <v>55.525346038975158</v>
      </c>
      <c r="BK1177" s="11">
        <f t="shared" si="149"/>
        <v>7.0870634752834463E-2</v>
      </c>
      <c r="BL1177" s="5">
        <f t="shared" si="150"/>
        <v>508.22696914104199</v>
      </c>
      <c r="BM1177" s="11">
        <f t="shared" si="151"/>
        <v>0.11625149778123316</v>
      </c>
    </row>
    <row r="1178" spans="1:65" ht="15" customHeight="1" x14ac:dyDescent="0.4">
      <c r="A1178" s="2" t="s">
        <v>775</v>
      </c>
      <c r="B1178" s="2" t="s">
        <v>865</v>
      </c>
      <c r="C1178" s="2" t="s">
        <v>866</v>
      </c>
      <c r="D1178" s="3" t="s">
        <v>68</v>
      </c>
      <c r="E1178" s="3" t="s">
        <v>880</v>
      </c>
      <c r="F1178" s="2" t="s">
        <v>500</v>
      </c>
      <c r="G1178" s="4">
        <v>1</v>
      </c>
      <c r="H1178" s="5">
        <v>5.58</v>
      </c>
      <c r="I1178" s="5">
        <v>5.8164666725191418</v>
      </c>
      <c r="J1178" s="6">
        <v>0</v>
      </c>
      <c r="K1178" s="5">
        <v>0</v>
      </c>
      <c r="L1178" s="6">
        <v>0</v>
      </c>
      <c r="M1178" s="5">
        <v>0</v>
      </c>
      <c r="N1178" s="6">
        <v>0</v>
      </c>
      <c r="O1178" s="5">
        <v>0</v>
      </c>
      <c r="P1178" s="6">
        <v>0</v>
      </c>
      <c r="Q1178" s="5">
        <v>0</v>
      </c>
      <c r="R1178" s="6">
        <v>0</v>
      </c>
      <c r="S1178" s="5">
        <v>0</v>
      </c>
      <c r="T1178" s="6">
        <v>0</v>
      </c>
      <c r="U1178" s="5">
        <v>0</v>
      </c>
      <c r="V1178" s="6">
        <v>0</v>
      </c>
      <c r="W1178" s="5">
        <v>0</v>
      </c>
      <c r="X1178" s="6">
        <v>0</v>
      </c>
      <c r="Y1178" s="5">
        <v>0</v>
      </c>
      <c r="Z1178" s="6">
        <v>0</v>
      </c>
      <c r="AA1178" s="5">
        <v>0</v>
      </c>
      <c r="AB1178" s="6">
        <v>0</v>
      </c>
      <c r="AC1178" s="5">
        <v>0</v>
      </c>
      <c r="AD1178" s="6">
        <v>284.39884178951678</v>
      </c>
      <c r="AE1178" s="5">
        <v>1586.945537185504</v>
      </c>
      <c r="AF1178" s="6">
        <v>0</v>
      </c>
      <c r="AG1178" s="5">
        <v>0</v>
      </c>
      <c r="AH1178" s="7">
        <f t="shared" si="144"/>
        <v>284.39884178951678</v>
      </c>
      <c r="AI1178" s="8">
        <f t="shared" si="145"/>
        <v>1586.945537185504</v>
      </c>
      <c r="AJ1178" s="6">
        <v>0</v>
      </c>
      <c r="AK1178" s="5">
        <v>0</v>
      </c>
      <c r="AL1178" s="6">
        <v>0</v>
      </c>
      <c r="AM1178" s="5">
        <v>0</v>
      </c>
      <c r="AN1178" s="6">
        <v>0</v>
      </c>
      <c r="AO1178" s="5">
        <v>0</v>
      </c>
      <c r="AP1178" s="6">
        <v>0</v>
      </c>
      <c r="AQ1178" s="5">
        <v>0</v>
      </c>
      <c r="AR1178" s="6">
        <v>0</v>
      </c>
      <c r="AS1178" s="5">
        <v>0</v>
      </c>
      <c r="AT1178" s="6">
        <v>0</v>
      </c>
      <c r="AU1178" s="5">
        <v>0</v>
      </c>
      <c r="AV1178" s="6">
        <v>0</v>
      </c>
      <c r="AW1178" s="5">
        <v>0</v>
      </c>
      <c r="AX1178" s="6">
        <v>0</v>
      </c>
      <c r="AY1178" s="5">
        <v>0</v>
      </c>
      <c r="AZ1178" s="6">
        <v>0</v>
      </c>
      <c r="BA1178" s="5">
        <v>0</v>
      </c>
      <c r="BB1178" s="6">
        <v>0</v>
      </c>
      <c r="BC1178" s="5">
        <v>0</v>
      </c>
      <c r="BD1178" s="6">
        <v>305</v>
      </c>
      <c r="BE1178" s="5">
        <v>1774.0223351183381</v>
      </c>
      <c r="BF1178" s="6">
        <v>0</v>
      </c>
      <c r="BG1178" s="5">
        <v>0</v>
      </c>
      <c r="BH1178" s="9">
        <f t="shared" si="146"/>
        <v>305</v>
      </c>
      <c r="BI1178" s="10">
        <f t="shared" si="147"/>
        <v>1774.0223351183381</v>
      </c>
      <c r="BJ1178" s="6">
        <f t="shared" si="148"/>
        <v>20.60115821048322</v>
      </c>
      <c r="BK1178" s="11">
        <f t="shared" si="149"/>
        <v>7.2437560156205241E-2</v>
      </c>
      <c r="BL1178" s="5">
        <f t="shared" si="150"/>
        <v>187.0767979328341</v>
      </c>
      <c r="BM1178" s="11">
        <f t="shared" si="151"/>
        <v>0.11788482562837063</v>
      </c>
    </row>
    <row r="1179" spans="1:65" ht="15" customHeight="1" x14ac:dyDescent="0.4">
      <c r="A1179" s="2" t="s">
        <v>775</v>
      </c>
      <c r="B1179" s="2" t="s">
        <v>865</v>
      </c>
      <c r="C1179" s="2" t="s">
        <v>866</v>
      </c>
      <c r="D1179" s="3" t="s">
        <v>68</v>
      </c>
      <c r="E1179" s="3" t="s">
        <v>881</v>
      </c>
      <c r="F1179" s="2" t="s">
        <v>562</v>
      </c>
      <c r="G1179" s="4">
        <v>1</v>
      </c>
      <c r="H1179" s="5">
        <v>0</v>
      </c>
      <c r="I1179" s="5">
        <v>0</v>
      </c>
      <c r="J1179" s="6">
        <v>0</v>
      </c>
      <c r="K1179" s="5">
        <v>0</v>
      </c>
      <c r="L1179" s="6">
        <v>0</v>
      </c>
      <c r="M1179" s="5">
        <v>0</v>
      </c>
      <c r="N1179" s="6">
        <v>0</v>
      </c>
      <c r="O1179" s="5">
        <v>0</v>
      </c>
      <c r="P1179" s="6">
        <v>0</v>
      </c>
      <c r="Q1179" s="5">
        <v>0</v>
      </c>
      <c r="R1179" s="6">
        <v>0</v>
      </c>
      <c r="S1179" s="5">
        <v>0</v>
      </c>
      <c r="T1179" s="6">
        <v>0</v>
      </c>
      <c r="U1179" s="5">
        <v>0</v>
      </c>
      <c r="V1179" s="6">
        <v>0</v>
      </c>
      <c r="W1179" s="5">
        <v>0</v>
      </c>
      <c r="X1179" s="6">
        <v>11.870828090318559</v>
      </c>
      <c r="Y1179" s="5">
        <v>0</v>
      </c>
      <c r="Z1179" s="6">
        <v>0</v>
      </c>
      <c r="AA1179" s="5">
        <v>0</v>
      </c>
      <c r="AB1179" s="6">
        <v>0</v>
      </c>
      <c r="AC1179" s="5">
        <v>0</v>
      </c>
      <c r="AD1179" s="6">
        <v>0</v>
      </c>
      <c r="AE1179" s="5">
        <v>0</v>
      </c>
      <c r="AF1179" s="6">
        <v>0</v>
      </c>
      <c r="AG1179" s="5">
        <v>0</v>
      </c>
      <c r="AH1179" s="7">
        <f t="shared" si="144"/>
        <v>11.870828090318559</v>
      </c>
      <c r="AI1179" s="8">
        <f t="shared" si="145"/>
        <v>0</v>
      </c>
      <c r="AJ1179" s="6">
        <v>0</v>
      </c>
      <c r="AK1179" s="5">
        <v>0</v>
      </c>
      <c r="AL1179" s="6">
        <v>0</v>
      </c>
      <c r="AM1179" s="5">
        <v>0</v>
      </c>
      <c r="AN1179" s="6">
        <v>0</v>
      </c>
      <c r="AO1179" s="5">
        <v>0</v>
      </c>
      <c r="AP1179" s="6">
        <v>0</v>
      </c>
      <c r="AQ1179" s="5">
        <v>0</v>
      </c>
      <c r="AR1179" s="6">
        <v>0</v>
      </c>
      <c r="AS1179" s="5">
        <v>0</v>
      </c>
      <c r="AT1179" s="6">
        <v>0</v>
      </c>
      <c r="AU1179" s="5">
        <v>0</v>
      </c>
      <c r="AV1179" s="6">
        <v>0</v>
      </c>
      <c r="AW1179" s="5">
        <v>0</v>
      </c>
      <c r="AX1179" s="6">
        <v>13</v>
      </c>
      <c r="AY1179" s="5">
        <v>0</v>
      </c>
      <c r="AZ1179" s="6">
        <v>0</v>
      </c>
      <c r="BA1179" s="5">
        <v>0</v>
      </c>
      <c r="BB1179" s="6">
        <v>0</v>
      </c>
      <c r="BC1179" s="5">
        <v>0</v>
      </c>
      <c r="BD1179" s="6">
        <v>0</v>
      </c>
      <c r="BE1179" s="5">
        <v>0</v>
      </c>
      <c r="BF1179" s="6">
        <v>0</v>
      </c>
      <c r="BG1179" s="5">
        <v>0</v>
      </c>
      <c r="BH1179" s="9">
        <f t="shared" si="146"/>
        <v>13</v>
      </c>
      <c r="BI1179" s="10">
        <f t="shared" si="147"/>
        <v>0</v>
      </c>
      <c r="BJ1179" s="6">
        <f t="shared" si="148"/>
        <v>1.1291719096814408</v>
      </c>
      <c r="BK1179" s="11">
        <f t="shared" si="149"/>
        <v>9.5121578805639914E-2</v>
      </c>
      <c r="BL1179" s="5">
        <f t="shared" si="150"/>
        <v>0</v>
      </c>
      <c r="BM1179" s="11">
        <f t="shared" si="151"/>
        <v>0</v>
      </c>
    </row>
    <row r="1180" spans="1:65" ht="15" customHeight="1" x14ac:dyDescent="0.4">
      <c r="A1180" s="2" t="s">
        <v>775</v>
      </c>
      <c r="B1180" s="2" t="s">
        <v>865</v>
      </c>
      <c r="C1180" s="2" t="s">
        <v>866</v>
      </c>
      <c r="D1180" s="3" t="s">
        <v>68</v>
      </c>
      <c r="E1180" s="3" t="s">
        <v>882</v>
      </c>
      <c r="F1180" s="2" t="s">
        <v>883</v>
      </c>
      <c r="G1180" s="4">
        <v>1</v>
      </c>
      <c r="H1180" s="5">
        <v>5.3</v>
      </c>
      <c r="I1180" s="5">
        <v>5.5253759088861116</v>
      </c>
      <c r="J1180" s="6">
        <v>0</v>
      </c>
      <c r="K1180" s="5">
        <v>0</v>
      </c>
      <c r="L1180" s="6">
        <v>5709.868311443227</v>
      </c>
      <c r="M1180" s="5">
        <v>30262.302050649101</v>
      </c>
      <c r="N1180" s="6">
        <v>0</v>
      </c>
      <c r="O1180" s="5">
        <v>0</v>
      </c>
      <c r="P1180" s="6">
        <v>0</v>
      </c>
      <c r="Q1180" s="5">
        <v>0</v>
      </c>
      <c r="R1180" s="6">
        <v>0</v>
      </c>
      <c r="S1180" s="5">
        <v>0</v>
      </c>
      <c r="T1180" s="6">
        <v>0</v>
      </c>
      <c r="U1180" s="5">
        <v>0</v>
      </c>
      <c r="V1180" s="6">
        <v>0</v>
      </c>
      <c r="W1180" s="5">
        <v>0</v>
      </c>
      <c r="X1180" s="6">
        <v>0</v>
      </c>
      <c r="Y1180" s="5">
        <v>0</v>
      </c>
      <c r="Z1180" s="6">
        <v>0</v>
      </c>
      <c r="AA1180" s="5">
        <v>0</v>
      </c>
      <c r="AB1180" s="6">
        <v>0</v>
      </c>
      <c r="AC1180" s="5">
        <v>0</v>
      </c>
      <c r="AD1180" s="6">
        <v>947.99613929838938</v>
      </c>
      <c r="AE1180" s="5">
        <v>5024.3795382814633</v>
      </c>
      <c r="AF1180" s="6">
        <v>0</v>
      </c>
      <c r="AG1180" s="5">
        <v>0</v>
      </c>
      <c r="AH1180" s="7">
        <f t="shared" si="144"/>
        <v>6657.8644507416166</v>
      </c>
      <c r="AI1180" s="8">
        <f t="shared" si="145"/>
        <v>35286.681588930565</v>
      </c>
      <c r="AJ1180" s="6">
        <v>0</v>
      </c>
      <c r="AK1180" s="5">
        <v>0</v>
      </c>
      <c r="AL1180" s="6">
        <v>6114</v>
      </c>
      <c r="AM1180" s="5">
        <v>33782.934878675478</v>
      </c>
      <c r="AN1180" s="6">
        <v>0</v>
      </c>
      <c r="AO1180" s="5">
        <v>0</v>
      </c>
      <c r="AP1180" s="6">
        <v>0</v>
      </c>
      <c r="AQ1180" s="5">
        <v>0</v>
      </c>
      <c r="AR1180" s="6">
        <v>0</v>
      </c>
      <c r="AS1180" s="5">
        <v>0</v>
      </c>
      <c r="AT1180" s="6">
        <v>0</v>
      </c>
      <c r="AU1180" s="5">
        <v>0</v>
      </c>
      <c r="AV1180" s="6">
        <v>0</v>
      </c>
      <c r="AW1180" s="5">
        <v>0</v>
      </c>
      <c r="AX1180" s="6">
        <v>0</v>
      </c>
      <c r="AY1180" s="5">
        <v>0</v>
      </c>
      <c r="AZ1180" s="6">
        <v>0</v>
      </c>
      <c r="BA1180" s="5">
        <v>0</v>
      </c>
      <c r="BB1180" s="6">
        <v>0</v>
      </c>
      <c r="BC1180" s="5">
        <v>0</v>
      </c>
      <c r="BD1180" s="6">
        <v>1015</v>
      </c>
      <c r="BE1180" s="5">
        <v>5607.469975773608</v>
      </c>
      <c r="BF1180" s="6">
        <v>0</v>
      </c>
      <c r="BG1180" s="5">
        <v>0</v>
      </c>
      <c r="BH1180" s="9">
        <f t="shared" si="146"/>
        <v>7129</v>
      </c>
      <c r="BI1180" s="10">
        <f t="shared" si="147"/>
        <v>39390.404854449087</v>
      </c>
      <c r="BJ1180" s="6">
        <f t="shared" si="148"/>
        <v>471.13554925838343</v>
      </c>
      <c r="BK1180" s="11">
        <f t="shared" si="149"/>
        <v>7.0763764078420652E-2</v>
      </c>
      <c r="BL1180" s="5">
        <f t="shared" si="150"/>
        <v>4103.7232655185217</v>
      </c>
      <c r="BM1180" s="11">
        <f t="shared" si="151"/>
        <v>0.11629666153719198</v>
      </c>
    </row>
    <row r="1181" spans="1:65" ht="15" customHeight="1" x14ac:dyDescent="0.4">
      <c r="A1181" s="2" t="s">
        <v>775</v>
      </c>
      <c r="B1181" s="2" t="s">
        <v>865</v>
      </c>
      <c r="C1181" s="2" t="s">
        <v>866</v>
      </c>
      <c r="D1181" s="3" t="s">
        <v>68</v>
      </c>
      <c r="E1181" s="3" t="s">
        <v>884</v>
      </c>
      <c r="F1181" s="2" t="s">
        <v>883</v>
      </c>
      <c r="G1181" s="4">
        <v>5</v>
      </c>
      <c r="H1181" s="5">
        <v>4.6063767157156432</v>
      </c>
      <c r="I1181" s="5">
        <v>4.8016216103401979</v>
      </c>
      <c r="J1181" s="6">
        <v>0</v>
      </c>
      <c r="K1181" s="5">
        <v>0</v>
      </c>
      <c r="L1181" s="6">
        <v>751.81911238684211</v>
      </c>
      <c r="M1181" s="5">
        <v>3413.258770236263</v>
      </c>
      <c r="N1181" s="6">
        <v>0</v>
      </c>
      <c r="O1181" s="5">
        <v>0</v>
      </c>
      <c r="P1181" s="6">
        <v>0</v>
      </c>
      <c r="Q1181" s="5">
        <v>0</v>
      </c>
      <c r="R1181" s="6">
        <v>0</v>
      </c>
      <c r="S1181" s="5">
        <v>0</v>
      </c>
      <c r="T1181" s="6">
        <v>0</v>
      </c>
      <c r="U1181" s="5">
        <v>0</v>
      </c>
      <c r="V1181" s="6">
        <v>0</v>
      </c>
      <c r="W1181" s="5">
        <v>0</v>
      </c>
      <c r="X1181" s="6">
        <v>0</v>
      </c>
      <c r="Y1181" s="5">
        <v>0</v>
      </c>
      <c r="Z1181" s="6">
        <v>0</v>
      </c>
      <c r="AA1181" s="5">
        <v>0</v>
      </c>
      <c r="AB1181" s="6">
        <v>0</v>
      </c>
      <c r="AC1181" s="5">
        <v>0</v>
      </c>
      <c r="AD1181" s="6">
        <v>1421.994208947584</v>
      </c>
      <c r="AE1181" s="5">
        <v>6600.1442974711244</v>
      </c>
      <c r="AF1181" s="6">
        <v>0</v>
      </c>
      <c r="AG1181" s="5">
        <v>0</v>
      </c>
      <c r="AH1181" s="7">
        <f t="shared" si="144"/>
        <v>2173.8133213344263</v>
      </c>
      <c r="AI1181" s="8">
        <f t="shared" si="145"/>
        <v>10013.403067707388</v>
      </c>
      <c r="AJ1181" s="6">
        <v>0</v>
      </c>
      <c r="AK1181" s="5">
        <v>0</v>
      </c>
      <c r="AL1181" s="6">
        <v>805</v>
      </c>
      <c r="AM1181" s="5">
        <v>3809.5771949920641</v>
      </c>
      <c r="AN1181" s="6">
        <v>0</v>
      </c>
      <c r="AO1181" s="5">
        <v>0</v>
      </c>
      <c r="AP1181" s="6">
        <v>0</v>
      </c>
      <c r="AQ1181" s="5">
        <v>0</v>
      </c>
      <c r="AR1181" s="6">
        <v>0</v>
      </c>
      <c r="AS1181" s="5">
        <v>0</v>
      </c>
      <c r="AT1181" s="6">
        <v>0</v>
      </c>
      <c r="AU1181" s="5">
        <v>0</v>
      </c>
      <c r="AV1181" s="6">
        <v>0</v>
      </c>
      <c r="AW1181" s="5">
        <v>0</v>
      </c>
      <c r="AX1181" s="6">
        <v>0</v>
      </c>
      <c r="AY1181" s="5">
        <v>0</v>
      </c>
      <c r="AZ1181" s="6">
        <v>0</v>
      </c>
      <c r="BA1181" s="5">
        <v>0</v>
      </c>
      <c r="BB1181" s="6">
        <v>0</v>
      </c>
      <c r="BC1181" s="5">
        <v>0</v>
      </c>
      <c r="BD1181" s="6">
        <v>1525</v>
      </c>
      <c r="BE1181" s="5">
        <v>7378.2011571005969</v>
      </c>
      <c r="BF1181" s="6">
        <v>0</v>
      </c>
      <c r="BG1181" s="5">
        <v>0</v>
      </c>
      <c r="BH1181" s="9">
        <f t="shared" si="146"/>
        <v>2330</v>
      </c>
      <c r="BI1181" s="10">
        <f t="shared" si="147"/>
        <v>11187.77835209266</v>
      </c>
      <c r="BJ1181" s="6">
        <f t="shared" si="148"/>
        <v>156.18667866557371</v>
      </c>
      <c r="BK1181" s="11">
        <f t="shared" si="149"/>
        <v>7.1849168064577085E-2</v>
      </c>
      <c r="BL1181" s="5">
        <f t="shared" si="150"/>
        <v>1174.3752843852726</v>
      </c>
      <c r="BM1181" s="11">
        <f t="shared" si="151"/>
        <v>0.11728033680902759</v>
      </c>
    </row>
    <row r="1182" spans="1:65" ht="15" customHeight="1" x14ac:dyDescent="0.4">
      <c r="A1182" s="2" t="s">
        <v>775</v>
      </c>
      <c r="B1182" s="2" t="s">
        <v>865</v>
      </c>
      <c r="C1182" s="2" t="s">
        <v>866</v>
      </c>
      <c r="D1182" s="3" t="s">
        <v>68</v>
      </c>
      <c r="E1182" s="3" t="s">
        <v>884</v>
      </c>
      <c r="F1182" s="2" t="s">
        <v>804</v>
      </c>
      <c r="G1182" s="4">
        <v>5</v>
      </c>
      <c r="H1182" s="5">
        <v>4.7699999999999996</v>
      </c>
      <c r="I1182" s="5">
        <v>4.9721408652179777</v>
      </c>
      <c r="J1182" s="6">
        <v>0</v>
      </c>
      <c r="K1182" s="5">
        <v>0</v>
      </c>
      <c r="L1182" s="6">
        <v>0</v>
      </c>
      <c r="M1182" s="5">
        <v>0</v>
      </c>
      <c r="N1182" s="6">
        <v>0</v>
      </c>
      <c r="O1182" s="5">
        <v>0</v>
      </c>
      <c r="P1182" s="6">
        <v>0</v>
      </c>
      <c r="Q1182" s="5">
        <v>0</v>
      </c>
      <c r="R1182" s="6">
        <v>0</v>
      </c>
      <c r="S1182" s="5">
        <v>0</v>
      </c>
      <c r="T1182" s="6">
        <v>0</v>
      </c>
      <c r="U1182" s="5">
        <v>0</v>
      </c>
      <c r="V1182" s="6">
        <v>0</v>
      </c>
      <c r="W1182" s="5">
        <v>0</v>
      </c>
      <c r="X1182" s="6">
        <v>593.54140451592798</v>
      </c>
      <c r="Y1182" s="5">
        <v>2831.1924995409759</v>
      </c>
      <c r="Z1182" s="6">
        <v>0</v>
      </c>
      <c r="AA1182" s="5">
        <v>0</v>
      </c>
      <c r="AB1182" s="6">
        <v>0</v>
      </c>
      <c r="AC1182" s="5">
        <v>0</v>
      </c>
      <c r="AD1182" s="6">
        <v>0</v>
      </c>
      <c r="AE1182" s="5">
        <v>0</v>
      </c>
      <c r="AF1182" s="6">
        <v>0</v>
      </c>
      <c r="AG1182" s="5">
        <v>0</v>
      </c>
      <c r="AH1182" s="7">
        <f t="shared" si="144"/>
        <v>593.54140451592798</v>
      </c>
      <c r="AI1182" s="8">
        <f t="shared" si="145"/>
        <v>2831.1924995409759</v>
      </c>
      <c r="AJ1182" s="6">
        <v>0</v>
      </c>
      <c r="AK1182" s="5">
        <v>0</v>
      </c>
      <c r="AL1182" s="6">
        <v>0</v>
      </c>
      <c r="AM1182" s="5">
        <v>0</v>
      </c>
      <c r="AN1182" s="6">
        <v>0</v>
      </c>
      <c r="AO1182" s="5">
        <v>0</v>
      </c>
      <c r="AP1182" s="6">
        <v>0</v>
      </c>
      <c r="AQ1182" s="5">
        <v>0</v>
      </c>
      <c r="AR1182" s="6">
        <v>0</v>
      </c>
      <c r="AS1182" s="5">
        <v>0</v>
      </c>
      <c r="AT1182" s="6">
        <v>0</v>
      </c>
      <c r="AU1182" s="5">
        <v>0</v>
      </c>
      <c r="AV1182" s="6">
        <v>0</v>
      </c>
      <c r="AW1182" s="5">
        <v>0</v>
      </c>
      <c r="AX1182" s="6">
        <v>635</v>
      </c>
      <c r="AY1182" s="5">
        <v>3157.3094494134161</v>
      </c>
      <c r="AZ1182" s="6">
        <v>0</v>
      </c>
      <c r="BA1182" s="5">
        <v>0</v>
      </c>
      <c r="BB1182" s="6">
        <v>0</v>
      </c>
      <c r="BC1182" s="5">
        <v>0</v>
      </c>
      <c r="BD1182" s="6">
        <v>0</v>
      </c>
      <c r="BE1182" s="5">
        <v>0</v>
      </c>
      <c r="BF1182" s="6">
        <v>0</v>
      </c>
      <c r="BG1182" s="5">
        <v>0</v>
      </c>
      <c r="BH1182" s="9">
        <f t="shared" si="146"/>
        <v>635</v>
      </c>
      <c r="BI1182" s="10">
        <f t="shared" si="147"/>
        <v>3157.3094494134161</v>
      </c>
      <c r="BJ1182" s="6">
        <f t="shared" si="148"/>
        <v>41.458595484072021</v>
      </c>
      <c r="BK1182" s="11">
        <f t="shared" si="149"/>
        <v>6.9849542371663575E-2</v>
      </c>
      <c r="BL1182" s="5">
        <f t="shared" si="150"/>
        <v>326.11694987244027</v>
      </c>
      <c r="BM1182" s="11">
        <f t="shared" si="151"/>
        <v>0.11518713401696068</v>
      </c>
    </row>
    <row r="1183" spans="1:65" ht="15" customHeight="1" x14ac:dyDescent="0.4">
      <c r="A1183" s="2" t="s">
        <v>775</v>
      </c>
      <c r="B1183" s="2" t="s">
        <v>865</v>
      </c>
      <c r="C1183" s="2" t="s">
        <v>866</v>
      </c>
      <c r="D1183" s="3" t="s">
        <v>68</v>
      </c>
      <c r="E1183" s="3" t="s">
        <v>885</v>
      </c>
      <c r="F1183" s="2" t="s">
        <v>508</v>
      </c>
      <c r="G1183" s="4">
        <v>1</v>
      </c>
      <c r="H1183" s="5">
        <v>3.83</v>
      </c>
      <c r="I1183" s="5">
        <v>3.992305977732673</v>
      </c>
      <c r="J1183" s="6">
        <v>0</v>
      </c>
      <c r="K1183" s="5">
        <v>0</v>
      </c>
      <c r="L1183" s="6">
        <v>712.24968541911358</v>
      </c>
      <c r="M1183" s="5">
        <v>2727.9162951552048</v>
      </c>
      <c r="N1183" s="6">
        <v>0</v>
      </c>
      <c r="O1183" s="5">
        <v>0</v>
      </c>
      <c r="P1183" s="6">
        <v>0</v>
      </c>
      <c r="Q1183" s="5">
        <v>0</v>
      </c>
      <c r="R1183" s="6">
        <v>0</v>
      </c>
      <c r="S1183" s="5">
        <v>0</v>
      </c>
      <c r="T1183" s="6">
        <v>0</v>
      </c>
      <c r="U1183" s="5">
        <v>0</v>
      </c>
      <c r="V1183" s="6">
        <v>0</v>
      </c>
      <c r="W1183" s="5">
        <v>0</v>
      </c>
      <c r="X1183" s="6">
        <v>0</v>
      </c>
      <c r="Y1183" s="5">
        <v>0</v>
      </c>
      <c r="Z1183" s="6">
        <v>0</v>
      </c>
      <c r="AA1183" s="5">
        <v>0</v>
      </c>
      <c r="AB1183" s="6">
        <v>0</v>
      </c>
      <c r="AC1183" s="5">
        <v>0</v>
      </c>
      <c r="AD1183" s="6">
        <v>758.39691143871141</v>
      </c>
      <c r="AE1183" s="5">
        <v>2904.6601708102648</v>
      </c>
      <c r="AF1183" s="6">
        <v>0</v>
      </c>
      <c r="AG1183" s="5">
        <v>0</v>
      </c>
      <c r="AH1183" s="7">
        <f t="shared" si="144"/>
        <v>1470.646596857825</v>
      </c>
      <c r="AI1183" s="8">
        <f t="shared" si="145"/>
        <v>5632.5764659654697</v>
      </c>
      <c r="AJ1183" s="6">
        <v>0</v>
      </c>
      <c r="AK1183" s="5">
        <v>0</v>
      </c>
      <c r="AL1183" s="6">
        <v>774</v>
      </c>
      <c r="AM1183" s="5">
        <v>3090.0448267650891</v>
      </c>
      <c r="AN1183" s="6">
        <v>0</v>
      </c>
      <c r="AO1183" s="5">
        <v>0</v>
      </c>
      <c r="AP1183" s="6">
        <v>0</v>
      </c>
      <c r="AQ1183" s="5">
        <v>0</v>
      </c>
      <c r="AR1183" s="6">
        <v>0</v>
      </c>
      <c r="AS1183" s="5">
        <v>0</v>
      </c>
      <c r="AT1183" s="6">
        <v>0</v>
      </c>
      <c r="AU1183" s="5">
        <v>0</v>
      </c>
      <c r="AV1183" s="6">
        <v>0</v>
      </c>
      <c r="AW1183" s="5">
        <v>0</v>
      </c>
      <c r="AX1183" s="6">
        <v>0</v>
      </c>
      <c r="AY1183" s="5">
        <v>0</v>
      </c>
      <c r="AZ1183" s="6">
        <v>0</v>
      </c>
      <c r="BA1183" s="5">
        <v>0</v>
      </c>
      <c r="BB1183" s="6">
        <v>0</v>
      </c>
      <c r="BC1183" s="5">
        <v>0</v>
      </c>
      <c r="BD1183" s="6">
        <v>824</v>
      </c>
      <c r="BE1183" s="5">
        <v>3289.6601256517229</v>
      </c>
      <c r="BF1183" s="6">
        <v>0</v>
      </c>
      <c r="BG1183" s="5">
        <v>0</v>
      </c>
      <c r="BH1183" s="9">
        <f t="shared" si="146"/>
        <v>1598</v>
      </c>
      <c r="BI1183" s="10">
        <f t="shared" si="147"/>
        <v>6379.7049524168124</v>
      </c>
      <c r="BJ1183" s="6">
        <f t="shared" si="148"/>
        <v>127.35340314217501</v>
      </c>
      <c r="BK1183" s="11">
        <f t="shared" si="149"/>
        <v>8.6596877464835909E-2</v>
      </c>
      <c r="BL1183" s="5">
        <f t="shared" si="150"/>
        <v>747.12848645134272</v>
      </c>
      <c r="BM1183" s="11">
        <f t="shared" si="151"/>
        <v>0.13264417997089345</v>
      </c>
    </row>
    <row r="1184" spans="1:65" ht="15" customHeight="1" x14ac:dyDescent="0.4">
      <c r="A1184" s="2" t="s">
        <v>775</v>
      </c>
      <c r="B1184" s="2" t="s">
        <v>865</v>
      </c>
      <c r="C1184" s="2" t="s">
        <v>866</v>
      </c>
      <c r="D1184" s="3" t="s">
        <v>68</v>
      </c>
      <c r="E1184" s="3" t="s">
        <v>885</v>
      </c>
      <c r="F1184" s="2" t="s">
        <v>509</v>
      </c>
      <c r="G1184" s="4">
        <v>1</v>
      </c>
      <c r="H1184" s="5">
        <v>3.83</v>
      </c>
      <c r="I1184" s="5">
        <v>3.992305977732673</v>
      </c>
      <c r="J1184" s="6">
        <v>0</v>
      </c>
      <c r="K1184" s="5">
        <v>0</v>
      </c>
      <c r="L1184" s="6">
        <v>0</v>
      </c>
      <c r="M1184" s="5">
        <v>0</v>
      </c>
      <c r="N1184" s="6">
        <v>0</v>
      </c>
      <c r="O1184" s="5">
        <v>0</v>
      </c>
      <c r="P1184" s="6">
        <v>0</v>
      </c>
      <c r="Q1184" s="5">
        <v>0</v>
      </c>
      <c r="R1184" s="6">
        <v>0</v>
      </c>
      <c r="S1184" s="5">
        <v>0</v>
      </c>
      <c r="T1184" s="6">
        <v>0</v>
      </c>
      <c r="U1184" s="5">
        <v>0</v>
      </c>
      <c r="V1184" s="6">
        <v>0</v>
      </c>
      <c r="W1184" s="5">
        <v>0</v>
      </c>
      <c r="X1184" s="6">
        <v>1187.082809031856</v>
      </c>
      <c r="Y1184" s="5">
        <v>4546.5271585920082</v>
      </c>
      <c r="Z1184" s="6">
        <v>0</v>
      </c>
      <c r="AA1184" s="5">
        <v>0</v>
      </c>
      <c r="AB1184" s="6">
        <v>0</v>
      </c>
      <c r="AC1184" s="5">
        <v>0</v>
      </c>
      <c r="AD1184" s="6">
        <v>0</v>
      </c>
      <c r="AE1184" s="5">
        <v>0</v>
      </c>
      <c r="AF1184" s="6">
        <v>0</v>
      </c>
      <c r="AG1184" s="5">
        <v>0</v>
      </c>
      <c r="AH1184" s="7">
        <f t="shared" si="144"/>
        <v>1187.082809031856</v>
      </c>
      <c r="AI1184" s="8">
        <f t="shared" si="145"/>
        <v>4546.5271585920082</v>
      </c>
      <c r="AJ1184" s="6">
        <v>0</v>
      </c>
      <c r="AK1184" s="5">
        <v>0</v>
      </c>
      <c r="AL1184" s="6">
        <v>0</v>
      </c>
      <c r="AM1184" s="5">
        <v>0</v>
      </c>
      <c r="AN1184" s="6">
        <v>0</v>
      </c>
      <c r="AO1184" s="5">
        <v>0</v>
      </c>
      <c r="AP1184" s="6">
        <v>0</v>
      </c>
      <c r="AQ1184" s="5">
        <v>0</v>
      </c>
      <c r="AR1184" s="6">
        <v>0</v>
      </c>
      <c r="AS1184" s="5">
        <v>0</v>
      </c>
      <c r="AT1184" s="6">
        <v>0</v>
      </c>
      <c r="AU1184" s="5">
        <v>0</v>
      </c>
      <c r="AV1184" s="6">
        <v>0</v>
      </c>
      <c r="AW1184" s="5">
        <v>0</v>
      </c>
      <c r="AX1184" s="6">
        <v>1290</v>
      </c>
      <c r="AY1184" s="5">
        <v>5150.0747112751487</v>
      </c>
      <c r="AZ1184" s="6">
        <v>0</v>
      </c>
      <c r="BA1184" s="5">
        <v>0</v>
      </c>
      <c r="BB1184" s="6">
        <v>0</v>
      </c>
      <c r="BC1184" s="5">
        <v>0</v>
      </c>
      <c r="BD1184" s="6">
        <v>0</v>
      </c>
      <c r="BE1184" s="5">
        <v>0</v>
      </c>
      <c r="BF1184" s="6">
        <v>0</v>
      </c>
      <c r="BG1184" s="5">
        <v>0</v>
      </c>
      <c r="BH1184" s="9">
        <f t="shared" si="146"/>
        <v>1290</v>
      </c>
      <c r="BI1184" s="10">
        <f t="shared" si="147"/>
        <v>5150.0747112751487</v>
      </c>
      <c r="BJ1184" s="6">
        <f t="shared" si="148"/>
        <v>102.91719096814404</v>
      </c>
      <c r="BK1184" s="11">
        <f t="shared" si="149"/>
        <v>8.6697566660981107E-2</v>
      </c>
      <c r="BL1184" s="5">
        <f t="shared" si="150"/>
        <v>603.54755268314057</v>
      </c>
      <c r="BM1184" s="11">
        <f t="shared" si="151"/>
        <v>0.13274913612746356</v>
      </c>
    </row>
    <row r="1185" spans="1:65" ht="15" customHeight="1" x14ac:dyDescent="0.4">
      <c r="A1185" s="2" t="s">
        <v>775</v>
      </c>
      <c r="B1185" s="2" t="s">
        <v>865</v>
      </c>
      <c r="C1185" s="2" t="s">
        <v>866</v>
      </c>
      <c r="D1185" s="3" t="s">
        <v>68</v>
      </c>
      <c r="E1185" s="3" t="s">
        <v>886</v>
      </c>
      <c r="F1185" s="2" t="s">
        <v>682</v>
      </c>
      <c r="G1185" s="4">
        <v>1</v>
      </c>
      <c r="H1185" s="5">
        <v>4.1999999999999993</v>
      </c>
      <c r="I1185" s="5">
        <v>4.3779856674875282</v>
      </c>
      <c r="J1185" s="6">
        <v>0</v>
      </c>
      <c r="K1185" s="5">
        <v>0</v>
      </c>
      <c r="L1185" s="6">
        <v>166.19159326445981</v>
      </c>
      <c r="M1185" s="5">
        <v>698.00469171073132</v>
      </c>
      <c r="N1185" s="6">
        <v>0</v>
      </c>
      <c r="O1185" s="5">
        <v>0</v>
      </c>
      <c r="P1185" s="6">
        <v>0</v>
      </c>
      <c r="Q1185" s="5">
        <v>0</v>
      </c>
      <c r="R1185" s="6">
        <v>0</v>
      </c>
      <c r="S1185" s="5">
        <v>0</v>
      </c>
      <c r="T1185" s="6">
        <v>0</v>
      </c>
      <c r="U1185" s="5">
        <v>0</v>
      </c>
      <c r="V1185" s="6">
        <v>0</v>
      </c>
      <c r="W1185" s="5">
        <v>0</v>
      </c>
      <c r="X1185" s="6">
        <v>0</v>
      </c>
      <c r="Y1185" s="5">
        <v>0</v>
      </c>
      <c r="Z1185" s="6">
        <v>0</v>
      </c>
      <c r="AA1185" s="5">
        <v>0</v>
      </c>
      <c r="AB1185" s="6">
        <v>0</v>
      </c>
      <c r="AC1185" s="5">
        <v>0</v>
      </c>
      <c r="AD1185" s="6">
        <v>473.99806964919469</v>
      </c>
      <c r="AE1185" s="5">
        <v>1990.7918925266181</v>
      </c>
      <c r="AF1185" s="6">
        <v>0</v>
      </c>
      <c r="AG1185" s="5">
        <v>0</v>
      </c>
      <c r="AH1185" s="7">
        <f t="shared" si="144"/>
        <v>640.1896629136545</v>
      </c>
      <c r="AI1185" s="8">
        <f t="shared" si="145"/>
        <v>2688.7965842373496</v>
      </c>
      <c r="AJ1185" s="6">
        <v>0</v>
      </c>
      <c r="AK1185" s="5">
        <v>0</v>
      </c>
      <c r="AL1185" s="6">
        <v>178</v>
      </c>
      <c r="AM1185" s="5">
        <v>779.28144881278013</v>
      </c>
      <c r="AN1185" s="6">
        <v>0</v>
      </c>
      <c r="AO1185" s="5">
        <v>0</v>
      </c>
      <c r="AP1185" s="6">
        <v>0</v>
      </c>
      <c r="AQ1185" s="5">
        <v>0</v>
      </c>
      <c r="AR1185" s="6">
        <v>0</v>
      </c>
      <c r="AS1185" s="5">
        <v>0</v>
      </c>
      <c r="AT1185" s="6">
        <v>0</v>
      </c>
      <c r="AU1185" s="5">
        <v>0</v>
      </c>
      <c r="AV1185" s="6">
        <v>0</v>
      </c>
      <c r="AW1185" s="5">
        <v>0</v>
      </c>
      <c r="AX1185" s="6">
        <v>0</v>
      </c>
      <c r="AY1185" s="5">
        <v>0</v>
      </c>
      <c r="AZ1185" s="6">
        <v>0</v>
      </c>
      <c r="BA1185" s="5">
        <v>0</v>
      </c>
      <c r="BB1185" s="6">
        <v>0</v>
      </c>
      <c r="BC1185" s="5">
        <v>0</v>
      </c>
      <c r="BD1185" s="6">
        <v>508</v>
      </c>
      <c r="BE1185" s="5">
        <v>2224.0167190836642</v>
      </c>
      <c r="BF1185" s="6">
        <v>0</v>
      </c>
      <c r="BG1185" s="5">
        <v>0</v>
      </c>
      <c r="BH1185" s="9">
        <f t="shared" si="146"/>
        <v>686</v>
      </c>
      <c r="BI1185" s="10">
        <f t="shared" si="147"/>
        <v>3003.2981678964443</v>
      </c>
      <c r="BJ1185" s="6">
        <f t="shared" si="148"/>
        <v>45.810337086345498</v>
      </c>
      <c r="BK1185" s="11">
        <f t="shared" si="149"/>
        <v>7.1557445769823619E-2</v>
      </c>
      <c r="BL1185" s="5">
        <f t="shared" si="150"/>
        <v>314.50158365909465</v>
      </c>
      <c r="BM1185" s="11">
        <f t="shared" si="151"/>
        <v>0.1169674141594835</v>
      </c>
    </row>
    <row r="1186" spans="1:65" ht="15" customHeight="1" x14ac:dyDescent="0.4">
      <c r="A1186" s="2" t="s">
        <v>775</v>
      </c>
      <c r="B1186" s="2" t="s">
        <v>865</v>
      </c>
      <c r="C1186" s="2" t="s">
        <v>866</v>
      </c>
      <c r="D1186" s="3" t="s">
        <v>68</v>
      </c>
      <c r="E1186" s="3" t="s">
        <v>886</v>
      </c>
      <c r="F1186" s="2" t="s">
        <v>648</v>
      </c>
      <c r="G1186" s="4">
        <v>1</v>
      </c>
      <c r="H1186" s="5">
        <v>4.2</v>
      </c>
      <c r="I1186" s="5">
        <v>4.3779856674875273</v>
      </c>
      <c r="J1186" s="6">
        <v>0</v>
      </c>
      <c r="K1186" s="5">
        <v>0</v>
      </c>
      <c r="L1186" s="6">
        <v>0</v>
      </c>
      <c r="M1186" s="5">
        <v>0</v>
      </c>
      <c r="N1186" s="6">
        <v>0</v>
      </c>
      <c r="O1186" s="5">
        <v>0</v>
      </c>
      <c r="P1186" s="6">
        <v>0</v>
      </c>
      <c r="Q1186" s="5">
        <v>0</v>
      </c>
      <c r="R1186" s="6">
        <v>0</v>
      </c>
      <c r="S1186" s="5">
        <v>0</v>
      </c>
      <c r="T1186" s="6">
        <v>0</v>
      </c>
      <c r="U1186" s="5">
        <v>0</v>
      </c>
      <c r="V1186" s="6">
        <v>0</v>
      </c>
      <c r="W1186" s="5">
        <v>0</v>
      </c>
      <c r="X1186" s="6">
        <v>783.47465396102484</v>
      </c>
      <c r="Y1186" s="5">
        <v>3290.5935466363039</v>
      </c>
      <c r="Z1186" s="6">
        <v>0</v>
      </c>
      <c r="AA1186" s="5">
        <v>0</v>
      </c>
      <c r="AB1186" s="6">
        <v>0</v>
      </c>
      <c r="AC1186" s="5">
        <v>0</v>
      </c>
      <c r="AD1186" s="6">
        <v>0</v>
      </c>
      <c r="AE1186" s="5">
        <v>0</v>
      </c>
      <c r="AF1186" s="6">
        <v>0</v>
      </c>
      <c r="AG1186" s="5">
        <v>0</v>
      </c>
      <c r="AH1186" s="7">
        <f t="shared" si="144"/>
        <v>783.47465396102484</v>
      </c>
      <c r="AI1186" s="8">
        <f t="shared" si="145"/>
        <v>3290.5935466363039</v>
      </c>
      <c r="AJ1186" s="6">
        <v>0</v>
      </c>
      <c r="AK1186" s="5">
        <v>0</v>
      </c>
      <c r="AL1186" s="6">
        <v>0</v>
      </c>
      <c r="AM1186" s="5">
        <v>0</v>
      </c>
      <c r="AN1186" s="6">
        <v>0</v>
      </c>
      <c r="AO1186" s="5">
        <v>0</v>
      </c>
      <c r="AP1186" s="6">
        <v>0</v>
      </c>
      <c r="AQ1186" s="5">
        <v>0</v>
      </c>
      <c r="AR1186" s="6">
        <v>0</v>
      </c>
      <c r="AS1186" s="5">
        <v>0</v>
      </c>
      <c r="AT1186" s="6">
        <v>0</v>
      </c>
      <c r="AU1186" s="5">
        <v>0</v>
      </c>
      <c r="AV1186" s="6">
        <v>0</v>
      </c>
      <c r="AW1186" s="5">
        <v>0</v>
      </c>
      <c r="AX1186" s="6">
        <v>839</v>
      </c>
      <c r="AY1186" s="5">
        <v>3673.1299750220351</v>
      </c>
      <c r="AZ1186" s="6">
        <v>0</v>
      </c>
      <c r="BA1186" s="5">
        <v>0</v>
      </c>
      <c r="BB1186" s="6">
        <v>0</v>
      </c>
      <c r="BC1186" s="5">
        <v>0</v>
      </c>
      <c r="BD1186" s="6">
        <v>0</v>
      </c>
      <c r="BE1186" s="5">
        <v>0</v>
      </c>
      <c r="BF1186" s="6">
        <v>0</v>
      </c>
      <c r="BG1186" s="5">
        <v>0</v>
      </c>
      <c r="BH1186" s="9">
        <f t="shared" si="146"/>
        <v>839</v>
      </c>
      <c r="BI1186" s="10">
        <f t="shared" si="147"/>
        <v>3673.1299750220351</v>
      </c>
      <c r="BJ1186" s="6">
        <f t="shared" si="148"/>
        <v>55.525346038975158</v>
      </c>
      <c r="BK1186" s="11">
        <f t="shared" si="149"/>
        <v>7.0870634752834463E-2</v>
      </c>
      <c r="BL1186" s="5">
        <f t="shared" si="150"/>
        <v>382.53642838573114</v>
      </c>
      <c r="BM1186" s="11">
        <f t="shared" si="151"/>
        <v>0.11625149778123338</v>
      </c>
    </row>
    <row r="1187" spans="1:65" ht="15" customHeight="1" x14ac:dyDescent="0.4">
      <c r="A1187" s="2" t="s">
        <v>775</v>
      </c>
      <c r="B1187" s="2" t="s">
        <v>865</v>
      </c>
      <c r="C1187" s="2" t="s">
        <v>866</v>
      </c>
      <c r="D1187" s="3" t="s">
        <v>68</v>
      </c>
      <c r="E1187" s="3" t="s">
        <v>887</v>
      </c>
      <c r="F1187" s="2" t="s">
        <v>608</v>
      </c>
      <c r="G1187" s="4">
        <v>1</v>
      </c>
      <c r="H1187" s="5">
        <v>6.22</v>
      </c>
      <c r="I1187" s="5">
        <v>6.4835882980410524</v>
      </c>
      <c r="J1187" s="6">
        <v>0</v>
      </c>
      <c r="K1187" s="5">
        <v>0</v>
      </c>
      <c r="L1187" s="6">
        <v>0</v>
      </c>
      <c r="M1187" s="5">
        <v>0</v>
      </c>
      <c r="N1187" s="6">
        <v>0</v>
      </c>
      <c r="O1187" s="5">
        <v>0</v>
      </c>
      <c r="P1187" s="6">
        <v>0</v>
      </c>
      <c r="Q1187" s="5">
        <v>0</v>
      </c>
      <c r="R1187" s="6">
        <v>0</v>
      </c>
      <c r="S1187" s="5">
        <v>0</v>
      </c>
      <c r="T1187" s="6">
        <v>0</v>
      </c>
      <c r="U1187" s="5">
        <v>0</v>
      </c>
      <c r="V1187" s="6">
        <v>0</v>
      </c>
      <c r="W1187" s="5">
        <v>0</v>
      </c>
      <c r="X1187" s="6">
        <v>510.44560788369802</v>
      </c>
      <c r="Y1187" s="5">
        <v>3174.9716810366021</v>
      </c>
      <c r="Z1187" s="6">
        <v>0</v>
      </c>
      <c r="AA1187" s="5">
        <v>0</v>
      </c>
      <c r="AB1187" s="6">
        <v>0</v>
      </c>
      <c r="AC1187" s="5">
        <v>0</v>
      </c>
      <c r="AD1187" s="6">
        <v>0</v>
      </c>
      <c r="AE1187" s="5">
        <v>0</v>
      </c>
      <c r="AF1187" s="6">
        <v>0</v>
      </c>
      <c r="AG1187" s="5">
        <v>0</v>
      </c>
      <c r="AH1187" s="7">
        <f t="shared" si="144"/>
        <v>510.44560788369802</v>
      </c>
      <c r="AI1187" s="8">
        <f t="shared" si="145"/>
        <v>3174.9716810366021</v>
      </c>
      <c r="AJ1187" s="6">
        <v>0</v>
      </c>
      <c r="AK1187" s="5">
        <v>0</v>
      </c>
      <c r="AL1187" s="6">
        <v>0</v>
      </c>
      <c r="AM1187" s="5">
        <v>0</v>
      </c>
      <c r="AN1187" s="6">
        <v>0</v>
      </c>
      <c r="AO1187" s="5">
        <v>0</v>
      </c>
      <c r="AP1187" s="6">
        <v>0</v>
      </c>
      <c r="AQ1187" s="5">
        <v>0</v>
      </c>
      <c r="AR1187" s="6">
        <v>0</v>
      </c>
      <c r="AS1187" s="5">
        <v>0</v>
      </c>
      <c r="AT1187" s="6">
        <v>0</v>
      </c>
      <c r="AU1187" s="5">
        <v>0</v>
      </c>
      <c r="AV1187" s="6">
        <v>0</v>
      </c>
      <c r="AW1187" s="5">
        <v>0</v>
      </c>
      <c r="AX1187" s="6">
        <v>563</v>
      </c>
      <c r="AY1187" s="5">
        <v>3650.2602117971119</v>
      </c>
      <c r="AZ1187" s="6">
        <v>0</v>
      </c>
      <c r="BA1187" s="5">
        <v>0</v>
      </c>
      <c r="BB1187" s="6">
        <v>0</v>
      </c>
      <c r="BC1187" s="5">
        <v>0</v>
      </c>
      <c r="BD1187" s="6">
        <v>0</v>
      </c>
      <c r="BE1187" s="5">
        <v>0</v>
      </c>
      <c r="BF1187" s="6">
        <v>0</v>
      </c>
      <c r="BG1187" s="5">
        <v>0</v>
      </c>
      <c r="BH1187" s="9">
        <f t="shared" si="146"/>
        <v>563</v>
      </c>
      <c r="BI1187" s="10">
        <f t="shared" si="147"/>
        <v>3650.2602117971119</v>
      </c>
      <c r="BJ1187" s="6">
        <f t="shared" si="148"/>
        <v>52.554392116301983</v>
      </c>
      <c r="BK1187" s="11">
        <f t="shared" si="149"/>
        <v>0.10295786917276441</v>
      </c>
      <c r="BL1187" s="5">
        <f t="shared" si="150"/>
        <v>475.28853076050973</v>
      </c>
      <c r="BM1187" s="11">
        <f t="shared" si="151"/>
        <v>0.14969851025736769</v>
      </c>
    </row>
    <row r="1188" spans="1:65" ht="15" customHeight="1" x14ac:dyDescent="0.4">
      <c r="A1188" s="2" t="s">
        <v>775</v>
      </c>
      <c r="B1188" s="2" t="s">
        <v>865</v>
      </c>
      <c r="C1188" s="2" t="s">
        <v>866</v>
      </c>
      <c r="D1188" s="3" t="s">
        <v>68</v>
      </c>
      <c r="E1188" s="3" t="s">
        <v>888</v>
      </c>
      <c r="F1188" s="2" t="s">
        <v>433</v>
      </c>
      <c r="G1188" s="4">
        <v>1</v>
      </c>
      <c r="H1188" s="5">
        <v>3.76</v>
      </c>
      <c r="I1188" s="5">
        <v>3.9193395499412138</v>
      </c>
      <c r="J1188" s="6">
        <v>0</v>
      </c>
      <c r="K1188" s="5">
        <v>0</v>
      </c>
      <c r="L1188" s="6">
        <v>106.837452812867</v>
      </c>
      <c r="M1188" s="5">
        <v>401.70882257637999</v>
      </c>
      <c r="N1188" s="6">
        <v>0</v>
      </c>
      <c r="O1188" s="5">
        <v>0</v>
      </c>
      <c r="P1188" s="6">
        <v>0</v>
      </c>
      <c r="Q1188" s="5">
        <v>0</v>
      </c>
      <c r="R1188" s="6">
        <v>0</v>
      </c>
      <c r="S1188" s="5">
        <v>0</v>
      </c>
      <c r="T1188" s="6">
        <v>0</v>
      </c>
      <c r="U1188" s="5">
        <v>0</v>
      </c>
      <c r="V1188" s="6">
        <v>0</v>
      </c>
      <c r="W1188" s="5">
        <v>0</v>
      </c>
      <c r="X1188" s="6">
        <v>0</v>
      </c>
      <c r="Y1188" s="5">
        <v>0</v>
      </c>
      <c r="Z1188" s="6">
        <v>0</v>
      </c>
      <c r="AA1188" s="5">
        <v>0</v>
      </c>
      <c r="AB1188" s="6">
        <v>0</v>
      </c>
      <c r="AC1188" s="5">
        <v>0</v>
      </c>
      <c r="AD1188" s="6">
        <v>0</v>
      </c>
      <c r="AE1188" s="5">
        <v>0</v>
      </c>
      <c r="AF1188" s="6">
        <v>0</v>
      </c>
      <c r="AG1188" s="5">
        <v>0</v>
      </c>
      <c r="AH1188" s="7">
        <f t="shared" si="144"/>
        <v>106.837452812867</v>
      </c>
      <c r="AI1188" s="8">
        <f t="shared" si="145"/>
        <v>401.70882257637999</v>
      </c>
      <c r="AJ1188" s="6">
        <v>0</v>
      </c>
      <c r="AK1188" s="5">
        <v>0</v>
      </c>
      <c r="AL1188" s="6">
        <v>114</v>
      </c>
      <c r="AM1188" s="5">
        <v>446.80470869329838</v>
      </c>
      <c r="AN1188" s="6">
        <v>0</v>
      </c>
      <c r="AO1188" s="5">
        <v>0</v>
      </c>
      <c r="AP1188" s="6">
        <v>0</v>
      </c>
      <c r="AQ1188" s="5">
        <v>0</v>
      </c>
      <c r="AR1188" s="6">
        <v>0</v>
      </c>
      <c r="AS1188" s="5">
        <v>0</v>
      </c>
      <c r="AT1188" s="6">
        <v>0</v>
      </c>
      <c r="AU1188" s="5">
        <v>0</v>
      </c>
      <c r="AV1188" s="6">
        <v>0</v>
      </c>
      <c r="AW1188" s="5">
        <v>0</v>
      </c>
      <c r="AX1188" s="6">
        <v>0</v>
      </c>
      <c r="AY1188" s="5">
        <v>0</v>
      </c>
      <c r="AZ1188" s="6">
        <v>0</v>
      </c>
      <c r="BA1188" s="5">
        <v>0</v>
      </c>
      <c r="BB1188" s="6">
        <v>0</v>
      </c>
      <c r="BC1188" s="5">
        <v>0</v>
      </c>
      <c r="BD1188" s="6">
        <v>0</v>
      </c>
      <c r="BE1188" s="5">
        <v>0</v>
      </c>
      <c r="BF1188" s="6">
        <v>0</v>
      </c>
      <c r="BG1188" s="5">
        <v>0</v>
      </c>
      <c r="BH1188" s="9">
        <f t="shared" si="146"/>
        <v>114</v>
      </c>
      <c r="BI1188" s="10">
        <f t="shared" si="147"/>
        <v>446.80470869329838</v>
      </c>
      <c r="BJ1188" s="6">
        <f t="shared" si="148"/>
        <v>7.1625471871330006</v>
      </c>
      <c r="BK1188" s="11">
        <f t="shared" si="149"/>
        <v>6.7041538323444352E-2</v>
      </c>
      <c r="BL1188" s="5">
        <f t="shared" si="150"/>
        <v>45.095886116918393</v>
      </c>
      <c r="BM1188" s="11">
        <f t="shared" si="151"/>
        <v>0.11226013366520962</v>
      </c>
    </row>
    <row r="1189" spans="1:65" ht="15" customHeight="1" x14ac:dyDescent="0.4">
      <c r="A1189" s="2" t="s">
        <v>775</v>
      </c>
      <c r="B1189" s="2" t="s">
        <v>865</v>
      </c>
      <c r="C1189" s="2" t="s">
        <v>866</v>
      </c>
      <c r="D1189" s="3" t="s">
        <v>68</v>
      </c>
      <c r="E1189" s="3" t="s">
        <v>889</v>
      </c>
      <c r="F1189" s="2" t="s">
        <v>890</v>
      </c>
      <c r="G1189" s="4">
        <v>1</v>
      </c>
      <c r="H1189" s="5">
        <v>4.6111595310907232</v>
      </c>
      <c r="I1189" s="5">
        <v>4.8065691280032592</v>
      </c>
      <c r="J1189" s="6">
        <v>0</v>
      </c>
      <c r="K1189" s="5">
        <v>0</v>
      </c>
      <c r="L1189" s="6">
        <v>0</v>
      </c>
      <c r="M1189" s="5">
        <v>0</v>
      </c>
      <c r="N1189" s="6">
        <v>0</v>
      </c>
      <c r="O1189" s="5">
        <v>0</v>
      </c>
      <c r="P1189" s="6">
        <v>0</v>
      </c>
      <c r="Q1189" s="5">
        <v>0</v>
      </c>
      <c r="R1189" s="6">
        <v>0</v>
      </c>
      <c r="S1189" s="5">
        <v>0</v>
      </c>
      <c r="T1189" s="6">
        <v>0</v>
      </c>
      <c r="U1189" s="5">
        <v>0</v>
      </c>
      <c r="V1189" s="6">
        <v>0</v>
      </c>
      <c r="W1189" s="5">
        <v>0</v>
      </c>
      <c r="X1189" s="6">
        <v>0</v>
      </c>
      <c r="Y1189" s="5">
        <v>0</v>
      </c>
      <c r="Z1189" s="6">
        <v>0</v>
      </c>
      <c r="AA1189" s="5">
        <v>0</v>
      </c>
      <c r="AB1189" s="6">
        <v>0</v>
      </c>
      <c r="AC1189" s="5">
        <v>0</v>
      </c>
      <c r="AD1189" s="6">
        <v>1895.992278596779</v>
      </c>
      <c r="AE1189" s="5">
        <v>8742.7228663259539</v>
      </c>
      <c r="AF1189" s="6">
        <v>0</v>
      </c>
      <c r="AG1189" s="5">
        <v>0</v>
      </c>
      <c r="AH1189" s="7">
        <f t="shared" si="144"/>
        <v>1895.992278596779</v>
      </c>
      <c r="AI1189" s="8">
        <f t="shared" si="145"/>
        <v>8742.7228663259539</v>
      </c>
      <c r="AJ1189" s="6">
        <v>0</v>
      </c>
      <c r="AK1189" s="5">
        <v>0</v>
      </c>
      <c r="AL1189" s="6">
        <v>0</v>
      </c>
      <c r="AM1189" s="5">
        <v>0</v>
      </c>
      <c r="AN1189" s="6">
        <v>0</v>
      </c>
      <c r="AO1189" s="5">
        <v>0</v>
      </c>
      <c r="AP1189" s="6">
        <v>0</v>
      </c>
      <c r="AQ1189" s="5">
        <v>0</v>
      </c>
      <c r="AR1189" s="6">
        <v>0</v>
      </c>
      <c r="AS1189" s="5">
        <v>0</v>
      </c>
      <c r="AT1189" s="6">
        <v>0</v>
      </c>
      <c r="AU1189" s="5">
        <v>0</v>
      </c>
      <c r="AV1189" s="6">
        <v>0</v>
      </c>
      <c r="AW1189" s="5">
        <v>0</v>
      </c>
      <c r="AX1189" s="6">
        <v>0</v>
      </c>
      <c r="AY1189" s="5">
        <v>0</v>
      </c>
      <c r="AZ1189" s="6">
        <v>0</v>
      </c>
      <c r="BA1189" s="5">
        <v>0</v>
      </c>
      <c r="BB1189" s="6">
        <v>0</v>
      </c>
      <c r="BC1189" s="5">
        <v>0</v>
      </c>
      <c r="BD1189" s="6">
        <v>2031</v>
      </c>
      <c r="BE1189" s="5">
        <v>9762.1418989746198</v>
      </c>
      <c r="BF1189" s="6">
        <v>0</v>
      </c>
      <c r="BG1189" s="5">
        <v>0</v>
      </c>
      <c r="BH1189" s="9">
        <f t="shared" si="146"/>
        <v>2031</v>
      </c>
      <c r="BI1189" s="10">
        <f t="shared" si="147"/>
        <v>9762.1418989746198</v>
      </c>
      <c r="BJ1189" s="6">
        <f t="shared" si="148"/>
        <v>135.00772140322101</v>
      </c>
      <c r="BK1189" s="11">
        <f t="shared" si="149"/>
        <v>7.1206894103566717E-2</v>
      </c>
      <c r="BL1189" s="5">
        <f t="shared" si="150"/>
        <v>1019.419032648666</v>
      </c>
      <c r="BM1189" s="11">
        <f t="shared" si="151"/>
        <v>0.11660200697601057</v>
      </c>
    </row>
    <row r="1190" spans="1:65" ht="15" customHeight="1" x14ac:dyDescent="0.4">
      <c r="A1190" s="2" t="s">
        <v>775</v>
      </c>
      <c r="B1190" s="2" t="s">
        <v>865</v>
      </c>
      <c r="C1190" s="2" t="s">
        <v>866</v>
      </c>
      <c r="D1190" s="3" t="s">
        <v>68</v>
      </c>
      <c r="E1190" s="3" t="s">
        <v>891</v>
      </c>
      <c r="F1190" s="2" t="s">
        <v>892</v>
      </c>
      <c r="G1190" s="4">
        <v>5</v>
      </c>
      <c r="H1190" s="5">
        <v>3.7399999999999989</v>
      </c>
      <c r="I1190" s="5">
        <v>3.8984919991436549</v>
      </c>
      <c r="J1190" s="6">
        <v>0</v>
      </c>
      <c r="K1190" s="5">
        <v>0</v>
      </c>
      <c r="L1190" s="6">
        <v>0</v>
      </c>
      <c r="M1190" s="5">
        <v>0</v>
      </c>
      <c r="N1190" s="6">
        <v>0</v>
      </c>
      <c r="O1190" s="5">
        <v>0</v>
      </c>
      <c r="P1190" s="6">
        <v>0</v>
      </c>
      <c r="Q1190" s="5">
        <v>0</v>
      </c>
      <c r="R1190" s="6">
        <v>0</v>
      </c>
      <c r="S1190" s="5">
        <v>0</v>
      </c>
      <c r="T1190" s="6">
        <v>0</v>
      </c>
      <c r="U1190" s="5">
        <v>0</v>
      </c>
      <c r="V1190" s="6">
        <v>0</v>
      </c>
      <c r="W1190" s="5">
        <v>0</v>
      </c>
      <c r="X1190" s="6">
        <v>39.569426967728532</v>
      </c>
      <c r="Y1190" s="5">
        <v>147.98965685930469</v>
      </c>
      <c r="Z1190" s="6">
        <v>0</v>
      </c>
      <c r="AA1190" s="5">
        <v>0</v>
      </c>
      <c r="AB1190" s="6">
        <v>0</v>
      </c>
      <c r="AC1190" s="5">
        <v>0</v>
      </c>
      <c r="AD1190" s="6">
        <v>0</v>
      </c>
      <c r="AE1190" s="5">
        <v>0</v>
      </c>
      <c r="AF1190" s="6">
        <v>0</v>
      </c>
      <c r="AG1190" s="5">
        <v>0</v>
      </c>
      <c r="AH1190" s="7">
        <f t="shared" si="144"/>
        <v>39.569426967728532</v>
      </c>
      <c r="AI1190" s="8">
        <f t="shared" si="145"/>
        <v>147.98965685930469</v>
      </c>
      <c r="AJ1190" s="6">
        <v>0</v>
      </c>
      <c r="AK1190" s="5">
        <v>0</v>
      </c>
      <c r="AL1190" s="6">
        <v>0</v>
      </c>
      <c r="AM1190" s="5">
        <v>0</v>
      </c>
      <c r="AN1190" s="6">
        <v>0</v>
      </c>
      <c r="AO1190" s="5">
        <v>0</v>
      </c>
      <c r="AP1190" s="6">
        <v>0</v>
      </c>
      <c r="AQ1190" s="5">
        <v>0</v>
      </c>
      <c r="AR1190" s="6">
        <v>0</v>
      </c>
      <c r="AS1190" s="5">
        <v>0</v>
      </c>
      <c r="AT1190" s="6">
        <v>0</v>
      </c>
      <c r="AU1190" s="5">
        <v>0</v>
      </c>
      <c r="AV1190" s="6">
        <v>0</v>
      </c>
      <c r="AW1190" s="5">
        <v>0</v>
      </c>
      <c r="AX1190" s="6">
        <v>40</v>
      </c>
      <c r="AY1190" s="5">
        <v>155.93967996574619</v>
      </c>
      <c r="AZ1190" s="6">
        <v>0</v>
      </c>
      <c r="BA1190" s="5">
        <v>0</v>
      </c>
      <c r="BB1190" s="6">
        <v>0</v>
      </c>
      <c r="BC1190" s="5">
        <v>0</v>
      </c>
      <c r="BD1190" s="6">
        <v>0</v>
      </c>
      <c r="BE1190" s="5">
        <v>0</v>
      </c>
      <c r="BF1190" s="6">
        <v>0</v>
      </c>
      <c r="BG1190" s="5">
        <v>0</v>
      </c>
      <c r="BH1190" s="9">
        <f t="shared" si="146"/>
        <v>40</v>
      </c>
      <c r="BI1190" s="10">
        <f t="shared" si="147"/>
        <v>155.93967996574619</v>
      </c>
      <c r="BJ1190" s="6">
        <f t="shared" si="148"/>
        <v>0.43057303227146804</v>
      </c>
      <c r="BK1190" s="11">
        <f t="shared" si="149"/>
        <v>1.0881457359052195E-2</v>
      </c>
      <c r="BL1190" s="5">
        <f t="shared" si="150"/>
        <v>7.9500231064415061</v>
      </c>
      <c r="BM1190" s="11">
        <f t="shared" si="151"/>
        <v>5.3720126630198733E-2</v>
      </c>
    </row>
    <row r="1191" spans="1:65" ht="15" customHeight="1" x14ac:dyDescent="0.4">
      <c r="A1191" s="2" t="s">
        <v>775</v>
      </c>
      <c r="B1191" s="2" t="s">
        <v>865</v>
      </c>
      <c r="C1191" s="2" t="s">
        <v>866</v>
      </c>
      <c r="D1191" s="3" t="s">
        <v>68</v>
      </c>
      <c r="E1191" s="3" t="s">
        <v>891</v>
      </c>
      <c r="F1191" s="2" t="s">
        <v>890</v>
      </c>
      <c r="G1191" s="4">
        <v>5</v>
      </c>
      <c r="H1191" s="5">
        <v>3.74</v>
      </c>
      <c r="I1191" s="5">
        <v>3.8984919991436549</v>
      </c>
      <c r="J1191" s="6">
        <v>0</v>
      </c>
      <c r="K1191" s="5">
        <v>0</v>
      </c>
      <c r="L1191" s="6">
        <v>0</v>
      </c>
      <c r="M1191" s="5">
        <v>0</v>
      </c>
      <c r="N1191" s="6">
        <v>0</v>
      </c>
      <c r="O1191" s="5">
        <v>0</v>
      </c>
      <c r="P1191" s="6">
        <v>0</v>
      </c>
      <c r="Q1191" s="5">
        <v>0</v>
      </c>
      <c r="R1191" s="6">
        <v>0</v>
      </c>
      <c r="S1191" s="5">
        <v>0</v>
      </c>
      <c r="T1191" s="6">
        <v>0</v>
      </c>
      <c r="U1191" s="5">
        <v>0</v>
      </c>
      <c r="V1191" s="6">
        <v>0</v>
      </c>
      <c r="W1191" s="5">
        <v>0</v>
      </c>
      <c r="X1191" s="6">
        <v>0</v>
      </c>
      <c r="Y1191" s="5">
        <v>0</v>
      </c>
      <c r="Z1191" s="6">
        <v>0</v>
      </c>
      <c r="AA1191" s="5">
        <v>0</v>
      </c>
      <c r="AB1191" s="6">
        <v>0</v>
      </c>
      <c r="AC1191" s="5">
        <v>0</v>
      </c>
      <c r="AD1191" s="6">
        <v>473.99806964919469</v>
      </c>
      <c r="AE1191" s="5">
        <v>1772.752780487988</v>
      </c>
      <c r="AF1191" s="6">
        <v>0</v>
      </c>
      <c r="AG1191" s="5">
        <v>0</v>
      </c>
      <c r="AH1191" s="7">
        <f t="shared" si="144"/>
        <v>473.99806964919469</v>
      </c>
      <c r="AI1191" s="8">
        <f t="shared" si="145"/>
        <v>1772.752780487988</v>
      </c>
      <c r="AJ1191" s="6">
        <v>0</v>
      </c>
      <c r="AK1191" s="5">
        <v>0</v>
      </c>
      <c r="AL1191" s="6">
        <v>0</v>
      </c>
      <c r="AM1191" s="5">
        <v>0</v>
      </c>
      <c r="AN1191" s="6">
        <v>0</v>
      </c>
      <c r="AO1191" s="5">
        <v>0</v>
      </c>
      <c r="AP1191" s="6">
        <v>0</v>
      </c>
      <c r="AQ1191" s="5">
        <v>0</v>
      </c>
      <c r="AR1191" s="6">
        <v>0</v>
      </c>
      <c r="AS1191" s="5">
        <v>0</v>
      </c>
      <c r="AT1191" s="6">
        <v>0</v>
      </c>
      <c r="AU1191" s="5">
        <v>0</v>
      </c>
      <c r="AV1191" s="6">
        <v>0</v>
      </c>
      <c r="AW1191" s="5">
        <v>0</v>
      </c>
      <c r="AX1191" s="6">
        <v>0</v>
      </c>
      <c r="AY1191" s="5">
        <v>0</v>
      </c>
      <c r="AZ1191" s="6">
        <v>0</v>
      </c>
      <c r="BA1191" s="5">
        <v>0</v>
      </c>
      <c r="BB1191" s="6">
        <v>0</v>
      </c>
      <c r="BC1191" s="5">
        <v>0</v>
      </c>
      <c r="BD1191" s="6">
        <v>510</v>
      </c>
      <c r="BE1191" s="5">
        <v>1988.230919563264</v>
      </c>
      <c r="BF1191" s="6">
        <v>0</v>
      </c>
      <c r="BG1191" s="5">
        <v>0</v>
      </c>
      <c r="BH1191" s="9">
        <f t="shared" si="146"/>
        <v>510</v>
      </c>
      <c r="BI1191" s="10">
        <f t="shared" si="147"/>
        <v>1988.230919563264</v>
      </c>
      <c r="BJ1191" s="6">
        <f t="shared" si="148"/>
        <v>36.00193035080531</v>
      </c>
      <c r="BK1191" s="11">
        <f t="shared" si="149"/>
        <v>7.5953748878028735E-2</v>
      </c>
      <c r="BL1191" s="5">
        <f t="shared" si="150"/>
        <v>215.47813907527598</v>
      </c>
      <c r="BM1191" s="11">
        <f t="shared" si="151"/>
        <v>0.12155002177797235</v>
      </c>
    </row>
    <row r="1192" spans="1:65" ht="15" customHeight="1" x14ac:dyDescent="0.4">
      <c r="A1192" s="2" t="s">
        <v>775</v>
      </c>
      <c r="B1192" s="2" t="s">
        <v>865</v>
      </c>
      <c r="C1192" s="2" t="s">
        <v>866</v>
      </c>
      <c r="D1192" s="3" t="s">
        <v>68</v>
      </c>
      <c r="E1192" s="3" t="s">
        <v>893</v>
      </c>
      <c r="F1192" s="2" t="s">
        <v>894</v>
      </c>
      <c r="G1192" s="4">
        <v>1</v>
      </c>
      <c r="H1192" s="5">
        <v>3.15</v>
      </c>
      <c r="I1192" s="5">
        <v>3.283489250615645</v>
      </c>
      <c r="J1192" s="6">
        <v>0</v>
      </c>
      <c r="K1192" s="5">
        <v>0</v>
      </c>
      <c r="L1192" s="6">
        <v>154.32076517414129</v>
      </c>
      <c r="M1192" s="5">
        <v>486.11041029854488</v>
      </c>
      <c r="N1192" s="6">
        <v>0</v>
      </c>
      <c r="O1192" s="5">
        <v>0</v>
      </c>
      <c r="P1192" s="6">
        <v>0</v>
      </c>
      <c r="Q1192" s="5">
        <v>0</v>
      </c>
      <c r="R1192" s="6">
        <v>0</v>
      </c>
      <c r="S1192" s="5">
        <v>0</v>
      </c>
      <c r="T1192" s="6">
        <v>0</v>
      </c>
      <c r="U1192" s="5">
        <v>0</v>
      </c>
      <c r="V1192" s="6">
        <v>0</v>
      </c>
      <c r="W1192" s="5">
        <v>0</v>
      </c>
      <c r="X1192" s="6">
        <v>0</v>
      </c>
      <c r="Y1192" s="5">
        <v>0</v>
      </c>
      <c r="Z1192" s="6">
        <v>0</v>
      </c>
      <c r="AA1192" s="5">
        <v>0</v>
      </c>
      <c r="AB1192" s="6">
        <v>0</v>
      </c>
      <c r="AC1192" s="5">
        <v>0</v>
      </c>
      <c r="AD1192" s="6">
        <v>0</v>
      </c>
      <c r="AE1192" s="5">
        <v>0</v>
      </c>
      <c r="AF1192" s="6">
        <v>0</v>
      </c>
      <c r="AG1192" s="5">
        <v>0</v>
      </c>
      <c r="AH1192" s="7">
        <f t="shared" si="144"/>
        <v>154.32076517414129</v>
      </c>
      <c r="AI1192" s="8">
        <f t="shared" si="145"/>
        <v>486.11041029854488</v>
      </c>
      <c r="AJ1192" s="6">
        <v>0</v>
      </c>
      <c r="AK1192" s="5">
        <v>0</v>
      </c>
      <c r="AL1192" s="6">
        <v>165</v>
      </c>
      <c r="AM1192" s="5">
        <v>541.77572635158151</v>
      </c>
      <c r="AN1192" s="6">
        <v>0</v>
      </c>
      <c r="AO1192" s="5">
        <v>0</v>
      </c>
      <c r="AP1192" s="6">
        <v>0</v>
      </c>
      <c r="AQ1192" s="5">
        <v>0</v>
      </c>
      <c r="AR1192" s="6">
        <v>0</v>
      </c>
      <c r="AS1192" s="5">
        <v>0</v>
      </c>
      <c r="AT1192" s="6">
        <v>0</v>
      </c>
      <c r="AU1192" s="5">
        <v>0</v>
      </c>
      <c r="AV1192" s="6">
        <v>0</v>
      </c>
      <c r="AW1192" s="5">
        <v>0</v>
      </c>
      <c r="AX1192" s="6">
        <v>0</v>
      </c>
      <c r="AY1192" s="5">
        <v>0</v>
      </c>
      <c r="AZ1192" s="6">
        <v>0</v>
      </c>
      <c r="BA1192" s="5">
        <v>0</v>
      </c>
      <c r="BB1192" s="6">
        <v>0</v>
      </c>
      <c r="BC1192" s="5">
        <v>0</v>
      </c>
      <c r="BD1192" s="6">
        <v>0</v>
      </c>
      <c r="BE1192" s="5">
        <v>0</v>
      </c>
      <c r="BF1192" s="6">
        <v>0</v>
      </c>
      <c r="BG1192" s="5">
        <v>0</v>
      </c>
      <c r="BH1192" s="9">
        <f t="shared" si="146"/>
        <v>165</v>
      </c>
      <c r="BI1192" s="10">
        <f t="shared" si="147"/>
        <v>541.77572635158151</v>
      </c>
      <c r="BJ1192" s="6">
        <f t="shared" si="148"/>
        <v>10.679234825858714</v>
      </c>
      <c r="BK1192" s="11">
        <f t="shared" si="149"/>
        <v>6.9201541437458977E-2</v>
      </c>
      <c r="BL1192" s="5">
        <f t="shared" si="150"/>
        <v>55.665316053036634</v>
      </c>
      <c r="BM1192" s="11">
        <f t="shared" si="151"/>
        <v>0.11451167239732586</v>
      </c>
    </row>
    <row r="1193" spans="1:65" ht="15" customHeight="1" x14ac:dyDescent="0.4">
      <c r="A1193" s="2" t="s">
        <v>775</v>
      </c>
      <c r="B1193" s="2" t="s">
        <v>865</v>
      </c>
      <c r="C1193" s="2" t="s">
        <v>866</v>
      </c>
      <c r="D1193" s="3" t="s">
        <v>68</v>
      </c>
      <c r="E1193" s="3" t="s">
        <v>893</v>
      </c>
      <c r="F1193" s="2" t="s">
        <v>895</v>
      </c>
      <c r="G1193" s="4">
        <v>1</v>
      </c>
      <c r="H1193" s="5">
        <v>3.1500000000000008</v>
      </c>
      <c r="I1193" s="5">
        <v>3.2834892506156459</v>
      </c>
      <c r="J1193" s="6">
        <v>0</v>
      </c>
      <c r="K1193" s="5">
        <v>0</v>
      </c>
      <c r="L1193" s="6">
        <v>0</v>
      </c>
      <c r="M1193" s="5">
        <v>0</v>
      </c>
      <c r="N1193" s="6">
        <v>0</v>
      </c>
      <c r="O1193" s="5">
        <v>0</v>
      </c>
      <c r="P1193" s="6">
        <v>0</v>
      </c>
      <c r="Q1193" s="5">
        <v>0</v>
      </c>
      <c r="R1193" s="6">
        <v>0</v>
      </c>
      <c r="S1193" s="5">
        <v>0</v>
      </c>
      <c r="T1193" s="6">
        <v>0</v>
      </c>
      <c r="U1193" s="5">
        <v>0</v>
      </c>
      <c r="V1193" s="6">
        <v>0</v>
      </c>
      <c r="W1193" s="5">
        <v>0</v>
      </c>
      <c r="X1193" s="6">
        <v>866.57045059325469</v>
      </c>
      <c r="Y1193" s="5">
        <v>2729.6969193687528</v>
      </c>
      <c r="Z1193" s="6">
        <v>0</v>
      </c>
      <c r="AA1193" s="5">
        <v>0</v>
      </c>
      <c r="AB1193" s="6">
        <v>0</v>
      </c>
      <c r="AC1193" s="5">
        <v>0</v>
      </c>
      <c r="AD1193" s="6">
        <v>0</v>
      </c>
      <c r="AE1193" s="5">
        <v>0</v>
      </c>
      <c r="AF1193" s="6">
        <v>0</v>
      </c>
      <c r="AG1193" s="5">
        <v>0</v>
      </c>
      <c r="AH1193" s="7">
        <f t="shared" si="144"/>
        <v>866.57045059325469</v>
      </c>
      <c r="AI1193" s="8">
        <f t="shared" si="145"/>
        <v>2729.6969193687528</v>
      </c>
      <c r="AJ1193" s="6">
        <v>0</v>
      </c>
      <c r="AK1193" s="5">
        <v>0</v>
      </c>
      <c r="AL1193" s="6">
        <v>0</v>
      </c>
      <c r="AM1193" s="5">
        <v>0</v>
      </c>
      <c r="AN1193" s="6">
        <v>0</v>
      </c>
      <c r="AO1193" s="5">
        <v>0</v>
      </c>
      <c r="AP1193" s="6">
        <v>0</v>
      </c>
      <c r="AQ1193" s="5">
        <v>0</v>
      </c>
      <c r="AR1193" s="6">
        <v>0</v>
      </c>
      <c r="AS1193" s="5">
        <v>0</v>
      </c>
      <c r="AT1193" s="6">
        <v>0</v>
      </c>
      <c r="AU1193" s="5">
        <v>0</v>
      </c>
      <c r="AV1193" s="6">
        <v>0</v>
      </c>
      <c r="AW1193" s="5">
        <v>0</v>
      </c>
      <c r="AX1193" s="6">
        <v>928</v>
      </c>
      <c r="AY1193" s="5">
        <v>3047.078024571319</v>
      </c>
      <c r="AZ1193" s="6">
        <v>0</v>
      </c>
      <c r="BA1193" s="5">
        <v>0</v>
      </c>
      <c r="BB1193" s="6">
        <v>0</v>
      </c>
      <c r="BC1193" s="5">
        <v>0</v>
      </c>
      <c r="BD1193" s="6">
        <v>0</v>
      </c>
      <c r="BE1193" s="5">
        <v>0</v>
      </c>
      <c r="BF1193" s="6">
        <v>0</v>
      </c>
      <c r="BG1193" s="5">
        <v>0</v>
      </c>
      <c r="BH1193" s="9">
        <f t="shared" si="146"/>
        <v>928</v>
      </c>
      <c r="BI1193" s="10">
        <f t="shared" si="147"/>
        <v>3047.078024571319</v>
      </c>
      <c r="BJ1193" s="6">
        <f t="shared" si="148"/>
        <v>61.429549406745309</v>
      </c>
      <c r="BK1193" s="11">
        <f t="shared" si="149"/>
        <v>7.0888119211416217E-2</v>
      </c>
      <c r="BL1193" s="5">
        <f t="shared" si="150"/>
        <v>317.38110520256623</v>
      </c>
      <c r="BM1193" s="11">
        <f t="shared" si="151"/>
        <v>0.11626972318815569</v>
      </c>
    </row>
    <row r="1194" spans="1:65" ht="15" customHeight="1" x14ac:dyDescent="0.4">
      <c r="A1194" s="2" t="s">
        <v>775</v>
      </c>
      <c r="B1194" s="2" t="s">
        <v>865</v>
      </c>
      <c r="C1194" s="2" t="s">
        <v>866</v>
      </c>
      <c r="D1194" s="3" t="s">
        <v>68</v>
      </c>
      <c r="E1194" s="3" t="s">
        <v>893</v>
      </c>
      <c r="F1194" s="2" t="s">
        <v>896</v>
      </c>
      <c r="G1194" s="4">
        <v>1</v>
      </c>
      <c r="H1194" s="5">
        <v>3.15</v>
      </c>
      <c r="I1194" s="5">
        <v>3.283489250615645</v>
      </c>
      <c r="J1194" s="6">
        <v>0</v>
      </c>
      <c r="K1194" s="5">
        <v>0</v>
      </c>
      <c r="L1194" s="6">
        <v>0</v>
      </c>
      <c r="M1194" s="5">
        <v>0</v>
      </c>
      <c r="N1194" s="6">
        <v>0</v>
      </c>
      <c r="O1194" s="5">
        <v>0</v>
      </c>
      <c r="P1194" s="6">
        <v>0</v>
      </c>
      <c r="Q1194" s="5">
        <v>0</v>
      </c>
      <c r="R1194" s="6">
        <v>0</v>
      </c>
      <c r="S1194" s="5">
        <v>0</v>
      </c>
      <c r="T1194" s="6">
        <v>0</v>
      </c>
      <c r="U1194" s="5">
        <v>0</v>
      </c>
      <c r="V1194" s="6">
        <v>0</v>
      </c>
      <c r="W1194" s="5">
        <v>0</v>
      </c>
      <c r="X1194" s="6">
        <v>0</v>
      </c>
      <c r="Y1194" s="5">
        <v>0</v>
      </c>
      <c r="Z1194" s="6">
        <v>0</v>
      </c>
      <c r="AA1194" s="5">
        <v>0</v>
      </c>
      <c r="AB1194" s="6">
        <v>0</v>
      </c>
      <c r="AC1194" s="5">
        <v>0</v>
      </c>
      <c r="AD1194" s="6">
        <v>473.99806964919469</v>
      </c>
      <c r="AE1194" s="5">
        <v>1493.093919394963</v>
      </c>
      <c r="AF1194" s="6">
        <v>0</v>
      </c>
      <c r="AG1194" s="5">
        <v>0</v>
      </c>
      <c r="AH1194" s="7">
        <f t="shared" si="144"/>
        <v>473.99806964919469</v>
      </c>
      <c r="AI1194" s="8">
        <f t="shared" si="145"/>
        <v>1493.093919394963</v>
      </c>
      <c r="AJ1194" s="6">
        <v>0</v>
      </c>
      <c r="AK1194" s="5">
        <v>0</v>
      </c>
      <c r="AL1194" s="6">
        <v>0</v>
      </c>
      <c r="AM1194" s="5">
        <v>0</v>
      </c>
      <c r="AN1194" s="6">
        <v>0</v>
      </c>
      <c r="AO1194" s="5">
        <v>0</v>
      </c>
      <c r="AP1194" s="6">
        <v>0</v>
      </c>
      <c r="AQ1194" s="5">
        <v>0</v>
      </c>
      <c r="AR1194" s="6">
        <v>0</v>
      </c>
      <c r="AS1194" s="5">
        <v>0</v>
      </c>
      <c r="AT1194" s="6">
        <v>0</v>
      </c>
      <c r="AU1194" s="5">
        <v>0</v>
      </c>
      <c r="AV1194" s="6">
        <v>0</v>
      </c>
      <c r="AW1194" s="5">
        <v>0</v>
      </c>
      <c r="AX1194" s="6">
        <v>0</v>
      </c>
      <c r="AY1194" s="5">
        <v>0</v>
      </c>
      <c r="AZ1194" s="6">
        <v>0</v>
      </c>
      <c r="BA1194" s="5">
        <v>0</v>
      </c>
      <c r="BB1194" s="6">
        <v>0</v>
      </c>
      <c r="BC1194" s="5">
        <v>0</v>
      </c>
      <c r="BD1194" s="6">
        <v>508</v>
      </c>
      <c r="BE1194" s="5">
        <v>1668.012539312748</v>
      </c>
      <c r="BF1194" s="6">
        <v>0</v>
      </c>
      <c r="BG1194" s="5">
        <v>0</v>
      </c>
      <c r="BH1194" s="9">
        <f t="shared" si="146"/>
        <v>508</v>
      </c>
      <c r="BI1194" s="10">
        <f t="shared" si="147"/>
        <v>1668.012539312748</v>
      </c>
      <c r="BJ1194" s="6">
        <f t="shared" si="148"/>
        <v>34.00193035080531</v>
      </c>
      <c r="BK1194" s="11">
        <f t="shared" si="149"/>
        <v>7.1734322411840398E-2</v>
      </c>
      <c r="BL1194" s="5">
        <f t="shared" si="150"/>
        <v>174.91861991778501</v>
      </c>
      <c r="BM1194" s="11">
        <f t="shared" si="151"/>
        <v>0.1171517863984512</v>
      </c>
    </row>
    <row r="1195" spans="1:65" ht="15" customHeight="1" x14ac:dyDescent="0.4">
      <c r="A1195" s="2" t="s">
        <v>775</v>
      </c>
      <c r="B1195" s="2" t="s">
        <v>865</v>
      </c>
      <c r="C1195" s="2" t="s">
        <v>866</v>
      </c>
      <c r="D1195" s="3" t="s">
        <v>68</v>
      </c>
      <c r="E1195" s="3" t="s">
        <v>897</v>
      </c>
      <c r="F1195" s="2" t="s">
        <v>898</v>
      </c>
      <c r="G1195" s="4">
        <v>5</v>
      </c>
      <c r="H1195" s="5">
        <v>2.8</v>
      </c>
      <c r="I1195" s="5">
        <v>2.918657111658352</v>
      </c>
      <c r="J1195" s="6">
        <v>0</v>
      </c>
      <c r="K1195" s="5">
        <v>0</v>
      </c>
      <c r="L1195" s="6">
        <v>0</v>
      </c>
      <c r="M1195" s="5">
        <v>0</v>
      </c>
      <c r="N1195" s="6">
        <v>0</v>
      </c>
      <c r="O1195" s="5">
        <v>0</v>
      </c>
      <c r="P1195" s="6">
        <v>0</v>
      </c>
      <c r="Q1195" s="5">
        <v>0</v>
      </c>
      <c r="R1195" s="6">
        <v>0</v>
      </c>
      <c r="S1195" s="5">
        <v>0</v>
      </c>
      <c r="T1195" s="6">
        <v>0</v>
      </c>
      <c r="U1195" s="5">
        <v>0</v>
      </c>
      <c r="V1195" s="6">
        <v>0</v>
      </c>
      <c r="W1195" s="5">
        <v>0</v>
      </c>
      <c r="X1195" s="6">
        <v>276.98598877409972</v>
      </c>
      <c r="Y1195" s="5">
        <v>775.56076856747916</v>
      </c>
      <c r="Z1195" s="6">
        <v>0</v>
      </c>
      <c r="AA1195" s="5">
        <v>0</v>
      </c>
      <c r="AB1195" s="6">
        <v>0</v>
      </c>
      <c r="AC1195" s="5">
        <v>0</v>
      </c>
      <c r="AD1195" s="6">
        <v>0</v>
      </c>
      <c r="AE1195" s="5">
        <v>0</v>
      </c>
      <c r="AF1195" s="6">
        <v>0</v>
      </c>
      <c r="AG1195" s="5">
        <v>0</v>
      </c>
      <c r="AH1195" s="7">
        <f t="shared" si="144"/>
        <v>276.98598877409972</v>
      </c>
      <c r="AI1195" s="8">
        <f t="shared" si="145"/>
        <v>775.56076856747916</v>
      </c>
      <c r="AJ1195" s="6">
        <v>0</v>
      </c>
      <c r="AK1195" s="5">
        <v>0</v>
      </c>
      <c r="AL1195" s="6">
        <v>0</v>
      </c>
      <c r="AM1195" s="5">
        <v>0</v>
      </c>
      <c r="AN1195" s="6">
        <v>0</v>
      </c>
      <c r="AO1195" s="5">
        <v>0</v>
      </c>
      <c r="AP1195" s="6">
        <v>0</v>
      </c>
      <c r="AQ1195" s="5">
        <v>0</v>
      </c>
      <c r="AR1195" s="6">
        <v>0</v>
      </c>
      <c r="AS1195" s="5">
        <v>0</v>
      </c>
      <c r="AT1195" s="6">
        <v>0</v>
      </c>
      <c r="AU1195" s="5">
        <v>0</v>
      </c>
      <c r="AV1195" s="6">
        <v>0</v>
      </c>
      <c r="AW1195" s="5">
        <v>0</v>
      </c>
      <c r="AX1195" s="6">
        <v>295</v>
      </c>
      <c r="AY1195" s="5">
        <v>861.00384793921376</v>
      </c>
      <c r="AZ1195" s="6">
        <v>0</v>
      </c>
      <c r="BA1195" s="5">
        <v>0</v>
      </c>
      <c r="BB1195" s="6">
        <v>0</v>
      </c>
      <c r="BC1195" s="5">
        <v>0</v>
      </c>
      <c r="BD1195" s="6">
        <v>0</v>
      </c>
      <c r="BE1195" s="5">
        <v>0</v>
      </c>
      <c r="BF1195" s="6">
        <v>0</v>
      </c>
      <c r="BG1195" s="5">
        <v>0</v>
      </c>
      <c r="BH1195" s="9">
        <f t="shared" si="146"/>
        <v>295</v>
      </c>
      <c r="BI1195" s="10">
        <f t="shared" si="147"/>
        <v>861.00384793921376</v>
      </c>
      <c r="BJ1195" s="6">
        <f t="shared" si="148"/>
        <v>18.014011225900276</v>
      </c>
      <c r="BK1195" s="11">
        <f t="shared" si="149"/>
        <v>6.5035821146144271E-2</v>
      </c>
      <c r="BL1195" s="5">
        <f t="shared" si="150"/>
        <v>85.443079371734598</v>
      </c>
      <c r="BM1195" s="11">
        <f t="shared" si="151"/>
        <v>0.11016941912824521</v>
      </c>
    </row>
    <row r="1196" spans="1:65" ht="15" customHeight="1" x14ac:dyDescent="0.4">
      <c r="A1196" s="2" t="s">
        <v>775</v>
      </c>
      <c r="B1196" s="2" t="s">
        <v>865</v>
      </c>
      <c r="C1196" s="2" t="s">
        <v>866</v>
      </c>
      <c r="D1196" s="3" t="s">
        <v>68</v>
      </c>
      <c r="E1196" s="3" t="s">
        <v>897</v>
      </c>
      <c r="F1196" s="2" t="s">
        <v>896</v>
      </c>
      <c r="G1196" s="4">
        <v>5</v>
      </c>
      <c r="H1196" s="5">
        <v>2.8</v>
      </c>
      <c r="I1196" s="5">
        <v>2.918657111658352</v>
      </c>
      <c r="J1196" s="6">
        <v>0</v>
      </c>
      <c r="K1196" s="5">
        <v>0</v>
      </c>
      <c r="L1196" s="6">
        <v>0</v>
      </c>
      <c r="M1196" s="5">
        <v>0</v>
      </c>
      <c r="N1196" s="6">
        <v>0</v>
      </c>
      <c r="O1196" s="5">
        <v>0</v>
      </c>
      <c r="P1196" s="6">
        <v>0</v>
      </c>
      <c r="Q1196" s="5">
        <v>0</v>
      </c>
      <c r="R1196" s="6">
        <v>0</v>
      </c>
      <c r="S1196" s="5">
        <v>0</v>
      </c>
      <c r="T1196" s="6">
        <v>0</v>
      </c>
      <c r="U1196" s="5">
        <v>0</v>
      </c>
      <c r="V1196" s="6">
        <v>0</v>
      </c>
      <c r="W1196" s="5">
        <v>0</v>
      </c>
      <c r="X1196" s="6">
        <v>0</v>
      </c>
      <c r="Y1196" s="5">
        <v>0</v>
      </c>
      <c r="Z1196" s="6">
        <v>0</v>
      </c>
      <c r="AA1196" s="5">
        <v>0</v>
      </c>
      <c r="AB1196" s="6">
        <v>0</v>
      </c>
      <c r="AC1196" s="5">
        <v>0</v>
      </c>
      <c r="AD1196" s="6">
        <v>284.39884178951678</v>
      </c>
      <c r="AE1196" s="5">
        <v>796.31675701064705</v>
      </c>
      <c r="AF1196" s="6">
        <v>0</v>
      </c>
      <c r="AG1196" s="5">
        <v>0</v>
      </c>
      <c r="AH1196" s="7">
        <f t="shared" si="144"/>
        <v>284.39884178951678</v>
      </c>
      <c r="AI1196" s="8">
        <f t="shared" si="145"/>
        <v>796.31675701064705</v>
      </c>
      <c r="AJ1196" s="6">
        <v>0</v>
      </c>
      <c r="AK1196" s="5">
        <v>0</v>
      </c>
      <c r="AL1196" s="6">
        <v>0</v>
      </c>
      <c r="AM1196" s="5">
        <v>0</v>
      </c>
      <c r="AN1196" s="6">
        <v>0</v>
      </c>
      <c r="AO1196" s="5">
        <v>0</v>
      </c>
      <c r="AP1196" s="6">
        <v>0</v>
      </c>
      <c r="AQ1196" s="5">
        <v>0</v>
      </c>
      <c r="AR1196" s="6">
        <v>0</v>
      </c>
      <c r="AS1196" s="5">
        <v>0</v>
      </c>
      <c r="AT1196" s="6">
        <v>0</v>
      </c>
      <c r="AU1196" s="5">
        <v>0</v>
      </c>
      <c r="AV1196" s="6">
        <v>0</v>
      </c>
      <c r="AW1196" s="5">
        <v>0</v>
      </c>
      <c r="AX1196" s="6">
        <v>0</v>
      </c>
      <c r="AY1196" s="5">
        <v>0</v>
      </c>
      <c r="AZ1196" s="6">
        <v>0</v>
      </c>
      <c r="BA1196" s="5">
        <v>0</v>
      </c>
      <c r="BB1196" s="6">
        <v>0</v>
      </c>
      <c r="BC1196" s="5">
        <v>0</v>
      </c>
      <c r="BD1196" s="6">
        <v>305</v>
      </c>
      <c r="BE1196" s="5">
        <v>890.19041905579718</v>
      </c>
      <c r="BF1196" s="6">
        <v>0</v>
      </c>
      <c r="BG1196" s="5">
        <v>0</v>
      </c>
      <c r="BH1196" s="9">
        <f t="shared" si="146"/>
        <v>305</v>
      </c>
      <c r="BI1196" s="10">
        <f t="shared" si="147"/>
        <v>890.19041905579718</v>
      </c>
      <c r="BJ1196" s="6">
        <f t="shared" si="148"/>
        <v>20.60115821048322</v>
      </c>
      <c r="BK1196" s="11">
        <f t="shared" si="149"/>
        <v>7.2437560156205241E-2</v>
      </c>
      <c r="BL1196" s="5">
        <f t="shared" si="150"/>
        <v>93.873662045150127</v>
      </c>
      <c r="BM1196" s="11">
        <f t="shared" si="151"/>
        <v>0.11788482562837115</v>
      </c>
    </row>
    <row r="1197" spans="1:65" ht="15" customHeight="1" x14ac:dyDescent="0.4">
      <c r="A1197" s="2" t="s">
        <v>775</v>
      </c>
      <c r="B1197" s="2" t="s">
        <v>865</v>
      </c>
      <c r="C1197" s="2" t="s">
        <v>866</v>
      </c>
      <c r="D1197" s="3" t="s">
        <v>68</v>
      </c>
      <c r="E1197" s="3" t="s">
        <v>899</v>
      </c>
      <c r="F1197" s="2" t="s">
        <v>524</v>
      </c>
      <c r="G1197" s="4">
        <v>1</v>
      </c>
      <c r="H1197" s="5">
        <v>0</v>
      </c>
      <c r="I1197" s="5">
        <v>0</v>
      </c>
      <c r="J1197" s="6">
        <v>0</v>
      </c>
      <c r="K1197" s="5">
        <v>0</v>
      </c>
      <c r="L1197" s="6">
        <v>0</v>
      </c>
      <c r="M1197" s="5">
        <v>0</v>
      </c>
      <c r="N1197" s="6">
        <v>0</v>
      </c>
      <c r="O1197" s="5">
        <v>0</v>
      </c>
      <c r="P1197" s="6">
        <v>0</v>
      </c>
      <c r="Q1197" s="5">
        <v>0</v>
      </c>
      <c r="R1197" s="6">
        <v>0</v>
      </c>
      <c r="S1197" s="5">
        <v>0</v>
      </c>
      <c r="T1197" s="6">
        <v>0</v>
      </c>
      <c r="U1197" s="5">
        <v>0</v>
      </c>
      <c r="V1197" s="6">
        <v>0</v>
      </c>
      <c r="W1197" s="5">
        <v>0</v>
      </c>
      <c r="X1197" s="6">
        <v>23.741656180637118</v>
      </c>
      <c r="Y1197" s="5">
        <v>0</v>
      </c>
      <c r="Z1197" s="6">
        <v>0</v>
      </c>
      <c r="AA1197" s="5">
        <v>0</v>
      </c>
      <c r="AB1197" s="6">
        <v>0</v>
      </c>
      <c r="AC1197" s="5">
        <v>0</v>
      </c>
      <c r="AD1197" s="6">
        <v>0</v>
      </c>
      <c r="AE1197" s="5">
        <v>0</v>
      </c>
      <c r="AF1197" s="6">
        <v>0</v>
      </c>
      <c r="AG1197" s="5">
        <v>0</v>
      </c>
      <c r="AH1197" s="7">
        <f t="shared" si="144"/>
        <v>23.741656180637118</v>
      </c>
      <c r="AI1197" s="8">
        <f t="shared" si="145"/>
        <v>0</v>
      </c>
      <c r="AJ1197" s="6">
        <v>0</v>
      </c>
      <c r="AK1197" s="5">
        <v>0</v>
      </c>
      <c r="AL1197" s="6">
        <v>0</v>
      </c>
      <c r="AM1197" s="5">
        <v>0</v>
      </c>
      <c r="AN1197" s="6">
        <v>0</v>
      </c>
      <c r="AO1197" s="5">
        <v>0</v>
      </c>
      <c r="AP1197" s="6">
        <v>0</v>
      </c>
      <c r="AQ1197" s="5">
        <v>0</v>
      </c>
      <c r="AR1197" s="6">
        <v>0</v>
      </c>
      <c r="AS1197" s="5">
        <v>0</v>
      </c>
      <c r="AT1197" s="6">
        <v>0</v>
      </c>
      <c r="AU1197" s="5">
        <v>0</v>
      </c>
      <c r="AV1197" s="6">
        <v>0</v>
      </c>
      <c r="AW1197" s="5">
        <v>0</v>
      </c>
      <c r="AX1197" s="6">
        <v>26</v>
      </c>
      <c r="AY1197" s="5">
        <v>0</v>
      </c>
      <c r="AZ1197" s="6">
        <v>0</v>
      </c>
      <c r="BA1197" s="5">
        <v>0</v>
      </c>
      <c r="BB1197" s="6">
        <v>0</v>
      </c>
      <c r="BC1197" s="5">
        <v>0</v>
      </c>
      <c r="BD1197" s="6">
        <v>0</v>
      </c>
      <c r="BE1197" s="5">
        <v>0</v>
      </c>
      <c r="BF1197" s="6">
        <v>0</v>
      </c>
      <c r="BG1197" s="5">
        <v>0</v>
      </c>
      <c r="BH1197" s="9">
        <f t="shared" si="146"/>
        <v>26</v>
      </c>
      <c r="BI1197" s="10">
        <f t="shared" si="147"/>
        <v>0</v>
      </c>
      <c r="BJ1197" s="6">
        <f t="shared" si="148"/>
        <v>2.2583438193628815</v>
      </c>
      <c r="BK1197" s="11">
        <f t="shared" si="149"/>
        <v>9.5121578805639914E-2</v>
      </c>
      <c r="BL1197" s="5">
        <f t="shared" si="150"/>
        <v>0</v>
      </c>
      <c r="BM1197" s="11">
        <f t="shared" si="151"/>
        <v>0</v>
      </c>
    </row>
    <row r="1198" spans="1:65" ht="15" customHeight="1" x14ac:dyDescent="0.4">
      <c r="A1198" s="2" t="s">
        <v>775</v>
      </c>
      <c r="B1198" s="2" t="s">
        <v>865</v>
      </c>
      <c r="C1198" s="2" t="s">
        <v>866</v>
      </c>
      <c r="D1198" s="3" t="s">
        <v>68</v>
      </c>
      <c r="E1198" s="3" t="s">
        <v>900</v>
      </c>
      <c r="F1198" s="2" t="s">
        <v>441</v>
      </c>
      <c r="G1198" s="4">
        <v>1</v>
      </c>
      <c r="H1198" s="5">
        <v>4.16</v>
      </c>
      <c r="I1198" s="5">
        <v>4.3377766147498082</v>
      </c>
      <c r="J1198" s="6">
        <v>0</v>
      </c>
      <c r="K1198" s="5">
        <v>0</v>
      </c>
      <c r="L1198" s="6">
        <v>2647.1946641410391</v>
      </c>
      <c r="M1198" s="5">
        <v>11012.32980282672</v>
      </c>
      <c r="N1198" s="6">
        <v>0</v>
      </c>
      <c r="O1198" s="5">
        <v>0</v>
      </c>
      <c r="P1198" s="6">
        <v>0</v>
      </c>
      <c r="Q1198" s="5">
        <v>0</v>
      </c>
      <c r="R1198" s="6">
        <v>0</v>
      </c>
      <c r="S1198" s="5">
        <v>0</v>
      </c>
      <c r="T1198" s="6">
        <v>0</v>
      </c>
      <c r="U1198" s="5">
        <v>0</v>
      </c>
      <c r="V1198" s="6">
        <v>0</v>
      </c>
      <c r="W1198" s="5">
        <v>0</v>
      </c>
      <c r="X1198" s="6">
        <v>0</v>
      </c>
      <c r="Y1198" s="5">
        <v>0</v>
      </c>
      <c r="Z1198" s="6">
        <v>0</v>
      </c>
      <c r="AA1198" s="5">
        <v>0</v>
      </c>
      <c r="AB1198" s="6">
        <v>0</v>
      </c>
      <c r="AC1198" s="5">
        <v>0</v>
      </c>
      <c r="AD1198" s="6">
        <v>0</v>
      </c>
      <c r="AE1198" s="5">
        <v>0</v>
      </c>
      <c r="AF1198" s="6">
        <v>0</v>
      </c>
      <c r="AG1198" s="5">
        <v>0</v>
      </c>
      <c r="AH1198" s="7">
        <f t="shared" si="144"/>
        <v>2647.1946641410391</v>
      </c>
      <c r="AI1198" s="8">
        <f t="shared" si="145"/>
        <v>11012.32980282672</v>
      </c>
      <c r="AJ1198" s="6">
        <v>0</v>
      </c>
      <c r="AK1198" s="5">
        <v>0</v>
      </c>
      <c r="AL1198" s="6">
        <v>2918</v>
      </c>
      <c r="AM1198" s="5">
        <v>12657.63216183994</v>
      </c>
      <c r="AN1198" s="6">
        <v>0</v>
      </c>
      <c r="AO1198" s="5">
        <v>0</v>
      </c>
      <c r="AP1198" s="6">
        <v>0</v>
      </c>
      <c r="AQ1198" s="5">
        <v>0</v>
      </c>
      <c r="AR1198" s="6">
        <v>0</v>
      </c>
      <c r="AS1198" s="5">
        <v>0</v>
      </c>
      <c r="AT1198" s="6">
        <v>0</v>
      </c>
      <c r="AU1198" s="5">
        <v>0</v>
      </c>
      <c r="AV1198" s="6">
        <v>0</v>
      </c>
      <c r="AW1198" s="5">
        <v>0</v>
      </c>
      <c r="AX1198" s="6">
        <v>0</v>
      </c>
      <c r="AY1198" s="5">
        <v>0</v>
      </c>
      <c r="AZ1198" s="6">
        <v>0</v>
      </c>
      <c r="BA1198" s="5">
        <v>0</v>
      </c>
      <c r="BB1198" s="6">
        <v>0</v>
      </c>
      <c r="BC1198" s="5">
        <v>0</v>
      </c>
      <c r="BD1198" s="6">
        <v>0</v>
      </c>
      <c r="BE1198" s="5">
        <v>0</v>
      </c>
      <c r="BF1198" s="6">
        <v>0</v>
      </c>
      <c r="BG1198" s="5">
        <v>0</v>
      </c>
      <c r="BH1198" s="9">
        <f t="shared" si="146"/>
        <v>2918</v>
      </c>
      <c r="BI1198" s="10">
        <f t="shared" si="147"/>
        <v>12657.63216183994</v>
      </c>
      <c r="BJ1198" s="6">
        <f t="shared" si="148"/>
        <v>270.80533585896092</v>
      </c>
      <c r="BK1198" s="11">
        <f t="shared" si="149"/>
        <v>0.10229898825624588</v>
      </c>
      <c r="BL1198" s="5">
        <f t="shared" si="150"/>
        <v>1645.3023590132198</v>
      </c>
      <c r="BM1198" s="11">
        <f t="shared" si="151"/>
        <v>0.14940547445199945</v>
      </c>
    </row>
    <row r="1199" spans="1:65" ht="15" customHeight="1" x14ac:dyDescent="0.4">
      <c r="A1199" s="2" t="s">
        <v>775</v>
      </c>
      <c r="B1199" s="2" t="s">
        <v>865</v>
      </c>
      <c r="C1199" s="2" t="s">
        <v>866</v>
      </c>
      <c r="D1199" s="3" t="s">
        <v>68</v>
      </c>
      <c r="E1199" s="3" t="s">
        <v>900</v>
      </c>
      <c r="F1199" s="2" t="s">
        <v>250</v>
      </c>
      <c r="G1199" s="4">
        <v>1</v>
      </c>
      <c r="H1199" s="5">
        <v>4.16</v>
      </c>
      <c r="I1199" s="5">
        <v>4.3371490672913167</v>
      </c>
      <c r="J1199" s="6">
        <v>0</v>
      </c>
      <c r="K1199" s="5">
        <v>0</v>
      </c>
      <c r="L1199" s="6">
        <v>0</v>
      </c>
      <c r="M1199" s="5">
        <v>0</v>
      </c>
      <c r="N1199" s="6">
        <v>0</v>
      </c>
      <c r="O1199" s="5">
        <v>0</v>
      </c>
      <c r="P1199" s="6">
        <v>0</v>
      </c>
      <c r="Q1199" s="5">
        <v>0</v>
      </c>
      <c r="R1199" s="6">
        <v>0</v>
      </c>
      <c r="S1199" s="5">
        <v>0</v>
      </c>
      <c r="T1199" s="6">
        <v>0</v>
      </c>
      <c r="U1199" s="5">
        <v>0</v>
      </c>
      <c r="V1199" s="6">
        <v>0</v>
      </c>
      <c r="W1199" s="5">
        <v>0</v>
      </c>
      <c r="X1199" s="6">
        <v>4582.1396428629632</v>
      </c>
      <c r="Y1199" s="5">
        <v>19061.700914309931</v>
      </c>
      <c r="Z1199" s="6">
        <v>0</v>
      </c>
      <c r="AA1199" s="5">
        <v>0</v>
      </c>
      <c r="AB1199" s="6">
        <v>0</v>
      </c>
      <c r="AC1199" s="5">
        <v>0</v>
      </c>
      <c r="AD1199" s="6">
        <v>0</v>
      </c>
      <c r="AE1199" s="5">
        <v>0</v>
      </c>
      <c r="AF1199" s="6">
        <v>0</v>
      </c>
      <c r="AG1199" s="5">
        <v>0</v>
      </c>
      <c r="AH1199" s="7">
        <f t="shared" si="144"/>
        <v>4582.1396428629632</v>
      </c>
      <c r="AI1199" s="8">
        <f t="shared" si="145"/>
        <v>19061.700914309931</v>
      </c>
      <c r="AJ1199" s="6">
        <v>0</v>
      </c>
      <c r="AK1199" s="5">
        <v>0</v>
      </c>
      <c r="AL1199" s="6">
        <v>0</v>
      </c>
      <c r="AM1199" s="5">
        <v>0</v>
      </c>
      <c r="AN1199" s="6">
        <v>0</v>
      </c>
      <c r="AO1199" s="5">
        <v>0</v>
      </c>
      <c r="AP1199" s="6">
        <v>0</v>
      </c>
      <c r="AQ1199" s="5">
        <v>0</v>
      </c>
      <c r="AR1199" s="6">
        <v>0</v>
      </c>
      <c r="AS1199" s="5">
        <v>0</v>
      </c>
      <c r="AT1199" s="6">
        <v>0</v>
      </c>
      <c r="AU1199" s="5">
        <v>0</v>
      </c>
      <c r="AV1199" s="6">
        <v>0</v>
      </c>
      <c r="AW1199" s="5">
        <v>0</v>
      </c>
      <c r="AX1199" s="6">
        <v>5051</v>
      </c>
      <c r="AY1199" s="5">
        <v>21906.939938888441</v>
      </c>
      <c r="AZ1199" s="6">
        <v>0</v>
      </c>
      <c r="BA1199" s="5">
        <v>0</v>
      </c>
      <c r="BB1199" s="6">
        <v>0</v>
      </c>
      <c r="BC1199" s="5">
        <v>0</v>
      </c>
      <c r="BD1199" s="6">
        <v>0</v>
      </c>
      <c r="BE1199" s="5">
        <v>0</v>
      </c>
      <c r="BF1199" s="6">
        <v>0</v>
      </c>
      <c r="BG1199" s="5">
        <v>0</v>
      </c>
      <c r="BH1199" s="9">
        <f t="shared" si="146"/>
        <v>5051</v>
      </c>
      <c r="BI1199" s="10">
        <f t="shared" si="147"/>
        <v>21906.939938888441</v>
      </c>
      <c r="BJ1199" s="6">
        <f t="shared" si="148"/>
        <v>468.86035713703677</v>
      </c>
      <c r="BK1199" s="11">
        <f t="shared" si="149"/>
        <v>0.10232345447335352</v>
      </c>
      <c r="BL1199" s="5">
        <f t="shared" si="150"/>
        <v>2845.23902457851</v>
      </c>
      <c r="BM1199" s="11">
        <f t="shared" si="151"/>
        <v>0.14926469769770348</v>
      </c>
    </row>
    <row r="1200" spans="1:65" ht="15" customHeight="1" x14ac:dyDescent="0.4">
      <c r="A1200" s="2" t="s">
        <v>775</v>
      </c>
      <c r="B1200" s="2" t="s">
        <v>865</v>
      </c>
      <c r="C1200" s="2" t="s">
        <v>866</v>
      </c>
      <c r="D1200" s="3" t="s">
        <v>68</v>
      </c>
      <c r="E1200" s="3" t="s">
        <v>900</v>
      </c>
      <c r="F1200" s="2" t="s">
        <v>901</v>
      </c>
      <c r="G1200" s="4">
        <v>1</v>
      </c>
      <c r="H1200" s="5">
        <v>4.16</v>
      </c>
      <c r="I1200" s="5">
        <v>4.3362905658924076</v>
      </c>
      <c r="J1200" s="6">
        <v>0</v>
      </c>
      <c r="K1200" s="5">
        <v>0</v>
      </c>
      <c r="L1200" s="6">
        <v>0</v>
      </c>
      <c r="M1200" s="5">
        <v>0</v>
      </c>
      <c r="N1200" s="6">
        <v>0</v>
      </c>
      <c r="O1200" s="5">
        <v>0</v>
      </c>
      <c r="P1200" s="6">
        <v>0</v>
      </c>
      <c r="Q1200" s="5">
        <v>0</v>
      </c>
      <c r="R1200" s="6">
        <v>0</v>
      </c>
      <c r="S1200" s="5">
        <v>0</v>
      </c>
      <c r="T1200" s="6">
        <v>0</v>
      </c>
      <c r="U1200" s="5">
        <v>0</v>
      </c>
      <c r="V1200" s="6">
        <v>0</v>
      </c>
      <c r="W1200" s="5">
        <v>0</v>
      </c>
      <c r="X1200" s="6">
        <v>0</v>
      </c>
      <c r="Y1200" s="5">
        <v>0</v>
      </c>
      <c r="Z1200" s="6">
        <v>0</v>
      </c>
      <c r="AA1200" s="5">
        <v>0</v>
      </c>
      <c r="AB1200" s="6">
        <v>0</v>
      </c>
      <c r="AC1200" s="5">
        <v>0</v>
      </c>
      <c r="AD1200" s="6">
        <v>1895.992278596779</v>
      </c>
      <c r="AE1200" s="5">
        <v>7887.3278789625992</v>
      </c>
      <c r="AF1200" s="6">
        <v>0</v>
      </c>
      <c r="AG1200" s="5">
        <v>0</v>
      </c>
      <c r="AH1200" s="7">
        <f t="shared" si="144"/>
        <v>1895.992278596779</v>
      </c>
      <c r="AI1200" s="8">
        <f t="shared" si="145"/>
        <v>7887.3278789625992</v>
      </c>
      <c r="AJ1200" s="6">
        <v>0</v>
      </c>
      <c r="AK1200" s="5">
        <v>0</v>
      </c>
      <c r="AL1200" s="6">
        <v>0</v>
      </c>
      <c r="AM1200" s="5">
        <v>0</v>
      </c>
      <c r="AN1200" s="6">
        <v>0</v>
      </c>
      <c r="AO1200" s="5">
        <v>0</v>
      </c>
      <c r="AP1200" s="6">
        <v>0</v>
      </c>
      <c r="AQ1200" s="5">
        <v>0</v>
      </c>
      <c r="AR1200" s="6">
        <v>0</v>
      </c>
      <c r="AS1200" s="5">
        <v>0</v>
      </c>
      <c r="AT1200" s="6">
        <v>0</v>
      </c>
      <c r="AU1200" s="5">
        <v>0</v>
      </c>
      <c r="AV1200" s="6">
        <v>0</v>
      </c>
      <c r="AW1200" s="5">
        <v>0</v>
      </c>
      <c r="AX1200" s="6">
        <v>0</v>
      </c>
      <c r="AY1200" s="5">
        <v>0</v>
      </c>
      <c r="AZ1200" s="6">
        <v>0</v>
      </c>
      <c r="BA1200" s="5">
        <v>0</v>
      </c>
      <c r="BB1200" s="6">
        <v>0</v>
      </c>
      <c r="BC1200" s="5">
        <v>0</v>
      </c>
      <c r="BD1200" s="6">
        <v>2090</v>
      </c>
      <c r="BE1200" s="5">
        <v>9062.8472827151327</v>
      </c>
      <c r="BF1200" s="6">
        <v>0</v>
      </c>
      <c r="BG1200" s="5">
        <v>0</v>
      </c>
      <c r="BH1200" s="9">
        <f t="shared" si="146"/>
        <v>2090</v>
      </c>
      <c r="BI1200" s="10">
        <f t="shared" si="147"/>
        <v>9062.8472827151327</v>
      </c>
      <c r="BJ1200" s="6">
        <f t="shared" si="148"/>
        <v>194.00772140322101</v>
      </c>
      <c r="BK1200" s="11">
        <f t="shared" si="149"/>
        <v>0.10232516429170578</v>
      </c>
      <c r="BL1200" s="5">
        <f t="shared" si="150"/>
        <v>1175.5194037525334</v>
      </c>
      <c r="BM1200" s="11">
        <f t="shared" si="151"/>
        <v>0.14903899289998157</v>
      </c>
    </row>
    <row r="1201" spans="1:65" ht="15" customHeight="1" x14ac:dyDescent="0.4">
      <c r="A1201" s="2" t="s">
        <v>775</v>
      </c>
      <c r="B1201" s="2" t="s">
        <v>865</v>
      </c>
      <c r="C1201" s="2" t="s">
        <v>866</v>
      </c>
      <c r="D1201" s="3" t="s">
        <v>68</v>
      </c>
      <c r="E1201" s="3" t="s">
        <v>902</v>
      </c>
      <c r="F1201" s="2" t="s">
        <v>129</v>
      </c>
      <c r="G1201" s="4">
        <v>5</v>
      </c>
      <c r="H1201" s="5">
        <v>3.21</v>
      </c>
      <c r="I1201" s="5">
        <v>3.3460319030083241</v>
      </c>
      <c r="J1201" s="6">
        <v>0</v>
      </c>
      <c r="K1201" s="5">
        <v>0</v>
      </c>
      <c r="L1201" s="6">
        <v>0</v>
      </c>
      <c r="M1201" s="5">
        <v>0</v>
      </c>
      <c r="N1201" s="6">
        <v>0</v>
      </c>
      <c r="O1201" s="5">
        <v>0</v>
      </c>
      <c r="P1201" s="6">
        <v>0</v>
      </c>
      <c r="Q1201" s="5">
        <v>0</v>
      </c>
      <c r="R1201" s="6">
        <v>0</v>
      </c>
      <c r="S1201" s="5">
        <v>0</v>
      </c>
      <c r="T1201" s="6">
        <v>0</v>
      </c>
      <c r="U1201" s="5">
        <v>0</v>
      </c>
      <c r="V1201" s="6">
        <v>0</v>
      </c>
      <c r="W1201" s="5">
        <v>0</v>
      </c>
      <c r="X1201" s="6">
        <v>1147.513382064127</v>
      </c>
      <c r="Y1201" s="5">
        <v>3683.5179564258492</v>
      </c>
      <c r="Z1201" s="6">
        <v>0</v>
      </c>
      <c r="AA1201" s="5">
        <v>0</v>
      </c>
      <c r="AB1201" s="6">
        <v>0</v>
      </c>
      <c r="AC1201" s="5">
        <v>0</v>
      </c>
      <c r="AD1201" s="6">
        <v>0</v>
      </c>
      <c r="AE1201" s="5">
        <v>0</v>
      </c>
      <c r="AF1201" s="6">
        <v>0</v>
      </c>
      <c r="AG1201" s="5">
        <v>0</v>
      </c>
      <c r="AH1201" s="7">
        <f t="shared" si="144"/>
        <v>1147.513382064127</v>
      </c>
      <c r="AI1201" s="8">
        <f t="shared" si="145"/>
        <v>3683.5179564258492</v>
      </c>
      <c r="AJ1201" s="6">
        <v>0</v>
      </c>
      <c r="AK1201" s="5">
        <v>0</v>
      </c>
      <c r="AL1201" s="6">
        <v>0</v>
      </c>
      <c r="AM1201" s="5">
        <v>0</v>
      </c>
      <c r="AN1201" s="6">
        <v>0</v>
      </c>
      <c r="AO1201" s="5">
        <v>0</v>
      </c>
      <c r="AP1201" s="6">
        <v>0</v>
      </c>
      <c r="AQ1201" s="5">
        <v>0</v>
      </c>
      <c r="AR1201" s="6">
        <v>0</v>
      </c>
      <c r="AS1201" s="5">
        <v>0</v>
      </c>
      <c r="AT1201" s="6">
        <v>0</v>
      </c>
      <c r="AU1201" s="5">
        <v>0</v>
      </c>
      <c r="AV1201" s="6">
        <v>0</v>
      </c>
      <c r="AW1201" s="5">
        <v>0</v>
      </c>
      <c r="AX1201" s="6">
        <v>1270</v>
      </c>
      <c r="AY1201" s="5">
        <v>4249.4605168205717</v>
      </c>
      <c r="AZ1201" s="6">
        <v>0</v>
      </c>
      <c r="BA1201" s="5">
        <v>0</v>
      </c>
      <c r="BB1201" s="6">
        <v>0</v>
      </c>
      <c r="BC1201" s="5">
        <v>0</v>
      </c>
      <c r="BD1201" s="6">
        <v>0</v>
      </c>
      <c r="BE1201" s="5">
        <v>0</v>
      </c>
      <c r="BF1201" s="6">
        <v>0</v>
      </c>
      <c r="BG1201" s="5">
        <v>0</v>
      </c>
      <c r="BH1201" s="9">
        <f t="shared" si="146"/>
        <v>1270</v>
      </c>
      <c r="BI1201" s="10">
        <f t="shared" si="147"/>
        <v>4249.4605168205717</v>
      </c>
      <c r="BJ1201" s="6">
        <f t="shared" si="148"/>
        <v>122.48661793587303</v>
      </c>
      <c r="BK1201" s="11">
        <f t="shared" si="149"/>
        <v>0.10674090590172138</v>
      </c>
      <c r="BL1201" s="5">
        <f t="shared" si="150"/>
        <v>565.94256039472248</v>
      </c>
      <c r="BM1201" s="11">
        <f t="shared" si="151"/>
        <v>0.15364186277616565</v>
      </c>
    </row>
    <row r="1202" spans="1:65" ht="15" customHeight="1" x14ac:dyDescent="0.4">
      <c r="A1202" s="2" t="s">
        <v>775</v>
      </c>
      <c r="B1202" s="2" t="s">
        <v>865</v>
      </c>
      <c r="C1202" s="2" t="s">
        <v>866</v>
      </c>
      <c r="D1202" s="3" t="s">
        <v>68</v>
      </c>
      <c r="E1202" s="3" t="s">
        <v>902</v>
      </c>
      <c r="F1202" s="2" t="s">
        <v>901</v>
      </c>
      <c r="G1202" s="4">
        <v>5</v>
      </c>
      <c r="H1202" s="5">
        <v>3.21</v>
      </c>
      <c r="I1202" s="5">
        <v>3.346031903008325</v>
      </c>
      <c r="J1202" s="6">
        <v>0</v>
      </c>
      <c r="K1202" s="5">
        <v>0</v>
      </c>
      <c r="L1202" s="6">
        <v>0</v>
      </c>
      <c r="M1202" s="5">
        <v>0</v>
      </c>
      <c r="N1202" s="6">
        <v>0</v>
      </c>
      <c r="O1202" s="5">
        <v>0</v>
      </c>
      <c r="P1202" s="6">
        <v>0</v>
      </c>
      <c r="Q1202" s="5">
        <v>0</v>
      </c>
      <c r="R1202" s="6">
        <v>0</v>
      </c>
      <c r="S1202" s="5">
        <v>0</v>
      </c>
      <c r="T1202" s="6">
        <v>0</v>
      </c>
      <c r="U1202" s="5">
        <v>0</v>
      </c>
      <c r="V1202" s="6">
        <v>0</v>
      </c>
      <c r="W1202" s="5">
        <v>0</v>
      </c>
      <c r="X1202" s="6">
        <v>0</v>
      </c>
      <c r="Y1202" s="5">
        <v>0</v>
      </c>
      <c r="Z1202" s="6">
        <v>0</v>
      </c>
      <c r="AA1202" s="5">
        <v>0</v>
      </c>
      <c r="AB1202" s="6">
        <v>0</v>
      </c>
      <c r="AC1202" s="5">
        <v>0</v>
      </c>
      <c r="AD1202" s="6">
        <v>947.99613929838938</v>
      </c>
      <c r="AE1202" s="5">
        <v>3043.0676071478301</v>
      </c>
      <c r="AF1202" s="6">
        <v>0</v>
      </c>
      <c r="AG1202" s="5">
        <v>0</v>
      </c>
      <c r="AH1202" s="7">
        <f t="shared" si="144"/>
        <v>947.99613929838938</v>
      </c>
      <c r="AI1202" s="8">
        <f t="shared" si="145"/>
        <v>3043.0676071478301</v>
      </c>
      <c r="AJ1202" s="6">
        <v>0</v>
      </c>
      <c r="AK1202" s="5">
        <v>0</v>
      </c>
      <c r="AL1202" s="6">
        <v>0</v>
      </c>
      <c r="AM1202" s="5">
        <v>0</v>
      </c>
      <c r="AN1202" s="6">
        <v>0</v>
      </c>
      <c r="AO1202" s="5">
        <v>0</v>
      </c>
      <c r="AP1202" s="6">
        <v>0</v>
      </c>
      <c r="AQ1202" s="5">
        <v>0</v>
      </c>
      <c r="AR1202" s="6">
        <v>0</v>
      </c>
      <c r="AS1202" s="5">
        <v>0</v>
      </c>
      <c r="AT1202" s="6">
        <v>0</v>
      </c>
      <c r="AU1202" s="5">
        <v>0</v>
      </c>
      <c r="AV1202" s="6">
        <v>0</v>
      </c>
      <c r="AW1202" s="5">
        <v>0</v>
      </c>
      <c r="AX1202" s="6">
        <v>0</v>
      </c>
      <c r="AY1202" s="5">
        <v>0</v>
      </c>
      <c r="AZ1202" s="6">
        <v>0</v>
      </c>
      <c r="BA1202" s="5">
        <v>0</v>
      </c>
      <c r="BB1202" s="6">
        <v>0</v>
      </c>
      <c r="BC1202" s="5">
        <v>0</v>
      </c>
      <c r="BD1202" s="6">
        <v>1045</v>
      </c>
      <c r="BE1202" s="5">
        <v>3496.6033386436989</v>
      </c>
      <c r="BF1202" s="6">
        <v>0</v>
      </c>
      <c r="BG1202" s="5">
        <v>0</v>
      </c>
      <c r="BH1202" s="9">
        <f t="shared" si="146"/>
        <v>1045</v>
      </c>
      <c r="BI1202" s="10">
        <f t="shared" si="147"/>
        <v>3496.6033386436989</v>
      </c>
      <c r="BJ1202" s="6">
        <f t="shared" si="148"/>
        <v>97.00386070161062</v>
      </c>
      <c r="BK1202" s="11">
        <f t="shared" si="149"/>
        <v>0.10232516429170592</v>
      </c>
      <c r="BL1202" s="5">
        <f t="shared" si="150"/>
        <v>453.53573149586873</v>
      </c>
      <c r="BM1202" s="11">
        <f t="shared" si="151"/>
        <v>0.14903899289998138</v>
      </c>
    </row>
    <row r="1203" spans="1:65" ht="15" customHeight="1" x14ac:dyDescent="0.4">
      <c r="A1203" s="2" t="s">
        <v>775</v>
      </c>
      <c r="B1203" s="2" t="s">
        <v>865</v>
      </c>
      <c r="C1203" s="2" t="s">
        <v>866</v>
      </c>
      <c r="D1203" s="3" t="s">
        <v>68</v>
      </c>
      <c r="E1203" s="3" t="s">
        <v>903</v>
      </c>
      <c r="F1203" s="2" t="s">
        <v>691</v>
      </c>
      <c r="G1203" s="4">
        <v>1</v>
      </c>
      <c r="H1203" s="5">
        <v>8.1</v>
      </c>
      <c r="I1203" s="5">
        <v>8.4432580730116591</v>
      </c>
      <c r="J1203" s="6">
        <v>0</v>
      </c>
      <c r="K1203" s="5">
        <v>0</v>
      </c>
      <c r="L1203" s="6">
        <v>94.966624722548474</v>
      </c>
      <c r="M1203" s="5">
        <v>769.22966025264259</v>
      </c>
      <c r="N1203" s="6">
        <v>0</v>
      </c>
      <c r="O1203" s="5">
        <v>0</v>
      </c>
      <c r="P1203" s="6">
        <v>0</v>
      </c>
      <c r="Q1203" s="5">
        <v>0</v>
      </c>
      <c r="R1203" s="6">
        <v>0</v>
      </c>
      <c r="S1203" s="5">
        <v>0</v>
      </c>
      <c r="T1203" s="6">
        <v>0</v>
      </c>
      <c r="U1203" s="5">
        <v>0</v>
      </c>
      <c r="V1203" s="6">
        <v>0</v>
      </c>
      <c r="W1203" s="5">
        <v>0</v>
      </c>
      <c r="X1203" s="6">
        <v>0</v>
      </c>
      <c r="Y1203" s="5">
        <v>0</v>
      </c>
      <c r="Z1203" s="6">
        <v>0</v>
      </c>
      <c r="AA1203" s="5">
        <v>0</v>
      </c>
      <c r="AB1203" s="6">
        <v>0</v>
      </c>
      <c r="AC1203" s="5">
        <v>0</v>
      </c>
      <c r="AD1203" s="6">
        <v>0</v>
      </c>
      <c r="AE1203" s="5">
        <v>0</v>
      </c>
      <c r="AF1203" s="6">
        <v>0</v>
      </c>
      <c r="AG1203" s="5">
        <v>0</v>
      </c>
      <c r="AH1203" s="7">
        <f t="shared" si="144"/>
        <v>94.966624722548474</v>
      </c>
      <c r="AI1203" s="8">
        <f t="shared" si="145"/>
        <v>769.22966025264259</v>
      </c>
      <c r="AJ1203" s="6">
        <v>0</v>
      </c>
      <c r="AK1203" s="5">
        <v>0</v>
      </c>
      <c r="AL1203" s="6">
        <v>120</v>
      </c>
      <c r="AM1203" s="5">
        <v>1013.1909687613989</v>
      </c>
      <c r="AN1203" s="6">
        <v>0</v>
      </c>
      <c r="AO1203" s="5">
        <v>0</v>
      </c>
      <c r="AP1203" s="6">
        <v>0</v>
      </c>
      <c r="AQ1203" s="5">
        <v>0</v>
      </c>
      <c r="AR1203" s="6">
        <v>0</v>
      </c>
      <c r="AS1203" s="5">
        <v>0</v>
      </c>
      <c r="AT1203" s="6">
        <v>0</v>
      </c>
      <c r="AU1203" s="5">
        <v>0</v>
      </c>
      <c r="AV1203" s="6">
        <v>0</v>
      </c>
      <c r="AW1203" s="5">
        <v>0</v>
      </c>
      <c r="AX1203" s="6">
        <v>0</v>
      </c>
      <c r="AY1203" s="5">
        <v>0</v>
      </c>
      <c r="AZ1203" s="6">
        <v>0</v>
      </c>
      <c r="BA1203" s="5">
        <v>0</v>
      </c>
      <c r="BB1203" s="6">
        <v>0</v>
      </c>
      <c r="BC1203" s="5">
        <v>0</v>
      </c>
      <c r="BD1203" s="6">
        <v>0</v>
      </c>
      <c r="BE1203" s="5">
        <v>0</v>
      </c>
      <c r="BF1203" s="6">
        <v>0</v>
      </c>
      <c r="BG1203" s="5">
        <v>0</v>
      </c>
      <c r="BH1203" s="9">
        <f t="shared" si="146"/>
        <v>120</v>
      </c>
      <c r="BI1203" s="10">
        <f t="shared" si="147"/>
        <v>1013.1909687613989</v>
      </c>
      <c r="BJ1203" s="6">
        <f t="shared" si="148"/>
        <v>25.033375277451526</v>
      </c>
      <c r="BK1203" s="11">
        <f t="shared" si="149"/>
        <v>0.2636018216988153</v>
      </c>
      <c r="BL1203" s="5">
        <f t="shared" si="150"/>
        <v>243.96130850875636</v>
      </c>
      <c r="BM1203" s="11">
        <f t="shared" si="151"/>
        <v>0.31715015828774817</v>
      </c>
    </row>
    <row r="1204" spans="1:65" ht="15" customHeight="1" x14ac:dyDescent="0.4">
      <c r="A1204" s="2" t="s">
        <v>775</v>
      </c>
      <c r="B1204" s="2" t="s">
        <v>865</v>
      </c>
      <c r="C1204" s="2" t="s">
        <v>866</v>
      </c>
      <c r="D1204" s="3" t="s">
        <v>68</v>
      </c>
      <c r="E1204" s="3" t="s">
        <v>903</v>
      </c>
      <c r="F1204" s="2" t="s">
        <v>692</v>
      </c>
      <c r="G1204" s="4">
        <v>1</v>
      </c>
      <c r="H1204" s="5">
        <v>8.1</v>
      </c>
      <c r="I1204" s="5">
        <v>8.4432580730116591</v>
      </c>
      <c r="J1204" s="6">
        <v>0</v>
      </c>
      <c r="K1204" s="5">
        <v>0</v>
      </c>
      <c r="L1204" s="6">
        <v>0</v>
      </c>
      <c r="M1204" s="5">
        <v>0</v>
      </c>
      <c r="N1204" s="6">
        <v>0</v>
      </c>
      <c r="O1204" s="5">
        <v>0</v>
      </c>
      <c r="P1204" s="6">
        <v>0</v>
      </c>
      <c r="Q1204" s="5">
        <v>0</v>
      </c>
      <c r="R1204" s="6">
        <v>0</v>
      </c>
      <c r="S1204" s="5">
        <v>0</v>
      </c>
      <c r="T1204" s="6">
        <v>0</v>
      </c>
      <c r="U1204" s="5">
        <v>0</v>
      </c>
      <c r="V1204" s="6">
        <v>0</v>
      </c>
      <c r="W1204" s="5">
        <v>0</v>
      </c>
      <c r="X1204" s="6">
        <v>356.12484270955679</v>
      </c>
      <c r="Y1204" s="5">
        <v>2884.6112259474098</v>
      </c>
      <c r="Z1204" s="6">
        <v>0</v>
      </c>
      <c r="AA1204" s="5">
        <v>0</v>
      </c>
      <c r="AB1204" s="6">
        <v>0</v>
      </c>
      <c r="AC1204" s="5">
        <v>0</v>
      </c>
      <c r="AD1204" s="6">
        <v>0</v>
      </c>
      <c r="AE1204" s="5">
        <v>0</v>
      </c>
      <c r="AF1204" s="6">
        <v>0</v>
      </c>
      <c r="AG1204" s="5">
        <v>0</v>
      </c>
      <c r="AH1204" s="7">
        <f t="shared" si="144"/>
        <v>356.12484270955679</v>
      </c>
      <c r="AI1204" s="8">
        <f t="shared" si="145"/>
        <v>2884.6112259474098</v>
      </c>
      <c r="AJ1204" s="6">
        <v>0</v>
      </c>
      <c r="AK1204" s="5">
        <v>0</v>
      </c>
      <c r="AL1204" s="6">
        <v>0</v>
      </c>
      <c r="AM1204" s="5">
        <v>0</v>
      </c>
      <c r="AN1204" s="6">
        <v>0</v>
      </c>
      <c r="AO1204" s="5">
        <v>0</v>
      </c>
      <c r="AP1204" s="6">
        <v>0</v>
      </c>
      <c r="AQ1204" s="5">
        <v>0</v>
      </c>
      <c r="AR1204" s="6">
        <v>0</v>
      </c>
      <c r="AS1204" s="5">
        <v>0</v>
      </c>
      <c r="AT1204" s="6">
        <v>0</v>
      </c>
      <c r="AU1204" s="5">
        <v>0</v>
      </c>
      <c r="AV1204" s="6">
        <v>0</v>
      </c>
      <c r="AW1204" s="5">
        <v>0</v>
      </c>
      <c r="AX1204" s="6">
        <v>449</v>
      </c>
      <c r="AY1204" s="5">
        <v>3791.0228747822348</v>
      </c>
      <c r="AZ1204" s="6">
        <v>0</v>
      </c>
      <c r="BA1204" s="5">
        <v>0</v>
      </c>
      <c r="BB1204" s="6">
        <v>0</v>
      </c>
      <c r="BC1204" s="5">
        <v>0</v>
      </c>
      <c r="BD1204" s="6">
        <v>0</v>
      </c>
      <c r="BE1204" s="5">
        <v>0</v>
      </c>
      <c r="BF1204" s="6">
        <v>0</v>
      </c>
      <c r="BG1204" s="5">
        <v>0</v>
      </c>
      <c r="BH1204" s="9">
        <f t="shared" si="146"/>
        <v>449</v>
      </c>
      <c r="BI1204" s="10">
        <f t="shared" si="147"/>
        <v>3791.0228747822348</v>
      </c>
      <c r="BJ1204" s="6">
        <f t="shared" si="148"/>
        <v>92.875157290443212</v>
      </c>
      <c r="BK1204" s="11">
        <f t="shared" si="149"/>
        <v>0.26079381765059567</v>
      </c>
      <c r="BL1204" s="5">
        <f t="shared" si="150"/>
        <v>906.41164883482497</v>
      </c>
      <c r="BM1204" s="11">
        <f t="shared" si="151"/>
        <v>0.3142231579359977</v>
      </c>
    </row>
    <row r="1205" spans="1:65" ht="15" customHeight="1" x14ac:dyDescent="0.4">
      <c r="A1205" s="2" t="s">
        <v>775</v>
      </c>
      <c r="B1205" s="2" t="s">
        <v>865</v>
      </c>
      <c r="C1205" s="2" t="s">
        <v>866</v>
      </c>
      <c r="D1205" s="3" t="s">
        <v>68</v>
      </c>
      <c r="E1205" s="3" t="s">
        <v>904</v>
      </c>
      <c r="F1205" s="2" t="s">
        <v>535</v>
      </c>
      <c r="G1205" s="4">
        <v>1</v>
      </c>
      <c r="H1205" s="5">
        <v>12.83</v>
      </c>
      <c r="I1205" s="5">
        <v>13.373703836634521</v>
      </c>
      <c r="J1205" s="6">
        <v>0</v>
      </c>
      <c r="K1205" s="5">
        <v>0</v>
      </c>
      <c r="L1205" s="6">
        <v>35.612484270955683</v>
      </c>
      <c r="M1205" s="5">
        <v>456.9081731963613</v>
      </c>
      <c r="N1205" s="6">
        <v>0</v>
      </c>
      <c r="O1205" s="5">
        <v>0</v>
      </c>
      <c r="P1205" s="6">
        <v>0</v>
      </c>
      <c r="Q1205" s="5">
        <v>0</v>
      </c>
      <c r="R1205" s="6">
        <v>0</v>
      </c>
      <c r="S1205" s="5">
        <v>0</v>
      </c>
      <c r="T1205" s="6">
        <v>0</v>
      </c>
      <c r="U1205" s="5">
        <v>0</v>
      </c>
      <c r="V1205" s="6">
        <v>0</v>
      </c>
      <c r="W1205" s="5">
        <v>0</v>
      </c>
      <c r="X1205" s="6">
        <v>0</v>
      </c>
      <c r="Y1205" s="5">
        <v>0</v>
      </c>
      <c r="Z1205" s="6">
        <v>0</v>
      </c>
      <c r="AA1205" s="5">
        <v>0</v>
      </c>
      <c r="AB1205" s="6">
        <v>0</v>
      </c>
      <c r="AC1205" s="5">
        <v>0</v>
      </c>
      <c r="AD1205" s="6">
        <v>0</v>
      </c>
      <c r="AE1205" s="5">
        <v>0</v>
      </c>
      <c r="AF1205" s="6">
        <v>0</v>
      </c>
      <c r="AG1205" s="5">
        <v>0</v>
      </c>
      <c r="AH1205" s="7">
        <f t="shared" si="144"/>
        <v>35.612484270955683</v>
      </c>
      <c r="AI1205" s="8">
        <f t="shared" si="145"/>
        <v>456.9081731963613</v>
      </c>
      <c r="AJ1205" s="6">
        <v>0</v>
      </c>
      <c r="AK1205" s="5">
        <v>0</v>
      </c>
      <c r="AL1205" s="6">
        <v>39</v>
      </c>
      <c r="AM1205" s="5">
        <v>521.57444962874615</v>
      </c>
      <c r="AN1205" s="6">
        <v>0</v>
      </c>
      <c r="AO1205" s="5">
        <v>0</v>
      </c>
      <c r="AP1205" s="6">
        <v>0</v>
      </c>
      <c r="AQ1205" s="5">
        <v>0</v>
      </c>
      <c r="AR1205" s="6">
        <v>0</v>
      </c>
      <c r="AS1205" s="5">
        <v>0</v>
      </c>
      <c r="AT1205" s="6">
        <v>0</v>
      </c>
      <c r="AU1205" s="5">
        <v>0</v>
      </c>
      <c r="AV1205" s="6">
        <v>0</v>
      </c>
      <c r="AW1205" s="5">
        <v>0</v>
      </c>
      <c r="AX1205" s="6">
        <v>0</v>
      </c>
      <c r="AY1205" s="5">
        <v>0</v>
      </c>
      <c r="AZ1205" s="6">
        <v>0</v>
      </c>
      <c r="BA1205" s="5">
        <v>0</v>
      </c>
      <c r="BB1205" s="6">
        <v>0</v>
      </c>
      <c r="BC1205" s="5">
        <v>0</v>
      </c>
      <c r="BD1205" s="6">
        <v>0</v>
      </c>
      <c r="BE1205" s="5">
        <v>0</v>
      </c>
      <c r="BF1205" s="6">
        <v>0</v>
      </c>
      <c r="BG1205" s="5">
        <v>0</v>
      </c>
      <c r="BH1205" s="9">
        <f t="shared" si="146"/>
        <v>39</v>
      </c>
      <c r="BI1205" s="10">
        <f t="shared" si="147"/>
        <v>521.57444962874615</v>
      </c>
      <c r="BJ1205" s="6">
        <f t="shared" si="148"/>
        <v>3.387515729044317</v>
      </c>
      <c r="BK1205" s="11">
        <f t="shared" si="149"/>
        <v>9.5121578805639748E-2</v>
      </c>
      <c r="BL1205" s="5">
        <f t="shared" si="150"/>
        <v>64.666276432384848</v>
      </c>
      <c r="BM1205" s="11">
        <f t="shared" si="151"/>
        <v>0.14153013718271529</v>
      </c>
    </row>
    <row r="1206" spans="1:65" ht="15" customHeight="1" x14ac:dyDescent="0.4">
      <c r="A1206" s="2" t="s">
        <v>775</v>
      </c>
      <c r="B1206" s="2" t="s">
        <v>865</v>
      </c>
      <c r="C1206" s="2" t="s">
        <v>866</v>
      </c>
      <c r="D1206" s="3" t="s">
        <v>68</v>
      </c>
      <c r="E1206" s="3" t="s">
        <v>904</v>
      </c>
      <c r="F1206" s="2" t="s">
        <v>206</v>
      </c>
      <c r="G1206" s="4">
        <v>1</v>
      </c>
      <c r="H1206" s="5">
        <v>12.83</v>
      </c>
      <c r="I1206" s="5">
        <v>13.373703836634521</v>
      </c>
      <c r="J1206" s="6">
        <v>0</v>
      </c>
      <c r="K1206" s="5">
        <v>0</v>
      </c>
      <c r="L1206" s="6">
        <v>0</v>
      </c>
      <c r="M1206" s="5">
        <v>0</v>
      </c>
      <c r="N1206" s="6">
        <v>0</v>
      </c>
      <c r="O1206" s="5">
        <v>0</v>
      </c>
      <c r="P1206" s="6">
        <v>0</v>
      </c>
      <c r="Q1206" s="5">
        <v>0</v>
      </c>
      <c r="R1206" s="6">
        <v>0</v>
      </c>
      <c r="S1206" s="5">
        <v>0</v>
      </c>
      <c r="T1206" s="6">
        <v>0</v>
      </c>
      <c r="U1206" s="5">
        <v>0</v>
      </c>
      <c r="V1206" s="6">
        <v>0</v>
      </c>
      <c r="W1206" s="5">
        <v>0</v>
      </c>
      <c r="X1206" s="6">
        <v>237.41656180637119</v>
      </c>
      <c r="Y1206" s="5">
        <v>3046.0544879757422</v>
      </c>
      <c r="Z1206" s="6">
        <v>0</v>
      </c>
      <c r="AA1206" s="5">
        <v>0</v>
      </c>
      <c r="AB1206" s="6">
        <v>0</v>
      </c>
      <c r="AC1206" s="5">
        <v>0</v>
      </c>
      <c r="AD1206" s="6">
        <v>0</v>
      </c>
      <c r="AE1206" s="5">
        <v>0</v>
      </c>
      <c r="AF1206" s="6">
        <v>0</v>
      </c>
      <c r="AG1206" s="5">
        <v>0</v>
      </c>
      <c r="AH1206" s="7">
        <f t="shared" si="144"/>
        <v>237.41656180637119</v>
      </c>
      <c r="AI1206" s="8">
        <f t="shared" si="145"/>
        <v>3046.0544879757422</v>
      </c>
      <c r="AJ1206" s="6">
        <v>0</v>
      </c>
      <c r="AK1206" s="5">
        <v>0</v>
      </c>
      <c r="AL1206" s="6">
        <v>0</v>
      </c>
      <c r="AM1206" s="5">
        <v>0</v>
      </c>
      <c r="AN1206" s="6">
        <v>0</v>
      </c>
      <c r="AO1206" s="5">
        <v>0</v>
      </c>
      <c r="AP1206" s="6">
        <v>0</v>
      </c>
      <c r="AQ1206" s="5">
        <v>0</v>
      </c>
      <c r="AR1206" s="6">
        <v>0</v>
      </c>
      <c r="AS1206" s="5">
        <v>0</v>
      </c>
      <c r="AT1206" s="6">
        <v>0</v>
      </c>
      <c r="AU1206" s="5">
        <v>0</v>
      </c>
      <c r="AV1206" s="6">
        <v>0</v>
      </c>
      <c r="AW1206" s="5">
        <v>0</v>
      </c>
      <c r="AX1206" s="6">
        <v>262</v>
      </c>
      <c r="AY1206" s="5">
        <v>3503.910405198244</v>
      </c>
      <c r="AZ1206" s="6">
        <v>0</v>
      </c>
      <c r="BA1206" s="5">
        <v>0</v>
      </c>
      <c r="BB1206" s="6">
        <v>0</v>
      </c>
      <c r="BC1206" s="5">
        <v>0</v>
      </c>
      <c r="BD1206" s="6">
        <v>0</v>
      </c>
      <c r="BE1206" s="5">
        <v>0</v>
      </c>
      <c r="BF1206" s="6">
        <v>0</v>
      </c>
      <c r="BG1206" s="5">
        <v>0</v>
      </c>
      <c r="BH1206" s="9">
        <f t="shared" si="146"/>
        <v>262</v>
      </c>
      <c r="BI1206" s="10">
        <f t="shared" si="147"/>
        <v>3503.910405198244</v>
      </c>
      <c r="BJ1206" s="6">
        <f t="shared" si="148"/>
        <v>24.583438193628808</v>
      </c>
      <c r="BK1206" s="11">
        <f t="shared" si="149"/>
        <v>0.10354559095029865</v>
      </c>
      <c r="BL1206" s="5">
        <f t="shared" si="150"/>
        <v>457.85591722250183</v>
      </c>
      <c r="BM1206" s="11">
        <f t="shared" si="151"/>
        <v>0.15031113823796707</v>
      </c>
    </row>
    <row r="1207" spans="1:65" ht="15" customHeight="1" x14ac:dyDescent="0.4">
      <c r="A1207" s="2" t="s">
        <v>775</v>
      </c>
      <c r="B1207" s="2" t="s">
        <v>865</v>
      </c>
      <c r="C1207" s="2" t="s">
        <v>866</v>
      </c>
      <c r="D1207" s="3" t="s">
        <v>68</v>
      </c>
      <c r="E1207" s="3" t="s">
        <v>904</v>
      </c>
      <c r="F1207" s="2" t="s">
        <v>312</v>
      </c>
      <c r="G1207" s="4">
        <v>1</v>
      </c>
      <c r="H1207" s="5">
        <v>12.83</v>
      </c>
      <c r="I1207" s="5">
        <v>13.373703836634521</v>
      </c>
      <c r="J1207" s="6">
        <v>0</v>
      </c>
      <c r="K1207" s="5">
        <v>0</v>
      </c>
      <c r="L1207" s="6">
        <v>0</v>
      </c>
      <c r="M1207" s="5">
        <v>0</v>
      </c>
      <c r="N1207" s="6">
        <v>0</v>
      </c>
      <c r="O1207" s="5">
        <v>0</v>
      </c>
      <c r="P1207" s="6">
        <v>0</v>
      </c>
      <c r="Q1207" s="5">
        <v>0</v>
      </c>
      <c r="R1207" s="6">
        <v>0</v>
      </c>
      <c r="S1207" s="5">
        <v>0</v>
      </c>
      <c r="T1207" s="6">
        <v>0</v>
      </c>
      <c r="U1207" s="5">
        <v>0</v>
      </c>
      <c r="V1207" s="6">
        <v>0</v>
      </c>
      <c r="W1207" s="5">
        <v>0</v>
      </c>
      <c r="X1207" s="6">
        <v>0</v>
      </c>
      <c r="Y1207" s="5">
        <v>0</v>
      </c>
      <c r="Z1207" s="6">
        <v>0</v>
      </c>
      <c r="AA1207" s="5">
        <v>0</v>
      </c>
      <c r="AB1207" s="6">
        <v>0</v>
      </c>
      <c r="AC1207" s="5">
        <v>0</v>
      </c>
      <c r="AD1207" s="6">
        <v>341.27861014742018</v>
      </c>
      <c r="AE1207" s="5">
        <v>4378.6045681914011</v>
      </c>
      <c r="AF1207" s="6">
        <v>0</v>
      </c>
      <c r="AG1207" s="5">
        <v>0</v>
      </c>
      <c r="AH1207" s="7">
        <f t="shared" si="144"/>
        <v>341.27861014742018</v>
      </c>
      <c r="AI1207" s="8">
        <f t="shared" si="145"/>
        <v>4378.6045681914011</v>
      </c>
      <c r="AJ1207" s="6">
        <v>0</v>
      </c>
      <c r="AK1207" s="5">
        <v>0</v>
      </c>
      <c r="AL1207" s="6">
        <v>0</v>
      </c>
      <c r="AM1207" s="5">
        <v>0</v>
      </c>
      <c r="AN1207" s="6">
        <v>0</v>
      </c>
      <c r="AO1207" s="5">
        <v>0</v>
      </c>
      <c r="AP1207" s="6">
        <v>0</v>
      </c>
      <c r="AQ1207" s="5">
        <v>0</v>
      </c>
      <c r="AR1207" s="6">
        <v>0</v>
      </c>
      <c r="AS1207" s="5">
        <v>0</v>
      </c>
      <c r="AT1207" s="6">
        <v>0</v>
      </c>
      <c r="AU1207" s="5">
        <v>0</v>
      </c>
      <c r="AV1207" s="6">
        <v>0</v>
      </c>
      <c r="AW1207" s="5">
        <v>0</v>
      </c>
      <c r="AX1207" s="6">
        <v>0</v>
      </c>
      <c r="AY1207" s="5">
        <v>0</v>
      </c>
      <c r="AZ1207" s="6">
        <v>0</v>
      </c>
      <c r="BA1207" s="5">
        <v>0</v>
      </c>
      <c r="BB1207" s="6">
        <v>0</v>
      </c>
      <c r="BC1207" s="5">
        <v>0</v>
      </c>
      <c r="BD1207" s="6">
        <v>376</v>
      </c>
      <c r="BE1207" s="5">
        <v>5028.5126425745784</v>
      </c>
      <c r="BF1207" s="6">
        <v>0</v>
      </c>
      <c r="BG1207" s="5">
        <v>0</v>
      </c>
      <c r="BH1207" s="9">
        <f t="shared" si="146"/>
        <v>376</v>
      </c>
      <c r="BI1207" s="10">
        <f t="shared" si="147"/>
        <v>5028.5126425745784</v>
      </c>
      <c r="BJ1207" s="6">
        <f t="shared" si="148"/>
        <v>34.721389852579819</v>
      </c>
      <c r="BK1207" s="11">
        <f t="shared" si="149"/>
        <v>0.10173913283806862</v>
      </c>
      <c r="BL1207" s="5">
        <f t="shared" si="150"/>
        <v>649.90807438317734</v>
      </c>
      <c r="BM1207" s="11">
        <f t="shared" si="151"/>
        <v>0.14842812687504783</v>
      </c>
    </row>
    <row r="1208" spans="1:65" ht="15" customHeight="1" x14ac:dyDescent="0.4">
      <c r="A1208" s="2" t="s">
        <v>775</v>
      </c>
      <c r="B1208" s="2" t="s">
        <v>865</v>
      </c>
      <c r="C1208" s="2" t="s">
        <v>866</v>
      </c>
      <c r="D1208" s="3" t="s">
        <v>68</v>
      </c>
      <c r="E1208" s="3" t="s">
        <v>905</v>
      </c>
      <c r="F1208" s="2" t="s">
        <v>906</v>
      </c>
      <c r="G1208" s="4">
        <v>1</v>
      </c>
      <c r="H1208" s="5">
        <v>4.5299999999999994</v>
      </c>
      <c r="I1208" s="5">
        <v>4.7219702556472614</v>
      </c>
      <c r="J1208" s="6">
        <v>0</v>
      </c>
      <c r="K1208" s="5">
        <v>0</v>
      </c>
      <c r="L1208" s="6">
        <v>189.93324944509689</v>
      </c>
      <c r="M1208" s="5">
        <v>860.3976199862891</v>
      </c>
      <c r="N1208" s="6">
        <v>0</v>
      </c>
      <c r="O1208" s="5">
        <v>0</v>
      </c>
      <c r="P1208" s="6">
        <v>0</v>
      </c>
      <c r="Q1208" s="5">
        <v>0</v>
      </c>
      <c r="R1208" s="6">
        <v>0</v>
      </c>
      <c r="S1208" s="5">
        <v>0</v>
      </c>
      <c r="T1208" s="6">
        <v>0</v>
      </c>
      <c r="U1208" s="5">
        <v>0</v>
      </c>
      <c r="V1208" s="6">
        <v>0</v>
      </c>
      <c r="W1208" s="5">
        <v>0</v>
      </c>
      <c r="X1208" s="6">
        <v>0</v>
      </c>
      <c r="Y1208" s="5">
        <v>0</v>
      </c>
      <c r="Z1208" s="6">
        <v>0</v>
      </c>
      <c r="AA1208" s="5">
        <v>0</v>
      </c>
      <c r="AB1208" s="6">
        <v>0</v>
      </c>
      <c r="AC1208" s="5">
        <v>0</v>
      </c>
      <c r="AD1208" s="6">
        <v>0</v>
      </c>
      <c r="AE1208" s="5">
        <v>0</v>
      </c>
      <c r="AF1208" s="6">
        <v>0</v>
      </c>
      <c r="AG1208" s="5">
        <v>0</v>
      </c>
      <c r="AH1208" s="7">
        <f t="shared" si="144"/>
        <v>189.93324944509689</v>
      </c>
      <c r="AI1208" s="8">
        <f t="shared" si="145"/>
        <v>860.3976199862891</v>
      </c>
      <c r="AJ1208" s="6">
        <v>0</v>
      </c>
      <c r="AK1208" s="5">
        <v>0</v>
      </c>
      <c r="AL1208" s="6">
        <v>209</v>
      </c>
      <c r="AM1208" s="5">
        <v>986.89178343027754</v>
      </c>
      <c r="AN1208" s="6">
        <v>0</v>
      </c>
      <c r="AO1208" s="5">
        <v>0</v>
      </c>
      <c r="AP1208" s="6">
        <v>0</v>
      </c>
      <c r="AQ1208" s="5">
        <v>0</v>
      </c>
      <c r="AR1208" s="6">
        <v>0</v>
      </c>
      <c r="AS1208" s="5">
        <v>0</v>
      </c>
      <c r="AT1208" s="6">
        <v>0</v>
      </c>
      <c r="AU1208" s="5">
        <v>0</v>
      </c>
      <c r="AV1208" s="6">
        <v>0</v>
      </c>
      <c r="AW1208" s="5">
        <v>0</v>
      </c>
      <c r="AX1208" s="6">
        <v>0</v>
      </c>
      <c r="AY1208" s="5">
        <v>0</v>
      </c>
      <c r="AZ1208" s="6">
        <v>0</v>
      </c>
      <c r="BA1208" s="5">
        <v>0</v>
      </c>
      <c r="BB1208" s="6">
        <v>0</v>
      </c>
      <c r="BC1208" s="5">
        <v>0</v>
      </c>
      <c r="BD1208" s="6">
        <v>0</v>
      </c>
      <c r="BE1208" s="5">
        <v>0</v>
      </c>
      <c r="BF1208" s="6">
        <v>0</v>
      </c>
      <c r="BG1208" s="5">
        <v>0</v>
      </c>
      <c r="BH1208" s="9">
        <f t="shared" si="146"/>
        <v>209</v>
      </c>
      <c r="BI1208" s="10">
        <f t="shared" si="147"/>
        <v>986.89178343027754</v>
      </c>
      <c r="BJ1208" s="6">
        <f t="shared" si="148"/>
        <v>19.066750554903109</v>
      </c>
      <c r="BK1208" s="11">
        <f t="shared" si="149"/>
        <v>0.10038658639605197</v>
      </c>
      <c r="BL1208" s="5">
        <f t="shared" si="150"/>
        <v>126.49416344398844</v>
      </c>
      <c r="BM1208" s="11">
        <f t="shared" si="151"/>
        <v>0.1470182628422475</v>
      </c>
    </row>
    <row r="1209" spans="1:65" ht="15" customHeight="1" x14ac:dyDescent="0.4">
      <c r="A1209" s="2" t="s">
        <v>775</v>
      </c>
      <c r="B1209" s="2" t="s">
        <v>865</v>
      </c>
      <c r="C1209" s="2" t="s">
        <v>866</v>
      </c>
      <c r="D1209" s="3" t="s">
        <v>68</v>
      </c>
      <c r="E1209" s="3" t="s">
        <v>905</v>
      </c>
      <c r="F1209" s="2" t="s">
        <v>907</v>
      </c>
      <c r="G1209" s="4">
        <v>1</v>
      </c>
      <c r="H1209" s="5">
        <v>4.53</v>
      </c>
      <c r="I1209" s="5">
        <v>4.7219702556472622</v>
      </c>
      <c r="J1209" s="6">
        <v>0</v>
      </c>
      <c r="K1209" s="5">
        <v>0</v>
      </c>
      <c r="L1209" s="6">
        <v>0</v>
      </c>
      <c r="M1209" s="5">
        <v>0</v>
      </c>
      <c r="N1209" s="6">
        <v>0</v>
      </c>
      <c r="O1209" s="5">
        <v>0</v>
      </c>
      <c r="P1209" s="6">
        <v>0</v>
      </c>
      <c r="Q1209" s="5">
        <v>0</v>
      </c>
      <c r="R1209" s="6">
        <v>0</v>
      </c>
      <c r="S1209" s="5">
        <v>0</v>
      </c>
      <c r="T1209" s="6">
        <v>0</v>
      </c>
      <c r="U1209" s="5">
        <v>0</v>
      </c>
      <c r="V1209" s="6">
        <v>0</v>
      </c>
      <c r="W1209" s="5">
        <v>0</v>
      </c>
      <c r="X1209" s="6">
        <v>0</v>
      </c>
      <c r="Y1209" s="5">
        <v>0</v>
      </c>
      <c r="Z1209" s="6">
        <v>0</v>
      </c>
      <c r="AA1209" s="5">
        <v>0</v>
      </c>
      <c r="AB1209" s="6">
        <v>0</v>
      </c>
      <c r="AC1209" s="5">
        <v>0</v>
      </c>
      <c r="AD1209" s="6">
        <v>606.7175291509692</v>
      </c>
      <c r="AE1209" s="5">
        <v>2748.430407053891</v>
      </c>
      <c r="AF1209" s="6">
        <v>0</v>
      </c>
      <c r="AG1209" s="5">
        <v>0</v>
      </c>
      <c r="AH1209" s="7">
        <f t="shared" si="144"/>
        <v>606.7175291509692</v>
      </c>
      <c r="AI1209" s="8">
        <f t="shared" si="145"/>
        <v>2748.430407053891</v>
      </c>
      <c r="AJ1209" s="6">
        <v>0</v>
      </c>
      <c r="AK1209" s="5">
        <v>0</v>
      </c>
      <c r="AL1209" s="6">
        <v>0</v>
      </c>
      <c r="AM1209" s="5">
        <v>0</v>
      </c>
      <c r="AN1209" s="6">
        <v>0</v>
      </c>
      <c r="AO1209" s="5">
        <v>0</v>
      </c>
      <c r="AP1209" s="6">
        <v>0</v>
      </c>
      <c r="AQ1209" s="5">
        <v>0</v>
      </c>
      <c r="AR1209" s="6">
        <v>0</v>
      </c>
      <c r="AS1209" s="5">
        <v>0</v>
      </c>
      <c r="AT1209" s="6">
        <v>0</v>
      </c>
      <c r="AU1209" s="5">
        <v>0</v>
      </c>
      <c r="AV1209" s="6">
        <v>0</v>
      </c>
      <c r="AW1209" s="5">
        <v>0</v>
      </c>
      <c r="AX1209" s="6">
        <v>0</v>
      </c>
      <c r="AY1209" s="5">
        <v>0</v>
      </c>
      <c r="AZ1209" s="6">
        <v>0</v>
      </c>
      <c r="BA1209" s="5">
        <v>0</v>
      </c>
      <c r="BB1209" s="6">
        <v>0</v>
      </c>
      <c r="BC1209" s="5">
        <v>0</v>
      </c>
      <c r="BD1209" s="6">
        <v>669</v>
      </c>
      <c r="BE1209" s="5">
        <v>3158.998101028018</v>
      </c>
      <c r="BF1209" s="6">
        <v>0</v>
      </c>
      <c r="BG1209" s="5">
        <v>0</v>
      </c>
      <c r="BH1209" s="9">
        <f t="shared" si="146"/>
        <v>669</v>
      </c>
      <c r="BI1209" s="10">
        <f t="shared" si="147"/>
        <v>3158.998101028018</v>
      </c>
      <c r="BJ1209" s="6">
        <f t="shared" si="148"/>
        <v>62.282470849030801</v>
      </c>
      <c r="BK1209" s="11">
        <f t="shared" si="149"/>
        <v>0.10265480698437689</v>
      </c>
      <c r="BL1209" s="5">
        <f t="shared" si="150"/>
        <v>410.567693974127</v>
      </c>
      <c r="BM1209" s="11">
        <f t="shared" si="151"/>
        <v>0.14938260503900641</v>
      </c>
    </row>
    <row r="1210" spans="1:65" ht="15" customHeight="1" x14ac:dyDescent="0.4">
      <c r="A1210" s="2" t="s">
        <v>775</v>
      </c>
      <c r="B1210" s="2" t="s">
        <v>865</v>
      </c>
      <c r="C1210" s="2" t="s">
        <v>866</v>
      </c>
      <c r="D1210" s="3" t="s">
        <v>68</v>
      </c>
      <c r="E1210" s="3" t="s">
        <v>908</v>
      </c>
      <c r="F1210" s="2" t="s">
        <v>909</v>
      </c>
      <c r="G1210" s="4">
        <v>1</v>
      </c>
      <c r="H1210" s="5">
        <v>5.870000000000001</v>
      </c>
      <c r="I1210" s="5">
        <v>6.1206754677911261</v>
      </c>
      <c r="J1210" s="6">
        <v>0</v>
      </c>
      <c r="K1210" s="5">
        <v>0</v>
      </c>
      <c r="L1210" s="6">
        <v>2920.2237102183649</v>
      </c>
      <c r="M1210" s="5">
        <v>17141.713178981809</v>
      </c>
      <c r="N1210" s="6">
        <v>0</v>
      </c>
      <c r="O1210" s="5">
        <v>0</v>
      </c>
      <c r="P1210" s="6">
        <v>0</v>
      </c>
      <c r="Q1210" s="5">
        <v>0</v>
      </c>
      <c r="R1210" s="6">
        <v>0</v>
      </c>
      <c r="S1210" s="5">
        <v>0</v>
      </c>
      <c r="T1210" s="6">
        <v>0</v>
      </c>
      <c r="U1210" s="5">
        <v>0</v>
      </c>
      <c r="V1210" s="6">
        <v>0</v>
      </c>
      <c r="W1210" s="5">
        <v>0</v>
      </c>
      <c r="X1210" s="6">
        <v>0</v>
      </c>
      <c r="Y1210" s="5">
        <v>0</v>
      </c>
      <c r="Z1210" s="6">
        <v>0</v>
      </c>
      <c r="AA1210" s="5">
        <v>0</v>
      </c>
      <c r="AB1210" s="6">
        <v>0</v>
      </c>
      <c r="AC1210" s="5">
        <v>0</v>
      </c>
      <c r="AD1210" s="6">
        <v>0</v>
      </c>
      <c r="AE1210" s="5">
        <v>0</v>
      </c>
      <c r="AF1210" s="6">
        <v>0</v>
      </c>
      <c r="AG1210" s="5">
        <v>0</v>
      </c>
      <c r="AH1210" s="7">
        <f t="shared" si="144"/>
        <v>2920.2237102183649</v>
      </c>
      <c r="AI1210" s="8">
        <f t="shared" si="145"/>
        <v>17141.713178981809</v>
      </c>
      <c r="AJ1210" s="6">
        <v>0</v>
      </c>
      <c r="AK1210" s="5">
        <v>0</v>
      </c>
      <c r="AL1210" s="6">
        <v>3188</v>
      </c>
      <c r="AM1210" s="5">
        <v>19512.71339131811</v>
      </c>
      <c r="AN1210" s="6">
        <v>0</v>
      </c>
      <c r="AO1210" s="5">
        <v>0</v>
      </c>
      <c r="AP1210" s="6">
        <v>0</v>
      </c>
      <c r="AQ1210" s="5">
        <v>0</v>
      </c>
      <c r="AR1210" s="6">
        <v>0</v>
      </c>
      <c r="AS1210" s="5">
        <v>0</v>
      </c>
      <c r="AT1210" s="6">
        <v>0</v>
      </c>
      <c r="AU1210" s="5">
        <v>0</v>
      </c>
      <c r="AV1210" s="6">
        <v>0</v>
      </c>
      <c r="AW1210" s="5">
        <v>0</v>
      </c>
      <c r="AX1210" s="6">
        <v>0</v>
      </c>
      <c r="AY1210" s="5">
        <v>0</v>
      </c>
      <c r="AZ1210" s="6">
        <v>0</v>
      </c>
      <c r="BA1210" s="5">
        <v>0</v>
      </c>
      <c r="BB1210" s="6">
        <v>0</v>
      </c>
      <c r="BC1210" s="5">
        <v>0</v>
      </c>
      <c r="BD1210" s="6">
        <v>0</v>
      </c>
      <c r="BE1210" s="5">
        <v>0</v>
      </c>
      <c r="BF1210" s="6">
        <v>0</v>
      </c>
      <c r="BG1210" s="5">
        <v>0</v>
      </c>
      <c r="BH1210" s="9">
        <f t="shared" si="146"/>
        <v>3188</v>
      </c>
      <c r="BI1210" s="10">
        <f t="shared" si="147"/>
        <v>19512.71339131811</v>
      </c>
      <c r="BJ1210" s="6">
        <f t="shared" si="148"/>
        <v>267.77628978163511</v>
      </c>
      <c r="BK1210" s="11">
        <f t="shared" si="149"/>
        <v>9.1697183624884576E-2</v>
      </c>
      <c r="BL1210" s="5">
        <f t="shared" si="150"/>
        <v>2371.000212336301</v>
      </c>
      <c r="BM1210" s="11">
        <f t="shared" si="151"/>
        <v>0.1383175758210379</v>
      </c>
    </row>
    <row r="1211" spans="1:65" ht="15" customHeight="1" x14ac:dyDescent="0.4">
      <c r="A1211" s="2" t="s">
        <v>775</v>
      </c>
      <c r="B1211" s="2" t="s">
        <v>865</v>
      </c>
      <c r="C1211" s="2" t="s">
        <v>866</v>
      </c>
      <c r="D1211" s="3" t="s">
        <v>68</v>
      </c>
      <c r="E1211" s="3" t="s">
        <v>908</v>
      </c>
      <c r="F1211" s="2" t="s">
        <v>910</v>
      </c>
      <c r="G1211" s="4">
        <v>1</v>
      </c>
      <c r="H1211" s="5">
        <v>5.870000000000001</v>
      </c>
      <c r="I1211" s="5">
        <v>6.1187561590837598</v>
      </c>
      <c r="J1211" s="6">
        <v>0</v>
      </c>
      <c r="K1211" s="5">
        <v>0</v>
      </c>
      <c r="L1211" s="6">
        <v>0</v>
      </c>
      <c r="M1211" s="5">
        <v>0</v>
      </c>
      <c r="N1211" s="6">
        <v>0</v>
      </c>
      <c r="O1211" s="5">
        <v>0</v>
      </c>
      <c r="P1211" s="6">
        <v>0</v>
      </c>
      <c r="Q1211" s="5">
        <v>0</v>
      </c>
      <c r="R1211" s="6">
        <v>0</v>
      </c>
      <c r="S1211" s="5">
        <v>0</v>
      </c>
      <c r="T1211" s="6">
        <v>0</v>
      </c>
      <c r="U1211" s="5">
        <v>0</v>
      </c>
      <c r="V1211" s="6">
        <v>0</v>
      </c>
      <c r="W1211" s="5">
        <v>0</v>
      </c>
      <c r="X1211" s="6">
        <v>1341.4035742059971</v>
      </c>
      <c r="Y1211" s="5">
        <v>7874.0389805892037</v>
      </c>
      <c r="Z1211" s="6">
        <v>0</v>
      </c>
      <c r="AA1211" s="5">
        <v>0</v>
      </c>
      <c r="AB1211" s="6">
        <v>0</v>
      </c>
      <c r="AC1211" s="5">
        <v>0</v>
      </c>
      <c r="AD1211" s="6">
        <v>0</v>
      </c>
      <c r="AE1211" s="5">
        <v>0</v>
      </c>
      <c r="AF1211" s="6">
        <v>0</v>
      </c>
      <c r="AG1211" s="5">
        <v>0</v>
      </c>
      <c r="AH1211" s="7">
        <f t="shared" si="144"/>
        <v>1341.4035742059971</v>
      </c>
      <c r="AI1211" s="8">
        <f t="shared" si="145"/>
        <v>7874.0389805892037</v>
      </c>
      <c r="AJ1211" s="6">
        <v>0</v>
      </c>
      <c r="AK1211" s="5">
        <v>0</v>
      </c>
      <c r="AL1211" s="6">
        <v>0</v>
      </c>
      <c r="AM1211" s="5">
        <v>0</v>
      </c>
      <c r="AN1211" s="6">
        <v>0</v>
      </c>
      <c r="AO1211" s="5">
        <v>0</v>
      </c>
      <c r="AP1211" s="6">
        <v>0</v>
      </c>
      <c r="AQ1211" s="5">
        <v>0</v>
      </c>
      <c r="AR1211" s="6">
        <v>0</v>
      </c>
      <c r="AS1211" s="5">
        <v>0</v>
      </c>
      <c r="AT1211" s="6">
        <v>0</v>
      </c>
      <c r="AU1211" s="5">
        <v>0</v>
      </c>
      <c r="AV1211" s="6">
        <v>0</v>
      </c>
      <c r="AW1211" s="5">
        <v>0</v>
      </c>
      <c r="AX1211" s="6">
        <v>1465</v>
      </c>
      <c r="AY1211" s="5">
        <v>8963.977773057708</v>
      </c>
      <c r="AZ1211" s="6">
        <v>0</v>
      </c>
      <c r="BA1211" s="5">
        <v>0</v>
      </c>
      <c r="BB1211" s="6">
        <v>0</v>
      </c>
      <c r="BC1211" s="5">
        <v>0</v>
      </c>
      <c r="BD1211" s="6">
        <v>0</v>
      </c>
      <c r="BE1211" s="5">
        <v>0</v>
      </c>
      <c r="BF1211" s="6">
        <v>0</v>
      </c>
      <c r="BG1211" s="5">
        <v>0</v>
      </c>
      <c r="BH1211" s="9">
        <f t="shared" si="146"/>
        <v>1465</v>
      </c>
      <c r="BI1211" s="10">
        <f t="shared" si="147"/>
        <v>8963.977773057708</v>
      </c>
      <c r="BJ1211" s="6">
        <f t="shared" si="148"/>
        <v>123.59642579400293</v>
      </c>
      <c r="BK1211" s="11">
        <f t="shared" si="149"/>
        <v>9.2139627603990887E-2</v>
      </c>
      <c r="BL1211" s="5">
        <f t="shared" si="150"/>
        <v>1089.9387924685043</v>
      </c>
      <c r="BM1211" s="11">
        <f t="shared" si="151"/>
        <v>0.1384218182251043</v>
      </c>
    </row>
    <row r="1212" spans="1:65" ht="15" customHeight="1" x14ac:dyDescent="0.4">
      <c r="A1212" s="2" t="s">
        <v>775</v>
      </c>
      <c r="B1212" s="2" t="s">
        <v>865</v>
      </c>
      <c r="C1212" s="2" t="s">
        <v>866</v>
      </c>
      <c r="D1212" s="3" t="s">
        <v>68</v>
      </c>
      <c r="E1212" s="3" t="s">
        <v>908</v>
      </c>
      <c r="F1212" s="2" t="s">
        <v>911</v>
      </c>
      <c r="G1212" s="4">
        <v>1</v>
      </c>
      <c r="H1212" s="5">
        <v>5.87</v>
      </c>
      <c r="I1212" s="5">
        <v>6.1187561590837598</v>
      </c>
      <c r="J1212" s="6">
        <v>0</v>
      </c>
      <c r="K1212" s="5">
        <v>0</v>
      </c>
      <c r="L1212" s="6">
        <v>0</v>
      </c>
      <c r="M1212" s="5">
        <v>0</v>
      </c>
      <c r="N1212" s="6">
        <v>0</v>
      </c>
      <c r="O1212" s="5">
        <v>0</v>
      </c>
      <c r="P1212" s="6">
        <v>0</v>
      </c>
      <c r="Q1212" s="5">
        <v>0</v>
      </c>
      <c r="R1212" s="6">
        <v>0</v>
      </c>
      <c r="S1212" s="5">
        <v>0</v>
      </c>
      <c r="T1212" s="6">
        <v>0</v>
      </c>
      <c r="U1212" s="5">
        <v>0</v>
      </c>
      <c r="V1212" s="6">
        <v>0</v>
      </c>
      <c r="W1212" s="5">
        <v>0</v>
      </c>
      <c r="X1212" s="6">
        <v>0</v>
      </c>
      <c r="Y1212" s="5">
        <v>0</v>
      </c>
      <c r="Z1212" s="6">
        <v>0</v>
      </c>
      <c r="AA1212" s="5">
        <v>0</v>
      </c>
      <c r="AB1212" s="6">
        <v>0</v>
      </c>
      <c r="AC1212" s="5">
        <v>0</v>
      </c>
      <c r="AD1212" s="6">
        <v>1895.992278596779</v>
      </c>
      <c r="AE1212" s="5">
        <v>11129.47467536309</v>
      </c>
      <c r="AF1212" s="6">
        <v>0</v>
      </c>
      <c r="AG1212" s="5">
        <v>0</v>
      </c>
      <c r="AH1212" s="7">
        <f t="shared" si="144"/>
        <v>1895.992278596779</v>
      </c>
      <c r="AI1212" s="8">
        <f t="shared" si="145"/>
        <v>11129.47467536309</v>
      </c>
      <c r="AJ1212" s="6">
        <v>0</v>
      </c>
      <c r="AK1212" s="5">
        <v>0</v>
      </c>
      <c r="AL1212" s="6">
        <v>0</v>
      </c>
      <c r="AM1212" s="5">
        <v>0</v>
      </c>
      <c r="AN1212" s="6">
        <v>0</v>
      </c>
      <c r="AO1212" s="5">
        <v>0</v>
      </c>
      <c r="AP1212" s="6">
        <v>0</v>
      </c>
      <c r="AQ1212" s="5">
        <v>0</v>
      </c>
      <c r="AR1212" s="6">
        <v>0</v>
      </c>
      <c r="AS1212" s="5">
        <v>0</v>
      </c>
      <c r="AT1212" s="6">
        <v>0</v>
      </c>
      <c r="AU1212" s="5">
        <v>0</v>
      </c>
      <c r="AV1212" s="6">
        <v>0</v>
      </c>
      <c r="AW1212" s="5">
        <v>0</v>
      </c>
      <c r="AX1212" s="6">
        <v>0</v>
      </c>
      <c r="AY1212" s="5">
        <v>0</v>
      </c>
      <c r="AZ1212" s="6">
        <v>0</v>
      </c>
      <c r="BA1212" s="5">
        <v>0</v>
      </c>
      <c r="BB1212" s="6">
        <v>0</v>
      </c>
      <c r="BC1212" s="5">
        <v>0</v>
      </c>
      <c r="BD1212" s="6">
        <v>2070</v>
      </c>
      <c r="BE1212" s="5">
        <v>12665.82524930338</v>
      </c>
      <c r="BF1212" s="6">
        <v>0</v>
      </c>
      <c r="BG1212" s="5">
        <v>0</v>
      </c>
      <c r="BH1212" s="9">
        <f t="shared" si="146"/>
        <v>2070</v>
      </c>
      <c r="BI1212" s="10">
        <f t="shared" si="147"/>
        <v>12665.82524930338</v>
      </c>
      <c r="BJ1212" s="6">
        <f t="shared" si="148"/>
        <v>174.00772140322101</v>
      </c>
      <c r="BK1212" s="11">
        <f t="shared" si="149"/>
        <v>9.1776598126234912E-2</v>
      </c>
      <c r="BL1212" s="5">
        <f t="shared" si="150"/>
        <v>1536.3505739402899</v>
      </c>
      <c r="BM1212" s="11">
        <f t="shared" si="151"/>
        <v>0.13804340445117799</v>
      </c>
    </row>
    <row r="1213" spans="1:65" ht="15" customHeight="1" x14ac:dyDescent="0.4">
      <c r="A1213" s="2" t="s">
        <v>775</v>
      </c>
      <c r="B1213" s="2" t="s">
        <v>912</v>
      </c>
      <c r="C1213" s="2" t="s">
        <v>913</v>
      </c>
      <c r="D1213" s="3" t="s">
        <v>101</v>
      </c>
      <c r="E1213" s="3" t="s">
        <v>914</v>
      </c>
      <c r="F1213" s="2" t="s">
        <v>461</v>
      </c>
      <c r="G1213" s="4">
        <v>1</v>
      </c>
      <c r="H1213" s="5">
        <v>0</v>
      </c>
      <c r="I1213" s="5">
        <v>0</v>
      </c>
      <c r="J1213" s="6">
        <v>0</v>
      </c>
      <c r="K1213" s="5">
        <v>0</v>
      </c>
      <c r="L1213" s="6">
        <v>0</v>
      </c>
      <c r="M1213" s="5">
        <v>0</v>
      </c>
      <c r="N1213" s="6">
        <v>0</v>
      </c>
      <c r="O1213" s="5">
        <v>0</v>
      </c>
      <c r="P1213" s="6">
        <v>0</v>
      </c>
      <c r="Q1213" s="5">
        <v>0</v>
      </c>
      <c r="R1213" s="6">
        <v>0</v>
      </c>
      <c r="S1213" s="5">
        <v>0</v>
      </c>
      <c r="T1213" s="6">
        <v>3.9569426967728529</v>
      </c>
      <c r="U1213" s="5">
        <v>0</v>
      </c>
      <c r="V1213" s="6">
        <v>0</v>
      </c>
      <c r="W1213" s="5">
        <v>0</v>
      </c>
      <c r="X1213" s="6">
        <v>0</v>
      </c>
      <c r="Y1213" s="5">
        <v>0</v>
      </c>
      <c r="Z1213" s="6">
        <v>0</v>
      </c>
      <c r="AA1213" s="5">
        <v>0</v>
      </c>
      <c r="AB1213" s="6">
        <v>0</v>
      </c>
      <c r="AC1213" s="5">
        <v>0</v>
      </c>
      <c r="AD1213" s="6">
        <v>0</v>
      </c>
      <c r="AE1213" s="5">
        <v>0</v>
      </c>
      <c r="AF1213" s="6">
        <v>0</v>
      </c>
      <c r="AG1213" s="5">
        <v>0</v>
      </c>
      <c r="AH1213" s="7">
        <f t="shared" si="144"/>
        <v>3.9569426967728529</v>
      </c>
      <c r="AI1213" s="8">
        <f t="shared" si="145"/>
        <v>0</v>
      </c>
      <c r="AJ1213" s="6">
        <v>0</v>
      </c>
      <c r="AK1213" s="5">
        <v>0</v>
      </c>
      <c r="AL1213" s="6">
        <v>0</v>
      </c>
      <c r="AM1213" s="5">
        <v>0</v>
      </c>
      <c r="AN1213" s="6">
        <v>0</v>
      </c>
      <c r="AO1213" s="5">
        <v>0</v>
      </c>
      <c r="AP1213" s="6">
        <v>0</v>
      </c>
      <c r="AQ1213" s="5">
        <v>0</v>
      </c>
      <c r="AR1213" s="6">
        <v>0</v>
      </c>
      <c r="AS1213" s="5">
        <v>0</v>
      </c>
      <c r="AT1213" s="6">
        <v>4</v>
      </c>
      <c r="AU1213" s="5">
        <v>0</v>
      </c>
      <c r="AV1213" s="6">
        <v>0</v>
      </c>
      <c r="AW1213" s="5">
        <v>0</v>
      </c>
      <c r="AX1213" s="6">
        <v>0</v>
      </c>
      <c r="AY1213" s="5">
        <v>0</v>
      </c>
      <c r="AZ1213" s="6">
        <v>0</v>
      </c>
      <c r="BA1213" s="5">
        <v>0</v>
      </c>
      <c r="BB1213" s="6">
        <v>0</v>
      </c>
      <c r="BC1213" s="5">
        <v>0</v>
      </c>
      <c r="BD1213" s="6">
        <v>0</v>
      </c>
      <c r="BE1213" s="5">
        <v>0</v>
      </c>
      <c r="BF1213" s="6">
        <v>0</v>
      </c>
      <c r="BG1213" s="5">
        <v>0</v>
      </c>
      <c r="BH1213" s="9">
        <f t="shared" si="146"/>
        <v>4</v>
      </c>
      <c r="BI1213" s="10">
        <f t="shared" si="147"/>
        <v>0</v>
      </c>
      <c r="BJ1213" s="6">
        <f t="shared" si="148"/>
        <v>4.305730322714707E-2</v>
      </c>
      <c r="BK1213" s="11">
        <f t="shared" si="149"/>
        <v>1.0881457359052264E-2</v>
      </c>
      <c r="BL1213" s="5">
        <f t="shared" si="150"/>
        <v>0</v>
      </c>
      <c r="BM1213" s="11">
        <f t="shared" si="151"/>
        <v>0</v>
      </c>
    </row>
    <row r="1214" spans="1:65" ht="15" customHeight="1" x14ac:dyDescent="0.4">
      <c r="A1214" s="2" t="s">
        <v>775</v>
      </c>
      <c r="B1214" s="2" t="s">
        <v>912</v>
      </c>
      <c r="C1214" s="2" t="s">
        <v>913</v>
      </c>
      <c r="D1214" s="3" t="s">
        <v>101</v>
      </c>
      <c r="E1214" s="3" t="s">
        <v>915</v>
      </c>
      <c r="F1214" s="2" t="s">
        <v>304</v>
      </c>
      <c r="G1214" s="4">
        <v>1</v>
      </c>
      <c r="H1214" s="5">
        <v>0</v>
      </c>
      <c r="I1214" s="5">
        <v>0</v>
      </c>
      <c r="J1214" s="6">
        <v>0</v>
      </c>
      <c r="K1214" s="5">
        <v>0</v>
      </c>
      <c r="L1214" s="6">
        <v>0</v>
      </c>
      <c r="M1214" s="5">
        <v>0</v>
      </c>
      <c r="N1214" s="6">
        <v>0</v>
      </c>
      <c r="O1214" s="5">
        <v>0</v>
      </c>
      <c r="P1214" s="6">
        <v>0</v>
      </c>
      <c r="Q1214" s="5">
        <v>0</v>
      </c>
      <c r="R1214" s="6">
        <v>0</v>
      </c>
      <c r="S1214" s="5">
        <v>0</v>
      </c>
      <c r="T1214" s="6">
        <v>3.9569426967728529</v>
      </c>
      <c r="U1214" s="5">
        <v>0</v>
      </c>
      <c r="V1214" s="6">
        <v>0</v>
      </c>
      <c r="W1214" s="5">
        <v>0</v>
      </c>
      <c r="X1214" s="6">
        <v>0</v>
      </c>
      <c r="Y1214" s="5">
        <v>0</v>
      </c>
      <c r="Z1214" s="6">
        <v>0</v>
      </c>
      <c r="AA1214" s="5">
        <v>0</v>
      </c>
      <c r="AB1214" s="6">
        <v>0</v>
      </c>
      <c r="AC1214" s="5">
        <v>0</v>
      </c>
      <c r="AD1214" s="6">
        <v>0</v>
      </c>
      <c r="AE1214" s="5">
        <v>0</v>
      </c>
      <c r="AF1214" s="6">
        <v>0</v>
      </c>
      <c r="AG1214" s="5">
        <v>0</v>
      </c>
      <c r="AH1214" s="7">
        <f t="shared" si="144"/>
        <v>3.9569426967728529</v>
      </c>
      <c r="AI1214" s="8">
        <f t="shared" si="145"/>
        <v>0</v>
      </c>
      <c r="AJ1214" s="6">
        <v>0</v>
      </c>
      <c r="AK1214" s="5">
        <v>0</v>
      </c>
      <c r="AL1214" s="6">
        <v>0</v>
      </c>
      <c r="AM1214" s="5">
        <v>0</v>
      </c>
      <c r="AN1214" s="6">
        <v>0</v>
      </c>
      <c r="AO1214" s="5">
        <v>0</v>
      </c>
      <c r="AP1214" s="6">
        <v>0</v>
      </c>
      <c r="AQ1214" s="5">
        <v>0</v>
      </c>
      <c r="AR1214" s="6">
        <v>0</v>
      </c>
      <c r="AS1214" s="5">
        <v>0</v>
      </c>
      <c r="AT1214" s="6">
        <v>5</v>
      </c>
      <c r="AU1214" s="5">
        <v>0</v>
      </c>
      <c r="AV1214" s="6">
        <v>0</v>
      </c>
      <c r="AW1214" s="5">
        <v>0</v>
      </c>
      <c r="AX1214" s="6">
        <v>0</v>
      </c>
      <c r="AY1214" s="5">
        <v>0</v>
      </c>
      <c r="AZ1214" s="6">
        <v>0</v>
      </c>
      <c r="BA1214" s="5">
        <v>0</v>
      </c>
      <c r="BB1214" s="6">
        <v>0</v>
      </c>
      <c r="BC1214" s="5">
        <v>0</v>
      </c>
      <c r="BD1214" s="6">
        <v>0</v>
      </c>
      <c r="BE1214" s="5">
        <v>0</v>
      </c>
      <c r="BF1214" s="6">
        <v>0</v>
      </c>
      <c r="BG1214" s="5">
        <v>0</v>
      </c>
      <c r="BH1214" s="9">
        <f t="shared" si="146"/>
        <v>5</v>
      </c>
      <c r="BI1214" s="10">
        <f t="shared" si="147"/>
        <v>0</v>
      </c>
      <c r="BJ1214" s="6">
        <f t="shared" si="148"/>
        <v>1.0430573032271471</v>
      </c>
      <c r="BK1214" s="11">
        <f t="shared" si="149"/>
        <v>0.26360182169881535</v>
      </c>
      <c r="BL1214" s="5">
        <f t="shared" si="150"/>
        <v>0</v>
      </c>
      <c r="BM1214" s="11">
        <f t="shared" si="151"/>
        <v>0</v>
      </c>
    </row>
    <row r="1215" spans="1:65" ht="15" customHeight="1" x14ac:dyDescent="0.4">
      <c r="A1215" s="2" t="s">
        <v>775</v>
      </c>
      <c r="B1215" s="2" t="s">
        <v>912</v>
      </c>
      <c r="C1215" s="2" t="s">
        <v>913</v>
      </c>
      <c r="D1215" s="3" t="s">
        <v>101</v>
      </c>
      <c r="E1215" s="3" t="s">
        <v>916</v>
      </c>
      <c r="F1215" s="2" t="s">
        <v>308</v>
      </c>
      <c r="G1215" s="4">
        <v>5</v>
      </c>
      <c r="H1215" s="5">
        <v>1.8075000000000001</v>
      </c>
      <c r="I1215" s="5">
        <v>1.88410129086379</v>
      </c>
      <c r="J1215" s="6">
        <v>2176.318483225069</v>
      </c>
      <c r="K1215" s="5">
        <v>3917.373269805124</v>
      </c>
      <c r="L1215" s="6">
        <v>0</v>
      </c>
      <c r="M1215" s="5">
        <v>0</v>
      </c>
      <c r="N1215" s="6">
        <v>4352.6369664501381</v>
      </c>
      <c r="O1215" s="5">
        <v>7834.7465396102489</v>
      </c>
      <c r="P1215" s="6">
        <v>0</v>
      </c>
      <c r="Q1215" s="5">
        <v>0</v>
      </c>
      <c r="R1215" s="6">
        <v>0</v>
      </c>
      <c r="S1215" s="5">
        <v>0</v>
      </c>
      <c r="T1215" s="6">
        <v>2176.318483225069</v>
      </c>
      <c r="U1215" s="5">
        <v>3982.6628243018758</v>
      </c>
      <c r="V1215" s="6">
        <v>0</v>
      </c>
      <c r="W1215" s="5">
        <v>0</v>
      </c>
      <c r="X1215" s="6">
        <v>0</v>
      </c>
      <c r="Y1215" s="5">
        <v>0</v>
      </c>
      <c r="Z1215" s="6">
        <v>0</v>
      </c>
      <c r="AA1215" s="5">
        <v>0</v>
      </c>
      <c r="AB1215" s="6">
        <v>0</v>
      </c>
      <c r="AC1215" s="5">
        <v>0</v>
      </c>
      <c r="AD1215" s="6">
        <v>0</v>
      </c>
      <c r="AE1215" s="5">
        <v>0</v>
      </c>
      <c r="AF1215" s="6">
        <v>0</v>
      </c>
      <c r="AG1215" s="5">
        <v>0</v>
      </c>
      <c r="AH1215" s="7">
        <f t="shared" si="144"/>
        <v>8705.2739329002761</v>
      </c>
      <c r="AI1215" s="8">
        <f t="shared" si="145"/>
        <v>15734.782633717248</v>
      </c>
      <c r="AJ1215" s="6">
        <v>2515</v>
      </c>
      <c r="AK1215" s="5">
        <v>4718.8431230276283</v>
      </c>
      <c r="AL1215" s="6">
        <v>0</v>
      </c>
      <c r="AM1215" s="5">
        <v>0</v>
      </c>
      <c r="AN1215" s="6">
        <v>5025</v>
      </c>
      <c r="AO1215" s="5">
        <v>9428.3048481963542</v>
      </c>
      <c r="AP1215" s="6">
        <v>0</v>
      </c>
      <c r="AQ1215" s="5">
        <v>0</v>
      </c>
      <c r="AR1215" s="6">
        <v>0</v>
      </c>
      <c r="AS1215" s="5">
        <v>0</v>
      </c>
      <c r="AT1215" s="6">
        <v>2515</v>
      </c>
      <c r="AU1215" s="5">
        <v>4797.4905084114216</v>
      </c>
      <c r="AV1215" s="6">
        <v>0</v>
      </c>
      <c r="AW1215" s="5">
        <v>0</v>
      </c>
      <c r="AX1215" s="6">
        <v>0</v>
      </c>
      <c r="AY1215" s="5">
        <v>0</v>
      </c>
      <c r="AZ1215" s="6">
        <v>0</v>
      </c>
      <c r="BA1215" s="5">
        <v>0</v>
      </c>
      <c r="BB1215" s="6">
        <v>0</v>
      </c>
      <c r="BC1215" s="5">
        <v>0</v>
      </c>
      <c r="BD1215" s="6">
        <v>0</v>
      </c>
      <c r="BE1215" s="5">
        <v>0</v>
      </c>
      <c r="BF1215" s="6">
        <v>0</v>
      </c>
      <c r="BG1215" s="5">
        <v>0</v>
      </c>
      <c r="BH1215" s="9">
        <f t="shared" si="146"/>
        <v>10055</v>
      </c>
      <c r="BI1215" s="10">
        <f t="shared" si="147"/>
        <v>18944.638479635403</v>
      </c>
      <c r="BJ1215" s="6">
        <f t="shared" si="148"/>
        <v>1349.7260670997239</v>
      </c>
      <c r="BK1215" s="11">
        <f t="shared" si="149"/>
        <v>0.15504693792559895</v>
      </c>
      <c r="BL1215" s="5">
        <f t="shared" si="150"/>
        <v>3209.855845918155</v>
      </c>
      <c r="BM1215" s="11">
        <f t="shared" si="151"/>
        <v>0.20399746985000744</v>
      </c>
    </row>
    <row r="1216" spans="1:65" ht="15" customHeight="1" x14ac:dyDescent="0.4">
      <c r="A1216" s="2" t="s">
        <v>775</v>
      </c>
      <c r="B1216" s="2" t="s">
        <v>912</v>
      </c>
      <c r="C1216" s="2" t="s">
        <v>913</v>
      </c>
      <c r="D1216" s="3" t="s">
        <v>101</v>
      </c>
      <c r="E1216" s="3" t="s">
        <v>916</v>
      </c>
      <c r="F1216" s="2" t="s">
        <v>830</v>
      </c>
      <c r="G1216" s="4">
        <v>5</v>
      </c>
      <c r="H1216" s="5">
        <v>1.8075000000000001</v>
      </c>
      <c r="I1216" s="5">
        <v>1.884097403329454</v>
      </c>
      <c r="J1216" s="6">
        <v>0</v>
      </c>
      <c r="K1216" s="5">
        <v>0</v>
      </c>
      <c r="L1216" s="6">
        <v>0</v>
      </c>
      <c r="M1216" s="5">
        <v>0</v>
      </c>
      <c r="N1216" s="6">
        <v>0</v>
      </c>
      <c r="O1216" s="5">
        <v>0</v>
      </c>
      <c r="P1216" s="6">
        <v>0</v>
      </c>
      <c r="Q1216" s="5">
        <v>0</v>
      </c>
      <c r="R1216" s="6">
        <v>0</v>
      </c>
      <c r="S1216" s="5">
        <v>0</v>
      </c>
      <c r="T1216" s="6">
        <v>0</v>
      </c>
      <c r="U1216" s="5">
        <v>0</v>
      </c>
      <c r="V1216" s="6">
        <v>0</v>
      </c>
      <c r="W1216" s="5">
        <v>0</v>
      </c>
      <c r="X1216" s="6">
        <v>0</v>
      </c>
      <c r="Y1216" s="5">
        <v>0</v>
      </c>
      <c r="Z1216" s="6">
        <v>0</v>
      </c>
      <c r="AA1216" s="5">
        <v>0</v>
      </c>
      <c r="AB1216" s="6">
        <v>4171.183012912913</v>
      </c>
      <c r="AC1216" s="5">
        <v>7539.4132958400915</v>
      </c>
      <c r="AD1216" s="6">
        <v>0</v>
      </c>
      <c r="AE1216" s="5">
        <v>0</v>
      </c>
      <c r="AF1216" s="6">
        <v>0</v>
      </c>
      <c r="AG1216" s="5">
        <v>0</v>
      </c>
      <c r="AH1216" s="7">
        <f t="shared" si="144"/>
        <v>4171.183012912913</v>
      </c>
      <c r="AI1216" s="8">
        <f t="shared" si="145"/>
        <v>7539.4132958400915</v>
      </c>
      <c r="AJ1216" s="6">
        <v>0</v>
      </c>
      <c r="AK1216" s="5">
        <v>0</v>
      </c>
      <c r="AL1216" s="6">
        <v>0</v>
      </c>
      <c r="AM1216" s="5">
        <v>0</v>
      </c>
      <c r="AN1216" s="6">
        <v>0</v>
      </c>
      <c r="AO1216" s="5">
        <v>0</v>
      </c>
      <c r="AP1216" s="6">
        <v>0</v>
      </c>
      <c r="AQ1216" s="5">
        <v>0</v>
      </c>
      <c r="AR1216" s="6">
        <v>0</v>
      </c>
      <c r="AS1216" s="5">
        <v>0</v>
      </c>
      <c r="AT1216" s="6">
        <v>0</v>
      </c>
      <c r="AU1216" s="5">
        <v>0</v>
      </c>
      <c r="AV1216" s="6">
        <v>0</v>
      </c>
      <c r="AW1216" s="5">
        <v>0</v>
      </c>
      <c r="AX1216" s="6">
        <v>0</v>
      </c>
      <c r="AY1216" s="5">
        <v>0</v>
      </c>
      <c r="AZ1216" s="6">
        <v>0</v>
      </c>
      <c r="BA1216" s="5">
        <v>0</v>
      </c>
      <c r="BB1216" s="6">
        <v>4820</v>
      </c>
      <c r="BC1216" s="5">
        <v>9081.3494840479671</v>
      </c>
      <c r="BD1216" s="6">
        <v>0</v>
      </c>
      <c r="BE1216" s="5">
        <v>0</v>
      </c>
      <c r="BF1216" s="6">
        <v>0</v>
      </c>
      <c r="BG1216" s="5">
        <v>0</v>
      </c>
      <c r="BH1216" s="9">
        <f t="shared" si="146"/>
        <v>4820</v>
      </c>
      <c r="BI1216" s="10">
        <f t="shared" si="147"/>
        <v>9081.3494840479671</v>
      </c>
      <c r="BJ1216" s="6">
        <f t="shared" si="148"/>
        <v>648.816987087087</v>
      </c>
      <c r="BK1216" s="11">
        <f t="shared" si="149"/>
        <v>0.15554747539930902</v>
      </c>
      <c r="BL1216" s="5">
        <f t="shared" si="150"/>
        <v>1541.9361882078756</v>
      </c>
      <c r="BM1216" s="11">
        <f t="shared" si="151"/>
        <v>0.20451673461894529</v>
      </c>
    </row>
    <row r="1217" spans="1:65" ht="15" customHeight="1" x14ac:dyDescent="0.4">
      <c r="A1217" s="2" t="s">
        <v>775</v>
      </c>
      <c r="B1217" s="2" t="s">
        <v>912</v>
      </c>
      <c r="C1217" s="2" t="s">
        <v>913</v>
      </c>
      <c r="D1217" s="3" t="s">
        <v>101</v>
      </c>
      <c r="E1217" s="3" t="s">
        <v>917</v>
      </c>
      <c r="F1217" s="2" t="s">
        <v>308</v>
      </c>
      <c r="G1217" s="4">
        <v>20</v>
      </c>
      <c r="H1217" s="5">
        <v>1.628076923076923</v>
      </c>
      <c r="I1217" s="5">
        <v>1.6970722899550801</v>
      </c>
      <c r="J1217" s="6">
        <v>8705.2739329002761</v>
      </c>
      <c r="K1217" s="5">
        <v>14102.543771298449</v>
      </c>
      <c r="L1217" s="6">
        <v>0</v>
      </c>
      <c r="M1217" s="5">
        <v>0</v>
      </c>
      <c r="N1217" s="6">
        <v>11969.751657737879</v>
      </c>
      <c r="O1217" s="5">
        <v>19390.997685535371</v>
      </c>
      <c r="P1217" s="6">
        <v>0</v>
      </c>
      <c r="Q1217" s="5">
        <v>0</v>
      </c>
      <c r="R1217" s="6">
        <v>0</v>
      </c>
      <c r="S1217" s="5">
        <v>0</v>
      </c>
      <c r="T1217" s="6">
        <v>7617.1146912877421</v>
      </c>
      <c r="U1217" s="5">
        <v>12568.239240624771</v>
      </c>
      <c r="V1217" s="6">
        <v>0</v>
      </c>
      <c r="W1217" s="5">
        <v>0</v>
      </c>
      <c r="X1217" s="6">
        <v>0</v>
      </c>
      <c r="Y1217" s="5">
        <v>0</v>
      </c>
      <c r="Z1217" s="6">
        <v>0</v>
      </c>
      <c r="AA1217" s="5">
        <v>0</v>
      </c>
      <c r="AB1217" s="6">
        <v>0</v>
      </c>
      <c r="AC1217" s="5">
        <v>0</v>
      </c>
      <c r="AD1217" s="6">
        <v>0</v>
      </c>
      <c r="AE1217" s="5">
        <v>0</v>
      </c>
      <c r="AF1217" s="6">
        <v>0</v>
      </c>
      <c r="AG1217" s="5">
        <v>0</v>
      </c>
      <c r="AH1217" s="7">
        <f t="shared" si="144"/>
        <v>28292.140281925898</v>
      </c>
      <c r="AI1217" s="8">
        <f t="shared" si="145"/>
        <v>46061.780697458584</v>
      </c>
      <c r="AJ1217" s="6">
        <v>10060</v>
      </c>
      <c r="AK1217" s="5">
        <v>16987.835242899459</v>
      </c>
      <c r="AL1217" s="6">
        <v>0</v>
      </c>
      <c r="AM1217" s="5">
        <v>0</v>
      </c>
      <c r="AN1217" s="6">
        <v>13820</v>
      </c>
      <c r="AO1217" s="5">
        <v>23337.165313804231</v>
      </c>
      <c r="AP1217" s="6">
        <v>0</v>
      </c>
      <c r="AQ1217" s="5">
        <v>0</v>
      </c>
      <c r="AR1217" s="6">
        <v>0</v>
      </c>
      <c r="AS1217" s="5">
        <v>0</v>
      </c>
      <c r="AT1217" s="6">
        <v>8800</v>
      </c>
      <c r="AU1217" s="5">
        <v>15135.32187902831</v>
      </c>
      <c r="AV1217" s="6">
        <v>0</v>
      </c>
      <c r="AW1217" s="5">
        <v>0</v>
      </c>
      <c r="AX1217" s="6">
        <v>0</v>
      </c>
      <c r="AY1217" s="5">
        <v>0</v>
      </c>
      <c r="AZ1217" s="6">
        <v>0</v>
      </c>
      <c r="BA1217" s="5">
        <v>0</v>
      </c>
      <c r="BB1217" s="6">
        <v>0</v>
      </c>
      <c r="BC1217" s="5">
        <v>0</v>
      </c>
      <c r="BD1217" s="6">
        <v>0</v>
      </c>
      <c r="BE1217" s="5">
        <v>0</v>
      </c>
      <c r="BF1217" s="6">
        <v>0</v>
      </c>
      <c r="BG1217" s="5">
        <v>0</v>
      </c>
      <c r="BH1217" s="9">
        <f t="shared" si="146"/>
        <v>32680</v>
      </c>
      <c r="BI1217" s="10">
        <f t="shared" si="147"/>
        <v>55460.322435732</v>
      </c>
      <c r="BJ1217" s="6">
        <f t="shared" si="148"/>
        <v>4387.8597180741017</v>
      </c>
      <c r="BK1217" s="11">
        <f t="shared" si="149"/>
        <v>0.1550911198074765</v>
      </c>
      <c r="BL1217" s="5">
        <f t="shared" si="150"/>
        <v>9398.5417382734158</v>
      </c>
      <c r="BM1217" s="11">
        <f t="shared" si="151"/>
        <v>0.20404208426080175</v>
      </c>
    </row>
    <row r="1218" spans="1:65" ht="15" customHeight="1" x14ac:dyDescent="0.4">
      <c r="A1218" s="2" t="s">
        <v>775</v>
      </c>
      <c r="B1218" s="2" t="s">
        <v>912</v>
      </c>
      <c r="C1218" s="2" t="s">
        <v>913</v>
      </c>
      <c r="D1218" s="3" t="s">
        <v>101</v>
      </c>
      <c r="E1218" s="3" t="s">
        <v>917</v>
      </c>
      <c r="F1218" s="2" t="s">
        <v>830</v>
      </c>
      <c r="G1218" s="4">
        <v>20</v>
      </c>
      <c r="H1218" s="5">
        <v>1.628076923076923</v>
      </c>
      <c r="I1218" s="5">
        <v>1.697070817809039</v>
      </c>
      <c r="J1218" s="6">
        <v>0</v>
      </c>
      <c r="K1218" s="5">
        <v>0</v>
      </c>
      <c r="L1218" s="6">
        <v>0</v>
      </c>
      <c r="M1218" s="5">
        <v>0</v>
      </c>
      <c r="N1218" s="6">
        <v>0</v>
      </c>
      <c r="O1218" s="5">
        <v>0</v>
      </c>
      <c r="P1218" s="6">
        <v>0</v>
      </c>
      <c r="Q1218" s="5">
        <v>0</v>
      </c>
      <c r="R1218" s="6">
        <v>0</v>
      </c>
      <c r="S1218" s="5">
        <v>0</v>
      </c>
      <c r="T1218" s="6">
        <v>0</v>
      </c>
      <c r="U1218" s="5">
        <v>0</v>
      </c>
      <c r="V1218" s="6">
        <v>0</v>
      </c>
      <c r="W1218" s="5">
        <v>0</v>
      </c>
      <c r="X1218" s="6">
        <v>0</v>
      </c>
      <c r="Y1218" s="5">
        <v>0</v>
      </c>
      <c r="Z1218" s="6">
        <v>0</v>
      </c>
      <c r="AA1218" s="5">
        <v>0</v>
      </c>
      <c r="AB1218" s="6">
        <v>9479.9613929838924</v>
      </c>
      <c r="AC1218" s="5">
        <v>15434.106375577239</v>
      </c>
      <c r="AD1218" s="6">
        <v>0</v>
      </c>
      <c r="AE1218" s="5">
        <v>0</v>
      </c>
      <c r="AF1218" s="6">
        <v>0</v>
      </c>
      <c r="AG1218" s="5">
        <v>0</v>
      </c>
      <c r="AH1218" s="7">
        <f t="shared" ref="AH1218:AH1266" si="152">J1218+L1218+N1218+P1218+R1218+T1218+V1218+X1218+Z1218+AB1218+AD1218+AF1218</f>
        <v>9479.9613929838924</v>
      </c>
      <c r="AI1218" s="8">
        <f t="shared" ref="AI1218:AI1266" si="153">K1218+M1218+O1218+Q1218+S1218+U1218+W1218+Y1218+AA1218+AC1218+AE1218+AG1218</f>
        <v>15434.106375577239</v>
      </c>
      <c r="AJ1218" s="6">
        <v>0</v>
      </c>
      <c r="AK1218" s="5">
        <v>0</v>
      </c>
      <c r="AL1218" s="6">
        <v>0</v>
      </c>
      <c r="AM1218" s="5">
        <v>0</v>
      </c>
      <c r="AN1218" s="6">
        <v>0</v>
      </c>
      <c r="AO1218" s="5">
        <v>0</v>
      </c>
      <c r="AP1218" s="6">
        <v>0</v>
      </c>
      <c r="AQ1218" s="5">
        <v>0</v>
      </c>
      <c r="AR1218" s="6">
        <v>0</v>
      </c>
      <c r="AS1218" s="5">
        <v>0</v>
      </c>
      <c r="AT1218" s="6">
        <v>0</v>
      </c>
      <c r="AU1218" s="5">
        <v>0</v>
      </c>
      <c r="AV1218" s="6">
        <v>0</v>
      </c>
      <c r="AW1218" s="5">
        <v>0</v>
      </c>
      <c r="AX1218" s="6">
        <v>0</v>
      </c>
      <c r="AY1218" s="5">
        <v>0</v>
      </c>
      <c r="AZ1218" s="6">
        <v>0</v>
      </c>
      <c r="BA1218" s="5">
        <v>0</v>
      </c>
      <c r="BB1218" s="6">
        <v>10940</v>
      </c>
      <c r="BC1218" s="5">
        <v>18565.954746830881</v>
      </c>
      <c r="BD1218" s="6">
        <v>0</v>
      </c>
      <c r="BE1218" s="5">
        <v>0</v>
      </c>
      <c r="BF1218" s="6">
        <v>0</v>
      </c>
      <c r="BG1218" s="5">
        <v>0</v>
      </c>
      <c r="BH1218" s="9">
        <f t="shared" ref="BH1218:BH1266" si="154">AJ1218+AL1218+AN1218+AP1218+AR1218+AT1218+AV1218+AX1218+AZ1218+BB1218+BD1218+BF1218</f>
        <v>10940</v>
      </c>
      <c r="BI1218" s="10">
        <f t="shared" ref="BI1218:BI1266" si="155">AK1218+AM1218+AO1218+AQ1218+AS1218+AU1218+AW1218+AY1218+BA1218+BC1218+BE1218+BG1218</f>
        <v>18565.954746830881</v>
      </c>
      <c r="BJ1218" s="6">
        <f t="shared" ref="BJ1218:BJ1266" si="156">BH1218-AH1218</f>
        <v>1460.0386070161076</v>
      </c>
      <c r="BK1218" s="11">
        <f t="shared" ref="BK1218:BK1281" si="157">IF(AH1218&gt;0, BJ1218/AH1218, 0)</f>
        <v>0.15401313850251336</v>
      </c>
      <c r="BL1218" s="5">
        <f t="shared" ref="BL1218:BL1266" si="158">BI1218-AI1218</f>
        <v>3131.8483712536417</v>
      </c>
      <c r="BM1218" s="11">
        <f t="shared" ref="BM1218:BM1281" si="159">IF(AI1218&gt;0, BL1218/AI1218, 0)</f>
        <v>0.20291737629911921</v>
      </c>
    </row>
    <row r="1219" spans="1:65" ht="15" customHeight="1" x14ac:dyDescent="0.4">
      <c r="A1219" s="2" t="s">
        <v>775</v>
      </c>
      <c r="B1219" s="2" t="s">
        <v>912</v>
      </c>
      <c r="C1219" s="2" t="s">
        <v>913</v>
      </c>
      <c r="D1219" s="3" t="s">
        <v>101</v>
      </c>
      <c r="E1219" s="3" t="s">
        <v>918</v>
      </c>
      <c r="F1219" s="2" t="s">
        <v>919</v>
      </c>
      <c r="G1219" s="4">
        <v>1</v>
      </c>
      <c r="H1219" s="5">
        <v>0</v>
      </c>
      <c r="I1219" s="5">
        <v>0</v>
      </c>
      <c r="J1219" s="6">
        <v>0</v>
      </c>
      <c r="K1219" s="5">
        <v>0</v>
      </c>
      <c r="L1219" s="6">
        <v>0</v>
      </c>
      <c r="M1219" s="5">
        <v>0</v>
      </c>
      <c r="N1219" s="6">
        <v>0</v>
      </c>
      <c r="O1219" s="5">
        <v>0</v>
      </c>
      <c r="P1219" s="6">
        <v>0</v>
      </c>
      <c r="Q1219" s="5">
        <v>0</v>
      </c>
      <c r="R1219" s="6">
        <v>0</v>
      </c>
      <c r="S1219" s="5">
        <v>0</v>
      </c>
      <c r="T1219" s="6">
        <v>3.9569426967728529</v>
      </c>
      <c r="U1219" s="5">
        <v>0</v>
      </c>
      <c r="V1219" s="6">
        <v>0</v>
      </c>
      <c r="W1219" s="5">
        <v>0</v>
      </c>
      <c r="X1219" s="6">
        <v>0</v>
      </c>
      <c r="Y1219" s="5">
        <v>0</v>
      </c>
      <c r="Z1219" s="6">
        <v>0</v>
      </c>
      <c r="AA1219" s="5">
        <v>0</v>
      </c>
      <c r="AB1219" s="6">
        <v>0</v>
      </c>
      <c r="AC1219" s="5">
        <v>0</v>
      </c>
      <c r="AD1219" s="6">
        <v>0</v>
      </c>
      <c r="AE1219" s="5">
        <v>0</v>
      </c>
      <c r="AF1219" s="6">
        <v>0</v>
      </c>
      <c r="AG1219" s="5">
        <v>0</v>
      </c>
      <c r="AH1219" s="7">
        <f t="shared" si="152"/>
        <v>3.9569426967728529</v>
      </c>
      <c r="AI1219" s="8">
        <f t="shared" si="153"/>
        <v>0</v>
      </c>
      <c r="AJ1219" s="6">
        <v>0</v>
      </c>
      <c r="AK1219" s="5">
        <v>0</v>
      </c>
      <c r="AL1219" s="6">
        <v>0</v>
      </c>
      <c r="AM1219" s="5">
        <v>0</v>
      </c>
      <c r="AN1219" s="6">
        <v>0</v>
      </c>
      <c r="AO1219" s="5">
        <v>0</v>
      </c>
      <c r="AP1219" s="6">
        <v>0</v>
      </c>
      <c r="AQ1219" s="5">
        <v>0</v>
      </c>
      <c r="AR1219" s="6">
        <v>0</v>
      </c>
      <c r="AS1219" s="5">
        <v>0</v>
      </c>
      <c r="AT1219" s="6">
        <v>5</v>
      </c>
      <c r="AU1219" s="5">
        <v>0</v>
      </c>
      <c r="AV1219" s="6">
        <v>0</v>
      </c>
      <c r="AW1219" s="5">
        <v>0</v>
      </c>
      <c r="AX1219" s="6">
        <v>0</v>
      </c>
      <c r="AY1219" s="5">
        <v>0</v>
      </c>
      <c r="AZ1219" s="6">
        <v>0</v>
      </c>
      <c r="BA1219" s="5">
        <v>0</v>
      </c>
      <c r="BB1219" s="6">
        <v>0</v>
      </c>
      <c r="BC1219" s="5">
        <v>0</v>
      </c>
      <c r="BD1219" s="6">
        <v>0</v>
      </c>
      <c r="BE1219" s="5">
        <v>0</v>
      </c>
      <c r="BF1219" s="6">
        <v>0</v>
      </c>
      <c r="BG1219" s="5">
        <v>0</v>
      </c>
      <c r="BH1219" s="9">
        <f t="shared" si="154"/>
        <v>5</v>
      </c>
      <c r="BI1219" s="10">
        <f t="shared" si="155"/>
        <v>0</v>
      </c>
      <c r="BJ1219" s="6">
        <f t="shared" si="156"/>
        <v>1.0430573032271471</v>
      </c>
      <c r="BK1219" s="11">
        <f t="shared" si="157"/>
        <v>0.26360182169881535</v>
      </c>
      <c r="BL1219" s="5">
        <f t="shared" si="158"/>
        <v>0</v>
      </c>
      <c r="BM1219" s="11">
        <f t="shared" si="159"/>
        <v>0</v>
      </c>
    </row>
    <row r="1220" spans="1:65" ht="15" customHeight="1" x14ac:dyDescent="0.4">
      <c r="A1220" s="2" t="s">
        <v>775</v>
      </c>
      <c r="B1220" s="2" t="s">
        <v>912</v>
      </c>
      <c r="C1220" s="2" t="s">
        <v>913</v>
      </c>
      <c r="D1220" s="3" t="s">
        <v>101</v>
      </c>
      <c r="E1220" s="3" t="s">
        <v>920</v>
      </c>
      <c r="F1220" s="2" t="s">
        <v>293</v>
      </c>
      <c r="G1220" s="4">
        <v>1</v>
      </c>
      <c r="H1220" s="5">
        <v>4.875</v>
      </c>
      <c r="I1220" s="5">
        <v>5.0822419928675888</v>
      </c>
      <c r="J1220" s="6">
        <v>0</v>
      </c>
      <c r="K1220" s="5">
        <v>0</v>
      </c>
      <c r="L1220" s="6">
        <v>0</v>
      </c>
      <c r="M1220" s="5">
        <v>0</v>
      </c>
      <c r="N1220" s="6">
        <v>3917.373269805124</v>
      </c>
      <c r="O1220" s="5">
        <v>19038.434091252901</v>
      </c>
      <c r="P1220" s="6">
        <v>0</v>
      </c>
      <c r="Q1220" s="5">
        <v>0</v>
      </c>
      <c r="R1220" s="6">
        <v>0</v>
      </c>
      <c r="S1220" s="5">
        <v>0</v>
      </c>
      <c r="T1220" s="6">
        <v>783.47465396102484</v>
      </c>
      <c r="U1220" s="5">
        <v>3878.199537107073</v>
      </c>
      <c r="V1220" s="6">
        <v>0</v>
      </c>
      <c r="W1220" s="5">
        <v>0</v>
      </c>
      <c r="X1220" s="6">
        <v>0</v>
      </c>
      <c r="Y1220" s="5">
        <v>0</v>
      </c>
      <c r="Z1220" s="6">
        <v>0</v>
      </c>
      <c r="AA1220" s="5">
        <v>0</v>
      </c>
      <c r="AB1220" s="6">
        <v>2252.4388269729729</v>
      </c>
      <c r="AC1220" s="5">
        <v>10980.639281493241</v>
      </c>
      <c r="AD1220" s="6">
        <v>0</v>
      </c>
      <c r="AE1220" s="5">
        <v>0</v>
      </c>
      <c r="AF1220" s="6">
        <v>0</v>
      </c>
      <c r="AG1220" s="5">
        <v>0</v>
      </c>
      <c r="AH1220" s="7">
        <f t="shared" si="152"/>
        <v>6953.286750739122</v>
      </c>
      <c r="AI1220" s="8">
        <f t="shared" si="153"/>
        <v>33897.272909853215</v>
      </c>
      <c r="AJ1220" s="6">
        <v>0</v>
      </c>
      <c r="AK1220" s="5">
        <v>0</v>
      </c>
      <c r="AL1220" s="6">
        <v>0</v>
      </c>
      <c r="AM1220" s="5">
        <v>0</v>
      </c>
      <c r="AN1220" s="6">
        <v>4394</v>
      </c>
      <c r="AO1220" s="5">
        <v>22264.871538531741</v>
      </c>
      <c r="AP1220" s="6">
        <v>0</v>
      </c>
      <c r="AQ1220" s="5">
        <v>0</v>
      </c>
      <c r="AR1220" s="6">
        <v>0</v>
      </c>
      <c r="AS1220" s="5">
        <v>0</v>
      </c>
      <c r="AT1220" s="6">
        <v>879</v>
      </c>
      <c r="AU1220" s="5">
        <v>4535.4367948860963</v>
      </c>
      <c r="AV1220" s="6">
        <v>0</v>
      </c>
      <c r="AW1220" s="5">
        <v>0</v>
      </c>
      <c r="AX1220" s="6">
        <v>0</v>
      </c>
      <c r="AY1220" s="5">
        <v>0</v>
      </c>
      <c r="AZ1220" s="6">
        <v>0</v>
      </c>
      <c r="BA1220" s="5">
        <v>0</v>
      </c>
      <c r="BB1220" s="6">
        <v>2527</v>
      </c>
      <c r="BC1220" s="5">
        <v>12841.179210949351</v>
      </c>
      <c r="BD1220" s="6">
        <v>0</v>
      </c>
      <c r="BE1220" s="5">
        <v>0</v>
      </c>
      <c r="BF1220" s="6">
        <v>0</v>
      </c>
      <c r="BG1220" s="5">
        <v>0</v>
      </c>
      <c r="BH1220" s="9">
        <f t="shared" si="154"/>
        <v>7800</v>
      </c>
      <c r="BI1220" s="10">
        <f t="shared" si="155"/>
        <v>39641.487544367192</v>
      </c>
      <c r="BJ1220" s="6">
        <f t="shared" si="156"/>
        <v>846.713249260878</v>
      </c>
      <c r="BK1220" s="11">
        <f t="shared" si="157"/>
        <v>0.12177165700391601</v>
      </c>
      <c r="BL1220" s="5">
        <f t="shared" si="158"/>
        <v>5744.2146345139772</v>
      </c>
      <c r="BM1220" s="11">
        <f t="shared" si="159"/>
        <v>0.1694594916172226</v>
      </c>
    </row>
    <row r="1221" spans="1:65" ht="15" customHeight="1" x14ac:dyDescent="0.4">
      <c r="A1221" s="2" t="s">
        <v>775</v>
      </c>
      <c r="B1221" s="2" t="s">
        <v>912</v>
      </c>
      <c r="C1221" s="2" t="s">
        <v>913</v>
      </c>
      <c r="D1221" s="3" t="s">
        <v>101</v>
      </c>
      <c r="E1221" s="3" t="s">
        <v>921</v>
      </c>
      <c r="F1221" s="2" t="s">
        <v>144</v>
      </c>
      <c r="G1221" s="4">
        <v>1</v>
      </c>
      <c r="H1221" s="5">
        <v>0</v>
      </c>
      <c r="I1221" s="5">
        <v>0</v>
      </c>
      <c r="J1221" s="6">
        <v>0</v>
      </c>
      <c r="K1221" s="5">
        <v>0</v>
      </c>
      <c r="L1221" s="6">
        <v>0</v>
      </c>
      <c r="M1221" s="5">
        <v>0</v>
      </c>
      <c r="N1221" s="6">
        <v>0</v>
      </c>
      <c r="O1221" s="5">
        <v>0</v>
      </c>
      <c r="P1221" s="6">
        <v>0</v>
      </c>
      <c r="Q1221" s="5">
        <v>0</v>
      </c>
      <c r="R1221" s="6">
        <v>0</v>
      </c>
      <c r="S1221" s="5">
        <v>0</v>
      </c>
      <c r="T1221" s="6">
        <v>3.9569426967728529</v>
      </c>
      <c r="U1221" s="5">
        <v>0</v>
      </c>
      <c r="V1221" s="6">
        <v>0</v>
      </c>
      <c r="W1221" s="5">
        <v>0</v>
      </c>
      <c r="X1221" s="6">
        <v>0</v>
      </c>
      <c r="Y1221" s="5">
        <v>0</v>
      </c>
      <c r="Z1221" s="6">
        <v>0</v>
      </c>
      <c r="AA1221" s="5">
        <v>0</v>
      </c>
      <c r="AB1221" s="6">
        <v>0</v>
      </c>
      <c r="AC1221" s="5">
        <v>0</v>
      </c>
      <c r="AD1221" s="6">
        <v>0</v>
      </c>
      <c r="AE1221" s="5">
        <v>0</v>
      </c>
      <c r="AF1221" s="6">
        <v>0</v>
      </c>
      <c r="AG1221" s="5">
        <v>0</v>
      </c>
      <c r="AH1221" s="7">
        <f t="shared" si="152"/>
        <v>3.9569426967728529</v>
      </c>
      <c r="AI1221" s="8">
        <f t="shared" si="153"/>
        <v>0</v>
      </c>
      <c r="AJ1221" s="6">
        <v>0</v>
      </c>
      <c r="AK1221" s="5">
        <v>0</v>
      </c>
      <c r="AL1221" s="6">
        <v>0</v>
      </c>
      <c r="AM1221" s="5">
        <v>0</v>
      </c>
      <c r="AN1221" s="6">
        <v>0</v>
      </c>
      <c r="AO1221" s="5">
        <v>0</v>
      </c>
      <c r="AP1221" s="6">
        <v>0</v>
      </c>
      <c r="AQ1221" s="5">
        <v>0</v>
      </c>
      <c r="AR1221" s="6">
        <v>0</v>
      </c>
      <c r="AS1221" s="5">
        <v>0</v>
      </c>
      <c r="AT1221" s="6">
        <v>5</v>
      </c>
      <c r="AU1221" s="5">
        <v>0</v>
      </c>
      <c r="AV1221" s="6">
        <v>0</v>
      </c>
      <c r="AW1221" s="5">
        <v>0</v>
      </c>
      <c r="AX1221" s="6">
        <v>0</v>
      </c>
      <c r="AY1221" s="5">
        <v>0</v>
      </c>
      <c r="AZ1221" s="6">
        <v>0</v>
      </c>
      <c r="BA1221" s="5">
        <v>0</v>
      </c>
      <c r="BB1221" s="6">
        <v>0</v>
      </c>
      <c r="BC1221" s="5">
        <v>0</v>
      </c>
      <c r="BD1221" s="6">
        <v>0</v>
      </c>
      <c r="BE1221" s="5">
        <v>0</v>
      </c>
      <c r="BF1221" s="6">
        <v>0</v>
      </c>
      <c r="BG1221" s="5">
        <v>0</v>
      </c>
      <c r="BH1221" s="9">
        <f t="shared" si="154"/>
        <v>5</v>
      </c>
      <c r="BI1221" s="10">
        <f t="shared" si="155"/>
        <v>0</v>
      </c>
      <c r="BJ1221" s="6">
        <f t="shared" si="156"/>
        <v>1.0430573032271471</v>
      </c>
      <c r="BK1221" s="11">
        <f t="shared" si="157"/>
        <v>0.26360182169881535</v>
      </c>
      <c r="BL1221" s="5">
        <f t="shared" si="158"/>
        <v>0</v>
      </c>
      <c r="BM1221" s="11">
        <f t="shared" si="159"/>
        <v>0</v>
      </c>
    </row>
    <row r="1222" spans="1:65" ht="15" customHeight="1" x14ac:dyDescent="0.4">
      <c r="A1222" s="2" t="s">
        <v>775</v>
      </c>
      <c r="B1222" s="2" t="s">
        <v>912</v>
      </c>
      <c r="C1222" s="2" t="s">
        <v>913</v>
      </c>
      <c r="D1222" s="3" t="s">
        <v>101</v>
      </c>
      <c r="E1222" s="3" t="s">
        <v>922</v>
      </c>
      <c r="F1222" s="2" t="s">
        <v>263</v>
      </c>
      <c r="G1222" s="4">
        <v>1</v>
      </c>
      <c r="H1222" s="5">
        <v>0</v>
      </c>
      <c r="I1222" s="5">
        <v>0</v>
      </c>
      <c r="J1222" s="6">
        <v>0</v>
      </c>
      <c r="K1222" s="5">
        <v>0</v>
      </c>
      <c r="L1222" s="6">
        <v>0</v>
      </c>
      <c r="M1222" s="5">
        <v>0</v>
      </c>
      <c r="N1222" s="6">
        <v>0</v>
      </c>
      <c r="O1222" s="5">
        <v>0</v>
      </c>
      <c r="P1222" s="6">
        <v>0</v>
      </c>
      <c r="Q1222" s="5">
        <v>0</v>
      </c>
      <c r="R1222" s="6">
        <v>0</v>
      </c>
      <c r="S1222" s="5">
        <v>0</v>
      </c>
      <c r="T1222" s="6">
        <v>3.9569426967728529</v>
      </c>
      <c r="U1222" s="5">
        <v>0</v>
      </c>
      <c r="V1222" s="6">
        <v>0</v>
      </c>
      <c r="W1222" s="5">
        <v>0</v>
      </c>
      <c r="X1222" s="6">
        <v>0</v>
      </c>
      <c r="Y1222" s="5">
        <v>0</v>
      </c>
      <c r="Z1222" s="6">
        <v>0</v>
      </c>
      <c r="AA1222" s="5">
        <v>0</v>
      </c>
      <c r="AB1222" s="6">
        <v>0</v>
      </c>
      <c r="AC1222" s="5">
        <v>0</v>
      </c>
      <c r="AD1222" s="6">
        <v>0</v>
      </c>
      <c r="AE1222" s="5">
        <v>0</v>
      </c>
      <c r="AF1222" s="6">
        <v>0</v>
      </c>
      <c r="AG1222" s="5">
        <v>0</v>
      </c>
      <c r="AH1222" s="7">
        <f t="shared" si="152"/>
        <v>3.9569426967728529</v>
      </c>
      <c r="AI1222" s="8">
        <f t="shared" si="153"/>
        <v>0</v>
      </c>
      <c r="AJ1222" s="6">
        <v>0</v>
      </c>
      <c r="AK1222" s="5">
        <v>0</v>
      </c>
      <c r="AL1222" s="6">
        <v>0</v>
      </c>
      <c r="AM1222" s="5">
        <v>0</v>
      </c>
      <c r="AN1222" s="6">
        <v>0</v>
      </c>
      <c r="AO1222" s="5">
        <v>0</v>
      </c>
      <c r="AP1222" s="6">
        <v>0</v>
      </c>
      <c r="AQ1222" s="5">
        <v>0</v>
      </c>
      <c r="AR1222" s="6">
        <v>0</v>
      </c>
      <c r="AS1222" s="5">
        <v>0</v>
      </c>
      <c r="AT1222" s="6">
        <v>4</v>
      </c>
      <c r="AU1222" s="5">
        <v>0</v>
      </c>
      <c r="AV1222" s="6">
        <v>0</v>
      </c>
      <c r="AW1222" s="5">
        <v>0</v>
      </c>
      <c r="AX1222" s="6">
        <v>0</v>
      </c>
      <c r="AY1222" s="5">
        <v>0</v>
      </c>
      <c r="AZ1222" s="6">
        <v>0</v>
      </c>
      <c r="BA1222" s="5">
        <v>0</v>
      </c>
      <c r="BB1222" s="6">
        <v>0</v>
      </c>
      <c r="BC1222" s="5">
        <v>0</v>
      </c>
      <c r="BD1222" s="6">
        <v>0</v>
      </c>
      <c r="BE1222" s="5">
        <v>0</v>
      </c>
      <c r="BF1222" s="6">
        <v>0</v>
      </c>
      <c r="BG1222" s="5">
        <v>0</v>
      </c>
      <c r="BH1222" s="9">
        <f t="shared" si="154"/>
        <v>4</v>
      </c>
      <c r="BI1222" s="10">
        <f t="shared" si="155"/>
        <v>0</v>
      </c>
      <c r="BJ1222" s="6">
        <f t="shared" si="156"/>
        <v>4.305730322714707E-2</v>
      </c>
      <c r="BK1222" s="11">
        <f t="shared" si="157"/>
        <v>1.0881457359052264E-2</v>
      </c>
      <c r="BL1222" s="5">
        <f t="shared" si="158"/>
        <v>0</v>
      </c>
      <c r="BM1222" s="11">
        <f t="shared" si="159"/>
        <v>0</v>
      </c>
    </row>
    <row r="1223" spans="1:65" ht="15" customHeight="1" x14ac:dyDescent="0.4">
      <c r="A1223" s="2" t="s">
        <v>775</v>
      </c>
      <c r="B1223" s="2" t="s">
        <v>912</v>
      </c>
      <c r="C1223" s="2" t="s">
        <v>913</v>
      </c>
      <c r="D1223" s="3" t="s">
        <v>101</v>
      </c>
      <c r="E1223" s="3" t="s">
        <v>923</v>
      </c>
      <c r="F1223" s="2" t="s">
        <v>560</v>
      </c>
      <c r="G1223" s="4">
        <v>1</v>
      </c>
      <c r="H1223" s="5">
        <v>0</v>
      </c>
      <c r="I1223" s="5">
        <v>0</v>
      </c>
      <c r="J1223" s="6">
        <v>0</v>
      </c>
      <c r="K1223" s="5">
        <v>0</v>
      </c>
      <c r="L1223" s="6">
        <v>0</v>
      </c>
      <c r="M1223" s="5">
        <v>0</v>
      </c>
      <c r="N1223" s="6">
        <v>0</v>
      </c>
      <c r="O1223" s="5">
        <v>0</v>
      </c>
      <c r="P1223" s="6">
        <v>0</v>
      </c>
      <c r="Q1223" s="5">
        <v>0</v>
      </c>
      <c r="R1223" s="6">
        <v>0</v>
      </c>
      <c r="S1223" s="5">
        <v>0</v>
      </c>
      <c r="T1223" s="6">
        <v>3.9569426967728529</v>
      </c>
      <c r="U1223" s="5">
        <v>0</v>
      </c>
      <c r="V1223" s="6">
        <v>0</v>
      </c>
      <c r="W1223" s="5">
        <v>0</v>
      </c>
      <c r="X1223" s="6">
        <v>0</v>
      </c>
      <c r="Y1223" s="5">
        <v>0</v>
      </c>
      <c r="Z1223" s="6">
        <v>0</v>
      </c>
      <c r="AA1223" s="5">
        <v>0</v>
      </c>
      <c r="AB1223" s="6">
        <v>0</v>
      </c>
      <c r="AC1223" s="5">
        <v>0</v>
      </c>
      <c r="AD1223" s="6">
        <v>0</v>
      </c>
      <c r="AE1223" s="5">
        <v>0</v>
      </c>
      <c r="AF1223" s="6">
        <v>0</v>
      </c>
      <c r="AG1223" s="5">
        <v>0</v>
      </c>
      <c r="AH1223" s="7">
        <f t="shared" si="152"/>
        <v>3.9569426967728529</v>
      </c>
      <c r="AI1223" s="8">
        <f t="shared" si="153"/>
        <v>0</v>
      </c>
      <c r="AJ1223" s="6">
        <v>0</v>
      </c>
      <c r="AK1223" s="5">
        <v>0</v>
      </c>
      <c r="AL1223" s="6">
        <v>0</v>
      </c>
      <c r="AM1223" s="5">
        <v>0</v>
      </c>
      <c r="AN1223" s="6">
        <v>0</v>
      </c>
      <c r="AO1223" s="5">
        <v>0</v>
      </c>
      <c r="AP1223" s="6">
        <v>0</v>
      </c>
      <c r="AQ1223" s="5">
        <v>0</v>
      </c>
      <c r="AR1223" s="6">
        <v>0</v>
      </c>
      <c r="AS1223" s="5">
        <v>0</v>
      </c>
      <c r="AT1223" s="6">
        <v>4</v>
      </c>
      <c r="AU1223" s="5">
        <v>0</v>
      </c>
      <c r="AV1223" s="6">
        <v>0</v>
      </c>
      <c r="AW1223" s="5">
        <v>0</v>
      </c>
      <c r="AX1223" s="6">
        <v>0</v>
      </c>
      <c r="AY1223" s="5">
        <v>0</v>
      </c>
      <c r="AZ1223" s="6">
        <v>0</v>
      </c>
      <c r="BA1223" s="5">
        <v>0</v>
      </c>
      <c r="BB1223" s="6">
        <v>0</v>
      </c>
      <c r="BC1223" s="5">
        <v>0</v>
      </c>
      <c r="BD1223" s="6">
        <v>0</v>
      </c>
      <c r="BE1223" s="5">
        <v>0</v>
      </c>
      <c r="BF1223" s="6">
        <v>0</v>
      </c>
      <c r="BG1223" s="5">
        <v>0</v>
      </c>
      <c r="BH1223" s="9">
        <f t="shared" si="154"/>
        <v>4</v>
      </c>
      <c r="BI1223" s="10">
        <f t="shared" si="155"/>
        <v>0</v>
      </c>
      <c r="BJ1223" s="6">
        <f t="shared" si="156"/>
        <v>4.305730322714707E-2</v>
      </c>
      <c r="BK1223" s="11">
        <f t="shared" si="157"/>
        <v>1.0881457359052264E-2</v>
      </c>
      <c r="BL1223" s="5">
        <f t="shared" si="158"/>
        <v>0</v>
      </c>
      <c r="BM1223" s="11">
        <f t="shared" si="159"/>
        <v>0</v>
      </c>
    </row>
    <row r="1224" spans="1:65" ht="15" customHeight="1" x14ac:dyDescent="0.4">
      <c r="A1224" s="2" t="s">
        <v>775</v>
      </c>
      <c r="B1224" s="2" t="s">
        <v>912</v>
      </c>
      <c r="C1224" s="2" t="s">
        <v>913</v>
      </c>
      <c r="D1224" s="3" t="s">
        <v>101</v>
      </c>
      <c r="E1224" s="3" t="s">
        <v>924</v>
      </c>
      <c r="F1224" s="2" t="s">
        <v>608</v>
      </c>
      <c r="G1224" s="4">
        <v>1</v>
      </c>
      <c r="H1224" s="5">
        <v>0</v>
      </c>
      <c r="I1224" s="5">
        <v>0</v>
      </c>
      <c r="J1224" s="6">
        <v>0</v>
      </c>
      <c r="K1224" s="5">
        <v>0</v>
      </c>
      <c r="L1224" s="6">
        <v>0</v>
      </c>
      <c r="M1224" s="5">
        <v>0</v>
      </c>
      <c r="N1224" s="6">
        <v>0</v>
      </c>
      <c r="O1224" s="5">
        <v>0</v>
      </c>
      <c r="P1224" s="6">
        <v>0</v>
      </c>
      <c r="Q1224" s="5">
        <v>0</v>
      </c>
      <c r="R1224" s="6">
        <v>0</v>
      </c>
      <c r="S1224" s="5">
        <v>0</v>
      </c>
      <c r="T1224" s="6">
        <v>3.9569426967728529</v>
      </c>
      <c r="U1224" s="5">
        <v>0</v>
      </c>
      <c r="V1224" s="6">
        <v>0</v>
      </c>
      <c r="W1224" s="5">
        <v>0</v>
      </c>
      <c r="X1224" s="6">
        <v>0</v>
      </c>
      <c r="Y1224" s="5">
        <v>0</v>
      </c>
      <c r="Z1224" s="6">
        <v>0</v>
      </c>
      <c r="AA1224" s="5">
        <v>0</v>
      </c>
      <c r="AB1224" s="6">
        <v>0</v>
      </c>
      <c r="AC1224" s="5">
        <v>0</v>
      </c>
      <c r="AD1224" s="6">
        <v>0</v>
      </c>
      <c r="AE1224" s="5">
        <v>0</v>
      </c>
      <c r="AF1224" s="6">
        <v>0</v>
      </c>
      <c r="AG1224" s="5">
        <v>0</v>
      </c>
      <c r="AH1224" s="7">
        <f t="shared" si="152"/>
        <v>3.9569426967728529</v>
      </c>
      <c r="AI1224" s="8">
        <f t="shared" si="153"/>
        <v>0</v>
      </c>
      <c r="AJ1224" s="6">
        <v>0</v>
      </c>
      <c r="AK1224" s="5">
        <v>0</v>
      </c>
      <c r="AL1224" s="6">
        <v>0</v>
      </c>
      <c r="AM1224" s="5">
        <v>0</v>
      </c>
      <c r="AN1224" s="6">
        <v>0</v>
      </c>
      <c r="AO1224" s="5">
        <v>0</v>
      </c>
      <c r="AP1224" s="6">
        <v>0</v>
      </c>
      <c r="AQ1224" s="5">
        <v>0</v>
      </c>
      <c r="AR1224" s="6">
        <v>0</v>
      </c>
      <c r="AS1224" s="5">
        <v>0</v>
      </c>
      <c r="AT1224" s="6">
        <v>5</v>
      </c>
      <c r="AU1224" s="5">
        <v>0</v>
      </c>
      <c r="AV1224" s="6">
        <v>0</v>
      </c>
      <c r="AW1224" s="5">
        <v>0</v>
      </c>
      <c r="AX1224" s="6">
        <v>0</v>
      </c>
      <c r="AY1224" s="5">
        <v>0</v>
      </c>
      <c r="AZ1224" s="6">
        <v>0</v>
      </c>
      <c r="BA1224" s="5">
        <v>0</v>
      </c>
      <c r="BB1224" s="6">
        <v>0</v>
      </c>
      <c r="BC1224" s="5">
        <v>0</v>
      </c>
      <c r="BD1224" s="6">
        <v>0</v>
      </c>
      <c r="BE1224" s="5">
        <v>0</v>
      </c>
      <c r="BF1224" s="6">
        <v>0</v>
      </c>
      <c r="BG1224" s="5">
        <v>0</v>
      </c>
      <c r="BH1224" s="9">
        <f t="shared" si="154"/>
        <v>5</v>
      </c>
      <c r="BI1224" s="10">
        <f t="shared" si="155"/>
        <v>0</v>
      </c>
      <c r="BJ1224" s="6">
        <f t="shared" si="156"/>
        <v>1.0430573032271471</v>
      </c>
      <c r="BK1224" s="11">
        <f t="shared" si="157"/>
        <v>0.26360182169881535</v>
      </c>
      <c r="BL1224" s="5">
        <f t="shared" si="158"/>
        <v>0</v>
      </c>
      <c r="BM1224" s="11">
        <f t="shared" si="159"/>
        <v>0</v>
      </c>
    </row>
    <row r="1225" spans="1:65" ht="15" customHeight="1" x14ac:dyDescent="0.4">
      <c r="A1225" s="2" t="s">
        <v>775</v>
      </c>
      <c r="B1225" s="2" t="s">
        <v>912</v>
      </c>
      <c r="C1225" s="2" t="s">
        <v>913</v>
      </c>
      <c r="D1225" s="3" t="s">
        <v>101</v>
      </c>
      <c r="E1225" s="3" t="s">
        <v>925</v>
      </c>
      <c r="F1225" s="2" t="s">
        <v>926</v>
      </c>
      <c r="G1225" s="4">
        <v>1</v>
      </c>
      <c r="H1225" s="5">
        <v>0</v>
      </c>
      <c r="I1225" s="5">
        <v>0</v>
      </c>
      <c r="J1225" s="6">
        <v>0</v>
      </c>
      <c r="K1225" s="5">
        <v>0</v>
      </c>
      <c r="L1225" s="6">
        <v>0</v>
      </c>
      <c r="M1225" s="5">
        <v>0</v>
      </c>
      <c r="N1225" s="6">
        <v>0</v>
      </c>
      <c r="O1225" s="5">
        <v>0</v>
      </c>
      <c r="P1225" s="6">
        <v>0</v>
      </c>
      <c r="Q1225" s="5">
        <v>0</v>
      </c>
      <c r="R1225" s="6">
        <v>0</v>
      </c>
      <c r="S1225" s="5">
        <v>0</v>
      </c>
      <c r="T1225" s="6">
        <v>3.9569426967728529</v>
      </c>
      <c r="U1225" s="5">
        <v>0</v>
      </c>
      <c r="V1225" s="6">
        <v>0</v>
      </c>
      <c r="W1225" s="5">
        <v>0</v>
      </c>
      <c r="X1225" s="6">
        <v>0</v>
      </c>
      <c r="Y1225" s="5">
        <v>0</v>
      </c>
      <c r="Z1225" s="6">
        <v>0</v>
      </c>
      <c r="AA1225" s="5">
        <v>0</v>
      </c>
      <c r="AB1225" s="6">
        <v>0</v>
      </c>
      <c r="AC1225" s="5">
        <v>0</v>
      </c>
      <c r="AD1225" s="6">
        <v>0</v>
      </c>
      <c r="AE1225" s="5">
        <v>0</v>
      </c>
      <c r="AF1225" s="6">
        <v>0</v>
      </c>
      <c r="AG1225" s="5">
        <v>0</v>
      </c>
      <c r="AH1225" s="7">
        <f t="shared" si="152"/>
        <v>3.9569426967728529</v>
      </c>
      <c r="AI1225" s="8">
        <f t="shared" si="153"/>
        <v>0</v>
      </c>
      <c r="AJ1225" s="6">
        <v>0</v>
      </c>
      <c r="AK1225" s="5">
        <v>0</v>
      </c>
      <c r="AL1225" s="6">
        <v>0</v>
      </c>
      <c r="AM1225" s="5">
        <v>0</v>
      </c>
      <c r="AN1225" s="6">
        <v>0</v>
      </c>
      <c r="AO1225" s="5">
        <v>0</v>
      </c>
      <c r="AP1225" s="6">
        <v>0</v>
      </c>
      <c r="AQ1225" s="5">
        <v>0</v>
      </c>
      <c r="AR1225" s="6">
        <v>0</v>
      </c>
      <c r="AS1225" s="5">
        <v>0</v>
      </c>
      <c r="AT1225" s="6">
        <v>4</v>
      </c>
      <c r="AU1225" s="5">
        <v>0</v>
      </c>
      <c r="AV1225" s="6">
        <v>0</v>
      </c>
      <c r="AW1225" s="5">
        <v>0</v>
      </c>
      <c r="AX1225" s="6">
        <v>0</v>
      </c>
      <c r="AY1225" s="5">
        <v>0</v>
      </c>
      <c r="AZ1225" s="6">
        <v>0</v>
      </c>
      <c r="BA1225" s="5">
        <v>0</v>
      </c>
      <c r="BB1225" s="6">
        <v>0</v>
      </c>
      <c r="BC1225" s="5">
        <v>0</v>
      </c>
      <c r="BD1225" s="6">
        <v>0</v>
      </c>
      <c r="BE1225" s="5">
        <v>0</v>
      </c>
      <c r="BF1225" s="6">
        <v>0</v>
      </c>
      <c r="BG1225" s="5">
        <v>0</v>
      </c>
      <c r="BH1225" s="9">
        <f t="shared" si="154"/>
        <v>4</v>
      </c>
      <c r="BI1225" s="10">
        <f t="shared" si="155"/>
        <v>0</v>
      </c>
      <c r="BJ1225" s="6">
        <f t="shared" si="156"/>
        <v>4.305730322714707E-2</v>
      </c>
      <c r="BK1225" s="11">
        <f t="shared" si="157"/>
        <v>1.0881457359052264E-2</v>
      </c>
      <c r="BL1225" s="5">
        <f t="shared" si="158"/>
        <v>0</v>
      </c>
      <c r="BM1225" s="11">
        <f t="shared" si="159"/>
        <v>0</v>
      </c>
    </row>
    <row r="1226" spans="1:65" ht="15" customHeight="1" x14ac:dyDescent="0.4">
      <c r="A1226" s="2" t="s">
        <v>775</v>
      </c>
      <c r="B1226" s="2" t="s">
        <v>912</v>
      </c>
      <c r="C1226" s="2" t="s">
        <v>913</v>
      </c>
      <c r="D1226" s="3" t="s">
        <v>101</v>
      </c>
      <c r="E1226" s="3" t="s">
        <v>927</v>
      </c>
      <c r="F1226" s="2" t="s">
        <v>572</v>
      </c>
      <c r="G1226" s="4">
        <v>1</v>
      </c>
      <c r="H1226" s="5">
        <v>0</v>
      </c>
      <c r="I1226" s="5">
        <v>0</v>
      </c>
      <c r="J1226" s="6">
        <v>0</v>
      </c>
      <c r="K1226" s="5">
        <v>0</v>
      </c>
      <c r="L1226" s="6">
        <v>0</v>
      </c>
      <c r="M1226" s="5">
        <v>0</v>
      </c>
      <c r="N1226" s="6">
        <v>0</v>
      </c>
      <c r="O1226" s="5">
        <v>0</v>
      </c>
      <c r="P1226" s="6">
        <v>0</v>
      </c>
      <c r="Q1226" s="5">
        <v>0</v>
      </c>
      <c r="R1226" s="6">
        <v>0</v>
      </c>
      <c r="S1226" s="5">
        <v>0</v>
      </c>
      <c r="T1226" s="6">
        <v>3.9569426967728529</v>
      </c>
      <c r="U1226" s="5">
        <v>0</v>
      </c>
      <c r="V1226" s="6">
        <v>0</v>
      </c>
      <c r="W1226" s="5">
        <v>0</v>
      </c>
      <c r="X1226" s="6">
        <v>0</v>
      </c>
      <c r="Y1226" s="5">
        <v>0</v>
      </c>
      <c r="Z1226" s="6">
        <v>0</v>
      </c>
      <c r="AA1226" s="5">
        <v>0</v>
      </c>
      <c r="AB1226" s="6">
        <v>0</v>
      </c>
      <c r="AC1226" s="5">
        <v>0</v>
      </c>
      <c r="AD1226" s="6">
        <v>0</v>
      </c>
      <c r="AE1226" s="5">
        <v>0</v>
      </c>
      <c r="AF1226" s="6">
        <v>0</v>
      </c>
      <c r="AG1226" s="5">
        <v>0</v>
      </c>
      <c r="AH1226" s="7">
        <f t="shared" si="152"/>
        <v>3.9569426967728529</v>
      </c>
      <c r="AI1226" s="8">
        <f t="shared" si="153"/>
        <v>0</v>
      </c>
      <c r="AJ1226" s="6">
        <v>0</v>
      </c>
      <c r="AK1226" s="5">
        <v>0</v>
      </c>
      <c r="AL1226" s="6">
        <v>0</v>
      </c>
      <c r="AM1226" s="5">
        <v>0</v>
      </c>
      <c r="AN1226" s="6">
        <v>0</v>
      </c>
      <c r="AO1226" s="5">
        <v>0</v>
      </c>
      <c r="AP1226" s="6">
        <v>0</v>
      </c>
      <c r="AQ1226" s="5">
        <v>0</v>
      </c>
      <c r="AR1226" s="6">
        <v>0</v>
      </c>
      <c r="AS1226" s="5">
        <v>0</v>
      </c>
      <c r="AT1226" s="6">
        <v>5</v>
      </c>
      <c r="AU1226" s="5">
        <v>0</v>
      </c>
      <c r="AV1226" s="6">
        <v>0</v>
      </c>
      <c r="AW1226" s="5">
        <v>0</v>
      </c>
      <c r="AX1226" s="6">
        <v>0</v>
      </c>
      <c r="AY1226" s="5">
        <v>0</v>
      </c>
      <c r="AZ1226" s="6">
        <v>0</v>
      </c>
      <c r="BA1226" s="5">
        <v>0</v>
      </c>
      <c r="BB1226" s="6">
        <v>0</v>
      </c>
      <c r="BC1226" s="5">
        <v>0</v>
      </c>
      <c r="BD1226" s="6">
        <v>0</v>
      </c>
      <c r="BE1226" s="5">
        <v>0</v>
      </c>
      <c r="BF1226" s="6">
        <v>0</v>
      </c>
      <c r="BG1226" s="5">
        <v>0</v>
      </c>
      <c r="BH1226" s="9">
        <f t="shared" si="154"/>
        <v>5</v>
      </c>
      <c r="BI1226" s="10">
        <f t="shared" si="155"/>
        <v>0</v>
      </c>
      <c r="BJ1226" s="6">
        <f t="shared" si="156"/>
        <v>1.0430573032271471</v>
      </c>
      <c r="BK1226" s="11">
        <f t="shared" si="157"/>
        <v>0.26360182169881535</v>
      </c>
      <c r="BL1226" s="5">
        <f t="shared" si="158"/>
        <v>0</v>
      </c>
      <c r="BM1226" s="11">
        <f t="shared" si="159"/>
        <v>0</v>
      </c>
    </row>
    <row r="1227" spans="1:65" ht="15" customHeight="1" x14ac:dyDescent="0.4">
      <c r="A1227" s="2" t="s">
        <v>775</v>
      </c>
      <c r="B1227" s="2" t="s">
        <v>928</v>
      </c>
      <c r="C1227" s="2" t="s">
        <v>929</v>
      </c>
      <c r="D1227" s="3" t="s">
        <v>134</v>
      </c>
      <c r="E1227" s="3" t="s">
        <v>930</v>
      </c>
      <c r="F1227" s="2" t="s">
        <v>115</v>
      </c>
      <c r="G1227" s="4">
        <v>5</v>
      </c>
      <c r="H1227" s="5">
        <v>1.9</v>
      </c>
      <c r="I1227" s="5">
        <v>1.980517325768167</v>
      </c>
      <c r="J1227" s="6">
        <v>0</v>
      </c>
      <c r="K1227" s="5">
        <v>0</v>
      </c>
      <c r="L1227" s="6">
        <v>0</v>
      </c>
      <c r="M1227" s="5">
        <v>0</v>
      </c>
      <c r="N1227" s="6">
        <v>0</v>
      </c>
      <c r="O1227" s="5">
        <v>0</v>
      </c>
      <c r="P1227" s="6">
        <v>0</v>
      </c>
      <c r="Q1227" s="5">
        <v>0</v>
      </c>
      <c r="R1227" s="6">
        <v>0</v>
      </c>
      <c r="S1227" s="5">
        <v>0</v>
      </c>
      <c r="T1227" s="6">
        <v>0</v>
      </c>
      <c r="U1227" s="5">
        <v>0</v>
      </c>
      <c r="V1227" s="6">
        <v>0</v>
      </c>
      <c r="W1227" s="5">
        <v>0</v>
      </c>
      <c r="X1227" s="6">
        <v>0</v>
      </c>
      <c r="Y1227" s="5">
        <v>0</v>
      </c>
      <c r="Z1227" s="6">
        <v>0</v>
      </c>
      <c r="AA1227" s="5">
        <v>0</v>
      </c>
      <c r="AB1227" s="6">
        <v>189.59922785967791</v>
      </c>
      <c r="AC1227" s="5">
        <v>360.23853293338789</v>
      </c>
      <c r="AD1227" s="6">
        <v>0</v>
      </c>
      <c r="AE1227" s="5">
        <v>0</v>
      </c>
      <c r="AF1227" s="6">
        <v>0</v>
      </c>
      <c r="AG1227" s="5">
        <v>0</v>
      </c>
      <c r="AH1227" s="7">
        <f t="shared" si="152"/>
        <v>189.59922785967791</v>
      </c>
      <c r="AI1227" s="8">
        <f t="shared" si="153"/>
        <v>360.23853293338789</v>
      </c>
      <c r="AJ1227" s="6">
        <v>0</v>
      </c>
      <c r="AK1227" s="5">
        <v>0</v>
      </c>
      <c r="AL1227" s="6">
        <v>0</v>
      </c>
      <c r="AM1227" s="5">
        <v>0</v>
      </c>
      <c r="AN1227" s="6">
        <v>0</v>
      </c>
      <c r="AO1227" s="5">
        <v>0</v>
      </c>
      <c r="AP1227" s="6">
        <v>0</v>
      </c>
      <c r="AQ1227" s="5">
        <v>0</v>
      </c>
      <c r="AR1227" s="6">
        <v>0</v>
      </c>
      <c r="AS1227" s="5">
        <v>0</v>
      </c>
      <c r="AT1227" s="6">
        <v>0</v>
      </c>
      <c r="AU1227" s="5">
        <v>0</v>
      </c>
      <c r="AV1227" s="6">
        <v>0</v>
      </c>
      <c r="AW1227" s="5">
        <v>0</v>
      </c>
      <c r="AX1227" s="6">
        <v>0</v>
      </c>
      <c r="AY1227" s="5">
        <v>0</v>
      </c>
      <c r="AZ1227" s="6">
        <v>0</v>
      </c>
      <c r="BA1227" s="5">
        <v>0</v>
      </c>
      <c r="BB1227" s="6">
        <v>205</v>
      </c>
      <c r="BC1227" s="5">
        <v>406.00605178247417</v>
      </c>
      <c r="BD1227" s="6">
        <v>0</v>
      </c>
      <c r="BE1227" s="5">
        <v>0</v>
      </c>
      <c r="BF1227" s="6">
        <v>0</v>
      </c>
      <c r="BG1227" s="5">
        <v>0</v>
      </c>
      <c r="BH1227" s="9">
        <f t="shared" si="154"/>
        <v>205</v>
      </c>
      <c r="BI1227" s="10">
        <f t="shared" si="155"/>
        <v>406.00605178247417</v>
      </c>
      <c r="BJ1227" s="6">
        <f t="shared" si="156"/>
        <v>15.40077214032209</v>
      </c>
      <c r="BK1227" s="11">
        <f t="shared" si="157"/>
        <v>8.1228031960763974E-2</v>
      </c>
      <c r="BL1227" s="5">
        <f t="shared" si="158"/>
        <v>45.767518849086287</v>
      </c>
      <c r="BM1227" s="11">
        <f t="shared" si="159"/>
        <v>0.12704781600237422</v>
      </c>
    </row>
    <row r="1228" spans="1:65" ht="15" customHeight="1" x14ac:dyDescent="0.4">
      <c r="A1228" s="2" t="s">
        <v>775</v>
      </c>
      <c r="B1228" s="2" t="s">
        <v>928</v>
      </c>
      <c r="C1228" s="2" t="s">
        <v>929</v>
      </c>
      <c r="D1228" s="3" t="s">
        <v>134</v>
      </c>
      <c r="E1228" s="3" t="s">
        <v>931</v>
      </c>
      <c r="F1228" s="2" t="s">
        <v>932</v>
      </c>
      <c r="G1228" s="4">
        <v>1000</v>
      </c>
      <c r="H1228" s="5">
        <v>4</v>
      </c>
      <c r="I1228" s="5">
        <v>4.1695101595119306</v>
      </c>
      <c r="J1228" s="6">
        <v>0</v>
      </c>
      <c r="K1228" s="5">
        <v>0</v>
      </c>
      <c r="L1228" s="6">
        <v>2967.7070225796401</v>
      </c>
      <c r="M1228" s="5">
        <v>11870.82809031856</v>
      </c>
      <c r="N1228" s="6">
        <v>2967.7070225796401</v>
      </c>
      <c r="O1228" s="5">
        <v>11870.82809031856</v>
      </c>
      <c r="P1228" s="6">
        <v>0</v>
      </c>
      <c r="Q1228" s="5">
        <v>0</v>
      </c>
      <c r="R1228" s="6">
        <v>2967.7070225796401</v>
      </c>
      <c r="S1228" s="5">
        <v>11870.82809031856</v>
      </c>
      <c r="T1228" s="6">
        <v>2967.7070225796401</v>
      </c>
      <c r="U1228" s="5">
        <v>11870.82809031856</v>
      </c>
      <c r="V1228" s="6">
        <v>0</v>
      </c>
      <c r="W1228" s="5">
        <v>0</v>
      </c>
      <c r="X1228" s="6">
        <v>0</v>
      </c>
      <c r="Y1228" s="5">
        <v>0</v>
      </c>
      <c r="Z1228" s="6">
        <v>0</v>
      </c>
      <c r="AA1228" s="5">
        <v>0</v>
      </c>
      <c r="AB1228" s="6">
        <v>2843.9884178951679</v>
      </c>
      <c r="AC1228" s="5">
        <v>11375.95367158067</v>
      </c>
      <c r="AD1228" s="6">
        <v>0</v>
      </c>
      <c r="AE1228" s="5">
        <v>0</v>
      </c>
      <c r="AF1228" s="6">
        <v>2843.9884178951679</v>
      </c>
      <c r="AG1228" s="5">
        <v>11375.95367158067</v>
      </c>
      <c r="AH1228" s="7">
        <f t="shared" si="152"/>
        <v>17558.804926108896</v>
      </c>
      <c r="AI1228" s="8">
        <f t="shared" si="153"/>
        <v>70235.219704435585</v>
      </c>
      <c r="AJ1228" s="6">
        <v>0</v>
      </c>
      <c r="AK1228" s="5">
        <v>0</v>
      </c>
      <c r="AL1228" s="6">
        <v>3000</v>
      </c>
      <c r="AM1228" s="5">
        <v>12508.530478535789</v>
      </c>
      <c r="AN1228" s="6">
        <v>3000</v>
      </c>
      <c r="AO1228" s="5">
        <v>12508.530478535789</v>
      </c>
      <c r="AP1228" s="6">
        <v>0</v>
      </c>
      <c r="AQ1228" s="5">
        <v>0</v>
      </c>
      <c r="AR1228" s="6">
        <v>3000</v>
      </c>
      <c r="AS1228" s="5">
        <v>12508.530478535789</v>
      </c>
      <c r="AT1228" s="6">
        <v>3000</v>
      </c>
      <c r="AU1228" s="5">
        <v>12508.530478535789</v>
      </c>
      <c r="AV1228" s="6">
        <v>0</v>
      </c>
      <c r="AW1228" s="5">
        <v>0</v>
      </c>
      <c r="AX1228" s="6">
        <v>0</v>
      </c>
      <c r="AY1228" s="5">
        <v>0</v>
      </c>
      <c r="AZ1228" s="6">
        <v>0</v>
      </c>
      <c r="BA1228" s="5">
        <v>0</v>
      </c>
      <c r="BB1228" s="6">
        <v>3000</v>
      </c>
      <c r="BC1228" s="5">
        <v>12508.530478535789</v>
      </c>
      <c r="BD1228" s="6">
        <v>0</v>
      </c>
      <c r="BE1228" s="5">
        <v>0</v>
      </c>
      <c r="BF1228" s="6">
        <v>3000</v>
      </c>
      <c r="BG1228" s="5">
        <v>12508.530478535789</v>
      </c>
      <c r="BH1228" s="9">
        <f t="shared" si="154"/>
        <v>18000</v>
      </c>
      <c r="BI1228" s="10">
        <f t="shared" si="155"/>
        <v>75051.18287121474</v>
      </c>
      <c r="BJ1228" s="6">
        <f t="shared" si="156"/>
        <v>441.19507389110368</v>
      </c>
      <c r="BK1228" s="11">
        <f t="shared" si="157"/>
        <v>2.5126714246655413E-2</v>
      </c>
      <c r="BL1228" s="5">
        <f t="shared" si="158"/>
        <v>4815.9631667791546</v>
      </c>
      <c r="BM1228" s="11">
        <f t="shared" si="159"/>
        <v>6.8569062459628224E-2</v>
      </c>
    </row>
    <row r="1229" spans="1:65" ht="15" customHeight="1" x14ac:dyDescent="0.4">
      <c r="A1229" s="2" t="s">
        <v>775</v>
      </c>
      <c r="B1229" s="2" t="s">
        <v>933</v>
      </c>
      <c r="C1229" s="2" t="s">
        <v>934</v>
      </c>
      <c r="D1229" s="3" t="s">
        <v>101</v>
      </c>
      <c r="E1229" s="3" t="s">
        <v>935</v>
      </c>
      <c r="F1229" s="2" t="s">
        <v>400</v>
      </c>
      <c r="G1229" s="4">
        <v>5</v>
      </c>
      <c r="H1229" s="5">
        <v>3.35</v>
      </c>
      <c r="I1229" s="5">
        <v>3.4919647585912421</v>
      </c>
      <c r="J1229" s="6">
        <v>0</v>
      </c>
      <c r="K1229" s="5">
        <v>0</v>
      </c>
      <c r="L1229" s="6">
        <v>0</v>
      </c>
      <c r="M1229" s="5">
        <v>0</v>
      </c>
      <c r="N1229" s="6">
        <v>791.38853935457064</v>
      </c>
      <c r="O1229" s="5">
        <v>2651.151606837811</v>
      </c>
      <c r="P1229" s="6">
        <v>0</v>
      </c>
      <c r="Q1229" s="5">
        <v>0</v>
      </c>
      <c r="R1229" s="6">
        <v>0</v>
      </c>
      <c r="S1229" s="5">
        <v>0</v>
      </c>
      <c r="T1229" s="6">
        <v>0</v>
      </c>
      <c r="U1229" s="5">
        <v>0</v>
      </c>
      <c r="V1229" s="6">
        <v>0</v>
      </c>
      <c r="W1229" s="5">
        <v>0</v>
      </c>
      <c r="X1229" s="6">
        <v>0</v>
      </c>
      <c r="Y1229" s="5">
        <v>0</v>
      </c>
      <c r="Z1229" s="6">
        <v>0</v>
      </c>
      <c r="AA1229" s="5">
        <v>0</v>
      </c>
      <c r="AB1229" s="6">
        <v>0</v>
      </c>
      <c r="AC1229" s="5">
        <v>0</v>
      </c>
      <c r="AD1229" s="6">
        <v>0</v>
      </c>
      <c r="AE1229" s="5">
        <v>0</v>
      </c>
      <c r="AF1229" s="6">
        <v>0</v>
      </c>
      <c r="AG1229" s="5">
        <v>0</v>
      </c>
      <c r="AH1229" s="7">
        <f t="shared" si="152"/>
        <v>791.38853935457064</v>
      </c>
      <c r="AI1229" s="8">
        <f t="shared" si="153"/>
        <v>2651.151606837811</v>
      </c>
      <c r="AJ1229" s="6">
        <v>0</v>
      </c>
      <c r="AK1229" s="5">
        <v>0</v>
      </c>
      <c r="AL1229" s="6">
        <v>0</v>
      </c>
      <c r="AM1229" s="5">
        <v>0</v>
      </c>
      <c r="AN1229" s="6">
        <v>915</v>
      </c>
      <c r="AO1229" s="5">
        <v>3195.1477541109862</v>
      </c>
      <c r="AP1229" s="6">
        <v>0</v>
      </c>
      <c r="AQ1229" s="5">
        <v>0</v>
      </c>
      <c r="AR1229" s="6">
        <v>0</v>
      </c>
      <c r="AS1229" s="5">
        <v>0</v>
      </c>
      <c r="AT1229" s="6">
        <v>0</v>
      </c>
      <c r="AU1229" s="5">
        <v>0</v>
      </c>
      <c r="AV1229" s="6">
        <v>0</v>
      </c>
      <c r="AW1229" s="5">
        <v>0</v>
      </c>
      <c r="AX1229" s="6">
        <v>0</v>
      </c>
      <c r="AY1229" s="5">
        <v>0</v>
      </c>
      <c r="AZ1229" s="6">
        <v>0</v>
      </c>
      <c r="BA1229" s="5">
        <v>0</v>
      </c>
      <c r="BB1229" s="6">
        <v>0</v>
      </c>
      <c r="BC1229" s="5">
        <v>0</v>
      </c>
      <c r="BD1229" s="6">
        <v>0</v>
      </c>
      <c r="BE1229" s="5">
        <v>0</v>
      </c>
      <c r="BF1229" s="6">
        <v>0</v>
      </c>
      <c r="BG1229" s="5">
        <v>0</v>
      </c>
      <c r="BH1229" s="9">
        <f t="shared" si="154"/>
        <v>915</v>
      </c>
      <c r="BI1229" s="10">
        <f t="shared" si="155"/>
        <v>3195.1477541109862</v>
      </c>
      <c r="BJ1229" s="6">
        <f t="shared" si="156"/>
        <v>123.61146064542936</v>
      </c>
      <c r="BK1229" s="11">
        <f t="shared" si="157"/>
        <v>0.15619566685441594</v>
      </c>
      <c r="BL1229" s="5">
        <f t="shared" si="158"/>
        <v>543.99614727317521</v>
      </c>
      <c r="BM1229" s="11">
        <f t="shared" si="159"/>
        <v>0.20519239483328996</v>
      </c>
    </row>
    <row r="1230" spans="1:65" ht="15" customHeight="1" x14ac:dyDescent="0.4">
      <c r="A1230" s="2" t="s">
        <v>775</v>
      </c>
      <c r="B1230" s="2" t="s">
        <v>933</v>
      </c>
      <c r="C1230" s="2" t="s">
        <v>934</v>
      </c>
      <c r="D1230" s="3" t="s">
        <v>101</v>
      </c>
      <c r="E1230" s="3" t="s">
        <v>936</v>
      </c>
      <c r="F1230" s="2" t="s">
        <v>400</v>
      </c>
      <c r="G1230" s="4">
        <v>20</v>
      </c>
      <c r="H1230" s="5">
        <v>3.09</v>
      </c>
      <c r="I1230" s="5">
        <v>3.2209465982229659</v>
      </c>
      <c r="J1230" s="6">
        <v>0</v>
      </c>
      <c r="K1230" s="5">
        <v>0</v>
      </c>
      <c r="L1230" s="6">
        <v>0</v>
      </c>
      <c r="M1230" s="5">
        <v>0</v>
      </c>
      <c r="N1230" s="6">
        <v>6014.5528990947369</v>
      </c>
      <c r="O1230" s="5">
        <v>18584.96845820274</v>
      </c>
      <c r="P1230" s="6">
        <v>0</v>
      </c>
      <c r="Q1230" s="5">
        <v>0</v>
      </c>
      <c r="R1230" s="6">
        <v>0</v>
      </c>
      <c r="S1230" s="5">
        <v>0</v>
      </c>
      <c r="T1230" s="6">
        <v>0</v>
      </c>
      <c r="U1230" s="5">
        <v>0</v>
      </c>
      <c r="V1230" s="6">
        <v>0</v>
      </c>
      <c r="W1230" s="5">
        <v>0</v>
      </c>
      <c r="X1230" s="6">
        <v>0</v>
      </c>
      <c r="Y1230" s="5">
        <v>0</v>
      </c>
      <c r="Z1230" s="6">
        <v>0</v>
      </c>
      <c r="AA1230" s="5">
        <v>0</v>
      </c>
      <c r="AB1230" s="6">
        <v>9100.762937264537</v>
      </c>
      <c r="AC1230" s="5">
        <v>28121.357476147419</v>
      </c>
      <c r="AD1230" s="6">
        <v>0</v>
      </c>
      <c r="AE1230" s="5">
        <v>0</v>
      </c>
      <c r="AF1230" s="6">
        <v>0</v>
      </c>
      <c r="AG1230" s="5">
        <v>0</v>
      </c>
      <c r="AH1230" s="7">
        <f t="shared" si="152"/>
        <v>15115.315836359274</v>
      </c>
      <c r="AI1230" s="8">
        <f t="shared" si="153"/>
        <v>46706.325934350156</v>
      </c>
      <c r="AJ1230" s="6">
        <v>0</v>
      </c>
      <c r="AK1230" s="5">
        <v>0</v>
      </c>
      <c r="AL1230" s="6">
        <v>0</v>
      </c>
      <c r="AM1230" s="5">
        <v>0</v>
      </c>
      <c r="AN1230" s="6">
        <v>6940</v>
      </c>
      <c r="AO1230" s="5">
        <v>22353.36939166738</v>
      </c>
      <c r="AP1230" s="6">
        <v>0</v>
      </c>
      <c r="AQ1230" s="5">
        <v>0</v>
      </c>
      <c r="AR1230" s="6">
        <v>0</v>
      </c>
      <c r="AS1230" s="5">
        <v>0</v>
      </c>
      <c r="AT1230" s="6">
        <v>0</v>
      </c>
      <c r="AU1230" s="5">
        <v>0</v>
      </c>
      <c r="AV1230" s="6">
        <v>0</v>
      </c>
      <c r="AW1230" s="5">
        <v>0</v>
      </c>
      <c r="AX1230" s="6">
        <v>0</v>
      </c>
      <c r="AY1230" s="5">
        <v>0</v>
      </c>
      <c r="AZ1230" s="6">
        <v>0</v>
      </c>
      <c r="BA1230" s="5">
        <v>0</v>
      </c>
      <c r="BB1230" s="6">
        <v>10520</v>
      </c>
      <c r="BC1230" s="5">
        <v>33884.358213305597</v>
      </c>
      <c r="BD1230" s="6">
        <v>0</v>
      </c>
      <c r="BE1230" s="5">
        <v>0</v>
      </c>
      <c r="BF1230" s="6">
        <v>0</v>
      </c>
      <c r="BG1230" s="5">
        <v>0</v>
      </c>
      <c r="BH1230" s="9">
        <f t="shared" si="154"/>
        <v>17460</v>
      </c>
      <c r="BI1230" s="10">
        <f t="shared" si="155"/>
        <v>56237.727604972977</v>
      </c>
      <c r="BJ1230" s="6">
        <f t="shared" si="156"/>
        <v>2344.6841636407262</v>
      </c>
      <c r="BK1230" s="11">
        <f t="shared" si="157"/>
        <v>0.15511975991931867</v>
      </c>
      <c r="BL1230" s="5">
        <f t="shared" si="158"/>
        <v>9531.4016706228213</v>
      </c>
      <c r="BM1230" s="11">
        <f t="shared" si="159"/>
        <v>0.20407089360914502</v>
      </c>
    </row>
    <row r="1231" spans="1:65" ht="15" customHeight="1" x14ac:dyDescent="0.4">
      <c r="A1231" s="2" t="s">
        <v>775</v>
      </c>
      <c r="B1231" s="2" t="s">
        <v>933</v>
      </c>
      <c r="C1231" s="2" t="s">
        <v>934</v>
      </c>
      <c r="D1231" s="3" t="s">
        <v>101</v>
      </c>
      <c r="E1231" s="3" t="s">
        <v>936</v>
      </c>
      <c r="F1231" s="2" t="s">
        <v>83</v>
      </c>
      <c r="G1231" s="4">
        <v>20</v>
      </c>
      <c r="H1231" s="5">
        <v>3.09</v>
      </c>
      <c r="I1231" s="5">
        <v>3.2209465982229659</v>
      </c>
      <c r="J1231" s="6">
        <v>0</v>
      </c>
      <c r="K1231" s="5">
        <v>0</v>
      </c>
      <c r="L1231" s="6">
        <v>0</v>
      </c>
      <c r="M1231" s="5">
        <v>0</v>
      </c>
      <c r="N1231" s="6">
        <v>0</v>
      </c>
      <c r="O1231" s="5">
        <v>0</v>
      </c>
      <c r="P1231" s="6">
        <v>0</v>
      </c>
      <c r="Q1231" s="5">
        <v>0</v>
      </c>
      <c r="R1231" s="6">
        <v>0</v>
      </c>
      <c r="S1231" s="5">
        <v>0</v>
      </c>
      <c r="T1231" s="6">
        <v>0</v>
      </c>
      <c r="U1231" s="5">
        <v>0</v>
      </c>
      <c r="V1231" s="6">
        <v>0</v>
      </c>
      <c r="W1231" s="5">
        <v>0</v>
      </c>
      <c r="X1231" s="6">
        <v>0</v>
      </c>
      <c r="Y1231" s="5">
        <v>0</v>
      </c>
      <c r="Z1231" s="6">
        <v>0</v>
      </c>
      <c r="AA1231" s="5">
        <v>0</v>
      </c>
      <c r="AB1231" s="6">
        <v>0</v>
      </c>
      <c r="AC1231" s="5">
        <v>0</v>
      </c>
      <c r="AD1231" s="6">
        <v>15926.335140212939</v>
      </c>
      <c r="AE1231" s="5">
        <v>49212.375583257977</v>
      </c>
      <c r="AF1231" s="6">
        <v>0</v>
      </c>
      <c r="AG1231" s="5">
        <v>0</v>
      </c>
      <c r="AH1231" s="7">
        <f t="shared" si="152"/>
        <v>15926.335140212939</v>
      </c>
      <c r="AI1231" s="8">
        <f t="shared" si="153"/>
        <v>49212.375583257977</v>
      </c>
      <c r="AJ1231" s="6">
        <v>0</v>
      </c>
      <c r="AK1231" s="5">
        <v>0</v>
      </c>
      <c r="AL1231" s="6">
        <v>0</v>
      </c>
      <c r="AM1231" s="5">
        <v>0</v>
      </c>
      <c r="AN1231" s="6">
        <v>0</v>
      </c>
      <c r="AO1231" s="5">
        <v>0</v>
      </c>
      <c r="AP1231" s="6">
        <v>0</v>
      </c>
      <c r="AQ1231" s="5">
        <v>0</v>
      </c>
      <c r="AR1231" s="6">
        <v>0</v>
      </c>
      <c r="AS1231" s="5">
        <v>0</v>
      </c>
      <c r="AT1231" s="6">
        <v>0</v>
      </c>
      <c r="AU1231" s="5">
        <v>0</v>
      </c>
      <c r="AV1231" s="6">
        <v>0</v>
      </c>
      <c r="AW1231" s="5">
        <v>0</v>
      </c>
      <c r="AX1231" s="6">
        <v>0</v>
      </c>
      <c r="AY1231" s="5">
        <v>0</v>
      </c>
      <c r="AZ1231" s="6">
        <v>0</v>
      </c>
      <c r="BA1231" s="5">
        <v>0</v>
      </c>
      <c r="BB1231" s="6">
        <v>0</v>
      </c>
      <c r="BC1231" s="5">
        <v>0</v>
      </c>
      <c r="BD1231" s="6">
        <v>18400</v>
      </c>
      <c r="BE1231" s="5">
        <v>59265.417407302579</v>
      </c>
      <c r="BF1231" s="6">
        <v>0</v>
      </c>
      <c r="BG1231" s="5">
        <v>0</v>
      </c>
      <c r="BH1231" s="9">
        <f t="shared" si="154"/>
        <v>18400</v>
      </c>
      <c r="BI1231" s="10">
        <f t="shared" si="155"/>
        <v>59265.417407302579</v>
      </c>
      <c r="BJ1231" s="6">
        <f t="shared" si="156"/>
        <v>2473.6648597870608</v>
      </c>
      <c r="BK1231" s="11">
        <f t="shared" si="157"/>
        <v>0.15531915145633354</v>
      </c>
      <c r="BL1231" s="5">
        <f t="shared" si="158"/>
        <v>10053.041824044602</v>
      </c>
      <c r="BM1231" s="11">
        <f t="shared" si="159"/>
        <v>0.20427873486897147</v>
      </c>
    </row>
    <row r="1232" spans="1:65" ht="15" customHeight="1" x14ac:dyDescent="0.4">
      <c r="A1232" s="2" t="s">
        <v>775</v>
      </c>
      <c r="B1232" s="2" t="s">
        <v>933</v>
      </c>
      <c r="C1232" s="2" t="s">
        <v>934</v>
      </c>
      <c r="D1232" s="3" t="s">
        <v>101</v>
      </c>
      <c r="E1232" s="3" t="s">
        <v>937</v>
      </c>
      <c r="F1232" s="2" t="s">
        <v>308</v>
      </c>
      <c r="G1232" s="4">
        <v>20</v>
      </c>
      <c r="H1232" s="5">
        <v>1.7</v>
      </c>
      <c r="I1232" s="5">
        <v>1.7729821424504599</v>
      </c>
      <c r="J1232" s="6">
        <v>43526.369664501377</v>
      </c>
      <c r="K1232" s="5">
        <v>73994.828429652349</v>
      </c>
      <c r="L1232" s="6">
        <v>0</v>
      </c>
      <c r="M1232" s="5">
        <v>0</v>
      </c>
      <c r="N1232" s="6">
        <v>0</v>
      </c>
      <c r="O1232" s="5">
        <v>0</v>
      </c>
      <c r="P1232" s="6">
        <v>0</v>
      </c>
      <c r="Q1232" s="5">
        <v>0</v>
      </c>
      <c r="R1232" s="6">
        <v>21763.184832250688</v>
      </c>
      <c r="S1232" s="5">
        <v>36997.414214826167</v>
      </c>
      <c r="T1232" s="6">
        <v>0</v>
      </c>
      <c r="U1232" s="5">
        <v>0</v>
      </c>
      <c r="V1232" s="6">
        <v>0</v>
      </c>
      <c r="W1232" s="5">
        <v>0</v>
      </c>
      <c r="X1232" s="6">
        <v>0</v>
      </c>
      <c r="Y1232" s="5">
        <v>0</v>
      </c>
      <c r="Z1232" s="6">
        <v>0</v>
      </c>
      <c r="AA1232" s="5">
        <v>0</v>
      </c>
      <c r="AB1232" s="6">
        <v>0</v>
      </c>
      <c r="AC1232" s="5">
        <v>0</v>
      </c>
      <c r="AD1232" s="6">
        <v>0</v>
      </c>
      <c r="AE1232" s="5">
        <v>0</v>
      </c>
      <c r="AF1232" s="6">
        <v>0</v>
      </c>
      <c r="AG1232" s="5">
        <v>0</v>
      </c>
      <c r="AH1232" s="7">
        <f t="shared" si="152"/>
        <v>65289.554496752069</v>
      </c>
      <c r="AI1232" s="8">
        <f t="shared" si="153"/>
        <v>110992.24264447851</v>
      </c>
      <c r="AJ1232" s="6">
        <v>50260</v>
      </c>
      <c r="AK1232" s="5">
        <v>89098.262598610439</v>
      </c>
      <c r="AL1232" s="6">
        <v>0</v>
      </c>
      <c r="AM1232" s="5">
        <v>0</v>
      </c>
      <c r="AN1232" s="6">
        <v>0</v>
      </c>
      <c r="AO1232" s="5">
        <v>0</v>
      </c>
      <c r="AP1232" s="6">
        <v>0</v>
      </c>
      <c r="AQ1232" s="5">
        <v>0</v>
      </c>
      <c r="AR1232" s="6">
        <v>25120</v>
      </c>
      <c r="AS1232" s="5">
        <v>44549.13129930522</v>
      </c>
      <c r="AT1232" s="6">
        <v>0</v>
      </c>
      <c r="AU1232" s="5">
        <v>0</v>
      </c>
      <c r="AV1232" s="6">
        <v>0</v>
      </c>
      <c r="AW1232" s="5">
        <v>0</v>
      </c>
      <c r="AX1232" s="6">
        <v>0</v>
      </c>
      <c r="AY1232" s="5">
        <v>0</v>
      </c>
      <c r="AZ1232" s="6">
        <v>0</v>
      </c>
      <c r="BA1232" s="5">
        <v>0</v>
      </c>
      <c r="BB1232" s="6">
        <v>0</v>
      </c>
      <c r="BC1232" s="5">
        <v>0</v>
      </c>
      <c r="BD1232" s="6">
        <v>0</v>
      </c>
      <c r="BE1232" s="5">
        <v>0</v>
      </c>
      <c r="BF1232" s="6">
        <v>0</v>
      </c>
      <c r="BG1232" s="5">
        <v>0</v>
      </c>
      <c r="BH1232" s="9">
        <f t="shared" si="154"/>
        <v>75380</v>
      </c>
      <c r="BI1232" s="10">
        <f t="shared" si="155"/>
        <v>133647.39389791567</v>
      </c>
      <c r="BJ1232" s="6">
        <f t="shared" si="156"/>
        <v>10090.445503247931</v>
      </c>
      <c r="BK1232" s="11">
        <f t="shared" si="157"/>
        <v>0.15454915538977826</v>
      </c>
      <c r="BL1232" s="5">
        <f t="shared" si="158"/>
        <v>22655.151253437158</v>
      </c>
      <c r="BM1232" s="11">
        <f t="shared" si="159"/>
        <v>0.20411472652196361</v>
      </c>
    </row>
    <row r="1233" spans="1:65" ht="15" customHeight="1" x14ac:dyDescent="0.4">
      <c r="A1233" s="2" t="s">
        <v>775</v>
      </c>
      <c r="B1233" s="2" t="s">
        <v>933</v>
      </c>
      <c r="C1233" s="2" t="s">
        <v>934</v>
      </c>
      <c r="D1233" s="3" t="s">
        <v>101</v>
      </c>
      <c r="E1233" s="3" t="s">
        <v>937</v>
      </c>
      <c r="F1233" s="2" t="s">
        <v>87</v>
      </c>
      <c r="G1233" s="4">
        <v>20</v>
      </c>
      <c r="H1233" s="5">
        <v>1.7175</v>
      </c>
      <c r="I1233" s="5">
        <v>1.7908778840801529</v>
      </c>
      <c r="J1233" s="6">
        <v>0</v>
      </c>
      <c r="K1233" s="5">
        <v>0</v>
      </c>
      <c r="L1233" s="6">
        <v>0</v>
      </c>
      <c r="M1233" s="5">
        <v>0</v>
      </c>
      <c r="N1233" s="6">
        <v>0</v>
      </c>
      <c r="O1233" s="5">
        <v>0</v>
      </c>
      <c r="P1233" s="6">
        <v>0</v>
      </c>
      <c r="Q1233" s="5">
        <v>0</v>
      </c>
      <c r="R1233" s="6">
        <v>21763.184832250688</v>
      </c>
      <c r="S1233" s="5">
        <v>36997.414214826167</v>
      </c>
      <c r="T1233" s="6">
        <v>7617.1146912877421</v>
      </c>
      <c r="U1233" s="5">
        <v>13177.608415927791</v>
      </c>
      <c r="V1233" s="6">
        <v>0</v>
      </c>
      <c r="W1233" s="5">
        <v>0</v>
      </c>
      <c r="X1233" s="6">
        <v>22851.344073863231</v>
      </c>
      <c r="Y1233" s="5">
        <v>39532.825247783381</v>
      </c>
      <c r="Z1233" s="6">
        <v>0</v>
      </c>
      <c r="AA1233" s="5">
        <v>0</v>
      </c>
      <c r="AB1233" s="6">
        <v>0</v>
      </c>
      <c r="AC1233" s="5">
        <v>0</v>
      </c>
      <c r="AD1233" s="6">
        <v>0</v>
      </c>
      <c r="AE1233" s="5">
        <v>0</v>
      </c>
      <c r="AF1233" s="6">
        <v>0</v>
      </c>
      <c r="AG1233" s="5">
        <v>0</v>
      </c>
      <c r="AH1233" s="7">
        <f t="shared" si="152"/>
        <v>52231.643597401664</v>
      </c>
      <c r="AI1233" s="8">
        <f t="shared" si="153"/>
        <v>89707.847878537345</v>
      </c>
      <c r="AJ1233" s="6">
        <v>0</v>
      </c>
      <c r="AK1233" s="5">
        <v>0</v>
      </c>
      <c r="AL1233" s="6">
        <v>0</v>
      </c>
      <c r="AM1233" s="5">
        <v>0</v>
      </c>
      <c r="AN1233" s="6">
        <v>0</v>
      </c>
      <c r="AO1233" s="5">
        <v>0</v>
      </c>
      <c r="AP1233" s="6">
        <v>0</v>
      </c>
      <c r="AQ1233" s="5">
        <v>0</v>
      </c>
      <c r="AR1233" s="6">
        <v>25120</v>
      </c>
      <c r="AS1233" s="5">
        <v>44549.13129930522</v>
      </c>
      <c r="AT1233" s="6">
        <v>8800</v>
      </c>
      <c r="AU1233" s="5">
        <v>15869.15566710241</v>
      </c>
      <c r="AV1233" s="6">
        <v>0</v>
      </c>
      <c r="AW1233" s="5">
        <v>0</v>
      </c>
      <c r="AX1233" s="6">
        <v>26400</v>
      </c>
      <c r="AY1233" s="5">
        <v>47607.467001307217</v>
      </c>
      <c r="AZ1233" s="6">
        <v>0</v>
      </c>
      <c r="BA1233" s="5">
        <v>0</v>
      </c>
      <c r="BB1233" s="6">
        <v>0</v>
      </c>
      <c r="BC1233" s="5">
        <v>0</v>
      </c>
      <c r="BD1233" s="6">
        <v>0</v>
      </c>
      <c r="BE1233" s="5">
        <v>0</v>
      </c>
      <c r="BF1233" s="6">
        <v>0</v>
      </c>
      <c r="BG1233" s="5">
        <v>0</v>
      </c>
      <c r="BH1233" s="9">
        <f t="shared" si="154"/>
        <v>60320</v>
      </c>
      <c r="BI1233" s="10">
        <f t="shared" si="155"/>
        <v>108025.75396771485</v>
      </c>
      <c r="BJ1233" s="6">
        <f t="shared" si="156"/>
        <v>8088.356402598336</v>
      </c>
      <c r="BK1233" s="11">
        <f t="shared" si="157"/>
        <v>0.15485548310412928</v>
      </c>
      <c r="BL1233" s="5">
        <f t="shared" si="158"/>
        <v>18317.906089177501</v>
      </c>
      <c r="BM1233" s="11">
        <f t="shared" si="159"/>
        <v>0.20419513478887136</v>
      </c>
    </row>
    <row r="1234" spans="1:65" ht="15" customHeight="1" x14ac:dyDescent="0.4">
      <c r="A1234" s="2" t="s">
        <v>775</v>
      </c>
      <c r="B1234" s="2" t="s">
        <v>933</v>
      </c>
      <c r="C1234" s="2" t="s">
        <v>934</v>
      </c>
      <c r="D1234" s="3" t="s">
        <v>101</v>
      </c>
      <c r="E1234" s="3" t="s">
        <v>937</v>
      </c>
      <c r="F1234" s="2" t="s">
        <v>938</v>
      </c>
      <c r="G1234" s="4">
        <v>20</v>
      </c>
      <c r="H1234" s="5">
        <v>1.644814814814815</v>
      </c>
      <c r="I1234" s="5">
        <v>1.7159432222333479</v>
      </c>
      <c r="J1234" s="6">
        <v>0</v>
      </c>
      <c r="K1234" s="5">
        <v>0</v>
      </c>
      <c r="L1234" s="6">
        <v>0</v>
      </c>
      <c r="M1234" s="5">
        <v>0</v>
      </c>
      <c r="N1234" s="6">
        <v>0</v>
      </c>
      <c r="O1234" s="5">
        <v>0</v>
      </c>
      <c r="P1234" s="6">
        <v>0</v>
      </c>
      <c r="Q1234" s="5">
        <v>0</v>
      </c>
      <c r="R1234" s="6">
        <v>0</v>
      </c>
      <c r="S1234" s="5">
        <v>0</v>
      </c>
      <c r="T1234" s="6">
        <v>0</v>
      </c>
      <c r="U1234" s="5">
        <v>0</v>
      </c>
      <c r="V1234" s="6">
        <v>0</v>
      </c>
      <c r="W1234" s="5">
        <v>0</v>
      </c>
      <c r="X1234" s="6">
        <v>0</v>
      </c>
      <c r="Y1234" s="5">
        <v>0</v>
      </c>
      <c r="Z1234" s="6">
        <v>20855.91506456456</v>
      </c>
      <c r="AA1234" s="5">
        <v>34304.118074715283</v>
      </c>
      <c r="AB1234" s="6">
        <v>0</v>
      </c>
      <c r="AC1234" s="5">
        <v>0</v>
      </c>
      <c r="AD1234" s="6">
        <v>20855.91506456456</v>
      </c>
      <c r="AE1234" s="5">
        <v>34304.118074715283</v>
      </c>
      <c r="AF1234" s="6">
        <v>20855.91506456456</v>
      </c>
      <c r="AG1234" s="5">
        <v>34304.118074715283</v>
      </c>
      <c r="AH1234" s="7">
        <f t="shared" si="152"/>
        <v>62567.745193693685</v>
      </c>
      <c r="AI1234" s="8">
        <f t="shared" si="153"/>
        <v>102912.35422414585</v>
      </c>
      <c r="AJ1234" s="6">
        <v>0</v>
      </c>
      <c r="AK1234" s="5">
        <v>0</v>
      </c>
      <c r="AL1234" s="6">
        <v>0</v>
      </c>
      <c r="AM1234" s="5">
        <v>0</v>
      </c>
      <c r="AN1234" s="6">
        <v>0</v>
      </c>
      <c r="AO1234" s="5">
        <v>0</v>
      </c>
      <c r="AP1234" s="6">
        <v>0</v>
      </c>
      <c r="AQ1234" s="5">
        <v>0</v>
      </c>
      <c r="AR1234" s="6">
        <v>0</v>
      </c>
      <c r="AS1234" s="5">
        <v>0</v>
      </c>
      <c r="AT1234" s="6">
        <v>0</v>
      </c>
      <c r="AU1234" s="5">
        <v>0</v>
      </c>
      <c r="AV1234" s="6">
        <v>0</v>
      </c>
      <c r="AW1234" s="5">
        <v>0</v>
      </c>
      <c r="AX1234" s="6">
        <v>0</v>
      </c>
      <c r="AY1234" s="5">
        <v>0</v>
      </c>
      <c r="AZ1234" s="6">
        <v>24060</v>
      </c>
      <c r="BA1234" s="5">
        <v>41285.593926934358</v>
      </c>
      <c r="BB1234" s="6">
        <v>0</v>
      </c>
      <c r="BC1234" s="5">
        <v>0</v>
      </c>
      <c r="BD1234" s="6">
        <v>24060</v>
      </c>
      <c r="BE1234" s="5">
        <v>41285.593926934358</v>
      </c>
      <c r="BF1234" s="6">
        <v>24060</v>
      </c>
      <c r="BG1234" s="5">
        <v>41285.593926934358</v>
      </c>
      <c r="BH1234" s="9">
        <f t="shared" si="154"/>
        <v>72180</v>
      </c>
      <c r="BI1234" s="10">
        <f t="shared" si="155"/>
        <v>123856.78178080308</v>
      </c>
      <c r="BJ1234" s="6">
        <f t="shared" si="156"/>
        <v>9612.254806306315</v>
      </c>
      <c r="BK1234" s="11">
        <f t="shared" si="157"/>
        <v>0.15362955427831448</v>
      </c>
      <c r="BL1234" s="5">
        <f t="shared" si="158"/>
        <v>20944.427556657232</v>
      </c>
      <c r="BM1234" s="11">
        <f t="shared" si="159"/>
        <v>0.20351713566905399</v>
      </c>
    </row>
    <row r="1235" spans="1:65" ht="15" customHeight="1" x14ac:dyDescent="0.4">
      <c r="A1235" s="2" t="s">
        <v>775</v>
      </c>
      <c r="B1235" s="2" t="s">
        <v>933</v>
      </c>
      <c r="C1235" s="2" t="s">
        <v>934</v>
      </c>
      <c r="D1235" s="3" t="s">
        <v>101</v>
      </c>
      <c r="E1235" s="3" t="s">
        <v>937</v>
      </c>
      <c r="F1235" s="2" t="s">
        <v>939</v>
      </c>
      <c r="G1235" s="4">
        <v>20</v>
      </c>
      <c r="H1235" s="5">
        <v>1.644814814814815</v>
      </c>
      <c r="I1235" s="5">
        <v>1.7159432222333479</v>
      </c>
      <c r="J1235" s="6">
        <v>0</v>
      </c>
      <c r="K1235" s="5">
        <v>0</v>
      </c>
      <c r="L1235" s="6">
        <v>0</v>
      </c>
      <c r="M1235" s="5">
        <v>0</v>
      </c>
      <c r="N1235" s="6">
        <v>0</v>
      </c>
      <c r="O1235" s="5">
        <v>0</v>
      </c>
      <c r="P1235" s="6">
        <v>0</v>
      </c>
      <c r="Q1235" s="5">
        <v>0</v>
      </c>
      <c r="R1235" s="6">
        <v>0</v>
      </c>
      <c r="S1235" s="5">
        <v>0</v>
      </c>
      <c r="T1235" s="6">
        <v>0</v>
      </c>
      <c r="U1235" s="5">
        <v>0</v>
      </c>
      <c r="V1235" s="6">
        <v>0</v>
      </c>
      <c r="W1235" s="5">
        <v>0</v>
      </c>
      <c r="X1235" s="6">
        <v>0</v>
      </c>
      <c r="Y1235" s="5">
        <v>0</v>
      </c>
      <c r="Z1235" s="6">
        <v>20855.91506456456</v>
      </c>
      <c r="AA1235" s="5">
        <v>34304.118074715283</v>
      </c>
      <c r="AB1235" s="6">
        <v>20855.91506456456</v>
      </c>
      <c r="AC1235" s="5">
        <v>34304.118074715283</v>
      </c>
      <c r="AD1235" s="6">
        <v>20855.91506456456</v>
      </c>
      <c r="AE1235" s="5">
        <v>34304.118074715283</v>
      </c>
      <c r="AF1235" s="6">
        <v>20855.91506456456</v>
      </c>
      <c r="AG1235" s="5">
        <v>34304.118074715283</v>
      </c>
      <c r="AH1235" s="7">
        <f t="shared" si="152"/>
        <v>83423.660258258242</v>
      </c>
      <c r="AI1235" s="8">
        <f t="shared" si="153"/>
        <v>137216.47229886113</v>
      </c>
      <c r="AJ1235" s="6">
        <v>0</v>
      </c>
      <c r="AK1235" s="5">
        <v>0</v>
      </c>
      <c r="AL1235" s="6">
        <v>0</v>
      </c>
      <c r="AM1235" s="5">
        <v>0</v>
      </c>
      <c r="AN1235" s="6">
        <v>0</v>
      </c>
      <c r="AO1235" s="5">
        <v>0</v>
      </c>
      <c r="AP1235" s="6">
        <v>0</v>
      </c>
      <c r="AQ1235" s="5">
        <v>0</v>
      </c>
      <c r="AR1235" s="6">
        <v>0</v>
      </c>
      <c r="AS1235" s="5">
        <v>0</v>
      </c>
      <c r="AT1235" s="6">
        <v>0</v>
      </c>
      <c r="AU1235" s="5">
        <v>0</v>
      </c>
      <c r="AV1235" s="6">
        <v>0</v>
      </c>
      <c r="AW1235" s="5">
        <v>0</v>
      </c>
      <c r="AX1235" s="6">
        <v>0</v>
      </c>
      <c r="AY1235" s="5">
        <v>0</v>
      </c>
      <c r="AZ1235" s="6">
        <v>24060</v>
      </c>
      <c r="BA1235" s="5">
        <v>41285.593926934358</v>
      </c>
      <c r="BB1235" s="6">
        <v>24060</v>
      </c>
      <c r="BC1235" s="5">
        <v>41285.593926934358</v>
      </c>
      <c r="BD1235" s="6">
        <v>24060</v>
      </c>
      <c r="BE1235" s="5">
        <v>41285.593926934358</v>
      </c>
      <c r="BF1235" s="6">
        <v>24060</v>
      </c>
      <c r="BG1235" s="5">
        <v>41285.593926934358</v>
      </c>
      <c r="BH1235" s="9">
        <f t="shared" si="154"/>
        <v>96240</v>
      </c>
      <c r="BI1235" s="10">
        <f t="shared" si="155"/>
        <v>165142.37570773743</v>
      </c>
      <c r="BJ1235" s="6">
        <f t="shared" si="156"/>
        <v>12816.339741741758</v>
      </c>
      <c r="BK1235" s="11">
        <f t="shared" si="157"/>
        <v>0.15362955427831457</v>
      </c>
      <c r="BL1235" s="5">
        <f t="shared" si="158"/>
        <v>27925.9034088763</v>
      </c>
      <c r="BM1235" s="11">
        <f t="shared" si="159"/>
        <v>0.20351713566905391</v>
      </c>
    </row>
    <row r="1236" spans="1:65" ht="15" customHeight="1" x14ac:dyDescent="0.4">
      <c r="A1236" s="2" t="s">
        <v>775</v>
      </c>
      <c r="B1236" s="2" t="s">
        <v>933</v>
      </c>
      <c r="C1236" s="2" t="s">
        <v>934</v>
      </c>
      <c r="D1236" s="3" t="s">
        <v>101</v>
      </c>
      <c r="E1236" s="3" t="s">
        <v>940</v>
      </c>
      <c r="F1236" s="2" t="s">
        <v>941</v>
      </c>
      <c r="G1236" s="4">
        <v>1000</v>
      </c>
      <c r="H1236" s="5">
        <v>1.62</v>
      </c>
      <c r="I1236" s="5">
        <v>1.688651614602332</v>
      </c>
      <c r="J1236" s="6">
        <v>0</v>
      </c>
      <c r="K1236" s="5">
        <v>0</v>
      </c>
      <c r="L1236" s="6">
        <v>0</v>
      </c>
      <c r="M1236" s="5">
        <v>0</v>
      </c>
      <c r="N1236" s="6">
        <v>0</v>
      </c>
      <c r="O1236" s="5">
        <v>0</v>
      </c>
      <c r="P1236" s="6">
        <v>0</v>
      </c>
      <c r="Q1236" s="5">
        <v>0</v>
      </c>
      <c r="R1236" s="6">
        <v>0</v>
      </c>
      <c r="S1236" s="5">
        <v>0</v>
      </c>
      <c r="T1236" s="6">
        <v>15432.076517414131</v>
      </c>
      <c r="U1236" s="5">
        <v>24999.963958210879</v>
      </c>
      <c r="V1236" s="6">
        <v>0</v>
      </c>
      <c r="W1236" s="5">
        <v>0</v>
      </c>
      <c r="X1236" s="6">
        <v>0</v>
      </c>
      <c r="Y1236" s="5">
        <v>0</v>
      </c>
      <c r="Z1236" s="6">
        <v>0</v>
      </c>
      <c r="AA1236" s="5">
        <v>0</v>
      </c>
      <c r="AB1236" s="6">
        <v>0</v>
      </c>
      <c r="AC1236" s="5">
        <v>0</v>
      </c>
      <c r="AD1236" s="6">
        <v>0</v>
      </c>
      <c r="AE1236" s="5">
        <v>0</v>
      </c>
      <c r="AF1236" s="6">
        <v>0</v>
      </c>
      <c r="AG1236" s="5">
        <v>0</v>
      </c>
      <c r="AH1236" s="7">
        <f t="shared" si="152"/>
        <v>15432.076517414131</v>
      </c>
      <c r="AI1236" s="8">
        <f t="shared" si="153"/>
        <v>24999.963958210879</v>
      </c>
      <c r="AJ1236" s="6">
        <v>0</v>
      </c>
      <c r="AK1236" s="5">
        <v>0</v>
      </c>
      <c r="AL1236" s="6">
        <v>0</v>
      </c>
      <c r="AM1236" s="5">
        <v>0</v>
      </c>
      <c r="AN1236" s="6">
        <v>0</v>
      </c>
      <c r="AO1236" s="5">
        <v>0</v>
      </c>
      <c r="AP1236" s="6">
        <v>0</v>
      </c>
      <c r="AQ1236" s="5">
        <v>0</v>
      </c>
      <c r="AR1236" s="6">
        <v>0</v>
      </c>
      <c r="AS1236" s="5">
        <v>0</v>
      </c>
      <c r="AT1236" s="6">
        <v>18000</v>
      </c>
      <c r="AU1236" s="5">
        <v>30395.729062841969</v>
      </c>
      <c r="AV1236" s="6">
        <v>0</v>
      </c>
      <c r="AW1236" s="5">
        <v>0</v>
      </c>
      <c r="AX1236" s="6">
        <v>0</v>
      </c>
      <c r="AY1236" s="5">
        <v>0</v>
      </c>
      <c r="AZ1236" s="6">
        <v>0</v>
      </c>
      <c r="BA1236" s="5">
        <v>0</v>
      </c>
      <c r="BB1236" s="6">
        <v>0</v>
      </c>
      <c r="BC1236" s="5">
        <v>0</v>
      </c>
      <c r="BD1236" s="6">
        <v>0</v>
      </c>
      <c r="BE1236" s="5">
        <v>0</v>
      </c>
      <c r="BF1236" s="6">
        <v>0</v>
      </c>
      <c r="BG1236" s="5">
        <v>0</v>
      </c>
      <c r="BH1236" s="9">
        <f t="shared" si="154"/>
        <v>18000</v>
      </c>
      <c r="BI1236" s="10">
        <f t="shared" si="155"/>
        <v>30395.729062841969</v>
      </c>
      <c r="BJ1236" s="6">
        <f t="shared" si="156"/>
        <v>2567.9234825858694</v>
      </c>
      <c r="BK1236" s="11">
        <f t="shared" si="157"/>
        <v>0.16640168156813689</v>
      </c>
      <c r="BL1236" s="5">
        <f t="shared" si="158"/>
        <v>5395.7651046310893</v>
      </c>
      <c r="BM1236" s="11">
        <f t="shared" si="159"/>
        <v>0.21583091534253704</v>
      </c>
    </row>
    <row r="1237" spans="1:65" ht="15" customHeight="1" x14ac:dyDescent="0.4">
      <c r="A1237" s="2" t="s">
        <v>775</v>
      </c>
      <c r="B1237" s="2" t="s">
        <v>933</v>
      </c>
      <c r="C1237" s="2" t="s">
        <v>934</v>
      </c>
      <c r="D1237" s="3" t="s">
        <v>101</v>
      </c>
      <c r="E1237" s="3" t="s">
        <v>942</v>
      </c>
      <c r="F1237" s="2" t="s">
        <v>293</v>
      </c>
      <c r="G1237" s="4">
        <v>20</v>
      </c>
      <c r="H1237" s="5">
        <v>3.72</v>
      </c>
      <c r="I1237" s="5">
        <v>3.877644448346095</v>
      </c>
      <c r="J1237" s="6">
        <v>0</v>
      </c>
      <c r="K1237" s="5">
        <v>0</v>
      </c>
      <c r="L1237" s="6">
        <v>0</v>
      </c>
      <c r="M1237" s="5">
        <v>0</v>
      </c>
      <c r="N1237" s="6">
        <v>7913.8853935457046</v>
      </c>
      <c r="O1237" s="5">
        <v>29439.65366399003</v>
      </c>
      <c r="P1237" s="6">
        <v>0</v>
      </c>
      <c r="Q1237" s="5">
        <v>0</v>
      </c>
      <c r="R1237" s="6">
        <v>0</v>
      </c>
      <c r="S1237" s="5">
        <v>0</v>
      </c>
      <c r="T1237" s="6">
        <v>0</v>
      </c>
      <c r="U1237" s="5">
        <v>0</v>
      </c>
      <c r="V1237" s="6">
        <v>0</v>
      </c>
      <c r="W1237" s="5">
        <v>0</v>
      </c>
      <c r="X1237" s="6">
        <v>0</v>
      </c>
      <c r="Y1237" s="5">
        <v>0</v>
      </c>
      <c r="Z1237" s="6">
        <v>0</v>
      </c>
      <c r="AA1237" s="5">
        <v>0</v>
      </c>
      <c r="AB1237" s="6">
        <v>0</v>
      </c>
      <c r="AC1237" s="5">
        <v>0</v>
      </c>
      <c r="AD1237" s="6">
        <v>0</v>
      </c>
      <c r="AE1237" s="5">
        <v>0</v>
      </c>
      <c r="AF1237" s="6">
        <v>0</v>
      </c>
      <c r="AG1237" s="5">
        <v>0</v>
      </c>
      <c r="AH1237" s="7">
        <f t="shared" si="152"/>
        <v>7913.8853935457046</v>
      </c>
      <c r="AI1237" s="8">
        <f t="shared" si="153"/>
        <v>29439.65366399003</v>
      </c>
      <c r="AJ1237" s="6">
        <v>0</v>
      </c>
      <c r="AK1237" s="5">
        <v>0</v>
      </c>
      <c r="AL1237" s="6">
        <v>0</v>
      </c>
      <c r="AM1237" s="5">
        <v>0</v>
      </c>
      <c r="AN1237" s="6">
        <v>9000</v>
      </c>
      <c r="AO1237" s="5">
        <v>34898.800035114858</v>
      </c>
      <c r="AP1237" s="6">
        <v>0</v>
      </c>
      <c r="AQ1237" s="5">
        <v>0</v>
      </c>
      <c r="AR1237" s="6">
        <v>0</v>
      </c>
      <c r="AS1237" s="5">
        <v>0</v>
      </c>
      <c r="AT1237" s="6">
        <v>0</v>
      </c>
      <c r="AU1237" s="5">
        <v>0</v>
      </c>
      <c r="AV1237" s="6">
        <v>0</v>
      </c>
      <c r="AW1237" s="5">
        <v>0</v>
      </c>
      <c r="AX1237" s="6">
        <v>0</v>
      </c>
      <c r="AY1237" s="5">
        <v>0</v>
      </c>
      <c r="AZ1237" s="6">
        <v>0</v>
      </c>
      <c r="BA1237" s="5">
        <v>0</v>
      </c>
      <c r="BB1237" s="6">
        <v>0</v>
      </c>
      <c r="BC1237" s="5">
        <v>0</v>
      </c>
      <c r="BD1237" s="6">
        <v>0</v>
      </c>
      <c r="BE1237" s="5">
        <v>0</v>
      </c>
      <c r="BF1237" s="6">
        <v>0</v>
      </c>
      <c r="BG1237" s="5">
        <v>0</v>
      </c>
      <c r="BH1237" s="9">
        <f t="shared" si="154"/>
        <v>9000</v>
      </c>
      <c r="BI1237" s="10">
        <f t="shared" si="155"/>
        <v>34898.800035114858</v>
      </c>
      <c r="BJ1237" s="6">
        <f t="shared" si="156"/>
        <v>1086.1146064542954</v>
      </c>
      <c r="BK1237" s="11">
        <f t="shared" si="157"/>
        <v>0.13724163952893398</v>
      </c>
      <c r="BL1237" s="5">
        <f t="shared" si="158"/>
        <v>5459.1463711248289</v>
      </c>
      <c r="BM1237" s="11">
        <f t="shared" si="159"/>
        <v>0.18543514245897338</v>
      </c>
    </row>
    <row r="1238" spans="1:65" ht="15" customHeight="1" x14ac:dyDescent="0.4">
      <c r="A1238" s="2" t="s">
        <v>775</v>
      </c>
      <c r="B1238" s="2" t="s">
        <v>933</v>
      </c>
      <c r="C1238" s="2" t="s">
        <v>934</v>
      </c>
      <c r="D1238" s="3" t="s">
        <v>101</v>
      </c>
      <c r="E1238" s="3" t="s">
        <v>943</v>
      </c>
      <c r="F1238" s="2" t="s">
        <v>447</v>
      </c>
      <c r="G1238" s="4">
        <v>5</v>
      </c>
      <c r="H1238" s="5">
        <v>4.1000000000000014</v>
      </c>
      <c r="I1238" s="5">
        <v>4.2737479134997294</v>
      </c>
      <c r="J1238" s="6">
        <v>0</v>
      </c>
      <c r="K1238" s="5">
        <v>0</v>
      </c>
      <c r="L1238" s="6">
        <v>0</v>
      </c>
      <c r="M1238" s="5">
        <v>0</v>
      </c>
      <c r="N1238" s="6">
        <v>3956.9426967728532</v>
      </c>
      <c r="O1238" s="5">
        <v>16223.4650567687</v>
      </c>
      <c r="P1238" s="6">
        <v>0</v>
      </c>
      <c r="Q1238" s="5">
        <v>0</v>
      </c>
      <c r="R1238" s="6">
        <v>0</v>
      </c>
      <c r="S1238" s="5">
        <v>0</v>
      </c>
      <c r="T1238" s="6">
        <v>0</v>
      </c>
      <c r="U1238" s="5">
        <v>0</v>
      </c>
      <c r="V1238" s="6">
        <v>0</v>
      </c>
      <c r="W1238" s="5">
        <v>0</v>
      </c>
      <c r="X1238" s="6">
        <v>0</v>
      </c>
      <c r="Y1238" s="5">
        <v>0</v>
      </c>
      <c r="Z1238" s="6">
        <v>0</v>
      </c>
      <c r="AA1238" s="5">
        <v>0</v>
      </c>
      <c r="AB1238" s="6">
        <v>0</v>
      </c>
      <c r="AC1238" s="5">
        <v>0</v>
      </c>
      <c r="AD1238" s="6">
        <v>0</v>
      </c>
      <c r="AE1238" s="5">
        <v>0</v>
      </c>
      <c r="AF1238" s="6">
        <v>0</v>
      </c>
      <c r="AG1238" s="5">
        <v>0</v>
      </c>
      <c r="AH1238" s="7">
        <f t="shared" si="152"/>
        <v>3956.9426967728532</v>
      </c>
      <c r="AI1238" s="8">
        <f t="shared" si="153"/>
        <v>16223.4650567687</v>
      </c>
      <c r="AJ1238" s="6">
        <v>0</v>
      </c>
      <c r="AK1238" s="5">
        <v>0</v>
      </c>
      <c r="AL1238" s="6">
        <v>0</v>
      </c>
      <c r="AM1238" s="5">
        <v>0</v>
      </c>
      <c r="AN1238" s="6">
        <v>4505</v>
      </c>
      <c r="AO1238" s="5">
        <v>19253.234350316281</v>
      </c>
      <c r="AP1238" s="6">
        <v>0</v>
      </c>
      <c r="AQ1238" s="5">
        <v>0</v>
      </c>
      <c r="AR1238" s="6">
        <v>0</v>
      </c>
      <c r="AS1238" s="5">
        <v>0</v>
      </c>
      <c r="AT1238" s="6">
        <v>0</v>
      </c>
      <c r="AU1238" s="5">
        <v>0</v>
      </c>
      <c r="AV1238" s="6">
        <v>0</v>
      </c>
      <c r="AW1238" s="5">
        <v>0</v>
      </c>
      <c r="AX1238" s="6">
        <v>0</v>
      </c>
      <c r="AY1238" s="5">
        <v>0</v>
      </c>
      <c r="AZ1238" s="6">
        <v>0</v>
      </c>
      <c r="BA1238" s="5">
        <v>0</v>
      </c>
      <c r="BB1238" s="6">
        <v>0</v>
      </c>
      <c r="BC1238" s="5">
        <v>0</v>
      </c>
      <c r="BD1238" s="6">
        <v>0</v>
      </c>
      <c r="BE1238" s="5">
        <v>0</v>
      </c>
      <c r="BF1238" s="6">
        <v>0</v>
      </c>
      <c r="BG1238" s="5">
        <v>0</v>
      </c>
      <c r="BH1238" s="9">
        <f t="shared" si="154"/>
        <v>4505</v>
      </c>
      <c r="BI1238" s="10">
        <f t="shared" si="155"/>
        <v>19253.234350316281</v>
      </c>
      <c r="BJ1238" s="6">
        <f t="shared" si="156"/>
        <v>548.0573032271468</v>
      </c>
      <c r="BK1238" s="11">
        <f t="shared" si="157"/>
        <v>0.13850524135063252</v>
      </c>
      <c r="BL1238" s="5">
        <f t="shared" si="158"/>
        <v>3029.7692935475807</v>
      </c>
      <c r="BM1238" s="11">
        <f t="shared" si="159"/>
        <v>0.18675229261726123</v>
      </c>
    </row>
    <row r="1239" spans="1:65" ht="15" customHeight="1" x14ac:dyDescent="0.4">
      <c r="A1239" s="2" t="s">
        <v>775</v>
      </c>
      <c r="B1239" s="2" t="s">
        <v>933</v>
      </c>
      <c r="C1239" s="2" t="s">
        <v>934</v>
      </c>
      <c r="D1239" s="3" t="s">
        <v>101</v>
      </c>
      <c r="E1239" s="3" t="s">
        <v>943</v>
      </c>
      <c r="F1239" s="2" t="s">
        <v>219</v>
      </c>
      <c r="G1239" s="4">
        <v>5</v>
      </c>
      <c r="H1239" s="5">
        <v>4.085074626865671</v>
      </c>
      <c r="I1239" s="5">
        <v>4.2581900397702066</v>
      </c>
      <c r="J1239" s="6">
        <v>0</v>
      </c>
      <c r="K1239" s="5">
        <v>0</v>
      </c>
      <c r="L1239" s="6">
        <v>0</v>
      </c>
      <c r="M1239" s="5">
        <v>0</v>
      </c>
      <c r="N1239" s="6">
        <v>0</v>
      </c>
      <c r="O1239" s="5">
        <v>0</v>
      </c>
      <c r="P1239" s="6">
        <v>0</v>
      </c>
      <c r="Q1239" s="5">
        <v>0</v>
      </c>
      <c r="R1239" s="6">
        <v>0</v>
      </c>
      <c r="S1239" s="5">
        <v>0</v>
      </c>
      <c r="T1239" s="6">
        <v>0</v>
      </c>
      <c r="U1239" s="5">
        <v>0</v>
      </c>
      <c r="V1239" s="6">
        <v>0</v>
      </c>
      <c r="W1239" s="5">
        <v>0</v>
      </c>
      <c r="X1239" s="6">
        <v>0</v>
      </c>
      <c r="Y1239" s="5">
        <v>0</v>
      </c>
      <c r="Z1239" s="6">
        <v>0</v>
      </c>
      <c r="AA1239" s="5">
        <v>0</v>
      </c>
      <c r="AB1239" s="6">
        <v>0</v>
      </c>
      <c r="AC1239" s="5">
        <v>0</v>
      </c>
      <c r="AD1239" s="6">
        <v>1895.992278596779</v>
      </c>
      <c r="AE1239" s="5">
        <v>7745.26995002893</v>
      </c>
      <c r="AF1239" s="6">
        <v>0</v>
      </c>
      <c r="AG1239" s="5">
        <v>0</v>
      </c>
      <c r="AH1239" s="7">
        <f t="shared" si="152"/>
        <v>1895.992278596779</v>
      </c>
      <c r="AI1239" s="8">
        <f t="shared" si="153"/>
        <v>7745.26995002893</v>
      </c>
      <c r="AJ1239" s="6">
        <v>0</v>
      </c>
      <c r="AK1239" s="5">
        <v>0</v>
      </c>
      <c r="AL1239" s="6">
        <v>0</v>
      </c>
      <c r="AM1239" s="5">
        <v>0</v>
      </c>
      <c r="AN1239" s="6">
        <v>0</v>
      </c>
      <c r="AO1239" s="5">
        <v>0</v>
      </c>
      <c r="AP1239" s="6">
        <v>0</v>
      </c>
      <c r="AQ1239" s="5">
        <v>0</v>
      </c>
      <c r="AR1239" s="6">
        <v>0</v>
      </c>
      <c r="AS1239" s="5">
        <v>0</v>
      </c>
      <c r="AT1239" s="6">
        <v>0</v>
      </c>
      <c r="AU1239" s="5">
        <v>0</v>
      </c>
      <c r="AV1239" s="6">
        <v>0</v>
      </c>
      <c r="AW1239" s="5">
        <v>0</v>
      </c>
      <c r="AX1239" s="6">
        <v>0</v>
      </c>
      <c r="AY1239" s="5">
        <v>0</v>
      </c>
      <c r="AZ1239" s="6">
        <v>0</v>
      </c>
      <c r="BA1239" s="5">
        <v>0</v>
      </c>
      <c r="BB1239" s="6">
        <v>0</v>
      </c>
      <c r="BC1239" s="5">
        <v>0</v>
      </c>
      <c r="BD1239" s="6">
        <v>2160</v>
      </c>
      <c r="BE1239" s="5">
        <v>9197.6904859036476</v>
      </c>
      <c r="BF1239" s="6">
        <v>0</v>
      </c>
      <c r="BG1239" s="5">
        <v>0</v>
      </c>
      <c r="BH1239" s="9">
        <f t="shared" si="154"/>
        <v>2160</v>
      </c>
      <c r="BI1239" s="10">
        <f t="shared" si="155"/>
        <v>9197.6904859036476</v>
      </c>
      <c r="BJ1239" s="6">
        <f t="shared" si="156"/>
        <v>264.00772140322101</v>
      </c>
      <c r="BK1239" s="11">
        <f t="shared" si="157"/>
        <v>0.13924514587085382</v>
      </c>
      <c r="BL1239" s="5">
        <f t="shared" si="158"/>
        <v>1452.4205358747176</v>
      </c>
      <c r="BM1239" s="11">
        <f t="shared" si="159"/>
        <v>0.18752355247079447</v>
      </c>
    </row>
    <row r="1240" spans="1:65" ht="15" customHeight="1" x14ac:dyDescent="0.4">
      <c r="A1240" s="2" t="s">
        <v>775</v>
      </c>
      <c r="B1240" s="2" t="s">
        <v>933</v>
      </c>
      <c r="C1240" s="2" t="s">
        <v>934</v>
      </c>
      <c r="D1240" s="3" t="s">
        <v>101</v>
      </c>
      <c r="E1240" s="3" t="s">
        <v>943</v>
      </c>
      <c r="F1240" s="2" t="s">
        <v>907</v>
      </c>
      <c r="G1240" s="4">
        <v>5</v>
      </c>
      <c r="H1240" s="5">
        <v>4.085074626865671</v>
      </c>
      <c r="I1240" s="5">
        <v>4.2581900397702066</v>
      </c>
      <c r="J1240" s="6">
        <v>0</v>
      </c>
      <c r="K1240" s="5">
        <v>0</v>
      </c>
      <c r="L1240" s="6">
        <v>0</v>
      </c>
      <c r="M1240" s="5">
        <v>0</v>
      </c>
      <c r="N1240" s="6">
        <v>0</v>
      </c>
      <c r="O1240" s="5">
        <v>0</v>
      </c>
      <c r="P1240" s="6">
        <v>0</v>
      </c>
      <c r="Q1240" s="5">
        <v>0</v>
      </c>
      <c r="R1240" s="6">
        <v>0</v>
      </c>
      <c r="S1240" s="5">
        <v>0</v>
      </c>
      <c r="T1240" s="6">
        <v>0</v>
      </c>
      <c r="U1240" s="5">
        <v>0</v>
      </c>
      <c r="V1240" s="6">
        <v>0</v>
      </c>
      <c r="W1240" s="5">
        <v>0</v>
      </c>
      <c r="X1240" s="6">
        <v>0</v>
      </c>
      <c r="Y1240" s="5">
        <v>0</v>
      </c>
      <c r="Z1240" s="6">
        <v>0</v>
      </c>
      <c r="AA1240" s="5">
        <v>0</v>
      </c>
      <c r="AB1240" s="6">
        <v>0</v>
      </c>
      <c r="AC1240" s="5">
        <v>0</v>
      </c>
      <c r="AD1240" s="6">
        <v>1895.992278596779</v>
      </c>
      <c r="AE1240" s="5">
        <v>7745.26995002893</v>
      </c>
      <c r="AF1240" s="6">
        <v>0</v>
      </c>
      <c r="AG1240" s="5">
        <v>0</v>
      </c>
      <c r="AH1240" s="7">
        <f t="shared" si="152"/>
        <v>1895.992278596779</v>
      </c>
      <c r="AI1240" s="8">
        <f t="shared" si="153"/>
        <v>7745.26995002893</v>
      </c>
      <c r="AJ1240" s="6">
        <v>0</v>
      </c>
      <c r="AK1240" s="5">
        <v>0</v>
      </c>
      <c r="AL1240" s="6">
        <v>0</v>
      </c>
      <c r="AM1240" s="5">
        <v>0</v>
      </c>
      <c r="AN1240" s="6">
        <v>0</v>
      </c>
      <c r="AO1240" s="5">
        <v>0</v>
      </c>
      <c r="AP1240" s="6">
        <v>0</v>
      </c>
      <c r="AQ1240" s="5">
        <v>0</v>
      </c>
      <c r="AR1240" s="6">
        <v>0</v>
      </c>
      <c r="AS1240" s="5">
        <v>0</v>
      </c>
      <c r="AT1240" s="6">
        <v>0</v>
      </c>
      <c r="AU1240" s="5">
        <v>0</v>
      </c>
      <c r="AV1240" s="6">
        <v>0</v>
      </c>
      <c r="AW1240" s="5">
        <v>0</v>
      </c>
      <c r="AX1240" s="6">
        <v>0</v>
      </c>
      <c r="AY1240" s="5">
        <v>0</v>
      </c>
      <c r="AZ1240" s="6">
        <v>0</v>
      </c>
      <c r="BA1240" s="5">
        <v>0</v>
      </c>
      <c r="BB1240" s="6">
        <v>0</v>
      </c>
      <c r="BC1240" s="5">
        <v>0</v>
      </c>
      <c r="BD1240" s="6">
        <v>2160</v>
      </c>
      <c r="BE1240" s="5">
        <v>9197.6904859036476</v>
      </c>
      <c r="BF1240" s="6">
        <v>0</v>
      </c>
      <c r="BG1240" s="5">
        <v>0</v>
      </c>
      <c r="BH1240" s="9">
        <f t="shared" si="154"/>
        <v>2160</v>
      </c>
      <c r="BI1240" s="10">
        <f t="shared" si="155"/>
        <v>9197.6904859036476</v>
      </c>
      <c r="BJ1240" s="6">
        <f t="shared" si="156"/>
        <v>264.00772140322101</v>
      </c>
      <c r="BK1240" s="11">
        <f t="shared" si="157"/>
        <v>0.13924514587085382</v>
      </c>
      <c r="BL1240" s="5">
        <f t="shared" si="158"/>
        <v>1452.4205358747176</v>
      </c>
      <c r="BM1240" s="11">
        <f t="shared" si="159"/>
        <v>0.18752355247079447</v>
      </c>
    </row>
    <row r="1241" spans="1:65" ht="15" customHeight="1" x14ac:dyDescent="0.4">
      <c r="A1241" s="2" t="s">
        <v>775</v>
      </c>
      <c r="B1241" s="2" t="s">
        <v>944</v>
      </c>
      <c r="C1241" s="2" t="s">
        <v>945</v>
      </c>
      <c r="D1241" s="3" t="s">
        <v>68</v>
      </c>
      <c r="E1241" s="3" t="s">
        <v>946</v>
      </c>
      <c r="F1241" s="2" t="s">
        <v>454</v>
      </c>
      <c r="G1241" s="4">
        <v>1</v>
      </c>
      <c r="H1241" s="5">
        <v>6.5</v>
      </c>
      <c r="I1241" s="5">
        <v>6.7754540092068876</v>
      </c>
      <c r="J1241" s="6">
        <v>0</v>
      </c>
      <c r="K1241" s="5">
        <v>0</v>
      </c>
      <c r="L1241" s="6">
        <v>522.3164359740166</v>
      </c>
      <c r="M1241" s="5">
        <v>3395.0568338311082</v>
      </c>
      <c r="N1241" s="6">
        <v>0</v>
      </c>
      <c r="O1241" s="5">
        <v>0</v>
      </c>
      <c r="P1241" s="6">
        <v>0</v>
      </c>
      <c r="Q1241" s="5">
        <v>0</v>
      </c>
      <c r="R1241" s="6">
        <v>0</v>
      </c>
      <c r="S1241" s="5">
        <v>0</v>
      </c>
      <c r="T1241" s="6">
        <v>0</v>
      </c>
      <c r="U1241" s="5">
        <v>0</v>
      </c>
      <c r="V1241" s="6">
        <v>0</v>
      </c>
      <c r="W1241" s="5">
        <v>0</v>
      </c>
      <c r="X1241" s="6">
        <v>0</v>
      </c>
      <c r="Y1241" s="5">
        <v>0</v>
      </c>
      <c r="Z1241" s="6">
        <v>0</v>
      </c>
      <c r="AA1241" s="5">
        <v>0</v>
      </c>
      <c r="AB1241" s="6">
        <v>0</v>
      </c>
      <c r="AC1241" s="5">
        <v>0</v>
      </c>
      <c r="AD1241" s="6">
        <v>0</v>
      </c>
      <c r="AE1241" s="5">
        <v>0</v>
      </c>
      <c r="AF1241" s="6">
        <v>0</v>
      </c>
      <c r="AG1241" s="5">
        <v>0</v>
      </c>
      <c r="AH1241" s="7">
        <f t="shared" si="152"/>
        <v>522.3164359740166</v>
      </c>
      <c r="AI1241" s="8">
        <f t="shared" si="153"/>
        <v>3395.0568338311082</v>
      </c>
      <c r="AJ1241" s="6">
        <v>0</v>
      </c>
      <c r="AK1241" s="5">
        <v>0</v>
      </c>
      <c r="AL1241" s="6">
        <v>568</v>
      </c>
      <c r="AM1241" s="5">
        <v>3848.4578772295122</v>
      </c>
      <c r="AN1241" s="6">
        <v>0</v>
      </c>
      <c r="AO1241" s="5">
        <v>0</v>
      </c>
      <c r="AP1241" s="6">
        <v>0</v>
      </c>
      <c r="AQ1241" s="5">
        <v>0</v>
      </c>
      <c r="AR1241" s="6">
        <v>0</v>
      </c>
      <c r="AS1241" s="5">
        <v>0</v>
      </c>
      <c r="AT1241" s="6">
        <v>0</v>
      </c>
      <c r="AU1241" s="5">
        <v>0</v>
      </c>
      <c r="AV1241" s="6">
        <v>0</v>
      </c>
      <c r="AW1241" s="5">
        <v>0</v>
      </c>
      <c r="AX1241" s="6">
        <v>0</v>
      </c>
      <c r="AY1241" s="5">
        <v>0</v>
      </c>
      <c r="AZ1241" s="6">
        <v>0</v>
      </c>
      <c r="BA1241" s="5">
        <v>0</v>
      </c>
      <c r="BB1241" s="6">
        <v>0</v>
      </c>
      <c r="BC1241" s="5">
        <v>0</v>
      </c>
      <c r="BD1241" s="6">
        <v>0</v>
      </c>
      <c r="BE1241" s="5">
        <v>0</v>
      </c>
      <c r="BF1241" s="6">
        <v>0</v>
      </c>
      <c r="BG1241" s="5">
        <v>0</v>
      </c>
      <c r="BH1241" s="9">
        <f t="shared" si="154"/>
        <v>568</v>
      </c>
      <c r="BI1241" s="10">
        <f t="shared" si="155"/>
        <v>3848.4578772295122</v>
      </c>
      <c r="BJ1241" s="6">
        <f t="shared" si="156"/>
        <v>45.683564025983401</v>
      </c>
      <c r="BK1241" s="11">
        <f t="shared" si="157"/>
        <v>8.7463385946859221E-2</v>
      </c>
      <c r="BL1241" s="5">
        <f t="shared" si="158"/>
        <v>453.401043398404</v>
      </c>
      <c r="BM1241" s="11">
        <f t="shared" si="159"/>
        <v>0.13354740895066827</v>
      </c>
    </row>
    <row r="1242" spans="1:65" ht="15" customHeight="1" x14ac:dyDescent="0.4">
      <c r="A1242" s="2" t="s">
        <v>775</v>
      </c>
      <c r="B1242" s="2" t="s">
        <v>944</v>
      </c>
      <c r="C1242" s="2" t="s">
        <v>945</v>
      </c>
      <c r="D1242" s="3" t="s">
        <v>68</v>
      </c>
      <c r="E1242" s="3" t="s">
        <v>947</v>
      </c>
      <c r="F1242" s="2" t="s">
        <v>789</v>
      </c>
      <c r="G1242" s="4">
        <v>1</v>
      </c>
      <c r="H1242" s="5">
        <v>5.7699999999999987</v>
      </c>
      <c r="I1242" s="5">
        <v>6.0145184050959601</v>
      </c>
      <c r="J1242" s="6">
        <v>0</v>
      </c>
      <c r="K1242" s="5">
        <v>0</v>
      </c>
      <c r="L1242" s="6">
        <v>0</v>
      </c>
      <c r="M1242" s="5">
        <v>0</v>
      </c>
      <c r="N1242" s="6">
        <v>0</v>
      </c>
      <c r="O1242" s="5">
        <v>0</v>
      </c>
      <c r="P1242" s="6">
        <v>0</v>
      </c>
      <c r="Q1242" s="5">
        <v>0</v>
      </c>
      <c r="R1242" s="6">
        <v>0</v>
      </c>
      <c r="S1242" s="5">
        <v>0</v>
      </c>
      <c r="T1242" s="6">
        <v>0</v>
      </c>
      <c r="U1242" s="5">
        <v>0</v>
      </c>
      <c r="V1242" s="6">
        <v>0</v>
      </c>
      <c r="W1242" s="5">
        <v>0</v>
      </c>
      <c r="X1242" s="6">
        <v>0</v>
      </c>
      <c r="Y1242" s="5">
        <v>0</v>
      </c>
      <c r="Z1242" s="6">
        <v>0</v>
      </c>
      <c r="AA1242" s="5">
        <v>0</v>
      </c>
      <c r="AB1242" s="6">
        <v>0</v>
      </c>
      <c r="AC1242" s="5">
        <v>0</v>
      </c>
      <c r="AD1242" s="6">
        <v>1501.6258846486489</v>
      </c>
      <c r="AE1242" s="5">
        <v>8664.3813544227014</v>
      </c>
      <c r="AF1242" s="6">
        <v>0</v>
      </c>
      <c r="AG1242" s="5">
        <v>0</v>
      </c>
      <c r="AH1242" s="7">
        <f t="shared" si="152"/>
        <v>1501.6258846486489</v>
      </c>
      <c r="AI1242" s="8">
        <f t="shared" si="153"/>
        <v>8664.3813544227014</v>
      </c>
      <c r="AJ1242" s="6">
        <v>0</v>
      </c>
      <c r="AK1242" s="5">
        <v>0</v>
      </c>
      <c r="AL1242" s="6">
        <v>0</v>
      </c>
      <c r="AM1242" s="5">
        <v>0</v>
      </c>
      <c r="AN1242" s="6">
        <v>0</v>
      </c>
      <c r="AO1242" s="5">
        <v>0</v>
      </c>
      <c r="AP1242" s="6">
        <v>0</v>
      </c>
      <c r="AQ1242" s="5">
        <v>0</v>
      </c>
      <c r="AR1242" s="6">
        <v>0</v>
      </c>
      <c r="AS1242" s="5">
        <v>0</v>
      </c>
      <c r="AT1242" s="6">
        <v>0</v>
      </c>
      <c r="AU1242" s="5">
        <v>0</v>
      </c>
      <c r="AV1242" s="6">
        <v>0</v>
      </c>
      <c r="AW1242" s="5">
        <v>0</v>
      </c>
      <c r="AX1242" s="6">
        <v>0</v>
      </c>
      <c r="AY1242" s="5">
        <v>0</v>
      </c>
      <c r="AZ1242" s="6">
        <v>0</v>
      </c>
      <c r="BA1242" s="5">
        <v>0</v>
      </c>
      <c r="BB1242" s="6">
        <v>0</v>
      </c>
      <c r="BC1242" s="5">
        <v>0</v>
      </c>
      <c r="BD1242" s="6">
        <v>1656</v>
      </c>
      <c r="BE1242" s="5">
        <v>9960.04247883891</v>
      </c>
      <c r="BF1242" s="6">
        <v>0</v>
      </c>
      <c r="BG1242" s="5">
        <v>0</v>
      </c>
      <c r="BH1242" s="9">
        <f t="shared" si="154"/>
        <v>1656</v>
      </c>
      <c r="BI1242" s="10">
        <f t="shared" si="155"/>
        <v>9960.04247883891</v>
      </c>
      <c r="BJ1242" s="6">
        <f t="shared" si="156"/>
        <v>154.37411535135107</v>
      </c>
      <c r="BK1242" s="11">
        <f t="shared" si="157"/>
        <v>0.10280464457195447</v>
      </c>
      <c r="BL1242" s="5">
        <f t="shared" si="158"/>
        <v>1295.6611244162086</v>
      </c>
      <c r="BM1242" s="11">
        <f t="shared" si="159"/>
        <v>0.1495387923749274</v>
      </c>
    </row>
    <row r="1243" spans="1:65" ht="15" customHeight="1" x14ac:dyDescent="0.4">
      <c r="A1243" s="2" t="s">
        <v>775</v>
      </c>
      <c r="B1243" s="2" t="s">
        <v>944</v>
      </c>
      <c r="C1243" s="2" t="s">
        <v>945</v>
      </c>
      <c r="D1243" s="3" t="s">
        <v>68</v>
      </c>
      <c r="E1243" s="3" t="s">
        <v>948</v>
      </c>
      <c r="F1243" s="2" t="s">
        <v>791</v>
      </c>
      <c r="G1243" s="4">
        <v>5</v>
      </c>
      <c r="H1243" s="5">
        <v>4.6500000000000012</v>
      </c>
      <c r="I1243" s="5">
        <v>4.8470555604326204</v>
      </c>
      <c r="J1243" s="6">
        <v>0</v>
      </c>
      <c r="K1243" s="5">
        <v>0</v>
      </c>
      <c r="L1243" s="6">
        <v>0</v>
      </c>
      <c r="M1243" s="5">
        <v>0</v>
      </c>
      <c r="N1243" s="6">
        <v>0</v>
      </c>
      <c r="O1243" s="5">
        <v>0</v>
      </c>
      <c r="P1243" s="6">
        <v>0</v>
      </c>
      <c r="Q1243" s="5">
        <v>0</v>
      </c>
      <c r="R1243" s="6">
        <v>0</v>
      </c>
      <c r="S1243" s="5">
        <v>0</v>
      </c>
      <c r="T1243" s="6">
        <v>0</v>
      </c>
      <c r="U1243" s="5">
        <v>0</v>
      </c>
      <c r="V1243" s="6">
        <v>0</v>
      </c>
      <c r="W1243" s="5">
        <v>0</v>
      </c>
      <c r="X1243" s="6">
        <v>0</v>
      </c>
      <c r="Y1243" s="5">
        <v>0</v>
      </c>
      <c r="Z1243" s="6">
        <v>0</v>
      </c>
      <c r="AA1243" s="5">
        <v>0</v>
      </c>
      <c r="AB1243" s="6">
        <v>0</v>
      </c>
      <c r="AC1243" s="5">
        <v>0</v>
      </c>
      <c r="AD1243" s="6">
        <v>758.39691143871141</v>
      </c>
      <c r="AE1243" s="5">
        <v>3526.545638190009</v>
      </c>
      <c r="AF1243" s="6">
        <v>0</v>
      </c>
      <c r="AG1243" s="5">
        <v>0</v>
      </c>
      <c r="AH1243" s="7">
        <f t="shared" si="152"/>
        <v>758.39691143871141</v>
      </c>
      <c r="AI1243" s="8">
        <f t="shared" si="153"/>
        <v>3526.545638190009</v>
      </c>
      <c r="AJ1243" s="6">
        <v>0</v>
      </c>
      <c r="AK1243" s="5">
        <v>0</v>
      </c>
      <c r="AL1243" s="6">
        <v>0</v>
      </c>
      <c r="AM1243" s="5">
        <v>0</v>
      </c>
      <c r="AN1243" s="6">
        <v>0</v>
      </c>
      <c r="AO1243" s="5">
        <v>0</v>
      </c>
      <c r="AP1243" s="6">
        <v>0</v>
      </c>
      <c r="AQ1243" s="5">
        <v>0</v>
      </c>
      <c r="AR1243" s="6">
        <v>0</v>
      </c>
      <c r="AS1243" s="5">
        <v>0</v>
      </c>
      <c r="AT1243" s="6">
        <v>0</v>
      </c>
      <c r="AU1243" s="5">
        <v>0</v>
      </c>
      <c r="AV1243" s="6">
        <v>0</v>
      </c>
      <c r="AW1243" s="5">
        <v>0</v>
      </c>
      <c r="AX1243" s="6">
        <v>0</v>
      </c>
      <c r="AY1243" s="5">
        <v>0</v>
      </c>
      <c r="AZ1243" s="6">
        <v>0</v>
      </c>
      <c r="BA1243" s="5">
        <v>0</v>
      </c>
      <c r="BB1243" s="6">
        <v>0</v>
      </c>
      <c r="BC1243" s="5">
        <v>0</v>
      </c>
      <c r="BD1243" s="6">
        <v>835</v>
      </c>
      <c r="BE1243" s="5">
        <v>4047.2913929612382</v>
      </c>
      <c r="BF1243" s="6">
        <v>0</v>
      </c>
      <c r="BG1243" s="5">
        <v>0</v>
      </c>
      <c r="BH1243" s="9">
        <f t="shared" si="154"/>
        <v>835</v>
      </c>
      <c r="BI1243" s="10">
        <f t="shared" si="155"/>
        <v>4047.2913929612382</v>
      </c>
      <c r="BJ1243" s="6">
        <f t="shared" si="156"/>
        <v>76.603088561288587</v>
      </c>
      <c r="BK1243" s="11">
        <f t="shared" si="157"/>
        <v>0.10100659352102219</v>
      </c>
      <c r="BL1243" s="5">
        <f t="shared" si="158"/>
        <v>520.74575477122926</v>
      </c>
      <c r="BM1243" s="11">
        <f t="shared" si="159"/>
        <v>0.14766454434388115</v>
      </c>
    </row>
    <row r="1244" spans="1:65" ht="15" customHeight="1" x14ac:dyDescent="0.4">
      <c r="A1244" s="2" t="s">
        <v>775</v>
      </c>
      <c r="B1244" s="2" t="s">
        <v>944</v>
      </c>
      <c r="C1244" s="2" t="s">
        <v>945</v>
      </c>
      <c r="D1244" s="3" t="s">
        <v>68</v>
      </c>
      <c r="E1244" s="3" t="s">
        <v>949</v>
      </c>
      <c r="F1244" s="2" t="s">
        <v>830</v>
      </c>
      <c r="G1244" s="4">
        <v>5</v>
      </c>
      <c r="H1244" s="5">
        <v>2.2400000000000002</v>
      </c>
      <c r="I1244" s="5">
        <v>2.3349256893266812</v>
      </c>
      <c r="J1244" s="6">
        <v>0</v>
      </c>
      <c r="K1244" s="5">
        <v>0</v>
      </c>
      <c r="L1244" s="6">
        <v>10446.328719480331</v>
      </c>
      <c r="M1244" s="5">
        <v>23399.776331635949</v>
      </c>
      <c r="N1244" s="6">
        <v>0</v>
      </c>
      <c r="O1244" s="5">
        <v>0</v>
      </c>
      <c r="P1244" s="6">
        <v>0</v>
      </c>
      <c r="Q1244" s="5">
        <v>0</v>
      </c>
      <c r="R1244" s="6">
        <v>0</v>
      </c>
      <c r="S1244" s="5">
        <v>0</v>
      </c>
      <c r="T1244" s="6">
        <v>0</v>
      </c>
      <c r="U1244" s="5">
        <v>0</v>
      </c>
      <c r="V1244" s="6">
        <v>0</v>
      </c>
      <c r="W1244" s="5">
        <v>0</v>
      </c>
      <c r="X1244" s="6">
        <v>0</v>
      </c>
      <c r="Y1244" s="5">
        <v>0</v>
      </c>
      <c r="Z1244" s="6">
        <v>0</v>
      </c>
      <c r="AA1244" s="5">
        <v>0</v>
      </c>
      <c r="AB1244" s="6">
        <v>0</v>
      </c>
      <c r="AC1244" s="5">
        <v>0</v>
      </c>
      <c r="AD1244" s="6">
        <v>0</v>
      </c>
      <c r="AE1244" s="5">
        <v>0</v>
      </c>
      <c r="AF1244" s="6">
        <v>0</v>
      </c>
      <c r="AG1244" s="5">
        <v>0</v>
      </c>
      <c r="AH1244" s="7">
        <f t="shared" si="152"/>
        <v>10446.328719480331</v>
      </c>
      <c r="AI1244" s="8">
        <f t="shared" si="153"/>
        <v>23399.776331635949</v>
      </c>
      <c r="AJ1244" s="6">
        <v>0</v>
      </c>
      <c r="AK1244" s="5">
        <v>0</v>
      </c>
      <c r="AL1244" s="6">
        <v>11515</v>
      </c>
      <c r="AM1244" s="5">
        <v>26886.669312596739</v>
      </c>
      <c r="AN1244" s="6">
        <v>0</v>
      </c>
      <c r="AO1244" s="5">
        <v>0</v>
      </c>
      <c r="AP1244" s="6">
        <v>0</v>
      </c>
      <c r="AQ1244" s="5">
        <v>0</v>
      </c>
      <c r="AR1244" s="6">
        <v>0</v>
      </c>
      <c r="AS1244" s="5">
        <v>0</v>
      </c>
      <c r="AT1244" s="6">
        <v>0</v>
      </c>
      <c r="AU1244" s="5">
        <v>0</v>
      </c>
      <c r="AV1244" s="6">
        <v>0</v>
      </c>
      <c r="AW1244" s="5">
        <v>0</v>
      </c>
      <c r="AX1244" s="6">
        <v>0</v>
      </c>
      <c r="AY1244" s="5">
        <v>0</v>
      </c>
      <c r="AZ1244" s="6">
        <v>0</v>
      </c>
      <c r="BA1244" s="5">
        <v>0</v>
      </c>
      <c r="BB1244" s="6">
        <v>0</v>
      </c>
      <c r="BC1244" s="5">
        <v>0</v>
      </c>
      <c r="BD1244" s="6">
        <v>0</v>
      </c>
      <c r="BE1244" s="5">
        <v>0</v>
      </c>
      <c r="BF1244" s="6">
        <v>0</v>
      </c>
      <c r="BG1244" s="5">
        <v>0</v>
      </c>
      <c r="BH1244" s="9">
        <f t="shared" si="154"/>
        <v>11515</v>
      </c>
      <c r="BI1244" s="10">
        <f t="shared" si="155"/>
        <v>26886.669312596739</v>
      </c>
      <c r="BJ1244" s="6">
        <f t="shared" si="156"/>
        <v>1068.6712805196694</v>
      </c>
      <c r="BK1244" s="11">
        <f t="shared" si="157"/>
        <v>0.10230113461074697</v>
      </c>
      <c r="BL1244" s="5">
        <f t="shared" si="158"/>
        <v>3486.8929809607907</v>
      </c>
      <c r="BM1244" s="11">
        <f t="shared" si="159"/>
        <v>0.14901394490025929</v>
      </c>
    </row>
    <row r="1245" spans="1:65" ht="15" customHeight="1" x14ac:dyDescent="0.4">
      <c r="A1245" s="2" t="s">
        <v>775</v>
      </c>
      <c r="B1245" s="2" t="s">
        <v>944</v>
      </c>
      <c r="C1245" s="2" t="s">
        <v>945</v>
      </c>
      <c r="D1245" s="3" t="s">
        <v>68</v>
      </c>
      <c r="E1245" s="3" t="s">
        <v>949</v>
      </c>
      <c r="F1245" s="2" t="s">
        <v>115</v>
      </c>
      <c r="G1245" s="4">
        <v>5</v>
      </c>
      <c r="H1245" s="5">
        <v>2.2400000000000002</v>
      </c>
      <c r="I1245" s="5">
        <v>2.3349256893266812</v>
      </c>
      <c r="J1245" s="6">
        <v>0</v>
      </c>
      <c r="K1245" s="5">
        <v>0</v>
      </c>
      <c r="L1245" s="6">
        <v>0</v>
      </c>
      <c r="M1245" s="5">
        <v>0</v>
      </c>
      <c r="N1245" s="6">
        <v>0</v>
      </c>
      <c r="O1245" s="5">
        <v>0</v>
      </c>
      <c r="P1245" s="6">
        <v>0</v>
      </c>
      <c r="Q1245" s="5">
        <v>0</v>
      </c>
      <c r="R1245" s="6">
        <v>0</v>
      </c>
      <c r="S1245" s="5">
        <v>0</v>
      </c>
      <c r="T1245" s="6">
        <v>0</v>
      </c>
      <c r="U1245" s="5">
        <v>0</v>
      </c>
      <c r="V1245" s="6">
        <v>0</v>
      </c>
      <c r="W1245" s="5">
        <v>0</v>
      </c>
      <c r="X1245" s="6">
        <v>0</v>
      </c>
      <c r="Y1245" s="5">
        <v>0</v>
      </c>
      <c r="Z1245" s="6">
        <v>0</v>
      </c>
      <c r="AA1245" s="5">
        <v>0</v>
      </c>
      <c r="AB1245" s="6">
        <v>0</v>
      </c>
      <c r="AC1245" s="5">
        <v>0</v>
      </c>
      <c r="AD1245" s="6">
        <v>5687.9768357903358</v>
      </c>
      <c r="AE1245" s="5">
        <v>12741.068112170349</v>
      </c>
      <c r="AF1245" s="6">
        <v>0</v>
      </c>
      <c r="AG1245" s="5">
        <v>0</v>
      </c>
      <c r="AH1245" s="7">
        <f t="shared" si="152"/>
        <v>5687.9768357903358</v>
      </c>
      <c r="AI1245" s="8">
        <f t="shared" si="153"/>
        <v>12741.068112170349</v>
      </c>
      <c r="AJ1245" s="6">
        <v>0</v>
      </c>
      <c r="AK1245" s="5">
        <v>0</v>
      </c>
      <c r="AL1245" s="6">
        <v>0</v>
      </c>
      <c r="AM1245" s="5">
        <v>0</v>
      </c>
      <c r="AN1245" s="6">
        <v>0</v>
      </c>
      <c r="AO1245" s="5">
        <v>0</v>
      </c>
      <c r="AP1245" s="6">
        <v>0</v>
      </c>
      <c r="AQ1245" s="5">
        <v>0</v>
      </c>
      <c r="AR1245" s="6">
        <v>0</v>
      </c>
      <c r="AS1245" s="5">
        <v>0</v>
      </c>
      <c r="AT1245" s="6">
        <v>0</v>
      </c>
      <c r="AU1245" s="5">
        <v>0</v>
      </c>
      <c r="AV1245" s="6">
        <v>0</v>
      </c>
      <c r="AW1245" s="5">
        <v>0</v>
      </c>
      <c r="AX1245" s="6">
        <v>0</v>
      </c>
      <c r="AY1245" s="5">
        <v>0</v>
      </c>
      <c r="AZ1245" s="6">
        <v>0</v>
      </c>
      <c r="BA1245" s="5">
        <v>0</v>
      </c>
      <c r="BB1245" s="6">
        <v>0</v>
      </c>
      <c r="BC1245" s="5">
        <v>0</v>
      </c>
      <c r="BD1245" s="6">
        <v>6270</v>
      </c>
      <c r="BE1245" s="5">
        <v>14639.98407207829</v>
      </c>
      <c r="BF1245" s="6">
        <v>0</v>
      </c>
      <c r="BG1245" s="5">
        <v>0</v>
      </c>
      <c r="BH1245" s="9">
        <f t="shared" si="154"/>
        <v>6270</v>
      </c>
      <c r="BI1245" s="10">
        <f t="shared" si="155"/>
        <v>14639.98407207829</v>
      </c>
      <c r="BJ1245" s="6">
        <f t="shared" si="156"/>
        <v>582.02316420966417</v>
      </c>
      <c r="BK1245" s="11">
        <f t="shared" si="157"/>
        <v>0.102325164291706</v>
      </c>
      <c r="BL1245" s="5">
        <f t="shared" si="158"/>
        <v>1898.9159599079412</v>
      </c>
      <c r="BM1245" s="11">
        <f t="shared" si="159"/>
        <v>0.14903899289998179</v>
      </c>
    </row>
    <row r="1246" spans="1:65" ht="15" customHeight="1" x14ac:dyDescent="0.4">
      <c r="A1246" s="2" t="s">
        <v>775</v>
      </c>
      <c r="B1246" s="2" t="s">
        <v>944</v>
      </c>
      <c r="C1246" s="2" t="s">
        <v>945</v>
      </c>
      <c r="D1246" s="3" t="s">
        <v>68</v>
      </c>
      <c r="E1246" s="3" t="s">
        <v>950</v>
      </c>
      <c r="F1246" s="2" t="s">
        <v>490</v>
      </c>
      <c r="G1246" s="4">
        <v>1</v>
      </c>
      <c r="H1246" s="5">
        <v>4.2</v>
      </c>
      <c r="I1246" s="5">
        <v>4.379464217189482</v>
      </c>
      <c r="J1246" s="6">
        <v>0</v>
      </c>
      <c r="K1246" s="5">
        <v>0</v>
      </c>
      <c r="L1246" s="6">
        <v>2350.4239618830752</v>
      </c>
      <c r="M1246" s="5">
        <v>9871.780639908915</v>
      </c>
      <c r="N1246" s="6">
        <v>0</v>
      </c>
      <c r="O1246" s="5">
        <v>0</v>
      </c>
      <c r="P1246" s="6">
        <v>0</v>
      </c>
      <c r="Q1246" s="5">
        <v>0</v>
      </c>
      <c r="R1246" s="6">
        <v>0</v>
      </c>
      <c r="S1246" s="5">
        <v>0</v>
      </c>
      <c r="T1246" s="6">
        <v>0</v>
      </c>
      <c r="U1246" s="5">
        <v>0</v>
      </c>
      <c r="V1246" s="6">
        <v>0</v>
      </c>
      <c r="W1246" s="5">
        <v>0</v>
      </c>
      <c r="X1246" s="6">
        <v>0</v>
      </c>
      <c r="Y1246" s="5">
        <v>0</v>
      </c>
      <c r="Z1246" s="6">
        <v>0</v>
      </c>
      <c r="AA1246" s="5">
        <v>0</v>
      </c>
      <c r="AB1246" s="6">
        <v>0</v>
      </c>
      <c r="AC1246" s="5">
        <v>0</v>
      </c>
      <c r="AD1246" s="6">
        <v>0</v>
      </c>
      <c r="AE1246" s="5">
        <v>0</v>
      </c>
      <c r="AF1246" s="6">
        <v>0</v>
      </c>
      <c r="AG1246" s="5">
        <v>0</v>
      </c>
      <c r="AH1246" s="7">
        <f t="shared" si="152"/>
        <v>2350.4239618830752</v>
      </c>
      <c r="AI1246" s="8">
        <f t="shared" si="153"/>
        <v>9871.780639908915</v>
      </c>
      <c r="AJ1246" s="6">
        <v>0</v>
      </c>
      <c r="AK1246" s="5">
        <v>0</v>
      </c>
      <c r="AL1246" s="6">
        <v>2961</v>
      </c>
      <c r="AM1246" s="5">
        <v>12967.59354709806</v>
      </c>
      <c r="AN1246" s="6">
        <v>0</v>
      </c>
      <c r="AO1246" s="5">
        <v>0</v>
      </c>
      <c r="AP1246" s="6">
        <v>0</v>
      </c>
      <c r="AQ1246" s="5">
        <v>0</v>
      </c>
      <c r="AR1246" s="6">
        <v>0</v>
      </c>
      <c r="AS1246" s="5">
        <v>0</v>
      </c>
      <c r="AT1246" s="6">
        <v>0</v>
      </c>
      <c r="AU1246" s="5">
        <v>0</v>
      </c>
      <c r="AV1246" s="6">
        <v>0</v>
      </c>
      <c r="AW1246" s="5">
        <v>0</v>
      </c>
      <c r="AX1246" s="6">
        <v>0</v>
      </c>
      <c r="AY1246" s="5">
        <v>0</v>
      </c>
      <c r="AZ1246" s="6">
        <v>0</v>
      </c>
      <c r="BA1246" s="5">
        <v>0</v>
      </c>
      <c r="BB1246" s="6">
        <v>0</v>
      </c>
      <c r="BC1246" s="5">
        <v>0</v>
      </c>
      <c r="BD1246" s="6">
        <v>0</v>
      </c>
      <c r="BE1246" s="5">
        <v>0</v>
      </c>
      <c r="BF1246" s="6">
        <v>0</v>
      </c>
      <c r="BG1246" s="5">
        <v>0</v>
      </c>
      <c r="BH1246" s="9">
        <f t="shared" si="154"/>
        <v>2961</v>
      </c>
      <c r="BI1246" s="10">
        <f t="shared" si="155"/>
        <v>12967.59354709806</v>
      </c>
      <c r="BJ1246" s="6">
        <f t="shared" si="156"/>
        <v>610.57603811692479</v>
      </c>
      <c r="BK1246" s="11">
        <f t="shared" si="157"/>
        <v>0.25977272526942469</v>
      </c>
      <c r="BL1246" s="5">
        <f t="shared" si="158"/>
        <v>3095.8129071891453</v>
      </c>
      <c r="BM1246" s="11">
        <f t="shared" si="159"/>
        <v>0.31360227907350563</v>
      </c>
    </row>
    <row r="1247" spans="1:65" ht="15" customHeight="1" x14ac:dyDescent="0.4">
      <c r="A1247" s="2" t="s">
        <v>775</v>
      </c>
      <c r="B1247" s="2" t="s">
        <v>944</v>
      </c>
      <c r="C1247" s="2" t="s">
        <v>945</v>
      </c>
      <c r="D1247" s="3" t="s">
        <v>68</v>
      </c>
      <c r="E1247" s="3" t="s">
        <v>951</v>
      </c>
      <c r="F1247" s="2" t="s">
        <v>490</v>
      </c>
      <c r="G1247" s="4">
        <v>5</v>
      </c>
      <c r="H1247" s="5">
        <v>3.2</v>
      </c>
      <c r="I1247" s="5">
        <v>3.3356081276095439</v>
      </c>
      <c r="J1247" s="6">
        <v>0</v>
      </c>
      <c r="K1247" s="5">
        <v>0</v>
      </c>
      <c r="L1247" s="6">
        <v>791.38853935457064</v>
      </c>
      <c r="M1247" s="5">
        <v>2532.443325934626</v>
      </c>
      <c r="N1247" s="6">
        <v>0</v>
      </c>
      <c r="O1247" s="5">
        <v>0</v>
      </c>
      <c r="P1247" s="6">
        <v>0</v>
      </c>
      <c r="Q1247" s="5">
        <v>0</v>
      </c>
      <c r="R1247" s="6">
        <v>0</v>
      </c>
      <c r="S1247" s="5">
        <v>0</v>
      </c>
      <c r="T1247" s="6">
        <v>0</v>
      </c>
      <c r="U1247" s="5">
        <v>0</v>
      </c>
      <c r="V1247" s="6">
        <v>0</v>
      </c>
      <c r="W1247" s="5">
        <v>0</v>
      </c>
      <c r="X1247" s="6">
        <v>0</v>
      </c>
      <c r="Y1247" s="5">
        <v>0</v>
      </c>
      <c r="Z1247" s="6">
        <v>0</v>
      </c>
      <c r="AA1247" s="5">
        <v>0</v>
      </c>
      <c r="AB1247" s="6">
        <v>0</v>
      </c>
      <c r="AC1247" s="5">
        <v>0</v>
      </c>
      <c r="AD1247" s="6">
        <v>0</v>
      </c>
      <c r="AE1247" s="5">
        <v>0</v>
      </c>
      <c r="AF1247" s="6">
        <v>0</v>
      </c>
      <c r="AG1247" s="5">
        <v>0</v>
      </c>
      <c r="AH1247" s="7">
        <f t="shared" si="152"/>
        <v>791.38853935457064</v>
      </c>
      <c r="AI1247" s="8">
        <f t="shared" si="153"/>
        <v>2532.443325934626</v>
      </c>
      <c r="AJ1247" s="6">
        <v>0</v>
      </c>
      <c r="AK1247" s="5">
        <v>0</v>
      </c>
      <c r="AL1247" s="6">
        <v>995</v>
      </c>
      <c r="AM1247" s="5">
        <v>3318.9300869714971</v>
      </c>
      <c r="AN1247" s="6">
        <v>0</v>
      </c>
      <c r="AO1247" s="5">
        <v>0</v>
      </c>
      <c r="AP1247" s="6">
        <v>0</v>
      </c>
      <c r="AQ1247" s="5">
        <v>0</v>
      </c>
      <c r="AR1247" s="6">
        <v>0</v>
      </c>
      <c r="AS1247" s="5">
        <v>0</v>
      </c>
      <c r="AT1247" s="6">
        <v>0</v>
      </c>
      <c r="AU1247" s="5">
        <v>0</v>
      </c>
      <c r="AV1247" s="6">
        <v>0</v>
      </c>
      <c r="AW1247" s="5">
        <v>0</v>
      </c>
      <c r="AX1247" s="6">
        <v>0</v>
      </c>
      <c r="AY1247" s="5">
        <v>0</v>
      </c>
      <c r="AZ1247" s="6">
        <v>0</v>
      </c>
      <c r="BA1247" s="5">
        <v>0</v>
      </c>
      <c r="BB1247" s="6">
        <v>0</v>
      </c>
      <c r="BC1247" s="5">
        <v>0</v>
      </c>
      <c r="BD1247" s="6">
        <v>0</v>
      </c>
      <c r="BE1247" s="5">
        <v>0</v>
      </c>
      <c r="BF1247" s="6">
        <v>0</v>
      </c>
      <c r="BG1247" s="5">
        <v>0</v>
      </c>
      <c r="BH1247" s="9">
        <f t="shared" si="154"/>
        <v>995</v>
      </c>
      <c r="BI1247" s="10">
        <f t="shared" si="155"/>
        <v>3318.9300869714971</v>
      </c>
      <c r="BJ1247" s="6">
        <f t="shared" si="156"/>
        <v>203.61146064542936</v>
      </c>
      <c r="BK1247" s="11">
        <f t="shared" si="157"/>
        <v>0.25728381259032118</v>
      </c>
      <c r="BL1247" s="5">
        <f t="shared" si="158"/>
        <v>786.48676103687103</v>
      </c>
      <c r="BM1247" s="11">
        <f t="shared" si="159"/>
        <v>0.3105644074963097</v>
      </c>
    </row>
    <row r="1248" spans="1:65" ht="15" customHeight="1" x14ac:dyDescent="0.4">
      <c r="A1248" s="2" t="s">
        <v>775</v>
      </c>
      <c r="B1248" s="2" t="s">
        <v>944</v>
      </c>
      <c r="C1248" s="2" t="s">
        <v>945</v>
      </c>
      <c r="D1248" s="3" t="s">
        <v>68</v>
      </c>
      <c r="E1248" s="3" t="s">
        <v>952</v>
      </c>
      <c r="F1248" s="2" t="s">
        <v>490</v>
      </c>
      <c r="G1248" s="4">
        <v>20</v>
      </c>
      <c r="H1248" s="5">
        <v>2.9</v>
      </c>
      <c r="I1248" s="5">
        <v>3.0228948656461498</v>
      </c>
      <c r="J1248" s="6">
        <v>0</v>
      </c>
      <c r="K1248" s="5">
        <v>0</v>
      </c>
      <c r="L1248" s="6">
        <v>949.66624722548465</v>
      </c>
      <c r="M1248" s="5">
        <v>2754.0321169539061</v>
      </c>
      <c r="N1248" s="6">
        <v>0</v>
      </c>
      <c r="O1248" s="5">
        <v>0</v>
      </c>
      <c r="P1248" s="6">
        <v>0</v>
      </c>
      <c r="Q1248" s="5">
        <v>0</v>
      </c>
      <c r="R1248" s="6">
        <v>0</v>
      </c>
      <c r="S1248" s="5">
        <v>0</v>
      </c>
      <c r="T1248" s="6">
        <v>0</v>
      </c>
      <c r="U1248" s="5">
        <v>0</v>
      </c>
      <c r="V1248" s="6">
        <v>0</v>
      </c>
      <c r="W1248" s="5">
        <v>0</v>
      </c>
      <c r="X1248" s="6">
        <v>0</v>
      </c>
      <c r="Y1248" s="5">
        <v>0</v>
      </c>
      <c r="Z1248" s="6">
        <v>0</v>
      </c>
      <c r="AA1248" s="5">
        <v>0</v>
      </c>
      <c r="AB1248" s="6">
        <v>0</v>
      </c>
      <c r="AC1248" s="5">
        <v>0</v>
      </c>
      <c r="AD1248" s="6">
        <v>0</v>
      </c>
      <c r="AE1248" s="5">
        <v>0</v>
      </c>
      <c r="AF1248" s="6">
        <v>0</v>
      </c>
      <c r="AG1248" s="5">
        <v>0</v>
      </c>
      <c r="AH1248" s="7">
        <f t="shared" si="152"/>
        <v>949.66624722548465</v>
      </c>
      <c r="AI1248" s="8">
        <f t="shared" si="153"/>
        <v>2754.0321169539061</v>
      </c>
      <c r="AJ1248" s="6">
        <v>0</v>
      </c>
      <c r="AK1248" s="5">
        <v>0</v>
      </c>
      <c r="AL1248" s="6">
        <v>1200</v>
      </c>
      <c r="AM1248" s="5">
        <v>3627.47383877538</v>
      </c>
      <c r="AN1248" s="6">
        <v>0</v>
      </c>
      <c r="AO1248" s="5">
        <v>0</v>
      </c>
      <c r="AP1248" s="6">
        <v>0</v>
      </c>
      <c r="AQ1248" s="5">
        <v>0</v>
      </c>
      <c r="AR1248" s="6">
        <v>0</v>
      </c>
      <c r="AS1248" s="5">
        <v>0</v>
      </c>
      <c r="AT1248" s="6">
        <v>0</v>
      </c>
      <c r="AU1248" s="5">
        <v>0</v>
      </c>
      <c r="AV1248" s="6">
        <v>0</v>
      </c>
      <c r="AW1248" s="5">
        <v>0</v>
      </c>
      <c r="AX1248" s="6">
        <v>0</v>
      </c>
      <c r="AY1248" s="5">
        <v>0</v>
      </c>
      <c r="AZ1248" s="6">
        <v>0</v>
      </c>
      <c r="BA1248" s="5">
        <v>0</v>
      </c>
      <c r="BB1248" s="6">
        <v>0</v>
      </c>
      <c r="BC1248" s="5">
        <v>0</v>
      </c>
      <c r="BD1248" s="6">
        <v>0</v>
      </c>
      <c r="BE1248" s="5">
        <v>0</v>
      </c>
      <c r="BF1248" s="6">
        <v>0</v>
      </c>
      <c r="BG1248" s="5">
        <v>0</v>
      </c>
      <c r="BH1248" s="9">
        <f t="shared" si="154"/>
        <v>1200</v>
      </c>
      <c r="BI1248" s="10">
        <f t="shared" si="155"/>
        <v>3627.47383877538</v>
      </c>
      <c r="BJ1248" s="6">
        <f t="shared" si="156"/>
        <v>250.33375277451535</v>
      </c>
      <c r="BK1248" s="11">
        <f t="shared" si="157"/>
        <v>0.26360182169881541</v>
      </c>
      <c r="BL1248" s="5">
        <f t="shared" si="158"/>
        <v>873.44172182147395</v>
      </c>
      <c r="BM1248" s="11">
        <f t="shared" si="159"/>
        <v>0.31715015828774834</v>
      </c>
    </row>
    <row r="1249" spans="1:65" ht="15" customHeight="1" x14ac:dyDescent="0.4">
      <c r="A1249" s="2" t="s">
        <v>775</v>
      </c>
      <c r="B1249" s="2" t="s">
        <v>944</v>
      </c>
      <c r="C1249" s="2" t="s">
        <v>945</v>
      </c>
      <c r="D1249" s="3" t="s">
        <v>68</v>
      </c>
      <c r="E1249" s="3" t="s">
        <v>953</v>
      </c>
      <c r="F1249" s="2" t="s">
        <v>954</v>
      </c>
      <c r="G1249" s="4">
        <v>1</v>
      </c>
      <c r="H1249" s="5">
        <v>6.3</v>
      </c>
      <c r="I1249" s="5">
        <v>6.5669785012312918</v>
      </c>
      <c r="J1249" s="6">
        <v>0</v>
      </c>
      <c r="K1249" s="5">
        <v>0</v>
      </c>
      <c r="L1249" s="6">
        <v>0</v>
      </c>
      <c r="M1249" s="5">
        <v>0</v>
      </c>
      <c r="N1249" s="6">
        <v>0</v>
      </c>
      <c r="O1249" s="5">
        <v>0</v>
      </c>
      <c r="P1249" s="6">
        <v>0</v>
      </c>
      <c r="Q1249" s="5">
        <v>0</v>
      </c>
      <c r="R1249" s="6">
        <v>0</v>
      </c>
      <c r="S1249" s="5">
        <v>0</v>
      </c>
      <c r="T1249" s="6">
        <v>0</v>
      </c>
      <c r="U1249" s="5">
        <v>0</v>
      </c>
      <c r="V1249" s="6">
        <v>0</v>
      </c>
      <c r="W1249" s="5">
        <v>0</v>
      </c>
      <c r="X1249" s="6">
        <v>0</v>
      </c>
      <c r="Y1249" s="5">
        <v>0</v>
      </c>
      <c r="Z1249" s="6">
        <v>0</v>
      </c>
      <c r="AA1249" s="5">
        <v>0</v>
      </c>
      <c r="AB1249" s="6">
        <v>0</v>
      </c>
      <c r="AC1249" s="5">
        <v>0</v>
      </c>
      <c r="AD1249" s="6">
        <v>1501.6258846486489</v>
      </c>
      <c r="AE1249" s="5">
        <v>9460.2430732864868</v>
      </c>
      <c r="AF1249" s="6">
        <v>0</v>
      </c>
      <c r="AG1249" s="5">
        <v>0</v>
      </c>
      <c r="AH1249" s="7">
        <f t="shared" si="152"/>
        <v>1501.6258846486489</v>
      </c>
      <c r="AI1249" s="8">
        <f t="shared" si="153"/>
        <v>9460.2430732864868</v>
      </c>
      <c r="AJ1249" s="6">
        <v>0</v>
      </c>
      <c r="AK1249" s="5">
        <v>0</v>
      </c>
      <c r="AL1249" s="6">
        <v>0</v>
      </c>
      <c r="AM1249" s="5">
        <v>0</v>
      </c>
      <c r="AN1249" s="6">
        <v>0</v>
      </c>
      <c r="AO1249" s="5">
        <v>0</v>
      </c>
      <c r="AP1249" s="6">
        <v>0</v>
      </c>
      <c r="AQ1249" s="5">
        <v>0</v>
      </c>
      <c r="AR1249" s="6">
        <v>0</v>
      </c>
      <c r="AS1249" s="5">
        <v>0</v>
      </c>
      <c r="AT1249" s="6">
        <v>0</v>
      </c>
      <c r="AU1249" s="5">
        <v>0</v>
      </c>
      <c r="AV1249" s="6">
        <v>0</v>
      </c>
      <c r="AW1249" s="5">
        <v>0</v>
      </c>
      <c r="AX1249" s="6">
        <v>0</v>
      </c>
      <c r="AY1249" s="5">
        <v>0</v>
      </c>
      <c r="AZ1249" s="6">
        <v>0</v>
      </c>
      <c r="BA1249" s="5">
        <v>0</v>
      </c>
      <c r="BB1249" s="6">
        <v>0</v>
      </c>
      <c r="BC1249" s="5">
        <v>0</v>
      </c>
      <c r="BD1249" s="6">
        <v>1813</v>
      </c>
      <c r="BE1249" s="5">
        <v>11905.93202273233</v>
      </c>
      <c r="BF1249" s="6">
        <v>0</v>
      </c>
      <c r="BG1249" s="5">
        <v>0</v>
      </c>
      <c r="BH1249" s="9">
        <f t="shared" si="154"/>
        <v>1813</v>
      </c>
      <c r="BI1249" s="10">
        <f t="shared" si="155"/>
        <v>11905.93202273233</v>
      </c>
      <c r="BJ1249" s="6">
        <f t="shared" si="156"/>
        <v>311.37411535135107</v>
      </c>
      <c r="BK1249" s="11">
        <f t="shared" si="157"/>
        <v>0.20735798345951295</v>
      </c>
      <c r="BL1249" s="5">
        <f t="shared" si="158"/>
        <v>2445.6889494458428</v>
      </c>
      <c r="BM1249" s="11">
        <f t="shared" si="159"/>
        <v>0.25852284455056934</v>
      </c>
    </row>
    <row r="1250" spans="1:65" ht="15" customHeight="1" x14ac:dyDescent="0.4">
      <c r="A1250" s="2" t="s">
        <v>775</v>
      </c>
      <c r="B1250" s="2" t="s">
        <v>944</v>
      </c>
      <c r="C1250" s="2" t="s">
        <v>945</v>
      </c>
      <c r="D1250" s="3" t="s">
        <v>68</v>
      </c>
      <c r="E1250" s="3" t="s">
        <v>955</v>
      </c>
      <c r="F1250" s="2" t="s">
        <v>956</v>
      </c>
      <c r="G1250" s="4">
        <v>5</v>
      </c>
      <c r="H1250" s="5">
        <v>4.3000000000000007</v>
      </c>
      <c r="I1250" s="5">
        <v>4.4822234214753243</v>
      </c>
      <c r="J1250" s="6">
        <v>0</v>
      </c>
      <c r="K1250" s="5">
        <v>0</v>
      </c>
      <c r="L1250" s="6">
        <v>0</v>
      </c>
      <c r="M1250" s="5">
        <v>0</v>
      </c>
      <c r="N1250" s="6">
        <v>0</v>
      </c>
      <c r="O1250" s="5">
        <v>0</v>
      </c>
      <c r="P1250" s="6">
        <v>0</v>
      </c>
      <c r="Q1250" s="5">
        <v>0</v>
      </c>
      <c r="R1250" s="6">
        <v>0</v>
      </c>
      <c r="S1250" s="5">
        <v>0</v>
      </c>
      <c r="T1250" s="6">
        <v>0</v>
      </c>
      <c r="U1250" s="5">
        <v>0</v>
      </c>
      <c r="V1250" s="6">
        <v>0</v>
      </c>
      <c r="W1250" s="5">
        <v>0</v>
      </c>
      <c r="X1250" s="6">
        <v>0</v>
      </c>
      <c r="Y1250" s="5">
        <v>0</v>
      </c>
      <c r="Z1250" s="6">
        <v>0</v>
      </c>
      <c r="AA1250" s="5">
        <v>0</v>
      </c>
      <c r="AB1250" s="6">
        <v>0</v>
      </c>
      <c r="AC1250" s="5">
        <v>0</v>
      </c>
      <c r="AD1250" s="6">
        <v>758.39691143871141</v>
      </c>
      <c r="AE1250" s="5">
        <v>3261.106719186459</v>
      </c>
      <c r="AF1250" s="6">
        <v>0</v>
      </c>
      <c r="AG1250" s="5">
        <v>0</v>
      </c>
      <c r="AH1250" s="7">
        <f t="shared" si="152"/>
        <v>758.39691143871141</v>
      </c>
      <c r="AI1250" s="8">
        <f t="shared" si="153"/>
        <v>3261.106719186459</v>
      </c>
      <c r="AJ1250" s="6">
        <v>0</v>
      </c>
      <c r="AK1250" s="5">
        <v>0</v>
      </c>
      <c r="AL1250" s="6">
        <v>0</v>
      </c>
      <c r="AM1250" s="5">
        <v>0</v>
      </c>
      <c r="AN1250" s="6">
        <v>0</v>
      </c>
      <c r="AO1250" s="5">
        <v>0</v>
      </c>
      <c r="AP1250" s="6">
        <v>0</v>
      </c>
      <c r="AQ1250" s="5">
        <v>0</v>
      </c>
      <c r="AR1250" s="6">
        <v>0</v>
      </c>
      <c r="AS1250" s="5">
        <v>0</v>
      </c>
      <c r="AT1250" s="6">
        <v>0</v>
      </c>
      <c r="AU1250" s="5">
        <v>0</v>
      </c>
      <c r="AV1250" s="6">
        <v>0</v>
      </c>
      <c r="AW1250" s="5">
        <v>0</v>
      </c>
      <c r="AX1250" s="6">
        <v>0</v>
      </c>
      <c r="AY1250" s="5">
        <v>0</v>
      </c>
      <c r="AZ1250" s="6">
        <v>0</v>
      </c>
      <c r="BA1250" s="5">
        <v>0</v>
      </c>
      <c r="BB1250" s="6">
        <v>0</v>
      </c>
      <c r="BC1250" s="5">
        <v>0</v>
      </c>
      <c r="BD1250" s="6">
        <v>915</v>
      </c>
      <c r="BE1250" s="5">
        <v>4101.2344306499217</v>
      </c>
      <c r="BF1250" s="6">
        <v>0</v>
      </c>
      <c r="BG1250" s="5">
        <v>0</v>
      </c>
      <c r="BH1250" s="9">
        <f t="shared" si="154"/>
        <v>915</v>
      </c>
      <c r="BI1250" s="10">
        <f t="shared" si="155"/>
        <v>4101.2344306499217</v>
      </c>
      <c r="BJ1250" s="6">
        <f t="shared" si="156"/>
        <v>156.60308856128859</v>
      </c>
      <c r="BK1250" s="11">
        <f t="shared" si="157"/>
        <v>0.20649225517573089</v>
      </c>
      <c r="BL1250" s="5">
        <f t="shared" si="158"/>
        <v>840.12771146346267</v>
      </c>
      <c r="BM1250" s="11">
        <f t="shared" si="159"/>
        <v>0.25762042883191738</v>
      </c>
    </row>
    <row r="1251" spans="1:65" ht="15" customHeight="1" x14ac:dyDescent="0.4">
      <c r="A1251" s="2" t="s">
        <v>775</v>
      </c>
      <c r="B1251" s="2" t="s">
        <v>944</v>
      </c>
      <c r="C1251" s="2" t="s">
        <v>945</v>
      </c>
      <c r="D1251" s="3" t="s">
        <v>68</v>
      </c>
      <c r="E1251" s="3" t="s">
        <v>957</v>
      </c>
      <c r="F1251" s="2" t="s">
        <v>508</v>
      </c>
      <c r="G1251" s="4">
        <v>1</v>
      </c>
      <c r="H1251" s="5">
        <v>5.0999999999999996</v>
      </c>
      <c r="I1251" s="5">
        <v>5.3161254533777109</v>
      </c>
      <c r="J1251" s="6">
        <v>0</v>
      </c>
      <c r="K1251" s="5">
        <v>0</v>
      </c>
      <c r="L1251" s="6">
        <v>783.47465396102484</v>
      </c>
      <c r="M1251" s="5">
        <v>3995.720735201226</v>
      </c>
      <c r="N1251" s="6">
        <v>0</v>
      </c>
      <c r="O1251" s="5">
        <v>0</v>
      </c>
      <c r="P1251" s="6">
        <v>0</v>
      </c>
      <c r="Q1251" s="5">
        <v>0</v>
      </c>
      <c r="R1251" s="6">
        <v>0</v>
      </c>
      <c r="S1251" s="5">
        <v>0</v>
      </c>
      <c r="T1251" s="6">
        <v>0</v>
      </c>
      <c r="U1251" s="5">
        <v>0</v>
      </c>
      <c r="V1251" s="6">
        <v>0</v>
      </c>
      <c r="W1251" s="5">
        <v>0</v>
      </c>
      <c r="X1251" s="6">
        <v>0</v>
      </c>
      <c r="Y1251" s="5">
        <v>0</v>
      </c>
      <c r="Z1251" s="6">
        <v>0</v>
      </c>
      <c r="AA1251" s="5">
        <v>0</v>
      </c>
      <c r="AB1251" s="6">
        <v>0</v>
      </c>
      <c r="AC1251" s="5">
        <v>0</v>
      </c>
      <c r="AD1251" s="6">
        <v>0</v>
      </c>
      <c r="AE1251" s="5">
        <v>0</v>
      </c>
      <c r="AF1251" s="6">
        <v>0</v>
      </c>
      <c r="AG1251" s="5">
        <v>0</v>
      </c>
      <c r="AH1251" s="7">
        <f t="shared" si="152"/>
        <v>783.47465396102484</v>
      </c>
      <c r="AI1251" s="8">
        <f t="shared" si="153"/>
        <v>3995.720735201226</v>
      </c>
      <c r="AJ1251" s="6">
        <v>0</v>
      </c>
      <c r="AK1251" s="5">
        <v>0</v>
      </c>
      <c r="AL1251" s="6">
        <v>851</v>
      </c>
      <c r="AM1251" s="5">
        <v>4524.0227608244322</v>
      </c>
      <c r="AN1251" s="6">
        <v>0</v>
      </c>
      <c r="AO1251" s="5">
        <v>0</v>
      </c>
      <c r="AP1251" s="6">
        <v>0</v>
      </c>
      <c r="AQ1251" s="5">
        <v>0</v>
      </c>
      <c r="AR1251" s="6">
        <v>0</v>
      </c>
      <c r="AS1251" s="5">
        <v>0</v>
      </c>
      <c r="AT1251" s="6">
        <v>0</v>
      </c>
      <c r="AU1251" s="5">
        <v>0</v>
      </c>
      <c r="AV1251" s="6">
        <v>0</v>
      </c>
      <c r="AW1251" s="5">
        <v>0</v>
      </c>
      <c r="AX1251" s="6">
        <v>0</v>
      </c>
      <c r="AY1251" s="5">
        <v>0</v>
      </c>
      <c r="AZ1251" s="6">
        <v>0</v>
      </c>
      <c r="BA1251" s="5">
        <v>0</v>
      </c>
      <c r="BB1251" s="6">
        <v>0</v>
      </c>
      <c r="BC1251" s="5">
        <v>0</v>
      </c>
      <c r="BD1251" s="6">
        <v>0</v>
      </c>
      <c r="BE1251" s="5">
        <v>0</v>
      </c>
      <c r="BF1251" s="6">
        <v>0</v>
      </c>
      <c r="BG1251" s="5">
        <v>0</v>
      </c>
      <c r="BH1251" s="9">
        <f t="shared" si="154"/>
        <v>851</v>
      </c>
      <c r="BI1251" s="10">
        <f t="shared" si="155"/>
        <v>4524.0227608244322</v>
      </c>
      <c r="BJ1251" s="6">
        <f t="shared" si="156"/>
        <v>67.525346038975158</v>
      </c>
      <c r="BK1251" s="11">
        <f t="shared" si="157"/>
        <v>8.618702047039585E-2</v>
      </c>
      <c r="BL1251" s="5">
        <f t="shared" si="158"/>
        <v>528.30202562320619</v>
      </c>
      <c r="BM1251" s="11">
        <f t="shared" si="159"/>
        <v>0.13221695424532734</v>
      </c>
    </row>
    <row r="1252" spans="1:65" ht="15" customHeight="1" x14ac:dyDescent="0.4">
      <c r="A1252" s="2" t="s">
        <v>775</v>
      </c>
      <c r="B1252" s="2" t="s">
        <v>944</v>
      </c>
      <c r="C1252" s="2" t="s">
        <v>945</v>
      </c>
      <c r="D1252" s="3" t="s">
        <v>68</v>
      </c>
      <c r="E1252" s="3" t="s">
        <v>957</v>
      </c>
      <c r="F1252" s="2" t="s">
        <v>806</v>
      </c>
      <c r="G1252" s="4">
        <v>1</v>
      </c>
      <c r="H1252" s="5">
        <v>5.0999999999999996</v>
      </c>
      <c r="I1252" s="5">
        <v>5.3161254533777118</v>
      </c>
      <c r="J1252" s="6">
        <v>0</v>
      </c>
      <c r="K1252" s="5">
        <v>0</v>
      </c>
      <c r="L1252" s="6">
        <v>0</v>
      </c>
      <c r="M1252" s="5">
        <v>0</v>
      </c>
      <c r="N1252" s="6">
        <v>0</v>
      </c>
      <c r="O1252" s="5">
        <v>0</v>
      </c>
      <c r="P1252" s="6">
        <v>0</v>
      </c>
      <c r="Q1252" s="5">
        <v>0</v>
      </c>
      <c r="R1252" s="6">
        <v>0</v>
      </c>
      <c r="S1252" s="5">
        <v>0</v>
      </c>
      <c r="T1252" s="6">
        <v>0</v>
      </c>
      <c r="U1252" s="5">
        <v>0</v>
      </c>
      <c r="V1252" s="6">
        <v>0</v>
      </c>
      <c r="W1252" s="5">
        <v>0</v>
      </c>
      <c r="X1252" s="6">
        <v>0</v>
      </c>
      <c r="Y1252" s="5">
        <v>0</v>
      </c>
      <c r="Z1252" s="6">
        <v>0</v>
      </c>
      <c r="AA1252" s="5">
        <v>0</v>
      </c>
      <c r="AB1252" s="6">
        <v>0</v>
      </c>
      <c r="AC1252" s="5">
        <v>0</v>
      </c>
      <c r="AD1252" s="6">
        <v>1501.6258846486489</v>
      </c>
      <c r="AE1252" s="5">
        <v>7658.2920117081076</v>
      </c>
      <c r="AF1252" s="6">
        <v>0</v>
      </c>
      <c r="AG1252" s="5">
        <v>0</v>
      </c>
      <c r="AH1252" s="7">
        <f t="shared" si="152"/>
        <v>1501.6258846486489</v>
      </c>
      <c r="AI1252" s="8">
        <f t="shared" si="153"/>
        <v>7658.2920117081076</v>
      </c>
      <c r="AJ1252" s="6">
        <v>0</v>
      </c>
      <c r="AK1252" s="5">
        <v>0</v>
      </c>
      <c r="AL1252" s="6">
        <v>0</v>
      </c>
      <c r="AM1252" s="5">
        <v>0</v>
      </c>
      <c r="AN1252" s="6">
        <v>0</v>
      </c>
      <c r="AO1252" s="5">
        <v>0</v>
      </c>
      <c r="AP1252" s="6">
        <v>0</v>
      </c>
      <c r="AQ1252" s="5">
        <v>0</v>
      </c>
      <c r="AR1252" s="6">
        <v>0</v>
      </c>
      <c r="AS1252" s="5">
        <v>0</v>
      </c>
      <c r="AT1252" s="6">
        <v>0</v>
      </c>
      <c r="AU1252" s="5">
        <v>0</v>
      </c>
      <c r="AV1252" s="6">
        <v>0</v>
      </c>
      <c r="AW1252" s="5">
        <v>0</v>
      </c>
      <c r="AX1252" s="6">
        <v>0</v>
      </c>
      <c r="AY1252" s="5">
        <v>0</v>
      </c>
      <c r="AZ1252" s="6">
        <v>0</v>
      </c>
      <c r="BA1252" s="5">
        <v>0</v>
      </c>
      <c r="BB1252" s="6">
        <v>0</v>
      </c>
      <c r="BC1252" s="5">
        <v>0</v>
      </c>
      <c r="BD1252" s="6">
        <v>1632</v>
      </c>
      <c r="BE1252" s="5">
        <v>8675.9167399124253</v>
      </c>
      <c r="BF1252" s="6">
        <v>0</v>
      </c>
      <c r="BG1252" s="5">
        <v>0</v>
      </c>
      <c r="BH1252" s="9">
        <f t="shared" si="154"/>
        <v>1632</v>
      </c>
      <c r="BI1252" s="10">
        <f t="shared" si="155"/>
        <v>8675.9167399124253</v>
      </c>
      <c r="BJ1252" s="6">
        <f t="shared" si="156"/>
        <v>130.37411535135107</v>
      </c>
      <c r="BK1252" s="11">
        <f t="shared" si="157"/>
        <v>8.682196856366528E-2</v>
      </c>
      <c r="BL1252" s="5">
        <f t="shared" si="158"/>
        <v>1017.6247282043178</v>
      </c>
      <c r="BM1252" s="11">
        <f t="shared" si="159"/>
        <v>0.13287880987673992</v>
      </c>
    </row>
    <row r="1253" spans="1:65" ht="15" customHeight="1" x14ac:dyDescent="0.4">
      <c r="A1253" s="2" t="s">
        <v>775</v>
      </c>
      <c r="B1253" s="2" t="s">
        <v>944</v>
      </c>
      <c r="C1253" s="2" t="s">
        <v>945</v>
      </c>
      <c r="D1253" s="3" t="s">
        <v>68</v>
      </c>
      <c r="E1253" s="3" t="s">
        <v>958</v>
      </c>
      <c r="F1253" s="2" t="s">
        <v>508</v>
      </c>
      <c r="G1253" s="4">
        <v>5</v>
      </c>
      <c r="H1253" s="5">
        <v>2.88</v>
      </c>
      <c r="I1253" s="5">
        <v>3.00204731484859</v>
      </c>
      <c r="J1253" s="6">
        <v>0</v>
      </c>
      <c r="K1253" s="5">
        <v>0</v>
      </c>
      <c r="L1253" s="6">
        <v>791.38853935457064</v>
      </c>
      <c r="M1253" s="5">
        <v>2279.1989933411628</v>
      </c>
      <c r="N1253" s="6">
        <v>0</v>
      </c>
      <c r="O1253" s="5">
        <v>0</v>
      </c>
      <c r="P1253" s="6">
        <v>0</v>
      </c>
      <c r="Q1253" s="5">
        <v>0</v>
      </c>
      <c r="R1253" s="6">
        <v>0</v>
      </c>
      <c r="S1253" s="5">
        <v>0</v>
      </c>
      <c r="T1253" s="6">
        <v>0</v>
      </c>
      <c r="U1253" s="5">
        <v>0</v>
      </c>
      <c r="V1253" s="6">
        <v>0</v>
      </c>
      <c r="W1253" s="5">
        <v>0</v>
      </c>
      <c r="X1253" s="6">
        <v>0</v>
      </c>
      <c r="Y1253" s="5">
        <v>0</v>
      </c>
      <c r="Z1253" s="6">
        <v>0</v>
      </c>
      <c r="AA1253" s="5">
        <v>0</v>
      </c>
      <c r="AB1253" s="6">
        <v>0</v>
      </c>
      <c r="AC1253" s="5">
        <v>0</v>
      </c>
      <c r="AD1253" s="6">
        <v>0</v>
      </c>
      <c r="AE1253" s="5">
        <v>0</v>
      </c>
      <c r="AF1253" s="6">
        <v>0</v>
      </c>
      <c r="AG1253" s="5">
        <v>0</v>
      </c>
      <c r="AH1253" s="7">
        <f t="shared" si="152"/>
        <v>791.38853935457064</v>
      </c>
      <c r="AI1253" s="8">
        <f t="shared" si="153"/>
        <v>2279.1989933411628</v>
      </c>
      <c r="AJ1253" s="6">
        <v>0</v>
      </c>
      <c r="AK1253" s="5">
        <v>0</v>
      </c>
      <c r="AL1253" s="6">
        <v>865</v>
      </c>
      <c r="AM1253" s="5">
        <v>2596.77092734403</v>
      </c>
      <c r="AN1253" s="6">
        <v>0</v>
      </c>
      <c r="AO1253" s="5">
        <v>0</v>
      </c>
      <c r="AP1253" s="6">
        <v>0</v>
      </c>
      <c r="AQ1253" s="5">
        <v>0</v>
      </c>
      <c r="AR1253" s="6">
        <v>0</v>
      </c>
      <c r="AS1253" s="5">
        <v>0</v>
      </c>
      <c r="AT1253" s="6">
        <v>0</v>
      </c>
      <c r="AU1253" s="5">
        <v>0</v>
      </c>
      <c r="AV1253" s="6">
        <v>0</v>
      </c>
      <c r="AW1253" s="5">
        <v>0</v>
      </c>
      <c r="AX1253" s="6">
        <v>0</v>
      </c>
      <c r="AY1253" s="5">
        <v>0</v>
      </c>
      <c r="AZ1253" s="6">
        <v>0</v>
      </c>
      <c r="BA1253" s="5">
        <v>0</v>
      </c>
      <c r="BB1253" s="6">
        <v>0</v>
      </c>
      <c r="BC1253" s="5">
        <v>0</v>
      </c>
      <c r="BD1253" s="6">
        <v>0</v>
      </c>
      <c r="BE1253" s="5">
        <v>0</v>
      </c>
      <c r="BF1253" s="6">
        <v>0</v>
      </c>
      <c r="BG1253" s="5">
        <v>0</v>
      </c>
      <c r="BH1253" s="9">
        <f t="shared" si="154"/>
        <v>865</v>
      </c>
      <c r="BI1253" s="10">
        <f t="shared" si="155"/>
        <v>2596.77092734403</v>
      </c>
      <c r="BJ1253" s="6">
        <f t="shared" si="156"/>
        <v>73.611460645429361</v>
      </c>
      <c r="BK1253" s="11">
        <f t="shared" si="157"/>
        <v>9.3015575769475181E-2</v>
      </c>
      <c r="BL1253" s="5">
        <f t="shared" si="158"/>
        <v>317.57193400286724</v>
      </c>
      <c r="BM1253" s="11">
        <f t="shared" si="159"/>
        <v>0.13933488691890245</v>
      </c>
    </row>
    <row r="1254" spans="1:65" ht="15" customHeight="1" x14ac:dyDescent="0.4">
      <c r="A1254" s="2" t="s">
        <v>775</v>
      </c>
      <c r="B1254" s="2" t="s">
        <v>944</v>
      </c>
      <c r="C1254" s="2" t="s">
        <v>945</v>
      </c>
      <c r="D1254" s="3" t="s">
        <v>68</v>
      </c>
      <c r="E1254" s="3" t="s">
        <v>958</v>
      </c>
      <c r="F1254" s="2" t="s">
        <v>808</v>
      </c>
      <c r="G1254" s="4">
        <v>5</v>
      </c>
      <c r="H1254" s="5">
        <v>2.88</v>
      </c>
      <c r="I1254" s="5">
        <v>3.00204731484859</v>
      </c>
      <c r="J1254" s="6">
        <v>0</v>
      </c>
      <c r="K1254" s="5">
        <v>0</v>
      </c>
      <c r="L1254" s="6">
        <v>0</v>
      </c>
      <c r="M1254" s="5">
        <v>0</v>
      </c>
      <c r="N1254" s="6">
        <v>0</v>
      </c>
      <c r="O1254" s="5">
        <v>0</v>
      </c>
      <c r="P1254" s="6">
        <v>0</v>
      </c>
      <c r="Q1254" s="5">
        <v>0</v>
      </c>
      <c r="R1254" s="6">
        <v>0</v>
      </c>
      <c r="S1254" s="5">
        <v>0</v>
      </c>
      <c r="T1254" s="6">
        <v>0</v>
      </c>
      <c r="U1254" s="5">
        <v>0</v>
      </c>
      <c r="V1254" s="6">
        <v>0</v>
      </c>
      <c r="W1254" s="5">
        <v>0</v>
      </c>
      <c r="X1254" s="6">
        <v>0</v>
      </c>
      <c r="Y1254" s="5">
        <v>0</v>
      </c>
      <c r="Z1254" s="6">
        <v>0</v>
      </c>
      <c r="AA1254" s="5">
        <v>0</v>
      </c>
      <c r="AB1254" s="6">
        <v>0</v>
      </c>
      <c r="AC1254" s="5">
        <v>0</v>
      </c>
      <c r="AD1254" s="6">
        <v>379.19845571935571</v>
      </c>
      <c r="AE1254" s="5">
        <v>1092.091552471745</v>
      </c>
      <c r="AF1254" s="6">
        <v>0</v>
      </c>
      <c r="AG1254" s="5">
        <v>0</v>
      </c>
      <c r="AH1254" s="7">
        <f t="shared" si="152"/>
        <v>379.19845571935571</v>
      </c>
      <c r="AI1254" s="8">
        <f t="shared" si="153"/>
        <v>1092.091552471745</v>
      </c>
      <c r="AJ1254" s="6">
        <v>0</v>
      </c>
      <c r="AK1254" s="5">
        <v>0</v>
      </c>
      <c r="AL1254" s="6">
        <v>0</v>
      </c>
      <c r="AM1254" s="5">
        <v>0</v>
      </c>
      <c r="AN1254" s="6">
        <v>0</v>
      </c>
      <c r="AO1254" s="5">
        <v>0</v>
      </c>
      <c r="AP1254" s="6">
        <v>0</v>
      </c>
      <c r="AQ1254" s="5">
        <v>0</v>
      </c>
      <c r="AR1254" s="6">
        <v>0</v>
      </c>
      <c r="AS1254" s="5">
        <v>0</v>
      </c>
      <c r="AT1254" s="6">
        <v>0</v>
      </c>
      <c r="AU1254" s="5">
        <v>0</v>
      </c>
      <c r="AV1254" s="6">
        <v>0</v>
      </c>
      <c r="AW1254" s="5">
        <v>0</v>
      </c>
      <c r="AX1254" s="6">
        <v>0</v>
      </c>
      <c r="AY1254" s="5">
        <v>0</v>
      </c>
      <c r="AZ1254" s="6">
        <v>0</v>
      </c>
      <c r="BA1254" s="5">
        <v>0</v>
      </c>
      <c r="BB1254" s="6">
        <v>0</v>
      </c>
      <c r="BC1254" s="5">
        <v>0</v>
      </c>
      <c r="BD1254" s="6">
        <v>415</v>
      </c>
      <c r="BE1254" s="5">
        <v>1245.8496356621649</v>
      </c>
      <c r="BF1254" s="6">
        <v>0</v>
      </c>
      <c r="BG1254" s="5">
        <v>0</v>
      </c>
      <c r="BH1254" s="9">
        <f t="shared" si="154"/>
        <v>415</v>
      </c>
      <c r="BI1254" s="10">
        <f t="shared" si="155"/>
        <v>1245.8496356621649</v>
      </c>
      <c r="BJ1254" s="6">
        <f t="shared" si="156"/>
        <v>35.801544280644293</v>
      </c>
      <c r="BK1254" s="11">
        <f t="shared" si="157"/>
        <v>9.44137396676029E-2</v>
      </c>
      <c r="BL1254" s="5">
        <f t="shared" si="158"/>
        <v>153.75808319041994</v>
      </c>
      <c r="BM1254" s="11">
        <f t="shared" si="159"/>
        <v>0.14079230156337832</v>
      </c>
    </row>
    <row r="1255" spans="1:65" ht="15" customHeight="1" x14ac:dyDescent="0.4">
      <c r="A1255" s="2" t="s">
        <v>775</v>
      </c>
      <c r="B1255" s="2" t="s">
        <v>944</v>
      </c>
      <c r="C1255" s="2" t="s">
        <v>945</v>
      </c>
      <c r="D1255" s="3" t="s">
        <v>68</v>
      </c>
      <c r="E1255" s="3" t="s">
        <v>959</v>
      </c>
      <c r="F1255" s="2" t="s">
        <v>846</v>
      </c>
      <c r="G1255" s="4">
        <v>1</v>
      </c>
      <c r="H1255" s="5">
        <v>9.6</v>
      </c>
      <c r="I1255" s="5">
        <v>10.006824382828629</v>
      </c>
      <c r="J1255" s="6">
        <v>0</v>
      </c>
      <c r="K1255" s="5">
        <v>0</v>
      </c>
      <c r="L1255" s="6">
        <v>783.47465396102484</v>
      </c>
      <c r="M1255" s="5">
        <v>7521.3566780258388</v>
      </c>
      <c r="N1255" s="6">
        <v>0</v>
      </c>
      <c r="O1255" s="5">
        <v>0</v>
      </c>
      <c r="P1255" s="6">
        <v>0</v>
      </c>
      <c r="Q1255" s="5">
        <v>0</v>
      </c>
      <c r="R1255" s="6">
        <v>0</v>
      </c>
      <c r="S1255" s="5">
        <v>0</v>
      </c>
      <c r="T1255" s="6">
        <v>0</v>
      </c>
      <c r="U1255" s="5">
        <v>0</v>
      </c>
      <c r="V1255" s="6">
        <v>0</v>
      </c>
      <c r="W1255" s="5">
        <v>0</v>
      </c>
      <c r="X1255" s="6">
        <v>0</v>
      </c>
      <c r="Y1255" s="5">
        <v>0</v>
      </c>
      <c r="Z1255" s="6">
        <v>0</v>
      </c>
      <c r="AA1255" s="5">
        <v>0</v>
      </c>
      <c r="AB1255" s="6">
        <v>0</v>
      </c>
      <c r="AC1255" s="5">
        <v>0</v>
      </c>
      <c r="AD1255" s="6">
        <v>0</v>
      </c>
      <c r="AE1255" s="5">
        <v>0</v>
      </c>
      <c r="AF1255" s="6">
        <v>0</v>
      </c>
      <c r="AG1255" s="5">
        <v>0</v>
      </c>
      <c r="AH1255" s="7">
        <f t="shared" si="152"/>
        <v>783.47465396102484</v>
      </c>
      <c r="AI1255" s="8">
        <f t="shared" si="153"/>
        <v>7521.3566780258388</v>
      </c>
      <c r="AJ1255" s="6">
        <v>0</v>
      </c>
      <c r="AK1255" s="5">
        <v>0</v>
      </c>
      <c r="AL1255" s="6">
        <v>864</v>
      </c>
      <c r="AM1255" s="5">
        <v>8645.8962667639389</v>
      </c>
      <c r="AN1255" s="6">
        <v>0</v>
      </c>
      <c r="AO1255" s="5">
        <v>0</v>
      </c>
      <c r="AP1255" s="6">
        <v>0</v>
      </c>
      <c r="AQ1255" s="5">
        <v>0</v>
      </c>
      <c r="AR1255" s="6">
        <v>0</v>
      </c>
      <c r="AS1255" s="5">
        <v>0</v>
      </c>
      <c r="AT1255" s="6">
        <v>0</v>
      </c>
      <c r="AU1255" s="5">
        <v>0</v>
      </c>
      <c r="AV1255" s="6">
        <v>0</v>
      </c>
      <c r="AW1255" s="5">
        <v>0</v>
      </c>
      <c r="AX1255" s="6">
        <v>0</v>
      </c>
      <c r="AY1255" s="5">
        <v>0</v>
      </c>
      <c r="AZ1255" s="6">
        <v>0</v>
      </c>
      <c r="BA1255" s="5">
        <v>0</v>
      </c>
      <c r="BB1255" s="6">
        <v>0</v>
      </c>
      <c r="BC1255" s="5">
        <v>0</v>
      </c>
      <c r="BD1255" s="6">
        <v>0</v>
      </c>
      <c r="BE1255" s="5">
        <v>0</v>
      </c>
      <c r="BF1255" s="6">
        <v>0</v>
      </c>
      <c r="BG1255" s="5">
        <v>0</v>
      </c>
      <c r="BH1255" s="9">
        <f t="shared" si="154"/>
        <v>864</v>
      </c>
      <c r="BI1255" s="10">
        <f t="shared" si="155"/>
        <v>8645.8962667639389</v>
      </c>
      <c r="BJ1255" s="6">
        <f t="shared" si="156"/>
        <v>80.525346038975158</v>
      </c>
      <c r="BK1255" s="11">
        <f t="shared" si="157"/>
        <v>0.1027797716644207</v>
      </c>
      <c r="BL1255" s="5">
        <f t="shared" si="158"/>
        <v>1124.5395887381001</v>
      </c>
      <c r="BM1255" s="11">
        <f t="shared" si="159"/>
        <v>0.14951286541476219</v>
      </c>
    </row>
    <row r="1256" spans="1:65" ht="15" customHeight="1" x14ac:dyDescent="0.4">
      <c r="A1256" s="2" t="s">
        <v>775</v>
      </c>
      <c r="B1256" s="2" t="s">
        <v>944</v>
      </c>
      <c r="C1256" s="2" t="s">
        <v>945</v>
      </c>
      <c r="D1256" s="3" t="s">
        <v>68</v>
      </c>
      <c r="E1256" s="3" t="s">
        <v>959</v>
      </c>
      <c r="F1256" s="2" t="s">
        <v>516</v>
      </c>
      <c r="G1256" s="4">
        <v>1</v>
      </c>
      <c r="H1256" s="5">
        <v>9.6</v>
      </c>
      <c r="I1256" s="5">
        <v>10.006824382828629</v>
      </c>
      <c r="J1256" s="6">
        <v>0</v>
      </c>
      <c r="K1256" s="5">
        <v>0</v>
      </c>
      <c r="L1256" s="6">
        <v>0</v>
      </c>
      <c r="M1256" s="5">
        <v>0</v>
      </c>
      <c r="N1256" s="6">
        <v>0</v>
      </c>
      <c r="O1256" s="5">
        <v>0</v>
      </c>
      <c r="P1256" s="6">
        <v>0</v>
      </c>
      <c r="Q1256" s="5">
        <v>0</v>
      </c>
      <c r="R1256" s="6">
        <v>0</v>
      </c>
      <c r="S1256" s="5">
        <v>0</v>
      </c>
      <c r="T1256" s="6">
        <v>0</v>
      </c>
      <c r="U1256" s="5">
        <v>0</v>
      </c>
      <c r="V1256" s="6">
        <v>0</v>
      </c>
      <c r="W1256" s="5">
        <v>0</v>
      </c>
      <c r="X1256" s="6">
        <v>0</v>
      </c>
      <c r="Y1256" s="5">
        <v>0</v>
      </c>
      <c r="Z1256" s="6">
        <v>0</v>
      </c>
      <c r="AA1256" s="5">
        <v>0</v>
      </c>
      <c r="AB1256" s="6">
        <v>0</v>
      </c>
      <c r="AC1256" s="5">
        <v>0</v>
      </c>
      <c r="AD1256" s="6">
        <v>750.81294232432435</v>
      </c>
      <c r="AE1256" s="5">
        <v>7207.8042463135134</v>
      </c>
      <c r="AF1256" s="6">
        <v>0</v>
      </c>
      <c r="AG1256" s="5">
        <v>0</v>
      </c>
      <c r="AH1256" s="7">
        <f t="shared" si="152"/>
        <v>750.81294232432435</v>
      </c>
      <c r="AI1256" s="8">
        <f t="shared" si="153"/>
        <v>7207.8042463135134</v>
      </c>
      <c r="AJ1256" s="6">
        <v>0</v>
      </c>
      <c r="AK1256" s="5">
        <v>0</v>
      </c>
      <c r="AL1256" s="6">
        <v>0</v>
      </c>
      <c r="AM1256" s="5">
        <v>0</v>
      </c>
      <c r="AN1256" s="6">
        <v>0</v>
      </c>
      <c r="AO1256" s="5">
        <v>0</v>
      </c>
      <c r="AP1256" s="6">
        <v>0</v>
      </c>
      <c r="AQ1256" s="5">
        <v>0</v>
      </c>
      <c r="AR1256" s="6">
        <v>0</v>
      </c>
      <c r="AS1256" s="5">
        <v>0</v>
      </c>
      <c r="AT1256" s="6">
        <v>0</v>
      </c>
      <c r="AU1256" s="5">
        <v>0</v>
      </c>
      <c r="AV1256" s="6">
        <v>0</v>
      </c>
      <c r="AW1256" s="5">
        <v>0</v>
      </c>
      <c r="AX1256" s="6">
        <v>0</v>
      </c>
      <c r="AY1256" s="5">
        <v>0</v>
      </c>
      <c r="AZ1256" s="6">
        <v>0</v>
      </c>
      <c r="BA1256" s="5">
        <v>0</v>
      </c>
      <c r="BB1256" s="6">
        <v>0</v>
      </c>
      <c r="BC1256" s="5">
        <v>0</v>
      </c>
      <c r="BD1256" s="6">
        <v>828</v>
      </c>
      <c r="BE1256" s="5">
        <v>8285.6505889821092</v>
      </c>
      <c r="BF1256" s="6">
        <v>0</v>
      </c>
      <c r="BG1256" s="5">
        <v>0</v>
      </c>
      <c r="BH1256" s="9">
        <f t="shared" si="154"/>
        <v>828</v>
      </c>
      <c r="BI1256" s="10">
        <f t="shared" si="155"/>
        <v>8285.6505889821092</v>
      </c>
      <c r="BJ1256" s="6">
        <f t="shared" si="156"/>
        <v>77.187057675675646</v>
      </c>
      <c r="BK1256" s="11">
        <f t="shared" si="157"/>
        <v>0.10280464457195464</v>
      </c>
      <c r="BL1256" s="5">
        <f t="shared" si="158"/>
        <v>1077.8463426685958</v>
      </c>
      <c r="BM1256" s="11">
        <f t="shared" si="159"/>
        <v>0.14953879237492729</v>
      </c>
    </row>
    <row r="1257" spans="1:65" ht="15" customHeight="1" x14ac:dyDescent="0.4">
      <c r="A1257" s="2" t="s">
        <v>775</v>
      </c>
      <c r="B1257" s="2" t="s">
        <v>944</v>
      </c>
      <c r="C1257" s="2" t="s">
        <v>945</v>
      </c>
      <c r="D1257" s="3" t="s">
        <v>68</v>
      </c>
      <c r="E1257" s="3" t="s">
        <v>960</v>
      </c>
      <c r="F1257" s="2" t="s">
        <v>846</v>
      </c>
      <c r="G1257" s="4">
        <v>5</v>
      </c>
      <c r="H1257" s="5">
        <v>7.8999999999999986</v>
      </c>
      <c r="I1257" s="5">
        <v>8.2347825650360633</v>
      </c>
      <c r="J1257" s="6">
        <v>0</v>
      </c>
      <c r="K1257" s="5">
        <v>0</v>
      </c>
      <c r="L1257" s="6">
        <v>791.38853935457064</v>
      </c>
      <c r="M1257" s="5">
        <v>6251.9694609011076</v>
      </c>
      <c r="N1257" s="6">
        <v>0</v>
      </c>
      <c r="O1257" s="5">
        <v>0</v>
      </c>
      <c r="P1257" s="6">
        <v>0</v>
      </c>
      <c r="Q1257" s="5">
        <v>0</v>
      </c>
      <c r="R1257" s="6">
        <v>0</v>
      </c>
      <c r="S1257" s="5">
        <v>0</v>
      </c>
      <c r="T1257" s="6">
        <v>0</v>
      </c>
      <c r="U1257" s="5">
        <v>0</v>
      </c>
      <c r="V1257" s="6">
        <v>0</v>
      </c>
      <c r="W1257" s="5">
        <v>0</v>
      </c>
      <c r="X1257" s="6">
        <v>0</v>
      </c>
      <c r="Y1257" s="5">
        <v>0</v>
      </c>
      <c r="Z1257" s="6">
        <v>0</v>
      </c>
      <c r="AA1257" s="5">
        <v>0</v>
      </c>
      <c r="AB1257" s="6">
        <v>0</v>
      </c>
      <c r="AC1257" s="5">
        <v>0</v>
      </c>
      <c r="AD1257" s="6">
        <v>0</v>
      </c>
      <c r="AE1257" s="5">
        <v>0</v>
      </c>
      <c r="AF1257" s="6">
        <v>0</v>
      </c>
      <c r="AG1257" s="5">
        <v>0</v>
      </c>
      <c r="AH1257" s="7">
        <f t="shared" si="152"/>
        <v>791.38853935457064</v>
      </c>
      <c r="AI1257" s="8">
        <f t="shared" si="153"/>
        <v>6251.9694609011076</v>
      </c>
      <c r="AJ1257" s="6">
        <v>0</v>
      </c>
      <c r="AK1257" s="5">
        <v>0</v>
      </c>
      <c r="AL1257" s="6">
        <v>875</v>
      </c>
      <c r="AM1257" s="5">
        <v>7205.4347444065561</v>
      </c>
      <c r="AN1257" s="6">
        <v>0</v>
      </c>
      <c r="AO1257" s="5">
        <v>0</v>
      </c>
      <c r="AP1257" s="6">
        <v>0</v>
      </c>
      <c r="AQ1257" s="5">
        <v>0</v>
      </c>
      <c r="AR1257" s="6">
        <v>0</v>
      </c>
      <c r="AS1257" s="5">
        <v>0</v>
      </c>
      <c r="AT1257" s="6">
        <v>0</v>
      </c>
      <c r="AU1257" s="5">
        <v>0</v>
      </c>
      <c r="AV1257" s="6">
        <v>0</v>
      </c>
      <c r="AW1257" s="5">
        <v>0</v>
      </c>
      <c r="AX1257" s="6">
        <v>0</v>
      </c>
      <c r="AY1257" s="5">
        <v>0</v>
      </c>
      <c r="AZ1257" s="6">
        <v>0</v>
      </c>
      <c r="BA1257" s="5">
        <v>0</v>
      </c>
      <c r="BB1257" s="6">
        <v>0</v>
      </c>
      <c r="BC1257" s="5">
        <v>0</v>
      </c>
      <c r="BD1257" s="6">
        <v>0</v>
      </c>
      <c r="BE1257" s="5">
        <v>0</v>
      </c>
      <c r="BF1257" s="6">
        <v>0</v>
      </c>
      <c r="BG1257" s="5">
        <v>0</v>
      </c>
      <c r="BH1257" s="9">
        <f t="shared" si="154"/>
        <v>875</v>
      </c>
      <c r="BI1257" s="10">
        <f t="shared" si="155"/>
        <v>7205.4347444065561</v>
      </c>
      <c r="BJ1257" s="6">
        <f t="shared" si="156"/>
        <v>83.611460645429361</v>
      </c>
      <c r="BK1257" s="11">
        <f t="shared" si="157"/>
        <v>0.10565159398646334</v>
      </c>
      <c r="BL1257" s="5">
        <f t="shared" si="158"/>
        <v>953.4652835054485</v>
      </c>
      <c r="BM1257" s="11">
        <f t="shared" si="159"/>
        <v>0.15250638850178003</v>
      </c>
    </row>
    <row r="1258" spans="1:65" ht="15" customHeight="1" x14ac:dyDescent="0.4">
      <c r="A1258" s="2" t="s">
        <v>775</v>
      </c>
      <c r="B1258" s="2" t="s">
        <v>944</v>
      </c>
      <c r="C1258" s="2" t="s">
        <v>945</v>
      </c>
      <c r="D1258" s="3" t="s">
        <v>68</v>
      </c>
      <c r="E1258" s="3" t="s">
        <v>960</v>
      </c>
      <c r="F1258" s="2" t="s">
        <v>961</v>
      </c>
      <c r="G1258" s="4">
        <v>5</v>
      </c>
      <c r="H1258" s="5">
        <v>7.9000000000000012</v>
      </c>
      <c r="I1258" s="5">
        <v>8.2347825650360633</v>
      </c>
      <c r="J1258" s="6">
        <v>0</v>
      </c>
      <c r="K1258" s="5">
        <v>0</v>
      </c>
      <c r="L1258" s="6">
        <v>0</v>
      </c>
      <c r="M1258" s="5">
        <v>0</v>
      </c>
      <c r="N1258" s="6">
        <v>0</v>
      </c>
      <c r="O1258" s="5">
        <v>0</v>
      </c>
      <c r="P1258" s="6">
        <v>0</v>
      </c>
      <c r="Q1258" s="5">
        <v>0</v>
      </c>
      <c r="R1258" s="6">
        <v>0</v>
      </c>
      <c r="S1258" s="5">
        <v>0</v>
      </c>
      <c r="T1258" s="6">
        <v>0</v>
      </c>
      <c r="U1258" s="5">
        <v>0</v>
      </c>
      <c r="V1258" s="6">
        <v>0</v>
      </c>
      <c r="W1258" s="5">
        <v>0</v>
      </c>
      <c r="X1258" s="6">
        <v>0</v>
      </c>
      <c r="Y1258" s="5">
        <v>0</v>
      </c>
      <c r="Z1258" s="6">
        <v>0</v>
      </c>
      <c r="AA1258" s="5">
        <v>0</v>
      </c>
      <c r="AB1258" s="6">
        <v>0</v>
      </c>
      <c r="AC1258" s="5">
        <v>0</v>
      </c>
      <c r="AD1258" s="6">
        <v>379.19845571935571</v>
      </c>
      <c r="AE1258" s="5">
        <v>2995.66780018291</v>
      </c>
      <c r="AF1258" s="6">
        <v>0</v>
      </c>
      <c r="AG1258" s="5">
        <v>0</v>
      </c>
      <c r="AH1258" s="7">
        <f t="shared" si="152"/>
        <v>379.19845571935571</v>
      </c>
      <c r="AI1258" s="8">
        <f t="shared" si="153"/>
        <v>2995.66780018291</v>
      </c>
      <c r="AJ1258" s="6">
        <v>0</v>
      </c>
      <c r="AK1258" s="5">
        <v>0</v>
      </c>
      <c r="AL1258" s="6">
        <v>0</v>
      </c>
      <c r="AM1258" s="5">
        <v>0</v>
      </c>
      <c r="AN1258" s="6">
        <v>0</v>
      </c>
      <c r="AO1258" s="5">
        <v>0</v>
      </c>
      <c r="AP1258" s="6">
        <v>0</v>
      </c>
      <c r="AQ1258" s="5">
        <v>0</v>
      </c>
      <c r="AR1258" s="6">
        <v>0</v>
      </c>
      <c r="AS1258" s="5">
        <v>0</v>
      </c>
      <c r="AT1258" s="6">
        <v>0</v>
      </c>
      <c r="AU1258" s="5">
        <v>0</v>
      </c>
      <c r="AV1258" s="6">
        <v>0</v>
      </c>
      <c r="AW1258" s="5">
        <v>0</v>
      </c>
      <c r="AX1258" s="6">
        <v>0</v>
      </c>
      <c r="AY1258" s="5">
        <v>0</v>
      </c>
      <c r="AZ1258" s="6">
        <v>0</v>
      </c>
      <c r="BA1258" s="5">
        <v>0</v>
      </c>
      <c r="BB1258" s="6">
        <v>0</v>
      </c>
      <c r="BC1258" s="5">
        <v>0</v>
      </c>
      <c r="BD1258" s="6">
        <v>420</v>
      </c>
      <c r="BE1258" s="5">
        <v>3458.608677315146</v>
      </c>
      <c r="BF1258" s="6">
        <v>0</v>
      </c>
      <c r="BG1258" s="5">
        <v>0</v>
      </c>
      <c r="BH1258" s="9">
        <f t="shared" si="154"/>
        <v>420</v>
      </c>
      <c r="BI1258" s="10">
        <f t="shared" si="155"/>
        <v>3458.608677315146</v>
      </c>
      <c r="BJ1258" s="6">
        <f t="shared" si="156"/>
        <v>40.801544280644293</v>
      </c>
      <c r="BK1258" s="11">
        <f t="shared" si="157"/>
        <v>0.10759944737444148</v>
      </c>
      <c r="BL1258" s="5">
        <f t="shared" si="158"/>
        <v>462.94087713223598</v>
      </c>
      <c r="BM1258" s="11">
        <f t="shared" si="159"/>
        <v>0.15453678712438329</v>
      </c>
    </row>
    <row r="1259" spans="1:65" ht="15" customHeight="1" x14ac:dyDescent="0.4">
      <c r="A1259" s="2" t="s">
        <v>775</v>
      </c>
      <c r="B1259" s="2" t="s">
        <v>944</v>
      </c>
      <c r="C1259" s="2" t="s">
        <v>945</v>
      </c>
      <c r="D1259" s="3" t="s">
        <v>68</v>
      </c>
      <c r="E1259" s="3" t="s">
        <v>962</v>
      </c>
      <c r="F1259" s="2" t="s">
        <v>852</v>
      </c>
      <c r="G1259" s="4">
        <v>1</v>
      </c>
      <c r="H1259" s="5">
        <v>6</v>
      </c>
      <c r="I1259" s="5">
        <v>6.2542652392678946</v>
      </c>
      <c r="J1259" s="6">
        <v>0</v>
      </c>
      <c r="K1259" s="5">
        <v>0</v>
      </c>
      <c r="L1259" s="6">
        <v>522.3164359740166</v>
      </c>
      <c r="M1259" s="5">
        <v>3133.8986158440989</v>
      </c>
      <c r="N1259" s="6">
        <v>0</v>
      </c>
      <c r="O1259" s="5">
        <v>0</v>
      </c>
      <c r="P1259" s="6">
        <v>0</v>
      </c>
      <c r="Q1259" s="5">
        <v>0</v>
      </c>
      <c r="R1259" s="6">
        <v>0</v>
      </c>
      <c r="S1259" s="5">
        <v>0</v>
      </c>
      <c r="T1259" s="6">
        <v>0</v>
      </c>
      <c r="U1259" s="5">
        <v>0</v>
      </c>
      <c r="V1259" s="6">
        <v>0</v>
      </c>
      <c r="W1259" s="5">
        <v>0</v>
      </c>
      <c r="X1259" s="6">
        <v>0</v>
      </c>
      <c r="Y1259" s="5">
        <v>0</v>
      </c>
      <c r="Z1259" s="6">
        <v>0</v>
      </c>
      <c r="AA1259" s="5">
        <v>0</v>
      </c>
      <c r="AB1259" s="6">
        <v>0</v>
      </c>
      <c r="AC1259" s="5">
        <v>0</v>
      </c>
      <c r="AD1259" s="6">
        <v>0</v>
      </c>
      <c r="AE1259" s="5">
        <v>0</v>
      </c>
      <c r="AF1259" s="6">
        <v>0</v>
      </c>
      <c r="AG1259" s="5">
        <v>0</v>
      </c>
      <c r="AH1259" s="7">
        <f t="shared" si="152"/>
        <v>522.3164359740166</v>
      </c>
      <c r="AI1259" s="8">
        <f t="shared" si="153"/>
        <v>3133.8986158440989</v>
      </c>
      <c r="AJ1259" s="6">
        <v>0</v>
      </c>
      <c r="AK1259" s="5">
        <v>0</v>
      </c>
      <c r="AL1259" s="6">
        <v>576</v>
      </c>
      <c r="AM1259" s="5">
        <v>3602.4567778183082</v>
      </c>
      <c r="AN1259" s="6">
        <v>0</v>
      </c>
      <c r="AO1259" s="5">
        <v>0</v>
      </c>
      <c r="AP1259" s="6">
        <v>0</v>
      </c>
      <c r="AQ1259" s="5">
        <v>0</v>
      </c>
      <c r="AR1259" s="6">
        <v>0</v>
      </c>
      <c r="AS1259" s="5">
        <v>0</v>
      </c>
      <c r="AT1259" s="6">
        <v>0</v>
      </c>
      <c r="AU1259" s="5">
        <v>0</v>
      </c>
      <c r="AV1259" s="6">
        <v>0</v>
      </c>
      <c r="AW1259" s="5">
        <v>0</v>
      </c>
      <c r="AX1259" s="6">
        <v>0</v>
      </c>
      <c r="AY1259" s="5">
        <v>0</v>
      </c>
      <c r="AZ1259" s="6">
        <v>0</v>
      </c>
      <c r="BA1259" s="5">
        <v>0</v>
      </c>
      <c r="BB1259" s="6">
        <v>0</v>
      </c>
      <c r="BC1259" s="5">
        <v>0</v>
      </c>
      <c r="BD1259" s="6">
        <v>0</v>
      </c>
      <c r="BE1259" s="5">
        <v>0</v>
      </c>
      <c r="BF1259" s="6">
        <v>0</v>
      </c>
      <c r="BG1259" s="5">
        <v>0</v>
      </c>
      <c r="BH1259" s="9">
        <f t="shared" si="154"/>
        <v>576</v>
      </c>
      <c r="BI1259" s="10">
        <f t="shared" si="155"/>
        <v>3602.4567778183082</v>
      </c>
      <c r="BJ1259" s="6">
        <f t="shared" si="156"/>
        <v>53.683564025983401</v>
      </c>
      <c r="BK1259" s="11">
        <f t="shared" si="157"/>
        <v>0.10277977166442062</v>
      </c>
      <c r="BL1259" s="5">
        <f t="shared" si="158"/>
        <v>468.55816197420927</v>
      </c>
      <c r="BM1259" s="11">
        <f t="shared" si="159"/>
        <v>0.1495128654147625</v>
      </c>
    </row>
    <row r="1260" spans="1:65" ht="15" customHeight="1" x14ac:dyDescent="0.4">
      <c r="A1260" s="2" t="s">
        <v>775</v>
      </c>
      <c r="B1260" s="2" t="s">
        <v>944</v>
      </c>
      <c r="C1260" s="2" t="s">
        <v>945</v>
      </c>
      <c r="D1260" s="3" t="s">
        <v>68</v>
      </c>
      <c r="E1260" s="3" t="s">
        <v>962</v>
      </c>
      <c r="F1260" s="2" t="s">
        <v>250</v>
      </c>
      <c r="G1260" s="4">
        <v>1</v>
      </c>
      <c r="H1260" s="5">
        <v>6</v>
      </c>
      <c r="I1260" s="5">
        <v>6.2542652392678963</v>
      </c>
      <c r="J1260" s="6">
        <v>0</v>
      </c>
      <c r="K1260" s="5">
        <v>0</v>
      </c>
      <c r="L1260" s="6">
        <v>0</v>
      </c>
      <c r="M1260" s="5">
        <v>0</v>
      </c>
      <c r="N1260" s="6">
        <v>0</v>
      </c>
      <c r="O1260" s="5">
        <v>0</v>
      </c>
      <c r="P1260" s="6">
        <v>0</v>
      </c>
      <c r="Q1260" s="5">
        <v>0</v>
      </c>
      <c r="R1260" s="6">
        <v>0</v>
      </c>
      <c r="S1260" s="5">
        <v>0</v>
      </c>
      <c r="T1260" s="6">
        <v>0</v>
      </c>
      <c r="U1260" s="5">
        <v>0</v>
      </c>
      <c r="V1260" s="6">
        <v>0</v>
      </c>
      <c r="W1260" s="5">
        <v>0</v>
      </c>
      <c r="X1260" s="6">
        <v>0</v>
      </c>
      <c r="Y1260" s="5">
        <v>0</v>
      </c>
      <c r="Z1260" s="6">
        <v>0</v>
      </c>
      <c r="AA1260" s="5">
        <v>0</v>
      </c>
      <c r="AB1260" s="6">
        <v>0</v>
      </c>
      <c r="AC1260" s="5">
        <v>0</v>
      </c>
      <c r="AD1260" s="6">
        <v>500.54196154954963</v>
      </c>
      <c r="AE1260" s="5">
        <v>3003.251769297297</v>
      </c>
      <c r="AF1260" s="6">
        <v>0</v>
      </c>
      <c r="AG1260" s="5">
        <v>0</v>
      </c>
      <c r="AH1260" s="7">
        <f t="shared" si="152"/>
        <v>500.54196154954963</v>
      </c>
      <c r="AI1260" s="8">
        <f t="shared" si="153"/>
        <v>3003.251769297297</v>
      </c>
      <c r="AJ1260" s="6">
        <v>0</v>
      </c>
      <c r="AK1260" s="5">
        <v>0</v>
      </c>
      <c r="AL1260" s="6">
        <v>0</v>
      </c>
      <c r="AM1260" s="5">
        <v>0</v>
      </c>
      <c r="AN1260" s="6">
        <v>0</v>
      </c>
      <c r="AO1260" s="5">
        <v>0</v>
      </c>
      <c r="AP1260" s="6">
        <v>0</v>
      </c>
      <c r="AQ1260" s="5">
        <v>0</v>
      </c>
      <c r="AR1260" s="6">
        <v>0</v>
      </c>
      <c r="AS1260" s="5">
        <v>0</v>
      </c>
      <c r="AT1260" s="6">
        <v>0</v>
      </c>
      <c r="AU1260" s="5">
        <v>0</v>
      </c>
      <c r="AV1260" s="6">
        <v>0</v>
      </c>
      <c r="AW1260" s="5">
        <v>0</v>
      </c>
      <c r="AX1260" s="6">
        <v>0</v>
      </c>
      <c r="AY1260" s="5">
        <v>0</v>
      </c>
      <c r="AZ1260" s="6">
        <v>0</v>
      </c>
      <c r="BA1260" s="5">
        <v>0</v>
      </c>
      <c r="BB1260" s="6">
        <v>0</v>
      </c>
      <c r="BC1260" s="5">
        <v>0</v>
      </c>
      <c r="BD1260" s="6">
        <v>552</v>
      </c>
      <c r="BE1260" s="5">
        <v>3452.3544120758788</v>
      </c>
      <c r="BF1260" s="6">
        <v>0</v>
      </c>
      <c r="BG1260" s="5">
        <v>0</v>
      </c>
      <c r="BH1260" s="9">
        <f t="shared" si="154"/>
        <v>552</v>
      </c>
      <c r="BI1260" s="10">
        <f t="shared" si="155"/>
        <v>3452.3544120758788</v>
      </c>
      <c r="BJ1260" s="6">
        <f t="shared" si="156"/>
        <v>51.458038450450374</v>
      </c>
      <c r="BK1260" s="11">
        <f t="shared" si="157"/>
        <v>0.10280464457195451</v>
      </c>
      <c r="BL1260" s="5">
        <f t="shared" si="158"/>
        <v>449.10264277858187</v>
      </c>
      <c r="BM1260" s="11">
        <f t="shared" si="159"/>
        <v>0.1495387923749274</v>
      </c>
    </row>
    <row r="1261" spans="1:65" ht="15" customHeight="1" x14ac:dyDescent="0.4">
      <c r="A1261" s="2" t="s">
        <v>775</v>
      </c>
      <c r="B1261" s="2" t="s">
        <v>944</v>
      </c>
      <c r="C1261" s="2" t="s">
        <v>945</v>
      </c>
      <c r="D1261" s="3" t="s">
        <v>68</v>
      </c>
      <c r="E1261" s="3" t="s">
        <v>963</v>
      </c>
      <c r="F1261" s="2" t="s">
        <v>863</v>
      </c>
      <c r="G1261" s="4">
        <v>1</v>
      </c>
      <c r="H1261" s="5">
        <v>5.75</v>
      </c>
      <c r="I1261" s="5">
        <v>5.9936708542983999</v>
      </c>
      <c r="J1261" s="6">
        <v>0</v>
      </c>
      <c r="K1261" s="5">
        <v>0</v>
      </c>
      <c r="L1261" s="6">
        <v>1392.843829264044</v>
      </c>
      <c r="M1261" s="5">
        <v>8008.8520182682541</v>
      </c>
      <c r="N1261" s="6">
        <v>0</v>
      </c>
      <c r="O1261" s="5">
        <v>0</v>
      </c>
      <c r="P1261" s="6">
        <v>0</v>
      </c>
      <c r="Q1261" s="5">
        <v>0</v>
      </c>
      <c r="R1261" s="6">
        <v>0</v>
      </c>
      <c r="S1261" s="5">
        <v>0</v>
      </c>
      <c r="T1261" s="6">
        <v>0</v>
      </c>
      <c r="U1261" s="5">
        <v>0</v>
      </c>
      <c r="V1261" s="6">
        <v>0</v>
      </c>
      <c r="W1261" s="5">
        <v>0</v>
      </c>
      <c r="X1261" s="6">
        <v>0</v>
      </c>
      <c r="Y1261" s="5">
        <v>0</v>
      </c>
      <c r="Z1261" s="6">
        <v>0</v>
      </c>
      <c r="AA1261" s="5">
        <v>0</v>
      </c>
      <c r="AB1261" s="6">
        <v>0</v>
      </c>
      <c r="AC1261" s="5">
        <v>0</v>
      </c>
      <c r="AD1261" s="6">
        <v>0</v>
      </c>
      <c r="AE1261" s="5">
        <v>0</v>
      </c>
      <c r="AF1261" s="6">
        <v>0</v>
      </c>
      <c r="AG1261" s="5">
        <v>0</v>
      </c>
      <c r="AH1261" s="7">
        <f t="shared" si="152"/>
        <v>1392.843829264044</v>
      </c>
      <c r="AI1261" s="8">
        <f t="shared" si="153"/>
        <v>8008.8520182682541</v>
      </c>
      <c r="AJ1261" s="6">
        <v>0</v>
      </c>
      <c r="AK1261" s="5">
        <v>0</v>
      </c>
      <c r="AL1261" s="6">
        <v>1536</v>
      </c>
      <c r="AM1261" s="5">
        <v>9206.2784322023417</v>
      </c>
      <c r="AN1261" s="6">
        <v>0</v>
      </c>
      <c r="AO1261" s="5">
        <v>0</v>
      </c>
      <c r="AP1261" s="6">
        <v>0</v>
      </c>
      <c r="AQ1261" s="5">
        <v>0</v>
      </c>
      <c r="AR1261" s="6">
        <v>0</v>
      </c>
      <c r="AS1261" s="5">
        <v>0</v>
      </c>
      <c r="AT1261" s="6">
        <v>0</v>
      </c>
      <c r="AU1261" s="5">
        <v>0</v>
      </c>
      <c r="AV1261" s="6">
        <v>0</v>
      </c>
      <c r="AW1261" s="5">
        <v>0</v>
      </c>
      <c r="AX1261" s="6">
        <v>0</v>
      </c>
      <c r="AY1261" s="5">
        <v>0</v>
      </c>
      <c r="AZ1261" s="6">
        <v>0</v>
      </c>
      <c r="BA1261" s="5">
        <v>0</v>
      </c>
      <c r="BB1261" s="6">
        <v>0</v>
      </c>
      <c r="BC1261" s="5">
        <v>0</v>
      </c>
      <c r="BD1261" s="6">
        <v>0</v>
      </c>
      <c r="BE1261" s="5">
        <v>0</v>
      </c>
      <c r="BF1261" s="6">
        <v>0</v>
      </c>
      <c r="BG1261" s="5">
        <v>0</v>
      </c>
      <c r="BH1261" s="9">
        <f t="shared" si="154"/>
        <v>1536</v>
      </c>
      <c r="BI1261" s="10">
        <f t="shared" si="155"/>
        <v>9206.2784322023417</v>
      </c>
      <c r="BJ1261" s="6">
        <f t="shared" si="156"/>
        <v>143.15617073595604</v>
      </c>
      <c r="BK1261" s="11">
        <f t="shared" si="157"/>
        <v>0.10277977166442087</v>
      </c>
      <c r="BL1261" s="5">
        <f t="shared" si="158"/>
        <v>1197.4264139340876</v>
      </c>
      <c r="BM1261" s="11">
        <f t="shared" si="159"/>
        <v>0.14951286541476214</v>
      </c>
    </row>
    <row r="1262" spans="1:65" ht="15" customHeight="1" x14ac:dyDescent="0.4">
      <c r="A1262" s="2" t="s">
        <v>775</v>
      </c>
      <c r="B1262" s="2" t="s">
        <v>944</v>
      </c>
      <c r="C1262" s="2" t="s">
        <v>945</v>
      </c>
      <c r="D1262" s="3" t="s">
        <v>68</v>
      </c>
      <c r="E1262" s="3" t="s">
        <v>963</v>
      </c>
      <c r="F1262" s="2" t="s">
        <v>546</v>
      </c>
      <c r="G1262" s="4">
        <v>1</v>
      </c>
      <c r="H1262" s="5">
        <v>5.75</v>
      </c>
      <c r="I1262" s="5">
        <v>5.9936708542983999</v>
      </c>
      <c r="J1262" s="6">
        <v>0</v>
      </c>
      <c r="K1262" s="5">
        <v>0</v>
      </c>
      <c r="L1262" s="6">
        <v>0</v>
      </c>
      <c r="M1262" s="5">
        <v>0</v>
      </c>
      <c r="N1262" s="6">
        <v>0</v>
      </c>
      <c r="O1262" s="5">
        <v>0</v>
      </c>
      <c r="P1262" s="6">
        <v>0</v>
      </c>
      <c r="Q1262" s="5">
        <v>0</v>
      </c>
      <c r="R1262" s="6">
        <v>0</v>
      </c>
      <c r="S1262" s="5">
        <v>0</v>
      </c>
      <c r="T1262" s="6">
        <v>0</v>
      </c>
      <c r="U1262" s="5">
        <v>0</v>
      </c>
      <c r="V1262" s="6">
        <v>0</v>
      </c>
      <c r="W1262" s="5">
        <v>0</v>
      </c>
      <c r="X1262" s="6">
        <v>0</v>
      </c>
      <c r="Y1262" s="5">
        <v>0</v>
      </c>
      <c r="Z1262" s="6">
        <v>0</v>
      </c>
      <c r="AA1262" s="5">
        <v>0</v>
      </c>
      <c r="AB1262" s="6">
        <v>0</v>
      </c>
      <c r="AC1262" s="5">
        <v>0</v>
      </c>
      <c r="AD1262" s="6">
        <v>500.54196154954963</v>
      </c>
      <c r="AE1262" s="5">
        <v>2878.1162789099099</v>
      </c>
      <c r="AF1262" s="6">
        <v>0</v>
      </c>
      <c r="AG1262" s="5">
        <v>0</v>
      </c>
      <c r="AH1262" s="7">
        <f t="shared" si="152"/>
        <v>500.54196154954963</v>
      </c>
      <c r="AI1262" s="8">
        <f t="shared" si="153"/>
        <v>2878.1162789099099</v>
      </c>
      <c r="AJ1262" s="6">
        <v>0</v>
      </c>
      <c r="AK1262" s="5">
        <v>0</v>
      </c>
      <c r="AL1262" s="6">
        <v>0</v>
      </c>
      <c r="AM1262" s="5">
        <v>0</v>
      </c>
      <c r="AN1262" s="6">
        <v>0</v>
      </c>
      <c r="AO1262" s="5">
        <v>0</v>
      </c>
      <c r="AP1262" s="6">
        <v>0</v>
      </c>
      <c r="AQ1262" s="5">
        <v>0</v>
      </c>
      <c r="AR1262" s="6">
        <v>0</v>
      </c>
      <c r="AS1262" s="5">
        <v>0</v>
      </c>
      <c r="AT1262" s="6">
        <v>0</v>
      </c>
      <c r="AU1262" s="5">
        <v>0</v>
      </c>
      <c r="AV1262" s="6">
        <v>0</v>
      </c>
      <c r="AW1262" s="5">
        <v>0</v>
      </c>
      <c r="AX1262" s="6">
        <v>0</v>
      </c>
      <c r="AY1262" s="5">
        <v>0</v>
      </c>
      <c r="AZ1262" s="6">
        <v>0</v>
      </c>
      <c r="BA1262" s="5">
        <v>0</v>
      </c>
      <c r="BB1262" s="6">
        <v>0</v>
      </c>
      <c r="BC1262" s="5">
        <v>0</v>
      </c>
      <c r="BD1262" s="6">
        <v>552</v>
      </c>
      <c r="BE1262" s="5">
        <v>3308.5063115727171</v>
      </c>
      <c r="BF1262" s="6">
        <v>0</v>
      </c>
      <c r="BG1262" s="5">
        <v>0</v>
      </c>
      <c r="BH1262" s="9">
        <f t="shared" si="154"/>
        <v>552</v>
      </c>
      <c r="BI1262" s="10">
        <f t="shared" si="155"/>
        <v>3308.5063115727171</v>
      </c>
      <c r="BJ1262" s="6">
        <f t="shared" si="156"/>
        <v>51.458038450450374</v>
      </c>
      <c r="BK1262" s="11">
        <f t="shared" si="157"/>
        <v>0.10280464457195451</v>
      </c>
      <c r="BL1262" s="5">
        <f t="shared" si="158"/>
        <v>430.39003266280724</v>
      </c>
      <c r="BM1262" s="11">
        <f t="shared" si="159"/>
        <v>0.14953879237492726</v>
      </c>
    </row>
    <row r="1263" spans="1:65" ht="15" customHeight="1" x14ac:dyDescent="0.4">
      <c r="A1263" s="2" t="s">
        <v>775</v>
      </c>
      <c r="B1263" s="2" t="s">
        <v>964</v>
      </c>
      <c r="C1263" s="2" t="s">
        <v>965</v>
      </c>
      <c r="D1263" s="3" t="s">
        <v>134</v>
      </c>
      <c r="E1263" s="3" t="s">
        <v>966</v>
      </c>
      <c r="F1263" s="2" t="s">
        <v>87</v>
      </c>
      <c r="G1263" s="4">
        <v>20</v>
      </c>
      <c r="H1263" s="5">
        <v>1.95</v>
      </c>
      <c r="I1263" s="5">
        <v>2.0326362027620659</v>
      </c>
      <c r="J1263" s="6">
        <v>0</v>
      </c>
      <c r="K1263" s="5">
        <v>0</v>
      </c>
      <c r="L1263" s="6">
        <v>0</v>
      </c>
      <c r="M1263" s="5">
        <v>0</v>
      </c>
      <c r="N1263" s="6">
        <v>0</v>
      </c>
      <c r="O1263" s="5">
        <v>0</v>
      </c>
      <c r="P1263" s="6">
        <v>0</v>
      </c>
      <c r="Q1263" s="5">
        <v>0</v>
      </c>
      <c r="R1263" s="6">
        <v>0</v>
      </c>
      <c r="S1263" s="5">
        <v>0</v>
      </c>
      <c r="T1263" s="6">
        <v>0</v>
      </c>
      <c r="U1263" s="5">
        <v>0</v>
      </c>
      <c r="V1263" s="6">
        <v>1088.159241612535</v>
      </c>
      <c r="W1263" s="5">
        <v>2121.910521144443</v>
      </c>
      <c r="X1263" s="6">
        <v>0</v>
      </c>
      <c r="Y1263" s="5">
        <v>0</v>
      </c>
      <c r="Z1263" s="6">
        <v>0</v>
      </c>
      <c r="AA1263" s="5">
        <v>0</v>
      </c>
      <c r="AB1263" s="6">
        <v>0</v>
      </c>
      <c r="AC1263" s="5">
        <v>0</v>
      </c>
      <c r="AD1263" s="6">
        <v>0</v>
      </c>
      <c r="AE1263" s="5">
        <v>0</v>
      </c>
      <c r="AF1263" s="6">
        <v>0</v>
      </c>
      <c r="AG1263" s="5">
        <v>0</v>
      </c>
      <c r="AH1263" s="7">
        <f t="shared" si="152"/>
        <v>1088.159241612535</v>
      </c>
      <c r="AI1263" s="8">
        <f t="shared" si="153"/>
        <v>2121.910521144443</v>
      </c>
      <c r="AJ1263" s="6">
        <v>0</v>
      </c>
      <c r="AK1263" s="5">
        <v>0</v>
      </c>
      <c r="AL1263" s="6">
        <v>0</v>
      </c>
      <c r="AM1263" s="5">
        <v>0</v>
      </c>
      <c r="AN1263" s="6">
        <v>0</v>
      </c>
      <c r="AO1263" s="5">
        <v>0</v>
      </c>
      <c r="AP1263" s="6">
        <v>0</v>
      </c>
      <c r="AQ1263" s="5">
        <v>0</v>
      </c>
      <c r="AR1263" s="6">
        <v>0</v>
      </c>
      <c r="AS1263" s="5">
        <v>0</v>
      </c>
      <c r="AT1263" s="6">
        <v>0</v>
      </c>
      <c r="AU1263" s="5">
        <v>0</v>
      </c>
      <c r="AV1263" s="6">
        <v>1180</v>
      </c>
      <c r="AW1263" s="5">
        <v>2398.5107192592382</v>
      </c>
      <c r="AX1263" s="6">
        <v>0</v>
      </c>
      <c r="AY1263" s="5">
        <v>0</v>
      </c>
      <c r="AZ1263" s="6">
        <v>0</v>
      </c>
      <c r="BA1263" s="5">
        <v>0</v>
      </c>
      <c r="BB1263" s="6">
        <v>0</v>
      </c>
      <c r="BC1263" s="5">
        <v>0</v>
      </c>
      <c r="BD1263" s="6">
        <v>0</v>
      </c>
      <c r="BE1263" s="5">
        <v>0</v>
      </c>
      <c r="BF1263" s="6">
        <v>0</v>
      </c>
      <c r="BG1263" s="5">
        <v>0</v>
      </c>
      <c r="BH1263" s="9">
        <f t="shared" si="154"/>
        <v>1180</v>
      </c>
      <c r="BI1263" s="10">
        <f t="shared" si="155"/>
        <v>2398.5107192592382</v>
      </c>
      <c r="BJ1263" s="6">
        <f t="shared" si="156"/>
        <v>91.84075838746503</v>
      </c>
      <c r="BK1263" s="11">
        <f t="shared" si="157"/>
        <v>8.4400108803346557E-2</v>
      </c>
      <c r="BL1263" s="5">
        <f t="shared" si="158"/>
        <v>276.60019811479515</v>
      </c>
      <c r="BM1263" s="11">
        <f t="shared" si="159"/>
        <v>0.13035431765784924</v>
      </c>
    </row>
    <row r="1264" spans="1:65" ht="15" customHeight="1" x14ac:dyDescent="0.4">
      <c r="A1264" s="2" t="s">
        <v>775</v>
      </c>
      <c r="B1264" s="2" t="s">
        <v>964</v>
      </c>
      <c r="C1264" s="2" t="s">
        <v>967</v>
      </c>
      <c r="D1264" s="3" t="s">
        <v>68</v>
      </c>
      <c r="E1264" s="3" t="s">
        <v>966</v>
      </c>
      <c r="F1264" s="2" t="s">
        <v>87</v>
      </c>
      <c r="G1264" s="4">
        <v>20</v>
      </c>
      <c r="H1264" s="5">
        <v>1.72</v>
      </c>
      <c r="I1264" s="5">
        <v>1.7928893685901299</v>
      </c>
      <c r="J1264" s="6">
        <v>0</v>
      </c>
      <c r="K1264" s="5">
        <v>0</v>
      </c>
      <c r="L1264" s="6">
        <v>0</v>
      </c>
      <c r="M1264" s="5">
        <v>0</v>
      </c>
      <c r="N1264" s="6">
        <v>0</v>
      </c>
      <c r="O1264" s="5">
        <v>0</v>
      </c>
      <c r="P1264" s="6">
        <v>652.89554496752078</v>
      </c>
      <c r="Q1264" s="5">
        <v>1122.9803373441359</v>
      </c>
      <c r="R1264" s="6">
        <v>0</v>
      </c>
      <c r="S1264" s="5">
        <v>0</v>
      </c>
      <c r="T1264" s="6">
        <v>0</v>
      </c>
      <c r="U1264" s="5">
        <v>0</v>
      </c>
      <c r="V1264" s="6">
        <v>0</v>
      </c>
      <c r="W1264" s="5">
        <v>0</v>
      </c>
      <c r="X1264" s="6">
        <v>0</v>
      </c>
      <c r="Y1264" s="5">
        <v>0</v>
      </c>
      <c r="Z1264" s="6">
        <v>0</v>
      </c>
      <c r="AA1264" s="5">
        <v>0</v>
      </c>
      <c r="AB1264" s="6">
        <v>0</v>
      </c>
      <c r="AC1264" s="5">
        <v>0</v>
      </c>
      <c r="AD1264" s="6">
        <v>0</v>
      </c>
      <c r="AE1264" s="5">
        <v>0</v>
      </c>
      <c r="AF1264" s="6">
        <v>0</v>
      </c>
      <c r="AG1264" s="5">
        <v>0</v>
      </c>
      <c r="AH1264" s="7">
        <f t="shared" si="152"/>
        <v>652.89554496752078</v>
      </c>
      <c r="AI1264" s="8">
        <f t="shared" si="153"/>
        <v>1122.9803373441359</v>
      </c>
      <c r="AJ1264" s="6">
        <v>0</v>
      </c>
      <c r="AK1264" s="5">
        <v>0</v>
      </c>
      <c r="AL1264" s="6">
        <v>0</v>
      </c>
      <c r="AM1264" s="5">
        <v>0</v>
      </c>
      <c r="AN1264" s="6">
        <v>0</v>
      </c>
      <c r="AO1264" s="5">
        <v>0</v>
      </c>
      <c r="AP1264" s="6">
        <v>720</v>
      </c>
      <c r="AQ1264" s="5">
        <v>1290.8803453848941</v>
      </c>
      <c r="AR1264" s="6">
        <v>0</v>
      </c>
      <c r="AS1264" s="5">
        <v>0</v>
      </c>
      <c r="AT1264" s="6">
        <v>0</v>
      </c>
      <c r="AU1264" s="5">
        <v>0</v>
      </c>
      <c r="AV1264" s="6">
        <v>0</v>
      </c>
      <c r="AW1264" s="5">
        <v>0</v>
      </c>
      <c r="AX1264" s="6">
        <v>0</v>
      </c>
      <c r="AY1264" s="5">
        <v>0</v>
      </c>
      <c r="AZ1264" s="6">
        <v>0</v>
      </c>
      <c r="BA1264" s="5">
        <v>0</v>
      </c>
      <c r="BB1264" s="6">
        <v>0</v>
      </c>
      <c r="BC1264" s="5">
        <v>0</v>
      </c>
      <c r="BD1264" s="6">
        <v>0</v>
      </c>
      <c r="BE1264" s="5">
        <v>0</v>
      </c>
      <c r="BF1264" s="6">
        <v>0</v>
      </c>
      <c r="BG1264" s="5">
        <v>0</v>
      </c>
      <c r="BH1264" s="9">
        <f t="shared" si="154"/>
        <v>720</v>
      </c>
      <c r="BI1264" s="10">
        <f t="shared" si="155"/>
        <v>1290.8803453848941</v>
      </c>
      <c r="BJ1264" s="6">
        <f t="shared" si="156"/>
        <v>67.104455032479223</v>
      </c>
      <c r="BK1264" s="11">
        <f t="shared" si="157"/>
        <v>0.10277977166442058</v>
      </c>
      <c r="BL1264" s="5">
        <f t="shared" si="158"/>
        <v>167.90000804075817</v>
      </c>
      <c r="BM1264" s="11">
        <f t="shared" si="159"/>
        <v>0.1495128654147623</v>
      </c>
    </row>
    <row r="1265" spans="1:65" ht="15" customHeight="1" x14ac:dyDescent="0.4">
      <c r="A1265" s="2" t="s">
        <v>775</v>
      </c>
      <c r="B1265" s="2" t="s">
        <v>964</v>
      </c>
      <c r="C1265" s="2" t="s">
        <v>967</v>
      </c>
      <c r="D1265" s="3" t="s">
        <v>68</v>
      </c>
      <c r="E1265" s="3" t="s">
        <v>968</v>
      </c>
      <c r="F1265" s="2" t="s">
        <v>969</v>
      </c>
      <c r="G1265" s="4">
        <v>1000</v>
      </c>
      <c r="H1265" s="5">
        <v>2.72</v>
      </c>
      <c r="I1265" s="5">
        <v>2.8352669084681121</v>
      </c>
      <c r="J1265" s="6">
        <v>0</v>
      </c>
      <c r="K1265" s="5">
        <v>0</v>
      </c>
      <c r="L1265" s="6">
        <v>0</v>
      </c>
      <c r="M1265" s="5">
        <v>0</v>
      </c>
      <c r="N1265" s="6">
        <v>0</v>
      </c>
      <c r="O1265" s="5">
        <v>0</v>
      </c>
      <c r="P1265" s="6">
        <v>16817.006461284629</v>
      </c>
      <c r="Q1265" s="5">
        <v>45742.25757469418</v>
      </c>
      <c r="R1265" s="6">
        <v>0</v>
      </c>
      <c r="S1265" s="5">
        <v>0</v>
      </c>
      <c r="T1265" s="6">
        <v>0</v>
      </c>
      <c r="U1265" s="5">
        <v>0</v>
      </c>
      <c r="V1265" s="6">
        <v>0</v>
      </c>
      <c r="W1265" s="5">
        <v>0</v>
      </c>
      <c r="X1265" s="6">
        <v>0</v>
      </c>
      <c r="Y1265" s="5">
        <v>0</v>
      </c>
      <c r="Z1265" s="6">
        <v>0</v>
      </c>
      <c r="AA1265" s="5">
        <v>0</v>
      </c>
      <c r="AB1265" s="6">
        <v>0</v>
      </c>
      <c r="AC1265" s="5">
        <v>0</v>
      </c>
      <c r="AD1265" s="6">
        <v>0</v>
      </c>
      <c r="AE1265" s="5">
        <v>0</v>
      </c>
      <c r="AF1265" s="6">
        <v>0</v>
      </c>
      <c r="AG1265" s="5">
        <v>0</v>
      </c>
      <c r="AH1265" s="7">
        <f t="shared" si="152"/>
        <v>16817.006461284629</v>
      </c>
      <c r="AI1265" s="8">
        <f t="shared" si="153"/>
        <v>45742.25757469418</v>
      </c>
      <c r="AJ1265" s="6">
        <v>0</v>
      </c>
      <c r="AK1265" s="5">
        <v>0</v>
      </c>
      <c r="AL1265" s="6">
        <v>0</v>
      </c>
      <c r="AM1265" s="5">
        <v>0</v>
      </c>
      <c r="AN1265" s="6">
        <v>0</v>
      </c>
      <c r="AO1265" s="5">
        <v>0</v>
      </c>
      <c r="AP1265" s="6">
        <v>18000</v>
      </c>
      <c r="AQ1265" s="5">
        <v>51034.804352426021</v>
      </c>
      <c r="AR1265" s="6">
        <v>0</v>
      </c>
      <c r="AS1265" s="5">
        <v>0</v>
      </c>
      <c r="AT1265" s="6">
        <v>0</v>
      </c>
      <c r="AU1265" s="5">
        <v>0</v>
      </c>
      <c r="AV1265" s="6">
        <v>0</v>
      </c>
      <c r="AW1265" s="5">
        <v>0</v>
      </c>
      <c r="AX1265" s="6">
        <v>0</v>
      </c>
      <c r="AY1265" s="5">
        <v>0</v>
      </c>
      <c r="AZ1265" s="6">
        <v>0</v>
      </c>
      <c r="BA1265" s="5">
        <v>0</v>
      </c>
      <c r="BB1265" s="6">
        <v>0</v>
      </c>
      <c r="BC1265" s="5">
        <v>0</v>
      </c>
      <c r="BD1265" s="6">
        <v>0</v>
      </c>
      <c r="BE1265" s="5">
        <v>0</v>
      </c>
      <c r="BF1265" s="6">
        <v>0</v>
      </c>
      <c r="BG1265" s="5">
        <v>0</v>
      </c>
      <c r="BH1265" s="9">
        <f t="shared" si="154"/>
        <v>18000</v>
      </c>
      <c r="BI1265" s="10">
        <f t="shared" si="155"/>
        <v>51034.804352426021</v>
      </c>
      <c r="BJ1265" s="6">
        <f t="shared" si="156"/>
        <v>1182.993538715371</v>
      </c>
      <c r="BK1265" s="11">
        <f t="shared" si="157"/>
        <v>7.034507249781978E-2</v>
      </c>
      <c r="BL1265" s="5">
        <f t="shared" si="158"/>
        <v>5292.5467777318408</v>
      </c>
      <c r="BM1265" s="11">
        <f t="shared" si="159"/>
        <v>0.11570366349079843</v>
      </c>
    </row>
    <row r="1266" spans="1:65" ht="15" customHeight="1" x14ac:dyDescent="0.4">
      <c r="A1266" s="2" t="s">
        <v>775</v>
      </c>
      <c r="B1266" s="2" t="s">
        <v>964</v>
      </c>
      <c r="C1266" s="2" t="s">
        <v>970</v>
      </c>
      <c r="D1266" s="3" t="s">
        <v>68</v>
      </c>
      <c r="E1266" s="3" t="s">
        <v>968</v>
      </c>
      <c r="F1266" s="2" t="s">
        <v>971</v>
      </c>
      <c r="G1266" s="4">
        <v>1000</v>
      </c>
      <c r="H1266" s="5">
        <v>2.72</v>
      </c>
      <c r="I1266" s="5">
        <v>2.835266908468113</v>
      </c>
      <c r="J1266" s="6">
        <v>0</v>
      </c>
      <c r="K1266" s="5">
        <v>0</v>
      </c>
      <c r="L1266" s="6">
        <v>33634.012922569251</v>
      </c>
      <c r="M1266" s="5">
        <v>91484.51514938836</v>
      </c>
      <c r="N1266" s="6">
        <v>16817.006461284629</v>
      </c>
      <c r="O1266" s="5">
        <v>45742.25757469418</v>
      </c>
      <c r="P1266" s="6">
        <v>0</v>
      </c>
      <c r="Q1266" s="5">
        <v>0</v>
      </c>
      <c r="R1266" s="6">
        <v>0</v>
      </c>
      <c r="S1266" s="5">
        <v>0</v>
      </c>
      <c r="T1266" s="6">
        <v>0</v>
      </c>
      <c r="U1266" s="5">
        <v>0</v>
      </c>
      <c r="V1266" s="6">
        <v>0</v>
      </c>
      <c r="W1266" s="5">
        <v>0</v>
      </c>
      <c r="X1266" s="6">
        <v>0</v>
      </c>
      <c r="Y1266" s="5">
        <v>0</v>
      </c>
      <c r="Z1266" s="6">
        <v>0</v>
      </c>
      <c r="AA1266" s="5">
        <v>0</v>
      </c>
      <c r="AB1266" s="6">
        <v>0</v>
      </c>
      <c r="AC1266" s="5">
        <v>0</v>
      </c>
      <c r="AD1266" s="6">
        <v>0</v>
      </c>
      <c r="AE1266" s="5">
        <v>0</v>
      </c>
      <c r="AF1266" s="6">
        <v>0</v>
      </c>
      <c r="AG1266" s="5">
        <v>0</v>
      </c>
      <c r="AH1266" s="7">
        <f t="shared" si="152"/>
        <v>50451.019383853883</v>
      </c>
      <c r="AI1266" s="8">
        <f t="shared" si="153"/>
        <v>137226.77272408255</v>
      </c>
      <c r="AJ1266" s="6">
        <v>0</v>
      </c>
      <c r="AK1266" s="5">
        <v>0</v>
      </c>
      <c r="AL1266" s="6">
        <v>35000</v>
      </c>
      <c r="AM1266" s="5">
        <v>99234.341796383946</v>
      </c>
      <c r="AN1266" s="6">
        <v>18000</v>
      </c>
      <c r="AO1266" s="5">
        <v>51034.804352426021</v>
      </c>
      <c r="AP1266" s="6">
        <v>0</v>
      </c>
      <c r="AQ1266" s="5">
        <v>0</v>
      </c>
      <c r="AR1266" s="6">
        <v>0</v>
      </c>
      <c r="AS1266" s="5">
        <v>0</v>
      </c>
      <c r="AT1266" s="6">
        <v>0</v>
      </c>
      <c r="AU1266" s="5">
        <v>0</v>
      </c>
      <c r="AV1266" s="6">
        <v>0</v>
      </c>
      <c r="AW1266" s="5">
        <v>0</v>
      </c>
      <c r="AX1266" s="6">
        <v>0</v>
      </c>
      <c r="AY1266" s="5">
        <v>0</v>
      </c>
      <c r="AZ1266" s="6">
        <v>0</v>
      </c>
      <c r="BA1266" s="5">
        <v>0</v>
      </c>
      <c r="BB1266" s="6">
        <v>0</v>
      </c>
      <c r="BC1266" s="5">
        <v>0</v>
      </c>
      <c r="BD1266" s="6">
        <v>0</v>
      </c>
      <c r="BE1266" s="5">
        <v>0</v>
      </c>
      <c r="BF1266" s="6">
        <v>0</v>
      </c>
      <c r="BG1266" s="5">
        <v>0</v>
      </c>
      <c r="BH1266" s="9">
        <f t="shared" si="154"/>
        <v>53000</v>
      </c>
      <c r="BI1266" s="10">
        <f t="shared" si="155"/>
        <v>150269.14614880996</v>
      </c>
      <c r="BJ1266" s="6">
        <f t="shared" si="156"/>
        <v>2548.9806161461165</v>
      </c>
      <c r="BK1266" s="11">
        <f t="shared" si="157"/>
        <v>5.0523867451563939E-2</v>
      </c>
      <c r="BL1266" s="5">
        <f t="shared" si="158"/>
        <v>13042.373424727411</v>
      </c>
      <c r="BM1266" s="11">
        <f t="shared" si="159"/>
        <v>9.5042484537265132E-2</v>
      </c>
    </row>
    <row r="1267" spans="1:65" ht="15.5" customHeight="1" thickBot="1" x14ac:dyDescent="0.45">
      <c r="A1267" s="12" t="s">
        <v>972</v>
      </c>
      <c r="B1267" s="13"/>
      <c r="C1267" s="13"/>
      <c r="D1267" s="13"/>
      <c r="E1267" s="13"/>
      <c r="F1267" s="13"/>
      <c r="G1267" s="13"/>
      <c r="H1267" s="13"/>
      <c r="I1267" s="13"/>
      <c r="J1267" s="14">
        <f t="shared" ref="J1267:AO1267" si="160">SUM(J2:J1266)</f>
        <v>326775.20949191845</v>
      </c>
      <c r="K1267" s="15">
        <f t="shared" si="160"/>
        <v>982588.49518811505</v>
      </c>
      <c r="L1267" s="14">
        <f t="shared" si="160"/>
        <v>482743.05206359131</v>
      </c>
      <c r="M1267" s="15">
        <f t="shared" si="160"/>
        <v>1597892.5503490285</v>
      </c>
      <c r="N1267" s="14">
        <f t="shared" si="160"/>
        <v>721728.54164923285</v>
      </c>
      <c r="O1267" s="15">
        <f t="shared" si="160"/>
        <v>1523260.18920443</v>
      </c>
      <c r="P1267" s="14">
        <f t="shared" si="160"/>
        <v>508524.51220441458</v>
      </c>
      <c r="Q1267" s="15">
        <f t="shared" si="160"/>
        <v>1207699.8851966995</v>
      </c>
      <c r="R1267" s="14">
        <f t="shared" si="160"/>
        <v>840604.99261703098</v>
      </c>
      <c r="S1267" s="15">
        <f t="shared" si="160"/>
        <v>2008045.5677791762</v>
      </c>
      <c r="T1267" s="14">
        <f t="shared" si="160"/>
        <v>813306.04495199607</v>
      </c>
      <c r="U1267" s="15">
        <f t="shared" si="160"/>
        <v>2012309.6186910043</v>
      </c>
      <c r="V1267" s="14">
        <f t="shared" si="160"/>
        <v>514429.25994367397</v>
      </c>
      <c r="W1267" s="15">
        <f t="shared" si="160"/>
        <v>1281507.6491603621</v>
      </c>
      <c r="X1267" s="14">
        <f t="shared" si="160"/>
        <v>285296.55767299701</v>
      </c>
      <c r="Y1267" s="15">
        <f t="shared" si="160"/>
        <v>803828.13443118066</v>
      </c>
      <c r="Z1267" s="14">
        <f t="shared" si="160"/>
        <v>172503.06548357068</v>
      </c>
      <c r="AA1267" s="15">
        <f t="shared" si="160"/>
        <v>457931.53772801091</v>
      </c>
      <c r="AB1267" s="14">
        <f t="shared" si="160"/>
        <v>273596.42578221147</v>
      </c>
      <c r="AC1267" s="15">
        <f t="shared" si="160"/>
        <v>791748.09021418763</v>
      </c>
      <c r="AD1267" s="14">
        <f t="shared" si="160"/>
        <v>392764.28047271521</v>
      </c>
      <c r="AE1267" s="15">
        <f t="shared" si="160"/>
        <v>1213184.8854512468</v>
      </c>
      <c r="AF1267" s="14">
        <f t="shared" si="160"/>
        <v>512766.37176580221</v>
      </c>
      <c r="AG1267" s="15">
        <f t="shared" si="160"/>
        <v>1300003.3966065552</v>
      </c>
      <c r="AH1267" s="14">
        <f t="shared" si="160"/>
        <v>5845038.3140991665</v>
      </c>
      <c r="AI1267" s="15">
        <f t="shared" si="160"/>
        <v>15180000.000000002</v>
      </c>
      <c r="AJ1267" s="14">
        <f t="shared" si="160"/>
        <v>364575</v>
      </c>
      <c r="AK1267" s="15">
        <f t="shared" si="160"/>
        <v>1143732.499753383</v>
      </c>
      <c r="AL1267" s="14">
        <f t="shared" si="160"/>
        <v>537215</v>
      </c>
      <c r="AM1267" s="15">
        <f t="shared" si="160"/>
        <v>1853975.1907900963</v>
      </c>
      <c r="AN1267" s="14">
        <f t="shared" si="160"/>
        <v>808766</v>
      </c>
      <c r="AO1267" s="15">
        <f t="shared" si="160"/>
        <v>1777134.101987483</v>
      </c>
      <c r="AP1267" s="14">
        <f t="shared" ref="AP1267:BU1267" si="161">SUM(AP2:AP1266)</f>
        <v>574533</v>
      </c>
      <c r="AQ1267" s="15">
        <f t="shared" si="161"/>
        <v>1429862.5623966309</v>
      </c>
      <c r="AR1267" s="14">
        <f t="shared" si="161"/>
        <v>939238</v>
      </c>
      <c r="AS1267" s="15">
        <f t="shared" si="161"/>
        <v>2349031.4250043626</v>
      </c>
      <c r="AT1267" s="14">
        <f t="shared" si="161"/>
        <v>901768</v>
      </c>
      <c r="AU1267" s="15">
        <f t="shared" si="161"/>
        <v>2329039.1091334089</v>
      </c>
      <c r="AV1267" s="14">
        <f t="shared" si="161"/>
        <v>567309</v>
      </c>
      <c r="AW1267" s="15">
        <f t="shared" si="161"/>
        <v>1477982.308432532</v>
      </c>
      <c r="AX1267" s="14">
        <f t="shared" si="161"/>
        <v>320879</v>
      </c>
      <c r="AY1267" s="15">
        <f t="shared" si="161"/>
        <v>943221.27191494603</v>
      </c>
      <c r="AZ1267" s="14">
        <f t="shared" si="161"/>
        <v>199053</v>
      </c>
      <c r="BA1267" s="15">
        <f t="shared" si="161"/>
        <v>547896.18376313313</v>
      </c>
      <c r="BB1267" s="14">
        <f t="shared" si="161"/>
        <v>303480</v>
      </c>
      <c r="BC1267" s="15">
        <f t="shared" si="161"/>
        <v>916296.91223010991</v>
      </c>
      <c r="BD1267" s="14">
        <f t="shared" si="161"/>
        <v>441658</v>
      </c>
      <c r="BE1267" s="15">
        <f t="shared" si="161"/>
        <v>1416366.8058522765</v>
      </c>
      <c r="BF1267" s="14">
        <f t="shared" si="161"/>
        <v>586671</v>
      </c>
      <c r="BG1267" s="15">
        <f t="shared" si="161"/>
        <v>1553621.918741636</v>
      </c>
      <c r="BH1267" s="14">
        <f t="shared" si="161"/>
        <v>6545145</v>
      </c>
      <c r="BI1267" s="15">
        <f t="shared" si="161"/>
        <v>17738160.289999958</v>
      </c>
      <c r="BJ1267" s="14">
        <f t="shared" si="161"/>
        <v>700106.68590084428</v>
      </c>
      <c r="BK1267" s="16">
        <f>BJ1267/AH1267</f>
        <v>0.11977794640149322</v>
      </c>
      <c r="BL1267" s="15">
        <f>SUM(BL2:BL1266)</f>
        <v>2558160.290000008</v>
      </c>
      <c r="BM1267" s="16">
        <f>BL1267/AI1267</f>
        <v>0.16852175823451962</v>
      </c>
    </row>
  </sheetData>
  <autoFilter ref="A1:BM12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Previsión Matriz 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2026-09-23T10:17:18Z</dcterms:created>
  <dcterms:modified xsi:type="dcterms:W3CDTF">2026-10-28T07:57:12Z</dcterms:modified>
</cp:coreProperties>
</file>