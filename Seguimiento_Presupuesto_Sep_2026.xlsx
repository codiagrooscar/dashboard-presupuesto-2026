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01/10/2026 | Generado: 01/10/2026 14:03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236,105 u</t>
        </is>
      </c>
      <c r="E6" s="4" t="n"/>
      <c r="F6" s="8" t="inlineStr">
        <is>
          <t>129.8%</t>
        </is>
      </c>
      <c r="G6" s="4" t="n"/>
      <c r="H6" s="9" t="inlineStr">
        <is>
          <t>15,512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  <c r="K9" s="11" t="inlineStr">
        <is>
          <t>Forecast Accuracy</t>
        </is>
      </c>
    </row>
    <row r="10">
      <c r="B10" s="12" t="inlineStr">
        <is>
          <t>Alfonso</t>
        </is>
      </c>
      <c r="C10" s="13" t="n">
        <v>12</v>
      </c>
      <c r="D10" s="14" t="n">
        <v>2320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  <c r="K10" s="15">
        <f>IF(D10&gt;0, 1.0 - (I10/D10), 0)</f>
        <v/>
      </c>
    </row>
    <row r="11">
      <c r="B11" s="16" t="inlineStr">
        <is>
          <t>García</t>
        </is>
      </c>
      <c r="C11" s="17" t="n">
        <v>9</v>
      </c>
      <c r="D11" s="18" t="n">
        <v>37832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  <c r="K11" s="19">
        <f>IF(D11&gt;0, 1.0 - (I11/D11), 0)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  <c r="K12" s="15">
        <f>IF(D12&gt;0, 1.0 - (I12/D12), 0)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  <c r="K13" s="19">
        <f>IF(D13&gt;0, 1.0 - (I13/D13), 0)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  <c r="K14" s="15">
        <f>IF(D14&gt;0, 1.0 - (I14/D14), 0)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  <c r="K15" s="19">
        <f>IF(D15&gt;0, 1.0 - (I15/D15), 0)</f>
        <v/>
      </c>
    </row>
    <row r="16">
      <c r="B16" s="12" t="inlineStr">
        <is>
          <t>Ricardo</t>
        </is>
      </c>
      <c r="C16" s="13" t="n">
        <v>6</v>
      </c>
      <c r="D16" s="14" t="n">
        <v>46000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  <c r="K16" s="15">
        <f>IF(D16&gt;0, 1.0 - (I16/D16), 0)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  <c r="K17" s="23">
        <f>IF(D17&gt;0, 1.0 - (I17/D17),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11,874 u</t>
        </is>
      </c>
      <c r="E6" s="4" t="n"/>
      <c r="F6" s="25" t="inlineStr">
        <is>
          <t>511.8%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Forecast Accuracy</t>
        </is>
      </c>
      <c r="M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15">
        <f>IF(E10&gt;0, 1.0 - (J10/E10), IF(F10=0, 1, 0))</f>
        <v/>
      </c>
      <c r="M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19">
        <f>IF(E11&gt;0, 1.0 - (J11/E11), IF(F11=0, 1, 0))</f>
        <v/>
      </c>
      <c r="M11" s="29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15">
        <f>IF(E12&gt;0, 1.0 - (J12/E12), IF(F12=0, 1, 0))</f>
        <v/>
      </c>
      <c r="M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19">
        <f>IF(E13&gt;0, 1.0 - (J13/E13), IF(F13=0, 1, 0))</f>
        <v/>
      </c>
      <c r="M13" s="29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15">
        <f>IF(E14&gt;0, 1.0 - (J14/E14), IF(F14=0, 1, 0))</f>
        <v/>
      </c>
      <c r="M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19">
        <f>IF(E15&gt;0, 1.0 - (J15/E15), IF(F15=0, 1, 0))</f>
        <v/>
      </c>
      <c r="M15" s="29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15">
        <f>IF(E16&gt;0, 1.0 - (J16/E16), IF(F16=0, 1, 0))</f>
        <v/>
      </c>
      <c r="M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19">
        <f>IF(E17&gt;0, 1.0 - (J17/E17), IF(F17=0, 1, 0))</f>
        <v/>
      </c>
      <c r="M17" s="29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15">
        <f>IF(E18&gt;0, 1.0 - (J18/E18), IF(F18=0, 1, 0))</f>
        <v/>
      </c>
      <c r="M18" s="32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19">
        <f>IF(E19&gt;0, 1.0 - (J19/E19), IF(F19=0, 1, 0))</f>
        <v/>
      </c>
      <c r="M19" s="29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15">
        <f>IF(E20&gt;0, 1.0 - (J20/E20), IF(F20=0, 1, 0))</f>
        <v/>
      </c>
      <c r="M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19">
        <f>IF(E21&gt;0, 1.0 - (J21/E21), IF(F21=0, 1, 0))</f>
        <v/>
      </c>
      <c r="M21" s="29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15">
        <f>IF(E22&gt;0, 1.0 - (J22/E22), IF(F22=0, 1, 0))</f>
        <v/>
      </c>
      <c r="M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19">
        <f>IF(E23&gt;0, 1.0 - (J23/E23), IF(F23=0, 1, 0))</f>
        <v/>
      </c>
      <c r="M23" s="29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15">
        <f>IF(E24&gt;0, 1.0 - (J24/E24), IF(F24=0, 1, 0))</f>
        <v/>
      </c>
      <c r="M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19">
        <f>IF(E25&gt;0, 1.0 - (J25/E25), IF(F25=0, 1, 0))</f>
        <v/>
      </c>
      <c r="M25" s="29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15">
        <f>IF(E26&gt;0, 1.0 - (J26/E26), IF(F26=0, 1, 0))</f>
        <v/>
      </c>
      <c r="M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19">
        <f>IF(E27&gt;0, 1.0 - (J27/E27), IF(F27=0, 1, 0))</f>
        <v/>
      </c>
      <c r="M27" s="29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15">
        <f>IF(E28&gt;0, 1.0 - (J28/E28), IF(F28=0, 1, 0))</f>
        <v/>
      </c>
      <c r="M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19">
        <f>IF(E29&gt;0, 1.0 - (J29/E29), IF(F29=0, 1, 0))</f>
        <v/>
      </c>
      <c r="M29" s="29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15">
        <f>IF(E30&gt;0, 1.0 - (J30/E30), IF(F30=0, 1, 0))</f>
        <v/>
      </c>
      <c r="M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19">
        <f>IF(E31&gt;0, 1.0 - (J31/E31), IF(F31=0, 1, 0))</f>
        <v/>
      </c>
      <c r="M31" s="29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15">
        <f>IF(E32&gt;0, 1.0 - (J32/E32), IF(F32=0, 1, 0))</f>
        <v/>
      </c>
      <c r="M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19">
        <f>IF(E33&gt;0, 1.0 - (J33/E33), IF(F33=0, 1, 0))</f>
        <v/>
      </c>
      <c r="M33" s="29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15">
        <f>IF(E34&gt;0, 1.0 - (J34/E34), IF(F34=0, 1, 0))</f>
        <v/>
      </c>
      <c r="M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19">
        <f>IF(E35&gt;0, 1.0 - (J35/E35), IF(F35=0, 1, 0))</f>
        <v/>
      </c>
      <c r="M35" s="29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15">
        <f>IF(E36&gt;0, 1.0 - (J36/E36), IF(F36=0, 1, 0))</f>
        <v/>
      </c>
      <c r="M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19">
        <f>IF(E37&gt;0, 1.0 - (J37/E37), IF(F37=0, 1, 0))</f>
        <v/>
      </c>
      <c r="M37" s="29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15">
        <f>IF(E38&gt;0, 1.0 - (J38/E38), IF(F38=0, 1, 0))</f>
        <v/>
      </c>
      <c r="M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19">
        <f>IF(E39&gt;0, 1.0 - (J39/E39), IF(F39=0, 1, 0))</f>
        <v/>
      </c>
      <c r="M39" s="29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15">
        <f>IF(E40&gt;0, 1.0 - (J40/E40), IF(F40=0, 1, 0))</f>
        <v/>
      </c>
      <c r="M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3" t="inlineStr">
        <is>
          <t>282 líneas</t>
        </is>
      </c>
      <c r="D41" s="34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3">
        <f>IF(E41&gt;0, 1.0 - (J41/E41), 0)</f>
        <v/>
      </c>
      <c r="M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57,312 u</t>
        </is>
      </c>
      <c r="E6" s="4" t="n"/>
      <c r="F6" s="25" t="inlineStr">
        <is>
          <t>151.5%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Forecast Accuracy</t>
        </is>
      </c>
      <c r="M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15">
        <f>IF(E10&gt;0, 1.0 - (J10/E10), IF(F10=0, 1, 0))</f>
        <v/>
      </c>
      <c r="M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19">
        <f>IF(E11&gt;0, 1.0 - (J11/E11), IF(F11=0, 1, 0))</f>
        <v/>
      </c>
      <c r="M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15">
        <f>IF(E12&gt;0, 1.0 - (J12/E12), IF(F12=0, 1, 0))</f>
        <v/>
      </c>
      <c r="M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19">
        <f>IF(E13&gt;0, 1.0 - (J13/E13), IF(F13=0, 1, 0))</f>
        <v/>
      </c>
      <c r="M13" s="29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15">
        <f>IF(E14&gt;0, 1.0 - (J14/E14), IF(F14=0, 1, 0))</f>
        <v/>
      </c>
      <c r="M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19">
        <f>IF(E15&gt;0, 1.0 - (J15/E15), IF(F15=0, 1, 0))</f>
        <v/>
      </c>
      <c r="M15" s="32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15">
        <f>IF(E16&gt;0, 1.0 - (J16/E16), IF(F16=0, 1, 0))</f>
        <v/>
      </c>
      <c r="M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19">
        <f>IF(E17&gt;0, 1.0 - (J17/E17), IF(F17=0, 1, 0))</f>
        <v/>
      </c>
      <c r="M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15">
        <f>IF(E18&gt;0, 1.0 - (J18/E18), IF(F18=0, 1, 0))</f>
        <v/>
      </c>
      <c r="M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19">
        <f>IF(E19&gt;0, 1.0 - (J19/E19), IF(F19=0, 1, 0))</f>
        <v/>
      </c>
      <c r="M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15">
        <f>IF(E20&gt;0, 1.0 - (J20/E20), IF(F20=0, 1, 0))</f>
        <v/>
      </c>
      <c r="M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19">
        <f>IF(E21&gt;0, 1.0 - (J21/E21), IF(F21=0, 1, 0))</f>
        <v/>
      </c>
      <c r="M21" s="29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15">
        <f>IF(E22&gt;0, 1.0 - (J22/E22), IF(F22=0, 1, 0))</f>
        <v/>
      </c>
      <c r="M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19">
        <f>IF(E23&gt;0, 1.0 - (J23/E23), IF(F23=0, 1, 0))</f>
        <v/>
      </c>
      <c r="M23" s="29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15">
        <f>IF(E24&gt;0, 1.0 - (J24/E24), IF(F24=0, 1, 0))</f>
        <v/>
      </c>
      <c r="M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19">
        <f>IF(E25&gt;0, 1.0 - (J25/E25), IF(F25=0, 1, 0))</f>
        <v/>
      </c>
      <c r="M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15">
        <f>IF(E26&gt;0, 1.0 - (J26/E26), IF(F26=0, 1, 0))</f>
        <v/>
      </c>
      <c r="M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19">
        <f>IF(E27&gt;0, 1.0 - (J27/E27), IF(F27=0, 1, 0))</f>
        <v/>
      </c>
      <c r="M27" s="29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15">
        <f>IF(E28&gt;0, 1.0 - (J28/E28), IF(F28=0, 1, 0))</f>
        <v/>
      </c>
      <c r="M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19">
        <f>IF(E29&gt;0, 1.0 - (J29/E29), IF(F29=0, 1, 0))</f>
        <v/>
      </c>
      <c r="M29" s="29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15">
        <f>IF(E30&gt;0, 1.0 - (J30/E30), IF(F30=0, 1, 0))</f>
        <v/>
      </c>
      <c r="M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19">
        <f>IF(E31&gt;0, 1.0 - (J31/E31), IF(F31=0, 1, 0))</f>
        <v/>
      </c>
      <c r="M31" s="29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15">
        <f>IF(E32&gt;0, 1.0 - (J32/E32), IF(F32=0, 1, 0))</f>
        <v/>
      </c>
      <c r="M32" s="35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60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19">
        <f>IF(E33&gt;0, 1.0 - (J33/E33), IF(F33=0, 1, 0))</f>
        <v/>
      </c>
      <c r="M33" s="35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15">
        <f>IF(E34&gt;0, 1.0 - (J34/E34), IF(F34=0, 1, 0))</f>
        <v/>
      </c>
      <c r="M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19">
        <f>IF(E35&gt;0, 1.0 - (J35/E35), IF(F35=0, 1, 0))</f>
        <v/>
      </c>
      <c r="M35" s="29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15">
        <f>IF(E36&gt;0, 1.0 - (J36/E36), IF(F36=0, 1, 0))</f>
        <v/>
      </c>
      <c r="M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19">
        <f>IF(E37&gt;0, 1.0 - (J37/E37), IF(F37=0, 1, 0))</f>
        <v/>
      </c>
      <c r="M37" s="29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15">
        <f>IF(E38&gt;0, 1.0 - (J38/E38), IF(F38=0, 1, 0))</f>
        <v/>
      </c>
      <c r="M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19">
        <f>IF(E39&gt;0, 1.0 - (J39/E39), IF(F39=0, 1, 0))</f>
        <v/>
      </c>
      <c r="M39" s="29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15">
        <f>IF(E40&gt;0, 1.0 - (J40/E40), IF(F40=0, 1, 0))</f>
        <v/>
      </c>
      <c r="M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19">
        <f>IF(E41&gt;0, 1.0 - (J41/E41), IF(F41=0, 1, 0))</f>
        <v/>
      </c>
      <c r="M41" s="29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15">
        <f>IF(E42&gt;0, 1.0 - (J42/E42), IF(F42=0, 1, 0))</f>
        <v/>
      </c>
      <c r="M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19">
        <f>IF(E43&gt;0, 1.0 - (J43/E43), IF(F43=0, 1, 0))</f>
        <v/>
      </c>
      <c r="M43" s="29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15">
        <f>IF(E44&gt;0, 1.0 - (J44/E44), IF(F44=0, 1, 0))</f>
        <v/>
      </c>
      <c r="M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19">
        <f>IF(E45&gt;0, 1.0 - (J45/E45), IF(F45=0, 1, 0))</f>
        <v/>
      </c>
      <c r="M45" s="35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15">
        <f>IF(E46&gt;0, 1.0 - (J46/E46), IF(F46=0, 1, 0))</f>
        <v/>
      </c>
      <c r="M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100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19">
        <f>IF(E47&gt;0, 1.0 - (J47/E47), IF(F47=0, 1, 0))</f>
        <v/>
      </c>
      <c r="M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12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15">
        <f>IF(E48&gt;0, 1.0 - (J48/E48), IF(F48=0, 1, 0))</f>
        <v/>
      </c>
      <c r="M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300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19">
        <f>IF(E49&gt;0, 1.0 - (J49/E49), IF(F49=0, 1, 0))</f>
        <v/>
      </c>
      <c r="M49" s="35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15">
        <f>IF(E50&gt;0, 1.0 - (J50/E50), IF(F50=0, 1, 0))</f>
        <v/>
      </c>
      <c r="M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19">
        <f>IF(E51&gt;0, 1.0 - (J51/E51), IF(F51=0, 1, 0))</f>
        <v/>
      </c>
      <c r="M51" s="29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300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15">
        <f>IF(E52&gt;0, 1.0 - (J52/E52), IF(F52=0, 1, 0))</f>
        <v/>
      </c>
      <c r="M52" s="32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100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19">
        <f>IF(E53&gt;0, 1.0 - (J53/E53), IF(F53=0, 1, 0))</f>
        <v/>
      </c>
      <c r="M53" s="29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15">
        <f>IF(E54&gt;0, 1.0 - (J54/E54), IF(F54=0, 1, 0))</f>
        <v/>
      </c>
      <c r="M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1100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19">
        <f>IF(E55&gt;0, 1.0 - (J55/E55), IF(F55=0, 1, 0))</f>
        <v/>
      </c>
      <c r="M55" s="29" t="inlineStr">
        <is>
          <t>Superado</t>
        </is>
      </c>
    </row>
    <row r="56" ht="24" customHeight="1">
      <c r="B56" s="20" t="inlineStr">
        <is>
          <t>TOTAL GARCÍA</t>
        </is>
      </c>
      <c r="C56" s="33" t="inlineStr">
        <is>
          <t>235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3">
        <f>IF(E56&gt;0, 1.0 - (J56/E56), 0)</f>
        <v/>
      </c>
      <c r="M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5" t="inlineStr">
        <is>
          <t>23,674 u</t>
        </is>
      </c>
      <c r="E6" s="4" t="n"/>
      <c r="F6" s="25" t="inlineStr">
        <is>
          <t>108.0%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Forecast Accuracy</t>
        </is>
      </c>
      <c r="M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15">
        <f>IF(E10&gt;0, 1.0 - (J10/E10), IF(F10=0, 1, 0))</f>
        <v/>
      </c>
      <c r="M10" s="32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19">
        <f>IF(E11&gt;0, 1.0 - (J11/E11), IF(F11=0, 1, 0))</f>
        <v/>
      </c>
      <c r="M11" s="29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15">
        <f>IF(E12&gt;0, 1.0 - (J12/E12), IF(F12=0, 1, 0))</f>
        <v/>
      </c>
      <c r="M12" s="36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19">
        <f>IF(E13&gt;0, 1.0 - (J13/E13), IF(F13=0, 1, 0))</f>
        <v/>
      </c>
      <c r="M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15">
        <f>IF(E14&gt;0, 1.0 - (J14/E14), IF(F14=0, 1, 0))</f>
        <v/>
      </c>
      <c r="M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19">
        <f>IF(E15&gt;0, 1.0 - (J15/E15), IF(F15=0, 1, 0))</f>
        <v/>
      </c>
      <c r="M15" s="29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15">
        <f>IF(E16&gt;0, 1.0 - (J16/E16), IF(F16=0, 1, 0))</f>
        <v/>
      </c>
      <c r="M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19">
        <f>IF(E17&gt;0, 1.0 - (J17/E17), IF(F17=0, 1, 0))</f>
        <v/>
      </c>
      <c r="M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15">
        <f>IF(E18&gt;0, 1.0 - (J18/E18), IF(F18=0, 1, 0))</f>
        <v/>
      </c>
      <c r="M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19">
        <f>IF(E19&gt;0, 1.0 - (J19/E19), IF(F19=0, 1, 0))</f>
        <v/>
      </c>
      <c r="M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15">
        <f>IF(E20&gt;0, 1.0 - (J20/E20), IF(F20=0, 1, 0))</f>
        <v/>
      </c>
      <c r="M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19">
        <f>IF(E21&gt;0, 1.0 - (J21/E21), IF(F21=0, 1, 0))</f>
        <v/>
      </c>
      <c r="M21" s="29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15">
        <f>IF(E22&gt;0, 1.0 - (J22/E22), IF(F22=0, 1, 0))</f>
        <v/>
      </c>
      <c r="M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19">
        <f>IF(E23&gt;0, 1.0 - (J23/E23), IF(F23=0, 1, 0))</f>
        <v/>
      </c>
      <c r="M23" s="29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15">
        <f>IF(E24&gt;0, 1.0 - (J24/E24), IF(F24=0, 1, 0))</f>
        <v/>
      </c>
      <c r="M24" s="36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19">
        <f>IF(E25&gt;0, 1.0 - (J25/E25), IF(F25=0, 1, 0))</f>
        <v/>
      </c>
      <c r="M25" s="35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15">
        <f>IF(E26&gt;0, 1.0 - (J26/E26), IF(F26=0, 1, 0))</f>
        <v/>
      </c>
      <c r="M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19">
        <f>IF(E27&gt;0, 1.0 - (J27/E27), IF(F27=0, 1, 0))</f>
        <v/>
      </c>
      <c r="M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15">
        <f>IF(E28&gt;0, 1.0 - (J28/E28), IF(F28=0, 1, 0))</f>
        <v/>
      </c>
      <c r="M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19">
        <f>IF(E29&gt;0, 1.0 - (J29/E29), IF(F29=0, 1, 0))</f>
        <v/>
      </c>
      <c r="M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200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15">
        <f>IF(E30&gt;0, 1.0 - (J30/E30), IF(F30=0, 1, 0))</f>
        <v/>
      </c>
      <c r="M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300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19">
        <f>IF(E31&gt;0, 1.0 - (J31/E31), IF(F31=0, 1, 0))</f>
        <v/>
      </c>
      <c r="M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15">
        <f>IF(E32&gt;0, 1.0 - (J32/E32), IF(F32=0, 1, 0))</f>
        <v/>
      </c>
      <c r="M32" s="35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1280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19">
        <f>IF(E33&gt;0, 1.0 - (J33/E33), IF(F33=0, 1, 0))</f>
        <v/>
      </c>
      <c r="M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100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15">
        <f>IF(E34&gt;0, 1.0 - (J34/E34), IF(F34=0, 1, 0))</f>
        <v/>
      </c>
      <c r="M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1240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19">
        <f>IF(E35&gt;0, 1.0 - (J35/E35), IF(F35=0, 1, 0))</f>
        <v/>
      </c>
      <c r="M35" s="35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15">
        <f>IF(E36&gt;0, 1.0 - (J36/E36), IF(F36=0, 1, 0))</f>
        <v/>
      </c>
      <c r="M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50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19">
        <f>IF(E37&gt;0, 1.0 - (J37/E37), IF(F37=0, 1, 0))</f>
        <v/>
      </c>
      <c r="M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200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15">
        <f>IF(E38&gt;0, 1.0 - (J38/E38), IF(F38=0, 1, 0))</f>
        <v/>
      </c>
      <c r="M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19">
        <f>IF(E39&gt;0, 1.0 - (J39/E39), IF(F39=0, 1, 0))</f>
        <v/>
      </c>
      <c r="M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80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15">
        <f>IF(E40&gt;0, 1.0 - (J40/E40), IF(F40=0, 1, 0))</f>
        <v/>
      </c>
      <c r="M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600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19">
        <f>IF(E41&gt;0, 1.0 - (J41/E41), IF(F41=0, 1, 0))</f>
        <v/>
      </c>
      <c r="M41" s="29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36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15">
        <f>IF(E42&gt;0, 1.0 - (J42/E42), IF(F42=0, 1, 0))</f>
        <v/>
      </c>
      <c r="M42" s="35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800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19">
        <f>IF(E43&gt;0, 1.0 - (J43/E43), IF(F43=0, 1, 0))</f>
        <v/>
      </c>
      <c r="M43" s="29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15">
        <f>IF(E44&gt;0, 1.0 - (J44/E44), IF(F44=0, 1, 0))</f>
        <v/>
      </c>
      <c r="M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19">
        <f>IF(E45&gt;0, 1.0 - (J45/E45), IF(F45=0, 1, 0))</f>
        <v/>
      </c>
      <c r="M45" s="29" t="inlineStr">
        <is>
          <t>Extra Estimación</t>
        </is>
      </c>
    </row>
    <row r="46" ht="24" customHeight="1">
      <c r="B46" s="20" t="inlineStr">
        <is>
          <t>TOTAL IRENE</t>
        </is>
      </c>
      <c r="C46" s="33" t="inlineStr">
        <is>
          <t>89 líneas</t>
        </is>
      </c>
      <c r="D46" s="34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3">
        <f>IF(E46&gt;0, 1.0 - (J46/E46), 0)</f>
        <v/>
      </c>
      <c r="M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M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47,049 u</t>
        </is>
      </c>
      <c r="E6" s="4" t="n"/>
      <c r="F6" s="25" t="inlineStr">
        <is>
          <t>275.1%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Forecast Accuracy</t>
        </is>
      </c>
      <c r="M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15">
        <f>IF(E10&gt;0, 1.0 - (J10/E10), IF(F10=0, 1, 0))</f>
        <v/>
      </c>
      <c r="M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19">
        <f>IF(E11&gt;0, 1.0 - (J11/E11), IF(F11=0, 1, 0))</f>
        <v/>
      </c>
      <c r="M11" s="29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15">
        <f>IF(E12&gt;0, 1.0 - (J12/E12), IF(F12=0, 1, 0))</f>
        <v/>
      </c>
      <c r="M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19">
        <f>IF(E13&gt;0, 1.0 - (J13/E13), IF(F13=0, 1, 0))</f>
        <v/>
      </c>
      <c r="M13" s="29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15">
        <f>IF(E14&gt;0, 1.0 - (J14/E14), IF(F14=0, 1, 0))</f>
        <v/>
      </c>
      <c r="M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19">
        <f>IF(E15&gt;0, 1.0 - (J15/E15), IF(F15=0, 1, 0))</f>
        <v/>
      </c>
      <c r="M15" s="29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15">
        <f>IF(E16&gt;0, 1.0 - (J16/E16), IF(F16=0, 1, 0))</f>
        <v/>
      </c>
      <c r="M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19">
        <f>IF(E17&gt;0, 1.0 - (J17/E17), IF(F17=0, 1, 0))</f>
        <v/>
      </c>
      <c r="M17" s="29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15">
        <f>IF(E18&gt;0, 1.0 - (J18/E18), IF(F18=0, 1, 0))</f>
        <v/>
      </c>
      <c r="M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19">
        <f>IF(E19&gt;0, 1.0 - (J19/E19), IF(F19=0, 1, 0))</f>
        <v/>
      </c>
      <c r="M19" s="29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15">
        <f>IF(E20&gt;0, 1.0 - (J20/E20), IF(F20=0, 1, 0))</f>
        <v/>
      </c>
      <c r="M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19">
        <f>IF(E21&gt;0, 1.0 - (J21/E21), IF(F21=0, 1, 0))</f>
        <v/>
      </c>
      <c r="M21" s="29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15">
        <f>IF(E22&gt;0, 1.0 - (J22/E22), IF(F22=0, 1, 0))</f>
        <v/>
      </c>
      <c r="M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19">
        <f>IF(E23&gt;0, 1.0 - (J23/E23), IF(F23=0, 1, 0))</f>
        <v/>
      </c>
      <c r="M23" s="29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15">
        <f>IF(E24&gt;0, 1.0 - (J24/E24), IF(F24=0, 1, 0))</f>
        <v/>
      </c>
      <c r="M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6600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19">
        <f>IF(E25&gt;0, 1.0 - (J25/E25), IF(F25=0, 1, 0))</f>
        <v/>
      </c>
      <c r="M25" s="29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15">
        <f>IF(E26&gt;0, 1.0 - (J26/E26), IF(F26=0, 1, 0))</f>
        <v/>
      </c>
      <c r="M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19">
        <f>IF(E27&gt;0, 1.0 - (J27/E27), IF(F27=0, 1, 0))</f>
        <v/>
      </c>
      <c r="M27" s="29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15">
        <f>IF(E28&gt;0, 1.0 - (J28/E28), IF(F28=0, 1, 0))</f>
        <v/>
      </c>
      <c r="M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19">
        <f>IF(E29&gt;0, 1.0 - (J29/E29), IF(F29=0, 1, 0))</f>
        <v/>
      </c>
      <c r="M29" s="29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15">
        <f>IF(E30&gt;0, 1.0 - (J30/E30), IF(F30=0, 1, 0))</f>
        <v/>
      </c>
      <c r="M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19">
        <f>IF(E31&gt;0, 1.0 - (J31/E31), IF(F31=0, 1, 0))</f>
        <v/>
      </c>
      <c r="M31" s="29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15">
        <f>IF(E32&gt;0, 1.0 - (J32/E32), IF(F32=0, 1, 0))</f>
        <v/>
      </c>
      <c r="M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200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19">
        <f>IF(E33&gt;0, 1.0 - (J33/E33), IF(F33=0, 1, 0))</f>
        <v/>
      </c>
      <c r="M33" s="29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640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15">
        <f>IF(E34&gt;0, 1.0 - (J34/E34), IF(F34=0, 1, 0))</f>
        <v/>
      </c>
      <c r="M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19">
        <f>IF(E35&gt;0, 1.0 - (J35/E35), IF(F35=0, 1, 0))</f>
        <v/>
      </c>
      <c r="M35" s="29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15">
        <f>IF(E36&gt;0, 1.0 - (J36/E36), IF(F36=0, 1, 0))</f>
        <v/>
      </c>
      <c r="M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19">
        <f>IF(E37&gt;0, 1.0 - (J37/E37), IF(F37=0, 1, 0))</f>
        <v/>
      </c>
      <c r="M37" s="29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15">
        <f>IF(E38&gt;0, 1.0 - (J38/E38), IF(F38=0, 1, 0))</f>
        <v/>
      </c>
      <c r="M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19">
        <f>IF(E39&gt;0, 1.0 - (J39/E39), IF(F39=0, 1, 0))</f>
        <v/>
      </c>
      <c r="M39" s="29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15">
        <f>IF(E40&gt;0, 1.0 - (J40/E40), IF(F40=0, 1, 0))</f>
        <v/>
      </c>
      <c r="M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19">
        <f>IF(E41&gt;0, 1.0 - (J41/E41), IF(F41=0, 1, 0))</f>
        <v/>
      </c>
      <c r="M41" s="29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15">
        <f>IF(E42&gt;0, 1.0 - (J42/E42), IF(F42=0, 1, 0))</f>
        <v/>
      </c>
      <c r="M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19">
        <f>IF(E43&gt;0, 1.0 - (J43/E43), IF(F43=0, 1, 0))</f>
        <v/>
      </c>
      <c r="M43" s="29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15">
        <f>IF(E44&gt;0, 1.0 - (J44/E44), IF(F44=0, 1, 0))</f>
        <v/>
      </c>
      <c r="M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19">
        <f>IF(E45&gt;0, 1.0 - (J45/E45), IF(F45=0, 1, 0))</f>
        <v/>
      </c>
      <c r="M45" s="29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15">
        <f>IF(E46&gt;0, 1.0 - (J46/E46), IF(F46=0, 1, 0))</f>
        <v/>
      </c>
      <c r="M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19">
        <f>IF(E47&gt;0, 1.0 - (J47/E47), IF(F47=0, 1, 0))</f>
        <v/>
      </c>
      <c r="M47" s="29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15">
        <f>IF(E48&gt;0, 1.0 - (J48/E48), IF(F48=0, 1, 0))</f>
        <v/>
      </c>
      <c r="M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19">
        <f>IF(E49&gt;0, 1.0 - (J49/E49), IF(F49=0, 1, 0))</f>
        <v/>
      </c>
      <c r="M49" s="29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15">
        <f>IF(E50&gt;0, 1.0 - (J50/E50), IF(F50=0, 1, 0))</f>
        <v/>
      </c>
      <c r="M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19">
        <f>IF(E51&gt;0, 1.0 - (J51/E51), IF(F51=0, 1, 0))</f>
        <v/>
      </c>
      <c r="M51" s="29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15">
        <f>IF(E52&gt;0, 1.0 - (J52/E52), IF(F52=0, 1, 0))</f>
        <v/>
      </c>
      <c r="M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4400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19">
        <f>IF(E53&gt;0, 1.0 - (J53/E53), IF(F53=0, 1, 0))</f>
        <v/>
      </c>
      <c r="M53" s="29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2560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15">
        <f>IF(E54&gt;0, 1.0 - (J54/E54), IF(F54=0, 1, 0))</f>
        <v/>
      </c>
      <c r="M54" s="32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19">
        <f>IF(E55&gt;0, 1.0 - (J55/E55), IF(F55=0, 1, 0))</f>
        <v/>
      </c>
      <c r="M55" s="29" t="inlineStr">
        <is>
          <t>Extra Estimación</t>
        </is>
      </c>
    </row>
    <row r="56" ht="24" customHeight="1">
      <c r="B56" s="20" t="inlineStr">
        <is>
          <t>TOTAL JAVIER</t>
        </is>
      </c>
      <c r="C56" s="33" t="inlineStr">
        <is>
          <t>186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3">
        <f>IF(E56&gt;0, 1.0 - (J56/E56), 0)</f>
        <v/>
      </c>
      <c r="M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M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32,728 u</t>
        </is>
      </c>
      <c r="E6" s="4" t="n"/>
      <c r="F6" s="37" t="inlineStr">
        <is>
          <t>82.9%</t>
        </is>
      </c>
      <c r="G6" s="4" t="n"/>
      <c r="H6" s="37" t="inlineStr">
        <is>
          <t>6,732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Forecast Accuracy</t>
        </is>
      </c>
      <c r="M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15">
        <f>IF(E10&gt;0, 1.0 - (J10/E10), IF(F10=0, 1, 0))</f>
        <v/>
      </c>
      <c r="M10" s="36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19">
        <f>IF(E11&gt;0, 1.0 - (J11/E11), IF(F11=0, 1, 0))</f>
        <v/>
      </c>
      <c r="M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15">
        <f>IF(E12&gt;0, 1.0 - (J12/E12), IF(F12=0, 1, 0))</f>
        <v/>
      </c>
      <c r="M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19">
        <f>IF(E13&gt;0, 1.0 - (J13/E13), IF(F13=0, 1, 0))</f>
        <v/>
      </c>
      <c r="M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15">
        <f>IF(E14&gt;0, 1.0 - (J14/E14), IF(F14=0, 1, 0))</f>
        <v/>
      </c>
      <c r="M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19">
        <f>IF(E15&gt;0, 1.0 - (J15/E15), IF(F15=0, 1, 0))</f>
        <v/>
      </c>
      <c r="M15" s="29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1960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15">
        <f>IF(E16&gt;0, 1.0 - (J16/E16), IF(F16=0, 1, 0))</f>
        <v/>
      </c>
      <c r="M16" s="29" t="inlineStr">
        <is>
          <t>Superado</t>
        </is>
      </c>
    </row>
    <row r="17" ht="24" customHeight="1">
      <c r="B17" s="20" t="inlineStr">
        <is>
          <t>TOTAL MEHMET</t>
        </is>
      </c>
      <c r="C17" s="33" t="inlineStr">
        <is>
          <t>61 líneas</t>
        </is>
      </c>
      <c r="D17" s="34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3">
        <f>IF(E17&gt;0, 1.0 - (J17/E17), 0)</f>
        <v/>
      </c>
      <c r="M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8,560 u</t>
        </is>
      </c>
      <c r="E6" s="4" t="n"/>
      <c r="F6" s="37" t="inlineStr">
        <is>
          <t>49.4%</t>
        </is>
      </c>
      <c r="G6" s="4" t="n"/>
      <c r="H6" s="37" t="inlineStr">
        <is>
          <t>8,780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Forecast Accuracy</t>
        </is>
      </c>
      <c r="M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15">
        <f>IF(E10&gt;0, 1.0 - (J10/E10), IF(F10=0, 1, 0))</f>
        <v/>
      </c>
      <c r="M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19">
        <f>IF(E11&gt;0, 1.0 - (J11/E11), IF(F11=0, 1, 0))</f>
        <v/>
      </c>
      <c r="M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15">
        <f>IF(E12&gt;0, 1.0 - (J12/E12), IF(F12=0, 1, 0))</f>
        <v/>
      </c>
      <c r="M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19">
        <f>IF(E13&gt;0, 1.0 - (J13/E13), IF(F13=0, 1, 0))</f>
        <v/>
      </c>
      <c r="M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15">
        <f>IF(E14&gt;0, 1.0 - (J14/E14), IF(F14=0, 1, 0))</f>
        <v/>
      </c>
      <c r="M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19">
        <f>IF(E15&gt;0, 1.0 - (J15/E15), IF(F15=0, 1, 0))</f>
        <v/>
      </c>
      <c r="M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15">
        <f>IF(E16&gt;0, 1.0 - (J16/E16), IF(F16=0, 1, 0))</f>
        <v/>
      </c>
      <c r="M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19">
        <f>IF(E17&gt;0, 1.0 - (J17/E17), IF(F17=0, 1, 0))</f>
        <v/>
      </c>
      <c r="M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15">
        <f>IF(E18&gt;0, 1.0 - (J18/E18), IF(F18=0, 1, 0))</f>
        <v/>
      </c>
      <c r="M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19">
        <f>IF(E19&gt;0, 1.0 - (J19/E19), IF(F19=0, 1, 0))</f>
        <v/>
      </c>
      <c r="M19" s="29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15">
        <f>IF(E20&gt;0, 1.0 - (J20/E20), IF(F20=0, 1, 0))</f>
        <v/>
      </c>
      <c r="M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19">
        <f>IF(E21&gt;0, 1.0 - (J21/E21), IF(F21=0, 1, 0))</f>
        <v/>
      </c>
      <c r="M21" s="29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15">
        <f>IF(E22&gt;0, 1.0 - (J22/E22), IF(F22=0, 1, 0))</f>
        <v/>
      </c>
      <c r="M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19">
        <f>IF(E23&gt;0, 1.0 - (J23/E23), IF(F23=0, 1, 0))</f>
        <v/>
      </c>
      <c r="M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15">
        <f>IF(E24&gt;0, 1.0 - (J24/E24), IF(F24=0, 1, 0))</f>
        <v/>
      </c>
      <c r="M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19">
        <f>IF(E25&gt;0, 1.0 - (J25/E25), IF(F25=0, 1, 0))</f>
        <v/>
      </c>
      <c r="M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15">
        <f>IF(E26&gt;0, 1.0 - (J26/E26), IF(F26=0, 1, 0))</f>
        <v/>
      </c>
      <c r="M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19">
        <f>IF(E27&gt;0, 1.0 - (J27/E27), IF(F27=0, 1, 0))</f>
        <v/>
      </c>
      <c r="M27" s="29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15">
        <f>IF(E28&gt;0, 1.0 - (J28/E28), IF(F28=0, 1, 0))</f>
        <v/>
      </c>
      <c r="M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19">
        <f>IF(E29&gt;0, 1.0 - (J29/E29), IF(F29=0, 1, 0))</f>
        <v/>
      </c>
      <c r="M29" s="29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15">
        <f>IF(E30&gt;0, 1.0 - (J30/E30), IF(F30=0, 1, 0))</f>
        <v/>
      </c>
      <c r="M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19">
        <f>IF(E31&gt;0, 1.0 - (J31/E31), IF(F31=0, 1, 0))</f>
        <v/>
      </c>
      <c r="M31" s="29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15">
        <f>IF(E32&gt;0, 1.0 - (J32/E32), IF(F32=0, 1, 0))</f>
        <v/>
      </c>
      <c r="M32" s="29" t="inlineStr">
        <is>
          <t>Extra Estimación</t>
        </is>
      </c>
    </row>
    <row r="33" ht="24" customHeight="1">
      <c r="B33" s="20" t="inlineStr">
        <is>
          <t>TOTAL PEDRO</t>
        </is>
      </c>
      <c r="C33" s="33" t="inlineStr">
        <is>
          <t>106 líneas</t>
        </is>
      </c>
      <c r="D33" s="34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3">
        <f>IF(E33&gt;0, 1.0 - (J33/E33), 0)</f>
        <v/>
      </c>
      <c r="M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M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54,908 u</t>
        </is>
      </c>
      <c r="E6" s="4" t="n"/>
      <c r="F6" s="25" t="inlineStr">
        <is>
          <t>119.4%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Forecast Accuracy</t>
        </is>
      </c>
      <c r="M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15">
        <f>IF(E10&gt;0, 1.0 - (J10/E10), IF(F10=0, 1, 0))</f>
        <v/>
      </c>
      <c r="M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19">
        <f>IF(E11&gt;0, 1.0 - (J11/E11), IF(F11=0, 1, 0))</f>
        <v/>
      </c>
      <c r="M11" s="29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15">
        <f>IF(E12&gt;0, 1.0 - (J12/E12), IF(F12=0, 1, 0))</f>
        <v/>
      </c>
      <c r="M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19">
        <f>IF(E13&gt;0, 1.0 - (J13/E13), IF(F13=0, 1, 0))</f>
        <v/>
      </c>
      <c r="M13" s="29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15">
        <f>IF(E14&gt;0, 1.0 - (J14/E14), IF(F14=0, 1, 0))</f>
        <v/>
      </c>
      <c r="M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19">
        <f>IF(E15&gt;0, 1.0 - (J15/E15), IF(F15=0, 1, 0))</f>
        <v/>
      </c>
      <c r="M15" s="29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15">
        <f>IF(E16&gt;0, 1.0 - (J16/E16), IF(F16=0, 1, 0))</f>
        <v/>
      </c>
      <c r="M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19">
        <f>IF(E17&gt;0, 1.0 - (J17/E17), IF(F17=0, 1, 0))</f>
        <v/>
      </c>
      <c r="M17" s="29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15">
        <f>IF(E18&gt;0, 1.0 - (J18/E18), IF(F18=0, 1, 0))</f>
        <v/>
      </c>
      <c r="M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19">
        <f>IF(E19&gt;0, 1.0 - (J19/E19), IF(F19=0, 1, 0))</f>
        <v/>
      </c>
      <c r="M19" s="29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2000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15">
        <f>IF(E20&gt;0, 1.0 - (J20/E20), IF(F20=0, 1, 0))</f>
        <v/>
      </c>
      <c r="M20" s="35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19">
        <f>IF(E21&gt;0, 1.0 - (J21/E21), IF(F21=0, 1, 0))</f>
        <v/>
      </c>
      <c r="M21" s="29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15">
        <f>IF(E22&gt;0, 1.0 - (J22/E22), IF(F22=0, 1, 0))</f>
        <v/>
      </c>
      <c r="M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19">
        <f>IF(E23&gt;0, 1.0 - (J23/E23), IF(F23=0, 1, 0))</f>
        <v/>
      </c>
      <c r="M23" s="29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15">
        <f>IF(E24&gt;0, 1.0 - (J24/E24), IF(F24=0, 1, 0))</f>
        <v/>
      </c>
      <c r="M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19">
        <f>IF(E25&gt;0, 1.0 - (J25/E25), IF(F25=0, 1, 0))</f>
        <v/>
      </c>
      <c r="M25" s="29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15">
        <f>IF(E26&gt;0, 1.0 - (J26/E26), IF(F26=0, 1, 0))</f>
        <v/>
      </c>
      <c r="M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19">
        <f>IF(E27&gt;0, 1.0 - (J27/E27), IF(F27=0, 1, 0))</f>
        <v/>
      </c>
      <c r="M27" s="29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15">
        <f>IF(E28&gt;0, 1.0 - (J28/E28), IF(F28=0, 1, 0))</f>
        <v/>
      </c>
      <c r="M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19">
        <f>IF(E29&gt;0, 1.0 - (J29/E29), IF(F29=0, 1, 0))</f>
        <v/>
      </c>
      <c r="M29" s="29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15">
        <f>IF(E30&gt;0, 1.0 - (J30/E30), IF(F30=0, 1, 0))</f>
        <v/>
      </c>
      <c r="M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19">
        <f>IF(E31&gt;0, 1.0 - (J31/E31), IF(F31=0, 1, 0))</f>
        <v/>
      </c>
      <c r="M31" s="29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44000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15">
        <f>IF(E32&gt;0, 1.0 - (J32/E32), IF(F32=0, 1, 0))</f>
        <v/>
      </c>
      <c r="M32" s="35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19">
        <f>IF(E33&gt;0, 1.0 - (J33/E33), IF(F33=0, 1, 0))</f>
        <v/>
      </c>
      <c r="M33" s="29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15">
        <f>IF(E34&gt;0, 1.0 - (J34/E34), IF(F34=0, 1, 0))</f>
        <v/>
      </c>
      <c r="M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19">
        <f>IF(E35&gt;0, 1.0 - (J35/E35), IF(F35=0, 1, 0))</f>
        <v/>
      </c>
      <c r="M35" s="29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15">
        <f>IF(E36&gt;0, 1.0 - (J36/E36), IF(F36=0, 1, 0))</f>
        <v/>
      </c>
      <c r="M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19">
        <f>IF(E37&gt;0, 1.0 - (J37/E37), IF(F37=0, 1, 0))</f>
        <v/>
      </c>
      <c r="M37" s="29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15">
        <f>IF(E38&gt;0, 1.0 - (J38/E38), IF(F38=0, 1, 0))</f>
        <v/>
      </c>
      <c r="M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19">
        <f>IF(E39&gt;0, 1.0 - (J39/E39), IF(F39=0, 1, 0))</f>
        <v/>
      </c>
      <c r="M39" s="29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15">
        <f>IF(E40&gt;0, 1.0 - (J40/E40), IF(F40=0, 1, 0))</f>
        <v/>
      </c>
      <c r="M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19">
        <f>IF(E41&gt;0, 1.0 - (J41/E41), IF(F41=0, 1, 0))</f>
        <v/>
      </c>
      <c r="M41" s="29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15">
        <f>IF(E42&gt;0, 1.0 - (J42/E42), IF(F42=0, 1, 0))</f>
        <v/>
      </c>
      <c r="M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19">
        <f>IF(E43&gt;0, 1.0 - (J43/E43), IF(F43=0, 1, 0))</f>
        <v/>
      </c>
      <c r="M43" s="29" t="inlineStr">
        <is>
          <t>Extra Estimación</t>
        </is>
      </c>
    </row>
    <row r="44" ht="24" customHeight="1">
      <c r="B44" s="20" t="inlineStr">
        <is>
          <t>TOTAL RICARDO</t>
        </is>
      </c>
      <c r="C44" s="33" t="inlineStr">
        <is>
          <t>137 líneas</t>
        </is>
      </c>
      <c r="D44" s="34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3">
        <f>IF(E44&gt;0, 1.0 - (J44/E44), 0)</f>
        <v/>
      </c>
      <c r="M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2026-10-01T12:03:44Z</dcterms:created>
  <dcterms:modified xmlns:dcterms="http://purl.org/dc/terms/" xmlns:xsi="http://www.w3.org/2001/XMLSchema-instance" xsi:type="dcterms:W3CDTF">2026-10-01T12:03:45Z</dcterms:modified>
</cp:coreProperties>
</file>