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Mehmet"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48"/>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MEHMET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F48</f>
        <v/>
      </c>
      <c r="E6" s="11">
        <f>G48</f>
        <v/>
      </c>
      <c r="H6" s="12">
        <f>I48</f>
        <v/>
      </c>
      <c r="J6" s="13">
        <f>O48</f>
        <v/>
      </c>
      <c r="M6" s="14">
        <f>P48</f>
        <v/>
      </c>
      <c r="P6" s="15">
        <f>Q48</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GEORGIA</t>
        </is>
      </c>
      <c r="C10" s="25" t="inlineStr">
        <is>
          <t>BORN AGROCHEMISTRY, LLC</t>
        </is>
      </c>
      <c r="D10" s="26" t="inlineStr">
        <is>
          <t>A-500001</t>
        </is>
      </c>
      <c r="E10" s="25" t="inlineStr">
        <is>
          <t>CODIORGAN  A-50</t>
        </is>
      </c>
      <c r="F10" s="27" t="n">
        <v>0</v>
      </c>
      <c r="G10" s="28" t="n">
        <v>0</v>
      </c>
      <c r="H10" s="29">
        <f>ABS(G10-F10)</f>
        <v/>
      </c>
      <c r="I10" s="30">
        <f>IF(F10&gt;0, G10/F10, IF(G10&gt;0, 1.0, 0.0))</f>
        <v/>
      </c>
      <c r="J10" s="31" t="inlineStr"/>
      <c r="K10" s="27" t="n">
        <v>0</v>
      </c>
      <c r="L10" s="32" t="n">
        <v>0</v>
      </c>
      <c r="M10" s="27" t="n">
        <v>1920</v>
      </c>
      <c r="N10" s="32" t="n">
        <v>1920</v>
      </c>
      <c r="O10" s="27">
        <f>F10+K10+M10</f>
        <v/>
      </c>
      <c r="P10" s="32">
        <f>F10+L10+N10</f>
        <v/>
      </c>
      <c r="Q10" s="33">
        <f>P10-O10</f>
        <v/>
      </c>
      <c r="R10" s="34" t="inlineStr"/>
    </row>
    <row r="11" ht="19" customHeight="1">
      <c r="B11" s="35" t="inlineStr">
        <is>
          <t>GEORGIA</t>
        </is>
      </c>
      <c r="C11" s="36" t="inlineStr">
        <is>
          <t>BORN AGROCHEMISTRY, LLC</t>
        </is>
      </c>
      <c r="D11" s="37" t="inlineStr">
        <is>
          <t>A-500005</t>
        </is>
      </c>
      <c r="E11" s="36" t="inlineStr">
        <is>
          <t>CODIORGAN  A-50</t>
        </is>
      </c>
      <c r="F11" s="27" t="n">
        <v>0</v>
      </c>
      <c r="G11" s="38" t="n">
        <v>0</v>
      </c>
      <c r="H11" s="29">
        <f>ABS(G11-F11)</f>
        <v/>
      </c>
      <c r="I11" s="30">
        <f>IF(F11&gt;0, G11/F11, IF(G11&gt;0, 1.0, 0.0))</f>
        <v/>
      </c>
      <c r="J11" s="31" t="inlineStr"/>
      <c r="K11" s="27" t="n">
        <v>0</v>
      </c>
      <c r="L11" s="32" t="n">
        <v>0</v>
      </c>
      <c r="M11" s="27" t="n">
        <v>1000</v>
      </c>
      <c r="N11" s="32" t="n">
        <v>1000</v>
      </c>
      <c r="O11" s="27">
        <f>F11+K11+M11</f>
        <v/>
      </c>
      <c r="P11" s="32">
        <f>F11+L11+N11</f>
        <v/>
      </c>
      <c r="Q11" s="33">
        <f>P11-O11</f>
        <v/>
      </c>
      <c r="R11" s="34" t="inlineStr"/>
    </row>
    <row r="12" ht="19" customHeight="1">
      <c r="B12" s="24" t="inlineStr">
        <is>
          <t>GEORGIA</t>
        </is>
      </c>
      <c r="C12" s="25" t="inlineStr">
        <is>
          <t>BORN AGROCHEMISTRY, LLC</t>
        </is>
      </c>
      <c r="D12" s="26" t="inlineStr">
        <is>
          <t>AGXK0005</t>
        </is>
      </c>
      <c r="E12" s="25" t="inlineStr">
        <is>
          <t>AGROXILATO-K, 5 L</t>
        </is>
      </c>
      <c r="F12" s="27" t="n">
        <v>0</v>
      </c>
      <c r="G12" s="28" t="n">
        <v>0</v>
      </c>
      <c r="H12" s="29">
        <f>ABS(G12-F12)</f>
        <v/>
      </c>
      <c r="I12" s="30">
        <f>IF(F12&gt;0, G12/F12, IF(G12&gt;0, 1.0, 0.0))</f>
        <v/>
      </c>
      <c r="J12" s="31" t="inlineStr"/>
      <c r="K12" s="27" t="n">
        <v>0</v>
      </c>
      <c r="L12" s="32" t="n">
        <v>0</v>
      </c>
      <c r="M12" s="27" t="n">
        <v>1000</v>
      </c>
      <c r="N12" s="32" t="n">
        <v>1000</v>
      </c>
      <c r="O12" s="27">
        <f>F12+K12+M12</f>
        <v/>
      </c>
      <c r="P12" s="32">
        <f>F12+L12+N12</f>
        <v/>
      </c>
      <c r="Q12" s="33">
        <f>P12-O12</f>
        <v/>
      </c>
      <c r="R12" s="34" t="inlineStr"/>
    </row>
    <row r="13" ht="19" customHeight="1">
      <c r="B13" s="35" t="inlineStr">
        <is>
          <t>GEORGIA</t>
        </is>
      </c>
      <c r="C13" s="36" t="inlineStr">
        <is>
          <t>BORN AGROCHEMISTRY, LLC</t>
        </is>
      </c>
      <c r="D13" s="37" t="inlineStr">
        <is>
          <t>AN0020</t>
        </is>
      </c>
      <c r="E13" s="36" t="inlineStr">
        <is>
          <t>ALCAPLANT NEW</t>
        </is>
      </c>
      <c r="F13" s="27" t="n">
        <v>0</v>
      </c>
      <c r="G13" s="38" t="n">
        <v>0</v>
      </c>
      <c r="H13" s="29">
        <f>ABS(G13-F13)</f>
        <v/>
      </c>
      <c r="I13" s="30">
        <f>IF(F13&gt;0, G13/F13, IF(G13&gt;0, 1.0, 0.0))</f>
        <v/>
      </c>
      <c r="J13" s="31" t="inlineStr"/>
      <c r="K13" s="27" t="n">
        <v>0</v>
      </c>
      <c r="L13" s="32" t="n">
        <v>0</v>
      </c>
      <c r="M13" s="27" t="n">
        <v>6000</v>
      </c>
      <c r="N13" s="32" t="n">
        <v>6000</v>
      </c>
      <c r="O13" s="27">
        <f>F13+K13+M13</f>
        <v/>
      </c>
      <c r="P13" s="32">
        <f>F13+L13+N13</f>
        <v/>
      </c>
      <c r="Q13" s="33">
        <f>P13-O13</f>
        <v/>
      </c>
      <c r="R13" s="34" t="inlineStr"/>
    </row>
    <row r="14" ht="19" customHeight="1">
      <c r="B14" s="24" t="inlineStr">
        <is>
          <t>GEORGIA</t>
        </is>
      </c>
      <c r="C14" s="25" t="inlineStr">
        <is>
          <t>BORN AGROCHEMISTRY, LLC</t>
        </is>
      </c>
      <c r="D14" s="26" t="inlineStr">
        <is>
          <t>BIO0020</t>
        </is>
      </c>
      <c r="E14" s="25" t="inlineStr">
        <is>
          <t>BIORAD-20</t>
        </is>
      </c>
      <c r="F14" s="27" t="n">
        <v>0</v>
      </c>
      <c r="G14" s="28" t="n">
        <v>0</v>
      </c>
      <c r="H14" s="29">
        <f>ABS(G14-F14)</f>
        <v/>
      </c>
      <c r="I14" s="30">
        <f>IF(F14&gt;0, G14/F14, IF(G14&gt;0, 1.0, 0.0))</f>
        <v/>
      </c>
      <c r="J14" s="31" t="inlineStr"/>
      <c r="K14" s="27" t="n">
        <v>0</v>
      </c>
      <c r="L14" s="32" t="n">
        <v>0</v>
      </c>
      <c r="M14" s="27" t="n">
        <v>30000</v>
      </c>
      <c r="N14" s="32" t="n">
        <v>30000</v>
      </c>
      <c r="O14" s="27">
        <f>F14+K14+M14</f>
        <v/>
      </c>
      <c r="P14" s="32">
        <f>F14+L14+N14</f>
        <v/>
      </c>
      <c r="Q14" s="33">
        <f>P14-O14</f>
        <v/>
      </c>
      <c r="R14" s="34" t="inlineStr"/>
    </row>
    <row r="15" ht="19" customHeight="1">
      <c r="B15" s="35" t="inlineStr">
        <is>
          <t>GEORGIA</t>
        </is>
      </c>
      <c r="C15" s="36" t="inlineStr">
        <is>
          <t>BORN AGROCHEMISTRY, LLC</t>
        </is>
      </c>
      <c r="D15" s="37" t="inlineStr">
        <is>
          <t>C-CU0001</t>
        </is>
      </c>
      <c r="E15" s="36" t="inlineStr">
        <is>
          <t>CODICOBRE</t>
        </is>
      </c>
      <c r="F15" s="27" t="n">
        <v>0</v>
      </c>
      <c r="G15" s="38" t="n">
        <v>0</v>
      </c>
      <c r="H15" s="29">
        <f>ABS(G15-F15)</f>
        <v/>
      </c>
      <c r="I15" s="30">
        <f>IF(F15&gt;0, G15/F15, IF(G15&gt;0, 1.0, 0.0))</f>
        <v/>
      </c>
      <c r="J15" s="31" t="inlineStr"/>
      <c r="K15" s="27" t="n">
        <v>0</v>
      </c>
      <c r="L15" s="32" t="n">
        <v>0</v>
      </c>
      <c r="M15" s="27" t="n">
        <v>960</v>
      </c>
      <c r="N15" s="32" t="n">
        <v>960</v>
      </c>
      <c r="O15" s="27">
        <f>F15+K15+M15</f>
        <v/>
      </c>
      <c r="P15" s="32">
        <f>F15+L15+N15</f>
        <v/>
      </c>
      <c r="Q15" s="33">
        <f>P15-O15</f>
        <v/>
      </c>
      <c r="R15" s="34" t="inlineStr"/>
    </row>
    <row r="16" ht="19" customHeight="1">
      <c r="B16" s="24" t="inlineStr">
        <is>
          <t>GEORGIA</t>
        </is>
      </c>
      <c r="C16" s="25" t="inlineStr">
        <is>
          <t>BORN AGROCHEMISTRY, LLC</t>
        </is>
      </c>
      <c r="D16" s="26" t="inlineStr">
        <is>
          <t>C-CU0005</t>
        </is>
      </c>
      <c r="E16" s="25" t="inlineStr">
        <is>
          <t>CODICOBRE, 5 L</t>
        </is>
      </c>
      <c r="F16" s="27" t="n">
        <v>0</v>
      </c>
      <c r="G16" s="28" t="n">
        <v>0</v>
      </c>
      <c r="H16" s="29">
        <f>ABS(G16-F16)</f>
        <v/>
      </c>
      <c r="I16" s="30">
        <f>IF(F16&gt;0, G16/F16, IF(G16&gt;0, 1.0, 0.0))</f>
        <v/>
      </c>
      <c r="J16" s="31" t="inlineStr"/>
      <c r="K16" s="27" t="n">
        <v>0</v>
      </c>
      <c r="L16" s="32" t="n">
        <v>0</v>
      </c>
      <c r="M16" s="27" t="n">
        <v>1000</v>
      </c>
      <c r="N16" s="32" t="n">
        <v>1000</v>
      </c>
      <c r="O16" s="27">
        <f>F16+K16+M16</f>
        <v/>
      </c>
      <c r="P16" s="32">
        <f>F16+L16+N16</f>
        <v/>
      </c>
      <c r="Q16" s="33">
        <f>P16-O16</f>
        <v/>
      </c>
      <c r="R16" s="34" t="inlineStr"/>
    </row>
    <row r="17" ht="19" customHeight="1">
      <c r="B17" s="35" t="inlineStr">
        <is>
          <t>GEORGIA</t>
        </is>
      </c>
      <c r="C17" s="36" t="inlineStr">
        <is>
          <t>BORN AGROCHEMISTRY, LLC</t>
        </is>
      </c>
      <c r="D17" s="37" t="inlineStr">
        <is>
          <t>CM30005</t>
        </is>
      </c>
      <c r="E17" s="36" t="inlineStr">
        <is>
          <t>TENSOLINE, 5 L</t>
        </is>
      </c>
      <c r="F17" s="27" t="n">
        <v>0</v>
      </c>
      <c r="G17" s="38" t="n">
        <v>0</v>
      </c>
      <c r="H17" s="29">
        <f>ABS(G17-F17)</f>
        <v/>
      </c>
      <c r="I17" s="30">
        <f>IF(F17&gt;0, G17/F17, IF(G17&gt;0, 1.0, 0.0))</f>
        <v/>
      </c>
      <c r="J17" s="31" t="inlineStr"/>
      <c r="K17" s="27" t="n">
        <v>0</v>
      </c>
      <c r="L17" s="32" t="n">
        <v>0</v>
      </c>
      <c r="M17" s="27" t="n">
        <v>1000</v>
      </c>
      <c r="N17" s="32" t="n">
        <v>1000</v>
      </c>
      <c r="O17" s="27">
        <f>F17+K17+M17</f>
        <v/>
      </c>
      <c r="P17" s="32">
        <f>F17+L17+N17</f>
        <v/>
      </c>
      <c r="Q17" s="33">
        <f>P17-O17</f>
        <v/>
      </c>
      <c r="R17" s="34" t="inlineStr"/>
    </row>
    <row r="18" ht="19" customHeight="1">
      <c r="B18" s="24" t="inlineStr">
        <is>
          <t>GEORGIA</t>
        </is>
      </c>
      <c r="C18" s="25" t="inlineStr">
        <is>
          <t>BORN AGROCHEMISTRY, LLC</t>
        </is>
      </c>
      <c r="D18" s="26" t="inlineStr">
        <is>
          <t>CZNMNES0001</t>
        </is>
      </c>
      <c r="E18" s="25" t="inlineStr">
        <is>
          <t>CODIFOL ZN-MN, 1 KG</t>
        </is>
      </c>
      <c r="F18" s="27" t="n">
        <v>0</v>
      </c>
      <c r="G18" s="28" t="n">
        <v>0</v>
      </c>
      <c r="H18" s="29">
        <f>ABS(G18-F18)</f>
        <v/>
      </c>
      <c r="I18" s="30">
        <f>IF(F18&gt;0, G18/F18, IF(G18&gt;0, 1.0, 0.0))</f>
        <v/>
      </c>
      <c r="J18" s="31" t="inlineStr"/>
      <c r="K18" s="27" t="n">
        <v>0</v>
      </c>
      <c r="L18" s="32" t="n">
        <v>0</v>
      </c>
      <c r="M18" s="27" t="n">
        <v>1000</v>
      </c>
      <c r="N18" s="32" t="n">
        <v>1000</v>
      </c>
      <c r="O18" s="27">
        <f>F18+K18+M18</f>
        <v/>
      </c>
      <c r="P18" s="32">
        <f>F18+L18+N18</f>
        <v/>
      </c>
      <c r="Q18" s="33">
        <f>P18-O18</f>
        <v/>
      </c>
      <c r="R18" s="34" t="inlineStr"/>
    </row>
    <row r="19" ht="19" customHeight="1">
      <c r="B19" s="35" t="inlineStr">
        <is>
          <t>GEORGIA</t>
        </is>
      </c>
      <c r="C19" s="36" t="inlineStr">
        <is>
          <t>BORN AGROCHEMISTRY, LLC</t>
        </is>
      </c>
      <c r="D19" s="37" t="inlineStr">
        <is>
          <t>CZNMNES0005</t>
        </is>
      </c>
      <c r="E19" s="36" t="inlineStr">
        <is>
          <t>CODIFOL ZN-MN</t>
        </is>
      </c>
      <c r="F19" s="27" t="n">
        <v>0</v>
      </c>
      <c r="G19" s="38" t="n">
        <v>0</v>
      </c>
      <c r="H19" s="29">
        <f>ABS(G19-F19)</f>
        <v/>
      </c>
      <c r="I19" s="30">
        <f>IF(F19&gt;0, G19/F19, IF(G19&gt;0, 1.0, 0.0))</f>
        <v/>
      </c>
      <c r="J19" s="31" t="inlineStr"/>
      <c r="K19" s="27" t="n">
        <v>0</v>
      </c>
      <c r="L19" s="32" t="n">
        <v>0</v>
      </c>
      <c r="M19" s="27" t="n">
        <v>1000</v>
      </c>
      <c r="N19" s="32" t="n">
        <v>1000</v>
      </c>
      <c r="O19" s="27">
        <f>F19+K19+M19</f>
        <v/>
      </c>
      <c r="P19" s="32">
        <f>F19+L19+N19</f>
        <v/>
      </c>
      <c r="Q19" s="33">
        <f>P19-O19</f>
        <v/>
      </c>
      <c r="R19" s="34" t="inlineStr"/>
    </row>
    <row r="20" ht="19" customHeight="1">
      <c r="B20" s="24" t="inlineStr">
        <is>
          <t>GEORGIA</t>
        </is>
      </c>
      <c r="C20" s="25" t="inlineStr">
        <is>
          <t>BORN AGROCHEMISTRY, LLC</t>
        </is>
      </c>
      <c r="D20" s="26" t="inlineStr">
        <is>
          <t>RUN0001</t>
        </is>
      </c>
      <c r="E20" s="25" t="inlineStr">
        <is>
          <t>RUN STRESS</t>
        </is>
      </c>
      <c r="F20" s="27" t="n">
        <v>0</v>
      </c>
      <c r="G20" s="28" t="n">
        <v>0</v>
      </c>
      <c r="H20" s="29">
        <f>ABS(G20-F20)</f>
        <v/>
      </c>
      <c r="I20" s="30">
        <f>IF(F20&gt;0, G20/F20, IF(G20&gt;0, 1.0, 0.0))</f>
        <v/>
      </c>
      <c r="J20" s="31" t="inlineStr"/>
      <c r="K20" s="27" t="n">
        <v>0</v>
      </c>
      <c r="L20" s="32" t="n">
        <v>0</v>
      </c>
      <c r="M20" s="27" t="n">
        <v>960</v>
      </c>
      <c r="N20" s="32" t="n">
        <v>960</v>
      </c>
      <c r="O20" s="27">
        <f>F20+K20+M20</f>
        <v/>
      </c>
      <c r="P20" s="32">
        <f>F20+L20+N20</f>
        <v/>
      </c>
      <c r="Q20" s="33">
        <f>P20-O20</f>
        <v/>
      </c>
      <c r="R20" s="34" t="inlineStr"/>
    </row>
    <row r="21" ht="19" customHeight="1">
      <c r="B21" s="35" t="inlineStr">
        <is>
          <t>GEORGIA</t>
        </is>
      </c>
      <c r="C21" s="36" t="inlineStr">
        <is>
          <t>BORN AGROCHEMISTRY, LLC</t>
        </is>
      </c>
      <c r="D21" s="37" t="inlineStr">
        <is>
          <t>RUN0005</t>
        </is>
      </c>
      <c r="E21" s="36" t="inlineStr">
        <is>
          <t>RUN STRESS</t>
        </is>
      </c>
      <c r="F21" s="27" t="n">
        <v>0</v>
      </c>
      <c r="G21" s="38" t="n">
        <v>0</v>
      </c>
      <c r="H21" s="29">
        <f>ABS(G21-F21)</f>
        <v/>
      </c>
      <c r="I21" s="30">
        <f>IF(F21&gt;0, G21/F21, IF(G21&gt;0, 1.0, 0.0))</f>
        <v/>
      </c>
      <c r="J21" s="31" t="inlineStr"/>
      <c r="K21" s="27" t="n">
        <v>0</v>
      </c>
      <c r="L21" s="32" t="n">
        <v>0</v>
      </c>
      <c r="M21" s="27" t="n">
        <v>1000</v>
      </c>
      <c r="N21" s="32" t="n">
        <v>1000</v>
      </c>
      <c r="O21" s="27">
        <f>F21+K21+M21</f>
        <v/>
      </c>
      <c r="P21" s="32">
        <f>F21+L21+N21</f>
        <v/>
      </c>
      <c r="Q21" s="33">
        <f>P21-O21</f>
        <v/>
      </c>
      <c r="R21" s="34" t="inlineStr"/>
    </row>
    <row r="22" ht="19" customHeight="1">
      <c r="B22" s="24" t="inlineStr">
        <is>
          <t>SERBIA</t>
        </is>
      </c>
      <c r="C22" s="25" t="inlineStr">
        <is>
          <t>PLANTA SANA, D.O.O.</t>
        </is>
      </c>
      <c r="D22" s="26" t="inlineStr">
        <is>
          <t>A-50(2)0001</t>
        </is>
      </c>
      <c r="E22" s="25" t="inlineStr">
        <is>
          <t>CODIORGAN-A50</t>
        </is>
      </c>
      <c r="F22" s="27" t="n">
        <v>0</v>
      </c>
      <c r="G22" s="28" t="n">
        <v>0</v>
      </c>
      <c r="H22" s="29">
        <f>ABS(G22-F22)</f>
        <v/>
      </c>
      <c r="I22" s="30">
        <f>IF(F22&gt;0, G22/F22, IF(G22&gt;0, 1.0, 0.0))</f>
        <v/>
      </c>
      <c r="J22" s="31" t="inlineStr"/>
      <c r="K22" s="27" t="n">
        <v>0</v>
      </c>
      <c r="L22" s="32" t="n">
        <v>0</v>
      </c>
      <c r="M22" s="27" t="n">
        <v>2000</v>
      </c>
      <c r="N22" s="32" t="n">
        <v>2000</v>
      </c>
      <c r="O22" s="27">
        <f>F22+K22+M22</f>
        <v/>
      </c>
      <c r="P22" s="32">
        <f>F22+L22+N22</f>
        <v/>
      </c>
      <c r="Q22" s="33">
        <f>P22-O22</f>
        <v/>
      </c>
      <c r="R22" s="34" t="inlineStr"/>
    </row>
    <row r="23" ht="19" customHeight="1">
      <c r="B23" s="35" t="inlineStr">
        <is>
          <t>SERBIA</t>
        </is>
      </c>
      <c r="C23" s="36" t="inlineStr">
        <is>
          <t>PLANTA SANA, D.O.O.</t>
        </is>
      </c>
      <c r="D23" s="37" t="inlineStr">
        <is>
          <t>AN0005</t>
        </is>
      </c>
      <c r="E23" s="36" t="inlineStr">
        <is>
          <t>ALCAPLANT NEW, 5 KG</t>
        </is>
      </c>
      <c r="F23" s="27" t="n">
        <v>0</v>
      </c>
      <c r="G23" s="38" t="n">
        <v>0</v>
      </c>
      <c r="H23" s="29">
        <f>ABS(G23-F23)</f>
        <v/>
      </c>
      <c r="I23" s="30">
        <f>IF(F23&gt;0, G23/F23, IF(G23&gt;0, 1.0, 0.0))</f>
        <v/>
      </c>
      <c r="J23" s="31" t="inlineStr"/>
      <c r="K23" s="27" t="n">
        <v>0</v>
      </c>
      <c r="L23" s="32" t="n">
        <v>0</v>
      </c>
      <c r="M23" s="27" t="n">
        <v>1100</v>
      </c>
      <c r="N23" s="32" t="n">
        <v>1100</v>
      </c>
      <c r="O23" s="27">
        <f>F23+K23+M23</f>
        <v/>
      </c>
      <c r="P23" s="32">
        <f>F23+L23+N23</f>
        <v/>
      </c>
      <c r="Q23" s="33">
        <f>P23-O23</f>
        <v/>
      </c>
      <c r="R23" s="34" t="inlineStr"/>
    </row>
    <row r="24" ht="19" customHeight="1">
      <c r="B24" s="24" t="inlineStr">
        <is>
          <t>SERBIA</t>
        </is>
      </c>
      <c r="C24" s="25" t="inlineStr">
        <is>
          <t>PLANTA SANA, D.O.O.</t>
        </is>
      </c>
      <c r="D24" s="26" t="inlineStr">
        <is>
          <t>C-CU0001</t>
        </is>
      </c>
      <c r="E24" s="25" t="inlineStr">
        <is>
          <t>CODICOBRE</t>
        </is>
      </c>
      <c r="F24" s="27" t="n">
        <v>0</v>
      </c>
      <c r="G24" s="28" t="n">
        <v>0</v>
      </c>
      <c r="H24" s="29">
        <f>ABS(G24-F24)</f>
        <v/>
      </c>
      <c r="I24" s="30">
        <f>IF(F24&gt;0, G24/F24, IF(G24&gt;0, 1.0, 0.0))</f>
        <v/>
      </c>
      <c r="J24" s="31" t="inlineStr"/>
      <c r="K24" s="27" t="n">
        <v>0</v>
      </c>
      <c r="L24" s="32" t="n">
        <v>0</v>
      </c>
      <c r="M24" s="27" t="n">
        <v>500</v>
      </c>
      <c r="N24" s="32" t="n">
        <v>500</v>
      </c>
      <c r="O24" s="27">
        <f>F24+K24+M24</f>
        <v/>
      </c>
      <c r="P24" s="32">
        <f>F24+L24+N24</f>
        <v/>
      </c>
      <c r="Q24" s="33">
        <f>P24-O24</f>
        <v/>
      </c>
      <c r="R24" s="34" t="inlineStr"/>
    </row>
    <row r="25" ht="19" customHeight="1">
      <c r="B25" s="35" t="inlineStr">
        <is>
          <t>SERBIA</t>
        </is>
      </c>
      <c r="C25" s="36" t="inlineStr">
        <is>
          <t>PLANTA SANA, D.O.O.</t>
        </is>
      </c>
      <c r="D25" s="37" t="inlineStr">
        <is>
          <t>FTK0020</t>
        </is>
      </c>
      <c r="E25" s="36" t="inlineStr">
        <is>
          <t>FITOKONTROL CA FLOW, 20 KG</t>
        </is>
      </c>
      <c r="F25" s="27" t="n">
        <v>0</v>
      </c>
      <c r="G25" s="38" t="n">
        <v>0</v>
      </c>
      <c r="H25" s="29">
        <f>ABS(G25-F25)</f>
        <v/>
      </c>
      <c r="I25" s="30">
        <f>IF(F25&gt;0, G25/F25, IF(G25&gt;0, 1.0, 0.0))</f>
        <v/>
      </c>
      <c r="J25" s="31" t="inlineStr"/>
      <c r="K25" s="27" t="n">
        <v>0</v>
      </c>
      <c r="L25" s="32" t="n">
        <v>0</v>
      </c>
      <c r="M25" s="27" t="n">
        <v>2200</v>
      </c>
      <c r="N25" s="32" t="n">
        <v>2200</v>
      </c>
      <c r="O25" s="27">
        <f>F25+K25+M25</f>
        <v/>
      </c>
      <c r="P25" s="32">
        <f>F25+L25+N25</f>
        <v/>
      </c>
      <c r="Q25" s="33">
        <f>P25-O25</f>
        <v/>
      </c>
      <c r="R25" s="34" t="inlineStr"/>
    </row>
    <row r="26" ht="19" customHeight="1">
      <c r="B26" s="24" t="inlineStr">
        <is>
          <t>SERBIA</t>
        </is>
      </c>
      <c r="C26" s="25" t="inlineStr">
        <is>
          <t>PLANTA SANA, D.O.O.</t>
        </is>
      </c>
      <c r="D26" s="26" t="inlineStr">
        <is>
          <t>RUN0001</t>
        </is>
      </c>
      <c r="E26" s="25" t="inlineStr">
        <is>
          <t>RUN STRESS, 1 L</t>
        </is>
      </c>
      <c r="F26" s="27" t="n">
        <v>0</v>
      </c>
      <c r="G26" s="28" t="n">
        <v>0</v>
      </c>
      <c r="H26" s="29">
        <f>ABS(G26-F26)</f>
        <v/>
      </c>
      <c r="I26" s="30">
        <f>IF(F26&gt;0, G26/F26, IF(G26&gt;0, 1.0, 0.0))</f>
        <v/>
      </c>
      <c r="J26" s="31" t="inlineStr"/>
      <c r="K26" s="27" t="n">
        <v>0</v>
      </c>
      <c r="L26" s="32" t="n">
        <v>0</v>
      </c>
      <c r="M26" s="27" t="n">
        <v>960</v>
      </c>
      <c r="N26" s="32" t="n">
        <v>960</v>
      </c>
      <c r="O26" s="27">
        <f>F26+K26+M26</f>
        <v/>
      </c>
      <c r="P26" s="32">
        <f>F26+L26+N26</f>
        <v/>
      </c>
      <c r="Q26" s="33">
        <f>P26-O26</f>
        <v/>
      </c>
      <c r="R26" s="34" t="inlineStr"/>
    </row>
    <row r="27" ht="19" customHeight="1">
      <c r="B27" s="35" t="inlineStr">
        <is>
          <t>AZERBAIYÁN</t>
        </is>
      </c>
      <c r="C27" s="36" t="inlineStr">
        <is>
          <t>ZTB AQRO MMC</t>
        </is>
      </c>
      <c r="D27" s="37" t="inlineStr">
        <is>
          <t>AVAN0005</t>
        </is>
      </c>
      <c r="E27" s="36" t="inlineStr">
        <is>
          <t>FLORAMEC AVANCE, 5 L</t>
        </is>
      </c>
      <c r="F27" s="27" t="n">
        <v>0</v>
      </c>
      <c r="G27" s="38" t="n">
        <v>0</v>
      </c>
      <c r="H27" s="29">
        <f>ABS(G27-F27)</f>
        <v/>
      </c>
      <c r="I27" s="30">
        <f>IF(F27&gt;0, G27/F27, IF(G27&gt;0, 1.0, 0.0))</f>
        <v/>
      </c>
      <c r="J27" s="31" t="inlineStr"/>
      <c r="K27" s="27" t="n">
        <v>0</v>
      </c>
      <c r="L27" s="32" t="n">
        <v>0</v>
      </c>
      <c r="M27" s="27" t="n">
        <v>3000</v>
      </c>
      <c r="N27" s="32" t="n">
        <v>3000</v>
      </c>
      <c r="O27" s="27">
        <f>F27+K27+M27</f>
        <v/>
      </c>
      <c r="P27" s="32">
        <f>F27+L27+N27</f>
        <v/>
      </c>
      <c r="Q27" s="33">
        <f>P27-O27</f>
        <v/>
      </c>
      <c r="R27" s="34" t="inlineStr"/>
    </row>
    <row r="28" ht="19" customHeight="1">
      <c r="B28" s="24" t="inlineStr">
        <is>
          <t>AZERBAIYÁN</t>
        </is>
      </c>
      <c r="C28" s="25" t="inlineStr">
        <is>
          <t>ZTB AQRO MMC</t>
        </is>
      </c>
      <c r="D28" s="26" t="inlineStr">
        <is>
          <t>C-L0005</t>
        </is>
      </c>
      <c r="E28" s="25" t="inlineStr">
        <is>
          <t>CODIBOR-L, 5 L</t>
        </is>
      </c>
      <c r="F28" s="27" t="n">
        <v>0</v>
      </c>
      <c r="G28" s="28" t="n">
        <v>0</v>
      </c>
      <c r="H28" s="29">
        <f>ABS(G28-F28)</f>
        <v/>
      </c>
      <c r="I28" s="30">
        <f>IF(F28&gt;0, G28/F28, IF(G28&gt;0, 1.0, 0.0))</f>
        <v/>
      </c>
      <c r="J28" s="31" t="inlineStr"/>
      <c r="K28" s="27" t="n">
        <v>0</v>
      </c>
      <c r="L28" s="32" t="n">
        <v>0</v>
      </c>
      <c r="M28" s="27" t="n">
        <v>3000</v>
      </c>
      <c r="N28" s="32" t="n">
        <v>3000</v>
      </c>
      <c r="O28" s="27">
        <f>F28+K28+M28</f>
        <v/>
      </c>
      <c r="P28" s="32">
        <f>F28+L28+N28</f>
        <v/>
      </c>
      <c r="Q28" s="33">
        <f>P28-O28</f>
        <v/>
      </c>
      <c r="R28" s="34" t="inlineStr"/>
    </row>
    <row r="29" ht="19" customHeight="1">
      <c r="B29" s="35" t="inlineStr">
        <is>
          <t>AZERBAIYÁN</t>
        </is>
      </c>
      <c r="C29" s="36" t="inlineStr">
        <is>
          <t>ZTB AQRO MMC</t>
        </is>
      </c>
      <c r="D29" s="37" t="inlineStr">
        <is>
          <t>C-L0020</t>
        </is>
      </c>
      <c r="E29" s="36" t="inlineStr">
        <is>
          <t>CODIBOR-L, 20 L</t>
        </is>
      </c>
      <c r="F29" s="27" t="n">
        <v>0</v>
      </c>
      <c r="G29" s="38" t="n">
        <v>0</v>
      </c>
      <c r="H29" s="29">
        <f>ABS(G29-F29)</f>
        <v/>
      </c>
      <c r="I29" s="30">
        <f>IF(F29&gt;0, G29/F29, IF(G29&gt;0, 1.0, 0.0))</f>
        <v/>
      </c>
      <c r="J29" s="31" t="inlineStr"/>
      <c r="K29" s="27" t="n">
        <v>0</v>
      </c>
      <c r="L29" s="32" t="n">
        <v>0</v>
      </c>
      <c r="M29" s="27" t="n">
        <v>2000</v>
      </c>
      <c r="N29" s="32" t="n">
        <v>2000</v>
      </c>
      <c r="O29" s="27">
        <f>F29+K29+M29</f>
        <v/>
      </c>
      <c r="P29" s="32">
        <f>F29+L29+N29</f>
        <v/>
      </c>
      <c r="Q29" s="33">
        <f>P29-O29</f>
        <v/>
      </c>
      <c r="R29" s="34" t="inlineStr"/>
    </row>
    <row r="30" ht="19" customHeight="1">
      <c r="B30" s="24" t="inlineStr">
        <is>
          <t>AZERBAIYÁN</t>
        </is>
      </c>
      <c r="C30" s="25" t="inlineStr">
        <is>
          <t>ZTB AQRO MMC</t>
        </is>
      </c>
      <c r="D30" s="26" t="inlineStr">
        <is>
          <t>CBROT0020</t>
        </is>
      </c>
      <c r="E30" s="25" t="inlineStr">
        <is>
          <t>CODIBROT, 20 L</t>
        </is>
      </c>
      <c r="F30" s="27" t="n">
        <v>0</v>
      </c>
      <c r="G30" s="28" t="n">
        <v>0</v>
      </c>
      <c r="H30" s="29">
        <f>ABS(G30-F30)</f>
        <v/>
      </c>
      <c r="I30" s="30">
        <f>IF(F30&gt;0, G30/F30, IF(G30&gt;0, 1.0, 0.0))</f>
        <v/>
      </c>
      <c r="J30" s="31" t="inlineStr"/>
      <c r="K30" s="27" t="n">
        <v>0</v>
      </c>
      <c r="L30" s="32" t="n">
        <v>0</v>
      </c>
      <c r="M30" s="27" t="n">
        <v>3000</v>
      </c>
      <c r="N30" s="32" t="n">
        <v>3000</v>
      </c>
      <c r="O30" s="27">
        <f>F30+K30+M30</f>
        <v/>
      </c>
      <c r="P30" s="32">
        <f>F30+L30+N30</f>
        <v/>
      </c>
      <c r="Q30" s="33">
        <f>P30-O30</f>
        <v/>
      </c>
      <c r="R30" s="34" t="inlineStr"/>
    </row>
    <row r="31" ht="19" customHeight="1">
      <c r="B31" s="35" t="inlineStr">
        <is>
          <t>AZERBAIYÁN</t>
        </is>
      </c>
      <c r="C31" s="36" t="inlineStr">
        <is>
          <t>ZTB AQRO MMC</t>
        </is>
      </c>
      <c r="D31" s="37" t="inlineStr">
        <is>
          <t>CM3M0001</t>
        </is>
      </c>
      <c r="E31" s="36" t="inlineStr">
        <is>
          <t>TENSOLINE-MAX, 1 L</t>
        </is>
      </c>
      <c r="F31" s="27" t="n">
        <v>0</v>
      </c>
      <c r="G31" s="38" t="n">
        <v>0</v>
      </c>
      <c r="H31" s="29">
        <f>ABS(G31-F31)</f>
        <v/>
      </c>
      <c r="I31" s="30">
        <f>IF(F31&gt;0, G31/F31, IF(G31&gt;0, 1.0, 0.0))</f>
        <v/>
      </c>
      <c r="J31" s="31" t="inlineStr"/>
      <c r="K31" s="27" t="n">
        <v>0</v>
      </c>
      <c r="L31" s="32" t="n">
        <v>0</v>
      </c>
      <c r="M31" s="27" t="n">
        <v>2000</v>
      </c>
      <c r="N31" s="32" t="n">
        <v>2000</v>
      </c>
      <c r="O31" s="27">
        <f>F31+K31+M31</f>
        <v/>
      </c>
      <c r="P31" s="32">
        <f>F31+L31+N31</f>
        <v/>
      </c>
      <c r="Q31" s="33">
        <f>P31-O31</f>
        <v/>
      </c>
      <c r="R31" s="34" t="inlineStr"/>
    </row>
    <row r="32" ht="19" customHeight="1">
      <c r="B32" s="24" t="inlineStr">
        <is>
          <t>AZERBAIYÁN</t>
        </is>
      </c>
      <c r="C32" s="25" t="inlineStr">
        <is>
          <t>ZTB AQRO MMC</t>
        </is>
      </c>
      <c r="D32" s="26" t="inlineStr">
        <is>
          <t>CZNMNES0001</t>
        </is>
      </c>
      <c r="E32" s="25" t="inlineStr">
        <is>
          <t>CODIFOL ZN-MN, 1 KG</t>
        </is>
      </c>
      <c r="F32" s="27" t="n">
        <v>0</v>
      </c>
      <c r="G32" s="28" t="n">
        <v>0</v>
      </c>
      <c r="H32" s="29">
        <f>ABS(G32-F32)</f>
        <v/>
      </c>
      <c r="I32" s="30">
        <f>IF(F32&gt;0, G32/F32, IF(G32&gt;0, 1.0, 0.0))</f>
        <v/>
      </c>
      <c r="J32" s="31" t="inlineStr"/>
      <c r="K32" s="27" t="n">
        <v>0</v>
      </c>
      <c r="L32" s="32" t="n">
        <v>0</v>
      </c>
      <c r="M32" s="27" t="n">
        <v>1000</v>
      </c>
      <c r="N32" s="32" t="n">
        <v>1000</v>
      </c>
      <c r="O32" s="27">
        <f>F32+K32+M32</f>
        <v/>
      </c>
      <c r="P32" s="32">
        <f>F32+L32+N32</f>
        <v/>
      </c>
      <c r="Q32" s="33">
        <f>P32-O32</f>
        <v/>
      </c>
      <c r="R32" s="34" t="inlineStr"/>
    </row>
    <row r="33" ht="19" customHeight="1">
      <c r="B33" s="35" t="inlineStr">
        <is>
          <t>AZERBAIYÁN</t>
        </is>
      </c>
      <c r="C33" s="36" t="inlineStr">
        <is>
          <t>ZTB AQRO MMC</t>
        </is>
      </c>
      <c r="D33" s="37" t="inlineStr">
        <is>
          <t>CZNMNES0005</t>
        </is>
      </c>
      <c r="E33" s="36" t="inlineStr">
        <is>
          <t>CODIFOL ZN-MN, 5 KG</t>
        </is>
      </c>
      <c r="F33" s="27" t="n">
        <v>0</v>
      </c>
      <c r="G33" s="38" t="n">
        <v>0</v>
      </c>
      <c r="H33" s="29">
        <f>ABS(G33-F33)</f>
        <v/>
      </c>
      <c r="I33" s="30">
        <f>IF(F33&gt;0, G33/F33, IF(G33&gt;0, 1.0, 0.0))</f>
        <v/>
      </c>
      <c r="J33" s="31" t="inlineStr"/>
      <c r="K33" s="27" t="n">
        <v>0</v>
      </c>
      <c r="L33" s="32" t="n">
        <v>0</v>
      </c>
      <c r="M33" s="27" t="n">
        <v>1000</v>
      </c>
      <c r="N33" s="32" t="n">
        <v>1000</v>
      </c>
      <c r="O33" s="27">
        <f>F33+K33+M33</f>
        <v/>
      </c>
      <c r="P33" s="32">
        <f>F33+L33+N33</f>
        <v/>
      </c>
      <c r="Q33" s="33">
        <f>P33-O33</f>
        <v/>
      </c>
      <c r="R33" s="34" t="inlineStr"/>
    </row>
    <row r="34" ht="19" customHeight="1">
      <c r="B34" s="24" t="inlineStr">
        <is>
          <t>AZERBAIYÁN</t>
        </is>
      </c>
      <c r="C34" s="25" t="inlineStr">
        <is>
          <t>ZTB AQRO MMC</t>
        </is>
      </c>
      <c r="D34" s="26" t="inlineStr">
        <is>
          <t>N</t>
        </is>
      </c>
      <c r="E34" s="25" t="inlineStr">
        <is>
          <t>AMINOG AL , 1L</t>
        </is>
      </c>
      <c r="F34" s="27" t="n">
        <v>0</v>
      </c>
      <c r="G34" s="28" t="n">
        <v>0</v>
      </c>
      <c r="H34" s="29">
        <f>ABS(G34-F34)</f>
        <v/>
      </c>
      <c r="I34" s="30">
        <f>IF(F34&gt;0, G34/F34, IF(G34&gt;0, 1.0, 0.0))</f>
        <v/>
      </c>
      <c r="J34" s="31" t="inlineStr"/>
      <c r="K34" s="27" t="n">
        <v>0</v>
      </c>
      <c r="L34" s="32" t="n">
        <v>0</v>
      </c>
      <c r="M34" s="27" t="n">
        <v>4920</v>
      </c>
      <c r="N34" s="32" t="n">
        <v>4920</v>
      </c>
      <c r="O34" s="27">
        <f>F34+K34+M34</f>
        <v/>
      </c>
      <c r="P34" s="32">
        <f>F34+L34+N34</f>
        <v/>
      </c>
      <c r="Q34" s="33">
        <f>P34-O34</f>
        <v/>
      </c>
      <c r="R34" s="34" t="inlineStr"/>
    </row>
    <row r="35" ht="19" customHeight="1">
      <c r="B35" s="35" t="inlineStr">
        <is>
          <t>TURQUÍA</t>
        </is>
      </c>
      <c r="C35" s="36" t="inlineStr">
        <is>
          <t>ÇITAR ÇIÇEK TARIM TIC. LTD. STI</t>
        </is>
      </c>
      <c r="D35" s="37" t="inlineStr">
        <is>
          <t>A-501000</t>
        </is>
      </c>
      <c r="E35" s="36" t="inlineStr">
        <is>
          <t>CODIORGAN-A50, 1000 KG</t>
        </is>
      </c>
      <c r="F35" s="27" t="n">
        <v>0</v>
      </c>
      <c r="G35" s="38" t="n">
        <v>0</v>
      </c>
      <c r="H35" s="29">
        <f>ABS(G35-F35)</f>
        <v/>
      </c>
      <c r="I35" s="30">
        <f>IF(F35&gt;0, G35/F35, IF(G35&gt;0, 1.0, 0.0))</f>
        <v/>
      </c>
      <c r="J35" s="31" t="inlineStr"/>
      <c r="K35" s="27" t="n">
        <v>0</v>
      </c>
      <c r="L35" s="32" t="n">
        <v>0</v>
      </c>
      <c r="M35" s="27" t="n">
        <v>2000</v>
      </c>
      <c r="N35" s="32" t="n">
        <v>2000</v>
      </c>
      <c r="O35" s="27">
        <f>F35+K35+M35</f>
        <v/>
      </c>
      <c r="P35" s="32">
        <f>F35+L35+N35</f>
        <v/>
      </c>
      <c r="Q35" s="33">
        <f>P35-O35</f>
        <v/>
      </c>
      <c r="R35" s="34" t="inlineStr"/>
    </row>
    <row r="36" ht="19" customHeight="1">
      <c r="B36" s="24" t="inlineStr">
        <is>
          <t>TURQUÍA</t>
        </is>
      </c>
      <c r="C36" s="25" t="inlineStr">
        <is>
          <t>ÇITAR ÇIÇEK TARIM TIC. LTD. STI</t>
        </is>
      </c>
      <c r="D36" s="26" t="inlineStr">
        <is>
          <t>AN0005</t>
        </is>
      </c>
      <c r="E36" s="25" t="inlineStr">
        <is>
          <t>ALCAPLANT NEW</t>
        </is>
      </c>
      <c r="F36" s="27" t="n">
        <v>0</v>
      </c>
      <c r="G36" s="28" t="n">
        <v>0</v>
      </c>
      <c r="H36" s="29">
        <f>ABS(G36-F36)</f>
        <v/>
      </c>
      <c r="I36" s="30">
        <f>IF(F36&gt;0, G36/F36, IF(G36&gt;0, 1.0, 0.0))</f>
        <v/>
      </c>
      <c r="J36" s="31" t="inlineStr"/>
      <c r="K36" s="27" t="n">
        <v>0</v>
      </c>
      <c r="L36" s="32" t="n">
        <v>0</v>
      </c>
      <c r="M36" s="27" t="n">
        <v>0</v>
      </c>
      <c r="N36" s="32" t="n">
        <v>0</v>
      </c>
      <c r="O36" s="27">
        <f>F36+K36+M36</f>
        <v/>
      </c>
      <c r="P36" s="32">
        <f>F36+L36+N36</f>
        <v/>
      </c>
      <c r="Q36" s="33">
        <f>P36-O36</f>
        <v/>
      </c>
      <c r="R36" s="34" t="inlineStr"/>
    </row>
    <row r="37" ht="19" customHeight="1">
      <c r="B37" s="35" t="inlineStr">
        <is>
          <t>ESPAÑA</t>
        </is>
      </c>
      <c r="C37" s="36" t="inlineStr">
        <is>
          <t>ÇITAR ÇIÇEK TARIM TIC. LTD. STI</t>
        </is>
      </c>
      <c r="D37" s="37" t="inlineStr">
        <is>
          <t>BIO0020</t>
        </is>
      </c>
      <c r="E37" s="36" t="inlineStr">
        <is>
          <t>BIORAD-20, 20 L</t>
        </is>
      </c>
      <c r="F37" s="27" t="n">
        <v>0</v>
      </c>
      <c r="G37" s="38" t="n">
        <v>0</v>
      </c>
      <c r="H37" s="29">
        <f>ABS(G37-F37)</f>
        <v/>
      </c>
      <c r="I37" s="30">
        <f>IF(F37&gt;0, G37/F37, IF(G37&gt;0, 1.0, 0.0))</f>
        <v/>
      </c>
      <c r="J37" s="31" t="inlineStr"/>
      <c r="K37" s="27" t="n">
        <v>0</v>
      </c>
      <c r="L37" s="32" t="n">
        <v>0</v>
      </c>
      <c r="M37" s="27" t="n">
        <v>0</v>
      </c>
      <c r="N37" s="32" t="n">
        <v>0</v>
      </c>
      <c r="O37" s="27">
        <f>F37+K37+M37</f>
        <v/>
      </c>
      <c r="P37" s="32">
        <f>F37+L37+N37</f>
        <v/>
      </c>
      <c r="Q37" s="33">
        <f>P37-O37</f>
        <v/>
      </c>
      <c r="R37" s="34" t="inlineStr"/>
    </row>
    <row r="38" ht="19" customHeight="1">
      <c r="B38" s="24" t="inlineStr">
        <is>
          <t>ESPAÑA</t>
        </is>
      </c>
      <c r="C38" s="25" t="inlineStr">
        <is>
          <t>ÇITAR ÇIÇEK TARIM TIC. LTD. STI</t>
        </is>
      </c>
      <c r="D38" s="26" t="inlineStr">
        <is>
          <t>BIO1000</t>
        </is>
      </c>
      <c r="E38" s="25" t="inlineStr">
        <is>
          <t>BIORAD-20, 1000 L</t>
        </is>
      </c>
      <c r="F38" s="27" t="n">
        <v>0</v>
      </c>
      <c r="G38" s="28" t="n">
        <v>0</v>
      </c>
      <c r="H38" s="29">
        <f>ABS(G38-F38)</f>
        <v/>
      </c>
      <c r="I38" s="30">
        <f>IF(F38&gt;0, G38/F38, IF(G38&gt;0, 1.0, 0.0))</f>
        <v/>
      </c>
      <c r="J38" s="31" t="inlineStr"/>
      <c r="K38" s="27" t="n">
        <v>0</v>
      </c>
      <c r="L38" s="32" t="n">
        <v>0</v>
      </c>
      <c r="M38" s="27" t="n">
        <v>0</v>
      </c>
      <c r="N38" s="32" t="n">
        <v>0</v>
      </c>
      <c r="O38" s="27">
        <f>F38+K38+M38</f>
        <v/>
      </c>
      <c r="P38" s="32">
        <f>F38+L38+N38</f>
        <v/>
      </c>
      <c r="Q38" s="33">
        <f>P38-O38</f>
        <v/>
      </c>
      <c r="R38" s="34" t="inlineStr"/>
    </row>
    <row r="39" ht="19" customHeight="1">
      <c r="B39" s="35" t="inlineStr">
        <is>
          <t>ESPAÑA</t>
        </is>
      </c>
      <c r="C39" s="36" t="inlineStr">
        <is>
          <t>ÇITAR ÇIÇEK TARIM TIC. LTD. STI</t>
        </is>
      </c>
      <c r="D39" s="37" t="inlineStr">
        <is>
          <t>C-CU1000</t>
        </is>
      </c>
      <c r="E39" s="36" t="inlineStr">
        <is>
          <t>CODICOBRE, 1000 L</t>
        </is>
      </c>
      <c r="F39" s="27" t="n">
        <v>0</v>
      </c>
      <c r="G39" s="38" t="n">
        <v>0</v>
      </c>
      <c r="H39" s="29">
        <f>ABS(G39-F39)</f>
        <v/>
      </c>
      <c r="I39" s="30">
        <f>IF(F39&gt;0, G39/F39, IF(G39&gt;0, 1.0, 0.0))</f>
        <v/>
      </c>
      <c r="J39" s="31" t="inlineStr"/>
      <c r="K39" s="27" t="n">
        <v>0</v>
      </c>
      <c r="L39" s="32" t="n">
        <v>0</v>
      </c>
      <c r="M39" s="27" t="n">
        <v>0</v>
      </c>
      <c r="N39" s="32" t="n">
        <v>0</v>
      </c>
      <c r="O39" s="27">
        <f>F39+K39+M39</f>
        <v/>
      </c>
      <c r="P39" s="32">
        <f>F39+L39+N39</f>
        <v/>
      </c>
      <c r="Q39" s="33">
        <f>P39-O39</f>
        <v/>
      </c>
      <c r="R39" s="34" t="inlineStr"/>
    </row>
    <row r="40" ht="19" customHeight="1">
      <c r="B40" s="24" t="inlineStr">
        <is>
          <t>TURQUÍA</t>
        </is>
      </c>
      <c r="C40" s="25" t="inlineStr">
        <is>
          <t>ÇITAR ÇIÇEK TARIM TIC. LTD. STI</t>
        </is>
      </c>
      <c r="D40" s="26" t="inlineStr">
        <is>
          <t>FTK0005</t>
        </is>
      </c>
      <c r="E40" s="25" t="inlineStr">
        <is>
          <t>FITOKONTROL CA FLOW, 5 KG</t>
        </is>
      </c>
      <c r="F40" s="27" t="n">
        <v>0</v>
      </c>
      <c r="G40" s="28" t="n">
        <v>0</v>
      </c>
      <c r="H40" s="29">
        <f>ABS(G40-F40)</f>
        <v/>
      </c>
      <c r="I40" s="30">
        <f>IF(F40&gt;0, G40/F40, IF(G40&gt;0, 1.0, 0.0))</f>
        <v/>
      </c>
      <c r="J40" s="31" t="inlineStr"/>
      <c r="K40" s="27" t="n">
        <v>0</v>
      </c>
      <c r="L40" s="32" t="n">
        <v>0</v>
      </c>
      <c r="M40" s="27" t="n">
        <v>10000</v>
      </c>
      <c r="N40" s="32" t="n">
        <v>10000</v>
      </c>
      <c r="O40" s="27">
        <f>F40+K40+M40</f>
        <v/>
      </c>
      <c r="P40" s="32">
        <f>F40+L40+N40</f>
        <v/>
      </c>
      <c r="Q40" s="33">
        <f>P40-O40</f>
        <v/>
      </c>
      <c r="R40" s="34" t="inlineStr"/>
    </row>
    <row r="41" ht="19" customHeight="1">
      <c r="B41" s="35" t="inlineStr">
        <is>
          <t>TURQUÍA</t>
        </is>
      </c>
      <c r="C41" s="36" t="inlineStr">
        <is>
          <t>ÇITAR ÇIÇEK TARIM TIC. LTD. STI</t>
        </is>
      </c>
      <c r="D41" s="37" t="inlineStr">
        <is>
          <t>FU1000</t>
        </is>
      </c>
      <c r="E41" s="36" t="inlineStr">
        <is>
          <t>FULVIGIN, 1000 L</t>
        </is>
      </c>
      <c r="F41" s="27" t="n">
        <v>0</v>
      </c>
      <c r="G41" s="38" t="n">
        <v>0</v>
      </c>
      <c r="H41" s="29">
        <f>ABS(G41-F41)</f>
        <v/>
      </c>
      <c r="I41" s="30">
        <f>IF(F41&gt;0, G41/F41, IF(G41&gt;0, 1.0, 0.0))</f>
        <v/>
      </c>
      <c r="J41" s="31" t="inlineStr"/>
      <c r="K41" s="27" t="n">
        <v>0</v>
      </c>
      <c r="L41" s="32" t="n">
        <v>0</v>
      </c>
      <c r="M41" s="27" t="n">
        <v>1000</v>
      </c>
      <c r="N41" s="32" t="n">
        <v>1000</v>
      </c>
      <c r="O41" s="27">
        <f>F41+K41+M41</f>
        <v/>
      </c>
      <c r="P41" s="32">
        <f>F41+L41+N41</f>
        <v/>
      </c>
      <c r="Q41" s="33">
        <f>P41-O41</f>
        <v/>
      </c>
      <c r="R41" s="34" t="inlineStr"/>
    </row>
    <row r="42" ht="19" customHeight="1">
      <c r="B42" s="24" t="inlineStr">
        <is>
          <t>TURQUÍA</t>
        </is>
      </c>
      <c r="C42" s="25" t="inlineStr">
        <is>
          <t>ÇITAR ÇIÇEK TARIM TIC. LTD. STI</t>
        </is>
      </c>
      <c r="D42" s="26" t="inlineStr">
        <is>
          <t>RUN0001</t>
        </is>
      </c>
      <c r="E42" s="25" t="inlineStr">
        <is>
          <t>RUN STRESS, 1 L</t>
        </is>
      </c>
      <c r="F42" s="27" t="n">
        <v>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TURQUÍA</t>
        </is>
      </c>
      <c r="C43" s="36" t="inlineStr">
        <is>
          <t>ÇİTAR ÇİÇEK TARIM TIC. LTD. STI</t>
        </is>
      </c>
      <c r="D43" s="37" t="inlineStr">
        <is>
          <t>AN0005</t>
        </is>
      </c>
      <c r="E43" s="36" t="inlineStr">
        <is>
          <t>ALCAPLANT NEW, 5 KG</t>
        </is>
      </c>
      <c r="F43" s="27" t="n">
        <v>0</v>
      </c>
      <c r="G43" s="38" t="n">
        <v>0</v>
      </c>
      <c r="H43" s="29">
        <f>ABS(G43-F43)</f>
        <v/>
      </c>
      <c r="I43" s="30">
        <f>IF(F43&gt;0, G43/F43, IF(G43&gt;0, 1.0, 0.0))</f>
        <v/>
      </c>
      <c r="J43" s="31" t="inlineStr"/>
      <c r="K43" s="27" t="n">
        <v>0</v>
      </c>
      <c r="L43" s="32" t="n">
        <v>0</v>
      </c>
      <c r="M43" s="27" t="n">
        <v>15000</v>
      </c>
      <c r="N43" s="32" t="n">
        <v>15000</v>
      </c>
      <c r="O43" s="27">
        <f>F43+K43+M43</f>
        <v/>
      </c>
      <c r="P43" s="32">
        <f>F43+L43+N43</f>
        <v/>
      </c>
      <c r="Q43" s="33">
        <f>P43-O43</f>
        <v/>
      </c>
      <c r="R43" s="34" t="inlineStr"/>
    </row>
    <row r="44" ht="19" customHeight="1">
      <c r="B44" s="24" t="inlineStr">
        <is>
          <t>TURQUÍA</t>
        </is>
      </c>
      <c r="C44" s="25" t="inlineStr">
        <is>
          <t>ÇİTAR ÇİÇEK TARIM TIC. LTD. STI</t>
        </is>
      </c>
      <c r="D44" s="26" t="inlineStr">
        <is>
          <t>BIO0020</t>
        </is>
      </c>
      <c r="E44" s="25" t="inlineStr">
        <is>
          <t>BIORAD-20, 20 L</t>
        </is>
      </c>
      <c r="F44" s="27" t="n">
        <v>0</v>
      </c>
      <c r="G44" s="28" t="n">
        <v>0</v>
      </c>
      <c r="H44" s="29">
        <f>ABS(G44-F44)</f>
        <v/>
      </c>
      <c r="I44" s="30">
        <f>IF(F44&gt;0, G44/F44, IF(G44&gt;0, 1.0, 0.0))</f>
        <v/>
      </c>
      <c r="J44" s="31" t="inlineStr"/>
      <c r="K44" s="27" t="n">
        <v>0</v>
      </c>
      <c r="L44" s="32" t="n">
        <v>0</v>
      </c>
      <c r="M44" s="27" t="n">
        <v>0</v>
      </c>
      <c r="N44" s="32" t="n">
        <v>0</v>
      </c>
      <c r="O44" s="27">
        <f>F44+K44+M44</f>
        <v/>
      </c>
      <c r="P44" s="32">
        <f>F44+L44+N44</f>
        <v/>
      </c>
      <c r="Q44" s="33">
        <f>P44-O44</f>
        <v/>
      </c>
      <c r="R44" s="34" t="inlineStr"/>
    </row>
    <row r="45" ht="19" customHeight="1">
      <c r="B45" s="35" t="inlineStr">
        <is>
          <t>TURQUÍA</t>
        </is>
      </c>
      <c r="C45" s="36" t="inlineStr">
        <is>
          <t>ÇİTAR ÇİÇEK TARIM TIC. LTD. STI</t>
        </is>
      </c>
      <c r="D45" s="37" t="inlineStr">
        <is>
          <t>BIO1000</t>
        </is>
      </c>
      <c r="E45" s="36" t="inlineStr">
        <is>
          <t>BIORAD-20, 1000 L</t>
        </is>
      </c>
      <c r="F45" s="27" t="n">
        <v>0</v>
      </c>
      <c r="G45" s="38" t="n">
        <v>0</v>
      </c>
      <c r="H45" s="29">
        <f>ABS(G45-F45)</f>
        <v/>
      </c>
      <c r="I45" s="30">
        <f>IF(F45&gt;0, G45/F45, IF(G45&gt;0, 1.0, 0.0))</f>
        <v/>
      </c>
      <c r="J45" s="31" t="inlineStr"/>
      <c r="K45" s="27" t="n">
        <v>0</v>
      </c>
      <c r="L45" s="32" t="n">
        <v>0</v>
      </c>
      <c r="M45" s="27" t="n">
        <v>0</v>
      </c>
      <c r="N45" s="32" t="n">
        <v>0</v>
      </c>
      <c r="O45" s="27">
        <f>F45+K45+M45</f>
        <v/>
      </c>
      <c r="P45" s="32">
        <f>F45+L45+N45</f>
        <v/>
      </c>
      <c r="Q45" s="33">
        <f>P45-O45</f>
        <v/>
      </c>
      <c r="R45" s="34" t="inlineStr"/>
    </row>
    <row r="46" ht="19" customHeight="1">
      <c r="B46" s="24" t="inlineStr">
        <is>
          <t>TURQUÍA</t>
        </is>
      </c>
      <c r="C46" s="25" t="inlineStr">
        <is>
          <t>ÇİTAR ÇİÇEK TARIM TIC. LTD. STI</t>
        </is>
      </c>
      <c r="D46" s="26" t="inlineStr">
        <is>
          <t>C-CU1000</t>
        </is>
      </c>
      <c r="E46" s="25" t="inlineStr">
        <is>
          <t>CODICOBRE, 1000 L</t>
        </is>
      </c>
      <c r="F46" s="27" t="n">
        <v>0</v>
      </c>
      <c r="G46" s="28" t="n">
        <v>0</v>
      </c>
      <c r="H46" s="29">
        <f>ABS(G46-F46)</f>
        <v/>
      </c>
      <c r="I46" s="30">
        <f>IF(F46&gt;0, G46/F46, IF(G46&gt;0, 1.0, 0.0))</f>
        <v/>
      </c>
      <c r="J46" s="31" t="inlineStr"/>
      <c r="K46" s="27" t="n">
        <v>0</v>
      </c>
      <c r="L46" s="32" t="n">
        <v>0</v>
      </c>
      <c r="M46" s="27" t="n">
        <v>0</v>
      </c>
      <c r="N46" s="32" t="n">
        <v>0</v>
      </c>
      <c r="O46" s="27">
        <f>F46+K46+M46</f>
        <v/>
      </c>
      <c r="P46" s="32">
        <f>F46+L46+N46</f>
        <v/>
      </c>
      <c r="Q46" s="33">
        <f>P46-O46</f>
        <v/>
      </c>
      <c r="R46" s="34" t="inlineStr"/>
    </row>
    <row r="47" ht="19" customHeight="1">
      <c r="B47" s="35" t="inlineStr">
        <is>
          <t>TURQUÍA</t>
        </is>
      </c>
      <c r="C47" s="36" t="inlineStr">
        <is>
          <t>ÇİTAR ÇİÇEK TARIM TIC. LTD. STI</t>
        </is>
      </c>
      <c r="D47" s="37" t="inlineStr">
        <is>
          <t>CZNMNES1000</t>
        </is>
      </c>
      <c r="E47" s="36" t="inlineStr">
        <is>
          <t>CODIFOL ZN-MN, 1000 KG</t>
        </is>
      </c>
      <c r="F47" s="27" t="n">
        <v>0</v>
      </c>
      <c r="G47" s="38" t="n">
        <v>0</v>
      </c>
      <c r="H47" s="29">
        <f>ABS(G47-F47)</f>
        <v/>
      </c>
      <c r="I47" s="30">
        <f>IF(F47&gt;0, G47/F47, IF(G47&gt;0, 1.0, 0.0))</f>
        <v/>
      </c>
      <c r="J47" s="31" t="inlineStr"/>
      <c r="K47" s="27" t="n">
        <v>0</v>
      </c>
      <c r="L47" s="32" t="n">
        <v>0</v>
      </c>
      <c r="M47" s="27" t="n">
        <v>2000</v>
      </c>
      <c r="N47" s="32" t="n">
        <v>2000</v>
      </c>
      <c r="O47" s="27">
        <f>F47+K47+M47</f>
        <v/>
      </c>
      <c r="P47" s="32">
        <f>F47+L47+N47</f>
        <v/>
      </c>
      <c r="Q47" s="33">
        <f>P47-O47</f>
        <v/>
      </c>
      <c r="R47" s="34" t="inlineStr"/>
    </row>
    <row r="48" ht="24" customHeight="1">
      <c r="B48" s="39" t="inlineStr">
        <is>
          <t>TOTAL CONSOLIDADO - MEHMET (UNIDADES)</t>
        </is>
      </c>
      <c r="C48" s="40" t="n"/>
      <c r="D48" s="40" t="n"/>
      <c r="E48" s="40" t="n"/>
      <c r="F48" s="41">
        <f>SUM(F10:F47)</f>
        <v/>
      </c>
      <c r="G48" s="41">
        <f>SUM(G10:G47)</f>
        <v/>
      </c>
      <c r="H48" s="41">
        <f>SUM(H10:H47)</f>
        <v/>
      </c>
      <c r="I48" s="42">
        <f>IF(F48&gt;0, G48/F48, 1.0)</f>
        <v/>
      </c>
      <c r="J48" s="43" t="n"/>
      <c r="K48" s="41">
        <f>SUM(K10:K47)</f>
        <v/>
      </c>
      <c r="L48" s="41">
        <f>SUM(L10:L47)</f>
        <v/>
      </c>
      <c r="M48" s="41">
        <f>SUM(M10:M47)</f>
        <v/>
      </c>
      <c r="N48" s="41">
        <f>SUM(N10:N47)</f>
        <v/>
      </c>
      <c r="O48" s="41">
        <f>SUM(O10:O47)</f>
        <v/>
      </c>
      <c r="P48" s="41">
        <f>SUM(P10:P47)</f>
        <v/>
      </c>
      <c r="Q48" s="44">
        <f>SUM(Q10:Q47)</f>
        <v/>
      </c>
      <c r="R48" s="43" t="n"/>
    </row>
  </sheetData>
  <mergeCells count="20">
    <mergeCell ref="B4:R4"/>
    <mergeCell ref="J6:L6"/>
    <mergeCell ref="O8:R8"/>
    <mergeCell ref="B3:R3"/>
    <mergeCell ref="M6:O6"/>
    <mergeCell ref="E6:G6"/>
    <mergeCell ref="H6:I6"/>
    <mergeCell ref="B2:R2"/>
    <mergeCell ref="B6:D6"/>
    <mergeCell ref="F8:J8"/>
    <mergeCell ref="B5:D5"/>
    <mergeCell ref="P5:R5"/>
    <mergeCell ref="B48:E48"/>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2026-10-27T13:04:48Z</dcterms:created>
  <dcterms:modified xmlns:dcterms="http://purl.org/dc/terms/" xmlns:xsi="http://www.w3.org/2001/XMLSchema-instance" xsi:type="dcterms:W3CDTF">2026-10-27T13:04:48Z</dcterms:modified>
</cp:coreProperties>
</file>